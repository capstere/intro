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drawings/drawing4.xml" ContentType="application/vnd.openxmlformats-officedocument.drawing+xml"/>
  <Override PartName="/xl/ctrlProps/ctrlProp4.xml" ContentType="application/vnd.ms-excel.controlproperties+xml"/>
  <Override PartName="/xl/drawings/drawing5.xml" ContentType="application/vnd.openxmlformats-officedocument.drawing+xml"/>
  <Override PartName="/xl/ctrlProps/ctrlProp5.xml" ContentType="application/vnd.ms-excel.controlproperties+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trlProps/ctrlProp6.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updateLinks="never" defaultThemeVersion="124226"/>
  <mc:AlternateContent xmlns:mc="http://schemas.openxmlformats.org/markup-compatibility/2006">
    <mc:Choice Requires="x15">
      <x15ac:absPath xmlns:x15ac="http://schemas.microsoft.com/office/spreadsheetml/2010/11/ac" url="https://danaher-my.sharepoint.com/personal/jesper_fredriksson_cepheid_com/Documents/Desktop/"/>
    </mc:Choice>
  </mc:AlternateContent>
  <xr:revisionPtr revIDLastSave="0" documentId="8_{B91891E8-C9D2-4F50-AB93-11EBBCB194F9}" xr6:coauthVersionLast="47" xr6:coauthVersionMax="47" xr10:uidLastSave="{00000000-0000-0000-0000-000000000000}"/>
  <workbookProtection lockStructure="1"/>
  <bookViews>
    <workbookView xWindow="57480" yWindow="-4620" windowWidth="29040" windowHeight="15720" tabRatio="927" firstSheet="1" activeTab="3" xr2:uid="{00000000-000D-0000-FFFF-FFFF00000000}"/>
  </bookViews>
  <sheets>
    <sheet name="Intended Use" sheetId="9" r:id="rId1"/>
    <sheet name="Mean Ct MPT MPH Evaluation" sheetId="30" r:id="rId2"/>
    <sheet name="Vacuum Seal Data" sheetId="38" r:id="rId3"/>
    <sheet name="Test Summary" sheetId="21" r:id="rId4"/>
    <sheet name="Data Summary" sheetId="20" r:id="rId5"/>
    <sheet name="Data - First 10" sheetId="18" r:id="rId6"/>
    <sheet name="Data - Sample Type 0" sheetId="14" r:id="rId7"/>
    <sheet name="Data - Sample Type 1" sheetId="16" r:id="rId8"/>
    <sheet name="Data - Sample Type 2" sheetId="31" r:id="rId9"/>
    <sheet name="Data - Replaced" sheetId="15" r:id="rId10"/>
    <sheet name="Statistical Process Control" sheetId="29" r:id="rId11"/>
    <sheet name="Resample Mean Ct MPT MPH" sheetId="34" r:id="rId12"/>
    <sheet name="Data - Resample Replaced " sheetId="35" r:id="rId13"/>
    <sheet name="Resample Data Summary" sheetId="33" r:id="rId14"/>
    <sheet name="Specifications" sheetId="12" r:id="rId15"/>
    <sheet name="HistoricalAccuStats" sheetId="28" r:id="rId16"/>
    <sheet name="For Reference Only" sheetId="22" r:id="rId17"/>
  </sheets>
  <externalReferences>
    <externalReference r:id="rId18"/>
  </externalReferences>
  <definedNames>
    <definedName name="_xlnm._FilterDatabase" localSheetId="14" hidden="1">Specifications!$A$4:$A$6</definedName>
    <definedName name="codes">Specifications!$A$4:$A$5</definedName>
    <definedName name="list">Specifications!$A$11:$A$17</definedName>
    <definedName name="_xlnm.Print_Area" localSheetId="4">'Data Summary'!$A$1:$E$339</definedName>
    <definedName name="_xlnm.Print_Area" localSheetId="0">'Intended Use'!$A$1:$P$387</definedName>
    <definedName name="_xlnm.Print_Area" localSheetId="1">'Mean Ct MPT MPH Evaluation'!$A$1:$BZ$106</definedName>
    <definedName name="_xlnm.Print_Area" localSheetId="13">'Resample Data Summary'!$A$1:$E$339</definedName>
    <definedName name="_xlnm.Print_Area" localSheetId="11">'Resample Mean Ct MPT MPH'!$A$1:$BV$106</definedName>
    <definedName name="_xlnm.Print_Area" localSheetId="10">'Statistical Process Control'!$A$1:$M$43</definedName>
    <definedName name="_xlnm.Print_Titles" localSheetId="5">'Data - First 10'!$1:$1</definedName>
    <definedName name="_xlnm.Print_Titles" localSheetId="9">'Data - Replaced'!$1:$1</definedName>
    <definedName name="_xlnm.Print_Titles" localSheetId="12">'Data - Resample Replaced '!$1:$1</definedName>
    <definedName name="_xlnm.Print_Titles" localSheetId="6">'Data - Sample Type 0'!$1:$1</definedName>
    <definedName name="_xlnm.Print_Titles" localSheetId="7">'Data - Sample Type 1'!$1:$1</definedName>
    <definedName name="_xlnm.Print_Titles" localSheetId="8">'Data - Sample Type 2'!$1:$1</definedName>
    <definedName name="_xlnm.Print_Titles" localSheetId="4">'Data Summary'!$9:$9</definedName>
    <definedName name="_xlnm.Print_Titles" localSheetId="13">'Resample Data Summary'!$9:$9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17" i="33" l="1"/>
  <c r="C210" i="33"/>
  <c r="C215" i="33"/>
  <c r="C216" i="33"/>
  <c r="C218" i="33"/>
  <c r="C219" i="33"/>
  <c r="C220" i="33"/>
  <c r="C221" i="33"/>
  <c r="C222" i="33"/>
  <c r="C223" i="33"/>
  <c r="C224" i="33"/>
  <c r="C225" i="33"/>
  <c r="C226" i="33"/>
  <c r="C227" i="33"/>
  <c r="C228" i="33"/>
  <c r="C229" i="33"/>
  <c r="C230" i="33"/>
  <c r="C231" i="33"/>
  <c r="C232" i="33"/>
  <c r="C233" i="33"/>
  <c r="C234" i="33"/>
  <c r="AV14" i="34" l="1"/>
  <c r="AT14" i="34"/>
  <c r="BJ14" i="34"/>
  <c r="BH14" i="34"/>
  <c r="BR14" i="34"/>
  <c r="BD14" i="34"/>
  <c r="BT14" i="34"/>
  <c r="AV12" i="34"/>
  <c r="AT12" i="34"/>
  <c r="BJ12" i="34"/>
  <c r="BH12" i="34"/>
  <c r="BT12" i="34"/>
  <c r="BR12" i="34"/>
  <c r="BD12" i="34"/>
  <c r="BJ21" i="34"/>
  <c r="BH21" i="34"/>
  <c r="AT21" i="34"/>
  <c r="AV21" i="34"/>
  <c r="BT21" i="34"/>
  <c r="BR21" i="34"/>
  <c r="BD21" i="34"/>
  <c r="AT18" i="34"/>
  <c r="BH18" i="34"/>
  <c r="BJ18" i="34"/>
  <c r="AV18" i="34"/>
  <c r="BD18" i="34"/>
  <c r="BR18" i="34"/>
  <c r="BT18" i="34"/>
  <c r="BH7" i="34"/>
  <c r="AV7" i="34"/>
  <c r="AT7" i="34"/>
  <c r="BJ7" i="34"/>
  <c r="BT7" i="34"/>
  <c r="BD7" i="34"/>
  <c r="BR7" i="34"/>
  <c r="BJ6" i="34"/>
  <c r="BH6" i="34"/>
  <c r="AV6" i="34"/>
  <c r="AT6" i="34"/>
  <c r="BT6" i="34"/>
  <c r="BD6" i="34"/>
  <c r="BR6" i="34"/>
  <c r="BJ3" i="34"/>
  <c r="BH3" i="34"/>
  <c r="AV3" i="34"/>
  <c r="AT3" i="34"/>
  <c r="BD3" i="34"/>
  <c r="BT3" i="34"/>
  <c r="BR3" i="34"/>
  <c r="AT17" i="34"/>
  <c r="AV17" i="34"/>
  <c r="BH17" i="34"/>
  <c r="BJ17" i="34"/>
  <c r="BD17" i="34"/>
  <c r="BT17" i="34"/>
  <c r="BR17" i="34"/>
  <c r="BH9" i="34"/>
  <c r="AT9" i="34"/>
  <c r="AV9" i="34"/>
  <c r="BJ9" i="34"/>
  <c r="BT9" i="34"/>
  <c r="BR9" i="34"/>
  <c r="BD9" i="34"/>
  <c r="BJ22" i="34"/>
  <c r="BH22" i="34"/>
  <c r="AV22" i="34"/>
  <c r="AT22" i="34"/>
  <c r="BT22" i="34"/>
  <c r="BD22" i="34"/>
  <c r="BR22" i="34"/>
  <c r="BJ4" i="34"/>
  <c r="AV4" i="34"/>
  <c r="BH4" i="34"/>
  <c r="AT4" i="34"/>
  <c r="BD4" i="34"/>
  <c r="BR4" i="34"/>
  <c r="BT4" i="34"/>
  <c r="BJ20" i="34"/>
  <c r="BH20" i="34"/>
  <c r="AV20" i="34"/>
  <c r="AT20" i="34"/>
  <c r="BD20" i="34"/>
  <c r="BR20" i="34"/>
  <c r="BT20" i="34"/>
  <c r="BJ19" i="34"/>
  <c r="BH19" i="34"/>
  <c r="AV19" i="34"/>
  <c r="AT19" i="34"/>
  <c r="BD19" i="34"/>
  <c r="BR19" i="34"/>
  <c r="BT19" i="34"/>
  <c r="AT16" i="34"/>
  <c r="BH16" i="34"/>
  <c r="BJ16" i="34"/>
  <c r="AV16" i="34"/>
  <c r="BR16" i="34"/>
  <c r="BD16" i="34"/>
  <c r="BT16" i="34"/>
  <c r="AV13" i="34"/>
  <c r="BJ13" i="34"/>
  <c r="BH13" i="34"/>
  <c r="AT13" i="34"/>
  <c r="BD13" i="34"/>
  <c r="BR13" i="34"/>
  <c r="BT13" i="34"/>
  <c r="AV11" i="34"/>
  <c r="AT11" i="34"/>
  <c r="BJ11" i="34"/>
  <c r="BH11" i="34"/>
  <c r="BT11" i="34"/>
  <c r="BR11" i="34"/>
  <c r="BD11" i="34"/>
  <c r="BH10" i="34"/>
  <c r="AV10" i="34"/>
  <c r="AT10" i="34"/>
  <c r="BJ10" i="34"/>
  <c r="BT10" i="34"/>
  <c r="BR10" i="34"/>
  <c r="BD10" i="34"/>
  <c r="BH8" i="34"/>
  <c r="AT8" i="34"/>
  <c r="AV8" i="34"/>
  <c r="BJ8" i="34"/>
  <c r="BT8" i="34"/>
  <c r="BD8" i="34"/>
  <c r="BR8" i="34"/>
  <c r="AT15" i="34"/>
  <c r="BJ15" i="34"/>
  <c r="BH15" i="34"/>
  <c r="AV15" i="34"/>
  <c r="BR15" i="34"/>
  <c r="BD15" i="34"/>
  <c r="BT15" i="34"/>
  <c r="BJ5" i="34"/>
  <c r="AT5" i="34"/>
  <c r="BH5" i="34"/>
  <c r="AV5" i="34"/>
  <c r="BT5" i="34"/>
  <c r="BR5" i="34"/>
  <c r="BD5" i="34"/>
  <c r="D211" i="20" l="1"/>
  <c r="F213" i="20" s="1"/>
  <c r="D126" i="20"/>
  <c r="F128" i="20" s="1"/>
  <c r="E45" i="21" l="1"/>
  <c r="F32" i="21"/>
  <c r="F31" i="21"/>
  <c r="F30" i="21"/>
  <c r="F29" i="21"/>
  <c r="F28" i="21"/>
  <c r="F27" i="21"/>
  <c r="F26" i="21"/>
  <c r="F25" i="21"/>
  <c r="F24" i="21"/>
  <c r="E32" i="21"/>
  <c r="E31" i="21"/>
  <c r="E30" i="21"/>
  <c r="E29" i="21"/>
  <c r="E27" i="21"/>
  <c r="E26" i="21"/>
  <c r="E25" i="21"/>
  <c r="E24" i="21"/>
  <c r="E47" i="21" l="1"/>
  <c r="E46" i="21"/>
  <c r="I47" i="21"/>
  <c r="I46" i="21"/>
  <c r="B11" i="20" l="1"/>
  <c r="C11" i="20" s="1"/>
  <c r="B25" i="33"/>
  <c r="C25" i="33" s="1"/>
  <c r="C4" i="20"/>
  <c r="B10" i="20"/>
  <c r="C10" i="20" s="1"/>
  <c r="B12" i="20"/>
  <c r="C12" i="20" s="1"/>
  <c r="B13" i="20"/>
  <c r="C13" i="20" s="1"/>
  <c r="B14" i="20"/>
  <c r="C14" i="20" s="1"/>
  <c r="B15" i="20"/>
  <c r="C15" i="20" s="1"/>
  <c r="B16" i="20"/>
  <c r="C16" i="20" s="1"/>
  <c r="B17" i="20"/>
  <c r="C17" i="20" s="1"/>
  <c r="B18" i="20"/>
  <c r="C18" i="20" s="1"/>
  <c r="B19" i="20"/>
  <c r="C19" i="20" s="1"/>
  <c r="B25" i="20"/>
  <c r="C25" i="20" s="1"/>
  <c r="B26" i="20"/>
  <c r="C26" i="20" s="1"/>
  <c r="B27" i="20"/>
  <c r="C27" i="20" s="1"/>
  <c r="B28" i="20"/>
  <c r="C28" i="20" s="1"/>
  <c r="B29" i="20"/>
  <c r="C29" i="20" s="1"/>
  <c r="B30" i="20"/>
  <c r="C30" i="20" s="1"/>
  <c r="B31" i="20"/>
  <c r="C31" i="20" s="1"/>
  <c r="B32" i="20"/>
  <c r="C32" i="20" s="1"/>
  <c r="B33" i="20"/>
  <c r="C33" i="20" s="1"/>
  <c r="B34" i="20"/>
  <c r="C34" i="20" s="1"/>
  <c r="B35" i="20"/>
  <c r="C35" i="20" s="1"/>
  <c r="B36" i="20"/>
  <c r="C36" i="20" s="1"/>
  <c r="B37" i="20"/>
  <c r="C37" i="20" s="1"/>
  <c r="B38" i="20"/>
  <c r="C38" i="20" s="1"/>
  <c r="B39" i="20"/>
  <c r="C39" i="20" s="1"/>
  <c r="B40" i="20"/>
  <c r="C40" i="20" s="1"/>
  <c r="B41" i="20"/>
  <c r="C41" i="20" s="1"/>
  <c r="B42" i="20"/>
  <c r="C42" i="20" s="1"/>
  <c r="B43" i="20"/>
  <c r="C43" i="20" s="1"/>
  <c r="B44" i="20"/>
  <c r="C44" i="20" s="1"/>
  <c r="B45" i="20"/>
  <c r="C45" i="20" s="1"/>
  <c r="B46" i="20"/>
  <c r="C46" i="20" s="1"/>
  <c r="B47" i="20"/>
  <c r="C47" i="20" s="1"/>
  <c r="B48" i="20"/>
  <c r="C48" i="20" s="1"/>
  <c r="B49" i="20"/>
  <c r="C49" i="20" s="1"/>
  <c r="B50" i="20"/>
  <c r="C50" i="20" s="1"/>
  <c r="B51" i="20"/>
  <c r="C51" i="20" s="1"/>
  <c r="B52" i="20"/>
  <c r="C52" i="20" s="1"/>
  <c r="B53" i="20"/>
  <c r="C53" i="20" s="1"/>
  <c r="B54" i="20"/>
  <c r="C54" i="20" s="1"/>
  <c r="B55" i="20"/>
  <c r="C55" i="20" s="1"/>
  <c r="B56" i="20"/>
  <c r="C56" i="20" s="1"/>
  <c r="B57" i="20"/>
  <c r="C57" i="20" s="1"/>
  <c r="B58" i="20"/>
  <c r="C58" i="20" s="1"/>
  <c r="B59" i="20"/>
  <c r="C59" i="20" s="1"/>
  <c r="B60" i="20"/>
  <c r="C60" i="20" s="1"/>
  <c r="B61" i="20"/>
  <c r="C61" i="20" s="1"/>
  <c r="B62" i="20"/>
  <c r="C62" i="20" s="1"/>
  <c r="B63" i="20"/>
  <c r="C63" i="20" s="1"/>
  <c r="B64" i="20"/>
  <c r="C64" i="20" s="1"/>
  <c r="B65" i="20"/>
  <c r="C65" i="20" s="1"/>
  <c r="B66" i="20"/>
  <c r="C66" i="20" s="1"/>
  <c r="B67" i="20"/>
  <c r="C67" i="20" s="1"/>
  <c r="B68" i="20"/>
  <c r="C68" i="20" s="1"/>
  <c r="B69" i="20"/>
  <c r="C69" i="20" s="1"/>
  <c r="B70" i="20"/>
  <c r="C70" i="20" s="1"/>
  <c r="B71" i="20"/>
  <c r="C71" i="20" s="1"/>
  <c r="B72" i="20"/>
  <c r="C72" i="20" s="1"/>
  <c r="B73" i="20"/>
  <c r="C73" i="20" s="1"/>
  <c r="B74" i="20"/>
  <c r="C74" i="20" s="1"/>
  <c r="B75" i="20"/>
  <c r="C75" i="20" s="1"/>
  <c r="B76" i="20"/>
  <c r="C76" i="20" s="1"/>
  <c r="B77" i="20"/>
  <c r="C77" i="20" s="1"/>
  <c r="B78" i="20"/>
  <c r="C78" i="20" s="1"/>
  <c r="B79" i="20"/>
  <c r="C79" i="20" s="1"/>
  <c r="B80" i="20"/>
  <c r="C80" i="20" s="1"/>
  <c r="B81" i="20"/>
  <c r="C81" i="20" s="1"/>
  <c r="B82" i="20"/>
  <c r="C82" i="20" s="1"/>
  <c r="B83" i="20"/>
  <c r="C83" i="20" s="1"/>
  <c r="B84" i="20"/>
  <c r="C84" i="20" s="1"/>
  <c r="B85" i="20"/>
  <c r="C85" i="20" s="1"/>
  <c r="B86" i="20"/>
  <c r="C86" i="20" s="1"/>
  <c r="B87" i="20"/>
  <c r="C87" i="20" s="1"/>
  <c r="B88" i="20"/>
  <c r="C88" i="20" s="1"/>
  <c r="B89" i="20"/>
  <c r="C89" i="20" s="1"/>
  <c r="B90" i="20"/>
  <c r="C90" i="20" s="1"/>
  <c r="B91" i="20"/>
  <c r="C91" i="20" s="1"/>
  <c r="B92" i="20"/>
  <c r="C92" i="20" s="1"/>
  <c r="B93" i="20"/>
  <c r="C93" i="20" s="1"/>
  <c r="B94" i="20"/>
  <c r="C94" i="20" s="1"/>
  <c r="B95" i="20"/>
  <c r="C95" i="20" s="1"/>
  <c r="B96" i="20"/>
  <c r="C96" i="20" s="1"/>
  <c r="B97" i="20"/>
  <c r="C97" i="20" s="1"/>
  <c r="B98" i="20"/>
  <c r="C98" i="20" s="1"/>
  <c r="B99" i="20"/>
  <c r="C99" i="20" s="1"/>
  <c r="B100" i="20"/>
  <c r="C100" i="20" s="1"/>
  <c r="B101" i="20"/>
  <c r="C101" i="20" s="1"/>
  <c r="B102" i="20"/>
  <c r="C102" i="20" s="1"/>
  <c r="B103" i="20"/>
  <c r="C103" i="20" s="1"/>
  <c r="B104" i="20"/>
  <c r="C104" i="20" s="1"/>
  <c r="B105" i="20"/>
  <c r="C105" i="20" s="1"/>
  <c r="B106" i="20"/>
  <c r="C106" i="20" s="1"/>
  <c r="B107" i="20"/>
  <c r="C107" i="20" s="1"/>
  <c r="B108" i="20"/>
  <c r="C108" i="20" s="1"/>
  <c r="B109" i="20"/>
  <c r="C109" i="20" s="1"/>
  <c r="B110" i="20"/>
  <c r="C110" i="20" s="1"/>
  <c r="B111" i="20"/>
  <c r="C111" i="20" s="1"/>
  <c r="B112" i="20"/>
  <c r="C112" i="20" s="1"/>
  <c r="B113" i="20"/>
  <c r="C113" i="20" s="1"/>
  <c r="B114" i="20"/>
  <c r="C114" i="20" s="1"/>
  <c r="B115" i="20"/>
  <c r="C115" i="20" s="1"/>
  <c r="B116" i="20"/>
  <c r="C116" i="20" s="1"/>
  <c r="B117" i="20"/>
  <c r="C117" i="20" s="1"/>
  <c r="B118" i="20"/>
  <c r="C118" i="20" s="1"/>
  <c r="B119" i="20"/>
  <c r="C119" i="20" s="1"/>
  <c r="B120" i="20"/>
  <c r="C120" i="20" s="1"/>
  <c r="B121" i="20"/>
  <c r="C121" i="20" s="1"/>
  <c r="B122" i="20"/>
  <c r="C122" i="20" s="1"/>
  <c r="B123" i="20"/>
  <c r="C123" i="20" s="1"/>
  <c r="B124" i="20"/>
  <c r="C124" i="20" s="1"/>
  <c r="B130" i="20"/>
  <c r="C130" i="20" s="1"/>
  <c r="B131" i="20"/>
  <c r="C131" i="20" s="1"/>
  <c r="B132" i="20"/>
  <c r="C132" i="20" s="1"/>
  <c r="B133" i="20"/>
  <c r="C133" i="20" s="1"/>
  <c r="B134" i="20"/>
  <c r="C134" i="20" s="1"/>
  <c r="B135" i="20"/>
  <c r="C135" i="20" s="1"/>
  <c r="B136" i="20"/>
  <c r="C136" i="20" s="1"/>
  <c r="B137" i="20"/>
  <c r="C137" i="20" s="1"/>
  <c r="B138" i="20"/>
  <c r="C138" i="20" s="1"/>
  <c r="B139" i="20"/>
  <c r="C139" i="20" s="1"/>
  <c r="B140" i="20"/>
  <c r="C140" i="20" s="1"/>
  <c r="B141" i="20"/>
  <c r="C141" i="20" s="1"/>
  <c r="B142" i="20"/>
  <c r="C142" i="20" s="1"/>
  <c r="B143" i="20"/>
  <c r="C143" i="20" s="1"/>
  <c r="B144" i="20"/>
  <c r="C144" i="20" s="1"/>
  <c r="B145" i="20"/>
  <c r="C145" i="20" s="1"/>
  <c r="B146" i="20"/>
  <c r="C146" i="20" s="1"/>
  <c r="B147" i="20"/>
  <c r="C147" i="20" s="1"/>
  <c r="B148" i="20"/>
  <c r="C148" i="20" s="1"/>
  <c r="B149" i="20"/>
  <c r="C149" i="20" s="1"/>
  <c r="B150" i="20"/>
  <c r="C150" i="20" s="1"/>
  <c r="B151" i="20"/>
  <c r="C151" i="20" s="1"/>
  <c r="B152" i="20"/>
  <c r="C152" i="20" s="1"/>
  <c r="B153" i="20"/>
  <c r="C153" i="20" s="1"/>
  <c r="B154" i="20"/>
  <c r="C154" i="20" s="1"/>
  <c r="B155" i="20"/>
  <c r="C155" i="20" s="1"/>
  <c r="B156" i="20"/>
  <c r="C156" i="20" s="1"/>
  <c r="B157" i="20"/>
  <c r="C157" i="20" s="1"/>
  <c r="B158" i="20"/>
  <c r="C158" i="20" s="1"/>
  <c r="B159" i="20"/>
  <c r="C159" i="20" s="1"/>
  <c r="B160" i="20"/>
  <c r="C160" i="20" s="1"/>
  <c r="B161" i="20"/>
  <c r="C161" i="20" s="1"/>
  <c r="B162" i="20"/>
  <c r="C162" i="20" s="1"/>
  <c r="B163" i="20"/>
  <c r="C163" i="20" s="1"/>
  <c r="B164" i="20"/>
  <c r="C164" i="20" s="1"/>
  <c r="B165" i="20"/>
  <c r="C165" i="20" s="1"/>
  <c r="B166" i="20"/>
  <c r="C166" i="20" s="1"/>
  <c r="B167" i="20"/>
  <c r="C167" i="20" s="1"/>
  <c r="B168" i="20"/>
  <c r="C168" i="20" s="1"/>
  <c r="B169" i="20"/>
  <c r="C169" i="20" s="1"/>
  <c r="B170" i="20"/>
  <c r="C170" i="20" s="1"/>
  <c r="B171" i="20"/>
  <c r="C171" i="20" s="1"/>
  <c r="B172" i="20"/>
  <c r="C172" i="20" s="1"/>
  <c r="B173" i="20"/>
  <c r="C173" i="20" s="1"/>
  <c r="B174" i="20"/>
  <c r="C174" i="20" s="1"/>
  <c r="B175" i="20"/>
  <c r="C175" i="20" s="1"/>
  <c r="B176" i="20"/>
  <c r="C176" i="20" s="1"/>
  <c r="B177" i="20"/>
  <c r="C177" i="20" s="1"/>
  <c r="B178" i="20"/>
  <c r="C178" i="20" s="1"/>
  <c r="B179" i="20"/>
  <c r="C179" i="20" s="1"/>
  <c r="B180" i="20"/>
  <c r="C180" i="20" s="1"/>
  <c r="B181" i="20"/>
  <c r="C181" i="20" s="1"/>
  <c r="B182" i="20"/>
  <c r="C182" i="20" s="1"/>
  <c r="B183" i="20"/>
  <c r="C183" i="20" s="1"/>
  <c r="B184" i="20"/>
  <c r="C184" i="20" s="1"/>
  <c r="B185" i="20"/>
  <c r="C185" i="20" s="1"/>
  <c r="B186" i="20"/>
  <c r="C186" i="20" s="1"/>
  <c r="B187" i="20"/>
  <c r="C187" i="20" s="1"/>
  <c r="B188" i="20"/>
  <c r="C188" i="20" s="1"/>
  <c r="B189" i="20"/>
  <c r="C189" i="20" s="1"/>
  <c r="B190" i="20"/>
  <c r="C190" i="20" s="1"/>
  <c r="B191" i="20"/>
  <c r="C191" i="20" s="1"/>
  <c r="B192" i="20"/>
  <c r="C192" i="20" s="1"/>
  <c r="B193" i="20"/>
  <c r="C193" i="20" s="1"/>
  <c r="B194" i="20"/>
  <c r="C194" i="20" s="1"/>
  <c r="B195" i="20"/>
  <c r="C195" i="20" s="1"/>
  <c r="B196" i="20"/>
  <c r="C196" i="20" s="1"/>
  <c r="B197" i="20"/>
  <c r="C197" i="20" s="1"/>
  <c r="B198" i="20"/>
  <c r="C198" i="20" s="1"/>
  <c r="B199" i="20"/>
  <c r="C199" i="20" s="1"/>
  <c r="B200" i="20"/>
  <c r="C200" i="20" s="1"/>
  <c r="B201" i="20"/>
  <c r="C201" i="20" s="1"/>
  <c r="B202" i="20"/>
  <c r="C202" i="20" s="1"/>
  <c r="B203" i="20"/>
  <c r="C203" i="20" s="1"/>
  <c r="B204" i="20"/>
  <c r="C204" i="20" s="1"/>
  <c r="B205" i="20"/>
  <c r="C205" i="20" s="1"/>
  <c r="B206" i="20"/>
  <c r="C206" i="20" s="1"/>
  <c r="B207" i="20"/>
  <c r="C207" i="20" s="1"/>
  <c r="B208" i="20"/>
  <c r="C208" i="20" s="1"/>
  <c r="B209" i="20"/>
  <c r="C209" i="20" s="1"/>
  <c r="B215" i="20"/>
  <c r="C215" i="20" s="1"/>
  <c r="B216" i="20"/>
  <c r="C216" i="20" s="1"/>
  <c r="B217" i="20"/>
  <c r="C217" i="20" s="1"/>
  <c r="B218" i="20"/>
  <c r="C218" i="20" s="1"/>
  <c r="B219" i="20"/>
  <c r="C219" i="20" s="1"/>
  <c r="B220" i="20"/>
  <c r="C220" i="20" s="1"/>
  <c r="B221" i="20"/>
  <c r="C221" i="20" s="1"/>
  <c r="B222" i="20"/>
  <c r="C222" i="20" s="1"/>
  <c r="B223" i="20"/>
  <c r="C223" i="20" s="1"/>
  <c r="B224" i="20"/>
  <c r="C224" i="20" s="1"/>
  <c r="B225" i="20"/>
  <c r="C225" i="20" s="1"/>
  <c r="B226" i="20"/>
  <c r="C226" i="20" s="1"/>
  <c r="B227" i="20"/>
  <c r="C227" i="20" s="1"/>
  <c r="B228" i="20"/>
  <c r="C228" i="20" s="1"/>
  <c r="B229" i="20"/>
  <c r="C229" i="20" s="1"/>
  <c r="B230" i="20"/>
  <c r="C230" i="20" s="1"/>
  <c r="B231" i="20"/>
  <c r="C231" i="20" s="1"/>
  <c r="B232" i="20"/>
  <c r="C232" i="20" s="1"/>
  <c r="B233" i="20"/>
  <c r="C233" i="20" s="1"/>
  <c r="B234" i="20"/>
  <c r="C234" i="20" s="1"/>
  <c r="B225" i="33"/>
  <c r="B226" i="33"/>
  <c r="B227" i="33"/>
  <c r="B228" i="33"/>
  <c r="B229" i="33"/>
  <c r="B230" i="33"/>
  <c r="B231" i="33"/>
  <c r="B232" i="33"/>
  <c r="B233" i="33"/>
  <c r="B234" i="33"/>
  <c r="B215" i="33"/>
  <c r="B216" i="33"/>
  <c r="B217" i="33"/>
  <c r="B218" i="33"/>
  <c r="B219" i="33"/>
  <c r="B220" i="33"/>
  <c r="B221" i="33"/>
  <c r="B222" i="33"/>
  <c r="B223" i="33"/>
  <c r="B224" i="33"/>
  <c r="B130" i="33"/>
  <c r="C130" i="33" s="1"/>
  <c r="B202" i="33"/>
  <c r="C202" i="33" s="1"/>
  <c r="B203" i="33"/>
  <c r="C203" i="33" s="1"/>
  <c r="B204" i="33"/>
  <c r="C204" i="33" s="1"/>
  <c r="B205" i="33"/>
  <c r="C205" i="33" s="1"/>
  <c r="B206" i="33"/>
  <c r="C206" i="33" s="1"/>
  <c r="B207" i="33"/>
  <c r="C207" i="33" s="1"/>
  <c r="B208" i="33"/>
  <c r="C208" i="33" s="1"/>
  <c r="B209" i="33"/>
  <c r="C209" i="33" s="1"/>
  <c r="B194" i="33"/>
  <c r="C194" i="33" s="1"/>
  <c r="B195" i="33"/>
  <c r="C195" i="33" s="1"/>
  <c r="B196" i="33"/>
  <c r="C196" i="33" s="1"/>
  <c r="B197" i="33"/>
  <c r="C197" i="33" s="1"/>
  <c r="B198" i="33"/>
  <c r="C198" i="33" s="1"/>
  <c r="B199" i="33"/>
  <c r="C199" i="33" s="1"/>
  <c r="B200" i="33"/>
  <c r="C200" i="33" s="1"/>
  <c r="B201" i="33"/>
  <c r="C201" i="33" s="1"/>
  <c r="B186" i="33"/>
  <c r="C186" i="33" s="1"/>
  <c r="B187" i="33"/>
  <c r="C187" i="33" s="1"/>
  <c r="B188" i="33"/>
  <c r="C188" i="33" s="1"/>
  <c r="B189" i="33"/>
  <c r="C189" i="33" s="1"/>
  <c r="B190" i="33"/>
  <c r="C190" i="33" s="1"/>
  <c r="B191" i="33"/>
  <c r="C191" i="33" s="1"/>
  <c r="B192" i="33"/>
  <c r="C192" i="33" s="1"/>
  <c r="B193" i="33"/>
  <c r="C193" i="33" s="1"/>
  <c r="B178" i="33"/>
  <c r="C178" i="33" s="1"/>
  <c r="B179" i="33"/>
  <c r="C179" i="33" s="1"/>
  <c r="B180" i="33"/>
  <c r="C180" i="33" s="1"/>
  <c r="B181" i="33"/>
  <c r="C181" i="33" s="1"/>
  <c r="B182" i="33"/>
  <c r="C182" i="33" s="1"/>
  <c r="B183" i="33"/>
  <c r="C183" i="33" s="1"/>
  <c r="B184" i="33"/>
  <c r="C184" i="33" s="1"/>
  <c r="B185" i="33"/>
  <c r="C185" i="33" s="1"/>
  <c r="B170" i="33"/>
  <c r="C170" i="33" s="1"/>
  <c r="B171" i="33"/>
  <c r="C171" i="33" s="1"/>
  <c r="B172" i="33"/>
  <c r="C172" i="33" s="1"/>
  <c r="B173" i="33"/>
  <c r="C173" i="33" s="1"/>
  <c r="B174" i="33"/>
  <c r="C174" i="33" s="1"/>
  <c r="B175" i="33"/>
  <c r="C175" i="33" s="1"/>
  <c r="B176" i="33"/>
  <c r="C176" i="33" s="1"/>
  <c r="B177" i="33"/>
  <c r="C177" i="33" s="1"/>
  <c r="B162" i="33"/>
  <c r="C162" i="33" s="1"/>
  <c r="B163" i="33"/>
  <c r="C163" i="33" s="1"/>
  <c r="B164" i="33"/>
  <c r="C164" i="33" s="1"/>
  <c r="B165" i="33"/>
  <c r="C165" i="33" s="1"/>
  <c r="B166" i="33"/>
  <c r="C166" i="33" s="1"/>
  <c r="B167" i="33"/>
  <c r="C167" i="33" s="1"/>
  <c r="B168" i="33"/>
  <c r="C168" i="33" s="1"/>
  <c r="B169" i="33"/>
  <c r="C169" i="33" s="1"/>
  <c r="B154" i="33"/>
  <c r="C154" i="33" s="1"/>
  <c r="B155" i="33"/>
  <c r="C155" i="33" s="1"/>
  <c r="B156" i="33"/>
  <c r="C156" i="33" s="1"/>
  <c r="B157" i="33"/>
  <c r="C157" i="33" s="1"/>
  <c r="B158" i="33"/>
  <c r="C158" i="33" s="1"/>
  <c r="B159" i="33"/>
  <c r="C159" i="33" s="1"/>
  <c r="B160" i="33"/>
  <c r="C160" i="33" s="1"/>
  <c r="B161" i="33"/>
  <c r="C161" i="33" s="1"/>
  <c r="B146" i="33"/>
  <c r="C146" i="33" s="1"/>
  <c r="B147" i="33"/>
  <c r="C147" i="33" s="1"/>
  <c r="B148" i="33"/>
  <c r="C148" i="33" s="1"/>
  <c r="B149" i="33"/>
  <c r="C149" i="33" s="1"/>
  <c r="B150" i="33"/>
  <c r="C150" i="33" s="1"/>
  <c r="B151" i="33"/>
  <c r="C151" i="33" s="1"/>
  <c r="B152" i="33"/>
  <c r="C152" i="33" s="1"/>
  <c r="B153" i="33"/>
  <c r="C153" i="33" s="1"/>
  <c r="B138" i="33"/>
  <c r="C138" i="33" s="1"/>
  <c r="B139" i="33"/>
  <c r="C139" i="33" s="1"/>
  <c r="B140" i="33"/>
  <c r="C140" i="33" s="1"/>
  <c r="B141" i="33"/>
  <c r="C141" i="33" s="1"/>
  <c r="B142" i="33"/>
  <c r="C142" i="33" s="1"/>
  <c r="B143" i="33"/>
  <c r="C143" i="33" s="1"/>
  <c r="B144" i="33"/>
  <c r="C144" i="33" s="1"/>
  <c r="B145" i="33"/>
  <c r="C145" i="33" s="1"/>
  <c r="B131" i="33"/>
  <c r="C131" i="33" s="1"/>
  <c r="B132" i="33"/>
  <c r="C132" i="33" s="1"/>
  <c r="B133" i="33"/>
  <c r="C133" i="33" s="1"/>
  <c r="B134" i="33"/>
  <c r="C134" i="33" s="1"/>
  <c r="B135" i="33"/>
  <c r="C135" i="33" s="1"/>
  <c r="B136" i="33"/>
  <c r="C136" i="33" s="1"/>
  <c r="B137" i="33"/>
  <c r="C137" i="33" s="1"/>
  <c r="B124" i="33"/>
  <c r="C124" i="33" s="1"/>
  <c r="B123" i="33"/>
  <c r="C123" i="33" s="1"/>
  <c r="B122" i="33"/>
  <c r="C122" i="33" s="1"/>
  <c r="B121" i="33"/>
  <c r="C121" i="33" s="1"/>
  <c r="B120" i="33"/>
  <c r="C120" i="33" s="1"/>
  <c r="B119" i="33"/>
  <c r="C119" i="33" s="1"/>
  <c r="B118" i="33"/>
  <c r="C118" i="33" s="1"/>
  <c r="B117" i="33"/>
  <c r="C117" i="33" s="1"/>
  <c r="B116" i="33"/>
  <c r="C116" i="33" s="1"/>
  <c r="B115" i="33"/>
  <c r="C115" i="33" s="1"/>
  <c r="B114" i="33"/>
  <c r="C114" i="33" s="1"/>
  <c r="B113" i="33"/>
  <c r="C113" i="33" s="1"/>
  <c r="B112" i="33"/>
  <c r="C112" i="33" s="1"/>
  <c r="B111" i="33"/>
  <c r="C111" i="33" s="1"/>
  <c r="B110" i="33"/>
  <c r="C110" i="33" s="1"/>
  <c r="B109" i="33"/>
  <c r="C109" i="33" s="1"/>
  <c r="B108" i="33"/>
  <c r="C108" i="33" s="1"/>
  <c r="B107" i="33"/>
  <c r="C107" i="33" s="1"/>
  <c r="B106" i="33"/>
  <c r="C106" i="33" s="1"/>
  <c r="B105" i="33"/>
  <c r="C105" i="33" s="1"/>
  <c r="B104" i="33"/>
  <c r="C104" i="33" s="1"/>
  <c r="B103" i="33"/>
  <c r="C103" i="33" s="1"/>
  <c r="B102" i="33"/>
  <c r="C102" i="33" s="1"/>
  <c r="B101" i="33"/>
  <c r="C101" i="33" s="1"/>
  <c r="B100" i="33"/>
  <c r="C100" i="33" s="1"/>
  <c r="B99" i="33"/>
  <c r="C99" i="33" s="1"/>
  <c r="B98" i="33"/>
  <c r="C98" i="33" s="1"/>
  <c r="B97" i="33"/>
  <c r="C97" i="33" s="1"/>
  <c r="B96" i="33"/>
  <c r="C96" i="33" s="1"/>
  <c r="B95" i="33"/>
  <c r="C95" i="33" s="1"/>
  <c r="B94" i="33"/>
  <c r="C94" i="33" s="1"/>
  <c r="B93" i="33"/>
  <c r="C93" i="33" s="1"/>
  <c r="B92" i="33"/>
  <c r="C92" i="33" s="1"/>
  <c r="B91" i="33"/>
  <c r="C91" i="33" s="1"/>
  <c r="B90" i="33"/>
  <c r="C90" i="33" s="1"/>
  <c r="B89" i="33"/>
  <c r="C89" i="33" s="1"/>
  <c r="B88" i="33"/>
  <c r="C88" i="33" s="1"/>
  <c r="B87" i="33"/>
  <c r="C87" i="33" s="1"/>
  <c r="B86" i="33"/>
  <c r="C86" i="33" s="1"/>
  <c r="B85" i="33"/>
  <c r="C85" i="33" s="1"/>
  <c r="B84" i="33"/>
  <c r="C84" i="33" s="1"/>
  <c r="B83" i="33"/>
  <c r="C83" i="33" s="1"/>
  <c r="B82" i="33"/>
  <c r="C82" i="33" s="1"/>
  <c r="B81" i="33"/>
  <c r="C81" i="33" s="1"/>
  <c r="B80" i="33"/>
  <c r="C80" i="33" s="1"/>
  <c r="B79" i="33"/>
  <c r="C79" i="33" s="1"/>
  <c r="B78" i="33"/>
  <c r="C78" i="33" s="1"/>
  <c r="B77" i="33"/>
  <c r="C77" i="33" s="1"/>
  <c r="B76" i="33"/>
  <c r="C76" i="33" s="1"/>
  <c r="B75" i="33"/>
  <c r="C75" i="33" s="1"/>
  <c r="B74" i="33"/>
  <c r="C74" i="33" s="1"/>
  <c r="B73" i="33"/>
  <c r="C73" i="33" s="1"/>
  <c r="B72" i="33"/>
  <c r="C72" i="33" s="1"/>
  <c r="B71" i="33"/>
  <c r="C71" i="33" s="1"/>
  <c r="B70" i="33"/>
  <c r="C70" i="33" s="1"/>
  <c r="B69" i="33"/>
  <c r="C69" i="33" s="1"/>
  <c r="B68" i="33"/>
  <c r="C68" i="33" s="1"/>
  <c r="B67" i="33"/>
  <c r="C67" i="33" s="1"/>
  <c r="B66" i="33"/>
  <c r="C66" i="33" s="1"/>
  <c r="B65" i="33"/>
  <c r="C65" i="33" s="1"/>
  <c r="B64" i="33"/>
  <c r="C64" i="33" s="1"/>
  <c r="B63" i="33"/>
  <c r="C63" i="33" s="1"/>
  <c r="B62" i="33"/>
  <c r="C62" i="33" s="1"/>
  <c r="B61" i="33"/>
  <c r="C61" i="33" s="1"/>
  <c r="B60" i="33"/>
  <c r="C60" i="33" s="1"/>
  <c r="B59" i="33"/>
  <c r="C59" i="33" s="1"/>
  <c r="B58" i="33"/>
  <c r="C58" i="33" s="1"/>
  <c r="B57" i="33"/>
  <c r="C57" i="33" s="1"/>
  <c r="B56" i="33"/>
  <c r="C56" i="33" s="1"/>
  <c r="B55" i="33"/>
  <c r="C55" i="33" s="1"/>
  <c r="B54" i="33"/>
  <c r="C54" i="33" s="1"/>
  <c r="B53" i="33"/>
  <c r="C53" i="33" s="1"/>
  <c r="B52" i="33"/>
  <c r="C52" i="33" s="1"/>
  <c r="B51" i="33"/>
  <c r="C51" i="33" s="1"/>
  <c r="B50" i="33"/>
  <c r="C50" i="33" s="1"/>
  <c r="B49" i="33"/>
  <c r="C49" i="33" s="1"/>
  <c r="B48" i="33"/>
  <c r="C48" i="33" s="1"/>
  <c r="B47" i="33"/>
  <c r="C47" i="33" s="1"/>
  <c r="B46" i="33"/>
  <c r="C46" i="33" s="1"/>
  <c r="B45" i="33"/>
  <c r="C45" i="33" s="1"/>
  <c r="B44" i="33"/>
  <c r="C44" i="33" s="1"/>
  <c r="B43" i="33"/>
  <c r="C43" i="33" s="1"/>
  <c r="B42" i="33"/>
  <c r="C42" i="33" s="1"/>
  <c r="B41" i="33"/>
  <c r="C41" i="33" s="1"/>
  <c r="B40" i="33"/>
  <c r="C40" i="33" s="1"/>
  <c r="B39" i="33"/>
  <c r="C39" i="33" s="1"/>
  <c r="B38" i="33"/>
  <c r="C38" i="33" s="1"/>
  <c r="B37" i="33"/>
  <c r="C37" i="33" s="1"/>
  <c r="B36" i="33"/>
  <c r="C36" i="33" s="1"/>
  <c r="B35" i="33"/>
  <c r="C35" i="33" s="1"/>
  <c r="B34" i="33"/>
  <c r="C34" i="33" s="1"/>
  <c r="B33" i="33"/>
  <c r="C33" i="33" s="1"/>
  <c r="B32" i="33"/>
  <c r="C32" i="33" s="1"/>
  <c r="B31" i="33"/>
  <c r="C31" i="33" s="1"/>
  <c r="B30" i="33"/>
  <c r="C30" i="33" s="1"/>
  <c r="B29" i="33"/>
  <c r="C29" i="33" s="1"/>
  <c r="B28" i="33"/>
  <c r="C28" i="33" s="1"/>
  <c r="B27" i="33"/>
  <c r="C27" i="33" s="1"/>
  <c r="B26" i="33"/>
  <c r="C26" i="33" s="1"/>
  <c r="C239" i="33"/>
  <c r="C240" i="33"/>
  <c r="D240" i="33" s="1"/>
  <c r="C241" i="33"/>
  <c r="D241" i="33" s="1"/>
  <c r="C242" i="33"/>
  <c r="C243" i="33"/>
  <c r="C244" i="33"/>
  <c r="D244" i="33" s="1"/>
  <c r="C245" i="33"/>
  <c r="D245" i="33" s="1"/>
  <c r="C246" i="33"/>
  <c r="C247" i="33"/>
  <c r="C248" i="33"/>
  <c r="D248" i="33" s="1"/>
  <c r="C249" i="33"/>
  <c r="D249" i="33" s="1"/>
  <c r="C250" i="33"/>
  <c r="C251" i="33"/>
  <c r="C252" i="33"/>
  <c r="D252" i="33" s="1"/>
  <c r="C253" i="33"/>
  <c r="D253" i="33" s="1"/>
  <c r="C254" i="33"/>
  <c r="C255" i="33"/>
  <c r="D255" i="33" s="1"/>
  <c r="C256" i="33"/>
  <c r="D256" i="33" s="1"/>
  <c r="C257" i="33"/>
  <c r="D257" i="33" s="1"/>
  <c r="C258" i="33"/>
  <c r="C259" i="33"/>
  <c r="C260" i="33"/>
  <c r="C261" i="33"/>
  <c r="D261" i="33" s="1"/>
  <c r="C262" i="33"/>
  <c r="C263" i="33"/>
  <c r="C264" i="33"/>
  <c r="D264" i="33" s="1"/>
  <c r="C265" i="33"/>
  <c r="D265" i="33" s="1"/>
  <c r="C266" i="33"/>
  <c r="D266" i="33" s="1"/>
  <c r="C267" i="33"/>
  <c r="D267" i="33" s="1"/>
  <c r="C268" i="33"/>
  <c r="D268" i="33" s="1"/>
  <c r="C269" i="33"/>
  <c r="D269" i="33" s="1"/>
  <c r="C270" i="33"/>
  <c r="C271" i="33"/>
  <c r="D271" i="33" s="1"/>
  <c r="C272" i="33"/>
  <c r="D272" i="33" s="1"/>
  <c r="C273" i="33"/>
  <c r="D273" i="33" s="1"/>
  <c r="C274" i="33"/>
  <c r="C275" i="33"/>
  <c r="C276" i="33"/>
  <c r="C277" i="33"/>
  <c r="D277" i="33" s="1"/>
  <c r="C278" i="33"/>
  <c r="D278" i="33" s="1"/>
  <c r="C279" i="33"/>
  <c r="C280" i="33"/>
  <c r="D280" i="33" s="1"/>
  <c r="C281" i="33"/>
  <c r="D281" i="33" s="1"/>
  <c r="C282" i="33"/>
  <c r="C283" i="33"/>
  <c r="D283" i="33" s="1"/>
  <c r="C284" i="33"/>
  <c r="D284" i="33" s="1"/>
  <c r="C285" i="33"/>
  <c r="D285" i="33" s="1"/>
  <c r="C286" i="33"/>
  <c r="C287" i="33"/>
  <c r="C288" i="33"/>
  <c r="D288" i="33" s="1"/>
  <c r="C289" i="33"/>
  <c r="D289" i="33" s="1"/>
  <c r="C290" i="33"/>
  <c r="D290" i="33" s="1"/>
  <c r="C291" i="33"/>
  <c r="C292" i="33"/>
  <c r="C293" i="33"/>
  <c r="D293" i="33" s="1"/>
  <c r="C294" i="33"/>
  <c r="C295" i="33"/>
  <c r="D295" i="33" s="1"/>
  <c r="C296" i="33"/>
  <c r="D296" i="33" s="1"/>
  <c r="C297" i="33"/>
  <c r="D297" i="33" s="1"/>
  <c r="C298" i="33"/>
  <c r="D298" i="33" s="1"/>
  <c r="C299" i="33"/>
  <c r="C300" i="33"/>
  <c r="D300" i="33" s="1"/>
  <c r="C301" i="33"/>
  <c r="D301" i="33" s="1"/>
  <c r="C302" i="33"/>
  <c r="C303" i="33"/>
  <c r="C304" i="33"/>
  <c r="D304" i="33" s="1"/>
  <c r="C305" i="33"/>
  <c r="D305" i="33" s="1"/>
  <c r="C306" i="33"/>
  <c r="C307" i="33"/>
  <c r="D307" i="33" s="1"/>
  <c r="C308" i="33"/>
  <c r="D308" i="33" s="1"/>
  <c r="C309" i="33"/>
  <c r="D309" i="33" s="1"/>
  <c r="C310" i="33"/>
  <c r="D310" i="33" s="1"/>
  <c r="C311" i="33"/>
  <c r="C312" i="33"/>
  <c r="D312" i="33" s="1"/>
  <c r="C313" i="33"/>
  <c r="D313" i="33" s="1"/>
  <c r="C314" i="33"/>
  <c r="C315" i="33"/>
  <c r="C316" i="33"/>
  <c r="D316" i="33" s="1"/>
  <c r="C317" i="33"/>
  <c r="D317" i="33" s="1"/>
  <c r="C318" i="33"/>
  <c r="C319" i="33"/>
  <c r="D319" i="33" s="1"/>
  <c r="C320" i="33"/>
  <c r="D320" i="33" s="1"/>
  <c r="C321" i="33"/>
  <c r="D321" i="33" s="1"/>
  <c r="C322" i="33"/>
  <c r="D322" i="33" s="1"/>
  <c r="C323" i="33"/>
  <c r="C324" i="33"/>
  <c r="C325" i="33"/>
  <c r="D325" i="33" s="1"/>
  <c r="C326" i="33"/>
  <c r="C327" i="33"/>
  <c r="C328" i="33"/>
  <c r="D328" i="33" s="1"/>
  <c r="C329" i="33"/>
  <c r="D329" i="33" s="1"/>
  <c r="C330" i="33"/>
  <c r="C331" i="33"/>
  <c r="D331" i="33" s="1"/>
  <c r="C332" i="33"/>
  <c r="D332" i="33" s="1"/>
  <c r="C333" i="33"/>
  <c r="D333" i="33" s="1"/>
  <c r="C334" i="33"/>
  <c r="C335" i="33"/>
  <c r="C336" i="33"/>
  <c r="D336" i="33" s="1"/>
  <c r="C337" i="33"/>
  <c r="D337" i="33" s="1"/>
  <c r="C238" i="33"/>
  <c r="D210" i="33"/>
  <c r="C239" i="20"/>
  <c r="D239" i="20" s="1"/>
  <c r="C240" i="20"/>
  <c r="D240" i="20" s="1"/>
  <c r="C241" i="20"/>
  <c r="C242" i="20"/>
  <c r="C243" i="20"/>
  <c r="D243" i="20" s="1"/>
  <c r="C244" i="20"/>
  <c r="D244" i="20" s="1"/>
  <c r="C245" i="20"/>
  <c r="C246" i="20"/>
  <c r="C247" i="20"/>
  <c r="D247" i="20" s="1"/>
  <c r="C248" i="20"/>
  <c r="D248" i="20" s="1"/>
  <c r="C249" i="20"/>
  <c r="C250" i="20"/>
  <c r="D250" i="20" s="1"/>
  <c r="C251" i="20"/>
  <c r="D251" i="20" s="1"/>
  <c r="C252" i="20"/>
  <c r="D252" i="20" s="1"/>
  <c r="C253" i="20"/>
  <c r="C254" i="20"/>
  <c r="C255" i="20"/>
  <c r="C256" i="20"/>
  <c r="D256" i="20" s="1"/>
  <c r="C257" i="20"/>
  <c r="C258" i="20"/>
  <c r="C259" i="20"/>
  <c r="D259" i="20" s="1"/>
  <c r="C260" i="20"/>
  <c r="D260" i="20" s="1"/>
  <c r="C261" i="20"/>
  <c r="D261" i="20" s="1"/>
  <c r="C262" i="20"/>
  <c r="D262" i="20" s="1"/>
  <c r="C263" i="20"/>
  <c r="D263" i="20" s="1"/>
  <c r="C264" i="20"/>
  <c r="D264" i="20" s="1"/>
  <c r="C265" i="20"/>
  <c r="C266" i="20"/>
  <c r="D266" i="20" s="1"/>
  <c r="C267" i="20"/>
  <c r="D267" i="20" s="1"/>
  <c r="C268" i="20"/>
  <c r="D268" i="20" s="1"/>
  <c r="C269" i="20"/>
  <c r="C270" i="20"/>
  <c r="C271" i="20"/>
  <c r="C272" i="20"/>
  <c r="D272" i="20" s="1"/>
  <c r="C273" i="20"/>
  <c r="D273" i="20" s="1"/>
  <c r="C274" i="20"/>
  <c r="C275" i="20"/>
  <c r="D275" i="20" s="1"/>
  <c r="C276" i="20"/>
  <c r="D276" i="20" s="1"/>
  <c r="C277" i="20"/>
  <c r="C278" i="20"/>
  <c r="D278" i="20" s="1"/>
  <c r="C279" i="20"/>
  <c r="D279" i="20" s="1"/>
  <c r="C280" i="20"/>
  <c r="D280" i="20" s="1"/>
  <c r="C281" i="20"/>
  <c r="C282" i="20"/>
  <c r="C283" i="20"/>
  <c r="D283" i="20" s="1"/>
  <c r="C284" i="20"/>
  <c r="D284" i="20" s="1"/>
  <c r="C285" i="20"/>
  <c r="D285" i="20" s="1"/>
  <c r="C286" i="20"/>
  <c r="C287" i="20"/>
  <c r="C288" i="20"/>
  <c r="D288" i="20" s="1"/>
  <c r="C289" i="20"/>
  <c r="C290" i="20"/>
  <c r="D290" i="20" s="1"/>
  <c r="C291" i="20"/>
  <c r="D291" i="20" s="1"/>
  <c r="C292" i="20"/>
  <c r="D292" i="20" s="1"/>
  <c r="C293" i="20"/>
  <c r="D293" i="20" s="1"/>
  <c r="C294" i="20"/>
  <c r="C295" i="20"/>
  <c r="D295" i="20" s="1"/>
  <c r="C296" i="20"/>
  <c r="D296" i="20" s="1"/>
  <c r="C297" i="20"/>
  <c r="C298" i="20"/>
  <c r="C299" i="20"/>
  <c r="D299" i="20" s="1"/>
  <c r="C300" i="20"/>
  <c r="D300" i="20" s="1"/>
  <c r="C301" i="20"/>
  <c r="C302" i="20"/>
  <c r="D302" i="20" s="1"/>
  <c r="C303" i="20"/>
  <c r="D303" i="20" s="1"/>
  <c r="C304" i="20"/>
  <c r="D304" i="20" s="1"/>
  <c r="C305" i="20"/>
  <c r="D305" i="20" s="1"/>
  <c r="C306" i="20"/>
  <c r="C307" i="20"/>
  <c r="D307" i="20" s="1"/>
  <c r="C308" i="20"/>
  <c r="D308" i="20" s="1"/>
  <c r="C309" i="20"/>
  <c r="C310" i="20"/>
  <c r="C311" i="20"/>
  <c r="D311" i="20" s="1"/>
  <c r="C312" i="20"/>
  <c r="D312" i="20" s="1"/>
  <c r="C313" i="20"/>
  <c r="C314" i="20"/>
  <c r="D314" i="20" s="1"/>
  <c r="C315" i="20"/>
  <c r="D315" i="20" s="1"/>
  <c r="C316" i="20"/>
  <c r="D316" i="20" s="1"/>
  <c r="C317" i="20"/>
  <c r="D317" i="20" s="1"/>
  <c r="C318" i="20"/>
  <c r="C319" i="20"/>
  <c r="C320" i="20"/>
  <c r="D320" i="20" s="1"/>
  <c r="C321" i="20"/>
  <c r="C322" i="20"/>
  <c r="C323" i="20"/>
  <c r="D323" i="20" s="1"/>
  <c r="C324" i="20"/>
  <c r="D324" i="20" s="1"/>
  <c r="C325" i="20"/>
  <c r="C326" i="20"/>
  <c r="D326" i="20" s="1"/>
  <c r="C327" i="20"/>
  <c r="D327" i="20" s="1"/>
  <c r="C328" i="20"/>
  <c r="D328" i="20" s="1"/>
  <c r="C329" i="20"/>
  <c r="C330" i="20"/>
  <c r="C331" i="20"/>
  <c r="D331" i="20" s="1"/>
  <c r="C332" i="20"/>
  <c r="D332" i="20" s="1"/>
  <c r="C333" i="20"/>
  <c r="C334" i="20"/>
  <c r="C335" i="20"/>
  <c r="D335" i="20" s="1"/>
  <c r="C336" i="20"/>
  <c r="D336" i="20" s="1"/>
  <c r="C337" i="20"/>
  <c r="C238" i="20"/>
  <c r="D239" i="33"/>
  <c r="D242" i="33"/>
  <c r="D243" i="33"/>
  <c r="D246" i="33"/>
  <c r="D247" i="33"/>
  <c r="D250" i="33"/>
  <c r="D251" i="33"/>
  <c r="D254" i="33"/>
  <c r="D258" i="33"/>
  <c r="D259" i="33"/>
  <c r="D260" i="33"/>
  <c r="D262" i="33"/>
  <c r="D263" i="33"/>
  <c r="D270" i="33"/>
  <c r="D274" i="33"/>
  <c r="D275" i="33"/>
  <c r="D276" i="33"/>
  <c r="D279" i="33"/>
  <c r="D282" i="33"/>
  <c r="D286" i="33"/>
  <c r="D287" i="33"/>
  <c r="D291" i="33"/>
  <c r="D292" i="33"/>
  <c r="D294" i="33"/>
  <c r="D299" i="33"/>
  <c r="D302" i="33"/>
  <c r="D303" i="33"/>
  <c r="D306" i="33"/>
  <c r="D311" i="33"/>
  <c r="D314" i="33"/>
  <c r="D315" i="33"/>
  <c r="D318" i="33"/>
  <c r="D323" i="33"/>
  <c r="D324" i="33"/>
  <c r="D326" i="33"/>
  <c r="D327" i="33"/>
  <c r="D330" i="33"/>
  <c r="D334" i="33"/>
  <c r="D335" i="33"/>
  <c r="D238" i="33"/>
  <c r="D125" i="33"/>
  <c r="D241" i="20"/>
  <c r="D242" i="20"/>
  <c r="D245" i="20"/>
  <c r="D246" i="20"/>
  <c r="D249" i="20"/>
  <c r="D253" i="20"/>
  <c r="D254" i="20"/>
  <c r="D255" i="20"/>
  <c r="D257" i="20"/>
  <c r="D258" i="20"/>
  <c r="D265" i="20"/>
  <c r="D269" i="20"/>
  <c r="D270" i="20"/>
  <c r="D271" i="20"/>
  <c r="D274" i="20"/>
  <c r="D277" i="20"/>
  <c r="D281" i="20"/>
  <c r="D282" i="20"/>
  <c r="D286" i="20"/>
  <c r="D287" i="20"/>
  <c r="D289" i="20"/>
  <c r="D294" i="20"/>
  <c r="D297" i="20"/>
  <c r="D298" i="20"/>
  <c r="D301" i="20"/>
  <c r="D306" i="20"/>
  <c r="D309" i="20"/>
  <c r="D310" i="20"/>
  <c r="D313" i="20"/>
  <c r="D318" i="20"/>
  <c r="D319" i="20"/>
  <c r="D321" i="20"/>
  <c r="D322" i="20"/>
  <c r="D325" i="20"/>
  <c r="D329" i="20"/>
  <c r="D330" i="20"/>
  <c r="D333" i="20"/>
  <c r="D334" i="20"/>
  <c r="D337" i="20"/>
  <c r="D238" i="20"/>
  <c r="D236" i="33"/>
  <c r="D251" i="38"/>
  <c r="D250" i="38"/>
  <c r="D249" i="38"/>
  <c r="D248" i="38"/>
  <c r="D247" i="38"/>
  <c r="D246" i="38"/>
  <c r="D245" i="38"/>
  <c r="D244" i="38"/>
  <c r="D243" i="38"/>
  <c r="D242" i="38"/>
  <c r="D241" i="38"/>
  <c r="D240" i="38"/>
  <c r="D239" i="38"/>
  <c r="D238" i="38"/>
  <c r="D237" i="38"/>
  <c r="D236" i="38"/>
  <c r="D235" i="38"/>
  <c r="D234" i="38"/>
  <c r="D233" i="38"/>
  <c r="D232" i="38"/>
  <c r="D231" i="38"/>
  <c r="D230" i="38"/>
  <c r="D229" i="38"/>
  <c r="D228" i="38"/>
  <c r="D227" i="38"/>
  <c r="D226" i="38"/>
  <c r="D225" i="38"/>
  <c r="D224" i="38"/>
  <c r="D223" i="38"/>
  <c r="D222" i="38"/>
  <c r="D221" i="38"/>
  <c r="D220" i="38"/>
  <c r="D219" i="38"/>
  <c r="D218" i="38"/>
  <c r="D217" i="38"/>
  <c r="D216" i="38"/>
  <c r="D215" i="38"/>
  <c r="D214" i="38"/>
  <c r="D213" i="38"/>
  <c r="D212" i="38"/>
  <c r="D211" i="38"/>
  <c r="D210" i="38"/>
  <c r="D209" i="38"/>
  <c r="D208" i="38"/>
  <c r="D207" i="38"/>
  <c r="D206" i="38"/>
  <c r="D205" i="38"/>
  <c r="D204" i="38"/>
  <c r="D203" i="38"/>
  <c r="D202" i="38"/>
  <c r="D201" i="38"/>
  <c r="D200" i="38"/>
  <c r="D199" i="38"/>
  <c r="D198" i="38"/>
  <c r="D197" i="38"/>
  <c r="D196" i="38"/>
  <c r="D195" i="38"/>
  <c r="D194" i="38"/>
  <c r="D193" i="38"/>
  <c r="D192" i="38"/>
  <c r="D191" i="38"/>
  <c r="D190" i="38"/>
  <c r="D189" i="38"/>
  <c r="D188" i="38"/>
  <c r="D187" i="38"/>
  <c r="D186" i="38"/>
  <c r="D185" i="38"/>
  <c r="D184" i="38"/>
  <c r="D183" i="38"/>
  <c r="D182" i="38"/>
  <c r="D181" i="38"/>
  <c r="D180" i="38"/>
  <c r="D179" i="38"/>
  <c r="D178" i="38"/>
  <c r="D177" i="38"/>
  <c r="D176" i="38"/>
  <c r="D175" i="38"/>
  <c r="D174" i="38"/>
  <c r="D173" i="38"/>
  <c r="D172" i="38"/>
  <c r="D171" i="38"/>
  <c r="D170" i="38"/>
  <c r="D169" i="38"/>
  <c r="D168" i="38"/>
  <c r="D167" i="38"/>
  <c r="D166" i="38"/>
  <c r="D165" i="38"/>
  <c r="D164" i="38"/>
  <c r="D163" i="38"/>
  <c r="D162" i="38"/>
  <c r="D161" i="38"/>
  <c r="D160" i="38"/>
  <c r="D159" i="38"/>
  <c r="D158" i="38"/>
  <c r="D157" i="38"/>
  <c r="D156" i="38"/>
  <c r="D155" i="38"/>
  <c r="D154" i="38"/>
  <c r="D153" i="38"/>
  <c r="D152" i="38"/>
  <c r="D151" i="38"/>
  <c r="D150" i="38"/>
  <c r="D149" i="38"/>
  <c r="D148" i="38"/>
  <c r="D147" i="38"/>
  <c r="D146" i="38"/>
  <c r="D145" i="38"/>
  <c r="D144" i="38"/>
  <c r="D143" i="38"/>
  <c r="D142" i="38"/>
  <c r="D141" i="38"/>
  <c r="D140" i="38"/>
  <c r="D139" i="38"/>
  <c r="D138" i="38"/>
  <c r="D137" i="38"/>
  <c r="D136" i="38"/>
  <c r="D135" i="38"/>
  <c r="D134" i="38"/>
  <c r="D133" i="38"/>
  <c r="D132" i="38"/>
  <c r="D131" i="38"/>
  <c r="D130" i="38"/>
  <c r="D129" i="38"/>
  <c r="D128" i="38"/>
  <c r="D127" i="38"/>
  <c r="D126" i="38"/>
  <c r="D125" i="38"/>
  <c r="D124" i="38"/>
  <c r="D123" i="38"/>
  <c r="D122" i="38"/>
  <c r="D121" i="38"/>
  <c r="D120" i="38"/>
  <c r="D119" i="38"/>
  <c r="D118" i="38"/>
  <c r="D117" i="38"/>
  <c r="D116" i="38"/>
  <c r="D115" i="38"/>
  <c r="D114" i="38"/>
  <c r="D113" i="38"/>
  <c r="D112" i="38"/>
  <c r="D111" i="38"/>
  <c r="D110" i="38"/>
  <c r="D109" i="38"/>
  <c r="D108" i="38"/>
  <c r="D107" i="38"/>
  <c r="D106" i="38"/>
  <c r="D105" i="38"/>
  <c r="D104" i="38"/>
  <c r="D103" i="38"/>
  <c r="D102" i="38"/>
  <c r="D101" i="38"/>
  <c r="D100" i="38"/>
  <c r="D99" i="38"/>
  <c r="D98" i="38"/>
  <c r="D97" i="38"/>
  <c r="D96" i="38"/>
  <c r="D95" i="38"/>
  <c r="D94" i="38"/>
  <c r="D93" i="38"/>
  <c r="D92" i="38"/>
  <c r="D91" i="38"/>
  <c r="D90" i="38"/>
  <c r="D89" i="38"/>
  <c r="D88" i="38"/>
  <c r="D87" i="38"/>
  <c r="D86" i="38"/>
  <c r="D85" i="38"/>
  <c r="D84" i="38"/>
  <c r="D83" i="38"/>
  <c r="D82" i="38"/>
  <c r="D81" i="38"/>
  <c r="D80" i="38"/>
  <c r="D79" i="38"/>
  <c r="D78" i="38"/>
  <c r="D77" i="38"/>
  <c r="D76" i="38"/>
  <c r="D75" i="38"/>
  <c r="D74" i="38"/>
  <c r="D73" i="38"/>
  <c r="D72" i="38"/>
  <c r="D71" i="38"/>
  <c r="D70" i="38"/>
  <c r="D69" i="38"/>
  <c r="D68" i="38"/>
  <c r="D67" i="38"/>
  <c r="D66" i="38"/>
  <c r="D65" i="38"/>
  <c r="D64" i="38"/>
  <c r="D63" i="38"/>
  <c r="D62" i="38"/>
  <c r="D61" i="38"/>
  <c r="D60" i="38"/>
  <c r="D59" i="38"/>
  <c r="D58" i="38"/>
  <c r="D57" i="38"/>
  <c r="D56" i="38"/>
  <c r="D55" i="38"/>
  <c r="D54" i="38"/>
  <c r="D53" i="38"/>
  <c r="D52" i="38"/>
  <c r="D51" i="38"/>
  <c r="D50" i="38"/>
  <c r="D49" i="38"/>
  <c r="D48" i="38"/>
  <c r="D47" i="38"/>
  <c r="D46" i="38"/>
  <c r="D45" i="38"/>
  <c r="D44" i="38"/>
  <c r="D43" i="38"/>
  <c r="D42" i="38"/>
  <c r="D41" i="38"/>
  <c r="D40" i="38"/>
  <c r="D39" i="38"/>
  <c r="D38" i="38"/>
  <c r="D37" i="38"/>
  <c r="D36" i="38"/>
  <c r="D35" i="38"/>
  <c r="D34" i="38"/>
  <c r="D33" i="38"/>
  <c r="D32" i="38"/>
  <c r="D31" i="38"/>
  <c r="D30" i="38"/>
  <c r="D29" i="38"/>
  <c r="D28" i="38"/>
  <c r="D27" i="38"/>
  <c r="D26" i="38"/>
  <c r="D25" i="38"/>
  <c r="D24" i="38"/>
  <c r="D23" i="38"/>
  <c r="D22" i="38"/>
  <c r="D21" i="38"/>
  <c r="D20" i="38"/>
  <c r="D19" i="38"/>
  <c r="D18" i="38"/>
  <c r="D17" i="38"/>
  <c r="D16" i="38"/>
  <c r="D15" i="38"/>
  <c r="D14" i="38"/>
  <c r="D13" i="38"/>
  <c r="D12" i="38"/>
  <c r="D11" i="38"/>
  <c r="D10" i="38"/>
  <c r="D9" i="38"/>
  <c r="D8" i="38"/>
  <c r="D7" i="38"/>
  <c r="D6" i="38"/>
  <c r="D5" i="38"/>
  <c r="D4" i="38"/>
  <c r="D3" i="38"/>
  <c r="D2" i="38"/>
  <c r="D45" i="21" s="1"/>
  <c r="F45" i="21" s="1"/>
  <c r="D126" i="33"/>
  <c r="B128" i="33" s="1"/>
  <c r="B128" i="20"/>
  <c r="A131" i="33"/>
  <c r="A132" i="33"/>
  <c r="A133" i="33"/>
  <c r="A134" i="33"/>
  <c r="A135" i="33"/>
  <c r="A136" i="33"/>
  <c r="A137" i="33"/>
  <c r="A138" i="33"/>
  <c r="A139" i="33"/>
  <c r="A140" i="33"/>
  <c r="A141" i="33"/>
  <c r="A142" i="33"/>
  <c r="A143" i="33"/>
  <c r="A144" i="33"/>
  <c r="A145" i="33"/>
  <c r="A146" i="33"/>
  <c r="A147" i="33"/>
  <c r="A148" i="33"/>
  <c r="A149" i="33"/>
  <c r="A150" i="33"/>
  <c r="A151" i="33"/>
  <c r="A152" i="33"/>
  <c r="A153" i="33"/>
  <c r="A154" i="33"/>
  <c r="A155" i="33"/>
  <c r="A156" i="33"/>
  <c r="A157" i="33"/>
  <c r="A158" i="33"/>
  <c r="A159" i="33"/>
  <c r="A160" i="33"/>
  <c r="A161" i="33"/>
  <c r="A162" i="33"/>
  <c r="A163" i="33"/>
  <c r="A164" i="33"/>
  <c r="A165" i="33"/>
  <c r="A166" i="33"/>
  <c r="A167" i="33"/>
  <c r="A168" i="33"/>
  <c r="A169" i="33"/>
  <c r="A170" i="33"/>
  <c r="A171" i="33"/>
  <c r="A172" i="33"/>
  <c r="A173" i="33"/>
  <c r="A174" i="33"/>
  <c r="A175" i="33"/>
  <c r="A176" i="33"/>
  <c r="A177" i="33"/>
  <c r="A178" i="33"/>
  <c r="A179" i="33"/>
  <c r="A180" i="33"/>
  <c r="A181" i="33"/>
  <c r="A182" i="33"/>
  <c r="A183" i="33"/>
  <c r="A184" i="33"/>
  <c r="A185" i="33"/>
  <c r="A186" i="33"/>
  <c r="A187" i="33"/>
  <c r="A188" i="33"/>
  <c r="A189" i="33"/>
  <c r="A190" i="33"/>
  <c r="A191" i="33"/>
  <c r="A192" i="33"/>
  <c r="A193" i="33"/>
  <c r="A194" i="33"/>
  <c r="A195" i="33"/>
  <c r="A196" i="33"/>
  <c r="A197" i="33"/>
  <c r="A198" i="33"/>
  <c r="A199" i="33"/>
  <c r="A200" i="33"/>
  <c r="A201" i="33"/>
  <c r="A202" i="33"/>
  <c r="A203" i="33"/>
  <c r="A204" i="33"/>
  <c r="A205" i="33"/>
  <c r="A206" i="33"/>
  <c r="A207" i="33"/>
  <c r="A208" i="33"/>
  <c r="A209" i="33"/>
  <c r="A130" i="33"/>
  <c r="A131" i="20"/>
  <c r="A132" i="20"/>
  <c r="A133" i="20"/>
  <c r="A134" i="20"/>
  <c r="A135" i="20"/>
  <c r="A136" i="20"/>
  <c r="A137" i="20"/>
  <c r="A138" i="20"/>
  <c r="A139" i="20"/>
  <c r="A140" i="20"/>
  <c r="A141" i="20"/>
  <c r="A142" i="20"/>
  <c r="A143" i="20"/>
  <c r="A144" i="20"/>
  <c r="A145" i="20"/>
  <c r="A146" i="20"/>
  <c r="A147" i="20"/>
  <c r="A148" i="20"/>
  <c r="A149" i="20"/>
  <c r="A150" i="20"/>
  <c r="A151" i="20"/>
  <c r="A152" i="20"/>
  <c r="A153" i="20"/>
  <c r="A154" i="20"/>
  <c r="A155" i="20"/>
  <c r="A156" i="20"/>
  <c r="A157" i="20"/>
  <c r="A158" i="20"/>
  <c r="A159" i="20"/>
  <c r="A160" i="20"/>
  <c r="A161" i="20"/>
  <c r="A162" i="20"/>
  <c r="A163" i="20"/>
  <c r="A164" i="20"/>
  <c r="A165" i="20"/>
  <c r="A166" i="20"/>
  <c r="A167" i="20"/>
  <c r="A168" i="20"/>
  <c r="A169" i="20"/>
  <c r="A170" i="20"/>
  <c r="A171" i="20"/>
  <c r="A172" i="20"/>
  <c r="A173" i="20"/>
  <c r="A174" i="20"/>
  <c r="A175" i="20"/>
  <c r="A176" i="20"/>
  <c r="A177" i="20"/>
  <c r="A178" i="20"/>
  <c r="A179" i="20"/>
  <c r="A180" i="20"/>
  <c r="A181" i="20"/>
  <c r="A182" i="20"/>
  <c r="A183" i="20"/>
  <c r="A184" i="20"/>
  <c r="A185" i="20"/>
  <c r="A186" i="20"/>
  <c r="A187" i="20"/>
  <c r="A188" i="20"/>
  <c r="A189" i="20"/>
  <c r="A190" i="20"/>
  <c r="A191" i="20"/>
  <c r="A192" i="20"/>
  <c r="A193" i="20"/>
  <c r="A194" i="20"/>
  <c r="A195" i="20"/>
  <c r="A196" i="20"/>
  <c r="A197" i="20"/>
  <c r="A198" i="20"/>
  <c r="A199" i="20"/>
  <c r="A200" i="20"/>
  <c r="A201" i="20"/>
  <c r="A202" i="20"/>
  <c r="A203" i="20"/>
  <c r="A204" i="20"/>
  <c r="A205" i="20"/>
  <c r="A206" i="20"/>
  <c r="A207" i="20"/>
  <c r="A208" i="20"/>
  <c r="A209" i="20"/>
  <c r="C37" i="21"/>
  <c r="F37" i="21"/>
  <c r="B239" i="33"/>
  <c r="B240" i="33"/>
  <c r="B241" i="33"/>
  <c r="B242" i="33"/>
  <c r="B243" i="33"/>
  <c r="B244" i="33"/>
  <c r="B245" i="33"/>
  <c r="B246" i="33"/>
  <c r="B247" i="33"/>
  <c r="B248" i="33"/>
  <c r="B249" i="33"/>
  <c r="B250" i="33"/>
  <c r="B251" i="33"/>
  <c r="B252" i="33"/>
  <c r="B253" i="33"/>
  <c r="B254" i="33"/>
  <c r="B255" i="33"/>
  <c r="B256" i="33"/>
  <c r="B257" i="33"/>
  <c r="B258" i="33"/>
  <c r="B259" i="33"/>
  <c r="B260" i="33"/>
  <c r="B261" i="33"/>
  <c r="B262" i="33"/>
  <c r="B263" i="33"/>
  <c r="B264" i="33"/>
  <c r="B265" i="33"/>
  <c r="B266" i="33"/>
  <c r="B267" i="33"/>
  <c r="B268" i="33"/>
  <c r="B269" i="33"/>
  <c r="B270" i="33"/>
  <c r="B271" i="33"/>
  <c r="B272" i="33"/>
  <c r="B273" i="33"/>
  <c r="B274" i="33"/>
  <c r="B275" i="33"/>
  <c r="B276" i="33"/>
  <c r="B277" i="33"/>
  <c r="B278" i="33"/>
  <c r="B279" i="33"/>
  <c r="B280" i="33"/>
  <c r="B281" i="33"/>
  <c r="B282" i="33"/>
  <c r="B283" i="33"/>
  <c r="B284" i="33"/>
  <c r="B285" i="33"/>
  <c r="B286" i="33"/>
  <c r="B287" i="33"/>
  <c r="B288" i="33"/>
  <c r="B289" i="33"/>
  <c r="B290" i="33"/>
  <c r="B291" i="33"/>
  <c r="B292" i="33"/>
  <c r="B293" i="33"/>
  <c r="B294" i="33"/>
  <c r="B295" i="33"/>
  <c r="B296" i="33"/>
  <c r="B297" i="33"/>
  <c r="B298" i="33"/>
  <c r="B299" i="33"/>
  <c r="B300" i="33"/>
  <c r="B301" i="33"/>
  <c r="B302" i="33"/>
  <c r="B303" i="33"/>
  <c r="B304" i="33"/>
  <c r="B305" i="33"/>
  <c r="B306" i="33"/>
  <c r="B307" i="33"/>
  <c r="B308" i="33"/>
  <c r="B309" i="33"/>
  <c r="B310" i="33"/>
  <c r="B311" i="33"/>
  <c r="B312" i="33"/>
  <c r="B313" i="33"/>
  <c r="B314" i="33"/>
  <c r="B315" i="33"/>
  <c r="B316" i="33"/>
  <c r="B317" i="33"/>
  <c r="B318" i="33"/>
  <c r="B319" i="33"/>
  <c r="B320" i="33"/>
  <c r="B321" i="33"/>
  <c r="B322" i="33"/>
  <c r="B323" i="33"/>
  <c r="B324" i="33"/>
  <c r="B325" i="33"/>
  <c r="B326" i="33"/>
  <c r="B327" i="33"/>
  <c r="B328" i="33"/>
  <c r="B329" i="33"/>
  <c r="B330" i="33"/>
  <c r="B331" i="33"/>
  <c r="B332" i="33"/>
  <c r="B333" i="33"/>
  <c r="B334" i="33"/>
  <c r="B335" i="33"/>
  <c r="B336" i="33"/>
  <c r="B337" i="33"/>
  <c r="B238" i="33"/>
  <c r="A239" i="33"/>
  <c r="A240" i="33"/>
  <c r="A241" i="33"/>
  <c r="A242" i="33"/>
  <c r="A243" i="33"/>
  <c r="A244" i="33"/>
  <c r="A245" i="33"/>
  <c r="A246" i="33"/>
  <c r="A247" i="33"/>
  <c r="A248" i="33"/>
  <c r="A249" i="33"/>
  <c r="A250" i="33"/>
  <c r="A251" i="33"/>
  <c r="A252" i="33"/>
  <c r="A253" i="33"/>
  <c r="A254" i="33"/>
  <c r="A255" i="33"/>
  <c r="A256" i="33"/>
  <c r="A257" i="33"/>
  <c r="A258" i="33"/>
  <c r="A259" i="33"/>
  <c r="A260" i="33"/>
  <c r="A261" i="33"/>
  <c r="A262" i="33"/>
  <c r="A263" i="33"/>
  <c r="A264" i="33"/>
  <c r="A265" i="33"/>
  <c r="A266" i="33"/>
  <c r="A267" i="33"/>
  <c r="A268" i="33"/>
  <c r="A269" i="33"/>
  <c r="A270" i="33"/>
  <c r="A271" i="33"/>
  <c r="A272" i="33"/>
  <c r="A273" i="33"/>
  <c r="A274" i="33"/>
  <c r="A275" i="33"/>
  <c r="A276" i="33"/>
  <c r="A277" i="33"/>
  <c r="A278" i="33"/>
  <c r="A279" i="33"/>
  <c r="A280" i="33"/>
  <c r="A281" i="33"/>
  <c r="A282" i="33"/>
  <c r="A283" i="33"/>
  <c r="A284" i="33"/>
  <c r="A285" i="33"/>
  <c r="A286" i="33"/>
  <c r="A287" i="33"/>
  <c r="A288" i="33"/>
  <c r="A289" i="33"/>
  <c r="A290" i="33"/>
  <c r="A291" i="33"/>
  <c r="A292" i="33"/>
  <c r="A293" i="33"/>
  <c r="A294" i="33"/>
  <c r="A295" i="33"/>
  <c r="A296" i="33"/>
  <c r="A297" i="33"/>
  <c r="A298" i="33"/>
  <c r="A299" i="33"/>
  <c r="A300" i="33"/>
  <c r="A301" i="33"/>
  <c r="A302" i="33"/>
  <c r="A303" i="33"/>
  <c r="A304" i="33"/>
  <c r="A305" i="33"/>
  <c r="A306" i="33"/>
  <c r="A307" i="33"/>
  <c r="A308" i="33"/>
  <c r="A309" i="33"/>
  <c r="A310" i="33"/>
  <c r="A311" i="33"/>
  <c r="A312" i="33"/>
  <c r="A313" i="33"/>
  <c r="A314" i="33"/>
  <c r="A315" i="33"/>
  <c r="A316" i="33"/>
  <c r="A317" i="33"/>
  <c r="A318" i="33"/>
  <c r="A319" i="33"/>
  <c r="A320" i="33"/>
  <c r="A321" i="33"/>
  <c r="A322" i="33"/>
  <c r="A323" i="33"/>
  <c r="A324" i="33"/>
  <c r="A325" i="33"/>
  <c r="A326" i="33"/>
  <c r="A327" i="33"/>
  <c r="A328" i="33"/>
  <c r="A329" i="33"/>
  <c r="A330" i="33"/>
  <c r="A331" i="33"/>
  <c r="A332" i="33"/>
  <c r="A333" i="33"/>
  <c r="A334" i="33"/>
  <c r="A335" i="33"/>
  <c r="A336" i="33"/>
  <c r="A337" i="33"/>
  <c r="A238" i="33"/>
  <c r="D21" i="33"/>
  <c r="B23" i="33" s="1"/>
  <c r="D211" i="33"/>
  <c r="B213" i="33" s="1"/>
  <c r="A216" i="33"/>
  <c r="A217" i="33"/>
  <c r="A218" i="33"/>
  <c r="A219" i="33"/>
  <c r="A220" i="33"/>
  <c r="A221" i="33"/>
  <c r="A222" i="33"/>
  <c r="A223" i="33"/>
  <c r="A224" i="33"/>
  <c r="A225" i="33"/>
  <c r="A226" i="33"/>
  <c r="A227" i="33"/>
  <c r="A228" i="33"/>
  <c r="A229" i="33"/>
  <c r="A230" i="33"/>
  <c r="A231" i="33"/>
  <c r="A232" i="33"/>
  <c r="A233" i="33"/>
  <c r="A234" i="33"/>
  <c r="A215" i="33"/>
  <c r="A26" i="33"/>
  <c r="A27" i="33"/>
  <c r="A28" i="33"/>
  <c r="A29" i="33"/>
  <c r="A30" i="33"/>
  <c r="A31" i="33"/>
  <c r="A32" i="33"/>
  <c r="A33" i="33"/>
  <c r="A34" i="33"/>
  <c r="A35" i="33"/>
  <c r="A36" i="33"/>
  <c r="A37" i="33"/>
  <c r="A38" i="33"/>
  <c r="A39" i="33"/>
  <c r="A40" i="33"/>
  <c r="A41" i="33"/>
  <c r="A42" i="33"/>
  <c r="A43" i="33"/>
  <c r="A44" i="33"/>
  <c r="A45" i="33"/>
  <c r="A46" i="33"/>
  <c r="A47" i="33"/>
  <c r="A48" i="33"/>
  <c r="A49" i="33"/>
  <c r="A50" i="33"/>
  <c r="A51" i="33"/>
  <c r="A52" i="33"/>
  <c r="A53" i="33"/>
  <c r="A54" i="33"/>
  <c r="A55" i="33"/>
  <c r="A56" i="33"/>
  <c r="A57" i="33"/>
  <c r="A58" i="33"/>
  <c r="A59" i="33"/>
  <c r="A60" i="33"/>
  <c r="A61" i="33"/>
  <c r="A62" i="33"/>
  <c r="A63" i="33"/>
  <c r="A64" i="33"/>
  <c r="A65" i="33"/>
  <c r="A66" i="33"/>
  <c r="A67" i="33"/>
  <c r="A68" i="33"/>
  <c r="A69" i="33"/>
  <c r="A70" i="33"/>
  <c r="A71" i="33"/>
  <c r="A72" i="33"/>
  <c r="A73" i="33"/>
  <c r="A74" i="33"/>
  <c r="A75" i="33"/>
  <c r="A76" i="33"/>
  <c r="A77" i="33"/>
  <c r="A78" i="33"/>
  <c r="A79" i="33"/>
  <c r="A80" i="33"/>
  <c r="A81" i="33"/>
  <c r="A82" i="33"/>
  <c r="A83" i="33"/>
  <c r="A84" i="33"/>
  <c r="A85" i="33"/>
  <c r="A86" i="33"/>
  <c r="A87" i="33"/>
  <c r="A88" i="33"/>
  <c r="A89" i="33"/>
  <c r="A90" i="33"/>
  <c r="A91" i="33"/>
  <c r="A92" i="33"/>
  <c r="A93" i="33"/>
  <c r="A94" i="33"/>
  <c r="A95" i="33"/>
  <c r="A96" i="33"/>
  <c r="A97" i="33"/>
  <c r="A98" i="33"/>
  <c r="A99" i="33"/>
  <c r="A100" i="33"/>
  <c r="A101" i="33"/>
  <c r="A102" i="33"/>
  <c r="A103" i="33"/>
  <c r="A104" i="33"/>
  <c r="A105" i="33"/>
  <c r="A106" i="33"/>
  <c r="A107" i="33"/>
  <c r="A108" i="33"/>
  <c r="A109" i="33"/>
  <c r="A110" i="33"/>
  <c r="A111" i="33"/>
  <c r="A112" i="33"/>
  <c r="A113" i="33"/>
  <c r="A114" i="33"/>
  <c r="A115" i="33"/>
  <c r="A116" i="33"/>
  <c r="A117" i="33"/>
  <c r="A118" i="33"/>
  <c r="A119" i="33"/>
  <c r="A120" i="33"/>
  <c r="A121" i="33"/>
  <c r="A122" i="33"/>
  <c r="A123" i="33"/>
  <c r="A124" i="33"/>
  <c r="A25" i="33"/>
  <c r="D6" i="33"/>
  <c r="B8" i="33" s="1"/>
  <c r="C4" i="33"/>
  <c r="C3" i="33"/>
  <c r="B127" i="33" s="1"/>
  <c r="C2" i="33"/>
  <c r="B213" i="20"/>
  <c r="A120" i="20"/>
  <c r="A121" i="20"/>
  <c r="A122" i="20"/>
  <c r="A123" i="20"/>
  <c r="A124" i="20"/>
  <c r="A85" i="20"/>
  <c r="A86" i="20"/>
  <c r="A87" i="20"/>
  <c r="A88" i="20"/>
  <c r="A89" i="20"/>
  <c r="A90" i="20"/>
  <c r="A91" i="20"/>
  <c r="A92" i="20"/>
  <c r="A93" i="20"/>
  <c r="A94" i="20"/>
  <c r="A95" i="20"/>
  <c r="A96" i="20"/>
  <c r="A97" i="20"/>
  <c r="A98" i="20"/>
  <c r="A99" i="20"/>
  <c r="A100" i="20"/>
  <c r="A101" i="20"/>
  <c r="A102" i="20"/>
  <c r="A103" i="20"/>
  <c r="A104" i="20"/>
  <c r="A105" i="20"/>
  <c r="A106" i="20"/>
  <c r="A107" i="20"/>
  <c r="A108" i="20"/>
  <c r="A109" i="20"/>
  <c r="A110" i="20"/>
  <c r="A111" i="20"/>
  <c r="A112" i="20"/>
  <c r="A113" i="20"/>
  <c r="A114" i="20"/>
  <c r="A115" i="20"/>
  <c r="A116" i="20"/>
  <c r="A117" i="20"/>
  <c r="A118" i="20"/>
  <c r="A119" i="20"/>
  <c r="A26" i="20"/>
  <c r="A27" i="20"/>
  <c r="A28" i="20"/>
  <c r="A29" i="20"/>
  <c r="A30" i="20"/>
  <c r="A31" i="20"/>
  <c r="A32" i="20"/>
  <c r="A33" i="20"/>
  <c r="A34" i="20"/>
  <c r="A35" i="20"/>
  <c r="A36" i="20"/>
  <c r="A37" i="20"/>
  <c r="A38" i="20"/>
  <c r="A39" i="20"/>
  <c r="A40" i="20"/>
  <c r="A41" i="20"/>
  <c r="A42" i="20"/>
  <c r="A43" i="20"/>
  <c r="A44" i="20"/>
  <c r="A45" i="20"/>
  <c r="A46" i="20"/>
  <c r="A47" i="20"/>
  <c r="A48" i="20"/>
  <c r="A49" i="20"/>
  <c r="A50" i="20"/>
  <c r="A51" i="20"/>
  <c r="A52" i="20"/>
  <c r="A53" i="20"/>
  <c r="A54" i="20"/>
  <c r="A55" i="20"/>
  <c r="A56" i="20"/>
  <c r="A57" i="20"/>
  <c r="A58" i="20"/>
  <c r="A59" i="20"/>
  <c r="A60" i="20"/>
  <c r="A61" i="20"/>
  <c r="A62" i="20"/>
  <c r="A63" i="20"/>
  <c r="A64" i="20"/>
  <c r="A65" i="20"/>
  <c r="A66" i="20"/>
  <c r="A67" i="20"/>
  <c r="A68" i="20"/>
  <c r="A69" i="20"/>
  <c r="A70" i="20"/>
  <c r="A71" i="20"/>
  <c r="A72" i="20"/>
  <c r="A73" i="20"/>
  <c r="A74" i="20"/>
  <c r="A75" i="20"/>
  <c r="A76" i="20"/>
  <c r="A77" i="20"/>
  <c r="A78" i="20"/>
  <c r="A79" i="20"/>
  <c r="A80" i="20"/>
  <c r="A81" i="20"/>
  <c r="A82" i="20"/>
  <c r="A83" i="20"/>
  <c r="A84" i="20"/>
  <c r="A25" i="20"/>
  <c r="A216" i="20"/>
  <c r="A217" i="20"/>
  <c r="A218" i="20"/>
  <c r="A219" i="20"/>
  <c r="A220" i="20"/>
  <c r="A221" i="20"/>
  <c r="A222" i="20"/>
  <c r="A223" i="20"/>
  <c r="A224" i="20"/>
  <c r="A225" i="20"/>
  <c r="A226" i="20"/>
  <c r="A227" i="20"/>
  <c r="A228" i="20"/>
  <c r="A229" i="20"/>
  <c r="A230" i="20"/>
  <c r="A231" i="20"/>
  <c r="A232" i="20"/>
  <c r="A233" i="20"/>
  <c r="A234" i="20"/>
  <c r="A215" i="20"/>
  <c r="A130" i="20"/>
  <c r="C3" i="28"/>
  <c r="F3" i="28" s="1"/>
  <c r="I3" i="28" s="1"/>
  <c r="L3" i="28" s="1"/>
  <c r="O3" i="28" s="1"/>
  <c r="R3" i="28" s="1"/>
  <c r="U3" i="28" s="1"/>
  <c r="X3" i="28" s="1"/>
  <c r="AA3" i="28" s="1"/>
  <c r="AD3" i="28" s="1"/>
  <c r="AG3" i="28" s="1"/>
  <c r="AJ3" i="28" s="1"/>
  <c r="AM3" i="28" s="1"/>
  <c r="AP3" i="28" s="1"/>
  <c r="AS3" i="28" s="1"/>
  <c r="AV3" i="28" s="1"/>
  <c r="AY3" i="28" s="1"/>
  <c r="BB3" i="28" s="1"/>
  <c r="BE3" i="28" s="1"/>
  <c r="BH3" i="28" s="1"/>
  <c r="BK3" i="28" s="1"/>
  <c r="BN3" i="28" s="1"/>
  <c r="BQ3" i="28" s="1"/>
  <c r="BT3" i="28" s="1"/>
  <c r="C2" i="28"/>
  <c r="D34" i="29"/>
  <c r="C34" i="29"/>
  <c r="J33" i="29"/>
  <c r="J70" i="29" s="1"/>
  <c r="I33" i="29"/>
  <c r="I70" i="29" s="1"/>
  <c r="K70" i="29" s="1"/>
  <c r="E33" i="29"/>
  <c r="J32" i="29"/>
  <c r="J69" i="29" s="1"/>
  <c r="I32" i="29"/>
  <c r="I69" i="29" s="1"/>
  <c r="E32" i="29"/>
  <c r="J31" i="29"/>
  <c r="J68" i="29" s="1"/>
  <c r="I31" i="29"/>
  <c r="I68" i="29" s="1"/>
  <c r="K68" i="29" s="1"/>
  <c r="E31" i="29"/>
  <c r="J30" i="29"/>
  <c r="J67" i="29" s="1"/>
  <c r="I30" i="29"/>
  <c r="I67" i="29" s="1"/>
  <c r="K67" i="29" s="1"/>
  <c r="E30" i="29"/>
  <c r="J29" i="29"/>
  <c r="J66" i="29" s="1"/>
  <c r="I29" i="29"/>
  <c r="I66" i="29" s="1"/>
  <c r="K66" i="29" s="1"/>
  <c r="E29" i="29"/>
  <c r="J28" i="29"/>
  <c r="J65" i="29" s="1"/>
  <c r="I28" i="29"/>
  <c r="I65" i="29" s="1"/>
  <c r="K65" i="29" s="1"/>
  <c r="E28" i="29"/>
  <c r="J27" i="29"/>
  <c r="J64" i="29" s="1"/>
  <c r="I27" i="29"/>
  <c r="I64" i="29" s="1"/>
  <c r="K64" i="29" s="1"/>
  <c r="E27" i="29"/>
  <c r="J26" i="29"/>
  <c r="J63" i="29" s="1"/>
  <c r="I26" i="29"/>
  <c r="I63" i="29" s="1"/>
  <c r="K63" i="29" s="1"/>
  <c r="E26" i="29"/>
  <c r="J25" i="29"/>
  <c r="J62" i="29" s="1"/>
  <c r="I25" i="29"/>
  <c r="I62" i="29" s="1"/>
  <c r="K62" i="29" s="1"/>
  <c r="E25" i="29"/>
  <c r="J24" i="29"/>
  <c r="J61" i="29" s="1"/>
  <c r="I24" i="29"/>
  <c r="I61" i="29" s="1"/>
  <c r="K61" i="29" s="1"/>
  <c r="E24" i="29"/>
  <c r="J23" i="29"/>
  <c r="J60" i="29" s="1"/>
  <c r="I23" i="29"/>
  <c r="I60" i="29" s="1"/>
  <c r="K60" i="29" s="1"/>
  <c r="E23" i="29"/>
  <c r="J22" i="29"/>
  <c r="J59" i="29" s="1"/>
  <c r="I22" i="29"/>
  <c r="I59" i="29" s="1"/>
  <c r="K59" i="29" s="1"/>
  <c r="E22" i="29"/>
  <c r="J21" i="29"/>
  <c r="J58" i="29" s="1"/>
  <c r="I21" i="29"/>
  <c r="I58" i="29" s="1"/>
  <c r="K58" i="29" s="1"/>
  <c r="E21" i="29"/>
  <c r="J20" i="29"/>
  <c r="J57" i="29" s="1"/>
  <c r="I20" i="29"/>
  <c r="I57" i="29" s="1"/>
  <c r="E20" i="29"/>
  <c r="J19" i="29"/>
  <c r="I19" i="29"/>
  <c r="E19" i="29"/>
  <c r="J18" i="29"/>
  <c r="I18" i="29"/>
  <c r="E18" i="29"/>
  <c r="J17" i="29"/>
  <c r="I17" i="29"/>
  <c r="E17" i="29"/>
  <c r="J16" i="29"/>
  <c r="I16" i="29"/>
  <c r="E16" i="29"/>
  <c r="J15" i="29"/>
  <c r="I15" i="29"/>
  <c r="E15" i="29"/>
  <c r="J14" i="29"/>
  <c r="I14" i="29"/>
  <c r="E14" i="29"/>
  <c r="J13" i="29"/>
  <c r="I13" i="29"/>
  <c r="E13" i="29"/>
  <c r="J12" i="29"/>
  <c r="I12" i="29"/>
  <c r="E12" i="29"/>
  <c r="J11" i="29"/>
  <c r="I11" i="29"/>
  <c r="E11" i="29"/>
  <c r="J10" i="29"/>
  <c r="J47" i="29" s="1"/>
  <c r="I10" i="29"/>
  <c r="E10" i="29"/>
  <c r="D236" i="20"/>
  <c r="C3" i="20"/>
  <c r="C2" i="20"/>
  <c r="D21" i="20"/>
  <c r="D6" i="20"/>
  <c r="A11" i="20"/>
  <c r="A12" i="20"/>
  <c r="A13" i="20"/>
  <c r="A14" i="20"/>
  <c r="A15" i="20"/>
  <c r="A16" i="20"/>
  <c r="A17" i="20"/>
  <c r="A18" i="20"/>
  <c r="A19" i="20"/>
  <c r="A10" i="20"/>
  <c r="B239" i="20"/>
  <c r="B240" i="20"/>
  <c r="B241" i="20"/>
  <c r="B242" i="20"/>
  <c r="B243" i="20"/>
  <c r="B244" i="20"/>
  <c r="B245" i="20"/>
  <c r="B246" i="20"/>
  <c r="B247" i="20"/>
  <c r="B248" i="20"/>
  <c r="B249" i="20"/>
  <c r="B250" i="20"/>
  <c r="B251" i="20"/>
  <c r="B252" i="20"/>
  <c r="B253" i="20"/>
  <c r="B254" i="20"/>
  <c r="B255" i="20"/>
  <c r="B256" i="20"/>
  <c r="B257" i="20"/>
  <c r="B258" i="20"/>
  <c r="B259" i="20"/>
  <c r="B260" i="20"/>
  <c r="B261" i="20"/>
  <c r="B262" i="20"/>
  <c r="B263" i="20"/>
  <c r="B264" i="20"/>
  <c r="B265" i="20"/>
  <c r="B266" i="20"/>
  <c r="B267" i="20"/>
  <c r="B268" i="20"/>
  <c r="B269" i="20"/>
  <c r="B270" i="20"/>
  <c r="B271" i="20"/>
  <c r="B272" i="20"/>
  <c r="B273" i="20"/>
  <c r="B274" i="20"/>
  <c r="B275" i="20"/>
  <c r="B276" i="20"/>
  <c r="B277" i="20"/>
  <c r="B278" i="20"/>
  <c r="B279" i="20"/>
  <c r="B280" i="20"/>
  <c r="B281" i="20"/>
  <c r="B282" i="20"/>
  <c r="B283" i="20"/>
  <c r="B284" i="20"/>
  <c r="B285" i="20"/>
  <c r="B286" i="20"/>
  <c r="B287" i="20"/>
  <c r="B288" i="20"/>
  <c r="B289" i="20"/>
  <c r="B290" i="20"/>
  <c r="B291" i="20"/>
  <c r="B292" i="20"/>
  <c r="B293" i="20"/>
  <c r="B294" i="20"/>
  <c r="B295" i="20"/>
  <c r="B296" i="20"/>
  <c r="B297" i="20"/>
  <c r="B298" i="20"/>
  <c r="B299" i="20"/>
  <c r="B300" i="20"/>
  <c r="B301" i="20"/>
  <c r="B302" i="20"/>
  <c r="B303" i="20"/>
  <c r="B304" i="20"/>
  <c r="B305" i="20"/>
  <c r="B306" i="20"/>
  <c r="B307" i="20"/>
  <c r="B308" i="20"/>
  <c r="B309" i="20"/>
  <c r="B310" i="20"/>
  <c r="B311" i="20"/>
  <c r="B312" i="20"/>
  <c r="B313" i="20"/>
  <c r="B314" i="20"/>
  <c r="B315" i="20"/>
  <c r="B316" i="20"/>
  <c r="B317" i="20"/>
  <c r="B318" i="20"/>
  <c r="B319" i="20"/>
  <c r="B320" i="20"/>
  <c r="B321" i="20"/>
  <c r="B322" i="20"/>
  <c r="B323" i="20"/>
  <c r="B324" i="20"/>
  <c r="B325" i="20"/>
  <c r="B326" i="20"/>
  <c r="B327" i="20"/>
  <c r="B328" i="20"/>
  <c r="B329" i="20"/>
  <c r="B330" i="20"/>
  <c r="B331" i="20"/>
  <c r="B332" i="20"/>
  <c r="B333" i="20"/>
  <c r="B334" i="20"/>
  <c r="B335" i="20"/>
  <c r="B336" i="20"/>
  <c r="B337" i="20"/>
  <c r="B238" i="20"/>
  <c r="A239" i="20"/>
  <c r="A240" i="20"/>
  <c r="A241" i="20"/>
  <c r="A242" i="20"/>
  <c r="A243" i="20"/>
  <c r="A244" i="20"/>
  <c r="A245" i="20"/>
  <c r="A246" i="20"/>
  <c r="A247" i="20"/>
  <c r="A248" i="20"/>
  <c r="A249" i="20"/>
  <c r="A250" i="20"/>
  <c r="A251" i="20"/>
  <c r="A252" i="20"/>
  <c r="A253" i="20"/>
  <c r="A254" i="20"/>
  <c r="A255" i="20"/>
  <c r="A256" i="20"/>
  <c r="A257" i="20"/>
  <c r="A258" i="20"/>
  <c r="A259" i="20"/>
  <c r="A260" i="20"/>
  <c r="A261" i="20"/>
  <c r="A262" i="20"/>
  <c r="A263" i="20"/>
  <c r="A264" i="20"/>
  <c r="A265" i="20"/>
  <c r="A266" i="20"/>
  <c r="A267" i="20"/>
  <c r="A268" i="20"/>
  <c r="A269" i="20"/>
  <c r="A270" i="20"/>
  <c r="A271" i="20"/>
  <c r="A272" i="20"/>
  <c r="A273" i="20"/>
  <c r="A274" i="20"/>
  <c r="A275" i="20"/>
  <c r="A276" i="20"/>
  <c r="A277" i="20"/>
  <c r="A278" i="20"/>
  <c r="A279" i="20"/>
  <c r="A280" i="20"/>
  <c r="A281" i="20"/>
  <c r="A282" i="20"/>
  <c r="A283" i="20"/>
  <c r="A284" i="20"/>
  <c r="A285" i="20"/>
  <c r="A286" i="20"/>
  <c r="A287" i="20"/>
  <c r="A288" i="20"/>
  <c r="A289" i="20"/>
  <c r="A290" i="20"/>
  <c r="A291" i="20"/>
  <c r="A292" i="20"/>
  <c r="A293" i="20"/>
  <c r="A294" i="20"/>
  <c r="A295" i="20"/>
  <c r="A296" i="20"/>
  <c r="A297" i="20"/>
  <c r="A298" i="20"/>
  <c r="A299" i="20"/>
  <c r="A300" i="20"/>
  <c r="A301" i="20"/>
  <c r="A302" i="20"/>
  <c r="A303" i="20"/>
  <c r="A304" i="20"/>
  <c r="A305" i="20"/>
  <c r="A306" i="20"/>
  <c r="A307" i="20"/>
  <c r="A308" i="20"/>
  <c r="A309" i="20"/>
  <c r="A310" i="20"/>
  <c r="A311" i="20"/>
  <c r="A312" i="20"/>
  <c r="A313" i="20"/>
  <c r="A314" i="20"/>
  <c r="A315" i="20"/>
  <c r="A316" i="20"/>
  <c r="A317" i="20"/>
  <c r="A318" i="20"/>
  <c r="A319" i="20"/>
  <c r="A320" i="20"/>
  <c r="A321" i="20"/>
  <c r="A322" i="20"/>
  <c r="A323" i="20"/>
  <c r="A324" i="20"/>
  <c r="A325" i="20"/>
  <c r="A326" i="20"/>
  <c r="A327" i="20"/>
  <c r="A328" i="20"/>
  <c r="A329" i="20"/>
  <c r="A330" i="20"/>
  <c r="A331" i="20"/>
  <c r="A332" i="20"/>
  <c r="A333" i="20"/>
  <c r="A334" i="20"/>
  <c r="A335" i="20"/>
  <c r="A336" i="20"/>
  <c r="A337" i="20"/>
  <c r="A238" i="20"/>
  <c r="BL16" i="30" l="1"/>
  <c r="AX16" i="30"/>
  <c r="AZ16" i="30"/>
  <c r="BX16" i="30"/>
  <c r="BN16" i="30"/>
  <c r="BH16" i="30"/>
  <c r="BV16" i="30"/>
  <c r="BX15" i="30"/>
  <c r="BL15" i="30"/>
  <c r="BH15" i="30"/>
  <c r="AX15" i="30"/>
  <c r="BN15" i="30"/>
  <c r="AZ15" i="30"/>
  <c r="BV15" i="30"/>
  <c r="BN14" i="30"/>
  <c r="AX14" i="30"/>
  <c r="BL14" i="30"/>
  <c r="AZ14" i="30"/>
  <c r="BH14" i="30"/>
  <c r="BV14" i="30"/>
  <c r="BX14" i="30"/>
  <c r="BV13" i="30"/>
  <c r="BX13" i="30"/>
  <c r="BL13" i="30"/>
  <c r="AX13" i="30"/>
  <c r="AZ13" i="30"/>
  <c r="BN13" i="30"/>
  <c r="BH13" i="30"/>
  <c r="BV11" i="30"/>
  <c r="BN11" i="30"/>
  <c r="BH11" i="30"/>
  <c r="BX11" i="30"/>
  <c r="AX11" i="30"/>
  <c r="AZ11" i="30"/>
  <c r="BL11" i="30"/>
  <c r="AZ10" i="30"/>
  <c r="BL10" i="30"/>
  <c r="BH10" i="30"/>
  <c r="BV10" i="30"/>
  <c r="AX10" i="30"/>
  <c r="BN10" i="30"/>
  <c r="BX10" i="30"/>
  <c r="BV9" i="30"/>
  <c r="BN9" i="30"/>
  <c r="BL9" i="30"/>
  <c r="AZ9" i="30"/>
  <c r="AX9" i="30"/>
  <c r="BX9" i="30"/>
  <c r="BH9" i="30"/>
  <c r="BN18" i="30"/>
  <c r="BL18" i="30"/>
  <c r="BV18" i="30"/>
  <c r="AZ18" i="30"/>
  <c r="AX18" i="30"/>
  <c r="BX18" i="30"/>
  <c r="BH18" i="30"/>
  <c r="BN8" i="30"/>
  <c r="AX8" i="30"/>
  <c r="BX8" i="30"/>
  <c r="BV8" i="30"/>
  <c r="BH8" i="30"/>
  <c r="BL8" i="30"/>
  <c r="AZ8" i="30"/>
  <c r="BH7" i="30"/>
  <c r="BX7" i="30"/>
  <c r="BV7" i="30"/>
  <c r="BN7" i="30"/>
  <c r="AZ7" i="30"/>
  <c r="BL7" i="30"/>
  <c r="AX7" i="30"/>
  <c r="AX22" i="30"/>
  <c r="BH22" i="30"/>
  <c r="BL22" i="30"/>
  <c r="BX22" i="30"/>
  <c r="AZ22" i="30"/>
  <c r="BV22" i="30"/>
  <c r="BN22" i="30"/>
  <c r="BV6" i="30"/>
  <c r="BH6" i="30"/>
  <c r="AZ6" i="30"/>
  <c r="BL6" i="30"/>
  <c r="AX6" i="30"/>
  <c r="BX6" i="30"/>
  <c r="BN6" i="30"/>
  <c r="BX21" i="30"/>
  <c r="BN21" i="30"/>
  <c r="BV21" i="30"/>
  <c r="AX21" i="30"/>
  <c r="BH21" i="30"/>
  <c r="AZ21" i="30"/>
  <c r="BL21" i="30"/>
  <c r="AZ5" i="30"/>
  <c r="BX5" i="30"/>
  <c r="BV5" i="30"/>
  <c r="AX5" i="30"/>
  <c r="BN5" i="30"/>
  <c r="BL5" i="30"/>
  <c r="BH5" i="30"/>
  <c r="AZ12" i="30"/>
  <c r="AX12" i="30"/>
  <c r="BN12" i="30"/>
  <c r="BL12" i="30"/>
  <c r="BV12" i="30"/>
  <c r="BH12" i="30"/>
  <c r="BX12" i="30"/>
  <c r="BL20" i="30"/>
  <c r="BV20" i="30"/>
  <c r="BX20" i="30"/>
  <c r="AZ20" i="30"/>
  <c r="AX20" i="30"/>
  <c r="BN20" i="30"/>
  <c r="BH20" i="30"/>
  <c r="BL4" i="30"/>
  <c r="AZ4" i="30"/>
  <c r="AX4" i="30"/>
  <c r="BH4" i="30"/>
  <c r="BX4" i="30"/>
  <c r="BV4" i="30"/>
  <c r="BN4" i="30"/>
  <c r="BV17" i="30"/>
  <c r="BH17" i="30"/>
  <c r="BX17" i="30"/>
  <c r="AZ17" i="30"/>
  <c r="BL17" i="30"/>
  <c r="AX17" i="30"/>
  <c r="BN17" i="30"/>
  <c r="BN19" i="30"/>
  <c r="AX19" i="30"/>
  <c r="BV19" i="30"/>
  <c r="BL19" i="30"/>
  <c r="BH19" i="30"/>
  <c r="AZ19" i="30"/>
  <c r="BX19" i="30"/>
  <c r="AX3" i="30"/>
  <c r="BN3" i="30"/>
  <c r="BH3" i="30"/>
  <c r="BL3" i="30"/>
  <c r="BV3" i="30"/>
  <c r="AZ3" i="30"/>
  <c r="BX3" i="30"/>
  <c r="B23" i="20"/>
  <c r="D42" i="21"/>
  <c r="AG80" i="30"/>
  <c r="AC80" i="30"/>
  <c r="O80" i="30"/>
  <c r="K80" i="30"/>
  <c r="AQ80" i="30"/>
  <c r="W80" i="30"/>
  <c r="M80" i="30"/>
  <c r="AS80" i="30"/>
  <c r="AO80" i="30"/>
  <c r="AA80" i="30"/>
  <c r="AG15" i="30"/>
  <c r="AC15" i="30"/>
  <c r="O15" i="30"/>
  <c r="K15" i="30"/>
  <c r="AO15" i="30"/>
  <c r="AS15" i="30"/>
  <c r="AQ15" i="30"/>
  <c r="W15" i="30"/>
  <c r="AA15" i="30"/>
  <c r="M15" i="30"/>
  <c r="AC78" i="34"/>
  <c r="Y78" i="34"/>
  <c r="K78" i="34"/>
  <c r="G78" i="34"/>
  <c r="AO78" i="34"/>
  <c r="AM78" i="34"/>
  <c r="AK78" i="34"/>
  <c r="W78" i="34"/>
  <c r="S78" i="34"/>
  <c r="I78" i="34"/>
  <c r="AC13" i="34"/>
  <c r="Y13" i="34"/>
  <c r="K13" i="34"/>
  <c r="G13" i="34"/>
  <c r="AO13" i="34"/>
  <c r="AM13" i="34"/>
  <c r="W13" i="34"/>
  <c r="I13" i="34"/>
  <c r="S13" i="34"/>
  <c r="AK13" i="34"/>
  <c r="AC29" i="34"/>
  <c r="Y29" i="34"/>
  <c r="K29" i="34"/>
  <c r="G29" i="34"/>
  <c r="AO29" i="34"/>
  <c r="AM29" i="34"/>
  <c r="S29" i="34"/>
  <c r="AK29" i="34"/>
  <c r="W29" i="34"/>
  <c r="I29" i="34"/>
  <c r="AC45" i="34"/>
  <c r="Y45" i="34"/>
  <c r="K45" i="34"/>
  <c r="G45" i="34"/>
  <c r="AM45" i="34"/>
  <c r="AO45" i="34"/>
  <c r="AK45" i="34"/>
  <c r="W45" i="34"/>
  <c r="I45" i="34"/>
  <c r="S45" i="34"/>
  <c r="AC61" i="34"/>
  <c r="Y61" i="34"/>
  <c r="K61" i="34"/>
  <c r="G61" i="34"/>
  <c r="AK61" i="34"/>
  <c r="W61" i="34"/>
  <c r="AO61" i="34"/>
  <c r="AM61" i="34"/>
  <c r="S61" i="34"/>
  <c r="I61" i="34"/>
  <c r="AC77" i="34"/>
  <c r="Y77" i="34"/>
  <c r="K77" i="34"/>
  <c r="G77" i="34"/>
  <c r="AO77" i="34"/>
  <c r="W77" i="34"/>
  <c r="AK77" i="34"/>
  <c r="AM77" i="34"/>
  <c r="I77" i="34"/>
  <c r="S77" i="34"/>
  <c r="AG78" i="30"/>
  <c r="AC78" i="30"/>
  <c r="O78" i="30"/>
  <c r="K78" i="30"/>
  <c r="M78" i="30"/>
  <c r="W78" i="30"/>
  <c r="AQ78" i="30"/>
  <c r="AS78" i="30"/>
  <c r="AA78" i="30"/>
  <c r="AO78" i="30"/>
  <c r="AG62" i="30"/>
  <c r="AC62" i="30"/>
  <c r="O62" i="30"/>
  <c r="K62" i="30"/>
  <c r="M62" i="30"/>
  <c r="AS62" i="30"/>
  <c r="W62" i="30"/>
  <c r="AA62" i="30"/>
  <c r="AO62" i="30"/>
  <c r="AQ62" i="30"/>
  <c r="AG46" i="30"/>
  <c r="AC46" i="30"/>
  <c r="O46" i="30"/>
  <c r="K46" i="30"/>
  <c r="M46" i="30"/>
  <c r="AO46" i="30"/>
  <c r="AQ46" i="30"/>
  <c r="AS46" i="30"/>
  <c r="W46" i="30"/>
  <c r="AA46" i="30"/>
  <c r="AG30" i="30"/>
  <c r="AC30" i="30"/>
  <c r="O30" i="30"/>
  <c r="K30" i="30"/>
  <c r="AS30" i="30"/>
  <c r="W30" i="30"/>
  <c r="M30" i="30"/>
  <c r="AO30" i="30"/>
  <c r="AA30" i="30"/>
  <c r="AQ30" i="30"/>
  <c r="AG14" i="30"/>
  <c r="AC14" i="30"/>
  <c r="O14" i="30"/>
  <c r="K14" i="30"/>
  <c r="AA14" i="30"/>
  <c r="AO14" i="30"/>
  <c r="AQ14" i="30"/>
  <c r="AS14" i="30"/>
  <c r="M14" i="30"/>
  <c r="W14" i="30"/>
  <c r="AC81" i="34"/>
  <c r="Y81" i="34"/>
  <c r="K81" i="34"/>
  <c r="G81" i="34"/>
  <c r="AO81" i="34"/>
  <c r="AM81" i="34"/>
  <c r="AK81" i="34"/>
  <c r="W81" i="34"/>
  <c r="S81" i="34"/>
  <c r="I81" i="34"/>
  <c r="AG34" i="30"/>
  <c r="AC34" i="30"/>
  <c r="O34" i="30"/>
  <c r="K34" i="30"/>
  <c r="AS34" i="30"/>
  <c r="AQ34" i="30"/>
  <c r="AO34" i="30"/>
  <c r="AA34" i="30"/>
  <c r="W34" i="30"/>
  <c r="M34" i="30"/>
  <c r="AC16" i="34"/>
  <c r="Y16" i="34"/>
  <c r="K16" i="34"/>
  <c r="G16" i="34"/>
  <c r="AO16" i="34"/>
  <c r="AM16" i="34"/>
  <c r="AK16" i="34"/>
  <c r="W16" i="34"/>
  <c r="S16" i="34"/>
  <c r="I16" i="34"/>
  <c r="O65" i="30"/>
  <c r="AG65" i="30"/>
  <c r="AC65" i="30"/>
  <c r="K65" i="30"/>
  <c r="AS65" i="30"/>
  <c r="AQ65" i="30"/>
  <c r="AO65" i="30"/>
  <c r="AA65" i="30"/>
  <c r="W65" i="30"/>
  <c r="M65" i="30"/>
  <c r="AC47" i="34"/>
  <c r="Y47" i="34"/>
  <c r="K47" i="34"/>
  <c r="G47" i="34"/>
  <c r="AO47" i="34"/>
  <c r="AM47" i="34"/>
  <c r="AK47" i="34"/>
  <c r="W47" i="34"/>
  <c r="S47" i="34"/>
  <c r="I47" i="34"/>
  <c r="AG32" i="30"/>
  <c r="AC32" i="30"/>
  <c r="O32" i="30"/>
  <c r="K32" i="30"/>
  <c r="W32" i="30"/>
  <c r="M32" i="30"/>
  <c r="AS32" i="30"/>
  <c r="AO32" i="30"/>
  <c r="AQ32" i="30"/>
  <c r="AA32" i="30"/>
  <c r="AC14" i="34"/>
  <c r="Y14" i="34"/>
  <c r="K14" i="34"/>
  <c r="G14" i="34"/>
  <c r="AO14" i="34"/>
  <c r="AM14" i="34"/>
  <c r="AK14" i="34"/>
  <c r="W14" i="34"/>
  <c r="S14" i="34"/>
  <c r="I14" i="34"/>
  <c r="AG47" i="30"/>
  <c r="AC47" i="30"/>
  <c r="O47" i="30"/>
  <c r="K47" i="30"/>
  <c r="AO47" i="30"/>
  <c r="AS47" i="30"/>
  <c r="W47" i="30"/>
  <c r="AQ47" i="30"/>
  <c r="M47" i="30"/>
  <c r="AA47" i="30"/>
  <c r="AC28" i="34"/>
  <c r="Y28" i="34"/>
  <c r="K28" i="34"/>
  <c r="G28" i="34"/>
  <c r="AK28" i="34"/>
  <c r="AO28" i="34"/>
  <c r="S28" i="34"/>
  <c r="AM28" i="34"/>
  <c r="W28" i="34"/>
  <c r="I28" i="34"/>
  <c r="AG61" i="30"/>
  <c r="AC61" i="30"/>
  <c r="O61" i="30"/>
  <c r="K61" i="30"/>
  <c r="M61" i="30"/>
  <c r="AO61" i="30"/>
  <c r="W61" i="30"/>
  <c r="AS61" i="30"/>
  <c r="AA61" i="30"/>
  <c r="AQ61" i="30"/>
  <c r="AC10" i="34"/>
  <c r="G10" i="34"/>
  <c r="Y10" i="34"/>
  <c r="K10" i="34"/>
  <c r="AM10" i="34"/>
  <c r="AK10" i="34"/>
  <c r="AO10" i="34"/>
  <c r="W10" i="34"/>
  <c r="I10" i="34"/>
  <c r="S10" i="34"/>
  <c r="G40" i="34"/>
  <c r="K40" i="34"/>
  <c r="Y40" i="34"/>
  <c r="AC40" i="34"/>
  <c r="AO40" i="34"/>
  <c r="AM40" i="34"/>
  <c r="AK40" i="34"/>
  <c r="W40" i="34"/>
  <c r="S40" i="34"/>
  <c r="I40" i="34"/>
  <c r="O73" i="30"/>
  <c r="AG73" i="30"/>
  <c r="AC73" i="30"/>
  <c r="K73" i="30"/>
  <c r="AS73" i="30"/>
  <c r="AA73" i="30"/>
  <c r="AQ73" i="30"/>
  <c r="M73" i="30"/>
  <c r="AO73" i="30"/>
  <c r="W73" i="30"/>
  <c r="AG41" i="30"/>
  <c r="O41" i="30"/>
  <c r="K41" i="30"/>
  <c r="AC41" i="30"/>
  <c r="AS41" i="30"/>
  <c r="W41" i="30"/>
  <c r="AQ41" i="30"/>
  <c r="AA41" i="30"/>
  <c r="AO41" i="30"/>
  <c r="M41" i="30"/>
  <c r="G8" i="34"/>
  <c r="AC8" i="34"/>
  <c r="Y8" i="34"/>
  <c r="K8" i="34"/>
  <c r="AO8" i="34"/>
  <c r="AM8" i="34"/>
  <c r="AK8" i="34"/>
  <c r="W8" i="34"/>
  <c r="S8" i="34"/>
  <c r="I8" i="34"/>
  <c r="AC23" i="34"/>
  <c r="Y23" i="34"/>
  <c r="K23" i="34"/>
  <c r="G23" i="34"/>
  <c r="W23" i="34"/>
  <c r="I23" i="34"/>
  <c r="AK23" i="34"/>
  <c r="S23" i="34"/>
  <c r="AM23" i="34"/>
  <c r="AO23" i="34"/>
  <c r="AC39" i="34"/>
  <c r="Y39" i="34"/>
  <c r="K39" i="34"/>
  <c r="G39" i="34"/>
  <c r="S39" i="34"/>
  <c r="I39" i="34"/>
  <c r="AM39" i="34"/>
  <c r="AO39" i="34"/>
  <c r="AK39" i="34"/>
  <c r="W39" i="34"/>
  <c r="AC55" i="34"/>
  <c r="Y55" i="34"/>
  <c r="K55" i="34"/>
  <c r="G55" i="34"/>
  <c r="W55" i="34"/>
  <c r="I55" i="34"/>
  <c r="AO55" i="34"/>
  <c r="S55" i="34"/>
  <c r="AK55" i="34"/>
  <c r="AM55" i="34"/>
  <c r="AC71" i="34"/>
  <c r="Y71" i="34"/>
  <c r="K71" i="34"/>
  <c r="G71" i="34"/>
  <c r="S71" i="34"/>
  <c r="I71" i="34"/>
  <c r="AM71" i="34"/>
  <c r="AK71" i="34"/>
  <c r="W71" i="34"/>
  <c r="AO71" i="34"/>
  <c r="O72" i="30"/>
  <c r="AC72" i="30"/>
  <c r="AG72" i="30"/>
  <c r="K72" i="30"/>
  <c r="AO72" i="30"/>
  <c r="AS72" i="30"/>
  <c r="AA72" i="30"/>
  <c r="AQ72" i="30"/>
  <c r="M72" i="30"/>
  <c r="W72" i="30"/>
  <c r="AC56" i="30"/>
  <c r="K56" i="30"/>
  <c r="O56" i="30"/>
  <c r="AG56" i="30"/>
  <c r="AQ56" i="30"/>
  <c r="W56" i="30"/>
  <c r="M56" i="30"/>
  <c r="AS56" i="30"/>
  <c r="AA56" i="30"/>
  <c r="AO56" i="30"/>
  <c r="AG40" i="30"/>
  <c r="AC40" i="30"/>
  <c r="O40" i="30"/>
  <c r="K40" i="30"/>
  <c r="M40" i="30"/>
  <c r="W40" i="30"/>
  <c r="AO40" i="30"/>
  <c r="AS40" i="30"/>
  <c r="AA40" i="30"/>
  <c r="AQ40" i="30"/>
  <c r="O24" i="30"/>
  <c r="AG24" i="30"/>
  <c r="K24" i="30"/>
  <c r="AC24" i="30"/>
  <c r="AO24" i="30"/>
  <c r="W24" i="30"/>
  <c r="AQ24" i="30"/>
  <c r="M24" i="30"/>
  <c r="AS24" i="30"/>
  <c r="AA24" i="30"/>
  <c r="AG8" i="30"/>
  <c r="AC8" i="30"/>
  <c r="O8" i="30"/>
  <c r="K8" i="30"/>
  <c r="M8" i="30"/>
  <c r="AS8" i="30"/>
  <c r="AO8" i="30"/>
  <c r="W8" i="30"/>
  <c r="AA8" i="30"/>
  <c r="AQ8" i="30"/>
  <c r="AC65" i="34"/>
  <c r="Y65" i="34"/>
  <c r="K65" i="34"/>
  <c r="G65" i="34"/>
  <c r="AO65" i="34"/>
  <c r="AM65" i="34"/>
  <c r="AK65" i="34"/>
  <c r="W65" i="34"/>
  <c r="S65" i="34"/>
  <c r="I65" i="34"/>
  <c r="AG50" i="30"/>
  <c r="AC50" i="30"/>
  <c r="O50" i="30"/>
  <c r="K50" i="30"/>
  <c r="AS50" i="30"/>
  <c r="AQ50" i="30"/>
  <c r="AO50" i="30"/>
  <c r="AA50" i="30"/>
  <c r="W50" i="30"/>
  <c r="M50" i="30"/>
  <c r="AG18" i="30"/>
  <c r="AC18" i="30"/>
  <c r="O18" i="30"/>
  <c r="K18" i="30"/>
  <c r="AS18" i="30"/>
  <c r="AQ18" i="30"/>
  <c r="AO18" i="30"/>
  <c r="AA18" i="30"/>
  <c r="W18" i="30"/>
  <c r="M18" i="30"/>
  <c r="AC80" i="34"/>
  <c r="Y80" i="34"/>
  <c r="K80" i="34"/>
  <c r="G80" i="34"/>
  <c r="AO80" i="34"/>
  <c r="AM80" i="34"/>
  <c r="AK80" i="34"/>
  <c r="W80" i="34"/>
  <c r="S80" i="34"/>
  <c r="I80" i="34"/>
  <c r="AC15" i="34"/>
  <c r="Y15" i="34"/>
  <c r="K15" i="34"/>
  <c r="G15" i="34"/>
  <c r="AO15" i="34"/>
  <c r="AM15" i="34"/>
  <c r="AK15" i="34"/>
  <c r="W15" i="34"/>
  <c r="S15" i="34"/>
  <c r="I15" i="34"/>
  <c r="AG48" i="30"/>
  <c r="AC48" i="30"/>
  <c r="O48" i="30"/>
  <c r="K48" i="30"/>
  <c r="M48" i="30"/>
  <c r="AO48" i="30"/>
  <c r="AQ48" i="30"/>
  <c r="AA48" i="30"/>
  <c r="AS48" i="30"/>
  <c r="W48" i="30"/>
  <c r="AC46" i="34"/>
  <c r="Y46" i="34"/>
  <c r="K46" i="34"/>
  <c r="G46" i="34"/>
  <c r="AO46" i="34"/>
  <c r="AM46" i="34"/>
  <c r="AK46" i="34"/>
  <c r="W46" i="34"/>
  <c r="S46" i="34"/>
  <c r="I46" i="34"/>
  <c r="AC44" i="34"/>
  <c r="Y44" i="34"/>
  <c r="K44" i="34"/>
  <c r="G44" i="34"/>
  <c r="AK44" i="34"/>
  <c r="AM44" i="34"/>
  <c r="AO44" i="34"/>
  <c r="W44" i="34"/>
  <c r="I44" i="34"/>
  <c r="S44" i="34"/>
  <c r="AG77" i="30"/>
  <c r="AC77" i="30"/>
  <c r="O77" i="30"/>
  <c r="K77" i="30"/>
  <c r="AO77" i="30"/>
  <c r="M77" i="30"/>
  <c r="W77" i="30"/>
  <c r="AQ77" i="30"/>
  <c r="AS77" i="30"/>
  <c r="AA77" i="30"/>
  <c r="AG13" i="30"/>
  <c r="AC13" i="30"/>
  <c r="O13" i="30"/>
  <c r="K13" i="30"/>
  <c r="AQ13" i="30"/>
  <c r="AA13" i="30"/>
  <c r="AO13" i="30"/>
  <c r="AS13" i="30"/>
  <c r="W13" i="30"/>
  <c r="M13" i="30"/>
  <c r="AC27" i="34"/>
  <c r="Y27" i="34"/>
  <c r="K27" i="34"/>
  <c r="G27" i="34"/>
  <c r="AM27" i="34"/>
  <c r="AK27" i="34"/>
  <c r="S27" i="34"/>
  <c r="AO27" i="34"/>
  <c r="W27" i="34"/>
  <c r="I27" i="34"/>
  <c r="G3" i="34"/>
  <c r="K3" i="34"/>
  <c r="Y3" i="34"/>
  <c r="AC3" i="34"/>
  <c r="AO3" i="34"/>
  <c r="AM3" i="34"/>
  <c r="AK3" i="34"/>
  <c r="W3" i="34"/>
  <c r="S3" i="34"/>
  <c r="I3" i="34"/>
  <c r="AG11" i="30"/>
  <c r="AC11" i="30"/>
  <c r="O11" i="30"/>
  <c r="K11" i="30"/>
  <c r="W11" i="30"/>
  <c r="M11" i="30"/>
  <c r="AQ11" i="30"/>
  <c r="AO11" i="30"/>
  <c r="AA11" i="30"/>
  <c r="AS11" i="30"/>
  <c r="AC57" i="34"/>
  <c r="K57" i="34"/>
  <c r="G57" i="34"/>
  <c r="Y57" i="34"/>
  <c r="AO57" i="34"/>
  <c r="AM57" i="34"/>
  <c r="AK57" i="34"/>
  <c r="S57" i="34"/>
  <c r="I57" i="34"/>
  <c r="W57" i="34"/>
  <c r="AC42" i="30"/>
  <c r="AG42" i="30"/>
  <c r="K42" i="30"/>
  <c r="O42" i="30"/>
  <c r="AS42" i="30"/>
  <c r="AQ42" i="30"/>
  <c r="AA42" i="30"/>
  <c r="AO42" i="30"/>
  <c r="W42" i="30"/>
  <c r="M42" i="30"/>
  <c r="K72" i="34"/>
  <c r="AC72" i="34"/>
  <c r="G72" i="34"/>
  <c r="Y72" i="34"/>
  <c r="AO72" i="34"/>
  <c r="AM72" i="34"/>
  <c r="AK72" i="34"/>
  <c r="W72" i="34"/>
  <c r="S72" i="34"/>
  <c r="I72" i="34"/>
  <c r="AG25" i="30"/>
  <c r="AC25" i="30"/>
  <c r="O25" i="30"/>
  <c r="K25" i="30"/>
  <c r="W25" i="30"/>
  <c r="AQ25" i="30"/>
  <c r="M25" i="30"/>
  <c r="AS25" i="30"/>
  <c r="AA25" i="30"/>
  <c r="AO25" i="30"/>
  <c r="AC7" i="34"/>
  <c r="Y7" i="34"/>
  <c r="K7" i="34"/>
  <c r="G7" i="34"/>
  <c r="S7" i="34"/>
  <c r="AM7" i="34"/>
  <c r="AK7" i="34"/>
  <c r="W7" i="34"/>
  <c r="AO7" i="34"/>
  <c r="I7" i="34"/>
  <c r="G22" i="34"/>
  <c r="AC22" i="34"/>
  <c r="Y22" i="34"/>
  <c r="K22" i="34"/>
  <c r="W22" i="34"/>
  <c r="I22" i="34"/>
  <c r="S22" i="34"/>
  <c r="AK22" i="34"/>
  <c r="AM22" i="34"/>
  <c r="AO22" i="34"/>
  <c r="Y38" i="34"/>
  <c r="AC38" i="34"/>
  <c r="K38" i="34"/>
  <c r="G38" i="34"/>
  <c r="S38" i="34"/>
  <c r="AO38" i="34"/>
  <c r="AM38" i="34"/>
  <c r="AK38" i="34"/>
  <c r="W38" i="34"/>
  <c r="I38" i="34"/>
  <c r="AC54" i="34"/>
  <c r="Y54" i="34"/>
  <c r="K54" i="34"/>
  <c r="G54" i="34"/>
  <c r="AM54" i="34"/>
  <c r="W54" i="34"/>
  <c r="I54" i="34"/>
  <c r="AO54" i="34"/>
  <c r="S54" i="34"/>
  <c r="AK54" i="34"/>
  <c r="AC70" i="34"/>
  <c r="Y70" i="34"/>
  <c r="K70" i="34"/>
  <c r="G70" i="34"/>
  <c r="W70" i="34"/>
  <c r="S70" i="34"/>
  <c r="AM70" i="34"/>
  <c r="I70" i="34"/>
  <c r="AK70" i="34"/>
  <c r="AO70" i="34"/>
  <c r="AG71" i="30"/>
  <c r="AC71" i="30"/>
  <c r="O71" i="30"/>
  <c r="K71" i="30"/>
  <c r="W71" i="30"/>
  <c r="AS71" i="30"/>
  <c r="AA71" i="30"/>
  <c r="AO71" i="30"/>
  <c r="AQ71" i="30"/>
  <c r="M71" i="30"/>
  <c r="AG55" i="30"/>
  <c r="AC55" i="30"/>
  <c r="O55" i="30"/>
  <c r="K55" i="30"/>
  <c r="AQ55" i="30"/>
  <c r="M55" i="30"/>
  <c r="W55" i="30"/>
  <c r="AS55" i="30"/>
  <c r="AA55" i="30"/>
  <c r="AO55" i="30"/>
  <c r="AG39" i="30"/>
  <c r="AC39" i="30"/>
  <c r="O39" i="30"/>
  <c r="K39" i="30"/>
  <c r="M39" i="30"/>
  <c r="AS39" i="30"/>
  <c r="W39" i="30"/>
  <c r="AO39" i="30"/>
  <c r="AA39" i="30"/>
  <c r="AQ39" i="30"/>
  <c r="AG23" i="30"/>
  <c r="AC23" i="30"/>
  <c r="O23" i="30"/>
  <c r="K23" i="30"/>
  <c r="AO23" i="30"/>
  <c r="AQ23" i="30"/>
  <c r="AS23" i="30"/>
  <c r="W23" i="30"/>
  <c r="AA23" i="30"/>
  <c r="M23" i="30"/>
  <c r="AG7" i="30"/>
  <c r="AC7" i="30"/>
  <c r="O7" i="30"/>
  <c r="K7" i="30"/>
  <c r="M7" i="30"/>
  <c r="AA7" i="30"/>
  <c r="AO7" i="30"/>
  <c r="W7" i="30"/>
  <c r="AS7" i="30"/>
  <c r="AQ7" i="30"/>
  <c r="AG16" i="30"/>
  <c r="AC16" i="30"/>
  <c r="O16" i="30"/>
  <c r="K16" i="30"/>
  <c r="AO16" i="30"/>
  <c r="W16" i="30"/>
  <c r="AA16" i="30"/>
  <c r="AQ16" i="30"/>
  <c r="AS16" i="30"/>
  <c r="M16" i="30"/>
  <c r="AG31" i="30"/>
  <c r="AC31" i="30"/>
  <c r="O31" i="30"/>
  <c r="K31" i="30"/>
  <c r="W31" i="30"/>
  <c r="M31" i="30"/>
  <c r="AA31" i="30"/>
  <c r="AO31" i="30"/>
  <c r="AS31" i="30"/>
  <c r="AQ31" i="30"/>
  <c r="AC60" i="34"/>
  <c r="Y60" i="34"/>
  <c r="K60" i="34"/>
  <c r="G60" i="34"/>
  <c r="S60" i="34"/>
  <c r="AK60" i="34"/>
  <c r="AM60" i="34"/>
  <c r="W60" i="34"/>
  <c r="I60" i="34"/>
  <c r="AO60" i="34"/>
  <c r="AC59" i="34"/>
  <c r="Y59" i="34"/>
  <c r="K59" i="34"/>
  <c r="G59" i="34"/>
  <c r="S59" i="34"/>
  <c r="AK59" i="34"/>
  <c r="AM59" i="34"/>
  <c r="W59" i="34"/>
  <c r="I59" i="34"/>
  <c r="AO59" i="34"/>
  <c r="AG60" i="30"/>
  <c r="AC60" i="30"/>
  <c r="O60" i="30"/>
  <c r="K60" i="30"/>
  <c r="AO60" i="30"/>
  <c r="M60" i="30"/>
  <c r="AS60" i="30"/>
  <c r="W60" i="30"/>
  <c r="AA60" i="30"/>
  <c r="AQ60" i="30"/>
  <c r="D8" i="33"/>
  <c r="E28" i="21"/>
  <c r="G28" i="21" s="1"/>
  <c r="G74" i="34"/>
  <c r="AC74" i="34"/>
  <c r="Y74" i="34"/>
  <c r="K74" i="34"/>
  <c r="I74" i="34"/>
  <c r="W74" i="34"/>
  <c r="AM74" i="34"/>
  <c r="AO74" i="34"/>
  <c r="AK74" i="34"/>
  <c r="S74" i="34"/>
  <c r="AG27" i="30"/>
  <c r="AC27" i="30"/>
  <c r="O27" i="30"/>
  <c r="K27" i="30"/>
  <c r="AQ27" i="30"/>
  <c r="W27" i="30"/>
  <c r="AS27" i="30"/>
  <c r="M27" i="30"/>
  <c r="AA27" i="30"/>
  <c r="AO27" i="30"/>
  <c r="Y56" i="34"/>
  <c r="AC56" i="34"/>
  <c r="K56" i="34"/>
  <c r="G56" i="34"/>
  <c r="AO56" i="34"/>
  <c r="AM56" i="34"/>
  <c r="AK56" i="34"/>
  <c r="W56" i="34"/>
  <c r="S56" i="34"/>
  <c r="I56" i="34"/>
  <c r="AC6" i="34"/>
  <c r="Y6" i="34"/>
  <c r="K6" i="34"/>
  <c r="G6" i="34"/>
  <c r="I6" i="34"/>
  <c r="S6" i="34"/>
  <c r="AM6" i="34"/>
  <c r="W6" i="34"/>
  <c r="AK6" i="34"/>
  <c r="AO6" i="34"/>
  <c r="Y21" i="34"/>
  <c r="AC21" i="34"/>
  <c r="K21" i="34"/>
  <c r="G21" i="34"/>
  <c r="S21" i="34"/>
  <c r="W21" i="34"/>
  <c r="I21" i="34"/>
  <c r="AK21" i="34"/>
  <c r="AM21" i="34"/>
  <c r="AO21" i="34"/>
  <c r="AC37" i="34"/>
  <c r="K37" i="34"/>
  <c r="G37" i="34"/>
  <c r="Y37" i="34"/>
  <c r="AK37" i="34"/>
  <c r="S37" i="34"/>
  <c r="W37" i="34"/>
  <c r="AM37" i="34"/>
  <c r="AO37" i="34"/>
  <c r="I37" i="34"/>
  <c r="K53" i="34"/>
  <c r="G53" i="34"/>
  <c r="Y53" i="34"/>
  <c r="AC53" i="34"/>
  <c r="AM53" i="34"/>
  <c r="W53" i="34"/>
  <c r="I53" i="34"/>
  <c r="AO53" i="34"/>
  <c r="S53" i="34"/>
  <c r="AK53" i="34"/>
  <c r="G69" i="34"/>
  <c r="K69" i="34"/>
  <c r="Y69" i="34"/>
  <c r="AC69" i="34"/>
  <c r="S69" i="34"/>
  <c r="I69" i="34"/>
  <c r="AK69" i="34"/>
  <c r="AM69" i="34"/>
  <c r="W69" i="34"/>
  <c r="AO69" i="34"/>
  <c r="AC70" i="30"/>
  <c r="O70" i="30"/>
  <c r="K70" i="30"/>
  <c r="AG70" i="30"/>
  <c r="AS70" i="30"/>
  <c r="AQ70" i="30"/>
  <c r="AO70" i="30"/>
  <c r="AA70" i="30"/>
  <c r="W70" i="30"/>
  <c r="M70" i="30"/>
  <c r="K54" i="30"/>
  <c r="AC54" i="30"/>
  <c r="AG54" i="30"/>
  <c r="O54" i="30"/>
  <c r="AS54" i="30"/>
  <c r="AQ54" i="30"/>
  <c r="AO54" i="30"/>
  <c r="AA54" i="30"/>
  <c r="W54" i="30"/>
  <c r="M54" i="30"/>
  <c r="AG38" i="30"/>
  <c r="K38" i="30"/>
  <c r="O38" i="30"/>
  <c r="AC38" i="30"/>
  <c r="AS38" i="30"/>
  <c r="AQ38" i="30"/>
  <c r="AO38" i="30"/>
  <c r="AA38" i="30"/>
  <c r="W38" i="30"/>
  <c r="M38" i="30"/>
  <c r="AC22" i="30"/>
  <c r="O22" i="30"/>
  <c r="K22" i="30"/>
  <c r="AG22" i="30"/>
  <c r="AS22" i="30"/>
  <c r="AQ22" i="30"/>
  <c r="AO22" i="30"/>
  <c r="AA22" i="30"/>
  <c r="W22" i="30"/>
  <c r="M22" i="30"/>
  <c r="AC6" i="30"/>
  <c r="K6" i="30"/>
  <c r="AG6" i="30"/>
  <c r="O6" i="30"/>
  <c r="AS6" i="30"/>
  <c r="AQ6" i="30"/>
  <c r="AO6" i="30"/>
  <c r="AA6" i="30"/>
  <c r="W6" i="30"/>
  <c r="M6" i="30"/>
  <c r="AC49" i="34"/>
  <c r="Y49" i="34"/>
  <c r="K49" i="34"/>
  <c r="G49" i="34"/>
  <c r="AO49" i="34"/>
  <c r="AM49" i="34"/>
  <c r="AK49" i="34"/>
  <c r="W49" i="34"/>
  <c r="S49" i="34"/>
  <c r="I49" i="34"/>
  <c r="AG66" i="30"/>
  <c r="AC66" i="30"/>
  <c r="O66" i="30"/>
  <c r="K66" i="30"/>
  <c r="AS66" i="30"/>
  <c r="AQ66" i="30"/>
  <c r="AO66" i="30"/>
  <c r="AA66" i="30"/>
  <c r="W66" i="30"/>
  <c r="M66" i="30"/>
  <c r="AC64" i="34"/>
  <c r="Y64" i="34"/>
  <c r="K64" i="34"/>
  <c r="G64" i="34"/>
  <c r="AO64" i="34"/>
  <c r="AM64" i="34"/>
  <c r="AK64" i="34"/>
  <c r="W64" i="34"/>
  <c r="S64" i="34"/>
  <c r="I64" i="34"/>
  <c r="K33" i="30"/>
  <c r="AG33" i="30"/>
  <c r="AC33" i="30"/>
  <c r="O33" i="30"/>
  <c r="AS33" i="30"/>
  <c r="AQ33" i="30"/>
  <c r="AO33" i="30"/>
  <c r="AA33" i="30"/>
  <c r="W33" i="30"/>
  <c r="M33" i="30"/>
  <c r="AC31" i="34"/>
  <c r="Y31" i="34"/>
  <c r="K31" i="34"/>
  <c r="G31" i="34"/>
  <c r="AO31" i="34"/>
  <c r="AM31" i="34"/>
  <c r="AK31" i="34"/>
  <c r="W31" i="34"/>
  <c r="S31" i="34"/>
  <c r="I31" i="34"/>
  <c r="AC79" i="34"/>
  <c r="Y79" i="34"/>
  <c r="K79" i="34"/>
  <c r="G79" i="34"/>
  <c r="AO79" i="34"/>
  <c r="AM79" i="34"/>
  <c r="AK79" i="34"/>
  <c r="W79" i="34"/>
  <c r="S79" i="34"/>
  <c r="I79" i="34"/>
  <c r="AG63" i="30"/>
  <c r="AC63" i="30"/>
  <c r="O63" i="30"/>
  <c r="K63" i="30"/>
  <c r="AA63" i="30"/>
  <c r="W63" i="30"/>
  <c r="AQ63" i="30"/>
  <c r="AS63" i="30"/>
  <c r="AO63" i="30"/>
  <c r="M63" i="30"/>
  <c r="AC12" i="34"/>
  <c r="Y12" i="34"/>
  <c r="K12" i="34"/>
  <c r="G12" i="34"/>
  <c r="AO12" i="34"/>
  <c r="W12" i="34"/>
  <c r="I12" i="34"/>
  <c r="S12" i="34"/>
  <c r="AM12" i="34"/>
  <c r="AK12" i="34"/>
  <c r="AC11" i="34"/>
  <c r="Y11" i="34"/>
  <c r="K11" i="34"/>
  <c r="G11" i="34"/>
  <c r="AO11" i="34"/>
  <c r="W11" i="34"/>
  <c r="I11" i="34"/>
  <c r="S11" i="34"/>
  <c r="AM11" i="34"/>
  <c r="AK11" i="34"/>
  <c r="AG76" i="30"/>
  <c r="AC76" i="30"/>
  <c r="O76" i="30"/>
  <c r="K76" i="30"/>
  <c r="AQ76" i="30"/>
  <c r="AO76" i="30"/>
  <c r="M76" i="30"/>
  <c r="W76" i="30"/>
  <c r="AS76" i="30"/>
  <c r="AA76" i="30"/>
  <c r="AC42" i="34"/>
  <c r="Y42" i="34"/>
  <c r="K42" i="34"/>
  <c r="G42" i="34"/>
  <c r="AK42" i="34"/>
  <c r="AO42" i="34"/>
  <c r="W42" i="34"/>
  <c r="I42" i="34"/>
  <c r="AM42" i="34"/>
  <c r="S42" i="34"/>
  <c r="AG75" i="30"/>
  <c r="AC75" i="30"/>
  <c r="O75" i="30"/>
  <c r="Q75" i="30" s="1"/>
  <c r="K75" i="30"/>
  <c r="M75" i="30"/>
  <c r="AO75" i="30"/>
  <c r="AQ75" i="30"/>
  <c r="W75" i="30"/>
  <c r="AS75" i="30"/>
  <c r="AA75" i="30"/>
  <c r="AG43" i="30"/>
  <c r="AC43" i="30"/>
  <c r="O43" i="30"/>
  <c r="K43" i="30"/>
  <c r="AA43" i="30"/>
  <c r="AO43" i="30"/>
  <c r="AQ43" i="30"/>
  <c r="AS43" i="30"/>
  <c r="W43" i="30"/>
  <c r="M43" i="30"/>
  <c r="K73" i="34"/>
  <c r="Y73" i="34"/>
  <c r="AC73" i="34"/>
  <c r="G73" i="34"/>
  <c r="AO73" i="34"/>
  <c r="AM73" i="34"/>
  <c r="AK73" i="34"/>
  <c r="W73" i="34"/>
  <c r="I73" i="34"/>
  <c r="S73" i="34"/>
  <c r="O58" i="30"/>
  <c r="AG58" i="30"/>
  <c r="AC58" i="30"/>
  <c r="K58" i="30"/>
  <c r="AS58" i="30"/>
  <c r="AQ58" i="30"/>
  <c r="M58" i="30"/>
  <c r="AA58" i="30"/>
  <c r="W58" i="30"/>
  <c r="AO58" i="30"/>
  <c r="O10" i="30"/>
  <c r="AG10" i="30"/>
  <c r="AC10" i="30"/>
  <c r="K10" i="30"/>
  <c r="AS10" i="30"/>
  <c r="W10" i="30"/>
  <c r="AQ10" i="30"/>
  <c r="AA10" i="30"/>
  <c r="M10" i="30"/>
  <c r="AO10" i="30"/>
  <c r="G9" i="34"/>
  <c r="K9" i="34"/>
  <c r="AC9" i="34"/>
  <c r="Y9" i="34"/>
  <c r="AO9" i="34"/>
  <c r="AM9" i="34"/>
  <c r="W9" i="34"/>
  <c r="AK9" i="34"/>
  <c r="I9" i="34"/>
  <c r="S9" i="34"/>
  <c r="Y5" i="34"/>
  <c r="AC5" i="34"/>
  <c r="K5" i="34"/>
  <c r="G5" i="34"/>
  <c r="W5" i="34"/>
  <c r="S5" i="34"/>
  <c r="AM5" i="34"/>
  <c r="AO5" i="34"/>
  <c r="AK5" i="34"/>
  <c r="I5" i="34"/>
  <c r="AC20" i="34"/>
  <c r="K20" i="34"/>
  <c r="G20" i="34"/>
  <c r="Y20" i="34"/>
  <c r="AO20" i="34"/>
  <c r="AM20" i="34"/>
  <c r="AK20" i="34"/>
  <c r="W20" i="34"/>
  <c r="S20" i="34"/>
  <c r="I20" i="34"/>
  <c r="AC36" i="34"/>
  <c r="Y36" i="34"/>
  <c r="G36" i="34"/>
  <c r="K36" i="34"/>
  <c r="AO36" i="34"/>
  <c r="AM36" i="34"/>
  <c r="AK36" i="34"/>
  <c r="W36" i="34"/>
  <c r="S36" i="34"/>
  <c r="I36" i="34"/>
  <c r="Y52" i="34"/>
  <c r="K52" i="34"/>
  <c r="AC52" i="34"/>
  <c r="G52" i="34"/>
  <c r="AO52" i="34"/>
  <c r="AM52" i="34"/>
  <c r="AK52" i="34"/>
  <c r="W52" i="34"/>
  <c r="S52" i="34"/>
  <c r="I52" i="34"/>
  <c r="K68" i="34"/>
  <c r="AC68" i="34"/>
  <c r="Y68" i="34"/>
  <c r="G68" i="34"/>
  <c r="AO68" i="34"/>
  <c r="AM68" i="34"/>
  <c r="AK68" i="34"/>
  <c r="W68" i="34"/>
  <c r="S68" i="34"/>
  <c r="I68" i="34"/>
  <c r="AG69" i="30"/>
  <c r="AC69" i="30"/>
  <c r="K69" i="30"/>
  <c r="O69" i="30"/>
  <c r="AS69" i="30"/>
  <c r="AQ69" i="30"/>
  <c r="AO69" i="30"/>
  <c r="AA69" i="30"/>
  <c r="W69" i="30"/>
  <c r="M69" i="30"/>
  <c r="O53" i="30"/>
  <c r="AC53" i="30"/>
  <c r="AG53" i="30"/>
  <c r="K53" i="30"/>
  <c r="AS53" i="30"/>
  <c r="AQ53" i="30"/>
  <c r="AO53" i="30"/>
  <c r="AA53" i="30"/>
  <c r="W53" i="30"/>
  <c r="M53" i="30"/>
  <c r="K37" i="30"/>
  <c r="O37" i="30"/>
  <c r="AC37" i="30"/>
  <c r="AG37" i="30"/>
  <c r="AS37" i="30"/>
  <c r="AQ37" i="30"/>
  <c r="AO37" i="30"/>
  <c r="AA37" i="30"/>
  <c r="W37" i="30"/>
  <c r="M37" i="30"/>
  <c r="AG21" i="30"/>
  <c r="K21" i="30"/>
  <c r="O21" i="30"/>
  <c r="AC21" i="30"/>
  <c r="AS21" i="30"/>
  <c r="AQ21" i="30"/>
  <c r="AO21" i="30"/>
  <c r="AA21" i="30"/>
  <c r="W21" i="30"/>
  <c r="M21" i="30"/>
  <c r="AC5" i="30"/>
  <c r="O5" i="30"/>
  <c r="AG5" i="30"/>
  <c r="K5" i="30"/>
  <c r="AS5" i="30"/>
  <c r="AQ5" i="30"/>
  <c r="AO5" i="30"/>
  <c r="AA5" i="30"/>
  <c r="W5" i="30"/>
  <c r="M5" i="30"/>
  <c r="AC17" i="34"/>
  <c r="Y17" i="34"/>
  <c r="K17" i="34"/>
  <c r="G17" i="34"/>
  <c r="AO17" i="34"/>
  <c r="AM17" i="34"/>
  <c r="AK17" i="34"/>
  <c r="W17" i="34"/>
  <c r="S17" i="34"/>
  <c r="I17" i="34"/>
  <c r="AG82" i="30"/>
  <c r="AC82" i="30"/>
  <c r="O82" i="30"/>
  <c r="K82" i="30"/>
  <c r="AS82" i="30"/>
  <c r="AQ82" i="30"/>
  <c r="AO82" i="30"/>
  <c r="AA82" i="30"/>
  <c r="W82" i="30"/>
  <c r="M82" i="30"/>
  <c r="AC32" i="34"/>
  <c r="Y32" i="34"/>
  <c r="K32" i="34"/>
  <c r="G32" i="34"/>
  <c r="AO32" i="34"/>
  <c r="AM32" i="34"/>
  <c r="AK32" i="34"/>
  <c r="W32" i="34"/>
  <c r="S32" i="34"/>
  <c r="I32" i="34"/>
  <c r="K81" i="30"/>
  <c r="AG81" i="30"/>
  <c r="AC81" i="30"/>
  <c r="O81" i="30"/>
  <c r="AS81" i="30"/>
  <c r="AQ81" i="30"/>
  <c r="AO81" i="30"/>
  <c r="AA81" i="30"/>
  <c r="W81" i="30"/>
  <c r="M81" i="30"/>
  <c r="AC49" i="30"/>
  <c r="O49" i="30"/>
  <c r="K49" i="30"/>
  <c r="AG49" i="30"/>
  <c r="AS49" i="30"/>
  <c r="AQ49" i="30"/>
  <c r="AO49" i="30"/>
  <c r="AA49" i="30"/>
  <c r="W49" i="30"/>
  <c r="M49" i="30"/>
  <c r="AC17" i="30"/>
  <c r="O17" i="30"/>
  <c r="K17" i="30"/>
  <c r="AG17" i="30"/>
  <c r="AS17" i="30"/>
  <c r="AQ17" i="30"/>
  <c r="AO17" i="30"/>
  <c r="AA17" i="30"/>
  <c r="W17" i="30"/>
  <c r="M17" i="30"/>
  <c r="AC63" i="34"/>
  <c r="Y63" i="34"/>
  <c r="K63" i="34"/>
  <c r="G63" i="34"/>
  <c r="AO63" i="34"/>
  <c r="AM63" i="34"/>
  <c r="AK63" i="34"/>
  <c r="W63" i="34"/>
  <c r="S63" i="34"/>
  <c r="I63" i="34"/>
  <c r="AG64" i="30"/>
  <c r="AC64" i="30"/>
  <c r="O64" i="30"/>
  <c r="K64" i="30"/>
  <c r="W64" i="30"/>
  <c r="AO64" i="30"/>
  <c r="AA64" i="30"/>
  <c r="M64" i="30"/>
  <c r="AS64" i="30"/>
  <c r="AQ64" i="30"/>
  <c r="AC30" i="34"/>
  <c r="Y30" i="34"/>
  <c r="K30" i="34"/>
  <c r="G30" i="34"/>
  <c r="AO30" i="34"/>
  <c r="AM30" i="34"/>
  <c r="AK30" i="34"/>
  <c r="W30" i="34"/>
  <c r="S30" i="34"/>
  <c r="I30" i="34"/>
  <c r="AC62" i="34"/>
  <c r="Y62" i="34"/>
  <c r="K62" i="34"/>
  <c r="G62" i="34"/>
  <c r="AO62" i="34"/>
  <c r="AM62" i="34"/>
  <c r="AK62" i="34"/>
  <c r="W62" i="34"/>
  <c r="S62" i="34"/>
  <c r="I62" i="34"/>
  <c r="AG45" i="30"/>
  <c r="AC45" i="30"/>
  <c r="O45" i="30"/>
  <c r="K45" i="30"/>
  <c r="AO45" i="30"/>
  <c r="AQ45" i="30"/>
  <c r="W45" i="30"/>
  <c r="AS45" i="30"/>
  <c r="M45" i="30"/>
  <c r="AA45" i="30"/>
  <c r="AC75" i="34"/>
  <c r="Y75" i="34"/>
  <c r="K75" i="34"/>
  <c r="G75" i="34"/>
  <c r="AM75" i="34"/>
  <c r="W75" i="34"/>
  <c r="AO75" i="34"/>
  <c r="I75" i="34"/>
  <c r="AK75" i="34"/>
  <c r="S75" i="34"/>
  <c r="AG28" i="30"/>
  <c r="AC28" i="30"/>
  <c r="O28" i="30"/>
  <c r="K28" i="30"/>
  <c r="AS28" i="30"/>
  <c r="W28" i="30"/>
  <c r="AA28" i="30"/>
  <c r="M28" i="30"/>
  <c r="AO28" i="30"/>
  <c r="AQ28" i="30"/>
  <c r="AG12" i="30"/>
  <c r="AC12" i="30"/>
  <c r="O12" i="30"/>
  <c r="K12" i="30"/>
  <c r="M12" i="30"/>
  <c r="AO12" i="30"/>
  <c r="AQ12" i="30"/>
  <c r="AA12" i="30"/>
  <c r="W12" i="30"/>
  <c r="AS12" i="30"/>
  <c r="K58" i="34"/>
  <c r="G58" i="34"/>
  <c r="Y58" i="34"/>
  <c r="AC58" i="34"/>
  <c r="AO58" i="34"/>
  <c r="S58" i="34"/>
  <c r="AK58" i="34"/>
  <c r="AM58" i="34"/>
  <c r="W58" i="34"/>
  <c r="I58" i="34"/>
  <c r="K25" i="34"/>
  <c r="AC25" i="34"/>
  <c r="Y25" i="34"/>
  <c r="G25" i="34"/>
  <c r="AO25" i="34"/>
  <c r="AM25" i="34"/>
  <c r="AK25" i="34"/>
  <c r="S25" i="34"/>
  <c r="W25" i="34"/>
  <c r="I25" i="34"/>
  <c r="AC24" i="34"/>
  <c r="Y24" i="34"/>
  <c r="K24" i="34"/>
  <c r="G24" i="34"/>
  <c r="AO24" i="34"/>
  <c r="AM24" i="34"/>
  <c r="AK24" i="34"/>
  <c r="W24" i="34"/>
  <c r="S24" i="34"/>
  <c r="I24" i="34"/>
  <c r="AC57" i="30"/>
  <c r="K57" i="30"/>
  <c r="AG57" i="30"/>
  <c r="O57" i="30"/>
  <c r="AQ57" i="30"/>
  <c r="M57" i="30"/>
  <c r="W57" i="30"/>
  <c r="AA57" i="30"/>
  <c r="AS57" i="30"/>
  <c r="AO57" i="30"/>
  <c r="AC9" i="30"/>
  <c r="O9" i="30"/>
  <c r="K9" i="30"/>
  <c r="AG9" i="30"/>
  <c r="AS9" i="30"/>
  <c r="AA9" i="30"/>
  <c r="AO9" i="30"/>
  <c r="W9" i="30"/>
  <c r="M9" i="30"/>
  <c r="AQ9" i="30"/>
  <c r="K4" i="34"/>
  <c r="G4" i="34"/>
  <c r="AC4" i="34"/>
  <c r="Y4" i="34"/>
  <c r="AO4" i="34"/>
  <c r="AM4" i="34"/>
  <c r="AK4" i="34"/>
  <c r="W4" i="34"/>
  <c r="S4" i="34"/>
  <c r="I4" i="34"/>
  <c r="AC19" i="34"/>
  <c r="Y19" i="34"/>
  <c r="G19" i="34"/>
  <c r="K19" i="34"/>
  <c r="AO19" i="34"/>
  <c r="AM19" i="34"/>
  <c r="AK19" i="34"/>
  <c r="W19" i="34"/>
  <c r="S19" i="34"/>
  <c r="I19" i="34"/>
  <c r="G35" i="34"/>
  <c r="K35" i="34"/>
  <c r="AC35" i="34"/>
  <c r="Y35" i="34"/>
  <c r="AO35" i="34"/>
  <c r="AM35" i="34"/>
  <c r="AK35" i="34"/>
  <c r="W35" i="34"/>
  <c r="S35" i="34"/>
  <c r="I35" i="34"/>
  <c r="AC51" i="34"/>
  <c r="K51" i="34"/>
  <c r="Y51" i="34"/>
  <c r="G51" i="34"/>
  <c r="AO51" i="34"/>
  <c r="AM51" i="34"/>
  <c r="AK51" i="34"/>
  <c r="W51" i="34"/>
  <c r="S51" i="34"/>
  <c r="I51" i="34"/>
  <c r="K67" i="34"/>
  <c r="Y67" i="34"/>
  <c r="G67" i="34"/>
  <c r="AC67" i="34"/>
  <c r="AO67" i="34"/>
  <c r="AM67" i="34"/>
  <c r="AK67" i="34"/>
  <c r="W67" i="34"/>
  <c r="S67" i="34"/>
  <c r="I67" i="34"/>
  <c r="AC68" i="30"/>
  <c r="K68" i="30"/>
  <c r="O68" i="30"/>
  <c r="AG68" i="30"/>
  <c r="W68" i="30"/>
  <c r="M68" i="30"/>
  <c r="AS68" i="30"/>
  <c r="AQ68" i="30"/>
  <c r="AO68" i="30"/>
  <c r="AA68" i="30"/>
  <c r="O52" i="30"/>
  <c r="AC52" i="30"/>
  <c r="K52" i="30"/>
  <c r="AG52" i="30"/>
  <c r="AA52" i="30"/>
  <c r="M52" i="30"/>
  <c r="AS52" i="30"/>
  <c r="AQ52" i="30"/>
  <c r="AO52" i="30"/>
  <c r="W52" i="30"/>
  <c r="O36" i="30"/>
  <c r="AC36" i="30"/>
  <c r="K36" i="30"/>
  <c r="AG36" i="30"/>
  <c r="AO36" i="30"/>
  <c r="W36" i="30"/>
  <c r="M36" i="30"/>
  <c r="AS36" i="30"/>
  <c r="AQ36" i="30"/>
  <c r="AA36" i="30"/>
  <c r="AG20" i="30"/>
  <c r="AC20" i="30"/>
  <c r="K20" i="30"/>
  <c r="O20" i="30"/>
  <c r="AA20" i="30"/>
  <c r="W20" i="30"/>
  <c r="AS20" i="30"/>
  <c r="AQ20" i="30"/>
  <c r="AO20" i="30"/>
  <c r="M20" i="30"/>
  <c r="O4" i="30"/>
  <c r="K4" i="30"/>
  <c r="AC4" i="30"/>
  <c r="AG4" i="30"/>
  <c r="M4" i="30"/>
  <c r="AS4" i="30"/>
  <c r="AQ4" i="30"/>
  <c r="AO4" i="30"/>
  <c r="AA4" i="30"/>
  <c r="W4" i="30"/>
  <c r="AC33" i="34"/>
  <c r="Y33" i="34"/>
  <c r="K33" i="34"/>
  <c r="G33" i="34"/>
  <c r="AO33" i="34"/>
  <c r="AM33" i="34"/>
  <c r="AK33" i="34"/>
  <c r="W33" i="34"/>
  <c r="S33" i="34"/>
  <c r="I33" i="34"/>
  <c r="AC48" i="34"/>
  <c r="Y48" i="34"/>
  <c r="K48" i="34"/>
  <c r="G48" i="34"/>
  <c r="AO48" i="34"/>
  <c r="AM48" i="34"/>
  <c r="AK48" i="34"/>
  <c r="W48" i="34"/>
  <c r="S48" i="34"/>
  <c r="I48" i="34"/>
  <c r="AG79" i="30"/>
  <c r="AC79" i="30"/>
  <c r="O79" i="30"/>
  <c r="K79" i="30"/>
  <c r="W79" i="30"/>
  <c r="AA79" i="30"/>
  <c r="M79" i="30"/>
  <c r="AQ79" i="30"/>
  <c r="AS79" i="30"/>
  <c r="AO79" i="30"/>
  <c r="AC76" i="34"/>
  <c r="Y76" i="34"/>
  <c r="K76" i="34"/>
  <c r="G76" i="34"/>
  <c r="AO76" i="34"/>
  <c r="AK76" i="34"/>
  <c r="I76" i="34"/>
  <c r="W76" i="34"/>
  <c r="AM76" i="34"/>
  <c r="S76" i="34"/>
  <c r="AG29" i="30"/>
  <c r="AC29" i="30"/>
  <c r="O29" i="30"/>
  <c r="K29" i="30"/>
  <c r="W29" i="30"/>
  <c r="AS29" i="30"/>
  <c r="AO29" i="30"/>
  <c r="M29" i="30"/>
  <c r="AA29" i="30"/>
  <c r="AQ29" i="30"/>
  <c r="AC43" i="34"/>
  <c r="Y43" i="34"/>
  <c r="K43" i="34"/>
  <c r="G43" i="34"/>
  <c r="AK43" i="34"/>
  <c r="AO43" i="34"/>
  <c r="I43" i="34"/>
  <c r="AM43" i="34"/>
  <c r="W43" i="34"/>
  <c r="S43" i="34"/>
  <c r="AG44" i="30"/>
  <c r="AC44" i="30"/>
  <c r="O44" i="30"/>
  <c r="K44" i="30"/>
  <c r="AA44" i="30"/>
  <c r="AO44" i="30"/>
  <c r="AQ44" i="30"/>
  <c r="M44" i="30"/>
  <c r="W44" i="30"/>
  <c r="AS44" i="30"/>
  <c r="G26" i="34"/>
  <c r="K26" i="34"/>
  <c r="AC26" i="34"/>
  <c r="Y26" i="34"/>
  <c r="AK26" i="34"/>
  <c r="S26" i="34"/>
  <c r="AM26" i="34"/>
  <c r="AO26" i="34"/>
  <c r="W26" i="34"/>
  <c r="I26" i="34"/>
  <c r="AG59" i="30"/>
  <c r="AC59" i="30"/>
  <c r="O59" i="30"/>
  <c r="K59" i="30"/>
  <c r="M59" i="30"/>
  <c r="AS59" i="30"/>
  <c r="W59" i="30"/>
  <c r="AA59" i="30"/>
  <c r="AO59" i="30"/>
  <c r="AQ59" i="30"/>
  <c r="Y41" i="34"/>
  <c r="AC41" i="34"/>
  <c r="K41" i="34"/>
  <c r="G41" i="34"/>
  <c r="AO41" i="34"/>
  <c r="AM41" i="34"/>
  <c r="AK41" i="34"/>
  <c r="I41" i="34"/>
  <c r="W41" i="34"/>
  <c r="S41" i="34"/>
  <c r="AC74" i="30"/>
  <c r="K74" i="30"/>
  <c r="O74" i="30"/>
  <c r="AG74" i="30"/>
  <c r="AS74" i="30"/>
  <c r="AQ74" i="30"/>
  <c r="AA74" i="30"/>
  <c r="AO74" i="30"/>
  <c r="M74" i="30"/>
  <c r="W74" i="30"/>
  <c r="AG26" i="30"/>
  <c r="K26" i="30"/>
  <c r="AC26" i="30"/>
  <c r="O26" i="30"/>
  <c r="AS26" i="30"/>
  <c r="AQ26" i="30"/>
  <c r="W26" i="30"/>
  <c r="AA26" i="30"/>
  <c r="M26" i="30"/>
  <c r="AO26" i="30"/>
  <c r="AC18" i="34"/>
  <c r="Y18" i="34"/>
  <c r="K18" i="34"/>
  <c r="G18" i="34"/>
  <c r="AO18" i="34"/>
  <c r="AM18" i="34"/>
  <c r="AK18" i="34"/>
  <c r="W18" i="34"/>
  <c r="S18" i="34"/>
  <c r="I18" i="34"/>
  <c r="AC34" i="34"/>
  <c r="Y34" i="34"/>
  <c r="K34" i="34"/>
  <c r="G34" i="34"/>
  <c r="AO34" i="34"/>
  <c r="AM34" i="34"/>
  <c r="AK34" i="34"/>
  <c r="W34" i="34"/>
  <c r="S34" i="34"/>
  <c r="I34" i="34"/>
  <c r="AC50" i="34"/>
  <c r="Y50" i="34"/>
  <c r="K50" i="34"/>
  <c r="G50" i="34"/>
  <c r="AO50" i="34"/>
  <c r="AM50" i="34"/>
  <c r="AK50" i="34"/>
  <c r="W50" i="34"/>
  <c r="S50" i="34"/>
  <c r="I50" i="34"/>
  <c r="AC66" i="34"/>
  <c r="Y66" i="34"/>
  <c r="K66" i="34"/>
  <c r="G66" i="34"/>
  <c r="AO66" i="34"/>
  <c r="AM66" i="34"/>
  <c r="AK66" i="34"/>
  <c r="W66" i="34"/>
  <c r="S66" i="34"/>
  <c r="I66" i="34"/>
  <c r="AC82" i="34"/>
  <c r="Y82" i="34"/>
  <c r="K82" i="34"/>
  <c r="G82" i="34"/>
  <c r="AO82" i="34"/>
  <c r="AM82" i="34"/>
  <c r="AK82" i="34"/>
  <c r="W82" i="34"/>
  <c r="S82" i="34"/>
  <c r="I82" i="34"/>
  <c r="O67" i="30"/>
  <c r="AG67" i="30"/>
  <c r="K67" i="30"/>
  <c r="AC67" i="30"/>
  <c r="AS67" i="30"/>
  <c r="AQ67" i="30"/>
  <c r="AO67" i="30"/>
  <c r="AA67" i="30"/>
  <c r="W67" i="30"/>
  <c r="M67" i="30"/>
  <c r="K51" i="30"/>
  <c r="O51" i="30"/>
  <c r="AC51" i="30"/>
  <c r="AG51" i="30"/>
  <c r="M51" i="30"/>
  <c r="AS51" i="30"/>
  <c r="AQ51" i="30"/>
  <c r="AO51" i="30"/>
  <c r="AA51" i="30"/>
  <c r="W51" i="30"/>
  <c r="O35" i="30"/>
  <c r="AC35" i="30"/>
  <c r="AG35" i="30"/>
  <c r="K35" i="30"/>
  <c r="AS35" i="30"/>
  <c r="AQ35" i="30"/>
  <c r="AO35" i="30"/>
  <c r="AA35" i="30"/>
  <c r="W35" i="30"/>
  <c r="M35" i="30"/>
  <c r="AG19" i="30"/>
  <c r="O19" i="30"/>
  <c r="AC19" i="30"/>
  <c r="K19" i="30"/>
  <c r="M19" i="30"/>
  <c r="AS19" i="30"/>
  <c r="AQ19" i="30"/>
  <c r="AO19" i="30"/>
  <c r="AA19" i="30"/>
  <c r="W19" i="30"/>
  <c r="K3" i="30"/>
  <c r="O3" i="30"/>
  <c r="AC3" i="30"/>
  <c r="AG3" i="30"/>
  <c r="AS3" i="30"/>
  <c r="AQ3" i="30"/>
  <c r="AO3" i="30"/>
  <c r="AA3" i="30"/>
  <c r="W3" i="30"/>
  <c r="M3" i="30"/>
  <c r="D127" i="33"/>
  <c r="H42" i="21"/>
  <c r="B127" i="20"/>
  <c r="H43" i="21"/>
  <c r="J48" i="29"/>
  <c r="J49" i="29" s="1"/>
  <c r="J50" i="29" s="1"/>
  <c r="J51" i="29" s="1"/>
  <c r="J52" i="29" s="1"/>
  <c r="J53" i="29" s="1"/>
  <c r="J54" i="29" s="1"/>
  <c r="J55" i="29" s="1"/>
  <c r="J56" i="29" s="1"/>
  <c r="D127" i="20"/>
  <c r="J34" i="29"/>
  <c r="I47" i="29"/>
  <c r="I48" i="29" s="1"/>
  <c r="I49" i="29" s="1"/>
  <c r="I34" i="29"/>
  <c r="K57" i="29"/>
  <c r="K69" i="29"/>
  <c r="B212" i="33"/>
  <c r="D212" i="20"/>
  <c r="B22" i="20"/>
  <c r="B212" i="20"/>
  <c r="D212" i="33"/>
  <c r="B22" i="33"/>
  <c r="D22" i="20"/>
  <c r="D43" i="21"/>
  <c r="B7" i="20"/>
  <c r="D7" i="20"/>
  <c r="B7" i="33"/>
  <c r="D7" i="33"/>
  <c r="B8" i="20"/>
  <c r="D22" i="33"/>
  <c r="D128" i="20"/>
  <c r="D8" i="20"/>
  <c r="D23" i="20"/>
  <c r="D213" i="20"/>
  <c r="D23" i="33"/>
  <c r="D213" i="33"/>
  <c r="D128" i="33"/>
  <c r="D97" i="33" l="1"/>
  <c r="B75" i="34"/>
  <c r="K48" i="29"/>
  <c r="K49" i="29"/>
  <c r="F75" i="30"/>
  <c r="D97" i="20"/>
  <c r="I50" i="29"/>
  <c r="K50" i="29" s="1"/>
  <c r="C4" i="28"/>
  <c r="K47" i="29"/>
  <c r="C32" i="21" l="1"/>
  <c r="C28" i="21"/>
  <c r="D28" i="21" s="1"/>
  <c r="D88" i="33"/>
  <c r="B66" i="34"/>
  <c r="B55" i="34"/>
  <c r="D77" i="33"/>
  <c r="M32" i="21"/>
  <c r="M33" i="21"/>
  <c r="M34" i="21"/>
  <c r="I51" i="29"/>
  <c r="K51" i="29" s="1"/>
  <c r="F66" i="30"/>
  <c r="D88" i="20"/>
  <c r="F55" i="30"/>
  <c r="D77" i="20"/>
  <c r="C5" i="28"/>
  <c r="C7" i="28" s="1"/>
  <c r="F4" i="28"/>
  <c r="C27" i="21"/>
  <c r="L33" i="21"/>
  <c r="C25" i="21"/>
  <c r="C24" i="21"/>
  <c r="C26" i="21"/>
  <c r="L34" i="21"/>
  <c r="C31" i="21"/>
  <c r="C29" i="21"/>
  <c r="L32" i="21"/>
  <c r="D135" i="20"/>
  <c r="S8" i="30"/>
  <c r="U8" i="30" s="1"/>
  <c r="AK8" i="30"/>
  <c r="AM8" i="30" s="1"/>
  <c r="Y8" i="30"/>
  <c r="AE8" i="30"/>
  <c r="Q8" i="30"/>
  <c r="AI8" i="30"/>
  <c r="D204" i="20"/>
  <c r="AK77" i="30"/>
  <c r="AM77" i="30" s="1"/>
  <c r="Y77" i="30"/>
  <c r="S77" i="30"/>
  <c r="U77" i="30" s="1"/>
  <c r="AI77" i="30"/>
  <c r="AE77" i="30"/>
  <c r="Q77" i="30"/>
  <c r="D161" i="20"/>
  <c r="Y34" i="30"/>
  <c r="S34" i="30"/>
  <c r="U34" i="30" s="1"/>
  <c r="AK34" i="30"/>
  <c r="AM34" i="30" s="1"/>
  <c r="AI34" i="30"/>
  <c r="AE34" i="30"/>
  <c r="Q34" i="30"/>
  <c r="D206" i="20"/>
  <c r="Y79" i="30"/>
  <c r="S79" i="30"/>
  <c r="U79" i="30" s="1"/>
  <c r="AK79" i="30"/>
  <c r="AM79" i="30" s="1"/>
  <c r="AI79" i="30"/>
  <c r="Q79" i="30"/>
  <c r="AE79" i="30"/>
  <c r="D208" i="20"/>
  <c r="AK81" i="30"/>
  <c r="AM81" i="30" s="1"/>
  <c r="S81" i="30"/>
  <c r="U81" i="30" s="1"/>
  <c r="Y81" i="30"/>
  <c r="AI81" i="30"/>
  <c r="AE81" i="30"/>
  <c r="Q81" i="30"/>
  <c r="D202" i="20"/>
  <c r="Y75" i="30"/>
  <c r="S75" i="30"/>
  <c r="U75" i="30" s="1"/>
  <c r="AK75" i="30"/>
  <c r="AM75" i="30" s="1"/>
  <c r="AE75" i="30"/>
  <c r="AI75" i="30"/>
  <c r="D196" i="20"/>
  <c r="AK69" i="30"/>
  <c r="AM69" i="30" s="1"/>
  <c r="S69" i="30"/>
  <c r="U69" i="30" s="1"/>
  <c r="Y69" i="30"/>
  <c r="AI69" i="30"/>
  <c r="AE69" i="30"/>
  <c r="Q69" i="30"/>
  <c r="D185" i="20"/>
  <c r="S58" i="30"/>
  <c r="U58" i="30" s="1"/>
  <c r="Y58" i="30"/>
  <c r="AK58" i="30"/>
  <c r="AM58" i="30" s="1"/>
  <c r="AE58" i="30"/>
  <c r="Q58" i="30"/>
  <c r="AI58" i="30"/>
  <c r="D153" i="20"/>
  <c r="S26" i="30"/>
  <c r="U26" i="30" s="1"/>
  <c r="Y26" i="30"/>
  <c r="AK26" i="30"/>
  <c r="AM26" i="30" s="1"/>
  <c r="AE26" i="30"/>
  <c r="Q26" i="30"/>
  <c r="AI26" i="30"/>
  <c r="D207" i="20"/>
  <c r="S80" i="30"/>
  <c r="U80" i="30" s="1"/>
  <c r="Y80" i="30"/>
  <c r="AK80" i="30"/>
  <c r="AM80" i="30" s="1"/>
  <c r="Q80" i="30"/>
  <c r="AE80" i="30"/>
  <c r="AI80" i="30"/>
  <c r="D199" i="20"/>
  <c r="Y72" i="30"/>
  <c r="S72" i="30"/>
  <c r="U72" i="30" s="1"/>
  <c r="AK72" i="30"/>
  <c r="AM72" i="30" s="1"/>
  <c r="AI72" i="30"/>
  <c r="AE72" i="30"/>
  <c r="Q72" i="30"/>
  <c r="D179" i="20"/>
  <c r="AK52" i="30"/>
  <c r="AM52" i="30" s="1"/>
  <c r="S52" i="30"/>
  <c r="U52" i="30" s="1"/>
  <c r="Y52" i="30"/>
  <c r="AI52" i="30"/>
  <c r="Q52" i="30"/>
  <c r="AE52" i="30"/>
  <c r="D147" i="20"/>
  <c r="AK20" i="30"/>
  <c r="AM20" i="30" s="1"/>
  <c r="S20" i="30"/>
  <c r="U20" i="30" s="1"/>
  <c r="Y20" i="30"/>
  <c r="Q20" i="30"/>
  <c r="AI20" i="30"/>
  <c r="AE20" i="30"/>
  <c r="D181" i="20"/>
  <c r="AK54" i="30"/>
  <c r="AM54" i="30" s="1"/>
  <c r="Y54" i="30"/>
  <c r="S54" i="30"/>
  <c r="U54" i="30" s="1"/>
  <c r="AI54" i="30"/>
  <c r="AE54" i="30"/>
  <c r="Q54" i="30"/>
  <c r="D149" i="20"/>
  <c r="AK22" i="30"/>
  <c r="AM22" i="30" s="1"/>
  <c r="Y22" i="30"/>
  <c r="S22" i="30"/>
  <c r="U22" i="30" s="1"/>
  <c r="AI22" i="30"/>
  <c r="AE22" i="30"/>
  <c r="Q22" i="30"/>
  <c r="D192" i="20"/>
  <c r="AK65" i="30"/>
  <c r="AM65" i="30" s="1"/>
  <c r="S65" i="30"/>
  <c r="U65" i="30" s="1"/>
  <c r="Y65" i="30"/>
  <c r="AE65" i="30"/>
  <c r="Q65" i="30"/>
  <c r="AI65" i="30"/>
  <c r="D184" i="20"/>
  <c r="Y57" i="30"/>
  <c r="AK57" i="30"/>
  <c r="AM57" i="30" s="1"/>
  <c r="S57" i="30"/>
  <c r="U57" i="30" s="1"/>
  <c r="Q57" i="30"/>
  <c r="AI57" i="30"/>
  <c r="AE57" i="30"/>
  <c r="D176" i="20"/>
  <c r="AK49" i="30"/>
  <c r="AM49" i="30" s="1"/>
  <c r="Y49" i="30"/>
  <c r="S49" i="30"/>
  <c r="U49" i="30" s="1"/>
  <c r="AE49" i="30"/>
  <c r="Q49" i="30"/>
  <c r="AI49" i="30"/>
  <c r="D168" i="20"/>
  <c r="S41" i="30"/>
  <c r="U41" i="30" s="1"/>
  <c r="AK41" i="30"/>
  <c r="AM41" i="30" s="1"/>
  <c r="Y41" i="30"/>
  <c r="AI41" i="30"/>
  <c r="AE41" i="30"/>
  <c r="Q41" i="30"/>
  <c r="D160" i="20"/>
  <c r="S33" i="30"/>
  <c r="U33" i="30" s="1"/>
  <c r="Y33" i="30"/>
  <c r="AK33" i="30"/>
  <c r="AM33" i="30" s="1"/>
  <c r="AE33" i="30"/>
  <c r="Q33" i="30"/>
  <c r="AI33" i="30"/>
  <c r="D152" i="20"/>
  <c r="Y25" i="30"/>
  <c r="AK25" i="30"/>
  <c r="AM25" i="30" s="1"/>
  <c r="S25" i="30"/>
  <c r="U25" i="30" s="1"/>
  <c r="AI25" i="30"/>
  <c r="Q25" i="30"/>
  <c r="AE25" i="30"/>
  <c r="D144" i="20"/>
  <c r="AK17" i="30"/>
  <c r="AM17" i="30" s="1"/>
  <c r="Y17" i="30"/>
  <c r="S17" i="30"/>
  <c r="U17" i="30" s="1"/>
  <c r="AI17" i="30"/>
  <c r="Q17" i="30"/>
  <c r="AE17" i="30"/>
  <c r="S9" i="30"/>
  <c r="U9" i="30" s="1"/>
  <c r="D136" i="20"/>
  <c r="AK9" i="30"/>
  <c r="AM9" i="30" s="1"/>
  <c r="Y9" i="30"/>
  <c r="AI9" i="30"/>
  <c r="AE9" i="30"/>
  <c r="Q9" i="30"/>
  <c r="D19" i="20"/>
  <c r="B12" i="30"/>
  <c r="D18" i="20"/>
  <c r="B11" i="30"/>
  <c r="D13" i="20"/>
  <c r="B6" i="30"/>
  <c r="BN8" i="34"/>
  <c r="BP8" i="34" s="1"/>
  <c r="BF8" i="34"/>
  <c r="AZ8" i="34"/>
  <c r="BB8" i="34" s="1"/>
  <c r="D220" i="33"/>
  <c r="BL8" i="34"/>
  <c r="AX8" i="34"/>
  <c r="BN14" i="34"/>
  <c r="BP14" i="34" s="1"/>
  <c r="AZ14" i="34"/>
  <c r="BB14" i="34" s="1"/>
  <c r="BF14" i="34"/>
  <c r="AX14" i="34"/>
  <c r="BL14" i="34"/>
  <c r="D226" i="33"/>
  <c r="AZ9" i="34"/>
  <c r="BB9" i="34" s="1"/>
  <c r="BF9" i="34"/>
  <c r="BN9" i="34"/>
  <c r="BP9" i="34" s="1"/>
  <c r="D221" i="33"/>
  <c r="AX9" i="34"/>
  <c r="BL9" i="34"/>
  <c r="AZ13" i="34"/>
  <c r="BB13" i="34" s="1"/>
  <c r="BF13" i="34"/>
  <c r="BN13" i="34"/>
  <c r="BP13" i="34" s="1"/>
  <c r="AX13" i="34"/>
  <c r="BL13" i="34"/>
  <c r="D225" i="33"/>
  <c r="BF19" i="34"/>
  <c r="AZ19" i="34"/>
  <c r="BB19" i="34" s="1"/>
  <c r="BN19" i="34"/>
  <c r="BP19" i="34" s="1"/>
  <c r="BL19" i="34"/>
  <c r="AX19" i="34"/>
  <c r="D231" i="33"/>
  <c r="D120" i="20"/>
  <c r="F98" i="30"/>
  <c r="D112" i="20"/>
  <c r="F90" i="30"/>
  <c r="D104" i="20"/>
  <c r="F82" i="30"/>
  <c r="D96" i="20"/>
  <c r="F74" i="30"/>
  <c r="D86" i="20"/>
  <c r="F64" i="30"/>
  <c r="D78" i="20"/>
  <c r="F56" i="30"/>
  <c r="D70" i="20"/>
  <c r="F48" i="30"/>
  <c r="D62" i="20"/>
  <c r="F40" i="30"/>
  <c r="D54" i="20"/>
  <c r="F32" i="30"/>
  <c r="D46" i="20"/>
  <c r="F24" i="30"/>
  <c r="D38" i="20"/>
  <c r="F16" i="30"/>
  <c r="D30" i="20"/>
  <c r="F8" i="30"/>
  <c r="D121" i="20"/>
  <c r="F99" i="30"/>
  <c r="D113" i="20"/>
  <c r="F91" i="30"/>
  <c r="D105" i="20"/>
  <c r="F83" i="30"/>
  <c r="D95" i="20"/>
  <c r="F73" i="30"/>
  <c r="D87" i="20"/>
  <c r="F65" i="30"/>
  <c r="D79" i="20"/>
  <c r="F57" i="30"/>
  <c r="D69" i="20"/>
  <c r="F47" i="30"/>
  <c r="D61" i="20"/>
  <c r="F39" i="30"/>
  <c r="D53" i="20"/>
  <c r="F31" i="30"/>
  <c r="D45" i="20"/>
  <c r="F23" i="30"/>
  <c r="D37" i="20"/>
  <c r="F15" i="30"/>
  <c r="D29" i="20"/>
  <c r="F7" i="30"/>
  <c r="AG23" i="34"/>
  <c r="AI23" i="34" s="1"/>
  <c r="O23" i="34"/>
  <c r="Q23" i="34" s="1"/>
  <c r="U23" i="34"/>
  <c r="D150" i="33"/>
  <c r="AA23" i="34"/>
  <c r="AE23" i="34"/>
  <c r="M23" i="34"/>
  <c r="AG19" i="34"/>
  <c r="AI19" i="34" s="1"/>
  <c r="O19" i="34"/>
  <c r="Q19" i="34" s="1"/>
  <c r="U19" i="34"/>
  <c r="AE19" i="34"/>
  <c r="M19" i="34"/>
  <c r="D146" i="33"/>
  <c r="AA19" i="34"/>
  <c r="O16" i="34"/>
  <c r="Q16" i="34" s="1"/>
  <c r="U16" i="34"/>
  <c r="AG16" i="34"/>
  <c r="AI16" i="34" s="1"/>
  <c r="AE16" i="34"/>
  <c r="M16" i="34"/>
  <c r="D143" i="33"/>
  <c r="AA16" i="34"/>
  <c r="O32" i="34"/>
  <c r="Q32" i="34" s="1"/>
  <c r="U32" i="34"/>
  <c r="AG32" i="34"/>
  <c r="AI32" i="34" s="1"/>
  <c r="AE32" i="34"/>
  <c r="M32" i="34"/>
  <c r="D159" i="33"/>
  <c r="AA32" i="34"/>
  <c r="U49" i="34"/>
  <c r="O49" i="34"/>
  <c r="Q49" i="34" s="1"/>
  <c r="AG49" i="34"/>
  <c r="AI49" i="34" s="1"/>
  <c r="M49" i="34"/>
  <c r="D176" i="33"/>
  <c r="AA49" i="34"/>
  <c r="AE49" i="34"/>
  <c r="AG61" i="34"/>
  <c r="AI61" i="34" s="1"/>
  <c r="U61" i="34"/>
  <c r="O61" i="34"/>
  <c r="Q61" i="34" s="1"/>
  <c r="M61" i="34"/>
  <c r="D188" i="33"/>
  <c r="AA61" i="34"/>
  <c r="AE61" i="34"/>
  <c r="U25" i="34"/>
  <c r="AG25" i="34"/>
  <c r="AI25" i="34" s="1"/>
  <c r="O25" i="34"/>
  <c r="Q25" i="34" s="1"/>
  <c r="M25" i="34"/>
  <c r="D152" i="33"/>
  <c r="AA25" i="34"/>
  <c r="AE25" i="34"/>
  <c r="AG4" i="34"/>
  <c r="AI4" i="34" s="1"/>
  <c r="U4" i="34"/>
  <c r="O4" i="34"/>
  <c r="Q4" i="34" s="1"/>
  <c r="AE4" i="34"/>
  <c r="AA4" i="34"/>
  <c r="M4" i="34"/>
  <c r="D131" i="33"/>
  <c r="AG22" i="34"/>
  <c r="AI22" i="34" s="1"/>
  <c r="U22" i="34"/>
  <c r="O22" i="34"/>
  <c r="Q22" i="34" s="1"/>
  <c r="D149" i="33"/>
  <c r="AA22" i="34"/>
  <c r="M22" i="34"/>
  <c r="AE22" i="34"/>
  <c r="AG36" i="34"/>
  <c r="AI36" i="34" s="1"/>
  <c r="O36" i="34"/>
  <c r="Q36" i="34" s="1"/>
  <c r="U36" i="34"/>
  <c r="AE36" i="34"/>
  <c r="M36" i="34"/>
  <c r="D163" i="33"/>
  <c r="AA36" i="34"/>
  <c r="AG65" i="34"/>
  <c r="AI65" i="34" s="1"/>
  <c r="U65" i="34"/>
  <c r="O65" i="34"/>
  <c r="Q65" i="34" s="1"/>
  <c r="D192" i="33"/>
  <c r="AA65" i="34"/>
  <c r="AE65" i="34"/>
  <c r="M65" i="34"/>
  <c r="AG42" i="34"/>
  <c r="AI42" i="34" s="1"/>
  <c r="U42" i="34"/>
  <c r="D169" i="33"/>
  <c r="AA42" i="34"/>
  <c r="O42" i="34"/>
  <c r="Q42" i="34" s="1"/>
  <c r="M42" i="34"/>
  <c r="AE42" i="34"/>
  <c r="AG58" i="34"/>
  <c r="AI58" i="34" s="1"/>
  <c r="U58" i="34"/>
  <c r="M58" i="34"/>
  <c r="D185" i="33"/>
  <c r="AA58" i="34"/>
  <c r="O58" i="34"/>
  <c r="Q58" i="34" s="1"/>
  <c r="AE58" i="34"/>
  <c r="U74" i="34"/>
  <c r="AG74" i="34"/>
  <c r="AI74" i="34" s="1"/>
  <c r="M74" i="34"/>
  <c r="D201" i="33"/>
  <c r="AA74" i="34"/>
  <c r="O74" i="34"/>
  <c r="Q74" i="34" s="1"/>
  <c r="AE74" i="34"/>
  <c r="AG39" i="34"/>
  <c r="AI39" i="34" s="1"/>
  <c r="O39" i="34"/>
  <c r="Q39" i="34" s="1"/>
  <c r="U39" i="34"/>
  <c r="D166" i="33"/>
  <c r="AA39" i="34"/>
  <c r="M39" i="34"/>
  <c r="AE39" i="34"/>
  <c r="AG55" i="34"/>
  <c r="AI55" i="34" s="1"/>
  <c r="O55" i="34"/>
  <c r="Q55" i="34" s="1"/>
  <c r="U55" i="34"/>
  <c r="D182" i="33"/>
  <c r="AA55" i="34"/>
  <c r="AE55" i="34"/>
  <c r="M55" i="34"/>
  <c r="AG71" i="34"/>
  <c r="AI71" i="34" s="1"/>
  <c r="O71" i="34"/>
  <c r="Q71" i="34" s="1"/>
  <c r="U71" i="34"/>
  <c r="AE71" i="34"/>
  <c r="D198" i="33"/>
  <c r="M71" i="34"/>
  <c r="AA71" i="34"/>
  <c r="AG52" i="34"/>
  <c r="AI52" i="34" s="1"/>
  <c r="O52" i="34"/>
  <c r="Q52" i="34" s="1"/>
  <c r="U52" i="34"/>
  <c r="AA52" i="34"/>
  <c r="M52" i="34"/>
  <c r="D179" i="33"/>
  <c r="AE52" i="34"/>
  <c r="AG69" i="34"/>
  <c r="AI69" i="34" s="1"/>
  <c r="U69" i="34"/>
  <c r="O69" i="34"/>
  <c r="Q69" i="34" s="1"/>
  <c r="M69" i="34"/>
  <c r="D196" i="33"/>
  <c r="AA69" i="34"/>
  <c r="AE69" i="34"/>
  <c r="O76" i="34"/>
  <c r="Q76" i="34" s="1"/>
  <c r="AG76" i="34"/>
  <c r="AI76" i="34" s="1"/>
  <c r="U76" i="34"/>
  <c r="AE76" i="34"/>
  <c r="M76" i="34"/>
  <c r="D203" i="33"/>
  <c r="AA76" i="34"/>
  <c r="D225" i="20"/>
  <c r="BR13" i="30"/>
  <c r="BT13" i="30" s="1"/>
  <c r="BD13" i="30"/>
  <c r="BF13" i="30" s="1"/>
  <c r="BJ13" i="30"/>
  <c r="BB13" i="30"/>
  <c r="BP13" i="30"/>
  <c r="D227" i="20"/>
  <c r="BJ15" i="30"/>
  <c r="BR15" i="30"/>
  <c r="BT15" i="30" s="1"/>
  <c r="BD15" i="30"/>
  <c r="BF15" i="30" s="1"/>
  <c r="BP15" i="30"/>
  <c r="BB15" i="30"/>
  <c r="BJ3" i="30"/>
  <c r="BD3" i="30"/>
  <c r="BF3" i="30" s="1"/>
  <c r="D215" i="20"/>
  <c r="BR3" i="30"/>
  <c r="BT3" i="30" s="1"/>
  <c r="BB3" i="30"/>
  <c r="BP3" i="30"/>
  <c r="D228" i="20"/>
  <c r="BJ16" i="30"/>
  <c r="BD16" i="30"/>
  <c r="BF16" i="30" s="1"/>
  <c r="BR16" i="30"/>
  <c r="BT16" i="30" s="1"/>
  <c r="BP16" i="30"/>
  <c r="BB16" i="30"/>
  <c r="D220" i="20"/>
  <c r="BR8" i="30"/>
  <c r="BT8" i="30" s="1"/>
  <c r="BJ8" i="30"/>
  <c r="BD8" i="30"/>
  <c r="BF8" i="30" s="1"/>
  <c r="BB8" i="30"/>
  <c r="BP8" i="30"/>
  <c r="B6" i="34"/>
  <c r="D28" i="33"/>
  <c r="B10" i="34"/>
  <c r="D32" i="33"/>
  <c r="B9" i="34"/>
  <c r="D31" i="33"/>
  <c r="B17" i="34"/>
  <c r="D39" i="33"/>
  <c r="B25" i="34"/>
  <c r="D47" i="33"/>
  <c r="D55" i="33"/>
  <c r="B33" i="34"/>
  <c r="D63" i="33"/>
  <c r="B41" i="34"/>
  <c r="B49" i="34"/>
  <c r="D71" i="33"/>
  <c r="B59" i="34"/>
  <c r="D81" i="33"/>
  <c r="D89" i="33"/>
  <c r="B67" i="34"/>
  <c r="D95" i="33"/>
  <c r="B73" i="34"/>
  <c r="B18" i="34"/>
  <c r="D40" i="33"/>
  <c r="D48" i="33"/>
  <c r="B26" i="34"/>
  <c r="B34" i="34"/>
  <c r="D56" i="33"/>
  <c r="D64" i="33"/>
  <c r="B42" i="34"/>
  <c r="B50" i="34"/>
  <c r="D72" i="33"/>
  <c r="D80" i="33"/>
  <c r="B58" i="34"/>
  <c r="D93" i="33"/>
  <c r="B71" i="34"/>
  <c r="D91" i="33"/>
  <c r="B69" i="34"/>
  <c r="B101" i="34"/>
  <c r="D123" i="33"/>
  <c r="B74" i="34"/>
  <c r="D96" i="33"/>
  <c r="D104" i="33"/>
  <c r="B82" i="34"/>
  <c r="D112" i="33"/>
  <c r="B90" i="34"/>
  <c r="B98" i="34"/>
  <c r="D120" i="33"/>
  <c r="D198" i="20"/>
  <c r="Y71" i="30"/>
  <c r="S71" i="30"/>
  <c r="U71" i="30" s="1"/>
  <c r="AK71" i="30"/>
  <c r="AM71" i="30" s="1"/>
  <c r="AI71" i="30"/>
  <c r="AE71" i="30"/>
  <c r="Q71" i="30"/>
  <c r="D183" i="20"/>
  <c r="Y56" i="30"/>
  <c r="AK56" i="30"/>
  <c r="AM56" i="30" s="1"/>
  <c r="S56" i="30"/>
  <c r="U56" i="30" s="1"/>
  <c r="AE56" i="30"/>
  <c r="AI56" i="30"/>
  <c r="Q56" i="30"/>
  <c r="D177" i="20"/>
  <c r="Y50" i="30"/>
  <c r="S50" i="30"/>
  <c r="U50" i="30" s="1"/>
  <c r="AK50" i="30"/>
  <c r="AM50" i="30" s="1"/>
  <c r="AE50" i="30"/>
  <c r="Q50" i="30"/>
  <c r="AI50" i="30"/>
  <c r="D205" i="20"/>
  <c r="S78" i="30"/>
  <c r="U78" i="30" s="1"/>
  <c r="AK78" i="30"/>
  <c r="AM78" i="30" s="1"/>
  <c r="Y78" i="30"/>
  <c r="AI78" i="30"/>
  <c r="Q78" i="30"/>
  <c r="AE78" i="30"/>
  <c r="D197" i="20"/>
  <c r="S70" i="30"/>
  <c r="U70" i="30" s="1"/>
  <c r="AK70" i="30"/>
  <c r="AM70" i="30" s="1"/>
  <c r="Y70" i="30"/>
  <c r="AE70" i="30"/>
  <c r="Q70" i="30"/>
  <c r="AI70" i="30"/>
  <c r="D171" i="20"/>
  <c r="AK44" i="30"/>
  <c r="AM44" i="30" s="1"/>
  <c r="S44" i="30"/>
  <c r="U44" i="30" s="1"/>
  <c r="Y44" i="30"/>
  <c r="Q44" i="30"/>
  <c r="AI44" i="30"/>
  <c r="AE44" i="30"/>
  <c r="D139" i="20"/>
  <c r="AK12" i="30"/>
  <c r="AM12" i="30" s="1"/>
  <c r="S12" i="30"/>
  <c r="U12" i="30" s="1"/>
  <c r="Y12" i="30"/>
  <c r="AI12" i="30"/>
  <c r="AE12" i="30"/>
  <c r="Q12" i="30"/>
  <c r="D173" i="20"/>
  <c r="AK46" i="30"/>
  <c r="AM46" i="30" s="1"/>
  <c r="S46" i="30"/>
  <c r="U46" i="30" s="1"/>
  <c r="Y46" i="30"/>
  <c r="AE46" i="30"/>
  <c r="Q46" i="30"/>
  <c r="AI46" i="30"/>
  <c r="D141" i="20"/>
  <c r="AK14" i="30"/>
  <c r="AM14" i="30" s="1"/>
  <c r="S14" i="30"/>
  <c r="U14" i="30" s="1"/>
  <c r="Y14" i="30"/>
  <c r="AE14" i="30"/>
  <c r="AI14" i="30"/>
  <c r="Q14" i="30"/>
  <c r="D190" i="20"/>
  <c r="Y63" i="30"/>
  <c r="S63" i="30"/>
  <c r="U63" i="30" s="1"/>
  <c r="AK63" i="30"/>
  <c r="AM63" i="30" s="1"/>
  <c r="AI63" i="30"/>
  <c r="Q63" i="30"/>
  <c r="AE63" i="30"/>
  <c r="D182" i="20"/>
  <c r="Y55" i="30"/>
  <c r="S55" i="30"/>
  <c r="U55" i="30" s="1"/>
  <c r="AK55" i="30"/>
  <c r="AM55" i="30" s="1"/>
  <c r="AE55" i="30"/>
  <c r="AI55" i="30"/>
  <c r="Q55" i="30"/>
  <c r="D174" i="20"/>
  <c r="Y47" i="30"/>
  <c r="S47" i="30"/>
  <c r="U47" i="30" s="1"/>
  <c r="AK47" i="30"/>
  <c r="AM47" i="30" s="1"/>
  <c r="AE47" i="30"/>
  <c r="AI47" i="30"/>
  <c r="Q47" i="30"/>
  <c r="D166" i="20"/>
  <c r="Y39" i="30"/>
  <c r="S39" i="30"/>
  <c r="U39" i="30" s="1"/>
  <c r="AK39" i="30"/>
  <c r="AM39" i="30" s="1"/>
  <c r="Q39" i="30"/>
  <c r="AI39" i="30"/>
  <c r="AE39" i="30"/>
  <c r="D158" i="20"/>
  <c r="Y31" i="30"/>
  <c r="S31" i="30"/>
  <c r="U31" i="30" s="1"/>
  <c r="AK31" i="30"/>
  <c r="AM31" i="30" s="1"/>
  <c r="AI31" i="30"/>
  <c r="AE31" i="30"/>
  <c r="Q31" i="30"/>
  <c r="D150" i="20"/>
  <c r="Y23" i="30"/>
  <c r="S23" i="30"/>
  <c r="U23" i="30" s="1"/>
  <c r="AK23" i="30"/>
  <c r="AM23" i="30" s="1"/>
  <c r="AI23" i="30"/>
  <c r="Q23" i="30"/>
  <c r="AE23" i="30"/>
  <c r="D142" i="20"/>
  <c r="Y15" i="30"/>
  <c r="S15" i="30"/>
  <c r="U15" i="30" s="1"/>
  <c r="AK15" i="30"/>
  <c r="AM15" i="30" s="1"/>
  <c r="AI15" i="30"/>
  <c r="AE15" i="30"/>
  <c r="Q15" i="30"/>
  <c r="D134" i="20"/>
  <c r="S7" i="30"/>
  <c r="U7" i="30" s="1"/>
  <c r="AK7" i="30"/>
  <c r="AM7" i="30" s="1"/>
  <c r="Y7" i="30"/>
  <c r="Q7" i="30"/>
  <c r="AI7" i="30"/>
  <c r="AE7" i="30"/>
  <c r="D15" i="20"/>
  <c r="B8" i="30"/>
  <c r="D16" i="20"/>
  <c r="B9" i="30"/>
  <c r="D10" i="20"/>
  <c r="B3" i="30"/>
  <c r="BN20" i="34"/>
  <c r="BP20" i="34" s="1"/>
  <c r="BF20" i="34"/>
  <c r="AZ20" i="34"/>
  <c r="BB20" i="34" s="1"/>
  <c r="BL20" i="34"/>
  <c r="D232" i="33"/>
  <c r="AX20" i="34"/>
  <c r="BN12" i="34"/>
  <c r="BP12" i="34" s="1"/>
  <c r="BF12" i="34"/>
  <c r="AZ12" i="34"/>
  <c r="BB12" i="34" s="1"/>
  <c r="AX12" i="34"/>
  <c r="BL12" i="34"/>
  <c r="D224" i="33"/>
  <c r="AZ5" i="34"/>
  <c r="BB5" i="34" s="1"/>
  <c r="BF5" i="34"/>
  <c r="BN5" i="34"/>
  <c r="BP5" i="34" s="1"/>
  <c r="D217" i="33"/>
  <c r="AX5" i="34"/>
  <c r="BL5" i="34"/>
  <c r="BF11" i="34"/>
  <c r="AZ11" i="34"/>
  <c r="BB11" i="34" s="1"/>
  <c r="BN11" i="34"/>
  <c r="BP11" i="34" s="1"/>
  <c r="AX11" i="34"/>
  <c r="BL11" i="34"/>
  <c r="D223" i="33"/>
  <c r="BF15" i="34"/>
  <c r="AZ15" i="34"/>
  <c r="BB15" i="34" s="1"/>
  <c r="BN15" i="34"/>
  <c r="BP15" i="34" s="1"/>
  <c r="AX15" i="34"/>
  <c r="BL15" i="34"/>
  <c r="D227" i="33"/>
  <c r="D118" i="20"/>
  <c r="F96" i="30"/>
  <c r="D110" i="20"/>
  <c r="F88" i="30"/>
  <c r="D102" i="20"/>
  <c r="F80" i="30"/>
  <c r="D94" i="20"/>
  <c r="F72" i="30"/>
  <c r="D84" i="20"/>
  <c r="F62" i="30"/>
  <c r="D76" i="20"/>
  <c r="F54" i="30"/>
  <c r="D68" i="20"/>
  <c r="F46" i="30"/>
  <c r="D60" i="20"/>
  <c r="F38" i="30"/>
  <c r="D52" i="20"/>
  <c r="F30" i="30"/>
  <c r="D44" i="20"/>
  <c r="F22" i="30"/>
  <c r="D36" i="20"/>
  <c r="F14" i="30"/>
  <c r="D28" i="20"/>
  <c r="F6" i="30"/>
  <c r="D119" i="20"/>
  <c r="F97" i="30"/>
  <c r="D111" i="20"/>
  <c r="F89" i="30"/>
  <c r="D103" i="20"/>
  <c r="F81" i="30"/>
  <c r="D93" i="20"/>
  <c r="F71" i="30"/>
  <c r="D85" i="20"/>
  <c r="F63" i="30"/>
  <c r="D75" i="20"/>
  <c r="F53" i="30"/>
  <c r="D67" i="20"/>
  <c r="F45" i="30"/>
  <c r="D59" i="20"/>
  <c r="F37" i="30"/>
  <c r="D51" i="20"/>
  <c r="F29" i="30"/>
  <c r="D43" i="20"/>
  <c r="F21" i="30"/>
  <c r="D35" i="20"/>
  <c r="F13" i="30"/>
  <c r="D27" i="20"/>
  <c r="F5" i="30"/>
  <c r="AG31" i="34"/>
  <c r="AI31" i="34" s="1"/>
  <c r="O31" i="34"/>
  <c r="Q31" i="34" s="1"/>
  <c r="U31" i="34"/>
  <c r="D158" i="33"/>
  <c r="AE31" i="34"/>
  <c r="M31" i="34"/>
  <c r="AA31" i="34"/>
  <c r="AG9" i="34"/>
  <c r="AI9" i="34" s="1"/>
  <c r="O9" i="34"/>
  <c r="Q9" i="34" s="1"/>
  <c r="U9" i="34"/>
  <c r="AE9" i="34"/>
  <c r="M9" i="34"/>
  <c r="D136" i="33"/>
  <c r="AA9" i="34"/>
  <c r="O12" i="34"/>
  <c r="Q12" i="34" s="1"/>
  <c r="AG12" i="34"/>
  <c r="AI12" i="34" s="1"/>
  <c r="U12" i="34"/>
  <c r="AE12" i="34"/>
  <c r="AA12" i="34"/>
  <c r="D139" i="33"/>
  <c r="M12" i="34"/>
  <c r="U29" i="34"/>
  <c r="O29" i="34"/>
  <c r="Q29" i="34" s="1"/>
  <c r="AG29" i="34"/>
  <c r="AI29" i="34" s="1"/>
  <c r="M29" i="34"/>
  <c r="D156" i="33"/>
  <c r="AA29" i="34"/>
  <c r="AE29" i="34"/>
  <c r="U45" i="34"/>
  <c r="O45" i="34"/>
  <c r="Q45" i="34" s="1"/>
  <c r="AG45" i="34"/>
  <c r="AI45" i="34" s="1"/>
  <c r="D172" i="33"/>
  <c r="AA45" i="34"/>
  <c r="AE45" i="34"/>
  <c r="M45" i="34"/>
  <c r="AG7" i="34"/>
  <c r="AI7" i="34" s="1"/>
  <c r="O7" i="34"/>
  <c r="Q7" i="34" s="1"/>
  <c r="U7" i="34"/>
  <c r="AE7" i="34"/>
  <c r="M7" i="34"/>
  <c r="D134" i="33"/>
  <c r="AA7" i="34"/>
  <c r="U21" i="34"/>
  <c r="AG21" i="34"/>
  <c r="AI21" i="34" s="1"/>
  <c r="O21" i="34"/>
  <c r="Q21" i="34" s="1"/>
  <c r="AA21" i="34"/>
  <c r="M21" i="34"/>
  <c r="D148" i="33"/>
  <c r="AE21" i="34"/>
  <c r="AG18" i="34"/>
  <c r="AI18" i="34" s="1"/>
  <c r="U18" i="34"/>
  <c r="O18" i="34"/>
  <c r="Q18" i="34" s="1"/>
  <c r="AE18" i="34"/>
  <c r="AA18" i="34"/>
  <c r="M18" i="34"/>
  <c r="D145" i="33"/>
  <c r="AG34" i="34"/>
  <c r="AI34" i="34" s="1"/>
  <c r="U34" i="34"/>
  <c r="O34" i="34"/>
  <c r="Q34" i="34" s="1"/>
  <c r="D161" i="33"/>
  <c r="AA34" i="34"/>
  <c r="M34" i="34"/>
  <c r="AE34" i="34"/>
  <c r="AG48" i="34"/>
  <c r="AI48" i="34" s="1"/>
  <c r="O48" i="34"/>
  <c r="Q48" i="34" s="1"/>
  <c r="U48" i="34"/>
  <c r="AA48" i="34"/>
  <c r="M48" i="34"/>
  <c r="D175" i="33"/>
  <c r="AE48" i="34"/>
  <c r="AG73" i="34"/>
  <c r="AI73" i="34" s="1"/>
  <c r="U73" i="34"/>
  <c r="O73" i="34"/>
  <c r="Q73" i="34" s="1"/>
  <c r="M73" i="34"/>
  <c r="D200" i="33"/>
  <c r="AA73" i="34"/>
  <c r="AE73" i="34"/>
  <c r="AG38" i="34"/>
  <c r="AI38" i="34" s="1"/>
  <c r="U38" i="34"/>
  <c r="O38" i="34"/>
  <c r="Q38" i="34" s="1"/>
  <c r="D165" i="33"/>
  <c r="AE38" i="34"/>
  <c r="M38" i="34"/>
  <c r="AA38" i="34"/>
  <c r="AG54" i="34"/>
  <c r="AI54" i="34" s="1"/>
  <c r="U54" i="34"/>
  <c r="AE54" i="34"/>
  <c r="O54" i="34"/>
  <c r="Q54" i="34" s="1"/>
  <c r="D181" i="33"/>
  <c r="AA54" i="34"/>
  <c r="M54" i="34"/>
  <c r="AG70" i="34"/>
  <c r="AI70" i="34" s="1"/>
  <c r="U70" i="34"/>
  <c r="O70" i="34"/>
  <c r="Q70" i="34" s="1"/>
  <c r="D197" i="33"/>
  <c r="AA70" i="34"/>
  <c r="AE70" i="34"/>
  <c r="M70" i="34"/>
  <c r="AG35" i="34"/>
  <c r="AI35" i="34" s="1"/>
  <c r="O35" i="34"/>
  <c r="Q35" i="34" s="1"/>
  <c r="U35" i="34"/>
  <c r="D162" i="33"/>
  <c r="M35" i="34"/>
  <c r="AA35" i="34"/>
  <c r="AE35" i="34"/>
  <c r="AG51" i="34"/>
  <c r="AI51" i="34" s="1"/>
  <c r="O51" i="34"/>
  <c r="Q51" i="34" s="1"/>
  <c r="U51" i="34"/>
  <c r="AE51" i="34"/>
  <c r="AA51" i="34"/>
  <c r="M51" i="34"/>
  <c r="D178" i="33"/>
  <c r="AG79" i="34"/>
  <c r="AI79" i="34" s="1"/>
  <c r="O79" i="34"/>
  <c r="Q79" i="34" s="1"/>
  <c r="U79" i="34"/>
  <c r="AE79" i="34"/>
  <c r="M79" i="34"/>
  <c r="AA79" i="34"/>
  <c r="D206" i="33"/>
  <c r="AG64" i="34"/>
  <c r="AI64" i="34" s="1"/>
  <c r="O64" i="34"/>
  <c r="Q64" i="34" s="1"/>
  <c r="U64" i="34"/>
  <c r="AE64" i="34"/>
  <c r="AA64" i="34"/>
  <c r="M64" i="34"/>
  <c r="D191" i="33"/>
  <c r="AG82" i="34"/>
  <c r="AI82" i="34" s="1"/>
  <c r="U82" i="34"/>
  <c r="M82" i="34"/>
  <c r="O82" i="34"/>
  <c r="Q82" i="34" s="1"/>
  <c r="D209" i="33"/>
  <c r="AE82" i="34"/>
  <c r="AA82" i="34"/>
  <c r="U78" i="34"/>
  <c r="AG78" i="34"/>
  <c r="AI78" i="34" s="1"/>
  <c r="O78" i="34"/>
  <c r="Q78" i="34" s="1"/>
  <c r="D205" i="33"/>
  <c r="AA78" i="34"/>
  <c r="M78" i="34"/>
  <c r="AE78" i="34"/>
  <c r="D233" i="20"/>
  <c r="BR21" i="30"/>
  <c r="BT21" i="30" s="1"/>
  <c r="BD21" i="30"/>
  <c r="BF21" i="30" s="1"/>
  <c r="BJ21" i="30"/>
  <c r="BB21" i="30"/>
  <c r="BP21" i="30"/>
  <c r="BD9" i="30"/>
  <c r="BF9" i="30" s="1"/>
  <c r="BJ9" i="30"/>
  <c r="BR9" i="30"/>
  <c r="BT9" i="30" s="1"/>
  <c r="D221" i="20"/>
  <c r="BP9" i="30"/>
  <c r="BB9" i="30"/>
  <c r="D234" i="20"/>
  <c r="BD22" i="30"/>
  <c r="BF22" i="30" s="1"/>
  <c r="BR22" i="30"/>
  <c r="BT22" i="30" s="1"/>
  <c r="BJ22" i="30"/>
  <c r="BB22" i="30"/>
  <c r="BP22" i="30"/>
  <c r="D226" i="20"/>
  <c r="BD14" i="30"/>
  <c r="BF14" i="30" s="1"/>
  <c r="BR14" i="30"/>
  <c r="BT14" i="30" s="1"/>
  <c r="BJ14" i="30"/>
  <c r="BP14" i="30"/>
  <c r="BB14" i="30"/>
  <c r="D218" i="20"/>
  <c r="BR6" i="30"/>
  <c r="BT6" i="30" s="1"/>
  <c r="BD6" i="30"/>
  <c r="BF6" i="30" s="1"/>
  <c r="BJ6" i="30"/>
  <c r="BP6" i="30"/>
  <c r="BB6" i="30"/>
  <c r="B14" i="34"/>
  <c r="D36" i="33"/>
  <c r="D38" i="33"/>
  <c r="B16" i="34"/>
  <c r="B11" i="34"/>
  <c r="D33" i="33"/>
  <c r="D41" i="33"/>
  <c r="B19" i="34"/>
  <c r="B27" i="34"/>
  <c r="D49" i="33"/>
  <c r="B35" i="34"/>
  <c r="D57" i="33"/>
  <c r="B43" i="34"/>
  <c r="D65" i="33"/>
  <c r="B51" i="34"/>
  <c r="D73" i="33"/>
  <c r="B61" i="34"/>
  <c r="D83" i="33"/>
  <c r="B83" i="34"/>
  <c r="D105" i="33"/>
  <c r="D103" i="33"/>
  <c r="B81" i="34"/>
  <c r="D42" i="33"/>
  <c r="B20" i="34"/>
  <c r="B28" i="34"/>
  <c r="D50" i="33"/>
  <c r="D58" i="33"/>
  <c r="B36" i="34"/>
  <c r="D66" i="33"/>
  <c r="B44" i="34"/>
  <c r="D74" i="33"/>
  <c r="B52" i="34"/>
  <c r="D82" i="33"/>
  <c r="B60" i="34"/>
  <c r="D101" i="33"/>
  <c r="B79" i="34"/>
  <c r="D99" i="33"/>
  <c r="B77" i="34"/>
  <c r="B68" i="34"/>
  <c r="D90" i="33"/>
  <c r="D98" i="33"/>
  <c r="B76" i="34"/>
  <c r="D106" i="33"/>
  <c r="B84" i="34"/>
  <c r="D114" i="33"/>
  <c r="B92" i="34"/>
  <c r="D122" i="33"/>
  <c r="B100" i="34"/>
  <c r="AK73" i="30"/>
  <c r="AM73" i="30" s="1"/>
  <c r="D200" i="20"/>
  <c r="S73" i="30"/>
  <c r="U73" i="30" s="1"/>
  <c r="Y73" i="30"/>
  <c r="AI73" i="30"/>
  <c r="AE73" i="30"/>
  <c r="Q73" i="30"/>
  <c r="D175" i="20"/>
  <c r="S48" i="30"/>
  <c r="U48" i="30" s="1"/>
  <c r="AK48" i="30"/>
  <c r="AM48" i="30" s="1"/>
  <c r="Y48" i="30"/>
  <c r="AE48" i="30"/>
  <c r="AI48" i="30"/>
  <c r="Q48" i="30"/>
  <c r="D145" i="20"/>
  <c r="Y18" i="30"/>
  <c r="S18" i="30"/>
  <c r="U18" i="30" s="1"/>
  <c r="AK18" i="30"/>
  <c r="AM18" i="30" s="1"/>
  <c r="AE18" i="30"/>
  <c r="Q18" i="30"/>
  <c r="AI18" i="30"/>
  <c r="D167" i="20"/>
  <c r="Y40" i="30"/>
  <c r="AK40" i="30"/>
  <c r="AM40" i="30" s="1"/>
  <c r="S40" i="30"/>
  <c r="U40" i="30" s="1"/>
  <c r="AE40" i="30"/>
  <c r="Q40" i="30"/>
  <c r="AI40" i="30"/>
  <c r="D191" i="20"/>
  <c r="S64" i="30"/>
  <c r="U64" i="30" s="1"/>
  <c r="Y64" i="30"/>
  <c r="AK64" i="30"/>
  <c r="AM64" i="30" s="1"/>
  <c r="AE64" i="30"/>
  <c r="Q64" i="30"/>
  <c r="AI64" i="30"/>
  <c r="D151" i="20"/>
  <c r="Y24" i="30"/>
  <c r="AK24" i="30"/>
  <c r="AM24" i="30" s="1"/>
  <c r="S24" i="30"/>
  <c r="U24" i="30" s="1"/>
  <c r="AI24" i="30"/>
  <c r="Q24" i="30"/>
  <c r="AE24" i="30"/>
  <c r="D143" i="20"/>
  <c r="S16" i="30"/>
  <c r="U16" i="30" s="1"/>
  <c r="AK16" i="30"/>
  <c r="AM16" i="30" s="1"/>
  <c r="Y16" i="30"/>
  <c r="AE16" i="30"/>
  <c r="Q16" i="30"/>
  <c r="AI16" i="30"/>
  <c r="D169" i="20"/>
  <c r="S42" i="30"/>
  <c r="U42" i="30" s="1"/>
  <c r="Y42" i="30"/>
  <c r="AK42" i="30"/>
  <c r="AM42" i="30" s="1"/>
  <c r="AI42" i="30"/>
  <c r="AE42" i="30"/>
  <c r="Q42" i="30"/>
  <c r="D137" i="20"/>
  <c r="AK10" i="30"/>
  <c r="AM10" i="30" s="1"/>
  <c r="S10" i="30"/>
  <c r="U10" i="30" s="1"/>
  <c r="Y10" i="30"/>
  <c r="AE10" i="30"/>
  <c r="AI10" i="30"/>
  <c r="Q10" i="30"/>
  <c r="D203" i="20"/>
  <c r="AK76" i="30"/>
  <c r="AM76" i="30" s="1"/>
  <c r="S76" i="30"/>
  <c r="U76" i="30" s="1"/>
  <c r="Y76" i="30"/>
  <c r="AE76" i="30"/>
  <c r="Q76" i="30"/>
  <c r="AI76" i="30"/>
  <c r="D195" i="20"/>
  <c r="AK68" i="30"/>
  <c r="AM68" i="30" s="1"/>
  <c r="Y68" i="30"/>
  <c r="S68" i="30"/>
  <c r="U68" i="30" s="1"/>
  <c r="AI68" i="30"/>
  <c r="AE68" i="30"/>
  <c r="Q68" i="30"/>
  <c r="D163" i="20"/>
  <c r="AK36" i="30"/>
  <c r="AM36" i="30" s="1"/>
  <c r="Y36" i="30"/>
  <c r="S36" i="30"/>
  <c r="U36" i="30" s="1"/>
  <c r="Q36" i="30"/>
  <c r="AI36" i="30"/>
  <c r="AE36" i="30"/>
  <c r="D131" i="20"/>
  <c r="S4" i="30"/>
  <c r="U4" i="30" s="1"/>
  <c r="AK4" i="30"/>
  <c r="AM4" i="30" s="1"/>
  <c r="AI4" i="30"/>
  <c r="Y4" i="30"/>
  <c r="AE4" i="30"/>
  <c r="Q4" i="30"/>
  <c r="D165" i="20"/>
  <c r="AK38" i="30"/>
  <c r="AM38" i="30" s="1"/>
  <c r="S38" i="30"/>
  <c r="U38" i="30" s="1"/>
  <c r="Y38" i="30"/>
  <c r="AI38" i="30"/>
  <c r="Q38" i="30"/>
  <c r="AE38" i="30"/>
  <c r="D133" i="20"/>
  <c r="S6" i="30"/>
  <c r="U6" i="30" s="1"/>
  <c r="AK6" i="30"/>
  <c r="AM6" i="30" s="1"/>
  <c r="Y6" i="30"/>
  <c r="AI6" i="30"/>
  <c r="Q6" i="30"/>
  <c r="AE6" i="30"/>
  <c r="D188" i="20"/>
  <c r="AK61" i="30"/>
  <c r="AM61" i="30" s="1"/>
  <c r="Y61" i="30"/>
  <c r="S61" i="30"/>
  <c r="U61" i="30" s="1"/>
  <c r="AI61" i="30"/>
  <c r="AE61" i="30"/>
  <c r="Q61" i="30"/>
  <c r="D180" i="20"/>
  <c r="S53" i="30"/>
  <c r="U53" i="30" s="1"/>
  <c r="Y53" i="30"/>
  <c r="AK53" i="30"/>
  <c r="AM53" i="30" s="1"/>
  <c r="AE53" i="30"/>
  <c r="Q53" i="30"/>
  <c r="AI53" i="30"/>
  <c r="D172" i="20"/>
  <c r="Y45" i="30"/>
  <c r="S45" i="30"/>
  <c r="U45" i="30" s="1"/>
  <c r="AK45" i="30"/>
  <c r="AM45" i="30" s="1"/>
  <c r="AI45" i="30"/>
  <c r="AE45" i="30"/>
  <c r="Q45" i="30"/>
  <c r="D164" i="20"/>
  <c r="S37" i="30"/>
  <c r="U37" i="30" s="1"/>
  <c r="Y37" i="30"/>
  <c r="AK37" i="30"/>
  <c r="AM37" i="30" s="1"/>
  <c r="AE37" i="30"/>
  <c r="AI37" i="30"/>
  <c r="Q37" i="30"/>
  <c r="D156" i="20"/>
  <c r="Y29" i="30"/>
  <c r="S29" i="30"/>
  <c r="U29" i="30" s="1"/>
  <c r="AK29" i="30"/>
  <c r="AM29" i="30" s="1"/>
  <c r="AI29" i="30"/>
  <c r="AE29" i="30"/>
  <c r="Q29" i="30"/>
  <c r="D148" i="20"/>
  <c r="S21" i="30"/>
  <c r="U21" i="30" s="1"/>
  <c r="Y21" i="30"/>
  <c r="AK21" i="30"/>
  <c r="AM21" i="30" s="1"/>
  <c r="AE21" i="30"/>
  <c r="AI21" i="30"/>
  <c r="Q21" i="30"/>
  <c r="D140" i="20"/>
  <c r="Y13" i="30"/>
  <c r="S13" i="30"/>
  <c r="U13" i="30" s="1"/>
  <c r="AK13" i="30"/>
  <c r="AM13" i="30" s="1"/>
  <c r="AI13" i="30"/>
  <c r="AE13" i="30"/>
  <c r="Q13" i="30"/>
  <c r="D132" i="20"/>
  <c r="S5" i="30"/>
  <c r="U5" i="30" s="1"/>
  <c r="AK5" i="30"/>
  <c r="AM5" i="30" s="1"/>
  <c r="AI5" i="30"/>
  <c r="Q5" i="30"/>
  <c r="Y5" i="30"/>
  <c r="AE5" i="30"/>
  <c r="D17" i="20"/>
  <c r="B10" i="30"/>
  <c r="D14" i="20"/>
  <c r="B7" i="30"/>
  <c r="BN18" i="34"/>
  <c r="BP18" i="34" s="1"/>
  <c r="BF18" i="34"/>
  <c r="AZ18" i="34"/>
  <c r="BB18" i="34" s="1"/>
  <c r="AX18" i="34"/>
  <c r="BL18" i="34"/>
  <c r="D230" i="33"/>
  <c r="BN10" i="34"/>
  <c r="BP10" i="34" s="1"/>
  <c r="AZ10" i="34"/>
  <c r="BB10" i="34" s="1"/>
  <c r="BF10" i="34"/>
  <c r="D222" i="33"/>
  <c r="AX10" i="34"/>
  <c r="BL10" i="34"/>
  <c r="BN4" i="34"/>
  <c r="BP4" i="34" s="1"/>
  <c r="BF4" i="34"/>
  <c r="AZ4" i="34"/>
  <c r="BB4" i="34" s="1"/>
  <c r="D216" i="33"/>
  <c r="AX4" i="34"/>
  <c r="BL4" i="34"/>
  <c r="AZ21" i="34"/>
  <c r="BB21" i="34" s="1"/>
  <c r="BF21" i="34"/>
  <c r="BN21" i="34"/>
  <c r="BP21" i="34" s="1"/>
  <c r="BL21" i="34"/>
  <c r="D233" i="33"/>
  <c r="AX21" i="34"/>
  <c r="BF7" i="34"/>
  <c r="AZ7" i="34"/>
  <c r="BB7" i="34" s="1"/>
  <c r="BN7" i="34"/>
  <c r="BP7" i="34" s="1"/>
  <c r="AX7" i="34"/>
  <c r="BL7" i="34"/>
  <c r="D219" i="33"/>
  <c r="D124" i="20"/>
  <c r="F102" i="30"/>
  <c r="D116" i="20"/>
  <c r="F94" i="30"/>
  <c r="D108" i="20"/>
  <c r="F86" i="30"/>
  <c r="D100" i="20"/>
  <c r="F78" i="30"/>
  <c r="D92" i="20"/>
  <c r="F70" i="30"/>
  <c r="D82" i="20"/>
  <c r="F60" i="30"/>
  <c r="D74" i="20"/>
  <c r="F52" i="30"/>
  <c r="D66" i="20"/>
  <c r="F44" i="30"/>
  <c r="D58" i="20"/>
  <c r="F36" i="30"/>
  <c r="D50" i="20"/>
  <c r="F28" i="30"/>
  <c r="D42" i="20"/>
  <c r="F20" i="30"/>
  <c r="D34" i="20"/>
  <c r="F12" i="30"/>
  <c r="D26" i="20"/>
  <c r="F4" i="30"/>
  <c r="D117" i="20"/>
  <c r="F95" i="30"/>
  <c r="D109" i="20"/>
  <c r="F87" i="30"/>
  <c r="D101" i="20"/>
  <c r="F79" i="30"/>
  <c r="D91" i="20"/>
  <c r="F69" i="30"/>
  <c r="D83" i="20"/>
  <c r="F61" i="30"/>
  <c r="D73" i="20"/>
  <c r="F51" i="30"/>
  <c r="D65" i="20"/>
  <c r="F43" i="30"/>
  <c r="D57" i="20"/>
  <c r="F35" i="30"/>
  <c r="D49" i="20"/>
  <c r="F27" i="30"/>
  <c r="D41" i="20"/>
  <c r="F19" i="30"/>
  <c r="D33" i="20"/>
  <c r="F11" i="30"/>
  <c r="D25" i="20"/>
  <c r="F3" i="30"/>
  <c r="AG5" i="34"/>
  <c r="AI5" i="34" s="1"/>
  <c r="O5" i="34"/>
  <c r="Q5" i="34" s="1"/>
  <c r="U5" i="34"/>
  <c r="AE5" i="34"/>
  <c r="M5" i="34"/>
  <c r="AA5" i="34"/>
  <c r="D132" i="33"/>
  <c r="O10" i="34"/>
  <c r="Q10" i="34" s="1"/>
  <c r="U10" i="34"/>
  <c r="AG10" i="34"/>
  <c r="AI10" i="34" s="1"/>
  <c r="AE10" i="34"/>
  <c r="M10" i="34"/>
  <c r="D137" i="33"/>
  <c r="AA10" i="34"/>
  <c r="O24" i="34"/>
  <c r="Q24" i="34" s="1"/>
  <c r="AG24" i="34"/>
  <c r="AI24" i="34" s="1"/>
  <c r="U24" i="34"/>
  <c r="AE24" i="34"/>
  <c r="M24" i="34"/>
  <c r="D151" i="33"/>
  <c r="AA24" i="34"/>
  <c r="U41" i="34"/>
  <c r="O41" i="34"/>
  <c r="Q41" i="34" s="1"/>
  <c r="AG41" i="34"/>
  <c r="AI41" i="34" s="1"/>
  <c r="M41" i="34"/>
  <c r="D168" i="33"/>
  <c r="AA41" i="34"/>
  <c r="AE41" i="34"/>
  <c r="U57" i="34"/>
  <c r="O57" i="34"/>
  <c r="Q57" i="34" s="1"/>
  <c r="AG57" i="34"/>
  <c r="AI57" i="34" s="1"/>
  <c r="M57" i="34"/>
  <c r="D184" i="33"/>
  <c r="AA57" i="34"/>
  <c r="AE57" i="34"/>
  <c r="U17" i="34"/>
  <c r="AG17" i="34"/>
  <c r="AI17" i="34" s="1"/>
  <c r="O17" i="34"/>
  <c r="Q17" i="34" s="1"/>
  <c r="AE17" i="34"/>
  <c r="M17" i="34"/>
  <c r="D144" i="33"/>
  <c r="AA17" i="34"/>
  <c r="U33" i="34"/>
  <c r="AG33" i="34"/>
  <c r="AI33" i="34" s="1"/>
  <c r="O33" i="34"/>
  <c r="Q33" i="34" s="1"/>
  <c r="M33" i="34"/>
  <c r="D160" i="33"/>
  <c r="AA33" i="34"/>
  <c r="AE33" i="34"/>
  <c r="AG14" i="34"/>
  <c r="AI14" i="34" s="1"/>
  <c r="U14" i="34"/>
  <c r="O14" i="34"/>
  <c r="Q14" i="34" s="1"/>
  <c r="AE14" i="34"/>
  <c r="AA14" i="34"/>
  <c r="D141" i="33"/>
  <c r="M14" i="34"/>
  <c r="AG28" i="34"/>
  <c r="AI28" i="34" s="1"/>
  <c r="O28" i="34"/>
  <c r="Q28" i="34" s="1"/>
  <c r="U28" i="34"/>
  <c r="AE28" i="34"/>
  <c r="M28" i="34"/>
  <c r="AA28" i="34"/>
  <c r="D155" i="33"/>
  <c r="AG44" i="34"/>
  <c r="AI44" i="34" s="1"/>
  <c r="O44" i="34"/>
  <c r="Q44" i="34" s="1"/>
  <c r="U44" i="34"/>
  <c r="AA44" i="34"/>
  <c r="M44" i="34"/>
  <c r="D171" i="33"/>
  <c r="AE44" i="34"/>
  <c r="AG67" i="34"/>
  <c r="AI67" i="34" s="1"/>
  <c r="O67" i="34"/>
  <c r="Q67" i="34" s="1"/>
  <c r="U67" i="34"/>
  <c r="AA67" i="34"/>
  <c r="AE67" i="34"/>
  <c r="M67" i="34"/>
  <c r="D194" i="33"/>
  <c r="AG50" i="34"/>
  <c r="AI50" i="34" s="1"/>
  <c r="U50" i="34"/>
  <c r="O50" i="34"/>
  <c r="Q50" i="34" s="1"/>
  <c r="D177" i="33"/>
  <c r="AE50" i="34"/>
  <c r="M50" i="34"/>
  <c r="AA50" i="34"/>
  <c r="U66" i="34"/>
  <c r="AG66" i="34"/>
  <c r="AI66" i="34" s="1"/>
  <c r="M66" i="34"/>
  <c r="O66" i="34"/>
  <c r="Q66" i="34" s="1"/>
  <c r="D193" i="33"/>
  <c r="AE66" i="34"/>
  <c r="AA66" i="34"/>
  <c r="AG81" i="34"/>
  <c r="AI81" i="34" s="1"/>
  <c r="U81" i="34"/>
  <c r="O81" i="34"/>
  <c r="Q81" i="34" s="1"/>
  <c r="M81" i="34"/>
  <c r="D208" i="33"/>
  <c r="AA81" i="34"/>
  <c r="AE81" i="34"/>
  <c r="AG47" i="34"/>
  <c r="AI47" i="34" s="1"/>
  <c r="O47" i="34"/>
  <c r="Q47" i="34" s="1"/>
  <c r="U47" i="34"/>
  <c r="D174" i="33"/>
  <c r="AE47" i="34"/>
  <c r="M47" i="34"/>
  <c r="AA47" i="34"/>
  <c r="AG63" i="34"/>
  <c r="AI63" i="34" s="1"/>
  <c r="O63" i="34"/>
  <c r="Q63" i="34" s="1"/>
  <c r="U63" i="34"/>
  <c r="D190" i="33"/>
  <c r="AA63" i="34"/>
  <c r="AE63" i="34"/>
  <c r="M63" i="34"/>
  <c r="AG77" i="34"/>
  <c r="AI77" i="34" s="1"/>
  <c r="U77" i="34"/>
  <c r="O77" i="34"/>
  <c r="Q77" i="34" s="1"/>
  <c r="D204" i="33"/>
  <c r="AA77" i="34"/>
  <c r="AE77" i="34"/>
  <c r="M77" i="34"/>
  <c r="AG60" i="34"/>
  <c r="AI60" i="34" s="1"/>
  <c r="O60" i="34"/>
  <c r="Q60" i="34" s="1"/>
  <c r="U60" i="34"/>
  <c r="AA60" i="34"/>
  <c r="M60" i="34"/>
  <c r="D187" i="33"/>
  <c r="AE60" i="34"/>
  <c r="AG68" i="34"/>
  <c r="AI68" i="34" s="1"/>
  <c r="O68" i="34"/>
  <c r="Q68" i="34" s="1"/>
  <c r="U68" i="34"/>
  <c r="AE68" i="34"/>
  <c r="M68" i="34"/>
  <c r="D195" i="33"/>
  <c r="AA68" i="34"/>
  <c r="U3" i="34"/>
  <c r="AG3" i="34"/>
  <c r="AI3" i="34" s="1"/>
  <c r="O3" i="34"/>
  <c r="Q3" i="34" s="1"/>
  <c r="AE3" i="34"/>
  <c r="D130" i="33"/>
  <c r="AA3" i="34"/>
  <c r="M3" i="34"/>
  <c r="D231" i="20"/>
  <c r="BJ19" i="30"/>
  <c r="BD19" i="30"/>
  <c r="BF19" i="30" s="1"/>
  <c r="BR19" i="30"/>
  <c r="BT19" i="30" s="1"/>
  <c r="BB19" i="30"/>
  <c r="BP19" i="30"/>
  <c r="BJ7" i="30"/>
  <c r="BD7" i="30"/>
  <c r="BF7" i="30" s="1"/>
  <c r="D219" i="20"/>
  <c r="BR7" i="30"/>
  <c r="BT7" i="30" s="1"/>
  <c r="BB7" i="30"/>
  <c r="BP7" i="30"/>
  <c r="D232" i="20"/>
  <c r="BR20" i="30"/>
  <c r="BT20" i="30" s="1"/>
  <c r="BJ20" i="30"/>
  <c r="BD20" i="30"/>
  <c r="BF20" i="30" s="1"/>
  <c r="BB20" i="30"/>
  <c r="BP20" i="30"/>
  <c r="D224" i="20"/>
  <c r="BR12" i="30"/>
  <c r="BT12" i="30" s="1"/>
  <c r="BJ12" i="30"/>
  <c r="BD12" i="30"/>
  <c r="BF12" i="30" s="1"/>
  <c r="BP12" i="30"/>
  <c r="BB12" i="30"/>
  <c r="D216" i="20"/>
  <c r="BR4" i="30"/>
  <c r="BT4" i="30" s="1"/>
  <c r="BJ4" i="30"/>
  <c r="BD4" i="30"/>
  <c r="BF4" i="30" s="1"/>
  <c r="BP4" i="30"/>
  <c r="BB4" i="30"/>
  <c r="B4" i="34"/>
  <c r="D26" i="33"/>
  <c r="D27" i="33"/>
  <c r="B5" i="34"/>
  <c r="D35" i="33"/>
  <c r="B13" i="34"/>
  <c r="B21" i="34"/>
  <c r="D43" i="33"/>
  <c r="D51" i="33"/>
  <c r="B29" i="34"/>
  <c r="B37" i="34"/>
  <c r="D59" i="33"/>
  <c r="D67" i="33"/>
  <c r="B45" i="34"/>
  <c r="D75" i="33"/>
  <c r="B53" i="34"/>
  <c r="B63" i="34"/>
  <c r="D85" i="33"/>
  <c r="D113" i="33"/>
  <c r="B91" i="34"/>
  <c r="B89" i="34"/>
  <c r="D111" i="33"/>
  <c r="B22" i="34"/>
  <c r="D44" i="33"/>
  <c r="D52" i="33"/>
  <c r="B30" i="34"/>
  <c r="B38" i="34"/>
  <c r="D60" i="33"/>
  <c r="B46" i="34"/>
  <c r="D68" i="33"/>
  <c r="D76" i="33"/>
  <c r="B54" i="34"/>
  <c r="B62" i="34"/>
  <c r="D84" i="33"/>
  <c r="D109" i="33"/>
  <c r="B87" i="34"/>
  <c r="D107" i="33"/>
  <c r="B85" i="34"/>
  <c r="D92" i="33"/>
  <c r="B70" i="34"/>
  <c r="B78" i="34"/>
  <c r="D100" i="33"/>
  <c r="D108" i="33"/>
  <c r="B86" i="34"/>
  <c r="B94" i="34"/>
  <c r="D116" i="33"/>
  <c r="B102" i="34"/>
  <c r="D124" i="33"/>
  <c r="D159" i="20"/>
  <c r="S32" i="30"/>
  <c r="U32" i="30" s="1"/>
  <c r="AK32" i="30"/>
  <c r="AM32" i="30" s="1"/>
  <c r="Y32" i="30"/>
  <c r="AI32" i="30"/>
  <c r="Q32" i="30"/>
  <c r="AE32" i="30"/>
  <c r="D193" i="20"/>
  <c r="Y66" i="30"/>
  <c r="AK66" i="30"/>
  <c r="AM66" i="30" s="1"/>
  <c r="S66" i="30"/>
  <c r="U66" i="30" s="1"/>
  <c r="Q66" i="30"/>
  <c r="AE66" i="30"/>
  <c r="AI66" i="30"/>
  <c r="D209" i="20"/>
  <c r="Y82" i="30"/>
  <c r="AK82" i="30"/>
  <c r="AM82" i="30" s="1"/>
  <c r="S82" i="30"/>
  <c r="U82" i="30" s="1"/>
  <c r="AI82" i="30"/>
  <c r="Q82" i="30"/>
  <c r="AE82" i="30"/>
  <c r="D201" i="20"/>
  <c r="S74" i="30"/>
  <c r="U74" i="30" s="1"/>
  <c r="Y74" i="30"/>
  <c r="AK74" i="30"/>
  <c r="AM74" i="30" s="1"/>
  <c r="AE74" i="30"/>
  <c r="AI74" i="30"/>
  <c r="Q74" i="30"/>
  <c r="D187" i="20"/>
  <c r="AK60" i="30"/>
  <c r="AM60" i="30" s="1"/>
  <c r="Y60" i="30"/>
  <c r="S60" i="30"/>
  <c r="U60" i="30" s="1"/>
  <c r="Q60" i="30"/>
  <c r="AI60" i="30"/>
  <c r="AE60" i="30"/>
  <c r="D155" i="20"/>
  <c r="AK28" i="30"/>
  <c r="AM28" i="30" s="1"/>
  <c r="S28" i="30"/>
  <c r="U28" i="30" s="1"/>
  <c r="Y28" i="30"/>
  <c r="AI28" i="30"/>
  <c r="Q28" i="30"/>
  <c r="AE28" i="30"/>
  <c r="D189" i="20"/>
  <c r="Y62" i="30"/>
  <c r="S62" i="30"/>
  <c r="U62" i="30" s="1"/>
  <c r="AK62" i="30"/>
  <c r="AM62" i="30" s="1"/>
  <c r="AE62" i="30"/>
  <c r="Q62" i="30"/>
  <c r="AI62" i="30"/>
  <c r="D157" i="20"/>
  <c r="AK30" i="30"/>
  <c r="AM30" i="30" s="1"/>
  <c r="Y30" i="30"/>
  <c r="S30" i="30"/>
  <c r="U30" i="30" s="1"/>
  <c r="AI30" i="30"/>
  <c r="Q30" i="30"/>
  <c r="AE30" i="30"/>
  <c r="D194" i="20"/>
  <c r="Y67" i="30"/>
  <c r="S67" i="30"/>
  <c r="U67" i="30" s="1"/>
  <c r="AK67" i="30"/>
  <c r="AI67" i="30"/>
  <c r="AE67" i="30"/>
  <c r="Q67" i="30"/>
  <c r="D186" i="20"/>
  <c r="Y59" i="30"/>
  <c r="S59" i="30"/>
  <c r="U59" i="30" s="1"/>
  <c r="AK59" i="30"/>
  <c r="AM59" i="30" s="1"/>
  <c r="Q59" i="30"/>
  <c r="AE59" i="30"/>
  <c r="D178" i="20"/>
  <c r="Y51" i="30"/>
  <c r="S51" i="30"/>
  <c r="U51" i="30" s="1"/>
  <c r="AK51" i="30"/>
  <c r="Q51" i="30"/>
  <c r="AE51" i="30"/>
  <c r="D170" i="20"/>
  <c r="Y43" i="30"/>
  <c r="S43" i="30"/>
  <c r="AK43" i="30"/>
  <c r="AI43" i="30"/>
  <c r="D162" i="20"/>
  <c r="Y35" i="30"/>
  <c r="S35" i="30"/>
  <c r="U35" i="30" s="1"/>
  <c r="AK35" i="30"/>
  <c r="AE35" i="30"/>
  <c r="D154" i="20"/>
  <c r="Y27" i="30"/>
  <c r="S27" i="30"/>
  <c r="AK27" i="30"/>
  <c r="AM27" i="30" s="1"/>
  <c r="Q27" i="30"/>
  <c r="AI27" i="30"/>
  <c r="D146" i="20"/>
  <c r="Y19" i="30"/>
  <c r="S19" i="30"/>
  <c r="AK19" i="30"/>
  <c r="Q19" i="30"/>
  <c r="AI19" i="30"/>
  <c r="D138" i="20"/>
  <c r="Y11" i="30"/>
  <c r="S11" i="30"/>
  <c r="U11" i="30" s="1"/>
  <c r="AK11" i="30"/>
  <c r="AM11" i="30" s="1"/>
  <c r="Q11" i="30"/>
  <c r="AE11" i="30"/>
  <c r="D130" i="20"/>
  <c r="S3" i="30"/>
  <c r="U3" i="30" s="1"/>
  <c r="AK3" i="30"/>
  <c r="AM3" i="30" s="1"/>
  <c r="Y3" i="30"/>
  <c r="AE3" i="30"/>
  <c r="D12" i="20"/>
  <c r="B5" i="30"/>
  <c r="D11" i="20"/>
  <c r="B4" i="30"/>
  <c r="BN6" i="34"/>
  <c r="BP6" i="34" s="1"/>
  <c r="BF6" i="34"/>
  <c r="AZ6" i="34"/>
  <c r="BB6" i="34" s="1"/>
  <c r="AX6" i="34"/>
  <c r="BL6" i="34"/>
  <c r="D218" i="33"/>
  <c r="BN22" i="34"/>
  <c r="BP22" i="34" s="1"/>
  <c r="AZ22" i="34"/>
  <c r="BB22" i="34" s="1"/>
  <c r="BF22" i="34"/>
  <c r="BL22" i="34"/>
  <c r="AX22" i="34"/>
  <c r="D234" i="33"/>
  <c r="BN16" i="34"/>
  <c r="BP16" i="34" s="1"/>
  <c r="BF16" i="34"/>
  <c r="AZ16" i="34"/>
  <c r="BB16" i="34" s="1"/>
  <c r="D228" i="33"/>
  <c r="BL16" i="34"/>
  <c r="AX16" i="34"/>
  <c r="AZ17" i="34"/>
  <c r="BB17" i="34" s="1"/>
  <c r="BF17" i="34"/>
  <c r="BN17" i="34"/>
  <c r="BP17" i="34" s="1"/>
  <c r="AX17" i="34"/>
  <c r="D229" i="33"/>
  <c r="BL17" i="34"/>
  <c r="BF3" i="34"/>
  <c r="AZ3" i="34"/>
  <c r="BB3" i="34" s="1"/>
  <c r="BN3" i="34"/>
  <c r="BP3" i="34" s="1"/>
  <c r="AX3" i="34"/>
  <c r="BL3" i="34"/>
  <c r="D215" i="33"/>
  <c r="D122" i="20"/>
  <c r="F100" i="30"/>
  <c r="D114" i="20"/>
  <c r="F92" i="30"/>
  <c r="D106" i="20"/>
  <c r="F84" i="30"/>
  <c r="D98" i="20"/>
  <c r="F76" i="30"/>
  <c r="D90" i="20"/>
  <c r="F68" i="30"/>
  <c r="D80" i="20"/>
  <c r="F58" i="30"/>
  <c r="D72" i="20"/>
  <c r="F50" i="30"/>
  <c r="D64" i="20"/>
  <c r="F42" i="30"/>
  <c r="D56" i="20"/>
  <c r="F34" i="30"/>
  <c r="D48" i="20"/>
  <c r="F26" i="30"/>
  <c r="D40" i="20"/>
  <c r="F18" i="30"/>
  <c r="D32" i="20"/>
  <c r="F10" i="30"/>
  <c r="D123" i="20"/>
  <c r="F101" i="30"/>
  <c r="D115" i="20"/>
  <c r="F93" i="30"/>
  <c r="D107" i="20"/>
  <c r="F85" i="30"/>
  <c r="D99" i="20"/>
  <c r="F77" i="30"/>
  <c r="D89" i="20"/>
  <c r="F67" i="30"/>
  <c r="D81" i="20"/>
  <c r="F59" i="30"/>
  <c r="D71" i="20"/>
  <c r="F49" i="30"/>
  <c r="D63" i="20"/>
  <c r="F41" i="30"/>
  <c r="D55" i="20"/>
  <c r="F33" i="30"/>
  <c r="D47" i="20"/>
  <c r="F25" i="30"/>
  <c r="D39" i="20"/>
  <c r="F17" i="30"/>
  <c r="D31" i="20"/>
  <c r="F9" i="30"/>
  <c r="AG15" i="34"/>
  <c r="AI15" i="34" s="1"/>
  <c r="O15" i="34"/>
  <c r="Q15" i="34" s="1"/>
  <c r="U15" i="34"/>
  <c r="AE15" i="34"/>
  <c r="AA15" i="34"/>
  <c r="M15" i="34"/>
  <c r="D142" i="33"/>
  <c r="AG11" i="34"/>
  <c r="AI11" i="34" s="1"/>
  <c r="O11" i="34"/>
  <c r="Q11" i="34" s="1"/>
  <c r="U11" i="34"/>
  <c r="AE11" i="34"/>
  <c r="M11" i="34"/>
  <c r="AA11" i="34"/>
  <c r="D138" i="33"/>
  <c r="O6" i="34"/>
  <c r="Q6" i="34" s="1"/>
  <c r="AG6" i="34"/>
  <c r="AI6" i="34" s="1"/>
  <c r="U6" i="34"/>
  <c r="M6" i="34"/>
  <c r="AE6" i="34"/>
  <c r="D133" i="33"/>
  <c r="AA6" i="34"/>
  <c r="O20" i="34"/>
  <c r="Q20" i="34" s="1"/>
  <c r="U20" i="34"/>
  <c r="AG20" i="34"/>
  <c r="AI20" i="34" s="1"/>
  <c r="AE20" i="34"/>
  <c r="M20" i="34"/>
  <c r="AA20" i="34"/>
  <c r="D147" i="33"/>
  <c r="U37" i="34"/>
  <c r="O37" i="34"/>
  <c r="Q37" i="34" s="1"/>
  <c r="AG37" i="34"/>
  <c r="AI37" i="34" s="1"/>
  <c r="D164" i="33"/>
  <c r="AE37" i="34"/>
  <c r="M37" i="34"/>
  <c r="AA37" i="34"/>
  <c r="U53" i="34"/>
  <c r="O53" i="34"/>
  <c r="Q53" i="34" s="1"/>
  <c r="AG53" i="34"/>
  <c r="AI53" i="34" s="1"/>
  <c r="D180" i="33"/>
  <c r="AE53" i="34"/>
  <c r="M53" i="34"/>
  <c r="AA53" i="34"/>
  <c r="U13" i="34"/>
  <c r="AG13" i="34"/>
  <c r="AI13" i="34" s="1"/>
  <c r="O13" i="34"/>
  <c r="Q13" i="34" s="1"/>
  <c r="AE13" i="34"/>
  <c r="M13" i="34"/>
  <c r="D140" i="33"/>
  <c r="AA13" i="34"/>
  <c r="AG8" i="34"/>
  <c r="AI8" i="34" s="1"/>
  <c r="U8" i="34"/>
  <c r="O8" i="34"/>
  <c r="Q8" i="34" s="1"/>
  <c r="AE8" i="34"/>
  <c r="M8" i="34"/>
  <c r="D135" i="33"/>
  <c r="AA8" i="34"/>
  <c r="AG26" i="34"/>
  <c r="AI26" i="34" s="1"/>
  <c r="U26" i="34"/>
  <c r="D153" i="33"/>
  <c r="AA26" i="34"/>
  <c r="O26" i="34"/>
  <c r="Q26" i="34" s="1"/>
  <c r="AE26" i="34"/>
  <c r="M26" i="34"/>
  <c r="AG40" i="34"/>
  <c r="AI40" i="34" s="1"/>
  <c r="O40" i="34"/>
  <c r="Q40" i="34" s="1"/>
  <c r="U40" i="34"/>
  <c r="M40" i="34"/>
  <c r="D167" i="33"/>
  <c r="AE40" i="34"/>
  <c r="AA40" i="34"/>
  <c r="AG56" i="34"/>
  <c r="AI56" i="34" s="1"/>
  <c r="O56" i="34"/>
  <c r="Q56" i="34" s="1"/>
  <c r="U56" i="34"/>
  <c r="M56" i="34"/>
  <c r="D183" i="33"/>
  <c r="AA56" i="34"/>
  <c r="AE56" i="34"/>
  <c r="AG30" i="34"/>
  <c r="AI30" i="34" s="1"/>
  <c r="U30" i="34"/>
  <c r="O30" i="34"/>
  <c r="Q30" i="34" s="1"/>
  <c r="D157" i="33"/>
  <c r="AA30" i="34"/>
  <c r="AE30" i="34"/>
  <c r="M30" i="34"/>
  <c r="AG46" i="34"/>
  <c r="AI46" i="34" s="1"/>
  <c r="U46" i="34"/>
  <c r="O46" i="34"/>
  <c r="Q46" i="34" s="1"/>
  <c r="AE46" i="34"/>
  <c r="D173" i="33"/>
  <c r="AA46" i="34"/>
  <c r="M46" i="34"/>
  <c r="AG62" i="34"/>
  <c r="AI62" i="34" s="1"/>
  <c r="U62" i="34"/>
  <c r="O62" i="34"/>
  <c r="Q62" i="34" s="1"/>
  <c r="AE62" i="34"/>
  <c r="D189" i="33"/>
  <c r="AA62" i="34"/>
  <c r="M62" i="34"/>
  <c r="AG27" i="34"/>
  <c r="AI27" i="34" s="1"/>
  <c r="O27" i="34"/>
  <c r="Q27" i="34" s="1"/>
  <c r="U27" i="34"/>
  <c r="D154" i="33"/>
  <c r="AA27" i="34"/>
  <c r="M27" i="34"/>
  <c r="AE27" i="34"/>
  <c r="AG43" i="34"/>
  <c r="AI43" i="34" s="1"/>
  <c r="O43" i="34"/>
  <c r="Q43" i="34" s="1"/>
  <c r="U43" i="34"/>
  <c r="D170" i="33"/>
  <c r="M43" i="34"/>
  <c r="AA43" i="34"/>
  <c r="AE43" i="34"/>
  <c r="AG59" i="34"/>
  <c r="AI59" i="34" s="1"/>
  <c r="O59" i="34"/>
  <c r="Q59" i="34" s="1"/>
  <c r="U59" i="34"/>
  <c r="AA59" i="34"/>
  <c r="M59" i="34"/>
  <c r="AE59" i="34"/>
  <c r="D186" i="33"/>
  <c r="AG75" i="34"/>
  <c r="AI75" i="34" s="1"/>
  <c r="O75" i="34"/>
  <c r="Q75" i="34" s="1"/>
  <c r="U75" i="34"/>
  <c r="AE75" i="34"/>
  <c r="D202" i="33"/>
  <c r="AA75" i="34"/>
  <c r="M75" i="34"/>
  <c r="AG72" i="34"/>
  <c r="AI72" i="34" s="1"/>
  <c r="O72" i="34"/>
  <c r="Q72" i="34" s="1"/>
  <c r="U72" i="34"/>
  <c r="AE72" i="34"/>
  <c r="AA72" i="34"/>
  <c r="M72" i="34"/>
  <c r="D199" i="33"/>
  <c r="AG80" i="34"/>
  <c r="AI80" i="34" s="1"/>
  <c r="O80" i="34"/>
  <c r="Q80" i="34" s="1"/>
  <c r="U80" i="34"/>
  <c r="AE80" i="34"/>
  <c r="M80" i="34"/>
  <c r="D207" i="33"/>
  <c r="AA80" i="34"/>
  <c r="D229" i="20"/>
  <c r="BR17" i="30"/>
  <c r="BT17" i="30" s="1"/>
  <c r="BD17" i="30"/>
  <c r="BF17" i="30" s="1"/>
  <c r="BJ17" i="30"/>
  <c r="BB17" i="30"/>
  <c r="BP17" i="30"/>
  <c r="BJ11" i="30"/>
  <c r="BD11" i="30"/>
  <c r="BF11" i="30" s="1"/>
  <c r="D223" i="20"/>
  <c r="BR11" i="30"/>
  <c r="BT11" i="30" s="1"/>
  <c r="BP11" i="30"/>
  <c r="BB11" i="30"/>
  <c r="BD5" i="30"/>
  <c r="BF5" i="30" s="1"/>
  <c r="BJ5" i="30"/>
  <c r="D217" i="20"/>
  <c r="BR5" i="30"/>
  <c r="BT5" i="30" s="1"/>
  <c r="BB5" i="30"/>
  <c r="BP5" i="30"/>
  <c r="D230" i="20"/>
  <c r="BR18" i="30"/>
  <c r="BT18" i="30" s="1"/>
  <c r="BJ18" i="30"/>
  <c r="BD18" i="30"/>
  <c r="BF18" i="30" s="1"/>
  <c r="BB18" i="30"/>
  <c r="BP18" i="30"/>
  <c r="D222" i="20"/>
  <c r="BR10" i="30"/>
  <c r="BT10" i="30" s="1"/>
  <c r="BJ10" i="30"/>
  <c r="BD10" i="30"/>
  <c r="BF10" i="30" s="1"/>
  <c r="BP10" i="30"/>
  <c r="BB10" i="30"/>
  <c r="D30" i="33"/>
  <c r="B8" i="34"/>
  <c r="B12" i="34"/>
  <c r="D34" i="33"/>
  <c r="B7" i="34"/>
  <c r="D29" i="33"/>
  <c r="D37" i="33"/>
  <c r="B15" i="34"/>
  <c r="B23" i="34"/>
  <c r="D45" i="33"/>
  <c r="D53" i="33"/>
  <c r="B31" i="34"/>
  <c r="B39" i="34"/>
  <c r="D61" i="33"/>
  <c r="D69" i="33"/>
  <c r="B47" i="34"/>
  <c r="B57" i="34"/>
  <c r="D79" i="33"/>
  <c r="D87" i="33"/>
  <c r="B65" i="34"/>
  <c r="B99" i="34"/>
  <c r="D121" i="33"/>
  <c r="B97" i="34"/>
  <c r="D119" i="33"/>
  <c r="B24" i="34"/>
  <c r="D46" i="33"/>
  <c r="B32" i="34"/>
  <c r="D54" i="33"/>
  <c r="B40" i="34"/>
  <c r="D62" i="33"/>
  <c r="D70" i="33"/>
  <c r="B48" i="34"/>
  <c r="B56" i="34"/>
  <c r="D78" i="33"/>
  <c r="D86" i="33"/>
  <c r="B64" i="34"/>
  <c r="D117" i="33"/>
  <c r="B95" i="34"/>
  <c r="D115" i="33"/>
  <c r="B93" i="34"/>
  <c r="B72" i="34"/>
  <c r="D94" i="33"/>
  <c r="D102" i="33"/>
  <c r="B80" i="34"/>
  <c r="B88" i="34"/>
  <c r="D110" i="33"/>
  <c r="B96" i="34"/>
  <c r="D118" i="33"/>
  <c r="D25" i="33"/>
  <c r="B3" i="34"/>
  <c r="BQ13" i="30" l="1"/>
  <c r="BC13" i="30"/>
  <c r="M83" i="34"/>
  <c r="N83" i="34" s="1"/>
  <c r="AA83" i="34"/>
  <c r="AB83" i="34" s="1"/>
  <c r="BG13" i="30"/>
  <c r="BU13" i="30"/>
  <c r="Q83" i="34"/>
  <c r="R83" i="34" s="1"/>
  <c r="BU3" i="30"/>
  <c r="BU8" i="30" s="1"/>
  <c r="AE83" i="34"/>
  <c r="AF83" i="34" s="1"/>
  <c r="AI83" i="34"/>
  <c r="AJ83" i="34" s="1"/>
  <c r="BQ3" i="30"/>
  <c r="BQ8" i="30" s="1"/>
  <c r="BC3" i="30"/>
  <c r="BC8" i="30" s="1"/>
  <c r="BG3" i="30"/>
  <c r="BM3" i="34"/>
  <c r="AY3" i="34"/>
  <c r="AY8" i="34" s="1"/>
  <c r="BQ3" i="34"/>
  <c r="BM13" i="34"/>
  <c r="BC3" i="34"/>
  <c r="AY13" i="34"/>
  <c r="BQ13" i="34"/>
  <c r="BC13" i="34"/>
  <c r="H44" i="21"/>
  <c r="H46" i="21"/>
  <c r="D26" i="21"/>
  <c r="G26" i="21"/>
  <c r="D29" i="21"/>
  <c r="G29" i="21"/>
  <c r="D32" i="21"/>
  <c r="G32" i="21"/>
  <c r="D27" i="21"/>
  <c r="G27" i="21"/>
  <c r="D25" i="21"/>
  <c r="G25" i="21"/>
  <c r="D31" i="21"/>
  <c r="G31" i="21"/>
  <c r="G24" i="21"/>
  <c r="I52" i="29"/>
  <c r="K52" i="29" s="1"/>
  <c r="F2" i="28"/>
  <c r="I4" i="28" s="1"/>
  <c r="F5" i="28"/>
  <c r="F7" i="28" s="1"/>
  <c r="C6" i="28"/>
  <c r="B18" i="28" s="1"/>
  <c r="C9" i="28"/>
  <c r="C10" i="28" s="1"/>
  <c r="AF11" i="30"/>
  <c r="AB35" i="30"/>
  <c r="X43" i="30"/>
  <c r="X47" i="30" s="1"/>
  <c r="AH3" i="30"/>
  <c r="AH7" i="30" s="1"/>
  <c r="L27" i="30"/>
  <c r="L31" i="30" s="1"/>
  <c r="P27" i="34"/>
  <c r="P31" i="34" s="1"/>
  <c r="P59" i="34"/>
  <c r="P63" i="34" s="1"/>
  <c r="AH11" i="30"/>
  <c r="AH15" i="30" s="1"/>
  <c r="AF35" i="30"/>
  <c r="AD43" i="30"/>
  <c r="AD47" i="30" s="1"/>
  <c r="AL43" i="30"/>
  <c r="AL47" i="30" s="1"/>
  <c r="AN3" i="30"/>
  <c r="R19" i="30"/>
  <c r="P35" i="30"/>
  <c r="P39" i="30" s="1"/>
  <c r="N43" i="30"/>
  <c r="N47" i="30" s="1"/>
  <c r="N51" i="30"/>
  <c r="N55" i="30" s="1"/>
  <c r="R67" i="30"/>
  <c r="AL35" i="30"/>
  <c r="AL39" i="30" s="1"/>
  <c r="AL27" i="34"/>
  <c r="AL31" i="34" s="1"/>
  <c r="P3" i="30"/>
  <c r="P7" i="30" s="1"/>
  <c r="AR51" i="30"/>
  <c r="AR55" i="30" s="1"/>
  <c r="AB3" i="30"/>
  <c r="AR19" i="30"/>
  <c r="AR23" i="30" s="1"/>
  <c r="T27" i="30"/>
  <c r="T31" i="30" s="1"/>
  <c r="AH59" i="30"/>
  <c r="AH63" i="30" s="1"/>
  <c r="V11" i="30"/>
  <c r="V3" i="30"/>
  <c r="AN27" i="30"/>
  <c r="AF51" i="30"/>
  <c r="R11" i="30"/>
  <c r="AJ19" i="30"/>
  <c r="V51" i="30"/>
  <c r="AF67" i="30"/>
  <c r="AP19" i="30"/>
  <c r="AP23" i="30" s="1"/>
  <c r="L51" i="30"/>
  <c r="L55" i="30" s="1"/>
  <c r="L3" i="30"/>
  <c r="L7" i="30" s="1"/>
  <c r="X11" i="30"/>
  <c r="X15" i="30" s="1"/>
  <c r="Z11" i="30"/>
  <c r="Z15" i="30" s="1"/>
  <c r="N19" i="30"/>
  <c r="N23" i="30" s="1"/>
  <c r="T19" i="30"/>
  <c r="T23" i="30" s="1"/>
  <c r="L35" i="30"/>
  <c r="L39" i="30" s="1"/>
  <c r="AH51" i="30"/>
  <c r="AH55" i="30" s="1"/>
  <c r="Z51" i="30"/>
  <c r="Z55" i="30" s="1"/>
  <c r="N67" i="30"/>
  <c r="N71" i="30" s="1"/>
  <c r="T43" i="30"/>
  <c r="T47" i="30" s="1"/>
  <c r="AD27" i="30"/>
  <c r="AD31" i="30" s="1"/>
  <c r="AD59" i="34"/>
  <c r="AD63" i="34" s="1"/>
  <c r="P43" i="34"/>
  <c r="P47" i="34" s="1"/>
  <c r="BU3" i="34"/>
  <c r="BU8" i="34" s="1"/>
  <c r="AT11" i="30"/>
  <c r="AT15" i="30" s="1"/>
  <c r="AB19" i="30"/>
  <c r="Z19" i="30"/>
  <c r="Z23" i="30" s="1"/>
  <c r="AB27" i="30"/>
  <c r="L43" i="30"/>
  <c r="L47" i="30" s="1"/>
  <c r="AT43" i="30"/>
  <c r="AT47" i="30" s="1"/>
  <c r="X51" i="30"/>
  <c r="X55" i="30" s="1"/>
  <c r="X67" i="30"/>
  <c r="X71" i="30" s="1"/>
  <c r="AI3" i="30"/>
  <c r="X3" i="30"/>
  <c r="X7" i="30" s="1"/>
  <c r="AL51" i="30"/>
  <c r="AL55" i="30" s="1"/>
  <c r="AL19" i="30"/>
  <c r="AL23" i="30" s="1"/>
  <c r="AD19" i="30"/>
  <c r="AD23" i="30" s="1"/>
  <c r="AT19" i="30"/>
  <c r="AT23" i="30" s="1"/>
  <c r="AT27" i="30"/>
  <c r="AT31" i="30" s="1"/>
  <c r="N35" i="30"/>
  <c r="N39" i="30" s="1"/>
  <c r="AH35" i="30"/>
  <c r="AH39" i="30" s="1"/>
  <c r="P43" i="30"/>
  <c r="P47" i="30" s="1"/>
  <c r="AP51" i="30"/>
  <c r="AP55" i="30" s="1"/>
  <c r="Q43" i="30"/>
  <c r="R43" i="30" s="1"/>
  <c r="AI59" i="30"/>
  <c r="AJ59" i="30" s="1"/>
  <c r="U19" i="30"/>
  <c r="V19" i="30" s="1"/>
  <c r="AI11" i="30"/>
  <c r="AJ11" i="30" s="1"/>
  <c r="U43" i="30"/>
  <c r="V43" i="30" s="1"/>
  <c r="AE19" i="30"/>
  <c r="AF19" i="30" s="1"/>
  <c r="Q35" i="30"/>
  <c r="R35" i="30" s="1"/>
  <c r="AI51" i="30"/>
  <c r="AJ51" i="30" s="1"/>
  <c r="AD11" i="30"/>
  <c r="AD15" i="30" s="1"/>
  <c r="L19" i="30"/>
  <c r="L23" i="30" s="1"/>
  <c r="AP27" i="30"/>
  <c r="AP31" i="30" s="1"/>
  <c r="AT35" i="30"/>
  <c r="AT39" i="30" s="1"/>
  <c r="AR43" i="30"/>
  <c r="AR47" i="30" s="1"/>
  <c r="AB51" i="30"/>
  <c r="AB67" i="30"/>
  <c r="AL67" i="30"/>
  <c r="AL71" i="30" s="1"/>
  <c r="AE43" i="30"/>
  <c r="AF43" i="30" s="1"/>
  <c r="AM67" i="30"/>
  <c r="AN67" i="30" s="1"/>
  <c r="AM51" i="30"/>
  <c r="AN51" i="30" s="1"/>
  <c r="AP43" i="30"/>
  <c r="AP47" i="30" s="1"/>
  <c r="AM19" i="30"/>
  <c r="AN19" i="30" s="1"/>
  <c r="U27" i="30"/>
  <c r="V27" i="30" s="1"/>
  <c r="AM43" i="30"/>
  <c r="AN43" i="30" s="1"/>
  <c r="AI35" i="30"/>
  <c r="AJ35" i="30" s="1"/>
  <c r="Q3" i="30"/>
  <c r="T11" i="30"/>
  <c r="T15" i="30" s="1"/>
  <c r="T51" i="30"/>
  <c r="T55" i="30" s="1"/>
  <c r="AE27" i="30"/>
  <c r="AF27" i="30" s="1"/>
  <c r="AM35" i="30"/>
  <c r="AN35" i="30" s="1"/>
  <c r="AF59" i="34"/>
  <c r="AJ59" i="34"/>
  <c r="N59" i="34"/>
  <c r="R59" i="34"/>
  <c r="T43" i="34"/>
  <c r="T47" i="34" s="1"/>
  <c r="X43" i="34"/>
  <c r="AJ43" i="34"/>
  <c r="AH43" i="34"/>
  <c r="AH47" i="34" s="1"/>
  <c r="AD27" i="34"/>
  <c r="AD31" i="34" s="1"/>
  <c r="AF27" i="34"/>
  <c r="AB27" i="34"/>
  <c r="AR3" i="30"/>
  <c r="AR7" i="30" s="1"/>
  <c r="AF3" i="30"/>
  <c r="Z3" i="30"/>
  <c r="Z7" i="30" s="1"/>
  <c r="AB11" i="30"/>
  <c r="AJ27" i="30"/>
  <c r="N27" i="30"/>
  <c r="N31" i="30" s="1"/>
  <c r="P27" i="30"/>
  <c r="P31" i="30" s="1"/>
  <c r="AR35" i="30"/>
  <c r="AR39" i="30" s="1"/>
  <c r="T35" i="30"/>
  <c r="T39" i="30" s="1"/>
  <c r="AB43" i="30"/>
  <c r="Z43" i="30"/>
  <c r="Z47" i="30" s="1"/>
  <c r="AT51" i="30"/>
  <c r="AT55" i="30" s="1"/>
  <c r="N3" i="30"/>
  <c r="N7" i="30" s="1"/>
  <c r="AL3" i="30"/>
  <c r="AL7" i="30" s="1"/>
  <c r="AP11" i="30"/>
  <c r="AP15" i="30" s="1"/>
  <c r="N59" i="30"/>
  <c r="N63" i="30" s="1"/>
  <c r="BM8" i="34"/>
  <c r="AW3" i="34"/>
  <c r="AW8" i="34" s="1"/>
  <c r="BG3" i="34"/>
  <c r="BG8" i="34" s="1"/>
  <c r="BC8" i="34"/>
  <c r="BI3" i="34"/>
  <c r="BI8" i="34" s="1"/>
  <c r="BE3" i="34"/>
  <c r="BE8" i="34" s="1"/>
  <c r="BO3" i="34"/>
  <c r="BO8" i="34" s="1"/>
  <c r="P59" i="30"/>
  <c r="P63" i="30" s="1"/>
  <c r="L59" i="30"/>
  <c r="L63" i="30" s="1"/>
  <c r="T59" i="30"/>
  <c r="T63" i="30" s="1"/>
  <c r="P67" i="30"/>
  <c r="P71" i="30" s="1"/>
  <c r="L67" i="30"/>
  <c r="L71" i="30" s="1"/>
  <c r="Z67" i="30"/>
  <c r="Z71" i="30" s="1"/>
  <c r="AR11" i="30"/>
  <c r="AR15" i="30" s="1"/>
  <c r="AN11" i="30"/>
  <c r="P19" i="30"/>
  <c r="P23" i="30" s="1"/>
  <c r="R27" i="30"/>
  <c r="AD35" i="30"/>
  <c r="AD39" i="30" s="1"/>
  <c r="Z35" i="30"/>
  <c r="Z39" i="30" s="1"/>
  <c r="AJ43" i="30"/>
  <c r="AD51" i="30"/>
  <c r="AD55" i="30" s="1"/>
  <c r="AP3" i="30"/>
  <c r="AP7" i="30" s="1"/>
  <c r="AD3" i="30"/>
  <c r="AD7" i="30" s="1"/>
  <c r="AT3" i="30"/>
  <c r="AT7" i="30" s="1"/>
  <c r="T3" i="30"/>
  <c r="T7" i="30" s="1"/>
  <c r="L11" i="30"/>
  <c r="L15" i="30" s="1"/>
  <c r="N11" i="30"/>
  <c r="N15" i="30" s="1"/>
  <c r="P11" i="30"/>
  <c r="P15" i="30" s="1"/>
  <c r="AL11" i="30"/>
  <c r="AL15" i="30" s="1"/>
  <c r="AH19" i="30"/>
  <c r="AH23" i="30" s="1"/>
  <c r="X19" i="30"/>
  <c r="X23" i="30" s="1"/>
  <c r="X27" i="30"/>
  <c r="X31" i="30" s="1"/>
  <c r="AH27" i="30"/>
  <c r="AH31" i="30" s="1"/>
  <c r="Z27" i="30"/>
  <c r="Z31" i="30" s="1"/>
  <c r="V35" i="30"/>
  <c r="X35" i="30"/>
  <c r="X39" i="30" s="1"/>
  <c r="AP35" i="30"/>
  <c r="AP39" i="30" s="1"/>
  <c r="AH43" i="30"/>
  <c r="AH47" i="30" s="1"/>
  <c r="P51" i="30"/>
  <c r="P55" i="30" s="1"/>
  <c r="R51" i="30"/>
  <c r="V59" i="30"/>
  <c r="Z59" i="30"/>
  <c r="Z63" i="30" s="1"/>
  <c r="AJ67" i="30"/>
  <c r="AD67" i="30"/>
  <c r="AD71" i="30" s="1"/>
  <c r="AP59" i="34"/>
  <c r="AP63" i="34" s="1"/>
  <c r="H27" i="34"/>
  <c r="H31" i="34" s="1"/>
  <c r="AN75" i="34"/>
  <c r="AN79" i="34" s="1"/>
  <c r="X59" i="34"/>
  <c r="Z59" i="34"/>
  <c r="Z63" i="34" s="1"/>
  <c r="AB59" i="34"/>
  <c r="AL43" i="34"/>
  <c r="AL47" i="34" s="1"/>
  <c r="N43" i="34"/>
  <c r="L43" i="34"/>
  <c r="L47" i="34" s="1"/>
  <c r="V59" i="34"/>
  <c r="V63" i="34" s="1"/>
  <c r="AP43" i="34"/>
  <c r="AP47" i="34" s="1"/>
  <c r="Z43" i="34"/>
  <c r="Z47" i="34" s="1"/>
  <c r="R43" i="34"/>
  <c r="H43" i="34"/>
  <c r="H47" i="34" s="1"/>
  <c r="V27" i="34"/>
  <c r="V31" i="34" s="1"/>
  <c r="J43" i="34"/>
  <c r="J47" i="34" s="1"/>
  <c r="V43" i="34"/>
  <c r="V47" i="34" s="1"/>
  <c r="AN27" i="34"/>
  <c r="AN31" i="34" s="1"/>
  <c r="Z27" i="34"/>
  <c r="Z31" i="34" s="1"/>
  <c r="T27" i="34"/>
  <c r="T31" i="34" s="1"/>
  <c r="N27" i="34"/>
  <c r="AP11" i="34"/>
  <c r="AP15" i="34" s="1"/>
  <c r="G93" i="30"/>
  <c r="G98" i="30" s="1"/>
  <c r="D44" i="21"/>
  <c r="C3" i="34"/>
  <c r="C8" i="34" s="1"/>
  <c r="AL27" i="30"/>
  <c r="AL31" i="30" s="1"/>
  <c r="C53" i="34"/>
  <c r="C58" i="34" s="1"/>
  <c r="C43" i="34"/>
  <c r="C48" i="34" s="1"/>
  <c r="G53" i="30"/>
  <c r="G58" i="30" s="1"/>
  <c r="C30" i="21"/>
  <c r="G23" i="30"/>
  <c r="G28" i="30" s="1"/>
  <c r="G73" i="30"/>
  <c r="G78" i="30" s="1"/>
  <c r="D24" i="21"/>
  <c r="C23" i="34"/>
  <c r="C28" i="34" s="1"/>
  <c r="G43" i="30"/>
  <c r="G48" i="30" s="1"/>
  <c r="C33" i="34"/>
  <c r="C38" i="34" s="1"/>
  <c r="C93" i="34"/>
  <c r="C98" i="34" s="1"/>
  <c r="C13" i="34"/>
  <c r="C18" i="34" s="1"/>
  <c r="C83" i="34"/>
  <c r="C88" i="34" s="1"/>
  <c r="G13" i="30"/>
  <c r="G18" i="30" s="1"/>
  <c r="G63" i="30"/>
  <c r="G68" i="30" s="1"/>
  <c r="G83" i="30"/>
  <c r="G88" i="30" s="1"/>
  <c r="D46" i="21"/>
  <c r="L75" i="34"/>
  <c r="L79" i="34" s="1"/>
  <c r="AD43" i="34"/>
  <c r="AD47" i="34" s="1"/>
  <c r="H11" i="34"/>
  <c r="H15" i="34" s="1"/>
  <c r="J11" i="34"/>
  <c r="J15" i="34" s="1"/>
  <c r="L11" i="34"/>
  <c r="L15" i="34" s="1"/>
  <c r="V11" i="34"/>
  <c r="V15" i="34" s="1"/>
  <c r="G33" i="30"/>
  <c r="G38" i="30" s="1"/>
  <c r="BS3" i="34"/>
  <c r="BS8" i="34" s="1"/>
  <c r="AR27" i="30"/>
  <c r="AR31" i="30" s="1"/>
  <c r="X59" i="30"/>
  <c r="X63" i="30" s="1"/>
  <c r="AB59" i="30"/>
  <c r="AF59" i="30"/>
  <c r="AN59" i="30"/>
  <c r="AH67" i="30"/>
  <c r="AH71" i="30" s="1"/>
  <c r="C63" i="34"/>
  <c r="C68" i="34" s="1"/>
  <c r="G3" i="30"/>
  <c r="G8" i="30" s="1"/>
  <c r="C3" i="30"/>
  <c r="C8" i="30" s="1"/>
  <c r="C73" i="34"/>
  <c r="C78" i="34" s="1"/>
  <c r="Z75" i="34"/>
  <c r="Z79" i="34" s="1"/>
  <c r="AB75" i="34"/>
  <c r="X75" i="34"/>
  <c r="H75" i="34"/>
  <c r="H79" i="34" s="1"/>
  <c r="AF75" i="34"/>
  <c r="AD75" i="34"/>
  <c r="AD79" i="34" s="1"/>
  <c r="T59" i="34"/>
  <c r="T63" i="34" s="1"/>
  <c r="H59" i="34"/>
  <c r="H63" i="34" s="1"/>
  <c r="J59" i="34"/>
  <c r="J63" i="34" s="1"/>
  <c r="AN43" i="34"/>
  <c r="AN47" i="34" s="1"/>
  <c r="AJ27" i="34"/>
  <c r="R27" i="34"/>
  <c r="X27" i="34"/>
  <c r="AP27" i="34"/>
  <c r="AP31" i="34" s="1"/>
  <c r="AH27" i="34"/>
  <c r="AH31" i="34" s="1"/>
  <c r="Z11" i="34"/>
  <c r="Z15" i="34" s="1"/>
  <c r="AB11" i="34"/>
  <c r="AF11" i="34"/>
  <c r="BQ8" i="34"/>
  <c r="BA3" i="34"/>
  <c r="BA8" i="34" s="1"/>
  <c r="AD59" i="30"/>
  <c r="AD63" i="30" s="1"/>
  <c r="R59" i="30"/>
  <c r="V67" i="30"/>
  <c r="AP67" i="30"/>
  <c r="AP71" i="30" s="1"/>
  <c r="AB3" i="34"/>
  <c r="AD3" i="34"/>
  <c r="AD7" i="34" s="1"/>
  <c r="AL3" i="34"/>
  <c r="AL7" i="34" s="1"/>
  <c r="T67" i="34"/>
  <c r="T71" i="34" s="1"/>
  <c r="AN67" i="34"/>
  <c r="AN71" i="34" s="1"/>
  <c r="H67" i="34"/>
  <c r="H71" i="34" s="1"/>
  <c r="J67" i="34"/>
  <c r="J71" i="34" s="1"/>
  <c r="V67" i="34"/>
  <c r="V71" i="34" s="1"/>
  <c r="AP51" i="34"/>
  <c r="AP55" i="34" s="1"/>
  <c r="L51" i="34"/>
  <c r="L55" i="34" s="1"/>
  <c r="AL51" i="34"/>
  <c r="AL55" i="34" s="1"/>
  <c r="AJ51" i="34"/>
  <c r="AH51" i="34"/>
  <c r="AH55" i="34" s="1"/>
  <c r="H35" i="34"/>
  <c r="H39" i="34" s="1"/>
  <c r="AF35" i="34"/>
  <c r="AB35" i="34"/>
  <c r="BY3" i="30"/>
  <c r="BY8" i="30" s="1"/>
  <c r="BI3" i="30"/>
  <c r="BI8" i="30" s="1"/>
  <c r="BS3" i="30"/>
  <c r="BS8" i="30" s="1"/>
  <c r="BM13" i="30"/>
  <c r="BM18" i="30" s="1"/>
  <c r="BU18" i="30"/>
  <c r="BG18" i="30"/>
  <c r="BS13" i="30"/>
  <c r="BS18" i="30" s="1"/>
  <c r="AN19" i="34"/>
  <c r="AN23" i="34" s="1"/>
  <c r="L19" i="34"/>
  <c r="L23" i="34" s="1"/>
  <c r="H19" i="34"/>
  <c r="H23" i="34" s="1"/>
  <c r="J19" i="34"/>
  <c r="J23" i="34" s="1"/>
  <c r="V19" i="34"/>
  <c r="V23" i="34" s="1"/>
  <c r="BK13" i="34"/>
  <c r="BK18" i="34" s="1"/>
  <c r="BS13" i="34"/>
  <c r="BS18" i="34" s="1"/>
  <c r="AY18" i="34"/>
  <c r="V75" i="30"/>
  <c r="P75" i="30"/>
  <c r="P79" i="30" s="1"/>
  <c r="AH75" i="30"/>
  <c r="AH79" i="30" s="1"/>
  <c r="AL75" i="30"/>
  <c r="AL79" i="30" s="1"/>
  <c r="N75" i="34"/>
  <c r="V75" i="34"/>
  <c r="V79" i="34" s="1"/>
  <c r="AL11" i="34"/>
  <c r="AL15" i="34" s="1"/>
  <c r="L3" i="34"/>
  <c r="L7" i="34" s="1"/>
  <c r="H3" i="34"/>
  <c r="H7" i="34" s="1"/>
  <c r="J3" i="34"/>
  <c r="J7" i="34" s="1"/>
  <c r="AF3" i="34"/>
  <c r="P3" i="34"/>
  <c r="P7" i="34" s="1"/>
  <c r="AF67" i="34"/>
  <c r="AJ67" i="34"/>
  <c r="N67" i="34"/>
  <c r="R67" i="34"/>
  <c r="P67" i="34"/>
  <c r="P71" i="34" s="1"/>
  <c r="Z51" i="34"/>
  <c r="Z55" i="34" s="1"/>
  <c r="AB51" i="34"/>
  <c r="AD51" i="34"/>
  <c r="AD55" i="34" s="1"/>
  <c r="AN35" i="34"/>
  <c r="AN39" i="34" s="1"/>
  <c r="N35" i="34"/>
  <c r="L35" i="34"/>
  <c r="L39" i="34" s="1"/>
  <c r="J35" i="34"/>
  <c r="J39" i="34" s="1"/>
  <c r="V35" i="34"/>
  <c r="V39" i="34" s="1"/>
  <c r="AY3" i="30"/>
  <c r="AY8" i="30" s="1"/>
  <c r="BA3" i="30"/>
  <c r="BA8" i="30" s="1"/>
  <c r="BO13" i="30"/>
  <c r="BO18" i="30" s="1"/>
  <c r="BY13" i="30"/>
  <c r="BY18" i="30" s="1"/>
  <c r="BK13" i="30"/>
  <c r="BK18" i="30" s="1"/>
  <c r="AP19" i="34"/>
  <c r="AP23" i="34" s="1"/>
  <c r="N19" i="34"/>
  <c r="R19" i="34"/>
  <c r="T19" i="34"/>
  <c r="T23" i="34" s="1"/>
  <c r="P19" i="34"/>
  <c r="P23" i="34" s="1"/>
  <c r="BI13" i="34"/>
  <c r="BI18" i="34" s="1"/>
  <c r="BE13" i="34"/>
  <c r="BE18" i="34" s="1"/>
  <c r="BO13" i="34"/>
  <c r="BO18" i="34" s="1"/>
  <c r="AR75" i="30"/>
  <c r="AR79" i="30" s="1"/>
  <c r="AB75" i="30"/>
  <c r="AD75" i="30"/>
  <c r="AD79" i="30" s="1"/>
  <c r="T75" i="30"/>
  <c r="T79" i="30" s="1"/>
  <c r="R75" i="34"/>
  <c r="J75" i="34"/>
  <c r="J79" i="34" s="1"/>
  <c r="AJ75" i="34"/>
  <c r="AL75" i="34"/>
  <c r="AL79" i="34" s="1"/>
  <c r="AP75" i="34"/>
  <c r="AP79" i="34" s="1"/>
  <c r="T75" i="34"/>
  <c r="T79" i="34" s="1"/>
  <c r="P75" i="34"/>
  <c r="P79" i="34" s="1"/>
  <c r="AN59" i="34"/>
  <c r="AN63" i="34" s="1"/>
  <c r="L59" i="34"/>
  <c r="L63" i="34" s="1"/>
  <c r="AL59" i="34"/>
  <c r="AL63" i="34" s="1"/>
  <c r="AH59" i="34"/>
  <c r="AH63" i="34" s="1"/>
  <c r="AF43" i="34"/>
  <c r="AB43" i="34"/>
  <c r="J27" i="34"/>
  <c r="J31" i="34" s="1"/>
  <c r="L27" i="34"/>
  <c r="L31" i="34" s="1"/>
  <c r="AN11" i="34"/>
  <c r="AN15" i="34" s="1"/>
  <c r="N11" i="34"/>
  <c r="R11" i="34"/>
  <c r="T11" i="34"/>
  <c r="T15" i="34" s="1"/>
  <c r="P11" i="34"/>
  <c r="P15" i="34" s="1"/>
  <c r="AU3" i="34"/>
  <c r="AU8" i="34" s="1"/>
  <c r="BK3" i="34"/>
  <c r="BK8" i="34" s="1"/>
  <c r="AP59" i="30"/>
  <c r="AP63" i="30" s="1"/>
  <c r="AT59" i="30"/>
  <c r="AT63" i="30" s="1"/>
  <c r="AR59" i="30"/>
  <c r="AR63" i="30" s="1"/>
  <c r="AL59" i="30"/>
  <c r="AL63" i="30" s="1"/>
  <c r="AT67" i="30"/>
  <c r="AT71" i="30" s="1"/>
  <c r="AR67" i="30"/>
  <c r="AR71" i="30" s="1"/>
  <c r="T67" i="30"/>
  <c r="T71" i="30" s="1"/>
  <c r="T3" i="34"/>
  <c r="T7" i="34" s="1"/>
  <c r="AN3" i="34"/>
  <c r="AN7" i="34" s="1"/>
  <c r="N3" i="34"/>
  <c r="R3" i="34"/>
  <c r="AH3" i="34"/>
  <c r="AH7" i="34" s="1"/>
  <c r="AP67" i="34"/>
  <c r="AP71" i="34" s="1"/>
  <c r="L67" i="34"/>
  <c r="L71" i="34" s="1"/>
  <c r="AD67" i="34"/>
  <c r="AD71" i="34" s="1"/>
  <c r="AL67" i="34"/>
  <c r="AL71" i="34" s="1"/>
  <c r="AH67" i="34"/>
  <c r="AH71" i="34" s="1"/>
  <c r="T51" i="34"/>
  <c r="T55" i="34" s="1"/>
  <c r="AN51" i="34"/>
  <c r="AN55" i="34" s="1"/>
  <c r="H51" i="34"/>
  <c r="H55" i="34" s="1"/>
  <c r="J51" i="34"/>
  <c r="J55" i="34" s="1"/>
  <c r="V51" i="34"/>
  <c r="V55" i="34" s="1"/>
  <c r="AD35" i="34"/>
  <c r="AD39" i="34" s="1"/>
  <c r="Z35" i="34"/>
  <c r="Z39" i="34" s="1"/>
  <c r="AP35" i="34"/>
  <c r="AP39" i="34" s="1"/>
  <c r="R35" i="34"/>
  <c r="P35" i="34"/>
  <c r="P39" i="34" s="1"/>
  <c r="BO3" i="30"/>
  <c r="BO8" i="30" s="1"/>
  <c r="BW3" i="30"/>
  <c r="BW8" i="30" s="1"/>
  <c r="BE3" i="30"/>
  <c r="BE8" i="30" s="1"/>
  <c r="BI13" i="30"/>
  <c r="BI18" i="30" s="1"/>
  <c r="BW13" i="30"/>
  <c r="BW18" i="30" s="1"/>
  <c r="BC18" i="30"/>
  <c r="Z19" i="34"/>
  <c r="Z23" i="34" s="1"/>
  <c r="AL19" i="34"/>
  <c r="AL23" i="34" s="1"/>
  <c r="AJ19" i="34"/>
  <c r="X19" i="34"/>
  <c r="AH19" i="34"/>
  <c r="AH23" i="34" s="1"/>
  <c r="AU13" i="34"/>
  <c r="AU18" i="34" s="1"/>
  <c r="BQ18" i="34"/>
  <c r="BU13" i="34"/>
  <c r="BU18" i="34" s="1"/>
  <c r="BG13" i="34"/>
  <c r="BG18" i="34" s="1"/>
  <c r="R75" i="30"/>
  <c r="N75" i="30"/>
  <c r="N79" i="30" s="1"/>
  <c r="L75" i="30"/>
  <c r="L79" i="30" s="1"/>
  <c r="AJ75" i="30"/>
  <c r="Z75" i="30"/>
  <c r="Z79" i="30" s="1"/>
  <c r="AH75" i="34"/>
  <c r="AH79" i="34" s="1"/>
  <c r="X11" i="34"/>
  <c r="AJ11" i="34"/>
  <c r="AD11" i="34"/>
  <c r="AD15" i="34" s="1"/>
  <c r="AH11" i="34"/>
  <c r="AH15" i="34" s="1"/>
  <c r="Z3" i="34"/>
  <c r="Z7" i="34" s="1"/>
  <c r="AP3" i="34"/>
  <c r="AP7" i="34" s="1"/>
  <c r="AJ3" i="34"/>
  <c r="X3" i="34"/>
  <c r="V3" i="34"/>
  <c r="V7" i="34" s="1"/>
  <c r="X67" i="34"/>
  <c r="Z67" i="34"/>
  <c r="Z71" i="34" s="1"/>
  <c r="AB67" i="34"/>
  <c r="AF51" i="34"/>
  <c r="X51" i="34"/>
  <c r="N51" i="34"/>
  <c r="R51" i="34"/>
  <c r="P51" i="34"/>
  <c r="P55" i="34" s="1"/>
  <c r="AJ35" i="34"/>
  <c r="T35" i="34"/>
  <c r="T39" i="34" s="1"/>
  <c r="X35" i="34"/>
  <c r="AL35" i="34"/>
  <c r="AL39" i="34" s="1"/>
  <c r="AH35" i="34"/>
  <c r="AH39" i="34" s="1"/>
  <c r="BM3" i="30"/>
  <c r="BM8" i="30" s="1"/>
  <c r="BG8" i="30"/>
  <c r="BK3" i="30"/>
  <c r="BK8" i="30" s="1"/>
  <c r="AY13" i="30"/>
  <c r="AY18" i="30" s="1"/>
  <c r="BQ18" i="30"/>
  <c r="BA13" i="30"/>
  <c r="BA18" i="30" s="1"/>
  <c r="BE13" i="30"/>
  <c r="BE18" i="30" s="1"/>
  <c r="AB19" i="34"/>
  <c r="AD19" i="34"/>
  <c r="AD23" i="34" s="1"/>
  <c r="AF19" i="34"/>
  <c r="BM18" i="34"/>
  <c r="AW13" i="34"/>
  <c r="AW18" i="34" s="1"/>
  <c r="BC18" i="34"/>
  <c r="BA13" i="34"/>
  <c r="BA18" i="34" s="1"/>
  <c r="AT75" i="30"/>
  <c r="AT79" i="30" s="1"/>
  <c r="X75" i="30"/>
  <c r="X79" i="30" s="1"/>
  <c r="AF75" i="30"/>
  <c r="AP75" i="30"/>
  <c r="AP79" i="30" s="1"/>
  <c r="AN75" i="30"/>
  <c r="I53" i="29" l="1"/>
  <c r="AE83" i="30"/>
  <c r="AF83" i="30" s="1"/>
  <c r="AJ3" i="30"/>
  <c r="AI83" i="30"/>
  <c r="AJ83" i="30" s="1"/>
  <c r="U83" i="30"/>
  <c r="V83" i="30" s="1"/>
  <c r="R3" i="30"/>
  <c r="Q83" i="30"/>
  <c r="R83" i="30" s="1"/>
  <c r="AM83" i="30"/>
  <c r="AN83" i="30" s="1"/>
  <c r="J46" i="21"/>
  <c r="K46" i="21" s="1"/>
  <c r="H47" i="21"/>
  <c r="K47" i="21" s="1"/>
  <c r="D30" i="21"/>
  <c r="G30" i="21"/>
  <c r="F35" i="21"/>
  <c r="I54" i="29"/>
  <c r="K53" i="29"/>
  <c r="I5" i="28"/>
  <c r="I7" i="28" s="1"/>
  <c r="I2" i="28"/>
  <c r="L4" i="28" s="1"/>
  <c r="F9" i="28"/>
  <c r="F10" i="28" s="1"/>
  <c r="F6" i="28"/>
  <c r="E18" i="28" s="1"/>
  <c r="C11" i="28"/>
  <c r="C35" i="21"/>
  <c r="D47" i="21"/>
  <c r="F47" i="21" s="1"/>
  <c r="F46" i="21"/>
  <c r="D50" i="21" l="1"/>
  <c r="D51" i="21" s="1"/>
  <c r="K54" i="29"/>
  <c r="I55" i="29"/>
  <c r="C12" i="28"/>
  <c r="C22" i="28"/>
  <c r="L2" i="28"/>
  <c r="O4" i="28" s="1"/>
  <c r="L5" i="28"/>
  <c r="L7" i="28" s="1"/>
  <c r="F11" i="28"/>
  <c r="I9" i="28"/>
  <c r="I10" i="28" s="1"/>
  <c r="I6" i="28"/>
  <c r="H18" i="28" s="1"/>
  <c r="I11" i="28" s="1"/>
  <c r="I56" i="29" l="1"/>
  <c r="K56" i="29" s="1"/>
  <c r="K55" i="29"/>
  <c r="C24" i="28"/>
  <c r="I12" i="28"/>
  <c r="O5" i="28"/>
  <c r="O2" i="28"/>
  <c r="R4" i="28" s="1"/>
  <c r="C23" i="28"/>
  <c r="F12" i="28"/>
  <c r="L47" i="29"/>
  <c r="L9" i="28"/>
  <c r="L10" i="28" s="1"/>
  <c r="L6" i="28"/>
  <c r="K18" i="28" s="1"/>
  <c r="L11" i="28" l="1"/>
  <c r="C25" i="28" s="1"/>
  <c r="R2" i="28"/>
  <c r="R5" i="28"/>
  <c r="R7" i="28" s="1"/>
  <c r="U4" i="28"/>
  <c r="O9" i="28"/>
  <c r="O10" i="28" s="1"/>
  <c r="O6" i="28"/>
  <c r="L48" i="29"/>
  <c r="O7" i="28"/>
  <c r="L49" i="29"/>
  <c r="L12" i="28" l="1"/>
  <c r="N18" i="28"/>
  <c r="O11" i="28" s="1"/>
  <c r="U5" i="28"/>
  <c r="U7" i="28" s="1"/>
  <c r="U2" i="28"/>
  <c r="X4" i="28" s="1"/>
  <c r="R6" i="28"/>
  <c r="Q18" i="28" s="1"/>
  <c r="R9" i="28"/>
  <c r="R10" i="28" s="1"/>
  <c r="L50" i="29"/>
  <c r="R11" i="28" l="1"/>
  <c r="C27" i="28" s="1"/>
  <c r="X2" i="28"/>
  <c r="AA4" i="28" s="1"/>
  <c r="X5" i="28"/>
  <c r="U9" i="28"/>
  <c r="U10" i="28" s="1"/>
  <c r="U6" i="28"/>
  <c r="T18" i="28" s="1"/>
  <c r="O12" i="28"/>
  <c r="C26" i="28"/>
  <c r="R12" i="28" l="1"/>
  <c r="U11" i="28"/>
  <c r="U12" i="28" s="1"/>
  <c r="AA2" i="28"/>
  <c r="AA5" i="28"/>
  <c r="AA7" i="28" s="1"/>
  <c r="AD4" i="28"/>
  <c r="X9" i="28"/>
  <c r="X10" i="28" s="1"/>
  <c r="X6" i="28"/>
  <c r="L51" i="29"/>
  <c r="X7" i="28"/>
  <c r="L52" i="29"/>
  <c r="C28" i="28" l="1"/>
  <c r="W18" i="28"/>
  <c r="X11" i="28" s="1"/>
  <c r="AD2" i="28"/>
  <c r="AG4" i="28" s="1"/>
  <c r="AD5" i="28"/>
  <c r="L53" i="29"/>
  <c r="AA9" i="28"/>
  <c r="AA10" i="28" s="1"/>
  <c r="AA6" i="28"/>
  <c r="Z18" i="28" s="1"/>
  <c r="AD6" i="28" l="1"/>
  <c r="AD9" i="28"/>
  <c r="AD10" i="28" s="1"/>
  <c r="AG2" i="28"/>
  <c r="AJ4" i="28" s="1"/>
  <c r="AG5" i="28"/>
  <c r="X12" i="28"/>
  <c r="C29" i="28"/>
  <c r="AD7" i="28"/>
  <c r="AA11" i="28"/>
  <c r="L54" i="29" l="1"/>
  <c r="AJ2" i="28"/>
  <c r="AM4" i="28" s="1"/>
  <c r="AJ5" i="28"/>
  <c r="AJ7" i="28" s="1"/>
  <c r="C30" i="28"/>
  <c r="AA12" i="28"/>
  <c r="AG9" i="28"/>
  <c r="AG10" i="28" s="1"/>
  <c r="AG6" i="28"/>
  <c r="AG7" i="28"/>
  <c r="AC18" i="28"/>
  <c r="AD11" i="28" s="1"/>
  <c r="AD12" i="28" l="1"/>
  <c r="C31" i="28"/>
  <c r="AM5" i="28"/>
  <c r="AM2" i="28"/>
  <c r="AP4" i="28" s="1"/>
  <c r="L55" i="29"/>
  <c r="AF18" i="28"/>
  <c r="AG11" i="28" s="1"/>
  <c r="AJ6" i="28"/>
  <c r="AI18" i="28" s="1"/>
  <c r="AJ11" i="28" s="1"/>
  <c r="AJ9" i="28"/>
  <c r="AJ10" i="28" s="1"/>
  <c r="C33" i="28" l="1"/>
  <c r="AJ12" i="28"/>
  <c r="L56" i="29"/>
  <c r="AG12" i="28"/>
  <c r="C32" i="28"/>
  <c r="AM9" i="28"/>
  <c r="AM10" i="28" s="1"/>
  <c r="AM6" i="28"/>
  <c r="AM7" i="28"/>
  <c r="AP5" i="28"/>
  <c r="AP2" i="28"/>
  <c r="AS4" i="28" s="1"/>
  <c r="AP6" i="28" l="1"/>
  <c r="AP9" i="28"/>
  <c r="AP10" i="28" s="1"/>
  <c r="AP7" i="28"/>
  <c r="L57" i="29"/>
  <c r="AS5" i="28"/>
  <c r="AS2" i="28"/>
  <c r="AV4" i="28" s="1"/>
  <c r="AL18" i="28"/>
  <c r="AM11" i="28" s="1"/>
  <c r="L58" i="29"/>
  <c r="AM12" i="28" l="1"/>
  <c r="C34" i="28"/>
  <c r="AV5" i="28"/>
  <c r="AV2" i="28"/>
  <c r="AY4" i="28" s="1"/>
  <c r="AS6" i="28"/>
  <c r="AS9" i="28"/>
  <c r="AS10" i="28" s="1"/>
  <c r="AS7" i="28"/>
  <c r="AO18" i="28"/>
  <c r="AP11" i="28" s="1"/>
  <c r="AR18" i="28" l="1"/>
  <c r="AS11" i="28" s="1"/>
  <c r="AS12" i="28" s="1"/>
  <c r="AP12" i="28"/>
  <c r="C35" i="28"/>
  <c r="AV6" i="28"/>
  <c r="AV9" i="28"/>
  <c r="AV10" i="28" s="1"/>
  <c r="L59" i="29"/>
  <c r="AV7" i="28"/>
  <c r="AY5" i="28"/>
  <c r="AY7" i="28" s="1"/>
  <c r="AY2" i="28"/>
  <c r="BB4" i="28" s="1"/>
  <c r="C36" i="28" l="1"/>
  <c r="L61" i="29" s="1"/>
  <c r="AY9" i="28"/>
  <c r="AY10" i="28" s="1"/>
  <c r="AY6" i="28"/>
  <c r="AX18" i="28" s="1"/>
  <c r="AY11" i="28" s="1"/>
  <c r="L60" i="29"/>
  <c r="BB5" i="28"/>
  <c r="BB7" i="28" s="1"/>
  <c r="BB2" i="28"/>
  <c r="BE4" i="28" s="1"/>
  <c r="AU18" i="28"/>
  <c r="AV11" i="28" s="1"/>
  <c r="AY12" i="28" l="1"/>
  <c r="C38" i="28"/>
  <c r="C37" i="28"/>
  <c r="AV12" i="28"/>
  <c r="BB9" i="28"/>
  <c r="BB10" i="28" s="1"/>
  <c r="BB6" i="28"/>
  <c r="BA18" i="28" s="1"/>
  <c r="BB11" i="28" s="1"/>
  <c r="BE5" i="28"/>
  <c r="BE2" i="28"/>
  <c r="BH4" i="28" s="1"/>
  <c r="BE6" i="28" l="1"/>
  <c r="BE9" i="28"/>
  <c r="BE10" i="28" s="1"/>
  <c r="BB12" i="28"/>
  <c r="C39" i="28"/>
  <c r="L62" i="29"/>
  <c r="BH5" i="28"/>
  <c r="BH2" i="28"/>
  <c r="BK4" i="28" s="1"/>
  <c r="L63" i="29"/>
  <c r="BE7" i="28"/>
  <c r="BH9" i="28" l="1"/>
  <c r="BH10" i="28" s="1"/>
  <c r="BH6" i="28"/>
  <c r="BK2" i="28"/>
  <c r="BN4" i="28" s="1"/>
  <c r="BK5" i="28"/>
  <c r="BH7" i="28"/>
  <c r="L64" i="29"/>
  <c r="BD18" i="28"/>
  <c r="BE11" i="28" s="1"/>
  <c r="BN5" i="28" l="1"/>
  <c r="BN2" i="28"/>
  <c r="BQ4" i="28" s="1"/>
  <c r="BG18" i="28"/>
  <c r="BH11" i="28" s="1"/>
  <c r="C40" i="28"/>
  <c r="BE12" i="28"/>
  <c r="BK6" i="28"/>
  <c r="BK9" i="28"/>
  <c r="BK10" i="28" s="1"/>
  <c r="BK7" i="28"/>
  <c r="BJ18" i="28" l="1"/>
  <c r="BK11" i="28" s="1"/>
  <c r="BH12" i="28"/>
  <c r="C41" i="28"/>
  <c r="BQ5" i="28"/>
  <c r="BQ7" i="28" s="1"/>
  <c r="BQ2" i="28"/>
  <c r="BT4" i="28" s="1"/>
  <c r="BN6" i="28"/>
  <c r="BN9" i="28"/>
  <c r="BN10" i="28" s="1"/>
  <c r="L65" i="29"/>
  <c r="BN7" i="28"/>
  <c r="BM18" i="28" l="1"/>
  <c r="BN11" i="28" s="1"/>
  <c r="BN12" i="28" s="1"/>
  <c r="BT5" i="28"/>
  <c r="BT2" i="28"/>
  <c r="BQ6" i="28"/>
  <c r="BP18" i="28" s="1"/>
  <c r="BQ9" i="28"/>
  <c r="BQ10" i="28" s="1"/>
  <c r="L66" i="29"/>
  <c r="BK12" i="28"/>
  <c r="C42" i="28"/>
  <c r="BQ11" i="28" l="1"/>
  <c r="C44" i="28" s="1"/>
  <c r="C43" i="28"/>
  <c r="L68" i="29" s="1"/>
  <c r="L67" i="29"/>
  <c r="BT6" i="28"/>
  <c r="BT9" i="28"/>
  <c r="BT10" i="28" s="1"/>
  <c r="BT7" i="28"/>
  <c r="BQ12" i="28" l="1"/>
  <c r="L69" i="29"/>
  <c r="BS18" i="28"/>
  <c r="BT11" i="28" s="1"/>
  <c r="C45" i="28" l="1"/>
  <c r="BT12" i="28"/>
  <c r="L70" i="29" l="1"/>
</calcChain>
</file>

<file path=xl/sharedStrings.xml><?xml version="1.0" encoding="utf-8"?>
<sst xmlns="http://schemas.openxmlformats.org/spreadsheetml/2006/main" count="35308" uniqueCount="1008">
  <si>
    <t>Sample Size</t>
  </si>
  <si>
    <t>Defect Rate</t>
  </si>
  <si>
    <t>Defect</t>
  </si>
  <si>
    <t>Defects</t>
  </si>
  <si>
    <t>Total</t>
  </si>
  <si>
    <t>v1</t>
  </si>
  <si>
    <t>v2</t>
  </si>
  <si>
    <t>ARL</t>
  </si>
  <si>
    <t>F-statistic</t>
  </si>
  <si>
    <t xml:space="preserve">Per Sub Group </t>
  </si>
  <si>
    <t>Conf</t>
  </si>
  <si>
    <t>SS</t>
  </si>
  <si>
    <t>Def</t>
  </si>
  <si>
    <t>Est</t>
  </si>
  <si>
    <t>CI</t>
  </si>
  <si>
    <t>Total Percent</t>
  </si>
  <si>
    <t>cl</t>
  </si>
  <si>
    <t>est</t>
  </si>
  <si>
    <t>CL</t>
  </si>
  <si>
    <t>Point</t>
  </si>
  <si>
    <t>Default Sample Size:</t>
  </si>
  <si>
    <t>Confidence:</t>
  </si>
  <si>
    <t>Performed By:</t>
  </si>
  <si>
    <t>Date:</t>
  </si>
  <si>
    <t>Sampling</t>
  </si>
  <si>
    <t xml:space="preserve">of Subgroup </t>
  </si>
  <si>
    <t xml:space="preserve">in Subgroup </t>
  </si>
  <si>
    <t>Comments (Attach separate sheet(s) as required.)</t>
  </si>
  <si>
    <t>Intended Use</t>
  </si>
  <si>
    <t>Fields in blue must be input electronically.</t>
  </si>
  <si>
    <t>Fields in green may be entered manually.</t>
  </si>
  <si>
    <t>Fields in yellow perform calculations.</t>
  </si>
  <si>
    <t>Column A</t>
  </si>
  <si>
    <t>Column B</t>
  </si>
  <si>
    <t>Column C</t>
  </si>
  <si>
    <t>Column D</t>
  </si>
  <si>
    <t>Column E</t>
  </si>
  <si>
    <t>No calculations are performed in this tab.</t>
  </si>
  <si>
    <t>Specifications</t>
  </si>
  <si>
    <t>Recorded By:</t>
  </si>
  <si>
    <t>This tab perfoms intra- and inter-sample point statistical data analyses.</t>
  </si>
  <si>
    <t>(1) Input "Sample Size of Subgroup" and "Defects in Subgroup".</t>
  </si>
  <si>
    <t>Historical Defect Rate:</t>
  </si>
  <si>
    <t>(a) the Blue Data Line is above the Red Control Line</t>
  </si>
  <si>
    <t>and/or</t>
  </si>
  <si>
    <t>(b) the "Defects in Subgroup" value is displayed in Red</t>
  </si>
  <si>
    <t>(2) Contact the Supervisor immediately if:</t>
  </si>
  <si>
    <t>The data are evaluated relative to acceptable limits established through historical data with a specified confidence.</t>
  </si>
  <si>
    <t>The Blue Data Line indicates the actual process.</t>
  </si>
  <si>
    <t>The Red Control Line indicates the historical confidence level.</t>
  </si>
  <si>
    <t>The process is operating at or better than historical limits as long as the Blue Data Line remains below the Red Control Line.</t>
  </si>
  <si>
    <t>Statistical Justification</t>
  </si>
  <si>
    <t>The equation for the Red Control Line is based on Exact Binomial Confidence Limits.</t>
  </si>
  <si>
    <t>The Red Highlight (of the entered Default Sample Size) is based on a normal approximation.</t>
  </si>
  <si>
    <t>Justification for these equations can be found in: Hollander, Myles and Wolfe, Douglas, Nonparametric Statsitical Methods, Page 23 to 24, John Wilely and Sons, NY, NY 1973.</t>
  </si>
  <si>
    <t>These results can be duplicated in Minitab version 15, using STATS/Basic Statistics/1-Proportion.</t>
  </si>
  <si>
    <t>The Excel equations can be found in the HistoricalAccurStats tab.</t>
  </si>
  <si>
    <t>HistoricalAccuStats</t>
  </si>
  <si>
    <t>Comments</t>
  </si>
  <si>
    <t>DO NOT PRINT BELOW</t>
  </si>
  <si>
    <t>The Red Control Line is calculated using the Default Sample Size but will adjust based on the actual sample size.</t>
  </si>
  <si>
    <t>After a Sample Size of Subgroup is entered, this value is used to calculate the remainder of the Red Control Line.</t>
  </si>
  <si>
    <t>Lot No.</t>
  </si>
  <si>
    <t>Data - Sample Type 0</t>
  </si>
  <si>
    <t>Assay Name</t>
  </si>
  <si>
    <t>Expected Result</t>
  </si>
  <si>
    <t>Sample Type 0</t>
  </si>
  <si>
    <t>Maximum Pressure Limit</t>
  </si>
  <si>
    <t>Valid Sample Type Codes</t>
  </si>
  <si>
    <t>Total No. Cartridges Registered:</t>
  </si>
  <si>
    <t>Total No. Valid Test Replicates:</t>
  </si>
  <si>
    <t>Data - Sample Type 1</t>
  </si>
  <si>
    <t>Data - Replaced</t>
  </si>
  <si>
    <t>Statistical Process Control</t>
  </si>
  <si>
    <t>(Select using drop-down menu.)</t>
  </si>
  <si>
    <t>This tab provides a location to record the GX test summary results for Sample Type 0.</t>
  </si>
  <si>
    <t>This tab provides a location to record the GX test summary results for Sample Type 1.</t>
  </si>
  <si>
    <t>This tab provides a location to record the GX test summary results for replicates that were replaced.</t>
  </si>
  <si>
    <t>This tab lists the specifications that are used to analyze the data input in the Cartridge Data and Results Summary tabs.</t>
  </si>
  <si>
    <t>Data - First 10</t>
  </si>
  <si>
    <t>This tab provides a location to record the GX test summary results for First 10 Cartridges.</t>
  </si>
  <si>
    <t>Product Catalog/Part No.:</t>
  </si>
  <si>
    <t>* Note: List must be in ascending order per Excel ordering rules.</t>
  </si>
  <si>
    <t>Part/Cat. No.*</t>
  </si>
  <si>
    <t>Part No.</t>
  </si>
  <si>
    <t>No. Major Visual Inspection Failures:</t>
  </si>
  <si>
    <t>Assay
(P File)</t>
  </si>
  <si>
    <t>Maximum No.
Allowable Major
Functional Failures
for PASS</t>
  </si>
  <si>
    <t>Maximum No.
Allowable Major
Visual Inspection Failures
for PASS</t>
  </si>
  <si>
    <t>Maximum No.
Allowable Major
Failures Total
for PASS</t>
  </si>
  <si>
    <t>Maximum No.
Allowable Major
Functional Failures
for RESAMPLE</t>
  </si>
  <si>
    <t>Maximum No.
Allowable Major
Visual Inspection Failures
for RESAMPLE</t>
  </si>
  <si>
    <t>Maximum No.
Allowable Major
Failures Total
for RESAMPLE</t>
  </si>
  <si>
    <t>Maximum No.
Allowable Major and
Minor Failures Total
for PASS</t>
  </si>
  <si>
    <t>This tab supports the calculations performed in the Statistical Process Control tab.</t>
  </si>
  <si>
    <t>The confidence becomes more preceise as more data is accumulated during the course of the run.</t>
  </si>
  <si>
    <t>Cartridge ID</t>
  </si>
  <si>
    <t>Cartridge No. (LSP)</t>
  </si>
  <si>
    <t>Assay</t>
  </si>
  <si>
    <t>Assay Version</t>
  </si>
  <si>
    <t>Sample ID</t>
  </si>
  <si>
    <t>Cartridge S/N</t>
  </si>
  <si>
    <t>Reagent Lot ID</t>
  </si>
  <si>
    <t>Test Type</t>
  </si>
  <si>
    <t>Instrument S/N</t>
  </si>
  <si>
    <t>Module S/N</t>
  </si>
  <si>
    <t>S/W Version</t>
  </si>
  <si>
    <t>Start Time</t>
  </si>
  <si>
    <t>Status</t>
  </si>
  <si>
    <t>Test Result</t>
  </si>
  <si>
    <t>Analyte Name</t>
  </si>
  <si>
    <t>Usage</t>
  </si>
  <si>
    <t>Target #</t>
  </si>
  <si>
    <t>Analyte Result</t>
  </si>
  <si>
    <t>Ct</t>
  </si>
  <si>
    <t>EndPt</t>
  </si>
  <si>
    <t>Curve Fit</t>
  </si>
  <si>
    <t>Target Delta Ct</t>
  </si>
  <si>
    <t>Prb Chk 1</t>
  </si>
  <si>
    <t>Prb Chk 2</t>
  </si>
  <si>
    <t>Prb Chk 3</t>
  </si>
  <si>
    <t>Probe Check Result</t>
  </si>
  <si>
    <t>2nd Deriv Peak Height</t>
  </si>
  <si>
    <t>Cycles</t>
  </si>
  <si>
    <t>Max Pressure (PSI)</t>
  </si>
  <si>
    <t>Min Pressure (PSI)</t>
  </si>
  <si>
    <t>Error</t>
  </si>
  <si>
    <t>Data Summary</t>
  </si>
  <si>
    <t>Assay Name Check</t>
  </si>
  <si>
    <t>First 10</t>
  </si>
  <si>
    <t>No. Of Replicates</t>
  </si>
  <si>
    <t>Result</t>
  </si>
  <si>
    <t>Failure check</t>
  </si>
  <si>
    <t>Pressure Check</t>
  </si>
  <si>
    <t>Table 2; Pipette Information</t>
  </si>
  <si>
    <t>Table 3; GeneXperts Used:</t>
  </si>
  <si>
    <t>Table 1; Test and Control Material Information</t>
  </si>
  <si>
    <t>Type</t>
  </si>
  <si>
    <t>Replaced</t>
  </si>
  <si>
    <t>Reasons for replacements</t>
  </si>
  <si>
    <t>Instrument error replaced per D12547 Rev __</t>
  </si>
  <si>
    <t>N/A</t>
  </si>
  <si>
    <t>Replaced per __LFI___</t>
  </si>
  <si>
    <t>Sample Type</t>
  </si>
  <si>
    <t>Comments for Valid Test Replicates</t>
  </si>
  <si>
    <t>See Replaced Data</t>
  </si>
  <si>
    <t>Lot Check</t>
  </si>
  <si>
    <t>Expected Lot Number</t>
  </si>
  <si>
    <t>Expected Assay Name</t>
  </si>
  <si>
    <t>Probe Check Low</t>
  </si>
  <si>
    <t>Curve Fit Error</t>
  </si>
  <si>
    <t>Probe Check High</t>
  </si>
  <si>
    <t>CIT and SLD</t>
  </si>
  <si>
    <t>Pressure Abort or Max Pressure &gt; 90 PSI</t>
  </si>
  <si>
    <t>Sample Volume Adequacy</t>
  </si>
  <si>
    <t>No. Total Major Failures:</t>
  </si>
  <si>
    <t>Overall Result:</t>
  </si>
  <si>
    <t>NCR#</t>
  </si>
  <si>
    <t>NCR No.</t>
  </si>
  <si>
    <t>__NCR____</t>
  </si>
  <si>
    <t>Invalid (w/o error code)
and SPC Ct=0</t>
  </si>
  <si>
    <t>No. Of Replicates Check</t>
  </si>
  <si>
    <t>Test Summary</t>
  </si>
  <si>
    <t>B3</t>
  </si>
  <si>
    <t>Select Catalog Number from pull down menu</t>
  </si>
  <si>
    <t>B4</t>
  </si>
  <si>
    <t>Enter lot number (without leading 0)</t>
  </si>
  <si>
    <t>Enter Control lot number</t>
  </si>
  <si>
    <t>Enter pipet information</t>
  </si>
  <si>
    <t>Enter GeneXpert information</t>
  </si>
  <si>
    <t>Table 4</t>
  </si>
  <si>
    <t>column C</t>
  </si>
  <si>
    <t>column D</t>
  </si>
  <si>
    <t>Compares number of failures to pass/resample criteria (N&gt;4 resample)</t>
  </si>
  <si>
    <t>Counts individual error types from data summary tab</t>
  </si>
  <si>
    <t>Table 5</t>
  </si>
  <si>
    <t>Counts number of replicates and valid replicates from Data Summary and Replaced Data tabs</t>
  </si>
  <si>
    <t>Calculates total number of major failures from rows 35 and 36</t>
  </si>
  <si>
    <t>Calculates total number of failures from rows 34 and 37</t>
  </si>
  <si>
    <t>Evaluates number of failures against limits on the specifications tab</t>
  </si>
  <si>
    <t>Pull down menu for NCR number if applicable</t>
  </si>
  <si>
    <t>Rows 2-4</t>
  </si>
  <si>
    <t>Lot information pulled from Test Summary and Specifications tabs</t>
  </si>
  <si>
    <t>D6</t>
  </si>
  <si>
    <t>Counts number of replicates in Rows 9-18</t>
  </si>
  <si>
    <t>Compares Number of replicates to Specifications</t>
  </si>
  <si>
    <t>B7</t>
  </si>
  <si>
    <t>D7</t>
  </si>
  <si>
    <t>First 10
Sample Type</t>
  </si>
  <si>
    <t>Compares the lot number from Row 3 with the Data - First 10 tab (all replicates must match)</t>
  </si>
  <si>
    <t>Compares Assay name from C4 with the Data - First 10 tab (all replicates must match)</t>
  </si>
  <si>
    <t>Pulls Sample ID from Data - First 10 tab</t>
  </si>
  <si>
    <t>Pulls Test Result from Data - First 10 tab</t>
  </si>
  <si>
    <t>Evaluates the result in column B and Data - First 10 tab in the following order;</t>
  </si>
  <si>
    <t>Blank</t>
  </si>
  <si>
    <t>Invalid</t>
  </si>
  <si>
    <t>Seal Test Fail</t>
  </si>
  <si>
    <t>Minor Visual</t>
  </si>
  <si>
    <t>Major Visual</t>
  </si>
  <si>
    <t>Found</t>
  </si>
  <si>
    <t>Report</t>
  </si>
  <si>
    <t>Blank Cell</t>
  </si>
  <si>
    <t>Error Code Present</t>
  </si>
  <si>
    <t>Error Text</t>
  </si>
  <si>
    <t>Barcode Fail</t>
  </si>
  <si>
    <t>Text not recognized</t>
  </si>
  <si>
    <t>Data Entry Error</t>
  </si>
  <si>
    <t>Correct Test Result</t>
  </si>
  <si>
    <t>Pass</t>
  </si>
  <si>
    <t>Incorrect Test Result</t>
  </si>
  <si>
    <t>Major Functional</t>
  </si>
  <si>
    <t>Evaluates maximum pressure from Data - First 10 tab versus limit in Specifications tab</t>
  </si>
  <si>
    <t>Comment either with pull down menu or free text</t>
  </si>
  <si>
    <t>Pull data from Data - Replaced Tab as necessary</t>
  </si>
  <si>
    <t>Counts number of replaced replicates in Data - Replaced tab</t>
  </si>
  <si>
    <t>Paste in data starting with Row 2</t>
  </si>
  <si>
    <t>Uses Conditional formatting</t>
  </si>
  <si>
    <t>Green</t>
  </si>
  <si>
    <t>Yellow</t>
  </si>
  <si>
    <t>Minor Failure or Data Entry Error</t>
  </si>
  <si>
    <t>Major Failure</t>
  </si>
  <si>
    <t>Red</t>
  </si>
  <si>
    <t>Fail</t>
  </si>
  <si>
    <t>If S</t>
  </si>
  <si>
    <t>If V</t>
  </si>
  <si>
    <t>If M</t>
  </si>
  <si>
    <t>if B</t>
  </si>
  <si>
    <t>Counts total number of minor failures from data summary  (pressure and minor visual failures) and table 4 (for other minors)</t>
  </si>
  <si>
    <t>Counts number of replicates in Rows 23-122</t>
  </si>
  <si>
    <t>Compares the lot number from Row 3 with the Data - Sample Type 0 tab (all replicates must match)</t>
  </si>
  <si>
    <t>Compares Assay name from C4 with the Data - Sample Type 0 tab (all replicates must match)</t>
  </si>
  <si>
    <t>Pulls Sample ID from Data - Sample Type 0 tab</t>
  </si>
  <si>
    <t>Pulls Test Result from Data - Sample Type 0 tab</t>
  </si>
  <si>
    <t>Evaluates the result in column B and Data - Sample Type 0 tab in the following order;</t>
  </si>
  <si>
    <t>Evaluates maximum pressure from Data - Sample Type 0 tab versus limit in Specifications tab</t>
  </si>
  <si>
    <t>D21</t>
  </si>
  <si>
    <t>F124</t>
  </si>
  <si>
    <t>Pulls Sample ID from Data - Sample Type 1 tab</t>
  </si>
  <si>
    <t>Pulls Test Result from Data - Sample Type 1 tab</t>
  </si>
  <si>
    <t>Evaluates the result in column B and Data - Sample Type 1 tab in the following order;</t>
  </si>
  <si>
    <t>Compares the lot number from Row 3 with the Data - Sample Type 1 tab (all replicates must match)</t>
  </si>
  <si>
    <t>Compares Assay name from C4 with the Data - Sample Type 1 tab (all replicates must match)</t>
  </si>
  <si>
    <t>SPC Ct=0</t>
  </si>
  <si>
    <t>If SPC Ct=0</t>
  </si>
  <si>
    <t>Patient ID</t>
  </si>
  <si>
    <t>Quantitative Value</t>
  </si>
  <si>
    <t>Quantitative Unit</t>
  </si>
  <si>
    <t>Interpretation Flag</t>
  </si>
  <si>
    <t>User</t>
  </si>
  <si>
    <t>No. False Negative</t>
  </si>
  <si>
    <t>No. False Positive</t>
  </si>
  <si>
    <t>Calibration Due Date</t>
  </si>
  <si>
    <t>Cepheid ID</t>
  </si>
  <si>
    <t>Delamination</t>
  </si>
  <si>
    <t>Bent reaction tube</t>
  </si>
  <si>
    <t>Broken/missing reaction tube</t>
  </si>
  <si>
    <t>Cracked chimneys</t>
  </si>
  <si>
    <t>Desiccant in center plunger hole</t>
  </si>
  <si>
    <t>Film delamination</t>
  </si>
  <si>
    <t>Fluids/crystals on the top/inside of the cartridge</t>
  </si>
  <si>
    <t>Incorrect lid</t>
  </si>
  <si>
    <t>Leaky cartridge</t>
  </si>
  <si>
    <t>Missing or noticeably under or overfilled on board reagent</t>
  </si>
  <si>
    <t>LFI#</t>
  </si>
  <si>
    <t>NA</t>
  </si>
  <si>
    <t>Max Acceptable:</t>
  </si>
  <si>
    <t>(Out of )</t>
  </si>
  <si>
    <t>(210)</t>
  </si>
  <si>
    <t>(410)</t>
  </si>
  <si>
    <t>YES</t>
  </si>
  <si>
    <t>PASS</t>
  </si>
  <si>
    <t>__LFI__</t>
  </si>
  <si>
    <t>NO</t>
  </si>
  <si>
    <t>Resample Needed</t>
  </si>
  <si>
    <t>x(Seal Test Only)</t>
  </si>
  <si>
    <t>x</t>
  </si>
  <si>
    <t>RESAMPLE</t>
  </si>
  <si>
    <t>if D</t>
  </si>
  <si>
    <t>Resample Count</t>
  </si>
  <si>
    <t>For Reference Only</t>
  </si>
  <si>
    <t>This tab informs pull-down menus in other tabs.</t>
  </si>
  <si>
    <t>Product QC Testing Summary</t>
  </si>
  <si>
    <t>Comment (drop-down menu available)</t>
  </si>
  <si>
    <t>PQC Reviewed By:</t>
  </si>
  <si>
    <t>Table 4: Single Minor Failure Mode:</t>
  </si>
  <si>
    <t>Label incorrect/blurry</t>
  </si>
  <si>
    <t>Part No.*</t>
  </si>
  <si>
    <t>* Circle one, if more than 1 option is displayed.</t>
  </si>
  <si>
    <t>Sample Type
for First 10</t>
  </si>
  <si>
    <t>Major Cartridge Integrity Test Failure Limits (PASS, RESAMPLE), Note: this specification is not in use.</t>
  </si>
  <si>
    <t>Valid Replicate Check</t>
  </si>
  <si>
    <t>No. Total Failures:</t>
  </si>
  <si>
    <t>No. Minor Failures:</t>
  </si>
  <si>
    <t>Expiration Date</t>
  </si>
  <si>
    <t>MTB NOT DETECTED</t>
  </si>
  <si>
    <t>TET Buffer</t>
  </si>
  <si>
    <t>500-1315
 or 
500-0995</t>
  </si>
  <si>
    <t>Sample Reagent</t>
  </si>
  <si>
    <t>Melt Peak Temperature</t>
  </si>
  <si>
    <t>Melt Peak Height</t>
  </si>
  <si>
    <t>TYPE</t>
  </si>
  <si>
    <t>SPC Ct</t>
  </si>
  <si>
    <t>Data Set</t>
  </si>
  <si>
    <t>SPC Ct Mean</t>
  </si>
  <si>
    <t>Sample Type 1</t>
  </si>
  <si>
    <t>Sample Type 2</t>
  </si>
  <si>
    <t>Bag #</t>
  </si>
  <si>
    <t>Max No. of Single Minor Failure Mode for initial data</t>
  </si>
  <si>
    <t>Max No. of Single Minor Failure Mode for initial+resample data</t>
  </si>
  <si>
    <t>Minor Visual Failure</t>
  </si>
  <si>
    <t>Major Visual Failure</t>
  </si>
  <si>
    <t>Type of Resample</t>
  </si>
  <si>
    <t>Type Of Resample</t>
  </si>
  <si>
    <t>Visual Only Resample</t>
  </si>
  <si>
    <t>Functional and Visual Resample</t>
  </si>
  <si>
    <t>Delam and Visual Resample</t>
  </si>
  <si>
    <t>Table 5: Visual and Delamination Resample Results</t>
  </si>
  <si>
    <t>Original Count</t>
  </si>
  <si>
    <t xml:space="preserve">Combined Count </t>
  </si>
  <si>
    <t>Max Count</t>
  </si>
  <si>
    <t xml:space="preserve">Final Count </t>
  </si>
  <si>
    <t>Accept Criteria</t>
  </si>
  <si>
    <t>This tab calculates the mean Ct for SPC and the mean IS1081-IS6110 Ct from Negative samples. It will calculate the  mean Ct  and mean TM for IS1081-IS6110, rpo1, rpo2, rpo4  from Sample Type 1 as well as the mean Ct  and mean TM for IS1081-IS6110, rpo1, rpo2, rpo3, rpo4  from Sample Type 2 and compares them to specifications on "Specifications" tab.  Failing results are highlighted in RED.</t>
  </si>
  <si>
    <t>This tab performs the same calculations for the "First 10" results</t>
  </si>
  <si>
    <t>Row 15-16</t>
  </si>
  <si>
    <t>Row 18-21</t>
  </si>
  <si>
    <t>A23-G32</t>
  </si>
  <si>
    <t>column E</t>
  </si>
  <si>
    <t>Counts individual error types from resample data summary tab</t>
  </si>
  <si>
    <t>coulmn F</t>
  </si>
  <si>
    <t>Compares number of failures to pass/resample criteria (N&gt;10 resample)</t>
  </si>
  <si>
    <t>C34</t>
  </si>
  <si>
    <t>C36</t>
  </si>
  <si>
    <t>Counts the max count for Single Minor Failure</t>
  </si>
  <si>
    <t>Max allowable failure per n=210</t>
  </si>
  <si>
    <t>Counts the max count for Single Minor Failure for Resample Data</t>
  </si>
  <si>
    <t>Max allowable failure per n=410</t>
  </si>
  <si>
    <t>Table 6</t>
  </si>
  <si>
    <t>I23-K26</t>
  </si>
  <si>
    <t>K24</t>
  </si>
  <si>
    <t>K25</t>
  </si>
  <si>
    <t>K26</t>
  </si>
  <si>
    <t>Manually enter number of failures for Minor Visual Failure</t>
  </si>
  <si>
    <t>Manually enter number of failures for Major Visual Failure</t>
  </si>
  <si>
    <t>Manually enter number of failures for Delamination</t>
  </si>
  <si>
    <t>Row 40-49</t>
  </si>
  <si>
    <t>Column F</t>
  </si>
  <si>
    <t>Rows 41-42</t>
  </si>
  <si>
    <t>Row 43</t>
  </si>
  <si>
    <t>Row 44</t>
  </si>
  <si>
    <t>Row 45</t>
  </si>
  <si>
    <t>Acceptance Criteria per Specifications tab</t>
  </si>
  <si>
    <t>Column H (For Resample Data )</t>
  </si>
  <si>
    <t>Calculates combined failures for original and resample</t>
  </si>
  <si>
    <t>Column K</t>
  </si>
  <si>
    <t>Calculates overall result using table 4, table 5 and table 6</t>
  </si>
  <si>
    <t>Pull down menu for LFI number if applicable</t>
  </si>
  <si>
    <t>1-5</t>
  </si>
  <si>
    <t>6-10</t>
  </si>
  <si>
    <t>Table 6: Major Failure Results</t>
  </si>
  <si>
    <t>Table 7: Result Summary:</t>
  </si>
  <si>
    <t>Data - Sample Type 2</t>
  </si>
  <si>
    <t>This tab provides a location to record the GX test summary results for Sample Type 2.</t>
  </si>
  <si>
    <t>Table 7</t>
  </si>
  <si>
    <t>I29-M33</t>
  </si>
  <si>
    <t>L31</t>
  </si>
  <si>
    <t>Counts number of False Negs for original Data</t>
  </si>
  <si>
    <t>M31</t>
  </si>
  <si>
    <t>Counts number of False Negs for Resample Data</t>
  </si>
  <si>
    <t>L32</t>
  </si>
  <si>
    <t>M32</t>
  </si>
  <si>
    <t>Counts number of False Pos for original Data</t>
  </si>
  <si>
    <t>Counts number of False Pos for Resample Data</t>
  </si>
  <si>
    <t>L33</t>
  </si>
  <si>
    <t>M33</t>
  </si>
  <si>
    <t>Counts number of Major Visual Failures for original Data</t>
  </si>
  <si>
    <t>Counts number of Major Visual Failures for Resample Data</t>
  </si>
  <si>
    <t>Rows 44-45</t>
  </si>
  <si>
    <t>Column J</t>
  </si>
  <si>
    <t>D48</t>
  </si>
  <si>
    <t>H48</t>
  </si>
  <si>
    <t>H49</t>
  </si>
  <si>
    <t>Resample Data Summary</t>
  </si>
  <si>
    <t>E6</t>
  </si>
  <si>
    <t>Rows 10-19</t>
  </si>
  <si>
    <t>B22</t>
  </si>
  <si>
    <t>D22</t>
  </si>
  <si>
    <t>Rows 25-124</t>
  </si>
  <si>
    <t>D126</t>
  </si>
  <si>
    <t>B127</t>
  </si>
  <si>
    <t>D127</t>
  </si>
  <si>
    <t>Rows 130-209</t>
  </si>
  <si>
    <t>D211</t>
  </si>
  <si>
    <t>Counts number of replicates in Rows 215-234</t>
  </si>
  <si>
    <t>Counts number of replicates in Rows 130-210</t>
  </si>
  <si>
    <t>B212</t>
  </si>
  <si>
    <t>D212</t>
  </si>
  <si>
    <t>Rows 215-234</t>
  </si>
  <si>
    <t>D236</t>
  </si>
  <si>
    <t>row 238-337</t>
  </si>
  <si>
    <t>Paste in data to Row 2 to Row 11</t>
  </si>
  <si>
    <t>Note: Enter in results if applicable (all resamples other than functional and full)</t>
  </si>
  <si>
    <t>P/F/N</t>
  </si>
  <si>
    <t>Comments:</t>
  </si>
  <si>
    <t>0/1/NA</t>
  </si>
  <si>
    <t>Vacuum Seal Data</t>
  </si>
  <si>
    <t>This tab is used to record and evaluate the Vacuum Seal Test data from ROBAL in-process testing.</t>
  </si>
  <si>
    <t>Enumerates the sampled cartridges.</t>
  </si>
  <si>
    <t>Records the Cartridge ID.</t>
  </si>
  <si>
    <t>Records the results of seal test.</t>
  </si>
  <si>
    <t>Valid entries are:</t>
  </si>
  <si>
    <t>"P"</t>
  </si>
  <si>
    <t>"F"</t>
  </si>
  <si>
    <t>"N"</t>
  </si>
  <si>
    <t>Calculates the results of seal test.</t>
  </si>
  <si>
    <t>The result is "NA" if the test replicate was not tested or does not apply.</t>
  </si>
  <si>
    <t>The results of the calculations are used as a counter for internal worksheet purposes.</t>
  </si>
  <si>
    <t>Sample Type 0 (Negative)</t>
  </si>
  <si>
    <t>P18</t>
  </si>
  <si>
    <t>Enter bags tested using infinity</t>
  </si>
  <si>
    <t>Original Result:</t>
  </si>
  <si>
    <t>Tab</t>
  </si>
  <si>
    <t>Print or Not Print</t>
  </si>
  <si>
    <t>Print</t>
  </si>
  <si>
    <t>Data- First 10</t>
  </si>
  <si>
    <t>Data- Sample Type 0</t>
  </si>
  <si>
    <t>Data- Sample Type 1</t>
  </si>
  <si>
    <t>Data- Sample Type 2</t>
  </si>
  <si>
    <t>Data- Replaced</t>
  </si>
  <si>
    <t>Print if applicable</t>
  </si>
  <si>
    <t>Data- Resample Replaced</t>
  </si>
  <si>
    <t>SPC mean per Data Set</t>
  </si>
  <si>
    <t>Enter Resample Data Below:</t>
  </si>
  <si>
    <t>Paste resample data starting from row 24</t>
  </si>
  <si>
    <t>Paste resample data starting from row 84</t>
  </si>
  <si>
    <t>Paste resample data starting from row 104</t>
  </si>
  <si>
    <t>Table of Tabs to Print</t>
  </si>
  <si>
    <t>Do NOT print</t>
  </si>
  <si>
    <t>Resample Size</t>
  </si>
  <si>
    <t>PN9000795</t>
  </si>
  <si>
    <t>MTB-XDR RUO</t>
  </si>
  <si>
    <t>P0851</t>
  </si>
  <si>
    <t>MTB DETECTED;INH Resistance NOT DETECTED;FLQ Resistance NOT DETECTED;AMK Resistance NOT DETECTED;KAN Resistance NOT DETECTED;CAP Resistance NOT DETECTED;ETH Resistance NOT DETECTED</t>
  </si>
  <si>
    <t>PN9000796</t>
  </si>
  <si>
    <t>MTB-XDR IUO</t>
  </si>
  <si>
    <t>P0871</t>
  </si>
  <si>
    <t>RMTBXDR10</t>
  </si>
  <si>
    <t>MTB DETECTED;INH Resistance DETECTED;FLQ Resistance DETECTED;AMK Resistance DETECTED;KAN Resistance DETECTED;CAP Resistance DETECTED;ETH Resistance DETECTED</t>
  </si>
  <si>
    <t>Sample Type 1 (WT)</t>
  </si>
  <si>
    <t>Sample Type 2 (Mutant)</t>
  </si>
  <si>
    <t>inhA MPT</t>
  </si>
  <si>
    <t>inhA Ct</t>
  </si>
  <si>
    <t>katG MPT</t>
  </si>
  <si>
    <t>katG MPH</t>
  </si>
  <si>
    <t>fabG MPT</t>
  </si>
  <si>
    <t>fabG MPH</t>
  </si>
  <si>
    <t>fabG Ct</t>
  </si>
  <si>
    <t>ahpC MPT</t>
  </si>
  <si>
    <t>gyrA1 Ct</t>
  </si>
  <si>
    <t>gyrA2 MPT</t>
  </si>
  <si>
    <t>gyrA2 MPH</t>
  </si>
  <si>
    <t>gyrA3 MPT</t>
  </si>
  <si>
    <t>gyrA3 MPH</t>
  </si>
  <si>
    <t>gyrB2 MPT</t>
  </si>
  <si>
    <t>gyrB2 MPH</t>
  </si>
  <si>
    <t>gyrB2 Ct</t>
  </si>
  <si>
    <t>rrs Ct</t>
  </si>
  <si>
    <t>eis Ct</t>
  </si>
  <si>
    <t>SPC</t>
  </si>
  <si>
    <t>inhA</t>
  </si>
  <si>
    <t>katG</t>
  </si>
  <si>
    <t>gyrA2</t>
  </si>
  <si>
    <t>gyrA3</t>
  </si>
  <si>
    <t>gyrB2</t>
  </si>
  <si>
    <t>rrs</t>
  </si>
  <si>
    <t>eis</t>
  </si>
  <si>
    <t>gyrA3 mut B MPT</t>
  </si>
  <si>
    <t>gyrA3 mut B MPH</t>
  </si>
  <si>
    <t>gyrB2 mut MPT</t>
  </si>
  <si>
    <t>gyrB2 mut MPH</t>
  </si>
  <si>
    <t>ahpC mut MPT</t>
  </si>
  <si>
    <t>gyrA2 mut MPT</t>
  </si>
  <si>
    <t>fabG mut MPT</t>
  </si>
  <si>
    <t>katG mut MPT</t>
  </si>
  <si>
    <t>inhA mut MPT</t>
  </si>
  <si>
    <t>MPT</t>
  </si>
  <si>
    <t>MPH</t>
  </si>
  <si>
    <t>fabG</t>
  </si>
  <si>
    <t>ahpC</t>
  </si>
  <si>
    <t>Attribute</t>
  </si>
  <si>
    <t>Type 1 Min Value</t>
  </si>
  <si>
    <t>Type 1 Max Value</t>
  </si>
  <si>
    <t>Type 2 Min Value</t>
  </si>
  <si>
    <t>Type 2 Max Value</t>
  </si>
  <si>
    <t>Type 0  Max Value</t>
  </si>
  <si>
    <t>MTB/XDR WT Cells</t>
  </si>
  <si>
    <t>325-00056</t>
  </si>
  <si>
    <t>325-00057</t>
  </si>
  <si>
    <t>Mean Ct MPT MPH Evaluation</t>
  </si>
  <si>
    <t>Resample Mean Ct MPT MPH Evaluation</t>
  </si>
  <si>
    <t>Data - Resample Replaced</t>
  </si>
  <si>
    <t>This worksheet is associated with MTB XDR Product QC Testing Procedure (D37339).</t>
  </si>
  <si>
    <t>fabG mut MPH</t>
  </si>
  <si>
    <t>katG mut MPH</t>
  </si>
  <si>
    <t>gyrA1</t>
  </si>
  <si>
    <t>MTB/XDR Mutant Cells</t>
  </si>
  <si>
    <t>KATg mut MPH</t>
  </si>
  <si>
    <t>Row 9 and 12</t>
  </si>
  <si>
    <t>Note: #N/A allows for ease of identification of incorrect references to this table. For example, 46&lt;=N/A will return TRUE while 46&lt;=#N/A will return #N/A.</t>
  </si>
  <si>
    <t>This tab calculates the mean Ct, MPT, and MPH values for selected sample types and channels (per CLS) and compares them to specifications on "Specifications" tab.  Failing results are highlighted in RED.</t>
  </si>
  <si>
    <t>FIO</t>
  </si>
  <si>
    <t>Revision History</t>
  </si>
  <si>
    <t>Rev</t>
  </si>
  <si>
    <t>Effective:</t>
  </si>
  <si>
    <t>Description of Changes</t>
  </si>
  <si>
    <t>GXMTBXDR10</t>
  </si>
  <si>
    <t>P0965</t>
  </si>
  <si>
    <t>Xpert MTB-XDR</t>
  </si>
  <si>
    <t>MTB DETECTED;INH Resistance DETECTED;FLQ Resistance DETECTED;AMK Resistance DETECTED;KAN Resistance DETECTED;CAP Resistance INDETERMINATE;ETH Resistance DETECTED</t>
  </si>
  <si>
    <t>Minor Functional</t>
  </si>
  <si>
    <t>MTB DETECTED;INH Resistance NOT DETECTED;FLQ Resistance NOT DETECTED;AMK Resistance NOT DETECTED;KAN Resistance NOT DETECTED;CAP Resistance INDETERMINATE;ETH Resistance NOT DETECTED</t>
  </si>
  <si>
    <t>Minor Functional Failure Result</t>
  </si>
  <si>
    <t xml:space="preserve">Maximum No.
Allowable Seal Test
Failures </t>
  </si>
  <si>
    <t>No. Seal Test Failures:</t>
  </si>
  <si>
    <t>12/21/2021</t>
  </si>
  <si>
    <t>1.On "Mean Ct MPT MPH Evaluation" and "Resample Mean Ct MPT MPH" tabs fixed rounding error in formula for calculating KatG MPH, gyr A3 MPH, and gyrB2 MPH on Sample type 2 Mutant type to allign with the spec
2. On "Mean Ct MPT MPH Evaluation" and "Resample Mean Ct MPT MPH" tabs fixed rounding error in formula for calculating KatG MPH, FabG MPH, gyrA2 MPH, gyr A3 MPH, and gyrB2 MPH on Sample type 1 Mutant type to allign with the spec</t>
  </si>
  <si>
    <t>K</t>
  </si>
  <si>
    <t>L</t>
  </si>
  <si>
    <t>J</t>
  </si>
  <si>
    <t>1. Removing the bag-to-bag MPH specification.
2. Mean Ct MPH MPT tab and Resample Mean Ct MPT MPH tab: calculating the overall MPH for analytes: kstG, fabG, gyrA2, gyrA3 and gyrB2 for WT</t>
  </si>
  <si>
    <t>H</t>
  </si>
  <si>
    <t xml:space="preserve">No change to worksheet </t>
  </si>
  <si>
    <t>G</t>
  </si>
  <si>
    <t xml:space="preserve">Removing parts 700-3497, 700-3046, 700-5103, 700-5104 since the parts are obsoleted. </t>
  </si>
  <si>
    <r>
      <rPr>
        <u/>
        <sz val="10"/>
        <rFont val="Arial"/>
        <family val="2"/>
      </rPr>
      <t>Test Summary</t>
    </r>
    <r>
      <rPr>
        <sz val="10"/>
        <rFont val="Arial"/>
        <family val="2"/>
      </rPr>
      <t xml:space="preserve">
1. Added additional OBR p/ns 700-9666 and 700-9667.
2. Removed OBR p/n 700-6155, obsoleted on DCO-24027.</t>
    </r>
  </si>
  <si>
    <t>700-6609
or 
500-2095
or
500-2290
or 
500-2608
or 
700-5208
or
700-9666
or
700-9667</t>
  </si>
  <si>
    <t>L.1</t>
  </si>
  <si>
    <t>Removing redlines from attachment 2</t>
  </si>
  <si>
    <t>M</t>
  </si>
  <si>
    <t>Current</t>
  </si>
  <si>
    <t>No changes to this worksheet.</t>
  </si>
  <si>
    <t>NEG_00_0_01X</t>
  </si>
  <si>
    <t>Negative Control 1</t>
  </si>
  <si>
    <t>6.6.0</t>
  </si>
  <si>
    <t>2026-06-01T02:56:19+0200</t>
  </si>
  <si>
    <t>Done</t>
  </si>
  <si>
    <t>SPC-ahpC</t>
  </si>
  <si>
    <t>1,2,3,4,5,6,7,8,9</t>
  </si>
  <si>
    <t>Target</t>
  </si>
  <si>
    <t>NEG</t>
  </si>
  <si>
    <t>fabG1</t>
  </si>
  <si>
    <t>QC1</t>
  </si>
  <si>
    <t>Probe</t>
  </si>
  <si>
    <t>QC2</t>
  </si>
  <si>
    <t>inhA-melt</t>
  </si>
  <si>
    <t>Melt Target</t>
  </si>
  <si>
    <t>katG-melt</t>
  </si>
  <si>
    <t>fabG1-melt</t>
  </si>
  <si>
    <t>ahpC-melt</t>
  </si>
  <si>
    <t>gyrA1-melt</t>
  </si>
  <si>
    <t>gyrA2-melt</t>
  </si>
  <si>
    <t>gyrA3-melt</t>
  </si>
  <si>
    <t>gyrB2-melt</t>
  </si>
  <si>
    <t>rrs-melt</t>
  </si>
  <si>
    <t>eis-melt</t>
  </si>
  <si>
    <t>inhA-mut melt</t>
  </si>
  <si>
    <t>katG-mut melt</t>
  </si>
  <si>
    <t>fabG1-mut melt</t>
  </si>
  <si>
    <t>ahpC-mut melt</t>
  </si>
  <si>
    <t>gyrA1-mutA melt</t>
  </si>
  <si>
    <t>gyrA1-mutB melt</t>
  </si>
  <si>
    <t>gyrA1-mutC melt</t>
  </si>
  <si>
    <t>gyrA2-mutA melt</t>
  </si>
  <si>
    <t>gyrA2-mutB melt</t>
  </si>
  <si>
    <t>gyrA3-mutA melt</t>
  </si>
  <si>
    <t>gyrA3-mutB melt</t>
  </si>
  <si>
    <t>gyrA3-mutC melt</t>
  </si>
  <si>
    <t>gyrB2-mut melt</t>
  </si>
  <si>
    <t>rrs-mut melt</t>
  </si>
  <si>
    <t>eis-mutA melt</t>
  </si>
  <si>
    <t>eis-mutB melt</t>
  </si>
  <si>
    <t>Labuser IPT</t>
  </si>
  <si>
    <t>NEG_00_0_02X</t>
  </si>
  <si>
    <t>2026-06-01T02:56:43+0200</t>
  </si>
  <si>
    <t>POS</t>
  </si>
  <si>
    <t>NEG_00_0_03X</t>
  </si>
  <si>
    <t>2026-06-01T02:57:02+0200</t>
  </si>
  <si>
    <t>NEG_00_0_04X</t>
  </si>
  <si>
    <t>2026-06-01T02:57:32+0200</t>
  </si>
  <si>
    <t>NEG_00_0_05X</t>
  </si>
  <si>
    <t>2026-06-01T02:57:51+0200</t>
  </si>
  <si>
    <t>NEG_00_0_06+</t>
  </si>
  <si>
    <t>2026-06-01T02:58:11+0200</t>
  </si>
  <si>
    <t>NEG_00_0_07+</t>
  </si>
  <si>
    <t>2026-06-01T02:58:30+0200</t>
  </si>
  <si>
    <t>NEG_00_0_08+</t>
  </si>
  <si>
    <t>2026-06-01T02:58:50+0200</t>
  </si>
  <si>
    <t>NEG_00_0_09+</t>
  </si>
  <si>
    <t>2026-06-01T02:59:10+0200</t>
  </si>
  <si>
    <t>NEG_00_0_10+</t>
  </si>
  <si>
    <t>2026-06-01T02:59:39+0200</t>
  </si>
  <si>
    <t>NEG_01_0_01X</t>
  </si>
  <si>
    <t>2026-06-01T03:05:26+0200</t>
  </si>
  <si>
    <t>NEG_01_0_02X</t>
  </si>
  <si>
    <t>2026-06-01T03:05:45+0200</t>
  </si>
  <si>
    <t>NEG_01_0_03X</t>
  </si>
  <si>
    <t>2026-06-01T03:06:04+0200</t>
  </si>
  <si>
    <t>NEG_01_0_04X</t>
  </si>
  <si>
    <t>2026-06-01T03:06:25+0200</t>
  </si>
  <si>
    <t>NEG_01_0_05X</t>
  </si>
  <si>
    <t>2026-06-01T03:06:46+0200</t>
  </si>
  <si>
    <t>NEG_01_0_06+</t>
  </si>
  <si>
    <t>2026-06-01T03:07:04+0200</t>
  </si>
  <si>
    <t>NEG_01_0_07+</t>
  </si>
  <si>
    <t>2026-06-01T03:07:25+0200</t>
  </si>
  <si>
    <t>NEG_01_0_08+</t>
  </si>
  <si>
    <t>2026-06-01T03:07:48+0200</t>
  </si>
  <si>
    <t>NEG_01_0_09+</t>
  </si>
  <si>
    <t>2026-06-01T03:08:09+0200</t>
  </si>
  <si>
    <t>NEG_01_0_10+</t>
  </si>
  <si>
    <t>2026-06-01T03:08:29+0200</t>
  </si>
  <si>
    <t>NEG_02_0_01X</t>
  </si>
  <si>
    <t>7.1.14</t>
  </si>
  <si>
    <t>2026-06-01T09:14:15+0200</t>
  </si>
  <si>
    <t>&lt;None&gt;</t>
  </si>
  <si>
    <t>NEG_02_0_02X</t>
  </si>
  <si>
    <t>2026-06-01T09:14:42+0200</t>
  </si>
  <si>
    <t>NEG_02_0_03X</t>
  </si>
  <si>
    <t>2026-06-01T09:15:06+0200</t>
  </si>
  <si>
    <t>NEG_02_0_04X</t>
  </si>
  <si>
    <t>2026-06-01T09:15:30+0200</t>
  </si>
  <si>
    <t>NEG_02_0_05X</t>
  </si>
  <si>
    <t>2026-06-01T09:15:55+0200</t>
  </si>
  <si>
    <t>NEG_02_0_06+</t>
  </si>
  <si>
    <t>2026-06-01T09:16:18+0200</t>
  </si>
  <si>
    <t>NEG_02_0_07+</t>
  </si>
  <si>
    <t>2026-06-01T09:19:14+0200</t>
  </si>
  <si>
    <t>NEG_02_0_08+</t>
  </si>
  <si>
    <t>2026-06-01T09:19:39+0200</t>
  </si>
  <si>
    <t>NEG_02_0_09+</t>
  </si>
  <si>
    <t>2026-06-01T09:20:05+0200</t>
  </si>
  <si>
    <t>NEG_02_0_10+</t>
  </si>
  <si>
    <t>2026-06-01T09:20:29+0200</t>
  </si>
  <si>
    <t>NEG_03_0_01X</t>
  </si>
  <si>
    <t>2026-06-01T09:20:54+0200</t>
  </si>
  <si>
    <t>NEG_03_0_02X</t>
  </si>
  <si>
    <t>2026-06-01T09:21:19+0200</t>
  </si>
  <si>
    <t>NEG_03_0_03X</t>
  </si>
  <si>
    <t>2026-06-01T09:21:45+0200</t>
  </si>
  <si>
    <t>NEG_03_0_04X</t>
  </si>
  <si>
    <t>2026-06-01T09:22:11+0200</t>
  </si>
  <si>
    <t>NEG_03_0_05X</t>
  </si>
  <si>
    <t>2026-06-01T09:22:37+0200</t>
  </si>
  <si>
    <t>NEG_03_0_06+</t>
  </si>
  <si>
    <t>2026-06-01T09:23:01+0200</t>
  </si>
  <si>
    <t>NEG_03_0_07+</t>
  </si>
  <si>
    <t>2026-06-01T09:23:26+0200</t>
  </si>
  <si>
    <t>NEG_03_0_08+</t>
  </si>
  <si>
    <t>2026-06-01T09:23:50+0200</t>
  </si>
  <si>
    <t>NEG_03_0_09+</t>
  </si>
  <si>
    <t>2026-06-01T09:24:14+0200</t>
  </si>
  <si>
    <t>NEG_03_0_10+</t>
  </si>
  <si>
    <t>2026-06-01T09:24:39+0200</t>
  </si>
  <si>
    <t>NEG_04_0_01AX</t>
  </si>
  <si>
    <t>2026-06-01T12:56:23+0200</t>
  </si>
  <si>
    <t>NEG_04_0_02X</t>
  </si>
  <si>
    <t>2026-06-01T11:02:49+0200</t>
  </si>
  <si>
    <t>NEG_04_0_03X</t>
  </si>
  <si>
    <t>2026-06-01T11:03:15+0200</t>
  </si>
  <si>
    <t>NEG_04_0_04X</t>
  </si>
  <si>
    <t>2026-06-01T11:03:39+0200</t>
  </si>
  <si>
    <t>NEG_04_0_05X</t>
  </si>
  <si>
    <t>2026-06-01T11:04:05+0200</t>
  </si>
  <si>
    <t>NEG_04_0_06+</t>
  </si>
  <si>
    <t>2026-06-01T11:04:32+0200</t>
  </si>
  <si>
    <t>NEG_04_0_07+</t>
  </si>
  <si>
    <t>2026-06-01T11:04:58+0200</t>
  </si>
  <si>
    <t>NEG_04_0_08+</t>
  </si>
  <si>
    <t>2026-06-01T11:05:23+0200</t>
  </si>
  <si>
    <t>NEG_04_0_09+</t>
  </si>
  <si>
    <t>2026-06-01T11:05:47+0200</t>
  </si>
  <si>
    <t>NEG_04_0_10+</t>
  </si>
  <si>
    <t>2026-06-01T11:06:13+0200</t>
  </si>
  <si>
    <t>NEG_05_0_01X</t>
  </si>
  <si>
    <t>2026-06-01T11:37:06+0200</t>
  </si>
  <si>
    <t>NEG_05_0_02X</t>
  </si>
  <si>
    <t>2026-06-01T11:37:33+0200</t>
  </si>
  <si>
    <t>NEG_05_0_03X</t>
  </si>
  <si>
    <t>2026-06-01T11:37:58+0200</t>
  </si>
  <si>
    <t>NEG_05_0_04X</t>
  </si>
  <si>
    <t>2026-06-01T11:38:22+0200</t>
  </si>
  <si>
    <t>NEG_05_0_05X</t>
  </si>
  <si>
    <t>2026-06-01T11:38:47+0200</t>
  </si>
  <si>
    <t>NEG_05_0_06+</t>
  </si>
  <si>
    <t>2026-06-01T11:39:12+0200</t>
  </si>
  <si>
    <t>NEG_05_0_07+</t>
  </si>
  <si>
    <t>2026-06-01T11:39:36+0200</t>
  </si>
  <si>
    <t>NEG_05_0_08+</t>
  </si>
  <si>
    <t>2026-06-01T11:40:01+0200</t>
  </si>
  <si>
    <t>NEG_05_0_09+</t>
  </si>
  <si>
    <t>2026-06-01T11:40:26+0200</t>
  </si>
  <si>
    <t>NEG_05_0_10+</t>
  </si>
  <si>
    <t>2026-06-01T11:40:49+0200</t>
  </si>
  <si>
    <t>NEG_06_0_01X</t>
  </si>
  <si>
    <t>2026-06-01T13:40:27+0200</t>
  </si>
  <si>
    <t>NEG_06_0_02X</t>
  </si>
  <si>
    <t>2026-06-01T13:40:52+0200</t>
  </si>
  <si>
    <t>NEG_06_0_03X</t>
  </si>
  <si>
    <t>2026-06-01T13:41:17+0200</t>
  </si>
  <si>
    <t>NEG_06_0_04X</t>
  </si>
  <si>
    <t>2026-06-01T13:41:42+0200</t>
  </si>
  <si>
    <t>NEG_06_0_05X</t>
  </si>
  <si>
    <t>2026-06-01T13:42:07+0200</t>
  </si>
  <si>
    <t>NEG_06_0_06+</t>
  </si>
  <si>
    <t>2026-06-01T13:42:32+0200</t>
  </si>
  <si>
    <t>NEG_06_0_07+</t>
  </si>
  <si>
    <t>2026-06-01T13:42:56+0200</t>
  </si>
  <si>
    <t>NEG_06_0_08+</t>
  </si>
  <si>
    <t>2026-06-01T13:43:21+0200</t>
  </si>
  <si>
    <t>NEG_06_0_09+</t>
  </si>
  <si>
    <t>2026-06-01T13:43:46+0200</t>
  </si>
  <si>
    <t>NEG_06_0_10+</t>
  </si>
  <si>
    <t>2026-06-01T13:44:11+0200</t>
  </si>
  <si>
    <t>NEG_07_0_01X</t>
  </si>
  <si>
    <t>2026-06-01T14:47:33+0200</t>
  </si>
  <si>
    <t>NEG_07_0_02X</t>
  </si>
  <si>
    <t>2026-06-01T14:48:00+0200</t>
  </si>
  <si>
    <t>NEG_07_0_03X</t>
  </si>
  <si>
    <t>2026-06-01T14:48:26+0200</t>
  </si>
  <si>
    <t>NEG_07_0_04X</t>
  </si>
  <si>
    <t>2026-06-01T14:48:51+0200</t>
  </si>
  <si>
    <t>NEG_07_0_05X</t>
  </si>
  <si>
    <t>2026-06-01T14:49:16+0200</t>
  </si>
  <si>
    <t>NEG_07_0_06+</t>
  </si>
  <si>
    <t>2026-06-01T14:49:41+0200</t>
  </si>
  <si>
    <t>NEG_07_0_07+</t>
  </si>
  <si>
    <t>2026-06-01T14:50:08+0200</t>
  </si>
  <si>
    <t>NEG_07_0_08+</t>
  </si>
  <si>
    <t>2026-06-01T14:50:32+0200</t>
  </si>
  <si>
    <t>NEG_07_0_09+</t>
  </si>
  <si>
    <t>2026-06-01T14:50:58+0200</t>
  </si>
  <si>
    <t>NEG_07_0_10+</t>
  </si>
  <si>
    <t>2026-06-01T14:51:21+0200</t>
  </si>
  <si>
    <t>NEG_08_0_01X</t>
  </si>
  <si>
    <t>2026-06-01T16:30:33+0200</t>
  </si>
  <si>
    <t>NEG_08_0_02X</t>
  </si>
  <si>
    <t>2026-06-01T16:30:51+0200</t>
  </si>
  <si>
    <t>NEG_08_0_03X</t>
  </si>
  <si>
    <t>2026-06-01T16:31:16+0200</t>
  </si>
  <si>
    <t>NEG_08_0_04X</t>
  </si>
  <si>
    <t>2026-06-01T16:31:34+0200</t>
  </si>
  <si>
    <t>NEG_08_0_05X</t>
  </si>
  <si>
    <t>2026-06-01T16:31:50+0200</t>
  </si>
  <si>
    <t>NEG_08_0_06+</t>
  </si>
  <si>
    <t>2026-06-01T16:32:09+0200</t>
  </si>
  <si>
    <t>NEG_08_0_07+</t>
  </si>
  <si>
    <t>2026-06-01T16:32:38+0200</t>
  </si>
  <si>
    <t>NEG_08_0_08+</t>
  </si>
  <si>
    <t>2026-06-01T16:33:05+0200</t>
  </si>
  <si>
    <t>NEG_08_0_09+</t>
  </si>
  <si>
    <t>2026-06-01T16:33:22+0200</t>
  </si>
  <si>
    <t>NEG_08_0_10+</t>
  </si>
  <si>
    <t>2026-06-01T16:33:55+0200</t>
  </si>
  <si>
    <t>NEG_09_0_01X</t>
  </si>
  <si>
    <t>2026-06-01T17:07:21+0200</t>
  </si>
  <si>
    <t>NEG_09_0_02X</t>
  </si>
  <si>
    <t>2026-06-01T17:07:45+0200</t>
  </si>
  <si>
    <t>NEG_09_0_03X</t>
  </si>
  <si>
    <t>2026-06-01T17:08:04+0200</t>
  </si>
  <si>
    <t>NEG_09_0_04X</t>
  </si>
  <si>
    <t>2026-06-01T17:08:25+0200</t>
  </si>
  <si>
    <t>NEG_09_0_05X</t>
  </si>
  <si>
    <t>2026-06-01T17:08:44+0200</t>
  </si>
  <si>
    <t>NEG_09_0_06+</t>
  </si>
  <si>
    <t>2026-06-01T17:09:03+0200</t>
  </si>
  <si>
    <t>NEG_09_0_07+</t>
  </si>
  <si>
    <t>2026-06-01T17:09:25+0200</t>
  </si>
  <si>
    <t>NEG_09_0_08+</t>
  </si>
  <si>
    <t>2026-06-01T17:09:50+0200</t>
  </si>
  <si>
    <t>NEG_09_0_09+</t>
  </si>
  <si>
    <t>Negative Control 2</t>
  </si>
  <si>
    <t>2026-06-01T17:10:08+0200</t>
  </si>
  <si>
    <t>NEG_09_0_10+</t>
  </si>
  <si>
    <t>2026-06-01T17:10:32+0200</t>
  </si>
  <si>
    <t>NEG_10_0_01X</t>
  </si>
  <si>
    <t>2026-06-01T18:16:51+0200</t>
  </si>
  <si>
    <t>NEG_10_0_02X</t>
  </si>
  <si>
    <t>2026-06-01T18:17:14+0200</t>
  </si>
  <si>
    <t>NEG_10_0_03X</t>
  </si>
  <si>
    <t>2026-06-01T18:17:50+0200</t>
  </si>
  <si>
    <t>NEG_10_0_04X</t>
  </si>
  <si>
    <t>2026-06-01T18:18:11+0200</t>
  </si>
  <si>
    <t>NEG_10_0_05X</t>
  </si>
  <si>
    <t>2026-06-01T18:18:34+0200</t>
  </si>
  <si>
    <t>NEG_10_0_06+</t>
  </si>
  <si>
    <t>2026-06-01T18:18:51+0200</t>
  </si>
  <si>
    <t>NEG_10_0_07+</t>
  </si>
  <si>
    <t>2026-06-01T18:19:09+0200</t>
  </si>
  <si>
    <t>NEG_10_0_08+</t>
  </si>
  <si>
    <t>2026-06-01T18:19:31+0200</t>
  </si>
  <si>
    <t>NEG_10_0_09+</t>
  </si>
  <si>
    <t>2026-06-01T18:19:58+0200</t>
  </si>
  <si>
    <t>NEG_10_0_10+</t>
  </si>
  <si>
    <t>2026-06-01T18:20:22+0200</t>
  </si>
  <si>
    <t>D15JAN26A_01_1_11AX</t>
  </si>
  <si>
    <t>Positive Control 1</t>
  </si>
  <si>
    <t>2026-06-01T03:12:41+0200</t>
  </si>
  <si>
    <t>D15JAN26A_01_1_12AX</t>
  </si>
  <si>
    <t>2026-06-01T03:13:07+0200</t>
  </si>
  <si>
    <t>D15JAN26A_01_1_13AX</t>
  </si>
  <si>
    <t>2026-06-01T03:13:32+0200</t>
  </si>
  <si>
    <t>D15JAN26A_01_1_14AX</t>
  </si>
  <si>
    <t>2026-06-01T03:13:57+0200</t>
  </si>
  <si>
    <t>D15JAN26A_01_1_15A+</t>
  </si>
  <si>
    <t>2026-06-01T03:14:22+0200</t>
  </si>
  <si>
    <t>D15JAN26A_01_1_16A+</t>
  </si>
  <si>
    <t>2026-06-01T03:14:48+0200</t>
  </si>
  <si>
    <t>D15JAN26A_01_1_17A+</t>
  </si>
  <si>
    <t>2026-06-01T03:15:14+0200</t>
  </si>
  <si>
    <t>D15JAN26A_01_1_18A+</t>
  </si>
  <si>
    <t>2026-06-01T03:15:38+0200</t>
  </si>
  <si>
    <t>D15JAN26A_02_1_11X</t>
  </si>
  <si>
    <t>2026-06-01T09:00:59+0200</t>
  </si>
  <si>
    <t>D15JAN26A_02_1_12X</t>
  </si>
  <si>
    <t>2026-06-01T09:01:15+0200</t>
  </si>
  <si>
    <t>D15JAN26A_02_1_13X</t>
  </si>
  <si>
    <t>2026-06-01T09:01:36+0200</t>
  </si>
  <si>
    <t>D15JAN26A_02_1_14X</t>
  </si>
  <si>
    <t>2026-06-01T09:02:07+0200</t>
  </si>
  <si>
    <t>D15JAN26A_02_1_15X</t>
  </si>
  <si>
    <t>2026-06-01T09:02:26+0200</t>
  </si>
  <si>
    <t>D15JAN26A_02_1_16X</t>
  </si>
  <si>
    <t>2026-06-01T09:03:05+0200</t>
  </si>
  <si>
    <t>D15JAN26A_02_1_17+</t>
  </si>
  <si>
    <t>2026-06-01T09:03:21+0200</t>
  </si>
  <si>
    <t>D15JAN26A_02_1_18+</t>
  </si>
  <si>
    <t>2026-06-01T09:03:37+0200</t>
  </si>
  <si>
    <t>D15JAN26A_03_1_11X</t>
  </si>
  <si>
    <t>2026-06-01T09:04:34+0200</t>
  </si>
  <si>
    <t>D15JAN26A_03_1_12X</t>
  </si>
  <si>
    <t>2026-06-01T09:04:50+0200</t>
  </si>
  <si>
    <t>D15JAN26A_03_1_13X</t>
  </si>
  <si>
    <t>2026-06-01T09:05:03+0200</t>
  </si>
  <si>
    <t>D15JAN26A_03_1_14X</t>
  </si>
  <si>
    <t>2026-06-01T09:05:21+0200</t>
  </si>
  <si>
    <t>D15JAN26A_03_1_15+</t>
  </si>
  <si>
    <t>2026-06-01T09:05:42+0200</t>
  </si>
  <si>
    <t>D15JAN26A_03_1_16+</t>
  </si>
  <si>
    <t>2026-06-01T09:05:58+0200</t>
  </si>
  <si>
    <t>D15JAN26A_03_1_17+</t>
  </si>
  <si>
    <t>2026-06-01T09:06:13+0200</t>
  </si>
  <si>
    <t>D15JAN26A_03_1_18+</t>
  </si>
  <si>
    <t>2026-06-01T09:06:29+0200</t>
  </si>
  <si>
    <t>D15JAN26A_04_1_11X</t>
  </si>
  <si>
    <t>2026-06-01T10:54:59+0200</t>
  </si>
  <si>
    <t>D15JAN26A_04_1_12X</t>
  </si>
  <si>
    <t>2026-06-01T10:55:24+0200</t>
  </si>
  <si>
    <t>D15JAN26A_04_1_13X</t>
  </si>
  <si>
    <t>2026-06-01T10:55:49+0200</t>
  </si>
  <si>
    <t>D15JAN26A_04_1_14X</t>
  </si>
  <si>
    <t>2026-06-01T10:56:13+0200</t>
  </si>
  <si>
    <t>D15JAN26A_04_1_15+</t>
  </si>
  <si>
    <t>2026-06-01T10:56:37+0200</t>
  </si>
  <si>
    <t>D15JAN26A_04_1_16+</t>
  </si>
  <si>
    <t>2026-06-01T10:57:02+0200</t>
  </si>
  <si>
    <t>D15JAN26A_04_1_17+</t>
  </si>
  <si>
    <t>2026-06-01T10:57:26+0200</t>
  </si>
  <si>
    <t>D15JAN26A_04_1_18+</t>
  </si>
  <si>
    <t>2026-06-01T10:57:51+0200</t>
  </si>
  <si>
    <t>D15JAN26A_05_1_11X</t>
  </si>
  <si>
    <t>2026-06-01T11:52:40+0200</t>
  </si>
  <si>
    <t>D15JAN26A_05_1_12X</t>
  </si>
  <si>
    <t>2026-06-01T11:53:28+0200</t>
  </si>
  <si>
    <t>D15JAN26A_05_1_13X</t>
  </si>
  <si>
    <t>2026-06-01T11:54:17+0200</t>
  </si>
  <si>
    <t>D15JAN26A_05_1_14X</t>
  </si>
  <si>
    <t>2026-06-01T11:55:27+0200</t>
  </si>
  <si>
    <t>D15JAN26A_05_1_15+</t>
  </si>
  <si>
    <t>2026-06-01T11:56:39+0200</t>
  </si>
  <si>
    <t>D15JAN26A_05_1_16</t>
  </si>
  <si>
    <t>2026-06-01T11:57:28+0200</t>
  </si>
  <si>
    <t>D15JAN26A_05_1_17+</t>
  </si>
  <si>
    <t>2026-06-01T11:57:54+0200</t>
  </si>
  <si>
    <t>D15JAN26A_05_1_18+</t>
  </si>
  <si>
    <t>2026-06-01T11:58:18+0200</t>
  </si>
  <si>
    <t>D15JAN26A_06_1_11X</t>
  </si>
  <si>
    <t>2026-06-01T13:30:07+0200</t>
  </si>
  <si>
    <t>D15JAN26A_06_1_12X</t>
  </si>
  <si>
    <t>2026-06-01T13:30:44+0200</t>
  </si>
  <si>
    <t>D15JAN26A_06_1_13X</t>
  </si>
  <si>
    <t>2026-06-01T13:31:10+0200</t>
  </si>
  <si>
    <t>D15JAN26A_06_1_14X</t>
  </si>
  <si>
    <t>2026-06-01T13:31:35+0200</t>
  </si>
  <si>
    <t>D15JAN26A_06_1_15+</t>
  </si>
  <si>
    <t>2026-06-01T13:32:00+0200</t>
  </si>
  <si>
    <t>D15JAN26A_06_1_16+</t>
  </si>
  <si>
    <t>2026-06-01T13:32:25+0200</t>
  </si>
  <si>
    <t>D15JAN26A_06_1_17+</t>
  </si>
  <si>
    <t>2026-06-01T13:32:48+0200</t>
  </si>
  <si>
    <t>D15JAN26A_06_1_18+</t>
  </si>
  <si>
    <t>2026-06-01T13:33:11+0200</t>
  </si>
  <si>
    <t>D15JAN26A_07_1_11X</t>
  </si>
  <si>
    <t>2026-06-01T14:48:15+0200</t>
  </si>
  <si>
    <t>D15JAN26A_07_1_12X</t>
  </si>
  <si>
    <t>2026-06-01T14:48:42+0200</t>
  </si>
  <si>
    <t>D15JAN26A_07_1_13X</t>
  </si>
  <si>
    <t>2026-06-01T14:49:07+0200</t>
  </si>
  <si>
    <t>D15JAN26A_07_1_14X</t>
  </si>
  <si>
    <t>2026-06-01T14:49:32+0200</t>
  </si>
  <si>
    <t>D15JAN26A_07_1_15+</t>
  </si>
  <si>
    <t>2026-06-01T14:50:38+0200</t>
  </si>
  <si>
    <t>D15JAN26A_07_1_16+</t>
  </si>
  <si>
    <t>2026-06-01T14:50:18+0200</t>
  </si>
  <si>
    <t>D15JAN26A_07_1_17+</t>
  </si>
  <si>
    <t>2026-06-01T14:51:06+0200</t>
  </si>
  <si>
    <t>D15JAN26A_07_1_18+</t>
  </si>
  <si>
    <t>2026-06-01T14:51:28+0200</t>
  </si>
  <si>
    <t>D15JAN26A_08_1_11X</t>
  </si>
  <si>
    <t>2026-06-01T16:50:12+0200</t>
  </si>
  <si>
    <t>D15JAN26A_08_1_12X</t>
  </si>
  <si>
    <t>2026-06-01T16:50:29+0200</t>
  </si>
  <si>
    <t>D15JAN26A_08_1_13X</t>
  </si>
  <si>
    <t>2026-06-01T16:50:55+0200</t>
  </si>
  <si>
    <t>D15JAN26A_08_1_14X</t>
  </si>
  <si>
    <t>2026-06-01T16:51:14+0200</t>
  </si>
  <si>
    <t>D15JAN26A_08_1_15+</t>
  </si>
  <si>
    <t>2026-06-01T16:51:31+0200</t>
  </si>
  <si>
    <t>D15JAN26A_08_1_16+</t>
  </si>
  <si>
    <t>2026-06-01T16:51:49+0200</t>
  </si>
  <si>
    <t>D15JAN26A_08_1_17+</t>
  </si>
  <si>
    <t>2026-06-01T16:52:04+0200</t>
  </si>
  <si>
    <t>D15JAN26A_08_1_18+</t>
  </si>
  <si>
    <t>2026-06-01T16:52:23+0200</t>
  </si>
  <si>
    <t>D15JAN26A_09_1_11X</t>
  </si>
  <si>
    <t>2026-06-01T17:15:14+0200</t>
  </si>
  <si>
    <t>D15JAN26A_09_1_12X</t>
  </si>
  <si>
    <t>2026-06-01T17:15:30+0200</t>
  </si>
  <si>
    <t>D15JAN26A_09_1_13X</t>
  </si>
  <si>
    <t>Specimen</t>
  </si>
  <si>
    <t>2026-06-01T17:16:07+0200</t>
  </si>
  <si>
    <t>D15JAN26A_09_1_14X</t>
  </si>
  <si>
    <t>2026-06-01T17:16:22+0200</t>
  </si>
  <si>
    <t>D15JAN26A_09_1_15+</t>
  </si>
  <si>
    <t>2026-06-01T17:16:41+0200</t>
  </si>
  <si>
    <t>D15JAN26A_09_1_16+</t>
  </si>
  <si>
    <t>2026-06-01T17:16:58+0200</t>
  </si>
  <si>
    <t>D15JAN26A_09_1_17+</t>
  </si>
  <si>
    <t>2026-06-01T17:17:14+0200</t>
  </si>
  <si>
    <t>D15JAN26A_09_1_18+</t>
  </si>
  <si>
    <t>2026-06-01T17:17:41+0200</t>
  </si>
  <si>
    <t>D15JAN26A_10_1_11X</t>
  </si>
  <si>
    <t>2026-06-01T18:23:08+0200</t>
  </si>
  <si>
    <t>D15JAN26A_10_1_12X</t>
  </si>
  <si>
    <t>2026-06-01T18:23:31+0200</t>
  </si>
  <si>
    <t>D15JAN26A_10_1_13X</t>
  </si>
  <si>
    <t>2026-06-01T18:23:57+0200</t>
  </si>
  <si>
    <t>D15JAN26A_10_1_14X</t>
  </si>
  <si>
    <t>2026-06-01T18:24:23+0200</t>
  </si>
  <si>
    <t>D15JAN26A_10_1_15+</t>
  </si>
  <si>
    <t>2026-06-01T18:24:50+0200</t>
  </si>
  <si>
    <t>D15JAN26A_10_1_16+</t>
  </si>
  <si>
    <t>2026-06-01T18:25:42+0200</t>
  </si>
  <si>
    <t>D15JAN26A_10_1_17+</t>
  </si>
  <si>
    <t>2026-06-01T18:26:51+0200</t>
  </si>
  <si>
    <t>D15JAN26A_10_1_18+</t>
  </si>
  <si>
    <t>2026-06-01T18:27:14+0200</t>
  </si>
  <si>
    <t>K0MAR26A_01_2_19AX</t>
  </si>
  <si>
    <t>Positive Control 2</t>
  </si>
  <si>
    <t>2026-06-01T12:11:13+0200</t>
  </si>
  <si>
    <t>K0MAR26A_01_2_20A+</t>
  </si>
  <si>
    <t>2026-06-01T12:13:23+0200</t>
  </si>
  <si>
    <t>K0MAR26A_02_2_19X</t>
  </si>
  <si>
    <t>2026-06-01T12:11:39+0200</t>
  </si>
  <si>
    <t>K0MAR26A_02_2_20+</t>
  </si>
  <si>
    <t>2026-06-01T12:13:48+0200</t>
  </si>
  <si>
    <t>K0MAR26A_03_2_19X</t>
  </si>
  <si>
    <t>2026-06-01T12:12:04+0200</t>
  </si>
  <si>
    <t>K0MAR26A_03_2_20+</t>
  </si>
  <si>
    <t>2026-06-01T12:14:16+0200</t>
  </si>
  <si>
    <t>K0MAR26A_04_2_19X</t>
  </si>
  <si>
    <t>2026-06-01T12:12:30+0200</t>
  </si>
  <si>
    <t>K0MAR26A_04_2_20+</t>
  </si>
  <si>
    <t>2026-06-01T12:14:41+0200</t>
  </si>
  <si>
    <t>K0MAR26A_05_2_19X</t>
  </si>
  <si>
    <t>2026-06-01T12:12:55+0200</t>
  </si>
  <si>
    <t>K0MAR26A_05_2_20+</t>
  </si>
  <si>
    <t>2026-06-01T12:15:29+0200</t>
  </si>
  <si>
    <t>K05MAR26A_06_2_19X</t>
  </si>
  <si>
    <t>2026-06-01T18:28:08+0200</t>
  </si>
  <si>
    <t>K05MAR26A_06_2_20+</t>
  </si>
  <si>
    <t>2026-06-01T18:30:04+0200</t>
  </si>
  <si>
    <t>K05MAR26A_07_2_19X</t>
  </si>
  <si>
    <t>2026-06-01T18:28:30+0200</t>
  </si>
  <si>
    <t>K05MAR26A_07_2_20+</t>
  </si>
  <si>
    <t>2026-06-01T18:30:29+0200</t>
  </si>
  <si>
    <t>K05MAR26A_08_2_19X</t>
  </si>
  <si>
    <t>2026-06-01T18:28:59+0200</t>
  </si>
  <si>
    <t>K05MAR26A_08_2_20+</t>
  </si>
  <si>
    <t>2026-06-01T18:30:49+0200</t>
  </si>
  <si>
    <t>K05MAR26A_09_2_19X</t>
  </si>
  <si>
    <t>2026-06-01T18:29:22+0200</t>
  </si>
  <si>
    <t>K05MAR26A_09_2_20+</t>
  </si>
  <si>
    <t>2026-06-01T18:31:10+0200</t>
  </si>
  <si>
    <t>K05MAR26A_10_2_19X</t>
  </si>
  <si>
    <t>2026-06-01T18:29:39+0200</t>
  </si>
  <si>
    <t>K05MAR26A_10_2_20+</t>
  </si>
  <si>
    <t>2026-06-01T18:31:42+0200</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</si>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</sst>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
    <numFmt numFmtId="165" formatCode="0.0000"/>
    <numFmt numFmtId="166" formatCode="0.0%"/>
    <numFmt numFmtId="167" formatCode="0.0"/>
  </numFmts>
  <fonts count="50" x14ac:knownFonts="1">
    <font>
      <sz val="10"/>
      <name val="Arial"/>
    </font>
    <font>
      <sz val="11"/>
      <color theme="1"/>
      <name val="Calibri"/>
      <family val="2"/>
      <scheme val="minor"/>
    </font>
    <font>
      <sz val="10"/>
      <name val="Arial"/>
      <family val="2"/>
    </font>
    <font>
      <b/>
      <sz val="10"/>
      <name val="Arial"/>
      <family val="2"/>
    </font>
    <font>
      <sz val="8"/>
      <name val="Arial"/>
      <family val="2"/>
    </font>
    <font>
      <sz val="10"/>
      <color indexed="9"/>
      <name val="Arial"/>
      <family val="2"/>
    </font>
    <font>
      <sz val="10"/>
      <color indexed="8"/>
      <name val="Arial"/>
      <family val="2"/>
    </font>
    <font>
      <b/>
      <sz val="10"/>
      <color indexed="8"/>
      <name val="Arial"/>
      <family val="2"/>
    </font>
    <font>
      <b/>
      <sz val="10"/>
      <color indexed="9"/>
      <name val="Arial"/>
      <family val="2"/>
    </font>
    <font>
      <b/>
      <u/>
      <sz val="10"/>
      <color indexed="9"/>
      <name val="Arial"/>
      <family val="2"/>
    </font>
    <font>
      <b/>
      <sz val="10"/>
      <color indexed="10"/>
      <name val="Arial"/>
      <family val="2"/>
    </font>
    <font>
      <b/>
      <sz val="12"/>
      <name val="Arial"/>
      <family val="2"/>
    </font>
    <font>
      <sz val="10"/>
      <color indexed="10"/>
      <name val="Arial"/>
      <family val="2"/>
    </font>
    <font>
      <sz val="10"/>
      <name val="Arial"/>
      <family val="2"/>
    </font>
    <font>
      <sz val="12"/>
      <name val="Arial"/>
      <family val="2"/>
    </font>
    <font>
      <sz val="10"/>
      <color theme="0" tint="-0.249977111117893"/>
      <name val="Arial"/>
      <family val="2"/>
    </font>
    <font>
      <b/>
      <sz val="18"/>
      <name val="Arial"/>
      <family val="2"/>
    </font>
    <font>
      <b/>
      <sz val="16"/>
      <name val="Arial"/>
      <family val="2"/>
    </font>
    <font>
      <sz val="10"/>
      <name val="Arial"/>
      <family val="2"/>
    </font>
    <font>
      <sz val="10"/>
      <name val="Arial"/>
      <family val="2"/>
    </font>
    <font>
      <b/>
      <sz val="10"/>
      <color theme="0"/>
      <name val="Arial"/>
      <family val="2"/>
    </font>
    <font>
      <sz val="10"/>
      <color theme="0"/>
      <name val="Arial"/>
      <family val="2"/>
    </font>
    <font>
      <b/>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8"/>
      <color theme="3"/>
      <name val="Cambria"/>
      <family val="2"/>
      <scheme val="major"/>
    </font>
    <font>
      <sz val="11"/>
      <color rgb="FF9C6500"/>
      <name val="Calibri"/>
      <family val="2"/>
      <scheme val="minor"/>
    </font>
    <font>
      <sz val="10"/>
      <color theme="1"/>
      <name val="Arial"/>
      <family val="2"/>
    </font>
    <font>
      <sz val="10"/>
      <color rgb="FFFF0000"/>
      <name val="Arial"/>
      <family val="2"/>
    </font>
    <font>
      <b/>
      <sz val="10"/>
      <color rgb="FFFF0000"/>
      <name val="Arial"/>
      <family val="2"/>
    </font>
    <font>
      <b/>
      <sz val="11"/>
      <name val="Arial"/>
      <family val="2"/>
    </font>
    <font>
      <b/>
      <sz val="14"/>
      <name val="Arial"/>
      <family val="2"/>
    </font>
    <font>
      <b/>
      <sz val="11"/>
      <name val="Calibri"/>
      <family val="2"/>
      <scheme val="minor"/>
    </font>
    <font>
      <sz val="11"/>
      <name val="Arial"/>
      <family val="2"/>
    </font>
    <font>
      <sz val="14"/>
      <name val="Arial"/>
      <family val="2"/>
    </font>
    <font>
      <sz val="8"/>
      <color rgb="FF000000"/>
      <name val="Segoe UI"/>
      <family val="2"/>
    </font>
    <font>
      <sz val="10"/>
      <color theme="3" tint="0.39997558519241921"/>
      <name val="Arial"/>
      <family val="2"/>
    </font>
    <font>
      <sz val="10"/>
      <color theme="4"/>
      <name val="Arial"/>
      <family val="2"/>
    </font>
    <font>
      <u/>
      <sz val="10"/>
      <name val="Arial"/>
      <family val="2"/>
    </font>
  </fonts>
  <fills count="45">
    <fill>
      <patternFill patternType="none"/>
    </fill>
    <fill>
      <patternFill patternType="gray125"/>
    </fill>
    <fill>
      <patternFill patternType="solid">
        <fgColor indexed="23"/>
        <bgColor indexed="64"/>
      </patternFill>
    </fill>
    <fill>
      <patternFill patternType="solid">
        <fgColor indexed="9"/>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indexed="2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99"/>
        <bgColor indexed="64"/>
      </patternFill>
    </fill>
    <fill>
      <patternFill patternType="solid">
        <fgColor rgb="FFCCFFCC"/>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rgb="FFFFFF00"/>
        <bgColor indexed="64"/>
      </patternFill>
    </fill>
  </fills>
  <borders count="7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
      <left style="medium">
        <color indexed="64"/>
      </left>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style="thin">
        <color indexed="64"/>
      </left>
      <right/>
      <top style="medium">
        <color indexed="64"/>
      </top>
      <bottom/>
      <diagonal/>
    </border>
  </borders>
  <cellStyleXfs count="59">
    <xf numFmtId="0" fontId="0" fillId="0" borderId="0"/>
    <xf numFmtId="0" fontId="2" fillId="0" borderId="0"/>
    <xf numFmtId="0" fontId="23" fillId="0" borderId="56" applyNumberFormat="0" applyFill="0" applyAlignment="0" applyProtection="0"/>
    <xf numFmtId="0" fontId="24" fillId="0" borderId="57" applyNumberFormat="0" applyFill="0" applyAlignment="0" applyProtection="0"/>
    <xf numFmtId="0" fontId="25" fillId="0" borderId="58" applyNumberFormat="0" applyFill="0" applyAlignment="0" applyProtection="0"/>
    <xf numFmtId="0" fontId="25" fillId="0" borderId="0" applyNumberFormat="0" applyFill="0" applyBorder="0" applyAlignment="0" applyProtection="0"/>
    <xf numFmtId="0" fontId="26" fillId="12" borderId="0" applyNumberFormat="0" applyBorder="0" applyAlignment="0" applyProtection="0"/>
    <xf numFmtId="0" fontId="27" fillId="13" borderId="0" applyNumberFormat="0" applyBorder="0" applyAlignment="0" applyProtection="0"/>
    <xf numFmtId="0" fontId="28" fillId="15" borderId="59" applyNumberFormat="0" applyAlignment="0" applyProtection="0"/>
    <xf numFmtId="0" fontId="29" fillId="16" borderId="60" applyNumberFormat="0" applyAlignment="0" applyProtection="0"/>
    <xf numFmtId="0" fontId="30" fillId="16" borderId="59" applyNumberFormat="0" applyAlignment="0" applyProtection="0"/>
    <xf numFmtId="0" fontId="31" fillId="0" borderId="61" applyNumberFormat="0" applyFill="0" applyAlignment="0" applyProtection="0"/>
    <xf numFmtId="0" fontId="32" fillId="17" borderId="62" applyNumberFormat="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22" fillId="0" borderId="64" applyNumberFormat="0" applyFill="0" applyAlignment="0" applyProtection="0"/>
    <xf numFmtId="0" fontId="35" fillId="19" borderId="0" applyNumberFormat="0" applyBorder="0" applyAlignment="0" applyProtection="0"/>
    <xf numFmtId="0" fontId="1" fillId="21" borderId="0" applyNumberFormat="0" applyBorder="0" applyAlignment="0" applyProtection="0"/>
    <xf numFmtId="0" fontId="35" fillId="23" borderId="0" applyNumberFormat="0" applyBorder="0" applyAlignment="0" applyProtection="0"/>
    <xf numFmtId="0" fontId="1" fillId="25" borderId="0" applyNumberFormat="0" applyBorder="0" applyAlignment="0" applyProtection="0"/>
    <xf numFmtId="0" fontId="35" fillId="27" borderId="0" applyNumberFormat="0" applyBorder="0" applyAlignment="0" applyProtection="0"/>
    <xf numFmtId="0" fontId="35" fillId="31" borderId="0" applyNumberFormat="0" applyBorder="0" applyAlignment="0" applyProtection="0"/>
    <xf numFmtId="0" fontId="1" fillId="33" borderId="0" applyNumberFormat="0" applyBorder="0" applyAlignment="0" applyProtection="0"/>
    <xf numFmtId="0" fontId="35"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35"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36" fillId="0" borderId="0" applyNumberFormat="0" applyFill="0" applyBorder="0" applyAlignment="0" applyProtection="0"/>
    <xf numFmtId="0" fontId="37" fillId="14" borderId="0" applyNumberFormat="0" applyBorder="0" applyAlignment="0" applyProtection="0"/>
    <xf numFmtId="0" fontId="35" fillId="22" borderId="0" applyNumberFormat="0" applyBorder="0" applyAlignment="0" applyProtection="0"/>
    <xf numFmtId="0" fontId="35" fillId="26" borderId="0" applyNumberFormat="0" applyBorder="0" applyAlignment="0" applyProtection="0"/>
    <xf numFmtId="0" fontId="35" fillId="38" borderId="0" applyNumberFormat="0" applyBorder="0" applyAlignment="0" applyProtection="0"/>
    <xf numFmtId="0" fontId="2" fillId="0" borderId="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0" fontId="1" fillId="40"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xf numFmtId="0" fontId="1" fillId="41" borderId="0" applyNumberFormat="0" applyBorder="0" applyAlignment="0" applyProtection="0"/>
    <xf numFmtId="0" fontId="35" fillId="30" borderId="0" applyNumberFormat="0" applyBorder="0" applyAlignment="0" applyProtection="0"/>
    <xf numFmtId="0" fontId="35" fillId="34" borderId="0" applyNumberFormat="0" applyBorder="0" applyAlignment="0" applyProtection="0"/>
    <xf numFmtId="0" fontId="35" fillId="42" borderId="0" applyNumberFormat="0" applyBorder="0" applyAlignment="0" applyProtection="0"/>
    <xf numFmtId="0" fontId="2" fillId="0" borderId="0"/>
    <xf numFmtId="0" fontId="2" fillId="0" borderId="0"/>
    <xf numFmtId="0" fontId="1" fillId="0" borderId="0"/>
    <xf numFmtId="0" fontId="1" fillId="0" borderId="0"/>
    <xf numFmtId="0" fontId="1" fillId="18" borderId="63" applyNumberFormat="0" applyFont="0" applyAlignment="0" applyProtection="0"/>
    <xf numFmtId="0" fontId="1" fillId="18" borderId="63" applyNumberFormat="0" applyFont="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410">
    <xf numFmtId="0" fontId="0" fillId="0" borderId="0" xfId="0"/>
    <xf numFmtId="0" fontId="6" fillId="2" borderId="0" xfId="0" applyFont="1" applyFill="1"/>
    <xf numFmtId="0" fontId="5" fillId="2" borderId="0" xfId="0" applyFont="1" applyFill="1"/>
    <xf numFmtId="0" fontId="9" fillId="2" borderId="0" xfId="0" applyFont="1" applyFill="1" applyAlignment="1">
      <alignment horizontal="left"/>
    </xf>
    <xf numFmtId="0" fontId="5" fillId="2" borderId="0" xfId="0" applyFont="1" applyFill="1" applyAlignment="1">
      <alignment horizontal="center"/>
    </xf>
    <xf numFmtId="0" fontId="6" fillId="3" borderId="1" xfId="0" applyFont="1" applyFill="1" applyBorder="1"/>
    <xf numFmtId="0" fontId="6" fillId="3" borderId="3" xfId="0" applyFont="1" applyFill="1" applyBorder="1"/>
    <xf numFmtId="0" fontId="6" fillId="3" borderId="4" xfId="0" applyFont="1" applyFill="1" applyBorder="1" applyAlignment="1">
      <alignment horizontal="center"/>
    </xf>
    <xf numFmtId="0" fontId="6" fillId="3" borderId="5" xfId="0" applyFont="1" applyFill="1" applyBorder="1"/>
    <xf numFmtId="0" fontId="6" fillId="3" borderId="7" xfId="0" applyFont="1" applyFill="1" applyBorder="1" applyAlignment="1">
      <alignment horizontal="center"/>
    </xf>
    <xf numFmtId="0" fontId="7" fillId="3" borderId="8" xfId="0" applyFont="1" applyFill="1" applyBorder="1" applyAlignment="1">
      <alignment horizontal="center"/>
    </xf>
    <xf numFmtId="0" fontId="7" fillId="3" borderId="9" xfId="0" applyFont="1" applyFill="1" applyBorder="1" applyAlignment="1">
      <alignment horizontal="center"/>
    </xf>
    <xf numFmtId="0" fontId="5" fillId="2" borderId="1" xfId="0" applyFont="1" applyFill="1" applyBorder="1" applyAlignment="1">
      <alignment horizontal="center"/>
    </xf>
    <xf numFmtId="0" fontId="8" fillId="2" borderId="2" xfId="0" applyFont="1" applyFill="1" applyBorder="1" applyAlignment="1">
      <alignment horizontal="center"/>
    </xf>
    <xf numFmtId="0" fontId="8" fillId="2" borderId="9" xfId="0" applyFont="1" applyFill="1" applyBorder="1" applyAlignment="1">
      <alignment horizontal="center"/>
    </xf>
    <xf numFmtId="0" fontId="8" fillId="2" borderId="0" xfId="0" applyFont="1" applyFill="1" applyAlignment="1">
      <alignment horizontal="center"/>
    </xf>
    <xf numFmtId="0" fontId="7" fillId="3" borderId="10" xfId="0" applyFont="1" applyFill="1" applyBorder="1" applyAlignment="1">
      <alignment horizontal="center"/>
    </xf>
    <xf numFmtId="0" fontId="7" fillId="3" borderId="4" xfId="0" applyFont="1" applyFill="1" applyBorder="1" applyAlignment="1">
      <alignment horizontal="center"/>
    </xf>
    <xf numFmtId="0" fontId="5" fillId="2" borderId="5" xfId="0" applyFont="1" applyFill="1" applyBorder="1" applyAlignment="1">
      <alignment horizontal="center"/>
    </xf>
    <xf numFmtId="0" fontId="8" fillId="2" borderId="4" xfId="0" applyFont="1" applyFill="1" applyBorder="1" applyAlignment="1">
      <alignment horizontal="center"/>
    </xf>
    <xf numFmtId="0" fontId="6" fillId="3" borderId="11" xfId="0" applyFont="1" applyFill="1" applyBorder="1" applyAlignment="1">
      <alignment horizontal="center"/>
    </xf>
    <xf numFmtId="0" fontId="12" fillId="2" borderId="0" xfId="0" applyFont="1" applyFill="1" applyAlignment="1">
      <alignment horizontal="center"/>
    </xf>
    <xf numFmtId="0" fontId="5" fillId="2" borderId="3" xfId="0" applyFont="1" applyFill="1" applyBorder="1" applyAlignment="1">
      <alignment horizontal="center"/>
    </xf>
    <xf numFmtId="0" fontId="5" fillId="2" borderId="9" xfId="0" applyFont="1" applyFill="1" applyBorder="1" applyAlignment="1">
      <alignment horizontal="center"/>
    </xf>
    <xf numFmtId="10" fontId="5" fillId="2" borderId="0" xfId="0" applyNumberFormat="1" applyFont="1" applyFill="1" applyAlignment="1">
      <alignment horizontal="center"/>
    </xf>
    <xf numFmtId="0" fontId="5" fillId="2" borderId="4" xfId="0" applyFont="1" applyFill="1" applyBorder="1" applyAlignment="1">
      <alignment horizontal="center"/>
    </xf>
    <xf numFmtId="0" fontId="5" fillId="2" borderId="7" xfId="0" applyFont="1" applyFill="1" applyBorder="1" applyAlignment="1">
      <alignment horizontal="center"/>
    </xf>
    <xf numFmtId="0" fontId="6" fillId="3" borderId="5" xfId="0" applyFont="1" applyFill="1" applyBorder="1" applyAlignment="1">
      <alignment horizontal="center"/>
    </xf>
    <xf numFmtId="0" fontId="6" fillId="3" borderId="12" xfId="0" applyFont="1" applyFill="1" applyBorder="1" applyAlignment="1">
      <alignment horizontal="center"/>
    </xf>
    <xf numFmtId="0" fontId="5" fillId="2" borderId="13" xfId="0" applyFont="1" applyFill="1" applyBorder="1" applyAlignment="1">
      <alignment horizontal="center"/>
    </xf>
    <xf numFmtId="0" fontId="5" fillId="2" borderId="6" xfId="0" applyFont="1" applyFill="1" applyBorder="1" applyAlignment="1">
      <alignment horizontal="center"/>
    </xf>
    <xf numFmtId="0" fontId="10" fillId="2" borderId="0" xfId="0" applyFont="1" applyFill="1"/>
    <xf numFmtId="0" fontId="6" fillId="3" borderId="0" xfId="0" applyFont="1" applyFill="1"/>
    <xf numFmtId="0" fontId="5" fillId="3" borderId="0" xfId="0" applyFont="1" applyFill="1"/>
    <xf numFmtId="0" fontId="5" fillId="3" borderId="0" xfId="0" applyFont="1" applyFill="1" applyAlignment="1">
      <alignment horizontal="center"/>
    </xf>
    <xf numFmtId="0" fontId="3" fillId="0" borderId="0" xfId="0" applyFont="1"/>
    <xf numFmtId="0" fontId="0" fillId="4" borderId="0" xfId="0" applyFill="1"/>
    <xf numFmtId="0" fontId="0" fillId="5" borderId="0" xfId="0" applyFill="1"/>
    <xf numFmtId="0" fontId="0" fillId="6" borderId="0" xfId="0" applyFill="1"/>
    <xf numFmtId="0" fontId="2" fillId="0" borderId="0" xfId="0" applyFont="1"/>
    <xf numFmtId="0" fontId="6" fillId="2" borderId="0" xfId="0" applyFont="1" applyFill="1" applyAlignment="1">
      <alignment vertical="top"/>
    </xf>
    <xf numFmtId="166" fontId="6" fillId="3" borderId="9" xfId="0" applyNumberFormat="1" applyFont="1" applyFill="1" applyBorder="1" applyAlignment="1">
      <alignment horizontal="center"/>
    </xf>
    <xf numFmtId="0" fontId="6" fillId="4" borderId="14" xfId="0" applyFont="1" applyFill="1" applyBorder="1" applyAlignment="1" applyProtection="1">
      <alignment horizontal="center"/>
      <protection locked="0"/>
    </xf>
    <xf numFmtId="0" fontId="6" fillId="4" borderId="15" xfId="0" applyFont="1" applyFill="1" applyBorder="1" applyAlignment="1" applyProtection="1">
      <alignment horizontal="center"/>
      <protection locked="0"/>
    </xf>
    <xf numFmtId="0" fontId="6" fillId="2" borderId="2" xfId="0" applyFont="1" applyFill="1" applyBorder="1"/>
    <xf numFmtId="0" fontId="6" fillId="2" borderId="2" xfId="0" applyFont="1" applyFill="1" applyBorder="1" applyAlignment="1">
      <alignment vertical="center"/>
    </xf>
    <xf numFmtId="0" fontId="6" fillId="2" borderId="0" xfId="0" applyFont="1" applyFill="1" applyAlignment="1">
      <alignment horizontal="center" vertical="center"/>
    </xf>
    <xf numFmtId="0" fontId="5" fillId="3" borderId="19" xfId="0" applyFont="1" applyFill="1" applyBorder="1" applyAlignment="1">
      <alignment horizontal="center"/>
    </xf>
    <xf numFmtId="0" fontId="8" fillId="3" borderId="20" xfId="0" applyFont="1" applyFill="1" applyBorder="1" applyAlignment="1">
      <alignment horizontal="center"/>
    </xf>
    <xf numFmtId="0" fontId="5" fillId="3" borderId="21" xfId="0" applyFont="1" applyFill="1" applyBorder="1" applyAlignment="1">
      <alignment horizontal="center"/>
    </xf>
    <xf numFmtId="0" fontId="5" fillId="3" borderId="22" xfId="0" applyFont="1" applyFill="1" applyBorder="1" applyAlignment="1">
      <alignment horizontal="center"/>
    </xf>
    <xf numFmtId="0" fontId="8" fillId="3" borderId="0" xfId="0" applyFont="1" applyFill="1" applyAlignment="1">
      <alignment horizontal="center"/>
    </xf>
    <xf numFmtId="0" fontId="8" fillId="3" borderId="23" xfId="0" applyFont="1" applyFill="1" applyBorder="1" applyAlignment="1">
      <alignment horizontal="center"/>
    </xf>
    <xf numFmtId="10" fontId="5" fillId="3" borderId="0" xfId="0" applyNumberFormat="1" applyFont="1" applyFill="1" applyAlignment="1">
      <alignment horizontal="center"/>
    </xf>
    <xf numFmtId="0" fontId="5" fillId="3" borderId="23" xfId="0" applyFont="1" applyFill="1" applyBorder="1"/>
    <xf numFmtId="0" fontId="5" fillId="3" borderId="24" xfId="0" applyFont="1" applyFill="1" applyBorder="1" applyAlignment="1">
      <alignment horizontal="center"/>
    </xf>
    <xf numFmtId="0" fontId="5" fillId="3" borderId="25" xfId="0" applyFont="1" applyFill="1" applyBorder="1" applyAlignment="1">
      <alignment horizontal="center"/>
    </xf>
    <xf numFmtId="10" fontId="5" fillId="3" borderId="25" xfId="0" applyNumberFormat="1" applyFont="1" applyFill="1" applyBorder="1" applyAlignment="1">
      <alignment horizontal="center"/>
    </xf>
    <xf numFmtId="0" fontId="0" fillId="0" borderId="0" xfId="0" applyAlignment="1">
      <alignment vertical="center"/>
    </xf>
    <xf numFmtId="0" fontId="13" fillId="0" borderId="0" xfId="0" applyFont="1"/>
    <xf numFmtId="0" fontId="0" fillId="0" borderId="0" xfId="0" applyProtection="1">
      <protection locked="0"/>
    </xf>
    <xf numFmtId="22" fontId="0" fillId="0" borderId="0" xfId="0" applyNumberFormat="1" applyProtection="1">
      <protection locked="0"/>
    </xf>
    <xf numFmtId="0" fontId="15" fillId="0" borderId="0" xfId="0" applyFont="1"/>
    <xf numFmtId="0" fontId="0" fillId="0" borderId="0" xfId="0" applyAlignment="1">
      <alignment horizontal="center" vertical="center"/>
    </xf>
    <xf numFmtId="0" fontId="0" fillId="0" borderId="14" xfId="0" applyBorder="1" applyAlignment="1" applyProtection="1">
      <alignment horizontal="center" vertical="center"/>
      <protection locked="0"/>
    </xf>
    <xf numFmtId="0" fontId="0" fillId="0" borderId="0" xfId="0" applyAlignment="1">
      <alignment vertical="center" wrapText="1"/>
    </xf>
    <xf numFmtId="0" fontId="0" fillId="0" borderId="0" xfId="0"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xf>
    <xf numFmtId="0" fontId="3" fillId="8" borderId="14" xfId="0" applyFont="1" applyFill="1" applyBorder="1" applyAlignment="1">
      <alignment vertical="center"/>
    </xf>
    <xf numFmtId="0" fontId="3" fillId="8" borderId="14" xfId="0" applyFont="1" applyFill="1" applyBorder="1" applyAlignment="1">
      <alignment horizontal="left" vertical="center"/>
    </xf>
    <xf numFmtId="0" fontId="3" fillId="8" borderId="14" xfId="0" applyFont="1" applyFill="1" applyBorder="1" applyAlignment="1">
      <alignment vertical="center" wrapText="1"/>
    </xf>
    <xf numFmtId="0" fontId="3" fillId="8" borderId="14" xfId="0" applyFont="1" applyFill="1" applyBorder="1" applyAlignment="1">
      <alignment horizontal="center" vertical="center"/>
    </xf>
    <xf numFmtId="0" fontId="0" fillId="0" borderId="14" xfId="0" applyBorder="1" applyAlignment="1">
      <alignment vertical="center"/>
    </xf>
    <xf numFmtId="0" fontId="0" fillId="0" borderId="14" xfId="0" applyBorder="1" applyAlignment="1">
      <alignment horizontal="left" vertical="center"/>
    </xf>
    <xf numFmtId="0" fontId="0" fillId="0" borderId="14" xfId="0" applyBorder="1" applyAlignment="1">
      <alignment horizontal="center" vertical="center" wrapText="1"/>
    </xf>
    <xf numFmtId="0" fontId="0" fillId="0" borderId="14" xfId="0" applyBorder="1" applyAlignment="1">
      <alignment horizontal="center" vertical="center"/>
    </xf>
    <xf numFmtId="0" fontId="0" fillId="0" borderId="33" xfId="0" applyBorder="1" applyAlignment="1">
      <alignment horizontal="center" vertical="center"/>
    </xf>
    <xf numFmtId="0" fontId="2" fillId="0" borderId="14" xfId="0" applyFont="1" applyBorder="1" applyAlignment="1" applyProtection="1">
      <alignment horizontal="center" vertical="center"/>
      <protection locked="0"/>
    </xf>
    <xf numFmtId="0" fontId="11" fillId="0" borderId="0" xfId="0" applyFont="1" applyAlignment="1">
      <alignment vertical="center" wrapText="1"/>
    </xf>
    <xf numFmtId="0" fontId="11" fillId="0" borderId="0" xfId="0" applyFont="1" applyAlignment="1">
      <alignment horizontal="left" vertical="center"/>
    </xf>
    <xf numFmtId="0" fontId="11" fillId="0" borderId="0" xfId="0" applyFont="1" applyAlignment="1">
      <alignment vertical="center"/>
    </xf>
    <xf numFmtId="0" fontId="14" fillId="0" borderId="0" xfId="0" applyFont="1" applyAlignment="1">
      <alignment horizontal="center" vertical="center"/>
    </xf>
    <xf numFmtId="0" fontId="14" fillId="0" borderId="0" xfId="0" applyFont="1" applyAlignment="1">
      <alignment vertical="center"/>
    </xf>
    <xf numFmtId="0" fontId="11" fillId="0" borderId="14" xfId="0" applyFont="1" applyBorder="1" applyAlignment="1">
      <alignment vertical="center"/>
    </xf>
    <xf numFmtId="0" fontId="11" fillId="9" borderId="14" xfId="0" applyFont="1" applyFill="1" applyBorder="1" applyAlignment="1">
      <alignment horizontal="center" vertical="center"/>
    </xf>
    <xf numFmtId="0" fontId="11" fillId="0" borderId="14" xfId="0" applyFont="1" applyBorder="1" applyAlignment="1">
      <alignment vertical="center" wrapText="1"/>
    </xf>
    <xf numFmtId="0" fontId="11" fillId="6" borderId="14" xfId="0" applyFont="1" applyFill="1" applyBorder="1" applyAlignment="1">
      <alignment horizontal="center" vertical="center" wrapText="1"/>
    </xf>
    <xf numFmtId="0" fontId="11" fillId="0" borderId="14" xfId="0" applyFont="1" applyBorder="1" applyAlignment="1">
      <alignment horizontal="left" vertical="center" wrapText="1"/>
    </xf>
    <xf numFmtId="0" fontId="11" fillId="9" borderId="14" xfId="0" applyFont="1" applyFill="1" applyBorder="1" applyAlignment="1">
      <alignment horizontal="center" vertical="center" wrapText="1"/>
    </xf>
    <xf numFmtId="0" fontId="14" fillId="0" borderId="22" xfId="0" applyFont="1" applyBorder="1" applyAlignment="1">
      <alignment horizontal="center" vertical="center" wrapText="1"/>
    </xf>
    <xf numFmtId="0" fontId="11" fillId="0" borderId="0" xfId="0" applyFont="1" applyAlignment="1">
      <alignment horizontal="right"/>
    </xf>
    <xf numFmtId="0" fontId="14" fillId="5" borderId="25" xfId="0" applyFont="1" applyFill="1" applyBorder="1" applyProtection="1">
      <protection locked="0"/>
    </xf>
    <xf numFmtId="0" fontId="14" fillId="5" borderId="25" xfId="0" applyFont="1" applyFill="1" applyBorder="1" applyAlignment="1" applyProtection="1">
      <alignment horizontal="center"/>
      <protection locked="0"/>
    </xf>
    <xf numFmtId="0" fontId="18" fillId="0" borderId="0" xfId="0" applyFont="1"/>
    <xf numFmtId="0" fontId="3" fillId="8" borderId="14" xfId="0" applyFont="1" applyFill="1" applyBorder="1" applyAlignment="1">
      <alignment horizontal="right" vertical="center"/>
    </xf>
    <xf numFmtId="0" fontId="0" fillId="0" borderId="0" xfId="0" applyAlignment="1">
      <alignment horizontal="center"/>
    </xf>
    <xf numFmtId="0" fontId="2" fillId="0" borderId="0" xfId="1" applyProtection="1">
      <protection locked="0"/>
    </xf>
    <xf numFmtId="22" fontId="2" fillId="0" borderId="0" xfId="1" applyNumberFormat="1" applyProtection="1">
      <protection locked="0"/>
    </xf>
    <xf numFmtId="0" fontId="3" fillId="0" borderId="14" xfId="0" applyFont="1" applyBorder="1"/>
    <xf numFmtId="0" fontId="3" fillId="0" borderId="14" xfId="0" applyFont="1" applyBorder="1" applyAlignment="1">
      <alignment wrapText="1"/>
    </xf>
    <xf numFmtId="0" fontId="2" fillId="0" borderId="14" xfId="0" applyFont="1" applyBorder="1" applyAlignment="1">
      <alignment horizontal="left"/>
    </xf>
    <xf numFmtId="0" fontId="2" fillId="0" borderId="14" xfId="0" applyFont="1" applyBorder="1"/>
    <xf numFmtId="0" fontId="0" fillId="0" borderId="48" xfId="0" applyBorder="1" applyAlignment="1">
      <alignment horizontal="right"/>
    </xf>
    <xf numFmtId="0" fontId="0" fillId="0" borderId="27" xfId="0" applyBorder="1"/>
    <xf numFmtId="0" fontId="0" fillId="0" borderId="50" xfId="0" applyBorder="1"/>
    <xf numFmtId="1" fontId="21" fillId="0" borderId="33" xfId="0" applyNumberFormat="1" applyFont="1" applyBorder="1" applyAlignment="1">
      <alignment horizontal="right"/>
    </xf>
    <xf numFmtId="1" fontId="21" fillId="0" borderId="29" xfId="0" applyNumberFormat="1" applyFont="1" applyBorder="1" applyAlignment="1">
      <alignment horizontal="right"/>
    </xf>
    <xf numFmtId="0" fontId="7" fillId="3" borderId="2" xfId="0" applyFont="1" applyFill="1" applyBorder="1" applyAlignment="1">
      <alignment horizontal="right"/>
    </xf>
    <xf numFmtId="0" fontId="7" fillId="3" borderId="0" xfId="0" applyFont="1" applyFill="1" applyAlignment="1">
      <alignment horizontal="right"/>
    </xf>
    <xf numFmtId="0" fontId="7" fillId="3" borderId="6" xfId="0" applyFont="1" applyFill="1" applyBorder="1" applyAlignment="1">
      <alignment horizontal="right"/>
    </xf>
    <xf numFmtId="0" fontId="19" fillId="0" borderId="3" xfId="0" applyFont="1" applyBorder="1"/>
    <xf numFmtId="0" fontId="19" fillId="0" borderId="0" xfId="0" applyFont="1"/>
    <xf numFmtId="0" fontId="19" fillId="0" borderId="0" xfId="0" applyFont="1" applyAlignment="1">
      <alignment horizontal="center"/>
    </xf>
    <xf numFmtId="0" fontId="19" fillId="0" borderId="4" xfId="0" applyFont="1" applyBorder="1" applyAlignment="1">
      <alignment horizontal="center"/>
    </xf>
    <xf numFmtId="0" fontId="19" fillId="0" borderId="5" xfId="0" applyFont="1" applyBorder="1"/>
    <xf numFmtId="0" fontId="19" fillId="0" borderId="6" xfId="0" applyFont="1" applyBorder="1"/>
    <xf numFmtId="0" fontId="19" fillId="0" borderId="6" xfId="0" applyFont="1" applyBorder="1" applyAlignment="1">
      <alignment horizontal="center"/>
    </xf>
    <xf numFmtId="0" fontId="19" fillId="0" borderId="7" xfId="0" applyFont="1" applyBorder="1" applyAlignment="1">
      <alignment horizontal="center"/>
    </xf>
    <xf numFmtId="0" fontId="7" fillId="3" borderId="1" xfId="0" applyFont="1" applyFill="1" applyBorder="1" applyAlignment="1">
      <alignment horizontal="center"/>
    </xf>
    <xf numFmtId="0" fontId="7" fillId="3" borderId="3" xfId="0" applyFont="1" applyFill="1" applyBorder="1" applyAlignment="1">
      <alignment horizontal="center"/>
    </xf>
    <xf numFmtId="0" fontId="7" fillId="2" borderId="2" xfId="0" applyFont="1" applyFill="1" applyBorder="1" applyAlignment="1">
      <alignment vertical="top" wrapText="1"/>
    </xf>
    <xf numFmtId="0" fontId="7" fillId="2" borderId="6" xfId="0" applyFont="1" applyFill="1" applyBorder="1" applyAlignment="1">
      <alignment horizontal="left"/>
    </xf>
    <xf numFmtId="0" fontId="7" fillId="2" borderId="0" xfId="0" applyFont="1" applyFill="1" applyAlignment="1">
      <alignment horizontal="right"/>
    </xf>
    <xf numFmtId="0" fontId="7" fillId="2" borderId="0" xfId="0" applyFont="1" applyFill="1" applyAlignment="1">
      <alignment vertical="top"/>
    </xf>
    <xf numFmtId="0" fontId="7" fillId="0" borderId="0" xfId="0" applyFont="1"/>
    <xf numFmtId="0" fontId="7" fillId="0" borderId="0" xfId="0" applyFont="1" applyAlignment="1">
      <alignment horizontal="right"/>
    </xf>
    <xf numFmtId="0" fontId="3" fillId="3" borderId="0" xfId="0" applyFont="1" applyFill="1"/>
    <xf numFmtId="0" fontId="0" fillId="3" borderId="0" xfId="0" applyFill="1"/>
    <xf numFmtId="3" fontId="3" fillId="3" borderId="0" xfId="0" applyNumberFormat="1" applyFont="1" applyFill="1"/>
    <xf numFmtId="0" fontId="3" fillId="3" borderId="1" xfId="0" applyFont="1" applyFill="1" applyBorder="1" applyAlignment="1">
      <alignment horizontal="right"/>
    </xf>
    <xf numFmtId="0" fontId="0" fillId="3" borderId="16" xfId="0" applyFill="1" applyBorder="1" applyAlignment="1">
      <alignment horizontal="center"/>
    </xf>
    <xf numFmtId="0" fontId="3" fillId="3" borderId="3" xfId="0" applyFont="1" applyFill="1" applyBorder="1" applyAlignment="1">
      <alignment horizontal="right"/>
    </xf>
    <xf numFmtId="4" fontId="0" fillId="3" borderId="17" xfId="0" applyNumberFormat="1" applyFill="1" applyBorder="1" applyAlignment="1">
      <alignment horizontal="center"/>
    </xf>
    <xf numFmtId="0" fontId="3" fillId="3" borderId="5" xfId="0" applyFont="1" applyFill="1" applyBorder="1" applyAlignment="1">
      <alignment horizontal="right"/>
    </xf>
    <xf numFmtId="0" fontId="0" fillId="3" borderId="18" xfId="0" applyFill="1" applyBorder="1" applyAlignment="1">
      <alignment horizontal="center"/>
    </xf>
    <xf numFmtId="0" fontId="0" fillId="3" borderId="4" xfId="0" applyFill="1" applyBorder="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4" fontId="0" fillId="3" borderId="4" xfId="0" applyNumberFormat="1" applyFill="1" applyBorder="1" applyAlignment="1">
      <alignment horizontal="center"/>
    </xf>
    <xf numFmtId="164" fontId="0" fillId="3" borderId="9" xfId="0" applyNumberFormat="1" applyFill="1" applyBorder="1" applyAlignment="1">
      <alignment horizontal="center"/>
    </xf>
    <xf numFmtId="4" fontId="0" fillId="3" borderId="7" xfId="0" applyNumberFormat="1" applyFill="1" applyBorder="1" applyAlignment="1">
      <alignment horizontal="center"/>
    </xf>
    <xf numFmtId="0" fontId="0" fillId="3" borderId="16" xfId="0" applyFill="1" applyBorder="1" applyAlignment="1">
      <alignment horizontal="right"/>
    </xf>
    <xf numFmtId="0" fontId="0" fillId="3" borderId="18" xfId="0" applyFill="1" applyBorder="1" applyAlignment="1">
      <alignment horizontal="right"/>
    </xf>
    <xf numFmtId="0" fontId="0" fillId="3" borderId="0" xfId="0" applyFill="1" applyAlignment="1">
      <alignment horizontal="center"/>
    </xf>
    <xf numFmtId="165" fontId="0" fillId="3" borderId="0" xfId="0" applyNumberFormat="1" applyFill="1"/>
    <xf numFmtId="164" fontId="0" fillId="3" borderId="0" xfId="0" applyNumberFormat="1" applyFill="1"/>
    <xf numFmtId="0" fontId="0" fillId="0" borderId="0" xfId="0" applyAlignment="1">
      <alignment horizontal="center" vertical="center" wrapText="1"/>
    </xf>
    <xf numFmtId="0" fontId="0" fillId="0" borderId="0" xfId="0" applyAlignment="1" applyProtection="1">
      <alignment horizontal="center" vertical="center"/>
      <protection locked="0"/>
    </xf>
    <xf numFmtId="22" fontId="0" fillId="0" borderId="0" xfId="0" applyNumberFormat="1"/>
    <xf numFmtId="0" fontId="0" fillId="0" borderId="14" xfId="0" applyBorder="1" applyAlignment="1">
      <alignment horizontal="center"/>
    </xf>
    <xf numFmtId="0" fontId="0" fillId="0" borderId="14" xfId="0" applyBorder="1"/>
    <xf numFmtId="0" fontId="2" fillId="0" borderId="14" xfId="0" applyFont="1" applyBorder="1" applyAlignment="1">
      <alignment horizontal="center"/>
    </xf>
    <xf numFmtId="0" fontId="11" fillId="6" borderId="33" xfId="0" applyFont="1" applyFill="1" applyBorder="1" applyAlignment="1">
      <alignment vertical="center" wrapText="1"/>
    </xf>
    <xf numFmtId="0" fontId="0" fillId="0" borderId="43" xfId="0" applyBorder="1"/>
    <xf numFmtId="0" fontId="0" fillId="0" borderId="32" xfId="0" applyBorder="1"/>
    <xf numFmtId="0" fontId="3" fillId="8" borderId="49" xfId="0" applyFont="1" applyFill="1" applyBorder="1" applyAlignment="1">
      <alignment horizontal="center" vertical="center" wrapText="1"/>
    </xf>
    <xf numFmtId="0" fontId="0" fillId="0" borderId="51" xfId="0" applyBorder="1"/>
    <xf numFmtId="0" fontId="3" fillId="8" borderId="53" xfId="0" applyFont="1" applyFill="1" applyBorder="1" applyAlignment="1">
      <alignment horizontal="center" vertical="center" wrapText="1"/>
    </xf>
    <xf numFmtId="0" fontId="3" fillId="8" borderId="8" xfId="0" applyFont="1" applyFill="1" applyBorder="1" applyAlignment="1">
      <alignment horizontal="center" vertical="center" wrapText="1"/>
    </xf>
    <xf numFmtId="0" fontId="0" fillId="0" borderId="16" xfId="0" applyBorder="1"/>
    <xf numFmtId="0" fontId="0" fillId="0" borderId="54" xfId="0" applyBorder="1" applyAlignment="1">
      <alignment wrapText="1"/>
    </xf>
    <xf numFmtId="0" fontId="0" fillId="0" borderId="54" xfId="0" applyBorder="1"/>
    <xf numFmtId="0" fontId="3" fillId="0" borderId="33" xfId="0" applyFont="1" applyBorder="1"/>
    <xf numFmtId="0" fontId="11" fillId="6" borderId="33" xfId="0" applyFont="1" applyFill="1" applyBorder="1" applyAlignment="1">
      <alignment horizontal="center" vertical="center" wrapText="1"/>
    </xf>
    <xf numFmtId="0" fontId="2" fillId="0" borderId="14" xfId="0" applyFont="1" applyBorder="1" applyAlignment="1">
      <alignment vertical="center"/>
    </xf>
    <xf numFmtId="0" fontId="3" fillId="0" borderId="35" xfId="0" applyFont="1" applyBorder="1" applyAlignment="1">
      <alignment wrapText="1"/>
    </xf>
    <xf numFmtId="0" fontId="2" fillId="0" borderId="0" xfId="1"/>
    <xf numFmtId="22" fontId="2" fillId="0" borderId="0" xfId="1" applyNumberFormat="1"/>
    <xf numFmtId="0" fontId="2" fillId="0" borderId="54" xfId="0" applyFont="1" applyBorder="1"/>
    <xf numFmtId="0" fontId="2" fillId="0" borderId="43" xfId="0" applyFont="1" applyBorder="1"/>
    <xf numFmtId="0" fontId="2" fillId="0" borderId="32" xfId="0" applyFont="1" applyBorder="1"/>
    <xf numFmtId="0" fontId="0" fillId="0" borderId="44" xfId="0" applyBorder="1"/>
    <xf numFmtId="0" fontId="2" fillId="0" borderId="44" xfId="0" applyFont="1" applyBorder="1"/>
    <xf numFmtId="0" fontId="38" fillId="0" borderId="14" xfId="0" applyFont="1" applyBorder="1" applyAlignment="1" applyProtection="1">
      <alignment horizontal="center" vertical="center"/>
      <protection locked="0"/>
    </xf>
    <xf numFmtId="0" fontId="0" fillId="0" borderId="30" xfId="0" applyBorder="1" applyAlignment="1">
      <alignment horizontal="right"/>
    </xf>
    <xf numFmtId="0" fontId="2" fillId="5" borderId="14" xfId="0" applyFont="1" applyFill="1" applyBorder="1" applyAlignment="1" applyProtection="1">
      <alignment horizontal="center"/>
      <protection locked="0"/>
    </xf>
    <xf numFmtId="0" fontId="0" fillId="0" borderId="31" xfId="0" applyBorder="1" applyAlignment="1">
      <alignment horizontal="right"/>
    </xf>
    <xf numFmtId="0" fontId="3" fillId="0" borderId="0" xfId="0" applyFont="1" applyAlignment="1">
      <alignment horizontal="right"/>
    </xf>
    <xf numFmtId="0" fontId="3" fillId="0" borderId="37" xfId="0" applyFont="1" applyBorder="1" applyAlignment="1">
      <alignment horizontal="center"/>
    </xf>
    <xf numFmtId="0" fontId="3" fillId="0" borderId="43" xfId="0" applyFont="1" applyBorder="1" applyAlignment="1">
      <alignment horizontal="center" wrapText="1"/>
    </xf>
    <xf numFmtId="0" fontId="3" fillId="0" borderId="42" xfId="0" applyFont="1" applyBorder="1" applyAlignment="1">
      <alignment horizontal="center" wrapText="1"/>
    </xf>
    <xf numFmtId="1" fontId="0" fillId="6" borderId="29" xfId="0" applyNumberFormat="1" applyFill="1" applyBorder="1" applyAlignment="1">
      <alignment horizontal="center"/>
    </xf>
    <xf numFmtId="1" fontId="0" fillId="6" borderId="45" xfId="0" applyNumberFormat="1" applyFill="1" applyBorder="1" applyAlignment="1">
      <alignment horizontal="center"/>
    </xf>
    <xf numFmtId="0" fontId="0" fillId="0" borderId="0" xfId="0" applyAlignment="1">
      <alignment wrapText="1"/>
    </xf>
    <xf numFmtId="0" fontId="16" fillId="0" borderId="0" xfId="0" applyFont="1" applyAlignment="1">
      <alignment horizontal="center" vertical="center" wrapText="1"/>
    </xf>
    <xf numFmtId="0" fontId="3" fillId="7" borderId="14"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0" borderId="0" xfId="0" applyFont="1" applyAlignment="1">
      <alignment horizontal="center" vertical="center" wrapText="1"/>
    </xf>
    <xf numFmtId="0" fontId="2" fillId="0" borderId="14" xfId="0" applyFont="1" applyBorder="1" applyAlignment="1">
      <alignment wrapText="1"/>
    </xf>
    <xf numFmtId="1" fontId="0" fillId="0" borderId="43" xfId="0" applyNumberFormat="1" applyBorder="1"/>
    <xf numFmtId="1" fontId="0" fillId="0" borderId="14" xfId="0" applyNumberFormat="1" applyBorder="1"/>
    <xf numFmtId="1" fontId="0" fillId="0" borderId="44" xfId="0" applyNumberFormat="1" applyBorder="1"/>
    <xf numFmtId="1" fontId="0" fillId="0" borderId="32" xfId="0" applyNumberFormat="1" applyBorder="1"/>
    <xf numFmtId="167" fontId="0" fillId="0" borderId="14" xfId="0" applyNumberFormat="1" applyBorder="1"/>
    <xf numFmtId="167" fontId="0" fillId="0" borderId="44" xfId="0" applyNumberFormat="1" applyBorder="1"/>
    <xf numFmtId="167" fontId="0" fillId="0" borderId="43" xfId="0" applyNumberFormat="1" applyBorder="1"/>
    <xf numFmtId="167" fontId="0" fillId="0" borderId="32" xfId="0" applyNumberFormat="1" applyBorder="1"/>
    <xf numFmtId="167" fontId="0" fillId="0" borderId="51" xfId="0" applyNumberFormat="1" applyBorder="1"/>
    <xf numFmtId="1" fontId="0" fillId="0" borderId="51" xfId="0" applyNumberFormat="1" applyBorder="1"/>
    <xf numFmtId="0" fontId="39" fillId="0" borderId="0" xfId="0" applyFont="1"/>
    <xf numFmtId="0" fontId="40" fillId="0" borderId="0" xfId="0" applyFont="1" applyAlignment="1">
      <alignment vertical="center"/>
    </xf>
    <xf numFmtId="0" fontId="2" fillId="0" borderId="14" xfId="0" applyFont="1" applyBorder="1" applyAlignment="1">
      <alignment horizontal="center" vertical="center"/>
    </xf>
    <xf numFmtId="0" fontId="3" fillId="0" borderId="14" xfId="0" applyFont="1" applyBorder="1" applyAlignment="1">
      <alignment horizontal="center"/>
    </xf>
    <xf numFmtId="0" fontId="3" fillId="0" borderId="14" xfId="0" applyFont="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3" fillId="0" borderId="51" xfId="0" applyFont="1" applyBorder="1" applyAlignment="1">
      <alignment horizontal="center"/>
    </xf>
    <xf numFmtId="0" fontId="2" fillId="0" borderId="14" xfId="0" applyFont="1" applyBorder="1" applyAlignment="1">
      <alignment horizontal="center" vertical="center" wrapText="1"/>
    </xf>
    <xf numFmtId="0" fontId="2" fillId="5" borderId="14" xfId="0" applyFont="1" applyFill="1" applyBorder="1" applyAlignment="1" applyProtection="1">
      <alignment horizontal="center" vertical="center"/>
      <protection locked="0"/>
    </xf>
    <xf numFmtId="0" fontId="2" fillId="0" borderId="0" xfId="0" applyFont="1" applyAlignment="1">
      <alignment horizontal="left"/>
    </xf>
    <xf numFmtId="0" fontId="2" fillId="0" borderId="0" xfId="0" applyFont="1" applyAlignment="1">
      <alignment horizontal="center" vertical="center" wrapText="1"/>
    </xf>
    <xf numFmtId="0" fontId="2" fillId="0" borderId="0" xfId="0" applyFont="1" applyAlignment="1" applyProtection="1">
      <alignment horizontal="center" vertical="center"/>
      <protection locked="0"/>
    </xf>
    <xf numFmtId="0" fontId="3" fillId="7" borderId="37" xfId="0" applyFont="1" applyFill="1" applyBorder="1" applyAlignment="1">
      <alignment vertical="center" wrapText="1"/>
    </xf>
    <xf numFmtId="0" fontId="3" fillId="7" borderId="31" xfId="0" applyFont="1" applyFill="1" applyBorder="1" applyAlignment="1">
      <alignment vertical="center" wrapText="1"/>
    </xf>
    <xf numFmtId="0" fontId="11" fillId="0" borderId="0" xfId="0" applyFont="1" applyAlignment="1">
      <alignment horizontal="left"/>
    </xf>
    <xf numFmtId="0" fontId="42" fillId="0" borderId="0" xfId="0" applyFont="1" applyAlignment="1">
      <alignment horizontal="left"/>
    </xf>
    <xf numFmtId="0" fontId="41" fillId="8" borderId="14" xfId="0" applyFont="1" applyFill="1" applyBorder="1" applyAlignment="1">
      <alignment horizontal="center" wrapText="1"/>
    </xf>
    <xf numFmtId="0" fontId="41" fillId="8" borderId="14" xfId="0" applyFont="1" applyFill="1" applyBorder="1" applyAlignment="1">
      <alignment horizontal="center"/>
    </xf>
    <xf numFmtId="0" fontId="41" fillId="8" borderId="14" xfId="0" applyFont="1" applyFill="1" applyBorder="1" applyAlignment="1">
      <alignment horizontal="center" vertical="center" wrapText="1"/>
    </xf>
    <xf numFmtId="0" fontId="41" fillId="10" borderId="14" xfId="0" applyFont="1" applyFill="1" applyBorder="1" applyAlignment="1">
      <alignment horizontal="center" wrapText="1"/>
    </xf>
    <xf numFmtId="0" fontId="41" fillId="10" borderId="14" xfId="0" applyFont="1" applyFill="1" applyBorder="1" applyAlignment="1">
      <alignment horizontal="center"/>
    </xf>
    <xf numFmtId="0" fontId="43" fillId="4" borderId="14" xfId="0" applyFont="1" applyFill="1" applyBorder="1" applyAlignment="1" applyProtection="1">
      <alignment horizontal="center" vertical="center"/>
      <protection locked="0"/>
    </xf>
    <xf numFmtId="0" fontId="41" fillId="8" borderId="33" xfId="0" applyFont="1" applyFill="1" applyBorder="1" applyAlignment="1">
      <alignment horizontal="center" wrapText="1"/>
    </xf>
    <xf numFmtId="0" fontId="41" fillId="0" borderId="0" xfId="0" applyFont="1" applyAlignment="1">
      <alignment horizontal="center"/>
    </xf>
    <xf numFmtId="0" fontId="44" fillId="0" borderId="0" xfId="0" applyFont="1" applyAlignment="1">
      <alignment horizontal="center"/>
    </xf>
    <xf numFmtId="0" fontId="44" fillId="0" borderId="14" xfId="0" applyFont="1" applyBorder="1" applyAlignment="1">
      <alignment horizontal="right"/>
    </xf>
    <xf numFmtId="0" fontId="11" fillId="0" borderId="14" xfId="1" applyFont="1" applyBorder="1" applyAlignment="1">
      <alignment horizontal="center"/>
    </xf>
    <xf numFmtId="0" fontId="41" fillId="0" borderId="14" xfId="0" applyFont="1" applyBorder="1" applyAlignment="1">
      <alignment horizontal="center"/>
    </xf>
    <xf numFmtId="0" fontId="14" fillId="0" borderId="0" xfId="1" quotePrefix="1" applyFont="1" applyAlignment="1">
      <alignment horizontal="center"/>
    </xf>
    <xf numFmtId="0" fontId="3" fillId="0" borderId="0" xfId="0" applyFont="1" applyAlignment="1">
      <alignment horizontal="center"/>
    </xf>
    <xf numFmtId="0" fontId="41" fillId="8" borderId="14" xfId="0" applyFont="1" applyFill="1" applyBorder="1"/>
    <xf numFmtId="0" fontId="42" fillId="0" borderId="0" xfId="0" applyFont="1" applyAlignment="1">
      <alignment horizontal="right" vertical="center"/>
    </xf>
    <xf numFmtId="0" fontId="42" fillId="11" borderId="46" xfId="0" applyFont="1" applyFill="1" applyBorder="1" applyAlignment="1" applyProtection="1">
      <alignment horizontal="center" vertical="center"/>
      <protection locked="0"/>
    </xf>
    <xf numFmtId="0" fontId="14" fillId="11" borderId="14" xfId="0" applyFont="1" applyFill="1" applyBorder="1" applyAlignment="1">
      <alignment horizontal="center" vertical="center"/>
    </xf>
    <xf numFmtId="0" fontId="14" fillId="0" borderId="0" xfId="0" applyFont="1"/>
    <xf numFmtId="167" fontId="0" fillId="0" borderId="0" xfId="0" applyNumberFormat="1"/>
    <xf numFmtId="167" fontId="0" fillId="0" borderId="14" xfId="0" applyNumberFormat="1" applyBorder="1" applyAlignment="1">
      <alignment horizontal="center"/>
    </xf>
    <xf numFmtId="0" fontId="0" fillId="0" borderId="69" xfId="0" applyBorder="1"/>
    <xf numFmtId="167" fontId="0" fillId="0" borderId="43" xfId="0" applyNumberFormat="1" applyBorder="1" applyAlignment="1">
      <alignment horizontal="center"/>
    </xf>
    <xf numFmtId="0" fontId="0" fillId="0" borderId="32" xfId="0" applyBorder="1" applyAlignment="1">
      <alignment horizontal="center"/>
    </xf>
    <xf numFmtId="167" fontId="0" fillId="0" borderId="51" xfId="0" applyNumberFormat="1" applyBorder="1" applyAlignment="1">
      <alignment horizontal="center"/>
    </xf>
    <xf numFmtId="0" fontId="2" fillId="0" borderId="51" xfId="0" applyFont="1" applyBorder="1" applyAlignment="1">
      <alignment horizontal="center" vertical="center"/>
    </xf>
    <xf numFmtId="0" fontId="2" fillId="43" borderId="14" xfId="0" applyFont="1" applyFill="1" applyBorder="1" applyAlignment="1">
      <alignment horizontal="center"/>
    </xf>
    <xf numFmtId="49" fontId="2" fillId="4" borderId="14" xfId="0" applyNumberFormat="1" applyFont="1" applyFill="1" applyBorder="1" applyAlignment="1" applyProtection="1">
      <alignment horizontal="center"/>
      <protection locked="0"/>
    </xf>
    <xf numFmtId="0" fontId="2" fillId="5" borderId="14" xfId="0" applyFont="1" applyFill="1" applyBorder="1" applyAlignment="1" applyProtection="1">
      <alignment horizontal="center" vertical="center" wrapText="1"/>
      <protection locked="0"/>
    </xf>
    <xf numFmtId="0" fontId="48" fillId="0" borderId="0" xfId="0" applyFont="1" applyProtection="1">
      <protection locked="0"/>
    </xf>
    <xf numFmtId="22" fontId="48" fillId="0" borderId="0" xfId="0" applyNumberFormat="1" applyFont="1" applyProtection="1">
      <protection locked="0"/>
    </xf>
    <xf numFmtId="0" fontId="48" fillId="0" borderId="0" xfId="0" applyFont="1"/>
    <xf numFmtId="22" fontId="48" fillId="0" borderId="0" xfId="0" applyNumberFormat="1" applyFont="1"/>
    <xf numFmtId="0" fontId="47" fillId="0" borderId="0" xfId="0" applyFont="1"/>
    <xf numFmtId="22" fontId="47" fillId="0" borderId="0" xfId="0" applyNumberFormat="1" applyFont="1"/>
    <xf numFmtId="0" fontId="11" fillId="10" borderId="14" xfId="0" applyFont="1" applyFill="1" applyBorder="1" applyAlignment="1">
      <alignment vertical="center"/>
    </xf>
    <xf numFmtId="0" fontId="41" fillId="10" borderId="14" xfId="0" applyFont="1" applyFill="1" applyBorder="1" applyAlignment="1">
      <alignment vertical="center" wrapText="1"/>
    </xf>
    <xf numFmtId="0" fontId="0" fillId="0" borderId="14" xfId="0" applyBorder="1" applyAlignment="1">
      <alignment horizontal="left"/>
    </xf>
    <xf numFmtId="0" fontId="3" fillId="0" borderId="14" xfId="0" applyFont="1" applyBorder="1" applyAlignment="1">
      <alignment horizontal="center" vertical="center" wrapText="1"/>
    </xf>
    <xf numFmtId="14" fontId="3" fillId="0" borderId="14" xfId="0" applyNumberFormat="1" applyFont="1" applyBorder="1" applyAlignment="1">
      <alignment horizontal="center" vertical="center" wrapText="1"/>
    </xf>
    <xf numFmtId="0" fontId="0" fillId="0" borderId="0" xfId="0" applyAlignment="1">
      <alignment horizontal="center"/>
    </xf>
    <xf numFmtId="167" fontId="0" fillId="0" borderId="43" xfId="0" applyNumberFormat="1" applyBorder="1" applyAlignment="1">
      <alignment horizontal="center"/>
    </xf>
    <xf numFmtId="167" fontId="0" fillId="0" borderId="14" xfId="0" applyNumberFormat="1" applyBorder="1" applyAlignment="1">
      <alignment horizontal="center"/>
    </xf>
    <xf numFmtId="0" fontId="2" fillId="0" borderId="14" xfId="0" applyFont="1" applyBorder="1" applyAlignment="1">
      <alignment horizontal="center"/>
    </xf>
    <xf numFmtId="0" fontId="0" fillId="0" borderId="14" xfId="0" applyBorder="1" applyAlignment="1">
      <alignment horizontal="center"/>
    </xf>
    <xf numFmtId="0" fontId="0" fillId="0" borderId="32" xfId="0" applyBorder="1" applyAlignment="1">
      <alignment horizontal="center"/>
    </xf>
    <xf numFmtId="1" fontId="0" fillId="0" borderId="43" xfId="0" applyNumberFormat="1" applyBorder="1" applyAlignment="1">
      <alignment horizontal="center"/>
    </xf>
    <xf numFmtId="1" fontId="0" fillId="0" borderId="14" xfId="0" applyNumberFormat="1" applyBorder="1" applyAlignment="1">
      <alignment horizontal="center"/>
    </xf>
    <xf numFmtId="167" fontId="0" fillId="0" borderId="8" xfId="0" applyNumberFormat="1" applyBorder="1" applyAlignment="1">
      <alignment horizontal="center"/>
    </xf>
    <xf numFmtId="167" fontId="0" fillId="0" borderId="10" xfId="0" applyNumberFormat="1" applyBorder="1" applyAlignment="1">
      <alignment horizontal="center"/>
    </xf>
    <xf numFmtId="167" fontId="0" fillId="0" borderId="51" xfId="0" applyNumberFormat="1" applyBorder="1" applyAlignment="1">
      <alignment horizontal="center"/>
    </xf>
    <xf numFmtId="0" fontId="0" fillId="0" borderId="44" xfId="0" applyBorder="1" applyAlignment="1">
      <alignment horizontal="center"/>
    </xf>
    <xf numFmtId="167" fontId="0" fillId="0" borderId="49" xfId="0" applyNumberFormat="1" applyBorder="1" applyAlignment="1">
      <alignment horizontal="center"/>
    </xf>
    <xf numFmtId="167" fontId="0" fillId="0" borderId="68" xfId="0" applyNumberFormat="1" applyBorder="1" applyAlignment="1">
      <alignment horizontal="center"/>
    </xf>
    <xf numFmtId="167" fontId="0" fillId="0" borderId="66" xfId="0" applyNumberFormat="1" applyBorder="1" applyAlignment="1">
      <alignment horizontal="center"/>
    </xf>
    <xf numFmtId="0" fontId="0" fillId="0" borderId="29" xfId="0" applyBorder="1" applyAlignment="1">
      <alignment horizontal="center"/>
    </xf>
    <xf numFmtId="0" fontId="0" fillId="0" borderId="55" xfId="0" applyBorder="1" applyAlignment="1">
      <alignment horizontal="center"/>
    </xf>
    <xf numFmtId="0" fontId="0" fillId="0" borderId="45" xfId="0" applyBorder="1" applyAlignment="1">
      <alignment horizontal="center"/>
    </xf>
    <xf numFmtId="0" fontId="0" fillId="0" borderId="37" xfId="0" applyBorder="1" applyAlignment="1">
      <alignment horizontal="center" vertical="center" wrapText="1"/>
    </xf>
    <xf numFmtId="0" fontId="0" fillId="0" borderId="30" xfId="0" applyBorder="1" applyAlignment="1">
      <alignment horizontal="center" vertical="center" wrapText="1"/>
    </xf>
    <xf numFmtId="0" fontId="0" fillId="0" borderId="67" xfId="0" applyBorder="1" applyAlignment="1">
      <alignment horizontal="center" vertical="center" wrapText="1"/>
    </xf>
    <xf numFmtId="0" fontId="0" fillId="0" borderId="31" xfId="0" applyBorder="1" applyAlignment="1">
      <alignment horizontal="center" vertical="center" wrapText="1"/>
    </xf>
    <xf numFmtId="167" fontId="0" fillId="0" borderId="42" xfId="0" applyNumberFormat="1" applyBorder="1" applyAlignment="1">
      <alignment horizontal="center"/>
    </xf>
    <xf numFmtId="167" fontId="0" fillId="0" borderId="29" xfId="0" applyNumberFormat="1" applyBorder="1" applyAlignment="1">
      <alignment horizontal="center"/>
    </xf>
    <xf numFmtId="0" fontId="0" fillId="0" borderId="65" xfId="0" applyBorder="1" applyAlignment="1">
      <alignment horizontal="center" vertical="center" wrapText="1"/>
    </xf>
    <xf numFmtId="16" fontId="2" fillId="0" borderId="37" xfId="0" quotePrefix="1" applyNumberFormat="1" applyFont="1" applyBorder="1" applyAlignment="1">
      <alignment horizontal="center" vertical="center" wrapText="1"/>
    </xf>
    <xf numFmtId="0" fontId="2" fillId="0" borderId="65" xfId="0" quotePrefix="1" applyFont="1" applyBorder="1" applyAlignment="1">
      <alignment horizontal="center" vertical="center" wrapText="1"/>
    </xf>
    <xf numFmtId="0" fontId="0" fillId="0" borderId="37"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2" fillId="0" borderId="33" xfId="0" applyFont="1" applyBorder="1" applyAlignment="1">
      <alignment horizontal="left" vertical="center" wrapText="1"/>
    </xf>
    <xf numFmtId="0" fontId="3" fillId="0" borderId="34" xfId="0" applyFont="1" applyBorder="1" applyAlignment="1">
      <alignment horizontal="left" vertical="center" wrapText="1"/>
    </xf>
    <xf numFmtId="0" fontId="3" fillId="0" borderId="35" xfId="0" applyFont="1" applyBorder="1" applyAlignment="1">
      <alignment horizontal="left" vertical="center" wrapText="1"/>
    </xf>
    <xf numFmtId="0" fontId="3" fillId="0" borderId="14" xfId="0" applyFont="1" applyBorder="1" applyAlignment="1">
      <alignment horizontal="left"/>
    </xf>
    <xf numFmtId="0" fontId="0" fillId="0" borderId="14" xfId="0" applyBorder="1" applyAlignment="1">
      <alignment horizontal="left"/>
    </xf>
    <xf numFmtId="0" fontId="3" fillId="8" borderId="14" xfId="0" applyFont="1" applyFill="1" applyBorder="1" applyAlignment="1">
      <alignment horizontal="center" vertical="center" wrapText="1"/>
    </xf>
    <xf numFmtId="0" fontId="3" fillId="0" borderId="14" xfId="0" applyFont="1" applyBorder="1" applyAlignment="1">
      <alignment horizontal="center"/>
    </xf>
    <xf numFmtId="0" fontId="2" fillId="5" borderId="25" xfId="0" applyFont="1" applyFill="1" applyBorder="1" applyAlignment="1" applyProtection="1">
      <alignment horizontal="center"/>
      <protection locked="0"/>
    </xf>
    <xf numFmtId="0" fontId="0" fillId="0" borderId="1" xfId="0" applyBorder="1" applyAlignment="1" applyProtection="1">
      <alignment horizontal="center"/>
      <protection locked="0"/>
    </xf>
    <xf numFmtId="0" fontId="0" fillId="0" borderId="2" xfId="0" applyBorder="1" applyAlignment="1" applyProtection="1">
      <alignment horizontal="center"/>
      <protection locked="0"/>
    </xf>
    <xf numFmtId="0" fontId="0" fillId="0" borderId="9" xfId="0" applyBorder="1" applyAlignment="1" applyProtection="1">
      <alignment horizontal="center"/>
      <protection locked="0"/>
    </xf>
    <xf numFmtId="0" fontId="0" fillId="0" borderId="3" xfId="0" applyBorder="1" applyAlignment="1" applyProtection="1">
      <alignment horizontal="center"/>
      <protection locked="0"/>
    </xf>
    <xf numFmtId="0" fontId="0" fillId="0" borderId="0" xfId="0" applyAlignment="1" applyProtection="1">
      <alignment horizontal="center"/>
      <protection locked="0"/>
    </xf>
    <xf numFmtId="0" fontId="0" fillId="0" borderId="4" xfId="0" applyBorder="1" applyAlignment="1" applyProtection="1">
      <alignment horizontal="center"/>
      <protection locked="0"/>
    </xf>
    <xf numFmtId="0" fontId="0" fillId="0" borderId="5" xfId="0" applyBorder="1" applyAlignment="1" applyProtection="1">
      <alignment horizontal="center"/>
      <protection locked="0"/>
    </xf>
    <xf numFmtId="0" fontId="0" fillId="0" borderId="6" xfId="0" applyBorder="1" applyAlignment="1" applyProtection="1">
      <alignment horizontal="center"/>
      <protection locked="0"/>
    </xf>
    <xf numFmtId="0" fontId="0" fillId="0" borderId="7" xfId="0" applyBorder="1" applyAlignment="1" applyProtection="1">
      <alignment horizontal="center"/>
      <protection locked="0"/>
    </xf>
    <xf numFmtId="0" fontId="41" fillId="0" borderId="14" xfId="0" applyFont="1" applyBorder="1" applyAlignment="1">
      <alignment horizontal="center"/>
    </xf>
    <xf numFmtId="0" fontId="3" fillId="0" borderId="33" xfId="0" applyFont="1" applyBorder="1" applyAlignment="1">
      <alignment horizontal="center" wrapText="1"/>
    </xf>
    <xf numFmtId="0" fontId="3" fillId="0" borderId="35" xfId="0" applyFont="1" applyBorder="1" applyAlignment="1">
      <alignment horizontal="center" wrapText="1"/>
    </xf>
    <xf numFmtId="0" fontId="41" fillId="4" borderId="33" xfId="0" applyFont="1" applyFill="1" applyBorder="1" applyAlignment="1" applyProtection="1">
      <alignment horizontal="center" vertical="center"/>
      <protection locked="0"/>
    </xf>
    <xf numFmtId="0" fontId="41" fillId="4" borderId="34" xfId="0" applyFont="1" applyFill="1" applyBorder="1" applyAlignment="1" applyProtection="1">
      <alignment horizontal="center" vertical="center"/>
      <protection locked="0"/>
    </xf>
    <xf numFmtId="0" fontId="41" fillId="4" borderId="35" xfId="0" applyFont="1" applyFill="1" applyBorder="1" applyAlignment="1" applyProtection="1">
      <alignment horizontal="center" vertical="center"/>
      <protection locked="0"/>
    </xf>
    <xf numFmtId="0" fontId="2" fillId="5" borderId="48" xfId="0" applyFont="1" applyFill="1" applyBorder="1" applyAlignment="1" applyProtection="1">
      <alignment horizontal="center" vertical="center" wrapText="1"/>
      <protection locked="0"/>
    </xf>
    <xf numFmtId="0" fontId="2" fillId="5" borderId="52" xfId="0" applyFont="1" applyFill="1" applyBorder="1" applyAlignment="1" applyProtection="1">
      <alignment horizontal="center" vertical="center" wrapText="1"/>
      <protection locked="0"/>
    </xf>
    <xf numFmtId="14" fontId="2" fillId="5" borderId="48" xfId="0" applyNumberFormat="1" applyFont="1" applyFill="1" applyBorder="1" applyAlignment="1" applyProtection="1">
      <alignment horizontal="center" vertical="center" wrapText="1"/>
      <protection locked="0"/>
    </xf>
    <xf numFmtId="0" fontId="3" fillId="0" borderId="34" xfId="0" applyFont="1" applyBorder="1" applyAlignment="1">
      <alignment horizontal="center" wrapText="1"/>
    </xf>
    <xf numFmtId="0" fontId="2" fillId="5" borderId="43" xfId="0" applyFont="1" applyFill="1" applyBorder="1" applyAlignment="1" applyProtection="1">
      <alignment horizontal="center" vertical="center" wrapText="1"/>
      <protection locked="0"/>
    </xf>
    <xf numFmtId="14" fontId="2" fillId="5" borderId="32" xfId="1" applyNumberFormat="1" applyFill="1" applyBorder="1" applyAlignment="1" applyProtection="1">
      <alignment horizontal="center" vertical="center" wrapText="1"/>
      <protection locked="0"/>
    </xf>
    <xf numFmtId="0" fontId="2" fillId="5" borderId="32" xfId="1" applyFill="1" applyBorder="1" applyAlignment="1" applyProtection="1">
      <alignment horizontal="center" vertical="center" wrapText="1"/>
      <protection locked="0"/>
    </xf>
    <xf numFmtId="0" fontId="2" fillId="0" borderId="22" xfId="0" applyFont="1" applyBorder="1" applyAlignment="1">
      <alignment horizontal="center" vertical="center"/>
    </xf>
    <xf numFmtId="0" fontId="2" fillId="0" borderId="0" xfId="0" applyFont="1" applyAlignment="1">
      <alignment horizontal="center" vertical="center"/>
    </xf>
    <xf numFmtId="0" fontId="11" fillId="0" borderId="22" xfId="0" applyFont="1" applyBorder="1" applyAlignment="1">
      <alignment horizontal="center" vertical="center"/>
    </xf>
    <xf numFmtId="0" fontId="11" fillId="0" borderId="0" xfId="0" applyFont="1" applyAlignment="1">
      <alignment horizontal="center" vertical="center"/>
    </xf>
    <xf numFmtId="14" fontId="2" fillId="5" borderId="14" xfId="0" applyNumberFormat="1" applyFont="1" applyFill="1" applyBorder="1" applyAlignment="1" applyProtection="1">
      <alignment horizontal="center" vertical="center"/>
      <protection locked="0"/>
    </xf>
    <xf numFmtId="0" fontId="11" fillId="0" borderId="0" xfId="0" applyFont="1" applyAlignment="1">
      <alignment horizontal="center" vertical="center" wrapText="1"/>
    </xf>
    <xf numFmtId="14" fontId="2" fillId="5" borderId="32" xfId="0" applyNumberFormat="1" applyFont="1" applyFill="1" applyBorder="1" applyAlignment="1" applyProtection="1">
      <alignment horizontal="center" vertical="center" wrapText="1"/>
      <protection locked="0"/>
    </xf>
    <xf numFmtId="0" fontId="2" fillId="5" borderId="32" xfId="0" applyFont="1" applyFill="1" applyBorder="1" applyAlignment="1" applyProtection="1">
      <alignment horizontal="center" vertical="center" wrapText="1"/>
      <protection locked="0"/>
    </xf>
    <xf numFmtId="0" fontId="41" fillId="0" borderId="33" xfId="0" applyFont="1" applyBorder="1" applyAlignment="1">
      <alignment horizontal="center"/>
    </xf>
    <xf numFmtId="0" fontId="41" fillId="0" borderId="35" xfId="0" applyFont="1" applyBorder="1" applyAlignment="1">
      <alignment horizontal="center"/>
    </xf>
    <xf numFmtId="0" fontId="44" fillId="0" borderId="14" xfId="0" applyFont="1" applyBorder="1" applyAlignment="1">
      <alignment horizontal="center"/>
    </xf>
    <xf numFmtId="0" fontId="41" fillId="0" borderId="33" xfId="0" applyFont="1" applyBorder="1" applyAlignment="1">
      <alignment horizontal="center" wrapText="1"/>
    </xf>
    <xf numFmtId="0" fontId="44" fillId="0" borderId="35" xfId="0" applyFont="1" applyBorder="1" applyAlignment="1">
      <alignment horizontal="center" wrapText="1"/>
    </xf>
    <xf numFmtId="0" fontId="41" fillId="0" borderId="14" xfId="0" applyFont="1" applyBorder="1" applyAlignment="1">
      <alignment horizontal="center" wrapText="1"/>
    </xf>
    <xf numFmtId="0" fontId="41" fillId="8" borderId="14" xfId="0" applyFont="1" applyFill="1" applyBorder="1" applyAlignment="1">
      <alignment horizontal="center"/>
    </xf>
    <xf numFmtId="0" fontId="16" fillId="0" borderId="0" xfId="0" applyFont="1" applyAlignment="1">
      <alignment horizontal="center" vertical="center"/>
    </xf>
    <xf numFmtId="0" fontId="11" fillId="0" borderId="25" xfId="0" applyFont="1" applyBorder="1" applyAlignment="1">
      <alignment horizontal="left" vertical="center"/>
    </xf>
    <xf numFmtId="0" fontId="11" fillId="0" borderId="0" xfId="0" applyFont="1" applyAlignment="1">
      <alignment horizontal="left" vertical="center"/>
    </xf>
    <xf numFmtId="0" fontId="11" fillId="4" borderId="14" xfId="0" applyFont="1" applyFill="1" applyBorder="1" applyAlignment="1" applyProtection="1">
      <alignment horizontal="center" vertical="center"/>
      <protection locked="0"/>
    </xf>
    <xf numFmtId="0" fontId="11" fillId="4" borderId="14" xfId="0" quotePrefix="1" applyFont="1" applyFill="1" applyBorder="1" applyAlignment="1" applyProtection="1">
      <alignment horizontal="center" vertical="center"/>
      <protection locked="0"/>
    </xf>
    <xf numFmtId="0" fontId="2" fillId="0" borderId="0" xfId="0" applyFont="1" applyAlignment="1">
      <alignment horizontal="center"/>
    </xf>
    <xf numFmtId="0" fontId="3" fillId="0" borderId="14" xfId="0" applyFont="1" applyBorder="1" applyAlignment="1">
      <alignment horizontal="center" wrapText="1"/>
    </xf>
    <xf numFmtId="0" fontId="2" fillId="5" borderId="43" xfId="1" applyFill="1" applyBorder="1" applyAlignment="1" applyProtection="1">
      <alignment horizontal="center" vertical="center" wrapText="1"/>
      <protection locked="0"/>
    </xf>
    <xf numFmtId="0" fontId="14" fillId="5" borderId="25" xfId="0" applyFont="1" applyFill="1" applyBorder="1" applyAlignment="1" applyProtection="1">
      <alignment horizontal="center"/>
      <protection locked="0"/>
    </xf>
    <xf numFmtId="0" fontId="45" fillId="11" borderId="47" xfId="0" applyFont="1" applyFill="1" applyBorder="1" applyAlignment="1" applyProtection="1">
      <alignment horizontal="center" vertical="center"/>
      <protection locked="0"/>
    </xf>
    <xf numFmtId="0" fontId="45" fillId="11" borderId="36" xfId="0" applyFont="1" applyFill="1" applyBorder="1" applyAlignment="1" applyProtection="1">
      <alignment horizontal="center" vertical="center"/>
      <protection locked="0"/>
    </xf>
    <xf numFmtId="0" fontId="41" fillId="10" borderId="14" xfId="0" applyFont="1" applyFill="1" applyBorder="1" applyAlignment="1">
      <alignment horizontal="center"/>
    </xf>
    <xf numFmtId="0" fontId="42" fillId="6" borderId="13" xfId="0" applyFont="1" applyFill="1" applyBorder="1" applyAlignment="1">
      <alignment horizontal="center" vertical="center"/>
    </xf>
    <xf numFmtId="0" fontId="42" fillId="6" borderId="36" xfId="0" applyFont="1" applyFill="1" applyBorder="1" applyAlignment="1">
      <alignment horizontal="center" vertical="center"/>
    </xf>
    <xf numFmtId="0" fontId="2" fillId="5" borderId="33" xfId="0" applyFont="1" applyFill="1" applyBorder="1" applyAlignment="1" applyProtection="1">
      <alignment horizontal="left" vertical="center" wrapText="1"/>
      <protection locked="0"/>
    </xf>
    <xf numFmtId="0" fontId="2" fillId="5" borderId="34" xfId="0" applyFont="1" applyFill="1" applyBorder="1" applyAlignment="1" applyProtection="1">
      <alignment horizontal="left" vertical="center" wrapText="1"/>
      <protection locked="0"/>
    </xf>
    <xf numFmtId="0" fontId="2" fillId="5" borderId="35" xfId="0" applyFont="1" applyFill="1" applyBorder="1" applyAlignment="1" applyProtection="1">
      <alignment horizontal="left" vertical="center" wrapText="1"/>
      <protection locked="0"/>
    </xf>
    <xf numFmtId="0" fontId="3" fillId="11" borderId="14" xfId="0" applyFont="1" applyFill="1" applyBorder="1" applyAlignment="1">
      <alignment horizontal="center"/>
    </xf>
    <xf numFmtId="0" fontId="41" fillId="10" borderId="33" xfId="0" applyFont="1" applyFill="1" applyBorder="1" applyAlignment="1">
      <alignment horizontal="center"/>
    </xf>
    <xf numFmtId="0" fontId="41" fillId="10" borderId="35" xfId="0" applyFont="1" applyFill="1" applyBorder="1" applyAlignment="1">
      <alignment horizontal="center"/>
    </xf>
    <xf numFmtId="0" fontId="41" fillId="0" borderId="34" xfId="0" applyFont="1" applyBorder="1" applyAlignment="1">
      <alignment horizontal="center"/>
    </xf>
    <xf numFmtId="0" fontId="43" fillId="0" borderId="14" xfId="0" applyFont="1" applyBorder="1" applyAlignment="1">
      <alignment horizontal="center"/>
    </xf>
    <xf numFmtId="0" fontId="41" fillId="8" borderId="14" xfId="0" applyFont="1" applyFill="1" applyBorder="1" applyAlignment="1">
      <alignment horizontal="center" vertical="center"/>
    </xf>
    <xf numFmtId="0" fontId="17" fillId="0" borderId="0" xfId="0" applyFont="1" applyAlignment="1">
      <alignment horizontal="center" vertical="center" wrapText="1"/>
    </xf>
    <xf numFmtId="0" fontId="3" fillId="10" borderId="24" xfId="0" applyFont="1" applyFill="1" applyBorder="1" applyAlignment="1">
      <alignment horizontal="center" vertical="center" wrapText="1"/>
    </xf>
    <xf numFmtId="0" fontId="3" fillId="10" borderId="26" xfId="0" applyFont="1" applyFill="1" applyBorder="1" applyAlignment="1">
      <alignment horizontal="center" vertical="center" wrapText="1"/>
    </xf>
    <xf numFmtId="0" fontId="3" fillId="10" borderId="24" xfId="0" applyFont="1" applyFill="1" applyBorder="1" applyAlignment="1">
      <alignment horizontal="center" vertical="center"/>
    </xf>
    <xf numFmtId="0" fontId="3" fillId="10" borderId="26" xfId="0" applyFont="1" applyFill="1" applyBorder="1" applyAlignment="1">
      <alignment horizontal="center" vertical="center"/>
    </xf>
    <xf numFmtId="0" fontId="3" fillId="10" borderId="14" xfId="0" applyFont="1" applyFill="1" applyBorder="1" applyAlignment="1">
      <alignment horizontal="center" vertical="center"/>
    </xf>
    <xf numFmtId="0" fontId="11" fillId="6" borderId="33" xfId="0" applyFont="1" applyFill="1" applyBorder="1" applyAlignment="1">
      <alignment horizontal="center" vertical="center" wrapText="1"/>
    </xf>
    <xf numFmtId="0" fontId="11" fillId="6" borderId="35" xfId="0" applyFont="1" applyFill="1" applyBorder="1" applyAlignment="1">
      <alignment horizontal="center" vertical="center" wrapText="1"/>
    </xf>
    <xf numFmtId="0" fontId="11" fillId="6" borderId="14" xfId="0" applyFont="1" applyFill="1" applyBorder="1" applyAlignment="1">
      <alignment horizontal="center" vertical="center" wrapText="1"/>
    </xf>
    <xf numFmtId="0" fontId="8" fillId="2" borderId="25" xfId="0" applyFont="1" applyFill="1" applyBorder="1" applyAlignment="1">
      <alignment horizontal="center"/>
    </xf>
    <xf numFmtId="0" fontId="6" fillId="3" borderId="1" xfId="0" applyFont="1" applyFill="1" applyBorder="1" applyAlignment="1">
      <alignment horizontal="left"/>
    </xf>
    <xf numFmtId="0" fontId="6" fillId="3" borderId="2" xfId="0" applyFont="1" applyFill="1" applyBorder="1" applyAlignment="1">
      <alignment horizontal="left"/>
    </xf>
    <xf numFmtId="0" fontId="6" fillId="3" borderId="9" xfId="0" applyFont="1" applyFill="1" applyBorder="1" applyAlignment="1">
      <alignment horizontal="left"/>
    </xf>
    <xf numFmtId="0" fontId="6" fillId="3" borderId="3" xfId="0" applyFont="1" applyFill="1" applyBorder="1" applyAlignment="1">
      <alignment horizontal="left" wrapText="1"/>
    </xf>
    <xf numFmtId="0" fontId="6" fillId="3" borderId="0" xfId="0" applyFont="1" applyFill="1" applyAlignment="1">
      <alignment horizontal="left" wrapText="1"/>
    </xf>
    <xf numFmtId="0" fontId="6" fillId="3" borderId="4" xfId="0" applyFont="1" applyFill="1" applyBorder="1" applyAlignment="1">
      <alignment horizontal="left" wrapText="1"/>
    </xf>
    <xf numFmtId="0" fontId="7" fillId="2" borderId="0" xfId="0" applyFont="1" applyFill="1" applyAlignment="1">
      <alignment horizontal="left"/>
    </xf>
    <xf numFmtId="0" fontId="7" fillId="2" borderId="0" xfId="0" applyFont="1" applyFill="1" applyAlignment="1">
      <alignment horizontal="left" vertical="top" wrapText="1"/>
    </xf>
    <xf numFmtId="0" fontId="2" fillId="2" borderId="0" xfId="0" applyFont="1" applyFill="1" applyAlignment="1" applyProtection="1">
      <alignment horizontal="left"/>
      <protection locked="0"/>
    </xf>
    <xf numFmtId="0" fontId="7" fillId="0" borderId="38" xfId="0" applyFont="1" applyBorder="1" applyAlignment="1">
      <alignment horizontal="center" vertical="top"/>
    </xf>
    <xf numFmtId="0" fontId="7" fillId="0" borderId="39" xfId="0" applyFont="1" applyBorder="1" applyAlignment="1">
      <alignment horizontal="center" vertical="top"/>
    </xf>
    <xf numFmtId="0" fontId="7" fillId="0" borderId="28" xfId="0" applyFont="1" applyBorder="1" applyAlignment="1">
      <alignment horizontal="center" vertical="top"/>
    </xf>
    <xf numFmtId="0" fontId="6" fillId="5" borderId="0" xfId="0" applyFont="1" applyFill="1" applyAlignment="1" applyProtection="1">
      <alignment horizontal="center"/>
      <protection locked="0"/>
    </xf>
    <xf numFmtId="0" fontId="6" fillId="5" borderId="25" xfId="0" applyFont="1" applyFill="1" applyBorder="1" applyAlignment="1" applyProtection="1">
      <alignment horizontal="center"/>
      <protection locked="0"/>
    </xf>
    <xf numFmtId="0" fontId="6" fillId="5" borderId="40" xfId="0" applyFont="1" applyFill="1" applyBorder="1" applyAlignment="1" applyProtection="1">
      <alignment horizontal="left" vertical="top"/>
      <protection locked="0"/>
    </xf>
    <xf numFmtId="0" fontId="6" fillId="5" borderId="20" xfId="0" applyFont="1" applyFill="1" applyBorder="1" applyAlignment="1" applyProtection="1">
      <alignment horizontal="left" vertical="top"/>
      <protection locked="0"/>
    </xf>
    <xf numFmtId="0" fontId="6" fillId="5" borderId="41" xfId="0" applyFont="1" applyFill="1" applyBorder="1" applyAlignment="1" applyProtection="1">
      <alignment horizontal="left" vertical="top"/>
      <protection locked="0"/>
    </xf>
    <xf numFmtId="0" fontId="6" fillId="5" borderId="3" xfId="0" applyFont="1" applyFill="1" applyBorder="1" applyAlignment="1" applyProtection="1">
      <alignment horizontal="left" vertical="top"/>
      <protection locked="0"/>
    </xf>
    <xf numFmtId="0" fontId="6" fillId="5" borderId="0" xfId="0" applyFont="1" applyFill="1" applyAlignment="1" applyProtection="1">
      <alignment horizontal="left" vertical="top"/>
      <protection locked="0"/>
    </xf>
    <xf numFmtId="0" fontId="6" fillId="5" borderId="4" xfId="0" applyFont="1" applyFill="1" applyBorder="1" applyAlignment="1" applyProtection="1">
      <alignment horizontal="left" vertical="top"/>
      <protection locked="0"/>
    </xf>
    <xf numFmtId="0" fontId="6" fillId="5" borderId="5" xfId="0" applyFont="1" applyFill="1" applyBorder="1" applyAlignment="1" applyProtection="1">
      <alignment horizontal="left" vertical="top"/>
      <protection locked="0"/>
    </xf>
    <xf numFmtId="0" fontId="6" fillId="5" borderId="6" xfId="0" applyFont="1" applyFill="1" applyBorder="1" applyAlignment="1" applyProtection="1">
      <alignment horizontal="left" vertical="top"/>
      <protection locked="0"/>
    </xf>
    <xf numFmtId="0" fontId="6" fillId="5" borderId="7" xfId="0" applyFont="1" applyFill="1" applyBorder="1" applyAlignment="1" applyProtection="1">
      <alignment horizontal="left" vertical="top"/>
      <protection locked="0"/>
    </xf>
    <xf numFmtId="1" fontId="0" fillId="0" borderId="32" xfId="0" applyNumberFormat="1" applyBorder="1" applyAlignment="1">
      <alignment horizontal="center"/>
    </xf>
    <xf numFmtId="167" fontId="0" fillId="0" borderId="45" xfId="0" applyNumberFormat="1" applyBorder="1" applyAlignment="1">
      <alignment horizontal="center"/>
    </xf>
    <xf numFmtId="167" fontId="0" fillId="0" borderId="32" xfId="0" applyNumberFormat="1" applyBorder="1" applyAlignment="1">
      <alignment horizontal="center"/>
    </xf>
    <xf numFmtId="1" fontId="2" fillId="0" borderId="14" xfId="0" applyNumberFormat="1" applyFont="1" applyBorder="1" applyAlignment="1">
      <alignment horizontal="center"/>
    </xf>
    <xf numFmtId="1" fontId="0" fillId="0" borderId="44" xfId="0" applyNumberFormat="1" applyBorder="1" applyAlignment="1">
      <alignment horizontal="center"/>
    </xf>
    <xf numFmtId="167" fontId="0" fillId="0" borderId="44" xfId="0" applyNumberFormat="1" applyBorder="1" applyAlignment="1">
      <alignment horizontal="center"/>
    </xf>
    <xf numFmtId="167" fontId="2" fillId="0" borderId="14" xfId="0" applyNumberFormat="1" applyFont="1" applyBorder="1" applyAlignment="1">
      <alignment horizontal="center"/>
    </xf>
    <xf numFmtId="167" fontId="0" fillId="0" borderId="55" xfId="0" applyNumberFormat="1" applyBorder="1" applyAlignment="1">
      <alignment horizontal="center"/>
    </xf>
    <xf numFmtId="0" fontId="3" fillId="10" borderId="33" xfId="0" applyFont="1" applyFill="1" applyBorder="1" applyAlignment="1">
      <alignment horizontal="center" vertical="center" wrapText="1"/>
    </xf>
    <xf numFmtId="0" fontId="3" fillId="10" borderId="35" xfId="0" applyFont="1" applyFill="1" applyBorder="1" applyAlignment="1">
      <alignment horizontal="center" vertical="center" wrapText="1"/>
    </xf>
    <xf numFmtId="0" fontId="3" fillId="10" borderId="33" xfId="0" applyFont="1" applyFill="1" applyBorder="1" applyAlignment="1">
      <alignment horizontal="center" vertical="center"/>
    </xf>
    <xf numFmtId="0" fontId="3" fillId="10" borderId="35" xfId="0" applyFont="1" applyFill="1" applyBorder="1" applyAlignment="1">
      <alignment horizontal="center" vertical="center"/>
    </xf>
    <xf numFmtId="0" fontId="0" fillId="0" borderId="14" xfId="0" applyBorder="1" applyAlignment="1">
      <alignment horizontal="center" vertical="center"/>
    </xf>
    <xf numFmtId="0" fontId="3" fillId="0" borderId="37" xfId="0" applyFont="1" applyBorder="1" applyAlignment="1">
      <alignment horizontal="left"/>
    </xf>
    <xf numFmtId="0" fontId="3" fillId="0" borderId="43" xfId="0" applyFont="1" applyBorder="1" applyAlignment="1">
      <alignment horizontal="left"/>
    </xf>
    <xf numFmtId="0" fontId="20" fillId="0" borderId="30" xfId="0" applyFont="1" applyBorder="1" applyAlignment="1">
      <alignment horizontal="left"/>
    </xf>
    <xf numFmtId="0" fontId="20" fillId="0" borderId="14" xfId="0" applyFont="1" applyBorder="1" applyAlignment="1">
      <alignment horizontal="left"/>
    </xf>
    <xf numFmtId="0" fontId="3" fillId="0" borderId="31" xfId="0" applyFont="1" applyBorder="1" applyAlignment="1">
      <alignment horizontal="left"/>
    </xf>
    <xf numFmtId="0" fontId="3" fillId="0" borderId="32" xfId="0" applyFont="1" applyBorder="1" applyAlignment="1">
      <alignment horizontal="left"/>
    </xf>
    <xf numFmtId="0" fontId="0" fillId="0" borderId="44" xfId="0" applyBorder="1" applyAlignment="1">
      <alignment horizontal="center" vertical="center"/>
    </xf>
    <xf numFmtId="0" fontId="0" fillId="0" borderId="51" xfId="0" applyBorder="1" applyAlignment="1">
      <alignment horizontal="center" vertical="center"/>
    </xf>
    <xf numFmtId="0" fontId="0" fillId="44" borderId="0" xfId="0" applyFill="1"/>
  </cellXfs>
  <cellStyles count="59">
    <cellStyle name="20% - Accent1 2" xfId="35" xr:uid="{00000000-0005-0000-0000-000000000000}"/>
    <cellStyle name="20% - Accent2 2" xfId="36" xr:uid="{00000000-0005-0000-0000-000001000000}"/>
    <cellStyle name="20% - Accent3 2" xfId="37" xr:uid="{00000000-0005-0000-0000-000002000000}"/>
    <cellStyle name="20% - Accent4 2" xfId="38" xr:uid="{00000000-0005-0000-0000-000003000000}"/>
    <cellStyle name="20% - Accent5" xfId="24" builtinId="46" customBuiltin="1"/>
    <cellStyle name="20% - Accent5 2" xfId="39" xr:uid="{00000000-0005-0000-0000-000005000000}"/>
    <cellStyle name="20% - Accent6" xfId="27" builtinId="50" customBuiltin="1"/>
    <cellStyle name="20% - Accent6 2" xfId="40" xr:uid="{00000000-0005-0000-0000-000007000000}"/>
    <cellStyle name="40% - Accent1" xfId="17" builtinId="31" customBuiltin="1"/>
    <cellStyle name="40% - Accent1 2" xfId="41" xr:uid="{00000000-0005-0000-0000-000009000000}"/>
    <cellStyle name="40% - Accent2" xfId="19" builtinId="35" customBuiltin="1"/>
    <cellStyle name="40% - Accent2 2" xfId="42" xr:uid="{00000000-0005-0000-0000-00000B000000}"/>
    <cellStyle name="40% - Accent3 2" xfId="43" xr:uid="{00000000-0005-0000-0000-00000C000000}"/>
    <cellStyle name="40% - Accent4" xfId="22" builtinId="43" customBuiltin="1"/>
    <cellStyle name="40% - Accent4 2" xfId="44" xr:uid="{00000000-0005-0000-0000-00000E000000}"/>
    <cellStyle name="40% - Accent5" xfId="25" builtinId="47" customBuiltin="1"/>
    <cellStyle name="40% - Accent5 2" xfId="45" xr:uid="{00000000-0005-0000-0000-000010000000}"/>
    <cellStyle name="40% - Accent6" xfId="28" builtinId="51" customBuiltin="1"/>
    <cellStyle name="40% - Accent6 2" xfId="46" xr:uid="{00000000-0005-0000-0000-000012000000}"/>
    <cellStyle name="60% - Accent1 2" xfId="31" xr:uid="{00000000-0005-0000-0000-000013000000}"/>
    <cellStyle name="60% - Accent2 2" xfId="32" xr:uid="{00000000-0005-0000-0000-000014000000}"/>
    <cellStyle name="60% - Accent3 2" xfId="47" xr:uid="{00000000-0005-0000-0000-000015000000}"/>
    <cellStyle name="60% - Accent4 2" xfId="48" xr:uid="{00000000-0005-0000-0000-000016000000}"/>
    <cellStyle name="60% - Accent5 2" xfId="33" xr:uid="{00000000-0005-0000-0000-000017000000}"/>
    <cellStyle name="60% - Accent6 2" xfId="49" xr:uid="{00000000-0005-0000-0000-000018000000}"/>
    <cellStyle name="Accent1" xfId="16" builtinId="29" customBuiltin="1"/>
    <cellStyle name="Accent2" xfId="18" builtinId="33" customBuiltin="1"/>
    <cellStyle name="Accent3" xfId="20" builtinId="37" customBuiltin="1"/>
    <cellStyle name="Accent4" xfId="21" builtinId="41" customBuiltin="1"/>
    <cellStyle name="Accent5" xfId="23" builtinId="45" customBuiltin="1"/>
    <cellStyle name="Accent6" xfId="26" builtinId="49" customBuiltin="1"/>
    <cellStyle name="Bad" xfId="7" builtinId="27" customBuiltin="1"/>
    <cellStyle name="Calculation" xfId="10" builtinId="22" customBuiltin="1"/>
    <cellStyle name="Check Cell" xfId="12" builtinId="23" customBuiltin="1"/>
    <cellStyle name="Explanatory Text" xfId="14"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0" xr:uid="{00000000-0005-0000-0000-00002A000000}"/>
    <cellStyle name="Normal" xfId="0" builtinId="0"/>
    <cellStyle name="Normal 2" xfId="1" xr:uid="{00000000-0005-0000-0000-00002C000000}"/>
    <cellStyle name="Normal 2 2" xfId="50" xr:uid="{00000000-0005-0000-0000-00002D000000}"/>
    <cellStyle name="Normal 3" xfId="51" xr:uid="{00000000-0005-0000-0000-00002E000000}"/>
    <cellStyle name="Normal 4" xfId="52" xr:uid="{00000000-0005-0000-0000-00002F000000}"/>
    <cellStyle name="Normal 4 2" xfId="53" xr:uid="{00000000-0005-0000-0000-000030000000}"/>
    <cellStyle name="Normal 5" xfId="34" xr:uid="{00000000-0005-0000-0000-000031000000}"/>
    <cellStyle name="Note 2" xfId="54" xr:uid="{00000000-0005-0000-0000-000032000000}"/>
    <cellStyle name="Note 2 2" xfId="55" xr:uid="{00000000-0005-0000-0000-000033000000}"/>
    <cellStyle name="Output" xfId="9" builtinId="21" customBuiltin="1"/>
    <cellStyle name="Percent 2" xfId="56" xr:uid="{00000000-0005-0000-0000-000035000000}"/>
    <cellStyle name="Percent 3" xfId="57" xr:uid="{00000000-0005-0000-0000-000036000000}"/>
    <cellStyle name="Percent 3 2" xfId="58" xr:uid="{00000000-0005-0000-0000-000037000000}"/>
    <cellStyle name="Title 2" xfId="29" xr:uid="{00000000-0005-0000-0000-000038000000}"/>
    <cellStyle name="Total" xfId="15" builtinId="25" customBuiltin="1"/>
    <cellStyle name="Warning Text" xfId="13" builtinId="11" customBuiltin="1"/>
  </cellStyles>
  <dxfs count="1075">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numFmt numFmtId="0" formatCode="General"/>
      <fill>
        <patternFill patternType="solid">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numFmt numFmtId="0" formatCode="General"/>
      <fill>
        <patternFill patternType="solid">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numFmt numFmtId="0" formatCode="General"/>
      <fill>
        <patternFill patternType="solid">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ndense val="0"/>
        <extend val="0"/>
        <color indexed="10"/>
      </font>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numFmt numFmtId="0" formatCode="General"/>
      <fill>
        <patternFill patternType="solid">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EB9C"/>
      <color rgb="FFFFEBC4"/>
      <color rgb="FFFFFF99"/>
      <color rgb="FFFFC7CE"/>
      <color rgb="FFCCFFCC"/>
      <color rgb="FFCC0000"/>
      <color rgb="FF9C6500"/>
      <color rgb="FFCCFFFF"/>
      <color rgb="FF19EB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Product QC Testing Chart</a:t>
            </a:r>
          </a:p>
        </c:rich>
      </c:tx>
      <c:layout>
        <c:manualLayout>
          <c:xMode val="edge"/>
          <c:yMode val="edge"/>
          <c:x val="0.26573422663045948"/>
          <c:y val="2.9106029106029108E-2"/>
        </c:manualLayout>
      </c:layout>
      <c:overlay val="0"/>
      <c:spPr>
        <a:noFill/>
        <a:ln w="25400">
          <a:noFill/>
        </a:ln>
      </c:spPr>
    </c:title>
    <c:autoTitleDeleted val="0"/>
    <c:plotArea>
      <c:layout>
        <c:manualLayout>
          <c:layoutTarget val="inner"/>
          <c:xMode val="edge"/>
          <c:yMode val="edge"/>
          <c:x val="0.13706303066476636"/>
          <c:y val="9.9792201094928673E-2"/>
          <c:w val="0.83916141223326335"/>
          <c:h val="0.76299453753830881"/>
        </c:manualLayout>
      </c:layout>
      <c:lineChart>
        <c:grouping val="standard"/>
        <c:varyColors val="0"/>
        <c:ser>
          <c:idx val="0"/>
          <c:order val="0"/>
          <c:tx>
            <c:strRef>
              <c:f>'Statistical Process Control'!$K$46</c:f>
              <c:strCache>
                <c:ptCount val="1"/>
                <c:pt idx="0">
                  <c:v>Total Percent</c:v>
                </c:pt>
              </c:strCache>
            </c:strRef>
          </c:tx>
          <c:spPr>
            <a:ln w="12700">
              <a:solidFill>
                <a:srgbClr val="0000FF"/>
              </a:solidFill>
              <a:prstDash val="solid"/>
            </a:ln>
          </c:spPr>
          <c:marker>
            <c:symbol val="diamond"/>
            <c:size val="5"/>
            <c:spPr>
              <a:solidFill>
                <a:srgbClr val="0000FF"/>
              </a:solidFill>
              <a:ln>
                <a:solidFill>
                  <a:srgbClr val="0000FF"/>
                </a:solidFill>
                <a:prstDash val="solid"/>
              </a:ln>
            </c:spPr>
          </c:marker>
          <c:cat>
            <c:numRef>
              <c:f>'Statistical Process Control'!$H$47:$H$70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'Statistical Process Control'!$K$47:$K$70</c:f>
              <c:numCache>
                <c:formatCode>0.00%</c:formatCode>
                <c:ptCount val="24"/>
                <c:pt idx="0">
                  <c:v>0</c:v>
                </c:pt>
                <c:pt idx="1">
                  <c:v>0</c:v>
                </c:pt>
                <c:pt idx="2">
                  <c:v>0</c:v>
                </c:pt>
                <c:pt idx="3">
                  <c:v>0</c:v>
                </c:pt>
                <c:pt idx="4">
                  <c:v>0</c:v>
                </c:pt>
                <c:pt idx="5">
                  <c:v>0</c:v>
                </c:pt>
                <c:pt idx="6">
                  <c:v>0</c:v>
                </c:pt>
                <c:pt idx="7">
                  <c:v>0</c:v>
                </c:pt>
                <c:pt idx="8">
                  <c:v>0</c:v>
                </c:pt>
                <c:pt idx="9">
                  <c:v>0</c:v>
                </c:pt>
                <c:pt idx="10">
                  <c:v>-10</c:v>
                </c:pt>
                <c:pt idx="11">
                  <c:v>-10</c:v>
                </c:pt>
                <c:pt idx="12">
                  <c:v>-10</c:v>
                </c:pt>
                <c:pt idx="13">
                  <c:v>-10</c:v>
                </c:pt>
                <c:pt idx="14">
                  <c:v>-10</c:v>
                </c:pt>
                <c:pt idx="15">
                  <c:v>-10</c:v>
                </c:pt>
                <c:pt idx="16">
                  <c:v>-10</c:v>
                </c:pt>
                <c:pt idx="17">
                  <c:v>-10</c:v>
                </c:pt>
                <c:pt idx="18">
                  <c:v>-10</c:v>
                </c:pt>
                <c:pt idx="19">
                  <c:v>-10</c:v>
                </c:pt>
                <c:pt idx="20">
                  <c:v>-10</c:v>
                </c:pt>
                <c:pt idx="21">
                  <c:v>-10</c:v>
                </c:pt>
                <c:pt idx="22">
                  <c:v>-10</c:v>
                </c:pt>
                <c:pt idx="23">
                  <c:v>-10</c:v>
                </c:pt>
              </c:numCache>
            </c:numRef>
          </c:val>
          <c:smooth val="0"/>
          <c:extLst>
            <c:ext xmlns:c16="http://schemas.microsoft.com/office/drawing/2014/chart" uri="{C3380CC4-5D6E-409C-BE32-E72D297353CC}">
              <c16:uniqueId val="{00000000-7D61-432A-AEEA-64F020D49892}"/>
            </c:ext>
          </c:extLst>
        </c:ser>
        <c:ser>
          <c:idx val="1"/>
          <c:order val="1"/>
          <c:tx>
            <c:strRef>
              <c:f>'Statistical Process Control'!$L$46</c:f>
              <c:strCache>
                <c:ptCount val="1"/>
                <c:pt idx="0">
                  <c:v>CL</c:v>
                </c:pt>
              </c:strCache>
            </c:strRef>
          </c:tx>
          <c:spPr>
            <a:ln w="38100">
              <a:solidFill>
                <a:srgbClr val="FF0000"/>
              </a:solidFill>
              <a:prstDash val="solid"/>
            </a:ln>
          </c:spPr>
          <c:marker>
            <c:symbol val="none"/>
          </c:marker>
          <c:cat>
            <c:numRef>
              <c:f>'Statistical Process Control'!$H$47:$H$70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'Statistical Process Control'!$L$47:$L$70</c:f>
              <c:numCache>
                <c:formatCode>General</c:formatCode>
                <c:ptCount val="24"/>
                <c:pt idx="0">
                  <c:v>0.14862790937658446</c:v>
                </c:pt>
                <c:pt idx="1">
                  <c:v>9.0057962325347005E-2</c:v>
                </c:pt>
                <c:pt idx="2">
                  <c:v>6.9410823142639175E-2</c:v>
                </c:pt>
                <c:pt idx="3">
                  <c:v>5.8821631097975884E-2</c:v>
                </c:pt>
                <c:pt idx="4">
                  <c:v>5.2345290180388124E-2</c:v>
                </c:pt>
                <c:pt idx="5">
                  <c:v>4.9449305557185144E-2</c:v>
                </c:pt>
                <c:pt idx="6">
                  <c:v>4.5946665708491694E-2</c:v>
                </c:pt>
                <c:pt idx="7">
                  <c:v>4.3305320007228448E-2</c:v>
                </c:pt>
                <c:pt idx="8">
                  <c:v>4.1237407233679253E-2</c:v>
                </c:pt>
                <c:pt idx="9">
                  <c:v>3.9569892809598967E-2</c:v>
                </c:pt>
                <c:pt idx="10">
                  <c:v>3.8844143546099733E-2</c:v>
                </c:pt>
                <c:pt idx="11">
                  <c:v>3.7599798837163634E-2</c:v>
                </c:pt>
                <c:pt idx="12">
                  <c:v>3.654342082981675E-2</c:v>
                </c:pt>
                <c:pt idx="13">
                  <c:v>3.5634178303336157E-2</c:v>
                </c:pt>
                <c:pt idx="14">
                  <c:v>3.4841927112587386E-2</c:v>
                </c:pt>
                <c:pt idx="15">
                  <c:v>3.4525692938628047E-2</c:v>
                </c:pt>
                <c:pt idx="16">
                  <c:v>3.3869090043204354E-2</c:v>
                </c:pt>
                <c:pt idx="17">
                  <c:v>3.3283906230959483E-2</c:v>
                </c:pt>
                <c:pt idx="18">
                  <c:v>3.2758639754890025E-2</c:v>
                </c:pt>
                <c:pt idx="19">
                  <c:v>3.22839119595556E-2</c:v>
                </c:pt>
                <c:pt idx="20">
                  <c:v>3.2109260701544705E-2</c:v>
                </c:pt>
                <c:pt idx="21">
                  <c:v>3.1695216297397445E-2</c:v>
                </c:pt>
                <c:pt idx="22">
                  <c:v>3.1316318592962772E-2</c:v>
                </c:pt>
                <c:pt idx="23">
                  <c:v>3.0968069131449377E-2</c:v>
                </c:pt>
              </c:numCache>
            </c:numRef>
          </c:val>
          <c:smooth val="0"/>
          <c:extLst>
            <c:ext xmlns:c16="http://schemas.microsoft.com/office/drawing/2014/chart" uri="{C3380CC4-5D6E-409C-BE32-E72D297353CC}">
              <c16:uniqueId val="{00000001-7D61-432A-AEEA-64F020D49892}"/>
            </c:ext>
          </c:extLst>
        </c:ser>
        <c:dLbls>
          <c:showLegendKey val="0"/>
          <c:showVal val="0"/>
          <c:showCatName val="0"/>
          <c:showSerName val="0"/>
          <c:showPercent val="0"/>
          <c:showBubbleSize val="0"/>
        </c:dLbls>
        <c:marker val="1"/>
        <c:smooth val="0"/>
        <c:axId val="291129344"/>
        <c:axId val="51795584"/>
      </c:lineChart>
      <c:catAx>
        <c:axId val="291129344"/>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Sample Point</a:t>
                </a:r>
              </a:p>
            </c:rich>
          </c:tx>
          <c:layout>
            <c:manualLayout>
              <c:xMode val="edge"/>
              <c:yMode val="edge"/>
              <c:x val="0.47692336726883838"/>
              <c:y val="0.9272358003066664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51795584"/>
        <c:crosses val="autoZero"/>
        <c:auto val="1"/>
        <c:lblAlgn val="ctr"/>
        <c:lblOffset val="100"/>
        <c:tickLblSkip val="1"/>
        <c:tickMarkSkip val="1"/>
        <c:noMultiLvlLbl val="0"/>
      </c:catAx>
      <c:valAx>
        <c:axId val="51795584"/>
        <c:scaling>
          <c:orientation val="minMax"/>
          <c:max val="0.15"/>
          <c:min val="0"/>
        </c:scaling>
        <c:delete val="0"/>
        <c:axPos val="l"/>
        <c:majorGridlines>
          <c:spPr>
            <a:ln w="3175">
              <a:solidFill>
                <a:srgbClr val="000000"/>
              </a:solidFill>
              <a:prstDash val="solid"/>
            </a:ln>
          </c:spPr>
        </c:majorGridlines>
        <c:title>
          <c:tx>
            <c:rich>
              <a:bodyPr/>
              <a:lstStyle/>
              <a:p>
                <a:pPr>
                  <a:defRPr sz="1175" b="1" i="0" u="none" strike="noStrike" baseline="0">
                    <a:solidFill>
                      <a:srgbClr val="000000"/>
                    </a:solidFill>
                    <a:latin typeface="Arial"/>
                    <a:ea typeface="Arial"/>
                    <a:cs typeface="Arial"/>
                  </a:defRPr>
                </a:pPr>
                <a:r>
                  <a:rPr lang="en-US"/>
                  <a:t>Accumulative Percent Defective</a:t>
                </a:r>
              </a:p>
            </c:rich>
          </c:tx>
          <c:layout>
            <c:manualLayout>
              <c:xMode val="edge"/>
              <c:yMode val="edge"/>
              <c:x val="1.8181881725503352E-2"/>
              <c:y val="0.2286904469581634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291129344"/>
        <c:crosses val="autoZero"/>
        <c:crossBetween val="between"/>
        <c:majorUnit val="0.01"/>
        <c:minorUnit val="0.01"/>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1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295275</xdr:colOff>
          <xdr:row>51</xdr:row>
          <xdr:rowOff>142875</xdr:rowOff>
        </xdr:from>
        <xdr:to>
          <xdr:col>12</xdr:col>
          <xdr:colOff>304800</xdr:colOff>
          <xdr:row>53</xdr:row>
          <xdr:rowOff>28575</xdr:rowOff>
        </xdr:to>
        <xdr:sp macro="" textlink="">
          <xdr:nvSpPr>
            <xdr:cNvPr id="8199" name="Check Box 7" descr="N/A" hidden="1">
              <a:extLst>
                <a:ext uri="{63B3BB69-23CF-44E3-9099-C40C66FF867C}">
                  <a14:compatExt spid="_x0000_s8199"/>
                </a:ext>
                <a:ext uri="{FF2B5EF4-FFF2-40B4-BE49-F238E27FC236}">
                  <a16:creationId xmlns:a16="http://schemas.microsoft.com/office/drawing/2014/main" id="{00000000-0008-0000-0300-00000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sv-SE" sz="800" b="0" i="0" u="none" strike="noStrike" baseline="0">
                  <a:solidFill>
                    <a:srgbClr val="000000"/>
                  </a:solidFill>
                  <a:latin typeface="Segoe UI"/>
                  <a:cs typeface="Segoe UI"/>
                </a:rPr>
                <a:t>N/A</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1419225</xdr:colOff>
          <xdr:row>234</xdr:row>
          <xdr:rowOff>152400</xdr:rowOff>
        </xdr:from>
        <xdr:to>
          <xdr:col>1</xdr:col>
          <xdr:colOff>2466975</xdr:colOff>
          <xdr:row>236</xdr:row>
          <xdr:rowOff>28575</xdr:rowOff>
        </xdr:to>
        <xdr:sp macro="" textlink="">
          <xdr:nvSpPr>
            <xdr:cNvPr id="19457" name="Check Box 1" descr="N/A" hidden="1">
              <a:extLst>
                <a:ext uri="{63B3BB69-23CF-44E3-9099-C40C66FF867C}">
                  <a14:compatExt spid="_x0000_s19457"/>
                </a:ext>
                <a:ext uri="{FF2B5EF4-FFF2-40B4-BE49-F238E27FC236}">
                  <a16:creationId xmlns:a16="http://schemas.microsoft.com/office/drawing/2014/main" id="{00000000-0008-0000-0400-00000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sv-SE" sz="800" b="0" i="0" u="none" strike="noStrike" baseline="0">
                  <a:solidFill>
                    <a:srgbClr val="000000"/>
                  </a:solidFill>
                  <a:latin typeface="Segoe UI"/>
                  <a:cs typeface="Segoe UI"/>
                </a:rPr>
                <a:t>N/A</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100</xdr:row>
          <xdr:rowOff>152400</xdr:rowOff>
        </xdr:from>
        <xdr:to>
          <xdr:col>3</xdr:col>
          <xdr:colOff>85725</xdr:colOff>
          <xdr:row>102</xdr:row>
          <xdr:rowOff>28575</xdr:rowOff>
        </xdr:to>
        <xdr:sp macro="" textlink="">
          <xdr:nvSpPr>
            <xdr:cNvPr id="11265" name="Check Box 1" descr="N/A" hidden="1">
              <a:extLst>
                <a:ext uri="{63B3BB69-23CF-44E3-9099-C40C66FF867C}">
                  <a14:compatExt spid="_x0000_s11265"/>
                </a:ext>
                <a:ext uri="{FF2B5EF4-FFF2-40B4-BE49-F238E27FC236}">
                  <a16:creationId xmlns:a16="http://schemas.microsoft.com/office/drawing/2014/main" id="{00000000-0008-0000-0600-00000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sv-SE" sz="800" b="0" i="0" u="none" strike="noStrike" baseline="0">
                  <a:solidFill>
                    <a:srgbClr val="000000"/>
                  </a:solidFill>
                  <a:latin typeface="Segoe UI"/>
                  <a:cs typeface="Segoe UI"/>
                </a:rPr>
                <a:t>N/A</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80</xdr:row>
          <xdr:rowOff>142875</xdr:rowOff>
        </xdr:from>
        <xdr:to>
          <xdr:col>2</xdr:col>
          <xdr:colOff>1038225</xdr:colOff>
          <xdr:row>82</xdr:row>
          <xdr:rowOff>28575</xdr:rowOff>
        </xdr:to>
        <xdr:sp macro="" textlink="">
          <xdr:nvSpPr>
            <xdr:cNvPr id="5121" name="Check Box 1" descr="N/A" hidden="1">
              <a:extLst>
                <a:ext uri="{63B3BB69-23CF-44E3-9099-C40C66FF867C}">
                  <a14:compatExt spid="_x0000_s5121"/>
                </a:ext>
                <a:ext uri="{FF2B5EF4-FFF2-40B4-BE49-F238E27FC236}">
                  <a16:creationId xmlns:a16="http://schemas.microsoft.com/office/drawing/2014/main" id="{00000000-0008-0000-0700-00000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sv-SE" sz="800" b="0" i="0" u="none" strike="noStrike" baseline="0">
                  <a:solidFill>
                    <a:srgbClr val="000000"/>
                  </a:solidFill>
                  <a:latin typeface="Segoe UI"/>
                  <a:cs typeface="Segoe UI"/>
                </a:rPr>
                <a:t>N/A</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20</xdr:row>
          <xdr:rowOff>142875</xdr:rowOff>
        </xdr:from>
        <xdr:to>
          <xdr:col>2</xdr:col>
          <xdr:colOff>1057275</xdr:colOff>
          <xdr:row>22</xdr:row>
          <xdr:rowOff>28575</xdr:rowOff>
        </xdr:to>
        <xdr:sp macro="" textlink="">
          <xdr:nvSpPr>
            <xdr:cNvPr id="12289" name="Check Box 1" descr="N/A" hidden="1">
              <a:extLst>
                <a:ext uri="{63B3BB69-23CF-44E3-9099-C40C66FF867C}">
                  <a14:compatExt spid="_x0000_s12289"/>
                </a:ext>
                <a:ext uri="{FF2B5EF4-FFF2-40B4-BE49-F238E27FC236}">
                  <a16:creationId xmlns:a16="http://schemas.microsoft.com/office/drawing/2014/main" id="{00000000-0008-0000-0800-00000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sv-SE" sz="800" b="0" i="0" u="none" strike="noStrike" baseline="0">
                  <a:solidFill>
                    <a:srgbClr val="000000"/>
                  </a:solidFill>
                  <a:latin typeface="Segoe UI"/>
                  <a:cs typeface="Segoe UI"/>
                </a:rPr>
                <a:t>N/A</a:t>
              </a:r>
            </a:p>
          </xdr:txBody>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4</xdr:col>
      <xdr:colOff>213360</xdr:colOff>
      <xdr:row>6</xdr:row>
      <xdr:rowOff>91440</xdr:rowOff>
    </xdr:from>
    <xdr:to>
      <xdr:col>12</xdr:col>
      <xdr:colOff>266700</xdr:colOff>
      <xdr:row>34</xdr:row>
      <xdr:rowOff>99060</xdr:rowOff>
    </xdr:to>
    <xdr:graphicFrame macro="">
      <xdr:nvGraphicFramePr>
        <xdr:cNvPr id="2" name="Chart 8">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0.38576</cdr:x>
      <cdr:y>0.16815</cdr:y>
    </cdr:from>
    <cdr:to>
      <cdr:x>0.80171</cdr:x>
      <cdr:y>0.36667</cdr:y>
    </cdr:to>
    <cdr:sp macro="" textlink="">
      <cdr:nvSpPr>
        <cdr:cNvPr id="3073" name="Text Box 1"/>
        <cdr:cNvSpPr txBox="1">
          <a:spLocks xmlns:a="http://schemas.openxmlformats.org/drawingml/2006/main" noChangeArrowheads="1"/>
        </cdr:cNvSpPr>
      </cdr:nvSpPr>
      <cdr:spPr bwMode="auto">
        <a:xfrm xmlns:a="http://schemas.openxmlformats.org/drawingml/2006/main">
          <a:off x="2083325" y="828573"/>
          <a:ext cx="3306847" cy="894665"/>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w="9525">
          <a:solidFill>
            <a:srgbClr xmlns:mc="http://schemas.openxmlformats.org/markup-compatibility/2006" xmlns:a14="http://schemas.microsoft.com/office/drawing/2010/main" val="000000" mc:Ignorable="a14" a14:legacySpreadsheetColorIndex="64"/>
          </a:solidFill>
          <a:miter lim="800000"/>
          <a:headEnd/>
          <a:tailEnd/>
        </a:ln>
      </cdr:spPr>
      <cdr:txBody>
        <a:bodyPr xmlns:a="http://schemas.openxmlformats.org/drawingml/2006/main" vertOverflow="clip" wrap="square" lIns="45720" tIns="36576" rIns="45720" bIns="0" anchor="t" upright="1"/>
        <a:lstStyle xmlns:a="http://schemas.openxmlformats.org/drawingml/2006/main"/>
        <a:p xmlns:a="http://schemas.openxmlformats.org/drawingml/2006/main">
          <a:pPr algn="ctr" rtl="0">
            <a:defRPr sz="1000"/>
          </a:pPr>
          <a:r>
            <a:rPr lang="en-US" sz="1775" b="0" i="0" u="sng" strike="noStrike" baseline="0">
              <a:solidFill>
                <a:srgbClr val="0000FF"/>
              </a:solidFill>
              <a:latin typeface="Arial"/>
              <a:cs typeface="Arial"/>
            </a:rPr>
            <a:t>Blue Data Line</a:t>
          </a:r>
          <a:r>
            <a:rPr lang="en-US" sz="1775" b="0" i="0" u="none" strike="noStrike" baseline="0">
              <a:solidFill>
                <a:srgbClr val="000000"/>
              </a:solidFill>
              <a:latin typeface="Arial"/>
              <a:cs typeface="Arial"/>
            </a:rPr>
            <a:t> </a:t>
          </a:r>
        </a:p>
        <a:p xmlns:a="http://schemas.openxmlformats.org/drawingml/2006/main">
          <a:pPr algn="ctr" rtl="0">
            <a:defRPr sz="1000"/>
          </a:pPr>
          <a:r>
            <a:rPr lang="en-US" sz="1775" b="0" i="0" u="none" strike="noStrike" baseline="0">
              <a:solidFill>
                <a:srgbClr val="000000"/>
              </a:solidFill>
              <a:latin typeface="Arial"/>
              <a:cs typeface="Arial"/>
            </a:rPr>
            <a:t>should stay below the </a:t>
          </a:r>
        </a:p>
        <a:p xmlns:a="http://schemas.openxmlformats.org/drawingml/2006/main">
          <a:pPr algn="ctr" rtl="0">
            <a:defRPr sz="1000"/>
          </a:pPr>
          <a:r>
            <a:rPr lang="en-US" sz="1775" b="0" i="0" u="sng" strike="noStrike" baseline="0">
              <a:solidFill>
                <a:srgbClr val="FF0000"/>
              </a:solidFill>
              <a:latin typeface="Arial"/>
              <a:cs typeface="Arial"/>
            </a:rPr>
            <a:t>Red Control Line</a:t>
          </a:r>
        </a:p>
      </cdr:txBody>
    </cdr:sp>
  </cdr:relSizeAnchor>
</c:userShapes>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1285875</xdr:colOff>
          <xdr:row>234</xdr:row>
          <xdr:rowOff>152400</xdr:rowOff>
        </xdr:from>
        <xdr:to>
          <xdr:col>1</xdr:col>
          <xdr:colOff>2324100</xdr:colOff>
          <xdr:row>236</xdr:row>
          <xdr:rowOff>28575</xdr:rowOff>
        </xdr:to>
        <xdr:sp macro="" textlink="">
          <xdr:nvSpPr>
            <xdr:cNvPr id="24577" name="Check Box 1" descr="N/A" hidden="1">
              <a:extLst>
                <a:ext uri="{63B3BB69-23CF-44E3-9099-C40C66FF867C}">
                  <a14:compatExt spid="_x0000_s24577"/>
                </a:ext>
                <a:ext uri="{FF2B5EF4-FFF2-40B4-BE49-F238E27FC236}">
                  <a16:creationId xmlns:a16="http://schemas.microsoft.com/office/drawing/2014/main" id="{00000000-0008-0000-0D00-000001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sv-SE" sz="800" b="0" i="0" u="none" strike="noStrike" baseline="0">
                  <a:solidFill>
                    <a:srgbClr val="000000"/>
                  </a:solidFill>
                  <a:latin typeface="Segoe UI"/>
                  <a:cs typeface="Segoe UI"/>
                </a:rPr>
                <a:t>N/A</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Product%20Transfer\Shared\NPI\00_NPI%20General\10_QC-IPT%20consolidation\MTB%20RIF%20ULTRA%20V2\IPT\Copy%20of%20Copy%20of%20D25862_ATTR%20101010%20attachment%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 Reference Only"/>
      <sheetName val="Intended Use"/>
      <sheetName val="Test Summary"/>
      <sheetName val="Data - First 10"/>
      <sheetName val="Data - Sample Type 0"/>
      <sheetName val="Data - Sample Type 1"/>
      <sheetName val="Data - Sample Type 2"/>
      <sheetName val="Data - Replaced"/>
      <sheetName val="Statistical Process Control"/>
      <sheetName val="Resample Single Minor Fail Mode"/>
      <sheetName val="Resample Consolidated Data"/>
      <sheetName val="Specifications"/>
      <sheetName val="HistoricalAccuStats"/>
    </sheetNames>
    <sheetDataSet>
      <sheetData sheetId="0"/>
      <sheetData sheetId="1" refreshError="1"/>
      <sheetData sheetId="2"/>
      <sheetData sheetId="3"/>
      <sheetData sheetId="4"/>
      <sheetData sheetId="5"/>
      <sheetData sheetId="6"/>
      <sheetData sheetId="7"/>
      <sheetData sheetId="8" refreshError="1"/>
      <sheetData sheetId="9" refreshError="1"/>
      <sheetData sheetId="10" refreshError="1"/>
      <sheetData sheetId="11"/>
      <sheetData sheetId="1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trlProp" Target="../ctrlProps/ctrlProp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trlProp" Target="../ctrlProps/ctrlProp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9.bin"/><Relationship Id="rId4" Type="http://schemas.openxmlformats.org/officeDocument/2006/relationships/ctrlProp" Target="../ctrlProps/ctrlProp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14.bin"/><Relationship Id="rId4" Type="http://schemas.openxmlformats.org/officeDocument/2006/relationships/ctrlProp" Target="../ctrlProps/ctrlProp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07"/>
  <sheetViews>
    <sheetView topLeftCell="A100" zoomScaleNormal="100" zoomScaleSheetLayoutView="100" workbookViewId="0"/>
  </sheetViews>
  <sheetFormatPr defaultColWidth="9.140625" defaultRowHeight="12.75" x14ac:dyDescent="0.2"/>
  <cols>
    <col min="1" max="1" width="12.42578125" customWidth="1"/>
    <col min="2" max="2" width="27.42578125" customWidth="1"/>
    <col min="3" max="3" width="40.28515625" customWidth="1"/>
    <col min="14" max="14" width="25.85546875" customWidth="1"/>
  </cols>
  <sheetData>
    <row r="1" spans="1:16" s="35" customFormat="1" x14ac:dyDescent="0.2">
      <c r="A1" s="35" t="s">
        <v>28</v>
      </c>
    </row>
    <row r="2" spans="1:16" x14ac:dyDescent="0.2">
      <c r="A2" s="39" t="s">
        <v>501</v>
      </c>
    </row>
    <row r="4" spans="1:16" s="36" customFormat="1" x14ac:dyDescent="0.2">
      <c r="A4" s="36" t="s">
        <v>29</v>
      </c>
    </row>
    <row r="5" spans="1:16" s="37" customFormat="1" x14ac:dyDescent="0.2">
      <c r="A5" s="37" t="s">
        <v>30</v>
      </c>
    </row>
    <row r="6" spans="1:16" s="38" customFormat="1" x14ac:dyDescent="0.2">
      <c r="A6" s="38" t="s">
        <v>31</v>
      </c>
    </row>
    <row r="9" spans="1:16" x14ac:dyDescent="0.2">
      <c r="A9" s="35" t="s">
        <v>498</v>
      </c>
      <c r="B9" s="39"/>
      <c r="C9" s="39"/>
    </row>
    <row r="10" spans="1:16" x14ac:dyDescent="0.2">
      <c r="A10" s="200" t="s">
        <v>509</v>
      </c>
    </row>
    <row r="11" spans="1:16" x14ac:dyDescent="0.2">
      <c r="A11" t="s">
        <v>323</v>
      </c>
      <c r="N11" s="293" t="s">
        <v>436</v>
      </c>
      <c r="O11" s="293"/>
      <c r="P11" s="293"/>
    </row>
    <row r="12" spans="1:16" s="39" customFormat="1" x14ac:dyDescent="0.2">
      <c r="A12" s="35" t="s">
        <v>405</v>
      </c>
      <c r="B12" s="35"/>
      <c r="N12" s="99" t="s">
        <v>421</v>
      </c>
      <c r="O12" s="290" t="s">
        <v>422</v>
      </c>
      <c r="P12" s="290"/>
    </row>
    <row r="13" spans="1:16" s="39" customFormat="1" x14ac:dyDescent="0.2">
      <c r="A13" s="39" t="s">
        <v>406</v>
      </c>
      <c r="B13" s="35"/>
      <c r="N13" s="151" t="s">
        <v>28</v>
      </c>
      <c r="O13" s="291" t="s">
        <v>437</v>
      </c>
      <c r="P13" s="291"/>
    </row>
    <row r="14" spans="1:16" s="39" customFormat="1" x14ac:dyDescent="0.2">
      <c r="B14" s="35" t="s">
        <v>32</v>
      </c>
      <c r="N14" s="102" t="s">
        <v>498</v>
      </c>
      <c r="O14" s="291" t="s">
        <v>423</v>
      </c>
      <c r="P14" s="291"/>
    </row>
    <row r="15" spans="1:16" s="39" customFormat="1" x14ac:dyDescent="0.2">
      <c r="B15" t="s">
        <v>407</v>
      </c>
      <c r="N15" s="151" t="s">
        <v>405</v>
      </c>
      <c r="O15" s="291" t="s">
        <v>423</v>
      </c>
      <c r="P15" s="291"/>
    </row>
    <row r="16" spans="1:16" s="39" customFormat="1" x14ac:dyDescent="0.2">
      <c r="B16"/>
      <c r="N16" s="151" t="s">
        <v>162</v>
      </c>
      <c r="O16" s="291" t="s">
        <v>423</v>
      </c>
      <c r="P16" s="291"/>
    </row>
    <row r="17" spans="1:16" s="39" customFormat="1" x14ac:dyDescent="0.2">
      <c r="B17" s="35" t="s">
        <v>33</v>
      </c>
      <c r="N17" s="151" t="s">
        <v>127</v>
      </c>
      <c r="O17" s="291" t="s">
        <v>423</v>
      </c>
      <c r="P17" s="291"/>
    </row>
    <row r="18" spans="1:16" s="39" customFormat="1" x14ac:dyDescent="0.2">
      <c r="B18" t="s">
        <v>408</v>
      </c>
      <c r="N18" s="151" t="s">
        <v>424</v>
      </c>
      <c r="O18" s="291" t="s">
        <v>423</v>
      </c>
      <c r="P18" s="291"/>
    </row>
    <row r="19" spans="1:16" s="39" customFormat="1" x14ac:dyDescent="0.2">
      <c r="B19" s="35"/>
      <c r="N19" s="151" t="s">
        <v>425</v>
      </c>
      <c r="O19" s="291" t="s">
        <v>423</v>
      </c>
      <c r="P19" s="291"/>
    </row>
    <row r="20" spans="1:16" s="39" customFormat="1" x14ac:dyDescent="0.2">
      <c r="A20" s="35"/>
      <c r="B20" s="35" t="s">
        <v>34</v>
      </c>
      <c r="C20"/>
      <c r="N20" s="151" t="s">
        <v>426</v>
      </c>
      <c r="O20" s="291" t="s">
        <v>423</v>
      </c>
      <c r="P20" s="291"/>
    </row>
    <row r="21" spans="1:16" s="39" customFormat="1" x14ac:dyDescent="0.2">
      <c r="A21"/>
      <c r="B21" t="s">
        <v>409</v>
      </c>
      <c r="C21"/>
      <c r="N21" s="151" t="s">
        <v>427</v>
      </c>
      <c r="O21" s="291" t="s">
        <v>423</v>
      </c>
      <c r="P21" s="291"/>
    </row>
    <row r="22" spans="1:16" s="39" customFormat="1" x14ac:dyDescent="0.2">
      <c r="B22" t="s">
        <v>410</v>
      </c>
      <c r="C22"/>
      <c r="N22" s="151" t="s">
        <v>428</v>
      </c>
      <c r="O22" s="291" t="s">
        <v>423</v>
      </c>
      <c r="P22" s="291"/>
    </row>
    <row r="23" spans="1:16" s="39" customFormat="1" x14ac:dyDescent="0.2">
      <c r="B23"/>
      <c r="C23" t="s">
        <v>411</v>
      </c>
      <c r="N23" s="151" t="s">
        <v>73</v>
      </c>
      <c r="O23" s="291" t="s">
        <v>423</v>
      </c>
      <c r="P23" s="291"/>
    </row>
    <row r="24" spans="1:16" s="39" customFormat="1" x14ac:dyDescent="0.2">
      <c r="B24"/>
      <c r="C24" t="s">
        <v>412</v>
      </c>
      <c r="N24" s="102" t="s">
        <v>499</v>
      </c>
      <c r="O24" s="291" t="s">
        <v>429</v>
      </c>
      <c r="P24" s="291"/>
    </row>
    <row r="25" spans="1:16" s="39" customFormat="1" x14ac:dyDescent="0.2">
      <c r="B25"/>
      <c r="C25" t="s">
        <v>413</v>
      </c>
      <c r="N25" s="151" t="s">
        <v>382</v>
      </c>
      <c r="O25" s="254" t="s">
        <v>429</v>
      </c>
      <c r="P25" s="254"/>
    </row>
    <row r="26" spans="1:16" s="39" customFormat="1" x14ac:dyDescent="0.2">
      <c r="B26"/>
      <c r="C26"/>
      <c r="N26" s="151" t="s">
        <v>430</v>
      </c>
      <c r="O26" s="254" t="s">
        <v>429</v>
      </c>
      <c r="P26" s="254"/>
    </row>
    <row r="27" spans="1:16" s="39" customFormat="1" x14ac:dyDescent="0.2">
      <c r="B27" s="35" t="s">
        <v>35</v>
      </c>
      <c r="C27"/>
      <c r="N27" s="151" t="s">
        <v>38</v>
      </c>
      <c r="O27" s="254" t="s">
        <v>437</v>
      </c>
      <c r="P27" s="254"/>
    </row>
    <row r="28" spans="1:16" s="39" customFormat="1" x14ac:dyDescent="0.2">
      <c r="B28" t="s">
        <v>414</v>
      </c>
      <c r="C28"/>
      <c r="N28" s="151" t="s">
        <v>57</v>
      </c>
      <c r="O28" s="254" t="s">
        <v>437</v>
      </c>
      <c r="P28" s="254"/>
    </row>
    <row r="29" spans="1:16" s="39" customFormat="1" x14ac:dyDescent="0.2">
      <c r="B29" t="s">
        <v>415</v>
      </c>
      <c r="C29"/>
      <c r="N29" s="151" t="s">
        <v>279</v>
      </c>
      <c r="O29" s="291" t="s">
        <v>437</v>
      </c>
      <c r="P29" s="291"/>
    </row>
    <row r="30" spans="1:16" s="39" customFormat="1" x14ac:dyDescent="0.2">
      <c r="B30" t="s">
        <v>416</v>
      </c>
      <c r="C30"/>
    </row>
    <row r="31" spans="1:16" s="35" customFormat="1" x14ac:dyDescent="0.2">
      <c r="A31" s="35" t="s">
        <v>162</v>
      </c>
      <c r="N31" s="39"/>
      <c r="O31" s="39"/>
      <c r="P31"/>
    </row>
    <row r="32" spans="1:16" x14ac:dyDescent="0.2">
      <c r="A32" t="s">
        <v>163</v>
      </c>
      <c r="B32" t="s">
        <v>164</v>
      </c>
      <c r="P32" s="35"/>
    </row>
    <row r="33" spans="1:15" x14ac:dyDescent="0.2">
      <c r="A33" t="s">
        <v>165</v>
      </c>
      <c r="B33" s="39" t="s">
        <v>166</v>
      </c>
      <c r="N33" s="35"/>
      <c r="O33" s="35"/>
    </row>
    <row r="34" spans="1:15" x14ac:dyDescent="0.2">
      <c r="A34" s="39" t="s">
        <v>507</v>
      </c>
      <c r="B34" s="39" t="s">
        <v>167</v>
      </c>
      <c r="C34" s="35"/>
    </row>
    <row r="35" spans="1:15" x14ac:dyDescent="0.2">
      <c r="A35" s="39" t="s">
        <v>324</v>
      </c>
      <c r="B35" s="39" t="s">
        <v>168</v>
      </c>
    </row>
    <row r="36" spans="1:15" x14ac:dyDescent="0.2">
      <c r="A36" s="39" t="s">
        <v>325</v>
      </c>
      <c r="B36" s="39" t="s">
        <v>169</v>
      </c>
    </row>
    <row r="37" spans="1:15" x14ac:dyDescent="0.2">
      <c r="A37" s="39" t="s">
        <v>418</v>
      </c>
      <c r="B37" s="39" t="s">
        <v>419</v>
      </c>
    </row>
    <row r="38" spans="1:15" x14ac:dyDescent="0.2">
      <c r="A38" s="39"/>
      <c r="B38" s="39"/>
    </row>
    <row r="39" spans="1:15" x14ac:dyDescent="0.2">
      <c r="A39" s="39" t="s">
        <v>326</v>
      </c>
      <c r="B39" s="39" t="s">
        <v>170</v>
      </c>
      <c r="C39" s="35"/>
    </row>
    <row r="40" spans="1:15" x14ac:dyDescent="0.2">
      <c r="B40" s="39" t="s">
        <v>171</v>
      </c>
      <c r="C40" s="39" t="s">
        <v>174</v>
      </c>
    </row>
    <row r="41" spans="1:15" x14ac:dyDescent="0.2">
      <c r="B41" s="39" t="s">
        <v>172</v>
      </c>
      <c r="C41" s="39" t="s">
        <v>173</v>
      </c>
    </row>
    <row r="42" spans="1:15" x14ac:dyDescent="0.2">
      <c r="B42" s="39" t="s">
        <v>327</v>
      </c>
      <c r="C42" s="39" t="s">
        <v>328</v>
      </c>
    </row>
    <row r="43" spans="1:15" x14ac:dyDescent="0.2">
      <c r="B43" s="39" t="s">
        <v>329</v>
      </c>
      <c r="C43" s="39" t="s">
        <v>330</v>
      </c>
    </row>
    <row r="44" spans="1:15" x14ac:dyDescent="0.2">
      <c r="A44" t="s">
        <v>331</v>
      </c>
      <c r="B44" s="39" t="s">
        <v>333</v>
      </c>
      <c r="C44" s="39"/>
    </row>
    <row r="45" spans="1:15" x14ac:dyDescent="0.2">
      <c r="A45" t="s">
        <v>332</v>
      </c>
      <c r="B45" s="39" t="s">
        <v>334</v>
      </c>
      <c r="C45" s="39"/>
    </row>
    <row r="46" spans="1:15" x14ac:dyDescent="0.2">
      <c r="A46" t="s">
        <v>331</v>
      </c>
      <c r="B46" s="39" t="s">
        <v>335</v>
      </c>
      <c r="C46" s="39"/>
    </row>
    <row r="47" spans="1:15" x14ac:dyDescent="0.2">
      <c r="A47" t="s">
        <v>332</v>
      </c>
      <c r="B47" s="39" t="s">
        <v>336</v>
      </c>
    </row>
    <row r="49" spans="1:4" x14ac:dyDescent="0.2">
      <c r="A49" t="s">
        <v>338</v>
      </c>
      <c r="B49" t="s">
        <v>175</v>
      </c>
    </row>
    <row r="50" spans="1:4" x14ac:dyDescent="0.2">
      <c r="A50" t="s">
        <v>339</v>
      </c>
      <c r="B50" t="s">
        <v>342</v>
      </c>
    </row>
    <row r="51" spans="1:4" x14ac:dyDescent="0.2">
      <c r="A51" t="s">
        <v>340</v>
      </c>
      <c r="B51" t="s">
        <v>343</v>
      </c>
    </row>
    <row r="52" spans="1:4" x14ac:dyDescent="0.2">
      <c r="A52" t="s">
        <v>341</v>
      </c>
      <c r="B52" t="s">
        <v>344</v>
      </c>
    </row>
    <row r="54" spans="1:4" x14ac:dyDescent="0.2">
      <c r="A54" t="s">
        <v>364</v>
      </c>
      <c r="B54" t="s">
        <v>337</v>
      </c>
    </row>
    <row r="55" spans="1:4" x14ac:dyDescent="0.2">
      <c r="A55" t="s">
        <v>365</v>
      </c>
      <c r="B55" t="s">
        <v>366</v>
      </c>
    </row>
    <row r="56" spans="1:4" x14ac:dyDescent="0.2">
      <c r="A56" t="s">
        <v>367</v>
      </c>
      <c r="B56" t="s">
        <v>368</v>
      </c>
    </row>
    <row r="57" spans="1:4" x14ac:dyDescent="0.2">
      <c r="A57" t="s">
        <v>369</v>
      </c>
      <c r="B57" t="s">
        <v>371</v>
      </c>
    </row>
    <row r="58" spans="1:4" x14ac:dyDescent="0.2">
      <c r="A58" t="s">
        <v>370</v>
      </c>
      <c r="B58" t="s">
        <v>372</v>
      </c>
    </row>
    <row r="59" spans="1:4" x14ac:dyDescent="0.2">
      <c r="A59" t="s">
        <v>373</v>
      </c>
      <c r="B59" t="s">
        <v>375</v>
      </c>
    </row>
    <row r="60" spans="1:4" x14ac:dyDescent="0.2">
      <c r="A60" t="s">
        <v>374</v>
      </c>
      <c r="B60" t="s">
        <v>376</v>
      </c>
    </row>
    <row r="62" spans="1:4" x14ac:dyDescent="0.2">
      <c r="A62" s="39" t="s">
        <v>345</v>
      </c>
      <c r="B62" t="s">
        <v>363</v>
      </c>
    </row>
    <row r="63" spans="1:4" x14ac:dyDescent="0.2">
      <c r="B63" t="s">
        <v>35</v>
      </c>
      <c r="C63" s="39" t="s">
        <v>347</v>
      </c>
      <c r="D63" s="39" t="s">
        <v>176</v>
      </c>
    </row>
    <row r="64" spans="1:4" x14ac:dyDescent="0.2">
      <c r="C64" s="39" t="s">
        <v>348</v>
      </c>
      <c r="D64" s="39" t="s">
        <v>227</v>
      </c>
    </row>
    <row r="65" spans="1:4" x14ac:dyDescent="0.2">
      <c r="C65" s="39" t="s">
        <v>349</v>
      </c>
      <c r="D65" s="39" t="s">
        <v>177</v>
      </c>
    </row>
    <row r="66" spans="1:4" x14ac:dyDescent="0.2">
      <c r="C66" s="39" t="s">
        <v>350</v>
      </c>
      <c r="D66" s="39" t="s">
        <v>178</v>
      </c>
    </row>
    <row r="67" spans="1:4" x14ac:dyDescent="0.2">
      <c r="B67" s="39" t="s">
        <v>36</v>
      </c>
      <c r="C67" s="39" t="s">
        <v>351</v>
      </c>
      <c r="D67" s="39"/>
    </row>
    <row r="68" spans="1:4" x14ac:dyDescent="0.2">
      <c r="B68" s="39" t="s">
        <v>346</v>
      </c>
      <c r="C68" s="39" t="s">
        <v>377</v>
      </c>
      <c r="D68" s="39" t="s">
        <v>179</v>
      </c>
    </row>
    <row r="69" spans="1:4" x14ac:dyDescent="0.2">
      <c r="B69" t="s">
        <v>352</v>
      </c>
      <c r="C69" s="39" t="s">
        <v>347</v>
      </c>
      <c r="D69" s="39" t="s">
        <v>176</v>
      </c>
    </row>
    <row r="70" spans="1:4" x14ac:dyDescent="0.2">
      <c r="C70" s="39" t="s">
        <v>348</v>
      </c>
      <c r="D70" s="39" t="s">
        <v>227</v>
      </c>
    </row>
    <row r="71" spans="1:4" x14ac:dyDescent="0.2">
      <c r="C71" s="39" t="s">
        <v>349</v>
      </c>
      <c r="D71" s="39" t="s">
        <v>177</v>
      </c>
    </row>
    <row r="72" spans="1:4" x14ac:dyDescent="0.2">
      <c r="C72" s="39" t="s">
        <v>350</v>
      </c>
      <c r="D72" s="39" t="s">
        <v>178</v>
      </c>
    </row>
    <row r="73" spans="1:4" x14ac:dyDescent="0.2">
      <c r="B73" t="s">
        <v>378</v>
      </c>
      <c r="C73" s="39" t="s">
        <v>349</v>
      </c>
      <c r="D73" s="39" t="s">
        <v>353</v>
      </c>
    </row>
    <row r="74" spans="1:4" x14ac:dyDescent="0.2">
      <c r="B74" t="s">
        <v>354</v>
      </c>
      <c r="C74" s="39" t="s">
        <v>377</v>
      </c>
      <c r="D74" s="39" t="s">
        <v>179</v>
      </c>
    </row>
    <row r="75" spans="1:4" x14ac:dyDescent="0.2">
      <c r="C75" s="39"/>
      <c r="D75" s="39"/>
    </row>
    <row r="76" spans="1:4" x14ac:dyDescent="0.2">
      <c r="A76" s="39" t="s">
        <v>379</v>
      </c>
      <c r="B76" s="39" t="s">
        <v>355</v>
      </c>
    </row>
    <row r="77" spans="1:4" x14ac:dyDescent="0.2">
      <c r="A77" s="39" t="s">
        <v>380</v>
      </c>
      <c r="B77" s="39" t="s">
        <v>180</v>
      </c>
    </row>
    <row r="78" spans="1:4" x14ac:dyDescent="0.2">
      <c r="A78" s="39" t="s">
        <v>381</v>
      </c>
      <c r="B78" s="39" t="s">
        <v>356</v>
      </c>
    </row>
    <row r="79" spans="1:4" x14ac:dyDescent="0.2">
      <c r="A79" s="39"/>
      <c r="B79" s="39"/>
    </row>
    <row r="80" spans="1:4" x14ac:dyDescent="0.2">
      <c r="A80" s="35" t="s">
        <v>127</v>
      </c>
    </row>
    <row r="81" spans="1:9" x14ac:dyDescent="0.2">
      <c r="A81" s="39" t="s">
        <v>181</v>
      </c>
      <c r="B81" s="39" t="s">
        <v>182</v>
      </c>
    </row>
    <row r="82" spans="1:9" x14ac:dyDescent="0.2">
      <c r="A82" s="39" t="s">
        <v>183</v>
      </c>
      <c r="B82" s="39" t="s">
        <v>184</v>
      </c>
      <c r="C82" s="35"/>
    </row>
    <row r="83" spans="1:9" x14ac:dyDescent="0.2">
      <c r="A83" s="39" t="s">
        <v>383</v>
      </c>
      <c r="B83" s="39" t="s">
        <v>185</v>
      </c>
    </row>
    <row r="84" spans="1:9" x14ac:dyDescent="0.2">
      <c r="A84" s="39" t="s">
        <v>186</v>
      </c>
      <c r="B84" s="39" t="s">
        <v>189</v>
      </c>
    </row>
    <row r="85" spans="1:9" x14ac:dyDescent="0.2">
      <c r="A85" s="39" t="s">
        <v>187</v>
      </c>
      <c r="B85" s="39" t="s">
        <v>190</v>
      </c>
    </row>
    <row r="86" spans="1:9" x14ac:dyDescent="0.2">
      <c r="A86" s="39"/>
      <c r="B86" s="39"/>
    </row>
    <row r="87" spans="1:9" x14ac:dyDescent="0.2">
      <c r="A87" s="39" t="s">
        <v>384</v>
      </c>
      <c r="B87" s="39" t="s">
        <v>32</v>
      </c>
      <c r="C87" s="39" t="s">
        <v>191</v>
      </c>
    </row>
    <row r="88" spans="1:9" x14ac:dyDescent="0.2">
      <c r="B88" s="39" t="s">
        <v>33</v>
      </c>
      <c r="C88" s="39" t="s">
        <v>192</v>
      </c>
    </row>
    <row r="89" spans="1:9" x14ac:dyDescent="0.2">
      <c r="B89" s="39" t="s">
        <v>34</v>
      </c>
      <c r="C89" s="39" t="s">
        <v>193</v>
      </c>
    </row>
    <row r="90" spans="1:9" x14ac:dyDescent="0.2">
      <c r="B90" s="39"/>
      <c r="C90" s="39"/>
      <c r="D90" s="35" t="s">
        <v>199</v>
      </c>
      <c r="E90" s="35"/>
      <c r="F90" s="35" t="s">
        <v>200</v>
      </c>
      <c r="H90" s="35" t="s">
        <v>216</v>
      </c>
    </row>
    <row r="91" spans="1:9" x14ac:dyDescent="0.2">
      <c r="D91" s="39" t="s">
        <v>201</v>
      </c>
      <c r="F91" s="39" t="s">
        <v>194</v>
      </c>
      <c r="H91" s="39" t="s">
        <v>217</v>
      </c>
      <c r="I91" s="39" t="s">
        <v>208</v>
      </c>
    </row>
    <row r="92" spans="1:9" x14ac:dyDescent="0.2">
      <c r="D92" s="39" t="s">
        <v>202</v>
      </c>
      <c r="F92" s="39" t="s">
        <v>203</v>
      </c>
      <c r="H92" s="39" t="s">
        <v>218</v>
      </c>
      <c r="I92" s="39" t="s">
        <v>219</v>
      </c>
    </row>
    <row r="93" spans="1:9" x14ac:dyDescent="0.2">
      <c r="D93" s="39" t="s">
        <v>195</v>
      </c>
      <c r="F93" s="39" t="s">
        <v>195</v>
      </c>
      <c r="H93" s="39" t="s">
        <v>221</v>
      </c>
      <c r="I93" s="39" t="s">
        <v>220</v>
      </c>
    </row>
    <row r="94" spans="1:9" x14ac:dyDescent="0.2">
      <c r="D94" s="39" t="s">
        <v>223</v>
      </c>
      <c r="F94" s="39" t="s">
        <v>196</v>
      </c>
    </row>
    <row r="95" spans="1:9" x14ac:dyDescent="0.2">
      <c r="D95" s="39" t="s">
        <v>224</v>
      </c>
      <c r="F95" s="39" t="s">
        <v>197</v>
      </c>
    </row>
    <row r="96" spans="1:9" x14ac:dyDescent="0.2">
      <c r="C96" s="35"/>
      <c r="D96" s="39" t="s">
        <v>225</v>
      </c>
      <c r="F96" s="39" t="s">
        <v>198</v>
      </c>
    </row>
    <row r="97" spans="1:6" x14ac:dyDescent="0.2">
      <c r="D97" s="39" t="s">
        <v>226</v>
      </c>
      <c r="F97" s="39" t="s">
        <v>204</v>
      </c>
    </row>
    <row r="98" spans="1:6" x14ac:dyDescent="0.2">
      <c r="D98" s="39" t="s">
        <v>277</v>
      </c>
      <c r="F98" s="39" t="s">
        <v>253</v>
      </c>
    </row>
    <row r="99" spans="1:6" x14ac:dyDescent="0.2">
      <c r="D99" s="39" t="s">
        <v>205</v>
      </c>
      <c r="F99" s="39" t="s">
        <v>206</v>
      </c>
    </row>
    <row r="100" spans="1:6" x14ac:dyDescent="0.2">
      <c r="D100" s="39" t="s">
        <v>207</v>
      </c>
      <c r="F100" s="39" t="s">
        <v>208</v>
      </c>
    </row>
    <row r="101" spans="1:6" x14ac:dyDescent="0.2">
      <c r="D101" s="39" t="s">
        <v>209</v>
      </c>
      <c r="F101" s="39" t="s">
        <v>210</v>
      </c>
    </row>
    <row r="102" spans="1:6" x14ac:dyDescent="0.2">
      <c r="B102" s="39" t="s">
        <v>35</v>
      </c>
      <c r="C102" s="39" t="s">
        <v>211</v>
      </c>
    </row>
    <row r="103" spans="1:6" x14ac:dyDescent="0.2">
      <c r="D103" s="35" t="s">
        <v>216</v>
      </c>
    </row>
    <row r="104" spans="1:6" x14ac:dyDescent="0.2">
      <c r="D104" s="39" t="s">
        <v>217</v>
      </c>
      <c r="E104" s="39" t="s">
        <v>208</v>
      </c>
    </row>
    <row r="105" spans="1:6" x14ac:dyDescent="0.2">
      <c r="D105" s="39" t="s">
        <v>218</v>
      </c>
      <c r="E105" s="39" t="s">
        <v>141</v>
      </c>
    </row>
    <row r="106" spans="1:6" x14ac:dyDescent="0.2">
      <c r="D106" s="39" t="s">
        <v>221</v>
      </c>
      <c r="E106" s="39" t="s">
        <v>222</v>
      </c>
    </row>
    <row r="108" spans="1:6" x14ac:dyDescent="0.2">
      <c r="B108" s="39" t="s">
        <v>36</v>
      </c>
      <c r="C108" s="39" t="s">
        <v>212</v>
      </c>
    </row>
    <row r="110" spans="1:6" x14ac:dyDescent="0.2">
      <c r="A110" s="39" t="s">
        <v>235</v>
      </c>
      <c r="B110" s="39" t="s">
        <v>228</v>
      </c>
      <c r="C110" s="35"/>
    </row>
    <row r="111" spans="1:6" x14ac:dyDescent="0.2">
      <c r="A111" s="39" t="s">
        <v>385</v>
      </c>
      <c r="B111" s="39" t="s">
        <v>229</v>
      </c>
    </row>
    <row r="112" spans="1:6" x14ac:dyDescent="0.2">
      <c r="A112" s="39" t="s">
        <v>386</v>
      </c>
      <c r="B112" s="39" t="s">
        <v>230</v>
      </c>
    </row>
    <row r="113" spans="1:10" x14ac:dyDescent="0.2">
      <c r="A113" s="39"/>
      <c r="B113" s="39"/>
    </row>
    <row r="114" spans="1:10" x14ac:dyDescent="0.2">
      <c r="A114" s="39" t="s">
        <v>387</v>
      </c>
      <c r="B114" s="39" t="s">
        <v>32</v>
      </c>
      <c r="C114" s="39" t="s">
        <v>231</v>
      </c>
    </row>
    <row r="115" spans="1:10" x14ac:dyDescent="0.2">
      <c r="B115" s="39" t="s">
        <v>33</v>
      </c>
      <c r="C115" s="39" t="s">
        <v>232</v>
      </c>
    </row>
    <row r="116" spans="1:10" x14ac:dyDescent="0.2">
      <c r="B116" s="39" t="s">
        <v>34</v>
      </c>
      <c r="C116" s="39" t="s">
        <v>233</v>
      </c>
    </row>
    <row r="117" spans="1:10" x14ac:dyDescent="0.2">
      <c r="B117" s="39"/>
      <c r="C117" s="39"/>
      <c r="D117" s="35" t="s">
        <v>199</v>
      </c>
      <c r="E117" s="35"/>
      <c r="F117" s="35" t="s">
        <v>200</v>
      </c>
      <c r="H117" s="35" t="s">
        <v>216</v>
      </c>
    </row>
    <row r="118" spans="1:10" x14ac:dyDescent="0.2">
      <c r="D118" s="39" t="s">
        <v>201</v>
      </c>
      <c r="F118" s="39" t="s">
        <v>194</v>
      </c>
      <c r="H118" s="39" t="s">
        <v>217</v>
      </c>
      <c r="I118" s="39" t="s">
        <v>208</v>
      </c>
    </row>
    <row r="119" spans="1:10" x14ac:dyDescent="0.2">
      <c r="D119" s="39" t="s">
        <v>202</v>
      </c>
      <c r="F119" s="39" t="s">
        <v>203</v>
      </c>
      <c r="H119" s="39" t="s">
        <v>218</v>
      </c>
      <c r="I119" s="39" t="s">
        <v>219</v>
      </c>
    </row>
    <row r="120" spans="1:10" x14ac:dyDescent="0.2">
      <c r="D120" s="39" t="s">
        <v>195</v>
      </c>
      <c r="F120" s="39" t="s">
        <v>195</v>
      </c>
      <c r="H120" s="39" t="s">
        <v>221</v>
      </c>
      <c r="I120" s="39" t="s">
        <v>220</v>
      </c>
    </row>
    <row r="121" spans="1:10" x14ac:dyDescent="0.2">
      <c r="D121" s="39" t="s">
        <v>223</v>
      </c>
      <c r="F121" s="39" t="s">
        <v>196</v>
      </c>
      <c r="J121" s="62"/>
    </row>
    <row r="122" spans="1:10" x14ac:dyDescent="0.2">
      <c r="D122" s="39" t="s">
        <v>224</v>
      </c>
      <c r="F122" s="39" t="s">
        <v>197</v>
      </c>
      <c r="J122" s="62"/>
    </row>
    <row r="123" spans="1:10" x14ac:dyDescent="0.2">
      <c r="C123" s="35"/>
      <c r="D123" s="39" t="s">
        <v>225</v>
      </c>
      <c r="F123" s="39" t="s">
        <v>198</v>
      </c>
      <c r="J123" s="62"/>
    </row>
    <row r="124" spans="1:10" x14ac:dyDescent="0.2">
      <c r="D124" s="39" t="s">
        <v>226</v>
      </c>
      <c r="F124" s="39" t="s">
        <v>204</v>
      </c>
    </row>
    <row r="125" spans="1:10" x14ac:dyDescent="0.2">
      <c r="D125" s="39" t="s">
        <v>277</v>
      </c>
      <c r="F125" s="39" t="s">
        <v>253</v>
      </c>
    </row>
    <row r="126" spans="1:10" x14ac:dyDescent="0.2">
      <c r="D126" s="39" t="s">
        <v>205</v>
      </c>
      <c r="F126" s="39" t="s">
        <v>206</v>
      </c>
    </row>
    <row r="127" spans="1:10" x14ac:dyDescent="0.2">
      <c r="D127" s="39" t="s">
        <v>207</v>
      </c>
      <c r="F127" s="39" t="s">
        <v>208</v>
      </c>
    </row>
    <row r="128" spans="1:10" x14ac:dyDescent="0.2">
      <c r="D128" s="39" t="s">
        <v>209</v>
      </c>
      <c r="F128" s="39" t="s">
        <v>210</v>
      </c>
    </row>
    <row r="129" spans="1:5" x14ac:dyDescent="0.2">
      <c r="B129" s="39" t="s">
        <v>35</v>
      </c>
      <c r="C129" s="39" t="s">
        <v>234</v>
      </c>
    </row>
    <row r="130" spans="1:5" x14ac:dyDescent="0.2">
      <c r="D130" s="35" t="s">
        <v>216</v>
      </c>
    </row>
    <row r="131" spans="1:5" x14ac:dyDescent="0.2">
      <c r="D131" s="39" t="s">
        <v>217</v>
      </c>
      <c r="E131" s="39" t="s">
        <v>208</v>
      </c>
    </row>
    <row r="132" spans="1:5" x14ac:dyDescent="0.2">
      <c r="D132" s="39" t="s">
        <v>218</v>
      </c>
      <c r="E132" s="39" t="s">
        <v>141</v>
      </c>
    </row>
    <row r="133" spans="1:5" x14ac:dyDescent="0.2">
      <c r="D133" s="39" t="s">
        <v>221</v>
      </c>
      <c r="E133" s="39" t="s">
        <v>222</v>
      </c>
    </row>
    <row r="135" spans="1:5" x14ac:dyDescent="0.2">
      <c r="B135" s="39" t="s">
        <v>36</v>
      </c>
      <c r="C135" s="39" t="s">
        <v>212</v>
      </c>
    </row>
    <row r="137" spans="1:5" x14ac:dyDescent="0.2">
      <c r="A137" s="39" t="s">
        <v>388</v>
      </c>
      <c r="B137" s="39" t="s">
        <v>394</v>
      </c>
      <c r="C137" s="35"/>
    </row>
    <row r="138" spans="1:5" x14ac:dyDescent="0.2">
      <c r="A138" s="39" t="s">
        <v>236</v>
      </c>
      <c r="B138" s="39" t="s">
        <v>185</v>
      </c>
    </row>
    <row r="139" spans="1:5" x14ac:dyDescent="0.2">
      <c r="A139" s="39" t="s">
        <v>389</v>
      </c>
      <c r="B139" s="39" t="s">
        <v>240</v>
      </c>
    </row>
    <row r="140" spans="1:5" x14ac:dyDescent="0.2">
      <c r="A140" s="39" t="s">
        <v>390</v>
      </c>
      <c r="B140" s="39" t="s">
        <v>241</v>
      </c>
    </row>
    <row r="141" spans="1:5" x14ac:dyDescent="0.2">
      <c r="A141" s="39"/>
      <c r="B141" s="39"/>
    </row>
    <row r="142" spans="1:5" x14ac:dyDescent="0.2">
      <c r="A142" s="39" t="s">
        <v>391</v>
      </c>
      <c r="B142" s="39" t="s">
        <v>32</v>
      </c>
      <c r="C142" s="39" t="s">
        <v>237</v>
      </c>
    </row>
    <row r="143" spans="1:5" x14ac:dyDescent="0.2">
      <c r="B143" s="39" t="s">
        <v>33</v>
      </c>
      <c r="C143" s="39" t="s">
        <v>238</v>
      </c>
    </row>
    <row r="144" spans="1:5" x14ac:dyDescent="0.2">
      <c r="B144" s="39" t="s">
        <v>34</v>
      </c>
      <c r="C144" s="39" t="s">
        <v>239</v>
      </c>
    </row>
    <row r="145" spans="2:9" x14ac:dyDescent="0.2">
      <c r="B145" s="39"/>
      <c r="C145" s="39"/>
      <c r="D145" s="35" t="s">
        <v>199</v>
      </c>
      <c r="E145" s="35"/>
      <c r="F145" s="35" t="s">
        <v>200</v>
      </c>
      <c r="H145" s="35" t="s">
        <v>216</v>
      </c>
    </row>
    <row r="146" spans="2:9" x14ac:dyDescent="0.2">
      <c r="D146" s="39" t="s">
        <v>201</v>
      </c>
      <c r="F146" s="39" t="s">
        <v>194</v>
      </c>
      <c r="H146" s="39" t="s">
        <v>217</v>
      </c>
      <c r="I146" s="39" t="s">
        <v>208</v>
      </c>
    </row>
    <row r="147" spans="2:9" x14ac:dyDescent="0.2">
      <c r="D147" s="39" t="s">
        <v>202</v>
      </c>
      <c r="F147" s="39" t="s">
        <v>203</v>
      </c>
      <c r="H147" s="39" t="s">
        <v>218</v>
      </c>
      <c r="I147" s="39" t="s">
        <v>219</v>
      </c>
    </row>
    <row r="148" spans="2:9" x14ac:dyDescent="0.2">
      <c r="D148" s="39" t="s">
        <v>195</v>
      </c>
      <c r="F148" s="39" t="s">
        <v>195</v>
      </c>
      <c r="H148" s="39" t="s">
        <v>221</v>
      </c>
      <c r="I148" s="39" t="s">
        <v>220</v>
      </c>
    </row>
    <row r="149" spans="2:9" x14ac:dyDescent="0.2">
      <c r="D149" s="39" t="s">
        <v>223</v>
      </c>
      <c r="F149" s="39" t="s">
        <v>196</v>
      </c>
    </row>
    <row r="150" spans="2:9" x14ac:dyDescent="0.2">
      <c r="D150" s="39" t="s">
        <v>224</v>
      </c>
      <c r="F150" s="39" t="s">
        <v>197</v>
      </c>
    </row>
    <row r="151" spans="2:9" x14ac:dyDescent="0.2">
      <c r="C151" s="35"/>
      <c r="D151" s="39" t="s">
        <v>225</v>
      </c>
      <c r="F151" s="39" t="s">
        <v>198</v>
      </c>
    </row>
    <row r="152" spans="2:9" x14ac:dyDescent="0.2">
      <c r="D152" s="39" t="s">
        <v>226</v>
      </c>
      <c r="F152" s="39" t="s">
        <v>204</v>
      </c>
    </row>
    <row r="153" spans="2:9" x14ac:dyDescent="0.2">
      <c r="D153" s="39" t="s">
        <v>277</v>
      </c>
      <c r="F153" s="39" t="s">
        <v>253</v>
      </c>
    </row>
    <row r="154" spans="2:9" x14ac:dyDescent="0.2">
      <c r="D154" s="39" t="s">
        <v>205</v>
      </c>
      <c r="F154" s="39" t="s">
        <v>206</v>
      </c>
    </row>
    <row r="155" spans="2:9" x14ac:dyDescent="0.2">
      <c r="D155" s="39" t="s">
        <v>243</v>
      </c>
      <c r="F155" s="39" t="s">
        <v>242</v>
      </c>
    </row>
    <row r="156" spans="2:9" x14ac:dyDescent="0.2">
      <c r="D156" s="39" t="s">
        <v>207</v>
      </c>
      <c r="F156" s="39" t="s">
        <v>208</v>
      </c>
    </row>
    <row r="157" spans="2:9" x14ac:dyDescent="0.2">
      <c r="D157" s="39" t="s">
        <v>209</v>
      </c>
      <c r="F157" s="39" t="s">
        <v>210</v>
      </c>
    </row>
    <row r="158" spans="2:9" x14ac:dyDescent="0.2">
      <c r="B158" s="39" t="s">
        <v>35</v>
      </c>
      <c r="C158" s="39" t="s">
        <v>234</v>
      </c>
    </row>
    <row r="159" spans="2:9" x14ac:dyDescent="0.2">
      <c r="D159" s="35" t="s">
        <v>216</v>
      </c>
    </row>
    <row r="160" spans="2:9" x14ac:dyDescent="0.2">
      <c r="D160" s="39" t="s">
        <v>217</v>
      </c>
      <c r="E160" s="39" t="s">
        <v>208</v>
      </c>
    </row>
    <row r="161" spans="1:9" x14ac:dyDescent="0.2">
      <c r="D161" s="39" t="s">
        <v>218</v>
      </c>
      <c r="E161" s="39" t="s">
        <v>141</v>
      </c>
    </row>
    <row r="162" spans="1:9" x14ac:dyDescent="0.2">
      <c r="D162" s="39" t="s">
        <v>221</v>
      </c>
      <c r="E162" s="39" t="s">
        <v>222</v>
      </c>
    </row>
    <row r="164" spans="1:9" x14ac:dyDescent="0.2">
      <c r="B164" s="39" t="s">
        <v>36</v>
      </c>
      <c r="C164" s="39" t="s">
        <v>212</v>
      </c>
    </row>
    <row r="166" spans="1:9" x14ac:dyDescent="0.2">
      <c r="A166" s="39" t="s">
        <v>392</v>
      </c>
      <c r="B166" s="39" t="s">
        <v>393</v>
      </c>
      <c r="C166" s="35"/>
    </row>
    <row r="167" spans="1:9" x14ac:dyDescent="0.2">
      <c r="A167" s="39" t="s">
        <v>395</v>
      </c>
      <c r="B167" s="39" t="s">
        <v>240</v>
      </c>
    </row>
    <row r="168" spans="1:9" x14ac:dyDescent="0.2">
      <c r="A168" s="39" t="s">
        <v>396</v>
      </c>
      <c r="B168" s="39" t="s">
        <v>241</v>
      </c>
    </row>
    <row r="169" spans="1:9" x14ac:dyDescent="0.2">
      <c r="A169" s="39"/>
      <c r="B169" s="39"/>
    </row>
    <row r="170" spans="1:9" x14ac:dyDescent="0.2">
      <c r="A170" s="39" t="s">
        <v>397</v>
      </c>
      <c r="B170" s="39" t="s">
        <v>32</v>
      </c>
      <c r="C170" s="39" t="s">
        <v>237</v>
      </c>
    </row>
    <row r="171" spans="1:9" x14ac:dyDescent="0.2">
      <c r="B171" s="39" t="s">
        <v>33</v>
      </c>
      <c r="C171" s="39" t="s">
        <v>238</v>
      </c>
    </row>
    <row r="172" spans="1:9" x14ac:dyDescent="0.2">
      <c r="B172" s="39" t="s">
        <v>34</v>
      </c>
      <c r="C172" s="39" t="s">
        <v>239</v>
      </c>
    </row>
    <row r="173" spans="1:9" x14ac:dyDescent="0.2">
      <c r="B173" s="39"/>
      <c r="C173" s="39"/>
      <c r="D173" s="35" t="s">
        <v>199</v>
      </c>
      <c r="E173" s="35"/>
      <c r="F173" s="35" t="s">
        <v>200</v>
      </c>
      <c r="H173" s="35" t="s">
        <v>216</v>
      </c>
    </row>
    <row r="174" spans="1:9" x14ac:dyDescent="0.2">
      <c r="D174" s="39" t="s">
        <v>201</v>
      </c>
      <c r="F174" s="39" t="s">
        <v>194</v>
      </c>
      <c r="H174" s="39" t="s">
        <v>217</v>
      </c>
      <c r="I174" s="39" t="s">
        <v>208</v>
      </c>
    </row>
    <row r="175" spans="1:9" x14ac:dyDescent="0.2">
      <c r="D175" s="39" t="s">
        <v>202</v>
      </c>
      <c r="F175" s="39" t="s">
        <v>203</v>
      </c>
      <c r="H175" s="39" t="s">
        <v>218</v>
      </c>
      <c r="I175" s="39" t="s">
        <v>219</v>
      </c>
    </row>
    <row r="176" spans="1:9" x14ac:dyDescent="0.2">
      <c r="D176" s="39" t="s">
        <v>195</v>
      </c>
      <c r="F176" s="39" t="s">
        <v>195</v>
      </c>
      <c r="H176" s="39" t="s">
        <v>221</v>
      </c>
      <c r="I176" s="39" t="s">
        <v>220</v>
      </c>
    </row>
    <row r="177" spans="2:6" x14ac:dyDescent="0.2">
      <c r="D177" s="39" t="s">
        <v>223</v>
      </c>
      <c r="F177" s="39" t="s">
        <v>196</v>
      </c>
    </row>
    <row r="178" spans="2:6" x14ac:dyDescent="0.2">
      <c r="D178" s="39" t="s">
        <v>224</v>
      </c>
      <c r="F178" s="39" t="s">
        <v>197</v>
      </c>
    </row>
    <row r="179" spans="2:6" x14ac:dyDescent="0.2">
      <c r="C179" s="35"/>
      <c r="D179" s="39" t="s">
        <v>225</v>
      </c>
      <c r="F179" s="39" t="s">
        <v>198</v>
      </c>
    </row>
    <row r="180" spans="2:6" x14ac:dyDescent="0.2">
      <c r="D180" s="39" t="s">
        <v>226</v>
      </c>
      <c r="F180" s="39" t="s">
        <v>204</v>
      </c>
    </row>
    <row r="181" spans="2:6" x14ac:dyDescent="0.2">
      <c r="D181" s="39" t="s">
        <v>277</v>
      </c>
      <c r="F181" s="39" t="s">
        <v>253</v>
      </c>
    </row>
    <row r="182" spans="2:6" x14ac:dyDescent="0.2">
      <c r="D182" s="39" t="s">
        <v>205</v>
      </c>
      <c r="F182" s="39" t="s">
        <v>206</v>
      </c>
    </row>
    <row r="183" spans="2:6" x14ac:dyDescent="0.2">
      <c r="D183" s="39" t="s">
        <v>243</v>
      </c>
      <c r="F183" s="39" t="s">
        <v>242</v>
      </c>
    </row>
    <row r="184" spans="2:6" x14ac:dyDescent="0.2">
      <c r="D184" s="39" t="s">
        <v>207</v>
      </c>
      <c r="F184" s="39" t="s">
        <v>208</v>
      </c>
    </row>
    <row r="185" spans="2:6" x14ac:dyDescent="0.2">
      <c r="D185" s="39" t="s">
        <v>209</v>
      </c>
      <c r="F185" s="39" t="s">
        <v>210</v>
      </c>
    </row>
    <row r="186" spans="2:6" x14ac:dyDescent="0.2">
      <c r="B186" s="39" t="s">
        <v>35</v>
      </c>
      <c r="C186" s="39" t="s">
        <v>234</v>
      </c>
    </row>
    <row r="187" spans="2:6" x14ac:dyDescent="0.2">
      <c r="D187" s="35" t="s">
        <v>216</v>
      </c>
    </row>
    <row r="188" spans="2:6" x14ac:dyDescent="0.2">
      <c r="D188" s="39" t="s">
        <v>217</v>
      </c>
      <c r="E188" s="39" t="s">
        <v>208</v>
      </c>
    </row>
    <row r="189" spans="2:6" x14ac:dyDescent="0.2">
      <c r="D189" s="39" t="s">
        <v>218</v>
      </c>
      <c r="E189" s="39" t="s">
        <v>141</v>
      </c>
    </row>
    <row r="190" spans="2:6" x14ac:dyDescent="0.2">
      <c r="D190" s="39" t="s">
        <v>221</v>
      </c>
      <c r="E190" s="39" t="s">
        <v>222</v>
      </c>
    </row>
    <row r="192" spans="2:6" x14ac:dyDescent="0.2">
      <c r="B192" s="39" t="s">
        <v>36</v>
      </c>
      <c r="C192" s="39" t="s">
        <v>212</v>
      </c>
    </row>
    <row r="194" spans="1:16" x14ac:dyDescent="0.2">
      <c r="A194" s="39" t="s">
        <v>398</v>
      </c>
      <c r="B194" s="39" t="s">
        <v>214</v>
      </c>
      <c r="C194" s="39"/>
    </row>
    <row r="195" spans="1:16" x14ac:dyDescent="0.2">
      <c r="A195" s="39" t="s">
        <v>399</v>
      </c>
      <c r="B195" s="39" t="s">
        <v>213</v>
      </c>
      <c r="C195" s="35"/>
    </row>
    <row r="196" spans="1:16" s="35" customFormat="1" x14ac:dyDescent="0.2">
      <c r="A196"/>
      <c r="B196"/>
      <c r="C196"/>
      <c r="N196"/>
      <c r="O196"/>
      <c r="P196"/>
    </row>
    <row r="197" spans="1:16" x14ac:dyDescent="0.2">
      <c r="B197" s="39" t="s">
        <v>36</v>
      </c>
      <c r="C197" s="39" t="s">
        <v>212</v>
      </c>
      <c r="P197" s="35"/>
    </row>
    <row r="198" spans="1:16" x14ac:dyDescent="0.2">
      <c r="A198" s="35" t="s">
        <v>79</v>
      </c>
      <c r="D198" s="35"/>
      <c r="E198" s="35"/>
    </row>
    <row r="199" spans="1:16" x14ac:dyDescent="0.2">
      <c r="A199" s="59" t="s">
        <v>80</v>
      </c>
      <c r="B199" s="35"/>
      <c r="C199" s="35"/>
    </row>
    <row r="200" spans="1:16" x14ac:dyDescent="0.2">
      <c r="A200" s="39" t="s">
        <v>400</v>
      </c>
      <c r="B200" s="35"/>
      <c r="C200" s="35"/>
    </row>
    <row r="201" spans="1:16" x14ac:dyDescent="0.2">
      <c r="A201" t="s">
        <v>37</v>
      </c>
      <c r="B201" s="35"/>
      <c r="C201" s="35"/>
      <c r="D201" s="35"/>
      <c r="E201" s="35"/>
    </row>
    <row r="202" spans="1:16" x14ac:dyDescent="0.2">
      <c r="D202" s="35"/>
      <c r="E202" s="35"/>
    </row>
    <row r="203" spans="1:16" x14ac:dyDescent="0.2">
      <c r="A203" s="35" t="s">
        <v>63</v>
      </c>
      <c r="D203" s="35"/>
      <c r="E203" s="35"/>
    </row>
    <row r="204" spans="1:16" x14ac:dyDescent="0.2">
      <c r="A204" s="59" t="s">
        <v>75</v>
      </c>
      <c r="B204" s="35"/>
      <c r="C204" s="35"/>
    </row>
    <row r="205" spans="1:16" x14ac:dyDescent="0.2">
      <c r="A205" s="39" t="s">
        <v>215</v>
      </c>
      <c r="B205" s="35"/>
      <c r="C205" s="35"/>
    </row>
    <row r="206" spans="1:16" x14ac:dyDescent="0.2">
      <c r="A206" t="s">
        <v>37</v>
      </c>
      <c r="B206" s="35"/>
      <c r="C206" s="35"/>
      <c r="D206" s="35"/>
      <c r="E206" s="35"/>
    </row>
    <row r="207" spans="1:16" x14ac:dyDescent="0.2">
      <c r="A207" t="s">
        <v>435</v>
      </c>
      <c r="D207" s="35"/>
      <c r="E207" s="35"/>
    </row>
    <row r="208" spans="1:16" x14ac:dyDescent="0.2">
      <c r="D208" s="35"/>
      <c r="E208" s="35"/>
    </row>
    <row r="209" spans="1:5" x14ac:dyDescent="0.2">
      <c r="A209" s="35" t="s">
        <v>71</v>
      </c>
      <c r="D209" s="35"/>
      <c r="E209" s="35"/>
    </row>
    <row r="210" spans="1:5" x14ac:dyDescent="0.2">
      <c r="A210" s="59" t="s">
        <v>76</v>
      </c>
      <c r="B210" s="35"/>
      <c r="C210" s="35"/>
    </row>
    <row r="211" spans="1:5" x14ac:dyDescent="0.2">
      <c r="A211" s="39" t="s">
        <v>215</v>
      </c>
      <c r="B211" s="35"/>
      <c r="C211" s="35"/>
    </row>
    <row r="212" spans="1:5" x14ac:dyDescent="0.2">
      <c r="A212" t="s">
        <v>37</v>
      </c>
      <c r="B212" s="35"/>
      <c r="C212" s="35"/>
      <c r="D212" s="35"/>
      <c r="E212" s="35"/>
    </row>
    <row r="213" spans="1:5" x14ac:dyDescent="0.2">
      <c r="A213" t="s">
        <v>434</v>
      </c>
      <c r="D213" s="35"/>
      <c r="E213" s="35"/>
    </row>
    <row r="214" spans="1:5" x14ac:dyDescent="0.2">
      <c r="D214" s="35"/>
      <c r="E214" s="35"/>
    </row>
    <row r="215" spans="1:5" x14ac:dyDescent="0.2">
      <c r="A215" s="35" t="s">
        <v>361</v>
      </c>
      <c r="D215" s="35"/>
      <c r="E215" s="35"/>
    </row>
    <row r="216" spans="1:5" x14ac:dyDescent="0.2">
      <c r="A216" s="39" t="s">
        <v>362</v>
      </c>
      <c r="B216" s="35"/>
      <c r="C216" s="35"/>
    </row>
    <row r="217" spans="1:5" x14ac:dyDescent="0.2">
      <c r="A217" s="39" t="s">
        <v>215</v>
      </c>
      <c r="B217" s="35"/>
      <c r="C217" s="35"/>
    </row>
    <row r="218" spans="1:5" x14ac:dyDescent="0.2">
      <c r="A218" t="s">
        <v>37</v>
      </c>
      <c r="B218" s="35"/>
      <c r="C218" s="35"/>
      <c r="D218" s="35"/>
      <c r="E218" s="35"/>
    </row>
    <row r="219" spans="1:5" x14ac:dyDescent="0.2">
      <c r="A219" t="s">
        <v>433</v>
      </c>
      <c r="D219" s="35"/>
      <c r="E219" s="35"/>
    </row>
    <row r="220" spans="1:5" x14ac:dyDescent="0.2">
      <c r="B220" s="35"/>
      <c r="C220" s="35"/>
      <c r="D220" s="35"/>
      <c r="E220" s="35"/>
    </row>
    <row r="221" spans="1:5" x14ac:dyDescent="0.2">
      <c r="A221" s="35" t="s">
        <v>72</v>
      </c>
      <c r="D221" s="35"/>
      <c r="E221" s="35"/>
    </row>
    <row r="222" spans="1:5" x14ac:dyDescent="0.2">
      <c r="A222" s="59" t="s">
        <v>77</v>
      </c>
      <c r="B222" s="35"/>
      <c r="C222" s="35"/>
    </row>
    <row r="223" spans="1:5" x14ac:dyDescent="0.2">
      <c r="A223" s="39" t="s">
        <v>215</v>
      </c>
      <c r="B223" s="35"/>
      <c r="C223" s="35"/>
    </row>
    <row r="224" spans="1:5" x14ac:dyDescent="0.2">
      <c r="A224" t="s">
        <v>37</v>
      </c>
      <c r="B224" s="35"/>
      <c r="C224" s="35"/>
      <c r="D224" s="35"/>
      <c r="E224" s="35"/>
    </row>
    <row r="226" spans="1:2" x14ac:dyDescent="0.2">
      <c r="A226" s="35" t="s">
        <v>73</v>
      </c>
    </row>
    <row r="227" spans="1:2" x14ac:dyDescent="0.2">
      <c r="A227" t="s">
        <v>40</v>
      </c>
    </row>
    <row r="229" spans="1:2" x14ac:dyDescent="0.2">
      <c r="A229" t="s">
        <v>47</v>
      </c>
    </row>
    <row r="230" spans="1:2" x14ac:dyDescent="0.2">
      <c r="A230" t="s">
        <v>95</v>
      </c>
    </row>
    <row r="232" spans="1:2" x14ac:dyDescent="0.2">
      <c r="A232" t="s">
        <v>48</v>
      </c>
    </row>
    <row r="234" spans="1:2" x14ac:dyDescent="0.2">
      <c r="A234" t="s">
        <v>49</v>
      </c>
    </row>
    <row r="235" spans="1:2" x14ac:dyDescent="0.2">
      <c r="A235" t="s">
        <v>60</v>
      </c>
    </row>
    <row r="236" spans="1:2" x14ac:dyDescent="0.2">
      <c r="A236" t="s">
        <v>61</v>
      </c>
    </row>
    <row r="238" spans="1:2" x14ac:dyDescent="0.2">
      <c r="A238" t="s">
        <v>50</v>
      </c>
      <c r="B238" s="35" t="s">
        <v>51</v>
      </c>
    </row>
    <row r="239" spans="1:2" x14ac:dyDescent="0.2">
      <c r="B239" t="s">
        <v>52</v>
      </c>
    </row>
    <row r="240" spans="1:2" x14ac:dyDescent="0.2">
      <c r="B240" t="s">
        <v>53</v>
      </c>
    </row>
    <row r="241" spans="1:16" x14ac:dyDescent="0.2">
      <c r="B241" t="s">
        <v>54</v>
      </c>
    </row>
    <row r="242" spans="1:16" x14ac:dyDescent="0.2">
      <c r="B242" t="s">
        <v>56</v>
      </c>
    </row>
    <row r="243" spans="1:16" x14ac:dyDescent="0.2">
      <c r="B243" t="s">
        <v>55</v>
      </c>
    </row>
    <row r="245" spans="1:16" x14ac:dyDescent="0.2">
      <c r="B245" s="35"/>
      <c r="C245" s="35"/>
      <c r="D245" s="35"/>
    </row>
    <row r="246" spans="1:16" x14ac:dyDescent="0.2">
      <c r="A246" s="35" t="s">
        <v>499</v>
      </c>
      <c r="B246" s="39"/>
      <c r="C246" s="39"/>
    </row>
    <row r="247" spans="1:16" x14ac:dyDescent="0.2">
      <c r="A247" s="39" t="s">
        <v>322</v>
      </c>
    </row>
    <row r="248" spans="1:16" x14ac:dyDescent="0.2">
      <c r="A248" t="s">
        <v>323</v>
      </c>
    </row>
    <row r="250" spans="1:16" s="39" customFormat="1" x14ac:dyDescent="0.2">
      <c r="B250" s="35"/>
    </row>
    <row r="251" spans="1:16" x14ac:dyDescent="0.2">
      <c r="N251" s="39"/>
      <c r="O251" s="39"/>
      <c r="P251" s="39"/>
    </row>
    <row r="252" spans="1:16" x14ac:dyDescent="0.2">
      <c r="A252" s="35" t="s">
        <v>382</v>
      </c>
    </row>
    <row r="253" spans="1:16" x14ac:dyDescent="0.2">
      <c r="A253" s="39" t="s">
        <v>181</v>
      </c>
      <c r="B253" s="39" t="s">
        <v>182</v>
      </c>
    </row>
    <row r="254" spans="1:16" x14ac:dyDescent="0.2">
      <c r="A254" s="39" t="s">
        <v>183</v>
      </c>
      <c r="B254" s="39" t="s">
        <v>184</v>
      </c>
      <c r="C254" s="35"/>
    </row>
    <row r="255" spans="1:16" x14ac:dyDescent="0.2">
      <c r="A255" s="39" t="s">
        <v>383</v>
      </c>
      <c r="B255" s="39" t="s">
        <v>185</v>
      </c>
    </row>
    <row r="256" spans="1:16" x14ac:dyDescent="0.2">
      <c r="A256" s="39" t="s">
        <v>186</v>
      </c>
      <c r="B256" s="39" t="s">
        <v>189</v>
      </c>
    </row>
    <row r="257" spans="1:9" x14ac:dyDescent="0.2">
      <c r="A257" s="39" t="s">
        <v>187</v>
      </c>
      <c r="B257" s="39" t="s">
        <v>190</v>
      </c>
    </row>
    <row r="258" spans="1:9" x14ac:dyDescent="0.2">
      <c r="A258" s="39"/>
      <c r="B258" s="39"/>
    </row>
    <row r="259" spans="1:9" x14ac:dyDescent="0.2">
      <c r="A259" s="39" t="s">
        <v>384</v>
      </c>
      <c r="B259" s="39" t="s">
        <v>32</v>
      </c>
      <c r="C259" s="39" t="s">
        <v>191</v>
      </c>
    </row>
    <row r="260" spans="1:9" x14ac:dyDescent="0.2">
      <c r="B260" s="39" t="s">
        <v>33</v>
      </c>
      <c r="C260" s="39" t="s">
        <v>192</v>
      </c>
    </row>
    <row r="261" spans="1:9" x14ac:dyDescent="0.2">
      <c r="B261" s="39" t="s">
        <v>34</v>
      </c>
      <c r="C261" s="39" t="s">
        <v>193</v>
      </c>
    </row>
    <row r="262" spans="1:9" x14ac:dyDescent="0.2">
      <c r="B262" s="39"/>
      <c r="C262" s="39"/>
      <c r="D262" s="35" t="s">
        <v>199</v>
      </c>
      <c r="E262" s="35"/>
      <c r="F262" s="35" t="s">
        <v>200</v>
      </c>
      <c r="H262" s="35" t="s">
        <v>216</v>
      </c>
    </row>
    <row r="263" spans="1:9" x14ac:dyDescent="0.2">
      <c r="D263" s="39" t="s">
        <v>201</v>
      </c>
      <c r="F263" s="39" t="s">
        <v>194</v>
      </c>
      <c r="H263" s="39" t="s">
        <v>217</v>
      </c>
      <c r="I263" s="39" t="s">
        <v>208</v>
      </c>
    </row>
    <row r="264" spans="1:9" x14ac:dyDescent="0.2">
      <c r="D264" s="39" t="s">
        <v>202</v>
      </c>
      <c r="F264" s="39" t="s">
        <v>203</v>
      </c>
      <c r="H264" s="39" t="s">
        <v>218</v>
      </c>
      <c r="I264" s="39" t="s">
        <v>219</v>
      </c>
    </row>
    <row r="265" spans="1:9" x14ac:dyDescent="0.2">
      <c r="D265" s="39" t="s">
        <v>195</v>
      </c>
      <c r="F265" s="39" t="s">
        <v>195</v>
      </c>
      <c r="H265" s="39" t="s">
        <v>221</v>
      </c>
      <c r="I265" s="39" t="s">
        <v>220</v>
      </c>
    </row>
    <row r="266" spans="1:9" x14ac:dyDescent="0.2">
      <c r="D266" s="39" t="s">
        <v>223</v>
      </c>
      <c r="F266" s="39" t="s">
        <v>196</v>
      </c>
    </row>
    <row r="267" spans="1:9" x14ac:dyDescent="0.2">
      <c r="D267" s="39" t="s">
        <v>224</v>
      </c>
      <c r="F267" s="39" t="s">
        <v>197</v>
      </c>
    </row>
    <row r="268" spans="1:9" x14ac:dyDescent="0.2">
      <c r="C268" s="35"/>
      <c r="D268" s="39" t="s">
        <v>225</v>
      </c>
      <c r="F268" s="39" t="s">
        <v>198</v>
      </c>
    </row>
    <row r="269" spans="1:9" x14ac:dyDescent="0.2">
      <c r="D269" s="39" t="s">
        <v>226</v>
      </c>
      <c r="F269" s="39" t="s">
        <v>204</v>
      </c>
    </row>
    <row r="270" spans="1:9" x14ac:dyDescent="0.2">
      <c r="D270" s="39" t="s">
        <v>277</v>
      </c>
      <c r="F270" s="39" t="s">
        <v>253</v>
      </c>
    </row>
    <row r="271" spans="1:9" x14ac:dyDescent="0.2">
      <c r="D271" s="39" t="s">
        <v>205</v>
      </c>
      <c r="F271" s="39" t="s">
        <v>206</v>
      </c>
    </row>
    <row r="272" spans="1:9" x14ac:dyDescent="0.2">
      <c r="D272" s="39" t="s">
        <v>207</v>
      </c>
      <c r="F272" s="39" t="s">
        <v>208</v>
      </c>
    </row>
    <row r="273" spans="1:6" x14ac:dyDescent="0.2">
      <c r="D273" s="39" t="s">
        <v>209</v>
      </c>
      <c r="F273" s="39" t="s">
        <v>210</v>
      </c>
    </row>
    <row r="274" spans="1:6" x14ac:dyDescent="0.2">
      <c r="B274" s="39" t="s">
        <v>35</v>
      </c>
      <c r="C274" s="39" t="s">
        <v>211</v>
      </c>
    </row>
    <row r="275" spans="1:6" x14ac:dyDescent="0.2">
      <c r="D275" s="35" t="s">
        <v>216</v>
      </c>
    </row>
    <row r="276" spans="1:6" x14ac:dyDescent="0.2">
      <c r="D276" s="39" t="s">
        <v>217</v>
      </c>
      <c r="E276" s="39" t="s">
        <v>208</v>
      </c>
    </row>
    <row r="277" spans="1:6" x14ac:dyDescent="0.2">
      <c r="D277" s="39" t="s">
        <v>218</v>
      </c>
      <c r="E277" s="39" t="s">
        <v>141</v>
      </c>
    </row>
    <row r="278" spans="1:6" x14ac:dyDescent="0.2">
      <c r="D278" s="39" t="s">
        <v>221</v>
      </c>
      <c r="E278" s="39" t="s">
        <v>222</v>
      </c>
    </row>
    <row r="280" spans="1:6" x14ac:dyDescent="0.2">
      <c r="B280" s="39" t="s">
        <v>36</v>
      </c>
      <c r="C280" s="39" t="s">
        <v>212</v>
      </c>
    </row>
    <row r="282" spans="1:6" x14ac:dyDescent="0.2">
      <c r="A282" s="39" t="s">
        <v>235</v>
      </c>
      <c r="B282" s="39" t="s">
        <v>228</v>
      </c>
      <c r="C282" s="35"/>
    </row>
    <row r="283" spans="1:6" x14ac:dyDescent="0.2">
      <c r="A283" s="39" t="s">
        <v>385</v>
      </c>
      <c r="B283" s="39" t="s">
        <v>229</v>
      </c>
    </row>
    <row r="284" spans="1:6" x14ac:dyDescent="0.2">
      <c r="A284" s="39" t="s">
        <v>386</v>
      </c>
      <c r="B284" s="39" t="s">
        <v>230</v>
      </c>
    </row>
    <row r="285" spans="1:6" x14ac:dyDescent="0.2">
      <c r="A285" s="39"/>
      <c r="B285" s="39"/>
    </row>
    <row r="286" spans="1:6" x14ac:dyDescent="0.2">
      <c r="A286" s="39" t="s">
        <v>387</v>
      </c>
      <c r="B286" s="39" t="s">
        <v>32</v>
      </c>
      <c r="C286" s="39" t="s">
        <v>231</v>
      </c>
    </row>
    <row r="287" spans="1:6" x14ac:dyDescent="0.2">
      <c r="B287" s="39" t="s">
        <v>33</v>
      </c>
      <c r="C287" s="39" t="s">
        <v>232</v>
      </c>
    </row>
    <row r="288" spans="1:6" x14ac:dyDescent="0.2">
      <c r="B288" s="39" t="s">
        <v>34</v>
      </c>
      <c r="C288" s="39" t="s">
        <v>233</v>
      </c>
    </row>
    <row r="289" spans="2:10" x14ac:dyDescent="0.2">
      <c r="B289" s="39"/>
      <c r="C289" s="39"/>
      <c r="D289" s="35" t="s">
        <v>199</v>
      </c>
      <c r="E289" s="35"/>
      <c r="F289" s="35" t="s">
        <v>200</v>
      </c>
      <c r="H289" s="35" t="s">
        <v>216</v>
      </c>
    </row>
    <row r="290" spans="2:10" x14ac:dyDescent="0.2">
      <c r="D290" s="39" t="s">
        <v>201</v>
      </c>
      <c r="F290" s="39" t="s">
        <v>194</v>
      </c>
      <c r="H290" s="39" t="s">
        <v>217</v>
      </c>
      <c r="I290" s="39" t="s">
        <v>208</v>
      </c>
    </row>
    <row r="291" spans="2:10" x14ac:dyDescent="0.2">
      <c r="D291" s="39" t="s">
        <v>202</v>
      </c>
      <c r="F291" s="39" t="s">
        <v>203</v>
      </c>
      <c r="H291" s="39" t="s">
        <v>218</v>
      </c>
      <c r="I291" s="39" t="s">
        <v>219</v>
      </c>
    </row>
    <row r="292" spans="2:10" x14ac:dyDescent="0.2">
      <c r="D292" s="39" t="s">
        <v>195</v>
      </c>
      <c r="F292" s="39" t="s">
        <v>195</v>
      </c>
      <c r="H292" s="39" t="s">
        <v>221</v>
      </c>
      <c r="I292" s="39" t="s">
        <v>220</v>
      </c>
    </row>
    <row r="293" spans="2:10" x14ac:dyDescent="0.2">
      <c r="D293" s="39" t="s">
        <v>223</v>
      </c>
      <c r="F293" s="39" t="s">
        <v>196</v>
      </c>
      <c r="J293" s="62"/>
    </row>
    <row r="294" spans="2:10" x14ac:dyDescent="0.2">
      <c r="D294" s="39" t="s">
        <v>224</v>
      </c>
      <c r="F294" s="39" t="s">
        <v>197</v>
      </c>
      <c r="J294" s="62"/>
    </row>
    <row r="295" spans="2:10" x14ac:dyDescent="0.2">
      <c r="C295" s="35"/>
      <c r="D295" s="39" t="s">
        <v>225</v>
      </c>
      <c r="F295" s="39" t="s">
        <v>198</v>
      </c>
      <c r="J295" s="62"/>
    </row>
    <row r="296" spans="2:10" x14ac:dyDescent="0.2">
      <c r="D296" s="39" t="s">
        <v>226</v>
      </c>
      <c r="F296" s="39" t="s">
        <v>204</v>
      </c>
    </row>
    <row r="297" spans="2:10" x14ac:dyDescent="0.2">
      <c r="D297" s="39" t="s">
        <v>277</v>
      </c>
      <c r="F297" s="39" t="s">
        <v>253</v>
      </c>
    </row>
    <row r="298" spans="2:10" x14ac:dyDescent="0.2">
      <c r="D298" s="39" t="s">
        <v>205</v>
      </c>
      <c r="F298" s="39" t="s">
        <v>206</v>
      </c>
    </row>
    <row r="299" spans="2:10" x14ac:dyDescent="0.2">
      <c r="D299" s="39" t="s">
        <v>207</v>
      </c>
      <c r="F299" s="39" t="s">
        <v>208</v>
      </c>
    </row>
    <row r="300" spans="2:10" x14ac:dyDescent="0.2">
      <c r="D300" s="39" t="s">
        <v>209</v>
      </c>
      <c r="F300" s="39" t="s">
        <v>210</v>
      </c>
    </row>
    <row r="301" spans="2:10" x14ac:dyDescent="0.2">
      <c r="B301" s="39" t="s">
        <v>35</v>
      </c>
      <c r="C301" s="39" t="s">
        <v>234</v>
      </c>
    </row>
    <row r="302" spans="2:10" x14ac:dyDescent="0.2">
      <c r="D302" s="35" t="s">
        <v>216</v>
      </c>
    </row>
    <row r="303" spans="2:10" x14ac:dyDescent="0.2">
      <c r="D303" s="39" t="s">
        <v>217</v>
      </c>
      <c r="E303" s="39" t="s">
        <v>208</v>
      </c>
    </row>
    <row r="304" spans="2:10" x14ac:dyDescent="0.2">
      <c r="D304" s="39" t="s">
        <v>218</v>
      </c>
      <c r="E304" s="39" t="s">
        <v>141</v>
      </c>
    </row>
    <row r="305" spans="1:9" x14ac:dyDescent="0.2">
      <c r="D305" s="39" t="s">
        <v>221</v>
      </c>
      <c r="E305" s="39" t="s">
        <v>222</v>
      </c>
    </row>
    <row r="307" spans="1:9" x14ac:dyDescent="0.2">
      <c r="B307" s="39" t="s">
        <v>36</v>
      </c>
      <c r="C307" s="39" t="s">
        <v>212</v>
      </c>
    </row>
    <row r="309" spans="1:9" x14ac:dyDescent="0.2">
      <c r="A309" s="39" t="s">
        <v>388</v>
      </c>
      <c r="B309" s="39" t="s">
        <v>394</v>
      </c>
      <c r="C309" s="35"/>
    </row>
    <row r="310" spans="1:9" x14ac:dyDescent="0.2">
      <c r="A310" s="39" t="s">
        <v>236</v>
      </c>
      <c r="B310" s="39" t="s">
        <v>185</v>
      </c>
    </row>
    <row r="311" spans="1:9" x14ac:dyDescent="0.2">
      <c r="A311" s="39" t="s">
        <v>389</v>
      </c>
      <c r="B311" s="39" t="s">
        <v>240</v>
      </c>
    </row>
    <row r="312" spans="1:9" x14ac:dyDescent="0.2">
      <c r="A312" s="39" t="s">
        <v>390</v>
      </c>
      <c r="B312" s="39" t="s">
        <v>241</v>
      </c>
    </row>
    <row r="313" spans="1:9" x14ac:dyDescent="0.2">
      <c r="A313" s="39"/>
      <c r="B313" s="39"/>
    </row>
    <row r="314" spans="1:9" x14ac:dyDescent="0.2">
      <c r="A314" s="39" t="s">
        <v>391</v>
      </c>
      <c r="B314" s="39" t="s">
        <v>32</v>
      </c>
      <c r="C314" s="39" t="s">
        <v>237</v>
      </c>
    </row>
    <row r="315" spans="1:9" x14ac:dyDescent="0.2">
      <c r="B315" s="39" t="s">
        <v>33</v>
      </c>
      <c r="C315" s="39" t="s">
        <v>238</v>
      </c>
    </row>
    <row r="316" spans="1:9" x14ac:dyDescent="0.2">
      <c r="B316" s="39" t="s">
        <v>34</v>
      </c>
      <c r="C316" s="39" t="s">
        <v>239</v>
      </c>
    </row>
    <row r="317" spans="1:9" x14ac:dyDescent="0.2">
      <c r="B317" s="39"/>
      <c r="C317" s="39"/>
      <c r="D317" s="35" t="s">
        <v>199</v>
      </c>
      <c r="E317" s="35"/>
      <c r="F317" s="35" t="s">
        <v>200</v>
      </c>
      <c r="H317" s="35" t="s">
        <v>216</v>
      </c>
    </row>
    <row r="318" spans="1:9" x14ac:dyDescent="0.2">
      <c r="D318" s="39" t="s">
        <v>201</v>
      </c>
      <c r="F318" s="39" t="s">
        <v>194</v>
      </c>
      <c r="H318" s="39" t="s">
        <v>217</v>
      </c>
      <c r="I318" s="39" t="s">
        <v>208</v>
      </c>
    </row>
    <row r="319" spans="1:9" x14ac:dyDescent="0.2">
      <c r="D319" s="39" t="s">
        <v>202</v>
      </c>
      <c r="F319" s="39" t="s">
        <v>203</v>
      </c>
      <c r="H319" s="39" t="s">
        <v>218</v>
      </c>
      <c r="I319" s="39" t="s">
        <v>219</v>
      </c>
    </row>
    <row r="320" spans="1:9" x14ac:dyDescent="0.2">
      <c r="D320" s="39" t="s">
        <v>195</v>
      </c>
      <c r="F320" s="39" t="s">
        <v>195</v>
      </c>
      <c r="H320" s="39" t="s">
        <v>221</v>
      </c>
      <c r="I320" s="39" t="s">
        <v>220</v>
      </c>
    </row>
    <row r="321" spans="2:6" x14ac:dyDescent="0.2">
      <c r="D321" s="39" t="s">
        <v>223</v>
      </c>
      <c r="F321" s="39" t="s">
        <v>196</v>
      </c>
    </row>
    <row r="322" spans="2:6" x14ac:dyDescent="0.2">
      <c r="D322" s="39" t="s">
        <v>224</v>
      </c>
      <c r="F322" s="39" t="s">
        <v>197</v>
      </c>
    </row>
    <row r="323" spans="2:6" x14ac:dyDescent="0.2">
      <c r="C323" s="35"/>
      <c r="D323" s="39" t="s">
        <v>225</v>
      </c>
      <c r="F323" s="39" t="s">
        <v>198</v>
      </c>
    </row>
    <row r="324" spans="2:6" x14ac:dyDescent="0.2">
      <c r="D324" s="39" t="s">
        <v>226</v>
      </c>
      <c r="F324" s="39" t="s">
        <v>204</v>
      </c>
    </row>
    <row r="325" spans="2:6" x14ac:dyDescent="0.2">
      <c r="D325" s="39" t="s">
        <v>277</v>
      </c>
      <c r="F325" s="39" t="s">
        <v>253</v>
      </c>
    </row>
    <row r="326" spans="2:6" x14ac:dyDescent="0.2">
      <c r="D326" s="39" t="s">
        <v>205</v>
      </c>
      <c r="F326" s="39" t="s">
        <v>206</v>
      </c>
    </row>
    <row r="327" spans="2:6" x14ac:dyDescent="0.2">
      <c r="D327" s="39" t="s">
        <v>243</v>
      </c>
      <c r="F327" s="39" t="s">
        <v>242</v>
      </c>
    </row>
    <row r="328" spans="2:6" x14ac:dyDescent="0.2">
      <c r="D328" s="39" t="s">
        <v>207</v>
      </c>
      <c r="F328" s="39" t="s">
        <v>208</v>
      </c>
    </row>
    <row r="329" spans="2:6" x14ac:dyDescent="0.2">
      <c r="D329" s="39" t="s">
        <v>209</v>
      </c>
      <c r="F329" s="39" t="s">
        <v>210</v>
      </c>
    </row>
    <row r="330" spans="2:6" x14ac:dyDescent="0.2">
      <c r="B330" s="39" t="s">
        <v>35</v>
      </c>
      <c r="C330" s="39" t="s">
        <v>234</v>
      </c>
    </row>
    <row r="331" spans="2:6" x14ac:dyDescent="0.2">
      <c r="D331" s="35" t="s">
        <v>216</v>
      </c>
    </row>
    <row r="332" spans="2:6" x14ac:dyDescent="0.2">
      <c r="D332" s="39" t="s">
        <v>217</v>
      </c>
      <c r="E332" s="39" t="s">
        <v>208</v>
      </c>
    </row>
    <row r="333" spans="2:6" x14ac:dyDescent="0.2">
      <c r="D333" s="39" t="s">
        <v>218</v>
      </c>
      <c r="E333" s="39" t="s">
        <v>141</v>
      </c>
    </row>
    <row r="334" spans="2:6" x14ac:dyDescent="0.2">
      <c r="D334" s="39" t="s">
        <v>221</v>
      </c>
      <c r="E334" s="39" t="s">
        <v>222</v>
      </c>
    </row>
    <row r="336" spans="2:6" x14ac:dyDescent="0.2">
      <c r="B336" s="39" t="s">
        <v>36</v>
      </c>
      <c r="C336" s="39" t="s">
        <v>212</v>
      </c>
    </row>
    <row r="338" spans="1:9" x14ac:dyDescent="0.2">
      <c r="A338" s="39" t="s">
        <v>392</v>
      </c>
      <c r="B338" s="39" t="s">
        <v>393</v>
      </c>
      <c r="C338" s="35"/>
    </row>
    <row r="339" spans="1:9" x14ac:dyDescent="0.2">
      <c r="A339" s="39" t="s">
        <v>395</v>
      </c>
      <c r="B339" s="39" t="s">
        <v>240</v>
      </c>
    </row>
    <row r="340" spans="1:9" x14ac:dyDescent="0.2">
      <c r="A340" s="39" t="s">
        <v>396</v>
      </c>
      <c r="B340" s="39" t="s">
        <v>241</v>
      </c>
    </row>
    <row r="341" spans="1:9" x14ac:dyDescent="0.2">
      <c r="A341" s="39"/>
      <c r="B341" s="39"/>
    </row>
    <row r="342" spans="1:9" x14ac:dyDescent="0.2">
      <c r="A342" s="39" t="s">
        <v>397</v>
      </c>
      <c r="B342" s="39" t="s">
        <v>32</v>
      </c>
      <c r="C342" s="39" t="s">
        <v>237</v>
      </c>
    </row>
    <row r="343" spans="1:9" x14ac:dyDescent="0.2">
      <c r="B343" s="39" t="s">
        <v>33</v>
      </c>
      <c r="C343" s="39" t="s">
        <v>238</v>
      </c>
    </row>
    <row r="344" spans="1:9" x14ac:dyDescent="0.2">
      <c r="B344" s="39" t="s">
        <v>34</v>
      </c>
      <c r="C344" s="39" t="s">
        <v>239</v>
      </c>
    </row>
    <row r="345" spans="1:9" x14ac:dyDescent="0.2">
      <c r="B345" s="39"/>
      <c r="C345" s="39"/>
      <c r="D345" s="35" t="s">
        <v>199</v>
      </c>
      <c r="E345" s="35"/>
      <c r="F345" s="35" t="s">
        <v>200</v>
      </c>
      <c r="H345" s="35" t="s">
        <v>216</v>
      </c>
    </row>
    <row r="346" spans="1:9" x14ac:dyDescent="0.2">
      <c r="D346" s="39" t="s">
        <v>201</v>
      </c>
      <c r="F346" s="39" t="s">
        <v>194</v>
      </c>
      <c r="H346" s="39" t="s">
        <v>217</v>
      </c>
      <c r="I346" s="39" t="s">
        <v>208</v>
      </c>
    </row>
    <row r="347" spans="1:9" x14ac:dyDescent="0.2">
      <c r="D347" s="39" t="s">
        <v>202</v>
      </c>
      <c r="F347" s="39" t="s">
        <v>203</v>
      </c>
      <c r="H347" s="39" t="s">
        <v>218</v>
      </c>
      <c r="I347" s="39" t="s">
        <v>219</v>
      </c>
    </row>
    <row r="348" spans="1:9" x14ac:dyDescent="0.2">
      <c r="D348" s="39" t="s">
        <v>195</v>
      </c>
      <c r="F348" s="39" t="s">
        <v>195</v>
      </c>
      <c r="H348" s="39" t="s">
        <v>221</v>
      </c>
      <c r="I348" s="39" t="s">
        <v>220</v>
      </c>
    </row>
    <row r="349" spans="1:9" x14ac:dyDescent="0.2">
      <c r="D349" s="39" t="s">
        <v>223</v>
      </c>
      <c r="F349" s="39" t="s">
        <v>196</v>
      </c>
    </row>
    <row r="350" spans="1:9" x14ac:dyDescent="0.2">
      <c r="D350" s="39" t="s">
        <v>224</v>
      </c>
      <c r="F350" s="39" t="s">
        <v>197</v>
      </c>
    </row>
    <row r="351" spans="1:9" x14ac:dyDescent="0.2">
      <c r="C351" s="35"/>
      <c r="D351" s="39" t="s">
        <v>225</v>
      </c>
      <c r="F351" s="39" t="s">
        <v>198</v>
      </c>
    </row>
    <row r="352" spans="1:9" x14ac:dyDescent="0.2">
      <c r="D352" s="39" t="s">
        <v>226</v>
      </c>
      <c r="F352" s="39" t="s">
        <v>204</v>
      </c>
    </row>
    <row r="353" spans="1:16" x14ac:dyDescent="0.2">
      <c r="D353" s="39" t="s">
        <v>277</v>
      </c>
      <c r="F353" s="39" t="s">
        <v>253</v>
      </c>
    </row>
    <row r="354" spans="1:16" x14ac:dyDescent="0.2">
      <c r="D354" s="39" t="s">
        <v>205</v>
      </c>
      <c r="F354" s="39" t="s">
        <v>206</v>
      </c>
    </row>
    <row r="355" spans="1:16" x14ac:dyDescent="0.2">
      <c r="D355" s="39" t="s">
        <v>243</v>
      </c>
      <c r="F355" s="39" t="s">
        <v>242</v>
      </c>
    </row>
    <row r="356" spans="1:16" x14ac:dyDescent="0.2">
      <c r="D356" s="39" t="s">
        <v>207</v>
      </c>
      <c r="F356" s="39" t="s">
        <v>208</v>
      </c>
    </row>
    <row r="357" spans="1:16" x14ac:dyDescent="0.2">
      <c r="D357" s="39" t="s">
        <v>209</v>
      </c>
      <c r="F357" s="39" t="s">
        <v>210</v>
      </c>
    </row>
    <row r="358" spans="1:16" x14ac:dyDescent="0.2">
      <c r="B358" s="39" t="s">
        <v>35</v>
      </c>
      <c r="C358" s="39" t="s">
        <v>234</v>
      </c>
    </row>
    <row r="359" spans="1:16" x14ac:dyDescent="0.2">
      <c r="D359" s="35" t="s">
        <v>216</v>
      </c>
    </row>
    <row r="360" spans="1:16" x14ac:dyDescent="0.2">
      <c r="D360" s="39" t="s">
        <v>217</v>
      </c>
      <c r="E360" s="39" t="s">
        <v>208</v>
      </c>
    </row>
    <row r="361" spans="1:16" x14ac:dyDescent="0.2">
      <c r="D361" s="39" t="s">
        <v>218</v>
      </c>
      <c r="E361" s="39" t="s">
        <v>141</v>
      </c>
    </row>
    <row r="362" spans="1:16" x14ac:dyDescent="0.2">
      <c r="D362" s="39" t="s">
        <v>221</v>
      </c>
      <c r="E362" s="39" t="s">
        <v>222</v>
      </c>
    </row>
    <row r="364" spans="1:16" x14ac:dyDescent="0.2">
      <c r="B364" s="39" t="s">
        <v>36</v>
      </c>
      <c r="C364" s="39" t="s">
        <v>212</v>
      </c>
    </row>
    <row r="366" spans="1:16" x14ac:dyDescent="0.2">
      <c r="A366" s="39" t="s">
        <v>398</v>
      </c>
      <c r="B366" s="39" t="s">
        <v>214</v>
      </c>
      <c r="C366" s="39"/>
    </row>
    <row r="367" spans="1:16" x14ac:dyDescent="0.2">
      <c r="A367" s="39" t="s">
        <v>399</v>
      </c>
      <c r="B367" s="39" t="s">
        <v>213</v>
      </c>
      <c r="C367" s="35"/>
    </row>
    <row r="368" spans="1:16" s="35" customFormat="1" x14ac:dyDescent="0.2">
      <c r="A368"/>
      <c r="B368"/>
      <c r="C368"/>
      <c r="N368"/>
      <c r="O368"/>
      <c r="P368"/>
    </row>
    <row r="369" spans="1:16" x14ac:dyDescent="0.2">
      <c r="B369" s="39" t="s">
        <v>36</v>
      </c>
      <c r="C369" s="39" t="s">
        <v>212</v>
      </c>
      <c r="P369" s="35"/>
    </row>
    <row r="370" spans="1:16" x14ac:dyDescent="0.2">
      <c r="B370" s="39"/>
      <c r="C370" s="39"/>
      <c r="N370" s="35"/>
      <c r="O370" s="35"/>
    </row>
    <row r="372" spans="1:16" x14ac:dyDescent="0.2">
      <c r="A372" s="35" t="s">
        <v>500</v>
      </c>
      <c r="D372" s="35"/>
      <c r="E372" s="35"/>
    </row>
    <row r="373" spans="1:16" x14ac:dyDescent="0.2">
      <c r="A373" s="59" t="s">
        <v>77</v>
      </c>
      <c r="B373" s="35"/>
      <c r="C373" s="35"/>
    </row>
    <row r="374" spans="1:16" x14ac:dyDescent="0.2">
      <c r="A374" s="39" t="s">
        <v>215</v>
      </c>
      <c r="B374" s="35"/>
      <c r="C374" s="35"/>
    </row>
    <row r="375" spans="1:16" x14ac:dyDescent="0.2">
      <c r="A375" t="s">
        <v>37</v>
      </c>
      <c r="B375" s="35"/>
      <c r="C375" s="35"/>
      <c r="D375" s="35"/>
      <c r="E375" s="35"/>
    </row>
    <row r="376" spans="1:16" x14ac:dyDescent="0.2">
      <c r="B376" s="35"/>
      <c r="C376" s="35"/>
      <c r="D376" s="35"/>
      <c r="E376" s="35"/>
    </row>
    <row r="377" spans="1:16" x14ac:dyDescent="0.2">
      <c r="A377" s="35" t="s">
        <v>38</v>
      </c>
    </row>
    <row r="378" spans="1:16" x14ac:dyDescent="0.2">
      <c r="A378" t="s">
        <v>78</v>
      </c>
    </row>
    <row r="379" spans="1:16" x14ac:dyDescent="0.2">
      <c r="A379" t="s">
        <v>37</v>
      </c>
    </row>
    <row r="381" spans="1:16" x14ac:dyDescent="0.2">
      <c r="A381" s="35" t="s">
        <v>57</v>
      </c>
    </row>
    <row r="382" spans="1:16" x14ac:dyDescent="0.2">
      <c r="A382" t="s">
        <v>94</v>
      </c>
    </row>
    <row r="384" spans="1:16" x14ac:dyDescent="0.2">
      <c r="A384" s="35" t="s">
        <v>279</v>
      </c>
    </row>
    <row r="385" spans="1:21" x14ac:dyDescent="0.2">
      <c r="A385" s="39" t="s">
        <v>280</v>
      </c>
    </row>
    <row r="386" spans="1:21" x14ac:dyDescent="0.2">
      <c r="A386" t="s">
        <v>37</v>
      </c>
    </row>
    <row r="388" spans="1:21" x14ac:dyDescent="0.2">
      <c r="A388" s="35" t="s">
        <v>511</v>
      </c>
    </row>
    <row r="389" spans="1:21" ht="26.45" customHeight="1" x14ac:dyDescent="0.2">
      <c r="A389" s="187" t="s">
        <v>512</v>
      </c>
      <c r="B389" s="187" t="s">
        <v>513</v>
      </c>
      <c r="C389" s="292" t="s">
        <v>514</v>
      </c>
      <c r="D389" s="292"/>
      <c r="E389" s="292"/>
      <c r="F389" s="292"/>
      <c r="G389" s="292"/>
      <c r="H389" s="292"/>
      <c r="I389" s="292"/>
    </row>
    <row r="390" spans="1:21" ht="26.45" customHeight="1" x14ac:dyDescent="0.2">
      <c r="A390" s="255" t="s">
        <v>538</v>
      </c>
      <c r="B390" s="256" t="s">
        <v>539</v>
      </c>
      <c r="C390" s="287" t="s">
        <v>540</v>
      </c>
      <c r="D390" s="288"/>
      <c r="E390" s="288"/>
      <c r="F390" s="288"/>
      <c r="G390" s="288"/>
      <c r="H390" s="288"/>
      <c r="I390" s="289"/>
    </row>
    <row r="391" spans="1:21" ht="26.45" customHeight="1" x14ac:dyDescent="0.2">
      <c r="A391" s="255" t="s">
        <v>536</v>
      </c>
      <c r="B391" s="256">
        <v>46093</v>
      </c>
      <c r="C391" s="287" t="s">
        <v>537</v>
      </c>
      <c r="D391" s="288"/>
      <c r="E391" s="288"/>
      <c r="F391" s="288"/>
      <c r="G391" s="288"/>
      <c r="H391" s="288"/>
      <c r="I391" s="289"/>
    </row>
    <row r="392" spans="1:21" ht="47.1" customHeight="1" x14ac:dyDescent="0.2">
      <c r="A392" s="255" t="s">
        <v>527</v>
      </c>
      <c r="B392" s="256">
        <v>46000</v>
      </c>
      <c r="C392" s="287" t="s">
        <v>534</v>
      </c>
      <c r="D392" s="288"/>
      <c r="E392" s="288"/>
      <c r="F392" s="288"/>
      <c r="G392" s="288"/>
      <c r="H392" s="288"/>
      <c r="I392" s="289"/>
    </row>
    <row r="393" spans="1:21" ht="98.1" customHeight="1" x14ac:dyDescent="0.2">
      <c r="A393" s="255" t="s">
        <v>526</v>
      </c>
      <c r="B393" s="256">
        <v>45378</v>
      </c>
      <c r="C393" s="287" t="s">
        <v>525</v>
      </c>
      <c r="D393" s="288"/>
      <c r="E393" s="288"/>
      <c r="F393" s="288"/>
      <c r="G393" s="288"/>
      <c r="H393" s="288"/>
      <c r="I393" s="289"/>
    </row>
    <row r="394" spans="1:21" ht="48" customHeight="1" x14ac:dyDescent="0.2">
      <c r="A394" s="255" t="s">
        <v>528</v>
      </c>
      <c r="B394" s="256">
        <v>45231</v>
      </c>
      <c r="C394" s="287" t="s">
        <v>529</v>
      </c>
      <c r="D394" s="288"/>
      <c r="E394" s="288"/>
      <c r="F394" s="288"/>
      <c r="G394" s="288"/>
      <c r="H394" s="288"/>
      <c r="I394" s="289"/>
    </row>
    <row r="395" spans="1:21" ht="26.45" customHeight="1" x14ac:dyDescent="0.2">
      <c r="A395" s="255" t="s">
        <v>530</v>
      </c>
      <c r="B395" s="256">
        <v>45195</v>
      </c>
      <c r="C395" s="287" t="s">
        <v>531</v>
      </c>
      <c r="D395" s="288"/>
      <c r="E395" s="288"/>
      <c r="F395" s="288"/>
      <c r="G395" s="288"/>
      <c r="H395" s="288"/>
      <c r="I395" s="289"/>
    </row>
    <row r="396" spans="1:21" ht="75.75" customHeight="1" x14ac:dyDescent="0.2">
      <c r="A396" s="255" t="s">
        <v>532</v>
      </c>
      <c r="B396" s="256">
        <v>44875</v>
      </c>
      <c r="C396" s="287" t="s">
        <v>533</v>
      </c>
      <c r="D396" s="288"/>
      <c r="E396" s="288"/>
      <c r="F396" s="288"/>
      <c r="G396" s="288"/>
      <c r="H396" s="288"/>
      <c r="I396" s="289"/>
    </row>
    <row r="397" spans="1:21" ht="53.25" customHeight="1" x14ac:dyDescent="0.2"/>
    <row r="398" spans="1:21" x14ac:dyDescent="0.2">
      <c r="M398" s="39"/>
      <c r="T398" s="39"/>
      <c r="U398" s="39"/>
    </row>
    <row r="399" spans="1:21" x14ac:dyDescent="0.2">
      <c r="M399" s="39"/>
    </row>
    <row r="400" spans="1:21" x14ac:dyDescent="0.2">
      <c r="N400" s="39"/>
    </row>
    <row r="401" spans="14:14" x14ac:dyDescent="0.2">
      <c r="N401" s="39"/>
    </row>
    <row r="420" spans="1:16" s="35" customFormat="1" x14ac:dyDescent="0.2">
      <c r="A420"/>
      <c r="B420"/>
      <c r="C420"/>
      <c r="D420"/>
      <c r="E420"/>
      <c r="F420"/>
      <c r="G420"/>
      <c r="H420"/>
      <c r="I420"/>
      <c r="J420"/>
      <c r="K420"/>
      <c r="N420"/>
      <c r="O420"/>
      <c r="P420"/>
    </row>
    <row r="421" spans="1:16" s="35" customFormat="1" x14ac:dyDescent="0.2">
      <c r="A421"/>
      <c r="B421"/>
      <c r="C421"/>
      <c r="D421"/>
      <c r="E421"/>
      <c r="F421"/>
      <c r="G421"/>
      <c r="H421"/>
      <c r="I421"/>
      <c r="J421"/>
      <c r="K421"/>
      <c r="N421"/>
      <c r="O421"/>
    </row>
    <row r="422" spans="1:16" s="35" customFormat="1" x14ac:dyDescent="0.2">
      <c r="A422"/>
      <c r="B422"/>
      <c r="C422"/>
      <c r="D422"/>
      <c r="E422"/>
      <c r="F422"/>
      <c r="G422"/>
      <c r="H422"/>
      <c r="I422"/>
      <c r="J422"/>
      <c r="K422"/>
    </row>
    <row r="423" spans="1:16" x14ac:dyDescent="0.2">
      <c r="N423" s="35"/>
      <c r="O423" s="35"/>
      <c r="P423" s="35"/>
    </row>
    <row r="424" spans="1:16" x14ac:dyDescent="0.2">
      <c r="N424" s="35"/>
      <c r="O424" s="35"/>
    </row>
    <row r="425" spans="1:16" s="35" customFormat="1" x14ac:dyDescent="0.2">
      <c r="A425"/>
      <c r="B425"/>
      <c r="C425"/>
      <c r="D425"/>
      <c r="E425"/>
      <c r="F425"/>
      <c r="G425"/>
      <c r="H425"/>
      <c r="I425"/>
      <c r="J425"/>
      <c r="K425"/>
      <c r="N425"/>
      <c r="O425"/>
      <c r="P425"/>
    </row>
    <row r="426" spans="1:16" s="35" customFormat="1" x14ac:dyDescent="0.2">
      <c r="A426"/>
      <c r="B426"/>
      <c r="C426"/>
      <c r="D426"/>
      <c r="E426"/>
      <c r="F426"/>
      <c r="G426"/>
      <c r="H426"/>
      <c r="I426"/>
      <c r="J426"/>
      <c r="K426"/>
      <c r="N426"/>
      <c r="O426"/>
    </row>
    <row r="427" spans="1:16" s="35" customFormat="1" x14ac:dyDescent="0.2">
      <c r="A427"/>
      <c r="B427"/>
      <c r="C427"/>
      <c r="D427"/>
      <c r="E427"/>
      <c r="F427"/>
      <c r="G427"/>
      <c r="H427"/>
      <c r="I427"/>
      <c r="J427"/>
      <c r="K427"/>
    </row>
    <row r="428" spans="1:16" s="35" customFormat="1" x14ac:dyDescent="0.2">
      <c r="A428"/>
      <c r="B428"/>
      <c r="C428"/>
      <c r="D428"/>
      <c r="E428"/>
      <c r="F428"/>
      <c r="G428"/>
      <c r="H428"/>
      <c r="I428"/>
      <c r="J428"/>
      <c r="K428"/>
    </row>
    <row r="429" spans="1:16" s="35" customFormat="1" x14ac:dyDescent="0.2">
      <c r="A429"/>
      <c r="B429"/>
      <c r="C429"/>
      <c r="D429"/>
      <c r="E429"/>
      <c r="F429"/>
      <c r="G429"/>
      <c r="H429"/>
      <c r="I429"/>
      <c r="J429"/>
      <c r="K429"/>
    </row>
    <row r="430" spans="1:16" s="35" customFormat="1" x14ac:dyDescent="0.2">
      <c r="A430"/>
      <c r="B430"/>
      <c r="C430"/>
      <c r="D430"/>
      <c r="E430"/>
      <c r="F430"/>
      <c r="G430"/>
      <c r="H430"/>
      <c r="I430"/>
      <c r="J430"/>
      <c r="K430"/>
    </row>
    <row r="431" spans="1:16" s="35" customFormat="1" x14ac:dyDescent="0.2">
      <c r="A431"/>
      <c r="B431"/>
      <c r="C431"/>
      <c r="D431"/>
      <c r="E431"/>
      <c r="F431"/>
      <c r="G431"/>
      <c r="H431"/>
      <c r="I431"/>
      <c r="J431"/>
      <c r="K431"/>
    </row>
    <row r="432" spans="1:16" x14ac:dyDescent="0.2">
      <c r="N432" s="35"/>
      <c r="O432" s="35"/>
      <c r="P432" s="35"/>
    </row>
    <row r="433" spans="1:16" x14ac:dyDescent="0.2">
      <c r="N433" s="35"/>
      <c r="O433" s="35"/>
    </row>
    <row r="434" spans="1:16" s="35" customFormat="1" x14ac:dyDescent="0.2">
      <c r="A434"/>
      <c r="B434"/>
      <c r="C434"/>
      <c r="D434"/>
      <c r="E434"/>
      <c r="F434"/>
      <c r="G434"/>
      <c r="H434"/>
      <c r="I434"/>
      <c r="J434"/>
      <c r="K434"/>
      <c r="N434"/>
      <c r="O434"/>
      <c r="P434"/>
    </row>
    <row r="435" spans="1:16" s="35" customFormat="1" x14ac:dyDescent="0.2">
      <c r="A435"/>
      <c r="B435"/>
      <c r="C435"/>
      <c r="D435"/>
      <c r="E435"/>
      <c r="F435"/>
      <c r="G435"/>
      <c r="H435"/>
      <c r="I435"/>
      <c r="J435"/>
      <c r="K435"/>
      <c r="N435"/>
      <c r="O435"/>
    </row>
    <row r="436" spans="1:16" s="35" customFormat="1" x14ac:dyDescent="0.2">
      <c r="A436"/>
      <c r="B436"/>
      <c r="C436"/>
      <c r="D436"/>
      <c r="E436"/>
      <c r="F436"/>
      <c r="G436"/>
      <c r="H436"/>
      <c r="I436"/>
      <c r="J436"/>
      <c r="K436"/>
    </row>
    <row r="437" spans="1:16" x14ac:dyDescent="0.2">
      <c r="N437" s="35"/>
      <c r="O437" s="35"/>
      <c r="P437" s="35"/>
    </row>
    <row r="438" spans="1:16" x14ac:dyDescent="0.2">
      <c r="N438" s="35"/>
      <c r="O438" s="35"/>
    </row>
    <row r="439" spans="1:16" s="35" customFormat="1" x14ac:dyDescent="0.2">
      <c r="A439"/>
      <c r="B439"/>
      <c r="C439"/>
      <c r="D439"/>
      <c r="E439"/>
      <c r="F439"/>
      <c r="G439"/>
      <c r="H439"/>
      <c r="I439"/>
      <c r="J439"/>
      <c r="K439"/>
      <c r="N439"/>
      <c r="O439"/>
      <c r="P439"/>
    </row>
    <row r="440" spans="1:16" s="35" customFormat="1" x14ac:dyDescent="0.2">
      <c r="A440"/>
      <c r="B440"/>
      <c r="C440"/>
      <c r="D440"/>
      <c r="E440"/>
      <c r="F440"/>
      <c r="G440"/>
      <c r="H440"/>
      <c r="I440"/>
      <c r="J440"/>
      <c r="K440"/>
      <c r="N440"/>
      <c r="O440"/>
    </row>
    <row r="441" spans="1:16" s="35" customFormat="1" x14ac:dyDescent="0.2">
      <c r="A441"/>
      <c r="B441"/>
      <c r="C441"/>
      <c r="D441"/>
      <c r="E441"/>
      <c r="F441"/>
      <c r="G441"/>
      <c r="H441"/>
      <c r="I441"/>
      <c r="J441"/>
      <c r="K441"/>
    </row>
    <row r="442" spans="1:16" s="35" customFormat="1" x14ac:dyDescent="0.2">
      <c r="A442"/>
      <c r="B442"/>
      <c r="C442"/>
      <c r="D442"/>
      <c r="E442"/>
      <c r="F442"/>
      <c r="G442"/>
      <c r="H442"/>
      <c r="I442"/>
      <c r="J442"/>
      <c r="K442"/>
    </row>
    <row r="443" spans="1:16" s="35" customFormat="1" x14ac:dyDescent="0.2">
      <c r="A443"/>
      <c r="B443"/>
      <c r="C443"/>
      <c r="D443"/>
      <c r="E443"/>
      <c r="F443"/>
      <c r="G443"/>
      <c r="H443"/>
      <c r="I443"/>
      <c r="J443"/>
      <c r="K443"/>
    </row>
    <row r="444" spans="1:16" x14ac:dyDescent="0.2">
      <c r="N444" s="35"/>
      <c r="O444" s="35"/>
      <c r="P444" s="35"/>
    </row>
    <row r="445" spans="1:16" x14ac:dyDescent="0.2">
      <c r="N445" s="35"/>
      <c r="O445" s="35"/>
    </row>
    <row r="606" ht="14.1" customHeight="1" x14ac:dyDescent="0.2"/>
    <row r="607" ht="14.1" customHeight="1" x14ac:dyDescent="0.2"/>
  </sheetData>
  <sheetProtection formatColumns="0" formatRows="0"/>
  <mergeCells count="23">
    <mergeCell ref="O24:P24"/>
    <mergeCell ref="C390:I390"/>
    <mergeCell ref="N11:P11"/>
    <mergeCell ref="O13:P13"/>
    <mergeCell ref="O14:P14"/>
    <mergeCell ref="O15:P15"/>
    <mergeCell ref="O16:P16"/>
    <mergeCell ref="C391:I391"/>
    <mergeCell ref="C394:I394"/>
    <mergeCell ref="C395:I395"/>
    <mergeCell ref="C396:I396"/>
    <mergeCell ref="O12:P12"/>
    <mergeCell ref="O17:P17"/>
    <mergeCell ref="O18:P18"/>
    <mergeCell ref="O19:P19"/>
    <mergeCell ref="O20:P20"/>
    <mergeCell ref="C393:I393"/>
    <mergeCell ref="C392:I392"/>
    <mergeCell ref="C389:I389"/>
    <mergeCell ref="O29:P29"/>
    <mergeCell ref="O21:P21"/>
    <mergeCell ref="O22:P22"/>
    <mergeCell ref="O23:P23"/>
  </mergeCells>
  <phoneticPr fontId="0" type="noConversion"/>
  <pageMargins left="0.5" right="0.5" top="1" bottom="1" header="0.25" footer="0.25"/>
  <pageSetup scale="58" orientation="landscape" r:id="rId1"/>
  <headerFooter alignWithMargins="0">
    <oddHeader>&amp;LPart No.:
Batch No(s).: 
Cartridge No. (LSP): &amp;C&amp;12Product QC Testing Worksheet-MTB/XDR&amp;RDocument Number: D37339 Attachment 1
Rev: M
Effective: 5/21/2026
p. &amp;P of &amp;N</oddHeader>
    <oddFooter>&amp;C User is responsible for using the current revision. The controlled current released revision of this document resides in the Agile PLM system.
Cepheid Confidential    Date Printed: &amp;D      &amp;T</oddFooter>
  </headerFooter>
  <rowBreaks count="2" manualBreakCount="2">
    <brk id="134" max="15" man="1"/>
    <brk id="251" max="1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Y241"/>
  <sheetViews>
    <sheetView zoomScaleNormal="100" zoomScaleSheetLayoutView="84" workbookViewId="0"/>
  </sheetViews>
  <sheetFormatPr defaultRowHeight="12.75" x14ac:dyDescent="0.2"/>
  <cols>
    <col min="1" max="1" width="19.42578125" bestFit="1" customWidth="1"/>
    <col min="2" max="2" width="10.85546875" style="147" bestFit="1" customWidth="1"/>
    <col min="3" max="3" width="8.5703125" style="147" bestFit="1" customWidth="1"/>
    <col min="4" max="4" width="9.5703125" style="147" customWidth="1"/>
    <col min="5" max="5" width="19" style="147" customWidth="1"/>
    <col min="6" max="9" width="9.5703125" style="147" customWidth="1"/>
    <col min="10" max="10" width="18.5703125" customWidth="1"/>
    <col min="12" max="12" width="9.42578125" customWidth="1"/>
    <col min="46" max="46" width="11.140625" customWidth="1"/>
    <col min="49" max="49" width="15.5703125" customWidth="1"/>
    <col min="51" max="51" width="9.5703125" customWidth="1"/>
  </cols>
  <sheetData>
    <row r="1" spans="1:77" ht="70.5" thickBot="1" x14ac:dyDescent="0.25">
      <c r="E1" s="185" t="s">
        <v>417</v>
      </c>
      <c r="J1" s="185" t="s">
        <v>448</v>
      </c>
      <c r="AW1" s="185" t="s">
        <v>449</v>
      </c>
      <c r="AX1" s="184"/>
      <c r="AY1" s="184"/>
    </row>
    <row r="2" spans="1:77" ht="80.099999999999994" customHeight="1" thickBot="1" x14ac:dyDescent="0.25">
      <c r="A2" s="169" t="s">
        <v>302</v>
      </c>
      <c r="B2" s="159" t="s">
        <v>301</v>
      </c>
      <c r="C2" s="156" t="s">
        <v>303</v>
      </c>
      <c r="E2" s="162" t="s">
        <v>302</v>
      </c>
      <c r="F2" s="159" t="s">
        <v>301</v>
      </c>
      <c r="G2" s="156" t="s">
        <v>431</v>
      </c>
      <c r="J2" s="160" t="s">
        <v>302</v>
      </c>
      <c r="K2" s="158" t="s">
        <v>450</v>
      </c>
      <c r="L2" s="159"/>
      <c r="M2" s="159" t="s">
        <v>451</v>
      </c>
      <c r="N2" s="159"/>
      <c r="O2" s="159" t="s">
        <v>452</v>
      </c>
      <c r="P2" s="159"/>
      <c r="Q2" s="159" t="s">
        <v>453</v>
      </c>
      <c r="R2" s="159"/>
      <c r="S2" s="159" t="s">
        <v>454</v>
      </c>
      <c r="T2" s="159"/>
      <c r="U2" s="159" t="s">
        <v>455</v>
      </c>
      <c r="V2" s="159"/>
      <c r="W2" s="159" t="s">
        <v>456</v>
      </c>
      <c r="X2" s="159"/>
      <c r="Y2" s="159" t="s">
        <v>457</v>
      </c>
      <c r="Z2" s="159"/>
      <c r="AA2" s="159" t="s">
        <v>458</v>
      </c>
      <c r="AB2" s="159"/>
      <c r="AC2" s="159" t="s">
        <v>459</v>
      </c>
      <c r="AD2" s="159"/>
      <c r="AE2" s="159" t="s">
        <v>460</v>
      </c>
      <c r="AF2" s="159"/>
      <c r="AG2" s="159" t="s">
        <v>461</v>
      </c>
      <c r="AH2" s="159"/>
      <c r="AI2" s="159" t="s">
        <v>462</v>
      </c>
      <c r="AJ2" s="159"/>
      <c r="AK2" s="159" t="s">
        <v>463</v>
      </c>
      <c r="AL2" s="159"/>
      <c r="AM2" s="159" t="s">
        <v>464</v>
      </c>
      <c r="AN2" s="159"/>
      <c r="AO2" s="159" t="s">
        <v>465</v>
      </c>
      <c r="AP2" s="159"/>
      <c r="AQ2" s="159" t="s">
        <v>466</v>
      </c>
      <c r="AR2" s="159"/>
      <c r="AS2" s="159" t="s">
        <v>467</v>
      </c>
      <c r="AT2" s="156"/>
      <c r="AW2" s="161" t="s">
        <v>302</v>
      </c>
      <c r="AX2" s="158" t="s">
        <v>484</v>
      </c>
      <c r="AY2" s="159"/>
      <c r="AZ2" s="159" t="s">
        <v>483</v>
      </c>
      <c r="BA2" s="159"/>
      <c r="BB2" s="159" t="s">
        <v>503</v>
      </c>
      <c r="BC2" s="159"/>
      <c r="BD2" s="159" t="s">
        <v>482</v>
      </c>
      <c r="BE2" s="159"/>
      <c r="BF2" s="159" t="s">
        <v>502</v>
      </c>
      <c r="BG2" s="159"/>
      <c r="BH2" s="159" t="s">
        <v>456</v>
      </c>
      <c r="BI2" s="159"/>
      <c r="BJ2" s="159" t="s">
        <v>480</v>
      </c>
      <c r="BK2" s="159"/>
      <c r="BL2" s="159" t="s">
        <v>481</v>
      </c>
      <c r="BM2" s="159"/>
      <c r="BN2" s="159" t="s">
        <v>476</v>
      </c>
      <c r="BO2" s="159"/>
      <c r="BP2" s="159" t="s">
        <v>477</v>
      </c>
      <c r="BQ2" s="159"/>
      <c r="BR2" s="159" t="s">
        <v>478</v>
      </c>
      <c r="BS2" s="159"/>
      <c r="BT2" s="159" t="s">
        <v>479</v>
      </c>
      <c r="BU2" s="159"/>
      <c r="BV2" s="159" t="s">
        <v>466</v>
      </c>
      <c r="BW2" s="159"/>
      <c r="BX2" s="159" t="s">
        <v>467</v>
      </c>
      <c r="BY2" s="156"/>
    </row>
    <row r="3" spans="1:77" ht="12.75" customHeight="1" x14ac:dyDescent="0.2">
      <c r="A3" s="284" t="s">
        <v>129</v>
      </c>
      <c r="B3" s="154">
        <f>IF('Data Summary'!C10="PASS",'Data - First 10'!Q2,"")</f>
        <v>26.8</v>
      </c>
      <c r="C3" s="279">
        <f>AVERAGE(B3:B12)</f>
        <v>26.82</v>
      </c>
      <c r="E3" s="275">
        <v>1</v>
      </c>
      <c r="F3" s="154">
        <f>IF('Data Summary'!C25="PASS",IF('Data Summary'!A25="","",'Data - Sample Type 0'!Q2),"")</f>
        <v>26.9</v>
      </c>
      <c r="G3" s="279">
        <f>AVERAGE(F3:F12)</f>
        <v>27.409999999999997</v>
      </c>
      <c r="J3" s="275">
        <v>1</v>
      </c>
      <c r="K3" s="154">
        <f>IF(AND('Data Summary'!C130="PASS",'Data - Sample Type 1'!FO2&lt;&gt;0),'Data - Sample Type 1'!FO2,"")</f>
        <v>76.099999999999994</v>
      </c>
      <c r="L3" s="258">
        <f>AVERAGE(K3:K10)</f>
        <v>75.987500000000011</v>
      </c>
      <c r="M3" s="170">
        <f>IF('Data Summary'!C130="PASS",IF('Data - Sample Type 1'!AE2=0,"",'Data - Sample Type 1'!AE2),"")</f>
        <v>25.9</v>
      </c>
      <c r="N3" s="258">
        <f>AVERAGE(M3:M10)</f>
        <v>25.237499999999997</v>
      </c>
      <c r="O3" s="154">
        <f>IF(AND('Data Summary'!C130="PASS",'Data - Sample Type 1'!FW2&lt;&gt;0),'Data - Sample Type 1'!FW2,"")</f>
        <v>73.5</v>
      </c>
      <c r="P3" s="258">
        <f>AVERAGE(O3:O10)</f>
        <v>73.400000000000006</v>
      </c>
      <c r="Q3" s="190">
        <f>IF(AND('Data Summary'!C130="PASS",O3&lt;&gt;""),'Data - Sample Type 1'!FX2,"")</f>
        <v>103.1</v>
      </c>
      <c r="R3" s="263">
        <f>AVERAGE(Q3:Q10)</f>
        <v>96.6</v>
      </c>
      <c r="S3" s="154">
        <f>IF(AND('Data Summary'!C130="PASS",'Data - Sample Type 1'!GE2&lt;&gt;0),'Data - Sample Type 1'!GE2,"")</f>
        <v>71.3</v>
      </c>
      <c r="T3" s="265">
        <f>AVERAGE(S3:S10)</f>
        <v>71.212499999999991</v>
      </c>
      <c r="U3" s="190">
        <f>IF(AND('Data Summary'!C130="PASS",S3&lt;&gt;""),'Data - Sample Type 1'!GF2,"")</f>
        <v>293.8</v>
      </c>
      <c r="V3" s="263">
        <f>AVERAGE(U3:U10)</f>
        <v>267.46249999999998</v>
      </c>
      <c r="W3" s="154">
        <f>IF('Data Summary'!C130="PASS",IF('Data - Sample Type 1'!BG2=0,"",'Data - Sample Type 1'!BG2),"")</f>
        <v>24.1</v>
      </c>
      <c r="X3" s="265">
        <f>AVERAGE(W3:W10)</f>
        <v>22.25</v>
      </c>
      <c r="Y3" s="196">
        <f>IF(AND('Data Summary'!C130="PASS",'Data - Sample Type 1'!GM2&lt;&gt;0),'Data - Sample Type 1'!GM2,"")</f>
        <v>68.5</v>
      </c>
      <c r="Z3" s="265">
        <f>AVERAGE(Y3:Y10)</f>
        <v>68.412500000000009</v>
      </c>
      <c r="AA3" s="154">
        <f>IF('Data Summary'!C130="PASS",IF('Data - Sample Type 1'!BU2=0,"",'Data - Sample Type 1'!BU2),"")</f>
        <v>30.9</v>
      </c>
      <c r="AB3" s="265">
        <f>AVERAGE(AA3:AA10)</f>
        <v>29.3125</v>
      </c>
      <c r="AC3" s="154">
        <f>IF(AND('Data Summary'!C130="PASS",'Data - Sample Type 1'!HC2&lt;&gt;0),'Data - Sample Type 1'!HC2,"")</f>
        <v>70.2</v>
      </c>
      <c r="AD3" s="265">
        <f>AVERAGE(AC3:AC10)</f>
        <v>70.175000000000011</v>
      </c>
      <c r="AE3" s="190">
        <f>IF(AND('Data Summary'!C130="PASS",AC3&lt;&gt;""),'Data - Sample Type 1'!HD2,"")</f>
        <v>80.900000000000006</v>
      </c>
      <c r="AF3" s="263">
        <f>AVERAGE(AE3:AE10)</f>
        <v>82.924999999999983</v>
      </c>
      <c r="AG3" s="154">
        <f>IF(AND('Data Summary'!C130="PASS",'Data - Sample Type 1'!HK2&lt;&gt;0),'Data - Sample Type 1'!HK2,"")</f>
        <v>70.8</v>
      </c>
      <c r="AH3" s="265">
        <f>AVERAGE(AG3:AG10)</f>
        <v>70.825000000000003</v>
      </c>
      <c r="AI3" s="190">
        <f>IF(AND('Data Summary'!C130="PASS",AG3&lt;&gt;""),'Data - Sample Type 1'!HL2,"")</f>
        <v>138.1</v>
      </c>
      <c r="AJ3" s="263">
        <f>AVERAGE(AI3:AI10)</f>
        <v>142.41250000000002</v>
      </c>
      <c r="AK3" s="154">
        <f>IF(AND('Data Summary'!C130="PASS",'Data - Sample Type 1'!HS2&lt;&gt;0),'Data - Sample Type 1'!HS2,"")</f>
        <v>69.3</v>
      </c>
      <c r="AL3" s="265">
        <f>AVERAGE(AK3:AK10)</f>
        <v>69.162499999999994</v>
      </c>
      <c r="AM3" s="190">
        <f>IF(AND('Data Summary'!C130="PASS",AK3&lt;&gt;""),'Data - Sample Type 1'!HT2,"")</f>
        <v>92.7</v>
      </c>
      <c r="AN3" s="263">
        <f>AVERAGE(AM3:AM10)</f>
        <v>96.424999999999997</v>
      </c>
      <c r="AO3" s="154">
        <f>IF('Data Summary'!C130="PASS",IF('Data - Sample Type 1'!DK2=0,"",'Data - Sample Type 1'!DK2),"")</f>
        <v>25.3</v>
      </c>
      <c r="AP3" s="265">
        <f>AVERAGE(AO3:AO10)</f>
        <v>23.762499999999999</v>
      </c>
      <c r="AQ3" s="154">
        <f>IF('Data Summary'!C130="PASS",IF('Data - Sample Type 1'!DY2=0,"",'Data - Sample Type 1'!DY2),"")</f>
        <v>22.5</v>
      </c>
      <c r="AR3" s="265">
        <f>AVERAGE(AQ3:AQ10)</f>
        <v>21.274999999999999</v>
      </c>
      <c r="AS3" s="154">
        <f>IF('Data Summary'!C130="PASS",IF('Data - Sample Type 1'!EM2=0,"",'Data - Sample Type 1'!EM2),"")</f>
        <v>26.7</v>
      </c>
      <c r="AT3" s="269">
        <f>AVERAGE(AS3:AS10)</f>
        <v>24.542857142857141</v>
      </c>
      <c r="AW3" s="282" t="s">
        <v>357</v>
      </c>
      <c r="AX3" s="154" t="str">
        <f>IF(AND('Data Summary'!C215="PASS",'Data - Sample Type 2'!IQ2&lt;&gt;0),'Data - Sample Type 2'!IQ2,"")</f>
        <v/>
      </c>
      <c r="AY3" s="258">
        <f>AVERAGE(AX3:AX12)</f>
        <v>70.466666666666654</v>
      </c>
      <c r="AZ3" s="154" t="str">
        <f>IF(AND('Data Summary'!C215="PASS",'Data - Sample Type 2'!IY2&lt;&gt;0),'Data - Sample Type 2'!IY2,"")</f>
        <v/>
      </c>
      <c r="BA3" s="258">
        <f>AVERAGE(AZ3:AZ12)</f>
        <v>67.783333333333346</v>
      </c>
      <c r="BB3" s="239" t="str">
        <f>IF(AND('Data Summary'!C215="PASS",AZ3&lt;&gt;""),'Data - Sample Type 2'!IZ2,"")</f>
        <v/>
      </c>
      <c r="BC3" s="263">
        <f>ROUND(AVERAGE(BB3:BB12),0)</f>
        <v>142</v>
      </c>
      <c r="BD3" s="154" t="str">
        <f>IF(AND('Data Summary'!C215="PASS",'Data - Sample Type 2'!JG2&lt;&gt;0),'Data - Sample Type 2'!JG2,"")</f>
        <v/>
      </c>
      <c r="BE3" s="258">
        <f>AVERAGE(BD3:BD12)</f>
        <v>75.42</v>
      </c>
      <c r="BF3" s="239" t="str">
        <f>IF(AND('Data Summary'!C215="PASS",BD3&lt;&gt;""),'Data - Sample Type 2'!JH2,"")</f>
        <v/>
      </c>
      <c r="BG3" s="263">
        <f>ROUND(AVERAGE(BF3:BF12),0)</f>
        <v>168</v>
      </c>
      <c r="BH3" s="154" t="str">
        <f>IF('Data Summary'!C215="PASS",IF('Data - Sample Type 2'!BG2=0,"",'Data - Sample Type 2'!BG2),"")</f>
        <v/>
      </c>
      <c r="BI3" s="258">
        <f>AVERAGE(BH3:BH12)</f>
        <v>21.983333333333331</v>
      </c>
      <c r="BJ3" s="154" t="str">
        <f>IF(AND('Data Summary'!C215="PASS",'Data - Sample Type 2'!JO2&lt;&gt;0),'Data - Sample Type 2'!JO2,"")</f>
        <v/>
      </c>
      <c r="BK3" s="258">
        <f>AVERAGE(BJ3:BJ12)</f>
        <v>65.55</v>
      </c>
      <c r="BL3" s="154" t="str">
        <f>IF(AND('Data Summary'!C215="PASS",'Data - Sample Type 2'!HC2&lt;&gt;0),'Data - Sample Type 2'!HC2,"")</f>
        <v/>
      </c>
      <c r="BM3" s="258">
        <f>AVERAGE(BL3:BL12)</f>
        <v>69.2</v>
      </c>
      <c r="BN3" s="154" t="str">
        <f>IF(AND('Data Summary'!C215="PASS",'Data - Sample Type 2'!LS2&lt;&gt;0),'Data - Sample Type 2'!LS2,"")</f>
        <v/>
      </c>
      <c r="BO3" s="258">
        <f>AVERAGE(BN3:BN12)</f>
        <v>75.533333333333346</v>
      </c>
      <c r="BP3" s="190" t="str">
        <f>IF(AND('Data Summary'!C215="PASS",BN3&lt;&gt;""),'Data - Sample Type 2'!LT2,"")</f>
        <v/>
      </c>
      <c r="BQ3" s="263">
        <f>ROUND(AVERAGE(BP3:BP12),0)</f>
        <v>124</v>
      </c>
      <c r="BR3" s="154" t="str">
        <f>IF(AND('Data Summary'!C215="PASS",'Data - Sample Type 2'!MI2&lt;&gt;0),'Data - Sample Type 2'!MI2,"")</f>
        <v/>
      </c>
      <c r="BS3" s="258">
        <f>AVERAGE(BR3:BR12)</f>
        <v>65.399999999999991</v>
      </c>
      <c r="BT3" s="190" t="str">
        <f>IF(AND('Data Summary'!C215="PASS",BR3&lt;&gt;""),'Data - Sample Type 2'!MJ2,"")</f>
        <v/>
      </c>
      <c r="BU3" s="263">
        <f>ROUND(AVERAGE(BT3:BT12),0)</f>
        <v>101</v>
      </c>
      <c r="BV3" s="154" t="str">
        <f>IF('Data Summary'!C215="PASS",IF('Data - Sample Type 2'!DY2=0,"",'Data - Sample Type 2'!DY2),"")</f>
        <v/>
      </c>
      <c r="BW3" s="258">
        <f>AVERAGE(BV3:BV12)</f>
        <v>23.266666666666666</v>
      </c>
      <c r="BX3" s="154" t="str">
        <f>IF('Data Summary'!C215="PASS",IF('Data - Sample Type 2'!EM2=0,"",'Data - Sample Type 2'!EM2),"")</f>
        <v/>
      </c>
      <c r="BY3" s="279">
        <f>AVERAGE(BX3:BX12)</f>
        <v>23.616666666666671</v>
      </c>
    </row>
    <row r="4" spans="1:77" ht="12.75" customHeight="1" x14ac:dyDescent="0.2">
      <c r="A4" s="285"/>
      <c r="B4" s="151">
        <f>IF('Data Summary'!C11="PASS",'Data - First 10'!Q3,"")</f>
        <v>26.2</v>
      </c>
      <c r="C4" s="280"/>
      <c r="E4" s="276"/>
      <c r="F4" s="151">
        <f>IF('Data Summary'!C26="PASS",IF('Data Summary'!A26="","",'Data - Sample Type 0'!Q3),"")</f>
        <v>28</v>
      </c>
      <c r="G4" s="280"/>
      <c r="J4" s="276"/>
      <c r="K4" s="151">
        <f>IF(AND('Data Summary'!C131="PASS",'Data - Sample Type 1'!FO3&lt;&gt;0),'Data - Sample Type 1'!FO3,"")</f>
        <v>75.900000000000006</v>
      </c>
      <c r="L4" s="259"/>
      <c r="M4" s="102">
        <f>IF('Data Summary'!C131="PASS",IF('Data - Sample Type 1'!AE3=0,"",'Data - Sample Type 1'!AE3),"")</f>
        <v>25.2</v>
      </c>
      <c r="N4" s="259"/>
      <c r="O4" s="151">
        <f>IF(AND('Data Summary'!C131="PASS",'Data - Sample Type 1'!FW3&lt;&gt;0),'Data - Sample Type 1'!FW3,"")</f>
        <v>73.3</v>
      </c>
      <c r="P4" s="259"/>
      <c r="Q4" s="191">
        <f>IF(AND('Data Summary'!C131="PASS",O4&lt;&gt;""),'Data - Sample Type 1'!FX3,"")</f>
        <v>91.9</v>
      </c>
      <c r="R4" s="264"/>
      <c r="S4" s="151">
        <f>IF(AND('Data Summary'!C131="PASS",'Data - Sample Type 1'!GE3&lt;&gt;0),'Data - Sample Type 1'!GE3,"")</f>
        <v>71.099999999999994</v>
      </c>
      <c r="T4" s="266"/>
      <c r="U4" s="191">
        <f>IF(AND('Data Summary'!C131="PASS",S4&lt;&gt;""),'Data - Sample Type 1'!GF3,"")</f>
        <v>234.9</v>
      </c>
      <c r="V4" s="264"/>
      <c r="W4" s="151">
        <f>IF('Data Summary'!C131="PASS",IF('Data - Sample Type 1'!BG3=0,"",'Data - Sample Type 1'!BG3),"")</f>
        <v>23.2</v>
      </c>
      <c r="X4" s="266"/>
      <c r="Y4" s="194">
        <f>IF(AND('Data Summary'!C131="PASS",'Data - Sample Type 1'!GM3&lt;&gt;0),'Data - Sample Type 1'!GM3,"")</f>
        <v>68.3</v>
      </c>
      <c r="Z4" s="266"/>
      <c r="AA4" s="151">
        <f>IF('Data Summary'!C131="PASS",IF('Data - Sample Type 1'!BU3=0,"",'Data - Sample Type 1'!BU3),"")</f>
        <v>29.6</v>
      </c>
      <c r="AB4" s="266"/>
      <c r="AC4" s="151">
        <f>IF(AND('Data Summary'!C131="PASS",'Data - Sample Type 1'!HC3&lt;&gt;0),'Data - Sample Type 1'!HC3,"")</f>
        <v>70.099999999999994</v>
      </c>
      <c r="AD4" s="266"/>
      <c r="AE4" s="191">
        <f>IF(AND('Data Summary'!C131="PASS",AC4&lt;&gt;""),'Data - Sample Type 1'!HD3,"")</f>
        <v>81.8</v>
      </c>
      <c r="AF4" s="264"/>
      <c r="AG4" s="151">
        <f>IF(AND('Data Summary'!C131="PASS",'Data - Sample Type 1'!HK3&lt;&gt;0),'Data - Sample Type 1'!HK3,"")</f>
        <v>70.8</v>
      </c>
      <c r="AH4" s="266"/>
      <c r="AI4" s="191">
        <f>IF(AND('Data Summary'!C131="PASS",AG4&lt;&gt;""),'Data - Sample Type 1'!HL3,"")</f>
        <v>131.1</v>
      </c>
      <c r="AJ4" s="264"/>
      <c r="AK4" s="151">
        <f>IF(AND('Data Summary'!C131="PASS",'Data - Sample Type 1'!HS3&lt;&gt;0),'Data - Sample Type 1'!HS3,"")</f>
        <v>69.099999999999994</v>
      </c>
      <c r="AL4" s="266"/>
      <c r="AM4" s="191">
        <f>IF(AND('Data Summary'!C131="PASS",AK4&lt;&gt;""),'Data - Sample Type 1'!HT3,"")</f>
        <v>91.1</v>
      </c>
      <c r="AN4" s="264"/>
      <c r="AO4" s="194">
        <f>IF('Data Summary'!C131="PASS",IF('Data - Sample Type 1'!DK3=0,"",'Data - Sample Type 1'!DK3),"")</f>
        <v>24</v>
      </c>
      <c r="AP4" s="266"/>
      <c r="AQ4" s="151">
        <f>IF('Data Summary'!C131="PASS",IF('Data - Sample Type 1'!DY3=0,"",'Data - Sample Type 1'!DY3),"")</f>
        <v>21.3</v>
      </c>
      <c r="AR4" s="266"/>
      <c r="AS4" s="151">
        <f>IF('Data Summary'!C131="PASS",IF('Data - Sample Type 1'!EM3=0,"",'Data - Sample Type 1'!EM3),"")</f>
        <v>24.4</v>
      </c>
      <c r="AT4" s="270"/>
      <c r="AW4" s="276"/>
      <c r="AX4" s="194">
        <f>IF(AND('Data Summary'!C216="PASS",'Data - Sample Type 2'!IQ3&lt;&gt;0),'Data - Sample Type 2'!IQ3,"")</f>
        <v>70.599999999999994</v>
      </c>
      <c r="AY4" s="259"/>
      <c r="AZ4" s="151">
        <f>IF(AND('Data Summary'!C216="PASS",'Data - Sample Type 2'!IY3&lt;&gt;0),'Data - Sample Type 2'!IY3,"")</f>
        <v>67.900000000000006</v>
      </c>
      <c r="BA4" s="259"/>
      <c r="BB4" s="237">
        <f>IF(AND('Data Summary'!C216="PASS",AZ4&lt;&gt;""),'Data - Sample Type 2'!IZ3,"")</f>
        <v>138.9</v>
      </c>
      <c r="BC4" s="264"/>
      <c r="BD4" s="151">
        <f>IF(AND('Data Summary'!C216="PASS",'Data - Sample Type 2'!JG3&lt;&gt;0),'Data - Sample Type 2'!JG3,"")</f>
        <v>75.5</v>
      </c>
      <c r="BE4" s="259"/>
      <c r="BF4" s="237">
        <f>IF(AND('Data Summary'!C216="PASS",BD4&lt;&gt;""),'Data - Sample Type 2'!JH3,"")</f>
        <v>176.2</v>
      </c>
      <c r="BG4" s="264"/>
      <c r="BH4" s="151">
        <f>IF('Data Summary'!C216="PASS",IF('Data - Sample Type 2'!BG3=0,"",'Data - Sample Type 2'!BG3),"")</f>
        <v>24.4</v>
      </c>
      <c r="BI4" s="259"/>
      <c r="BJ4" s="194">
        <f>IF(AND('Data Summary'!C216="PASS",'Data - Sample Type 2'!JO3&lt;&gt;0),'Data - Sample Type 2'!JO3,"")</f>
        <v>65.7</v>
      </c>
      <c r="BK4" s="259"/>
      <c r="BL4" s="151">
        <f>IF(AND('Data Summary'!C216="PASS",'Data - Sample Type 2'!HC3&lt;&gt;0),'Data - Sample Type 2'!HC3,"")</f>
        <v>69.2</v>
      </c>
      <c r="BM4" s="259"/>
      <c r="BN4" s="151">
        <f>IF(AND('Data Summary'!C216="PASS",'Data - Sample Type 2'!LS3&lt;&gt;0),'Data - Sample Type 2'!LS3,"")</f>
        <v>75.599999999999994</v>
      </c>
      <c r="BO4" s="259"/>
      <c r="BP4" s="191">
        <f>IF(AND('Data Summary'!C216="PASS",BN4&lt;&gt;""),'Data - Sample Type 2'!LT3,"")</f>
        <v>136.4</v>
      </c>
      <c r="BQ4" s="264"/>
      <c r="BR4" s="194">
        <f>IF(AND('Data Summary'!C216="PASS",'Data - Sample Type 2'!MI3&lt;&gt;0),'Data - Sample Type 2'!MI3,"")</f>
        <v>65.5</v>
      </c>
      <c r="BS4" s="259"/>
      <c r="BT4" s="191">
        <f>IF(AND('Data Summary'!C216="PASS",BR4&lt;&gt;""),'Data - Sample Type 2'!MJ3,"")</f>
        <v>90.2</v>
      </c>
      <c r="BU4" s="264"/>
      <c r="BV4" s="151">
        <f>IF('Data Summary'!C216="PASS",IF('Data - Sample Type 2'!DY3=0,"",'Data - Sample Type 2'!DY3),"")</f>
        <v>24.7</v>
      </c>
      <c r="BW4" s="259"/>
      <c r="BX4" s="151">
        <f>IF('Data Summary'!C216="PASS",IF('Data - Sample Type 2'!EM3=0,"",'Data - Sample Type 2'!EM3),"")</f>
        <v>24.3</v>
      </c>
      <c r="BY4" s="280"/>
    </row>
    <row r="5" spans="1:77" ht="12.75" customHeight="1" x14ac:dyDescent="0.2">
      <c r="A5" s="285"/>
      <c r="B5" s="151">
        <f>IF('Data Summary'!C12="PASS",'Data - First 10'!Q4,"")</f>
        <v>26.3</v>
      </c>
      <c r="C5" s="280"/>
      <c r="E5" s="276"/>
      <c r="F5" s="151">
        <f>IF('Data Summary'!C27="PASS",IF('Data Summary'!A27="","",'Data - Sample Type 0'!Q4),"")</f>
        <v>26.5</v>
      </c>
      <c r="G5" s="280"/>
      <c r="J5" s="276"/>
      <c r="K5" s="151">
        <f>IF(AND('Data Summary'!C132="PASS",'Data - Sample Type 1'!FO4&lt;&gt;0),'Data - Sample Type 1'!FO4,"")</f>
        <v>75.8</v>
      </c>
      <c r="L5" s="259"/>
      <c r="M5" s="102">
        <f>IF('Data Summary'!C132="PASS",IF('Data - Sample Type 1'!AE4=0,"",'Data - Sample Type 1'!AE4),"")</f>
        <v>25.1</v>
      </c>
      <c r="N5" s="259"/>
      <c r="O5" s="151">
        <f>IF(AND('Data Summary'!C132="PASS",'Data - Sample Type 1'!FW4&lt;&gt;0),'Data - Sample Type 1'!FW4,"")</f>
        <v>73.2</v>
      </c>
      <c r="P5" s="259"/>
      <c r="Q5" s="191">
        <f>IF(AND('Data Summary'!C132="PASS",O5&lt;&gt;""),'Data - Sample Type 1'!FX4,"")</f>
        <v>96.1</v>
      </c>
      <c r="R5" s="264"/>
      <c r="S5" s="151">
        <f>IF(AND('Data Summary'!C132="PASS",'Data - Sample Type 1'!GE4&lt;&gt;0),'Data - Sample Type 1'!GE4,"")</f>
        <v>71.099999999999994</v>
      </c>
      <c r="T5" s="266"/>
      <c r="U5" s="191">
        <f>IF(AND('Data Summary'!C132="PASS",S5&lt;&gt;""),'Data - Sample Type 1'!GF4,"")</f>
        <v>273.5</v>
      </c>
      <c r="V5" s="264"/>
      <c r="W5" s="151">
        <f>IF('Data Summary'!C132="PASS",IF('Data - Sample Type 1'!BG4=0,"",'Data - Sample Type 1'!BG4),"")</f>
        <v>17.600000000000001</v>
      </c>
      <c r="X5" s="266"/>
      <c r="Y5" s="194">
        <f>IF(AND('Data Summary'!C132="PASS",'Data - Sample Type 1'!GM4&lt;&gt;0),'Data - Sample Type 1'!GM4,"")</f>
        <v>68.3</v>
      </c>
      <c r="Z5" s="266"/>
      <c r="AA5" s="151">
        <f>IF('Data Summary'!C132="PASS",IF('Data - Sample Type 1'!BU4=0,"",'Data - Sample Type 1'!BU4),"")</f>
        <v>28.4</v>
      </c>
      <c r="AB5" s="266"/>
      <c r="AC5" s="151">
        <f>IF(AND('Data Summary'!C132="PASS",'Data - Sample Type 1'!HC4&lt;&gt;0),'Data - Sample Type 1'!HC4,"")</f>
        <v>70</v>
      </c>
      <c r="AD5" s="266"/>
      <c r="AE5" s="191">
        <f>IF(AND('Data Summary'!C132="PASS",AC5&lt;&gt;""),'Data - Sample Type 1'!HD4,"")</f>
        <v>69.2</v>
      </c>
      <c r="AF5" s="264"/>
      <c r="AG5" s="151">
        <f>IF(AND('Data Summary'!C132="PASS",'Data - Sample Type 1'!HK4&lt;&gt;0),'Data - Sample Type 1'!HK4,"")</f>
        <v>70.7</v>
      </c>
      <c r="AH5" s="266"/>
      <c r="AI5" s="191">
        <f>IF(AND('Data Summary'!C132="PASS",AG5&lt;&gt;""),'Data - Sample Type 1'!HL4,"")</f>
        <v>152.6</v>
      </c>
      <c r="AJ5" s="264"/>
      <c r="AK5" s="151">
        <f>IF(AND('Data Summary'!C132="PASS",'Data - Sample Type 1'!HS4&lt;&gt;0),'Data - Sample Type 1'!HS4,"")</f>
        <v>69.099999999999994</v>
      </c>
      <c r="AL5" s="266"/>
      <c r="AM5" s="191">
        <f>IF(AND('Data Summary'!C132="PASS",AK5&lt;&gt;""),'Data - Sample Type 1'!HT4,"")</f>
        <v>109.3</v>
      </c>
      <c r="AN5" s="264"/>
      <c r="AO5" s="194">
        <f>IF('Data Summary'!C132="PASS",IF('Data - Sample Type 1'!DK4=0,"",'Data - Sample Type 1'!DK4),"")</f>
        <v>23.1</v>
      </c>
      <c r="AP5" s="266"/>
      <c r="AQ5" s="151">
        <f>IF('Data Summary'!C132="PASS",IF('Data - Sample Type 1'!DY4=0,"",'Data - Sample Type 1'!DY4),"")</f>
        <v>20.8</v>
      </c>
      <c r="AR5" s="266"/>
      <c r="AS5" s="151" t="str">
        <f>IF('Data Summary'!C132="PASS",IF('Data - Sample Type 1'!EM4=0,"",'Data - Sample Type 1'!EM4),"")</f>
        <v/>
      </c>
      <c r="AT5" s="270"/>
      <c r="AW5" s="276"/>
      <c r="AX5" s="194">
        <f>IF(AND('Data Summary'!C217="PASS",'Data - Sample Type 2'!IQ4&lt;&gt;0),'Data - Sample Type 2'!IQ4,"")</f>
        <v>70.400000000000006</v>
      </c>
      <c r="AY5" s="259"/>
      <c r="AZ5" s="151">
        <f>IF(AND('Data Summary'!C217="PASS",'Data - Sample Type 2'!IY4&lt;&gt;0),'Data - Sample Type 2'!IY4,"")</f>
        <v>67.7</v>
      </c>
      <c r="BA5" s="259"/>
      <c r="BB5" s="237">
        <f>IF(AND('Data Summary'!C217="PASS",AZ5&lt;&gt;""),'Data - Sample Type 2'!IZ4,"")</f>
        <v>144.6</v>
      </c>
      <c r="BC5" s="264"/>
      <c r="BD5" s="151">
        <f>IF(AND('Data Summary'!C217="PASS",'Data - Sample Type 2'!JG4&lt;&gt;0),'Data - Sample Type 2'!JG4,"")</f>
        <v>75.3</v>
      </c>
      <c r="BE5" s="259"/>
      <c r="BF5" s="237">
        <f>IF(AND('Data Summary'!C217="PASS",BD5&lt;&gt;""),'Data - Sample Type 2'!JH4,"")</f>
        <v>153.30000000000001</v>
      </c>
      <c r="BG5" s="264"/>
      <c r="BH5" s="151">
        <f>IF('Data Summary'!C217="PASS",IF('Data - Sample Type 2'!BG4=0,"",'Data - Sample Type 2'!BG4),"")</f>
        <v>18</v>
      </c>
      <c r="BI5" s="259"/>
      <c r="BJ5" s="194">
        <f>IF(AND('Data Summary'!C217="PASS",'Data - Sample Type 2'!JO4&lt;&gt;0),'Data - Sample Type 2'!JO4,"")</f>
        <v>65.5</v>
      </c>
      <c r="BK5" s="259"/>
      <c r="BL5" s="151">
        <f>IF(AND('Data Summary'!C217="PASS",'Data - Sample Type 2'!HC4&lt;&gt;0),'Data - Sample Type 2'!HC4,"")</f>
        <v>68.8</v>
      </c>
      <c r="BM5" s="259"/>
      <c r="BN5" s="151">
        <f>IF(AND('Data Summary'!C217="PASS",'Data - Sample Type 2'!LS4&lt;&gt;0),'Data - Sample Type 2'!LS4,"")</f>
        <v>75.5</v>
      </c>
      <c r="BO5" s="259"/>
      <c r="BP5" s="191">
        <f>IF(AND('Data Summary'!C217="PASS",BN5&lt;&gt;""),'Data - Sample Type 2'!LT4,"")</f>
        <v>125.8</v>
      </c>
      <c r="BQ5" s="264"/>
      <c r="BR5" s="194">
        <f>IF(AND('Data Summary'!C217="PASS",'Data - Sample Type 2'!MI4&lt;&gt;0),'Data - Sample Type 2'!MI4,"")</f>
        <v>65.400000000000006</v>
      </c>
      <c r="BS5" s="259"/>
      <c r="BT5" s="191">
        <f>IF(AND('Data Summary'!C217="PASS",BR5&lt;&gt;""),'Data - Sample Type 2'!MJ4,"")</f>
        <v>115.9</v>
      </c>
      <c r="BU5" s="264"/>
      <c r="BV5" s="151">
        <f>IF('Data Summary'!C217="PASS",IF('Data - Sample Type 2'!DY4=0,"",'Data - Sample Type 2'!DY4),"")</f>
        <v>22.6</v>
      </c>
      <c r="BW5" s="259"/>
      <c r="BX5" s="151">
        <f>IF('Data Summary'!C217="PASS",IF('Data - Sample Type 2'!EM4=0,"",'Data - Sample Type 2'!EM4),"")</f>
        <v>23.8</v>
      </c>
      <c r="BY5" s="280"/>
    </row>
    <row r="6" spans="1:77" ht="12.75" customHeight="1" x14ac:dyDescent="0.2">
      <c r="A6" s="285"/>
      <c r="B6" s="151">
        <f>IF('Data Summary'!C13="PASS",'Data - First 10'!Q5,"")</f>
        <v>26.4</v>
      </c>
      <c r="C6" s="280"/>
      <c r="E6" s="276"/>
      <c r="F6" s="151">
        <f>IF('Data Summary'!C28="PASS",IF('Data Summary'!A28="","",'Data - Sample Type 0'!Q5),"")</f>
        <v>26.8</v>
      </c>
      <c r="G6" s="280"/>
      <c r="J6" s="276"/>
      <c r="K6" s="151">
        <f>IF(AND('Data Summary'!C133="PASS",'Data - Sample Type 1'!FO5&lt;&gt;0),'Data - Sample Type 1'!FO5,"")</f>
        <v>76</v>
      </c>
      <c r="L6" s="259"/>
      <c r="M6" s="102">
        <f>IF('Data Summary'!C133="PASS",IF('Data - Sample Type 1'!AE5=0,"",'Data - Sample Type 1'!AE5),"")</f>
        <v>24.4</v>
      </c>
      <c r="N6" s="259"/>
      <c r="O6" s="151">
        <f>IF(AND('Data Summary'!C133="PASS",'Data - Sample Type 1'!FW5&lt;&gt;0),'Data - Sample Type 1'!FW5,"")</f>
        <v>73.400000000000006</v>
      </c>
      <c r="P6" s="259"/>
      <c r="Q6" s="191">
        <f>IF(AND('Data Summary'!C133="PASS",O6&lt;&gt;""),'Data - Sample Type 1'!FX5,"")</f>
        <v>97.4</v>
      </c>
      <c r="R6" s="264"/>
      <c r="S6" s="151">
        <f>IF(AND('Data Summary'!C133="PASS",'Data - Sample Type 1'!GE5&lt;&gt;0),'Data - Sample Type 1'!GE5,"")</f>
        <v>71.2</v>
      </c>
      <c r="T6" s="267"/>
      <c r="U6" s="191">
        <f>IF(AND('Data Summary'!C133="PASS",S6&lt;&gt;""),'Data - Sample Type 1'!GF5,"")</f>
        <v>266.39999999999998</v>
      </c>
      <c r="V6" s="264"/>
      <c r="W6" s="151">
        <f>IF('Data Summary'!C133="PASS",IF('Data - Sample Type 1'!BG5=0,"",'Data - Sample Type 1'!BG5),"")</f>
        <v>22</v>
      </c>
      <c r="X6" s="267"/>
      <c r="Y6" s="194">
        <f>IF(AND('Data Summary'!C133="PASS",'Data - Sample Type 1'!GM5&lt;&gt;0),'Data - Sample Type 1'!GM5,"")</f>
        <v>68.400000000000006</v>
      </c>
      <c r="Z6" s="267"/>
      <c r="AA6" s="151">
        <f>IF('Data Summary'!C133="PASS",IF('Data - Sample Type 1'!BU5=0,"",'Data - Sample Type 1'!BU5),"")</f>
        <v>28.4</v>
      </c>
      <c r="AB6" s="267"/>
      <c r="AC6" s="151">
        <f>IF(AND('Data Summary'!C133="PASS",'Data - Sample Type 1'!HC5&lt;&gt;0),'Data - Sample Type 1'!HC5,"")</f>
        <v>70.2</v>
      </c>
      <c r="AD6" s="267"/>
      <c r="AE6" s="191">
        <f>IF(AND('Data Summary'!C133="PASS",AC6&lt;&gt;""),'Data - Sample Type 1'!HD5,"")</f>
        <v>82.4</v>
      </c>
      <c r="AF6" s="264"/>
      <c r="AG6" s="151">
        <f>IF(AND('Data Summary'!C133="PASS",'Data - Sample Type 1'!HK5&lt;&gt;0),'Data - Sample Type 1'!HK5,"")</f>
        <v>70.8</v>
      </c>
      <c r="AH6" s="267"/>
      <c r="AI6" s="191">
        <f>IF(AND('Data Summary'!C133="PASS",AG6&lt;&gt;""),'Data - Sample Type 1'!HL5,"")</f>
        <v>142.19999999999999</v>
      </c>
      <c r="AJ6" s="264"/>
      <c r="AK6" s="151">
        <f>IF(AND('Data Summary'!C133="PASS",'Data - Sample Type 1'!HS5&lt;&gt;0),'Data - Sample Type 1'!HS5,"")</f>
        <v>69.099999999999994</v>
      </c>
      <c r="AL6" s="267"/>
      <c r="AM6" s="191">
        <f>IF(AND('Data Summary'!C133="PASS",AK6&lt;&gt;""),'Data - Sample Type 1'!HT5,"")</f>
        <v>100.6</v>
      </c>
      <c r="AN6" s="264"/>
      <c r="AO6" s="194">
        <f>IF('Data Summary'!C133="PASS",IF('Data - Sample Type 1'!DK5=0,"",'Data - Sample Type 1'!DK5),"")</f>
        <v>23.3</v>
      </c>
      <c r="AP6" s="267"/>
      <c r="AQ6" s="151">
        <f>IF('Data Summary'!C133="PASS",IF('Data - Sample Type 1'!DY5=0,"",'Data - Sample Type 1'!DY5),"")</f>
        <v>20.9</v>
      </c>
      <c r="AR6" s="267"/>
      <c r="AS6" s="151">
        <f>IF('Data Summary'!C133="PASS",IF('Data - Sample Type 1'!EM5=0,"",'Data - Sample Type 1'!EM5),"")</f>
        <v>24</v>
      </c>
      <c r="AT6" s="271"/>
      <c r="AW6" s="276"/>
      <c r="AX6" s="194" t="str">
        <f>IF(AND('Data Summary'!C218="PASS",'Data - Sample Type 2'!IQ5&lt;&gt;0),'Data - Sample Type 2'!IQ5,"")</f>
        <v/>
      </c>
      <c r="AY6" s="259"/>
      <c r="AZ6" s="151" t="str">
        <f>IF(AND('Data Summary'!C218="PASS",'Data - Sample Type 2'!IY5&lt;&gt;0),'Data - Sample Type 2'!IY5,"")</f>
        <v/>
      </c>
      <c r="BA6" s="259"/>
      <c r="BB6" s="237" t="str">
        <f>IF(AND('Data Summary'!C218="PASS",AZ6&lt;&gt;""),'Data - Sample Type 2'!IZ5,"")</f>
        <v/>
      </c>
      <c r="BC6" s="264"/>
      <c r="BD6" s="151" t="str">
        <f>IF(AND('Data Summary'!C218="PASS",'Data - Sample Type 2'!JG5&lt;&gt;0),'Data - Sample Type 2'!JG5,"")</f>
        <v/>
      </c>
      <c r="BE6" s="259"/>
      <c r="BF6" s="237" t="str">
        <f>IF(AND('Data Summary'!C218="PASS",BD6&lt;&gt;""),'Data - Sample Type 2'!JH5,"")</f>
        <v/>
      </c>
      <c r="BG6" s="264"/>
      <c r="BH6" s="151" t="str">
        <f>IF('Data Summary'!C218="PASS",IF('Data - Sample Type 2'!BG5=0,"",'Data - Sample Type 2'!BG5),"")</f>
        <v/>
      </c>
      <c r="BI6" s="259"/>
      <c r="BJ6" s="194" t="str">
        <f>IF(AND('Data Summary'!C218="PASS",'Data - Sample Type 2'!JO5&lt;&gt;0),'Data - Sample Type 2'!JO5,"")</f>
        <v/>
      </c>
      <c r="BK6" s="259"/>
      <c r="BL6" s="151" t="str">
        <f>IF(AND('Data Summary'!C218="PASS",'Data - Sample Type 2'!HC5&lt;&gt;0),'Data - Sample Type 2'!HC5,"")</f>
        <v/>
      </c>
      <c r="BM6" s="259"/>
      <c r="BN6" s="151" t="str">
        <f>IF(AND('Data Summary'!C218="PASS",'Data - Sample Type 2'!LS5&lt;&gt;0),'Data - Sample Type 2'!LS5,"")</f>
        <v/>
      </c>
      <c r="BO6" s="259"/>
      <c r="BP6" s="191" t="str">
        <f>IF(AND('Data Summary'!C218="PASS",BN6&lt;&gt;""),'Data - Sample Type 2'!LT5,"")</f>
        <v/>
      </c>
      <c r="BQ6" s="264"/>
      <c r="BR6" s="194" t="str">
        <f>IF(AND('Data Summary'!C218="PASS",'Data - Sample Type 2'!MI5&lt;&gt;0),'Data - Sample Type 2'!MI5,"")</f>
        <v/>
      </c>
      <c r="BS6" s="259"/>
      <c r="BT6" s="191" t="str">
        <f>IF(AND('Data Summary'!C218="PASS",BR6&lt;&gt;""),'Data - Sample Type 2'!MJ5,"")</f>
        <v/>
      </c>
      <c r="BU6" s="264"/>
      <c r="BV6" s="151" t="str">
        <f>IF('Data Summary'!C218="PASS",IF('Data - Sample Type 2'!DY5=0,"",'Data - Sample Type 2'!DY5),"")</f>
        <v/>
      </c>
      <c r="BW6" s="259"/>
      <c r="BX6" s="151" t="str">
        <f>IF('Data Summary'!C218="PASS",IF('Data - Sample Type 2'!EM5=0,"",'Data - Sample Type 2'!EM5),"")</f>
        <v/>
      </c>
      <c r="BY6" s="280"/>
    </row>
    <row r="7" spans="1:77" ht="12.75" customHeight="1" x14ac:dyDescent="0.2">
      <c r="A7" s="285"/>
      <c r="B7" s="151">
        <f>IF('Data Summary'!C14="PASS",'Data - First 10'!Q6,"")</f>
        <v>25.7</v>
      </c>
      <c r="C7" s="280"/>
      <c r="E7" s="276"/>
      <c r="F7" s="151">
        <f>IF('Data Summary'!C29="PASS",IF('Data Summary'!A29="","",'Data - Sample Type 0'!Q6),"")</f>
        <v>29</v>
      </c>
      <c r="G7" s="280"/>
      <c r="J7" s="276"/>
      <c r="K7" s="151">
        <f>IF(AND('Data Summary'!C134="PASS",'Data - Sample Type 1'!FO6&lt;&gt;0),'Data - Sample Type 1'!FO6,"")</f>
        <v>75.900000000000006</v>
      </c>
      <c r="L7" s="261" t="str">
        <f>IF(AND(L3&gt;=Specifications!$C$21,L3&lt;=Specifications!$D$21),"PASS","FAIL")</f>
        <v>PASS</v>
      </c>
      <c r="M7" s="102">
        <f>IF('Data Summary'!C134="PASS",IF('Data - Sample Type 1'!AE6=0,"",'Data - Sample Type 1'!AE6),"")</f>
        <v>28</v>
      </c>
      <c r="N7" s="261" t="str">
        <f>IF(N3&lt;=Specifications!D$22,"PASS","FAIL")</f>
        <v>PASS</v>
      </c>
      <c r="O7" s="151">
        <f>IF(AND('Data Summary'!C134="PASS",'Data - Sample Type 1'!FW6&lt;&gt;0),'Data - Sample Type 1'!FW6,"")</f>
        <v>73.3</v>
      </c>
      <c r="P7" s="261" t="str">
        <f>IF(AND(P3&gt;=Specifications!$C$23,P3&lt;=Specifications!$D$23),"PASS","FAIL")</f>
        <v>PASS</v>
      </c>
      <c r="Q7" s="191">
        <f>IF(AND('Data Summary'!C134="PASS",O7&lt;&gt;""),'Data - Sample Type 1'!FX6,"")</f>
        <v>99.6</v>
      </c>
      <c r="R7" s="260" t="s">
        <v>510</v>
      </c>
      <c r="S7" s="151">
        <f>IF(AND('Data Summary'!C134="PASS",'Data - Sample Type 1'!GE6&lt;&gt;0),'Data - Sample Type 1'!GE6,"")</f>
        <v>71.099999999999994</v>
      </c>
      <c r="T7" s="261" t="str">
        <f>IF(AND(T3&gt;=Specifications!$C$25,T3&lt;=Specifications!$D$25),"PASS","FAIL")</f>
        <v>PASS</v>
      </c>
      <c r="U7" s="191">
        <f>IF(AND('Data Summary'!C134="PASS",S7&lt;&gt;""),'Data - Sample Type 1'!GF6,"")</f>
        <v>274.39999999999998</v>
      </c>
      <c r="V7" s="260" t="s">
        <v>510</v>
      </c>
      <c r="W7" s="151">
        <f>IF('Data Summary'!C134="PASS",IF('Data - Sample Type 1'!BG6=0,"",'Data - Sample Type 1'!BG6),"")</f>
        <v>25</v>
      </c>
      <c r="X7" s="261" t="str">
        <f>IF(X3&lt;=Specifications!D$27,"PASS","FAIL")</f>
        <v>PASS</v>
      </c>
      <c r="Y7" s="194">
        <f>IF(AND('Data Summary'!C134="PASS",'Data - Sample Type 1'!GM6&lt;&gt;0),'Data - Sample Type 1'!GM6,"")</f>
        <v>68.3</v>
      </c>
      <c r="Z7" s="261" t="str">
        <f>IF(AND(Z3&gt;=Specifications!$C$28,Z3&lt;=Specifications!$D$28),"PASS","FAIL")</f>
        <v>PASS</v>
      </c>
      <c r="AA7" s="151">
        <f>IF('Data Summary'!C134="PASS",IF('Data - Sample Type 1'!BU6=0,"",'Data - Sample Type 1'!BU6),"")</f>
        <v>31</v>
      </c>
      <c r="AB7" s="260" t="s">
        <v>510</v>
      </c>
      <c r="AC7" s="151">
        <f>IF(AND('Data Summary'!C134="PASS",'Data - Sample Type 1'!HC6&lt;&gt;0),'Data - Sample Type 1'!HC6,"")</f>
        <v>70.099999999999994</v>
      </c>
      <c r="AD7" s="261" t="str">
        <f>IF(AND(AD3&gt;=Specifications!$C$31,AD3&lt;=Specifications!$D$31),"PASS","FAIL")</f>
        <v>PASS</v>
      </c>
      <c r="AE7" s="191">
        <f>IF(AND('Data Summary'!C134="PASS",AC7&lt;&gt;""),'Data - Sample Type 1'!HD6,"")</f>
        <v>80.2</v>
      </c>
      <c r="AF7" s="260" t="s">
        <v>510</v>
      </c>
      <c r="AG7" s="151">
        <f>IF(AND('Data Summary'!C134="PASS",'Data - Sample Type 1'!HK6&lt;&gt;0),'Data - Sample Type 1'!HK6,"")</f>
        <v>70.8</v>
      </c>
      <c r="AH7" s="261" t="str">
        <f>IF(AND(AH3&gt;=Specifications!$C$33,AH3&lt;=Specifications!$D$33),"PASS","FAIL")</f>
        <v>PASS</v>
      </c>
      <c r="AI7" s="191">
        <f>IF(AND('Data Summary'!C134="PASS",AG7&lt;&gt;""),'Data - Sample Type 1'!HL6,"")</f>
        <v>145.69999999999999</v>
      </c>
      <c r="AJ7" s="260" t="s">
        <v>510</v>
      </c>
      <c r="AK7" s="151">
        <f>IF(AND('Data Summary'!C134="PASS",'Data - Sample Type 1'!HS6&lt;&gt;0),'Data - Sample Type 1'!HS6,"")</f>
        <v>69</v>
      </c>
      <c r="AL7" s="261" t="str">
        <f>IF(AND(AL3&gt;=Specifications!$C$35,AL3&lt;=Specifications!$D$35),"PASS","FAIL")</f>
        <v>PASS</v>
      </c>
      <c r="AM7" s="191">
        <f>IF(AND('Data Summary'!C134="PASS",AK7&lt;&gt;""),'Data - Sample Type 1'!HT6,"")</f>
        <v>89.1</v>
      </c>
      <c r="AN7" s="260" t="s">
        <v>510</v>
      </c>
      <c r="AO7" s="194">
        <f>IF('Data Summary'!C134="PASS",IF('Data - Sample Type 1'!DK6=0,"",'Data - Sample Type 1'!DK6),"")</f>
        <v>24.8</v>
      </c>
      <c r="AP7" s="261" t="str">
        <f>IF(AP3&lt;=Specifications!$D$37,"PASS","FAIL")</f>
        <v>PASS</v>
      </c>
      <c r="AQ7" s="151">
        <f>IF('Data Summary'!C134="PASS",IF('Data - Sample Type 1'!DY6=0,"",'Data - Sample Type 1'!DY6),"")</f>
        <v>22.8</v>
      </c>
      <c r="AR7" s="261" t="str">
        <f>IF(AR3&lt;=Specifications!$D$38,"PASS","FAIL")</f>
        <v>PASS</v>
      </c>
      <c r="AS7" s="151">
        <f>IF('Data Summary'!C134="PASS",IF('Data - Sample Type 1'!EM6=0,"",'Data - Sample Type 1'!EM6),"")</f>
        <v>25.3</v>
      </c>
      <c r="AT7" s="272" t="str">
        <f>IF(AT3&lt;=Specifications!$D$39,"PASS","FAIL")</f>
        <v>PASS</v>
      </c>
      <c r="AW7" s="276"/>
      <c r="AX7" s="194">
        <f>IF(AND('Data Summary'!C219="PASS",'Data - Sample Type 2'!IQ6&lt;&gt;0),'Data - Sample Type 2'!IQ6,"")</f>
        <v>70.400000000000006</v>
      </c>
      <c r="AY7" s="259"/>
      <c r="AZ7" s="151">
        <f>IF(AND('Data Summary'!C219="PASS",'Data - Sample Type 2'!IY6&lt;&gt;0),'Data - Sample Type 2'!IY6,"")</f>
        <v>67.8</v>
      </c>
      <c r="BA7" s="259"/>
      <c r="BB7" s="237">
        <f>IF(AND('Data Summary'!C219="PASS",AZ7&lt;&gt;""),'Data - Sample Type 2'!IZ6,"")</f>
        <v>136.80000000000001</v>
      </c>
      <c r="BC7" s="264"/>
      <c r="BD7" s="151" t="str">
        <f>IF(AND('Data Summary'!C219="PASS",'Data - Sample Type 2'!JG6&lt;&gt;0),'Data - Sample Type 2'!JG6,"")</f>
        <v/>
      </c>
      <c r="BE7" s="259"/>
      <c r="BF7" s="237" t="str">
        <f>IF(AND('Data Summary'!C219="PASS",BD7&lt;&gt;""),'Data - Sample Type 2'!JH6,"")</f>
        <v/>
      </c>
      <c r="BG7" s="264"/>
      <c r="BH7" s="151">
        <f>IF('Data Summary'!C219="PASS",IF('Data - Sample Type 2'!BG6=0,"",'Data - Sample Type 2'!BG6),"")</f>
        <v>21.7</v>
      </c>
      <c r="BI7" s="259"/>
      <c r="BJ7" s="194">
        <f>IF(AND('Data Summary'!C219="PASS",'Data - Sample Type 2'!JO6&lt;&gt;0),'Data - Sample Type 2'!JO6,"")</f>
        <v>65.5</v>
      </c>
      <c r="BK7" s="259"/>
      <c r="BL7" s="151">
        <f>IF(AND('Data Summary'!C219="PASS",'Data - Sample Type 2'!HC6&lt;&gt;0),'Data - Sample Type 2'!HC6,"")</f>
        <v>69.2</v>
      </c>
      <c r="BM7" s="259"/>
      <c r="BN7" s="151">
        <f>IF(AND('Data Summary'!C219="PASS",'Data - Sample Type 2'!LS6&lt;&gt;0),'Data - Sample Type 2'!LS6,"")</f>
        <v>75.5</v>
      </c>
      <c r="BO7" s="259"/>
      <c r="BP7" s="191">
        <f>IF(AND('Data Summary'!C219="PASS",BN7&lt;&gt;""),'Data - Sample Type 2'!LT6,"")</f>
        <v>132.80000000000001</v>
      </c>
      <c r="BQ7" s="264"/>
      <c r="BR7" s="194">
        <f>IF(AND('Data Summary'!C219="PASS",'Data - Sample Type 2'!MI6&lt;&gt;0),'Data - Sample Type 2'!MI6,"")</f>
        <v>65.3</v>
      </c>
      <c r="BS7" s="259"/>
      <c r="BT7" s="191">
        <f>IF(AND('Data Summary'!C219="PASS",BR7&lt;&gt;""),'Data - Sample Type 2'!MJ6,"")</f>
        <v>94.4</v>
      </c>
      <c r="BU7" s="264"/>
      <c r="BV7" s="151">
        <f>IF('Data Summary'!C219="PASS",IF('Data - Sample Type 2'!DY6=0,"",'Data - Sample Type 2'!DY6),"")</f>
        <v>21.6</v>
      </c>
      <c r="BW7" s="259"/>
      <c r="BX7" s="151">
        <f>IF('Data Summary'!C219="PASS",IF('Data - Sample Type 2'!EM6=0,"",'Data - Sample Type 2'!EM6),"")</f>
        <v>20.8</v>
      </c>
      <c r="BY7" s="280"/>
    </row>
    <row r="8" spans="1:77" ht="12.75" customHeight="1" x14ac:dyDescent="0.2">
      <c r="A8" s="285"/>
      <c r="B8" s="151">
        <f>IF('Data Summary'!C15="PASS",'Data - First 10'!Q7,"")</f>
        <v>25.9</v>
      </c>
      <c r="C8" s="272" t="str">
        <f>IF(C3&lt;=Specifications!$G$20,"PASS","FAIL")</f>
        <v>PASS</v>
      </c>
      <c r="E8" s="276"/>
      <c r="F8" s="151">
        <f>IF('Data Summary'!C30="PASS",IF('Data Summary'!A30="","",'Data - Sample Type 0'!Q7),"")</f>
        <v>28.1</v>
      </c>
      <c r="G8" s="272" t="str">
        <f>IF(G3&lt;=Specifications!$G$20,"PASS","FAIL")</f>
        <v>PASS</v>
      </c>
      <c r="J8" s="276"/>
      <c r="K8" s="151">
        <f>IF(AND('Data Summary'!C135="PASS",'Data - Sample Type 1'!FO7&lt;&gt;0),'Data - Sample Type 1'!FO7,"")</f>
        <v>76</v>
      </c>
      <c r="L8" s="261"/>
      <c r="M8" s="102">
        <f>IF('Data Summary'!C135="PASS",IF('Data - Sample Type 1'!AE7=0,"",'Data - Sample Type 1'!AE7),"")</f>
        <v>26.7</v>
      </c>
      <c r="N8" s="261"/>
      <c r="O8" s="151">
        <f>IF(AND('Data Summary'!C135="PASS",'Data - Sample Type 1'!FW7&lt;&gt;0),'Data - Sample Type 1'!FW7,"")</f>
        <v>73.400000000000006</v>
      </c>
      <c r="P8" s="261"/>
      <c r="Q8" s="191">
        <f>IF(AND('Data Summary'!C135="PASS",O8&lt;&gt;""),'Data - Sample Type 1'!FX7,"")</f>
        <v>95.3</v>
      </c>
      <c r="R8" s="261"/>
      <c r="S8" s="151">
        <f>IF(AND('Data Summary'!C135="PASS",'Data - Sample Type 1'!GE7&lt;&gt;0),'Data - Sample Type 1'!GE7,"")</f>
        <v>71.2</v>
      </c>
      <c r="T8" s="261"/>
      <c r="U8" s="191">
        <f>IF(AND('Data Summary'!C135="PASS",S8&lt;&gt;""),'Data - Sample Type 1'!GF7,"")</f>
        <v>238.6</v>
      </c>
      <c r="V8" s="261"/>
      <c r="W8" s="151">
        <f>IF('Data Summary'!C135="PASS",IF('Data - Sample Type 1'!BG7=0,"",'Data - Sample Type 1'!BG7),"")</f>
        <v>23.3</v>
      </c>
      <c r="X8" s="261"/>
      <c r="Y8" s="194">
        <f>IF(AND('Data Summary'!C135="PASS",'Data - Sample Type 1'!GM7&lt;&gt;0),'Data - Sample Type 1'!GM7,"")</f>
        <v>68.400000000000006</v>
      </c>
      <c r="Z8" s="261"/>
      <c r="AA8" s="151">
        <f>IF('Data Summary'!C135="PASS",IF('Data - Sample Type 1'!BU7=0,"",'Data - Sample Type 1'!BU7),"")</f>
        <v>30.7</v>
      </c>
      <c r="AB8" s="261"/>
      <c r="AC8" s="151">
        <f>IF(AND('Data Summary'!C135="PASS",'Data - Sample Type 1'!HC7&lt;&gt;0),'Data - Sample Type 1'!HC7,"")</f>
        <v>70.099999999999994</v>
      </c>
      <c r="AD8" s="261"/>
      <c r="AE8" s="191">
        <f>IF(AND('Data Summary'!C135="PASS",AC8&lt;&gt;""),'Data - Sample Type 1'!HD7,"")</f>
        <v>78.7</v>
      </c>
      <c r="AF8" s="261"/>
      <c r="AG8" s="151">
        <f>IF(AND('Data Summary'!C135="PASS",'Data - Sample Type 1'!HK7&lt;&gt;0),'Data - Sample Type 1'!HK7,"")</f>
        <v>70.8</v>
      </c>
      <c r="AH8" s="261"/>
      <c r="AI8" s="191">
        <f>IF(AND('Data Summary'!C135="PASS",AG8&lt;&gt;""),'Data - Sample Type 1'!HL7,"")</f>
        <v>126.5</v>
      </c>
      <c r="AJ8" s="261"/>
      <c r="AK8" s="151">
        <f>IF(AND('Data Summary'!C135="PASS",'Data - Sample Type 1'!HS7&lt;&gt;0),'Data - Sample Type 1'!HS7,"")</f>
        <v>69.099999999999994</v>
      </c>
      <c r="AL8" s="261"/>
      <c r="AM8" s="191">
        <f>IF(AND('Data Summary'!C135="PASS",AK8&lt;&gt;""),'Data - Sample Type 1'!HT7,"")</f>
        <v>99.3</v>
      </c>
      <c r="AN8" s="261"/>
      <c r="AO8" s="194">
        <f>IF('Data Summary'!C135="PASS",IF('Data - Sample Type 1'!DK7=0,"",'Data - Sample Type 1'!DK7),"")</f>
        <v>24</v>
      </c>
      <c r="AP8" s="261"/>
      <c r="AQ8" s="151">
        <f>IF('Data Summary'!C135="PASS",IF('Data - Sample Type 1'!DY7=0,"",'Data - Sample Type 1'!DY7),"")</f>
        <v>21.4</v>
      </c>
      <c r="AR8" s="261"/>
      <c r="AS8" s="151">
        <f>IF('Data Summary'!C135="PASS",IF('Data - Sample Type 1'!EM7=0,"",'Data - Sample Type 1'!EM7),"")</f>
        <v>25.3</v>
      </c>
      <c r="AT8" s="272"/>
      <c r="AW8" s="276"/>
      <c r="AX8" s="194">
        <f>IF(AND('Data Summary'!C220="PASS",'Data - Sample Type 2'!IQ7&lt;&gt;0),'Data - Sample Type 2'!IQ7,"")</f>
        <v>70.3</v>
      </c>
      <c r="AY8" s="260" t="str">
        <f>IF(AND(AY3&gt;=Specifications!$E$21,AY3&lt;=Specifications!$F$21),"PASS","FAIL")</f>
        <v>PASS</v>
      </c>
      <c r="AZ8" s="151">
        <f>IF(AND('Data Summary'!C220="PASS",'Data - Sample Type 2'!IY7&lt;&gt;0),'Data - Sample Type 2'!IY7,"")</f>
        <v>67.599999999999994</v>
      </c>
      <c r="BA8" s="260" t="str">
        <f>IF(AND(BA3&gt;=Specifications!$E$23,BA3&lt;=Specifications!$F$23),"PASS","FAIL")</f>
        <v>PASS</v>
      </c>
      <c r="BB8" s="152">
        <f>IF(AND('Data Summary'!C220="PASS",AZ8&lt;&gt;""),'Data - Sample Type 2'!IZ7,"")</f>
        <v>143.4</v>
      </c>
      <c r="BC8" s="261" t="str">
        <f>IF(BC3&gt;=Specifications!$E$24,"PASS","FAIL")</f>
        <v>PASS</v>
      </c>
      <c r="BD8" s="151">
        <f>IF(AND('Data Summary'!C220="PASS",'Data - Sample Type 2'!JG7&lt;&gt;0),'Data - Sample Type 2'!JG7,"")</f>
        <v>75.400000000000006</v>
      </c>
      <c r="BE8" s="260" t="str">
        <f>IF(AND(BE3&gt;=Specifications!$E$25,BE3&lt;=Specifications!$F$25),"PASS","FAIL")</f>
        <v>PASS</v>
      </c>
      <c r="BF8" s="152">
        <f>IF(AND('Data Summary'!C220="PASS",BD8&lt;&gt;""),'Data - Sample Type 2'!JH7,"")</f>
        <v>172.2</v>
      </c>
      <c r="BG8" s="261" t="str">
        <f>IF(BG3&gt;=Specifications!$E$26,"PASS","FAIL")</f>
        <v>PASS</v>
      </c>
      <c r="BH8" s="151">
        <f>IF('Data Summary'!C220="PASS",IF('Data - Sample Type 2'!BG7=0,"",'Data - Sample Type 2'!BG7),"")</f>
        <v>21.7</v>
      </c>
      <c r="BI8" s="261" t="str">
        <f>IF(BI3&lt;=Specifications!$F$27,"PASS","FAIL")</f>
        <v>PASS</v>
      </c>
      <c r="BJ8" s="194">
        <f>IF(AND('Data Summary'!C220="PASS",'Data - Sample Type 2'!JO7&lt;&gt;0),'Data - Sample Type 2'!JO7,"")</f>
        <v>65.3</v>
      </c>
      <c r="BK8" s="260" t="str">
        <f>IF(AND(BK3&gt;=Specifications!$E$28,BK3&lt;=Specifications!$F$28),"PASS","FAIL")</f>
        <v>PASS</v>
      </c>
      <c r="BL8" s="151">
        <f>IF(AND('Data Summary'!C220="PASS",'Data - Sample Type 2'!HC7&lt;&gt;0),'Data - Sample Type 2'!HC7,"")</f>
        <v>69.2</v>
      </c>
      <c r="BM8" s="260" t="str">
        <f>IF(AND(BM3&gt;=Specifications!$E$31,BM3&lt;=Specifications!$F$31),"PASS","FAIL")</f>
        <v>PASS</v>
      </c>
      <c r="BN8" s="151">
        <f>IF(AND('Data Summary'!C220="PASS",'Data - Sample Type 2'!LS7&lt;&gt;0),'Data - Sample Type 2'!LS7,"")</f>
        <v>75.5</v>
      </c>
      <c r="BO8" s="260" t="str">
        <f>IF(AND(BO3&gt;=Specifications!$E$33,BO3&lt;=Specifications!$F$33),"PASS","FAIL")</f>
        <v>PASS</v>
      </c>
      <c r="BP8" s="191">
        <f>IF(AND('Data Summary'!C220="PASS",BN8&lt;&gt;""),'Data - Sample Type 2'!LT7,"")</f>
        <v>104.7</v>
      </c>
      <c r="BQ8" s="261" t="str">
        <f>IF(BQ3&gt;=Specifications!$E$34,"PASS","FAIL")</f>
        <v>PASS</v>
      </c>
      <c r="BR8" s="194">
        <f>IF(AND('Data Summary'!C220="PASS",'Data - Sample Type 2'!MI7&lt;&gt;0),'Data - Sample Type 2'!MI7,"")</f>
        <v>65.2</v>
      </c>
      <c r="BS8" s="260" t="str">
        <f>IF(AND(BS3&gt;=Specifications!$E$35,BS3&lt;=Specifications!$F$35),"PASS","FAIL")</f>
        <v>PASS</v>
      </c>
      <c r="BT8" s="191">
        <f>IF(AND('Data Summary'!C220="PASS",BR8&lt;&gt;""),'Data - Sample Type 2'!MJ7,"")</f>
        <v>99.7</v>
      </c>
      <c r="BU8" s="261" t="str">
        <f>IF(BU3&gt;=Specifications!$E$36,"PASS","FAIL")</f>
        <v>PASS</v>
      </c>
      <c r="BV8" s="151">
        <f>IF('Data Summary'!C220="PASS",IF('Data - Sample Type 2'!DY7=0,"",'Data - Sample Type 2'!DY7),"")</f>
        <v>22.8</v>
      </c>
      <c r="BW8" s="261" t="str">
        <f>IF(BW3&lt;=Specifications!$F$38,"PASS","FAIL")</f>
        <v>PASS</v>
      </c>
      <c r="BX8" s="151">
        <f>IF('Data Summary'!C220="PASS",IF('Data - Sample Type 2'!EM7=0,"",'Data - Sample Type 2'!EM7),"")</f>
        <v>23.6</v>
      </c>
      <c r="BY8" s="272" t="str">
        <f>IF(BY3&lt;=Specifications!$F$39,"PASS","FAIL")</f>
        <v>PASS</v>
      </c>
    </row>
    <row r="9" spans="1:77" ht="12.75" customHeight="1" x14ac:dyDescent="0.2">
      <c r="A9" s="285"/>
      <c r="B9" s="151">
        <f>IF('Data Summary'!C16="PASS",'Data - First 10'!Q8,"")</f>
        <v>27.4</v>
      </c>
      <c r="C9" s="272"/>
      <c r="E9" s="276"/>
      <c r="F9" s="151">
        <f>IF('Data Summary'!C31="PASS",IF('Data Summary'!A31="","",'Data - Sample Type 0'!Q8),"")</f>
        <v>28.9</v>
      </c>
      <c r="G9" s="272"/>
      <c r="J9" s="276"/>
      <c r="K9" s="151">
        <f>IF(AND('Data Summary'!C136="PASS",'Data - Sample Type 1'!FO8&lt;&gt;0),'Data - Sample Type 1'!FO8,"")</f>
        <v>76</v>
      </c>
      <c r="L9" s="261"/>
      <c r="M9" s="102">
        <f>IF('Data Summary'!C136="PASS",IF('Data - Sample Type 1'!AE8=0,"",'Data - Sample Type 1'!AE8),"")</f>
        <v>21.7</v>
      </c>
      <c r="N9" s="261"/>
      <c r="O9" s="151">
        <f>IF(AND('Data Summary'!C136="PASS",'Data - Sample Type 1'!FW8&lt;&gt;0),'Data - Sample Type 1'!FW8,"")</f>
        <v>73.5</v>
      </c>
      <c r="P9" s="261"/>
      <c r="Q9" s="191">
        <f>IF(AND('Data Summary'!C136="PASS",O9&lt;&gt;""),'Data - Sample Type 1'!FX8,"")</f>
        <v>95.1</v>
      </c>
      <c r="R9" s="261"/>
      <c r="S9" s="151">
        <f>IF(AND('Data Summary'!C136="PASS",'Data - Sample Type 1'!GE8&lt;&gt;0),'Data - Sample Type 1'!GE8,"")</f>
        <v>71.3</v>
      </c>
      <c r="T9" s="261"/>
      <c r="U9" s="191">
        <f>IF(AND('Data Summary'!C136="PASS",S9&lt;&gt;""),'Data - Sample Type 1'!GF8,"")</f>
        <v>267.3</v>
      </c>
      <c r="V9" s="261"/>
      <c r="W9" s="151">
        <f>IF('Data Summary'!C136="PASS",IF('Data - Sample Type 1'!BG8=0,"",'Data - Sample Type 1'!BG8),"")</f>
        <v>19.7</v>
      </c>
      <c r="X9" s="261"/>
      <c r="Y9" s="194">
        <f>IF(AND('Data Summary'!C136="PASS",'Data - Sample Type 1'!GM8&lt;&gt;0),'Data - Sample Type 1'!GM8,"")</f>
        <v>68.5</v>
      </c>
      <c r="Z9" s="261"/>
      <c r="AA9" s="151">
        <f>IF('Data Summary'!C136="PASS",IF('Data - Sample Type 1'!BU8=0,"",'Data - Sample Type 1'!BU8),"")</f>
        <v>26.4</v>
      </c>
      <c r="AB9" s="261"/>
      <c r="AC9" s="151">
        <f>IF(AND('Data Summary'!C136="PASS",'Data - Sample Type 1'!HC8&lt;&gt;0),'Data - Sample Type 1'!HC8,"")</f>
        <v>70.3</v>
      </c>
      <c r="AD9" s="261"/>
      <c r="AE9" s="191">
        <f>IF(AND('Data Summary'!C136="PASS",AC9&lt;&gt;""),'Data - Sample Type 1'!HD8,"")</f>
        <v>95.9</v>
      </c>
      <c r="AF9" s="261"/>
      <c r="AG9" s="151">
        <f>IF(AND('Data Summary'!C136="PASS",'Data - Sample Type 1'!HK8&lt;&gt;0),'Data - Sample Type 1'!HK8,"")</f>
        <v>70.900000000000006</v>
      </c>
      <c r="AH9" s="261"/>
      <c r="AI9" s="191">
        <f>IF(AND('Data Summary'!C136="PASS",AG9&lt;&gt;""),'Data - Sample Type 1'!HL8,"")</f>
        <v>149.19999999999999</v>
      </c>
      <c r="AJ9" s="261"/>
      <c r="AK9" s="151">
        <f>IF(AND('Data Summary'!C136="PASS",'Data - Sample Type 1'!HS8&lt;&gt;0),'Data - Sample Type 1'!HS8,"")</f>
        <v>69.2</v>
      </c>
      <c r="AL9" s="261"/>
      <c r="AM9" s="191">
        <f>IF(AND('Data Summary'!C136="PASS",AK9&lt;&gt;""),'Data - Sample Type 1'!HT8,"")</f>
        <v>93.4</v>
      </c>
      <c r="AN9" s="261"/>
      <c r="AO9" s="194">
        <f>IF('Data Summary'!C136="PASS",IF('Data - Sample Type 1'!DK8=0,"",'Data - Sample Type 1'!DK8),"")</f>
        <v>22.7</v>
      </c>
      <c r="AP9" s="261"/>
      <c r="AQ9" s="151">
        <f>IF('Data Summary'!C136="PASS",IF('Data - Sample Type 1'!DY8=0,"",'Data - Sample Type 1'!DY8),"")</f>
        <v>19.5</v>
      </c>
      <c r="AR9" s="261"/>
      <c r="AS9" s="151">
        <f>IF('Data Summary'!C136="PASS",IF('Data - Sample Type 1'!EM8=0,"",'Data - Sample Type 1'!EM8),"")</f>
        <v>23.7</v>
      </c>
      <c r="AT9" s="272"/>
      <c r="AW9" s="276"/>
      <c r="AX9" s="194" t="str">
        <f>IF(AND('Data Summary'!C221="PASS",'Data - Sample Type 2'!IQ8&lt;&gt;0),'Data - Sample Type 2'!IQ8,"")</f>
        <v/>
      </c>
      <c r="AY9" s="261"/>
      <c r="AZ9" s="151" t="str">
        <f>IF(AND('Data Summary'!C221="PASS",'Data - Sample Type 2'!IY8&lt;&gt;0),'Data - Sample Type 2'!IY8,"")</f>
        <v/>
      </c>
      <c r="BA9" s="261"/>
      <c r="BB9" s="150" t="str">
        <f>IF(AND('Data Summary'!C221="PASS",AZ9&lt;&gt;""),'Data - Sample Type 2'!IZ8,"")</f>
        <v/>
      </c>
      <c r="BC9" s="261"/>
      <c r="BD9" s="151" t="str">
        <f>IF(AND('Data Summary'!C221="PASS",'Data - Sample Type 2'!JG8&lt;&gt;0),'Data - Sample Type 2'!JG8,"")</f>
        <v/>
      </c>
      <c r="BE9" s="261"/>
      <c r="BF9" s="150" t="str">
        <f>IF(AND('Data Summary'!C221="PASS",BD9&lt;&gt;""),'Data - Sample Type 2'!JH8,"")</f>
        <v/>
      </c>
      <c r="BG9" s="261"/>
      <c r="BH9" s="151" t="str">
        <f>IF('Data Summary'!C221="PASS",IF('Data - Sample Type 2'!BG8=0,"",'Data - Sample Type 2'!BG8),"")</f>
        <v/>
      </c>
      <c r="BI9" s="261"/>
      <c r="BJ9" s="194" t="str">
        <f>IF(AND('Data Summary'!C221="PASS",'Data - Sample Type 2'!JO8&lt;&gt;0),'Data - Sample Type 2'!JO8,"")</f>
        <v/>
      </c>
      <c r="BK9" s="261"/>
      <c r="BL9" s="151" t="str">
        <f>IF(AND('Data Summary'!C221="PASS",'Data - Sample Type 2'!HC8&lt;&gt;0),'Data - Sample Type 2'!HC8,"")</f>
        <v/>
      </c>
      <c r="BM9" s="261"/>
      <c r="BN9" s="151" t="str">
        <f>IF(AND('Data Summary'!C221="PASS",'Data - Sample Type 2'!LS8&lt;&gt;0),'Data - Sample Type 2'!LS8,"")</f>
        <v/>
      </c>
      <c r="BO9" s="261"/>
      <c r="BP9" s="191" t="str">
        <f>IF(AND('Data Summary'!C221="PASS",BN9&lt;&gt;""),'Data - Sample Type 2'!LT8,"")</f>
        <v/>
      </c>
      <c r="BQ9" s="261"/>
      <c r="BR9" s="194" t="str">
        <f>IF(AND('Data Summary'!C221="PASS",'Data - Sample Type 2'!MI8&lt;&gt;0),'Data - Sample Type 2'!MI8,"")</f>
        <v/>
      </c>
      <c r="BS9" s="261"/>
      <c r="BT9" s="191" t="str">
        <f>IF(AND('Data Summary'!C221="PASS",BR9&lt;&gt;""),'Data - Sample Type 2'!MJ8,"")</f>
        <v/>
      </c>
      <c r="BU9" s="261"/>
      <c r="BV9" s="151" t="str">
        <f>IF('Data Summary'!C221="PASS",IF('Data - Sample Type 2'!DY8=0,"",'Data - Sample Type 2'!DY8),"")</f>
        <v/>
      </c>
      <c r="BW9" s="261"/>
      <c r="BX9" s="151" t="str">
        <f>IF('Data Summary'!C221="PASS",IF('Data - Sample Type 2'!EM8=0,"",'Data - Sample Type 2'!EM8),"")</f>
        <v/>
      </c>
      <c r="BY9" s="272"/>
    </row>
    <row r="10" spans="1:77" ht="12.75" customHeight="1" thickBot="1" x14ac:dyDescent="0.25">
      <c r="A10" s="285"/>
      <c r="B10" s="151">
        <f>IF('Data Summary'!C17="PASS",'Data - First 10'!Q9,"")</f>
        <v>27.8</v>
      </c>
      <c r="C10" s="272"/>
      <c r="E10" s="276"/>
      <c r="F10" s="151">
        <f>IF('Data Summary'!C32="PASS",IF('Data Summary'!A32="","",'Data - Sample Type 0'!Q9),"")</f>
        <v>26.2</v>
      </c>
      <c r="G10" s="272"/>
      <c r="J10" s="277"/>
      <c r="K10" s="172">
        <f>IF(AND('Data Summary'!C137="PASS",'Data - Sample Type 1'!FO9&lt;&gt;0),'Data - Sample Type 1'!FO9,"")</f>
        <v>76.2</v>
      </c>
      <c r="L10" s="268"/>
      <c r="M10" s="173">
        <f>IF('Data Summary'!C137="PASS",IF('Data - Sample Type 1'!AE9=0,"",'Data - Sample Type 1'!AE9),"")</f>
        <v>24.9</v>
      </c>
      <c r="N10" s="268"/>
      <c r="O10" s="172">
        <f>IF(AND('Data Summary'!C137="PASS",'Data - Sample Type 1'!FW9&lt;&gt;0),'Data - Sample Type 1'!FW9,"")</f>
        <v>73.599999999999994</v>
      </c>
      <c r="P10" s="268"/>
      <c r="Q10" s="192">
        <f>IF(AND('Data Summary'!C137="PASS",O10&lt;&gt;""),'Data - Sample Type 1'!FX9,"")</f>
        <v>94.3</v>
      </c>
      <c r="R10" s="268"/>
      <c r="S10" s="172">
        <f>IF(AND('Data Summary'!C137="PASS",'Data - Sample Type 1'!GE9&lt;&gt;0),'Data - Sample Type 1'!GE9,"")</f>
        <v>71.400000000000006</v>
      </c>
      <c r="T10" s="268"/>
      <c r="U10" s="192">
        <f>IF(AND('Data Summary'!C137="PASS",S10&lt;&gt;""),'Data - Sample Type 1'!GF9,"")</f>
        <v>290.8</v>
      </c>
      <c r="V10" s="268"/>
      <c r="W10" s="172">
        <f>IF('Data Summary'!C137="PASS",IF('Data - Sample Type 1'!BG9=0,"",'Data - Sample Type 1'!BG9),"")</f>
        <v>23.1</v>
      </c>
      <c r="X10" s="268"/>
      <c r="Y10" s="195">
        <f>IF(AND('Data Summary'!C137="PASS",'Data - Sample Type 1'!GM9&lt;&gt;0),'Data - Sample Type 1'!GM9,"")</f>
        <v>68.599999999999994</v>
      </c>
      <c r="Z10" s="268"/>
      <c r="AA10" s="172">
        <f>IF('Data Summary'!C137="PASS",IF('Data - Sample Type 1'!BU9=0,"",'Data - Sample Type 1'!BU9),"")</f>
        <v>29.1</v>
      </c>
      <c r="AB10" s="268"/>
      <c r="AC10" s="172">
        <f>IF(AND('Data Summary'!C137="PASS",'Data - Sample Type 1'!HC9&lt;&gt;0),'Data - Sample Type 1'!HC9,"")</f>
        <v>70.400000000000006</v>
      </c>
      <c r="AD10" s="268"/>
      <c r="AE10" s="192">
        <f>IF(AND('Data Summary'!C137="PASS",AC10&lt;&gt;""),'Data - Sample Type 1'!HD9,"")</f>
        <v>94.3</v>
      </c>
      <c r="AF10" s="268"/>
      <c r="AG10" s="172">
        <f>IF(AND('Data Summary'!C137="PASS",'Data - Sample Type 1'!HK9&lt;&gt;0),'Data - Sample Type 1'!HK9,"")</f>
        <v>71</v>
      </c>
      <c r="AH10" s="268"/>
      <c r="AI10" s="192">
        <f>IF(AND('Data Summary'!C137="PASS",AG10&lt;&gt;""),'Data - Sample Type 1'!HL9,"")</f>
        <v>153.9</v>
      </c>
      <c r="AJ10" s="268"/>
      <c r="AK10" s="172">
        <f>IF(AND('Data Summary'!C137="PASS",'Data - Sample Type 1'!HS9&lt;&gt;0),'Data - Sample Type 1'!HS9,"")</f>
        <v>69.400000000000006</v>
      </c>
      <c r="AL10" s="268"/>
      <c r="AM10" s="192">
        <f>IF(AND('Data Summary'!C137="PASS",AK10&lt;&gt;""),'Data - Sample Type 1'!HT9,"")</f>
        <v>95.9</v>
      </c>
      <c r="AN10" s="268"/>
      <c r="AO10" s="195">
        <f>IF('Data Summary'!C137="PASS",IF('Data - Sample Type 1'!DK9=0,"",'Data - Sample Type 1'!DK9),"")</f>
        <v>22.9</v>
      </c>
      <c r="AP10" s="268"/>
      <c r="AQ10" s="172">
        <f>IF('Data Summary'!C137="PASS",IF('Data - Sample Type 1'!DY9=0,"",'Data - Sample Type 1'!DY9),"")</f>
        <v>21</v>
      </c>
      <c r="AR10" s="268"/>
      <c r="AS10" s="172">
        <f>IF('Data Summary'!C137="PASS",IF('Data - Sample Type 1'!EM9=0,"",'Data - Sample Type 1'!EM9),"")</f>
        <v>22.4</v>
      </c>
      <c r="AT10" s="273"/>
      <c r="AW10" s="276"/>
      <c r="AX10" s="194">
        <f>IF(AND('Data Summary'!C222="PASS",'Data - Sample Type 2'!IQ9&lt;&gt;0),'Data - Sample Type 2'!IQ9,"")</f>
        <v>70.5</v>
      </c>
      <c r="AY10" s="261"/>
      <c r="AZ10" s="151">
        <f>IF(AND('Data Summary'!C222="PASS",'Data - Sample Type 2'!IY9&lt;&gt;0),'Data - Sample Type 2'!IY9,"")</f>
        <v>67.8</v>
      </c>
      <c r="BA10" s="261"/>
      <c r="BB10" s="150">
        <f>IF(AND('Data Summary'!C222="PASS",AZ10&lt;&gt;""),'Data - Sample Type 2'!IZ9,"")</f>
        <v>154.30000000000001</v>
      </c>
      <c r="BC10" s="261"/>
      <c r="BD10" s="151">
        <f>IF(AND('Data Summary'!C222="PASS",'Data - Sample Type 2'!JG9&lt;&gt;0),'Data - Sample Type 2'!JG9,"")</f>
        <v>75.400000000000006</v>
      </c>
      <c r="BE10" s="261"/>
      <c r="BF10" s="150">
        <f>IF(AND('Data Summary'!C222="PASS",BD10&lt;&gt;""),'Data - Sample Type 2'!JH9,"")</f>
        <v>162.80000000000001</v>
      </c>
      <c r="BG10" s="261"/>
      <c r="BH10" s="151">
        <f>IF('Data Summary'!C222="PASS",IF('Data - Sample Type 2'!BG9=0,"",'Data - Sample Type 2'!BG9),"")</f>
        <v>21.9</v>
      </c>
      <c r="BI10" s="261"/>
      <c r="BJ10" s="194">
        <f>IF(AND('Data Summary'!C222="PASS",'Data - Sample Type 2'!JO9&lt;&gt;0),'Data - Sample Type 2'!JO9,"")</f>
        <v>65.599999999999994</v>
      </c>
      <c r="BK10" s="261"/>
      <c r="BL10" s="151">
        <f>IF(AND('Data Summary'!C222="PASS",'Data - Sample Type 2'!HC9&lt;&gt;0),'Data - Sample Type 2'!HC9,"")</f>
        <v>69.3</v>
      </c>
      <c r="BM10" s="261"/>
      <c r="BN10" s="151">
        <f>IF(AND('Data Summary'!C222="PASS",'Data - Sample Type 2'!LS9&lt;&gt;0),'Data - Sample Type 2'!LS9,"")</f>
        <v>75.5</v>
      </c>
      <c r="BO10" s="261"/>
      <c r="BP10" s="191">
        <f>IF(AND('Data Summary'!C222="PASS",BN10&lt;&gt;""),'Data - Sample Type 2'!LT9,"")</f>
        <v>118.1</v>
      </c>
      <c r="BQ10" s="261"/>
      <c r="BR10" s="194">
        <f>IF(AND('Data Summary'!C222="PASS",'Data - Sample Type 2'!MI9&lt;&gt;0),'Data - Sample Type 2'!MI9,"")</f>
        <v>65.5</v>
      </c>
      <c r="BS10" s="261"/>
      <c r="BT10" s="191">
        <f>IF(AND('Data Summary'!C222="PASS",BR10&lt;&gt;""),'Data - Sample Type 2'!MJ9,"")</f>
        <v>107.5</v>
      </c>
      <c r="BU10" s="261"/>
      <c r="BV10" s="151">
        <f>IF('Data Summary'!C222="PASS",IF('Data - Sample Type 2'!DY9=0,"",'Data - Sample Type 2'!DY9),"")</f>
        <v>23.7</v>
      </c>
      <c r="BW10" s="261"/>
      <c r="BX10" s="151">
        <f>IF('Data Summary'!C222="PASS",IF('Data - Sample Type 2'!EM9=0,"",'Data - Sample Type 2'!EM9),"")</f>
        <v>24.9</v>
      </c>
      <c r="BY10" s="272"/>
    </row>
    <row r="11" spans="1:77" ht="12.75" customHeight="1" x14ac:dyDescent="0.2">
      <c r="A11" s="285"/>
      <c r="B11" s="151">
        <f>IF('Data Summary'!C18="PASS",'Data - First 10'!Q10,"")</f>
        <v>27.1</v>
      </c>
      <c r="C11" s="272"/>
      <c r="E11" s="276"/>
      <c r="F11" s="151">
        <f>IF('Data Summary'!C33="PASS",IF('Data Summary'!A33="","",'Data - Sample Type 0'!Q10),"")</f>
        <v>26.3</v>
      </c>
      <c r="G11" s="272"/>
      <c r="J11" s="275">
        <v>2</v>
      </c>
      <c r="K11" s="154">
        <f>IF(AND('Data Summary'!C138="PASS",'Data - Sample Type 1'!FO10&lt;&gt;0),'Data - Sample Type 1'!FO10,"")</f>
        <v>76.099999999999994</v>
      </c>
      <c r="L11" s="258">
        <f t="shared" ref="L11" si="0">AVERAGE(K11:K18)</f>
        <v>76.112499999999997</v>
      </c>
      <c r="M11" s="170">
        <f>IF('Data Summary'!C138="PASS",IF('Data - Sample Type 1'!AE10=0,"",'Data - Sample Type 1'!AE10),"")</f>
        <v>24.4</v>
      </c>
      <c r="N11" s="258">
        <f t="shared" ref="N11" si="1">AVERAGE(M11:M18)</f>
        <v>24.65</v>
      </c>
      <c r="O11" s="154">
        <f>IF(AND('Data Summary'!C138="PASS",'Data - Sample Type 1'!FW10&lt;&gt;0),'Data - Sample Type 1'!FW10,"")</f>
        <v>73.599999999999994</v>
      </c>
      <c r="P11" s="258">
        <f t="shared" ref="P11" si="2">AVERAGE(O11:O18)</f>
        <v>73.5625</v>
      </c>
      <c r="Q11" s="190">
        <f>IF(AND('Data Summary'!C138="PASS",O11&lt;&gt;""),'Data - Sample Type 1'!FX10,"")</f>
        <v>108.7</v>
      </c>
      <c r="R11" s="263">
        <f t="shared" ref="R11" si="3">AVERAGE(Q11:Q18)</f>
        <v>89.274999999999991</v>
      </c>
      <c r="S11" s="154">
        <f>IF(AND('Data Summary'!C138="PASS",'Data - Sample Type 1'!GE10&lt;&gt;0),'Data - Sample Type 1'!GE10,"")</f>
        <v>71.400000000000006</v>
      </c>
      <c r="T11" s="265">
        <f t="shared" ref="T11" si="4">AVERAGE(S11:S18)</f>
        <v>71.337500000000006</v>
      </c>
      <c r="U11" s="190">
        <f>IF(AND('Data Summary'!C138="PASS",S11&lt;&gt;""),'Data - Sample Type 1'!GF10,"")</f>
        <v>235.6</v>
      </c>
      <c r="V11" s="263">
        <f t="shared" ref="V11" si="5">AVERAGE(U11:U18)</f>
        <v>227.6875</v>
      </c>
      <c r="W11" s="154">
        <f>IF('Data Summary'!C138="PASS",IF('Data - Sample Type 1'!BG10=0,"",'Data - Sample Type 1'!BG10),"")</f>
        <v>22.2</v>
      </c>
      <c r="X11" s="265">
        <f t="shared" ref="X11" si="6">AVERAGE(W11:W18)</f>
        <v>21.412500000000001</v>
      </c>
      <c r="Y11" s="196">
        <f>IF(AND('Data Summary'!C138="PASS",'Data - Sample Type 1'!GM10&lt;&gt;0),'Data - Sample Type 1'!GM10,"")</f>
        <v>68.5</v>
      </c>
      <c r="Z11" s="265">
        <f t="shared" ref="Z11" si="7">AVERAGE(Y11:Y18)</f>
        <v>68.512500000000003</v>
      </c>
      <c r="AA11" s="154">
        <f>IF('Data Summary'!C138="PASS",IF('Data - Sample Type 1'!BU10=0,"",'Data - Sample Type 1'!BU10),"")</f>
        <v>29.5</v>
      </c>
      <c r="AB11" s="265">
        <f t="shared" ref="AB11" si="8">AVERAGE(AA11:AA18)</f>
        <v>29.024999999999999</v>
      </c>
      <c r="AC11" s="154">
        <f>IF(AND('Data Summary'!C138="PASS",'Data - Sample Type 1'!HC10&lt;&gt;0),'Data - Sample Type 1'!HC10,"")</f>
        <v>70.400000000000006</v>
      </c>
      <c r="AD11" s="265">
        <f t="shared" ref="AD11" si="9">AVERAGE(AC11:AC18)</f>
        <v>70.362499999999997</v>
      </c>
      <c r="AE11" s="190">
        <f>IF(AND('Data Summary'!C138="PASS",AC11&lt;&gt;""),'Data - Sample Type 1'!HD10,"")</f>
        <v>89.1</v>
      </c>
      <c r="AF11" s="263">
        <f t="shared" ref="AF11" si="10">AVERAGE(AE11:AE18)</f>
        <v>81.150000000000006</v>
      </c>
      <c r="AG11" s="154">
        <f>IF(AND('Data Summary'!C138="PASS",'Data - Sample Type 1'!HK10&lt;&gt;0),'Data - Sample Type 1'!HK10,"")</f>
        <v>71</v>
      </c>
      <c r="AH11" s="265">
        <f t="shared" ref="AH11" si="11">AVERAGE(AG11:AG18)</f>
        <v>70.962499999999991</v>
      </c>
      <c r="AI11" s="190">
        <f>IF(AND('Data Summary'!C138="PASS",AG11&lt;&gt;""),'Data - Sample Type 1'!HL10,"")</f>
        <v>143.19999999999999</v>
      </c>
      <c r="AJ11" s="263">
        <f t="shared" ref="AJ11" si="12">AVERAGE(AI11:AI18)</f>
        <v>128.1875</v>
      </c>
      <c r="AK11" s="154">
        <f>IF(AND('Data Summary'!C138="PASS",'Data - Sample Type 1'!HS10&lt;&gt;0),'Data - Sample Type 1'!HS10,"")</f>
        <v>69.3</v>
      </c>
      <c r="AL11" s="265">
        <f t="shared" ref="AL11" si="13">AVERAGE(AK11:AK18)</f>
        <v>69.287499999999994</v>
      </c>
      <c r="AM11" s="190">
        <f>IF(AND('Data Summary'!C138="PASS",AK11&lt;&gt;""),'Data - Sample Type 1'!HT10,"")</f>
        <v>86</v>
      </c>
      <c r="AN11" s="263">
        <f t="shared" ref="AN11" si="14">AVERAGE(AM11:AM18)</f>
        <v>82.474999999999994</v>
      </c>
      <c r="AO11" s="196">
        <f>IF('Data Summary'!C138="PASS",IF('Data - Sample Type 1'!DK10=0,"",'Data - Sample Type 1'!DK10),"")</f>
        <v>24.6</v>
      </c>
      <c r="AP11" s="265">
        <f t="shared" ref="AP11" si="15">AVERAGE(AO11:AO18)</f>
        <v>24</v>
      </c>
      <c r="AQ11" s="154">
        <f>IF('Data Summary'!C138="PASS",IF('Data - Sample Type 1'!DY10=0,"",'Data - Sample Type 1'!DY10),"")</f>
        <v>21.2</v>
      </c>
      <c r="AR11" s="265">
        <f t="shared" ref="AR11" si="16">AVERAGE(AQ11:AQ18)</f>
        <v>20.737500000000001</v>
      </c>
      <c r="AS11" s="154">
        <f>IF('Data Summary'!C138="PASS",IF('Data - Sample Type 1'!EM10=0,"",'Data - Sample Type 1'!EM10),"")</f>
        <v>25.1</v>
      </c>
      <c r="AT11" s="269">
        <f>AVERAGE(AS11:AS18)</f>
        <v>24.6875</v>
      </c>
      <c r="AW11" s="276"/>
      <c r="AX11" s="194" t="str">
        <f>IF(AND('Data Summary'!C223="PASS",'Data - Sample Type 2'!IQ10&lt;&gt;0),'Data - Sample Type 2'!IQ10,"")</f>
        <v/>
      </c>
      <c r="AY11" s="261"/>
      <c r="AZ11" s="151" t="str">
        <f>IF(AND('Data Summary'!C223="PASS",'Data - Sample Type 2'!IY10&lt;&gt;0),'Data - Sample Type 2'!IY10,"")</f>
        <v/>
      </c>
      <c r="BA11" s="261"/>
      <c r="BB11" s="150" t="str">
        <f>IF(AND('Data Summary'!C223="PASS",AZ11&lt;&gt;""),'Data - Sample Type 2'!IZ10,"")</f>
        <v/>
      </c>
      <c r="BC11" s="261"/>
      <c r="BD11" s="151" t="str">
        <f>IF(AND('Data Summary'!C223="PASS",'Data - Sample Type 2'!JG10&lt;&gt;0),'Data - Sample Type 2'!JG10,"")</f>
        <v/>
      </c>
      <c r="BE11" s="261"/>
      <c r="BF11" s="150" t="str">
        <f>IF(AND('Data Summary'!C223="PASS",BD11&lt;&gt;""),'Data - Sample Type 2'!JH10,"")</f>
        <v/>
      </c>
      <c r="BG11" s="261"/>
      <c r="BH11" s="151" t="str">
        <f>IF('Data Summary'!C223="PASS",IF('Data - Sample Type 2'!BG10=0,"",'Data - Sample Type 2'!BG10),"")</f>
        <v/>
      </c>
      <c r="BI11" s="261"/>
      <c r="BJ11" s="194" t="str">
        <f>IF(AND('Data Summary'!C223="PASS",'Data - Sample Type 2'!JO10&lt;&gt;0),'Data - Sample Type 2'!JO10,"")</f>
        <v/>
      </c>
      <c r="BK11" s="261"/>
      <c r="BL11" s="151" t="str">
        <f>IF(AND('Data Summary'!C223="PASS",'Data - Sample Type 2'!HC10&lt;&gt;0),'Data - Sample Type 2'!HC10,"")</f>
        <v/>
      </c>
      <c r="BM11" s="261"/>
      <c r="BN11" s="151" t="str">
        <f>IF(AND('Data Summary'!C223="PASS",'Data - Sample Type 2'!LS10&lt;&gt;0),'Data - Sample Type 2'!LS10,"")</f>
        <v/>
      </c>
      <c r="BO11" s="261"/>
      <c r="BP11" s="191" t="str">
        <f>IF(AND('Data Summary'!C223="PASS",BN11&lt;&gt;""),'Data - Sample Type 2'!LT10,"")</f>
        <v/>
      </c>
      <c r="BQ11" s="261"/>
      <c r="BR11" s="194" t="str">
        <f>IF(AND('Data Summary'!C223="PASS",'Data - Sample Type 2'!MI10&lt;&gt;0),'Data - Sample Type 2'!MI10,"")</f>
        <v/>
      </c>
      <c r="BS11" s="261"/>
      <c r="BT11" s="191" t="str">
        <f>IF(AND('Data Summary'!C223="PASS",BR11&lt;&gt;""),'Data - Sample Type 2'!MJ10,"")</f>
        <v/>
      </c>
      <c r="BU11" s="261"/>
      <c r="BV11" s="151" t="str">
        <f>IF('Data Summary'!C223="PASS",IF('Data - Sample Type 2'!DY10=0,"",'Data - Sample Type 2'!DY10),"")</f>
        <v/>
      </c>
      <c r="BW11" s="261"/>
      <c r="BX11" s="151" t="str">
        <f>IF('Data Summary'!C223="PASS",IF('Data - Sample Type 2'!EM10=0,"",'Data - Sample Type 2'!EM10),"")</f>
        <v/>
      </c>
      <c r="BY11" s="272"/>
    </row>
    <row r="12" spans="1:77" ht="12.75" customHeight="1" thickBot="1" x14ac:dyDescent="0.25">
      <c r="A12" s="286"/>
      <c r="B12" s="155">
        <f>IF('Data Summary'!C19="PASS",'Data - First 10'!Q11,"")</f>
        <v>28.6</v>
      </c>
      <c r="C12" s="274"/>
      <c r="E12" s="278"/>
      <c r="F12" s="155">
        <f>IF('Data Summary'!C34="PASS",IF('Data Summary'!A34="","",'Data - Sample Type 0'!Q11),"")</f>
        <v>27.4</v>
      </c>
      <c r="G12" s="274"/>
      <c r="H12"/>
      <c r="I12"/>
      <c r="J12" s="276"/>
      <c r="K12" s="151">
        <f>IF(AND('Data Summary'!C139="PASS",'Data - Sample Type 1'!FO11&lt;&gt;0),'Data - Sample Type 1'!FO11,"")</f>
        <v>76.099999999999994</v>
      </c>
      <c r="L12" s="259"/>
      <c r="M12" s="102">
        <f>IF('Data Summary'!C139="PASS",IF('Data - Sample Type 1'!AE11=0,"",'Data - Sample Type 1'!AE11),"")</f>
        <v>24.9</v>
      </c>
      <c r="N12" s="259"/>
      <c r="O12" s="151">
        <f>IF(AND('Data Summary'!C139="PASS",'Data - Sample Type 1'!FW11&lt;&gt;0),'Data - Sample Type 1'!FW11,"")</f>
        <v>73.599999999999994</v>
      </c>
      <c r="P12" s="259"/>
      <c r="Q12" s="191">
        <f>IF(AND('Data Summary'!C139="PASS",O12&lt;&gt;""),'Data - Sample Type 1'!FX11,"")</f>
        <v>76.7</v>
      </c>
      <c r="R12" s="264"/>
      <c r="S12" s="151">
        <f>IF(AND('Data Summary'!C139="PASS",'Data - Sample Type 1'!GE11&lt;&gt;0),'Data - Sample Type 1'!GE11,"")</f>
        <v>71.3</v>
      </c>
      <c r="T12" s="266"/>
      <c r="U12" s="191">
        <f>IF(AND('Data Summary'!C139="PASS",S12&lt;&gt;""),'Data - Sample Type 1'!GF11,"")</f>
        <v>199.1</v>
      </c>
      <c r="V12" s="264"/>
      <c r="W12" s="151">
        <f>IF('Data Summary'!C139="PASS",IF('Data - Sample Type 1'!BG11=0,"",'Data - Sample Type 1'!BG11),"")</f>
        <v>20.8</v>
      </c>
      <c r="X12" s="266"/>
      <c r="Y12" s="194">
        <f>IF(AND('Data Summary'!C139="PASS",'Data - Sample Type 1'!GM11&lt;&gt;0),'Data - Sample Type 1'!GM11,"")</f>
        <v>68.400000000000006</v>
      </c>
      <c r="Z12" s="266"/>
      <c r="AA12" s="151">
        <f>IF('Data Summary'!C139="PASS",IF('Data - Sample Type 1'!BU11=0,"",'Data - Sample Type 1'!BU11),"")</f>
        <v>29.8</v>
      </c>
      <c r="AB12" s="266"/>
      <c r="AC12" s="151">
        <f>IF(AND('Data Summary'!C139="PASS",'Data - Sample Type 1'!HC11&lt;&gt;0),'Data - Sample Type 1'!HC11,"")</f>
        <v>70.400000000000006</v>
      </c>
      <c r="AD12" s="266"/>
      <c r="AE12" s="191">
        <f>IF(AND('Data Summary'!C139="PASS",AC12&lt;&gt;""),'Data - Sample Type 1'!HD11,"")</f>
        <v>69.2</v>
      </c>
      <c r="AF12" s="264"/>
      <c r="AG12" s="151">
        <f>IF(AND('Data Summary'!C139="PASS",'Data - Sample Type 1'!HK11&lt;&gt;0),'Data - Sample Type 1'!HK11,"")</f>
        <v>71</v>
      </c>
      <c r="AH12" s="266"/>
      <c r="AI12" s="191">
        <f>IF(AND('Data Summary'!C139="PASS",AG12&lt;&gt;""),'Data - Sample Type 1'!HL11,"")</f>
        <v>143.4</v>
      </c>
      <c r="AJ12" s="264"/>
      <c r="AK12" s="151">
        <f>IF(AND('Data Summary'!C139="PASS",'Data - Sample Type 1'!HS11&lt;&gt;0),'Data - Sample Type 1'!HS11,"")</f>
        <v>69.2</v>
      </c>
      <c r="AL12" s="266"/>
      <c r="AM12" s="191">
        <f>IF(AND('Data Summary'!C139="PASS",AK12&lt;&gt;""),'Data - Sample Type 1'!HT11,"")</f>
        <v>73.5</v>
      </c>
      <c r="AN12" s="264"/>
      <c r="AO12" s="194">
        <f>IF('Data Summary'!C139="PASS",IF('Data - Sample Type 1'!DK11=0,"",'Data - Sample Type 1'!DK11),"")</f>
        <v>24.2</v>
      </c>
      <c r="AP12" s="266"/>
      <c r="AQ12" s="151">
        <f>IF('Data Summary'!C139="PASS",IF('Data - Sample Type 1'!DY11=0,"",'Data - Sample Type 1'!DY11),"")</f>
        <v>20.7</v>
      </c>
      <c r="AR12" s="266"/>
      <c r="AS12" s="151">
        <f>IF('Data Summary'!C139="PASS",IF('Data - Sample Type 1'!EM11=0,"",'Data - Sample Type 1'!EM11),"")</f>
        <v>24.7</v>
      </c>
      <c r="AT12" s="270"/>
      <c r="AW12" s="278"/>
      <c r="AX12" s="197">
        <f>IF(AND('Data Summary'!C224="PASS",'Data - Sample Type 2'!IQ11&lt;&gt;0),'Data - Sample Type 2'!IQ11,"")</f>
        <v>70.599999999999994</v>
      </c>
      <c r="AY12" s="262"/>
      <c r="AZ12" s="155">
        <f>IF(AND('Data Summary'!C224="PASS",'Data - Sample Type 2'!IY11&lt;&gt;0),'Data - Sample Type 2'!IY11,"")</f>
        <v>67.900000000000006</v>
      </c>
      <c r="BA12" s="262"/>
      <c r="BB12" s="240">
        <f>IF(AND('Data Summary'!C224="PASS",AZ12&lt;&gt;""),'Data - Sample Type 2'!IZ11,"")</f>
        <v>132.80000000000001</v>
      </c>
      <c r="BC12" s="262"/>
      <c r="BD12" s="155">
        <f>IF(AND('Data Summary'!C224="PASS",'Data - Sample Type 2'!JG11&lt;&gt;0),'Data - Sample Type 2'!JG11,"")</f>
        <v>75.5</v>
      </c>
      <c r="BE12" s="262"/>
      <c r="BF12" s="240">
        <f>IF(AND('Data Summary'!C224="PASS",BD12&lt;&gt;""),'Data - Sample Type 2'!JH11,"")</f>
        <v>173</v>
      </c>
      <c r="BG12" s="262"/>
      <c r="BH12" s="155">
        <f>IF('Data Summary'!C224="PASS",IF('Data - Sample Type 2'!BG11=0,"",'Data - Sample Type 2'!BG11),"")</f>
        <v>24.2</v>
      </c>
      <c r="BI12" s="262"/>
      <c r="BJ12" s="197">
        <f>IF(AND('Data Summary'!C224="PASS",'Data - Sample Type 2'!JO11&lt;&gt;0),'Data - Sample Type 2'!JO11,"")</f>
        <v>65.7</v>
      </c>
      <c r="BK12" s="262"/>
      <c r="BL12" s="155">
        <f>IF(AND('Data Summary'!C224="PASS",'Data - Sample Type 2'!HC11&lt;&gt;0),'Data - Sample Type 2'!HC11,"")</f>
        <v>69.5</v>
      </c>
      <c r="BM12" s="262"/>
      <c r="BN12" s="155">
        <f>IF(AND('Data Summary'!C224="PASS",'Data - Sample Type 2'!LS11&lt;&gt;0),'Data - Sample Type 2'!LS11,"")</f>
        <v>75.599999999999994</v>
      </c>
      <c r="BO12" s="262"/>
      <c r="BP12" s="193">
        <f>IF(AND('Data Summary'!C224="PASS",BN12&lt;&gt;""),'Data - Sample Type 2'!LT11,"")</f>
        <v>124</v>
      </c>
      <c r="BQ12" s="262"/>
      <c r="BR12" s="197">
        <f>IF(AND('Data Summary'!C224="PASS",'Data - Sample Type 2'!MI11&lt;&gt;0),'Data - Sample Type 2'!MI11,"")</f>
        <v>65.5</v>
      </c>
      <c r="BS12" s="262"/>
      <c r="BT12" s="193">
        <f>IF(AND('Data Summary'!C224="PASS",BR12&lt;&gt;""),'Data - Sample Type 2'!MJ11,"")</f>
        <v>101</v>
      </c>
      <c r="BU12" s="262"/>
      <c r="BV12" s="155">
        <f>IF('Data Summary'!C224="PASS",IF('Data - Sample Type 2'!DY11=0,"",'Data - Sample Type 2'!DY11),"")</f>
        <v>24.2</v>
      </c>
      <c r="BW12" s="262"/>
      <c r="BX12" s="155">
        <f>IF('Data Summary'!C224="PASS",IF('Data - Sample Type 2'!EM11=0,"",'Data - Sample Type 2'!EM11),"")</f>
        <v>24.3</v>
      </c>
      <c r="BY12" s="274"/>
    </row>
    <row r="13" spans="1:77" x14ac:dyDescent="0.2">
      <c r="A13" s="63"/>
      <c r="B13"/>
      <c r="C13" s="96"/>
      <c r="E13" s="275">
        <v>2</v>
      </c>
      <c r="F13" s="154">
        <f>IF('Data Summary'!C35="PASS",IF('Data Summary'!A35="","",'Data - Sample Type 0'!Q12),"")</f>
        <v>27.4</v>
      </c>
      <c r="G13" s="279">
        <f t="shared" ref="G13" si="17">AVERAGE(F13:F22)</f>
        <v>26.79</v>
      </c>
      <c r="H13"/>
      <c r="I13"/>
      <c r="J13" s="276"/>
      <c r="K13" s="151">
        <f>IF(AND('Data Summary'!C140="PASS",'Data - Sample Type 1'!FO12&lt;&gt;0),'Data - Sample Type 1'!FO12,"")</f>
        <v>76.2</v>
      </c>
      <c r="L13" s="259"/>
      <c r="M13" s="102">
        <f>IF('Data Summary'!C140="PASS",IF('Data - Sample Type 1'!AE12=0,"",'Data - Sample Type 1'!AE12),"")</f>
        <v>23.8</v>
      </c>
      <c r="N13" s="259"/>
      <c r="O13" s="151">
        <f>IF(AND('Data Summary'!C140="PASS",'Data - Sample Type 1'!FW12&lt;&gt;0),'Data - Sample Type 1'!FW12,"")</f>
        <v>73.599999999999994</v>
      </c>
      <c r="P13" s="259"/>
      <c r="Q13" s="191">
        <f>IF(AND('Data Summary'!C140="PASS",O13&lt;&gt;""),'Data - Sample Type 1'!FX12,"")</f>
        <v>85.3</v>
      </c>
      <c r="R13" s="264"/>
      <c r="S13" s="151">
        <f>IF(AND('Data Summary'!C140="PASS",'Data - Sample Type 1'!GE12&lt;&gt;0),'Data - Sample Type 1'!GE12,"")</f>
        <v>71.400000000000006</v>
      </c>
      <c r="T13" s="266"/>
      <c r="U13" s="191">
        <f>IF(AND('Data Summary'!C140="PASS",S13&lt;&gt;""),'Data - Sample Type 1'!GF12,"")</f>
        <v>228.2</v>
      </c>
      <c r="V13" s="264"/>
      <c r="W13" s="151">
        <f>IF('Data Summary'!C140="PASS",IF('Data - Sample Type 1'!BG12=0,"",'Data - Sample Type 1'!BG12),"")</f>
        <v>18.5</v>
      </c>
      <c r="X13" s="266"/>
      <c r="Y13" s="194">
        <f>IF(AND('Data Summary'!C140="PASS",'Data - Sample Type 1'!GM12&lt;&gt;0),'Data - Sample Type 1'!GM12,"")</f>
        <v>68.599999999999994</v>
      </c>
      <c r="Z13" s="266"/>
      <c r="AA13" s="151">
        <f>IF('Data Summary'!C140="PASS",IF('Data - Sample Type 1'!BU12=0,"",'Data - Sample Type 1'!BU12),"")</f>
        <v>27.6</v>
      </c>
      <c r="AB13" s="266"/>
      <c r="AC13" s="151">
        <f>IF(AND('Data Summary'!C140="PASS",'Data - Sample Type 1'!HC12&lt;&gt;0),'Data - Sample Type 1'!HC12,"")</f>
        <v>70.400000000000006</v>
      </c>
      <c r="AD13" s="266"/>
      <c r="AE13" s="191">
        <f>IF(AND('Data Summary'!C140="PASS",AC13&lt;&gt;""),'Data - Sample Type 1'!HD12,"")</f>
        <v>89.5</v>
      </c>
      <c r="AF13" s="264"/>
      <c r="AG13" s="151">
        <f>IF(AND('Data Summary'!C140="PASS",'Data - Sample Type 1'!HK12&lt;&gt;0),'Data - Sample Type 1'!HK12,"")</f>
        <v>71</v>
      </c>
      <c r="AH13" s="266"/>
      <c r="AI13" s="191">
        <f>IF(AND('Data Summary'!C140="PASS",AG13&lt;&gt;""),'Data - Sample Type 1'!HL12,"")</f>
        <v>131.69999999999999</v>
      </c>
      <c r="AJ13" s="264"/>
      <c r="AK13" s="151">
        <f>IF(AND('Data Summary'!C140="PASS",'Data - Sample Type 1'!HS12&lt;&gt;0),'Data - Sample Type 1'!HS12,"")</f>
        <v>69.400000000000006</v>
      </c>
      <c r="AL13" s="266"/>
      <c r="AM13" s="191">
        <f>IF(AND('Data Summary'!C140="PASS",AK13&lt;&gt;""),'Data - Sample Type 1'!HT12,"")</f>
        <v>84.2</v>
      </c>
      <c r="AN13" s="264"/>
      <c r="AO13" s="194">
        <f>IF('Data Summary'!C140="PASS",IF('Data - Sample Type 1'!DK12=0,"",'Data - Sample Type 1'!DK12),"")</f>
        <v>23.5</v>
      </c>
      <c r="AP13" s="266"/>
      <c r="AQ13" s="151">
        <f>IF('Data Summary'!C140="PASS",IF('Data - Sample Type 1'!DY12=0,"",'Data - Sample Type 1'!DY12),"")</f>
        <v>20</v>
      </c>
      <c r="AR13" s="266"/>
      <c r="AS13" s="151">
        <f>IF('Data Summary'!C140="PASS",IF('Data - Sample Type 1'!EM12=0,"",'Data - Sample Type 1'!EM12),"")</f>
        <v>24.1</v>
      </c>
      <c r="AT13" s="270"/>
      <c r="AW13" s="283" t="s">
        <v>358</v>
      </c>
      <c r="AX13" s="198">
        <f>IF(AND('Data Summary'!C225="PASS",'Data - Sample Type 2'!IQ12&lt;&gt;0),'Data - Sample Type 2'!IQ12,"")</f>
        <v>70.7</v>
      </c>
      <c r="AY13" s="258">
        <f>AVERAGE(AX13:AX22)</f>
        <v>70.766666666666666</v>
      </c>
      <c r="AZ13" s="157">
        <f>IF(AND('Data Summary'!C225="PASS",'Data - Sample Type 2'!IY12&lt;&gt;0),'Data - Sample Type 2'!IY12,"")</f>
        <v>68</v>
      </c>
      <c r="BA13" s="258">
        <f>AVERAGE(AZ13:AZ22)</f>
        <v>68.077777777777783</v>
      </c>
      <c r="BB13" s="241">
        <f>IF(AND('Data Summary'!C225="PASS",AZ13&lt;&gt;""),'Data - Sample Type 2'!IZ12,"")</f>
        <v>130.9</v>
      </c>
      <c r="BC13" s="263">
        <f>ROUND(AVERAGE(BB13:BB22),0)</f>
        <v>130</v>
      </c>
      <c r="BD13" s="157">
        <f>IF(AND('Data Summary'!C225="PASS",'Data - Sample Type 2'!JG12&lt;&gt;0),'Data - Sample Type 2'!JG12,"")</f>
        <v>75.8</v>
      </c>
      <c r="BE13" s="258">
        <f>AVERAGE(BD13:BD22)</f>
        <v>75.688888888888911</v>
      </c>
      <c r="BF13" s="241">
        <f>IF(AND('Data Summary'!C225="PASS",BD13&lt;&gt;""),'Data - Sample Type 2'!JH12,"")</f>
        <v>140.5</v>
      </c>
      <c r="BG13" s="263">
        <f t="shared" ref="BG13" si="18">ROUND(AVERAGE(BF13:BF22),0)</f>
        <v>154</v>
      </c>
      <c r="BH13" s="157">
        <f>IF('Data Summary'!C225="PASS",IF('Data - Sample Type 2'!BG12=0,"",'Data - Sample Type 2'!BG12),"")</f>
        <v>20.9</v>
      </c>
      <c r="BI13" s="258">
        <f>AVERAGE(BH13:BH22)</f>
        <v>22.255555555555553</v>
      </c>
      <c r="BJ13" s="198">
        <f>IF(AND('Data Summary'!C225="PASS",'Data - Sample Type 2'!JO12&lt;&gt;0),'Data - Sample Type 2'!JO12,"")</f>
        <v>65.8</v>
      </c>
      <c r="BK13" s="258">
        <f>AVERAGE(BJ13:BJ22)</f>
        <v>65.877777777777794</v>
      </c>
      <c r="BL13" s="157">
        <f>IF(AND('Data Summary'!C225="PASS",'Data - Sample Type 2'!HC12&lt;&gt;0),'Data - Sample Type 2'!HC12,"")</f>
        <v>69.8</v>
      </c>
      <c r="BM13" s="258">
        <f>AVERAGE(BL13:BL22)</f>
        <v>69.644444444444446</v>
      </c>
      <c r="BN13" s="157">
        <f>IF(AND('Data Summary'!C225="PASS",'Data - Sample Type 2'!LS12&lt;&gt;0),'Data - Sample Type 2'!LS12,"")</f>
        <v>75.900000000000006</v>
      </c>
      <c r="BO13" s="258">
        <f>AVERAGE(BN13:BN22)</f>
        <v>75.833333333333314</v>
      </c>
      <c r="BP13" s="199">
        <f>IF(AND('Data Summary'!C225="PASS",BN13&lt;&gt;""),'Data - Sample Type 2'!LT12,"")</f>
        <v>103.2</v>
      </c>
      <c r="BQ13" s="263">
        <f>ROUND(AVERAGE(BP13:BP22),0)</f>
        <v>114</v>
      </c>
      <c r="BR13" s="198">
        <f>IF(AND('Data Summary'!C225="PASS",'Data - Sample Type 2'!MI12&lt;&gt;0),'Data - Sample Type 2'!MI12,"")</f>
        <v>65.599999999999994</v>
      </c>
      <c r="BS13" s="258">
        <f>AVERAGE(BR13:BR22)</f>
        <v>65.688888888888883</v>
      </c>
      <c r="BT13" s="199">
        <f>IF(AND('Data Summary'!C225="PASS",BR13&lt;&gt;""),'Data - Sample Type 2'!MJ12,"")</f>
        <v>83.1</v>
      </c>
      <c r="BU13" s="263">
        <f>ROUND(AVERAGE(BT13:BT22),0)</f>
        <v>90</v>
      </c>
      <c r="BV13" s="157">
        <f>IF('Data Summary'!C225="PASS",IF('Data - Sample Type 2'!DY12=0,"",'Data - Sample Type 2'!DY12),"")</f>
        <v>22.2</v>
      </c>
      <c r="BW13" s="258">
        <f>AVERAGE(BV13:BV22)</f>
        <v>23.811111111111114</v>
      </c>
      <c r="BX13" s="157">
        <f>IF('Data Summary'!C225="PASS",IF('Data - Sample Type 2'!EM12=0,"",'Data - Sample Type 2'!EM12),"")</f>
        <v>22.2</v>
      </c>
      <c r="BY13" s="279">
        <f>AVERAGE(BX13:BX22)</f>
        <v>24.355555555555558</v>
      </c>
    </row>
    <row r="14" spans="1:77" x14ac:dyDescent="0.2">
      <c r="B14"/>
      <c r="C14"/>
      <c r="D14"/>
      <c r="E14" s="276">
        <v>2</v>
      </c>
      <c r="F14" s="151">
        <f>IF('Data Summary'!C36="PASS",IF('Data Summary'!A36="","",'Data - Sample Type 0'!Q13),"")</f>
        <v>27.4</v>
      </c>
      <c r="G14" s="280"/>
      <c r="H14"/>
      <c r="I14"/>
      <c r="J14" s="276"/>
      <c r="K14" s="151">
        <f>IF(AND('Data Summary'!C141="PASS",'Data - Sample Type 1'!FO13&lt;&gt;0),'Data - Sample Type 1'!FO13,"")</f>
        <v>76.3</v>
      </c>
      <c r="L14" s="259"/>
      <c r="M14" s="102">
        <f>IF('Data Summary'!C141="PASS",IF('Data - Sample Type 1'!AE13=0,"",'Data - Sample Type 1'!AE13),"")</f>
        <v>23.4</v>
      </c>
      <c r="N14" s="259"/>
      <c r="O14" s="151">
        <f>IF(AND('Data Summary'!C141="PASS",'Data - Sample Type 1'!FW13&lt;&gt;0),'Data - Sample Type 1'!FW13,"")</f>
        <v>73.7</v>
      </c>
      <c r="P14" s="259"/>
      <c r="Q14" s="191">
        <f>IF(AND('Data Summary'!C141="PASS",O14&lt;&gt;""),'Data - Sample Type 1'!FX13,"")</f>
        <v>84</v>
      </c>
      <c r="R14" s="264"/>
      <c r="S14" s="151">
        <f>IF(AND('Data Summary'!C141="PASS",'Data - Sample Type 1'!GE13&lt;&gt;0),'Data - Sample Type 1'!GE13,"")</f>
        <v>71.400000000000006</v>
      </c>
      <c r="T14" s="267"/>
      <c r="U14" s="191">
        <f>IF(AND('Data Summary'!C141="PASS",S14&lt;&gt;""),'Data - Sample Type 1'!GF13,"")</f>
        <v>204.2</v>
      </c>
      <c r="V14" s="264"/>
      <c r="W14" s="151">
        <f>IF('Data Summary'!C141="PASS",IF('Data - Sample Type 1'!BG13=0,"",'Data - Sample Type 1'!BG13),"")</f>
        <v>21.8</v>
      </c>
      <c r="X14" s="267"/>
      <c r="Y14" s="194">
        <f>IF(AND('Data Summary'!C141="PASS",'Data - Sample Type 1'!GM13&lt;&gt;0),'Data - Sample Type 1'!GM13,"")</f>
        <v>68.7</v>
      </c>
      <c r="Z14" s="267"/>
      <c r="AA14" s="151">
        <f>IF('Data Summary'!C141="PASS",IF('Data - Sample Type 1'!BU13=0,"",'Data - Sample Type 1'!BU13),"")</f>
        <v>27.8</v>
      </c>
      <c r="AB14" s="267"/>
      <c r="AC14" s="151">
        <f>IF(AND('Data Summary'!C141="PASS",'Data - Sample Type 1'!HC13&lt;&gt;0),'Data - Sample Type 1'!HC13,"")</f>
        <v>70.400000000000006</v>
      </c>
      <c r="AD14" s="267"/>
      <c r="AE14" s="191">
        <f>IF(AND('Data Summary'!C141="PASS",AC14&lt;&gt;""),'Data - Sample Type 1'!HD13,"")</f>
        <v>87.7</v>
      </c>
      <c r="AF14" s="264"/>
      <c r="AG14" s="151">
        <f>IF(AND('Data Summary'!C141="PASS",'Data - Sample Type 1'!HK13&lt;&gt;0),'Data - Sample Type 1'!HK13,"")</f>
        <v>71</v>
      </c>
      <c r="AH14" s="267"/>
      <c r="AI14" s="191">
        <f>IF(AND('Data Summary'!C141="PASS",AG14&lt;&gt;""),'Data - Sample Type 1'!HL13,"")</f>
        <v>127.4</v>
      </c>
      <c r="AJ14" s="264"/>
      <c r="AK14" s="151">
        <f>IF(AND('Data Summary'!C141="PASS",'Data - Sample Type 1'!HS13&lt;&gt;0),'Data - Sample Type 1'!HS13,"")</f>
        <v>69.5</v>
      </c>
      <c r="AL14" s="267"/>
      <c r="AM14" s="191">
        <f>IF(AND('Data Summary'!C141="PASS",AK14&lt;&gt;""),'Data - Sample Type 1'!HT13,"")</f>
        <v>79.8</v>
      </c>
      <c r="AN14" s="264"/>
      <c r="AO14" s="194">
        <f>IF('Data Summary'!C141="PASS",IF('Data - Sample Type 1'!DK13=0,"",'Data - Sample Type 1'!DK13),"")</f>
        <v>23.1</v>
      </c>
      <c r="AP14" s="267"/>
      <c r="AQ14" s="151">
        <f>IF('Data Summary'!C141="PASS",IF('Data - Sample Type 1'!DY13=0,"",'Data - Sample Type 1'!DY13),"")</f>
        <v>19.899999999999999</v>
      </c>
      <c r="AR14" s="267"/>
      <c r="AS14" s="151">
        <f>IF('Data Summary'!C141="PASS",IF('Data - Sample Type 1'!EM13=0,"",'Data - Sample Type 1'!EM13),"")</f>
        <v>24.2</v>
      </c>
      <c r="AT14" s="271"/>
      <c r="AW14" s="276"/>
      <c r="AX14" s="194">
        <f>IF(AND('Data Summary'!C226="PASS",'Data - Sample Type 2'!IQ13&lt;&gt;0),'Data - Sample Type 2'!IQ13,"")</f>
        <v>70.7</v>
      </c>
      <c r="AY14" s="259"/>
      <c r="AZ14" s="151">
        <f>IF(AND('Data Summary'!C226="PASS",'Data - Sample Type 2'!IY13&lt;&gt;0),'Data - Sample Type 2'!IY13,"")</f>
        <v>68</v>
      </c>
      <c r="BA14" s="259"/>
      <c r="BB14" s="237">
        <f>IF(AND('Data Summary'!C226="PASS",AZ14&lt;&gt;""),'Data - Sample Type 2'!IZ13,"")</f>
        <v>157.9</v>
      </c>
      <c r="BC14" s="264"/>
      <c r="BD14" s="151">
        <f>IF(AND('Data Summary'!C226="PASS",'Data - Sample Type 2'!JG13&lt;&gt;0),'Data - Sample Type 2'!JG13,"")</f>
        <v>75.7</v>
      </c>
      <c r="BE14" s="259"/>
      <c r="BF14" s="237">
        <f>IF(AND('Data Summary'!C226="PASS",BD14&lt;&gt;""),'Data - Sample Type 2'!JH13,"")</f>
        <v>151.9</v>
      </c>
      <c r="BG14" s="264"/>
      <c r="BH14" s="151">
        <f>IF('Data Summary'!C226="PASS",IF('Data - Sample Type 2'!BG13=0,"",'Data - Sample Type 2'!BG13),"")</f>
        <v>22</v>
      </c>
      <c r="BI14" s="259"/>
      <c r="BJ14" s="194">
        <f>IF(AND('Data Summary'!C226="PASS",'Data - Sample Type 2'!JO13&lt;&gt;0),'Data - Sample Type 2'!JO13,"")</f>
        <v>65.8</v>
      </c>
      <c r="BK14" s="259"/>
      <c r="BL14" s="151">
        <f>IF(AND('Data Summary'!C226="PASS",'Data - Sample Type 2'!HC13&lt;&gt;0),'Data - Sample Type 2'!HC13,"")</f>
        <v>69.8</v>
      </c>
      <c r="BM14" s="259"/>
      <c r="BN14" s="151">
        <f>IF(AND('Data Summary'!C226="PASS",'Data - Sample Type 2'!LS13&lt;&gt;0),'Data - Sample Type 2'!LS13,"")</f>
        <v>75.900000000000006</v>
      </c>
      <c r="BO14" s="259"/>
      <c r="BP14" s="191">
        <f>IF(AND('Data Summary'!C226="PASS",BN14&lt;&gt;""),'Data - Sample Type 2'!LT13,"")</f>
        <v>130.9</v>
      </c>
      <c r="BQ14" s="264"/>
      <c r="BR14" s="194">
        <f>IF(AND('Data Summary'!C226="PASS",'Data - Sample Type 2'!MI13&lt;&gt;0),'Data - Sample Type 2'!MI13,"")</f>
        <v>65.599999999999994</v>
      </c>
      <c r="BS14" s="259"/>
      <c r="BT14" s="191">
        <f>IF(AND('Data Summary'!C226="PASS",BR14&lt;&gt;""),'Data - Sample Type 2'!MJ13,"")</f>
        <v>94.3</v>
      </c>
      <c r="BU14" s="264"/>
      <c r="BV14" s="151">
        <f>IF('Data Summary'!C226="PASS",IF('Data - Sample Type 2'!DY13=0,"",'Data - Sample Type 2'!DY13),"")</f>
        <v>23.5</v>
      </c>
      <c r="BW14" s="259"/>
      <c r="BX14" s="151">
        <f>IF('Data Summary'!C226="PASS",IF('Data - Sample Type 2'!EM13=0,"",'Data - Sample Type 2'!EM13),"")</f>
        <v>24.2</v>
      </c>
      <c r="BY14" s="280"/>
    </row>
    <row r="15" spans="1:77" ht="16.350000000000001" customHeight="1" x14ac:dyDescent="0.2">
      <c r="B15"/>
      <c r="C15"/>
      <c r="D15"/>
      <c r="E15" s="276"/>
      <c r="F15" s="151">
        <f>IF('Data Summary'!C37="PASS",IF('Data Summary'!A37="","",'Data - Sample Type 0'!Q14),"")</f>
        <v>25.8</v>
      </c>
      <c r="G15" s="280"/>
      <c r="H15"/>
      <c r="I15"/>
      <c r="J15" s="276"/>
      <c r="K15" s="151">
        <f>IF(AND('Data Summary'!C142="PASS",'Data - Sample Type 1'!FO14&lt;&gt;0),'Data - Sample Type 1'!FO14,"")</f>
        <v>76</v>
      </c>
      <c r="L15" s="261" t="str">
        <f>IF(AND(L11&gt;=Specifications!$C$21,L11&lt;=Specifications!$D$21),"PASS","FAIL")</f>
        <v>PASS</v>
      </c>
      <c r="M15" s="102">
        <f>IF('Data Summary'!C142="PASS",IF('Data - Sample Type 1'!AE14=0,"",'Data - Sample Type 1'!AE14),"")</f>
        <v>25.4</v>
      </c>
      <c r="N15" s="261" t="str">
        <f>IF(N11&lt;=Specifications!D$22,"PASS","FAIL")</f>
        <v>PASS</v>
      </c>
      <c r="O15" s="151">
        <f>IF(AND('Data Summary'!C142="PASS",'Data - Sample Type 1'!FW14&lt;&gt;0),'Data - Sample Type 1'!FW14,"")</f>
        <v>73.5</v>
      </c>
      <c r="P15" s="261" t="str">
        <f>IF(AND(P11&gt;=Specifications!$C$23,P11&lt;=Specifications!$D$23),"PASS","FAIL")</f>
        <v>PASS</v>
      </c>
      <c r="Q15" s="191">
        <f>IF(AND('Data Summary'!C142="PASS",O15&lt;&gt;""),'Data - Sample Type 1'!FX14,"")</f>
        <v>90.1</v>
      </c>
      <c r="R15" s="260" t="s">
        <v>510</v>
      </c>
      <c r="S15" s="151">
        <f>IF(AND('Data Summary'!C142="PASS",'Data - Sample Type 1'!GE14&lt;&gt;0),'Data - Sample Type 1'!GE14,"")</f>
        <v>71.3</v>
      </c>
      <c r="T15" s="261" t="str">
        <f>IF(AND(T11&gt;=Specifications!$C$25,T11&lt;=Specifications!$D$25),"PASS","FAIL")</f>
        <v>PASS</v>
      </c>
      <c r="U15" s="191">
        <f>IF(AND('Data Summary'!C142="PASS",S15&lt;&gt;""),'Data - Sample Type 1'!GF14,"")</f>
        <v>232.7</v>
      </c>
      <c r="V15" s="260" t="s">
        <v>510</v>
      </c>
      <c r="W15" s="151">
        <f>IF('Data Summary'!C142="PASS",IF('Data - Sample Type 1'!BG14=0,"",'Data - Sample Type 1'!BG14),"")</f>
        <v>21.6</v>
      </c>
      <c r="X15" s="261" t="str">
        <f>IF(X11&lt;=Specifications!D$27,"PASS","FAIL")</f>
        <v>PASS</v>
      </c>
      <c r="Y15" s="194">
        <f>IF(AND('Data Summary'!C142="PASS",'Data - Sample Type 1'!GM14&lt;&gt;0),'Data - Sample Type 1'!GM14,"")</f>
        <v>68.400000000000006</v>
      </c>
      <c r="Z15" s="261" t="str">
        <f>IF(AND(Z11&gt;=Specifications!$C$28,Z11&lt;=Specifications!$D$28),"PASS","FAIL")</f>
        <v>PASS</v>
      </c>
      <c r="AA15" s="151">
        <f>IF('Data Summary'!C142="PASS",IF('Data - Sample Type 1'!BU14=0,"",'Data - Sample Type 1'!BU14),"")</f>
        <v>29.5</v>
      </c>
      <c r="AB15" s="260" t="s">
        <v>510</v>
      </c>
      <c r="AC15" s="151">
        <f>IF(AND('Data Summary'!C142="PASS",'Data - Sample Type 1'!HC14&lt;&gt;0),'Data - Sample Type 1'!HC14,"")</f>
        <v>70.3</v>
      </c>
      <c r="AD15" s="261" t="str">
        <f>IF(AND(AD11&gt;=Specifications!$C$31,AD11&lt;=Specifications!$D$31),"PASS","FAIL")</f>
        <v>PASS</v>
      </c>
      <c r="AE15" s="191">
        <f>IF(AND('Data Summary'!C142="PASS",AC15&lt;&gt;""),'Data - Sample Type 1'!HD14,"")</f>
        <v>74.7</v>
      </c>
      <c r="AF15" s="260" t="s">
        <v>510</v>
      </c>
      <c r="AG15" s="151">
        <f>IF(AND('Data Summary'!C142="PASS",'Data - Sample Type 1'!HK14&lt;&gt;0),'Data - Sample Type 1'!HK14,"")</f>
        <v>70.900000000000006</v>
      </c>
      <c r="AH15" s="261" t="str">
        <f>IF(AND(AH11&gt;=Specifications!$C$33,AH11&lt;=Specifications!$D$33),"PASS","FAIL")</f>
        <v>PASS</v>
      </c>
      <c r="AI15" s="191">
        <f>IF(AND('Data Summary'!C142="PASS",AG15&lt;&gt;""),'Data - Sample Type 1'!HL14,"")</f>
        <v>114.8</v>
      </c>
      <c r="AJ15" s="260" t="s">
        <v>510</v>
      </c>
      <c r="AK15" s="151">
        <f>IF(AND('Data Summary'!C142="PASS",'Data - Sample Type 1'!HS14&lt;&gt;0),'Data - Sample Type 1'!HS14,"")</f>
        <v>69.2</v>
      </c>
      <c r="AL15" s="261" t="str">
        <f>IF(AND(AL11&gt;=Specifications!$C$35,AL11&lt;=Specifications!$D$35),"PASS","FAIL")</f>
        <v>PASS</v>
      </c>
      <c r="AM15" s="191">
        <f>IF(AND('Data Summary'!C142="PASS",AK15&lt;&gt;""),'Data - Sample Type 1'!HT14,"")</f>
        <v>84</v>
      </c>
      <c r="AN15" s="260" t="s">
        <v>510</v>
      </c>
      <c r="AO15" s="194">
        <f>IF('Data Summary'!C142="PASS",IF('Data - Sample Type 1'!DK14=0,"",'Data - Sample Type 1'!DK14),"")</f>
        <v>23.3</v>
      </c>
      <c r="AP15" s="261" t="str">
        <f>IF(AP11&lt;=Specifications!$D$37,"PASS","FAIL")</f>
        <v>PASS</v>
      </c>
      <c r="AQ15" s="151">
        <f>IF('Data Summary'!C142="PASS",IF('Data - Sample Type 1'!DY14=0,"",'Data - Sample Type 1'!DY14),"")</f>
        <v>20.9</v>
      </c>
      <c r="AR15" s="261" t="str">
        <f>IF(AR11&lt;=Specifications!$D$38,"PASS","FAIL")</f>
        <v>PASS</v>
      </c>
      <c r="AS15" s="151">
        <f>IF('Data Summary'!C142="PASS",IF('Data - Sample Type 1'!EM14=0,"",'Data - Sample Type 1'!EM14),"")</f>
        <v>23.8</v>
      </c>
      <c r="AT15" s="272" t="str">
        <f>IF(AT11&lt;=Specifications!$D$39,"PASS","FAIL")</f>
        <v>PASS</v>
      </c>
      <c r="AW15" s="276"/>
      <c r="AX15" s="194">
        <f>IF(AND('Data Summary'!C227="PASS",'Data - Sample Type 2'!IQ14&lt;&gt;0),'Data - Sample Type 2'!IQ14,"")</f>
        <v>70.5</v>
      </c>
      <c r="AY15" s="259"/>
      <c r="AZ15" s="151">
        <f>IF(AND('Data Summary'!C227="PASS",'Data - Sample Type 2'!IY14&lt;&gt;0),'Data - Sample Type 2'!IY14,"")</f>
        <v>67.8</v>
      </c>
      <c r="BA15" s="259"/>
      <c r="BB15" s="237">
        <f>IF(AND('Data Summary'!C227="PASS",AZ15&lt;&gt;""),'Data - Sample Type 2'!IZ14,"")</f>
        <v>126.5</v>
      </c>
      <c r="BC15" s="264"/>
      <c r="BD15" s="151">
        <f>IF(AND('Data Summary'!C227="PASS",'Data - Sample Type 2'!JG14&lt;&gt;0),'Data - Sample Type 2'!JG14,"")</f>
        <v>75.400000000000006</v>
      </c>
      <c r="BE15" s="259"/>
      <c r="BF15" s="237">
        <f>IF(AND('Data Summary'!C227="PASS",BD15&lt;&gt;""),'Data - Sample Type 2'!JH14,"")</f>
        <v>165</v>
      </c>
      <c r="BG15" s="264"/>
      <c r="BH15" s="151">
        <f>IF('Data Summary'!C227="PASS",IF('Data - Sample Type 2'!BG14=0,"",'Data - Sample Type 2'!BG14),"")</f>
        <v>25</v>
      </c>
      <c r="BI15" s="259"/>
      <c r="BJ15" s="194">
        <f>IF(AND('Data Summary'!C227="PASS",'Data - Sample Type 2'!JO14&lt;&gt;0),'Data - Sample Type 2'!JO14,"")</f>
        <v>65.7</v>
      </c>
      <c r="BK15" s="259"/>
      <c r="BL15" s="151">
        <f>IF(AND('Data Summary'!C227="PASS",'Data - Sample Type 2'!HC14&lt;&gt;0),'Data - Sample Type 2'!HC14,"")</f>
        <v>69.5</v>
      </c>
      <c r="BM15" s="259"/>
      <c r="BN15" s="151">
        <f>IF(AND('Data Summary'!C227="PASS",'Data - Sample Type 2'!LS14&lt;&gt;0),'Data - Sample Type 2'!LS14,"")</f>
        <v>75.5</v>
      </c>
      <c r="BO15" s="259"/>
      <c r="BP15" s="191">
        <f>IF(AND('Data Summary'!C227="PASS",BN15&lt;&gt;""),'Data - Sample Type 2'!LT14,"")</f>
        <v>120.7</v>
      </c>
      <c r="BQ15" s="264"/>
      <c r="BR15" s="194">
        <f>IF(AND('Data Summary'!C227="PASS",'Data - Sample Type 2'!MI14&lt;&gt;0),'Data - Sample Type 2'!MI14,"")</f>
        <v>65.5</v>
      </c>
      <c r="BS15" s="259"/>
      <c r="BT15" s="191">
        <f>IF(AND('Data Summary'!C227="PASS",BR15&lt;&gt;""),'Data - Sample Type 2'!MJ14,"")</f>
        <v>88.2</v>
      </c>
      <c r="BU15" s="264"/>
      <c r="BV15" s="151">
        <f>IF('Data Summary'!C227="PASS",IF('Data - Sample Type 2'!DY14=0,"",'Data - Sample Type 2'!DY14),"")</f>
        <v>25.1</v>
      </c>
      <c r="BW15" s="259"/>
      <c r="BX15" s="151">
        <f>IF('Data Summary'!C227="PASS",IF('Data - Sample Type 2'!EM14=0,"",'Data - Sample Type 2'!EM14),"")</f>
        <v>25.1</v>
      </c>
      <c r="BY15" s="280"/>
    </row>
    <row r="16" spans="1:77" x14ac:dyDescent="0.2">
      <c r="A16" s="39"/>
      <c r="B16"/>
      <c r="C16"/>
      <c r="D16"/>
      <c r="E16" s="276"/>
      <c r="F16" s="151">
        <f>IF('Data Summary'!C38="PASS",IF('Data Summary'!A38="","",'Data - Sample Type 0'!Q15),"")</f>
        <v>26.1</v>
      </c>
      <c r="G16" s="280"/>
      <c r="H16"/>
      <c r="I16"/>
      <c r="J16" s="276"/>
      <c r="K16" s="151">
        <f>IF(AND('Data Summary'!C143="PASS",'Data - Sample Type 1'!FO15&lt;&gt;0),'Data - Sample Type 1'!FO15,"")</f>
        <v>75.599999999999994</v>
      </c>
      <c r="L16" s="261"/>
      <c r="M16" s="102">
        <f>IF('Data Summary'!C143="PASS",IF('Data - Sample Type 1'!AE15=0,"",'Data - Sample Type 1'!AE15),"")</f>
        <v>27.5</v>
      </c>
      <c r="N16" s="261"/>
      <c r="O16" s="151">
        <f>IF(AND('Data Summary'!C143="PASS",'Data - Sample Type 1'!FW15&lt;&gt;0),'Data - Sample Type 1'!FW15,"")</f>
        <v>73.2</v>
      </c>
      <c r="P16" s="261"/>
      <c r="Q16" s="191">
        <f>IF(AND('Data Summary'!C143="PASS",O16&lt;&gt;""),'Data - Sample Type 1'!FX15,"")</f>
        <v>87.6</v>
      </c>
      <c r="R16" s="261"/>
      <c r="S16" s="151">
        <f>IF(AND('Data Summary'!C143="PASS",'Data - Sample Type 1'!GE15&lt;&gt;0),'Data - Sample Type 1'!GE15,"")</f>
        <v>71</v>
      </c>
      <c r="T16" s="261"/>
      <c r="U16" s="191">
        <f>IF(AND('Data Summary'!C143="PASS",S16&lt;&gt;""),'Data - Sample Type 1'!GF15,"")</f>
        <v>228</v>
      </c>
      <c r="V16" s="261"/>
      <c r="W16" s="151">
        <f>IF('Data Summary'!C143="PASS",IF('Data - Sample Type 1'!BG15=0,"",'Data - Sample Type 1'!BG15),"")</f>
        <v>22.9</v>
      </c>
      <c r="X16" s="261"/>
      <c r="Y16" s="194">
        <f>IF(AND('Data Summary'!C143="PASS",'Data - Sample Type 1'!GM15&lt;&gt;0),'Data - Sample Type 1'!GM15,"")</f>
        <v>68</v>
      </c>
      <c r="Z16" s="261"/>
      <c r="AA16" s="151">
        <f>IF('Data Summary'!C143="PASS",IF('Data - Sample Type 1'!BU15=0,"",'Data - Sample Type 1'!BU15),"")</f>
        <v>31.5</v>
      </c>
      <c r="AB16" s="261"/>
      <c r="AC16" s="151">
        <f>IF(AND('Data Summary'!C143="PASS",'Data - Sample Type 1'!HC15&lt;&gt;0),'Data - Sample Type 1'!HC15,"")</f>
        <v>70.2</v>
      </c>
      <c r="AD16" s="261"/>
      <c r="AE16" s="191">
        <f>IF(AND('Data Summary'!C143="PASS",AC16&lt;&gt;""),'Data - Sample Type 1'!HD15,"")</f>
        <v>75.900000000000006</v>
      </c>
      <c r="AF16" s="261"/>
      <c r="AG16" s="151">
        <f>IF(AND('Data Summary'!C143="PASS",'Data - Sample Type 1'!HK15&lt;&gt;0),'Data - Sample Type 1'!HK15,"")</f>
        <v>70.7</v>
      </c>
      <c r="AH16" s="261"/>
      <c r="AI16" s="191">
        <f>IF(AND('Data Summary'!C143="PASS",AG16&lt;&gt;""),'Data - Sample Type 1'!HL15,"")</f>
        <v>114.8</v>
      </c>
      <c r="AJ16" s="261"/>
      <c r="AK16" s="151">
        <f>IF(AND('Data Summary'!C143="PASS",'Data - Sample Type 1'!HS15&lt;&gt;0),'Data - Sample Type 1'!HS15,"")</f>
        <v>68.8</v>
      </c>
      <c r="AL16" s="261"/>
      <c r="AM16" s="191">
        <f>IF(AND('Data Summary'!C143="PASS",AK16&lt;&gt;""),'Data - Sample Type 1'!HT15,"")</f>
        <v>94.5</v>
      </c>
      <c r="AN16" s="261"/>
      <c r="AO16" s="194">
        <f>IF('Data Summary'!C143="PASS",IF('Data - Sample Type 1'!DK15=0,"",'Data - Sample Type 1'!DK15),"")</f>
        <v>26.1</v>
      </c>
      <c r="AP16" s="261"/>
      <c r="AQ16" s="151">
        <f>IF('Data Summary'!C143="PASS",IF('Data - Sample Type 1'!DY15=0,"",'Data - Sample Type 1'!DY15),"")</f>
        <v>22.7</v>
      </c>
      <c r="AR16" s="261"/>
      <c r="AS16" s="151">
        <f>IF('Data Summary'!C143="PASS",IF('Data - Sample Type 1'!EM15=0,"",'Data - Sample Type 1'!EM15),"")</f>
        <v>27.4</v>
      </c>
      <c r="AT16" s="272"/>
      <c r="AW16" s="276"/>
      <c r="AX16" s="194">
        <f>IF(AND('Data Summary'!C228="PASS",'Data - Sample Type 2'!IQ15&lt;&gt;0),'Data - Sample Type 2'!IQ15,"")</f>
        <v>70.8</v>
      </c>
      <c r="AY16" s="259"/>
      <c r="AZ16" s="151">
        <f>IF(AND('Data Summary'!C228="PASS",'Data - Sample Type 2'!IY15&lt;&gt;0),'Data - Sample Type 2'!IY15,"")</f>
        <v>68.099999999999994</v>
      </c>
      <c r="BA16" s="259"/>
      <c r="BB16" s="237">
        <f>IF(AND('Data Summary'!C228="PASS",AZ16&lt;&gt;""),'Data - Sample Type 2'!IZ15,"")</f>
        <v>119</v>
      </c>
      <c r="BC16" s="264"/>
      <c r="BD16" s="151">
        <f>IF(AND('Data Summary'!C228="PASS",'Data - Sample Type 2'!JG15&lt;&gt;0),'Data - Sample Type 2'!JG15,"")</f>
        <v>75.7</v>
      </c>
      <c r="BE16" s="259"/>
      <c r="BF16" s="237">
        <f>IF(AND('Data Summary'!C228="PASS",BD16&lt;&gt;""),'Data - Sample Type 2'!JH15,"")</f>
        <v>156.9</v>
      </c>
      <c r="BG16" s="264"/>
      <c r="BH16" s="151">
        <f>IF('Data Summary'!C228="PASS",IF('Data - Sample Type 2'!BG15=0,"",'Data - Sample Type 2'!BG15),"")</f>
        <v>24</v>
      </c>
      <c r="BI16" s="259"/>
      <c r="BJ16" s="194">
        <f>IF(AND('Data Summary'!C228="PASS",'Data - Sample Type 2'!JO15&lt;&gt;0),'Data - Sample Type 2'!JO15,"")</f>
        <v>65.900000000000006</v>
      </c>
      <c r="BK16" s="259"/>
      <c r="BL16" s="151">
        <f>IF(AND('Data Summary'!C228="PASS",'Data - Sample Type 2'!HC15&lt;&gt;0),'Data - Sample Type 2'!HC15,"")</f>
        <v>69.400000000000006</v>
      </c>
      <c r="BM16" s="259"/>
      <c r="BN16" s="151">
        <f>IF(AND('Data Summary'!C228="PASS",'Data - Sample Type 2'!LS15&lt;&gt;0),'Data - Sample Type 2'!LS15,"")</f>
        <v>75.900000000000006</v>
      </c>
      <c r="BO16" s="259"/>
      <c r="BP16" s="191">
        <f>IF(AND('Data Summary'!C228="PASS",BN16&lt;&gt;""),'Data - Sample Type 2'!LT15,"")</f>
        <v>100.9</v>
      </c>
      <c r="BQ16" s="264"/>
      <c r="BR16" s="194">
        <f>IF(AND('Data Summary'!C228="PASS",'Data - Sample Type 2'!MI15&lt;&gt;0),'Data - Sample Type 2'!MI15,"")</f>
        <v>65.7</v>
      </c>
      <c r="BS16" s="259"/>
      <c r="BT16" s="191">
        <f>IF(AND('Data Summary'!C228="PASS",BR16&lt;&gt;""),'Data - Sample Type 2'!MJ15,"")</f>
        <v>84.3</v>
      </c>
      <c r="BU16" s="264"/>
      <c r="BV16" s="151">
        <f>IF('Data Summary'!C228="PASS",IF('Data - Sample Type 2'!DY15=0,"",'Data - Sample Type 2'!DY15),"")</f>
        <v>24.3</v>
      </c>
      <c r="BW16" s="259"/>
      <c r="BX16" s="151">
        <f>IF('Data Summary'!C228="PASS",IF('Data - Sample Type 2'!EM15=0,"",'Data - Sample Type 2'!EM15),"")</f>
        <v>25.4</v>
      </c>
      <c r="BY16" s="280"/>
    </row>
    <row r="17" spans="2:77" ht="13.35" customHeight="1" x14ac:dyDescent="0.2">
      <c r="B17"/>
      <c r="C17"/>
      <c r="D17"/>
      <c r="E17" s="276"/>
      <c r="F17" s="151">
        <f>IF('Data Summary'!C39="PASS",IF('Data Summary'!A39="","",'Data - Sample Type 0'!Q16),"")</f>
        <v>26.8</v>
      </c>
      <c r="G17" s="280"/>
      <c r="H17"/>
      <c r="I17"/>
      <c r="J17" s="276"/>
      <c r="K17" s="151">
        <f>IF(AND('Data Summary'!C144="PASS",'Data - Sample Type 1'!FO16&lt;&gt;0),'Data - Sample Type 1'!FO16,"")</f>
        <v>76.400000000000006</v>
      </c>
      <c r="L17" s="261"/>
      <c r="M17" s="102">
        <f>IF('Data Summary'!C144="PASS",IF('Data - Sample Type 1'!AE16=0,"",'Data - Sample Type 1'!AE16),"")</f>
        <v>24.2</v>
      </c>
      <c r="N17" s="261"/>
      <c r="O17" s="151">
        <f>IF(AND('Data Summary'!C144="PASS",'Data - Sample Type 1'!FW16&lt;&gt;0),'Data - Sample Type 1'!FW16,"")</f>
        <v>73.7</v>
      </c>
      <c r="P17" s="261"/>
      <c r="Q17" s="191">
        <f>IF(AND('Data Summary'!C144="PASS",O17&lt;&gt;""),'Data - Sample Type 1'!FX16,"")</f>
        <v>88</v>
      </c>
      <c r="R17" s="261"/>
      <c r="S17" s="151">
        <f>IF(AND('Data Summary'!C144="PASS",'Data - Sample Type 1'!GE16&lt;&gt;0),'Data - Sample Type 1'!GE16,"")</f>
        <v>71.5</v>
      </c>
      <c r="T17" s="261"/>
      <c r="U17" s="191">
        <f>IF(AND('Data Summary'!C144="PASS",S17&lt;&gt;""),'Data - Sample Type 1'!GF16,"")</f>
        <v>272.7</v>
      </c>
      <c r="V17" s="261"/>
      <c r="W17" s="151">
        <f>IF('Data Summary'!C144="PASS",IF('Data - Sample Type 1'!BG16=0,"",'Data - Sample Type 1'!BG16),"")</f>
        <v>23.1</v>
      </c>
      <c r="X17" s="261"/>
      <c r="Y17" s="194">
        <f>IF(AND('Data Summary'!C144="PASS",'Data - Sample Type 1'!GM16&lt;&gt;0),'Data - Sample Type 1'!GM16,"")</f>
        <v>68.900000000000006</v>
      </c>
      <c r="Z17" s="261"/>
      <c r="AA17" s="151">
        <f>IF('Data Summary'!C144="PASS",IF('Data - Sample Type 1'!BU16=0,"",'Data - Sample Type 1'!BU16),"")</f>
        <v>28.3</v>
      </c>
      <c r="AB17" s="261"/>
      <c r="AC17" s="151">
        <f>IF(AND('Data Summary'!C144="PASS",'Data - Sample Type 1'!HC16&lt;&gt;0),'Data - Sample Type 1'!HC16,"")</f>
        <v>70.400000000000006</v>
      </c>
      <c r="AD17" s="261"/>
      <c r="AE17" s="191">
        <f>IF(AND('Data Summary'!C144="PASS",AC17&lt;&gt;""),'Data - Sample Type 1'!HD16,"")</f>
        <v>80.7</v>
      </c>
      <c r="AF17" s="261"/>
      <c r="AG17" s="151">
        <f>IF(AND('Data Summary'!C144="PASS",'Data - Sample Type 1'!HK16&lt;&gt;0),'Data - Sample Type 1'!HK16,"")</f>
        <v>71.099999999999994</v>
      </c>
      <c r="AH17" s="261"/>
      <c r="AI17" s="191">
        <f>IF(AND('Data Summary'!C144="PASS",AG17&lt;&gt;""),'Data - Sample Type 1'!HL16,"")</f>
        <v>129.19999999999999</v>
      </c>
      <c r="AJ17" s="261"/>
      <c r="AK17" s="151">
        <f>IF(AND('Data Summary'!C144="PASS",'Data - Sample Type 1'!HS16&lt;&gt;0),'Data - Sample Type 1'!HS16,"")</f>
        <v>69.599999999999994</v>
      </c>
      <c r="AL17" s="261"/>
      <c r="AM17" s="191">
        <f>IF(AND('Data Summary'!C144="PASS",AK17&lt;&gt;""),'Data - Sample Type 1'!HT16,"")</f>
        <v>78.8</v>
      </c>
      <c r="AN17" s="261"/>
      <c r="AO17" s="194">
        <f>IF('Data Summary'!C144="PASS",IF('Data - Sample Type 1'!DK16=0,"",'Data - Sample Type 1'!DK16),"")</f>
        <v>23.7</v>
      </c>
      <c r="AP17" s="261"/>
      <c r="AQ17" s="151">
        <f>IF('Data Summary'!C144="PASS",IF('Data - Sample Type 1'!DY16=0,"",'Data - Sample Type 1'!DY16),"")</f>
        <v>21.2</v>
      </c>
      <c r="AR17" s="261"/>
      <c r="AS17" s="151">
        <f>IF('Data Summary'!C144="PASS",IF('Data - Sample Type 1'!EM16=0,"",'Data - Sample Type 1'!EM16),"")</f>
        <v>24.1</v>
      </c>
      <c r="AT17" s="272"/>
      <c r="AW17" s="276"/>
      <c r="AX17" s="194" t="str">
        <f>IF(AND('Data Summary'!C229="PASS",'Data - Sample Type 2'!IQ16&lt;&gt;0),'Data - Sample Type 2'!IQ16,"")</f>
        <v/>
      </c>
      <c r="AY17" s="259"/>
      <c r="AZ17" s="151" t="str">
        <f>IF(AND('Data Summary'!C229="PASS",'Data - Sample Type 2'!IY16&lt;&gt;0),'Data - Sample Type 2'!IY16,"")</f>
        <v/>
      </c>
      <c r="BA17" s="259"/>
      <c r="BB17" s="237" t="str">
        <f>IF(AND('Data Summary'!C229="PASS",AZ17&lt;&gt;""),'Data - Sample Type 2'!IZ16,"")</f>
        <v/>
      </c>
      <c r="BC17" s="264"/>
      <c r="BD17" s="151" t="str">
        <f>IF(AND('Data Summary'!C229="PASS",'Data - Sample Type 2'!JG16&lt;&gt;0),'Data - Sample Type 2'!JG16,"")</f>
        <v/>
      </c>
      <c r="BE17" s="259"/>
      <c r="BF17" s="237" t="str">
        <f>IF(AND('Data Summary'!C229="PASS",BD17&lt;&gt;""),'Data - Sample Type 2'!JH16,"")</f>
        <v/>
      </c>
      <c r="BG17" s="264"/>
      <c r="BH17" s="151" t="str">
        <f>IF('Data Summary'!C229="PASS",IF('Data - Sample Type 2'!BG16=0,"",'Data - Sample Type 2'!BG16),"")</f>
        <v/>
      </c>
      <c r="BI17" s="259"/>
      <c r="BJ17" s="194" t="str">
        <f>IF(AND('Data Summary'!C229="PASS",'Data - Sample Type 2'!JO16&lt;&gt;0),'Data - Sample Type 2'!JO16,"")</f>
        <v/>
      </c>
      <c r="BK17" s="259"/>
      <c r="BL17" s="151" t="str">
        <f>IF(AND('Data Summary'!C229="PASS",'Data - Sample Type 2'!HC16&lt;&gt;0),'Data - Sample Type 2'!HC16,"")</f>
        <v/>
      </c>
      <c r="BM17" s="259"/>
      <c r="BN17" s="151" t="str">
        <f>IF(AND('Data Summary'!C229="PASS",'Data - Sample Type 2'!LS16&lt;&gt;0),'Data - Sample Type 2'!LS16,"")</f>
        <v/>
      </c>
      <c r="BO17" s="259"/>
      <c r="BP17" s="191" t="str">
        <f>IF(AND('Data Summary'!C229="PASS",BN17&lt;&gt;""),'Data - Sample Type 2'!LT16,"")</f>
        <v/>
      </c>
      <c r="BQ17" s="264"/>
      <c r="BR17" s="194" t="str">
        <f>IF(AND('Data Summary'!C229="PASS",'Data - Sample Type 2'!MI16&lt;&gt;0),'Data - Sample Type 2'!MI16,"")</f>
        <v/>
      </c>
      <c r="BS17" s="259"/>
      <c r="BT17" s="191" t="str">
        <f>IF(AND('Data Summary'!C229="PASS",BR17&lt;&gt;""),'Data - Sample Type 2'!MJ16,"")</f>
        <v/>
      </c>
      <c r="BU17" s="264"/>
      <c r="BV17" s="151" t="str">
        <f>IF('Data Summary'!C229="PASS",IF('Data - Sample Type 2'!DY16=0,"",'Data - Sample Type 2'!DY16),"")</f>
        <v/>
      </c>
      <c r="BW17" s="259"/>
      <c r="BX17" s="151" t="str">
        <f>IF('Data Summary'!C229="PASS",IF('Data - Sample Type 2'!EM16=0,"",'Data - Sample Type 2'!EM16),"")</f>
        <v/>
      </c>
      <c r="BY17" s="280"/>
    </row>
    <row r="18" spans="2:77" ht="13.5" thickBot="1" x14ac:dyDescent="0.25">
      <c r="B18"/>
      <c r="C18"/>
      <c r="D18"/>
      <c r="E18" s="276"/>
      <c r="F18" s="151">
        <f>IF('Data Summary'!C40="PASS",IF('Data Summary'!A40="","",'Data - Sample Type 0'!Q17),"")</f>
        <v>27.2</v>
      </c>
      <c r="G18" s="272" t="str">
        <f>IF(G13&lt;=Specifications!$G$20,"PASS","FAIL")</f>
        <v>PASS</v>
      </c>
      <c r="H18"/>
      <c r="I18"/>
      <c r="J18" s="278"/>
      <c r="K18" s="155">
        <f>IF(AND('Data Summary'!C145="PASS",'Data - Sample Type 1'!FO17&lt;&gt;0),'Data - Sample Type 1'!FO17,"")</f>
        <v>76.2</v>
      </c>
      <c r="L18" s="268"/>
      <c r="M18" s="171">
        <f>IF('Data Summary'!C145="PASS",IF('Data - Sample Type 1'!AE17=0,"",'Data - Sample Type 1'!AE17),"")</f>
        <v>23.6</v>
      </c>
      <c r="N18" s="268"/>
      <c r="O18" s="155">
        <f>IF(AND('Data Summary'!C145="PASS",'Data - Sample Type 1'!FW17&lt;&gt;0),'Data - Sample Type 1'!FW17,"")</f>
        <v>73.599999999999994</v>
      </c>
      <c r="P18" s="268"/>
      <c r="Q18" s="193">
        <f>IF(AND('Data Summary'!C145="PASS",O18&lt;&gt;""),'Data - Sample Type 1'!FX17,"")</f>
        <v>93.8</v>
      </c>
      <c r="R18" s="268"/>
      <c r="S18" s="155">
        <f>IF(AND('Data Summary'!C145="PASS",'Data - Sample Type 1'!GE17&lt;&gt;0),'Data - Sample Type 1'!GE17,"")</f>
        <v>71.400000000000006</v>
      </c>
      <c r="T18" s="268"/>
      <c r="U18" s="193">
        <f>IF(AND('Data Summary'!C145="PASS",S18&lt;&gt;""),'Data - Sample Type 1'!GF17,"")</f>
        <v>221</v>
      </c>
      <c r="V18" s="268"/>
      <c r="W18" s="155">
        <f>IF('Data Summary'!C145="PASS",IF('Data - Sample Type 1'!BG17=0,"",'Data - Sample Type 1'!BG17),"")</f>
        <v>20.399999999999999</v>
      </c>
      <c r="X18" s="268"/>
      <c r="Y18" s="197">
        <f>IF(AND('Data Summary'!C145="PASS",'Data - Sample Type 1'!GM17&lt;&gt;0),'Data - Sample Type 1'!GM17,"")</f>
        <v>68.599999999999994</v>
      </c>
      <c r="Z18" s="268"/>
      <c r="AA18" s="155">
        <f>IF('Data Summary'!C145="PASS",IF('Data - Sample Type 1'!BU17=0,"",'Data - Sample Type 1'!BU17),"")</f>
        <v>28.2</v>
      </c>
      <c r="AB18" s="268"/>
      <c r="AC18" s="155">
        <f>IF(AND('Data Summary'!C145="PASS",'Data - Sample Type 1'!HC17&lt;&gt;0),'Data - Sample Type 1'!HC17,"")</f>
        <v>70.400000000000006</v>
      </c>
      <c r="AD18" s="268"/>
      <c r="AE18" s="193">
        <f>IF(AND('Data Summary'!C145="PASS",AC18&lt;&gt;""),'Data - Sample Type 1'!HD17,"")</f>
        <v>82.4</v>
      </c>
      <c r="AF18" s="268"/>
      <c r="AG18" s="155">
        <f>IF(AND('Data Summary'!C145="PASS",'Data - Sample Type 1'!HK17&lt;&gt;0),'Data - Sample Type 1'!HK17,"")</f>
        <v>71</v>
      </c>
      <c r="AH18" s="268"/>
      <c r="AI18" s="193">
        <f>IF(AND('Data Summary'!C145="PASS",AG18&lt;&gt;""),'Data - Sample Type 1'!HL17,"")</f>
        <v>121</v>
      </c>
      <c r="AJ18" s="268"/>
      <c r="AK18" s="155">
        <f>IF(AND('Data Summary'!C145="PASS",'Data - Sample Type 1'!HS17&lt;&gt;0),'Data - Sample Type 1'!HS17,"")</f>
        <v>69.3</v>
      </c>
      <c r="AL18" s="268"/>
      <c r="AM18" s="193">
        <f>IF(AND('Data Summary'!C145="PASS",AK18&lt;&gt;""),'Data - Sample Type 1'!HT17,"")</f>
        <v>79</v>
      </c>
      <c r="AN18" s="268"/>
      <c r="AO18" s="197">
        <f>IF('Data Summary'!C145="PASS",IF('Data - Sample Type 1'!DK17=0,"",'Data - Sample Type 1'!DK17),"")</f>
        <v>23.5</v>
      </c>
      <c r="AP18" s="268"/>
      <c r="AQ18" s="155">
        <f>IF('Data Summary'!C145="PASS",IF('Data - Sample Type 1'!DY17=0,"",'Data - Sample Type 1'!DY17),"")</f>
        <v>19.3</v>
      </c>
      <c r="AR18" s="268"/>
      <c r="AS18" s="155">
        <f>IF('Data Summary'!C145="PASS",IF('Data - Sample Type 1'!EM17=0,"",'Data - Sample Type 1'!EM17),"")</f>
        <v>24.1</v>
      </c>
      <c r="AT18" s="273"/>
      <c r="AW18" s="276"/>
      <c r="AX18" s="194">
        <f>IF(AND('Data Summary'!C230="PASS",'Data - Sample Type 2'!IQ17&lt;&gt;0),'Data - Sample Type 2'!IQ17,"")</f>
        <v>71</v>
      </c>
      <c r="AY18" s="260" t="str">
        <f>IF(AND(AY13&gt;=Specifications!$E$21,AY13&lt;=Specifications!$F$21),"PASS","FAIL")</f>
        <v>PASS</v>
      </c>
      <c r="AZ18" s="151">
        <f>IF(AND('Data Summary'!C230="PASS",'Data - Sample Type 2'!IY17&lt;&gt;0),'Data - Sample Type 2'!IY17,"")</f>
        <v>68.3</v>
      </c>
      <c r="BA18" s="260" t="str">
        <f>IF(AND(BA13&gt;=Specifications!$E$23,BA13&lt;=Specifications!$F$23),"PASS","FAIL")</f>
        <v>PASS</v>
      </c>
      <c r="BB18" s="150">
        <f>IF(AND('Data Summary'!C230="PASS",AZ18&lt;&gt;""),'Data - Sample Type 2'!IZ17,"")</f>
        <v>148.6</v>
      </c>
      <c r="BC18" s="261" t="str">
        <f>IF(BC13&gt;=Specifications!$E$24,"PASS","FAIL")</f>
        <v>PASS</v>
      </c>
      <c r="BD18" s="151">
        <f>IF(AND('Data Summary'!C230="PASS",'Data - Sample Type 2'!JG17&lt;&gt;0),'Data - Sample Type 2'!JG17,"")</f>
        <v>75.8</v>
      </c>
      <c r="BE18" s="260" t="str">
        <f>IF(AND(BE13&gt;=Specifications!$E$25,BE13&lt;=Specifications!$F$25),"PASS","FAIL")</f>
        <v>PASS</v>
      </c>
      <c r="BF18" s="150">
        <f>IF(AND('Data Summary'!C230="PASS",BD18&lt;&gt;""),'Data - Sample Type 2'!JH17,"")</f>
        <v>172.7</v>
      </c>
      <c r="BG18" s="261" t="str">
        <f>IF(BG13&gt;=Specifications!$E$26,"PASS","FAIL")</f>
        <v>PASS</v>
      </c>
      <c r="BH18" s="151">
        <f>IF('Data Summary'!C230="PASS",IF('Data - Sample Type 2'!BG17=0,"",'Data - Sample Type 2'!BG17),"")</f>
        <v>22.7</v>
      </c>
      <c r="BI18" s="261" t="str">
        <f>IF(BI13&lt;=Specifications!$F$27,"PASS","FAIL")</f>
        <v>PASS</v>
      </c>
      <c r="BJ18" s="194">
        <f>IF(AND('Data Summary'!C230="PASS",'Data - Sample Type 2'!JO17&lt;&gt;0),'Data - Sample Type 2'!JO17,"")</f>
        <v>66.099999999999994</v>
      </c>
      <c r="BK18" s="260" t="str">
        <f>IF(AND(BK13&gt;=Specifications!$E$28,BK13&lt;=Specifications!$F$28),"PASS","FAIL")</f>
        <v>PASS</v>
      </c>
      <c r="BL18" s="151">
        <f>IF(AND('Data Summary'!C230="PASS",'Data - Sample Type 2'!HC17&lt;&gt;0),'Data - Sample Type 2'!HC17,"")</f>
        <v>69.5</v>
      </c>
      <c r="BM18" s="260" t="str">
        <f>IF(AND(BM13&gt;=Specifications!$E$31,BM13&lt;=Specifications!$F$31),"PASS","FAIL")</f>
        <v>PASS</v>
      </c>
      <c r="BN18" s="151">
        <f>IF(AND('Data Summary'!C230="PASS",'Data - Sample Type 2'!LS17&lt;&gt;0),'Data - Sample Type 2'!LS17,"")</f>
        <v>75.900000000000006</v>
      </c>
      <c r="BO18" s="260" t="str">
        <f>IF(AND(BO13&gt;=Specifications!$E$33,BO13&lt;=Specifications!$F$33),"PASS","FAIL")</f>
        <v>PASS</v>
      </c>
      <c r="BP18" s="191">
        <f>IF(AND('Data Summary'!C230="PASS",BN18&lt;&gt;""),'Data - Sample Type 2'!LT17,"")</f>
        <v>120.8</v>
      </c>
      <c r="BQ18" s="261" t="str">
        <f>IF(BQ13&gt;=Specifications!$E$34,"PASS","FAIL")</f>
        <v>PASS</v>
      </c>
      <c r="BR18" s="194">
        <f>IF(AND('Data Summary'!C230="PASS",'Data - Sample Type 2'!MI17&lt;&gt;0),'Data - Sample Type 2'!MI17,"")</f>
        <v>65.900000000000006</v>
      </c>
      <c r="BS18" s="260" t="str">
        <f>IF(AND(BS13&gt;=Specifications!$E$35,BS13&lt;=Specifications!$F$35),"PASS","FAIL")</f>
        <v>PASS</v>
      </c>
      <c r="BT18" s="191">
        <f>IF(AND('Data Summary'!C230="PASS",BR18&lt;&gt;""),'Data - Sample Type 2'!MJ17,"")</f>
        <v>103.1</v>
      </c>
      <c r="BU18" s="261" t="str">
        <f>IF(BU13&gt;=Specifications!$E$36,"PASS","FAIL")</f>
        <v>PASS</v>
      </c>
      <c r="BV18" s="151">
        <f>IF('Data Summary'!C230="PASS",IF('Data - Sample Type 2'!DY17=0,"",'Data - Sample Type 2'!DY17),"")</f>
        <v>23.6</v>
      </c>
      <c r="BW18" s="261" t="str">
        <f>IF(BW13&lt;=Specifications!$F$38,"PASS","FAIL")</f>
        <v>PASS</v>
      </c>
      <c r="BX18" s="151">
        <f>IF('Data Summary'!C230="PASS",IF('Data - Sample Type 2'!EM17=0,"",'Data - Sample Type 2'!EM17),"")</f>
        <v>24.2</v>
      </c>
      <c r="BY18" s="272" t="str">
        <f>IF(BY13&lt;=Specifications!$F$39,"PASS","FAIL")</f>
        <v>PASS</v>
      </c>
    </row>
    <row r="19" spans="2:77" x14ac:dyDescent="0.2">
      <c r="B19"/>
      <c r="C19"/>
      <c r="D19"/>
      <c r="E19" s="276"/>
      <c r="F19" s="151">
        <f>IF('Data Summary'!C41="PASS",IF('Data Summary'!A41="","",'Data - Sample Type 0'!Q18),"")</f>
        <v>27.6</v>
      </c>
      <c r="G19" s="272"/>
      <c r="H19"/>
      <c r="I19"/>
      <c r="J19" s="275">
        <v>3</v>
      </c>
      <c r="K19" s="154">
        <f>IF(AND('Data Summary'!C146="PASS",'Data - Sample Type 1'!FO18&lt;&gt;0),'Data - Sample Type 1'!FO18,"")</f>
        <v>76.099999999999994</v>
      </c>
      <c r="L19" s="258">
        <f t="shared" ref="L19" si="19">AVERAGE(K19:K26)</f>
        <v>76.100000000000009</v>
      </c>
      <c r="M19" s="170">
        <f>IF('Data Summary'!C146="PASS",IF('Data - Sample Type 1'!AE18=0,"",'Data - Sample Type 1'!AE18),"")</f>
        <v>24.3</v>
      </c>
      <c r="N19" s="258">
        <f t="shared" ref="N19" si="20">AVERAGE(M19:M26)</f>
        <v>25.724999999999998</v>
      </c>
      <c r="O19" s="154">
        <f>IF(AND('Data Summary'!C146="PASS",'Data - Sample Type 1'!FW18&lt;&gt;0),'Data - Sample Type 1'!FW18,"")</f>
        <v>73.5</v>
      </c>
      <c r="P19" s="258">
        <f t="shared" ref="P19" si="21">AVERAGE(O19:O26)</f>
        <v>73.537499999999994</v>
      </c>
      <c r="Q19" s="190">
        <f>IF(AND('Data Summary'!C146="PASS",O19&lt;&gt;""),'Data - Sample Type 1'!FX18,"")</f>
        <v>75.5</v>
      </c>
      <c r="R19" s="263">
        <f t="shared" ref="R19" si="22">AVERAGE(Q19:Q26)</f>
        <v>89.6875</v>
      </c>
      <c r="S19" s="154">
        <f>IF(AND('Data Summary'!C146="PASS",'Data - Sample Type 1'!GE18&lt;&gt;0),'Data - Sample Type 1'!GE18,"")</f>
        <v>71.3</v>
      </c>
      <c r="T19" s="265">
        <f t="shared" ref="T19" si="23">AVERAGE(S19:S26)</f>
        <v>71.3125</v>
      </c>
      <c r="U19" s="190">
        <f>IF(AND('Data Summary'!C146="PASS",S19&lt;&gt;""),'Data - Sample Type 1'!GF18,"")</f>
        <v>234</v>
      </c>
      <c r="V19" s="263">
        <f t="shared" ref="V19" si="24">AVERAGE(U19:U26)</f>
        <v>228.27500000000001</v>
      </c>
      <c r="W19" s="154">
        <f>IF('Data Summary'!C146="PASS",IF('Data - Sample Type 1'!BG18=0,"",'Data - Sample Type 1'!BG18),"")</f>
        <v>22.2</v>
      </c>
      <c r="X19" s="265">
        <f t="shared" ref="X19" si="25">AVERAGE(W19:W26)</f>
        <v>22.037500000000001</v>
      </c>
      <c r="Y19" s="196">
        <f>IF(AND('Data Summary'!C146="PASS",'Data - Sample Type 1'!GM18&lt;&gt;0),'Data - Sample Type 1'!GM18,"")</f>
        <v>68.400000000000006</v>
      </c>
      <c r="Z19" s="265">
        <f t="shared" ref="Z19" si="26">AVERAGE(Y19:Y26)</f>
        <v>68.474999999999994</v>
      </c>
      <c r="AA19" s="154">
        <f>IF('Data Summary'!C146="PASS",IF('Data - Sample Type 1'!BU18=0,"",'Data - Sample Type 1'!BU18),"")</f>
        <v>27.8</v>
      </c>
      <c r="AB19" s="265">
        <f t="shared" ref="AB19" si="27">AVERAGE(AA19:AA26)</f>
        <v>29.8</v>
      </c>
      <c r="AC19" s="154">
        <f>IF(AND('Data Summary'!C146="PASS",'Data - Sample Type 1'!HC18&lt;&gt;0),'Data - Sample Type 1'!HC18,"")</f>
        <v>70.400000000000006</v>
      </c>
      <c r="AD19" s="265">
        <f t="shared" ref="AD19" si="28">AVERAGE(AC19:AC26)</f>
        <v>70.362499999999997</v>
      </c>
      <c r="AE19" s="190">
        <f>IF(AND('Data Summary'!C146="PASS",AC19&lt;&gt;""),'Data - Sample Type 1'!HD18,"")</f>
        <v>72.2</v>
      </c>
      <c r="AF19" s="263">
        <f t="shared" ref="AF19" si="29">AVERAGE(AE19:AE26)</f>
        <v>77.55</v>
      </c>
      <c r="AG19" s="154">
        <f>IF(AND('Data Summary'!C146="PASS",'Data - Sample Type 1'!HK18&lt;&gt;0),'Data - Sample Type 1'!HK18,"")</f>
        <v>71</v>
      </c>
      <c r="AH19" s="265">
        <f t="shared" ref="AH19" si="30">AVERAGE(AG19:AG26)</f>
        <v>70.974999999999994</v>
      </c>
      <c r="AI19" s="190">
        <f>IF(AND('Data Summary'!C146="PASS",AG19&lt;&gt;""),'Data - Sample Type 1'!HL18,"")</f>
        <v>112.5</v>
      </c>
      <c r="AJ19" s="263">
        <f t="shared" ref="AJ19" si="31">AVERAGE(AI19:AI26)</f>
        <v>121.46250000000001</v>
      </c>
      <c r="AK19" s="154">
        <f>IF(AND('Data Summary'!C146="PASS",'Data - Sample Type 1'!HS18&lt;&gt;0),'Data - Sample Type 1'!HS18,"")</f>
        <v>69.2</v>
      </c>
      <c r="AL19" s="265">
        <f t="shared" ref="AL19" si="32">AVERAGE(AK19:AK26)</f>
        <v>69.25</v>
      </c>
      <c r="AM19" s="190">
        <f>IF(AND('Data Summary'!C146="PASS",AK19&lt;&gt;""),'Data - Sample Type 1'!HT18,"")</f>
        <v>76.7</v>
      </c>
      <c r="AN19" s="263">
        <f t="shared" ref="AN19" si="33">AVERAGE(AM19:AM26)</f>
        <v>84.837500000000006</v>
      </c>
      <c r="AO19" s="196">
        <f>IF('Data Summary'!C146="PASS",IF('Data - Sample Type 1'!DK18=0,"",'Data - Sample Type 1'!DK18),"")</f>
        <v>22.8</v>
      </c>
      <c r="AP19" s="265">
        <f t="shared" ref="AP19" si="34">AVERAGE(AO19:AO26)</f>
        <v>24.237499999999997</v>
      </c>
      <c r="AQ19" s="154">
        <f>IF('Data Summary'!C146="PASS",IF('Data - Sample Type 1'!DY18=0,"",'Data - Sample Type 1'!DY18),"")</f>
        <v>20</v>
      </c>
      <c r="AR19" s="265">
        <f t="shared" ref="AR19" si="35">AVERAGE(AQ19:AQ26)</f>
        <v>21.274999999999999</v>
      </c>
      <c r="AS19" s="154">
        <f>IF('Data Summary'!C146="PASS",IF('Data - Sample Type 1'!EM18=0,"",'Data - Sample Type 1'!EM18),"")</f>
        <v>21.8</v>
      </c>
      <c r="AT19" s="269">
        <f t="shared" ref="AT19" si="36">AVERAGE(AS19:AS26)</f>
        <v>24.912500000000001</v>
      </c>
      <c r="AW19" s="276"/>
      <c r="AX19" s="194">
        <f>IF(AND('Data Summary'!C231="PASS",'Data - Sample Type 2'!IQ18&lt;&gt;0),'Data - Sample Type 2'!IQ18,"")</f>
        <v>70.900000000000006</v>
      </c>
      <c r="AY19" s="261"/>
      <c r="AZ19" s="151">
        <f>IF(AND('Data Summary'!C231="PASS",'Data - Sample Type 2'!IY18&lt;&gt;0),'Data - Sample Type 2'!IY18,"")</f>
        <v>68.2</v>
      </c>
      <c r="BA19" s="261"/>
      <c r="BB19" s="150">
        <f>IF(AND('Data Summary'!C231="PASS",AZ19&lt;&gt;""),'Data - Sample Type 2'!IZ18,"")</f>
        <v>118.2</v>
      </c>
      <c r="BC19" s="261"/>
      <c r="BD19" s="151">
        <f>IF(AND('Data Summary'!C231="PASS",'Data - Sample Type 2'!JG18&lt;&gt;0),'Data - Sample Type 2'!JG18,"")</f>
        <v>75.8</v>
      </c>
      <c r="BE19" s="261"/>
      <c r="BF19" s="150">
        <f>IF(AND('Data Summary'!C231="PASS",BD19&lt;&gt;""),'Data - Sample Type 2'!JH18,"")</f>
        <v>154.4</v>
      </c>
      <c r="BG19" s="261"/>
      <c r="BH19" s="151">
        <f>IF('Data Summary'!C231="PASS",IF('Data - Sample Type 2'!BG18=0,"",'Data - Sample Type 2'!BG18),"")</f>
        <v>23.4</v>
      </c>
      <c r="BI19" s="261"/>
      <c r="BJ19" s="194">
        <f>IF(AND('Data Summary'!C231="PASS",'Data - Sample Type 2'!JO18&lt;&gt;0),'Data - Sample Type 2'!JO18,"")</f>
        <v>66</v>
      </c>
      <c r="BK19" s="261"/>
      <c r="BL19" s="151">
        <f>IF(AND('Data Summary'!C231="PASS",'Data - Sample Type 2'!HC18&lt;&gt;0),'Data - Sample Type 2'!HC18,"")</f>
        <v>69.7</v>
      </c>
      <c r="BM19" s="261"/>
      <c r="BN19" s="151">
        <f>IF(AND('Data Summary'!C231="PASS",'Data - Sample Type 2'!LS18&lt;&gt;0),'Data - Sample Type 2'!LS18,"")</f>
        <v>76</v>
      </c>
      <c r="BO19" s="261"/>
      <c r="BP19" s="191">
        <f>IF(AND('Data Summary'!C231="PASS",BN19&lt;&gt;""),'Data - Sample Type 2'!LT18,"")</f>
        <v>102.3</v>
      </c>
      <c r="BQ19" s="261"/>
      <c r="BR19" s="194">
        <f>IF(AND('Data Summary'!C231="PASS",'Data - Sample Type 2'!MI18&lt;&gt;0),'Data - Sample Type 2'!MI18,"")</f>
        <v>65.8</v>
      </c>
      <c r="BS19" s="261"/>
      <c r="BT19" s="191">
        <f>IF(AND('Data Summary'!C231="PASS",BR19&lt;&gt;""),'Data - Sample Type 2'!MJ18,"")</f>
        <v>86.8</v>
      </c>
      <c r="BU19" s="261"/>
      <c r="BV19" s="151">
        <f>IF('Data Summary'!C231="PASS",IF('Data - Sample Type 2'!DY18=0,"",'Data - Sample Type 2'!DY18),"")</f>
        <v>24.5</v>
      </c>
      <c r="BW19" s="261"/>
      <c r="BX19" s="151">
        <f>IF('Data Summary'!C231="PASS",IF('Data - Sample Type 2'!EM18=0,"",'Data - Sample Type 2'!EM18),"")</f>
        <v>25.2</v>
      </c>
      <c r="BY19" s="272"/>
    </row>
    <row r="20" spans="2:77" x14ac:dyDescent="0.2">
      <c r="B20"/>
      <c r="C20"/>
      <c r="D20"/>
      <c r="E20" s="276"/>
      <c r="F20" s="151">
        <f>IF('Data Summary'!C42="PASS",IF('Data Summary'!A42="","",'Data - Sample Type 0'!Q19),"")</f>
        <v>27.1</v>
      </c>
      <c r="G20" s="272"/>
      <c r="H20"/>
      <c r="I20"/>
      <c r="J20" s="276"/>
      <c r="K20" s="151">
        <f>IF(AND('Data Summary'!C147="PASS",'Data - Sample Type 1'!FO19&lt;&gt;0),'Data - Sample Type 1'!FO19,"")</f>
        <v>76.099999999999994</v>
      </c>
      <c r="L20" s="259"/>
      <c r="M20" s="102">
        <f>IF('Data Summary'!C147="PASS",IF('Data - Sample Type 1'!AE19=0,"",'Data - Sample Type 1'!AE19),"")</f>
        <v>25.9</v>
      </c>
      <c r="N20" s="259"/>
      <c r="O20" s="151">
        <f>IF(AND('Data Summary'!C147="PASS",'Data - Sample Type 1'!FW19&lt;&gt;0),'Data - Sample Type 1'!FW19,"")</f>
        <v>73.599999999999994</v>
      </c>
      <c r="P20" s="259"/>
      <c r="Q20" s="191">
        <f>IF(AND('Data Summary'!C147="PASS",O20&lt;&gt;""),'Data - Sample Type 1'!FX19,"")</f>
        <v>98.8</v>
      </c>
      <c r="R20" s="264"/>
      <c r="S20" s="151">
        <f>IF(AND('Data Summary'!C147="PASS",'Data - Sample Type 1'!GE19&lt;&gt;0),'Data - Sample Type 1'!GE19,"")</f>
        <v>71.3</v>
      </c>
      <c r="T20" s="266"/>
      <c r="U20" s="191">
        <f>IF(AND('Data Summary'!C147="PASS",S20&lt;&gt;""),'Data - Sample Type 1'!GF19,"")</f>
        <v>224.1</v>
      </c>
      <c r="V20" s="264"/>
      <c r="W20" s="151">
        <f>IF('Data Summary'!C147="PASS",IF('Data - Sample Type 1'!BG19=0,"",'Data - Sample Type 1'!BG19),"")</f>
        <v>23.3</v>
      </c>
      <c r="X20" s="266"/>
      <c r="Y20" s="194">
        <f>IF(AND('Data Summary'!C147="PASS",'Data - Sample Type 1'!GM19&lt;&gt;0),'Data - Sample Type 1'!GM19,"")</f>
        <v>68.5</v>
      </c>
      <c r="Z20" s="266"/>
      <c r="AA20" s="151">
        <f>IF('Data Summary'!C147="PASS",IF('Data - Sample Type 1'!BU19=0,"",'Data - Sample Type 1'!BU19),"")</f>
        <v>30</v>
      </c>
      <c r="AB20" s="266"/>
      <c r="AC20" s="151">
        <f>IF(AND('Data Summary'!C147="PASS",'Data - Sample Type 1'!HC19&lt;&gt;0),'Data - Sample Type 1'!HC19,"")</f>
        <v>70.3</v>
      </c>
      <c r="AD20" s="266"/>
      <c r="AE20" s="191">
        <f>IF(AND('Data Summary'!C147="PASS",AC20&lt;&gt;""),'Data - Sample Type 1'!HD19,"")</f>
        <v>82.5</v>
      </c>
      <c r="AF20" s="264"/>
      <c r="AG20" s="151">
        <f>IF(AND('Data Summary'!C147="PASS",'Data - Sample Type 1'!HK19&lt;&gt;0),'Data - Sample Type 1'!HK19,"")</f>
        <v>71</v>
      </c>
      <c r="AH20" s="266"/>
      <c r="AI20" s="191">
        <f>IF(AND('Data Summary'!C147="PASS",AG20&lt;&gt;""),'Data - Sample Type 1'!HL19,"")</f>
        <v>122.7</v>
      </c>
      <c r="AJ20" s="264"/>
      <c r="AK20" s="151">
        <f>IF(AND('Data Summary'!C147="PASS",'Data - Sample Type 1'!HS19&lt;&gt;0),'Data - Sample Type 1'!HS19,"")</f>
        <v>69.3</v>
      </c>
      <c r="AL20" s="266"/>
      <c r="AM20" s="191">
        <f>IF(AND('Data Summary'!C147="PASS",AK20&lt;&gt;""),'Data - Sample Type 1'!HT19,"")</f>
        <v>83.1</v>
      </c>
      <c r="AN20" s="264"/>
      <c r="AO20" s="194">
        <f>IF('Data Summary'!C147="PASS",IF('Data - Sample Type 1'!DK19=0,"",'Data - Sample Type 1'!DK19),"")</f>
        <v>25</v>
      </c>
      <c r="AP20" s="266"/>
      <c r="AQ20" s="151">
        <f>IF('Data Summary'!C147="PASS",IF('Data - Sample Type 1'!DY19=0,"",'Data - Sample Type 1'!DY19),"")</f>
        <v>22.2</v>
      </c>
      <c r="AR20" s="266"/>
      <c r="AS20" s="151">
        <f>IF('Data Summary'!C147="PASS",IF('Data - Sample Type 1'!EM19=0,"",'Data - Sample Type 1'!EM19),"")</f>
        <v>26.1</v>
      </c>
      <c r="AT20" s="270"/>
      <c r="AW20" s="276"/>
      <c r="AX20" s="194">
        <f>IF(AND('Data Summary'!C232="PASS",'Data - Sample Type 2'!IQ19&lt;&gt;0),'Data - Sample Type 2'!IQ19,"")</f>
        <v>70.7</v>
      </c>
      <c r="AY20" s="261"/>
      <c r="AZ20" s="151">
        <f>IF(AND('Data Summary'!C232="PASS",'Data - Sample Type 2'!IY19&lt;&gt;0),'Data - Sample Type 2'!IY19,"")</f>
        <v>68.099999999999994</v>
      </c>
      <c r="BA20" s="261"/>
      <c r="BB20" s="150">
        <f>IF(AND('Data Summary'!C232="PASS",AZ20&lt;&gt;""),'Data - Sample Type 2'!IZ19,"")</f>
        <v>108.3</v>
      </c>
      <c r="BC20" s="261"/>
      <c r="BD20" s="151">
        <f>IF(AND('Data Summary'!C232="PASS",'Data - Sample Type 2'!JG19&lt;&gt;0),'Data - Sample Type 2'!JG19,"")</f>
        <v>75.7</v>
      </c>
      <c r="BE20" s="261"/>
      <c r="BF20" s="150">
        <f>IF(AND('Data Summary'!C232="PASS",BD20&lt;&gt;""),'Data - Sample Type 2'!JH19,"")</f>
        <v>159.19999999999999</v>
      </c>
      <c r="BG20" s="261"/>
      <c r="BH20" s="151">
        <f>IF('Data Summary'!C232="PASS",IF('Data - Sample Type 2'!BG19=0,"",'Data - Sample Type 2'!BG19),"")</f>
        <v>23</v>
      </c>
      <c r="BI20" s="261"/>
      <c r="BJ20" s="194">
        <f>IF(AND('Data Summary'!C232="PASS",'Data - Sample Type 2'!JO19&lt;&gt;0),'Data - Sample Type 2'!JO19,"")</f>
        <v>65.8</v>
      </c>
      <c r="BK20" s="261"/>
      <c r="BL20" s="151">
        <f>IF(AND('Data Summary'!C232="PASS",'Data - Sample Type 2'!HC19&lt;&gt;0),'Data - Sample Type 2'!HC19,"")</f>
        <v>69.5</v>
      </c>
      <c r="BM20" s="261"/>
      <c r="BN20" s="151">
        <f>IF(AND('Data Summary'!C232="PASS",'Data - Sample Type 2'!LS19&lt;&gt;0),'Data - Sample Type 2'!LS19,"")</f>
        <v>75.8</v>
      </c>
      <c r="BO20" s="261"/>
      <c r="BP20" s="191">
        <f>IF(AND('Data Summary'!C232="PASS",BN20&lt;&gt;""),'Data - Sample Type 2'!LT19,"")</f>
        <v>110.2</v>
      </c>
      <c r="BQ20" s="261"/>
      <c r="BR20" s="194">
        <f>IF(AND('Data Summary'!C232="PASS",'Data - Sample Type 2'!MI19&lt;&gt;0),'Data - Sample Type 2'!MI19,"")</f>
        <v>65.599999999999994</v>
      </c>
      <c r="BS20" s="261"/>
      <c r="BT20" s="191">
        <f>IF(AND('Data Summary'!C232="PASS",BR20&lt;&gt;""),'Data - Sample Type 2'!MJ19,"")</f>
        <v>87.8</v>
      </c>
      <c r="BU20" s="261"/>
      <c r="BV20" s="151">
        <f>IF('Data Summary'!C232="PASS",IF('Data - Sample Type 2'!DY19=0,"",'Data - Sample Type 2'!DY19),"")</f>
        <v>22.6</v>
      </c>
      <c r="BW20" s="261"/>
      <c r="BX20" s="151">
        <f>IF('Data Summary'!C232="PASS",IF('Data - Sample Type 2'!EM19=0,"",'Data - Sample Type 2'!EM19),"")</f>
        <v>22.6</v>
      </c>
      <c r="BY20" s="272"/>
    </row>
    <row r="21" spans="2:77" x14ac:dyDescent="0.2">
      <c r="B21"/>
      <c r="C21"/>
      <c r="D21"/>
      <c r="E21" s="276"/>
      <c r="F21" s="151">
        <f>IF('Data Summary'!C43="PASS",IF('Data Summary'!A43="","",'Data - Sample Type 0'!Q20),"")</f>
        <v>26.2</v>
      </c>
      <c r="G21" s="272"/>
      <c r="H21"/>
      <c r="I21"/>
      <c r="J21" s="276"/>
      <c r="K21" s="151">
        <f>IF(AND('Data Summary'!C148="PASS",'Data - Sample Type 1'!FO20&lt;&gt;0),'Data - Sample Type 1'!FO20,"")</f>
        <v>76.099999999999994</v>
      </c>
      <c r="L21" s="259"/>
      <c r="M21" s="102">
        <f>IF('Data Summary'!C148="PASS",IF('Data - Sample Type 1'!AE20=0,"",'Data - Sample Type 1'!AE20),"")</f>
        <v>26.8</v>
      </c>
      <c r="N21" s="259"/>
      <c r="O21" s="151">
        <f>IF(AND('Data Summary'!C148="PASS",'Data - Sample Type 1'!FW20&lt;&gt;0),'Data - Sample Type 1'!FW20,"")</f>
        <v>73.5</v>
      </c>
      <c r="P21" s="259"/>
      <c r="Q21" s="191">
        <f>IF(AND('Data Summary'!C148="PASS",O21&lt;&gt;""),'Data - Sample Type 1'!FX20,"")</f>
        <v>74.8</v>
      </c>
      <c r="R21" s="264"/>
      <c r="S21" s="151">
        <f>IF(AND('Data Summary'!C148="PASS",'Data - Sample Type 1'!GE20&lt;&gt;0),'Data - Sample Type 1'!GE20,"")</f>
        <v>71.3</v>
      </c>
      <c r="T21" s="266"/>
      <c r="U21" s="191">
        <f>IF(AND('Data Summary'!C148="PASS",S21&lt;&gt;""),'Data - Sample Type 1'!GF20,"")</f>
        <v>237.8</v>
      </c>
      <c r="V21" s="264"/>
      <c r="W21" s="151">
        <f>IF('Data Summary'!C148="PASS",IF('Data - Sample Type 1'!BG20=0,"",'Data - Sample Type 1'!BG20),"")</f>
        <v>24.4</v>
      </c>
      <c r="X21" s="266"/>
      <c r="Y21" s="194">
        <f>IF(AND('Data Summary'!C148="PASS",'Data - Sample Type 1'!GM20&lt;&gt;0),'Data - Sample Type 1'!GM20,"")</f>
        <v>68.5</v>
      </c>
      <c r="Z21" s="266"/>
      <c r="AA21" s="151">
        <f>IF('Data Summary'!C148="PASS",IF('Data - Sample Type 1'!BU20=0,"",'Data - Sample Type 1'!BU20),"")</f>
        <v>31.4</v>
      </c>
      <c r="AB21" s="266"/>
      <c r="AC21" s="151">
        <f>IF(AND('Data Summary'!C148="PASS",'Data - Sample Type 1'!HC20&lt;&gt;0),'Data - Sample Type 1'!HC20,"")</f>
        <v>70.3</v>
      </c>
      <c r="AD21" s="266"/>
      <c r="AE21" s="191">
        <f>IF(AND('Data Summary'!C148="PASS",AC21&lt;&gt;""),'Data - Sample Type 1'!HD20,"")</f>
        <v>61.4</v>
      </c>
      <c r="AF21" s="264"/>
      <c r="AG21" s="151">
        <f>IF(AND('Data Summary'!C148="PASS",'Data - Sample Type 1'!HK20&lt;&gt;0),'Data - Sample Type 1'!HK20,"")</f>
        <v>71</v>
      </c>
      <c r="AH21" s="266"/>
      <c r="AI21" s="191">
        <f>IF(AND('Data Summary'!C148="PASS",AG21&lt;&gt;""),'Data - Sample Type 1'!HL20,"")</f>
        <v>101.9</v>
      </c>
      <c r="AJ21" s="264"/>
      <c r="AK21" s="151">
        <f>IF(AND('Data Summary'!C148="PASS",'Data - Sample Type 1'!HS20&lt;&gt;0),'Data - Sample Type 1'!HS20,"")</f>
        <v>69.2</v>
      </c>
      <c r="AL21" s="266"/>
      <c r="AM21" s="191">
        <f>IF(AND('Data Summary'!C148="PASS",AK21&lt;&gt;""),'Data - Sample Type 1'!HT20,"")</f>
        <v>77.8</v>
      </c>
      <c r="AN21" s="264"/>
      <c r="AO21" s="194">
        <f>IF('Data Summary'!C148="PASS",IF('Data - Sample Type 1'!DK20=0,"",'Data - Sample Type 1'!DK20),"")</f>
        <v>25.3</v>
      </c>
      <c r="AP21" s="266"/>
      <c r="AQ21" s="151">
        <f>IF('Data Summary'!C148="PASS",IF('Data - Sample Type 1'!DY20=0,"",'Data - Sample Type 1'!DY20),"")</f>
        <v>22</v>
      </c>
      <c r="AR21" s="266"/>
      <c r="AS21" s="151">
        <f>IF('Data Summary'!C148="PASS",IF('Data - Sample Type 1'!EM20=0,"",'Data - Sample Type 1'!EM20),"")</f>
        <v>25.9</v>
      </c>
      <c r="AT21" s="270"/>
      <c r="AW21" s="276"/>
      <c r="AX21" s="194">
        <f>IF(AND('Data Summary'!C233="PASS",'Data - Sample Type 2'!IQ20&lt;&gt;0),'Data - Sample Type 2'!IQ20,"")</f>
        <v>70.8</v>
      </c>
      <c r="AY21" s="261"/>
      <c r="AZ21" s="151">
        <f>IF(AND('Data Summary'!C233="PASS",'Data - Sample Type 2'!IY20&lt;&gt;0),'Data - Sample Type 2'!IY20,"")</f>
        <v>68.099999999999994</v>
      </c>
      <c r="BA21" s="261"/>
      <c r="BB21" s="150">
        <f>IF(AND('Data Summary'!C233="PASS",AZ21&lt;&gt;""),'Data - Sample Type 2'!IZ20,"")</f>
        <v>127.5</v>
      </c>
      <c r="BC21" s="261"/>
      <c r="BD21" s="151">
        <f>IF(AND('Data Summary'!C233="PASS",'Data - Sample Type 2'!JG20&lt;&gt;0),'Data - Sample Type 2'!JG20,"")</f>
        <v>75.599999999999994</v>
      </c>
      <c r="BE21" s="261"/>
      <c r="BF21" s="150">
        <f>IF(AND('Data Summary'!C233="PASS",BD21&lt;&gt;""),'Data - Sample Type 2'!JH20,"")</f>
        <v>141</v>
      </c>
      <c r="BG21" s="261"/>
      <c r="BH21" s="151">
        <f>IF('Data Summary'!C233="PASS",IF('Data - Sample Type 2'!BG20=0,"",'Data - Sample Type 2'!BG20),"")</f>
        <v>16.7</v>
      </c>
      <c r="BI21" s="261"/>
      <c r="BJ21" s="194">
        <f>IF(AND('Data Summary'!C233="PASS",'Data - Sample Type 2'!JO20&lt;&gt;0),'Data - Sample Type 2'!JO20,"")</f>
        <v>65.900000000000006</v>
      </c>
      <c r="BK21" s="261"/>
      <c r="BL21" s="151">
        <f>IF(AND('Data Summary'!C233="PASS",'Data - Sample Type 2'!HC20&lt;&gt;0),'Data - Sample Type 2'!HC20,"")</f>
        <v>69.900000000000006</v>
      </c>
      <c r="BM21" s="261"/>
      <c r="BN21" s="151">
        <f>IF(AND('Data Summary'!C233="PASS",'Data - Sample Type 2'!LS20&lt;&gt;0),'Data - Sample Type 2'!LS20,"")</f>
        <v>75.8</v>
      </c>
      <c r="BO21" s="261"/>
      <c r="BP21" s="191">
        <f>IF(AND('Data Summary'!C233="PASS",BN21&lt;&gt;""),'Data - Sample Type 2'!LT20,"")</f>
        <v>100.4</v>
      </c>
      <c r="BQ21" s="261"/>
      <c r="BR21" s="194">
        <f>IF(AND('Data Summary'!C233="PASS",'Data - Sample Type 2'!MI20&lt;&gt;0),'Data - Sample Type 2'!MI20,"")</f>
        <v>65.7</v>
      </c>
      <c r="BS21" s="261"/>
      <c r="BT21" s="191">
        <f>IF(AND('Data Summary'!C233="PASS",BR21&lt;&gt;""),'Data - Sample Type 2'!MJ20,"")</f>
        <v>90.7</v>
      </c>
      <c r="BU21" s="261"/>
      <c r="BV21" s="151">
        <f>IF('Data Summary'!C233="PASS",IF('Data - Sample Type 2'!DY20=0,"",'Data - Sample Type 2'!DY20),"")</f>
        <v>24.7</v>
      </c>
      <c r="BW21" s="261"/>
      <c r="BX21" s="151">
        <f>IF('Data Summary'!C233="PASS",IF('Data - Sample Type 2'!EM20=0,"",'Data - Sample Type 2'!EM20),"")</f>
        <v>25.5</v>
      </c>
      <c r="BY21" s="272"/>
    </row>
    <row r="22" spans="2:77" ht="14.1" customHeight="1" thickBot="1" x14ac:dyDescent="0.25">
      <c r="B22"/>
      <c r="C22"/>
      <c r="D22"/>
      <c r="E22" s="278"/>
      <c r="F22" s="155">
        <f>IF('Data Summary'!C44="PASS",IF('Data Summary'!A44="","",'Data - Sample Type 0'!Q21),"")</f>
        <v>26.3</v>
      </c>
      <c r="G22" s="274"/>
      <c r="H22"/>
      <c r="I22"/>
      <c r="J22" s="276"/>
      <c r="K22" s="151">
        <f>IF(AND('Data Summary'!C149="PASS",'Data - Sample Type 1'!FO21&lt;&gt;0),'Data - Sample Type 1'!FO21,"")</f>
        <v>76.2</v>
      </c>
      <c r="L22" s="259"/>
      <c r="M22" s="102">
        <f>IF('Data Summary'!C149="PASS",IF('Data - Sample Type 1'!AE21=0,"",'Data - Sample Type 1'!AE21),"")</f>
        <v>27.2</v>
      </c>
      <c r="N22" s="259"/>
      <c r="O22" s="151">
        <f>IF(AND('Data Summary'!C149="PASS",'Data - Sample Type 1'!FW21&lt;&gt;0),'Data - Sample Type 1'!FW21,"")</f>
        <v>73.7</v>
      </c>
      <c r="P22" s="259"/>
      <c r="Q22" s="191">
        <f>IF(AND('Data Summary'!C149="PASS",O22&lt;&gt;""),'Data - Sample Type 1'!FX21,"")</f>
        <v>103</v>
      </c>
      <c r="R22" s="264"/>
      <c r="S22" s="151">
        <f>IF(AND('Data Summary'!C149="PASS",'Data - Sample Type 1'!GE21&lt;&gt;0),'Data - Sample Type 1'!GE21,"")</f>
        <v>71.5</v>
      </c>
      <c r="T22" s="267"/>
      <c r="U22" s="191">
        <f>IF(AND('Data Summary'!C149="PASS",S22&lt;&gt;""),'Data - Sample Type 1'!GF21,"")</f>
        <v>216.1</v>
      </c>
      <c r="V22" s="264"/>
      <c r="W22" s="151">
        <f>IF('Data Summary'!C149="PASS",IF('Data - Sample Type 1'!BG21=0,"",'Data - Sample Type 1'!BG21),"")</f>
        <v>21.6</v>
      </c>
      <c r="X22" s="267"/>
      <c r="Y22" s="194">
        <f>IF(AND('Data Summary'!C149="PASS",'Data - Sample Type 1'!GM21&lt;&gt;0),'Data - Sample Type 1'!GM21,"")</f>
        <v>68.599999999999994</v>
      </c>
      <c r="Z22" s="267"/>
      <c r="AA22" s="151">
        <f>IF('Data Summary'!C149="PASS",IF('Data - Sample Type 1'!BU21=0,"",'Data - Sample Type 1'!BU21),"")</f>
        <v>31.5</v>
      </c>
      <c r="AB22" s="267"/>
      <c r="AC22" s="151">
        <f>IF(AND('Data Summary'!C149="PASS",'Data - Sample Type 1'!HC21&lt;&gt;0),'Data - Sample Type 1'!HC21,"")</f>
        <v>70.5</v>
      </c>
      <c r="AD22" s="267"/>
      <c r="AE22" s="191">
        <f>IF(AND('Data Summary'!C149="PASS",AC22&lt;&gt;""),'Data - Sample Type 1'!HD21,"")</f>
        <v>80.599999999999994</v>
      </c>
      <c r="AF22" s="264"/>
      <c r="AG22" s="151">
        <f>IF(AND('Data Summary'!C149="PASS",'Data - Sample Type 1'!HK21&lt;&gt;0),'Data - Sample Type 1'!HK21,"")</f>
        <v>71.099999999999994</v>
      </c>
      <c r="AH22" s="267"/>
      <c r="AI22" s="191">
        <f>IF(AND('Data Summary'!C149="PASS",AG22&lt;&gt;""),'Data - Sample Type 1'!HL21,"")</f>
        <v>119.5</v>
      </c>
      <c r="AJ22" s="264"/>
      <c r="AK22" s="151">
        <f>IF(AND('Data Summary'!C149="PASS",'Data - Sample Type 1'!HS21&lt;&gt;0),'Data - Sample Type 1'!HS21,"")</f>
        <v>69.400000000000006</v>
      </c>
      <c r="AL22" s="267"/>
      <c r="AM22" s="191">
        <f>IF(AND('Data Summary'!C149="PASS",AK22&lt;&gt;""),'Data - Sample Type 1'!HT21,"")</f>
        <v>88.3</v>
      </c>
      <c r="AN22" s="264"/>
      <c r="AO22" s="194">
        <f>IF('Data Summary'!C149="PASS",IF('Data - Sample Type 1'!DK21=0,"",'Data - Sample Type 1'!DK21),"")</f>
        <v>25.4</v>
      </c>
      <c r="AP22" s="267"/>
      <c r="AQ22" s="151">
        <f>IF('Data Summary'!C149="PASS",IF('Data - Sample Type 1'!DY21=0,"",'Data - Sample Type 1'!DY21),"")</f>
        <v>22.6</v>
      </c>
      <c r="AR22" s="267"/>
      <c r="AS22" s="151">
        <f>IF('Data Summary'!C149="PASS",IF('Data - Sample Type 1'!EM21=0,"",'Data - Sample Type 1'!EM21),"")</f>
        <v>27</v>
      </c>
      <c r="AT22" s="271"/>
      <c r="AW22" s="278"/>
      <c r="AX22" s="197">
        <f>IF(AND('Data Summary'!C234="PASS",'Data - Sample Type 2'!IQ21&lt;&gt;0),'Data - Sample Type 2'!IQ21,"")</f>
        <v>70.8</v>
      </c>
      <c r="AY22" s="262"/>
      <c r="AZ22" s="155">
        <f>IF(AND('Data Summary'!C234="PASS",'Data - Sample Type 2'!IY21&lt;&gt;0),'Data - Sample Type 2'!IY21,"")</f>
        <v>68.099999999999994</v>
      </c>
      <c r="BA22" s="262"/>
      <c r="BB22" s="240">
        <f>IF(AND('Data Summary'!C234="PASS",AZ22&lt;&gt;""),'Data - Sample Type 2'!IZ21,"")</f>
        <v>130.5</v>
      </c>
      <c r="BC22" s="262"/>
      <c r="BD22" s="155">
        <f>IF(AND('Data Summary'!C234="PASS",'Data - Sample Type 2'!JG21&lt;&gt;0),'Data - Sample Type 2'!JG21,"")</f>
        <v>75.7</v>
      </c>
      <c r="BE22" s="262"/>
      <c r="BF22" s="240">
        <f>IF(AND('Data Summary'!C234="PASS",BD22&lt;&gt;""),'Data - Sample Type 2'!JH21,"")</f>
        <v>144.6</v>
      </c>
      <c r="BG22" s="262"/>
      <c r="BH22" s="155">
        <f>IF('Data Summary'!C234="PASS",IF('Data - Sample Type 2'!BG21=0,"",'Data - Sample Type 2'!BG21),"")</f>
        <v>22.6</v>
      </c>
      <c r="BI22" s="262"/>
      <c r="BJ22" s="197">
        <f>IF(AND('Data Summary'!C234="PASS",'Data - Sample Type 2'!JO21&lt;&gt;0),'Data - Sample Type 2'!JO21,"")</f>
        <v>65.900000000000006</v>
      </c>
      <c r="BK22" s="262"/>
      <c r="BL22" s="155">
        <f>IF(AND('Data Summary'!C234="PASS",'Data - Sample Type 2'!HC21&lt;&gt;0),'Data - Sample Type 2'!HC21,"")</f>
        <v>69.7</v>
      </c>
      <c r="BM22" s="262"/>
      <c r="BN22" s="155">
        <f>IF(AND('Data Summary'!C234="PASS",'Data - Sample Type 2'!LS21&lt;&gt;0),'Data - Sample Type 2'!LS21,"")</f>
        <v>75.8</v>
      </c>
      <c r="BO22" s="262"/>
      <c r="BP22" s="193">
        <f>IF(AND('Data Summary'!C234="PASS",BN22&lt;&gt;""),'Data - Sample Type 2'!LT21,"")</f>
        <v>134.30000000000001</v>
      </c>
      <c r="BQ22" s="262"/>
      <c r="BR22" s="197">
        <f>IF(AND('Data Summary'!C234="PASS",'Data - Sample Type 2'!MI21&lt;&gt;0),'Data - Sample Type 2'!MI21,"")</f>
        <v>65.8</v>
      </c>
      <c r="BS22" s="262"/>
      <c r="BT22" s="193">
        <f>IF(AND('Data Summary'!C234="PASS",BR22&lt;&gt;""),'Data - Sample Type 2'!MJ21,"")</f>
        <v>92</v>
      </c>
      <c r="BU22" s="262"/>
      <c r="BV22" s="155">
        <f>IF('Data Summary'!C234="PASS",IF('Data - Sample Type 2'!DY21=0,"",'Data - Sample Type 2'!DY21),"")</f>
        <v>23.8</v>
      </c>
      <c r="BW22" s="262"/>
      <c r="BX22" s="155">
        <f>IF('Data Summary'!C234="PASS",IF('Data - Sample Type 2'!EM21=0,"",'Data - Sample Type 2'!EM21),"")</f>
        <v>24.8</v>
      </c>
      <c r="BY22" s="274"/>
    </row>
    <row r="23" spans="2:77" x14ac:dyDescent="0.2">
      <c r="B23"/>
      <c r="C23"/>
      <c r="D23"/>
      <c r="E23" s="275">
        <v>3</v>
      </c>
      <c r="F23" s="154">
        <f>IF('Data Summary'!C45="PASS",IF('Data Summary'!A45="","",'Data - Sample Type 0'!Q22),"")</f>
        <v>27.5</v>
      </c>
      <c r="G23" s="279">
        <f t="shared" ref="G23" si="37">AVERAGE(F23:F32)</f>
        <v>27.26</v>
      </c>
      <c r="H23"/>
      <c r="I23"/>
      <c r="J23" s="276"/>
      <c r="K23" s="151">
        <f>IF(AND('Data Summary'!C150="PASS",'Data - Sample Type 1'!FO22&lt;&gt;0),'Data - Sample Type 1'!FO22,"")</f>
        <v>76.099999999999994</v>
      </c>
      <c r="L23" s="261" t="str">
        <f>IF(AND(L19&gt;=Specifications!$C$21,L19&lt;=Specifications!$D$21),"PASS","FAIL")</f>
        <v>PASS</v>
      </c>
      <c r="M23" s="102">
        <f>IF('Data Summary'!C150="PASS",IF('Data - Sample Type 1'!AE22=0,"",'Data - Sample Type 1'!AE22),"")</f>
        <v>24.9</v>
      </c>
      <c r="N23" s="261" t="str">
        <f>IF(N19&lt;=Specifications!D$22,"PASS","FAIL")</f>
        <v>PASS</v>
      </c>
      <c r="O23" s="151">
        <f>IF(AND('Data Summary'!C150="PASS",'Data - Sample Type 1'!FW22&lt;&gt;0),'Data - Sample Type 1'!FW22,"")</f>
        <v>73.599999999999994</v>
      </c>
      <c r="P23" s="261" t="str">
        <f>IF(AND(P19&gt;=Specifications!$C$23,P19&lt;=Specifications!$D$23),"PASS","FAIL")</f>
        <v>PASS</v>
      </c>
      <c r="Q23" s="191">
        <f>IF(AND('Data Summary'!C150="PASS",O23&lt;&gt;""),'Data - Sample Type 1'!FX22,"")</f>
        <v>75.8</v>
      </c>
      <c r="R23" s="260" t="s">
        <v>510</v>
      </c>
      <c r="S23" s="151">
        <f>IF(AND('Data Summary'!C150="PASS",'Data - Sample Type 1'!GE22&lt;&gt;0),'Data - Sample Type 1'!GE22,"")</f>
        <v>71.3</v>
      </c>
      <c r="T23" s="261" t="str">
        <f>IF(AND(T19&gt;=Specifications!$C$25,T19&lt;=Specifications!$D$25),"PASS","FAIL")</f>
        <v>PASS</v>
      </c>
      <c r="U23" s="191">
        <f>IF(AND('Data Summary'!C150="PASS",S23&lt;&gt;""),'Data - Sample Type 1'!GF22,"")</f>
        <v>234.2</v>
      </c>
      <c r="V23" s="260" t="s">
        <v>510</v>
      </c>
      <c r="W23" s="151">
        <f>IF('Data Summary'!C150="PASS",IF('Data - Sample Type 1'!BG22=0,"",'Data - Sample Type 1'!BG22),"")</f>
        <v>20.9</v>
      </c>
      <c r="X23" s="261" t="str">
        <f>IF(X19&lt;=Specifications!D$27,"PASS","FAIL")</f>
        <v>PASS</v>
      </c>
      <c r="Y23" s="194">
        <f>IF(AND('Data Summary'!C150="PASS",'Data - Sample Type 1'!GM22&lt;&gt;0),'Data - Sample Type 1'!GM22,"")</f>
        <v>68.400000000000006</v>
      </c>
      <c r="Z23" s="261" t="str">
        <f>IF(AND(Z19&gt;=Specifications!$C$28,Z19&lt;=Specifications!$D$28),"PASS","FAIL")</f>
        <v>PASS</v>
      </c>
      <c r="AA23" s="151">
        <f>IF('Data Summary'!C150="PASS",IF('Data - Sample Type 1'!BU22=0,"",'Data - Sample Type 1'!BU22),"")</f>
        <v>29</v>
      </c>
      <c r="AB23" s="260" t="s">
        <v>510</v>
      </c>
      <c r="AC23" s="151">
        <f>IF(AND('Data Summary'!C150="PASS",'Data - Sample Type 1'!HC22&lt;&gt;0),'Data - Sample Type 1'!HC22,"")</f>
        <v>70.400000000000006</v>
      </c>
      <c r="AD23" s="261" t="str">
        <f>IF(AND(AD19&gt;=Specifications!$C$31,AD19&lt;=Specifications!$D$31),"PASS","FAIL")</f>
        <v>PASS</v>
      </c>
      <c r="AE23" s="191">
        <f>IF(AND('Data Summary'!C150="PASS",AC23&lt;&gt;""),'Data - Sample Type 1'!HD22,"")</f>
        <v>76.2</v>
      </c>
      <c r="AF23" s="260" t="s">
        <v>510</v>
      </c>
      <c r="AG23" s="151">
        <f>IF(AND('Data Summary'!C150="PASS",'Data - Sample Type 1'!HK22&lt;&gt;0),'Data - Sample Type 1'!HK22,"")</f>
        <v>71</v>
      </c>
      <c r="AH23" s="261" t="str">
        <f>IF(AND(AH19&gt;=Specifications!$C$33,AH19&lt;=Specifications!$D$33),"PASS","FAIL")</f>
        <v>PASS</v>
      </c>
      <c r="AI23" s="191">
        <f>IF(AND('Data Summary'!C150="PASS",AG23&lt;&gt;""),'Data - Sample Type 1'!HL22,"")</f>
        <v>128.6</v>
      </c>
      <c r="AJ23" s="260" t="s">
        <v>510</v>
      </c>
      <c r="AK23" s="151">
        <f>IF(AND('Data Summary'!C150="PASS",'Data - Sample Type 1'!HS22&lt;&gt;0),'Data - Sample Type 1'!HS22,"")</f>
        <v>69.2</v>
      </c>
      <c r="AL23" s="261" t="str">
        <f>IF(AND(AL19&gt;=Specifications!$C$35,AL19&lt;=Specifications!$D$35),"PASS","FAIL")</f>
        <v>PASS</v>
      </c>
      <c r="AM23" s="191">
        <f>IF(AND('Data Summary'!C150="PASS",AK23&lt;&gt;""),'Data - Sample Type 1'!HT22,"")</f>
        <v>79.3</v>
      </c>
      <c r="AN23" s="260" t="s">
        <v>510</v>
      </c>
      <c r="AO23" s="194">
        <f>IF('Data Summary'!C150="PASS",IF('Data - Sample Type 1'!DK22=0,"",'Data - Sample Type 1'!DK22),"")</f>
        <v>23.1</v>
      </c>
      <c r="AP23" s="261" t="str">
        <f>IF(AP19&lt;=Specifications!$D$37,"PASS","FAIL")</f>
        <v>PASS</v>
      </c>
      <c r="AQ23" s="151">
        <f>IF('Data Summary'!C150="PASS",IF('Data - Sample Type 1'!DY22=0,"",'Data - Sample Type 1'!DY22),"")</f>
        <v>20.3</v>
      </c>
      <c r="AR23" s="261" t="str">
        <f>IF(AR19&lt;=Specifications!$D$38,"PASS","FAIL")</f>
        <v>PASS</v>
      </c>
      <c r="AS23" s="151">
        <f>IF('Data Summary'!C150="PASS",IF('Data - Sample Type 1'!EM22=0,"",'Data - Sample Type 1'!EM22),"")</f>
        <v>24.2</v>
      </c>
      <c r="AT23" s="272" t="str">
        <f>IF(AT19&lt;=Specifications!$D$39,"PASS","FAIL")</f>
        <v>PASS</v>
      </c>
      <c r="AW23" s="65"/>
    </row>
    <row r="24" spans="2:77" ht="13.35" customHeight="1" x14ac:dyDescent="0.2">
      <c r="B24"/>
      <c r="C24"/>
      <c r="D24"/>
      <c r="E24" s="276"/>
      <c r="F24" s="151">
        <f>IF('Data Summary'!C46="PASS",IF('Data Summary'!A46="","",'Data - Sample Type 0'!Q23),"")</f>
        <v>25.5</v>
      </c>
      <c r="G24" s="280"/>
      <c r="H24"/>
      <c r="I24"/>
      <c r="J24" s="276"/>
      <c r="K24" s="151">
        <f>IF(AND('Data Summary'!C151="PASS",'Data - Sample Type 1'!FO23&lt;&gt;0),'Data - Sample Type 1'!FO23,"")</f>
        <v>76</v>
      </c>
      <c r="L24" s="261"/>
      <c r="M24" s="102">
        <f>IF('Data Summary'!C151="PASS",IF('Data - Sample Type 1'!AE23=0,"",'Data - Sample Type 1'!AE23),"")</f>
        <v>25.1</v>
      </c>
      <c r="N24" s="261"/>
      <c r="O24" s="151">
        <f>IF(AND('Data Summary'!C151="PASS",'Data - Sample Type 1'!FW23&lt;&gt;0),'Data - Sample Type 1'!FW23,"")</f>
        <v>73.400000000000006</v>
      </c>
      <c r="P24" s="261"/>
      <c r="Q24" s="191">
        <f>IF(AND('Data Summary'!C151="PASS",O24&lt;&gt;""),'Data - Sample Type 1'!FX23,"")</f>
        <v>90.4</v>
      </c>
      <c r="R24" s="261"/>
      <c r="S24" s="151">
        <f>IF(AND('Data Summary'!C151="PASS",'Data - Sample Type 1'!GE23&lt;&gt;0),'Data - Sample Type 1'!GE23,"")</f>
        <v>71.2</v>
      </c>
      <c r="T24" s="261"/>
      <c r="U24" s="191">
        <f>IF(AND('Data Summary'!C151="PASS",S24&lt;&gt;""),'Data - Sample Type 1'!GF23,"")</f>
        <v>253</v>
      </c>
      <c r="V24" s="261"/>
      <c r="W24" s="151">
        <f>IF('Data Summary'!C151="PASS",IF('Data - Sample Type 1'!BG23=0,"",'Data - Sample Type 1'!BG23),"")</f>
        <v>22.1</v>
      </c>
      <c r="X24" s="261"/>
      <c r="Y24" s="194">
        <f>IF(AND('Data Summary'!C151="PASS",'Data - Sample Type 1'!GM23&lt;&gt;0),'Data - Sample Type 1'!GM23,"")</f>
        <v>68.400000000000006</v>
      </c>
      <c r="Z24" s="261"/>
      <c r="AA24" s="151">
        <f>IF('Data Summary'!C151="PASS",IF('Data - Sample Type 1'!BU23=0,"",'Data - Sample Type 1'!BU23),"")</f>
        <v>28.8</v>
      </c>
      <c r="AB24" s="261"/>
      <c r="AC24" s="151">
        <f>IF(AND('Data Summary'!C151="PASS",'Data - Sample Type 1'!HC23&lt;&gt;0),'Data - Sample Type 1'!HC23,"")</f>
        <v>70.3</v>
      </c>
      <c r="AD24" s="261"/>
      <c r="AE24" s="191">
        <f>IF(AND('Data Summary'!C151="PASS",AC24&lt;&gt;""),'Data - Sample Type 1'!HD23,"")</f>
        <v>76.900000000000006</v>
      </c>
      <c r="AF24" s="261"/>
      <c r="AG24" s="151">
        <f>IF(AND('Data Summary'!C151="PASS",'Data - Sample Type 1'!HK23&lt;&gt;0),'Data - Sample Type 1'!HK23,"")</f>
        <v>70.900000000000006</v>
      </c>
      <c r="AH24" s="261"/>
      <c r="AI24" s="191">
        <f>IF(AND('Data Summary'!C151="PASS",AG24&lt;&gt;""),'Data - Sample Type 1'!HL23,"")</f>
        <v>118.3</v>
      </c>
      <c r="AJ24" s="261"/>
      <c r="AK24" s="151">
        <f>IF(AND('Data Summary'!C151="PASS",'Data - Sample Type 1'!HS23&lt;&gt;0),'Data - Sample Type 1'!HS23,"")</f>
        <v>69.2</v>
      </c>
      <c r="AL24" s="261"/>
      <c r="AM24" s="191">
        <f>IF(AND('Data Summary'!C151="PASS",AK24&lt;&gt;""),'Data - Sample Type 1'!HT23,"")</f>
        <v>83.7</v>
      </c>
      <c r="AN24" s="261"/>
      <c r="AO24" s="194">
        <f>IF('Data Summary'!C151="PASS",IF('Data - Sample Type 1'!DK23=0,"",'Data - Sample Type 1'!DK23),"")</f>
        <v>23.6</v>
      </c>
      <c r="AP24" s="261"/>
      <c r="AQ24" s="151">
        <f>IF('Data Summary'!C151="PASS",IF('Data - Sample Type 1'!DY23=0,"",'Data - Sample Type 1'!DY23),"")</f>
        <v>20.8</v>
      </c>
      <c r="AR24" s="261"/>
      <c r="AS24" s="151">
        <f>IF('Data Summary'!C151="PASS",IF('Data - Sample Type 1'!EM23=0,"",'Data - Sample Type 1'!EM23),"")</f>
        <v>24.2</v>
      </c>
      <c r="AT24" s="272"/>
      <c r="AW24" s="65"/>
      <c r="AY24" s="257"/>
      <c r="BA24" s="257"/>
      <c r="BB24" s="96"/>
      <c r="BC24" s="96"/>
      <c r="BE24" s="257"/>
      <c r="BF24" s="96"/>
      <c r="BG24" s="96"/>
      <c r="BI24" s="257"/>
      <c r="BK24" s="257"/>
      <c r="BM24" s="257"/>
      <c r="BO24" s="257"/>
      <c r="BQ24" s="257"/>
      <c r="BS24" s="257"/>
      <c r="BU24" s="257"/>
      <c r="BW24" s="257"/>
      <c r="BY24" s="257"/>
    </row>
    <row r="25" spans="2:77" ht="14.1" customHeight="1" x14ac:dyDescent="0.2">
      <c r="B25"/>
      <c r="C25"/>
      <c r="D25"/>
      <c r="E25" s="276">
        <v>3</v>
      </c>
      <c r="F25" s="151">
        <f>IF('Data Summary'!C47="PASS",IF('Data Summary'!A47="","",'Data - Sample Type 0'!Q24),"")</f>
        <v>25.8</v>
      </c>
      <c r="G25" s="280"/>
      <c r="H25"/>
      <c r="I25"/>
      <c r="J25" s="276"/>
      <c r="K25" s="151">
        <f>IF(AND('Data Summary'!C152="PASS",'Data - Sample Type 1'!FO24&lt;&gt;0),'Data - Sample Type 1'!FO24,"")</f>
        <v>76.099999999999994</v>
      </c>
      <c r="L25" s="261"/>
      <c r="M25" s="102">
        <f>IF('Data Summary'!C152="PASS",IF('Data - Sample Type 1'!AE24=0,"",'Data - Sample Type 1'!AE24),"")</f>
        <v>25.1</v>
      </c>
      <c r="N25" s="261"/>
      <c r="O25" s="151">
        <f>IF(AND('Data Summary'!C152="PASS",'Data - Sample Type 1'!FW24&lt;&gt;0),'Data - Sample Type 1'!FW24,"")</f>
        <v>73.5</v>
      </c>
      <c r="P25" s="261"/>
      <c r="Q25" s="191">
        <f>IF(AND('Data Summary'!C152="PASS",O25&lt;&gt;""),'Data - Sample Type 1'!FX24,"")</f>
        <v>85.8</v>
      </c>
      <c r="R25" s="261"/>
      <c r="S25" s="151">
        <f>IF(AND('Data Summary'!C152="PASS",'Data - Sample Type 1'!GE24&lt;&gt;0),'Data - Sample Type 1'!GE24,"")</f>
        <v>71.3</v>
      </c>
      <c r="T25" s="261"/>
      <c r="U25" s="191">
        <f>IF(AND('Data Summary'!C152="PASS",S25&lt;&gt;""),'Data - Sample Type 1'!GF24,"")</f>
        <v>228.2</v>
      </c>
      <c r="V25" s="261"/>
      <c r="W25" s="151">
        <f>IF('Data Summary'!C152="PASS",IF('Data - Sample Type 1'!BG24=0,"",'Data - Sample Type 1'!BG24),"")</f>
        <v>19</v>
      </c>
      <c r="X25" s="261"/>
      <c r="Y25" s="194">
        <f>IF(AND('Data Summary'!C152="PASS",'Data - Sample Type 1'!GM24&lt;&gt;0),'Data - Sample Type 1'!GM24,"")</f>
        <v>68.5</v>
      </c>
      <c r="Z25" s="261"/>
      <c r="AA25" s="151">
        <f>IF('Data Summary'!C152="PASS",IF('Data - Sample Type 1'!BU24=0,"",'Data - Sample Type 1'!BU24),"")</f>
        <v>29.3</v>
      </c>
      <c r="AB25" s="261"/>
      <c r="AC25" s="151">
        <f>IF(AND('Data Summary'!C152="PASS",'Data - Sample Type 1'!HC24&lt;&gt;0),'Data - Sample Type 1'!HC24,"")</f>
        <v>70.400000000000006</v>
      </c>
      <c r="AD25" s="261"/>
      <c r="AE25" s="191">
        <f>IF(AND('Data Summary'!C152="PASS",AC25&lt;&gt;""),'Data - Sample Type 1'!HD24,"")</f>
        <v>88.9</v>
      </c>
      <c r="AF25" s="261"/>
      <c r="AG25" s="151">
        <f>IF(AND('Data Summary'!C152="PASS",'Data - Sample Type 1'!HK24&lt;&gt;0),'Data - Sample Type 1'!HK24,"")</f>
        <v>70.900000000000006</v>
      </c>
      <c r="AH25" s="261"/>
      <c r="AI25" s="191">
        <f>IF(AND('Data Summary'!C152="PASS",AG25&lt;&gt;""),'Data - Sample Type 1'!HL24,"")</f>
        <v>122.2</v>
      </c>
      <c r="AJ25" s="261"/>
      <c r="AK25" s="151">
        <f>IF(AND('Data Summary'!C152="PASS",'Data - Sample Type 1'!HS24&lt;&gt;0),'Data - Sample Type 1'!HS24,"")</f>
        <v>69.2</v>
      </c>
      <c r="AL25" s="261"/>
      <c r="AM25" s="191">
        <f>IF(AND('Data Summary'!C152="PASS",AK25&lt;&gt;""),'Data - Sample Type 1'!HT24,"")</f>
        <v>92.1</v>
      </c>
      <c r="AN25" s="261"/>
      <c r="AO25" s="194">
        <f>IF('Data Summary'!C152="PASS",IF('Data - Sample Type 1'!DK24=0,"",'Data - Sample Type 1'!DK24),"")</f>
        <v>23.5</v>
      </c>
      <c r="AP25" s="261"/>
      <c r="AQ25" s="151">
        <f>IF('Data Summary'!C152="PASS",IF('Data - Sample Type 1'!DY24=0,"",'Data - Sample Type 1'!DY24),"")</f>
        <v>20.7</v>
      </c>
      <c r="AR25" s="261"/>
      <c r="AS25" s="151">
        <f>IF('Data Summary'!C152="PASS",IF('Data - Sample Type 1'!EM24=0,"",'Data - Sample Type 1'!EM24),"")</f>
        <v>24.2</v>
      </c>
      <c r="AT25" s="272"/>
      <c r="AW25" s="65"/>
      <c r="AY25" s="257"/>
      <c r="BA25" s="257"/>
      <c r="BB25" s="96"/>
      <c r="BC25" s="96"/>
      <c r="BE25" s="257"/>
      <c r="BF25" s="96"/>
      <c r="BG25" s="96"/>
      <c r="BI25" s="257"/>
      <c r="BK25" s="257"/>
      <c r="BM25" s="257"/>
      <c r="BO25" s="257"/>
      <c r="BQ25" s="257"/>
      <c r="BS25" s="257"/>
      <c r="BU25" s="257"/>
      <c r="BW25" s="257"/>
      <c r="BY25" s="257"/>
    </row>
    <row r="26" spans="2:77" ht="13.5" thickBot="1" x14ac:dyDescent="0.25">
      <c r="B26"/>
      <c r="C26"/>
      <c r="D26"/>
      <c r="E26" s="276"/>
      <c r="F26" s="151">
        <f>IF('Data Summary'!C48="PASS",IF('Data Summary'!A48="","",'Data - Sample Type 0'!Q25),"")</f>
        <v>28.7</v>
      </c>
      <c r="G26" s="280"/>
      <c r="H26"/>
      <c r="I26"/>
      <c r="J26" s="278"/>
      <c r="K26" s="155">
        <f>IF(AND('Data Summary'!C153="PASS",'Data - Sample Type 1'!FO25&lt;&gt;0),'Data - Sample Type 1'!FO25,"")</f>
        <v>76.099999999999994</v>
      </c>
      <c r="L26" s="268"/>
      <c r="M26" s="171">
        <f>IF('Data Summary'!C153="PASS",IF('Data - Sample Type 1'!AE25=0,"",'Data - Sample Type 1'!AE25),"")</f>
        <v>26.5</v>
      </c>
      <c r="N26" s="268"/>
      <c r="O26" s="155">
        <f>IF(AND('Data Summary'!C153="PASS",'Data - Sample Type 1'!FW25&lt;&gt;0),'Data - Sample Type 1'!FW25,"")</f>
        <v>73.5</v>
      </c>
      <c r="P26" s="268"/>
      <c r="Q26" s="193">
        <f>IF(AND('Data Summary'!C153="PASS",O26&lt;&gt;""),'Data - Sample Type 1'!FX25,"")</f>
        <v>113.4</v>
      </c>
      <c r="R26" s="268"/>
      <c r="S26" s="155">
        <f>IF(AND('Data Summary'!C153="PASS",'Data - Sample Type 1'!GE25&lt;&gt;0),'Data - Sample Type 1'!GE25,"")</f>
        <v>71.3</v>
      </c>
      <c r="T26" s="268"/>
      <c r="U26" s="193">
        <f>IF(AND('Data Summary'!C153="PASS",S26&lt;&gt;""),'Data - Sample Type 1'!GF25,"")</f>
        <v>198.8</v>
      </c>
      <c r="V26" s="268"/>
      <c r="W26" s="155">
        <f>IF('Data Summary'!C153="PASS",IF('Data - Sample Type 1'!BG25=0,"",'Data - Sample Type 1'!BG25),"")</f>
        <v>22.8</v>
      </c>
      <c r="X26" s="268"/>
      <c r="Y26" s="197">
        <f>IF(AND('Data Summary'!C153="PASS",'Data - Sample Type 1'!GM25&lt;&gt;0),'Data - Sample Type 1'!GM25,"")</f>
        <v>68.5</v>
      </c>
      <c r="Z26" s="268"/>
      <c r="AA26" s="155">
        <f>IF('Data Summary'!C153="PASS",IF('Data - Sample Type 1'!BU25=0,"",'Data - Sample Type 1'!BU25),"")</f>
        <v>30.6</v>
      </c>
      <c r="AB26" s="268"/>
      <c r="AC26" s="155">
        <f>IF(AND('Data Summary'!C153="PASS",'Data - Sample Type 1'!HC25&lt;&gt;0),'Data - Sample Type 1'!HC25,"")</f>
        <v>70.3</v>
      </c>
      <c r="AD26" s="268"/>
      <c r="AE26" s="193">
        <f>IF(AND('Data Summary'!C153="PASS",AC26&lt;&gt;""),'Data - Sample Type 1'!HD25,"")</f>
        <v>81.7</v>
      </c>
      <c r="AF26" s="268"/>
      <c r="AG26" s="155">
        <f>IF(AND('Data Summary'!C153="PASS",'Data - Sample Type 1'!HK25&lt;&gt;0),'Data - Sample Type 1'!HK25,"")</f>
        <v>70.900000000000006</v>
      </c>
      <c r="AH26" s="268"/>
      <c r="AI26" s="193">
        <f>IF(AND('Data Summary'!C153="PASS",AG26&lt;&gt;""),'Data - Sample Type 1'!HL25,"")</f>
        <v>146</v>
      </c>
      <c r="AJ26" s="268"/>
      <c r="AK26" s="155">
        <f>IF(AND('Data Summary'!C153="PASS",'Data - Sample Type 1'!HS25&lt;&gt;0),'Data - Sample Type 1'!HS25,"")</f>
        <v>69.3</v>
      </c>
      <c r="AL26" s="268"/>
      <c r="AM26" s="193">
        <f>IF(AND('Data Summary'!C153="PASS",AK26&lt;&gt;""),'Data - Sample Type 1'!HT25,"")</f>
        <v>97.7</v>
      </c>
      <c r="AN26" s="268"/>
      <c r="AO26" s="197">
        <f>IF('Data Summary'!C153="PASS",IF('Data - Sample Type 1'!DK25=0,"",'Data - Sample Type 1'!DK25),"")</f>
        <v>25.2</v>
      </c>
      <c r="AP26" s="268"/>
      <c r="AQ26" s="155">
        <f>IF('Data Summary'!C153="PASS",IF('Data - Sample Type 1'!DY25=0,"",'Data - Sample Type 1'!DY25),"")</f>
        <v>21.6</v>
      </c>
      <c r="AR26" s="268"/>
      <c r="AS26" s="155">
        <f>IF('Data Summary'!C153="PASS",IF('Data - Sample Type 1'!EM25=0,"",'Data - Sample Type 1'!EM25),"")</f>
        <v>25.9</v>
      </c>
      <c r="AT26" s="273"/>
      <c r="AW26" s="65"/>
      <c r="AY26" s="257"/>
      <c r="BA26" s="257"/>
      <c r="BB26" s="96"/>
      <c r="BC26" s="96"/>
      <c r="BE26" s="257"/>
      <c r="BF26" s="96"/>
      <c r="BG26" s="96"/>
      <c r="BI26" s="257"/>
      <c r="BK26" s="257"/>
      <c r="BM26" s="257"/>
      <c r="BO26" s="257"/>
      <c r="BQ26" s="257"/>
      <c r="BS26" s="257"/>
      <c r="BU26" s="257"/>
      <c r="BW26" s="257"/>
      <c r="BY26" s="257"/>
    </row>
    <row r="27" spans="2:77" x14ac:dyDescent="0.2">
      <c r="B27"/>
      <c r="C27"/>
      <c r="D27"/>
      <c r="E27" s="276"/>
      <c r="F27" s="151">
        <f>IF('Data Summary'!C49="PASS",IF('Data Summary'!A49="","",'Data - Sample Type 0'!Q26),"")</f>
        <v>27.1</v>
      </c>
      <c r="G27" s="280"/>
      <c r="H27"/>
      <c r="I27"/>
      <c r="J27" s="275">
        <v>4</v>
      </c>
      <c r="K27" s="154">
        <f>IF(AND('Data Summary'!C154="PASS",'Data - Sample Type 1'!FO26&lt;&gt;0),'Data - Sample Type 1'!FO26,"")</f>
        <v>76.099999999999994</v>
      </c>
      <c r="L27" s="258">
        <f t="shared" ref="L27" si="38">AVERAGE(K27:K34)</f>
        <v>75.962500000000006</v>
      </c>
      <c r="M27" s="170">
        <f>IF('Data Summary'!C154="PASS",IF('Data - Sample Type 1'!AE26=0,"",'Data - Sample Type 1'!AE26),"")</f>
        <v>27.4</v>
      </c>
      <c r="N27" s="258">
        <f t="shared" ref="N27" si="39">AVERAGE(M27:M34)</f>
        <v>25.8</v>
      </c>
      <c r="O27" s="154">
        <f>IF(AND('Data Summary'!C154="PASS",'Data - Sample Type 1'!FW26&lt;&gt;0),'Data - Sample Type 1'!FW26,"")</f>
        <v>73.400000000000006</v>
      </c>
      <c r="P27" s="258">
        <f t="shared" ref="P27" si="40">AVERAGE(O27:O34)</f>
        <v>73.374999999999986</v>
      </c>
      <c r="Q27" s="190">
        <f>IF(AND('Data Summary'!C154="PASS",O27&lt;&gt;""),'Data - Sample Type 1'!FX26,"")</f>
        <v>79</v>
      </c>
      <c r="R27" s="263">
        <f t="shared" ref="R27" si="41">AVERAGE(Q27:Q34)</f>
        <v>99.0625</v>
      </c>
      <c r="S27" s="154">
        <f>IF(AND('Data Summary'!C154="PASS",'Data - Sample Type 1'!GE26&lt;&gt;0),'Data - Sample Type 1'!GE26,"")</f>
        <v>71.3</v>
      </c>
      <c r="T27" s="265">
        <f t="shared" ref="T27" si="42">AVERAGE(S27:S34)</f>
        <v>71.2</v>
      </c>
      <c r="U27" s="190">
        <f>IF(AND('Data Summary'!C154="PASS",S27&lt;&gt;""),'Data - Sample Type 1'!GF26,"")</f>
        <v>308.5</v>
      </c>
      <c r="V27" s="263">
        <f t="shared" ref="V27" si="43">AVERAGE(U27:U34)</f>
        <v>259.05</v>
      </c>
      <c r="W27" s="154">
        <f>IF('Data Summary'!C154="PASS",IF('Data - Sample Type 1'!BG26=0,"",'Data - Sample Type 1'!BG26),"")</f>
        <v>23.3</v>
      </c>
      <c r="X27" s="265">
        <f t="shared" ref="X27" si="44">AVERAGE(W27:W34)</f>
        <v>22.3</v>
      </c>
      <c r="Y27" s="196">
        <f>IF(AND('Data Summary'!C154="PASS",'Data - Sample Type 1'!GM26&lt;&gt;0),'Data - Sample Type 1'!GM26,"")</f>
        <v>68.599999999999994</v>
      </c>
      <c r="Z27" s="265">
        <f t="shared" ref="Z27" si="45">AVERAGE(Y27:Y34)</f>
        <v>68.400000000000006</v>
      </c>
      <c r="AA27" s="154">
        <f>IF('Data Summary'!C154="PASS",IF('Data - Sample Type 1'!BU26=0,"",'Data - Sample Type 1'!BU26),"")</f>
        <v>31.2</v>
      </c>
      <c r="AB27" s="265">
        <f t="shared" ref="AB27" si="46">AVERAGE(AA27:AA34)</f>
        <v>30.074999999999999</v>
      </c>
      <c r="AC27" s="154">
        <f>IF(AND('Data Summary'!C154="PASS",'Data - Sample Type 1'!HC26&lt;&gt;0),'Data - Sample Type 1'!HC26,"")</f>
        <v>70.099999999999994</v>
      </c>
      <c r="AD27" s="265">
        <f t="shared" ref="AD27" si="47">AVERAGE(AC27:AC34)</f>
        <v>70.1875</v>
      </c>
      <c r="AE27" s="190">
        <f>IF(AND('Data Summary'!C154="PASS",AC27&lt;&gt;""),'Data - Sample Type 1'!HD26,"")</f>
        <v>73.8</v>
      </c>
      <c r="AF27" s="263">
        <f t="shared" ref="AF27" si="48">AVERAGE(AE27:AE34)</f>
        <v>81.925000000000011</v>
      </c>
      <c r="AG27" s="154">
        <f>IF(AND('Data Summary'!C154="PASS",'Data - Sample Type 1'!HK26&lt;&gt;0),'Data - Sample Type 1'!HK26,"")</f>
        <v>70.900000000000006</v>
      </c>
      <c r="AH27" s="265">
        <f t="shared" ref="AH27" si="49">AVERAGE(AG27:AG34)</f>
        <v>70.8125</v>
      </c>
      <c r="AI27" s="190">
        <f>IF(AND('Data Summary'!C154="PASS",AG27&lt;&gt;""),'Data - Sample Type 1'!HL26,"")</f>
        <v>134.5</v>
      </c>
      <c r="AJ27" s="263">
        <f t="shared" ref="AJ27" si="50">AVERAGE(AI27:AI34)</f>
        <v>134.35</v>
      </c>
      <c r="AK27" s="154">
        <f>IF(AND('Data Summary'!C154="PASS",'Data - Sample Type 1'!HS26&lt;&gt;0),'Data - Sample Type 1'!HS26,"")</f>
        <v>69.400000000000006</v>
      </c>
      <c r="AL27" s="265">
        <f t="shared" ref="AL27" si="51">AVERAGE(AK27:AK34)</f>
        <v>69.1875</v>
      </c>
      <c r="AM27" s="190">
        <f>IF(AND('Data Summary'!C154="PASS",AK27&lt;&gt;""),'Data - Sample Type 1'!HT26,"")</f>
        <v>94.4</v>
      </c>
      <c r="AN27" s="263">
        <f t="shared" ref="AN27" si="52">AVERAGE(AM27:AM34)</f>
        <v>96.287500000000009</v>
      </c>
      <c r="AO27" s="196">
        <f>IF('Data Summary'!C154="PASS",IF('Data - Sample Type 1'!DK26=0,"",'Data - Sample Type 1'!DK26),"")</f>
        <v>25</v>
      </c>
      <c r="AP27" s="265">
        <f t="shared" ref="AP27" si="53">AVERAGE(AO27:AO34)</f>
        <v>24.662500000000001</v>
      </c>
      <c r="AQ27" s="154">
        <f>IF('Data Summary'!C154="PASS",IF('Data - Sample Type 1'!DY26=0,"",'Data - Sample Type 1'!DY26),"")</f>
        <v>22.2</v>
      </c>
      <c r="AR27" s="265">
        <f t="shared" ref="AR27" si="54">AVERAGE(AQ27:AQ34)</f>
        <v>21.612499999999997</v>
      </c>
      <c r="AS27" s="154">
        <f>IF('Data Summary'!C154="PASS",IF('Data - Sample Type 1'!EM26=0,"",'Data - Sample Type 1'!EM26),"")</f>
        <v>26.2</v>
      </c>
      <c r="AT27" s="269">
        <f>AVERAGE(AS27:AS34)</f>
        <v>25.774999999999999</v>
      </c>
      <c r="AW27" s="65"/>
      <c r="AY27" s="257"/>
      <c r="BA27" s="257"/>
      <c r="BB27" s="96"/>
      <c r="BC27" s="96"/>
      <c r="BE27" s="257"/>
      <c r="BF27" s="96"/>
      <c r="BG27" s="96"/>
      <c r="BI27" s="257"/>
      <c r="BK27" s="257"/>
      <c r="BM27" s="257"/>
      <c r="BO27" s="257"/>
      <c r="BQ27" s="257"/>
      <c r="BS27" s="257"/>
      <c r="BU27" s="257"/>
      <c r="BW27" s="257"/>
      <c r="BY27" s="257"/>
    </row>
    <row r="28" spans="2:77" x14ac:dyDescent="0.2">
      <c r="B28"/>
      <c r="C28"/>
      <c r="D28"/>
      <c r="E28" s="276"/>
      <c r="F28" s="151">
        <f>IF('Data Summary'!C50="PASS",IF('Data Summary'!A50="","",'Data - Sample Type 0'!Q27),"")</f>
        <v>26.5</v>
      </c>
      <c r="G28" s="272" t="str">
        <f>IF(G23&lt;=Specifications!$G$20,"PASS","FAIL")</f>
        <v>PASS</v>
      </c>
      <c r="H28"/>
      <c r="I28"/>
      <c r="J28" s="276"/>
      <c r="K28" s="151">
        <f>IF(AND('Data Summary'!C155="PASS",'Data - Sample Type 1'!FO27&lt;&gt;0),'Data - Sample Type 1'!FO27,"")</f>
        <v>75.8</v>
      </c>
      <c r="L28" s="259"/>
      <c r="M28" s="102">
        <f>IF('Data Summary'!C155="PASS",IF('Data - Sample Type 1'!AE27=0,"",'Data - Sample Type 1'!AE27),"")</f>
        <v>26.5</v>
      </c>
      <c r="N28" s="259"/>
      <c r="O28" s="151">
        <f>IF(AND('Data Summary'!C155="PASS",'Data - Sample Type 1'!FW27&lt;&gt;0),'Data - Sample Type 1'!FW27,"")</f>
        <v>73.3</v>
      </c>
      <c r="P28" s="259"/>
      <c r="Q28" s="191">
        <f>IF(AND('Data Summary'!C155="PASS",O28&lt;&gt;""),'Data - Sample Type 1'!FX27,"")</f>
        <v>101.5</v>
      </c>
      <c r="R28" s="264"/>
      <c r="S28" s="151">
        <f>IF(AND('Data Summary'!C155="PASS",'Data - Sample Type 1'!GE27&lt;&gt;0),'Data - Sample Type 1'!GE27,"")</f>
        <v>71.099999999999994</v>
      </c>
      <c r="T28" s="266"/>
      <c r="U28" s="191">
        <f>IF(AND('Data Summary'!C155="PASS",S28&lt;&gt;""),'Data - Sample Type 1'!GF27,"")</f>
        <v>242.3</v>
      </c>
      <c r="V28" s="264"/>
      <c r="W28" s="151">
        <f>IF('Data Summary'!C155="PASS",IF('Data - Sample Type 1'!BG27=0,"",'Data - Sample Type 1'!BG27),"")</f>
        <v>22.8</v>
      </c>
      <c r="X28" s="266"/>
      <c r="Y28" s="194">
        <f>IF(AND('Data Summary'!C155="PASS",'Data - Sample Type 1'!GM27&lt;&gt;0),'Data - Sample Type 1'!GM27,"")</f>
        <v>68.2</v>
      </c>
      <c r="Z28" s="266"/>
      <c r="AA28" s="151">
        <f>IF('Data Summary'!C155="PASS",IF('Data - Sample Type 1'!BU27=0,"",'Data - Sample Type 1'!BU27),"")</f>
        <v>30.6</v>
      </c>
      <c r="AB28" s="266"/>
      <c r="AC28" s="151">
        <f>IF(AND('Data Summary'!C155="PASS",'Data - Sample Type 1'!HC27&lt;&gt;0),'Data - Sample Type 1'!HC27,"")</f>
        <v>70.2</v>
      </c>
      <c r="AD28" s="266"/>
      <c r="AE28" s="191">
        <f>IF(AND('Data Summary'!C155="PASS",AC28&lt;&gt;""),'Data - Sample Type 1'!HD27,"")</f>
        <v>76.5</v>
      </c>
      <c r="AF28" s="264"/>
      <c r="AG28" s="151">
        <f>IF(AND('Data Summary'!C155="PASS",'Data - Sample Type 1'!HK27&lt;&gt;0),'Data - Sample Type 1'!HK27,"")</f>
        <v>70.8</v>
      </c>
      <c r="AH28" s="266"/>
      <c r="AI28" s="191">
        <f>IF(AND('Data Summary'!C155="PASS",AG28&lt;&gt;""),'Data - Sample Type 1'!HL27,"")</f>
        <v>123.4</v>
      </c>
      <c r="AJ28" s="264"/>
      <c r="AK28" s="151">
        <f>IF(AND('Data Summary'!C155="PASS",'Data - Sample Type 1'!HS27&lt;&gt;0),'Data - Sample Type 1'!HS27,"")</f>
        <v>69</v>
      </c>
      <c r="AL28" s="266"/>
      <c r="AM28" s="191">
        <f>IF(AND('Data Summary'!C155="PASS",AK28&lt;&gt;""),'Data - Sample Type 1'!HT27,"")</f>
        <v>90.5</v>
      </c>
      <c r="AN28" s="264"/>
      <c r="AO28" s="194">
        <f>IF('Data Summary'!C155="PASS",IF('Data - Sample Type 1'!DK27=0,"",'Data - Sample Type 1'!DK27),"")</f>
        <v>24.9</v>
      </c>
      <c r="AP28" s="266"/>
      <c r="AQ28" s="151">
        <f>IF('Data Summary'!C155="PASS",IF('Data - Sample Type 1'!DY27=0,"",'Data - Sample Type 1'!DY27),"")</f>
        <v>21.5</v>
      </c>
      <c r="AR28" s="266"/>
      <c r="AS28" s="151">
        <f>IF('Data Summary'!C155="PASS",IF('Data - Sample Type 1'!EM27=0,"",'Data - Sample Type 1'!EM27),"")</f>
        <v>24.9</v>
      </c>
      <c r="AT28" s="270"/>
      <c r="AW28" s="65"/>
      <c r="AY28" s="257"/>
      <c r="BA28" s="257"/>
      <c r="BB28" s="96"/>
      <c r="BC28" s="96"/>
      <c r="BE28" s="257"/>
      <c r="BF28" s="96"/>
      <c r="BG28" s="96"/>
      <c r="BI28" s="257"/>
      <c r="BK28" s="257"/>
      <c r="BM28" s="257"/>
      <c r="BO28" s="257"/>
      <c r="BQ28" s="257"/>
      <c r="BS28" s="257"/>
      <c r="BU28" s="257"/>
      <c r="BW28" s="257"/>
      <c r="BY28" s="257"/>
    </row>
    <row r="29" spans="2:77" ht="14.1" customHeight="1" x14ac:dyDescent="0.2">
      <c r="B29"/>
      <c r="C29"/>
      <c r="D29"/>
      <c r="E29" s="276"/>
      <c r="F29" s="151">
        <f>IF('Data Summary'!C51="PASS",IF('Data Summary'!A51="","",'Data - Sample Type 0'!Q28),"")</f>
        <v>27.9</v>
      </c>
      <c r="G29" s="272"/>
      <c r="H29"/>
      <c r="I29"/>
      <c r="J29" s="276"/>
      <c r="K29" s="151">
        <f>IF(AND('Data Summary'!C156="PASS",'Data - Sample Type 1'!FO28&lt;&gt;0),'Data - Sample Type 1'!FO28,"")</f>
        <v>75.900000000000006</v>
      </c>
      <c r="L29" s="259"/>
      <c r="M29" s="102">
        <f>IF('Data Summary'!C156="PASS",IF('Data - Sample Type 1'!AE28=0,"",'Data - Sample Type 1'!AE28),"")</f>
        <v>26</v>
      </c>
      <c r="N29" s="259"/>
      <c r="O29" s="151">
        <f>IF(AND('Data Summary'!C156="PASS",'Data - Sample Type 1'!FW28&lt;&gt;0),'Data - Sample Type 1'!FW28,"")</f>
        <v>73.3</v>
      </c>
      <c r="P29" s="259"/>
      <c r="Q29" s="191">
        <f>IF(AND('Data Summary'!C156="PASS",O29&lt;&gt;""),'Data - Sample Type 1'!FX28,"")</f>
        <v>89.4</v>
      </c>
      <c r="R29" s="264"/>
      <c r="S29" s="151">
        <f>IF(AND('Data Summary'!C156="PASS",'Data - Sample Type 1'!GE28&lt;&gt;0),'Data - Sample Type 1'!GE28,"")</f>
        <v>71.099999999999994</v>
      </c>
      <c r="T29" s="266"/>
      <c r="U29" s="191">
        <f>IF(AND('Data Summary'!C156="PASS",S29&lt;&gt;""),'Data - Sample Type 1'!GF28,"")</f>
        <v>241.4</v>
      </c>
      <c r="V29" s="264"/>
      <c r="W29" s="151">
        <f>IF('Data Summary'!C156="PASS",IF('Data - Sample Type 1'!BG28=0,"",'Data - Sample Type 1'!BG28),"")</f>
        <v>22.4</v>
      </c>
      <c r="X29" s="266"/>
      <c r="Y29" s="194">
        <f>IF(AND('Data Summary'!C156="PASS",'Data - Sample Type 1'!GM28&lt;&gt;0),'Data - Sample Type 1'!GM28,"")</f>
        <v>68.2</v>
      </c>
      <c r="Z29" s="266"/>
      <c r="AA29" s="151">
        <f>IF('Data Summary'!C156="PASS",IF('Data - Sample Type 1'!BU28=0,"",'Data - Sample Type 1'!BU28),"")</f>
        <v>30.6</v>
      </c>
      <c r="AB29" s="266"/>
      <c r="AC29" s="151">
        <f>IF(AND('Data Summary'!C156="PASS",'Data - Sample Type 1'!HC28&lt;&gt;0),'Data - Sample Type 1'!HC28,"")</f>
        <v>70.099999999999994</v>
      </c>
      <c r="AD29" s="266"/>
      <c r="AE29" s="191">
        <f>IF(AND('Data Summary'!C156="PASS",AC29&lt;&gt;""),'Data - Sample Type 1'!HD28,"")</f>
        <v>73.2</v>
      </c>
      <c r="AF29" s="264"/>
      <c r="AG29" s="151">
        <f>IF(AND('Data Summary'!C156="PASS",'Data - Sample Type 1'!HK28&lt;&gt;0),'Data - Sample Type 1'!HK28,"")</f>
        <v>70.7</v>
      </c>
      <c r="AH29" s="266"/>
      <c r="AI29" s="191">
        <f>IF(AND('Data Summary'!C156="PASS",AG29&lt;&gt;""),'Data - Sample Type 1'!HL28,"")</f>
        <v>128.6</v>
      </c>
      <c r="AJ29" s="264"/>
      <c r="AK29" s="151">
        <f>IF(AND('Data Summary'!C156="PASS",'Data - Sample Type 1'!HS28&lt;&gt;0),'Data - Sample Type 1'!HS28,"")</f>
        <v>69.099999999999994</v>
      </c>
      <c r="AL29" s="266"/>
      <c r="AM29" s="191">
        <f>IF(AND('Data Summary'!C156="PASS",AK29&lt;&gt;""),'Data - Sample Type 1'!HT28,"")</f>
        <v>91.9</v>
      </c>
      <c r="AN29" s="264"/>
      <c r="AO29" s="194">
        <f>IF('Data Summary'!C156="PASS",IF('Data - Sample Type 1'!DK28=0,"",'Data - Sample Type 1'!DK28),"")</f>
        <v>24.3</v>
      </c>
      <c r="AP29" s="266"/>
      <c r="AQ29" s="151">
        <f>IF('Data Summary'!C156="PASS",IF('Data - Sample Type 1'!DY28=0,"",'Data - Sample Type 1'!DY28),"")</f>
        <v>21.4</v>
      </c>
      <c r="AR29" s="266"/>
      <c r="AS29" s="151">
        <f>IF('Data Summary'!C156="PASS",IF('Data - Sample Type 1'!EM28=0,"",'Data - Sample Type 1'!EM28),"")</f>
        <v>25.9</v>
      </c>
      <c r="AT29" s="270"/>
      <c r="AW29" s="65"/>
      <c r="AY29" s="257"/>
      <c r="BA29" s="257"/>
      <c r="BB29" s="96"/>
      <c r="BC29" s="96"/>
      <c r="BE29" s="257"/>
      <c r="BF29" s="96"/>
      <c r="BG29" s="96"/>
      <c r="BI29" s="257"/>
      <c r="BK29" s="257"/>
      <c r="BM29" s="257"/>
      <c r="BO29" s="257"/>
      <c r="BQ29" s="257"/>
      <c r="BS29" s="257"/>
      <c r="BU29" s="257"/>
      <c r="BW29" s="257"/>
      <c r="BY29" s="257"/>
    </row>
    <row r="30" spans="2:77" x14ac:dyDescent="0.2">
      <c r="B30"/>
      <c r="C30"/>
      <c r="D30"/>
      <c r="E30" s="276"/>
      <c r="F30" s="151">
        <f>IF('Data Summary'!C52="PASS",IF('Data Summary'!A52="","",'Data - Sample Type 0'!Q29),"")</f>
        <v>27.1</v>
      </c>
      <c r="G30" s="272"/>
      <c r="H30"/>
      <c r="I30"/>
      <c r="J30" s="276"/>
      <c r="K30" s="151">
        <f>IF(AND('Data Summary'!C157="PASS",'Data - Sample Type 1'!FO29&lt;&gt;0),'Data - Sample Type 1'!FO29,"")</f>
        <v>75.900000000000006</v>
      </c>
      <c r="L30" s="259"/>
      <c r="M30" s="102">
        <f>IF('Data Summary'!C157="PASS",IF('Data - Sample Type 1'!AE29=0,"",'Data - Sample Type 1'!AE29),"")</f>
        <v>23.6</v>
      </c>
      <c r="N30" s="259"/>
      <c r="O30" s="151">
        <f>IF(AND('Data Summary'!C157="PASS",'Data - Sample Type 1'!FW29&lt;&gt;0),'Data - Sample Type 1'!FW29,"")</f>
        <v>73.400000000000006</v>
      </c>
      <c r="P30" s="259"/>
      <c r="Q30" s="191">
        <f>IF(AND('Data Summary'!C157="PASS",O30&lt;&gt;""),'Data - Sample Type 1'!FX29,"")</f>
        <v>97.2</v>
      </c>
      <c r="R30" s="264"/>
      <c r="S30" s="151">
        <f>IF(AND('Data Summary'!C157="PASS",'Data - Sample Type 1'!GE29&lt;&gt;0),'Data - Sample Type 1'!GE29,"")</f>
        <v>71.2</v>
      </c>
      <c r="T30" s="267"/>
      <c r="U30" s="191">
        <f>IF(AND('Data Summary'!C157="PASS",S30&lt;&gt;""),'Data - Sample Type 1'!GF29,"")</f>
        <v>248.6</v>
      </c>
      <c r="V30" s="264"/>
      <c r="W30" s="151">
        <f>IF('Data Summary'!C157="PASS",IF('Data - Sample Type 1'!BG29=0,"",'Data - Sample Type 1'!BG29),"")</f>
        <v>20.2</v>
      </c>
      <c r="X30" s="267"/>
      <c r="Y30" s="194">
        <f>IF(AND('Data Summary'!C157="PASS",'Data - Sample Type 1'!GM29&lt;&gt;0),'Data - Sample Type 1'!GM29,"")</f>
        <v>68.3</v>
      </c>
      <c r="Z30" s="267"/>
      <c r="AA30" s="151">
        <f>IF('Data Summary'!C157="PASS",IF('Data - Sample Type 1'!BU29=0,"",'Data - Sample Type 1'!BU29),"")</f>
        <v>28.3</v>
      </c>
      <c r="AB30" s="267"/>
      <c r="AC30" s="151">
        <f>IF(AND('Data Summary'!C157="PASS",'Data - Sample Type 1'!HC29&lt;&gt;0),'Data - Sample Type 1'!HC29,"")</f>
        <v>70.3</v>
      </c>
      <c r="AD30" s="267"/>
      <c r="AE30" s="191">
        <f>IF(AND('Data Summary'!C157="PASS",AC30&lt;&gt;""),'Data - Sample Type 1'!HD29,"")</f>
        <v>94.1</v>
      </c>
      <c r="AF30" s="264"/>
      <c r="AG30" s="151">
        <f>IF(AND('Data Summary'!C157="PASS",'Data - Sample Type 1'!HK29&lt;&gt;0),'Data - Sample Type 1'!HK29,"")</f>
        <v>70.8</v>
      </c>
      <c r="AH30" s="267"/>
      <c r="AI30" s="191">
        <f>IF(AND('Data Summary'!C157="PASS",AG30&lt;&gt;""),'Data - Sample Type 1'!HL29,"")</f>
        <v>127.1</v>
      </c>
      <c r="AJ30" s="264"/>
      <c r="AK30" s="151">
        <f>IF(AND('Data Summary'!C157="PASS",'Data - Sample Type 1'!HS29&lt;&gt;0),'Data - Sample Type 1'!HS29,"")</f>
        <v>69.099999999999994</v>
      </c>
      <c r="AL30" s="267"/>
      <c r="AM30" s="191">
        <f>IF(AND('Data Summary'!C157="PASS",AK30&lt;&gt;""),'Data - Sample Type 1'!HT29,"")</f>
        <v>88.3</v>
      </c>
      <c r="AN30" s="264"/>
      <c r="AO30" s="194">
        <f>IF('Data Summary'!C157="PASS",IF('Data - Sample Type 1'!DK29=0,"",'Data - Sample Type 1'!DK29),"")</f>
        <v>24</v>
      </c>
      <c r="AP30" s="267"/>
      <c r="AQ30" s="151">
        <f>IF('Data Summary'!C157="PASS",IF('Data - Sample Type 1'!DY29=0,"",'Data - Sample Type 1'!DY29),"")</f>
        <v>20.8</v>
      </c>
      <c r="AR30" s="267"/>
      <c r="AS30" s="151">
        <f>IF('Data Summary'!C157="PASS",IF('Data - Sample Type 1'!EM29=0,"",'Data - Sample Type 1'!EM29),"")</f>
        <v>24.7</v>
      </c>
      <c r="AT30" s="271"/>
      <c r="AW30" s="65"/>
      <c r="AY30" s="257"/>
      <c r="BA30" s="257"/>
      <c r="BB30" s="96"/>
      <c r="BC30" s="96"/>
      <c r="BE30" s="257"/>
      <c r="BF30" s="96"/>
      <c r="BG30" s="96"/>
      <c r="BI30" s="257"/>
      <c r="BK30" s="257"/>
      <c r="BM30" s="257"/>
      <c r="BO30" s="257"/>
      <c r="BQ30" s="257"/>
      <c r="BS30" s="257"/>
      <c r="BU30" s="257"/>
      <c r="BW30" s="257"/>
      <c r="BY30" s="257"/>
    </row>
    <row r="31" spans="2:77" ht="13.35" customHeight="1" x14ac:dyDescent="0.2">
      <c r="B31"/>
      <c r="C31"/>
      <c r="D31"/>
      <c r="E31" s="276"/>
      <c r="F31" s="151">
        <f>IF('Data Summary'!C53="PASS",IF('Data Summary'!A53="","",'Data - Sample Type 0'!Q30),"")</f>
        <v>29</v>
      </c>
      <c r="G31" s="272"/>
      <c r="H31"/>
      <c r="I31"/>
      <c r="J31" s="276"/>
      <c r="K31" s="151">
        <f>IF(AND('Data Summary'!C158="PASS",'Data - Sample Type 1'!FO30&lt;&gt;0),'Data - Sample Type 1'!FO30,"")</f>
        <v>76</v>
      </c>
      <c r="L31" s="261" t="str">
        <f>IF(AND(L27&gt;=Specifications!$C$21,L27&lt;=Specifications!$D$21),"PASS","FAIL")</f>
        <v>PASS</v>
      </c>
      <c r="M31" s="102">
        <f>IF('Data Summary'!C158="PASS",IF('Data - Sample Type 1'!AE30=0,"",'Data - Sample Type 1'!AE30),"")</f>
        <v>25.8</v>
      </c>
      <c r="N31" s="261" t="str">
        <f>IF(N27&lt;=Specifications!D$22,"PASS","FAIL")</f>
        <v>PASS</v>
      </c>
      <c r="O31" s="151">
        <f>IF(AND('Data Summary'!C158="PASS",'Data - Sample Type 1'!FW30&lt;&gt;0),'Data - Sample Type 1'!FW30,"")</f>
        <v>73.400000000000006</v>
      </c>
      <c r="P31" s="261" t="str">
        <f>IF(AND(P27&gt;=Specifications!$C$23,P27&lt;=Specifications!$D$23),"PASS","FAIL")</f>
        <v>PASS</v>
      </c>
      <c r="Q31" s="191">
        <f>IF(AND('Data Summary'!C158="PASS",O31&lt;&gt;""),'Data - Sample Type 1'!FX30,"")</f>
        <v>111.8</v>
      </c>
      <c r="R31" s="260" t="s">
        <v>510</v>
      </c>
      <c r="S31" s="151">
        <f>IF(AND('Data Summary'!C158="PASS",'Data - Sample Type 1'!GE30&lt;&gt;0),'Data - Sample Type 1'!GE30,"")</f>
        <v>71.2</v>
      </c>
      <c r="T31" s="261" t="str">
        <f>IF(AND(T27&gt;=Specifications!$C$25,T27&lt;=Specifications!$D$25),"PASS","FAIL")</f>
        <v>PASS</v>
      </c>
      <c r="U31" s="191">
        <f>IF(AND('Data Summary'!C158="PASS",S31&lt;&gt;""),'Data - Sample Type 1'!GF30,"")</f>
        <v>270.89999999999998</v>
      </c>
      <c r="V31" s="260" t="s">
        <v>510</v>
      </c>
      <c r="W31" s="151">
        <f>IF('Data Summary'!C158="PASS",IF('Data - Sample Type 1'!BG30=0,"",'Data - Sample Type 1'!BG30),"")</f>
        <v>23.1</v>
      </c>
      <c r="X31" s="261" t="str">
        <f>IF(X27&lt;=Specifications!D$27,"PASS","FAIL")</f>
        <v>PASS</v>
      </c>
      <c r="Y31" s="194">
        <f>IF(AND('Data Summary'!C158="PASS",'Data - Sample Type 1'!GM30&lt;&gt;0),'Data - Sample Type 1'!GM30,"")</f>
        <v>68.5</v>
      </c>
      <c r="Z31" s="261" t="str">
        <f>IF(AND(Z27&gt;=Specifications!$C$28,Z27&lt;=Specifications!$D$28),"PASS","FAIL")</f>
        <v>PASS</v>
      </c>
      <c r="AA31" s="151">
        <f>IF('Data Summary'!C158="PASS",IF('Data - Sample Type 1'!BU30=0,"",'Data - Sample Type 1'!BU30),"")</f>
        <v>30.3</v>
      </c>
      <c r="AB31" s="260" t="s">
        <v>510</v>
      </c>
      <c r="AC31" s="151">
        <f>IF(AND('Data Summary'!C158="PASS",'Data - Sample Type 1'!HC30&lt;&gt;0),'Data - Sample Type 1'!HC30,"")</f>
        <v>70.2</v>
      </c>
      <c r="AD31" s="261" t="str">
        <f>IF(AND(AD27&gt;=Specifications!$C$31,AD27&lt;=Specifications!$D$31),"PASS","FAIL")</f>
        <v>PASS</v>
      </c>
      <c r="AE31" s="191">
        <f>IF(AND('Data Summary'!C158="PASS",AC31&lt;&gt;""),'Data - Sample Type 1'!HD30,"")</f>
        <v>93.1</v>
      </c>
      <c r="AF31" s="260" t="s">
        <v>510</v>
      </c>
      <c r="AG31" s="151">
        <f>IF(AND('Data Summary'!C158="PASS",'Data - Sample Type 1'!HK30&lt;&gt;0),'Data - Sample Type 1'!HK30,"")</f>
        <v>70.8</v>
      </c>
      <c r="AH31" s="261" t="str">
        <f>IF(AND(AH27&gt;=Specifications!$C$33,AH27&lt;=Specifications!$D$33),"PASS","FAIL")</f>
        <v>PASS</v>
      </c>
      <c r="AI31" s="191">
        <f>IF(AND('Data Summary'!C158="PASS",AG31&lt;&gt;""),'Data - Sample Type 1'!HL30,"")</f>
        <v>138.69999999999999</v>
      </c>
      <c r="AJ31" s="260" t="s">
        <v>510</v>
      </c>
      <c r="AK31" s="151">
        <f>IF(AND('Data Summary'!C158="PASS",'Data - Sample Type 1'!HS30&lt;&gt;0),'Data - Sample Type 1'!HS30,"")</f>
        <v>69.2</v>
      </c>
      <c r="AL31" s="261" t="str">
        <f>IF(AND(AL27&gt;=Specifications!$C$35,AL27&lt;=Specifications!$D$35),"PASS","FAIL")</f>
        <v>PASS</v>
      </c>
      <c r="AM31" s="191">
        <f>IF(AND('Data Summary'!C158="PASS",AK31&lt;&gt;""),'Data - Sample Type 1'!HT30,"")</f>
        <v>87</v>
      </c>
      <c r="AN31" s="260" t="s">
        <v>510</v>
      </c>
      <c r="AO31" s="194">
        <f>IF('Data Summary'!C158="PASS",IF('Data - Sample Type 1'!DK30=0,"",'Data - Sample Type 1'!DK30),"")</f>
        <v>25</v>
      </c>
      <c r="AP31" s="261" t="str">
        <f>IF(AP27&lt;=Specifications!$D$37,"PASS","FAIL")</f>
        <v>PASS</v>
      </c>
      <c r="AQ31" s="151">
        <f>IF('Data Summary'!C158="PASS",IF('Data - Sample Type 1'!DY30=0,"",'Data - Sample Type 1'!DY30),"")</f>
        <v>21.9</v>
      </c>
      <c r="AR31" s="261" t="str">
        <f>IF(AR27&lt;=Specifications!$D$38,"PASS","FAIL")</f>
        <v>PASS</v>
      </c>
      <c r="AS31" s="151">
        <f>IF('Data Summary'!C158="PASS",IF('Data - Sample Type 1'!EM30=0,"",'Data - Sample Type 1'!EM30),"")</f>
        <v>25.5</v>
      </c>
      <c r="AT31" s="272" t="str">
        <f>IF(AT27&lt;=Specifications!$D$39,"PASS","FAIL")</f>
        <v>PASS</v>
      </c>
      <c r="AW31" s="65"/>
      <c r="AY31" s="257"/>
      <c r="BA31" s="257"/>
      <c r="BB31" s="96"/>
      <c r="BC31" s="96"/>
      <c r="BE31" s="257"/>
      <c r="BF31" s="96"/>
      <c r="BG31" s="96"/>
      <c r="BI31" s="257"/>
      <c r="BK31" s="257"/>
      <c r="BM31" s="257"/>
      <c r="BO31" s="257"/>
      <c r="BQ31" s="257"/>
      <c r="BS31" s="257"/>
      <c r="BU31" s="257"/>
      <c r="BW31" s="257"/>
      <c r="BY31" s="257"/>
    </row>
    <row r="32" spans="2:77" ht="13.5" thickBot="1" x14ac:dyDescent="0.25">
      <c r="B32"/>
      <c r="C32"/>
      <c r="D32"/>
      <c r="E32" s="278"/>
      <c r="F32" s="155">
        <f>IF('Data Summary'!C54="PASS",IF('Data Summary'!A54="","",'Data - Sample Type 0'!Q31),"")</f>
        <v>27.5</v>
      </c>
      <c r="G32" s="274"/>
      <c r="H32"/>
      <c r="I32"/>
      <c r="J32" s="276"/>
      <c r="K32" s="151">
        <f>IF(AND('Data Summary'!C159="PASS",'Data - Sample Type 1'!FO31&lt;&gt;0),'Data - Sample Type 1'!FO31,"")</f>
        <v>75.900000000000006</v>
      </c>
      <c r="L32" s="261"/>
      <c r="M32" s="102">
        <f>IF('Data Summary'!C159="PASS",IF('Data - Sample Type 1'!AE31=0,"",'Data - Sample Type 1'!AE31),"")</f>
        <v>25.1</v>
      </c>
      <c r="N32" s="261"/>
      <c r="O32" s="151">
        <f>IF(AND('Data Summary'!C159="PASS",'Data - Sample Type 1'!FW31&lt;&gt;0),'Data - Sample Type 1'!FW31,"")</f>
        <v>73.3</v>
      </c>
      <c r="P32" s="261"/>
      <c r="Q32" s="191">
        <f>IF(AND('Data Summary'!C159="PASS",O32&lt;&gt;""),'Data - Sample Type 1'!FX31,"")</f>
        <v>104.8</v>
      </c>
      <c r="R32" s="261"/>
      <c r="S32" s="151">
        <f>IF(AND('Data Summary'!C159="PASS",'Data - Sample Type 1'!GE31&lt;&gt;0),'Data - Sample Type 1'!GE31,"")</f>
        <v>71.2</v>
      </c>
      <c r="T32" s="261"/>
      <c r="U32" s="191">
        <f>IF(AND('Data Summary'!C159="PASS",S32&lt;&gt;""),'Data - Sample Type 1'!GF31,"")</f>
        <v>263.7</v>
      </c>
      <c r="V32" s="261"/>
      <c r="W32" s="151">
        <f>IF('Data Summary'!C159="PASS",IF('Data - Sample Type 1'!BG31=0,"",'Data - Sample Type 1'!BG31),"")</f>
        <v>21.6</v>
      </c>
      <c r="X32" s="261"/>
      <c r="Y32" s="194">
        <f>IF(AND('Data Summary'!C159="PASS",'Data - Sample Type 1'!GM31&lt;&gt;0),'Data - Sample Type 1'!GM31,"")</f>
        <v>68.400000000000006</v>
      </c>
      <c r="Z32" s="261"/>
      <c r="AA32" s="151">
        <f>IF('Data Summary'!C159="PASS",IF('Data - Sample Type 1'!BU31=0,"",'Data - Sample Type 1'!BU31),"")</f>
        <v>28.8</v>
      </c>
      <c r="AB32" s="261"/>
      <c r="AC32" s="151">
        <f>IF(AND('Data Summary'!C159="PASS",'Data - Sample Type 1'!HC31&lt;&gt;0),'Data - Sample Type 1'!HC31,"")</f>
        <v>70.099999999999994</v>
      </c>
      <c r="AD32" s="261"/>
      <c r="AE32" s="191">
        <f>IF(AND('Data Summary'!C159="PASS",AC32&lt;&gt;""),'Data - Sample Type 1'!HD31,"")</f>
        <v>86.7</v>
      </c>
      <c r="AF32" s="261"/>
      <c r="AG32" s="151">
        <f>IF(AND('Data Summary'!C159="PASS",'Data - Sample Type 1'!HK31&lt;&gt;0),'Data - Sample Type 1'!HK31,"")</f>
        <v>70.8</v>
      </c>
      <c r="AH32" s="261"/>
      <c r="AI32" s="191">
        <f>IF(AND('Data Summary'!C159="PASS",AG32&lt;&gt;""),'Data - Sample Type 1'!HL31,"")</f>
        <v>160.30000000000001</v>
      </c>
      <c r="AJ32" s="261"/>
      <c r="AK32" s="151">
        <f>IF(AND('Data Summary'!C159="PASS",'Data - Sample Type 1'!HS31&lt;&gt;0),'Data - Sample Type 1'!HS31,"")</f>
        <v>69.2</v>
      </c>
      <c r="AL32" s="261"/>
      <c r="AM32" s="191">
        <f>IF(AND('Data Summary'!C159="PASS",AK32&lt;&gt;""),'Data - Sample Type 1'!HT31,"")</f>
        <v>133</v>
      </c>
      <c r="AN32" s="261"/>
      <c r="AO32" s="194">
        <f>IF('Data Summary'!C159="PASS",IF('Data - Sample Type 1'!DK31=0,"",'Data - Sample Type 1'!DK31),"")</f>
        <v>24.5</v>
      </c>
      <c r="AP32" s="261"/>
      <c r="AQ32" s="151">
        <f>IF('Data Summary'!C159="PASS",IF('Data - Sample Type 1'!DY31=0,"",'Data - Sample Type 1'!DY31),"")</f>
        <v>21.7</v>
      </c>
      <c r="AR32" s="261"/>
      <c r="AS32" s="151">
        <f>IF('Data Summary'!C159="PASS",IF('Data - Sample Type 1'!EM31=0,"",'Data - Sample Type 1'!EM31),"")</f>
        <v>25.9</v>
      </c>
      <c r="AT32" s="272"/>
      <c r="AW32" s="65"/>
      <c r="AY32" s="257"/>
      <c r="BA32" s="257"/>
      <c r="BB32" s="96"/>
      <c r="BC32" s="96"/>
      <c r="BE32" s="257"/>
      <c r="BF32" s="96"/>
      <c r="BG32" s="96"/>
      <c r="BI32" s="257"/>
      <c r="BK32" s="257"/>
      <c r="BM32" s="257"/>
      <c r="BO32" s="257"/>
      <c r="BQ32" s="257"/>
      <c r="BS32" s="257"/>
      <c r="BU32" s="257"/>
      <c r="BW32" s="257"/>
      <c r="BY32" s="257"/>
    </row>
    <row r="33" spans="2:77" x14ac:dyDescent="0.2">
      <c r="B33"/>
      <c r="C33"/>
      <c r="D33"/>
      <c r="E33" s="275">
        <v>4</v>
      </c>
      <c r="F33" s="154">
        <f>IF('Data Summary'!C55="PASS",IF('Data Summary'!A55="","",'Data - Sample Type 0'!Q32),"")</f>
        <v>26.6</v>
      </c>
      <c r="G33" s="279">
        <f t="shared" ref="G33" si="55">AVERAGE(F33:F42)</f>
        <v>26.969999999999992</v>
      </c>
      <c r="H33"/>
      <c r="I33"/>
      <c r="J33" s="276"/>
      <c r="K33" s="151">
        <f>IF(AND('Data Summary'!C160="PASS",'Data - Sample Type 1'!FO32&lt;&gt;0),'Data - Sample Type 1'!FO32,"")</f>
        <v>76.099999999999994</v>
      </c>
      <c r="L33" s="261"/>
      <c r="M33" s="102">
        <f>IF('Data Summary'!C160="PASS",IF('Data - Sample Type 1'!AE32=0,"",'Data - Sample Type 1'!AE32),"")</f>
        <v>25.4</v>
      </c>
      <c r="N33" s="261"/>
      <c r="O33" s="151">
        <f>IF(AND('Data Summary'!C160="PASS",'Data - Sample Type 1'!FW32&lt;&gt;0),'Data - Sample Type 1'!FW32,"")</f>
        <v>73.5</v>
      </c>
      <c r="P33" s="261"/>
      <c r="Q33" s="191">
        <f>IF(AND('Data Summary'!C160="PASS",O33&lt;&gt;""),'Data - Sample Type 1'!FX32,"")</f>
        <v>103.1</v>
      </c>
      <c r="R33" s="261"/>
      <c r="S33" s="151">
        <f>IF(AND('Data Summary'!C160="PASS",'Data - Sample Type 1'!GE32&lt;&gt;0),'Data - Sample Type 1'!GE32,"")</f>
        <v>71.3</v>
      </c>
      <c r="T33" s="261"/>
      <c r="U33" s="191">
        <f>IF(AND('Data Summary'!C160="PASS",S33&lt;&gt;""),'Data - Sample Type 1'!GF32,"")</f>
        <v>250.7</v>
      </c>
      <c r="V33" s="261"/>
      <c r="W33" s="151">
        <f>IF('Data Summary'!C160="PASS",IF('Data - Sample Type 1'!BG32=0,"",'Data - Sample Type 1'!BG32),"")</f>
        <v>21.9</v>
      </c>
      <c r="X33" s="261"/>
      <c r="Y33" s="194">
        <f>IF(AND('Data Summary'!C160="PASS",'Data - Sample Type 1'!GM32&lt;&gt;0),'Data - Sample Type 1'!GM32,"")</f>
        <v>68.599999999999994</v>
      </c>
      <c r="Z33" s="261"/>
      <c r="AA33" s="151">
        <f>IF('Data Summary'!C160="PASS",IF('Data - Sample Type 1'!BU32=0,"",'Data - Sample Type 1'!BU32),"")</f>
        <v>29.7</v>
      </c>
      <c r="AB33" s="261"/>
      <c r="AC33" s="151">
        <f>IF(AND('Data Summary'!C160="PASS",'Data - Sample Type 1'!HC32&lt;&gt;0),'Data - Sample Type 1'!HC32,"")</f>
        <v>70.3</v>
      </c>
      <c r="AD33" s="261"/>
      <c r="AE33" s="191">
        <f>IF(AND('Data Summary'!C160="PASS",AC33&lt;&gt;""),'Data - Sample Type 1'!HD32,"")</f>
        <v>82</v>
      </c>
      <c r="AF33" s="261"/>
      <c r="AG33" s="151">
        <f>IF(AND('Data Summary'!C160="PASS",'Data - Sample Type 1'!HK32&lt;&gt;0),'Data - Sample Type 1'!HK32,"")</f>
        <v>70.900000000000006</v>
      </c>
      <c r="AH33" s="261"/>
      <c r="AI33" s="191">
        <f>IF(AND('Data Summary'!C160="PASS",AG33&lt;&gt;""),'Data - Sample Type 1'!HL32,"")</f>
        <v>128.80000000000001</v>
      </c>
      <c r="AJ33" s="261"/>
      <c r="AK33" s="151">
        <f>IF(AND('Data Summary'!C160="PASS",'Data - Sample Type 1'!HS32&lt;&gt;0),'Data - Sample Type 1'!HS32,"")</f>
        <v>69.3</v>
      </c>
      <c r="AL33" s="261"/>
      <c r="AM33" s="191">
        <f>IF(AND('Data Summary'!C160="PASS",AK33&lt;&gt;""),'Data - Sample Type 1'!HT32,"")</f>
        <v>94</v>
      </c>
      <c r="AN33" s="261"/>
      <c r="AO33" s="194">
        <f>IF('Data Summary'!C160="PASS",IF('Data - Sample Type 1'!DK32=0,"",'Data - Sample Type 1'!DK32),"")</f>
        <v>24.3</v>
      </c>
      <c r="AP33" s="261"/>
      <c r="AQ33" s="151">
        <f>IF('Data Summary'!C160="PASS",IF('Data - Sample Type 1'!DY32=0,"",'Data - Sample Type 1'!DY32),"")</f>
        <v>21.5</v>
      </c>
      <c r="AR33" s="261"/>
      <c r="AS33" s="151">
        <f>IF('Data Summary'!C160="PASS",IF('Data - Sample Type 1'!EM32=0,"",'Data - Sample Type 1'!EM32),"")</f>
        <v>26.2</v>
      </c>
      <c r="AT33" s="272"/>
      <c r="AW33" s="65"/>
      <c r="AY33" s="257"/>
      <c r="BA33" s="257"/>
      <c r="BB33" s="96"/>
      <c r="BC33" s="96"/>
      <c r="BE33" s="257"/>
      <c r="BF33" s="96"/>
      <c r="BG33" s="96"/>
      <c r="BI33" s="257"/>
      <c r="BK33" s="257"/>
      <c r="BM33" s="257"/>
      <c r="BO33" s="257"/>
      <c r="BQ33" s="257"/>
      <c r="BS33" s="257"/>
      <c r="BU33" s="257"/>
      <c r="BW33" s="257"/>
      <c r="BY33" s="257"/>
    </row>
    <row r="34" spans="2:77" ht="13.5" thickBot="1" x14ac:dyDescent="0.25">
      <c r="B34"/>
      <c r="C34"/>
      <c r="D34"/>
      <c r="E34" s="276"/>
      <c r="F34" s="151">
        <f>IF('Data Summary'!C56="PASS",IF('Data Summary'!A56="","",'Data - Sample Type 0'!Q33),"")</f>
        <v>29.7</v>
      </c>
      <c r="G34" s="280"/>
      <c r="H34"/>
      <c r="I34"/>
      <c r="J34" s="278"/>
      <c r="K34" s="155">
        <f>IF(AND('Data Summary'!C161="PASS",'Data - Sample Type 1'!FO33&lt;&gt;0),'Data - Sample Type 1'!FO33,"")</f>
        <v>76</v>
      </c>
      <c r="L34" s="268"/>
      <c r="M34" s="171">
        <f>IF('Data Summary'!C161="PASS",IF('Data - Sample Type 1'!AE33=0,"",'Data - Sample Type 1'!AE33),"")</f>
        <v>26.6</v>
      </c>
      <c r="N34" s="268"/>
      <c r="O34" s="155">
        <f>IF(AND('Data Summary'!C161="PASS",'Data - Sample Type 1'!FW33&lt;&gt;0),'Data - Sample Type 1'!FW33,"")</f>
        <v>73.400000000000006</v>
      </c>
      <c r="P34" s="268"/>
      <c r="Q34" s="193">
        <f>IF(AND('Data Summary'!C161="PASS",O34&lt;&gt;""),'Data - Sample Type 1'!FX33,"")</f>
        <v>105.7</v>
      </c>
      <c r="R34" s="268"/>
      <c r="S34" s="155">
        <f>IF(AND('Data Summary'!C161="PASS",'Data - Sample Type 1'!GE33&lt;&gt;0),'Data - Sample Type 1'!GE33,"")</f>
        <v>71.2</v>
      </c>
      <c r="T34" s="268"/>
      <c r="U34" s="193">
        <f>IF(AND('Data Summary'!C161="PASS",S34&lt;&gt;""),'Data - Sample Type 1'!GF33,"")</f>
        <v>246.3</v>
      </c>
      <c r="V34" s="268"/>
      <c r="W34" s="155">
        <f>IF('Data Summary'!C161="PASS",IF('Data - Sample Type 1'!BG33=0,"",'Data - Sample Type 1'!BG33),"")</f>
        <v>23.1</v>
      </c>
      <c r="X34" s="268"/>
      <c r="Y34" s="197">
        <f>IF(AND('Data Summary'!C161="PASS",'Data - Sample Type 1'!GM33&lt;&gt;0),'Data - Sample Type 1'!GM33,"")</f>
        <v>68.400000000000006</v>
      </c>
      <c r="Z34" s="268"/>
      <c r="AA34" s="155">
        <f>IF('Data Summary'!C161="PASS",IF('Data - Sample Type 1'!BU33=0,"",'Data - Sample Type 1'!BU33),"")</f>
        <v>31.1</v>
      </c>
      <c r="AB34" s="268"/>
      <c r="AC34" s="155">
        <f>IF(AND('Data Summary'!C161="PASS",'Data - Sample Type 1'!HC33&lt;&gt;0),'Data - Sample Type 1'!HC33,"")</f>
        <v>70.2</v>
      </c>
      <c r="AD34" s="268"/>
      <c r="AE34" s="193">
        <f>IF(AND('Data Summary'!C161="PASS",AC34&lt;&gt;""),'Data - Sample Type 1'!HD33,"")</f>
        <v>76</v>
      </c>
      <c r="AF34" s="268"/>
      <c r="AG34" s="155">
        <f>IF(AND('Data Summary'!C161="PASS",'Data - Sample Type 1'!HK33&lt;&gt;0),'Data - Sample Type 1'!HK33,"")</f>
        <v>70.8</v>
      </c>
      <c r="AH34" s="268"/>
      <c r="AI34" s="193">
        <f>IF(AND('Data Summary'!C161="PASS",AG34&lt;&gt;""),'Data - Sample Type 1'!HL33,"")</f>
        <v>133.4</v>
      </c>
      <c r="AJ34" s="268"/>
      <c r="AK34" s="155">
        <f>IF(AND('Data Summary'!C161="PASS",'Data - Sample Type 1'!HS33&lt;&gt;0),'Data - Sample Type 1'!HS33,"")</f>
        <v>69.2</v>
      </c>
      <c r="AL34" s="268"/>
      <c r="AM34" s="193">
        <f>IF(AND('Data Summary'!C161="PASS",AK34&lt;&gt;""),'Data - Sample Type 1'!HT33,"")</f>
        <v>91.2</v>
      </c>
      <c r="AN34" s="268"/>
      <c r="AO34" s="197">
        <f>IF('Data Summary'!C161="PASS",IF('Data - Sample Type 1'!DK33=0,"",'Data - Sample Type 1'!DK33),"")</f>
        <v>25.3</v>
      </c>
      <c r="AP34" s="268"/>
      <c r="AQ34" s="155">
        <f>IF('Data Summary'!C161="PASS",IF('Data - Sample Type 1'!DY33=0,"",'Data - Sample Type 1'!DY33),"")</f>
        <v>21.9</v>
      </c>
      <c r="AR34" s="268"/>
      <c r="AS34" s="155">
        <f>IF('Data Summary'!C161="PASS",IF('Data - Sample Type 1'!EM33=0,"",'Data - Sample Type 1'!EM33),"")</f>
        <v>26.9</v>
      </c>
      <c r="AT34" s="273"/>
      <c r="AW34" s="65"/>
      <c r="AY34" s="257"/>
      <c r="BA34" s="257"/>
      <c r="BB34" s="96"/>
      <c r="BC34" s="96"/>
      <c r="BE34" s="257"/>
      <c r="BF34" s="96"/>
      <c r="BG34" s="96"/>
      <c r="BI34" s="257"/>
      <c r="BK34" s="257"/>
      <c r="BM34" s="257"/>
      <c r="BO34" s="257"/>
      <c r="BQ34" s="257"/>
      <c r="BS34" s="257"/>
      <c r="BU34" s="257"/>
      <c r="BW34" s="257"/>
      <c r="BY34" s="257"/>
    </row>
    <row r="35" spans="2:77" x14ac:dyDescent="0.2">
      <c r="B35"/>
      <c r="C35"/>
      <c r="D35"/>
      <c r="E35" s="276"/>
      <c r="F35" s="151">
        <f>IF('Data Summary'!C57="PASS",IF('Data Summary'!A57="","",'Data - Sample Type 0'!Q34),"")</f>
        <v>27.5</v>
      </c>
      <c r="G35" s="280"/>
      <c r="H35"/>
      <c r="I35"/>
      <c r="J35" s="275">
        <v>5</v>
      </c>
      <c r="K35" s="154">
        <f>IF(AND('Data Summary'!C162="PASS",'Data - Sample Type 1'!FO34&lt;&gt;0),'Data - Sample Type 1'!FO34,"")</f>
        <v>75.900000000000006</v>
      </c>
      <c r="L35" s="258">
        <f t="shared" ref="L35" si="56">AVERAGE(K35:K42)</f>
        <v>75.912499999999994</v>
      </c>
      <c r="M35" s="170">
        <f>IF('Data Summary'!C162="PASS",IF('Data - Sample Type 1'!AE34=0,"",'Data - Sample Type 1'!AE34),"")</f>
        <v>27.2</v>
      </c>
      <c r="N35" s="258">
        <f t="shared" ref="N35" si="57">AVERAGE(M35:M42)</f>
        <v>25.012499999999999</v>
      </c>
      <c r="O35" s="154">
        <f>IF(AND('Data Summary'!C162="PASS",'Data - Sample Type 1'!FW34&lt;&gt;0),'Data - Sample Type 1'!FW34,"")</f>
        <v>73.3</v>
      </c>
      <c r="P35" s="258">
        <f t="shared" ref="P35" si="58">AVERAGE(O35:O42)</f>
        <v>73.337499999999991</v>
      </c>
      <c r="Q35" s="190">
        <f>IF(AND('Data Summary'!C162="PASS",O35&lt;&gt;""),'Data - Sample Type 1'!FX34,"")</f>
        <v>83</v>
      </c>
      <c r="R35" s="263">
        <f t="shared" ref="R35" si="59">AVERAGE(Q35:Q42)</f>
        <v>95.5625</v>
      </c>
      <c r="S35" s="154">
        <f>IF(AND('Data Summary'!C162="PASS",'Data - Sample Type 1'!GE34&lt;&gt;0),'Data - Sample Type 1'!GE34,"")</f>
        <v>71.2</v>
      </c>
      <c r="T35" s="265">
        <f t="shared" ref="T35" si="60">AVERAGE(S35:S42)</f>
        <v>71.150000000000006</v>
      </c>
      <c r="U35" s="190">
        <f>IF(AND('Data Summary'!C162="PASS",S35&lt;&gt;""),'Data - Sample Type 1'!GF34,"")</f>
        <v>264.2</v>
      </c>
      <c r="V35" s="263">
        <f t="shared" ref="V35" si="61">AVERAGE(U35:U42)</f>
        <v>259.58750000000003</v>
      </c>
      <c r="W35" s="154">
        <f>IF('Data Summary'!C162="PASS",IF('Data - Sample Type 1'!BG34=0,"",'Data - Sample Type 1'!BG34),"")</f>
        <v>24.5</v>
      </c>
      <c r="X35" s="265">
        <f t="shared" ref="X35" si="62">AVERAGE(W35:W42)</f>
        <v>21.512499999999999</v>
      </c>
      <c r="Y35" s="196">
        <f>IF(AND('Data Summary'!C162="PASS",'Data - Sample Type 1'!GM34&lt;&gt;0),'Data - Sample Type 1'!GM34,"")</f>
        <v>68.3</v>
      </c>
      <c r="Z35" s="265">
        <f t="shared" ref="Z35" si="63">AVERAGE(Y35:Y42)</f>
        <v>68.337500000000006</v>
      </c>
      <c r="AA35" s="154">
        <f>IF('Data Summary'!C162="PASS",IF('Data - Sample Type 1'!BU34=0,"",'Data - Sample Type 1'!BU34),"")</f>
        <v>31.8</v>
      </c>
      <c r="AB35" s="265">
        <f t="shared" ref="AB35" si="64">AVERAGE(AA35:AA42)</f>
        <v>29.400000000000006</v>
      </c>
      <c r="AC35" s="154">
        <f>IF(AND('Data Summary'!C162="PASS",'Data - Sample Type 1'!HC34&lt;&gt;0),'Data - Sample Type 1'!HC34,"")</f>
        <v>70.2</v>
      </c>
      <c r="AD35" s="265">
        <f t="shared" ref="AD35" si="65">AVERAGE(AC35:AC42)</f>
        <v>70.137500000000003</v>
      </c>
      <c r="AE35" s="190">
        <f>IF(AND('Data Summary'!C162="PASS",AC35&lt;&gt;""),'Data - Sample Type 1'!HD34,"")</f>
        <v>64.3</v>
      </c>
      <c r="AF35" s="263">
        <f t="shared" ref="AF35" si="66">AVERAGE(AE35:AE42)</f>
        <v>82.624999999999986</v>
      </c>
      <c r="AG35" s="154">
        <f>IF(AND('Data Summary'!C162="PASS",'Data - Sample Type 1'!HK34&lt;&gt;0),'Data - Sample Type 1'!HK34,"")</f>
        <v>70.8</v>
      </c>
      <c r="AH35" s="265">
        <f t="shared" ref="AH35" si="67">AVERAGE(AG35:AG42)</f>
        <v>70.75</v>
      </c>
      <c r="AI35" s="190">
        <f>IF(AND('Data Summary'!C162="PASS",AG35&lt;&gt;""),'Data - Sample Type 1'!HL34,"")</f>
        <v>122.4</v>
      </c>
      <c r="AJ35" s="263">
        <f t="shared" ref="AJ35" si="68">AVERAGE(AI35:AI42)</f>
        <v>138.14999999999998</v>
      </c>
      <c r="AK35" s="154">
        <f>IF(AND('Data Summary'!C162="PASS",'Data - Sample Type 1'!HS34&lt;&gt;0),'Data - Sample Type 1'!HS34,"")</f>
        <v>69</v>
      </c>
      <c r="AL35" s="265">
        <f t="shared" ref="AL35" si="69">AVERAGE(AK35:AK42)</f>
        <v>69.099999999999994</v>
      </c>
      <c r="AM35" s="190">
        <f>IF(AND('Data Summary'!C162="PASS",AK35&lt;&gt;""),'Data - Sample Type 1'!HT34,"")</f>
        <v>81</v>
      </c>
      <c r="AN35" s="263">
        <f t="shared" ref="AN35" si="70">AVERAGE(AM35:AM42)</f>
        <v>92.037500000000009</v>
      </c>
      <c r="AO35" s="196">
        <f>IF('Data Summary'!C162="PASS",IF('Data - Sample Type 1'!DK34=0,"",'Data - Sample Type 1'!DK34),"")</f>
        <v>25.5</v>
      </c>
      <c r="AP35" s="265">
        <f t="shared" ref="AP35" si="71">AVERAGE(AO35:AO42)</f>
        <v>24.3125</v>
      </c>
      <c r="AQ35" s="154">
        <f>IF('Data Summary'!C162="PASS",IF('Data - Sample Type 1'!DY34=0,"",'Data - Sample Type 1'!DY34),"")</f>
        <v>22.6</v>
      </c>
      <c r="AR35" s="265">
        <f t="shared" ref="AR35" si="72">AVERAGE(AQ35:AQ42)</f>
        <v>21.212500000000002</v>
      </c>
      <c r="AS35" s="154">
        <f>IF('Data Summary'!C162="PASS",IF('Data - Sample Type 1'!EM34=0,"",'Data - Sample Type 1'!EM34),"")</f>
        <v>27.9</v>
      </c>
      <c r="AT35" s="269">
        <f t="shared" ref="AT35" si="73">AVERAGE(AS35:AS42)</f>
        <v>25.674999999999997</v>
      </c>
      <c r="AW35" s="65"/>
      <c r="AY35" s="257"/>
      <c r="BA35" s="257"/>
      <c r="BB35" s="96"/>
      <c r="BC35" s="96"/>
      <c r="BE35" s="257"/>
      <c r="BF35" s="96"/>
      <c r="BG35" s="96"/>
      <c r="BI35" s="257"/>
      <c r="BK35" s="257"/>
      <c r="BM35" s="257"/>
      <c r="BO35" s="257"/>
      <c r="BQ35" s="257"/>
      <c r="BS35" s="257"/>
      <c r="BU35" s="257"/>
      <c r="BW35" s="257"/>
      <c r="BY35" s="257"/>
    </row>
    <row r="36" spans="2:77" ht="14.1" customHeight="1" x14ac:dyDescent="0.2">
      <c r="B36"/>
      <c r="C36"/>
      <c r="D36"/>
      <c r="E36" s="276"/>
      <c r="F36" s="151">
        <f>IF('Data Summary'!C58="PASS",IF('Data Summary'!A58="","",'Data - Sample Type 0'!Q35),"")</f>
        <v>27.4</v>
      </c>
      <c r="G36" s="280"/>
      <c r="H36"/>
      <c r="I36"/>
      <c r="J36" s="276"/>
      <c r="K36" s="151">
        <f>IF(AND('Data Summary'!C163="PASS",'Data - Sample Type 1'!FO35&lt;&gt;0),'Data - Sample Type 1'!FO35,"")</f>
        <v>75.900000000000006</v>
      </c>
      <c r="L36" s="259"/>
      <c r="M36" s="102">
        <f>IF('Data Summary'!C163="PASS",IF('Data - Sample Type 1'!AE35=0,"",'Data - Sample Type 1'!AE35),"")</f>
        <v>27.4</v>
      </c>
      <c r="N36" s="259"/>
      <c r="O36" s="151">
        <f>IF(AND('Data Summary'!C163="PASS",'Data - Sample Type 1'!FW35&lt;&gt;0),'Data - Sample Type 1'!FW35,"")</f>
        <v>73.400000000000006</v>
      </c>
      <c r="P36" s="259"/>
      <c r="Q36" s="191">
        <f>IF(AND('Data Summary'!C163="PASS",O36&lt;&gt;""),'Data - Sample Type 1'!FX35,"")</f>
        <v>114.2</v>
      </c>
      <c r="R36" s="264"/>
      <c r="S36" s="151">
        <f>IF(AND('Data Summary'!C163="PASS",'Data - Sample Type 1'!GE35&lt;&gt;0),'Data - Sample Type 1'!GE35,"")</f>
        <v>71.2</v>
      </c>
      <c r="T36" s="266"/>
      <c r="U36" s="191">
        <f>IF(AND('Data Summary'!C163="PASS",S36&lt;&gt;""),'Data - Sample Type 1'!GF35,"")</f>
        <v>251.5</v>
      </c>
      <c r="V36" s="264"/>
      <c r="W36" s="151">
        <f>IF('Data Summary'!C163="PASS",IF('Data - Sample Type 1'!BG35=0,"",'Data - Sample Type 1'!BG35),"")</f>
        <v>19.8</v>
      </c>
      <c r="X36" s="266"/>
      <c r="Y36" s="194">
        <f>IF(AND('Data Summary'!C163="PASS",'Data - Sample Type 1'!GM35&lt;&gt;0),'Data - Sample Type 1'!GM35,"")</f>
        <v>68.400000000000006</v>
      </c>
      <c r="Z36" s="266"/>
      <c r="AA36" s="151">
        <f>IF('Data Summary'!C163="PASS",IF('Data - Sample Type 1'!BU35=0,"",'Data - Sample Type 1'!BU35),"")</f>
        <v>32</v>
      </c>
      <c r="AB36" s="266"/>
      <c r="AC36" s="151">
        <f>IF(AND('Data Summary'!C163="PASS",'Data - Sample Type 1'!HC35&lt;&gt;0),'Data - Sample Type 1'!HC35,"")</f>
        <v>70.2</v>
      </c>
      <c r="AD36" s="266"/>
      <c r="AE36" s="191">
        <f>IF(AND('Data Summary'!C163="PASS",AC36&lt;&gt;""),'Data - Sample Type 1'!HD35,"")</f>
        <v>78.099999999999994</v>
      </c>
      <c r="AF36" s="264"/>
      <c r="AG36" s="151">
        <f>IF(AND('Data Summary'!C163="PASS",'Data - Sample Type 1'!HK35&lt;&gt;0),'Data - Sample Type 1'!HK35,"")</f>
        <v>70.8</v>
      </c>
      <c r="AH36" s="266"/>
      <c r="AI36" s="191">
        <f>IF(AND('Data Summary'!C163="PASS",AG36&lt;&gt;""),'Data - Sample Type 1'!HL35,"")</f>
        <v>146.9</v>
      </c>
      <c r="AJ36" s="264"/>
      <c r="AK36" s="151">
        <f>IF(AND('Data Summary'!C163="PASS",'Data - Sample Type 1'!HS35&lt;&gt;0),'Data - Sample Type 1'!HS35,"")</f>
        <v>69.2</v>
      </c>
      <c r="AL36" s="266"/>
      <c r="AM36" s="191">
        <f>IF(AND('Data Summary'!C163="PASS",AK36&lt;&gt;""),'Data - Sample Type 1'!HT35,"")</f>
        <v>105.6</v>
      </c>
      <c r="AN36" s="264"/>
      <c r="AO36" s="194">
        <f>IF('Data Summary'!C163="PASS",IF('Data - Sample Type 1'!DK35=0,"",'Data - Sample Type 1'!DK35),"")</f>
        <v>25</v>
      </c>
      <c r="AP36" s="266"/>
      <c r="AQ36" s="151">
        <f>IF('Data Summary'!C163="PASS",IF('Data - Sample Type 1'!DY35=0,"",'Data - Sample Type 1'!DY35),"")</f>
        <v>22.4</v>
      </c>
      <c r="AR36" s="266"/>
      <c r="AS36" s="151">
        <f>IF('Data Summary'!C163="PASS",IF('Data - Sample Type 1'!EM35=0,"",'Data - Sample Type 1'!EM35),"")</f>
        <v>26.2</v>
      </c>
      <c r="AT36" s="270"/>
      <c r="AW36" s="65"/>
      <c r="AY36" s="257"/>
      <c r="BA36" s="257"/>
      <c r="BB36" s="96"/>
      <c r="BC36" s="96"/>
      <c r="BE36" s="257"/>
      <c r="BF36" s="96"/>
      <c r="BG36" s="96"/>
      <c r="BI36" s="257"/>
      <c r="BK36" s="257"/>
      <c r="BM36" s="257"/>
      <c r="BO36" s="257"/>
      <c r="BQ36" s="257"/>
      <c r="BS36" s="257"/>
      <c r="BU36" s="257"/>
      <c r="BW36" s="257"/>
      <c r="BY36" s="257"/>
    </row>
    <row r="37" spans="2:77" x14ac:dyDescent="0.2">
      <c r="B37"/>
      <c r="C37"/>
      <c r="D37"/>
      <c r="E37" s="276">
        <v>4</v>
      </c>
      <c r="F37" s="151">
        <f>IF('Data Summary'!C59="PASS",IF('Data Summary'!A59="","",'Data - Sample Type 0'!Q36),"")</f>
        <v>25</v>
      </c>
      <c r="G37" s="280"/>
      <c r="H37"/>
      <c r="I37"/>
      <c r="J37" s="276"/>
      <c r="K37" s="151">
        <f>IF(AND('Data Summary'!C164="PASS",'Data - Sample Type 1'!FO36&lt;&gt;0),'Data - Sample Type 1'!FO36,"")</f>
        <v>75.900000000000006</v>
      </c>
      <c r="L37" s="259"/>
      <c r="M37" s="102">
        <f>IF('Data Summary'!C164="PASS",IF('Data - Sample Type 1'!AE36=0,"",'Data - Sample Type 1'!AE36),"")</f>
        <v>24.4</v>
      </c>
      <c r="N37" s="259"/>
      <c r="O37" s="151">
        <f>IF(AND('Data Summary'!C164="PASS",'Data - Sample Type 1'!FW36&lt;&gt;0),'Data - Sample Type 1'!FW36,"")</f>
        <v>73.3</v>
      </c>
      <c r="P37" s="259"/>
      <c r="Q37" s="191">
        <f>IF(AND('Data Summary'!C164="PASS",O37&lt;&gt;""),'Data - Sample Type 1'!FX36,"")</f>
        <v>112.1</v>
      </c>
      <c r="R37" s="264"/>
      <c r="S37" s="151">
        <f>IF(AND('Data Summary'!C164="PASS",'Data - Sample Type 1'!GE36&lt;&gt;0),'Data - Sample Type 1'!GE36,"")</f>
        <v>71.099999999999994</v>
      </c>
      <c r="T37" s="266"/>
      <c r="U37" s="191">
        <f>IF(AND('Data Summary'!C164="PASS",S37&lt;&gt;""),'Data - Sample Type 1'!GF36,"")</f>
        <v>288.39999999999998</v>
      </c>
      <c r="V37" s="264"/>
      <c r="W37" s="151">
        <f>IF('Data Summary'!C164="PASS",IF('Data - Sample Type 1'!BG36=0,"",'Data - Sample Type 1'!BG36),"")</f>
        <v>21.8</v>
      </c>
      <c r="X37" s="266"/>
      <c r="Y37" s="194">
        <f>IF(AND('Data Summary'!C164="PASS",'Data - Sample Type 1'!GM36&lt;&gt;0),'Data - Sample Type 1'!GM36,"")</f>
        <v>68.3</v>
      </c>
      <c r="Z37" s="266"/>
      <c r="AA37" s="151">
        <f>IF('Data Summary'!C164="PASS",IF('Data - Sample Type 1'!BU36=0,"",'Data - Sample Type 1'!BU36),"")</f>
        <v>28.1</v>
      </c>
      <c r="AB37" s="266"/>
      <c r="AC37" s="151">
        <f>IF(AND('Data Summary'!C164="PASS",'Data - Sample Type 1'!HC36&lt;&gt;0),'Data - Sample Type 1'!HC36,"")</f>
        <v>70.099999999999994</v>
      </c>
      <c r="AD37" s="266"/>
      <c r="AE37" s="191">
        <f>IF(AND('Data Summary'!C164="PASS",AC37&lt;&gt;""),'Data - Sample Type 1'!HD36,"")</f>
        <v>85.3</v>
      </c>
      <c r="AF37" s="264"/>
      <c r="AG37" s="151">
        <f>IF(AND('Data Summary'!C164="PASS",'Data - Sample Type 1'!HK36&lt;&gt;0),'Data - Sample Type 1'!HK36,"")</f>
        <v>70.7</v>
      </c>
      <c r="AH37" s="266"/>
      <c r="AI37" s="191">
        <f>IF(AND('Data Summary'!C164="PASS",AG37&lt;&gt;""),'Data - Sample Type 1'!HL36,"")</f>
        <v>138.69999999999999</v>
      </c>
      <c r="AJ37" s="264"/>
      <c r="AK37" s="151">
        <f>IF(AND('Data Summary'!C164="PASS",'Data - Sample Type 1'!HS36&lt;&gt;0),'Data - Sample Type 1'!HS36,"")</f>
        <v>69.099999999999994</v>
      </c>
      <c r="AL37" s="266"/>
      <c r="AM37" s="191">
        <f>IF(AND('Data Summary'!C164="PASS",AK37&lt;&gt;""),'Data - Sample Type 1'!HT36,"")</f>
        <v>92.9</v>
      </c>
      <c r="AN37" s="264"/>
      <c r="AO37" s="194">
        <f>IF('Data Summary'!C164="PASS",IF('Data - Sample Type 1'!DK36=0,"",'Data - Sample Type 1'!DK36),"")</f>
        <v>23.2</v>
      </c>
      <c r="AP37" s="266"/>
      <c r="AQ37" s="151">
        <f>IF('Data Summary'!C164="PASS",IF('Data - Sample Type 1'!DY36=0,"",'Data - Sample Type 1'!DY36),"")</f>
        <v>19.8</v>
      </c>
      <c r="AR37" s="266"/>
      <c r="AS37" s="151">
        <f>IF('Data Summary'!C164="PASS",IF('Data - Sample Type 1'!EM36=0,"",'Data - Sample Type 1'!EM36),"")</f>
        <v>23.6</v>
      </c>
      <c r="AT37" s="270"/>
      <c r="AW37" s="65"/>
      <c r="AY37" s="257"/>
      <c r="BA37" s="257"/>
      <c r="BB37" s="96"/>
      <c r="BC37" s="96"/>
      <c r="BE37" s="257"/>
      <c r="BF37" s="96"/>
      <c r="BG37" s="96"/>
      <c r="BI37" s="257"/>
      <c r="BK37" s="257"/>
      <c r="BM37" s="257"/>
      <c r="BO37" s="257"/>
      <c r="BQ37" s="257"/>
      <c r="BS37" s="257"/>
      <c r="BU37" s="257"/>
      <c r="BW37" s="257"/>
      <c r="BY37" s="257"/>
    </row>
    <row r="38" spans="2:77" ht="13.35" customHeight="1" x14ac:dyDescent="0.2">
      <c r="B38"/>
      <c r="C38"/>
      <c r="D38"/>
      <c r="E38" s="276"/>
      <c r="F38" s="151">
        <f>IF('Data Summary'!C60="PASS",IF('Data Summary'!A60="","",'Data - Sample Type 0'!Q37),"")</f>
        <v>26.2</v>
      </c>
      <c r="G38" s="272" t="str">
        <f>IF(G33&lt;=Specifications!$G$20,"PASS","FAIL")</f>
        <v>PASS</v>
      </c>
      <c r="H38"/>
      <c r="I38"/>
      <c r="J38" s="276"/>
      <c r="K38" s="151">
        <f>IF(AND('Data Summary'!C165="PASS",'Data - Sample Type 1'!FO37&lt;&gt;0),'Data - Sample Type 1'!FO37,"")</f>
        <v>75.8</v>
      </c>
      <c r="L38" s="259"/>
      <c r="M38" s="102">
        <f>IF('Data Summary'!C165="PASS",IF('Data - Sample Type 1'!AE37=0,"",'Data - Sample Type 1'!AE37),"")</f>
        <v>22.8</v>
      </c>
      <c r="N38" s="259"/>
      <c r="O38" s="151">
        <f>IF(AND('Data Summary'!C165="PASS",'Data - Sample Type 1'!FW37&lt;&gt;0),'Data - Sample Type 1'!FW37,"")</f>
        <v>73.3</v>
      </c>
      <c r="P38" s="259"/>
      <c r="Q38" s="191">
        <f>IF(AND('Data Summary'!C165="PASS",O38&lt;&gt;""),'Data - Sample Type 1'!FX37,"")</f>
        <v>84.2</v>
      </c>
      <c r="R38" s="264"/>
      <c r="S38" s="151">
        <f>IF(AND('Data Summary'!C165="PASS",'Data - Sample Type 1'!GE37&lt;&gt;0),'Data - Sample Type 1'!GE37,"")</f>
        <v>71.099999999999994</v>
      </c>
      <c r="T38" s="267"/>
      <c r="U38" s="191">
        <f>IF(AND('Data Summary'!C165="PASS",S38&lt;&gt;""),'Data - Sample Type 1'!GF37,"")</f>
        <v>264.3</v>
      </c>
      <c r="V38" s="264"/>
      <c r="W38" s="151">
        <f>IF('Data Summary'!C165="PASS",IF('Data - Sample Type 1'!BG37=0,"",'Data - Sample Type 1'!BG37),"")</f>
        <v>20.3</v>
      </c>
      <c r="X38" s="267"/>
      <c r="Y38" s="194">
        <f>IF(AND('Data Summary'!C165="PASS",'Data - Sample Type 1'!GM37&lt;&gt;0),'Data - Sample Type 1'!GM37,"")</f>
        <v>68.2</v>
      </c>
      <c r="Z38" s="267"/>
      <c r="AA38" s="151">
        <f>IF('Data Summary'!C165="PASS",IF('Data - Sample Type 1'!BU37=0,"",'Data - Sample Type 1'!BU37),"")</f>
        <v>27.4</v>
      </c>
      <c r="AB38" s="267"/>
      <c r="AC38" s="151">
        <f>IF(AND('Data Summary'!C165="PASS",'Data - Sample Type 1'!HC37&lt;&gt;0),'Data - Sample Type 1'!HC37,"")</f>
        <v>70.099999999999994</v>
      </c>
      <c r="AD38" s="267"/>
      <c r="AE38" s="191">
        <f>IF(AND('Data Summary'!C165="PASS",AC38&lt;&gt;""),'Data - Sample Type 1'!HD37,"")</f>
        <v>87.7</v>
      </c>
      <c r="AF38" s="264"/>
      <c r="AG38" s="151">
        <f>IF(AND('Data Summary'!C165="PASS",'Data - Sample Type 1'!HK37&lt;&gt;0),'Data - Sample Type 1'!HK37,"")</f>
        <v>70.7</v>
      </c>
      <c r="AH38" s="267"/>
      <c r="AI38" s="191">
        <f>IF(AND('Data Summary'!C165="PASS",AG38&lt;&gt;""),'Data - Sample Type 1'!HL37,"")</f>
        <v>137.9</v>
      </c>
      <c r="AJ38" s="264"/>
      <c r="AK38" s="151">
        <f>IF(AND('Data Summary'!C165="PASS",'Data - Sample Type 1'!HS37&lt;&gt;0),'Data - Sample Type 1'!HS37,"")</f>
        <v>69</v>
      </c>
      <c r="AL38" s="267"/>
      <c r="AM38" s="191">
        <f>IF(AND('Data Summary'!C165="PASS",AK38&lt;&gt;""),'Data - Sample Type 1'!HT37,"")</f>
        <v>91</v>
      </c>
      <c r="AN38" s="264"/>
      <c r="AO38" s="194">
        <f>IF('Data Summary'!C165="PASS",IF('Data - Sample Type 1'!DK37=0,"",'Data - Sample Type 1'!DK37),"")</f>
        <v>23.8</v>
      </c>
      <c r="AP38" s="267"/>
      <c r="AQ38" s="151">
        <f>IF('Data Summary'!C165="PASS",IF('Data - Sample Type 1'!DY37=0,"",'Data - Sample Type 1'!DY37),"")</f>
        <v>20.100000000000001</v>
      </c>
      <c r="AR38" s="267"/>
      <c r="AS38" s="151">
        <f>IF('Data Summary'!C165="PASS",IF('Data - Sample Type 1'!EM37=0,"",'Data - Sample Type 1'!EM37),"")</f>
        <v>25.6</v>
      </c>
      <c r="AT38" s="271"/>
      <c r="AW38" s="65"/>
      <c r="AY38" s="257"/>
      <c r="BA38" s="257"/>
      <c r="BB38" s="96"/>
      <c r="BC38" s="96"/>
      <c r="BE38" s="257"/>
      <c r="BF38" s="96"/>
      <c r="BG38" s="96"/>
      <c r="BI38" s="257"/>
      <c r="BK38" s="257"/>
      <c r="BM38" s="257"/>
      <c r="BO38" s="257"/>
      <c r="BQ38" s="257"/>
      <c r="BS38" s="257"/>
      <c r="BU38" s="257"/>
      <c r="BW38" s="257"/>
      <c r="BY38" s="257"/>
    </row>
    <row r="39" spans="2:77" x14ac:dyDescent="0.2">
      <c r="B39"/>
      <c r="C39"/>
      <c r="D39"/>
      <c r="E39" s="276"/>
      <c r="F39" s="151">
        <f>IF('Data Summary'!C61="PASS",IF('Data Summary'!A61="","",'Data - Sample Type 0'!Q38),"")</f>
        <v>27</v>
      </c>
      <c r="G39" s="272"/>
      <c r="H39"/>
      <c r="I39"/>
      <c r="J39" s="276"/>
      <c r="K39" s="151">
        <f>IF(AND('Data Summary'!C166="PASS",'Data - Sample Type 1'!FO38&lt;&gt;0),'Data - Sample Type 1'!FO38,"")</f>
        <v>75.900000000000006</v>
      </c>
      <c r="L39" s="261" t="str">
        <f>IF(AND(L35&gt;=Specifications!$C$21,L35&lt;=Specifications!$D$21),"PASS","FAIL")</f>
        <v>PASS</v>
      </c>
      <c r="M39" s="102">
        <f>IF('Data Summary'!C166="PASS",IF('Data - Sample Type 1'!AE38=0,"",'Data - Sample Type 1'!AE38),"")</f>
        <v>25.6</v>
      </c>
      <c r="N39" s="261" t="str">
        <f>IF(N35&lt;=Specifications!D$22,"PASS","FAIL")</f>
        <v>PASS</v>
      </c>
      <c r="O39" s="151">
        <f>IF(AND('Data Summary'!C166="PASS",'Data - Sample Type 1'!FW38&lt;&gt;0),'Data - Sample Type 1'!FW38,"")</f>
        <v>73.3</v>
      </c>
      <c r="P39" s="261" t="str">
        <f>IF(AND(P35&gt;=Specifications!$C$23,P35&lt;=Specifications!$D$23),"PASS","FAIL")</f>
        <v>PASS</v>
      </c>
      <c r="Q39" s="191">
        <f>IF(AND('Data Summary'!C166="PASS",O39&lt;&gt;""),'Data - Sample Type 1'!FX38,"")</f>
        <v>84.4</v>
      </c>
      <c r="R39" s="260" t="s">
        <v>510</v>
      </c>
      <c r="S39" s="151">
        <f>IF(AND('Data Summary'!C166="PASS",'Data - Sample Type 1'!GE38&lt;&gt;0),'Data - Sample Type 1'!GE38,"")</f>
        <v>71.099999999999994</v>
      </c>
      <c r="T39" s="261" t="str">
        <f>IF(AND(T35&gt;=Specifications!$C$25,T35&lt;=Specifications!$D$25),"PASS","FAIL")</f>
        <v>PASS</v>
      </c>
      <c r="U39" s="191">
        <f>IF(AND('Data Summary'!C166="PASS",S39&lt;&gt;""),'Data - Sample Type 1'!GF38,"")</f>
        <v>238.7</v>
      </c>
      <c r="V39" s="260" t="s">
        <v>510</v>
      </c>
      <c r="W39" s="151">
        <f>IF('Data Summary'!C166="PASS",IF('Data - Sample Type 1'!BG38=0,"",'Data - Sample Type 1'!BG38),"")</f>
        <v>20.9</v>
      </c>
      <c r="X39" s="261" t="str">
        <f>IF(X35&lt;=Specifications!D$27,"PASS","FAIL")</f>
        <v>PASS</v>
      </c>
      <c r="Y39" s="194">
        <f>IF(AND('Data Summary'!C166="PASS",'Data - Sample Type 1'!GM38&lt;&gt;0),'Data - Sample Type 1'!GM38,"")</f>
        <v>68.3</v>
      </c>
      <c r="Z39" s="261" t="str">
        <f>IF(AND(Z35&gt;=Specifications!$C$28,Z35&lt;=Specifications!$D$28),"PASS","FAIL")</f>
        <v>PASS</v>
      </c>
      <c r="AA39" s="151">
        <f>IF('Data Summary'!C166="PASS",IF('Data - Sample Type 1'!BU38=0,"",'Data - Sample Type 1'!BU38),"")</f>
        <v>29.3</v>
      </c>
      <c r="AB39" s="260" t="s">
        <v>510</v>
      </c>
      <c r="AC39" s="151">
        <f>IF(AND('Data Summary'!C166="PASS",'Data - Sample Type 1'!HC38&lt;&gt;0),'Data - Sample Type 1'!HC38,"")</f>
        <v>70.099999999999994</v>
      </c>
      <c r="AD39" s="261" t="str">
        <f>IF(AND(AD35&gt;=Specifications!$C$31,AD35&lt;=Specifications!$D$31),"PASS","FAIL")</f>
        <v>PASS</v>
      </c>
      <c r="AE39" s="191">
        <f>IF(AND('Data Summary'!C166="PASS",AC39&lt;&gt;""),'Data - Sample Type 1'!HD38,"")</f>
        <v>81.5</v>
      </c>
      <c r="AF39" s="260" t="s">
        <v>510</v>
      </c>
      <c r="AG39" s="151">
        <f>IF(AND('Data Summary'!C166="PASS",'Data - Sample Type 1'!HK38&lt;&gt;0),'Data - Sample Type 1'!HK38,"")</f>
        <v>70.7</v>
      </c>
      <c r="AH39" s="261" t="str">
        <f>IF(AND(AH35&gt;=Specifications!$C$33,AH35&lt;=Specifications!$D$33),"PASS","FAIL")</f>
        <v>PASS</v>
      </c>
      <c r="AI39" s="191">
        <f>IF(AND('Data Summary'!C166="PASS",AG39&lt;&gt;""),'Data - Sample Type 1'!HL38,"")</f>
        <v>134.69999999999999</v>
      </c>
      <c r="AJ39" s="260" t="s">
        <v>510</v>
      </c>
      <c r="AK39" s="151">
        <f>IF(AND('Data Summary'!C166="PASS",'Data - Sample Type 1'!HS38&lt;&gt;0),'Data - Sample Type 1'!HS38,"")</f>
        <v>69.099999999999994</v>
      </c>
      <c r="AL39" s="261" t="str">
        <f>IF(AND(AL35&gt;=Specifications!$C$35,AL35&lt;=Specifications!$D$35),"PASS","FAIL")</f>
        <v>PASS</v>
      </c>
      <c r="AM39" s="191">
        <f>IF(AND('Data Summary'!C166="PASS",AK39&lt;&gt;""),'Data - Sample Type 1'!HT38,"")</f>
        <v>89.1</v>
      </c>
      <c r="AN39" s="260" t="s">
        <v>510</v>
      </c>
      <c r="AO39" s="194">
        <f>IF('Data Summary'!C166="PASS",IF('Data - Sample Type 1'!DK38=0,"",'Data - Sample Type 1'!DK38),"")</f>
        <v>24.3</v>
      </c>
      <c r="AP39" s="261" t="str">
        <f>IF(AP35&lt;=Specifications!$D$37,"PASS","FAIL")</f>
        <v>PASS</v>
      </c>
      <c r="AQ39" s="151">
        <f>IF('Data Summary'!C166="PASS",IF('Data - Sample Type 1'!DY38=0,"",'Data - Sample Type 1'!DY38),"")</f>
        <v>21.9</v>
      </c>
      <c r="AR39" s="261" t="str">
        <f>IF(AR35&lt;=Specifications!$D$38,"PASS","FAIL")</f>
        <v>PASS</v>
      </c>
      <c r="AS39" s="151">
        <f>IF('Data Summary'!C166="PASS",IF('Data - Sample Type 1'!EM38=0,"",'Data - Sample Type 1'!EM38),"")</f>
        <v>26.1</v>
      </c>
      <c r="AT39" s="272" t="str">
        <f>IF(AT35&lt;=Specifications!$D$39,"PASS","FAIL")</f>
        <v>PASS</v>
      </c>
      <c r="AW39" s="65"/>
      <c r="AY39" s="257"/>
      <c r="BA39" s="257"/>
      <c r="BB39" s="96"/>
      <c r="BC39" s="96"/>
      <c r="BE39" s="257"/>
      <c r="BF39" s="96"/>
      <c r="BG39" s="96"/>
      <c r="BI39" s="257"/>
      <c r="BK39" s="257"/>
      <c r="BM39" s="257"/>
      <c r="BO39" s="257"/>
      <c r="BQ39" s="257"/>
      <c r="BS39" s="257"/>
      <c r="BU39" s="257"/>
      <c r="BW39" s="257"/>
      <c r="BY39" s="257"/>
    </row>
    <row r="40" spans="2:77" x14ac:dyDescent="0.2">
      <c r="B40"/>
      <c r="C40"/>
      <c r="D40"/>
      <c r="E40" s="276"/>
      <c r="F40" s="151">
        <f>IF('Data Summary'!C62="PASS",IF('Data Summary'!A62="","",'Data - Sample Type 0'!Q39),"")</f>
        <v>26.7</v>
      </c>
      <c r="G40" s="272"/>
      <c r="H40"/>
      <c r="I40"/>
      <c r="J40" s="276"/>
      <c r="K40" s="151">
        <f>IF(AND('Data Summary'!C167="PASS",'Data - Sample Type 1'!FO39&lt;&gt;0),'Data - Sample Type 1'!FO39,"")</f>
        <v>76</v>
      </c>
      <c r="L40" s="261"/>
      <c r="M40" s="102">
        <f>IF('Data Summary'!C167="PASS",IF('Data - Sample Type 1'!AE39=0,"",'Data - Sample Type 1'!AE39),"")</f>
        <v>23.5</v>
      </c>
      <c r="N40" s="261"/>
      <c r="O40" s="151">
        <f>IF(AND('Data Summary'!C167="PASS",'Data - Sample Type 1'!FW39&lt;&gt;0),'Data - Sample Type 1'!FW39,"")</f>
        <v>73.400000000000006</v>
      </c>
      <c r="P40" s="261"/>
      <c r="Q40" s="191">
        <f>IF(AND('Data Summary'!C167="PASS",O40&lt;&gt;""),'Data - Sample Type 1'!FX39,"")</f>
        <v>104.2</v>
      </c>
      <c r="R40" s="261"/>
      <c r="S40" s="151">
        <f>IF(AND('Data Summary'!C167="PASS",'Data - Sample Type 1'!GE39&lt;&gt;0),'Data - Sample Type 1'!GE39,"")</f>
        <v>71.2</v>
      </c>
      <c r="T40" s="261"/>
      <c r="U40" s="191">
        <f>IF(AND('Data Summary'!C167="PASS",S40&lt;&gt;""),'Data - Sample Type 1'!GF39,"")</f>
        <v>272.5</v>
      </c>
      <c r="V40" s="261"/>
      <c r="W40" s="151">
        <f>IF('Data Summary'!C167="PASS",IF('Data - Sample Type 1'!BG39=0,"",'Data - Sample Type 1'!BG39),"")</f>
        <v>22</v>
      </c>
      <c r="X40" s="261"/>
      <c r="Y40" s="194">
        <f>IF(AND('Data Summary'!C167="PASS",'Data - Sample Type 1'!GM39&lt;&gt;0),'Data - Sample Type 1'!GM39,"")</f>
        <v>68.5</v>
      </c>
      <c r="Z40" s="261"/>
      <c r="AA40" s="151">
        <f>IF('Data Summary'!C167="PASS",IF('Data - Sample Type 1'!BU39=0,"",'Data - Sample Type 1'!BU39),"")</f>
        <v>27.9</v>
      </c>
      <c r="AB40" s="261"/>
      <c r="AC40" s="151">
        <f>IF(AND('Data Summary'!C167="PASS",'Data - Sample Type 1'!HC39&lt;&gt;0),'Data - Sample Type 1'!HC39,"")</f>
        <v>70.099999999999994</v>
      </c>
      <c r="AD40" s="261"/>
      <c r="AE40" s="191">
        <f>IF(AND('Data Summary'!C167="PASS",AC40&lt;&gt;""),'Data - Sample Type 1'!HD39,"")</f>
        <v>90.9</v>
      </c>
      <c r="AF40" s="261"/>
      <c r="AG40" s="151">
        <f>IF(AND('Data Summary'!C167="PASS",'Data - Sample Type 1'!HK39&lt;&gt;0),'Data - Sample Type 1'!HK39,"")</f>
        <v>70.8</v>
      </c>
      <c r="AH40" s="261"/>
      <c r="AI40" s="191">
        <f>IF(AND('Data Summary'!C167="PASS",AG40&lt;&gt;""),'Data - Sample Type 1'!HL39,"")</f>
        <v>141</v>
      </c>
      <c r="AJ40" s="261"/>
      <c r="AK40" s="151">
        <f>IF(AND('Data Summary'!C167="PASS",'Data - Sample Type 1'!HS39&lt;&gt;0),'Data - Sample Type 1'!HS39,"")</f>
        <v>69.2</v>
      </c>
      <c r="AL40" s="261"/>
      <c r="AM40" s="191">
        <f>IF(AND('Data Summary'!C167="PASS",AK40&lt;&gt;""),'Data - Sample Type 1'!HT39,"")</f>
        <v>89</v>
      </c>
      <c r="AN40" s="261"/>
      <c r="AO40" s="194">
        <f>IF('Data Summary'!C167="PASS",IF('Data - Sample Type 1'!DK39=0,"",'Data - Sample Type 1'!DK39),"")</f>
        <v>23.8</v>
      </c>
      <c r="AP40" s="261"/>
      <c r="AQ40" s="151">
        <f>IF('Data Summary'!C167="PASS",IF('Data - Sample Type 1'!DY39=0,"",'Data - Sample Type 1'!DY39),"")</f>
        <v>20.6</v>
      </c>
      <c r="AR40" s="261"/>
      <c r="AS40" s="151">
        <f>IF('Data Summary'!C167="PASS",IF('Data - Sample Type 1'!EM39=0,"",'Data - Sample Type 1'!EM39),"")</f>
        <v>24.3</v>
      </c>
      <c r="AT40" s="272"/>
      <c r="AW40" s="65"/>
      <c r="AY40" s="257"/>
      <c r="BA40" s="257"/>
      <c r="BB40" s="96"/>
      <c r="BC40" s="96"/>
      <c r="BE40" s="257"/>
      <c r="BF40" s="96"/>
      <c r="BG40" s="96"/>
      <c r="BI40" s="257"/>
      <c r="BK40" s="257"/>
      <c r="BM40" s="257"/>
      <c r="BO40" s="257"/>
      <c r="BQ40" s="257"/>
      <c r="BS40" s="257"/>
      <c r="BU40" s="257"/>
      <c r="BW40" s="257"/>
      <c r="BY40" s="257"/>
    </row>
    <row r="41" spans="2:77" x14ac:dyDescent="0.2">
      <c r="B41"/>
      <c r="C41"/>
      <c r="D41"/>
      <c r="E41" s="276"/>
      <c r="F41" s="151">
        <f>IF('Data Summary'!C63="PASS",IF('Data Summary'!A63="","",'Data - Sample Type 0'!Q40),"")</f>
        <v>27.6</v>
      </c>
      <c r="G41" s="272"/>
      <c r="H41"/>
      <c r="I41"/>
      <c r="J41" s="276"/>
      <c r="K41" s="151">
        <f>IF(AND('Data Summary'!C168="PASS",'Data - Sample Type 1'!FO40&lt;&gt;0),'Data - Sample Type 1'!FO40,"")</f>
        <v>76</v>
      </c>
      <c r="L41" s="261"/>
      <c r="M41" s="102">
        <f>IF('Data Summary'!C168="PASS",IF('Data - Sample Type 1'!AE40=0,"",'Data - Sample Type 1'!AE40),"")</f>
        <v>23.1</v>
      </c>
      <c r="N41" s="261"/>
      <c r="O41" s="151">
        <f>IF(AND('Data Summary'!C168="PASS",'Data - Sample Type 1'!FW40&lt;&gt;0),'Data - Sample Type 1'!FW40,"")</f>
        <v>73.400000000000006</v>
      </c>
      <c r="P41" s="261"/>
      <c r="Q41" s="191">
        <f>IF(AND('Data Summary'!C168="PASS",O41&lt;&gt;""),'Data - Sample Type 1'!FX40,"")</f>
        <v>89.8</v>
      </c>
      <c r="R41" s="261"/>
      <c r="S41" s="151">
        <f>IF(AND('Data Summary'!C168="PASS",'Data - Sample Type 1'!GE40&lt;&gt;0),'Data - Sample Type 1'!GE40,"")</f>
        <v>71.2</v>
      </c>
      <c r="T41" s="261"/>
      <c r="U41" s="191">
        <f>IF(AND('Data Summary'!C168="PASS",S41&lt;&gt;""),'Data - Sample Type 1'!GF40,"")</f>
        <v>249.2</v>
      </c>
      <c r="V41" s="261"/>
      <c r="W41" s="151">
        <f>IF('Data Summary'!C168="PASS",IF('Data - Sample Type 1'!BG40=0,"",'Data - Sample Type 1'!BG40),"")</f>
        <v>21.4</v>
      </c>
      <c r="X41" s="261"/>
      <c r="Y41" s="194">
        <f>IF(AND('Data Summary'!C168="PASS",'Data - Sample Type 1'!GM40&lt;&gt;0),'Data - Sample Type 1'!GM40,"")</f>
        <v>68.3</v>
      </c>
      <c r="Z41" s="261"/>
      <c r="AA41" s="151">
        <f>IF('Data Summary'!C168="PASS",IF('Data - Sample Type 1'!BU40=0,"",'Data - Sample Type 1'!BU40),"")</f>
        <v>28.4</v>
      </c>
      <c r="AB41" s="261"/>
      <c r="AC41" s="151">
        <f>IF(AND('Data Summary'!C168="PASS",'Data - Sample Type 1'!HC40&lt;&gt;0),'Data - Sample Type 1'!HC40,"")</f>
        <v>70.2</v>
      </c>
      <c r="AD41" s="261"/>
      <c r="AE41" s="191">
        <f>IF(AND('Data Summary'!C168="PASS",AC41&lt;&gt;""),'Data - Sample Type 1'!HD40,"")</f>
        <v>85.8</v>
      </c>
      <c r="AF41" s="261"/>
      <c r="AG41" s="151">
        <f>IF(AND('Data Summary'!C168="PASS",'Data - Sample Type 1'!HK40&lt;&gt;0),'Data - Sample Type 1'!HK40,"")</f>
        <v>70.8</v>
      </c>
      <c r="AH41" s="261"/>
      <c r="AI41" s="191">
        <f>IF(AND('Data Summary'!C168="PASS",AG41&lt;&gt;""),'Data - Sample Type 1'!HL40,"")</f>
        <v>149</v>
      </c>
      <c r="AJ41" s="261"/>
      <c r="AK41" s="151">
        <f>IF(AND('Data Summary'!C168="PASS",'Data - Sample Type 1'!HS40&lt;&gt;0),'Data - Sample Type 1'!HS40,"")</f>
        <v>69.099999999999994</v>
      </c>
      <c r="AL41" s="261"/>
      <c r="AM41" s="191">
        <f>IF(AND('Data Summary'!C168="PASS",AK41&lt;&gt;""),'Data - Sample Type 1'!HT40,"")</f>
        <v>88</v>
      </c>
      <c r="AN41" s="261"/>
      <c r="AO41" s="194">
        <f>IF('Data Summary'!C168="PASS",IF('Data - Sample Type 1'!DK40=0,"",'Data - Sample Type 1'!DK40),"")</f>
        <v>24.4</v>
      </c>
      <c r="AP41" s="261"/>
      <c r="AQ41" s="151">
        <f>IF('Data Summary'!C168="PASS",IF('Data - Sample Type 1'!DY40=0,"",'Data - Sample Type 1'!DY40),"")</f>
        <v>20.8</v>
      </c>
      <c r="AR41" s="261"/>
      <c r="AS41" s="151">
        <f>IF('Data Summary'!C168="PASS",IF('Data - Sample Type 1'!EM40=0,"",'Data - Sample Type 1'!EM40),"")</f>
        <v>26</v>
      </c>
      <c r="AT41" s="272"/>
      <c r="AW41" s="65"/>
      <c r="AY41" s="257"/>
      <c r="BA41" s="257"/>
      <c r="BB41" s="96"/>
      <c r="BC41" s="96"/>
      <c r="BE41" s="257"/>
      <c r="BF41" s="96"/>
      <c r="BG41" s="96"/>
      <c r="BI41" s="257"/>
      <c r="BK41" s="257"/>
      <c r="BM41" s="257"/>
      <c r="BO41" s="257"/>
      <c r="BQ41" s="257"/>
      <c r="BS41" s="257"/>
      <c r="BU41" s="257"/>
      <c r="BW41" s="257"/>
      <c r="BY41" s="257"/>
    </row>
    <row r="42" spans="2:77" ht="13.5" thickBot="1" x14ac:dyDescent="0.25">
      <c r="B42"/>
      <c r="C42"/>
      <c r="D42"/>
      <c r="E42" s="278"/>
      <c r="F42" s="155">
        <f>IF('Data Summary'!C64="PASS",IF('Data Summary'!A64="","",'Data - Sample Type 0'!Q41),"")</f>
        <v>26</v>
      </c>
      <c r="G42" s="274"/>
      <c r="H42"/>
      <c r="I42"/>
      <c r="J42" s="278"/>
      <c r="K42" s="155">
        <f>IF(AND('Data Summary'!C169="PASS",'Data - Sample Type 1'!FO41&lt;&gt;0),'Data - Sample Type 1'!FO41,"")</f>
        <v>75.900000000000006</v>
      </c>
      <c r="L42" s="268"/>
      <c r="M42" s="171">
        <f>IF('Data Summary'!C169="PASS",IF('Data - Sample Type 1'!AE41=0,"",'Data - Sample Type 1'!AE41),"")</f>
        <v>26.1</v>
      </c>
      <c r="N42" s="268"/>
      <c r="O42" s="155">
        <f>IF(AND('Data Summary'!C169="PASS",'Data - Sample Type 1'!FW41&lt;&gt;0),'Data - Sample Type 1'!FW41,"")</f>
        <v>73.3</v>
      </c>
      <c r="P42" s="268"/>
      <c r="Q42" s="193">
        <f>IF(AND('Data Summary'!C169="PASS",O42&lt;&gt;""),'Data - Sample Type 1'!FX41,"")</f>
        <v>92.6</v>
      </c>
      <c r="R42" s="268"/>
      <c r="S42" s="155">
        <f>IF(AND('Data Summary'!C169="PASS",'Data - Sample Type 1'!GE41&lt;&gt;0),'Data - Sample Type 1'!GE41,"")</f>
        <v>71.099999999999994</v>
      </c>
      <c r="T42" s="268"/>
      <c r="U42" s="193">
        <f>IF(AND('Data Summary'!C169="PASS",S42&lt;&gt;""),'Data - Sample Type 1'!GF41,"")</f>
        <v>247.9</v>
      </c>
      <c r="V42" s="268"/>
      <c r="W42" s="155">
        <f>IF('Data Summary'!C169="PASS",IF('Data - Sample Type 1'!BG41=0,"",'Data - Sample Type 1'!BG41),"")</f>
        <v>21.4</v>
      </c>
      <c r="X42" s="268"/>
      <c r="Y42" s="197">
        <f>IF(AND('Data Summary'!C169="PASS",'Data - Sample Type 1'!GM41&lt;&gt;0),'Data - Sample Type 1'!GM41,"")</f>
        <v>68.400000000000006</v>
      </c>
      <c r="Z42" s="268"/>
      <c r="AA42" s="155">
        <f>IF('Data Summary'!C169="PASS",IF('Data - Sample Type 1'!BU41=0,"",'Data - Sample Type 1'!BU41),"")</f>
        <v>30.3</v>
      </c>
      <c r="AB42" s="268"/>
      <c r="AC42" s="155">
        <f>IF(AND('Data Summary'!C169="PASS",'Data - Sample Type 1'!HC41&lt;&gt;0),'Data - Sample Type 1'!HC41,"")</f>
        <v>70.099999999999994</v>
      </c>
      <c r="AD42" s="268"/>
      <c r="AE42" s="193">
        <f>IF(AND('Data Summary'!C169="PASS",AC42&lt;&gt;""),'Data - Sample Type 1'!HD41,"")</f>
        <v>87.4</v>
      </c>
      <c r="AF42" s="268"/>
      <c r="AG42" s="155">
        <f>IF(AND('Data Summary'!C169="PASS",'Data - Sample Type 1'!HK41&lt;&gt;0),'Data - Sample Type 1'!HK41,"")</f>
        <v>70.7</v>
      </c>
      <c r="AH42" s="268"/>
      <c r="AI42" s="193">
        <f>IF(AND('Data Summary'!C169="PASS",AG42&lt;&gt;""),'Data - Sample Type 1'!HL41,"")</f>
        <v>134.6</v>
      </c>
      <c r="AJ42" s="268"/>
      <c r="AK42" s="155">
        <f>IF(AND('Data Summary'!C169="PASS",'Data - Sample Type 1'!HS41&lt;&gt;0),'Data - Sample Type 1'!HS41,"")</f>
        <v>69.099999999999994</v>
      </c>
      <c r="AL42" s="268"/>
      <c r="AM42" s="193">
        <f>IF(AND('Data Summary'!C169="PASS",AK42&lt;&gt;""),'Data - Sample Type 1'!HT41,"")</f>
        <v>99.7</v>
      </c>
      <c r="AN42" s="268"/>
      <c r="AO42" s="197">
        <f>IF('Data Summary'!C169="PASS",IF('Data - Sample Type 1'!DK41=0,"",'Data - Sample Type 1'!DK41),"")</f>
        <v>24.5</v>
      </c>
      <c r="AP42" s="268"/>
      <c r="AQ42" s="155">
        <f>IF('Data Summary'!C169="PASS",IF('Data - Sample Type 1'!DY41=0,"",'Data - Sample Type 1'!DY41),"")</f>
        <v>21.5</v>
      </c>
      <c r="AR42" s="268"/>
      <c r="AS42" s="155">
        <f>IF('Data Summary'!C169="PASS",IF('Data - Sample Type 1'!EM41=0,"",'Data - Sample Type 1'!EM41),"")</f>
        <v>25.7</v>
      </c>
      <c r="AT42" s="273"/>
      <c r="AW42" s="65"/>
      <c r="AY42" s="257"/>
      <c r="BA42" s="257"/>
      <c r="BB42" s="96"/>
      <c r="BC42" s="96"/>
      <c r="BE42" s="257"/>
      <c r="BF42" s="96"/>
      <c r="BG42" s="96"/>
      <c r="BI42" s="257"/>
      <c r="BK42" s="257"/>
      <c r="BM42" s="257"/>
      <c r="BO42" s="257"/>
      <c r="BQ42" s="257"/>
      <c r="BS42" s="257"/>
      <c r="BU42" s="257"/>
      <c r="BW42" s="257"/>
      <c r="BY42" s="257"/>
    </row>
    <row r="43" spans="2:77" ht="14.1" customHeight="1" x14ac:dyDescent="0.2">
      <c r="B43"/>
      <c r="C43"/>
      <c r="D43"/>
      <c r="E43" s="275">
        <v>5</v>
      </c>
      <c r="F43" s="154">
        <f>IF('Data Summary'!C65="PASS",IF('Data Summary'!A65="","",'Data - Sample Type 0'!Q42),"")</f>
        <v>27</v>
      </c>
      <c r="G43" s="279">
        <f t="shared" ref="G43" si="74">AVERAGE(F43:F52)</f>
        <v>27.559999999999995</v>
      </c>
      <c r="H43"/>
      <c r="I43"/>
      <c r="J43" s="275">
        <v>6</v>
      </c>
      <c r="K43" s="154">
        <f>IF(AND('Data Summary'!C170="PASS",'Data - Sample Type 1'!FO42&lt;&gt;0),'Data - Sample Type 1'!FO42,"")</f>
        <v>76</v>
      </c>
      <c r="L43" s="258">
        <f t="shared" ref="L43" si="75">AVERAGE(K43:K50)</f>
        <v>75.887500000000003</v>
      </c>
      <c r="M43" s="170">
        <f>IF('Data Summary'!C170="PASS",IF('Data - Sample Type 1'!AE42=0,"",'Data - Sample Type 1'!AE42),"")</f>
        <v>25.4</v>
      </c>
      <c r="N43" s="258">
        <f t="shared" ref="N43" si="76">AVERAGE(M43:M50)</f>
        <v>25.25</v>
      </c>
      <c r="O43" s="154">
        <f>IF(AND('Data Summary'!C170="PASS",'Data - Sample Type 1'!FW42&lt;&gt;0),'Data - Sample Type 1'!FW42,"")</f>
        <v>73.400000000000006</v>
      </c>
      <c r="P43" s="258">
        <f t="shared" ref="P43" si="77">AVERAGE(O43:O50)</f>
        <v>73.337499999999991</v>
      </c>
      <c r="Q43" s="190">
        <f>IF(AND('Data Summary'!C170="PASS",O43&lt;&gt;""),'Data - Sample Type 1'!FX42,"")</f>
        <v>76.7</v>
      </c>
      <c r="R43" s="263">
        <f t="shared" ref="R43" si="78">AVERAGE(Q43:Q50)</f>
        <v>97.225000000000009</v>
      </c>
      <c r="S43" s="154">
        <f>IF(AND('Data Summary'!C170="PASS",'Data - Sample Type 1'!GE42&lt;&gt;0),'Data - Sample Type 1'!GE42,"")</f>
        <v>71.2</v>
      </c>
      <c r="T43" s="265">
        <f t="shared" ref="T43" si="79">AVERAGE(S43:S50)</f>
        <v>71.125</v>
      </c>
      <c r="U43" s="190">
        <f>IF(AND('Data Summary'!C170="PASS",S43&lt;&gt;""),'Data - Sample Type 1'!GF42,"")</f>
        <v>293.10000000000002</v>
      </c>
      <c r="V43" s="263">
        <f t="shared" ref="V43" si="80">AVERAGE(U43:U50)</f>
        <v>251.52500000000003</v>
      </c>
      <c r="W43" s="154">
        <f>IF('Data Summary'!C170="PASS",IF('Data - Sample Type 1'!BG42=0,"",'Data - Sample Type 1'!BG42),"")</f>
        <v>22.4</v>
      </c>
      <c r="X43" s="265">
        <f t="shared" ref="X43" si="81">AVERAGE(W43:W50)</f>
        <v>22.012499999999999</v>
      </c>
      <c r="Y43" s="196">
        <f>IF(AND('Data Summary'!C170="PASS",'Data - Sample Type 1'!GM42&lt;&gt;0),'Data - Sample Type 1'!GM42,"")</f>
        <v>68.400000000000006</v>
      </c>
      <c r="Z43" s="265">
        <f t="shared" ref="Z43" si="82">AVERAGE(Y43:Y50)</f>
        <v>68.287499999999994</v>
      </c>
      <c r="AA43" s="154">
        <f>IF('Data Summary'!C170="PASS",IF('Data - Sample Type 1'!BU42=0,"",'Data - Sample Type 1'!BU42),"")</f>
        <v>30.5</v>
      </c>
      <c r="AB43" s="265">
        <f t="shared" ref="AB43" si="83">AVERAGE(AA43:AA50)</f>
        <v>29.6</v>
      </c>
      <c r="AC43" s="154">
        <f>IF(AND('Data Summary'!C170="PASS",'Data - Sample Type 1'!HC42&lt;&gt;0),'Data - Sample Type 1'!HC42,"")</f>
        <v>70.2</v>
      </c>
      <c r="AD43" s="265">
        <f t="shared" ref="AD43" si="84">AVERAGE(AC43:AC50)</f>
        <v>70.162500000000009</v>
      </c>
      <c r="AE43" s="190">
        <f>IF(AND('Data Summary'!C170="PASS",AC43&lt;&gt;""),'Data - Sample Type 1'!HD42,"")</f>
        <v>81.8</v>
      </c>
      <c r="AF43" s="263">
        <f t="shared" ref="AF43" si="85">AVERAGE(AE43:AE50)</f>
        <v>81.712499999999991</v>
      </c>
      <c r="AG43" s="154">
        <f>IF(AND('Data Summary'!C170="PASS",'Data - Sample Type 1'!HK42&lt;&gt;0),'Data - Sample Type 1'!HK42,"")</f>
        <v>70.900000000000006</v>
      </c>
      <c r="AH43" s="265">
        <f t="shared" ref="AH43" si="86">AVERAGE(AG43:AG50)</f>
        <v>70.75</v>
      </c>
      <c r="AI43" s="190">
        <f>IF(AND('Data Summary'!C170="PASS",AG43&lt;&gt;""),'Data - Sample Type 1'!HL42,"")</f>
        <v>130.80000000000001</v>
      </c>
      <c r="AJ43" s="263">
        <f t="shared" ref="AJ43" si="87">AVERAGE(AI43:AI50)</f>
        <v>133.66249999999999</v>
      </c>
      <c r="AK43" s="154">
        <f>IF(AND('Data Summary'!C170="PASS",'Data - Sample Type 1'!HS42&lt;&gt;0),'Data - Sample Type 1'!HS42,"")</f>
        <v>69.2</v>
      </c>
      <c r="AL43" s="265">
        <f t="shared" ref="AL43" si="88">AVERAGE(AK43:AK50)</f>
        <v>69.075000000000003</v>
      </c>
      <c r="AM43" s="190">
        <f>IF(AND('Data Summary'!C170="PASS",AK43&lt;&gt;""),'Data - Sample Type 1'!HT42,"")</f>
        <v>85.8</v>
      </c>
      <c r="AN43" s="263">
        <f t="shared" ref="AN43" si="89">AVERAGE(AM43:AM50)</f>
        <v>94.337500000000006</v>
      </c>
      <c r="AO43" s="196">
        <f>IF('Data Summary'!C170="PASS",IF('Data - Sample Type 1'!DK42=0,"",'Data - Sample Type 1'!DK42),"")</f>
        <v>24.2</v>
      </c>
      <c r="AP43" s="265">
        <f t="shared" ref="AP43" si="90">AVERAGE(AO43:AO50)</f>
        <v>24.312500000000004</v>
      </c>
      <c r="AQ43" s="154">
        <f>IF('Data Summary'!C170="PASS",IF('Data - Sample Type 1'!DY42=0,"",'Data - Sample Type 1'!DY42),"")</f>
        <v>21.6</v>
      </c>
      <c r="AR43" s="265">
        <f t="shared" ref="AR43" si="91">AVERAGE(AQ43:AQ50)</f>
        <v>21.237500000000001</v>
      </c>
      <c r="AS43" s="154">
        <f>IF('Data Summary'!C170="PASS",IF('Data - Sample Type 1'!EM42=0,"",'Data - Sample Type 1'!EM42),"")</f>
        <v>26</v>
      </c>
      <c r="AT43" s="269">
        <f t="shared" ref="AT43" si="92">AVERAGE(AS43:AS50)</f>
        <v>26.037499999999998</v>
      </c>
      <c r="AW43" s="65"/>
      <c r="AY43" s="257"/>
      <c r="BA43" s="257"/>
      <c r="BB43" s="96"/>
      <c r="BC43" s="96"/>
      <c r="BE43" s="257"/>
      <c r="BF43" s="96"/>
      <c r="BG43" s="96"/>
      <c r="BI43" s="257"/>
      <c r="BK43" s="257"/>
      <c r="BM43" s="257"/>
      <c r="BO43" s="257"/>
      <c r="BQ43" s="257"/>
      <c r="BS43" s="257"/>
      <c r="BU43" s="257"/>
      <c r="BW43" s="257"/>
      <c r="BY43" s="257"/>
    </row>
    <row r="44" spans="2:77" x14ac:dyDescent="0.2">
      <c r="B44"/>
      <c r="C44"/>
      <c r="D44"/>
      <c r="E44" s="276"/>
      <c r="F44" s="151">
        <f>IF('Data Summary'!C66="PASS",IF('Data Summary'!A66="","",'Data - Sample Type 0'!Q43),"")</f>
        <v>29.2</v>
      </c>
      <c r="G44" s="280"/>
      <c r="H44"/>
      <c r="I44"/>
      <c r="J44" s="276"/>
      <c r="K44" s="151">
        <f>IF(AND('Data Summary'!C171="PASS",'Data - Sample Type 1'!FO43&lt;&gt;0),'Data - Sample Type 1'!FO43,"")</f>
        <v>75.900000000000006</v>
      </c>
      <c r="L44" s="259"/>
      <c r="M44" s="102">
        <f>IF('Data Summary'!C171="PASS",IF('Data - Sample Type 1'!AE43=0,"",'Data - Sample Type 1'!AE43),"")</f>
        <v>24.9</v>
      </c>
      <c r="N44" s="259"/>
      <c r="O44" s="151">
        <f>IF(AND('Data Summary'!C171="PASS",'Data - Sample Type 1'!FW43&lt;&gt;0),'Data - Sample Type 1'!FW43,"")</f>
        <v>73.3</v>
      </c>
      <c r="P44" s="259"/>
      <c r="Q44" s="191">
        <f>IF(AND('Data Summary'!C171="PASS",O44&lt;&gt;""),'Data - Sample Type 1'!FX43,"")</f>
        <v>99.2</v>
      </c>
      <c r="R44" s="264"/>
      <c r="S44" s="151">
        <f>IF(AND('Data Summary'!C171="PASS",'Data - Sample Type 1'!GE43&lt;&gt;0),'Data - Sample Type 1'!GE43,"")</f>
        <v>71.099999999999994</v>
      </c>
      <c r="T44" s="266"/>
      <c r="U44" s="191">
        <f>IF(AND('Data Summary'!C171="PASS",S44&lt;&gt;""),'Data - Sample Type 1'!GF43,"")</f>
        <v>245.8</v>
      </c>
      <c r="V44" s="264"/>
      <c r="W44" s="151">
        <f>IF('Data Summary'!C171="PASS",IF('Data - Sample Type 1'!BG43=0,"",'Data - Sample Type 1'!BG43),"")</f>
        <v>21.7</v>
      </c>
      <c r="X44" s="266"/>
      <c r="Y44" s="194">
        <f>IF(AND('Data Summary'!C171="PASS",'Data - Sample Type 1'!GM43&lt;&gt;0),'Data - Sample Type 1'!GM43,"")</f>
        <v>68.3</v>
      </c>
      <c r="Z44" s="266"/>
      <c r="AA44" s="151">
        <f>IF('Data Summary'!C171="PASS",IF('Data - Sample Type 1'!BU43=0,"",'Data - Sample Type 1'!BU43),"")</f>
        <v>30</v>
      </c>
      <c r="AB44" s="266"/>
      <c r="AC44" s="151">
        <f>IF(AND('Data Summary'!C171="PASS",'Data - Sample Type 1'!HC43&lt;&gt;0),'Data - Sample Type 1'!HC43,"")</f>
        <v>70.2</v>
      </c>
      <c r="AD44" s="266"/>
      <c r="AE44" s="191">
        <f>IF(AND('Data Summary'!C171="PASS",AC44&lt;&gt;""),'Data - Sample Type 1'!HD43,"")</f>
        <v>83.3</v>
      </c>
      <c r="AF44" s="264"/>
      <c r="AG44" s="151">
        <f>IF(AND('Data Summary'!C171="PASS",'Data - Sample Type 1'!HK43&lt;&gt;0),'Data - Sample Type 1'!HK43,"")</f>
        <v>70.7</v>
      </c>
      <c r="AH44" s="266"/>
      <c r="AI44" s="191">
        <f>IF(AND('Data Summary'!C171="PASS",AG44&lt;&gt;""),'Data - Sample Type 1'!HL43,"")</f>
        <v>130.69999999999999</v>
      </c>
      <c r="AJ44" s="264"/>
      <c r="AK44" s="151">
        <f>IF(AND('Data Summary'!C171="PASS",'Data - Sample Type 1'!HS43&lt;&gt;0),'Data - Sample Type 1'!HS43,"")</f>
        <v>69.099999999999994</v>
      </c>
      <c r="AL44" s="266"/>
      <c r="AM44" s="191">
        <f>IF(AND('Data Summary'!C171="PASS",AK44&lt;&gt;""),'Data - Sample Type 1'!HT43,"")</f>
        <v>91</v>
      </c>
      <c r="AN44" s="264"/>
      <c r="AO44" s="194">
        <f>IF('Data Summary'!C171="PASS",IF('Data - Sample Type 1'!DK43=0,"",'Data - Sample Type 1'!DK43),"")</f>
        <v>24.2</v>
      </c>
      <c r="AP44" s="266"/>
      <c r="AQ44" s="151">
        <f>IF('Data Summary'!C171="PASS",IF('Data - Sample Type 1'!DY43=0,"",'Data - Sample Type 1'!DY43),"")</f>
        <v>20.399999999999999</v>
      </c>
      <c r="AR44" s="266"/>
      <c r="AS44" s="151">
        <f>IF('Data Summary'!C171="PASS",IF('Data - Sample Type 1'!EM43=0,"",'Data - Sample Type 1'!EM43),"")</f>
        <v>24.1</v>
      </c>
      <c r="AT44" s="270"/>
      <c r="AW44" s="65"/>
      <c r="AY44" s="257"/>
      <c r="BA44" s="257"/>
      <c r="BB44" s="96"/>
      <c r="BC44" s="96"/>
      <c r="BE44" s="257"/>
      <c r="BF44" s="96"/>
      <c r="BG44" s="96"/>
      <c r="BI44" s="257"/>
      <c r="BK44" s="257"/>
      <c r="BM44" s="257"/>
      <c r="BO44" s="257"/>
      <c r="BQ44" s="257"/>
      <c r="BS44" s="257"/>
      <c r="BU44" s="257"/>
      <c r="BW44" s="257"/>
      <c r="BY44" s="257"/>
    </row>
    <row r="45" spans="2:77" ht="13.35" customHeight="1" x14ac:dyDescent="0.2">
      <c r="B45"/>
      <c r="C45"/>
      <c r="D45"/>
      <c r="E45" s="276"/>
      <c r="F45" s="151">
        <f>IF('Data Summary'!C67="PASS",IF('Data Summary'!A67="","",'Data - Sample Type 0'!Q44),"")</f>
        <v>26.9</v>
      </c>
      <c r="G45" s="280"/>
      <c r="H45"/>
      <c r="I45"/>
      <c r="J45" s="276"/>
      <c r="K45" s="151">
        <f>IF(AND('Data Summary'!C172="PASS",'Data - Sample Type 1'!FO44&lt;&gt;0),'Data - Sample Type 1'!FO44,"")</f>
        <v>75.7</v>
      </c>
      <c r="L45" s="259"/>
      <c r="M45" s="102">
        <f>IF('Data Summary'!C172="PASS",IF('Data - Sample Type 1'!AE44=0,"",'Data - Sample Type 1'!AE44),"")</f>
        <v>24.5</v>
      </c>
      <c r="N45" s="259"/>
      <c r="O45" s="151">
        <f>IF(AND('Data Summary'!C172="PASS",'Data - Sample Type 1'!FW44&lt;&gt;0),'Data - Sample Type 1'!FW44,"")</f>
        <v>73.2</v>
      </c>
      <c r="P45" s="259"/>
      <c r="Q45" s="191">
        <f>IF(AND('Data Summary'!C172="PASS",O45&lt;&gt;""),'Data - Sample Type 1'!FX44,"")</f>
        <v>81.3</v>
      </c>
      <c r="R45" s="264"/>
      <c r="S45" s="151">
        <f>IF(AND('Data Summary'!C172="PASS",'Data - Sample Type 1'!GE44&lt;&gt;0),'Data - Sample Type 1'!GE44,"")</f>
        <v>71</v>
      </c>
      <c r="T45" s="266"/>
      <c r="U45" s="191">
        <f>IF(AND('Data Summary'!C172="PASS",S45&lt;&gt;""),'Data - Sample Type 1'!GF44,"")</f>
        <v>210.1</v>
      </c>
      <c r="V45" s="264"/>
      <c r="W45" s="151">
        <f>IF('Data Summary'!C172="PASS",IF('Data - Sample Type 1'!BG44=0,"",'Data - Sample Type 1'!BG44),"")</f>
        <v>22.2</v>
      </c>
      <c r="X45" s="266"/>
      <c r="Y45" s="194">
        <f>IF(AND('Data Summary'!C172="PASS",'Data - Sample Type 1'!GM44&lt;&gt;0),'Data - Sample Type 1'!GM44,"")</f>
        <v>68</v>
      </c>
      <c r="Z45" s="266"/>
      <c r="AA45" s="151">
        <f>IF('Data Summary'!C172="PASS",IF('Data - Sample Type 1'!BU44=0,"",'Data - Sample Type 1'!BU44),"")</f>
        <v>30</v>
      </c>
      <c r="AB45" s="266"/>
      <c r="AC45" s="151">
        <f>IF(AND('Data Summary'!C172="PASS",'Data - Sample Type 1'!HC44&lt;&gt;0),'Data - Sample Type 1'!HC44,"")</f>
        <v>70.099999999999994</v>
      </c>
      <c r="AD45" s="266"/>
      <c r="AE45" s="191">
        <f>IF(AND('Data Summary'!C172="PASS",AC45&lt;&gt;""),'Data - Sample Type 1'!HD44,"")</f>
        <v>68.900000000000006</v>
      </c>
      <c r="AF45" s="264"/>
      <c r="AG45" s="151">
        <f>IF(AND('Data Summary'!C172="PASS",'Data - Sample Type 1'!HK44&lt;&gt;0),'Data - Sample Type 1'!HK44,"")</f>
        <v>70.7</v>
      </c>
      <c r="AH45" s="266"/>
      <c r="AI45" s="191">
        <f>IF(AND('Data Summary'!C172="PASS",AG45&lt;&gt;""),'Data - Sample Type 1'!HL44,"")</f>
        <v>124.8</v>
      </c>
      <c r="AJ45" s="264"/>
      <c r="AK45" s="151">
        <f>IF(AND('Data Summary'!C172="PASS",'Data - Sample Type 1'!HS44&lt;&gt;0),'Data - Sample Type 1'!HS44,"")</f>
        <v>68.8</v>
      </c>
      <c r="AL45" s="266"/>
      <c r="AM45" s="191">
        <f>IF(AND('Data Summary'!C172="PASS",AK45&lt;&gt;""),'Data - Sample Type 1'!HT44,"")</f>
        <v>88.2</v>
      </c>
      <c r="AN45" s="264"/>
      <c r="AO45" s="194">
        <f>IF('Data Summary'!C172="PASS",IF('Data - Sample Type 1'!DK44=0,"",'Data - Sample Type 1'!DK44),"")</f>
        <v>24.3</v>
      </c>
      <c r="AP45" s="266"/>
      <c r="AQ45" s="151">
        <f>IF('Data Summary'!C172="PASS",IF('Data - Sample Type 1'!DY44=0,"",'Data - Sample Type 1'!DY44),"")</f>
        <v>20.7</v>
      </c>
      <c r="AR45" s="266"/>
      <c r="AS45" s="151">
        <f>IF('Data Summary'!C172="PASS",IF('Data - Sample Type 1'!EM44=0,"",'Data - Sample Type 1'!EM44),"")</f>
        <v>26.9</v>
      </c>
      <c r="AT45" s="270"/>
      <c r="AW45" s="65"/>
      <c r="AY45" s="257"/>
      <c r="BA45" s="257"/>
      <c r="BB45" s="96"/>
      <c r="BC45" s="96"/>
      <c r="BE45" s="257"/>
      <c r="BF45" s="96"/>
      <c r="BG45" s="96"/>
      <c r="BI45" s="257"/>
      <c r="BK45" s="257"/>
      <c r="BM45" s="257"/>
      <c r="BO45" s="257"/>
      <c r="BQ45" s="257"/>
      <c r="BS45" s="257"/>
      <c r="BU45" s="257"/>
      <c r="BW45" s="257"/>
      <c r="BY45" s="257"/>
    </row>
    <row r="46" spans="2:77" x14ac:dyDescent="0.2">
      <c r="B46"/>
      <c r="C46"/>
      <c r="D46"/>
      <c r="E46" s="276"/>
      <c r="F46" s="151">
        <f>IF('Data Summary'!C68="PASS",IF('Data Summary'!A68="","",'Data - Sample Type 0'!Q45),"")</f>
        <v>26.1</v>
      </c>
      <c r="G46" s="280"/>
      <c r="H46"/>
      <c r="I46"/>
      <c r="J46" s="276"/>
      <c r="K46" s="151">
        <f>IF(AND('Data Summary'!C173="PASS",'Data - Sample Type 1'!FO45&lt;&gt;0),'Data - Sample Type 1'!FO45,"")</f>
        <v>75.900000000000006</v>
      </c>
      <c r="L46" s="259"/>
      <c r="M46" s="102">
        <f>IF('Data Summary'!C173="PASS",IF('Data - Sample Type 1'!AE45=0,"",'Data - Sample Type 1'!AE45),"")</f>
        <v>23.8</v>
      </c>
      <c r="N46" s="259"/>
      <c r="O46" s="151">
        <f>IF(AND('Data Summary'!C173="PASS",'Data - Sample Type 1'!FW45&lt;&gt;0),'Data - Sample Type 1'!FW45,"")</f>
        <v>73.400000000000006</v>
      </c>
      <c r="P46" s="259"/>
      <c r="Q46" s="191">
        <f>IF(AND('Data Summary'!C173="PASS",O46&lt;&gt;""),'Data - Sample Type 1'!FX45,"")</f>
        <v>105.5</v>
      </c>
      <c r="R46" s="264"/>
      <c r="S46" s="151">
        <f>IF(AND('Data Summary'!C173="PASS",'Data - Sample Type 1'!GE45&lt;&gt;0),'Data - Sample Type 1'!GE45,"")</f>
        <v>71.099999999999994</v>
      </c>
      <c r="T46" s="267"/>
      <c r="U46" s="191">
        <f>IF(AND('Data Summary'!C173="PASS",S46&lt;&gt;""),'Data - Sample Type 1'!GF45,"")</f>
        <v>274.8</v>
      </c>
      <c r="V46" s="264"/>
      <c r="W46" s="151">
        <f>IF('Data Summary'!C173="PASS",IF('Data - Sample Type 1'!BG45=0,"",'Data - Sample Type 1'!BG45),"")</f>
        <v>20.7</v>
      </c>
      <c r="X46" s="267"/>
      <c r="Y46" s="194">
        <f>IF(AND('Data Summary'!C173="PASS",'Data - Sample Type 1'!GM45&lt;&gt;0),'Data - Sample Type 1'!GM45,"")</f>
        <v>68.400000000000006</v>
      </c>
      <c r="Z46" s="267"/>
      <c r="AA46" s="151">
        <f>IF('Data Summary'!C173="PASS",IF('Data - Sample Type 1'!BU45=0,"",'Data - Sample Type 1'!BU45),"")</f>
        <v>28</v>
      </c>
      <c r="AB46" s="267"/>
      <c r="AC46" s="151">
        <f>IF(AND('Data Summary'!C173="PASS",'Data - Sample Type 1'!HC45&lt;&gt;0),'Data - Sample Type 1'!HC45,"")</f>
        <v>70.099999999999994</v>
      </c>
      <c r="AD46" s="267"/>
      <c r="AE46" s="191">
        <f>IF(AND('Data Summary'!C173="PASS",AC46&lt;&gt;""),'Data - Sample Type 1'!HD45,"")</f>
        <v>94.7</v>
      </c>
      <c r="AF46" s="264"/>
      <c r="AG46" s="151">
        <f>IF(AND('Data Summary'!C173="PASS",'Data - Sample Type 1'!HK45&lt;&gt;0),'Data - Sample Type 1'!HK45,"")</f>
        <v>70.7</v>
      </c>
      <c r="AH46" s="267"/>
      <c r="AI46" s="191">
        <f>IF(AND('Data Summary'!C173="PASS",AG46&lt;&gt;""),'Data - Sample Type 1'!HL45,"")</f>
        <v>138.4</v>
      </c>
      <c r="AJ46" s="264"/>
      <c r="AK46" s="151">
        <f>IF(AND('Data Summary'!C173="PASS",'Data - Sample Type 1'!HS45&lt;&gt;0),'Data - Sample Type 1'!HS45,"")</f>
        <v>69.099999999999994</v>
      </c>
      <c r="AL46" s="267"/>
      <c r="AM46" s="191">
        <f>IF(AND('Data Summary'!C173="PASS",AK46&lt;&gt;""),'Data - Sample Type 1'!HT45,"")</f>
        <v>91.4</v>
      </c>
      <c r="AN46" s="264"/>
      <c r="AO46" s="194">
        <f>IF('Data Summary'!C173="PASS",IF('Data - Sample Type 1'!DK45=0,"",'Data - Sample Type 1'!DK45),"")</f>
        <v>23.1</v>
      </c>
      <c r="AP46" s="267"/>
      <c r="AQ46" s="151">
        <f>IF('Data Summary'!C173="PASS",IF('Data - Sample Type 1'!DY45=0,"",'Data - Sample Type 1'!DY45),"")</f>
        <v>20.100000000000001</v>
      </c>
      <c r="AR46" s="267"/>
      <c r="AS46" s="151">
        <f>IF('Data Summary'!C173="PASS",IF('Data - Sample Type 1'!EM45=0,"",'Data - Sample Type 1'!EM45),"")</f>
        <v>24</v>
      </c>
      <c r="AT46" s="271"/>
      <c r="AW46" s="65"/>
      <c r="AY46" s="257"/>
      <c r="BA46" s="257"/>
      <c r="BB46" s="96"/>
      <c r="BC46" s="96"/>
      <c r="BE46" s="257"/>
      <c r="BF46" s="96"/>
      <c r="BG46" s="96"/>
      <c r="BI46" s="257"/>
      <c r="BK46" s="257"/>
      <c r="BM46" s="257"/>
      <c r="BO46" s="257"/>
      <c r="BQ46" s="257"/>
      <c r="BS46" s="257"/>
      <c r="BU46" s="257"/>
      <c r="BW46" s="257"/>
      <c r="BY46" s="257"/>
    </row>
    <row r="47" spans="2:77" x14ac:dyDescent="0.2">
      <c r="B47"/>
      <c r="C47"/>
      <c r="D47"/>
      <c r="E47" s="276"/>
      <c r="F47" s="151">
        <f>IF('Data Summary'!C69="PASS",IF('Data Summary'!A69="","",'Data - Sample Type 0'!Q46),"")</f>
        <v>27.7</v>
      </c>
      <c r="G47" s="280"/>
      <c r="H47"/>
      <c r="I47"/>
      <c r="J47" s="276"/>
      <c r="K47" s="151">
        <f>IF(AND('Data Summary'!C174="PASS",'Data - Sample Type 1'!FO46&lt;&gt;0),'Data - Sample Type 1'!FO46,"")</f>
        <v>76</v>
      </c>
      <c r="L47" s="261" t="str">
        <f>IF(AND(L43&gt;=Specifications!$C$21,L43&lt;=Specifications!$D$21),"PASS","FAIL")</f>
        <v>PASS</v>
      </c>
      <c r="M47" s="102">
        <f>IF('Data Summary'!C174="PASS",IF('Data - Sample Type 1'!AE46=0,"",'Data - Sample Type 1'!AE46),"")</f>
        <v>25.1</v>
      </c>
      <c r="N47" s="261" t="str">
        <f>IF(N43&lt;=Specifications!D$22,"PASS","FAIL")</f>
        <v>PASS</v>
      </c>
      <c r="O47" s="151">
        <f>IF(AND('Data Summary'!C174="PASS",'Data - Sample Type 1'!FW46&lt;&gt;0),'Data - Sample Type 1'!FW46,"")</f>
        <v>73.400000000000006</v>
      </c>
      <c r="P47" s="261" t="str">
        <f>IF(AND(P43&gt;=Specifications!$C$23,P43&lt;=Specifications!$D$23),"PASS","FAIL")</f>
        <v>PASS</v>
      </c>
      <c r="Q47" s="191">
        <f>IF(AND('Data Summary'!C174="PASS",O47&lt;&gt;""),'Data - Sample Type 1'!FX46,"")</f>
        <v>113.3</v>
      </c>
      <c r="R47" s="260" t="s">
        <v>510</v>
      </c>
      <c r="S47" s="151">
        <f>IF(AND('Data Summary'!C174="PASS",'Data - Sample Type 1'!GE46&lt;&gt;0),'Data - Sample Type 1'!GE46,"")</f>
        <v>71.2</v>
      </c>
      <c r="T47" s="261" t="str">
        <f>IF(AND(T43&gt;=Specifications!$C$25,T43&lt;=Specifications!$D$25),"PASS","FAIL")</f>
        <v>PASS</v>
      </c>
      <c r="U47" s="191">
        <f>IF(AND('Data Summary'!C174="PASS",S47&lt;&gt;""),'Data - Sample Type 1'!GF46,"")</f>
        <v>262.2</v>
      </c>
      <c r="V47" s="260" t="s">
        <v>510</v>
      </c>
      <c r="W47" s="151">
        <f>IF('Data Summary'!C174="PASS",IF('Data - Sample Type 1'!BG46=0,"",'Data - Sample Type 1'!BG46),"")</f>
        <v>23.2</v>
      </c>
      <c r="X47" s="261" t="str">
        <f>IF(X43&lt;=Specifications!D$27,"PASS","FAIL")</f>
        <v>PASS</v>
      </c>
      <c r="Y47" s="194">
        <f>IF(AND('Data Summary'!C174="PASS",'Data - Sample Type 1'!GM46&lt;&gt;0),'Data - Sample Type 1'!GM46,"")</f>
        <v>68.5</v>
      </c>
      <c r="Z47" s="261" t="str">
        <f>IF(AND(Z43&gt;=Specifications!$C$28,Z43&lt;=Specifications!$D$28),"PASS","FAIL")</f>
        <v>FAIL</v>
      </c>
      <c r="AA47" s="151">
        <f>IF('Data Summary'!C174="PASS",IF('Data - Sample Type 1'!BU46=0,"",'Data - Sample Type 1'!BU46),"")</f>
        <v>29.2</v>
      </c>
      <c r="AB47" s="260" t="s">
        <v>510</v>
      </c>
      <c r="AC47" s="151">
        <f>IF(AND('Data Summary'!C174="PASS",'Data - Sample Type 1'!HC46&lt;&gt;0),'Data - Sample Type 1'!HC46,"")</f>
        <v>70.099999999999994</v>
      </c>
      <c r="AD47" s="261" t="str">
        <f>IF(AND(AD43&gt;=Specifications!$C$31,AD43&lt;=Specifications!$D$31),"PASS","FAIL")</f>
        <v>PASS</v>
      </c>
      <c r="AE47" s="191">
        <f>IF(AND('Data Summary'!C174="PASS",AC47&lt;&gt;""),'Data - Sample Type 1'!HD46,"")</f>
        <v>93.2</v>
      </c>
      <c r="AF47" s="260" t="s">
        <v>510</v>
      </c>
      <c r="AG47" s="151">
        <f>IF(AND('Data Summary'!C174="PASS",'Data - Sample Type 1'!HK46&lt;&gt;0),'Data - Sample Type 1'!HK46,"")</f>
        <v>70.8</v>
      </c>
      <c r="AH47" s="261" t="str">
        <f>IF(AND(AH43&gt;=Specifications!$C$33,AH43&lt;=Specifications!$D$33),"PASS","FAIL")</f>
        <v>PASS</v>
      </c>
      <c r="AI47" s="191">
        <f>IF(AND('Data Summary'!C174="PASS",AG47&lt;&gt;""),'Data - Sample Type 1'!HL46,"")</f>
        <v>145.9</v>
      </c>
      <c r="AJ47" s="260" t="s">
        <v>510</v>
      </c>
      <c r="AK47" s="151">
        <f>IF(AND('Data Summary'!C174="PASS",'Data - Sample Type 1'!HS46&lt;&gt;0),'Data - Sample Type 1'!HS46,"")</f>
        <v>69.2</v>
      </c>
      <c r="AL47" s="261" t="str">
        <f>IF(AND(AL43&gt;=Specifications!$C$35,AL43&lt;=Specifications!$D$35),"PASS","FAIL")</f>
        <v>PASS</v>
      </c>
      <c r="AM47" s="191">
        <f>IF(AND('Data Summary'!C174="PASS",AK47&lt;&gt;""),'Data - Sample Type 1'!HT46,"")</f>
        <v>88.8</v>
      </c>
      <c r="AN47" s="260" t="s">
        <v>510</v>
      </c>
      <c r="AO47" s="194">
        <f>IF('Data Summary'!C174="PASS",IF('Data - Sample Type 1'!DK46=0,"",'Data - Sample Type 1'!DK46),"")</f>
        <v>24.9</v>
      </c>
      <c r="AP47" s="261" t="str">
        <f>IF(AP43&lt;=Specifications!$D$37,"PASS","FAIL")</f>
        <v>PASS</v>
      </c>
      <c r="AQ47" s="151">
        <f>IF('Data Summary'!C174="PASS",IF('Data - Sample Type 1'!DY46=0,"",'Data - Sample Type 1'!DY46),"")</f>
        <v>21.7</v>
      </c>
      <c r="AR47" s="261" t="str">
        <f>IF(AR43&lt;=Specifications!$D$38,"PASS","FAIL")</f>
        <v>PASS</v>
      </c>
      <c r="AS47" s="151">
        <f>IF('Data Summary'!C174="PASS",IF('Data - Sample Type 1'!EM46=0,"",'Data - Sample Type 1'!EM46),"")</f>
        <v>25.6</v>
      </c>
      <c r="AT47" s="272" t="str">
        <f>IF(AT43&lt;=Specifications!$D$39,"PASS","FAIL")</f>
        <v>PASS</v>
      </c>
      <c r="AW47" s="65"/>
      <c r="AY47" s="257"/>
      <c r="BA47" s="257"/>
      <c r="BB47" s="96"/>
      <c r="BC47" s="96"/>
      <c r="BE47" s="257"/>
      <c r="BF47" s="96"/>
      <c r="BG47" s="96"/>
      <c r="BI47" s="257"/>
      <c r="BK47" s="257"/>
      <c r="BM47" s="257"/>
      <c r="BO47" s="257"/>
      <c r="BQ47" s="257"/>
      <c r="BS47" s="257"/>
      <c r="BU47" s="257"/>
      <c r="BW47" s="257"/>
      <c r="BY47" s="257"/>
    </row>
    <row r="48" spans="2:77" x14ac:dyDescent="0.2">
      <c r="B48"/>
      <c r="C48"/>
      <c r="D48"/>
      <c r="E48" s="276">
        <v>5</v>
      </c>
      <c r="F48" s="151">
        <f>IF('Data Summary'!C70="PASS",IF('Data Summary'!A70="","",'Data - Sample Type 0'!Q47),"")</f>
        <v>27.4</v>
      </c>
      <c r="G48" s="272" t="str">
        <f>IF(G43&lt;=Specifications!$G$20,"PASS","FAIL")</f>
        <v>PASS</v>
      </c>
      <c r="H48"/>
      <c r="I48"/>
      <c r="J48" s="276"/>
      <c r="K48" s="151">
        <f>IF(AND('Data Summary'!C175="PASS",'Data - Sample Type 1'!FO47&lt;&gt;0),'Data - Sample Type 1'!FO47,"")</f>
        <v>75.7</v>
      </c>
      <c r="L48" s="261"/>
      <c r="M48" s="102">
        <f>IF('Data Summary'!C175="PASS",IF('Data - Sample Type 1'!AE47=0,"",'Data - Sample Type 1'!AE47),"")</f>
        <v>25.8</v>
      </c>
      <c r="N48" s="261"/>
      <c r="O48" s="151">
        <f>IF(AND('Data Summary'!C175="PASS",'Data - Sample Type 1'!FW47&lt;&gt;0),'Data - Sample Type 1'!FW47,"")</f>
        <v>73.099999999999994</v>
      </c>
      <c r="P48" s="261"/>
      <c r="Q48" s="191">
        <f>IF(AND('Data Summary'!C175="PASS",O48&lt;&gt;""),'Data - Sample Type 1'!FX47,"")</f>
        <v>95.2</v>
      </c>
      <c r="R48" s="261"/>
      <c r="S48" s="151">
        <f>IF(AND('Data Summary'!C175="PASS",'Data - Sample Type 1'!GE47&lt;&gt;0),'Data - Sample Type 1'!GE47,"")</f>
        <v>71</v>
      </c>
      <c r="T48" s="261"/>
      <c r="U48" s="191">
        <f>IF(AND('Data Summary'!C175="PASS",S48&lt;&gt;""),'Data - Sample Type 1'!GF47,"")</f>
        <v>252.6</v>
      </c>
      <c r="V48" s="261"/>
      <c r="W48" s="151">
        <f>IF('Data Summary'!C175="PASS",IF('Data - Sample Type 1'!BG47=0,"",'Data - Sample Type 1'!BG47),"")</f>
        <v>20.399999999999999</v>
      </c>
      <c r="X48" s="261"/>
      <c r="Y48" s="194">
        <f>IF(AND('Data Summary'!C175="PASS",'Data - Sample Type 1'!GM47&lt;&gt;0),'Data - Sample Type 1'!GM47,"")</f>
        <v>68</v>
      </c>
      <c r="Z48" s="261"/>
      <c r="AA48" s="151">
        <f>IF('Data Summary'!C175="PASS",IF('Data - Sample Type 1'!BU47=0,"",'Data - Sample Type 1'!BU47),"")</f>
        <v>28.3</v>
      </c>
      <c r="AB48" s="261"/>
      <c r="AC48" s="151">
        <f>IF(AND('Data Summary'!C175="PASS",'Data - Sample Type 1'!HC47&lt;&gt;0),'Data - Sample Type 1'!HC47,"")</f>
        <v>70.099999999999994</v>
      </c>
      <c r="AD48" s="261"/>
      <c r="AE48" s="191">
        <f>IF(AND('Data Summary'!C175="PASS",AC48&lt;&gt;""),'Data - Sample Type 1'!HD47,"")</f>
        <v>77.400000000000006</v>
      </c>
      <c r="AF48" s="261"/>
      <c r="AG48" s="151">
        <f>IF(AND('Data Summary'!C175="PASS",'Data - Sample Type 1'!HK47&lt;&gt;0),'Data - Sample Type 1'!HK47,"")</f>
        <v>70.599999999999994</v>
      </c>
      <c r="AH48" s="261"/>
      <c r="AI48" s="191">
        <f>IF(AND('Data Summary'!C175="PASS",AG48&lt;&gt;""),'Data - Sample Type 1'!HL47,"")</f>
        <v>145.80000000000001</v>
      </c>
      <c r="AJ48" s="261"/>
      <c r="AK48" s="151">
        <f>IF(AND('Data Summary'!C175="PASS",'Data - Sample Type 1'!HS47&lt;&gt;0),'Data - Sample Type 1'!HS47,"")</f>
        <v>68.900000000000006</v>
      </c>
      <c r="AL48" s="261"/>
      <c r="AM48" s="191">
        <f>IF(AND('Data Summary'!C175="PASS",AK48&lt;&gt;""),'Data - Sample Type 1'!HT47,"")</f>
        <v>132.80000000000001</v>
      </c>
      <c r="AN48" s="261"/>
      <c r="AO48" s="194">
        <f>IF('Data Summary'!C175="PASS",IF('Data - Sample Type 1'!DK47=0,"",'Data - Sample Type 1'!DK47),"")</f>
        <v>23.3</v>
      </c>
      <c r="AP48" s="261"/>
      <c r="AQ48" s="151">
        <f>IF('Data Summary'!C175="PASS",IF('Data - Sample Type 1'!DY47=0,"",'Data - Sample Type 1'!DY47),"")</f>
        <v>21.5</v>
      </c>
      <c r="AR48" s="261"/>
      <c r="AS48" s="151">
        <f>IF('Data Summary'!C175="PASS",IF('Data - Sample Type 1'!EM47=0,"",'Data - Sample Type 1'!EM47),"")</f>
        <v>26.5</v>
      </c>
      <c r="AT48" s="272"/>
      <c r="AW48" s="65"/>
      <c r="AY48" s="257"/>
      <c r="BA48" s="257"/>
      <c r="BB48" s="96"/>
      <c r="BC48" s="96"/>
      <c r="BE48" s="257"/>
      <c r="BF48" s="96"/>
      <c r="BG48" s="96"/>
      <c r="BI48" s="257"/>
      <c r="BK48" s="257"/>
      <c r="BM48" s="257"/>
      <c r="BO48" s="257"/>
      <c r="BQ48" s="257"/>
      <c r="BS48" s="257"/>
      <c r="BU48" s="257"/>
      <c r="BW48" s="257"/>
      <c r="BY48" s="257"/>
    </row>
    <row r="49" spans="2:77" x14ac:dyDescent="0.2">
      <c r="B49"/>
      <c r="C49"/>
      <c r="D49"/>
      <c r="E49" s="276"/>
      <c r="F49" s="151">
        <f>IF('Data Summary'!C71="PASS",IF('Data Summary'!A71="","",'Data - Sample Type 0'!Q48),"")</f>
        <v>29.7</v>
      </c>
      <c r="G49" s="272"/>
      <c r="H49"/>
      <c r="I49"/>
      <c r="J49" s="276"/>
      <c r="K49" s="151">
        <f>IF(AND('Data Summary'!C176="PASS",'Data - Sample Type 1'!FO48&lt;&gt;0),'Data - Sample Type 1'!FO48,"")</f>
        <v>76</v>
      </c>
      <c r="L49" s="261"/>
      <c r="M49" s="102">
        <f>IF('Data Summary'!C176="PASS",IF('Data - Sample Type 1'!AE48=0,"",'Data - Sample Type 1'!AE48),"")</f>
        <v>24.1</v>
      </c>
      <c r="N49" s="261"/>
      <c r="O49" s="151">
        <f>IF(AND('Data Summary'!C176="PASS",'Data - Sample Type 1'!FW48&lt;&gt;0),'Data - Sample Type 1'!FW48,"")</f>
        <v>73.5</v>
      </c>
      <c r="P49" s="261"/>
      <c r="Q49" s="191">
        <f>IF(AND('Data Summary'!C176="PASS",O49&lt;&gt;""),'Data - Sample Type 1'!FX48,"")</f>
        <v>92.4</v>
      </c>
      <c r="R49" s="261"/>
      <c r="S49" s="151">
        <f>IF(AND('Data Summary'!C176="PASS",'Data - Sample Type 1'!GE48&lt;&gt;0),'Data - Sample Type 1'!GE48,"")</f>
        <v>71.2</v>
      </c>
      <c r="T49" s="261"/>
      <c r="U49" s="191">
        <f>IF(AND('Data Summary'!C176="PASS",S49&lt;&gt;""),'Data - Sample Type 1'!GF48,"")</f>
        <v>223.2</v>
      </c>
      <c r="V49" s="261"/>
      <c r="W49" s="151">
        <f>IF('Data Summary'!C176="PASS",IF('Data - Sample Type 1'!BG48=0,"",'Data - Sample Type 1'!BG48),"")</f>
        <v>21.7</v>
      </c>
      <c r="X49" s="261"/>
      <c r="Y49" s="194">
        <f>IF(AND('Data Summary'!C176="PASS",'Data - Sample Type 1'!GM48&lt;&gt;0),'Data - Sample Type 1'!GM48,"")</f>
        <v>68.400000000000006</v>
      </c>
      <c r="Z49" s="261"/>
      <c r="AA49" s="151">
        <f>IF('Data Summary'!C176="PASS",IF('Data - Sample Type 1'!BU48=0,"",'Data - Sample Type 1'!BU48),"")</f>
        <v>28.6</v>
      </c>
      <c r="AB49" s="261"/>
      <c r="AC49" s="151">
        <f>IF(AND('Data Summary'!C176="PASS",'Data - Sample Type 1'!HC48&lt;&gt;0),'Data - Sample Type 1'!HC48,"")</f>
        <v>70.3</v>
      </c>
      <c r="AD49" s="261"/>
      <c r="AE49" s="191">
        <f>IF(AND('Data Summary'!C176="PASS",AC49&lt;&gt;""),'Data - Sample Type 1'!HD48,"")</f>
        <v>75.8</v>
      </c>
      <c r="AF49" s="261"/>
      <c r="AG49" s="151">
        <f>IF(AND('Data Summary'!C176="PASS",'Data - Sample Type 1'!HK48&lt;&gt;0),'Data - Sample Type 1'!HK48,"")</f>
        <v>70.8</v>
      </c>
      <c r="AH49" s="261"/>
      <c r="AI49" s="191">
        <f>IF(AND('Data Summary'!C176="PASS",AG49&lt;&gt;""),'Data - Sample Type 1'!HL48,"")</f>
        <v>117.3</v>
      </c>
      <c r="AJ49" s="261"/>
      <c r="AK49" s="151">
        <f>IF(AND('Data Summary'!C176="PASS",'Data - Sample Type 1'!HS48&lt;&gt;0),'Data - Sample Type 1'!HS48,"")</f>
        <v>69.2</v>
      </c>
      <c r="AL49" s="261"/>
      <c r="AM49" s="191">
        <f>IF(AND('Data Summary'!C176="PASS",AK49&lt;&gt;""),'Data - Sample Type 1'!HT48,"")</f>
        <v>82.1</v>
      </c>
      <c r="AN49" s="261"/>
      <c r="AO49" s="194">
        <f>IF('Data Summary'!C176="PASS",IF('Data - Sample Type 1'!DK48=0,"",'Data - Sample Type 1'!DK48),"")</f>
        <v>24.9</v>
      </c>
      <c r="AP49" s="261"/>
      <c r="AQ49" s="151">
        <f>IF('Data Summary'!C176="PASS",IF('Data - Sample Type 1'!DY48=0,"",'Data - Sample Type 1'!DY48),"")</f>
        <v>21.4</v>
      </c>
      <c r="AR49" s="261"/>
      <c r="AS49" s="151">
        <f>IF('Data Summary'!C176="PASS",IF('Data - Sample Type 1'!EM48=0,"",'Data - Sample Type 1'!EM48),"")</f>
        <v>27.7</v>
      </c>
      <c r="AT49" s="272"/>
      <c r="AW49" s="65"/>
      <c r="AY49" s="257"/>
      <c r="BA49" s="257"/>
      <c r="BB49" s="96"/>
      <c r="BC49" s="96"/>
      <c r="BE49" s="257"/>
      <c r="BF49" s="96"/>
      <c r="BG49" s="96"/>
      <c r="BI49" s="257"/>
      <c r="BK49" s="257"/>
      <c r="BM49" s="257"/>
      <c r="BO49" s="257"/>
      <c r="BQ49" s="257"/>
      <c r="BS49" s="257"/>
      <c r="BU49" s="257"/>
      <c r="BW49" s="257"/>
      <c r="BY49" s="257"/>
    </row>
    <row r="50" spans="2:77" ht="14.1" customHeight="1" thickBot="1" x14ac:dyDescent="0.25">
      <c r="B50"/>
      <c r="C50"/>
      <c r="D50"/>
      <c r="E50" s="276"/>
      <c r="F50" s="151">
        <f>IF('Data Summary'!C72="PASS",IF('Data Summary'!A72="","",'Data - Sample Type 0'!Q49),"")</f>
        <v>26.8</v>
      </c>
      <c r="G50" s="272"/>
      <c r="H50"/>
      <c r="I50"/>
      <c r="J50" s="278"/>
      <c r="K50" s="155">
        <f>IF(AND('Data Summary'!C177="PASS",'Data - Sample Type 1'!FO49&lt;&gt;0),'Data - Sample Type 1'!FO49,"")</f>
        <v>75.900000000000006</v>
      </c>
      <c r="L50" s="268"/>
      <c r="M50" s="171">
        <f>IF('Data Summary'!C177="PASS",IF('Data - Sample Type 1'!AE49=0,"",'Data - Sample Type 1'!AE49),"")</f>
        <v>28.4</v>
      </c>
      <c r="N50" s="268"/>
      <c r="O50" s="155">
        <f>IF(AND('Data Summary'!C177="PASS",'Data - Sample Type 1'!FW49&lt;&gt;0),'Data - Sample Type 1'!FW49,"")</f>
        <v>73.400000000000006</v>
      </c>
      <c r="P50" s="268"/>
      <c r="Q50" s="193">
        <f>IF(AND('Data Summary'!C177="PASS",O50&lt;&gt;""),'Data - Sample Type 1'!FX49,"")</f>
        <v>114.2</v>
      </c>
      <c r="R50" s="268"/>
      <c r="S50" s="155">
        <f>IF(AND('Data Summary'!C177="PASS",'Data - Sample Type 1'!GE49&lt;&gt;0),'Data - Sample Type 1'!GE49,"")</f>
        <v>71.2</v>
      </c>
      <c r="T50" s="268"/>
      <c r="U50" s="193">
        <f>IF(AND('Data Summary'!C177="PASS",S50&lt;&gt;""),'Data - Sample Type 1'!GF49,"")</f>
        <v>250.4</v>
      </c>
      <c r="V50" s="268"/>
      <c r="W50" s="155">
        <f>IF('Data Summary'!C177="PASS",IF('Data - Sample Type 1'!BG49=0,"",'Data - Sample Type 1'!BG49),"")</f>
        <v>23.8</v>
      </c>
      <c r="X50" s="268"/>
      <c r="Y50" s="197">
        <f>IF(AND('Data Summary'!C177="PASS",'Data - Sample Type 1'!GM49&lt;&gt;0),'Data - Sample Type 1'!GM49,"")</f>
        <v>68.3</v>
      </c>
      <c r="Z50" s="268"/>
      <c r="AA50" s="155">
        <f>IF('Data Summary'!C177="PASS",IF('Data - Sample Type 1'!BU49=0,"",'Data - Sample Type 1'!BU49),"")</f>
        <v>32.200000000000003</v>
      </c>
      <c r="AB50" s="268"/>
      <c r="AC50" s="155">
        <f>IF(AND('Data Summary'!C177="PASS",'Data - Sample Type 1'!HC49&lt;&gt;0),'Data - Sample Type 1'!HC49,"")</f>
        <v>70.2</v>
      </c>
      <c r="AD50" s="268"/>
      <c r="AE50" s="193">
        <f>IF(AND('Data Summary'!C177="PASS",AC50&lt;&gt;""),'Data - Sample Type 1'!HD49,"")</f>
        <v>78.599999999999994</v>
      </c>
      <c r="AF50" s="268"/>
      <c r="AG50" s="155">
        <f>IF(AND('Data Summary'!C177="PASS",'Data - Sample Type 1'!HK49&lt;&gt;0),'Data - Sample Type 1'!HK49,"")</f>
        <v>70.8</v>
      </c>
      <c r="AH50" s="268"/>
      <c r="AI50" s="193">
        <f>IF(AND('Data Summary'!C177="PASS",AG50&lt;&gt;""),'Data - Sample Type 1'!HL49,"")</f>
        <v>135.6</v>
      </c>
      <c r="AJ50" s="268"/>
      <c r="AK50" s="155">
        <f>IF(AND('Data Summary'!C177="PASS",'Data - Sample Type 1'!HS49&lt;&gt;0),'Data - Sample Type 1'!HS49,"")</f>
        <v>69.099999999999994</v>
      </c>
      <c r="AL50" s="268"/>
      <c r="AM50" s="193">
        <f>IF(AND('Data Summary'!C177="PASS",AK50&lt;&gt;""),'Data - Sample Type 1'!HT49,"")</f>
        <v>94.6</v>
      </c>
      <c r="AN50" s="268"/>
      <c r="AO50" s="197">
        <f>IF('Data Summary'!C177="PASS",IF('Data - Sample Type 1'!DK49=0,"",'Data - Sample Type 1'!DK49),"")</f>
        <v>25.6</v>
      </c>
      <c r="AP50" s="268"/>
      <c r="AQ50" s="155">
        <f>IF('Data Summary'!C177="PASS",IF('Data - Sample Type 1'!DY49=0,"",'Data - Sample Type 1'!DY49),"")</f>
        <v>22.5</v>
      </c>
      <c r="AR50" s="268"/>
      <c r="AS50" s="155">
        <f>IF('Data Summary'!C177="PASS",IF('Data - Sample Type 1'!EM49=0,"",'Data - Sample Type 1'!EM49),"")</f>
        <v>27.5</v>
      </c>
      <c r="AT50" s="273"/>
      <c r="AW50" s="65"/>
      <c r="AY50" s="257"/>
      <c r="BA50" s="257"/>
      <c r="BB50" s="96"/>
      <c r="BC50" s="96"/>
      <c r="BE50" s="257"/>
      <c r="BF50" s="96"/>
      <c r="BG50" s="96"/>
      <c r="BI50" s="257"/>
      <c r="BK50" s="257"/>
      <c r="BM50" s="257"/>
      <c r="BO50" s="257"/>
      <c r="BQ50" s="257"/>
      <c r="BS50" s="257"/>
      <c r="BU50" s="257"/>
      <c r="BW50" s="257"/>
      <c r="BY50" s="257"/>
    </row>
    <row r="51" spans="2:77" x14ac:dyDescent="0.2">
      <c r="B51"/>
      <c r="C51"/>
      <c r="D51"/>
      <c r="E51" s="276"/>
      <c r="F51" s="151">
        <f>IF('Data Summary'!C73="PASS",IF('Data Summary'!A73="","",'Data - Sample Type 0'!Q50),"")</f>
        <v>26.5</v>
      </c>
      <c r="G51" s="272"/>
      <c r="H51"/>
      <c r="I51"/>
      <c r="J51" s="275">
        <v>7</v>
      </c>
      <c r="K51" s="154">
        <f>IF(AND('Data Summary'!C178="PASS",'Data - Sample Type 1'!FO50&lt;&gt;0),'Data - Sample Type 1'!FO50,"")</f>
        <v>75.8</v>
      </c>
      <c r="L51" s="258">
        <f t="shared" ref="L51" si="93">AVERAGE(K51:K58)</f>
        <v>75.924999999999997</v>
      </c>
      <c r="M51" s="170">
        <f>IF('Data Summary'!C178="PASS",IF('Data - Sample Type 1'!AE50=0,"",'Data - Sample Type 1'!AE50),"")</f>
        <v>24.2</v>
      </c>
      <c r="N51" s="258">
        <f t="shared" ref="N51" si="94">AVERAGE(M51:M58)</f>
        <v>25.099999999999998</v>
      </c>
      <c r="O51" s="154">
        <f>IF(AND('Data Summary'!C178="PASS",'Data - Sample Type 1'!FW50&lt;&gt;0),'Data - Sample Type 1'!FW50,"")</f>
        <v>73.3</v>
      </c>
      <c r="P51" s="258">
        <f t="shared" ref="P51" si="95">AVERAGE(O51:O58)</f>
        <v>73.375</v>
      </c>
      <c r="Q51" s="190">
        <f>IF(AND('Data Summary'!C178="PASS",O51&lt;&gt;""),'Data - Sample Type 1'!FX50,"")</f>
        <v>89.2</v>
      </c>
      <c r="R51" s="263">
        <f t="shared" ref="R51" si="96">AVERAGE(Q51:Q58)</f>
        <v>96.774999999999991</v>
      </c>
      <c r="S51" s="154">
        <f>IF(AND('Data Summary'!C178="PASS",'Data - Sample Type 1'!GE50&lt;&gt;0),'Data - Sample Type 1'!GE50,"")</f>
        <v>71.099999999999994</v>
      </c>
      <c r="T51" s="265">
        <f t="shared" ref="T51" si="97">AVERAGE(S51:S58)</f>
        <v>71.162499999999994</v>
      </c>
      <c r="U51" s="190">
        <f>IF(AND('Data Summary'!C178="PASS",S51&lt;&gt;""),'Data - Sample Type 1'!GF50,"")</f>
        <v>227</v>
      </c>
      <c r="V51" s="263">
        <f t="shared" ref="V51" si="98">AVERAGE(U51:U58)</f>
        <v>243.88749999999999</v>
      </c>
      <c r="W51" s="154">
        <f>IF('Data Summary'!C178="PASS",IF('Data - Sample Type 1'!BG50=0,"",'Data - Sample Type 1'!BG50),"")</f>
        <v>22.2</v>
      </c>
      <c r="X51" s="265">
        <f t="shared" ref="X51" si="99">AVERAGE(W51:W58)</f>
        <v>22.287499999999998</v>
      </c>
      <c r="Y51" s="196">
        <f>IF(AND('Data Summary'!C178="PASS",'Data - Sample Type 1'!GM50&lt;&gt;0),'Data - Sample Type 1'!GM50,"")</f>
        <v>68.2</v>
      </c>
      <c r="Z51" s="265">
        <f t="shared" ref="Z51" si="100">AVERAGE(Y51:Y58)</f>
        <v>68.337500000000006</v>
      </c>
      <c r="AA51" s="154">
        <f>IF('Data Summary'!C178="PASS",IF('Data - Sample Type 1'!BU50=0,"",'Data - Sample Type 1'!BU50),"")</f>
        <v>28.6</v>
      </c>
      <c r="AB51" s="265">
        <f t="shared" ref="AB51" si="101">AVERAGE(AA51:AA58)</f>
        <v>29.662500000000001</v>
      </c>
      <c r="AC51" s="154">
        <f>IF(AND('Data Summary'!C178="PASS",'Data - Sample Type 1'!HC50&lt;&gt;0),'Data - Sample Type 1'!HC50,"")</f>
        <v>70.2</v>
      </c>
      <c r="AD51" s="265">
        <f t="shared" ref="AD51" si="102">AVERAGE(AC51:AC58)</f>
        <v>70.212500000000006</v>
      </c>
      <c r="AE51" s="190">
        <f>IF(AND('Data Summary'!C178="PASS",AC51&lt;&gt;""),'Data - Sample Type 1'!HD50,"")</f>
        <v>78.2</v>
      </c>
      <c r="AF51" s="263">
        <f t="shared" ref="AF51" si="103">AVERAGE(AE51:AE58)</f>
        <v>79.899999999999991</v>
      </c>
      <c r="AG51" s="154">
        <f>IF(AND('Data Summary'!C178="PASS",'Data - Sample Type 1'!HK50&lt;&gt;0),'Data - Sample Type 1'!HK50,"")</f>
        <v>70.8</v>
      </c>
      <c r="AH51" s="265">
        <f t="shared" ref="AH51" si="104">AVERAGE(AG51:AG58)</f>
        <v>70.8125</v>
      </c>
      <c r="AI51" s="190">
        <f>IF(AND('Data Summary'!C178="PASS",AG51&lt;&gt;""),'Data - Sample Type 1'!HL50,"")</f>
        <v>120.4</v>
      </c>
      <c r="AJ51" s="263">
        <f t="shared" ref="AJ51" si="105">AVERAGE(AI51:AI58)</f>
        <v>132.3125</v>
      </c>
      <c r="AK51" s="154">
        <f>IF(AND('Data Summary'!C178="PASS",'Data - Sample Type 1'!HS50&lt;&gt;0),'Data - Sample Type 1'!HS50,"")</f>
        <v>69</v>
      </c>
      <c r="AL51" s="265">
        <f t="shared" ref="AL51" si="106">AVERAGE(AK51:AK58)</f>
        <v>69.087499999999991</v>
      </c>
      <c r="AM51" s="190">
        <f>IF(AND('Data Summary'!C178="PASS",AK51&lt;&gt;""),'Data - Sample Type 1'!HT50,"")</f>
        <v>86.9</v>
      </c>
      <c r="AN51" s="263">
        <f t="shared" ref="AN51" si="107">AVERAGE(AM51:AM58)</f>
        <v>89.137500000000003</v>
      </c>
      <c r="AO51" s="196">
        <f>IF('Data Summary'!C178="PASS",IF('Data - Sample Type 1'!DK50=0,"",'Data - Sample Type 1'!DK50),"")</f>
        <v>24.3</v>
      </c>
      <c r="AP51" s="265">
        <f t="shared" ref="AP51" si="108">AVERAGE(AO51:AO58)</f>
        <v>24.724999999999998</v>
      </c>
      <c r="AQ51" s="154">
        <f>IF('Data Summary'!C178="PASS",IF('Data - Sample Type 1'!DY50=0,"",'Data - Sample Type 1'!DY50),"")</f>
        <v>21.1</v>
      </c>
      <c r="AR51" s="265">
        <f t="shared" ref="AR51" si="109">AVERAGE(AQ51:AQ58)</f>
        <v>21.65</v>
      </c>
      <c r="AS51" s="154">
        <f>IF('Data Summary'!C178="PASS",IF('Data - Sample Type 1'!EM50=0,"",'Data - Sample Type 1'!EM50),"")</f>
        <v>24.5</v>
      </c>
      <c r="AT51" s="269">
        <f t="shared" ref="AT51" si="110">AVERAGE(AS51:AS58)</f>
        <v>25.8125</v>
      </c>
      <c r="AW51" s="65"/>
      <c r="AY51" s="257"/>
      <c r="BA51" s="257"/>
      <c r="BB51" s="96"/>
      <c r="BC51" s="96"/>
      <c r="BE51" s="257"/>
      <c r="BF51" s="96"/>
      <c r="BG51" s="96"/>
      <c r="BI51" s="257"/>
      <c r="BK51" s="257"/>
      <c r="BM51" s="257"/>
      <c r="BO51" s="257"/>
      <c r="BQ51" s="257"/>
      <c r="BS51" s="257"/>
      <c r="BU51" s="257"/>
      <c r="BW51" s="257"/>
      <c r="BY51" s="257"/>
    </row>
    <row r="52" spans="2:77" ht="14.1" customHeight="1" thickBot="1" x14ac:dyDescent="0.25">
      <c r="B52"/>
      <c r="C52"/>
      <c r="D52"/>
      <c r="E52" s="278"/>
      <c r="F52" s="155">
        <f>IF('Data Summary'!C74="PASS",IF('Data Summary'!A74="","",'Data - Sample Type 0'!Q51),"")</f>
        <v>28.3</v>
      </c>
      <c r="G52" s="274"/>
      <c r="H52"/>
      <c r="I52"/>
      <c r="J52" s="276"/>
      <c r="K52" s="151">
        <f>IF(AND('Data Summary'!C179="PASS",'Data - Sample Type 1'!FO51&lt;&gt;0),'Data - Sample Type 1'!FO51,"")</f>
        <v>75.8</v>
      </c>
      <c r="L52" s="259"/>
      <c r="M52" s="102">
        <f>IF('Data Summary'!C179="PASS",IF('Data - Sample Type 1'!AE51=0,"",'Data - Sample Type 1'!AE51),"")</f>
        <v>26</v>
      </c>
      <c r="N52" s="259"/>
      <c r="O52" s="151">
        <f>IF(AND('Data Summary'!C179="PASS",'Data - Sample Type 1'!FW51&lt;&gt;0),'Data - Sample Type 1'!FW51,"")</f>
        <v>73.2</v>
      </c>
      <c r="P52" s="259"/>
      <c r="Q52" s="191">
        <f>IF(AND('Data Summary'!C179="PASS",O52&lt;&gt;""),'Data - Sample Type 1'!FX51,"")</f>
        <v>105.2</v>
      </c>
      <c r="R52" s="264"/>
      <c r="S52" s="151">
        <f>IF(AND('Data Summary'!C179="PASS",'Data - Sample Type 1'!GE51&lt;&gt;0),'Data - Sample Type 1'!GE51,"")</f>
        <v>71</v>
      </c>
      <c r="T52" s="266"/>
      <c r="U52" s="191">
        <f>IF(AND('Data Summary'!C179="PASS",S52&lt;&gt;""),'Data - Sample Type 1'!GF51,"")</f>
        <v>276.3</v>
      </c>
      <c r="V52" s="264"/>
      <c r="W52" s="151">
        <f>IF('Data Summary'!C179="PASS",IF('Data - Sample Type 1'!BG51=0,"",'Data - Sample Type 1'!BG51),"")</f>
        <v>22.6</v>
      </c>
      <c r="X52" s="266"/>
      <c r="Y52" s="194">
        <f>IF(AND('Data Summary'!C179="PASS",'Data - Sample Type 1'!GM51&lt;&gt;0),'Data - Sample Type 1'!GM51,"")</f>
        <v>68.2</v>
      </c>
      <c r="Z52" s="266"/>
      <c r="AA52" s="151">
        <f>IF('Data Summary'!C179="PASS",IF('Data - Sample Type 1'!BU51=0,"",'Data - Sample Type 1'!BU51),"")</f>
        <v>30.1</v>
      </c>
      <c r="AB52" s="266"/>
      <c r="AC52" s="151">
        <f>IF(AND('Data Summary'!C179="PASS",'Data - Sample Type 1'!HC51&lt;&gt;0),'Data - Sample Type 1'!HC51,"")</f>
        <v>70.099999999999994</v>
      </c>
      <c r="AD52" s="266"/>
      <c r="AE52" s="191">
        <f>IF(AND('Data Summary'!C179="PASS",AC52&lt;&gt;""),'Data - Sample Type 1'!HD51,"")</f>
        <v>76.2</v>
      </c>
      <c r="AF52" s="264"/>
      <c r="AG52" s="151">
        <f>IF(AND('Data Summary'!C179="PASS",'Data - Sample Type 1'!HK51&lt;&gt;0),'Data - Sample Type 1'!HK51,"")</f>
        <v>70.7</v>
      </c>
      <c r="AH52" s="266"/>
      <c r="AI52" s="191">
        <f>IF(AND('Data Summary'!C179="PASS",AG52&lt;&gt;""),'Data - Sample Type 1'!HL51,"")</f>
        <v>138</v>
      </c>
      <c r="AJ52" s="264"/>
      <c r="AK52" s="151">
        <f>IF(AND('Data Summary'!C179="PASS",'Data - Sample Type 1'!HS51&lt;&gt;0),'Data - Sample Type 1'!HS51,"")</f>
        <v>68.900000000000006</v>
      </c>
      <c r="AL52" s="266"/>
      <c r="AM52" s="191">
        <f>IF(AND('Data Summary'!C179="PASS",AK52&lt;&gt;""),'Data - Sample Type 1'!HT51,"")</f>
        <v>92.8</v>
      </c>
      <c r="AN52" s="264"/>
      <c r="AO52" s="194">
        <f>IF('Data Summary'!C179="PASS",IF('Data - Sample Type 1'!DK51=0,"",'Data - Sample Type 1'!DK51),"")</f>
        <v>25.2</v>
      </c>
      <c r="AP52" s="266"/>
      <c r="AQ52" s="151">
        <f>IF('Data Summary'!C179="PASS",IF('Data - Sample Type 1'!DY51=0,"",'Data - Sample Type 1'!DY51),"")</f>
        <v>21.7</v>
      </c>
      <c r="AR52" s="266"/>
      <c r="AS52" s="151">
        <f>IF('Data Summary'!C179="PASS",IF('Data - Sample Type 1'!EM51=0,"",'Data - Sample Type 1'!EM51),"")</f>
        <v>27.2</v>
      </c>
      <c r="AT52" s="270"/>
      <c r="AW52" s="65"/>
      <c r="AY52" s="257"/>
      <c r="BA52" s="257"/>
      <c r="BB52" s="96"/>
      <c r="BC52" s="96"/>
      <c r="BE52" s="257"/>
      <c r="BF52" s="96"/>
      <c r="BG52" s="96"/>
      <c r="BI52" s="257"/>
      <c r="BK52" s="257"/>
      <c r="BM52" s="257"/>
      <c r="BO52" s="257"/>
      <c r="BQ52" s="257"/>
      <c r="BS52" s="257"/>
      <c r="BU52" s="257"/>
      <c r="BW52" s="257"/>
      <c r="BY52" s="257"/>
    </row>
    <row r="53" spans="2:77" x14ac:dyDescent="0.2">
      <c r="B53"/>
      <c r="C53"/>
      <c r="D53"/>
      <c r="E53" s="275">
        <v>6</v>
      </c>
      <c r="F53" s="154">
        <f>IF('Data Summary'!C75="PASS",IF('Data Summary'!A75="","",'Data - Sample Type 0'!Q52),"")</f>
        <v>27.7</v>
      </c>
      <c r="G53" s="279">
        <f t="shared" ref="G53" si="111">AVERAGE(F53:F62)</f>
        <v>28.479999999999997</v>
      </c>
      <c r="H53"/>
      <c r="I53"/>
      <c r="J53" s="276"/>
      <c r="K53" s="151">
        <f>IF(AND('Data Summary'!C180="PASS",'Data - Sample Type 1'!FO52&lt;&gt;0),'Data - Sample Type 1'!FO52,"")</f>
        <v>75.900000000000006</v>
      </c>
      <c r="L53" s="259"/>
      <c r="M53" s="102">
        <f>IF('Data Summary'!C180="PASS",IF('Data - Sample Type 1'!AE52=0,"",'Data - Sample Type 1'!AE52),"")</f>
        <v>26.5</v>
      </c>
      <c r="N53" s="259"/>
      <c r="O53" s="151">
        <f>IF(AND('Data Summary'!C180="PASS",'Data - Sample Type 1'!FW52&lt;&gt;0),'Data - Sample Type 1'!FW52,"")</f>
        <v>73.3</v>
      </c>
      <c r="P53" s="259"/>
      <c r="Q53" s="191">
        <f>IF(AND('Data Summary'!C180="PASS",O53&lt;&gt;""),'Data - Sample Type 1'!FX52,"")</f>
        <v>113.6</v>
      </c>
      <c r="R53" s="264"/>
      <c r="S53" s="151">
        <f>IF(AND('Data Summary'!C180="PASS",'Data - Sample Type 1'!GE52&lt;&gt;0),'Data - Sample Type 1'!GE52,"")</f>
        <v>71.099999999999994</v>
      </c>
      <c r="T53" s="266"/>
      <c r="U53" s="191">
        <f>IF(AND('Data Summary'!C180="PASS",S53&lt;&gt;""),'Data - Sample Type 1'!GF52,"")</f>
        <v>255.9</v>
      </c>
      <c r="V53" s="264"/>
      <c r="W53" s="151">
        <f>IF('Data Summary'!C180="PASS",IF('Data - Sample Type 1'!BG52=0,"",'Data - Sample Type 1'!BG52),"")</f>
        <v>22.2</v>
      </c>
      <c r="X53" s="266"/>
      <c r="Y53" s="194">
        <f>IF(AND('Data Summary'!C180="PASS",'Data - Sample Type 1'!GM52&lt;&gt;0),'Data - Sample Type 1'!GM52,"")</f>
        <v>68.400000000000006</v>
      </c>
      <c r="Z53" s="266"/>
      <c r="AA53" s="151">
        <f>IF('Data Summary'!C180="PASS",IF('Data - Sample Type 1'!BU52=0,"",'Data - Sample Type 1'!BU52),"")</f>
        <v>31.4</v>
      </c>
      <c r="AB53" s="266"/>
      <c r="AC53" s="151">
        <f>IF(AND('Data Summary'!C180="PASS",'Data - Sample Type 1'!HC52&lt;&gt;0),'Data - Sample Type 1'!HC52,"")</f>
        <v>70.099999999999994</v>
      </c>
      <c r="AD53" s="266"/>
      <c r="AE53" s="191">
        <f>IF(AND('Data Summary'!C180="PASS",AC53&lt;&gt;""),'Data - Sample Type 1'!HD52,"")</f>
        <v>81.599999999999994</v>
      </c>
      <c r="AF53" s="264"/>
      <c r="AG53" s="151">
        <f>IF(AND('Data Summary'!C180="PASS",'Data - Sample Type 1'!HK52&lt;&gt;0),'Data - Sample Type 1'!HK52,"")</f>
        <v>70.7</v>
      </c>
      <c r="AH53" s="266"/>
      <c r="AI53" s="191">
        <f>IF(AND('Data Summary'!C180="PASS",AG53&lt;&gt;""),'Data - Sample Type 1'!HL52,"")</f>
        <v>131.6</v>
      </c>
      <c r="AJ53" s="264"/>
      <c r="AK53" s="151">
        <f>IF(AND('Data Summary'!C180="PASS",'Data - Sample Type 1'!HS52&lt;&gt;0),'Data - Sample Type 1'!HS52,"")</f>
        <v>69.099999999999994</v>
      </c>
      <c r="AL53" s="266"/>
      <c r="AM53" s="191">
        <f>IF(AND('Data Summary'!C180="PASS",AK53&lt;&gt;""),'Data - Sample Type 1'!HT52,"")</f>
        <v>97.7</v>
      </c>
      <c r="AN53" s="264"/>
      <c r="AO53" s="194">
        <f>IF('Data Summary'!C180="PASS",IF('Data - Sample Type 1'!DK52=0,"",'Data - Sample Type 1'!DK52),"")</f>
        <v>26.3</v>
      </c>
      <c r="AP53" s="266"/>
      <c r="AQ53" s="151">
        <f>IF('Data Summary'!C180="PASS",IF('Data - Sample Type 1'!DY52=0,"",'Data - Sample Type 1'!DY52),"")</f>
        <v>23.2</v>
      </c>
      <c r="AR53" s="266"/>
      <c r="AS53" s="151">
        <f>IF('Data Summary'!C180="PASS",IF('Data - Sample Type 1'!EM52=0,"",'Data - Sample Type 1'!EM52),"")</f>
        <v>28.3</v>
      </c>
      <c r="AT53" s="270"/>
      <c r="AW53" s="65"/>
      <c r="AY53" s="257"/>
      <c r="BA53" s="257"/>
      <c r="BB53" s="96"/>
      <c r="BC53" s="96"/>
      <c r="BE53" s="257"/>
      <c r="BF53" s="96"/>
      <c r="BG53" s="96"/>
      <c r="BI53" s="257"/>
      <c r="BK53" s="257"/>
      <c r="BM53" s="257"/>
      <c r="BO53" s="257"/>
      <c r="BQ53" s="257"/>
      <c r="BS53" s="257"/>
      <c r="BU53" s="257"/>
      <c r="BW53" s="257"/>
      <c r="BY53" s="257"/>
    </row>
    <row r="54" spans="2:77" x14ac:dyDescent="0.2">
      <c r="B54"/>
      <c r="C54"/>
      <c r="D54"/>
      <c r="E54" s="276"/>
      <c r="F54" s="151">
        <f>IF('Data Summary'!C76="PASS",IF('Data Summary'!A76="","",'Data - Sample Type 0'!Q53),"")</f>
        <v>29.4</v>
      </c>
      <c r="G54" s="280"/>
      <c r="H54"/>
      <c r="I54"/>
      <c r="J54" s="276"/>
      <c r="K54" s="151">
        <f>IF(AND('Data Summary'!C181="PASS",'Data - Sample Type 1'!FO53&lt;&gt;0),'Data - Sample Type 1'!FO53,"")</f>
        <v>76</v>
      </c>
      <c r="L54" s="259"/>
      <c r="M54" s="102">
        <f>IF('Data Summary'!C181="PASS",IF('Data - Sample Type 1'!AE53=0,"",'Data - Sample Type 1'!AE53),"")</f>
        <v>29</v>
      </c>
      <c r="N54" s="259"/>
      <c r="O54" s="151">
        <f>IF(AND('Data Summary'!C181="PASS",'Data - Sample Type 1'!FW53&lt;&gt;0),'Data - Sample Type 1'!FW53,"")</f>
        <v>73.400000000000006</v>
      </c>
      <c r="P54" s="259"/>
      <c r="Q54" s="191">
        <f>IF(AND('Data Summary'!C181="PASS",O54&lt;&gt;""),'Data - Sample Type 1'!FX53,"")</f>
        <v>98.5</v>
      </c>
      <c r="R54" s="264"/>
      <c r="S54" s="151">
        <f>IF(AND('Data Summary'!C181="PASS",'Data - Sample Type 1'!GE53&lt;&gt;0),'Data - Sample Type 1'!GE53,"")</f>
        <v>71.2</v>
      </c>
      <c r="T54" s="267"/>
      <c r="U54" s="191">
        <f>IF(AND('Data Summary'!C181="PASS",S54&lt;&gt;""),'Data - Sample Type 1'!GF53,"")</f>
        <v>236.2</v>
      </c>
      <c r="V54" s="264"/>
      <c r="W54" s="151">
        <f>IF('Data Summary'!C181="PASS",IF('Data - Sample Type 1'!BG53=0,"",'Data - Sample Type 1'!BG53),"")</f>
        <v>25.8</v>
      </c>
      <c r="X54" s="267"/>
      <c r="Y54" s="194">
        <f>IF(AND('Data Summary'!C181="PASS",'Data - Sample Type 1'!GM53&lt;&gt;0),'Data - Sample Type 1'!GM53,"")</f>
        <v>68.400000000000006</v>
      </c>
      <c r="Z54" s="267"/>
      <c r="AA54" s="151">
        <f>IF('Data Summary'!C181="PASS",IF('Data - Sample Type 1'!BU53=0,"",'Data - Sample Type 1'!BU53),"")</f>
        <v>32.4</v>
      </c>
      <c r="AB54" s="267"/>
      <c r="AC54" s="151">
        <f>IF(AND('Data Summary'!C181="PASS",'Data - Sample Type 1'!HC53&lt;&gt;0),'Data - Sample Type 1'!HC53,"")</f>
        <v>70.099999999999994</v>
      </c>
      <c r="AD54" s="267"/>
      <c r="AE54" s="191">
        <f>IF(AND('Data Summary'!C181="PASS",AC54&lt;&gt;""),'Data - Sample Type 1'!HD53,"")</f>
        <v>78.7</v>
      </c>
      <c r="AF54" s="264"/>
      <c r="AG54" s="151">
        <f>IF(AND('Data Summary'!C181="PASS",'Data - Sample Type 1'!HK53&lt;&gt;0),'Data - Sample Type 1'!HK53,"")</f>
        <v>70.7</v>
      </c>
      <c r="AH54" s="267"/>
      <c r="AI54" s="191">
        <f>IF(AND('Data Summary'!C181="PASS",AG54&lt;&gt;""),'Data - Sample Type 1'!HL53,"")</f>
        <v>131.30000000000001</v>
      </c>
      <c r="AJ54" s="264"/>
      <c r="AK54" s="151">
        <f>IF(AND('Data Summary'!C181="PASS",'Data - Sample Type 1'!HS53&lt;&gt;0),'Data - Sample Type 1'!HS53,"")</f>
        <v>69.2</v>
      </c>
      <c r="AL54" s="267"/>
      <c r="AM54" s="191">
        <f>IF(AND('Data Summary'!C181="PASS",AK54&lt;&gt;""),'Data - Sample Type 1'!HT53,"")</f>
        <v>95.1</v>
      </c>
      <c r="AN54" s="264"/>
      <c r="AO54" s="194">
        <f>IF('Data Summary'!C181="PASS",IF('Data - Sample Type 1'!DK53=0,"",'Data - Sample Type 1'!DK53),"")</f>
        <v>26.1</v>
      </c>
      <c r="AP54" s="267"/>
      <c r="AQ54" s="151">
        <f>IF('Data Summary'!C181="PASS",IF('Data - Sample Type 1'!DY53=0,"",'Data - Sample Type 1'!DY53),"")</f>
        <v>22.7</v>
      </c>
      <c r="AR54" s="267"/>
      <c r="AS54" s="151">
        <f>IF('Data Summary'!C181="PASS",IF('Data - Sample Type 1'!EM53=0,"",'Data - Sample Type 1'!EM53),"")</f>
        <v>26.5</v>
      </c>
      <c r="AT54" s="271"/>
      <c r="AW54" s="65"/>
      <c r="AY54" s="257"/>
      <c r="BA54" s="257"/>
      <c r="BB54" s="96"/>
      <c r="BC54" s="96"/>
      <c r="BE54" s="257"/>
      <c r="BF54" s="96"/>
      <c r="BG54" s="96"/>
      <c r="BI54" s="257"/>
      <c r="BK54" s="257"/>
      <c r="BM54" s="257"/>
      <c r="BO54" s="257"/>
      <c r="BQ54" s="257"/>
      <c r="BS54" s="257"/>
      <c r="BU54" s="257"/>
      <c r="BW54" s="257"/>
      <c r="BY54" s="257"/>
    </row>
    <row r="55" spans="2:77" x14ac:dyDescent="0.2">
      <c r="B55"/>
      <c r="C55"/>
      <c r="D55"/>
      <c r="E55" s="276">
        <v>6</v>
      </c>
      <c r="F55" s="151">
        <f>IF('Data Summary'!C77="PASS",IF('Data Summary'!A77="","",'Data - Sample Type 0'!Q54),"")</f>
        <v>29.7</v>
      </c>
      <c r="G55" s="280"/>
      <c r="H55"/>
      <c r="I55"/>
      <c r="J55" s="276"/>
      <c r="K55" s="151">
        <f>IF(AND('Data Summary'!C182="PASS",'Data - Sample Type 1'!FO54&lt;&gt;0),'Data - Sample Type 1'!FO54,"")</f>
        <v>75.7</v>
      </c>
      <c r="L55" s="261" t="str">
        <f>IF(AND(L51&gt;=Specifications!$C$21,L51&lt;=Specifications!$D$21),"PASS","FAIL")</f>
        <v>PASS</v>
      </c>
      <c r="M55" s="102">
        <f>IF('Data Summary'!C182="PASS",IF('Data - Sample Type 1'!AE54=0,"",'Data - Sample Type 1'!AE54),"")</f>
        <v>24.5</v>
      </c>
      <c r="N55" s="261" t="str">
        <f>IF(N51&lt;=Specifications!D$22,"PASS","FAIL")</f>
        <v>PASS</v>
      </c>
      <c r="O55" s="151">
        <f>IF(AND('Data Summary'!C182="PASS",'Data - Sample Type 1'!FW54&lt;&gt;0),'Data - Sample Type 1'!FW54,"")</f>
        <v>73.3</v>
      </c>
      <c r="P55" s="261" t="str">
        <f>IF(AND(P51&gt;=Specifications!$C$23,P51&lt;=Specifications!$D$23),"PASS","FAIL")</f>
        <v>PASS</v>
      </c>
      <c r="Q55" s="191">
        <f>IF(AND('Data Summary'!C182="PASS",O55&lt;&gt;""),'Data - Sample Type 1'!FX54,"")</f>
        <v>109.5</v>
      </c>
      <c r="R55" s="260" t="s">
        <v>510</v>
      </c>
      <c r="S55" s="151">
        <f>IF(AND('Data Summary'!C182="PASS",'Data - Sample Type 1'!GE54&lt;&gt;0),'Data - Sample Type 1'!GE54,"")</f>
        <v>71.099999999999994</v>
      </c>
      <c r="T55" s="261" t="str">
        <f>IF(AND(T51&gt;=Specifications!$C$25,T51&lt;=Specifications!$D$25),"PASS","FAIL")</f>
        <v>PASS</v>
      </c>
      <c r="U55" s="191">
        <f>IF(AND('Data Summary'!C182="PASS",S55&lt;&gt;""),'Data - Sample Type 1'!GF54,"")</f>
        <v>232.2</v>
      </c>
      <c r="V55" s="260" t="s">
        <v>510</v>
      </c>
      <c r="W55" s="151">
        <f>IF('Data Summary'!C182="PASS",IF('Data - Sample Type 1'!BG54=0,"",'Data - Sample Type 1'!BG54),"")</f>
        <v>20.399999999999999</v>
      </c>
      <c r="X55" s="261" t="str">
        <f>IF(X51&lt;=Specifications!D$27,"PASS","FAIL")</f>
        <v>PASS</v>
      </c>
      <c r="Y55" s="194">
        <f>IF(AND('Data Summary'!C182="PASS",'Data - Sample Type 1'!GM54&lt;&gt;0),'Data - Sample Type 1'!GM54,"")</f>
        <v>68</v>
      </c>
      <c r="Z55" s="261" t="str">
        <f>IF(AND(Z51&gt;=Specifications!$C$28,Z51&lt;=Specifications!$D$28),"PASS","FAIL")</f>
        <v>PASS</v>
      </c>
      <c r="AA55" s="151">
        <f>IF('Data Summary'!C182="PASS",IF('Data - Sample Type 1'!BU54=0,"",'Data - Sample Type 1'!BU54),"")</f>
        <v>29.6</v>
      </c>
      <c r="AB55" s="260" t="s">
        <v>510</v>
      </c>
      <c r="AC55" s="151">
        <f>IF(AND('Data Summary'!C182="PASS",'Data - Sample Type 1'!HC54&lt;&gt;0),'Data - Sample Type 1'!HC54,"")</f>
        <v>70.2</v>
      </c>
      <c r="AD55" s="261" t="str">
        <f>IF(AND(AD51&gt;=Specifications!$C$31,AD51&lt;=Specifications!$D$31),"PASS","FAIL")</f>
        <v>PASS</v>
      </c>
      <c r="AE55" s="191">
        <f>IF(AND('Data Summary'!C182="PASS",AC55&lt;&gt;""),'Data - Sample Type 1'!HD54,"")</f>
        <v>75.599999999999994</v>
      </c>
      <c r="AF55" s="260" t="s">
        <v>510</v>
      </c>
      <c r="AG55" s="151">
        <f>IF(AND('Data Summary'!C182="PASS",'Data - Sample Type 1'!HK54&lt;&gt;0),'Data - Sample Type 1'!HK54,"")</f>
        <v>70.8</v>
      </c>
      <c r="AH55" s="261" t="str">
        <f>IF(AND(AH51&gt;=Specifications!$C$33,AH51&lt;=Specifications!$D$33),"PASS","FAIL")</f>
        <v>PASS</v>
      </c>
      <c r="AI55" s="191">
        <f>IF(AND('Data Summary'!C182="PASS",AG55&lt;&gt;""),'Data - Sample Type 1'!HL54,"")</f>
        <v>131.80000000000001</v>
      </c>
      <c r="AJ55" s="260" t="s">
        <v>510</v>
      </c>
      <c r="AK55" s="151">
        <f>IF(AND('Data Summary'!C182="PASS",'Data - Sample Type 1'!HS54&lt;&gt;0),'Data - Sample Type 1'!HS54,"")</f>
        <v>68.8</v>
      </c>
      <c r="AL55" s="261" t="str">
        <f>IF(AND(AL51&gt;=Specifications!$C$35,AL51&lt;=Specifications!$D$35),"PASS","FAIL")</f>
        <v>PASS</v>
      </c>
      <c r="AM55" s="191">
        <f>IF(AND('Data Summary'!C182="PASS",AK55&lt;&gt;""),'Data - Sample Type 1'!HT54,"")</f>
        <v>87.1</v>
      </c>
      <c r="AN55" s="260" t="s">
        <v>510</v>
      </c>
      <c r="AO55" s="194">
        <f>IF('Data Summary'!C182="PASS",IF('Data - Sample Type 1'!DK54=0,"",'Data - Sample Type 1'!DK54),"")</f>
        <v>25.4</v>
      </c>
      <c r="AP55" s="261" t="str">
        <f>IF(AP51&lt;=Specifications!$D$37,"PASS","FAIL")</f>
        <v>PASS</v>
      </c>
      <c r="AQ55" s="151">
        <f>IF('Data Summary'!C182="PASS",IF('Data - Sample Type 1'!DY54=0,"",'Data - Sample Type 1'!DY54),"")</f>
        <v>21.8</v>
      </c>
      <c r="AR55" s="261" t="str">
        <f>IF(AR51&lt;=Specifications!$D$38,"PASS","FAIL")</f>
        <v>PASS</v>
      </c>
      <c r="AS55" s="151">
        <f>IF('Data Summary'!C182="PASS",IF('Data - Sample Type 1'!EM54=0,"",'Data - Sample Type 1'!EM54),"")</f>
        <v>26.6</v>
      </c>
      <c r="AT55" s="272" t="str">
        <f>IF(AT51&lt;=Specifications!$D$39,"PASS","FAIL")</f>
        <v>PASS</v>
      </c>
      <c r="AW55" s="65"/>
      <c r="AY55" s="257"/>
      <c r="BA55" s="257"/>
      <c r="BB55" s="96"/>
      <c r="BC55" s="96"/>
      <c r="BE55" s="257"/>
      <c r="BF55" s="96"/>
      <c r="BG55" s="96"/>
      <c r="BI55" s="257"/>
      <c r="BK55" s="257"/>
      <c r="BM55" s="257"/>
      <c r="BO55" s="257"/>
      <c r="BQ55" s="257"/>
      <c r="BS55" s="257"/>
      <c r="BU55" s="257"/>
      <c r="BW55" s="257"/>
      <c r="BY55" s="257"/>
    </row>
    <row r="56" spans="2:77" x14ac:dyDescent="0.2">
      <c r="B56"/>
      <c r="C56"/>
      <c r="D56"/>
      <c r="E56" s="276"/>
      <c r="F56" s="151">
        <f>IF('Data Summary'!C78="PASS",IF('Data Summary'!A78="","",'Data - Sample Type 0'!Q55),"")</f>
        <v>26.6</v>
      </c>
      <c r="G56" s="280"/>
      <c r="H56"/>
      <c r="I56"/>
      <c r="J56" s="276"/>
      <c r="K56" s="151">
        <f>IF(AND('Data Summary'!C183="PASS",'Data - Sample Type 1'!FO55&lt;&gt;0),'Data - Sample Type 1'!FO55,"")</f>
        <v>76.099999999999994</v>
      </c>
      <c r="L56" s="261"/>
      <c r="M56" s="102">
        <f>IF('Data Summary'!C183="PASS",IF('Data - Sample Type 1'!AE55=0,"",'Data - Sample Type 1'!AE55),"")</f>
        <v>22.3</v>
      </c>
      <c r="N56" s="261"/>
      <c r="O56" s="151">
        <f>IF(AND('Data Summary'!C183="PASS",'Data - Sample Type 1'!FW55&lt;&gt;0),'Data - Sample Type 1'!FW55,"")</f>
        <v>73.599999999999994</v>
      </c>
      <c r="P56" s="261"/>
      <c r="Q56" s="191">
        <f>IF(AND('Data Summary'!C183="PASS",O56&lt;&gt;""),'Data - Sample Type 1'!FX55,"")</f>
        <v>84.6</v>
      </c>
      <c r="R56" s="261"/>
      <c r="S56" s="151">
        <f>IF(AND('Data Summary'!C183="PASS",'Data - Sample Type 1'!GE55&lt;&gt;0),'Data - Sample Type 1'!GE55,"")</f>
        <v>71.3</v>
      </c>
      <c r="T56" s="261"/>
      <c r="U56" s="191">
        <f>IF(AND('Data Summary'!C183="PASS",S56&lt;&gt;""),'Data - Sample Type 1'!GF55,"")</f>
        <v>229</v>
      </c>
      <c r="V56" s="261"/>
      <c r="W56" s="151">
        <f>IF('Data Summary'!C183="PASS",IF('Data - Sample Type 1'!BG55=0,"",'Data - Sample Type 1'!BG55),"")</f>
        <v>21.2</v>
      </c>
      <c r="X56" s="261"/>
      <c r="Y56" s="194">
        <f>IF(AND('Data Summary'!C183="PASS",'Data - Sample Type 1'!GM55&lt;&gt;0),'Data - Sample Type 1'!GM55,"")</f>
        <v>68.5</v>
      </c>
      <c r="Z56" s="261"/>
      <c r="AA56" s="151">
        <f>IF('Data Summary'!C183="PASS",IF('Data - Sample Type 1'!BU55=0,"",'Data - Sample Type 1'!BU55),"")</f>
        <v>27.3</v>
      </c>
      <c r="AB56" s="261"/>
      <c r="AC56" s="151">
        <f>IF(AND('Data Summary'!C183="PASS",'Data - Sample Type 1'!HC55&lt;&gt;0),'Data - Sample Type 1'!HC55,"")</f>
        <v>70.400000000000006</v>
      </c>
      <c r="AD56" s="261"/>
      <c r="AE56" s="191">
        <f>IF(AND('Data Summary'!C183="PASS",AC56&lt;&gt;""),'Data - Sample Type 1'!HD55,"")</f>
        <v>82.1</v>
      </c>
      <c r="AF56" s="261"/>
      <c r="AG56" s="151">
        <f>IF(AND('Data Summary'!C183="PASS",'Data - Sample Type 1'!HK55&lt;&gt;0),'Data - Sample Type 1'!HK55,"")</f>
        <v>71</v>
      </c>
      <c r="AH56" s="261"/>
      <c r="AI56" s="191">
        <f>IF(AND('Data Summary'!C183="PASS",AG56&lt;&gt;""),'Data - Sample Type 1'!HL55,"")</f>
        <v>139.6</v>
      </c>
      <c r="AJ56" s="261"/>
      <c r="AK56" s="151">
        <f>IF(AND('Data Summary'!C183="PASS",'Data - Sample Type 1'!HS55&lt;&gt;0),'Data - Sample Type 1'!HS55,"")</f>
        <v>69.2</v>
      </c>
      <c r="AL56" s="261"/>
      <c r="AM56" s="191">
        <f>IF(AND('Data Summary'!C183="PASS",AK56&lt;&gt;""),'Data - Sample Type 1'!HT55,"")</f>
        <v>83.9</v>
      </c>
      <c r="AN56" s="261"/>
      <c r="AO56" s="194">
        <f>IF('Data Summary'!C183="PASS",IF('Data - Sample Type 1'!DK55=0,"",'Data - Sample Type 1'!DK55),"")</f>
        <v>23.7</v>
      </c>
      <c r="AP56" s="261"/>
      <c r="AQ56" s="151">
        <f>IF('Data Summary'!C183="PASS",IF('Data - Sample Type 1'!DY55=0,"",'Data - Sample Type 1'!DY55),"")</f>
        <v>20.7</v>
      </c>
      <c r="AR56" s="261"/>
      <c r="AS56" s="151">
        <f>IF('Data Summary'!C183="PASS",IF('Data - Sample Type 1'!EM55=0,"",'Data - Sample Type 1'!EM55),"")</f>
        <v>24.8</v>
      </c>
      <c r="AT56" s="272"/>
      <c r="AW56" s="65"/>
      <c r="AY56" s="257"/>
      <c r="BA56" s="257"/>
      <c r="BB56" s="96"/>
      <c r="BC56" s="96"/>
      <c r="BE56" s="257"/>
      <c r="BF56" s="96"/>
      <c r="BG56" s="96"/>
      <c r="BI56" s="257"/>
      <c r="BK56" s="257"/>
      <c r="BM56" s="257"/>
      <c r="BO56" s="257"/>
      <c r="BQ56" s="257"/>
      <c r="BS56" s="257"/>
      <c r="BU56" s="257"/>
      <c r="BW56" s="257"/>
      <c r="BY56" s="257"/>
    </row>
    <row r="57" spans="2:77" ht="14.1" customHeight="1" x14ac:dyDescent="0.2">
      <c r="B57"/>
      <c r="C57"/>
      <c r="D57"/>
      <c r="E57" s="276"/>
      <c r="F57" s="151">
        <f>IF('Data Summary'!C79="PASS",IF('Data Summary'!A79="","",'Data - Sample Type 0'!Q56),"")</f>
        <v>29.2</v>
      </c>
      <c r="G57" s="280"/>
      <c r="H57"/>
      <c r="I57"/>
      <c r="J57" s="276"/>
      <c r="K57" s="151">
        <f>IF(AND('Data Summary'!C184="PASS",'Data - Sample Type 1'!FO56&lt;&gt;0),'Data - Sample Type 1'!FO56,"")</f>
        <v>75.900000000000006</v>
      </c>
      <c r="L57" s="261"/>
      <c r="M57" s="102">
        <f>IF('Data Summary'!C184="PASS",IF('Data - Sample Type 1'!AE56=0,"",'Data - Sample Type 1'!AE56),"")</f>
        <v>25.2</v>
      </c>
      <c r="N57" s="261"/>
      <c r="O57" s="151">
        <f>IF(AND('Data Summary'!C184="PASS",'Data - Sample Type 1'!FW56&lt;&gt;0),'Data - Sample Type 1'!FW56,"")</f>
        <v>73.3</v>
      </c>
      <c r="P57" s="261"/>
      <c r="Q57" s="191">
        <f>IF(AND('Data Summary'!C184="PASS",O57&lt;&gt;""),'Data - Sample Type 1'!FX56,"")</f>
        <v>88.3</v>
      </c>
      <c r="R57" s="261"/>
      <c r="S57" s="151">
        <f>IF(AND('Data Summary'!C184="PASS",'Data - Sample Type 1'!GE56&lt;&gt;0),'Data - Sample Type 1'!GE56,"")</f>
        <v>71.099999999999994</v>
      </c>
      <c r="T57" s="261"/>
      <c r="U57" s="191">
        <f>IF(AND('Data Summary'!C184="PASS",S57&lt;&gt;""),'Data - Sample Type 1'!GF56,"")</f>
        <v>225.6</v>
      </c>
      <c r="V57" s="261"/>
      <c r="W57" s="151">
        <f>IF('Data Summary'!C184="PASS",IF('Data - Sample Type 1'!BG56=0,"",'Data - Sample Type 1'!BG56),"")</f>
        <v>21.8</v>
      </c>
      <c r="X57" s="261"/>
      <c r="Y57" s="194">
        <f>IF(AND('Data Summary'!C184="PASS",'Data - Sample Type 1'!GM56&lt;&gt;0),'Data - Sample Type 1'!GM56,"")</f>
        <v>68.3</v>
      </c>
      <c r="Z57" s="261"/>
      <c r="AA57" s="151">
        <f>IF('Data Summary'!C184="PASS",IF('Data - Sample Type 1'!BU56=0,"",'Data - Sample Type 1'!BU56),"")</f>
        <v>30</v>
      </c>
      <c r="AB57" s="261"/>
      <c r="AC57" s="151">
        <f>IF(AND('Data Summary'!C184="PASS",'Data - Sample Type 1'!HC56&lt;&gt;0),'Data - Sample Type 1'!HC56,"")</f>
        <v>70.2</v>
      </c>
      <c r="AD57" s="261"/>
      <c r="AE57" s="191">
        <f>IF(AND('Data Summary'!C184="PASS",AC57&lt;&gt;""),'Data - Sample Type 1'!HD56,"")</f>
        <v>71.5</v>
      </c>
      <c r="AF57" s="261"/>
      <c r="AG57" s="151">
        <f>IF(AND('Data Summary'!C184="PASS",'Data - Sample Type 1'!HK56&lt;&gt;0),'Data - Sample Type 1'!HK56,"")</f>
        <v>70.8</v>
      </c>
      <c r="AH57" s="261"/>
      <c r="AI57" s="191">
        <f>IF(AND('Data Summary'!C184="PASS",AG57&lt;&gt;""),'Data - Sample Type 1'!HL56,"")</f>
        <v>114.8</v>
      </c>
      <c r="AJ57" s="261"/>
      <c r="AK57" s="151">
        <f>IF(AND('Data Summary'!C184="PASS",'Data - Sample Type 1'!HS56&lt;&gt;0),'Data - Sample Type 1'!HS56,"")</f>
        <v>69.099999999999994</v>
      </c>
      <c r="AL57" s="261"/>
      <c r="AM57" s="191">
        <f>IF(AND('Data Summary'!C184="PASS",AK57&lt;&gt;""),'Data - Sample Type 1'!HT56,"")</f>
        <v>78.900000000000006</v>
      </c>
      <c r="AN57" s="261"/>
      <c r="AO57" s="194">
        <f>IF('Data Summary'!C184="PASS",IF('Data - Sample Type 1'!DK56=0,"",'Data - Sample Type 1'!DK56),"")</f>
        <v>24.2</v>
      </c>
      <c r="AP57" s="261"/>
      <c r="AQ57" s="151">
        <f>IF('Data Summary'!C184="PASS",IF('Data - Sample Type 1'!DY56=0,"",'Data - Sample Type 1'!DY56),"")</f>
        <v>20.9</v>
      </c>
      <c r="AR57" s="261"/>
      <c r="AS57" s="151">
        <f>IF('Data Summary'!C184="PASS",IF('Data - Sample Type 1'!EM56=0,"",'Data - Sample Type 1'!EM56),"")</f>
        <v>26.4</v>
      </c>
      <c r="AT57" s="272"/>
      <c r="AW57" s="65"/>
      <c r="AY57" s="257"/>
      <c r="BA57" s="257"/>
      <c r="BB57" s="96"/>
      <c r="BC57" s="96"/>
      <c r="BE57" s="257"/>
      <c r="BF57" s="96"/>
      <c r="BG57" s="96"/>
      <c r="BI57" s="257"/>
      <c r="BK57" s="257"/>
      <c r="BM57" s="257"/>
      <c r="BO57" s="257"/>
      <c r="BQ57" s="257"/>
      <c r="BS57" s="257"/>
      <c r="BU57" s="257"/>
      <c r="BW57" s="257"/>
      <c r="BY57" s="257"/>
    </row>
    <row r="58" spans="2:77" ht="13.5" thickBot="1" x14ac:dyDescent="0.25">
      <c r="B58"/>
      <c r="C58"/>
      <c r="D58"/>
      <c r="E58" s="276"/>
      <c r="F58" s="151">
        <f>IF('Data Summary'!C80="PASS",IF('Data Summary'!A80="","",'Data - Sample Type 0'!Q57),"")</f>
        <v>29.9</v>
      </c>
      <c r="G58" s="272" t="str">
        <f>IF(G53&lt;=Specifications!$G$20,"PASS","FAIL")</f>
        <v>PASS</v>
      </c>
      <c r="H58"/>
      <c r="I58"/>
      <c r="J58" s="278"/>
      <c r="K58" s="155">
        <f>IF(AND('Data Summary'!C185="PASS",'Data - Sample Type 1'!FO57&lt;&gt;0),'Data - Sample Type 1'!FO57,"")</f>
        <v>76.2</v>
      </c>
      <c r="L58" s="268"/>
      <c r="M58" s="171">
        <f>IF('Data Summary'!C185="PASS",IF('Data - Sample Type 1'!AE57=0,"",'Data - Sample Type 1'!AE57),"")</f>
        <v>23.1</v>
      </c>
      <c r="N58" s="268"/>
      <c r="O58" s="155">
        <f>IF(AND('Data Summary'!C185="PASS",'Data - Sample Type 1'!FW57&lt;&gt;0),'Data - Sample Type 1'!FW57,"")</f>
        <v>73.599999999999994</v>
      </c>
      <c r="P58" s="268"/>
      <c r="Q58" s="193">
        <f>IF(AND('Data Summary'!C185="PASS",O58&lt;&gt;""),'Data - Sample Type 1'!FX57,"")</f>
        <v>85.3</v>
      </c>
      <c r="R58" s="268"/>
      <c r="S58" s="155">
        <f>IF(AND('Data Summary'!C185="PASS",'Data - Sample Type 1'!GE57&lt;&gt;0),'Data - Sample Type 1'!GE57,"")</f>
        <v>71.400000000000006</v>
      </c>
      <c r="T58" s="268"/>
      <c r="U58" s="193">
        <f>IF(AND('Data Summary'!C185="PASS",S58&lt;&gt;""),'Data - Sample Type 1'!GF57,"")</f>
        <v>268.89999999999998</v>
      </c>
      <c r="V58" s="268"/>
      <c r="W58" s="155">
        <f>IF('Data Summary'!C185="PASS",IF('Data - Sample Type 1'!BG57=0,"",'Data - Sample Type 1'!BG57),"")</f>
        <v>22.1</v>
      </c>
      <c r="X58" s="268"/>
      <c r="Y58" s="197">
        <f>IF(AND('Data Summary'!C185="PASS",'Data - Sample Type 1'!GM57&lt;&gt;0),'Data - Sample Type 1'!GM57,"")</f>
        <v>68.7</v>
      </c>
      <c r="Z58" s="268"/>
      <c r="AA58" s="155">
        <f>IF('Data Summary'!C185="PASS",IF('Data - Sample Type 1'!BU57=0,"",'Data - Sample Type 1'!BU57),"")</f>
        <v>27.9</v>
      </c>
      <c r="AB58" s="268"/>
      <c r="AC58" s="155">
        <f>IF(AND('Data Summary'!C185="PASS",'Data - Sample Type 1'!HC57&lt;&gt;0),'Data - Sample Type 1'!HC57,"")</f>
        <v>70.400000000000006</v>
      </c>
      <c r="AD58" s="268"/>
      <c r="AE58" s="193">
        <f>IF(AND('Data Summary'!C185="PASS",AC58&lt;&gt;""),'Data - Sample Type 1'!HD57,"")</f>
        <v>95.3</v>
      </c>
      <c r="AF58" s="268"/>
      <c r="AG58" s="155">
        <f>IF(AND('Data Summary'!C185="PASS",'Data - Sample Type 1'!HK57&lt;&gt;0),'Data - Sample Type 1'!HK57,"")</f>
        <v>71</v>
      </c>
      <c r="AH58" s="268"/>
      <c r="AI58" s="193">
        <f>IF(AND('Data Summary'!C185="PASS",AG58&lt;&gt;""),'Data - Sample Type 1'!HL57,"")</f>
        <v>151</v>
      </c>
      <c r="AJ58" s="268"/>
      <c r="AK58" s="155">
        <f>IF(AND('Data Summary'!C185="PASS",'Data - Sample Type 1'!HS57&lt;&gt;0),'Data - Sample Type 1'!HS57,"")</f>
        <v>69.400000000000006</v>
      </c>
      <c r="AL58" s="268"/>
      <c r="AM58" s="193">
        <f>IF(AND('Data Summary'!C185="PASS",AK58&lt;&gt;""),'Data - Sample Type 1'!HT57,"")</f>
        <v>90.7</v>
      </c>
      <c r="AN58" s="268"/>
      <c r="AO58" s="197">
        <f>IF('Data Summary'!C185="PASS",IF('Data - Sample Type 1'!DK57=0,"",'Data - Sample Type 1'!DK57),"")</f>
        <v>22.6</v>
      </c>
      <c r="AP58" s="268"/>
      <c r="AQ58" s="155">
        <f>IF('Data Summary'!C185="PASS",IF('Data - Sample Type 1'!DY57=0,"",'Data - Sample Type 1'!DY57),"")</f>
        <v>21.1</v>
      </c>
      <c r="AR58" s="268"/>
      <c r="AS58" s="155">
        <f>IF('Data Summary'!C185="PASS",IF('Data - Sample Type 1'!EM57=0,"",'Data - Sample Type 1'!EM57),"")</f>
        <v>22.2</v>
      </c>
      <c r="AT58" s="273"/>
      <c r="AW58" s="65"/>
      <c r="AY58" s="257"/>
      <c r="BA58" s="257"/>
      <c r="BB58" s="96"/>
      <c r="BC58" s="96"/>
      <c r="BE58" s="257"/>
      <c r="BF58" s="96"/>
      <c r="BG58" s="96"/>
      <c r="BI58" s="257"/>
      <c r="BK58" s="257"/>
      <c r="BM58" s="257"/>
      <c r="BO58" s="257"/>
      <c r="BQ58" s="257"/>
      <c r="BS58" s="257"/>
      <c r="BU58" s="257"/>
      <c r="BW58" s="257"/>
      <c r="BY58" s="257"/>
    </row>
    <row r="59" spans="2:77" ht="13.35" customHeight="1" x14ac:dyDescent="0.2">
      <c r="B59"/>
      <c r="C59"/>
      <c r="D59"/>
      <c r="E59" s="276"/>
      <c r="F59" s="151">
        <f>IF('Data Summary'!C81="PASS",IF('Data Summary'!A81="","",'Data - Sample Type 0'!Q58),"")</f>
        <v>27.2</v>
      </c>
      <c r="G59" s="272"/>
      <c r="H59"/>
      <c r="I59"/>
      <c r="J59" s="275">
        <v>8</v>
      </c>
      <c r="K59" s="154">
        <f>IF(AND('Data Summary'!C186="PASS",'Data - Sample Type 1'!FO58&lt;&gt;0),'Data - Sample Type 1'!FO58,"")</f>
        <v>76</v>
      </c>
      <c r="L59" s="258">
        <f t="shared" ref="L59" si="112">AVERAGE(K59:K66)</f>
        <v>76.05</v>
      </c>
      <c r="M59" s="170">
        <f>IF('Data Summary'!C186="PASS",IF('Data - Sample Type 1'!AE58=0,"",'Data - Sample Type 1'!AE58),"")</f>
        <v>21.9</v>
      </c>
      <c r="N59" s="258">
        <f t="shared" ref="N59" si="113">AVERAGE(M59:M66)</f>
        <v>26.287499999999998</v>
      </c>
      <c r="O59" s="154">
        <f>IF(AND('Data Summary'!C186="PASS",'Data - Sample Type 1'!FW58&lt;&gt;0),'Data - Sample Type 1'!FW58,"")</f>
        <v>73.5</v>
      </c>
      <c r="P59" s="258">
        <f t="shared" ref="P59" si="114">AVERAGE(O59:O66)</f>
        <v>73.512500000000003</v>
      </c>
      <c r="Q59" s="190">
        <f>IF(AND('Data Summary'!C186="PASS",O59&lt;&gt;""),'Data - Sample Type 1'!FX58,"")</f>
        <v>79.2</v>
      </c>
      <c r="R59" s="263">
        <f t="shared" ref="R59" si="115">AVERAGE(Q59:Q66)</f>
        <v>86.037499999999994</v>
      </c>
      <c r="S59" s="154">
        <f>IF(AND('Data Summary'!C186="PASS",'Data - Sample Type 1'!GE58&lt;&gt;0),'Data - Sample Type 1'!GE58,"")</f>
        <v>71.2</v>
      </c>
      <c r="T59" s="265">
        <f t="shared" ref="T59" si="116">AVERAGE(S59:S66)</f>
        <v>71.300000000000011</v>
      </c>
      <c r="U59" s="190">
        <f>IF(AND('Data Summary'!C186="PASS",S59&lt;&gt;""),'Data - Sample Type 1'!GF58,"")</f>
        <v>268.7</v>
      </c>
      <c r="V59" s="263">
        <f t="shared" ref="V59" si="117">AVERAGE(U59:U66)</f>
        <v>232.28750000000002</v>
      </c>
      <c r="W59" s="154">
        <f>IF('Data Summary'!C186="PASS",IF('Data - Sample Type 1'!BG58=0,"",'Data - Sample Type 1'!BG58),"")</f>
        <v>21.3</v>
      </c>
      <c r="X59" s="265">
        <f t="shared" ref="X59" si="118">AVERAGE(W59:W66)</f>
        <v>23.187499999999996</v>
      </c>
      <c r="Y59" s="196">
        <f>IF(AND('Data Summary'!C186="PASS",'Data - Sample Type 1'!GM58&lt;&gt;0),'Data - Sample Type 1'!GM58,"")</f>
        <v>68.400000000000006</v>
      </c>
      <c r="Z59" s="265">
        <f t="shared" ref="Z59" si="119">AVERAGE(Y59:Y66)</f>
        <v>68.462500000000006</v>
      </c>
      <c r="AA59" s="154">
        <f>IF('Data Summary'!C186="PASS",IF('Data - Sample Type 1'!BU58=0,"",'Data - Sample Type 1'!BU58),"")</f>
        <v>26.7</v>
      </c>
      <c r="AB59" s="265">
        <f t="shared" ref="AB59" si="120">AVERAGE(AA59:AA66)</f>
        <v>30.487500000000001</v>
      </c>
      <c r="AC59" s="154">
        <f>IF(AND('Data Summary'!C186="PASS",'Data - Sample Type 1'!HC58&lt;&gt;0),'Data - Sample Type 1'!HC58,"")</f>
        <v>70.3</v>
      </c>
      <c r="AD59" s="265">
        <f t="shared" ref="AD59" si="121">AVERAGE(AC59:AC66)</f>
        <v>70.275000000000006</v>
      </c>
      <c r="AE59" s="190">
        <f>IF(AND('Data Summary'!C186="PASS",AC59&lt;&gt;""),'Data - Sample Type 1'!HD58,"")</f>
        <v>78.400000000000006</v>
      </c>
      <c r="AF59" s="263">
        <f t="shared" ref="AF59" si="122">AVERAGE(AE59:AE66)</f>
        <v>73.137500000000003</v>
      </c>
      <c r="AG59" s="154">
        <f>IF(AND('Data Summary'!C186="PASS",'Data - Sample Type 1'!HK58&lt;&gt;0),'Data - Sample Type 1'!HK58,"")</f>
        <v>70.900000000000006</v>
      </c>
      <c r="AH59" s="265">
        <f t="shared" ref="AH59" si="123">AVERAGE(AG59:AG66)</f>
        <v>70.912499999999994</v>
      </c>
      <c r="AI59" s="190">
        <f>IF(AND('Data Summary'!C186="PASS",AG59&lt;&gt;""),'Data - Sample Type 1'!HL58,"")</f>
        <v>139.9</v>
      </c>
      <c r="AJ59" s="263">
        <f t="shared" ref="AJ59" si="124">AVERAGE(AI59:AI66)</f>
        <v>122.325</v>
      </c>
      <c r="AK59" s="154">
        <f>IF(AND('Data Summary'!C186="PASS",'Data - Sample Type 1'!HS58&lt;&gt;0),'Data - Sample Type 1'!HS58,"")</f>
        <v>69.2</v>
      </c>
      <c r="AL59" s="265">
        <f t="shared" ref="AL59" si="125">AVERAGE(AK59:AK66)</f>
        <v>69.25</v>
      </c>
      <c r="AM59" s="190">
        <f>IF(AND('Data Summary'!C186="PASS",AK59&lt;&gt;""),'Data - Sample Type 1'!HT58,"")</f>
        <v>73.099999999999994</v>
      </c>
      <c r="AN59" s="263">
        <f t="shared" ref="AN59" si="126">AVERAGE(AM59:AM66)</f>
        <v>80.449999999999989</v>
      </c>
      <c r="AO59" s="196">
        <f>IF('Data Summary'!C186="PASS",IF('Data - Sample Type 1'!DK58=0,"",'Data - Sample Type 1'!DK58),"")</f>
        <v>24.4</v>
      </c>
      <c r="AP59" s="265">
        <f t="shared" ref="AP59" si="127">AVERAGE(AO59:AO66)</f>
        <v>24.837500000000002</v>
      </c>
      <c r="AQ59" s="154">
        <f>IF('Data Summary'!C186="PASS",IF('Data - Sample Type 1'!DY58=0,"",'Data - Sample Type 1'!DY58),"")</f>
        <v>20.3</v>
      </c>
      <c r="AR59" s="265">
        <f t="shared" ref="AR59" si="128">AVERAGE(AQ59:AQ66)</f>
        <v>21.950000000000003</v>
      </c>
      <c r="AS59" s="154">
        <f>IF('Data Summary'!C186="PASS",IF('Data - Sample Type 1'!EM58=0,"",'Data - Sample Type 1'!EM58),"")</f>
        <v>29.1</v>
      </c>
      <c r="AT59" s="269">
        <f t="shared" ref="AT59" si="129">AVERAGE(AS59:AS66)</f>
        <v>28.524999999999999</v>
      </c>
      <c r="AW59" s="65"/>
      <c r="AY59" s="257"/>
      <c r="BA59" s="257"/>
      <c r="BB59" s="96"/>
      <c r="BC59" s="96"/>
      <c r="BE59" s="257"/>
      <c r="BF59" s="96"/>
      <c r="BG59" s="96"/>
      <c r="BI59" s="257"/>
      <c r="BK59" s="257"/>
      <c r="BM59" s="257"/>
      <c r="BO59" s="257"/>
      <c r="BQ59" s="257"/>
      <c r="BS59" s="257"/>
      <c r="BU59" s="257"/>
      <c r="BW59" s="257"/>
      <c r="BY59" s="257"/>
    </row>
    <row r="60" spans="2:77" x14ac:dyDescent="0.2">
      <c r="B60"/>
      <c r="C60"/>
      <c r="D60"/>
      <c r="E60" s="276"/>
      <c r="F60" s="151">
        <f>IF('Data Summary'!C82="PASS",IF('Data Summary'!A82="","",'Data - Sample Type 0'!Q59),"")</f>
        <v>28.1</v>
      </c>
      <c r="G60" s="272"/>
      <c r="H60"/>
      <c r="I60"/>
      <c r="J60" s="276"/>
      <c r="K60" s="151">
        <f>IF(AND('Data Summary'!C187="PASS",'Data - Sample Type 1'!FO59&lt;&gt;0),'Data - Sample Type 1'!FO59,"")</f>
        <v>76.099999999999994</v>
      </c>
      <c r="L60" s="259"/>
      <c r="M60" s="102">
        <f>IF('Data Summary'!C187="PASS",IF('Data - Sample Type 1'!AE59=0,"",'Data - Sample Type 1'!AE59),"")</f>
        <v>25.8</v>
      </c>
      <c r="N60" s="259"/>
      <c r="O60" s="151">
        <f>IF(AND('Data Summary'!C187="PASS",'Data - Sample Type 1'!FW59&lt;&gt;0),'Data - Sample Type 1'!FW59,"")</f>
        <v>73.5</v>
      </c>
      <c r="P60" s="259"/>
      <c r="Q60" s="191">
        <f>IF(AND('Data Summary'!C187="PASS",O60&lt;&gt;""),'Data - Sample Type 1'!FX59,"")</f>
        <v>97.2</v>
      </c>
      <c r="R60" s="264"/>
      <c r="S60" s="151">
        <f>IF(AND('Data Summary'!C187="PASS",'Data - Sample Type 1'!GE59&lt;&gt;0),'Data - Sample Type 1'!GE59,"")</f>
        <v>71.3</v>
      </c>
      <c r="T60" s="266"/>
      <c r="U60" s="191">
        <f>IF(AND('Data Summary'!C187="PASS",S60&lt;&gt;""),'Data - Sample Type 1'!GF59,"")</f>
        <v>197.9</v>
      </c>
      <c r="V60" s="264"/>
      <c r="W60" s="151">
        <f>IF('Data Summary'!C187="PASS",IF('Data - Sample Type 1'!BG59=0,"",'Data - Sample Type 1'!BG59),"")</f>
        <v>22.7</v>
      </c>
      <c r="X60" s="266"/>
      <c r="Y60" s="194">
        <f>IF(AND('Data Summary'!C187="PASS",'Data - Sample Type 1'!GM59&lt;&gt;0),'Data - Sample Type 1'!GM59,"")</f>
        <v>68.5</v>
      </c>
      <c r="Z60" s="266"/>
      <c r="AA60" s="151">
        <f>IF('Data Summary'!C187="PASS",IF('Data - Sample Type 1'!BU59=0,"",'Data - Sample Type 1'!BU59),"")</f>
        <v>29.8</v>
      </c>
      <c r="AB60" s="266"/>
      <c r="AC60" s="151">
        <f>IF(AND('Data Summary'!C187="PASS",'Data - Sample Type 1'!HC59&lt;&gt;0),'Data - Sample Type 1'!HC59,"")</f>
        <v>70.3</v>
      </c>
      <c r="AD60" s="266"/>
      <c r="AE60" s="191">
        <f>IF(AND('Data Summary'!C187="PASS",AC60&lt;&gt;""),'Data - Sample Type 1'!HD59,"")</f>
        <v>69</v>
      </c>
      <c r="AF60" s="264"/>
      <c r="AG60" s="151">
        <f>IF(AND('Data Summary'!C187="PASS",'Data - Sample Type 1'!HK59&lt;&gt;0),'Data - Sample Type 1'!HK59,"")</f>
        <v>70.900000000000006</v>
      </c>
      <c r="AH60" s="266"/>
      <c r="AI60" s="191">
        <f>IF(AND('Data Summary'!C187="PASS",AG60&lt;&gt;""),'Data - Sample Type 1'!HL59,"")</f>
        <v>112.5</v>
      </c>
      <c r="AJ60" s="264"/>
      <c r="AK60" s="151">
        <f>IF(AND('Data Summary'!C187="PASS",'Data - Sample Type 1'!HS59&lt;&gt;0),'Data - Sample Type 1'!HS59,"")</f>
        <v>69.3</v>
      </c>
      <c r="AL60" s="266"/>
      <c r="AM60" s="191">
        <f>IF(AND('Data Summary'!C187="PASS",AK60&lt;&gt;""),'Data - Sample Type 1'!HT59,"")</f>
        <v>71.8</v>
      </c>
      <c r="AN60" s="264"/>
      <c r="AO60" s="194">
        <f>IF('Data Summary'!C187="PASS",IF('Data - Sample Type 1'!DK59=0,"",'Data - Sample Type 1'!DK59),"")</f>
        <v>24.3</v>
      </c>
      <c r="AP60" s="266"/>
      <c r="AQ60" s="151">
        <f>IF('Data Summary'!C187="PASS",IF('Data - Sample Type 1'!DY59=0,"",'Data - Sample Type 1'!DY59),"")</f>
        <v>21.5</v>
      </c>
      <c r="AR60" s="266"/>
      <c r="AS60" s="151">
        <f>IF('Data Summary'!C187="PASS",IF('Data - Sample Type 1'!EM59=0,"",'Data - Sample Type 1'!EM59),"")</f>
        <v>26.1</v>
      </c>
      <c r="AT60" s="270"/>
      <c r="AW60" s="65"/>
      <c r="AY60" s="257"/>
      <c r="BA60" s="257"/>
      <c r="BB60" s="96"/>
      <c r="BC60" s="96"/>
      <c r="BE60" s="257"/>
      <c r="BF60" s="96"/>
      <c r="BG60" s="96"/>
      <c r="BI60" s="257"/>
      <c r="BK60" s="257"/>
      <c r="BM60" s="257"/>
      <c r="BO60" s="257"/>
      <c r="BQ60" s="257"/>
      <c r="BS60" s="257"/>
      <c r="BU60" s="257"/>
      <c r="BW60" s="257"/>
      <c r="BY60" s="257"/>
    </row>
    <row r="61" spans="2:77" x14ac:dyDescent="0.2">
      <c r="B61"/>
      <c r="C61"/>
      <c r="D61"/>
      <c r="E61" s="276"/>
      <c r="F61" s="151">
        <f>IF('Data Summary'!C83="PASS",IF('Data Summary'!A83="","",'Data - Sample Type 0'!Q60),"")</f>
        <v>28.1</v>
      </c>
      <c r="G61" s="272"/>
      <c r="H61"/>
      <c r="I61"/>
      <c r="J61" s="276"/>
      <c r="K61" s="151">
        <f>IF(AND('Data Summary'!C188="PASS",'Data - Sample Type 1'!FO60&lt;&gt;0),'Data - Sample Type 1'!FO60,"")</f>
        <v>76.099999999999994</v>
      </c>
      <c r="L61" s="259"/>
      <c r="M61" s="102">
        <f>IF('Data Summary'!C188="PASS",IF('Data - Sample Type 1'!AE60=0,"",'Data - Sample Type 1'!AE60),"")</f>
        <v>25.3</v>
      </c>
      <c r="N61" s="259"/>
      <c r="O61" s="151">
        <f>IF(AND('Data Summary'!C188="PASS",'Data - Sample Type 1'!FW60&lt;&gt;0),'Data - Sample Type 1'!FW60,"")</f>
        <v>73.599999999999994</v>
      </c>
      <c r="P61" s="259"/>
      <c r="Q61" s="191">
        <f>IF(AND('Data Summary'!C188="PASS",O61&lt;&gt;""),'Data - Sample Type 1'!FX60,"")</f>
        <v>89.2</v>
      </c>
      <c r="R61" s="264"/>
      <c r="S61" s="151">
        <f>IF(AND('Data Summary'!C188="PASS",'Data - Sample Type 1'!GE60&lt;&gt;0),'Data - Sample Type 1'!GE60,"")</f>
        <v>71.400000000000006</v>
      </c>
      <c r="T61" s="266"/>
      <c r="U61" s="191">
        <f>IF(AND('Data Summary'!C188="PASS",S61&lt;&gt;""),'Data - Sample Type 1'!GF60,"")</f>
        <v>261.60000000000002</v>
      </c>
      <c r="V61" s="264"/>
      <c r="W61" s="151">
        <f>IF('Data Summary'!C188="PASS",IF('Data - Sample Type 1'!BG60=0,"",'Data - Sample Type 1'!BG60),"")</f>
        <v>23.6</v>
      </c>
      <c r="X61" s="266"/>
      <c r="Y61" s="194">
        <f>IF(AND('Data Summary'!C188="PASS",'Data - Sample Type 1'!GM60&lt;&gt;0),'Data - Sample Type 1'!GM60,"")</f>
        <v>68.599999999999994</v>
      </c>
      <c r="Z61" s="266"/>
      <c r="AA61" s="151">
        <f>IF('Data Summary'!C188="PASS",IF('Data - Sample Type 1'!BU60=0,"",'Data - Sample Type 1'!BU60),"")</f>
        <v>29.5</v>
      </c>
      <c r="AB61" s="266"/>
      <c r="AC61" s="151">
        <f>IF(AND('Data Summary'!C188="PASS",'Data - Sample Type 1'!HC60&lt;&gt;0),'Data - Sample Type 1'!HC60,"")</f>
        <v>70.400000000000006</v>
      </c>
      <c r="AD61" s="266"/>
      <c r="AE61" s="191">
        <f>IF(AND('Data Summary'!C188="PASS",AC61&lt;&gt;""),'Data - Sample Type 1'!HD60,"")</f>
        <v>74.8</v>
      </c>
      <c r="AF61" s="264"/>
      <c r="AG61" s="151">
        <f>IF(AND('Data Summary'!C188="PASS",'Data - Sample Type 1'!HK60&lt;&gt;0),'Data - Sample Type 1'!HK60,"")</f>
        <v>71</v>
      </c>
      <c r="AH61" s="266"/>
      <c r="AI61" s="191">
        <f>IF(AND('Data Summary'!C188="PASS",AG61&lt;&gt;""),'Data - Sample Type 1'!HL60,"")</f>
        <v>124.4</v>
      </c>
      <c r="AJ61" s="264"/>
      <c r="AK61" s="151">
        <f>IF(AND('Data Summary'!C188="PASS",'Data - Sample Type 1'!HS60&lt;&gt;0),'Data - Sample Type 1'!HS60,"")</f>
        <v>69.3</v>
      </c>
      <c r="AL61" s="266"/>
      <c r="AM61" s="191">
        <f>IF(AND('Data Summary'!C188="PASS",AK61&lt;&gt;""),'Data - Sample Type 1'!HT60,"")</f>
        <v>80.599999999999994</v>
      </c>
      <c r="AN61" s="264"/>
      <c r="AO61" s="194">
        <f>IF('Data Summary'!C188="PASS",IF('Data - Sample Type 1'!DK60=0,"",'Data - Sample Type 1'!DK60),"")</f>
        <v>23.3</v>
      </c>
      <c r="AP61" s="266"/>
      <c r="AQ61" s="151">
        <f>IF('Data Summary'!C188="PASS",IF('Data - Sample Type 1'!DY60=0,"",'Data - Sample Type 1'!DY60),"")</f>
        <v>21.2</v>
      </c>
      <c r="AR61" s="266"/>
      <c r="AS61" s="151">
        <f>IF('Data Summary'!C188="PASS",IF('Data - Sample Type 1'!EM60=0,"",'Data - Sample Type 1'!EM60),"")</f>
        <v>23.4</v>
      </c>
      <c r="AT61" s="270"/>
      <c r="AW61" s="65"/>
      <c r="AY61" s="257"/>
      <c r="BA61" s="257"/>
      <c r="BB61" s="96"/>
      <c r="BC61" s="96"/>
      <c r="BE61" s="257"/>
      <c r="BF61" s="96"/>
      <c r="BG61" s="96"/>
      <c r="BI61" s="257"/>
      <c r="BK61" s="257"/>
      <c r="BM61" s="257"/>
      <c r="BO61" s="257"/>
      <c r="BQ61" s="257"/>
      <c r="BS61" s="257"/>
      <c r="BU61" s="257"/>
      <c r="BW61" s="257"/>
      <c r="BY61" s="257"/>
    </row>
    <row r="62" spans="2:77" ht="13.5" thickBot="1" x14ac:dyDescent="0.25">
      <c r="B62"/>
      <c r="C62"/>
      <c r="D62"/>
      <c r="E62" s="278"/>
      <c r="F62" s="155">
        <f>IF('Data Summary'!C84="PASS",IF('Data Summary'!A84="","",'Data - Sample Type 0'!Q61),"")</f>
        <v>28.9</v>
      </c>
      <c r="G62" s="274"/>
      <c r="H62"/>
      <c r="I62"/>
      <c r="J62" s="276"/>
      <c r="K62" s="151">
        <f>IF(AND('Data Summary'!C189="PASS",'Data - Sample Type 1'!FO61&lt;&gt;0),'Data - Sample Type 1'!FO61,"")</f>
        <v>75.900000000000006</v>
      </c>
      <c r="L62" s="259"/>
      <c r="M62" s="102">
        <f>IF('Data Summary'!C189="PASS",IF('Data - Sample Type 1'!AE61=0,"",'Data - Sample Type 1'!AE61),"")</f>
        <v>28.6</v>
      </c>
      <c r="N62" s="259"/>
      <c r="O62" s="151">
        <f>IF(AND('Data Summary'!C189="PASS",'Data - Sample Type 1'!FW61&lt;&gt;0),'Data - Sample Type 1'!FW61,"")</f>
        <v>73.400000000000006</v>
      </c>
      <c r="P62" s="259"/>
      <c r="Q62" s="191">
        <f>IF(AND('Data Summary'!C189="PASS",O62&lt;&gt;""),'Data - Sample Type 1'!FX61,"")</f>
        <v>88.4</v>
      </c>
      <c r="R62" s="264"/>
      <c r="S62" s="151">
        <f>IF(AND('Data Summary'!C189="PASS",'Data - Sample Type 1'!GE61&lt;&gt;0),'Data - Sample Type 1'!GE61,"")</f>
        <v>71.2</v>
      </c>
      <c r="T62" s="267"/>
      <c r="U62" s="191">
        <f>IF(AND('Data Summary'!C189="PASS",S62&lt;&gt;""),'Data - Sample Type 1'!GF61,"")</f>
        <v>213.1</v>
      </c>
      <c r="V62" s="264"/>
      <c r="W62" s="151">
        <f>IF('Data Summary'!C189="PASS",IF('Data - Sample Type 1'!BG61=0,"",'Data - Sample Type 1'!BG61),"")</f>
        <v>23.2</v>
      </c>
      <c r="X62" s="267"/>
      <c r="Y62" s="194">
        <f>IF(AND('Data Summary'!C189="PASS",'Data - Sample Type 1'!GM61&lt;&gt;0),'Data - Sample Type 1'!GM61,"")</f>
        <v>68.3</v>
      </c>
      <c r="Z62" s="267"/>
      <c r="AA62" s="151">
        <f>IF('Data Summary'!C189="PASS",IF('Data - Sample Type 1'!BU61=0,"",'Data - Sample Type 1'!BU61),"")</f>
        <v>33.1</v>
      </c>
      <c r="AB62" s="267"/>
      <c r="AC62" s="151">
        <f>IF(AND('Data Summary'!C189="PASS",'Data - Sample Type 1'!HC61&lt;&gt;0),'Data - Sample Type 1'!HC61,"")</f>
        <v>70.2</v>
      </c>
      <c r="AD62" s="267"/>
      <c r="AE62" s="191">
        <f>IF(AND('Data Summary'!C189="PASS",AC62&lt;&gt;""),'Data - Sample Type 1'!HD61,"")</f>
        <v>64</v>
      </c>
      <c r="AF62" s="264"/>
      <c r="AG62" s="151">
        <f>IF(AND('Data Summary'!C189="PASS",'Data - Sample Type 1'!HK61&lt;&gt;0),'Data - Sample Type 1'!HK61,"")</f>
        <v>70.8</v>
      </c>
      <c r="AH62" s="267"/>
      <c r="AI62" s="191">
        <f>IF(AND('Data Summary'!C189="PASS",AG62&lt;&gt;""),'Data - Sample Type 1'!HL61,"")</f>
        <v>106.9</v>
      </c>
      <c r="AJ62" s="264"/>
      <c r="AK62" s="151">
        <f>IF(AND('Data Summary'!C189="PASS",'Data - Sample Type 1'!HS61&lt;&gt;0),'Data - Sample Type 1'!HS61,"")</f>
        <v>69.099999999999994</v>
      </c>
      <c r="AL62" s="267"/>
      <c r="AM62" s="191">
        <f>IF(AND('Data Summary'!C189="PASS",AK62&lt;&gt;""),'Data - Sample Type 1'!HT61,"")</f>
        <v>80.099999999999994</v>
      </c>
      <c r="AN62" s="264"/>
      <c r="AO62" s="194">
        <f>IF('Data Summary'!C189="PASS",IF('Data - Sample Type 1'!DK61=0,"",'Data - Sample Type 1'!DK61),"")</f>
        <v>26.4</v>
      </c>
      <c r="AP62" s="267"/>
      <c r="AQ62" s="151">
        <f>IF('Data Summary'!C189="PASS",IF('Data - Sample Type 1'!DY61=0,"",'Data - Sample Type 1'!DY61),"")</f>
        <v>23.3</v>
      </c>
      <c r="AR62" s="267"/>
      <c r="AS62" s="151">
        <f>IF('Data Summary'!C189="PASS",IF('Data - Sample Type 1'!EM61=0,"",'Data - Sample Type 1'!EM61),"")</f>
        <v>26.9</v>
      </c>
      <c r="AT62" s="271"/>
      <c r="AW62" s="65"/>
      <c r="AY62" s="257"/>
      <c r="BA62" s="257"/>
      <c r="BB62" s="96"/>
      <c r="BC62" s="96"/>
      <c r="BE62" s="257"/>
      <c r="BF62" s="96"/>
      <c r="BG62" s="96"/>
      <c r="BI62" s="257"/>
      <c r="BK62" s="257"/>
      <c r="BM62" s="257"/>
      <c r="BO62" s="257"/>
      <c r="BQ62" s="257"/>
      <c r="BS62" s="257"/>
      <c r="BU62" s="257"/>
      <c r="BW62" s="257"/>
      <c r="BY62" s="257"/>
    </row>
    <row r="63" spans="2:77" x14ac:dyDescent="0.2">
      <c r="B63"/>
      <c r="C63"/>
      <c r="D63"/>
      <c r="E63" s="275">
        <v>7</v>
      </c>
      <c r="F63" s="154">
        <f>IF('Data Summary'!C85="PASS",IF('Data Summary'!A85="","",'Data - Sample Type 0'!Q62),"")</f>
        <v>27.3</v>
      </c>
      <c r="G63" s="279">
        <f t="shared" ref="G63" si="130">AVERAGE(F63:F72)</f>
        <v>28.000000000000007</v>
      </c>
      <c r="H63"/>
      <c r="I63"/>
      <c r="J63" s="276"/>
      <c r="K63" s="151">
        <f>IF(AND('Data Summary'!C190="PASS",'Data - Sample Type 1'!FO62&lt;&gt;0),'Data - Sample Type 1'!FO62,"")</f>
        <v>75.900000000000006</v>
      </c>
      <c r="L63" s="261" t="str">
        <f>IF(AND(L59&gt;=Specifications!$C$21,L59&lt;=Specifications!$D$21),"PASS","FAIL")</f>
        <v>PASS</v>
      </c>
      <c r="M63" s="102">
        <f>IF('Data Summary'!C190="PASS",IF('Data - Sample Type 1'!AE62=0,"",'Data - Sample Type 1'!AE62),"")</f>
        <v>26.3</v>
      </c>
      <c r="N63" s="261" t="str">
        <f>IF(N59&lt;=Specifications!D$22,"PASS","FAIL")</f>
        <v>PASS</v>
      </c>
      <c r="O63" s="151">
        <f>IF(AND('Data Summary'!C190="PASS",'Data - Sample Type 1'!FW62&lt;&gt;0),'Data - Sample Type 1'!FW62,"")</f>
        <v>73.400000000000006</v>
      </c>
      <c r="P63" s="261" t="str">
        <f>IF(AND(P59&gt;=Specifications!$C$23,P59&lt;=Specifications!$D$23),"PASS","FAIL")</f>
        <v>PASS</v>
      </c>
      <c r="Q63" s="191">
        <f>IF(AND('Data Summary'!C190="PASS",O63&lt;&gt;""),'Data - Sample Type 1'!FX62,"")</f>
        <v>78.2</v>
      </c>
      <c r="R63" s="260" t="s">
        <v>510</v>
      </c>
      <c r="S63" s="151">
        <f>IF(AND('Data Summary'!C190="PASS",'Data - Sample Type 1'!GE62&lt;&gt;0),'Data - Sample Type 1'!GE62,"")</f>
        <v>71.3</v>
      </c>
      <c r="T63" s="261" t="str">
        <f>IF(AND(T59&gt;=Specifications!$C$25,T59&lt;=Specifications!$D$25),"PASS","FAIL")</f>
        <v>PASS</v>
      </c>
      <c r="U63" s="191">
        <f>IF(AND('Data Summary'!C190="PASS",S63&lt;&gt;""),'Data - Sample Type 1'!GF62,"")</f>
        <v>202</v>
      </c>
      <c r="V63" s="260" t="s">
        <v>510</v>
      </c>
      <c r="W63" s="151">
        <f>IF('Data Summary'!C190="PASS",IF('Data - Sample Type 1'!BG62=0,"",'Data - Sample Type 1'!BG62),"")</f>
        <v>20.3</v>
      </c>
      <c r="X63" s="261" t="str">
        <f>IF(X59&lt;=Specifications!D$27,"PASS","FAIL")</f>
        <v>PASS</v>
      </c>
      <c r="Y63" s="194">
        <f>IF(AND('Data Summary'!C190="PASS",'Data - Sample Type 1'!GM62&lt;&gt;0),'Data - Sample Type 1'!GM62,"")</f>
        <v>68.3</v>
      </c>
      <c r="Z63" s="261" t="str">
        <f>IF(AND(Z59&gt;=Specifications!$C$28,Z59&lt;=Specifications!$D$28),"PASS","FAIL")</f>
        <v>PASS</v>
      </c>
      <c r="AA63" s="151">
        <f>IF('Data Summary'!C190="PASS",IF('Data - Sample Type 1'!BU62=0,"",'Data - Sample Type 1'!BU62),"")</f>
        <v>30.3</v>
      </c>
      <c r="AB63" s="260" t="s">
        <v>510</v>
      </c>
      <c r="AC63" s="151">
        <f>IF(AND('Data Summary'!C190="PASS",'Data - Sample Type 1'!HC62&lt;&gt;0),'Data - Sample Type 1'!HC62,"")</f>
        <v>70.3</v>
      </c>
      <c r="AD63" s="261" t="str">
        <f>IF(AND(AD59&gt;=Specifications!$C$31,AD59&lt;=Specifications!$D$31),"PASS","FAIL")</f>
        <v>PASS</v>
      </c>
      <c r="AE63" s="191">
        <f>IF(AND('Data Summary'!C190="PASS",AC63&lt;&gt;""),'Data - Sample Type 1'!HD62,"")</f>
        <v>69.900000000000006</v>
      </c>
      <c r="AF63" s="260" t="s">
        <v>510</v>
      </c>
      <c r="AG63" s="151">
        <f>IF(AND('Data Summary'!C190="PASS",'Data - Sample Type 1'!HK62&lt;&gt;0),'Data - Sample Type 1'!HK62,"")</f>
        <v>70.900000000000006</v>
      </c>
      <c r="AH63" s="261" t="str">
        <f>IF(AND(AH59&gt;=Specifications!$C$33,AH59&lt;=Specifications!$D$33),"PASS","FAIL")</f>
        <v>PASS</v>
      </c>
      <c r="AI63" s="191">
        <f>IF(AND('Data Summary'!C190="PASS",AG63&lt;&gt;""),'Data - Sample Type 1'!HL62,"")</f>
        <v>105.5</v>
      </c>
      <c r="AJ63" s="260" t="s">
        <v>510</v>
      </c>
      <c r="AK63" s="151">
        <f>IF(AND('Data Summary'!C190="PASS",'Data - Sample Type 1'!HS62&lt;&gt;0),'Data - Sample Type 1'!HS62,"")</f>
        <v>69.099999999999994</v>
      </c>
      <c r="AL63" s="261" t="str">
        <f>IF(AND(AL59&gt;=Specifications!$C$35,AL59&lt;=Specifications!$D$35),"PASS","FAIL")</f>
        <v>PASS</v>
      </c>
      <c r="AM63" s="191">
        <f>IF(AND('Data Summary'!C190="PASS",AK63&lt;&gt;""),'Data - Sample Type 1'!HT62,"")</f>
        <v>75.7</v>
      </c>
      <c r="AN63" s="260" t="s">
        <v>510</v>
      </c>
      <c r="AO63" s="194">
        <f>IF('Data Summary'!C190="PASS",IF('Data - Sample Type 1'!DK62=0,"",'Data - Sample Type 1'!DK62),"")</f>
        <v>24.8</v>
      </c>
      <c r="AP63" s="261" t="str">
        <f>IF(AP59&lt;=Specifications!$D$37,"PASS","FAIL")</f>
        <v>PASS</v>
      </c>
      <c r="AQ63" s="151">
        <f>IF('Data Summary'!C190="PASS",IF('Data - Sample Type 1'!DY62=0,"",'Data - Sample Type 1'!DY62),"")</f>
        <v>21.5</v>
      </c>
      <c r="AR63" s="261" t="str">
        <f>IF(AR59&lt;=Specifications!$D$38,"PASS","FAIL")</f>
        <v>PASS</v>
      </c>
      <c r="AS63" s="151">
        <f>IF('Data Summary'!C190="PASS",IF('Data - Sample Type 1'!EM62=0,"",'Data - Sample Type 1'!EM62),"")</f>
        <v>26.8</v>
      </c>
      <c r="AT63" s="272" t="str">
        <f>IF(AT59&lt;=Specifications!$D$39,"PASS","FAIL")</f>
        <v>PASS</v>
      </c>
      <c r="AW63" s="65"/>
      <c r="AY63" s="257"/>
      <c r="BA63" s="257"/>
      <c r="BB63" s="96"/>
      <c r="BC63" s="96"/>
      <c r="BE63" s="257"/>
      <c r="BF63" s="96"/>
      <c r="BG63" s="96"/>
      <c r="BI63" s="257"/>
      <c r="BK63" s="257"/>
      <c r="BM63" s="257"/>
      <c r="BO63" s="257"/>
      <c r="BQ63" s="257"/>
      <c r="BS63" s="257"/>
      <c r="BU63" s="257"/>
      <c r="BW63" s="257"/>
      <c r="BY63" s="257"/>
    </row>
    <row r="64" spans="2:77" ht="14.1" customHeight="1" x14ac:dyDescent="0.2">
      <c r="B64"/>
      <c r="C64"/>
      <c r="D64"/>
      <c r="E64" s="276"/>
      <c r="F64" s="151">
        <f>IF('Data Summary'!C86="PASS",IF('Data Summary'!A86="","",'Data - Sample Type 0'!Q63),"")</f>
        <v>29.5</v>
      </c>
      <c r="G64" s="280"/>
      <c r="H64"/>
      <c r="I64"/>
      <c r="J64" s="276"/>
      <c r="K64" s="151">
        <f>IF(AND('Data Summary'!C191="PASS",'Data - Sample Type 1'!FO63&lt;&gt;0),'Data - Sample Type 1'!FO63,"")</f>
        <v>76.3</v>
      </c>
      <c r="L64" s="261"/>
      <c r="M64" s="102">
        <f>IF('Data Summary'!C191="PASS",IF('Data - Sample Type 1'!AE63=0,"",'Data - Sample Type 1'!AE63),"")</f>
        <v>33.299999999999997</v>
      </c>
      <c r="N64" s="261"/>
      <c r="O64" s="151">
        <f>IF(AND('Data Summary'!C191="PASS",'Data - Sample Type 1'!FW63&lt;&gt;0),'Data - Sample Type 1'!FW63,"")</f>
        <v>73.599999999999994</v>
      </c>
      <c r="P64" s="261"/>
      <c r="Q64" s="191">
        <f>IF(AND('Data Summary'!C191="PASS",O64&lt;&gt;""),'Data - Sample Type 1'!FX63,"")</f>
        <v>81.2</v>
      </c>
      <c r="R64" s="261"/>
      <c r="S64" s="151">
        <f>IF(AND('Data Summary'!C191="PASS",'Data - Sample Type 1'!GE63&lt;&gt;0),'Data - Sample Type 1'!GE63,"")</f>
        <v>71.400000000000006</v>
      </c>
      <c r="T64" s="261"/>
      <c r="U64" s="191">
        <f>IF(AND('Data Summary'!C191="PASS",S64&lt;&gt;""),'Data - Sample Type 1'!GF63,"")</f>
        <v>246.8</v>
      </c>
      <c r="V64" s="261"/>
      <c r="W64" s="151">
        <f>IF('Data Summary'!C191="PASS",IF('Data - Sample Type 1'!BG63=0,"",'Data - Sample Type 1'!BG63),"")</f>
        <v>28.2</v>
      </c>
      <c r="X64" s="261"/>
      <c r="Y64" s="194">
        <f>IF(AND('Data Summary'!C191="PASS",'Data - Sample Type 1'!GM63&lt;&gt;0),'Data - Sample Type 1'!GM63,"")</f>
        <v>68.7</v>
      </c>
      <c r="Z64" s="261"/>
      <c r="AA64" s="151">
        <f>IF('Data Summary'!C191="PASS",IF('Data - Sample Type 1'!BU63=0,"",'Data - Sample Type 1'!BU63),"")</f>
        <v>35.700000000000003</v>
      </c>
      <c r="AB64" s="261"/>
      <c r="AC64" s="151">
        <f>IF(AND('Data Summary'!C191="PASS",'Data - Sample Type 1'!HC63&lt;&gt;0),'Data - Sample Type 1'!HC63,"")</f>
        <v>70.3</v>
      </c>
      <c r="AD64" s="261"/>
      <c r="AE64" s="191">
        <f>IF(AND('Data Summary'!C191="PASS",AC64&lt;&gt;""),'Data - Sample Type 1'!HD63,"")</f>
        <v>57.6</v>
      </c>
      <c r="AF64" s="261"/>
      <c r="AG64" s="151">
        <f>IF(AND('Data Summary'!C191="PASS",'Data - Sample Type 1'!HK63&lt;&gt;0),'Data - Sample Type 1'!HK63,"")</f>
        <v>71</v>
      </c>
      <c r="AH64" s="261"/>
      <c r="AI64" s="191">
        <f>IF(AND('Data Summary'!C191="PASS",AG64&lt;&gt;""),'Data - Sample Type 1'!HL63,"")</f>
        <v>104.3</v>
      </c>
      <c r="AJ64" s="261"/>
      <c r="AK64" s="151">
        <f>IF(AND('Data Summary'!C191="PASS",'Data - Sample Type 1'!HS63&lt;&gt;0),'Data - Sample Type 1'!HS63,"")</f>
        <v>69.5</v>
      </c>
      <c r="AL64" s="261"/>
      <c r="AM64" s="191">
        <f>IF(AND('Data Summary'!C191="PASS",AK64&lt;&gt;""),'Data - Sample Type 1'!HT63,"")</f>
        <v>104.5</v>
      </c>
      <c r="AN64" s="261"/>
      <c r="AO64" s="194">
        <f>IF('Data Summary'!C191="PASS",IF('Data - Sample Type 1'!DK63=0,"",'Data - Sample Type 1'!DK63),"")</f>
        <v>27.1</v>
      </c>
      <c r="AP64" s="261"/>
      <c r="AQ64" s="151">
        <f>IF('Data Summary'!C191="PASS",IF('Data - Sample Type 1'!DY63=0,"",'Data - Sample Type 1'!DY63),"")</f>
        <v>25.5</v>
      </c>
      <c r="AR64" s="261"/>
      <c r="AS64" s="151">
        <f>IF('Data Summary'!C191="PASS",IF('Data - Sample Type 1'!EM63=0,"",'Data - Sample Type 1'!EM63),"")</f>
        <v>27.6</v>
      </c>
      <c r="AT64" s="272"/>
      <c r="AW64" s="65"/>
      <c r="AY64" s="257"/>
      <c r="BA64" s="257"/>
      <c r="BB64" s="96"/>
      <c r="BC64" s="96"/>
      <c r="BE64" s="257"/>
      <c r="BF64" s="96"/>
      <c r="BG64" s="96"/>
      <c r="BI64" s="257"/>
      <c r="BK64" s="257"/>
      <c r="BM64" s="257"/>
      <c r="BO64" s="257"/>
      <c r="BQ64" s="257"/>
      <c r="BS64" s="257"/>
      <c r="BU64" s="257"/>
      <c r="BW64" s="257"/>
      <c r="BY64" s="257"/>
    </row>
    <row r="65" spans="2:77" x14ac:dyDescent="0.2">
      <c r="B65"/>
      <c r="C65"/>
      <c r="D65"/>
      <c r="E65" s="276"/>
      <c r="F65" s="151">
        <f>IF('Data Summary'!C87="PASS",IF('Data Summary'!A87="","",'Data - Sample Type 0'!Q64),"")</f>
        <v>28.7</v>
      </c>
      <c r="G65" s="280"/>
      <c r="H65"/>
      <c r="I65"/>
      <c r="J65" s="276"/>
      <c r="K65" s="151">
        <f>IF(AND('Data Summary'!C192="PASS",'Data - Sample Type 1'!FO64&lt;&gt;0),'Data - Sample Type 1'!FO64,"")</f>
        <v>76</v>
      </c>
      <c r="L65" s="261"/>
      <c r="M65" s="102">
        <f>IF('Data Summary'!C192="PASS",IF('Data - Sample Type 1'!AE64=0,"",'Data - Sample Type 1'!AE64),"")</f>
        <v>25.4</v>
      </c>
      <c r="N65" s="261"/>
      <c r="O65" s="151">
        <f>IF(AND('Data Summary'!C192="PASS",'Data - Sample Type 1'!FW64&lt;&gt;0),'Data - Sample Type 1'!FW64,"")</f>
        <v>73.5</v>
      </c>
      <c r="P65" s="261"/>
      <c r="Q65" s="191">
        <f>IF(AND('Data Summary'!C192="PASS",O65&lt;&gt;""),'Data - Sample Type 1'!FX64,"")</f>
        <v>96.3</v>
      </c>
      <c r="R65" s="261"/>
      <c r="S65" s="151">
        <f>IF(AND('Data Summary'!C192="PASS",'Data - Sample Type 1'!GE64&lt;&gt;0),'Data - Sample Type 1'!GE64,"")</f>
        <v>71.3</v>
      </c>
      <c r="T65" s="261"/>
      <c r="U65" s="191">
        <f>IF(AND('Data Summary'!C192="PASS",S65&lt;&gt;""),'Data - Sample Type 1'!GF64,"")</f>
        <v>242.5</v>
      </c>
      <c r="V65" s="261"/>
      <c r="W65" s="151">
        <f>IF('Data Summary'!C192="PASS",IF('Data - Sample Type 1'!BG64=0,"",'Data - Sample Type 1'!BG64),"")</f>
        <v>23.5</v>
      </c>
      <c r="X65" s="261"/>
      <c r="Y65" s="194">
        <f>IF(AND('Data Summary'!C192="PASS",'Data - Sample Type 1'!GM64&lt;&gt;0),'Data - Sample Type 1'!GM64,"")</f>
        <v>68.400000000000006</v>
      </c>
      <c r="Z65" s="261"/>
      <c r="AA65" s="151">
        <f>IF('Data Summary'!C192="PASS",IF('Data - Sample Type 1'!BU64=0,"",'Data - Sample Type 1'!BU64),"")</f>
        <v>30.2</v>
      </c>
      <c r="AB65" s="261"/>
      <c r="AC65" s="151">
        <f>IF(AND('Data Summary'!C192="PASS",'Data - Sample Type 1'!HC64&lt;&gt;0),'Data - Sample Type 1'!HC64,"")</f>
        <v>70.2</v>
      </c>
      <c r="AD65" s="261"/>
      <c r="AE65" s="191">
        <f>IF(AND('Data Summary'!C192="PASS",AC65&lt;&gt;""),'Data - Sample Type 1'!HD64,"")</f>
        <v>77.8</v>
      </c>
      <c r="AF65" s="261"/>
      <c r="AG65" s="151">
        <f>IF(AND('Data Summary'!C192="PASS",'Data - Sample Type 1'!HK64&lt;&gt;0),'Data - Sample Type 1'!HK64,"")</f>
        <v>70.900000000000006</v>
      </c>
      <c r="AH65" s="261"/>
      <c r="AI65" s="191">
        <f>IF(AND('Data Summary'!C192="PASS",AG65&lt;&gt;""),'Data - Sample Type 1'!HL64,"")</f>
        <v>130.1</v>
      </c>
      <c r="AJ65" s="261"/>
      <c r="AK65" s="151">
        <f>IF(AND('Data Summary'!C192="PASS",'Data - Sample Type 1'!HS64&lt;&gt;0),'Data - Sample Type 1'!HS64,"")</f>
        <v>69.2</v>
      </c>
      <c r="AL65" s="261"/>
      <c r="AM65" s="191">
        <f>IF(AND('Data Summary'!C192="PASS",AK65&lt;&gt;""),'Data - Sample Type 1'!HT64,"")</f>
        <v>80.5</v>
      </c>
      <c r="AN65" s="261"/>
      <c r="AO65" s="194">
        <f>IF('Data Summary'!C192="PASS",IF('Data - Sample Type 1'!DK64=0,"",'Data - Sample Type 1'!DK64),"")</f>
        <v>24.4</v>
      </c>
      <c r="AP65" s="261"/>
      <c r="AQ65" s="151">
        <f>IF('Data Summary'!C192="PASS",IF('Data - Sample Type 1'!DY64=0,"",'Data - Sample Type 1'!DY64),"")</f>
        <v>21.9</v>
      </c>
      <c r="AR65" s="261"/>
      <c r="AS65" s="151">
        <f>IF('Data Summary'!C192="PASS",IF('Data - Sample Type 1'!EM64=0,"",'Data - Sample Type 1'!EM64),"")</f>
        <v>27.1</v>
      </c>
      <c r="AT65" s="272"/>
      <c r="AW65" s="65"/>
      <c r="AY65" s="257"/>
      <c r="BA65" s="257"/>
      <c r="BB65" s="96"/>
      <c r="BC65" s="96"/>
      <c r="BE65" s="257"/>
      <c r="BF65" s="96"/>
      <c r="BG65" s="96"/>
      <c r="BI65" s="257"/>
      <c r="BK65" s="257"/>
      <c r="BM65" s="257"/>
      <c r="BO65" s="257"/>
      <c r="BQ65" s="257"/>
      <c r="BS65" s="257"/>
      <c r="BU65" s="257"/>
      <c r="BW65" s="257"/>
      <c r="BY65" s="257"/>
    </row>
    <row r="66" spans="2:77" ht="14.1" customHeight="1" thickBot="1" x14ac:dyDescent="0.25">
      <c r="B66"/>
      <c r="C66"/>
      <c r="D66"/>
      <c r="E66" s="276"/>
      <c r="F66" s="151">
        <f>IF('Data Summary'!C88="PASS",IF('Data Summary'!A88="","",'Data - Sample Type 0'!Q65),"")</f>
        <v>26.2</v>
      </c>
      <c r="G66" s="280"/>
      <c r="H66"/>
      <c r="I66"/>
      <c r="J66" s="278"/>
      <c r="K66" s="155">
        <f>IF(AND('Data Summary'!C193="PASS",'Data - Sample Type 1'!FO65&lt;&gt;0),'Data - Sample Type 1'!FO65,"")</f>
        <v>76.099999999999994</v>
      </c>
      <c r="L66" s="268"/>
      <c r="M66" s="171">
        <f>IF('Data Summary'!C193="PASS",IF('Data - Sample Type 1'!AE65=0,"",'Data - Sample Type 1'!AE65),"")</f>
        <v>23.7</v>
      </c>
      <c r="N66" s="268"/>
      <c r="O66" s="155">
        <f>IF(AND('Data Summary'!C193="PASS",'Data - Sample Type 1'!FW65&lt;&gt;0),'Data - Sample Type 1'!FW65,"")</f>
        <v>73.599999999999994</v>
      </c>
      <c r="P66" s="268"/>
      <c r="Q66" s="193">
        <f>IF(AND('Data Summary'!C193="PASS",O66&lt;&gt;""),'Data - Sample Type 1'!FX65,"")</f>
        <v>78.599999999999994</v>
      </c>
      <c r="R66" s="268"/>
      <c r="S66" s="155">
        <f>IF(AND('Data Summary'!C193="PASS",'Data - Sample Type 1'!GE65&lt;&gt;0),'Data - Sample Type 1'!GE65,"")</f>
        <v>71.3</v>
      </c>
      <c r="T66" s="268"/>
      <c r="U66" s="193">
        <f>IF(AND('Data Summary'!C193="PASS",S66&lt;&gt;""),'Data - Sample Type 1'!GF65,"")</f>
        <v>225.7</v>
      </c>
      <c r="V66" s="268"/>
      <c r="W66" s="155">
        <f>IF('Data Summary'!C193="PASS",IF('Data - Sample Type 1'!BG65=0,"",'Data - Sample Type 1'!BG65),"")</f>
        <v>22.7</v>
      </c>
      <c r="X66" s="268"/>
      <c r="Y66" s="197">
        <f>IF(AND('Data Summary'!C193="PASS",'Data - Sample Type 1'!GM65&lt;&gt;0),'Data - Sample Type 1'!GM65,"")</f>
        <v>68.5</v>
      </c>
      <c r="Z66" s="268"/>
      <c r="AA66" s="155">
        <f>IF('Data Summary'!C193="PASS",IF('Data - Sample Type 1'!BU65=0,"",'Data - Sample Type 1'!BU65),"")</f>
        <v>28.6</v>
      </c>
      <c r="AB66" s="268"/>
      <c r="AC66" s="155">
        <f>IF(AND('Data Summary'!C193="PASS",'Data - Sample Type 1'!HC65&lt;&gt;0),'Data - Sample Type 1'!HC65,"")</f>
        <v>70.2</v>
      </c>
      <c r="AD66" s="268"/>
      <c r="AE66" s="193">
        <f>IF(AND('Data Summary'!C193="PASS",AC66&lt;&gt;""),'Data - Sample Type 1'!HD65,"")</f>
        <v>93.6</v>
      </c>
      <c r="AF66" s="268"/>
      <c r="AG66" s="155">
        <f>IF(AND('Data Summary'!C193="PASS",'Data - Sample Type 1'!HK65&lt;&gt;0),'Data - Sample Type 1'!HK65,"")</f>
        <v>70.900000000000006</v>
      </c>
      <c r="AH66" s="268"/>
      <c r="AI66" s="193">
        <f>IF(AND('Data Summary'!C193="PASS",AG66&lt;&gt;""),'Data - Sample Type 1'!HL65,"")</f>
        <v>155</v>
      </c>
      <c r="AJ66" s="268"/>
      <c r="AK66" s="155">
        <f>IF(AND('Data Summary'!C193="PASS",'Data - Sample Type 1'!HS65&lt;&gt;0),'Data - Sample Type 1'!HS65,"")</f>
        <v>69.3</v>
      </c>
      <c r="AL66" s="268"/>
      <c r="AM66" s="193">
        <f>IF(AND('Data Summary'!C193="PASS",AK66&lt;&gt;""),'Data - Sample Type 1'!HT65,"")</f>
        <v>77.3</v>
      </c>
      <c r="AN66" s="268"/>
      <c r="AO66" s="197">
        <f>IF('Data Summary'!C193="PASS",IF('Data - Sample Type 1'!DK65=0,"",'Data - Sample Type 1'!DK65),"")</f>
        <v>24</v>
      </c>
      <c r="AP66" s="268"/>
      <c r="AQ66" s="155">
        <f>IF('Data Summary'!C193="PASS",IF('Data - Sample Type 1'!DY65=0,"",'Data - Sample Type 1'!DY65),"")</f>
        <v>20.399999999999999</v>
      </c>
      <c r="AR66" s="268"/>
      <c r="AS66" s="155">
        <f>IF('Data Summary'!C193="PASS",IF('Data - Sample Type 1'!EM65=0,"",'Data - Sample Type 1'!EM65),"")</f>
        <v>41.2</v>
      </c>
      <c r="AT66" s="273"/>
      <c r="AW66" s="65"/>
      <c r="AY66" s="257"/>
      <c r="BA66" s="257"/>
      <c r="BB66" s="96"/>
      <c r="BC66" s="96"/>
      <c r="BE66" s="257"/>
      <c r="BF66" s="96"/>
      <c r="BG66" s="96"/>
      <c r="BI66" s="257"/>
      <c r="BK66" s="257"/>
      <c r="BM66" s="257"/>
      <c r="BO66" s="257"/>
      <c r="BQ66" s="257"/>
      <c r="BS66" s="257"/>
      <c r="BU66" s="257"/>
      <c r="BW66" s="257"/>
      <c r="BY66" s="257"/>
    </row>
    <row r="67" spans="2:77" x14ac:dyDescent="0.2">
      <c r="B67"/>
      <c r="C67"/>
      <c r="D67"/>
      <c r="E67" s="276">
        <v>7</v>
      </c>
      <c r="F67" s="151">
        <f>IF('Data Summary'!C89="PASS",IF('Data Summary'!A89="","",'Data - Sample Type 0'!Q66),"")</f>
        <v>27.2</v>
      </c>
      <c r="G67" s="280"/>
      <c r="H67"/>
      <c r="I67"/>
      <c r="J67" s="275">
        <v>9</v>
      </c>
      <c r="K67" s="154">
        <f>IF(AND('Data Summary'!C194="PASS",'Data - Sample Type 1'!FO66&lt;&gt;0),'Data - Sample Type 1'!FO66,"")</f>
        <v>76.099999999999994</v>
      </c>
      <c r="L67" s="258">
        <f t="shared" ref="L67" si="131">AVERAGE(K67:K74)</f>
        <v>76.125</v>
      </c>
      <c r="M67" s="170">
        <f>IF('Data Summary'!C194="PASS",IF('Data - Sample Type 1'!AE66=0,"",'Data - Sample Type 1'!AE66),"")</f>
        <v>25.3</v>
      </c>
      <c r="N67" s="258">
        <f t="shared" ref="N67" si="132">AVERAGE(M67:M74)</f>
        <v>24.400000000000002</v>
      </c>
      <c r="O67" s="154">
        <f>IF(AND('Data Summary'!C194="PASS",'Data - Sample Type 1'!FW66&lt;&gt;0),'Data - Sample Type 1'!FW66,"")</f>
        <v>73.599999999999994</v>
      </c>
      <c r="P67" s="258">
        <f t="shared" ref="P67" si="133">AVERAGE(O67:O74)</f>
        <v>73.587500000000006</v>
      </c>
      <c r="Q67" s="190">
        <f>IF(AND('Data Summary'!C194="PASS",O67&lt;&gt;""),'Data - Sample Type 1'!FX66,"")</f>
        <v>108.5</v>
      </c>
      <c r="R67" s="263">
        <f t="shared" ref="R67" si="134">AVERAGE(Q67:Q74)</f>
        <v>90.0625</v>
      </c>
      <c r="S67" s="154">
        <f>IF(AND('Data Summary'!C194="PASS",'Data - Sample Type 1'!GE66&lt;&gt;0),'Data - Sample Type 1'!GE66,"")</f>
        <v>71.3</v>
      </c>
      <c r="T67" s="265">
        <f t="shared" ref="T67" si="135">AVERAGE(S67:S74)</f>
        <v>71.337500000000006</v>
      </c>
      <c r="U67" s="190">
        <f>IF(AND('Data Summary'!C194="PASS",S67&lt;&gt;""),'Data - Sample Type 1'!GF66,"")</f>
        <v>283.39999999999998</v>
      </c>
      <c r="V67" s="263">
        <f t="shared" ref="V67" si="136">AVERAGE(U67:U74)</f>
        <v>224.47499999999999</v>
      </c>
      <c r="W67" s="154">
        <f>IF('Data Summary'!C194="PASS",IF('Data - Sample Type 1'!BG66=0,"",'Data - Sample Type 1'!BG66),"")</f>
        <v>23</v>
      </c>
      <c r="X67" s="265">
        <f t="shared" ref="X67" si="137">AVERAGE(W67:W74)</f>
        <v>20.987499999999997</v>
      </c>
      <c r="Y67" s="196">
        <f>IF(AND('Data Summary'!C194="PASS",'Data - Sample Type 1'!GM66&lt;&gt;0),'Data - Sample Type 1'!GM66,"")</f>
        <v>68.5</v>
      </c>
      <c r="Z67" s="265">
        <f t="shared" ref="Z67" si="138">AVERAGE(Y67:Y74)</f>
        <v>68.5</v>
      </c>
      <c r="AA67" s="154">
        <f>IF('Data Summary'!C194="PASS",IF('Data - Sample Type 1'!BU66=0,"",'Data - Sample Type 1'!BU66),"")</f>
        <v>29.4</v>
      </c>
      <c r="AB67" s="265">
        <f t="shared" ref="AB67" si="139">AVERAGE(AA67:AA74)</f>
        <v>28.675000000000001</v>
      </c>
      <c r="AC67" s="154">
        <f>IF(AND('Data Summary'!C194="PASS",'Data - Sample Type 1'!HC66&lt;&gt;0),'Data - Sample Type 1'!HC66,"")</f>
        <v>70.3</v>
      </c>
      <c r="AD67" s="265">
        <f t="shared" ref="AD67" si="140">AVERAGE(AC67:AC74)</f>
        <v>70.400000000000006</v>
      </c>
      <c r="AE67" s="190">
        <f>IF(AND('Data Summary'!C194="PASS",AC67&lt;&gt;""),'Data - Sample Type 1'!HD66,"")</f>
        <v>88.1</v>
      </c>
      <c r="AF67" s="263">
        <f t="shared" ref="AF67" si="141">AVERAGE(AE67:AE74)</f>
        <v>83.375</v>
      </c>
      <c r="AG67" s="154">
        <f>IF(AND('Data Summary'!C194="PASS",'Data - Sample Type 1'!HK66&lt;&gt;0),'Data - Sample Type 1'!HK66,"")</f>
        <v>70.900000000000006</v>
      </c>
      <c r="AH67" s="265">
        <f t="shared" ref="AH67" si="142">AVERAGE(AG67:AG74)</f>
        <v>70.974999999999994</v>
      </c>
      <c r="AI67" s="190">
        <f>IF(AND('Data Summary'!C194="PASS",AG67&lt;&gt;""),'Data - Sample Type 1'!HL66,"")</f>
        <v>154.4</v>
      </c>
      <c r="AJ67" s="263">
        <f t="shared" ref="AJ67" si="143">AVERAGE(AI67:AI74)</f>
        <v>130.69999999999999</v>
      </c>
      <c r="AK67" s="154">
        <f>IF(AND('Data Summary'!C194="PASS",'Data - Sample Type 1'!HS66&lt;&gt;0),'Data - Sample Type 1'!HS66,"")</f>
        <v>69.3</v>
      </c>
      <c r="AL67" s="265">
        <f t="shared" ref="AL67" si="144">AVERAGE(AK67:AK74)</f>
        <v>69.287500000000009</v>
      </c>
      <c r="AM67" s="190">
        <f>IF(AND('Data Summary'!C194="PASS",AK67&lt;&gt;""),'Data - Sample Type 1'!HT66,"")</f>
        <v>87.9</v>
      </c>
      <c r="AN67" s="263">
        <f t="shared" ref="AN67" si="145">AVERAGE(AM67:AM74)</f>
        <v>81.087500000000006</v>
      </c>
      <c r="AO67" s="196">
        <f>IF('Data Summary'!C194="PASS",IF('Data - Sample Type 1'!DK66=0,"",'Data - Sample Type 1'!DK66),"")</f>
        <v>24</v>
      </c>
      <c r="AP67" s="265">
        <f t="shared" ref="AP67" si="146">AVERAGE(AO67:AO74)</f>
        <v>23.349999999999998</v>
      </c>
      <c r="AQ67" s="154">
        <f>IF('Data Summary'!C194="PASS",IF('Data - Sample Type 1'!DY66=0,"",'Data - Sample Type 1'!DY66),"")</f>
        <v>21.5</v>
      </c>
      <c r="AR67" s="265">
        <f t="shared" ref="AR67" si="147">AVERAGE(AQ67:AQ74)</f>
        <v>20.587500000000002</v>
      </c>
      <c r="AS67" s="154">
        <f>IF('Data Summary'!C194="PASS",IF('Data - Sample Type 1'!EM66=0,"",'Data - Sample Type 1'!EM66),"")</f>
        <v>24.5</v>
      </c>
      <c r="AT67" s="269">
        <f t="shared" ref="AT67" si="148">AVERAGE(AS67:AS74)</f>
        <v>24.487500000000004</v>
      </c>
      <c r="AW67" s="65"/>
      <c r="AY67" s="257"/>
      <c r="BA67" s="257"/>
      <c r="BB67" s="96"/>
      <c r="BC67" s="96"/>
      <c r="BE67" s="257"/>
      <c r="BF67" s="96"/>
      <c r="BG67" s="96"/>
      <c r="BI67" s="257"/>
      <c r="BK67" s="257"/>
      <c r="BM67" s="257"/>
      <c r="BO67" s="257"/>
      <c r="BQ67" s="257"/>
      <c r="BS67" s="257"/>
      <c r="BU67" s="257"/>
      <c r="BW67" s="257"/>
      <c r="BY67" s="257"/>
    </row>
    <row r="68" spans="2:77" x14ac:dyDescent="0.2">
      <c r="B68"/>
      <c r="C68"/>
      <c r="D68"/>
      <c r="E68" s="276"/>
      <c r="F68" s="151">
        <f>IF('Data Summary'!C90="PASS",IF('Data Summary'!A90="","",'Data - Sample Type 0'!Q67),"")</f>
        <v>27.3</v>
      </c>
      <c r="G68" s="272" t="str">
        <f>IF(G63&lt;=Specifications!$G$20,"PASS","FAIL")</f>
        <v>PASS</v>
      </c>
      <c r="H68"/>
      <c r="I68"/>
      <c r="J68" s="276"/>
      <c r="K68" s="151">
        <f>IF(AND('Data Summary'!C195="PASS",'Data - Sample Type 1'!FO67&lt;&gt;0),'Data - Sample Type 1'!FO67,"")</f>
        <v>76.2</v>
      </c>
      <c r="L68" s="259"/>
      <c r="M68" s="102">
        <f>IF('Data Summary'!C195="PASS",IF('Data - Sample Type 1'!AE67=0,"",'Data - Sample Type 1'!AE67),"")</f>
        <v>24.6</v>
      </c>
      <c r="N68" s="259"/>
      <c r="O68" s="151">
        <f>IF(AND('Data Summary'!C195="PASS",'Data - Sample Type 1'!FW67&lt;&gt;0),'Data - Sample Type 1'!FW67,"")</f>
        <v>73.7</v>
      </c>
      <c r="P68" s="259"/>
      <c r="Q68" s="191">
        <f>IF(AND('Data Summary'!C195="PASS",O68&lt;&gt;""),'Data - Sample Type 1'!FX67,"")</f>
        <v>117</v>
      </c>
      <c r="R68" s="264"/>
      <c r="S68" s="151">
        <f>IF(AND('Data Summary'!C195="PASS",'Data - Sample Type 1'!GE67&lt;&gt;0),'Data - Sample Type 1'!GE67,"")</f>
        <v>71.400000000000006</v>
      </c>
      <c r="T68" s="266"/>
      <c r="U68" s="191">
        <f>IF(AND('Data Summary'!C195="PASS",S68&lt;&gt;""),'Data - Sample Type 1'!GF67,"")</f>
        <v>242.7</v>
      </c>
      <c r="V68" s="264"/>
      <c r="W68" s="151">
        <f>IF('Data Summary'!C195="PASS",IF('Data - Sample Type 1'!BG67=0,"",'Data - Sample Type 1'!BG67),"")</f>
        <v>22.1</v>
      </c>
      <c r="X68" s="266"/>
      <c r="Y68" s="194">
        <f>IF(AND('Data Summary'!C195="PASS",'Data - Sample Type 1'!GM67&lt;&gt;0),'Data - Sample Type 1'!GM67,"")</f>
        <v>68.7</v>
      </c>
      <c r="Z68" s="266"/>
      <c r="AA68" s="151">
        <f>IF('Data Summary'!C195="PASS",IF('Data - Sample Type 1'!BU67=0,"",'Data - Sample Type 1'!BU67),"")</f>
        <v>29</v>
      </c>
      <c r="AB68" s="266"/>
      <c r="AC68" s="151">
        <f>IF(AND('Data Summary'!C195="PASS",'Data - Sample Type 1'!HC67&lt;&gt;0),'Data - Sample Type 1'!HC67,"")</f>
        <v>70.400000000000006</v>
      </c>
      <c r="AD68" s="266"/>
      <c r="AE68" s="191">
        <f>IF(AND('Data Summary'!C195="PASS",AC68&lt;&gt;""),'Data - Sample Type 1'!HD67,"")</f>
        <v>93.6</v>
      </c>
      <c r="AF68" s="264"/>
      <c r="AG68" s="151">
        <f>IF(AND('Data Summary'!C195="PASS",'Data - Sample Type 1'!HK67&lt;&gt;0),'Data - Sample Type 1'!HK67,"")</f>
        <v>71</v>
      </c>
      <c r="AH68" s="266"/>
      <c r="AI68" s="191">
        <f>IF(AND('Data Summary'!C195="PASS",AG68&lt;&gt;""),'Data - Sample Type 1'!HL67,"")</f>
        <v>149.69999999999999</v>
      </c>
      <c r="AJ68" s="264"/>
      <c r="AK68" s="151">
        <f>IF(AND('Data Summary'!C195="PASS",'Data - Sample Type 1'!HS67&lt;&gt;0),'Data - Sample Type 1'!HS67,"")</f>
        <v>69.5</v>
      </c>
      <c r="AL68" s="266"/>
      <c r="AM68" s="191">
        <f>IF(AND('Data Summary'!C195="PASS",AK68&lt;&gt;""),'Data - Sample Type 1'!HT67,"")</f>
        <v>88.4</v>
      </c>
      <c r="AN68" s="264"/>
      <c r="AO68" s="194">
        <f>IF('Data Summary'!C195="PASS",IF('Data - Sample Type 1'!DK67=0,"",'Data - Sample Type 1'!DK67),"")</f>
        <v>23.9</v>
      </c>
      <c r="AP68" s="266"/>
      <c r="AQ68" s="151">
        <f>IF('Data Summary'!C195="PASS",IF('Data - Sample Type 1'!DY67=0,"",'Data - Sample Type 1'!DY67),"")</f>
        <v>20.9</v>
      </c>
      <c r="AR68" s="266"/>
      <c r="AS68" s="151">
        <f>IF('Data Summary'!C195="PASS",IF('Data - Sample Type 1'!EM67=0,"",'Data - Sample Type 1'!EM67),"")</f>
        <v>24.5</v>
      </c>
      <c r="AT68" s="270"/>
      <c r="AW68" s="65"/>
      <c r="AY68" s="257"/>
      <c r="BA68" s="257"/>
      <c r="BB68" s="96"/>
      <c r="BC68" s="96"/>
      <c r="BE68" s="257"/>
      <c r="BF68" s="96"/>
      <c r="BG68" s="96"/>
      <c r="BI68" s="257"/>
      <c r="BK68" s="257"/>
      <c r="BM68" s="257"/>
      <c r="BO68" s="257"/>
      <c r="BQ68" s="257"/>
      <c r="BS68" s="257"/>
      <c r="BU68" s="257"/>
      <c r="BW68" s="257"/>
      <c r="BY68" s="257"/>
    </row>
    <row r="69" spans="2:77" x14ac:dyDescent="0.2">
      <c r="B69"/>
      <c r="C69"/>
      <c r="D69"/>
      <c r="E69" s="276"/>
      <c r="F69" s="151">
        <f>IF('Data Summary'!C91="PASS",IF('Data Summary'!A91="","",'Data - Sample Type 0'!Q68),"")</f>
        <v>29.9</v>
      </c>
      <c r="G69" s="272"/>
      <c r="H69"/>
      <c r="I69"/>
      <c r="J69" s="276"/>
      <c r="K69" s="151">
        <f>IF(AND('Data Summary'!C196="PASS",'Data - Sample Type 1'!FO68&lt;&gt;0),'Data - Sample Type 1'!FO68,"")</f>
        <v>76.3</v>
      </c>
      <c r="L69" s="259"/>
      <c r="M69" s="102">
        <f>IF('Data Summary'!C196="PASS",IF('Data - Sample Type 1'!AE68=0,"",'Data - Sample Type 1'!AE68),"")</f>
        <v>25.2</v>
      </c>
      <c r="N69" s="259"/>
      <c r="O69" s="151">
        <f>IF(AND('Data Summary'!C196="PASS",'Data - Sample Type 1'!FW68&lt;&gt;0),'Data - Sample Type 1'!FW68,"")</f>
        <v>73.7</v>
      </c>
      <c r="P69" s="259"/>
      <c r="Q69" s="191">
        <f>IF(AND('Data Summary'!C196="PASS",O69&lt;&gt;""),'Data - Sample Type 1'!FX68,"")</f>
        <v>89.2</v>
      </c>
      <c r="R69" s="264"/>
      <c r="S69" s="151">
        <f>IF(AND('Data Summary'!C196="PASS",'Data - Sample Type 1'!GE68&lt;&gt;0),'Data - Sample Type 1'!GE68,"")</f>
        <v>71.5</v>
      </c>
      <c r="T69" s="266"/>
      <c r="U69" s="191">
        <f>IF(AND('Data Summary'!C196="PASS",S69&lt;&gt;""),'Data - Sample Type 1'!GF68,"")</f>
        <v>220.7</v>
      </c>
      <c r="V69" s="264"/>
      <c r="W69" s="151">
        <f>IF('Data Summary'!C196="PASS",IF('Data - Sample Type 1'!BG68=0,"",'Data - Sample Type 1'!BG68),"")</f>
        <v>20.6</v>
      </c>
      <c r="X69" s="266"/>
      <c r="Y69" s="194">
        <f>IF(AND('Data Summary'!C196="PASS",'Data - Sample Type 1'!GM68&lt;&gt;0),'Data - Sample Type 1'!GM68,"")</f>
        <v>68.7</v>
      </c>
      <c r="Z69" s="266"/>
      <c r="AA69" s="151">
        <f>IF('Data Summary'!C196="PASS",IF('Data - Sample Type 1'!BU68=0,"",'Data - Sample Type 1'!BU68),"")</f>
        <v>29.1</v>
      </c>
      <c r="AB69" s="266"/>
      <c r="AC69" s="151">
        <f>IF(AND('Data Summary'!C196="PASS",'Data - Sample Type 1'!HC68&lt;&gt;0),'Data - Sample Type 1'!HC68,"")</f>
        <v>70.400000000000006</v>
      </c>
      <c r="AD69" s="266"/>
      <c r="AE69" s="191">
        <f>IF(AND('Data Summary'!C196="PASS",AC69&lt;&gt;""),'Data - Sample Type 1'!HD68,"")</f>
        <v>82.5</v>
      </c>
      <c r="AF69" s="264"/>
      <c r="AG69" s="151">
        <f>IF(AND('Data Summary'!C196="PASS",'Data - Sample Type 1'!HK68&lt;&gt;0),'Data - Sample Type 1'!HK68,"")</f>
        <v>71.099999999999994</v>
      </c>
      <c r="AH69" s="266"/>
      <c r="AI69" s="191">
        <f>IF(AND('Data Summary'!C196="PASS",AG69&lt;&gt;""),'Data - Sample Type 1'!HL68,"")</f>
        <v>162</v>
      </c>
      <c r="AJ69" s="264"/>
      <c r="AK69" s="151">
        <f>IF(AND('Data Summary'!C196="PASS",'Data - Sample Type 1'!HS68&lt;&gt;0),'Data - Sample Type 1'!HS68,"")</f>
        <v>69.5</v>
      </c>
      <c r="AL69" s="266"/>
      <c r="AM69" s="191">
        <f>IF(AND('Data Summary'!C196="PASS",AK69&lt;&gt;""),'Data - Sample Type 1'!HT68,"")</f>
        <v>84.6</v>
      </c>
      <c r="AN69" s="264"/>
      <c r="AO69" s="194">
        <f>IF('Data Summary'!C196="PASS",IF('Data - Sample Type 1'!DK68=0,"",'Data - Sample Type 1'!DK68),"")</f>
        <v>23.7</v>
      </c>
      <c r="AP69" s="266"/>
      <c r="AQ69" s="151">
        <f>IF('Data Summary'!C196="PASS",IF('Data - Sample Type 1'!DY68=0,"",'Data - Sample Type 1'!DY68),"")</f>
        <v>20.7</v>
      </c>
      <c r="AR69" s="266"/>
      <c r="AS69" s="151">
        <f>IF('Data Summary'!C196="PASS",IF('Data - Sample Type 1'!EM68=0,"",'Data - Sample Type 1'!EM68),"")</f>
        <v>24.8</v>
      </c>
      <c r="AT69" s="270"/>
      <c r="AW69" s="65"/>
      <c r="AY69" s="257"/>
      <c r="BA69" s="257"/>
      <c r="BB69" s="96"/>
      <c r="BC69" s="96"/>
      <c r="BE69" s="257"/>
      <c r="BF69" s="96"/>
      <c r="BG69" s="96"/>
      <c r="BI69" s="257"/>
      <c r="BK69" s="257"/>
      <c r="BM69" s="257"/>
      <c r="BO69" s="257"/>
      <c r="BQ69" s="257"/>
      <c r="BS69" s="257"/>
      <c r="BU69" s="257"/>
      <c r="BW69" s="257"/>
      <c r="BY69" s="257"/>
    </row>
    <row r="70" spans="2:77" x14ac:dyDescent="0.2">
      <c r="B70"/>
      <c r="C70"/>
      <c r="D70"/>
      <c r="E70" s="276"/>
      <c r="F70" s="151">
        <f>IF('Data Summary'!C92="PASS",IF('Data Summary'!A92="","",'Data - Sample Type 0'!Q69),"")</f>
        <v>27.3</v>
      </c>
      <c r="G70" s="272"/>
      <c r="H70"/>
      <c r="I70"/>
      <c r="J70" s="276"/>
      <c r="K70" s="151">
        <f>IF(AND('Data Summary'!C197="PASS",'Data - Sample Type 1'!FO69&lt;&gt;0),'Data - Sample Type 1'!FO69,"")</f>
        <v>76.099999999999994</v>
      </c>
      <c r="L70" s="259"/>
      <c r="M70" s="102">
        <f>IF('Data Summary'!C197="PASS",IF('Data - Sample Type 1'!AE69=0,"",'Data - Sample Type 1'!AE69),"")</f>
        <v>22.5</v>
      </c>
      <c r="N70" s="259"/>
      <c r="O70" s="151">
        <f>IF(AND('Data Summary'!C197="PASS",'Data - Sample Type 1'!FW69&lt;&gt;0),'Data - Sample Type 1'!FW69,"")</f>
        <v>73.599999999999994</v>
      </c>
      <c r="P70" s="259"/>
      <c r="Q70" s="191">
        <f>IF(AND('Data Summary'!C197="PASS",O70&lt;&gt;""),'Data - Sample Type 1'!FX69,"")</f>
        <v>69.2</v>
      </c>
      <c r="R70" s="264"/>
      <c r="S70" s="151">
        <f>IF(AND('Data Summary'!C197="PASS",'Data - Sample Type 1'!GE69&lt;&gt;0),'Data - Sample Type 1'!GE69,"")</f>
        <v>71.400000000000006</v>
      </c>
      <c r="T70" s="267"/>
      <c r="U70" s="191">
        <f>IF(AND('Data Summary'!C197="PASS",S70&lt;&gt;""),'Data - Sample Type 1'!GF69,"")</f>
        <v>193</v>
      </c>
      <c r="V70" s="264"/>
      <c r="W70" s="151">
        <f>IF('Data Summary'!C197="PASS",IF('Data - Sample Type 1'!BG69=0,"",'Data - Sample Type 1'!BG69),"")</f>
        <v>18.8</v>
      </c>
      <c r="X70" s="267"/>
      <c r="Y70" s="194">
        <f>IF(AND('Data Summary'!C197="PASS",'Data - Sample Type 1'!GM69&lt;&gt;0),'Data - Sample Type 1'!GM69,"")</f>
        <v>68.400000000000006</v>
      </c>
      <c r="Z70" s="267"/>
      <c r="AA70" s="151">
        <f>IF('Data Summary'!C197="PASS",IF('Data - Sample Type 1'!BU69=0,"",'Data - Sample Type 1'!BU69),"")</f>
        <v>26.7</v>
      </c>
      <c r="AB70" s="267"/>
      <c r="AC70" s="151">
        <f>IF(AND('Data Summary'!C197="PASS",'Data - Sample Type 1'!HC69&lt;&gt;0),'Data - Sample Type 1'!HC69,"")</f>
        <v>70.599999999999994</v>
      </c>
      <c r="AD70" s="267"/>
      <c r="AE70" s="191">
        <f>IF(AND('Data Summary'!C197="PASS",AC70&lt;&gt;""),'Data - Sample Type 1'!HD69,"")</f>
        <v>82.5</v>
      </c>
      <c r="AF70" s="264"/>
      <c r="AG70" s="151">
        <f>IF(AND('Data Summary'!C197="PASS",'Data - Sample Type 1'!HK69&lt;&gt;0),'Data - Sample Type 1'!HK69,"")</f>
        <v>71.099999999999994</v>
      </c>
      <c r="AH70" s="267"/>
      <c r="AI70" s="191">
        <f>IF(AND('Data Summary'!C197="PASS",AG70&lt;&gt;""),'Data - Sample Type 1'!HL69,"")</f>
        <v>106.4</v>
      </c>
      <c r="AJ70" s="264"/>
      <c r="AK70" s="151">
        <f>IF(AND('Data Summary'!C197="PASS",'Data - Sample Type 1'!HS69&lt;&gt;0),'Data - Sample Type 1'!HS69,"")</f>
        <v>69.2</v>
      </c>
      <c r="AL70" s="267"/>
      <c r="AM70" s="191">
        <f>IF(AND('Data Summary'!C197="PASS",AK70&lt;&gt;""),'Data - Sample Type 1'!HT69,"")</f>
        <v>71.7</v>
      </c>
      <c r="AN70" s="264"/>
      <c r="AO70" s="194">
        <f>IF('Data Summary'!C197="PASS",IF('Data - Sample Type 1'!DK69=0,"",'Data - Sample Type 1'!DK69),"")</f>
        <v>22.5</v>
      </c>
      <c r="AP70" s="267"/>
      <c r="AQ70" s="151">
        <f>IF('Data Summary'!C197="PASS",IF('Data - Sample Type 1'!DY69=0,"",'Data - Sample Type 1'!DY69),"")</f>
        <v>19.399999999999999</v>
      </c>
      <c r="AR70" s="267"/>
      <c r="AS70" s="151">
        <f>IF('Data Summary'!C197="PASS",IF('Data - Sample Type 1'!EM69=0,"",'Data - Sample Type 1'!EM69),"")</f>
        <v>23.1</v>
      </c>
      <c r="AT70" s="271"/>
      <c r="AW70" s="65"/>
      <c r="AY70" s="257"/>
      <c r="BA70" s="257"/>
      <c r="BB70" s="96"/>
      <c r="BC70" s="96"/>
      <c r="BE70" s="257"/>
      <c r="BF70" s="96"/>
      <c r="BG70" s="96"/>
      <c r="BI70" s="257"/>
      <c r="BK70" s="257"/>
      <c r="BM70" s="257"/>
      <c r="BO70" s="257"/>
      <c r="BQ70" s="257"/>
      <c r="BS70" s="257"/>
      <c r="BU70" s="257"/>
      <c r="BW70" s="257"/>
      <c r="BY70" s="257"/>
    </row>
    <row r="71" spans="2:77" ht="14.1" customHeight="1" x14ac:dyDescent="0.2">
      <c r="B71"/>
      <c r="C71"/>
      <c r="D71"/>
      <c r="E71" s="276"/>
      <c r="F71" s="151">
        <f>IF('Data Summary'!C93="PASS",IF('Data Summary'!A93="","",'Data - Sample Type 0'!Q70),"")</f>
        <v>28.9</v>
      </c>
      <c r="G71" s="272"/>
      <c r="H71"/>
      <c r="I71"/>
      <c r="J71" s="276"/>
      <c r="K71" s="151">
        <f>IF(AND('Data Summary'!C198="PASS",'Data - Sample Type 1'!FO70&lt;&gt;0),'Data - Sample Type 1'!FO70,"")</f>
        <v>75.900000000000006</v>
      </c>
      <c r="L71" s="261" t="str">
        <f>IF(AND(L67&gt;=Specifications!$C$21,L67&lt;=Specifications!$D$21),"PASS","FAIL")</f>
        <v>PASS</v>
      </c>
      <c r="M71" s="102">
        <f>IF('Data Summary'!C198="PASS",IF('Data - Sample Type 1'!AE70=0,"",'Data - Sample Type 1'!AE70),"")</f>
        <v>25</v>
      </c>
      <c r="N71" s="261" t="str">
        <f>IF(N67&lt;=Specifications!D$22,"PASS","FAIL")</f>
        <v>PASS</v>
      </c>
      <c r="O71" s="151">
        <f>IF(AND('Data Summary'!C198="PASS",'Data - Sample Type 1'!FW70&lt;&gt;0),'Data - Sample Type 1'!FW70,"")</f>
        <v>73.400000000000006</v>
      </c>
      <c r="P71" s="261" t="str">
        <f>IF(AND(P67&gt;=Specifications!$C$23,P67&lt;=Specifications!$D$23),"PASS","FAIL")</f>
        <v>PASS</v>
      </c>
      <c r="Q71" s="191">
        <f>IF(AND('Data Summary'!C198="PASS",O71&lt;&gt;""),'Data - Sample Type 1'!FX70,"")</f>
        <v>78.2</v>
      </c>
      <c r="R71" s="260" t="s">
        <v>510</v>
      </c>
      <c r="S71" s="151">
        <f>IF(AND('Data Summary'!C198="PASS",'Data - Sample Type 1'!GE70&lt;&gt;0),'Data - Sample Type 1'!GE70,"")</f>
        <v>71.2</v>
      </c>
      <c r="T71" s="261" t="str">
        <f>IF(AND(T67&gt;=Specifications!$C$25,T67&lt;=Specifications!$D$25),"PASS","FAIL")</f>
        <v>PASS</v>
      </c>
      <c r="U71" s="191">
        <f>IF(AND('Data Summary'!C198="PASS",S71&lt;&gt;""),'Data - Sample Type 1'!GF70,"")</f>
        <v>204.5</v>
      </c>
      <c r="V71" s="260" t="s">
        <v>510</v>
      </c>
      <c r="W71" s="151">
        <f>IF('Data Summary'!C198="PASS",IF('Data - Sample Type 1'!BG70=0,"",'Data - Sample Type 1'!BG70),"")</f>
        <v>20.100000000000001</v>
      </c>
      <c r="X71" s="261" t="str">
        <f>IF(X67&lt;=Specifications!D$27,"PASS","FAIL")</f>
        <v>PASS</v>
      </c>
      <c r="Y71" s="194">
        <f>IF(AND('Data Summary'!C198="PASS",'Data - Sample Type 1'!GM70&lt;&gt;0),'Data - Sample Type 1'!GM70,"")</f>
        <v>68.3</v>
      </c>
      <c r="Z71" s="261" t="str">
        <f>IF(AND(Z67&gt;=Specifications!$C$28,Z67&lt;=Specifications!$D$28),"PASS","FAIL")</f>
        <v>PASS</v>
      </c>
      <c r="AA71" s="151">
        <f>IF('Data Summary'!C198="PASS",IF('Data - Sample Type 1'!BU70=0,"",'Data - Sample Type 1'!BU70),"")</f>
        <v>29</v>
      </c>
      <c r="AB71" s="260" t="s">
        <v>510</v>
      </c>
      <c r="AC71" s="151">
        <f>IF(AND('Data Summary'!C198="PASS",'Data - Sample Type 1'!HC70&lt;&gt;0),'Data - Sample Type 1'!HC70,"")</f>
        <v>70.400000000000006</v>
      </c>
      <c r="AD71" s="261" t="str">
        <f>IF(AND(AD67&gt;=Specifications!$C$31,AD67&lt;=Specifications!$D$31),"PASS","FAIL")</f>
        <v>PASS</v>
      </c>
      <c r="AE71" s="191">
        <f>IF(AND('Data Summary'!C198="PASS",AC71&lt;&gt;""),'Data - Sample Type 1'!HD70,"")</f>
        <v>76.2</v>
      </c>
      <c r="AF71" s="260" t="s">
        <v>510</v>
      </c>
      <c r="AG71" s="151">
        <f>IF(AND('Data Summary'!C198="PASS",'Data - Sample Type 1'!HK70&lt;&gt;0),'Data - Sample Type 1'!HK70,"")</f>
        <v>70.900000000000006</v>
      </c>
      <c r="AH71" s="261" t="str">
        <f>IF(AND(AH67&gt;=Specifications!$C$33,AH67&lt;=Specifications!$D$33),"PASS","FAIL")</f>
        <v>PASS</v>
      </c>
      <c r="AI71" s="191">
        <f>IF(AND('Data Summary'!C198="PASS",AG71&lt;&gt;""),'Data - Sample Type 1'!HL70,"")</f>
        <v>112.8</v>
      </c>
      <c r="AJ71" s="260" t="s">
        <v>510</v>
      </c>
      <c r="AK71" s="151">
        <f>IF(AND('Data Summary'!C198="PASS",'Data - Sample Type 1'!HS70&lt;&gt;0),'Data - Sample Type 1'!HS70,"")</f>
        <v>69.099999999999994</v>
      </c>
      <c r="AL71" s="261" t="str">
        <f>IF(AND(AL67&gt;=Specifications!$C$35,AL67&lt;=Specifications!$D$35),"PASS","FAIL")</f>
        <v>PASS</v>
      </c>
      <c r="AM71" s="191">
        <f>IF(AND('Data Summary'!C198="PASS",AK71&lt;&gt;""),'Data - Sample Type 1'!HT70,"")</f>
        <v>82.6</v>
      </c>
      <c r="AN71" s="260" t="s">
        <v>510</v>
      </c>
      <c r="AO71" s="194">
        <f>IF('Data Summary'!C198="PASS",IF('Data - Sample Type 1'!DK70=0,"",'Data - Sample Type 1'!DK70),"")</f>
        <v>23.6</v>
      </c>
      <c r="AP71" s="261" t="str">
        <f>IF(AP67&lt;=Specifications!$D$37,"PASS","FAIL")</f>
        <v>PASS</v>
      </c>
      <c r="AQ71" s="151">
        <f>IF('Data Summary'!C198="PASS",IF('Data - Sample Type 1'!DY70=0,"",'Data - Sample Type 1'!DY70),"")</f>
        <v>20.5</v>
      </c>
      <c r="AR71" s="261" t="str">
        <f>IF(AR67&lt;=Specifications!$D$38,"PASS","FAIL")</f>
        <v>PASS</v>
      </c>
      <c r="AS71" s="151">
        <f>IF('Data Summary'!C198="PASS",IF('Data - Sample Type 1'!EM70=0,"",'Data - Sample Type 1'!EM70),"")</f>
        <v>24.9</v>
      </c>
      <c r="AT71" s="272" t="str">
        <f>IF(AT67&lt;=Specifications!$D$39,"PASS","FAIL")</f>
        <v>PASS</v>
      </c>
      <c r="AW71" s="65"/>
      <c r="AY71" s="257"/>
      <c r="BA71" s="257"/>
      <c r="BB71" s="96"/>
      <c r="BC71" s="96"/>
      <c r="BE71" s="257"/>
      <c r="BF71" s="96"/>
      <c r="BG71" s="96"/>
      <c r="BI71" s="257"/>
      <c r="BK71" s="257"/>
      <c r="BM71" s="257"/>
      <c r="BO71" s="257"/>
      <c r="BQ71" s="257"/>
      <c r="BS71" s="257"/>
      <c r="BU71" s="257"/>
      <c r="BW71" s="257"/>
      <c r="BY71" s="257"/>
    </row>
    <row r="72" spans="2:77" ht="13.5" thickBot="1" x14ac:dyDescent="0.25">
      <c r="B72"/>
      <c r="C72"/>
      <c r="D72"/>
      <c r="E72" s="278"/>
      <c r="F72" s="155">
        <f>IF('Data Summary'!C94="PASS",IF('Data Summary'!A94="","",'Data - Sample Type 0'!Q71),"")</f>
        <v>27.7</v>
      </c>
      <c r="G72" s="274"/>
      <c r="H72"/>
      <c r="I72"/>
      <c r="J72" s="276"/>
      <c r="K72" s="151">
        <f>IF(AND('Data Summary'!C199="PASS",'Data - Sample Type 1'!FO71&lt;&gt;0),'Data - Sample Type 1'!FO71,"")</f>
        <v>76.2</v>
      </c>
      <c r="L72" s="261"/>
      <c r="M72" s="102">
        <f>IF('Data Summary'!C199="PASS",IF('Data - Sample Type 1'!AE71=0,"",'Data - Sample Type 1'!AE71),"")</f>
        <v>22.5</v>
      </c>
      <c r="N72" s="261"/>
      <c r="O72" s="151">
        <f>IF(AND('Data Summary'!C199="PASS",'Data - Sample Type 1'!FW71&lt;&gt;0),'Data - Sample Type 1'!FW71,"")</f>
        <v>73.599999999999994</v>
      </c>
      <c r="P72" s="261"/>
      <c r="Q72" s="191">
        <f>IF(AND('Data Summary'!C199="PASS",O72&lt;&gt;""),'Data - Sample Type 1'!FX71,"")</f>
        <v>75.400000000000006</v>
      </c>
      <c r="R72" s="261"/>
      <c r="S72" s="151">
        <f>IF(AND('Data Summary'!C199="PASS",'Data - Sample Type 1'!GE71&lt;&gt;0),'Data - Sample Type 1'!GE71,"")</f>
        <v>71.400000000000006</v>
      </c>
      <c r="T72" s="261"/>
      <c r="U72" s="191">
        <f>IF(AND('Data Summary'!C199="PASS",S72&lt;&gt;""),'Data - Sample Type 1'!GF71,"")</f>
        <v>210.5</v>
      </c>
      <c r="V72" s="261"/>
      <c r="W72" s="151">
        <f>IF('Data Summary'!C199="PASS",IF('Data - Sample Type 1'!BG71=0,"",'Data - Sample Type 1'!BG71),"")</f>
        <v>20.6</v>
      </c>
      <c r="X72" s="261"/>
      <c r="Y72" s="194">
        <f>IF(AND('Data Summary'!C199="PASS",'Data - Sample Type 1'!GM71&lt;&gt;0),'Data - Sample Type 1'!GM71,"")</f>
        <v>68.5</v>
      </c>
      <c r="Z72" s="261"/>
      <c r="AA72" s="151">
        <f>IF('Data Summary'!C199="PASS",IF('Data - Sample Type 1'!BU71=0,"",'Data - Sample Type 1'!BU71),"")</f>
        <v>27.4</v>
      </c>
      <c r="AB72" s="261"/>
      <c r="AC72" s="151">
        <f>IF(AND('Data Summary'!C199="PASS",'Data - Sample Type 1'!HC71&lt;&gt;0),'Data - Sample Type 1'!HC71,"")</f>
        <v>70.400000000000006</v>
      </c>
      <c r="AD72" s="261"/>
      <c r="AE72" s="191">
        <f>IF(AND('Data Summary'!C199="PASS",AC72&lt;&gt;""),'Data - Sample Type 1'!HD71,"")</f>
        <v>84</v>
      </c>
      <c r="AF72" s="261"/>
      <c r="AG72" s="151">
        <f>IF(AND('Data Summary'!C199="PASS",'Data - Sample Type 1'!HK71&lt;&gt;0),'Data - Sample Type 1'!HK71,"")</f>
        <v>71</v>
      </c>
      <c r="AH72" s="261"/>
      <c r="AI72" s="191">
        <f>IF(AND('Data Summary'!C199="PASS",AG72&lt;&gt;""),'Data - Sample Type 1'!HL71,"")</f>
        <v>117.3</v>
      </c>
      <c r="AJ72" s="261"/>
      <c r="AK72" s="151">
        <f>IF(AND('Data Summary'!C199="PASS",'Data - Sample Type 1'!HS71&lt;&gt;0),'Data - Sample Type 1'!HS71,"")</f>
        <v>69.3</v>
      </c>
      <c r="AL72" s="261"/>
      <c r="AM72" s="191">
        <f>IF(AND('Data Summary'!C199="PASS",AK72&lt;&gt;""),'Data - Sample Type 1'!HT71,"")</f>
        <v>72.099999999999994</v>
      </c>
      <c r="AN72" s="261"/>
      <c r="AO72" s="194">
        <f>IF('Data Summary'!C199="PASS",IF('Data - Sample Type 1'!DK71=0,"",'Data - Sample Type 1'!DK71),"")</f>
        <v>23</v>
      </c>
      <c r="AP72" s="261"/>
      <c r="AQ72" s="151">
        <f>IF('Data Summary'!C199="PASS",IF('Data - Sample Type 1'!DY71=0,"",'Data - Sample Type 1'!DY71),"")</f>
        <v>19.399999999999999</v>
      </c>
      <c r="AR72" s="261"/>
      <c r="AS72" s="151">
        <f>IF('Data Summary'!C199="PASS",IF('Data - Sample Type 1'!EM71=0,"",'Data - Sample Type 1'!EM71),"")</f>
        <v>24.4</v>
      </c>
      <c r="AT72" s="272"/>
      <c r="AW72" s="65"/>
      <c r="AY72" s="257"/>
      <c r="BA72" s="257"/>
      <c r="BB72" s="96"/>
      <c r="BC72" s="96"/>
      <c r="BE72" s="257"/>
      <c r="BF72" s="96"/>
      <c r="BG72" s="96"/>
      <c r="BI72" s="257"/>
      <c r="BK72" s="257"/>
      <c r="BM72" s="257"/>
      <c r="BO72" s="257"/>
      <c r="BQ72" s="257"/>
      <c r="BS72" s="257"/>
      <c r="BU72" s="257"/>
      <c r="BW72" s="257"/>
      <c r="BY72" s="257"/>
    </row>
    <row r="73" spans="2:77" x14ac:dyDescent="0.2">
      <c r="B73"/>
      <c r="C73"/>
      <c r="D73"/>
      <c r="E73" s="275">
        <v>8</v>
      </c>
      <c r="F73" s="154">
        <f>IF('Data Summary'!C95="PASS",IF('Data Summary'!A95="","",'Data - Sample Type 0'!Q72),"")</f>
        <v>27.5</v>
      </c>
      <c r="G73" s="279">
        <f t="shared" ref="G73" si="149">AVERAGE(F73:F82)</f>
        <v>27.3</v>
      </c>
      <c r="H73"/>
      <c r="I73"/>
      <c r="J73" s="276"/>
      <c r="K73" s="151">
        <f>IF(AND('Data Summary'!C200="PASS",'Data - Sample Type 1'!FO72&lt;&gt;0),'Data - Sample Type 1'!FO72,"")</f>
        <v>76.099999999999994</v>
      </c>
      <c r="L73" s="261"/>
      <c r="M73" s="102">
        <f>IF('Data Summary'!C200="PASS",IF('Data - Sample Type 1'!AE72=0,"",'Data - Sample Type 1'!AE72),"")</f>
        <v>25.6</v>
      </c>
      <c r="N73" s="261"/>
      <c r="O73" s="151">
        <f>IF(AND('Data Summary'!C200="PASS",'Data - Sample Type 1'!FW72&lt;&gt;0),'Data - Sample Type 1'!FW72,"")</f>
        <v>73.599999999999994</v>
      </c>
      <c r="P73" s="261"/>
      <c r="Q73" s="191">
        <f>IF(AND('Data Summary'!C200="PASS",O73&lt;&gt;""),'Data - Sample Type 1'!FX72,"")</f>
        <v>98.1</v>
      </c>
      <c r="R73" s="261"/>
      <c r="S73" s="151">
        <f>IF(AND('Data Summary'!C200="PASS",'Data - Sample Type 1'!GE72&lt;&gt;0),'Data - Sample Type 1'!GE72,"")</f>
        <v>71.2</v>
      </c>
      <c r="T73" s="261"/>
      <c r="U73" s="191">
        <f>IF(AND('Data Summary'!C200="PASS",S73&lt;&gt;""),'Data - Sample Type 1'!GF72,"")</f>
        <v>234.9</v>
      </c>
      <c r="V73" s="261"/>
      <c r="W73" s="151">
        <f>IF('Data Summary'!C200="PASS",IF('Data - Sample Type 1'!BG72=0,"",'Data - Sample Type 1'!BG72),"")</f>
        <v>21.7</v>
      </c>
      <c r="X73" s="261"/>
      <c r="Y73" s="194">
        <f>IF(AND('Data Summary'!C200="PASS",'Data - Sample Type 1'!GM72&lt;&gt;0),'Data - Sample Type 1'!GM72,"")</f>
        <v>68.5</v>
      </c>
      <c r="Z73" s="261"/>
      <c r="AA73" s="151">
        <f>IF('Data Summary'!C200="PASS",IF('Data - Sample Type 1'!BU72=0,"",'Data - Sample Type 1'!BU72),"")</f>
        <v>29.3</v>
      </c>
      <c r="AB73" s="261"/>
      <c r="AC73" s="151">
        <f>IF(AND('Data Summary'!C200="PASS",'Data - Sample Type 1'!HC72&lt;&gt;0),'Data - Sample Type 1'!HC72,"")</f>
        <v>70.3</v>
      </c>
      <c r="AD73" s="261"/>
      <c r="AE73" s="191">
        <f>IF(AND('Data Summary'!C200="PASS",AC73&lt;&gt;""),'Data - Sample Type 1'!HD72,"")</f>
        <v>73.2</v>
      </c>
      <c r="AF73" s="261"/>
      <c r="AG73" s="151">
        <f>IF(AND('Data Summary'!C200="PASS",'Data - Sample Type 1'!HK72&lt;&gt;0),'Data - Sample Type 1'!HK72,"")</f>
        <v>70.900000000000006</v>
      </c>
      <c r="AH73" s="261"/>
      <c r="AI73" s="191">
        <f>IF(AND('Data Summary'!C200="PASS",AG73&lt;&gt;""),'Data - Sample Type 1'!HL72,"")</f>
        <v>122.7</v>
      </c>
      <c r="AJ73" s="261"/>
      <c r="AK73" s="151">
        <f>IF(AND('Data Summary'!C200="PASS",'Data - Sample Type 1'!HS72&lt;&gt;0),'Data - Sample Type 1'!HS72,"")</f>
        <v>69.2</v>
      </c>
      <c r="AL73" s="261"/>
      <c r="AM73" s="191">
        <f>IF(AND('Data Summary'!C200="PASS",AK73&lt;&gt;""),'Data - Sample Type 1'!HT72,"")</f>
        <v>79.7</v>
      </c>
      <c r="AN73" s="261"/>
      <c r="AO73" s="194">
        <f>IF('Data Summary'!C200="PASS",IF('Data - Sample Type 1'!DK72=0,"",'Data - Sample Type 1'!DK72),"")</f>
        <v>22.1</v>
      </c>
      <c r="AP73" s="261"/>
      <c r="AQ73" s="151">
        <f>IF('Data Summary'!C200="PASS",IF('Data - Sample Type 1'!DY72=0,"",'Data - Sample Type 1'!DY72),"")</f>
        <v>20.9</v>
      </c>
      <c r="AR73" s="261"/>
      <c r="AS73" s="151">
        <f>IF('Data Summary'!C200="PASS",IF('Data - Sample Type 1'!EM72=0,"",'Data - Sample Type 1'!EM72),"")</f>
        <v>23.8</v>
      </c>
      <c r="AT73" s="272"/>
    </row>
    <row r="74" spans="2:77" ht="13.5" thickBot="1" x14ac:dyDescent="0.25">
      <c r="B74"/>
      <c r="C74"/>
      <c r="D74"/>
      <c r="E74" s="276"/>
      <c r="F74" s="151">
        <f>IF('Data Summary'!C96="PASS",IF('Data Summary'!A96="","",'Data - Sample Type 0'!Q73),"")</f>
        <v>28</v>
      </c>
      <c r="G74" s="280"/>
      <c r="H74"/>
      <c r="I74"/>
      <c r="J74" s="278"/>
      <c r="K74" s="155">
        <f>IF(AND('Data Summary'!C201="PASS",'Data - Sample Type 1'!FO73&lt;&gt;0),'Data - Sample Type 1'!FO73,"")</f>
        <v>76.099999999999994</v>
      </c>
      <c r="L74" s="268"/>
      <c r="M74" s="171">
        <f>IF('Data Summary'!C201="PASS",IF('Data - Sample Type 1'!AE73=0,"",'Data - Sample Type 1'!AE73),"")</f>
        <v>24.5</v>
      </c>
      <c r="N74" s="268"/>
      <c r="O74" s="155">
        <f>IF(AND('Data Summary'!C201="PASS",'Data - Sample Type 1'!FW73&lt;&gt;0),'Data - Sample Type 1'!FW73,"")</f>
        <v>73.5</v>
      </c>
      <c r="P74" s="268"/>
      <c r="Q74" s="193">
        <f>IF(AND('Data Summary'!C201="PASS",O74&lt;&gt;""),'Data - Sample Type 1'!FX73,"")</f>
        <v>84.9</v>
      </c>
      <c r="R74" s="268"/>
      <c r="S74" s="155">
        <f>IF(AND('Data Summary'!C201="PASS",'Data - Sample Type 1'!GE73&lt;&gt;0),'Data - Sample Type 1'!GE73,"")</f>
        <v>71.3</v>
      </c>
      <c r="T74" s="268"/>
      <c r="U74" s="193">
        <f>IF(AND('Data Summary'!C201="PASS",S74&lt;&gt;""),'Data - Sample Type 1'!GF73,"")</f>
        <v>206.1</v>
      </c>
      <c r="V74" s="268"/>
      <c r="W74" s="155">
        <f>IF('Data Summary'!C201="PASS",IF('Data - Sample Type 1'!BG73=0,"",'Data - Sample Type 1'!BG73),"")</f>
        <v>21</v>
      </c>
      <c r="X74" s="268"/>
      <c r="Y74" s="197">
        <f>IF(AND('Data Summary'!C201="PASS",'Data - Sample Type 1'!GM73&lt;&gt;0),'Data - Sample Type 1'!GM73,"")</f>
        <v>68.400000000000006</v>
      </c>
      <c r="Z74" s="268"/>
      <c r="AA74" s="155">
        <f>IF('Data Summary'!C201="PASS",IF('Data - Sample Type 1'!BU73=0,"",'Data - Sample Type 1'!BU73),"")</f>
        <v>29.5</v>
      </c>
      <c r="AB74" s="268"/>
      <c r="AC74" s="155">
        <f>IF(AND('Data Summary'!C201="PASS",'Data - Sample Type 1'!HC73&lt;&gt;0),'Data - Sample Type 1'!HC73,"")</f>
        <v>70.400000000000006</v>
      </c>
      <c r="AD74" s="268"/>
      <c r="AE74" s="193">
        <f>IF(AND('Data Summary'!C201="PASS",AC74&lt;&gt;""),'Data - Sample Type 1'!HD73,"")</f>
        <v>86.9</v>
      </c>
      <c r="AF74" s="268"/>
      <c r="AG74" s="155">
        <f>IF(AND('Data Summary'!C201="PASS",'Data - Sample Type 1'!HK73&lt;&gt;0),'Data - Sample Type 1'!HK73,"")</f>
        <v>70.900000000000006</v>
      </c>
      <c r="AH74" s="268"/>
      <c r="AI74" s="193">
        <f>IF(AND('Data Summary'!C201="PASS",AG74&lt;&gt;""),'Data - Sample Type 1'!HL73,"")</f>
        <v>120.3</v>
      </c>
      <c r="AJ74" s="268"/>
      <c r="AK74" s="155">
        <f>IF(AND('Data Summary'!C201="PASS",'Data - Sample Type 1'!HS73&lt;&gt;0),'Data - Sample Type 1'!HS73,"")</f>
        <v>69.2</v>
      </c>
      <c r="AL74" s="268"/>
      <c r="AM74" s="193">
        <f>IF(AND('Data Summary'!C201="PASS",AK74&lt;&gt;""),'Data - Sample Type 1'!HT73,"")</f>
        <v>81.7</v>
      </c>
      <c r="AN74" s="268"/>
      <c r="AO74" s="197">
        <f>IF('Data Summary'!C201="PASS",IF('Data - Sample Type 1'!DK73=0,"",'Data - Sample Type 1'!DK73),"")</f>
        <v>24</v>
      </c>
      <c r="AP74" s="268"/>
      <c r="AQ74" s="155">
        <f>IF('Data Summary'!C201="PASS",IF('Data - Sample Type 1'!DY73=0,"",'Data - Sample Type 1'!DY73),"")</f>
        <v>21.4</v>
      </c>
      <c r="AR74" s="268"/>
      <c r="AS74" s="155">
        <f>IF('Data Summary'!C201="PASS",IF('Data - Sample Type 1'!EM73=0,"",'Data - Sample Type 1'!EM73),"")</f>
        <v>25.9</v>
      </c>
      <c r="AT74" s="273"/>
    </row>
    <row r="75" spans="2:77" x14ac:dyDescent="0.2">
      <c r="B75"/>
      <c r="C75"/>
      <c r="D75"/>
      <c r="E75" s="276"/>
      <c r="F75" s="151">
        <f>IF('Data Summary'!C97="PASS",IF('Data Summary'!A97="","",'Data - Sample Type 0'!Q74),"")</f>
        <v>28</v>
      </c>
      <c r="G75" s="280"/>
      <c r="H75"/>
      <c r="I75"/>
      <c r="J75" s="275">
        <v>10</v>
      </c>
      <c r="K75" s="154">
        <f>IF(AND('Data Summary'!C202="PASS",'Data - Sample Type 1'!FO74&lt;&gt;0),'Data - Sample Type 1'!FO74,"")</f>
        <v>76.099999999999994</v>
      </c>
      <c r="L75" s="258">
        <f t="shared" ref="L75" si="150">AVERAGE(K75:K82)</f>
        <v>76.05</v>
      </c>
      <c r="M75" s="170">
        <f>IF('Data Summary'!C202="PASS",IF('Data - Sample Type 1'!AE74=0,"",'Data - Sample Type 1'!AE74),"")</f>
        <v>25.5</v>
      </c>
      <c r="N75" s="258">
        <f t="shared" ref="N75" si="151">AVERAGE(M75:M82)</f>
        <v>26.2</v>
      </c>
      <c r="O75" s="154">
        <f>IF(AND('Data Summary'!C202="PASS",'Data - Sample Type 1'!FW74&lt;&gt;0),'Data - Sample Type 1'!FW74,"")</f>
        <v>73.5</v>
      </c>
      <c r="P75" s="258">
        <f t="shared" ref="P75" si="152">AVERAGE(O75:O82)</f>
        <v>73.525000000000006</v>
      </c>
      <c r="Q75" s="190">
        <f>IF(AND('Data Summary'!C202="PASS",O75&lt;&gt;""),'Data - Sample Type 1'!FX74,"")</f>
        <v>88.4</v>
      </c>
      <c r="R75" s="263">
        <f t="shared" ref="R75" si="153">AVERAGE(Q75:Q82)</f>
        <v>90.087499999999991</v>
      </c>
      <c r="S75" s="154">
        <f>IF(AND('Data Summary'!C202="PASS",'Data - Sample Type 1'!GE74&lt;&gt;0),'Data - Sample Type 1'!GE74,"")</f>
        <v>71.3</v>
      </c>
      <c r="T75" s="265">
        <f t="shared" ref="T75" si="154">AVERAGE(S75:S82)</f>
        <v>71.324999999999989</v>
      </c>
      <c r="U75" s="190">
        <f>IF(AND('Data Summary'!C202="PASS",S75&lt;&gt;""),'Data - Sample Type 1'!GF74,"")</f>
        <v>243.2</v>
      </c>
      <c r="V75" s="263">
        <f t="shared" ref="V75" si="155">AVERAGE(U75:U82)</f>
        <v>215.03749999999999</v>
      </c>
      <c r="W75" s="154">
        <f>IF('Data Summary'!C202="PASS",IF('Data - Sample Type 1'!BG74=0,"",'Data - Sample Type 1'!BG74),"")</f>
        <v>21.9</v>
      </c>
      <c r="X75" s="265">
        <f t="shared" ref="X75" si="156">AVERAGE(W75:W82)</f>
        <v>21.574999999999999</v>
      </c>
      <c r="Y75" s="196">
        <f>IF(AND('Data Summary'!C202="PASS",'Data - Sample Type 1'!GM74&lt;&gt;0),'Data - Sample Type 1'!GM74,"")</f>
        <v>68.599999999999994</v>
      </c>
      <c r="Z75" s="265">
        <f t="shared" ref="Z75" si="157">AVERAGE(Y75:Y82)</f>
        <v>68.487499999999997</v>
      </c>
      <c r="AA75" s="154">
        <f>IF('Data Summary'!C202="PASS",IF('Data - Sample Type 1'!BU74=0,"",'Data - Sample Type 1'!BU74),"")</f>
        <v>28.8</v>
      </c>
      <c r="AB75" s="265">
        <f t="shared" ref="AB75" si="158">AVERAGE(AA75:AA82)</f>
        <v>30.35</v>
      </c>
      <c r="AC75" s="154">
        <f>IF(AND('Data Summary'!C202="PASS",'Data - Sample Type 1'!HC74&lt;&gt;0),'Data - Sample Type 1'!HC74,"")</f>
        <v>70.2</v>
      </c>
      <c r="AD75" s="265">
        <f t="shared" ref="AD75" si="159">AVERAGE(AC75:AC82)</f>
        <v>70.312500000000014</v>
      </c>
      <c r="AE75" s="190">
        <f>IF(AND('Data Summary'!C202="PASS",AC75&lt;&gt;""),'Data - Sample Type 1'!HD74,"")</f>
        <v>71.3</v>
      </c>
      <c r="AF75" s="263">
        <f t="shared" ref="AF75" si="160">AVERAGE(AE75:AE82)</f>
        <v>72.9375</v>
      </c>
      <c r="AG75" s="154">
        <f>IF(AND('Data Summary'!C202="PASS",'Data - Sample Type 1'!HK74&lt;&gt;0),'Data - Sample Type 1'!HK74,"")</f>
        <v>70.900000000000006</v>
      </c>
      <c r="AH75" s="265">
        <f t="shared" ref="AH75" si="161">AVERAGE(AG75:AG82)</f>
        <v>70.9375</v>
      </c>
      <c r="AI75" s="190">
        <f>IF(AND('Data Summary'!C202="PASS",AG75&lt;&gt;""),'Data - Sample Type 1'!HL74,"")</f>
        <v>115.7</v>
      </c>
      <c r="AJ75" s="263">
        <f t="shared" ref="AJ75" si="162">AVERAGE(AI75:AI82)</f>
        <v>114.9875</v>
      </c>
      <c r="AK75" s="154">
        <f>IF(AND('Data Summary'!C202="PASS",'Data - Sample Type 1'!HS74&lt;&gt;0),'Data - Sample Type 1'!HS74,"")</f>
        <v>69.3</v>
      </c>
      <c r="AL75" s="265">
        <f t="shared" ref="AL75" si="163">AVERAGE(AK75:AK82)</f>
        <v>69.274999999999991</v>
      </c>
      <c r="AM75" s="190">
        <f>IF(AND('Data Summary'!C202="PASS",AK75&lt;&gt;""),'Data - Sample Type 1'!HT74,"")</f>
        <v>81.7</v>
      </c>
      <c r="AN75" s="263">
        <f t="shared" ref="AN75" si="164">AVERAGE(AM75:AM82)</f>
        <v>82.962499999999991</v>
      </c>
      <c r="AO75" s="196">
        <f>IF('Data Summary'!C202="PASS",IF('Data - Sample Type 1'!DK74=0,"",'Data - Sample Type 1'!DK74),"")</f>
        <v>22.9</v>
      </c>
      <c r="AP75" s="265">
        <f t="shared" ref="AP75" si="165">AVERAGE(AO75:AO82)</f>
        <v>24.362500000000004</v>
      </c>
      <c r="AQ75" s="154">
        <f>IF('Data Summary'!C202="PASS",IF('Data - Sample Type 1'!DY74=0,"",'Data - Sample Type 1'!DY74),"")</f>
        <v>20.9</v>
      </c>
      <c r="AR75" s="265">
        <f t="shared" ref="AR75" si="166">AVERAGE(AQ75:AQ82)</f>
        <v>21.587500000000002</v>
      </c>
      <c r="AS75" s="154">
        <f>IF('Data Summary'!C202="PASS",IF('Data - Sample Type 1'!EM74=0,"",'Data - Sample Type 1'!EM74),"")</f>
        <v>23.5</v>
      </c>
      <c r="AT75" s="269">
        <f t="shared" ref="AT75" si="167">AVERAGE(AS75:AS82)</f>
        <v>25.0625</v>
      </c>
    </row>
    <row r="76" spans="2:77" x14ac:dyDescent="0.2">
      <c r="B76"/>
      <c r="C76"/>
      <c r="D76"/>
      <c r="E76" s="276"/>
      <c r="F76" s="151">
        <f>IF('Data Summary'!C98="PASS",IF('Data Summary'!A98="","",'Data - Sample Type 0'!Q75),"")</f>
        <v>28</v>
      </c>
      <c r="G76" s="280"/>
      <c r="H76"/>
      <c r="I76"/>
      <c r="J76" s="276"/>
      <c r="K76" s="151">
        <f>IF(AND('Data Summary'!C203="PASS",'Data - Sample Type 1'!FO75&lt;&gt;0),'Data - Sample Type 1'!FO75,"")</f>
        <v>76.099999999999994</v>
      </c>
      <c r="L76" s="259"/>
      <c r="M76" s="102">
        <f>IF('Data Summary'!C203="PASS",IF('Data - Sample Type 1'!AE75=0,"",'Data - Sample Type 1'!AE75),"")</f>
        <v>24.9</v>
      </c>
      <c r="N76" s="259"/>
      <c r="O76" s="151">
        <f>IF(AND('Data Summary'!C203="PASS",'Data - Sample Type 1'!FW75&lt;&gt;0),'Data - Sample Type 1'!FW75,"")</f>
        <v>73.599999999999994</v>
      </c>
      <c r="P76" s="259"/>
      <c r="Q76" s="191">
        <f>IF(AND('Data Summary'!C203="PASS",O76&lt;&gt;""),'Data - Sample Type 1'!FX75,"")</f>
        <v>86.5</v>
      </c>
      <c r="R76" s="264"/>
      <c r="S76" s="151">
        <f>IF(AND('Data Summary'!C203="PASS",'Data - Sample Type 1'!GE75&lt;&gt;0),'Data - Sample Type 1'!GE75,"")</f>
        <v>71.400000000000006</v>
      </c>
      <c r="T76" s="266"/>
      <c r="U76" s="191">
        <f>IF(AND('Data Summary'!C203="PASS",S76&lt;&gt;""),'Data - Sample Type 1'!GF75,"")</f>
        <v>198.3</v>
      </c>
      <c r="V76" s="264"/>
      <c r="W76" s="151">
        <f>IF('Data Summary'!C203="PASS",IF('Data - Sample Type 1'!BG75=0,"",'Data - Sample Type 1'!BG75),"")</f>
        <v>18</v>
      </c>
      <c r="X76" s="266"/>
      <c r="Y76" s="194">
        <f>IF(AND('Data Summary'!C203="PASS",'Data - Sample Type 1'!GM75&lt;&gt;0),'Data - Sample Type 1'!GM75,"")</f>
        <v>68.5</v>
      </c>
      <c r="Z76" s="266"/>
      <c r="AA76" s="151">
        <f>IF('Data Summary'!C203="PASS",IF('Data - Sample Type 1'!BU75=0,"",'Data - Sample Type 1'!BU75),"")</f>
        <v>29.9</v>
      </c>
      <c r="AB76" s="266"/>
      <c r="AC76" s="151">
        <f>IF(AND('Data Summary'!C203="PASS",'Data - Sample Type 1'!HC75&lt;&gt;0),'Data - Sample Type 1'!HC75,"")</f>
        <v>70.400000000000006</v>
      </c>
      <c r="AD76" s="266"/>
      <c r="AE76" s="191">
        <f>IF(AND('Data Summary'!C203="PASS",AC76&lt;&gt;""),'Data - Sample Type 1'!HD75,"")</f>
        <v>77.3</v>
      </c>
      <c r="AF76" s="264"/>
      <c r="AG76" s="151">
        <f>IF(AND('Data Summary'!C203="PASS",'Data - Sample Type 1'!HK75&lt;&gt;0),'Data - Sample Type 1'!HK75,"")</f>
        <v>71</v>
      </c>
      <c r="AH76" s="266"/>
      <c r="AI76" s="191">
        <f>IF(AND('Data Summary'!C203="PASS",AG76&lt;&gt;""),'Data - Sample Type 1'!HL75,"")</f>
        <v>99.4</v>
      </c>
      <c r="AJ76" s="264"/>
      <c r="AK76" s="151">
        <f>IF(AND('Data Summary'!C203="PASS",'Data - Sample Type 1'!HS75&lt;&gt;0),'Data - Sample Type 1'!HS75,"")</f>
        <v>69.3</v>
      </c>
      <c r="AL76" s="266"/>
      <c r="AM76" s="191">
        <f>IF(AND('Data Summary'!C203="PASS",AK76&lt;&gt;""),'Data - Sample Type 1'!HT75,"")</f>
        <v>82</v>
      </c>
      <c r="AN76" s="264"/>
      <c r="AO76" s="194">
        <f>IF('Data Summary'!C203="PASS",IF('Data - Sample Type 1'!DK75=0,"",'Data - Sample Type 1'!DK75),"")</f>
        <v>23.6</v>
      </c>
      <c r="AP76" s="266"/>
      <c r="AQ76" s="151">
        <f>IF('Data Summary'!C203="PASS",IF('Data - Sample Type 1'!DY75=0,"",'Data - Sample Type 1'!DY75),"")</f>
        <v>20.6</v>
      </c>
      <c r="AR76" s="266"/>
      <c r="AS76" s="151">
        <f>IF('Data Summary'!C203="PASS",IF('Data - Sample Type 1'!EM75=0,"",'Data - Sample Type 1'!EM75),"")</f>
        <v>26</v>
      </c>
      <c r="AT76" s="270"/>
    </row>
    <row r="77" spans="2:77" x14ac:dyDescent="0.2">
      <c r="B77"/>
      <c r="C77"/>
      <c r="D77"/>
      <c r="E77" s="276"/>
      <c r="F77" s="151">
        <f>IF('Data Summary'!C99="PASS",IF('Data Summary'!A99="","",'Data - Sample Type 0'!Q76),"")</f>
        <v>26.7</v>
      </c>
      <c r="G77" s="280"/>
      <c r="H77"/>
      <c r="I77"/>
      <c r="J77" s="276"/>
      <c r="K77" s="151">
        <f>IF(AND('Data Summary'!C204="PASS",'Data - Sample Type 1'!FO76&lt;&gt;0),'Data - Sample Type 1'!FO76,"")</f>
        <v>76</v>
      </c>
      <c r="L77" s="259"/>
      <c r="M77" s="102">
        <f>IF('Data Summary'!C204="PASS",IF('Data - Sample Type 1'!AE76=0,"",'Data - Sample Type 1'!AE76),"")</f>
        <v>24.4</v>
      </c>
      <c r="N77" s="259"/>
      <c r="O77" s="151">
        <f>IF(AND('Data Summary'!C204="PASS",'Data - Sample Type 1'!FW76&lt;&gt;0),'Data - Sample Type 1'!FW76,"")</f>
        <v>73.5</v>
      </c>
      <c r="P77" s="259"/>
      <c r="Q77" s="191">
        <f>IF(AND('Data Summary'!C204="PASS",O77&lt;&gt;""),'Data - Sample Type 1'!FX76,"")</f>
        <v>94.6</v>
      </c>
      <c r="R77" s="264"/>
      <c r="S77" s="151">
        <f>IF(AND('Data Summary'!C204="PASS",'Data - Sample Type 1'!GE76&lt;&gt;0),'Data - Sample Type 1'!GE76,"")</f>
        <v>71.3</v>
      </c>
      <c r="T77" s="266"/>
      <c r="U77" s="191">
        <f>IF(AND('Data Summary'!C204="PASS",S77&lt;&gt;""),'Data - Sample Type 1'!GF76,"")</f>
        <v>205.9</v>
      </c>
      <c r="V77" s="264"/>
      <c r="W77" s="151">
        <f>IF('Data Summary'!C204="PASS",IF('Data - Sample Type 1'!BG76=0,"",'Data - Sample Type 1'!BG76),"")</f>
        <v>18.100000000000001</v>
      </c>
      <c r="X77" s="266"/>
      <c r="Y77" s="194">
        <f>IF(AND('Data Summary'!C204="PASS",'Data - Sample Type 1'!GM76&lt;&gt;0),'Data - Sample Type 1'!GM76,"")</f>
        <v>68.400000000000006</v>
      </c>
      <c r="Z77" s="266"/>
      <c r="AA77" s="151">
        <f>IF('Data Summary'!C204="PASS",IF('Data - Sample Type 1'!BU76=0,"",'Data - Sample Type 1'!BU76),"")</f>
        <v>28.7</v>
      </c>
      <c r="AB77" s="266"/>
      <c r="AC77" s="151">
        <f>IF(AND('Data Summary'!C204="PASS",'Data - Sample Type 1'!HC76&lt;&gt;0),'Data - Sample Type 1'!HC76,"")</f>
        <v>70.2</v>
      </c>
      <c r="AD77" s="266"/>
      <c r="AE77" s="191">
        <f>IF(AND('Data Summary'!C204="PASS",AC77&lt;&gt;""),'Data - Sample Type 1'!HD76,"")</f>
        <v>81.2</v>
      </c>
      <c r="AF77" s="264"/>
      <c r="AG77" s="151">
        <f>IF(AND('Data Summary'!C204="PASS",'Data - Sample Type 1'!HK76&lt;&gt;0),'Data - Sample Type 1'!HK76,"")</f>
        <v>70.8</v>
      </c>
      <c r="AH77" s="266"/>
      <c r="AI77" s="191">
        <f>IF(AND('Data Summary'!C204="PASS",AG77&lt;&gt;""),'Data - Sample Type 1'!HL76,"")</f>
        <v>115.4</v>
      </c>
      <c r="AJ77" s="264"/>
      <c r="AK77" s="151">
        <f>IF(AND('Data Summary'!C204="PASS",'Data - Sample Type 1'!HS76&lt;&gt;0),'Data - Sample Type 1'!HS76,"")</f>
        <v>69.3</v>
      </c>
      <c r="AL77" s="266"/>
      <c r="AM77" s="191">
        <f>IF(AND('Data Summary'!C204="PASS",AK77&lt;&gt;""),'Data - Sample Type 1'!HT76,"")</f>
        <v>99.5</v>
      </c>
      <c r="AN77" s="264"/>
      <c r="AO77" s="194">
        <f>IF('Data Summary'!C204="PASS",IF('Data - Sample Type 1'!DK76=0,"",'Data - Sample Type 1'!DK76),"")</f>
        <v>23.4</v>
      </c>
      <c r="AP77" s="266"/>
      <c r="AQ77" s="151">
        <f>IF('Data Summary'!C204="PASS",IF('Data - Sample Type 1'!DY76=0,"",'Data - Sample Type 1'!DY76),"")</f>
        <v>20.6</v>
      </c>
      <c r="AR77" s="266"/>
      <c r="AS77" s="151">
        <f>IF('Data Summary'!C204="PASS",IF('Data - Sample Type 1'!EM76=0,"",'Data - Sample Type 1'!EM76),"")</f>
        <v>24.7</v>
      </c>
      <c r="AT77" s="270"/>
    </row>
    <row r="78" spans="2:77" x14ac:dyDescent="0.2">
      <c r="B78"/>
      <c r="C78"/>
      <c r="D78"/>
      <c r="E78" s="276"/>
      <c r="F78" s="151">
        <f>IF('Data Summary'!C100="PASS",IF('Data Summary'!A100="","",'Data - Sample Type 0'!Q77),"")</f>
        <v>27.3</v>
      </c>
      <c r="G78" s="272" t="str">
        <f>IF(G73&lt;=Specifications!$G$20,"PASS","FAIL")</f>
        <v>PASS</v>
      </c>
      <c r="H78"/>
      <c r="I78"/>
      <c r="J78" s="276"/>
      <c r="K78" s="151">
        <f>IF(AND('Data Summary'!C205="PASS",'Data - Sample Type 1'!FO77&lt;&gt;0),'Data - Sample Type 1'!FO77,"")</f>
        <v>76.2</v>
      </c>
      <c r="L78" s="259"/>
      <c r="M78" s="102">
        <f>IF('Data Summary'!C205="PASS",IF('Data - Sample Type 1'!AE77=0,"",'Data - Sample Type 1'!AE77),"")</f>
        <v>29.8</v>
      </c>
      <c r="N78" s="259"/>
      <c r="O78" s="151">
        <f>IF(AND('Data Summary'!C205="PASS",'Data - Sample Type 1'!FW77&lt;&gt;0),'Data - Sample Type 1'!FW77,"")</f>
        <v>73.599999999999994</v>
      </c>
      <c r="P78" s="259"/>
      <c r="Q78" s="191">
        <f>IF(AND('Data Summary'!C205="PASS",O78&lt;&gt;""),'Data - Sample Type 1'!FX77,"")</f>
        <v>92.6</v>
      </c>
      <c r="R78" s="264"/>
      <c r="S78" s="151">
        <f>IF(AND('Data Summary'!C205="PASS",'Data - Sample Type 1'!GE77&lt;&gt;0),'Data - Sample Type 1'!GE77,"")</f>
        <v>71.400000000000006</v>
      </c>
      <c r="T78" s="267"/>
      <c r="U78" s="191">
        <f>IF(AND('Data Summary'!C205="PASS",S78&lt;&gt;""),'Data - Sample Type 1'!GF77,"")</f>
        <v>199.2</v>
      </c>
      <c r="V78" s="264"/>
      <c r="W78" s="151">
        <f>IF('Data Summary'!C205="PASS",IF('Data - Sample Type 1'!BG77=0,"",'Data - Sample Type 1'!BG77),"")</f>
        <v>26.4</v>
      </c>
      <c r="X78" s="267"/>
      <c r="Y78" s="194">
        <f>IF(AND('Data Summary'!C205="PASS",'Data - Sample Type 1'!GM77&lt;&gt;0),'Data - Sample Type 1'!GM77,"")</f>
        <v>68.7</v>
      </c>
      <c r="Z78" s="267"/>
      <c r="AA78" s="151">
        <f>IF('Data Summary'!C205="PASS",IF('Data - Sample Type 1'!BU77=0,"",'Data - Sample Type 1'!BU77),"")</f>
        <v>33.6</v>
      </c>
      <c r="AB78" s="267"/>
      <c r="AC78" s="151">
        <f>IF(AND('Data Summary'!C205="PASS",'Data - Sample Type 1'!HC77&lt;&gt;0),'Data - Sample Type 1'!HC77,"")</f>
        <v>70.3</v>
      </c>
      <c r="AD78" s="267"/>
      <c r="AE78" s="191">
        <f>IF(AND('Data Summary'!C205="PASS",AC78&lt;&gt;""),'Data - Sample Type 1'!HD77,"")</f>
        <v>66.599999999999994</v>
      </c>
      <c r="AF78" s="264"/>
      <c r="AG78" s="151">
        <f>IF(AND('Data Summary'!C205="PASS",'Data - Sample Type 1'!HK77&lt;&gt;0),'Data - Sample Type 1'!HK77,"")</f>
        <v>71</v>
      </c>
      <c r="AH78" s="267"/>
      <c r="AI78" s="191">
        <f>IF(AND('Data Summary'!C205="PASS",AG78&lt;&gt;""),'Data - Sample Type 1'!HL77,"")</f>
        <v>114.5</v>
      </c>
      <c r="AJ78" s="264"/>
      <c r="AK78" s="151">
        <f>IF(AND('Data Summary'!C205="PASS",'Data - Sample Type 1'!HS77&lt;&gt;0),'Data - Sample Type 1'!HS77,"")</f>
        <v>69.400000000000006</v>
      </c>
      <c r="AL78" s="267"/>
      <c r="AM78" s="191">
        <f>IF(AND('Data Summary'!C205="PASS",AK78&lt;&gt;""),'Data - Sample Type 1'!HT77,"")</f>
        <v>75.099999999999994</v>
      </c>
      <c r="AN78" s="264"/>
      <c r="AO78" s="194">
        <f>IF('Data Summary'!C205="PASS",IF('Data - Sample Type 1'!DK77=0,"",'Data - Sample Type 1'!DK77),"")</f>
        <v>26.5</v>
      </c>
      <c r="AP78" s="267"/>
      <c r="AQ78" s="151">
        <f>IF('Data Summary'!C205="PASS",IF('Data - Sample Type 1'!DY77=0,"",'Data - Sample Type 1'!DY77),"")</f>
        <v>24.2</v>
      </c>
      <c r="AR78" s="267"/>
      <c r="AS78" s="151">
        <f>IF('Data Summary'!C205="PASS",IF('Data - Sample Type 1'!EM77=0,"",'Data - Sample Type 1'!EM77),"")</f>
        <v>28.5</v>
      </c>
      <c r="AT78" s="271"/>
    </row>
    <row r="79" spans="2:77" x14ac:dyDescent="0.2">
      <c r="B79"/>
      <c r="C79"/>
      <c r="D79"/>
      <c r="E79" s="276">
        <v>8</v>
      </c>
      <c r="F79" s="151">
        <f>IF('Data Summary'!C101="PASS",IF('Data Summary'!A101="","",'Data - Sample Type 0'!Q78),"")</f>
        <v>26.9</v>
      </c>
      <c r="G79" s="272"/>
      <c r="H79"/>
      <c r="I79"/>
      <c r="J79" s="276"/>
      <c r="K79" s="151">
        <f>IF(AND('Data Summary'!C206="PASS",'Data - Sample Type 1'!FO78&lt;&gt;0),'Data - Sample Type 1'!FO78,"")</f>
        <v>76</v>
      </c>
      <c r="L79" s="261" t="str">
        <f>IF(AND(L75&gt;=Specifications!$C$21,L75&lt;=Specifications!$D$21),"PASS","FAIL")</f>
        <v>PASS</v>
      </c>
      <c r="M79" s="102">
        <f>IF('Data Summary'!C206="PASS",IF('Data - Sample Type 1'!AE78=0,"",'Data - Sample Type 1'!AE78),"")</f>
        <v>28</v>
      </c>
      <c r="N79" s="261" t="str">
        <f>IF(N75&lt;=Specifications!D$22,"PASS","FAIL")</f>
        <v>PASS</v>
      </c>
      <c r="O79" s="151">
        <f>IF(AND('Data Summary'!C206="PASS",'Data - Sample Type 1'!FW78&lt;&gt;0),'Data - Sample Type 1'!FW78,"")</f>
        <v>73.5</v>
      </c>
      <c r="P79" s="261" t="str">
        <f>IF(AND(P75&gt;=Specifications!$C$23,P75&lt;=Specifications!$D$23),"PASS","FAIL")</f>
        <v>PASS</v>
      </c>
      <c r="Q79" s="191">
        <f>IF(AND('Data Summary'!C206="PASS",O79&lt;&gt;""),'Data - Sample Type 1'!FX78,"")</f>
        <v>90.9</v>
      </c>
      <c r="R79" s="260" t="s">
        <v>510</v>
      </c>
      <c r="S79" s="151">
        <f>IF(AND('Data Summary'!C206="PASS",'Data - Sample Type 1'!GE78&lt;&gt;0),'Data - Sample Type 1'!GE78,"")</f>
        <v>71.2</v>
      </c>
      <c r="T79" s="261" t="str">
        <f>IF(AND(T75&gt;=Specifications!$C$25,T75&lt;=Specifications!$D$25),"PASS","FAIL")</f>
        <v>PASS</v>
      </c>
      <c r="U79" s="191">
        <f>IF(AND('Data Summary'!C206="PASS",S79&lt;&gt;""),'Data - Sample Type 1'!GF78,"")</f>
        <v>225.2</v>
      </c>
      <c r="V79" s="260" t="s">
        <v>510</v>
      </c>
      <c r="W79" s="151">
        <f>IF('Data Summary'!C206="PASS",IF('Data - Sample Type 1'!BG78=0,"",'Data - Sample Type 1'!BG78),"")</f>
        <v>20.6</v>
      </c>
      <c r="X79" s="261" t="str">
        <f>IF(X75&lt;=Specifications!D$27,"PASS","FAIL")</f>
        <v>PASS</v>
      </c>
      <c r="Y79" s="194">
        <f>IF(AND('Data Summary'!C206="PASS",'Data - Sample Type 1'!GM78&lt;&gt;0),'Data - Sample Type 1'!GM78,"")</f>
        <v>68.5</v>
      </c>
      <c r="Z79" s="261" t="str">
        <f>IF(AND(Z75&gt;=Specifications!$C$28,Z75&lt;=Specifications!$D$28),"PASS","FAIL")</f>
        <v>PASS</v>
      </c>
      <c r="AA79" s="151">
        <f>IF('Data Summary'!C206="PASS",IF('Data - Sample Type 1'!BU78=0,"",'Data - Sample Type 1'!BU78),"")</f>
        <v>31.4</v>
      </c>
      <c r="AB79" s="261" t="s">
        <v>510</v>
      </c>
      <c r="AC79" s="151">
        <f>IF(AND('Data Summary'!C206="PASS",'Data - Sample Type 1'!HC78&lt;&gt;0),'Data - Sample Type 1'!HC78,"")</f>
        <v>70.3</v>
      </c>
      <c r="AD79" s="261" t="str">
        <f>IF(AND(AD75&gt;=Specifications!$C$31,AD75&lt;=Specifications!$D$31),"PASS","FAIL")</f>
        <v>PASS</v>
      </c>
      <c r="AE79" s="191">
        <f>IF(AND('Data Summary'!C206="PASS",AC79&lt;&gt;""),'Data - Sample Type 1'!HD78,"")</f>
        <v>62.6</v>
      </c>
      <c r="AF79" s="260" t="s">
        <v>510</v>
      </c>
      <c r="AG79" s="151">
        <f>IF(AND('Data Summary'!C206="PASS",'Data - Sample Type 1'!HK78&lt;&gt;0),'Data - Sample Type 1'!HK78,"")</f>
        <v>70.900000000000006</v>
      </c>
      <c r="AH79" s="261" t="str">
        <f>IF(AND(AH75&gt;=Specifications!$C$33,AH75&lt;=Specifications!$D$33),"PASS","FAIL")</f>
        <v>PASS</v>
      </c>
      <c r="AI79" s="191">
        <f>IF(AND('Data Summary'!C206="PASS",AG79&lt;&gt;""),'Data - Sample Type 1'!HL78,"")</f>
        <v>114.1</v>
      </c>
      <c r="AJ79" s="260" t="s">
        <v>510</v>
      </c>
      <c r="AK79" s="151">
        <f>IF(AND('Data Summary'!C206="PASS",'Data - Sample Type 1'!HS78&lt;&gt;0),'Data - Sample Type 1'!HS78,"")</f>
        <v>69.3</v>
      </c>
      <c r="AL79" s="261" t="str">
        <f>IF(AND(AL75&gt;=Specifications!$C$35,AL75&lt;=Specifications!$D$35),"PASS","FAIL")</f>
        <v>PASS</v>
      </c>
      <c r="AM79" s="191">
        <f>IF(AND('Data Summary'!C206="PASS",AK79&lt;&gt;""),'Data - Sample Type 1'!HT78,"")</f>
        <v>83.2</v>
      </c>
      <c r="AN79" s="260" t="s">
        <v>510</v>
      </c>
      <c r="AO79" s="194">
        <f>IF('Data Summary'!C206="PASS",IF('Data - Sample Type 1'!DK78=0,"",'Data - Sample Type 1'!DK78),"")</f>
        <v>25.6</v>
      </c>
      <c r="AP79" s="261" t="str">
        <f>IF(AP75&lt;=Specifications!$D$37,"PASS","FAIL")</f>
        <v>PASS</v>
      </c>
      <c r="AQ79" s="151">
        <f>IF('Data Summary'!C206="PASS",IF('Data - Sample Type 1'!DY78=0,"",'Data - Sample Type 1'!DY78),"")</f>
        <v>23</v>
      </c>
      <c r="AR79" s="261" t="str">
        <f>IF(AR75&lt;=Specifications!$D$38,"PASS","FAIL")</f>
        <v>PASS</v>
      </c>
      <c r="AS79" s="151">
        <f>IF('Data Summary'!C206="PASS",IF('Data - Sample Type 1'!EM78=0,"",'Data - Sample Type 1'!EM78),"")</f>
        <v>24.3</v>
      </c>
      <c r="AT79" s="272" t="str">
        <f>IF(AT75&lt;=Specifications!$D$39,"PASS","FAIL")</f>
        <v>PASS</v>
      </c>
    </row>
    <row r="80" spans="2:77" x14ac:dyDescent="0.2">
      <c r="B80"/>
      <c r="C80"/>
      <c r="D80"/>
      <c r="E80" s="276"/>
      <c r="F80" s="151">
        <f>IF('Data Summary'!C102="PASS",IF('Data Summary'!A102="","",'Data - Sample Type 0'!Q79),"")</f>
        <v>26.4</v>
      </c>
      <c r="G80" s="272"/>
      <c r="H80"/>
      <c r="I80"/>
      <c r="J80" s="276"/>
      <c r="K80" s="151">
        <f>IF(AND('Data Summary'!C207="PASS",'Data - Sample Type 1'!FO79&lt;&gt;0),'Data - Sample Type 1'!FO79,"")</f>
        <v>75.8</v>
      </c>
      <c r="L80" s="261"/>
      <c r="M80" s="102">
        <f>IF('Data Summary'!C207="PASS",IF('Data - Sample Type 1'!AE79=0,"",'Data - Sample Type 1'!AE79),"")</f>
        <v>23.5</v>
      </c>
      <c r="N80" s="261"/>
      <c r="O80" s="151">
        <f>IF(AND('Data Summary'!C207="PASS",'Data - Sample Type 1'!FW79&lt;&gt;0),'Data - Sample Type 1'!FW79,"")</f>
        <v>73.3</v>
      </c>
      <c r="P80" s="261"/>
      <c r="Q80" s="191">
        <f>IF(AND('Data Summary'!C207="PASS",O80&lt;&gt;""),'Data - Sample Type 1'!FX79,"")</f>
        <v>76.3</v>
      </c>
      <c r="R80" s="261"/>
      <c r="S80" s="151">
        <f>IF(AND('Data Summary'!C207="PASS",'Data - Sample Type 1'!GE79&lt;&gt;0),'Data - Sample Type 1'!GE79,"")</f>
        <v>71.2</v>
      </c>
      <c r="T80" s="261"/>
      <c r="U80" s="191">
        <f>IF(AND('Data Summary'!C207="PASS",S80&lt;&gt;""),'Data - Sample Type 1'!GF79,"")</f>
        <v>176.9</v>
      </c>
      <c r="V80" s="261"/>
      <c r="W80" s="151">
        <f>IF('Data Summary'!C207="PASS",IF('Data - Sample Type 1'!BG79=0,"",'Data - Sample Type 1'!BG79),"")</f>
        <v>20.9</v>
      </c>
      <c r="X80" s="261"/>
      <c r="Y80" s="194">
        <f>IF(AND('Data Summary'!C207="PASS",'Data - Sample Type 1'!GM79&lt;&gt;0),'Data - Sample Type 1'!GM79,"")</f>
        <v>68.099999999999994</v>
      </c>
      <c r="Z80" s="261"/>
      <c r="AA80" s="151">
        <f>IF('Data Summary'!C207="PASS",IF('Data - Sample Type 1'!BU79=0,"",'Data - Sample Type 1'!BU79),"")</f>
        <v>28.3</v>
      </c>
      <c r="AB80" s="261"/>
      <c r="AC80" s="151">
        <f>IF(AND('Data Summary'!C207="PASS",'Data - Sample Type 1'!HC79&lt;&gt;0),'Data - Sample Type 1'!HC79,"")</f>
        <v>70.400000000000006</v>
      </c>
      <c r="AD80" s="261"/>
      <c r="AE80" s="191">
        <f>IF(AND('Data Summary'!C207="PASS",AC80&lt;&gt;""),'Data - Sample Type 1'!HD79,"")</f>
        <v>85.8</v>
      </c>
      <c r="AF80" s="261"/>
      <c r="AG80" s="151">
        <f>IF(AND('Data Summary'!C207="PASS",'Data - Sample Type 1'!HK79&lt;&gt;0),'Data - Sample Type 1'!HK79,"")</f>
        <v>70.900000000000006</v>
      </c>
      <c r="AH80" s="261"/>
      <c r="AI80" s="191">
        <f>IF(AND('Data Summary'!C207="PASS",AG80&lt;&gt;""),'Data - Sample Type 1'!HL79,"")</f>
        <v>109.8</v>
      </c>
      <c r="AJ80" s="261"/>
      <c r="AK80" s="151">
        <f>IF(AND('Data Summary'!C207="PASS",'Data - Sample Type 1'!HS79&lt;&gt;0),'Data - Sample Type 1'!HS79,"")</f>
        <v>68.900000000000006</v>
      </c>
      <c r="AL80" s="261"/>
      <c r="AM80" s="191">
        <f>IF(AND('Data Summary'!C207="PASS",AK80&lt;&gt;""),'Data - Sample Type 1'!HT79,"")</f>
        <v>83</v>
      </c>
      <c r="AN80" s="261"/>
      <c r="AO80" s="194">
        <f>IF('Data Summary'!C207="PASS",IF('Data - Sample Type 1'!DK79=0,"",'Data - Sample Type 1'!DK79),"")</f>
        <v>25.3</v>
      </c>
      <c r="AP80" s="261"/>
      <c r="AQ80" s="151">
        <f>IF('Data Summary'!C207="PASS",IF('Data - Sample Type 1'!DY79=0,"",'Data - Sample Type 1'!DY79),"")</f>
        <v>20.7</v>
      </c>
      <c r="AR80" s="261"/>
      <c r="AS80" s="151">
        <f>IF('Data Summary'!C207="PASS",IF('Data - Sample Type 1'!EM79=0,"",'Data - Sample Type 1'!EM79),"")</f>
        <v>25.6</v>
      </c>
      <c r="AT80" s="272"/>
    </row>
    <row r="81" spans="2:49" x14ac:dyDescent="0.2">
      <c r="B81"/>
      <c r="C81"/>
      <c r="D81"/>
      <c r="E81" s="276"/>
      <c r="F81" s="151">
        <f>IF('Data Summary'!C103="PASS",IF('Data Summary'!A103="","",'Data - Sample Type 0'!Q80),"")</f>
        <v>26.3</v>
      </c>
      <c r="G81" s="272"/>
      <c r="H81"/>
      <c r="I81"/>
      <c r="J81" s="276"/>
      <c r="K81" s="151">
        <f>IF(AND('Data Summary'!C208="PASS",'Data - Sample Type 1'!FO80&lt;&gt;0),'Data - Sample Type 1'!FO80,"")</f>
        <v>76.099999999999994</v>
      </c>
      <c r="L81" s="261"/>
      <c r="M81" s="102">
        <f>IF('Data Summary'!C208="PASS",IF('Data - Sample Type 1'!AE80=0,"",'Data - Sample Type 1'!AE80),"")</f>
        <v>25.6</v>
      </c>
      <c r="N81" s="261"/>
      <c r="O81" s="151">
        <f>IF(AND('Data Summary'!C208="PASS",'Data - Sample Type 1'!FW80&lt;&gt;0),'Data - Sample Type 1'!FW80,"")</f>
        <v>73.599999999999994</v>
      </c>
      <c r="P81" s="261"/>
      <c r="Q81" s="191">
        <f>IF(AND('Data Summary'!C208="PASS",O81&lt;&gt;""),'Data - Sample Type 1'!FX80,"")</f>
        <v>98.4</v>
      </c>
      <c r="R81" s="261"/>
      <c r="S81" s="151">
        <f>IF(AND('Data Summary'!C208="PASS",'Data - Sample Type 1'!GE80&lt;&gt;0),'Data - Sample Type 1'!GE80,"")</f>
        <v>71.400000000000006</v>
      </c>
      <c r="T81" s="261"/>
      <c r="U81" s="191">
        <f>IF(AND('Data Summary'!C208="PASS",S81&lt;&gt;""),'Data - Sample Type 1'!GF80,"")</f>
        <v>227.8</v>
      </c>
      <c r="V81" s="261"/>
      <c r="W81" s="151">
        <f>IF('Data Summary'!C208="PASS",IF('Data - Sample Type 1'!BG80=0,"",'Data - Sample Type 1'!BG80),"")</f>
        <v>22.1</v>
      </c>
      <c r="X81" s="261"/>
      <c r="Y81" s="194">
        <f>IF(AND('Data Summary'!C208="PASS",'Data - Sample Type 1'!GM80&lt;&gt;0),'Data - Sample Type 1'!GM80,"")</f>
        <v>68.599999999999994</v>
      </c>
      <c r="Z81" s="261"/>
      <c r="AA81" s="151">
        <f>IF('Data Summary'!C208="PASS",IF('Data - Sample Type 1'!BU80=0,"",'Data - Sample Type 1'!BU80),"")</f>
        <v>30.4</v>
      </c>
      <c r="AB81" s="261"/>
      <c r="AC81" s="151">
        <f>IF(AND('Data Summary'!C208="PASS",'Data - Sample Type 1'!HC80&lt;&gt;0),'Data - Sample Type 1'!HC80,"")</f>
        <v>70.3</v>
      </c>
      <c r="AD81" s="261"/>
      <c r="AE81" s="191">
        <f>IF(AND('Data Summary'!C208="PASS",AC81&lt;&gt;""),'Data - Sample Type 1'!HD80,"")</f>
        <v>68</v>
      </c>
      <c r="AF81" s="261"/>
      <c r="AG81" s="151">
        <f>IF(AND('Data Summary'!C208="PASS",'Data - Sample Type 1'!HK80&lt;&gt;0),'Data - Sample Type 1'!HK80,"")</f>
        <v>71</v>
      </c>
      <c r="AH81" s="261"/>
      <c r="AI81" s="191">
        <f>IF(AND('Data Summary'!C208="PASS",AG81&lt;&gt;""),'Data - Sample Type 1'!HL80,"")</f>
        <v>123.4</v>
      </c>
      <c r="AJ81" s="261"/>
      <c r="AK81" s="151">
        <f>IF(AND('Data Summary'!C208="PASS",'Data - Sample Type 1'!HS80&lt;&gt;0),'Data - Sample Type 1'!HS80,"")</f>
        <v>69.400000000000006</v>
      </c>
      <c r="AL81" s="261"/>
      <c r="AM81" s="191">
        <f>IF(AND('Data Summary'!C208="PASS",AK81&lt;&gt;""),'Data - Sample Type 1'!HT80,"")</f>
        <v>79.099999999999994</v>
      </c>
      <c r="AN81" s="261"/>
      <c r="AO81" s="194">
        <f>IF('Data Summary'!C208="PASS",IF('Data - Sample Type 1'!DK80=0,"",'Data - Sample Type 1'!DK80),"")</f>
        <v>23.8</v>
      </c>
      <c r="AP81" s="261"/>
      <c r="AQ81" s="151">
        <f>IF('Data Summary'!C208="PASS",IF('Data - Sample Type 1'!DY80=0,"",'Data - Sample Type 1'!DY80),"")</f>
        <v>21.4</v>
      </c>
      <c r="AR81" s="261"/>
      <c r="AS81" s="151">
        <f>IF('Data Summary'!C208="PASS",IF('Data - Sample Type 1'!EM80=0,"",'Data - Sample Type 1'!EM80),"")</f>
        <v>25.6</v>
      </c>
      <c r="AT81" s="272"/>
    </row>
    <row r="82" spans="2:49" ht="13.5" thickBot="1" x14ac:dyDescent="0.25">
      <c r="B82"/>
      <c r="C82"/>
      <c r="D82"/>
      <c r="E82" s="278"/>
      <c r="F82" s="155">
        <f>IF('Data Summary'!C104="PASS",IF('Data Summary'!A104="","",'Data - Sample Type 0'!Q81),"")</f>
        <v>27.9</v>
      </c>
      <c r="G82" s="274"/>
      <c r="H82"/>
      <c r="I82"/>
      <c r="J82" s="278"/>
      <c r="K82" s="155">
        <f>IF(AND('Data Summary'!C209="PASS",'Data - Sample Type 1'!FO81&lt;&gt;0),'Data - Sample Type 1'!FO81,"")</f>
        <v>76.099999999999994</v>
      </c>
      <c r="L82" s="262"/>
      <c r="M82" s="171">
        <f>IF('Data Summary'!C209="PASS",IF('Data - Sample Type 1'!AE81=0,"",'Data - Sample Type 1'!AE81),"")</f>
        <v>27.9</v>
      </c>
      <c r="N82" s="262"/>
      <c r="O82" s="155">
        <f>IF(AND('Data Summary'!C209="PASS",'Data - Sample Type 1'!FW81&lt;&gt;0),'Data - Sample Type 1'!FW81,"")</f>
        <v>73.599999999999994</v>
      </c>
      <c r="P82" s="262"/>
      <c r="Q82" s="192">
        <f>IF(AND('Data Summary'!C209="PASS",O82&lt;&gt;""),'Data - Sample Type 1'!FX81,"")</f>
        <v>93</v>
      </c>
      <c r="R82" s="268"/>
      <c r="S82" s="155">
        <f>IF(AND('Data Summary'!C209="PASS",'Data - Sample Type 1'!GE81&lt;&gt;0),'Data - Sample Type 1'!GE81,"")</f>
        <v>71.400000000000006</v>
      </c>
      <c r="T82" s="262"/>
      <c r="U82" s="192">
        <f>IF(AND('Data Summary'!C209="PASS",S82&lt;&gt;""),'Data - Sample Type 1'!GF81,"")</f>
        <v>243.8</v>
      </c>
      <c r="V82" s="268"/>
      <c r="W82" s="155">
        <f>IF('Data Summary'!C209="PASS",IF('Data - Sample Type 1'!BG81=0,"",'Data - Sample Type 1'!BG81),"")</f>
        <v>24.6</v>
      </c>
      <c r="X82" s="262"/>
      <c r="Y82" s="197">
        <f>IF(AND('Data Summary'!C209="PASS",'Data - Sample Type 1'!GM81&lt;&gt;0),'Data - Sample Type 1'!GM81,"")</f>
        <v>68.5</v>
      </c>
      <c r="Z82" s="262"/>
      <c r="AA82" s="155">
        <f>IF('Data Summary'!C209="PASS",IF('Data - Sample Type 1'!BU81=0,"",'Data - Sample Type 1'!BU81),"")</f>
        <v>31.7</v>
      </c>
      <c r="AB82" s="262"/>
      <c r="AC82" s="155">
        <f>IF(AND('Data Summary'!C209="PASS",'Data - Sample Type 1'!HC81&lt;&gt;0),'Data - Sample Type 1'!HC81,"")</f>
        <v>70.400000000000006</v>
      </c>
      <c r="AD82" s="262"/>
      <c r="AE82" s="192">
        <f>IF(AND('Data Summary'!C209="PASS",AC82&lt;&gt;""),'Data - Sample Type 1'!HD81,"")</f>
        <v>70.7</v>
      </c>
      <c r="AF82" s="268"/>
      <c r="AG82" s="155">
        <f>IF(AND('Data Summary'!C209="PASS",'Data - Sample Type 1'!HK81&lt;&gt;0),'Data - Sample Type 1'!HK81,"")</f>
        <v>71</v>
      </c>
      <c r="AH82" s="262"/>
      <c r="AI82" s="192">
        <f>IF(AND('Data Summary'!C209="PASS",AG82&lt;&gt;""),'Data - Sample Type 1'!HL81,"")</f>
        <v>127.6</v>
      </c>
      <c r="AJ82" s="268"/>
      <c r="AK82" s="155">
        <f>IF(AND('Data Summary'!C209="PASS",'Data - Sample Type 1'!HS81&lt;&gt;0),'Data - Sample Type 1'!HS81,"")</f>
        <v>69.3</v>
      </c>
      <c r="AL82" s="262"/>
      <c r="AM82" s="192">
        <f>IF(AND('Data Summary'!C209="PASS",AK82&lt;&gt;""),'Data - Sample Type 1'!HT81,"")</f>
        <v>80.099999999999994</v>
      </c>
      <c r="AN82" s="268"/>
      <c r="AO82" s="197">
        <f>IF('Data Summary'!C209="PASS",IF('Data - Sample Type 1'!DK81=0,"",'Data - Sample Type 1'!DK81),"")</f>
        <v>23.8</v>
      </c>
      <c r="AP82" s="262"/>
      <c r="AQ82" s="155">
        <f>IF('Data Summary'!C209="PASS",IF('Data - Sample Type 1'!DY81=0,"",'Data - Sample Type 1'!DY81),"")</f>
        <v>21.3</v>
      </c>
      <c r="AR82" s="262"/>
      <c r="AS82" s="155">
        <f>IF('Data Summary'!C209="PASS",IF('Data - Sample Type 1'!EM81=0,"",'Data - Sample Type 1'!EM81),"")</f>
        <v>22.3</v>
      </c>
      <c r="AT82" s="274"/>
    </row>
    <row r="83" spans="2:49" x14ac:dyDescent="0.2">
      <c r="B83"/>
      <c r="C83"/>
      <c r="D83"/>
      <c r="E83" s="275">
        <v>9</v>
      </c>
      <c r="F83" s="154">
        <f>IF('Data Summary'!C105="PASS",IF('Data Summary'!A105="","",'Data - Sample Type 0'!Q82),"")</f>
        <v>27.3</v>
      </c>
      <c r="G83" s="279">
        <f t="shared" ref="G83" si="168">AVERAGE(F83:F92)</f>
        <v>27.71</v>
      </c>
      <c r="H83"/>
      <c r="I83"/>
      <c r="Q83" s="191">
        <f>ROUND(AVERAGE(Q3:Q82),0)</f>
        <v>93</v>
      </c>
      <c r="R83" s="151" t="str">
        <f>IF(Q83&gt;=Specifications!C24, "PASS", "FAIL")</f>
        <v>PASS</v>
      </c>
      <c r="U83" s="191">
        <f>ROUND(AVERAGE(U3:U82),0)</f>
        <v>241</v>
      </c>
      <c r="V83" s="151" t="str">
        <f>IF(U83&gt;=Specifications!C26, "PASS", "FAIL")</f>
        <v>PASS</v>
      </c>
      <c r="AE83" s="191">
        <f>ROUND(AVERAGE(AE3:AE82),0)</f>
        <v>80</v>
      </c>
      <c r="AF83" s="151" t="str">
        <f>IF(AE83&gt;=Specifications!C32, "PASS", "FAIL")</f>
        <v>PASS</v>
      </c>
      <c r="AI83" s="191">
        <f>ROUND(AVERAGE(AI3:AI82),0)</f>
        <v>130</v>
      </c>
      <c r="AJ83" s="151" t="str">
        <f>IF(AI83&gt;=Specifications!C34, "PASS","FAIL")</f>
        <v>PASS</v>
      </c>
      <c r="AM83" s="191">
        <f>ROUND(AVERAGE(AM3:AM82),0)</f>
        <v>88</v>
      </c>
      <c r="AN83" s="151" t="str">
        <f>IF(AM83&gt;=Specifications!C36, "PASS", "FAIL")</f>
        <v>PASS</v>
      </c>
    </row>
    <row r="84" spans="2:49" x14ac:dyDescent="0.2">
      <c r="B84"/>
      <c r="C84"/>
      <c r="D84"/>
      <c r="E84" s="276"/>
      <c r="F84" s="151">
        <f>IF('Data Summary'!C106="PASS",IF('Data Summary'!A106="","",'Data - Sample Type 0'!Q83),"")</f>
        <v>29.3</v>
      </c>
      <c r="G84" s="280"/>
      <c r="H84"/>
      <c r="I84"/>
    </row>
    <row r="85" spans="2:49" x14ac:dyDescent="0.2">
      <c r="B85"/>
      <c r="C85"/>
      <c r="D85"/>
      <c r="E85" s="276"/>
      <c r="F85" s="151">
        <f>IF('Data Summary'!C107="PASS",IF('Data Summary'!A107="","",'Data - Sample Type 0'!Q84),"")</f>
        <v>26.4</v>
      </c>
      <c r="G85" s="280"/>
      <c r="H85"/>
      <c r="I85"/>
      <c r="AW85" s="96"/>
    </row>
    <row r="86" spans="2:49" x14ac:dyDescent="0.2">
      <c r="B86"/>
      <c r="C86"/>
      <c r="D86"/>
      <c r="E86" s="276">
        <v>9</v>
      </c>
      <c r="F86" s="151">
        <f>IF('Data Summary'!C108="PASS",IF('Data Summary'!A108="","",'Data - Sample Type 0'!Q85),"")</f>
        <v>26.2</v>
      </c>
      <c r="G86" s="280"/>
      <c r="H86"/>
      <c r="I86"/>
    </row>
    <row r="87" spans="2:49" x14ac:dyDescent="0.2">
      <c r="B87"/>
      <c r="C87"/>
      <c r="D87"/>
      <c r="E87" s="276"/>
      <c r="F87" s="151">
        <f>IF('Data Summary'!C109="PASS",IF('Data Summary'!A109="","",'Data - Sample Type 0'!Q86),"")</f>
        <v>28.6</v>
      </c>
      <c r="G87" s="280"/>
      <c r="H87"/>
      <c r="I87"/>
    </row>
    <row r="88" spans="2:49" x14ac:dyDescent="0.2">
      <c r="B88"/>
      <c r="C88"/>
      <c r="D88"/>
      <c r="E88" s="276"/>
      <c r="F88" s="151">
        <f>IF('Data Summary'!C110="PASS",IF('Data Summary'!A110="","",'Data - Sample Type 0'!Q87),"")</f>
        <v>28.1</v>
      </c>
      <c r="G88" s="272" t="str">
        <f>IF(G83&lt;=Specifications!$G$20,"PASS","FAIL")</f>
        <v>PASS</v>
      </c>
      <c r="H88"/>
      <c r="I88"/>
    </row>
    <row r="89" spans="2:49" x14ac:dyDescent="0.2">
      <c r="B89"/>
      <c r="C89"/>
      <c r="D89"/>
      <c r="E89" s="276"/>
      <c r="F89" s="151">
        <f>IF('Data Summary'!C111="PASS",IF('Data Summary'!A111="","",'Data - Sample Type 0'!Q88),"")</f>
        <v>27.5</v>
      </c>
      <c r="G89" s="272"/>
      <c r="H89"/>
      <c r="I89"/>
    </row>
    <row r="90" spans="2:49" x14ac:dyDescent="0.2">
      <c r="B90"/>
      <c r="C90"/>
      <c r="D90"/>
      <c r="E90" s="276"/>
      <c r="F90" s="151">
        <f>IF('Data Summary'!C112="PASS",IF('Data Summary'!A112="","",'Data - Sample Type 0'!Q89),"")</f>
        <v>28</v>
      </c>
      <c r="G90" s="272"/>
      <c r="H90"/>
      <c r="I90"/>
    </row>
    <row r="91" spans="2:49" x14ac:dyDescent="0.2">
      <c r="B91"/>
      <c r="C91"/>
      <c r="D91"/>
      <c r="E91" s="276"/>
      <c r="F91" s="151">
        <f>IF('Data Summary'!C113="PASS",IF('Data Summary'!A113="","",'Data - Sample Type 0'!Q90),"")</f>
        <v>27.7</v>
      </c>
      <c r="G91" s="272"/>
      <c r="H91"/>
      <c r="I91"/>
    </row>
    <row r="92" spans="2:49" ht="13.5" thickBot="1" x14ac:dyDescent="0.25">
      <c r="B92"/>
      <c r="C92"/>
      <c r="D92"/>
      <c r="E92" s="278"/>
      <c r="F92" s="155">
        <f>IF('Data Summary'!C114="PASS",IF('Data Summary'!A114="","",'Data - Sample Type 0'!Q91),"")</f>
        <v>28</v>
      </c>
      <c r="G92" s="274"/>
      <c r="H92"/>
      <c r="I92"/>
    </row>
    <row r="93" spans="2:49" x14ac:dyDescent="0.2">
      <c r="B93"/>
      <c r="C93"/>
      <c r="D93"/>
      <c r="E93" s="281">
        <v>10</v>
      </c>
      <c r="F93" s="157">
        <f>IF('Data Summary'!C115="PASS",IF('Data Summary'!A115="","",'Data - Sample Type 0'!Q92),"")</f>
        <v>28.1</v>
      </c>
      <c r="G93" s="279">
        <f t="shared" ref="G93" si="169">AVERAGE(F93:F102)</f>
        <v>27.240000000000002</v>
      </c>
      <c r="H93"/>
      <c r="I93"/>
    </row>
    <row r="94" spans="2:49" x14ac:dyDescent="0.2">
      <c r="B94"/>
      <c r="C94"/>
      <c r="D94"/>
      <c r="E94" s="276"/>
      <c r="F94" s="151">
        <f>IF('Data Summary'!C116="PASS",IF('Data Summary'!A116="","",'Data - Sample Type 0'!Q93),"")</f>
        <v>25.8</v>
      </c>
      <c r="G94" s="280"/>
      <c r="H94"/>
      <c r="I94"/>
    </row>
    <row r="95" spans="2:49" x14ac:dyDescent="0.2">
      <c r="B95"/>
      <c r="C95"/>
      <c r="D95"/>
      <c r="E95" s="276"/>
      <c r="F95" s="151">
        <f>IF('Data Summary'!C117="PASS",IF('Data Summary'!A117="","",'Data - Sample Type 0'!Q94),"")</f>
        <v>27.9</v>
      </c>
      <c r="G95" s="280"/>
      <c r="H95"/>
      <c r="I95"/>
    </row>
    <row r="96" spans="2:49" x14ac:dyDescent="0.2">
      <c r="B96"/>
      <c r="C96"/>
      <c r="D96"/>
      <c r="E96" s="276"/>
      <c r="F96" s="151">
        <f>IF('Data Summary'!C118="PASS",IF('Data Summary'!A118="","",'Data - Sample Type 0'!Q95),"")</f>
        <v>28.5</v>
      </c>
      <c r="G96" s="280"/>
      <c r="H96"/>
      <c r="I96"/>
    </row>
    <row r="97" spans="2:9" customFormat="1" x14ac:dyDescent="0.2">
      <c r="E97" s="276">
        <v>10</v>
      </c>
      <c r="F97" s="151">
        <f>IF('Data Summary'!C119="PASS",IF('Data Summary'!A119="","",'Data - Sample Type 0'!Q96),"")</f>
        <v>25.8</v>
      </c>
      <c r="G97" s="280"/>
    </row>
    <row r="98" spans="2:9" customFormat="1" x14ac:dyDescent="0.2">
      <c r="E98" s="276"/>
      <c r="F98" s="151">
        <f>IF('Data Summary'!C120="PASS",IF('Data Summary'!A120="","",'Data - Sample Type 0'!Q97),"")</f>
        <v>27.4</v>
      </c>
      <c r="G98" s="272" t="str">
        <f>IF(G93&lt;=Specifications!$G$20,"PASS","FAIL")</f>
        <v>PASS</v>
      </c>
    </row>
    <row r="99" spans="2:9" x14ac:dyDescent="0.2">
      <c r="B99"/>
      <c r="C99"/>
      <c r="D99"/>
      <c r="E99" s="276"/>
      <c r="F99" s="151">
        <f>IF('Data Summary'!C121="PASS",IF('Data Summary'!A121="","",'Data - Sample Type 0'!Q98),"")</f>
        <v>27.6</v>
      </c>
      <c r="G99" s="272"/>
      <c r="H99"/>
      <c r="I99"/>
    </row>
    <row r="100" spans="2:9" x14ac:dyDescent="0.2">
      <c r="B100"/>
      <c r="C100"/>
      <c r="D100"/>
      <c r="E100" s="276"/>
      <c r="F100" s="151">
        <f>IF('Data Summary'!C122="PASS",IF('Data Summary'!A122="","",'Data - Sample Type 0'!Q99),"")</f>
        <v>27.7</v>
      </c>
      <c r="G100" s="272"/>
      <c r="H100"/>
      <c r="I100"/>
    </row>
    <row r="101" spans="2:9" x14ac:dyDescent="0.2">
      <c r="B101"/>
      <c r="C101"/>
      <c r="D101"/>
      <c r="E101" s="276"/>
      <c r="F101" s="151">
        <f>IF('Data Summary'!C123="PASS",IF('Data Summary'!A123="","",'Data - Sample Type 0'!Q100),"")</f>
        <v>28</v>
      </c>
      <c r="G101" s="272"/>
      <c r="H101"/>
      <c r="I101"/>
    </row>
    <row r="102" spans="2:9" ht="13.5" thickBot="1" x14ac:dyDescent="0.25">
      <c r="B102"/>
      <c r="C102"/>
      <c r="D102"/>
      <c r="E102" s="278"/>
      <c r="F102" s="155">
        <f>IF('Data Summary'!C124="PASS",IF('Data Summary'!A124="","",'Data - Sample Type 0'!Q101),"")</f>
        <v>25.6</v>
      </c>
      <c r="G102" s="274"/>
      <c r="H102"/>
      <c r="I102"/>
    </row>
    <row r="103" spans="2:9" customFormat="1" x14ac:dyDescent="0.2"/>
    <row r="104" spans="2:9" customFormat="1" x14ac:dyDescent="0.2"/>
    <row r="105" spans="2:9" customFormat="1" x14ac:dyDescent="0.2"/>
    <row r="106" spans="2:9" customFormat="1" x14ac:dyDescent="0.2"/>
    <row r="107" spans="2:9" customFormat="1" x14ac:dyDescent="0.2"/>
    <row r="108" spans="2:9" customFormat="1" x14ac:dyDescent="0.2"/>
    <row r="109" spans="2:9" customFormat="1" x14ac:dyDescent="0.2"/>
    <row r="110" spans="2:9" customFormat="1" x14ac:dyDescent="0.2"/>
    <row r="111" spans="2:9" customFormat="1" x14ac:dyDescent="0.2"/>
    <row r="112" spans="2:9"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sheetData>
  <mergeCells count="629">
    <mergeCell ref="BC18:BC22"/>
    <mergeCell ref="BG3:BG7"/>
    <mergeCell ref="BG8:BG12"/>
    <mergeCell ref="BG13:BG17"/>
    <mergeCell ref="BG18:BG22"/>
    <mergeCell ref="BS70:BS72"/>
    <mergeCell ref="BS24:BS27"/>
    <mergeCell ref="BS28:BS30"/>
    <mergeCell ref="BS31:BS34"/>
    <mergeCell ref="BS35:BS37"/>
    <mergeCell ref="BS38:BS41"/>
    <mergeCell ref="BS42:BS44"/>
    <mergeCell ref="BS45:BS48"/>
    <mergeCell ref="BS49:BS51"/>
    <mergeCell ref="BS56:BS58"/>
    <mergeCell ref="BS59:BS62"/>
    <mergeCell ref="BM45:BM48"/>
    <mergeCell ref="BM49:BM51"/>
    <mergeCell ref="BM52:BM55"/>
    <mergeCell ref="BM66:BM69"/>
    <mergeCell ref="BM38:BM41"/>
    <mergeCell ref="BM42:BM44"/>
    <mergeCell ref="BK66:BK69"/>
    <mergeCell ref="BM56:BM58"/>
    <mergeCell ref="BM59:BM62"/>
    <mergeCell ref="BM63:BM65"/>
    <mergeCell ref="A3:A12"/>
    <mergeCell ref="C3:C7"/>
    <mergeCell ref="C8:C12"/>
    <mergeCell ref="BM24:BM27"/>
    <mergeCell ref="BM28:BM30"/>
    <mergeCell ref="BM31:BM34"/>
    <mergeCell ref="BM35:BM37"/>
    <mergeCell ref="P3:P6"/>
    <mergeCell ref="P7:P10"/>
    <mergeCell ref="P11:P14"/>
    <mergeCell ref="P15:P18"/>
    <mergeCell ref="BK24:BK27"/>
    <mergeCell ref="G3:G7"/>
    <mergeCell ref="G8:G12"/>
    <mergeCell ref="G13:G17"/>
    <mergeCell ref="G18:G22"/>
    <mergeCell ref="G23:G27"/>
    <mergeCell ref="G28:G32"/>
    <mergeCell ref="G33:G37"/>
    <mergeCell ref="BA3:BA7"/>
    <mergeCell ref="BC13:BC17"/>
    <mergeCell ref="BK49:BK51"/>
    <mergeCell ref="BY70:BY72"/>
    <mergeCell ref="BY52:BY55"/>
    <mergeCell ref="BY56:BY58"/>
    <mergeCell ref="BY59:BY62"/>
    <mergeCell ref="AY42:AY44"/>
    <mergeCell ref="BM70:BM72"/>
    <mergeCell ref="BY24:BY27"/>
    <mergeCell ref="BY28:BY30"/>
    <mergeCell ref="BY31:BY34"/>
    <mergeCell ref="BA45:BA48"/>
    <mergeCell ref="BA49:BA51"/>
    <mergeCell ref="BE45:BE48"/>
    <mergeCell ref="BE49:BE51"/>
    <mergeCell ref="BI45:BI48"/>
    <mergeCell ref="BI49:BI51"/>
    <mergeCell ref="BA52:BA55"/>
    <mergeCell ref="BA56:BA58"/>
    <mergeCell ref="BE52:BE55"/>
    <mergeCell ref="BE56:BE58"/>
    <mergeCell ref="BI52:BI55"/>
    <mergeCell ref="BE59:BE62"/>
    <mergeCell ref="BY63:BY65"/>
    <mergeCell ref="BY66:BY69"/>
    <mergeCell ref="BS63:BS65"/>
    <mergeCell ref="BU70:BU72"/>
    <mergeCell ref="BU35:BU37"/>
    <mergeCell ref="BU38:BU41"/>
    <mergeCell ref="BU42:BU44"/>
    <mergeCell ref="BU45:BU48"/>
    <mergeCell ref="BU49:BU51"/>
    <mergeCell ref="BU52:BU55"/>
    <mergeCell ref="BU56:BU58"/>
    <mergeCell ref="BU59:BU62"/>
    <mergeCell ref="BU63:BU65"/>
    <mergeCell ref="BK52:BK55"/>
    <mergeCell ref="BK56:BK58"/>
    <mergeCell ref="BK59:BK62"/>
    <mergeCell ref="BK63:BK65"/>
    <mergeCell ref="BY8:BY12"/>
    <mergeCell ref="BY35:BY37"/>
    <mergeCell ref="BY38:BY41"/>
    <mergeCell ref="BY42:BY44"/>
    <mergeCell ref="BY45:BY48"/>
    <mergeCell ref="BY49:BY51"/>
    <mergeCell ref="BU24:BU27"/>
    <mergeCell ref="BU28:BU30"/>
    <mergeCell ref="BU31:BU34"/>
    <mergeCell ref="BK28:BK30"/>
    <mergeCell ref="BK31:BK34"/>
    <mergeCell ref="BK35:BK37"/>
    <mergeCell ref="BW31:BW34"/>
    <mergeCell ref="BW35:BW37"/>
    <mergeCell ref="BW24:BW27"/>
    <mergeCell ref="BW28:BW30"/>
    <mergeCell ref="BW13:BW17"/>
    <mergeCell ref="BW18:BW22"/>
    <mergeCell ref="BW45:BW48"/>
    <mergeCell ref="BW49:BW51"/>
    <mergeCell ref="BI28:BI30"/>
    <mergeCell ref="BI31:BI34"/>
    <mergeCell ref="BI35:BI37"/>
    <mergeCell ref="AY38:AY41"/>
    <mergeCell ref="BA38:BA41"/>
    <mergeCell ref="BA42:BA44"/>
    <mergeCell ref="BE38:BE41"/>
    <mergeCell ref="BE42:BE44"/>
    <mergeCell ref="BI38:BI41"/>
    <mergeCell ref="BI42:BI44"/>
    <mergeCell ref="BA28:BA30"/>
    <mergeCell ref="AY35:AY37"/>
    <mergeCell ref="BA31:BA34"/>
    <mergeCell ref="BA35:BA37"/>
    <mergeCell ref="AY66:AY69"/>
    <mergeCell ref="AY70:AY72"/>
    <mergeCell ref="BI66:BI69"/>
    <mergeCell ref="AY45:AY48"/>
    <mergeCell ref="BI56:BI58"/>
    <mergeCell ref="BI59:BI62"/>
    <mergeCell ref="BA59:BA62"/>
    <mergeCell ref="BA63:BA65"/>
    <mergeCell ref="BI70:BI72"/>
    <mergeCell ref="BE66:BE69"/>
    <mergeCell ref="BE70:BE72"/>
    <mergeCell ref="BI63:BI65"/>
    <mergeCell ref="AY63:AY65"/>
    <mergeCell ref="BK70:BK72"/>
    <mergeCell ref="BE63:BE65"/>
    <mergeCell ref="G78:G82"/>
    <mergeCell ref="J75:J82"/>
    <mergeCell ref="L75:L78"/>
    <mergeCell ref="L79:L82"/>
    <mergeCell ref="R47:R50"/>
    <mergeCell ref="R51:R54"/>
    <mergeCell ref="R55:R58"/>
    <mergeCell ref="R59:R62"/>
    <mergeCell ref="R63:R66"/>
    <mergeCell ref="R67:R70"/>
    <mergeCell ref="R71:R74"/>
    <mergeCell ref="R75:R78"/>
    <mergeCell ref="R79:R82"/>
    <mergeCell ref="T47:T50"/>
    <mergeCell ref="T51:T54"/>
    <mergeCell ref="T55:T58"/>
    <mergeCell ref="L47:L50"/>
    <mergeCell ref="L51:L54"/>
    <mergeCell ref="L55:L58"/>
    <mergeCell ref="L59:L62"/>
    <mergeCell ref="L63:L66"/>
    <mergeCell ref="L67:L70"/>
    <mergeCell ref="G83:G87"/>
    <mergeCell ref="G88:G92"/>
    <mergeCell ref="G93:G97"/>
    <mergeCell ref="G98:G102"/>
    <mergeCell ref="G48:G52"/>
    <mergeCell ref="G53:G57"/>
    <mergeCell ref="G58:G62"/>
    <mergeCell ref="G63:G67"/>
    <mergeCell ref="G68:G72"/>
    <mergeCell ref="G73:G77"/>
    <mergeCell ref="BY3:BY7"/>
    <mergeCell ref="BK45:BK48"/>
    <mergeCell ref="BS52:BS55"/>
    <mergeCell ref="BI24:BI27"/>
    <mergeCell ref="BA24:BA27"/>
    <mergeCell ref="AY18:AY22"/>
    <mergeCell ref="BA18:BA22"/>
    <mergeCell ref="BE18:BE22"/>
    <mergeCell ref="BI18:BI22"/>
    <mergeCell ref="BE24:BE27"/>
    <mergeCell ref="BE28:BE30"/>
    <mergeCell ref="BE31:BE34"/>
    <mergeCell ref="BE35:BE37"/>
    <mergeCell ref="AY24:AY27"/>
    <mergeCell ref="AY28:AY30"/>
    <mergeCell ref="AY31:AY34"/>
    <mergeCell ref="AY49:AY51"/>
    <mergeCell ref="AY52:AY55"/>
    <mergeCell ref="BM8:BM12"/>
    <mergeCell ref="BS8:BS12"/>
    <mergeCell ref="BU8:BU12"/>
    <mergeCell ref="AY3:AY7"/>
    <mergeCell ref="BK38:BK41"/>
    <mergeCell ref="BK42:BK44"/>
    <mergeCell ref="BS3:BS7"/>
    <mergeCell ref="BU3:BU7"/>
    <mergeCell ref="AY8:AY12"/>
    <mergeCell ref="BA8:BA12"/>
    <mergeCell ref="BE8:BE12"/>
    <mergeCell ref="BI8:BI12"/>
    <mergeCell ref="BK8:BK12"/>
    <mergeCell ref="BQ3:BQ7"/>
    <mergeCell ref="BQ8:BQ12"/>
    <mergeCell ref="BC3:BC7"/>
    <mergeCell ref="BC8:BC12"/>
    <mergeCell ref="BE3:BE7"/>
    <mergeCell ref="BI3:BI7"/>
    <mergeCell ref="BK3:BK7"/>
    <mergeCell ref="BM3:BM7"/>
    <mergeCell ref="E83:E92"/>
    <mergeCell ref="E93:E102"/>
    <mergeCell ref="AW3:AW12"/>
    <mergeCell ref="AW13:AW22"/>
    <mergeCell ref="E3:E12"/>
    <mergeCell ref="E13:E22"/>
    <mergeCell ref="E23:E32"/>
    <mergeCell ref="E33:E42"/>
    <mergeCell ref="E43:E52"/>
    <mergeCell ref="E53:E62"/>
    <mergeCell ref="E63:E72"/>
    <mergeCell ref="E73:E82"/>
    <mergeCell ref="R39:R42"/>
    <mergeCell ref="R43:R46"/>
    <mergeCell ref="N75:N78"/>
    <mergeCell ref="P55:P58"/>
    <mergeCell ref="P59:P62"/>
    <mergeCell ref="P63:P66"/>
    <mergeCell ref="P67:P70"/>
    <mergeCell ref="P71:P74"/>
    <mergeCell ref="P75:P78"/>
    <mergeCell ref="P79:P82"/>
    <mergeCell ref="G38:G42"/>
    <mergeCell ref="G43:G47"/>
    <mergeCell ref="J27:J34"/>
    <mergeCell ref="J35:J42"/>
    <mergeCell ref="J43:J50"/>
    <mergeCell ref="J51:J58"/>
    <mergeCell ref="J59:J66"/>
    <mergeCell ref="J67:J74"/>
    <mergeCell ref="BU13:BU17"/>
    <mergeCell ref="BU18:BU22"/>
    <mergeCell ref="BY13:BY17"/>
    <mergeCell ref="BY18:BY22"/>
    <mergeCell ref="AY13:AY17"/>
    <mergeCell ref="BA13:BA17"/>
    <mergeCell ref="BE13:BE17"/>
    <mergeCell ref="BI13:BI17"/>
    <mergeCell ref="BK13:BK17"/>
    <mergeCell ref="BK18:BK22"/>
    <mergeCell ref="BM13:BM17"/>
    <mergeCell ref="BM18:BM22"/>
    <mergeCell ref="BS13:BS17"/>
    <mergeCell ref="BS18:BS22"/>
    <mergeCell ref="BA66:BA69"/>
    <mergeCell ref="BA70:BA72"/>
    <mergeCell ref="AY56:AY58"/>
    <mergeCell ref="AY59:AY62"/>
    <mergeCell ref="L71:L74"/>
    <mergeCell ref="L3:L6"/>
    <mergeCell ref="L7:L10"/>
    <mergeCell ref="L11:L14"/>
    <mergeCell ref="L15:L18"/>
    <mergeCell ref="L19:L22"/>
    <mergeCell ref="L23:L26"/>
    <mergeCell ref="L27:L30"/>
    <mergeCell ref="L31:L34"/>
    <mergeCell ref="L35:L38"/>
    <mergeCell ref="J3:J10"/>
    <mergeCell ref="J11:J18"/>
    <mergeCell ref="J19:J26"/>
    <mergeCell ref="N63:N66"/>
    <mergeCell ref="N71:N74"/>
    <mergeCell ref="N79:N82"/>
    <mergeCell ref="N3:N6"/>
    <mergeCell ref="N7:N10"/>
    <mergeCell ref="N11:N14"/>
    <mergeCell ref="N15:N18"/>
    <mergeCell ref="N19:N22"/>
    <mergeCell ref="N23:N26"/>
    <mergeCell ref="N27:N30"/>
    <mergeCell ref="N31:N34"/>
    <mergeCell ref="N35:N38"/>
    <mergeCell ref="N39:N42"/>
    <mergeCell ref="N43:N46"/>
    <mergeCell ref="N47:N50"/>
    <mergeCell ref="N51:N54"/>
    <mergeCell ref="N55:N58"/>
    <mergeCell ref="N59:N62"/>
    <mergeCell ref="N67:N70"/>
    <mergeCell ref="L39:L42"/>
    <mergeCell ref="L43:L46"/>
    <mergeCell ref="P19:P22"/>
    <mergeCell ref="P23:P26"/>
    <mergeCell ref="P27:P30"/>
    <mergeCell ref="P31:P34"/>
    <mergeCell ref="P35:P38"/>
    <mergeCell ref="P39:P42"/>
    <mergeCell ref="P43:P46"/>
    <mergeCell ref="P47:P50"/>
    <mergeCell ref="P51:P54"/>
    <mergeCell ref="R3:R6"/>
    <mergeCell ref="R7:R10"/>
    <mergeCell ref="R11:R14"/>
    <mergeCell ref="R15:R18"/>
    <mergeCell ref="R19:R22"/>
    <mergeCell ref="R23:R26"/>
    <mergeCell ref="R27:R30"/>
    <mergeCell ref="R31:R34"/>
    <mergeCell ref="R35:R38"/>
    <mergeCell ref="T59:T62"/>
    <mergeCell ref="T63:T66"/>
    <mergeCell ref="T67:T70"/>
    <mergeCell ref="T71:T74"/>
    <mergeCell ref="T3:T6"/>
    <mergeCell ref="T7:T10"/>
    <mergeCell ref="T11:T14"/>
    <mergeCell ref="T15:T18"/>
    <mergeCell ref="T19:T22"/>
    <mergeCell ref="T23:T26"/>
    <mergeCell ref="T27:T30"/>
    <mergeCell ref="T31:T34"/>
    <mergeCell ref="T35:T38"/>
    <mergeCell ref="T75:T78"/>
    <mergeCell ref="T79:T82"/>
    <mergeCell ref="AT3:AT6"/>
    <mergeCell ref="AT7:AT10"/>
    <mergeCell ref="AT11:AT14"/>
    <mergeCell ref="AT15:AT18"/>
    <mergeCell ref="AT19:AT22"/>
    <mergeCell ref="AT23:AT26"/>
    <mergeCell ref="AT27:AT30"/>
    <mergeCell ref="AT31:AT34"/>
    <mergeCell ref="AT35:AT38"/>
    <mergeCell ref="AT39:AT42"/>
    <mergeCell ref="AT43:AT46"/>
    <mergeCell ref="AT47:AT50"/>
    <mergeCell ref="AT51:AT54"/>
    <mergeCell ref="AT55:AT58"/>
    <mergeCell ref="AT59:AT62"/>
    <mergeCell ref="AT63:AT66"/>
    <mergeCell ref="AT67:AT70"/>
    <mergeCell ref="AT71:AT74"/>
    <mergeCell ref="AT75:AT78"/>
    <mergeCell ref="AT79:AT82"/>
    <mergeCell ref="T39:T42"/>
    <mergeCell ref="T43:T46"/>
    <mergeCell ref="V71:V74"/>
    <mergeCell ref="V3:V6"/>
    <mergeCell ref="V7:V10"/>
    <mergeCell ref="V11:V14"/>
    <mergeCell ref="V15:V18"/>
    <mergeCell ref="V19:V22"/>
    <mergeCell ref="V23:V26"/>
    <mergeCell ref="V27:V30"/>
    <mergeCell ref="V31:V34"/>
    <mergeCell ref="V35:V38"/>
    <mergeCell ref="Z43:Z46"/>
    <mergeCell ref="V39:V42"/>
    <mergeCell ref="V43:V46"/>
    <mergeCell ref="V47:V50"/>
    <mergeCell ref="V51:V54"/>
    <mergeCell ref="V55:V58"/>
    <mergeCell ref="V59:V62"/>
    <mergeCell ref="V63:V66"/>
    <mergeCell ref="V67:V70"/>
    <mergeCell ref="Z63:Z66"/>
    <mergeCell ref="Z67:Z70"/>
    <mergeCell ref="V75:V78"/>
    <mergeCell ref="V79:V82"/>
    <mergeCell ref="X3:X6"/>
    <mergeCell ref="Z3:Z6"/>
    <mergeCell ref="X7:X10"/>
    <mergeCell ref="Z7:Z10"/>
    <mergeCell ref="X11:X14"/>
    <mergeCell ref="Z11:Z14"/>
    <mergeCell ref="X15:X18"/>
    <mergeCell ref="Z15:Z18"/>
    <mergeCell ref="X19:X22"/>
    <mergeCell ref="Z19:Z22"/>
    <mergeCell ref="X23:X26"/>
    <mergeCell ref="Z23:Z26"/>
    <mergeCell ref="X27:X30"/>
    <mergeCell ref="Z27:Z30"/>
    <mergeCell ref="X31:X34"/>
    <mergeCell ref="Z31:Z34"/>
    <mergeCell ref="X35:X38"/>
    <mergeCell ref="Z35:Z38"/>
    <mergeCell ref="X39:X42"/>
    <mergeCell ref="Z39:Z42"/>
    <mergeCell ref="X43:X46"/>
    <mergeCell ref="X67:X70"/>
    <mergeCell ref="X71:X74"/>
    <mergeCell ref="Z71:Z74"/>
    <mergeCell ref="X75:X78"/>
    <mergeCell ref="Z75:Z78"/>
    <mergeCell ref="X79:X82"/>
    <mergeCell ref="Z79:Z82"/>
    <mergeCell ref="AB3:AB6"/>
    <mergeCell ref="AB15:AB18"/>
    <mergeCell ref="AB27:AB30"/>
    <mergeCell ref="AB39:AB42"/>
    <mergeCell ref="AB51:AB54"/>
    <mergeCell ref="AB63:AB66"/>
    <mergeCell ref="AB75:AB78"/>
    <mergeCell ref="X47:X50"/>
    <mergeCell ref="Z47:Z50"/>
    <mergeCell ref="X51:X54"/>
    <mergeCell ref="Z51:Z54"/>
    <mergeCell ref="X55:X58"/>
    <mergeCell ref="Z55:Z58"/>
    <mergeCell ref="X59:X62"/>
    <mergeCell ref="Z59:Z62"/>
    <mergeCell ref="X63:X66"/>
    <mergeCell ref="AB19:AB22"/>
    <mergeCell ref="AB43:AB46"/>
    <mergeCell ref="AD19:AD22"/>
    <mergeCell ref="AF19:AF22"/>
    <mergeCell ref="AH19:AH22"/>
    <mergeCell ref="AB23:AB26"/>
    <mergeCell ref="AD23:AD26"/>
    <mergeCell ref="AF23:AF26"/>
    <mergeCell ref="AH23:AH26"/>
    <mergeCell ref="AD3:AD6"/>
    <mergeCell ref="AF3:AF6"/>
    <mergeCell ref="AH3:AH6"/>
    <mergeCell ref="AB7:AB10"/>
    <mergeCell ref="AD7:AD10"/>
    <mergeCell ref="AF7:AF10"/>
    <mergeCell ref="AH7:AH10"/>
    <mergeCell ref="AB11:AB14"/>
    <mergeCell ref="AD11:AD14"/>
    <mergeCell ref="AF11:AF14"/>
    <mergeCell ref="AH11:AH14"/>
    <mergeCell ref="AD43:AD46"/>
    <mergeCell ref="AF43:AF46"/>
    <mergeCell ref="AH43:AH46"/>
    <mergeCell ref="AB47:AB50"/>
    <mergeCell ref="AD47:AD50"/>
    <mergeCell ref="AF47:AF50"/>
    <mergeCell ref="AH47:AH50"/>
    <mergeCell ref="AD27:AD30"/>
    <mergeCell ref="AF27:AF30"/>
    <mergeCell ref="AH27:AH30"/>
    <mergeCell ref="AB31:AB34"/>
    <mergeCell ref="AD31:AD34"/>
    <mergeCell ref="AF31:AF34"/>
    <mergeCell ref="AH31:AH34"/>
    <mergeCell ref="AB35:AB38"/>
    <mergeCell ref="AD35:AD38"/>
    <mergeCell ref="AF35:AF38"/>
    <mergeCell ref="AH35:AH38"/>
    <mergeCell ref="AB67:AB70"/>
    <mergeCell ref="AD67:AD70"/>
    <mergeCell ref="AF67:AF70"/>
    <mergeCell ref="AH67:AH70"/>
    <mergeCell ref="AB71:AB74"/>
    <mergeCell ref="AD71:AD74"/>
    <mergeCell ref="AF71:AF74"/>
    <mergeCell ref="AH71:AH74"/>
    <mergeCell ref="AD51:AD54"/>
    <mergeCell ref="AF51:AF54"/>
    <mergeCell ref="AH51:AH54"/>
    <mergeCell ref="AB55:AB58"/>
    <mergeCell ref="AD55:AD58"/>
    <mergeCell ref="AF55:AF58"/>
    <mergeCell ref="AH55:AH58"/>
    <mergeCell ref="AB59:AB62"/>
    <mergeCell ref="AD59:AD62"/>
    <mergeCell ref="AF59:AF62"/>
    <mergeCell ref="AH59:AH62"/>
    <mergeCell ref="AB79:AB82"/>
    <mergeCell ref="AD79:AD82"/>
    <mergeCell ref="AF79:AF82"/>
    <mergeCell ref="AH79:AH82"/>
    <mergeCell ref="AJ3:AJ6"/>
    <mergeCell ref="AL3:AL6"/>
    <mergeCell ref="AJ11:AJ14"/>
    <mergeCell ref="AL11:AL14"/>
    <mergeCell ref="AJ19:AJ22"/>
    <mergeCell ref="AL19:AL22"/>
    <mergeCell ref="AJ27:AJ30"/>
    <mergeCell ref="AL27:AL30"/>
    <mergeCell ref="AJ35:AJ38"/>
    <mergeCell ref="AL35:AL38"/>
    <mergeCell ref="AJ43:AJ46"/>
    <mergeCell ref="AL43:AL46"/>
    <mergeCell ref="AJ51:AJ54"/>
    <mergeCell ref="AL51:AL54"/>
    <mergeCell ref="AJ59:AJ62"/>
    <mergeCell ref="AL59:AL62"/>
    <mergeCell ref="AJ67:AJ70"/>
    <mergeCell ref="AD63:AD66"/>
    <mergeCell ref="AF63:AF66"/>
    <mergeCell ref="AH63:AH66"/>
    <mergeCell ref="AN3:AN6"/>
    <mergeCell ref="AP3:AP6"/>
    <mergeCell ref="AR3:AR6"/>
    <mergeCell ref="AJ7:AJ10"/>
    <mergeCell ref="AL7:AL10"/>
    <mergeCell ref="AN7:AN10"/>
    <mergeCell ref="AP7:AP10"/>
    <mergeCell ref="AR7:AR10"/>
    <mergeCell ref="AD75:AD78"/>
    <mergeCell ref="AF75:AF78"/>
    <mergeCell ref="AH75:AH78"/>
    <mergeCell ref="AD39:AD42"/>
    <mergeCell ref="AF39:AF42"/>
    <mergeCell ref="AH39:AH42"/>
    <mergeCell ref="AD15:AD18"/>
    <mergeCell ref="AF15:AF18"/>
    <mergeCell ref="AH15:AH18"/>
    <mergeCell ref="AN19:AN22"/>
    <mergeCell ref="AP19:AP22"/>
    <mergeCell ref="AR19:AR22"/>
    <mergeCell ref="AJ23:AJ26"/>
    <mergeCell ref="AL23:AL26"/>
    <mergeCell ref="AN23:AN26"/>
    <mergeCell ref="AP23:AP26"/>
    <mergeCell ref="AR23:AR26"/>
    <mergeCell ref="AN11:AN14"/>
    <mergeCell ref="AP11:AP14"/>
    <mergeCell ref="AR11:AR14"/>
    <mergeCell ref="AJ15:AJ18"/>
    <mergeCell ref="AL15:AL18"/>
    <mergeCell ref="AN15:AN18"/>
    <mergeCell ref="AP15:AP18"/>
    <mergeCell ref="AR15:AR18"/>
    <mergeCell ref="AN35:AN38"/>
    <mergeCell ref="AP35:AP38"/>
    <mergeCell ref="AR35:AR38"/>
    <mergeCell ref="AJ39:AJ42"/>
    <mergeCell ref="AL39:AL42"/>
    <mergeCell ref="AN39:AN42"/>
    <mergeCell ref="AP39:AP42"/>
    <mergeCell ref="AR39:AR42"/>
    <mergeCell ref="AN27:AN30"/>
    <mergeCell ref="AP27:AP30"/>
    <mergeCell ref="AR27:AR30"/>
    <mergeCell ref="AJ31:AJ34"/>
    <mergeCell ref="AL31:AL34"/>
    <mergeCell ref="AN31:AN34"/>
    <mergeCell ref="AP31:AP34"/>
    <mergeCell ref="AR31:AR34"/>
    <mergeCell ref="AJ55:AJ58"/>
    <mergeCell ref="AL55:AL58"/>
    <mergeCell ref="AN55:AN58"/>
    <mergeCell ref="AP55:AP58"/>
    <mergeCell ref="AR55:AR58"/>
    <mergeCell ref="AN43:AN46"/>
    <mergeCell ref="AP43:AP46"/>
    <mergeCell ref="AR43:AR46"/>
    <mergeCell ref="AJ47:AJ50"/>
    <mergeCell ref="AL47:AL50"/>
    <mergeCell ref="AN47:AN50"/>
    <mergeCell ref="AP47:AP50"/>
    <mergeCell ref="AR47:AR50"/>
    <mergeCell ref="AJ79:AJ82"/>
    <mergeCell ref="AL79:AL82"/>
    <mergeCell ref="AN79:AN82"/>
    <mergeCell ref="AP79:AP82"/>
    <mergeCell ref="AR79:AR82"/>
    <mergeCell ref="AL67:AL70"/>
    <mergeCell ref="AN67:AN70"/>
    <mergeCell ref="AP67:AP70"/>
    <mergeCell ref="AR67:AR70"/>
    <mergeCell ref="AJ71:AJ74"/>
    <mergeCell ref="AL71:AL74"/>
    <mergeCell ref="AN71:AN74"/>
    <mergeCell ref="AP71:AP74"/>
    <mergeCell ref="AR71:AR74"/>
    <mergeCell ref="BW3:BW7"/>
    <mergeCell ref="BW8:BW12"/>
    <mergeCell ref="AJ75:AJ78"/>
    <mergeCell ref="AL75:AL78"/>
    <mergeCell ref="AN75:AN78"/>
    <mergeCell ref="AP75:AP78"/>
    <mergeCell ref="AR75:AR78"/>
    <mergeCell ref="AN59:AN62"/>
    <mergeCell ref="AP59:AP62"/>
    <mergeCell ref="AR59:AR62"/>
    <mergeCell ref="AJ63:AJ66"/>
    <mergeCell ref="AL63:AL66"/>
    <mergeCell ref="AN63:AN66"/>
    <mergeCell ref="AP63:AP66"/>
    <mergeCell ref="AR63:AR66"/>
    <mergeCell ref="AN51:AN54"/>
    <mergeCell ref="AP51:AP54"/>
    <mergeCell ref="AR51:AR54"/>
    <mergeCell ref="BW66:BW69"/>
    <mergeCell ref="BW70:BW72"/>
    <mergeCell ref="BW59:BW62"/>
    <mergeCell ref="BW63:BW65"/>
    <mergeCell ref="BW52:BW55"/>
    <mergeCell ref="BW56:BW58"/>
    <mergeCell ref="BW38:BW41"/>
    <mergeCell ref="BW42:BW44"/>
    <mergeCell ref="BO66:BO69"/>
    <mergeCell ref="BQ13:BQ17"/>
    <mergeCell ref="BQ18:BQ22"/>
    <mergeCell ref="BQ24:BQ27"/>
    <mergeCell ref="BQ28:BQ30"/>
    <mergeCell ref="BQ31:BQ34"/>
    <mergeCell ref="BQ35:BQ37"/>
    <mergeCell ref="BQ38:BQ41"/>
    <mergeCell ref="BQ42:BQ44"/>
    <mergeCell ref="BQ45:BQ48"/>
    <mergeCell ref="BU66:BU69"/>
    <mergeCell ref="BS66:BS69"/>
    <mergeCell ref="BO70:BO72"/>
    <mergeCell ref="BQ49:BQ51"/>
    <mergeCell ref="BQ52:BQ55"/>
    <mergeCell ref="BQ56:BQ58"/>
    <mergeCell ref="BQ59:BQ62"/>
    <mergeCell ref="BQ63:BQ65"/>
    <mergeCell ref="BQ66:BQ69"/>
    <mergeCell ref="BQ70:BQ72"/>
    <mergeCell ref="BO3:BO7"/>
    <mergeCell ref="BO8:BO12"/>
    <mergeCell ref="BO13:BO17"/>
    <mergeCell ref="BO18:BO22"/>
    <mergeCell ref="BO24:BO27"/>
    <mergeCell ref="BO28:BO30"/>
    <mergeCell ref="BO31:BO34"/>
    <mergeCell ref="BO35:BO37"/>
    <mergeCell ref="BO38:BO41"/>
    <mergeCell ref="BO42:BO44"/>
    <mergeCell ref="BO45:BO48"/>
    <mergeCell ref="BO49:BO51"/>
    <mergeCell ref="BO52:BO55"/>
    <mergeCell ref="BO56:BO58"/>
    <mergeCell ref="BO59:BO62"/>
    <mergeCell ref="BO63:BO65"/>
  </mergeCells>
  <conditionalFormatting sqref="C8">
    <cfRule type="cellIs" dxfId="1074" priority="1862" operator="equal">
      <formula>"pass"</formula>
    </cfRule>
    <cfRule type="cellIs" dxfId="1073" priority="1861" operator="equal">
      <formula>"fail"</formula>
    </cfRule>
  </conditionalFormatting>
  <conditionalFormatting sqref="G8">
    <cfRule type="cellIs" dxfId="1072" priority="752" operator="equal">
      <formula>"fail"</formula>
    </cfRule>
    <cfRule type="cellIs" dxfId="1071" priority="753" operator="equal">
      <formula>"pass"</formula>
    </cfRule>
  </conditionalFormatting>
  <conditionalFormatting sqref="G18 G28 G38 G48 G58 G68 G78 G88 G98">
    <cfRule type="cellIs" dxfId="1070" priority="175" operator="equal">
      <formula>"fail"</formula>
    </cfRule>
    <cfRule type="cellIs" dxfId="1069" priority="176" operator="equal">
      <formula>"pass"</formula>
    </cfRule>
  </conditionalFormatting>
  <conditionalFormatting sqref="L7">
    <cfRule type="cellIs" dxfId="1068" priority="1465" operator="equal">
      <formula>"pass"</formula>
    </cfRule>
    <cfRule type="cellIs" dxfId="1067" priority="1464" operator="equal">
      <formula>"fail"</formula>
    </cfRule>
  </conditionalFormatting>
  <conditionalFormatting sqref="L15 L23 L31 L39 L47 L55 L63 L71 L79">
    <cfRule type="cellIs" dxfId="1066" priority="178" operator="equal">
      <formula>"pass"</formula>
    </cfRule>
    <cfRule type="cellIs" dxfId="1065" priority="177" operator="equal">
      <formula>"fail"</formula>
    </cfRule>
  </conditionalFormatting>
  <conditionalFormatting sqref="N7">
    <cfRule type="cellIs" dxfId="1064" priority="714" operator="equal">
      <formula>"fail"</formula>
    </cfRule>
    <cfRule type="cellIs" dxfId="1063" priority="715" operator="equal">
      <formula>"pass"</formula>
    </cfRule>
  </conditionalFormatting>
  <conditionalFormatting sqref="N15 N23 N31 N39 N47 N55 N63 N71 N79">
    <cfRule type="cellIs" dxfId="1062" priority="180" operator="equal">
      <formula>"pass"</formula>
    </cfRule>
    <cfRule type="cellIs" dxfId="1061" priority="179" operator="equal">
      <formula>"fail"</formula>
    </cfRule>
  </conditionalFormatting>
  <conditionalFormatting sqref="P7">
    <cfRule type="cellIs" dxfId="1060" priority="690" operator="equal">
      <formula>"fail"</formula>
    </cfRule>
    <cfRule type="cellIs" dxfId="1059" priority="691" operator="equal">
      <formula>"pass"</formula>
    </cfRule>
  </conditionalFormatting>
  <conditionalFormatting sqref="P15 P23 P31 P39 P47 P55 P63 P71 P79">
    <cfRule type="cellIs" dxfId="1058" priority="182" operator="equal">
      <formula>"pass"</formula>
    </cfRule>
    <cfRule type="cellIs" dxfId="1057" priority="181" operator="equal">
      <formula>"fail"</formula>
    </cfRule>
  </conditionalFormatting>
  <conditionalFormatting sqref="Q83:R83 U83:V83 AE83:AF83 AI83:AJ83 AM83:AN83">
    <cfRule type="containsText" dxfId="1056" priority="2" operator="containsText" text="PASS">
      <formula>NOT(ISERROR(SEARCH("PASS",Q83)))</formula>
    </cfRule>
    <cfRule type="containsText" dxfId="1055" priority="1" operator="containsText" text="FAIL">
      <formula>NOT(ISERROR(SEARCH("FAIL",Q83)))</formula>
    </cfRule>
  </conditionalFormatting>
  <conditionalFormatting sqref="R7">
    <cfRule type="cellIs" dxfId="1054" priority="662" operator="equal">
      <formula>"fail"</formula>
    </cfRule>
    <cfRule type="cellIs" dxfId="1053" priority="663" operator="equal">
      <formula>"pass"</formula>
    </cfRule>
  </conditionalFormatting>
  <conditionalFormatting sqref="R15">
    <cfRule type="cellIs" dxfId="1052" priority="99" operator="equal">
      <formula>"fail"</formula>
    </cfRule>
    <cfRule type="cellIs" dxfId="1051" priority="100" operator="equal">
      <formula>"pass"</formula>
    </cfRule>
  </conditionalFormatting>
  <conditionalFormatting sqref="R23">
    <cfRule type="cellIs" dxfId="1050" priority="97" operator="equal">
      <formula>"fail"</formula>
    </cfRule>
    <cfRule type="cellIs" dxfId="1049" priority="98" operator="equal">
      <formula>"pass"</formula>
    </cfRule>
  </conditionalFormatting>
  <conditionalFormatting sqref="R31">
    <cfRule type="cellIs" dxfId="1048" priority="95" operator="equal">
      <formula>"fail"</formula>
    </cfRule>
    <cfRule type="cellIs" dxfId="1047" priority="96" operator="equal">
      <formula>"pass"</formula>
    </cfRule>
  </conditionalFormatting>
  <conditionalFormatting sqref="R39">
    <cfRule type="cellIs" dxfId="1046" priority="94" operator="equal">
      <formula>"pass"</formula>
    </cfRule>
    <cfRule type="cellIs" dxfId="1045" priority="93" operator="equal">
      <formula>"fail"</formula>
    </cfRule>
  </conditionalFormatting>
  <conditionalFormatting sqref="R47">
    <cfRule type="cellIs" dxfId="1044" priority="92" operator="equal">
      <formula>"pass"</formula>
    </cfRule>
    <cfRule type="cellIs" dxfId="1043" priority="91" operator="equal">
      <formula>"fail"</formula>
    </cfRule>
  </conditionalFormatting>
  <conditionalFormatting sqref="R55">
    <cfRule type="cellIs" dxfId="1042" priority="90" operator="equal">
      <formula>"pass"</formula>
    </cfRule>
    <cfRule type="cellIs" dxfId="1041" priority="89" operator="equal">
      <formula>"fail"</formula>
    </cfRule>
  </conditionalFormatting>
  <conditionalFormatting sqref="R63">
    <cfRule type="cellIs" dxfId="1040" priority="88" operator="equal">
      <formula>"pass"</formula>
    </cfRule>
    <cfRule type="cellIs" dxfId="1039" priority="87" operator="equal">
      <formula>"fail"</formula>
    </cfRule>
  </conditionalFormatting>
  <conditionalFormatting sqref="R71">
    <cfRule type="cellIs" dxfId="1038" priority="86" operator="equal">
      <formula>"pass"</formula>
    </cfRule>
    <cfRule type="cellIs" dxfId="1037" priority="85" operator="equal">
      <formula>"fail"</formula>
    </cfRule>
  </conditionalFormatting>
  <conditionalFormatting sqref="R79">
    <cfRule type="cellIs" dxfId="1036" priority="84" operator="equal">
      <formula>"pass"</formula>
    </cfRule>
    <cfRule type="cellIs" dxfId="1035" priority="83" operator="equal">
      <formula>"fail"</formula>
    </cfRule>
  </conditionalFormatting>
  <conditionalFormatting sqref="T7">
    <cfRule type="cellIs" dxfId="1034" priority="689" operator="equal">
      <formula>"pass"</formula>
    </cfRule>
    <cfRule type="cellIs" dxfId="1033" priority="688" operator="equal">
      <formula>"fail"</formula>
    </cfRule>
  </conditionalFormatting>
  <conditionalFormatting sqref="T15">
    <cfRule type="cellIs" dxfId="1032" priority="154" operator="equal">
      <formula>"pass"</formula>
    </cfRule>
    <cfRule type="cellIs" dxfId="1031" priority="153" operator="equal">
      <formula>"fail"</formula>
    </cfRule>
  </conditionalFormatting>
  <conditionalFormatting sqref="T23">
    <cfRule type="cellIs" dxfId="1030" priority="152" operator="equal">
      <formula>"pass"</formula>
    </cfRule>
    <cfRule type="cellIs" dxfId="1029" priority="151" operator="equal">
      <formula>"fail"</formula>
    </cfRule>
  </conditionalFormatting>
  <conditionalFormatting sqref="T31">
    <cfRule type="cellIs" dxfId="1028" priority="149" operator="equal">
      <formula>"fail"</formula>
    </cfRule>
    <cfRule type="cellIs" dxfId="1027" priority="150" operator="equal">
      <formula>"pass"</formula>
    </cfRule>
  </conditionalFormatting>
  <conditionalFormatting sqref="T39">
    <cfRule type="cellIs" dxfId="1026" priority="147" operator="equal">
      <formula>"fail"</formula>
    </cfRule>
    <cfRule type="cellIs" dxfId="1025" priority="148" operator="equal">
      <formula>"pass"</formula>
    </cfRule>
  </conditionalFormatting>
  <conditionalFormatting sqref="T47">
    <cfRule type="cellIs" dxfId="1024" priority="145" operator="equal">
      <formula>"fail"</formula>
    </cfRule>
    <cfRule type="cellIs" dxfId="1023" priority="146" operator="equal">
      <formula>"pass"</formula>
    </cfRule>
  </conditionalFormatting>
  <conditionalFormatting sqref="T55">
    <cfRule type="cellIs" dxfId="1022" priority="143" operator="equal">
      <formula>"fail"</formula>
    </cfRule>
    <cfRule type="cellIs" dxfId="1021" priority="144" operator="equal">
      <formula>"pass"</formula>
    </cfRule>
  </conditionalFormatting>
  <conditionalFormatting sqref="T63">
    <cfRule type="cellIs" dxfId="1020" priority="141" operator="equal">
      <formula>"fail"</formula>
    </cfRule>
    <cfRule type="cellIs" dxfId="1019" priority="142" operator="equal">
      <formula>"pass"</formula>
    </cfRule>
  </conditionalFormatting>
  <conditionalFormatting sqref="T71">
    <cfRule type="cellIs" dxfId="1018" priority="140" operator="equal">
      <formula>"pass"</formula>
    </cfRule>
    <cfRule type="cellIs" dxfId="1017" priority="139" operator="equal">
      <formula>"fail"</formula>
    </cfRule>
  </conditionalFormatting>
  <conditionalFormatting sqref="T79">
    <cfRule type="cellIs" dxfId="1016" priority="137" operator="equal">
      <formula>"fail"</formula>
    </cfRule>
    <cfRule type="cellIs" dxfId="1015" priority="138" operator="equal">
      <formula>"pass"</formula>
    </cfRule>
  </conditionalFormatting>
  <conditionalFormatting sqref="V7">
    <cfRule type="cellIs" dxfId="1014" priority="81" operator="equal">
      <formula>"fail"</formula>
    </cfRule>
    <cfRule type="cellIs" dxfId="1013" priority="82" operator="equal">
      <formula>"pass"</formula>
    </cfRule>
  </conditionalFormatting>
  <conditionalFormatting sqref="V15">
    <cfRule type="cellIs" dxfId="1012" priority="80" operator="equal">
      <formula>"pass"</formula>
    </cfRule>
    <cfRule type="cellIs" dxfId="1011" priority="79" operator="equal">
      <formula>"fail"</formula>
    </cfRule>
  </conditionalFormatting>
  <conditionalFormatting sqref="V23">
    <cfRule type="cellIs" dxfId="1010" priority="77" operator="equal">
      <formula>"fail"</formula>
    </cfRule>
    <cfRule type="cellIs" dxfId="1009" priority="78" operator="equal">
      <formula>"pass"</formula>
    </cfRule>
  </conditionalFormatting>
  <conditionalFormatting sqref="V31">
    <cfRule type="cellIs" dxfId="1008" priority="75" operator="equal">
      <formula>"fail"</formula>
    </cfRule>
    <cfRule type="cellIs" dxfId="1007" priority="76" operator="equal">
      <formula>"pass"</formula>
    </cfRule>
  </conditionalFormatting>
  <conditionalFormatting sqref="V39">
    <cfRule type="cellIs" dxfId="1006" priority="73" operator="equal">
      <formula>"fail"</formula>
    </cfRule>
    <cfRule type="cellIs" dxfId="1005" priority="74" operator="equal">
      <formula>"pass"</formula>
    </cfRule>
  </conditionalFormatting>
  <conditionalFormatting sqref="V47">
    <cfRule type="cellIs" dxfId="1004" priority="72" operator="equal">
      <formula>"pass"</formula>
    </cfRule>
    <cfRule type="cellIs" dxfId="1003" priority="71" operator="equal">
      <formula>"fail"</formula>
    </cfRule>
  </conditionalFormatting>
  <conditionalFormatting sqref="V55">
    <cfRule type="cellIs" dxfId="1002" priority="69" operator="equal">
      <formula>"fail"</formula>
    </cfRule>
    <cfRule type="cellIs" dxfId="1001" priority="70" operator="equal">
      <formula>"pass"</formula>
    </cfRule>
  </conditionalFormatting>
  <conditionalFormatting sqref="V63">
    <cfRule type="cellIs" dxfId="1000" priority="67" operator="equal">
      <formula>"fail"</formula>
    </cfRule>
    <cfRule type="cellIs" dxfId="999" priority="68" operator="equal">
      <formula>"pass"</formula>
    </cfRule>
  </conditionalFormatting>
  <conditionalFormatting sqref="V71">
    <cfRule type="cellIs" dxfId="998" priority="65" operator="equal">
      <formula>"fail"</formula>
    </cfRule>
    <cfRule type="cellIs" dxfId="997" priority="66" operator="equal">
      <formula>"pass"</formula>
    </cfRule>
  </conditionalFormatting>
  <conditionalFormatting sqref="V79">
    <cfRule type="cellIs" dxfId="996" priority="63" operator="equal">
      <formula>"fail"</formula>
    </cfRule>
    <cfRule type="cellIs" dxfId="995" priority="64" operator="equal">
      <formula>"pass"</formula>
    </cfRule>
  </conditionalFormatting>
  <conditionalFormatting sqref="X7">
    <cfRule type="cellIs" dxfId="994" priority="653" operator="equal">
      <formula>"pass"</formula>
    </cfRule>
    <cfRule type="cellIs" dxfId="993" priority="652" operator="equal">
      <formula>"fail"</formula>
    </cfRule>
  </conditionalFormatting>
  <conditionalFormatting sqref="X15 X23 X31 X39 X47 X55 X63 X71 X79">
    <cfRule type="cellIs" dxfId="992" priority="189" operator="equal">
      <formula>"fail"</formula>
    </cfRule>
    <cfRule type="cellIs" dxfId="991" priority="190" operator="equal">
      <formula>"pass"</formula>
    </cfRule>
  </conditionalFormatting>
  <conditionalFormatting sqref="Z7">
    <cfRule type="cellIs" dxfId="990" priority="683" operator="equal">
      <formula>"pass"</formula>
    </cfRule>
    <cfRule type="cellIs" dxfId="989" priority="682" operator="equal">
      <formula>"fail"</formula>
    </cfRule>
  </conditionalFormatting>
  <conditionalFormatting sqref="Z15">
    <cfRule type="cellIs" dxfId="988" priority="136" operator="equal">
      <formula>"pass"</formula>
    </cfRule>
    <cfRule type="cellIs" dxfId="987" priority="135" operator="equal">
      <formula>"fail"</formula>
    </cfRule>
  </conditionalFormatting>
  <conditionalFormatting sqref="Z23">
    <cfRule type="cellIs" dxfId="986" priority="134" operator="equal">
      <formula>"pass"</formula>
    </cfRule>
    <cfRule type="cellIs" dxfId="985" priority="133" operator="equal">
      <formula>"fail"</formula>
    </cfRule>
  </conditionalFormatting>
  <conditionalFormatting sqref="Z31">
    <cfRule type="cellIs" dxfId="984" priority="132" operator="equal">
      <formula>"pass"</formula>
    </cfRule>
    <cfRule type="cellIs" dxfId="983" priority="131" operator="equal">
      <formula>"fail"</formula>
    </cfRule>
  </conditionalFormatting>
  <conditionalFormatting sqref="Z39">
    <cfRule type="cellIs" dxfId="982" priority="130" operator="equal">
      <formula>"pass"</formula>
    </cfRule>
    <cfRule type="cellIs" dxfId="981" priority="129" operator="equal">
      <formula>"fail"</formula>
    </cfRule>
  </conditionalFormatting>
  <conditionalFormatting sqref="Z47">
    <cfRule type="cellIs" dxfId="980" priority="127" operator="equal">
      <formula>"fail"</formula>
    </cfRule>
    <cfRule type="cellIs" dxfId="979" priority="128" operator="equal">
      <formula>"pass"</formula>
    </cfRule>
  </conditionalFormatting>
  <conditionalFormatting sqref="Z55">
    <cfRule type="cellIs" dxfId="978" priority="126" operator="equal">
      <formula>"pass"</formula>
    </cfRule>
    <cfRule type="cellIs" dxfId="977" priority="125" operator="equal">
      <formula>"fail"</formula>
    </cfRule>
  </conditionalFormatting>
  <conditionalFormatting sqref="Z63">
    <cfRule type="cellIs" dxfId="976" priority="124" operator="equal">
      <formula>"pass"</formula>
    </cfRule>
    <cfRule type="cellIs" dxfId="975" priority="123" operator="equal">
      <formula>"fail"</formula>
    </cfRule>
  </conditionalFormatting>
  <conditionalFormatting sqref="Z71">
    <cfRule type="cellIs" dxfId="974" priority="122" operator="equal">
      <formula>"pass"</formula>
    </cfRule>
    <cfRule type="cellIs" dxfId="973" priority="121" operator="equal">
      <formula>"fail"</formula>
    </cfRule>
  </conditionalFormatting>
  <conditionalFormatting sqref="Z79">
    <cfRule type="cellIs" dxfId="972" priority="120" operator="equal">
      <formula>"pass"</formula>
    </cfRule>
    <cfRule type="cellIs" dxfId="971" priority="119" operator="equal">
      <formula>"fail"</formula>
    </cfRule>
  </conditionalFormatting>
  <conditionalFormatting sqref="AB7">
    <cfRule type="cellIs" dxfId="970" priority="651" operator="equal">
      <formula>"pass"</formula>
    </cfRule>
    <cfRule type="cellIs" dxfId="969" priority="650" operator="equal">
      <formula>"fail"</formula>
    </cfRule>
  </conditionalFormatting>
  <conditionalFormatting sqref="AB15">
    <cfRule type="cellIs" dxfId="968" priority="170" operator="equal">
      <formula>"pass"</formula>
    </cfRule>
    <cfRule type="cellIs" dxfId="967" priority="169" operator="equal">
      <formula>"fail"</formula>
    </cfRule>
  </conditionalFormatting>
  <conditionalFormatting sqref="AB23">
    <cfRule type="cellIs" dxfId="966" priority="167" operator="equal">
      <formula>"fail"</formula>
    </cfRule>
    <cfRule type="cellIs" dxfId="965" priority="168" operator="equal">
      <formula>"pass"</formula>
    </cfRule>
  </conditionalFormatting>
  <conditionalFormatting sqref="AB31">
    <cfRule type="cellIs" dxfId="964" priority="166" operator="equal">
      <formula>"pass"</formula>
    </cfRule>
    <cfRule type="cellIs" dxfId="963" priority="165" operator="equal">
      <formula>"fail"</formula>
    </cfRule>
  </conditionalFormatting>
  <conditionalFormatting sqref="AB39">
    <cfRule type="cellIs" dxfId="962" priority="163" operator="equal">
      <formula>"fail"</formula>
    </cfRule>
    <cfRule type="cellIs" dxfId="961" priority="164" operator="equal">
      <formula>"pass"</formula>
    </cfRule>
  </conditionalFormatting>
  <conditionalFormatting sqref="AB47">
    <cfRule type="cellIs" dxfId="960" priority="161" operator="equal">
      <formula>"fail"</formula>
    </cfRule>
    <cfRule type="cellIs" dxfId="959" priority="162" operator="equal">
      <formula>"pass"</formula>
    </cfRule>
  </conditionalFormatting>
  <conditionalFormatting sqref="AB55">
    <cfRule type="cellIs" dxfId="958" priority="160" operator="equal">
      <formula>"pass"</formula>
    </cfRule>
    <cfRule type="cellIs" dxfId="957" priority="159" operator="equal">
      <formula>"fail"</formula>
    </cfRule>
  </conditionalFormatting>
  <conditionalFormatting sqref="AB63">
    <cfRule type="cellIs" dxfId="956" priority="157" operator="equal">
      <formula>"fail"</formula>
    </cfRule>
    <cfRule type="cellIs" dxfId="955" priority="158" operator="equal">
      <formula>"pass"</formula>
    </cfRule>
  </conditionalFormatting>
  <conditionalFormatting sqref="AB71">
    <cfRule type="cellIs" dxfId="954" priority="155" operator="equal">
      <formula>"fail"</formula>
    </cfRule>
    <cfRule type="cellIs" dxfId="953" priority="156" operator="equal">
      <formula>"pass"</formula>
    </cfRule>
  </conditionalFormatting>
  <conditionalFormatting sqref="AB79">
    <cfRule type="cellIs" dxfId="952" priority="194" operator="equal">
      <formula>"pass"</formula>
    </cfRule>
    <cfRule type="cellIs" dxfId="951" priority="193" operator="equal">
      <formula>"fail"</formula>
    </cfRule>
  </conditionalFormatting>
  <conditionalFormatting sqref="AD7">
    <cfRule type="cellIs" dxfId="950" priority="681" operator="equal">
      <formula>"pass"</formula>
    </cfRule>
    <cfRule type="cellIs" dxfId="949" priority="680" operator="equal">
      <formula>"fail"</formula>
    </cfRule>
  </conditionalFormatting>
  <conditionalFormatting sqref="AD15 AD23 AD31 AD39 AD47 AD55 AD63 AD71 AD79">
    <cfRule type="cellIs" dxfId="948" priority="196" operator="equal">
      <formula>"pass"</formula>
    </cfRule>
    <cfRule type="cellIs" dxfId="947" priority="195" operator="equal">
      <formula>"fail"</formula>
    </cfRule>
  </conditionalFormatting>
  <conditionalFormatting sqref="AF7">
    <cfRule type="cellIs" dxfId="946" priority="61" operator="equal">
      <formula>"fail"</formula>
    </cfRule>
    <cfRule type="cellIs" dxfId="945" priority="62" operator="equal">
      <formula>"pass"</formula>
    </cfRule>
  </conditionalFormatting>
  <conditionalFormatting sqref="AF15">
    <cfRule type="cellIs" dxfId="944" priority="60" operator="equal">
      <formula>"pass"</formula>
    </cfRule>
    <cfRule type="cellIs" dxfId="943" priority="59" operator="equal">
      <formula>"fail"</formula>
    </cfRule>
  </conditionalFormatting>
  <conditionalFormatting sqref="AF23">
    <cfRule type="cellIs" dxfId="942" priority="58" operator="equal">
      <formula>"pass"</formula>
    </cfRule>
    <cfRule type="cellIs" dxfId="941" priority="57" operator="equal">
      <formula>"fail"</formula>
    </cfRule>
  </conditionalFormatting>
  <conditionalFormatting sqref="AF31">
    <cfRule type="cellIs" dxfId="940" priority="56" operator="equal">
      <formula>"pass"</formula>
    </cfRule>
    <cfRule type="cellIs" dxfId="939" priority="55" operator="equal">
      <formula>"fail"</formula>
    </cfRule>
  </conditionalFormatting>
  <conditionalFormatting sqref="AF39">
    <cfRule type="cellIs" dxfId="938" priority="54" operator="equal">
      <formula>"pass"</formula>
    </cfRule>
    <cfRule type="cellIs" dxfId="937" priority="53" operator="equal">
      <formula>"fail"</formula>
    </cfRule>
  </conditionalFormatting>
  <conditionalFormatting sqref="AF47">
    <cfRule type="cellIs" dxfId="936" priority="52" operator="equal">
      <formula>"pass"</formula>
    </cfRule>
    <cfRule type="cellIs" dxfId="935" priority="51" operator="equal">
      <formula>"fail"</formula>
    </cfRule>
  </conditionalFormatting>
  <conditionalFormatting sqref="AF55">
    <cfRule type="cellIs" dxfId="934" priority="50" operator="equal">
      <formula>"pass"</formula>
    </cfRule>
    <cfRule type="cellIs" dxfId="933" priority="49" operator="equal">
      <formula>"fail"</formula>
    </cfRule>
  </conditionalFormatting>
  <conditionalFormatting sqref="AF63">
    <cfRule type="cellIs" dxfId="932" priority="48" operator="equal">
      <formula>"pass"</formula>
    </cfRule>
    <cfRule type="cellIs" dxfId="931" priority="47" operator="equal">
      <formula>"fail"</formula>
    </cfRule>
  </conditionalFormatting>
  <conditionalFormatting sqref="AF71">
    <cfRule type="cellIs" dxfId="930" priority="45" operator="equal">
      <formula>"fail"</formula>
    </cfRule>
    <cfRule type="cellIs" dxfId="929" priority="46" operator="equal">
      <formula>"pass"</formula>
    </cfRule>
  </conditionalFormatting>
  <conditionalFormatting sqref="AF79">
    <cfRule type="cellIs" dxfId="928" priority="43" operator="equal">
      <formula>"fail"</formula>
    </cfRule>
    <cfRule type="cellIs" dxfId="927" priority="44" operator="equal">
      <formula>"pass"</formula>
    </cfRule>
  </conditionalFormatting>
  <conditionalFormatting sqref="AH7">
    <cfRule type="cellIs" dxfId="926" priority="679" operator="equal">
      <formula>"pass"</formula>
    </cfRule>
    <cfRule type="cellIs" dxfId="925" priority="678" operator="equal">
      <formula>"fail"</formula>
    </cfRule>
  </conditionalFormatting>
  <conditionalFormatting sqref="AH15 AH23 AH31 AH39 AH47 AH55 AH63 AH71 AH79">
    <cfRule type="cellIs" dxfId="924" priority="199" operator="equal">
      <formula>"fail"</formula>
    </cfRule>
    <cfRule type="cellIs" dxfId="923" priority="200" operator="equal">
      <formula>"pass"</formula>
    </cfRule>
  </conditionalFormatting>
  <conditionalFormatting sqref="AJ7">
    <cfRule type="cellIs" dxfId="922" priority="42" operator="equal">
      <formula>"pass"</formula>
    </cfRule>
    <cfRule type="cellIs" dxfId="921" priority="41" operator="equal">
      <formula>"fail"</formula>
    </cfRule>
  </conditionalFormatting>
  <conditionalFormatting sqref="AJ15">
    <cfRule type="cellIs" dxfId="920" priority="40" operator="equal">
      <formula>"pass"</formula>
    </cfRule>
    <cfRule type="cellIs" dxfId="919" priority="39" operator="equal">
      <formula>"fail"</formula>
    </cfRule>
  </conditionalFormatting>
  <conditionalFormatting sqref="AJ23">
    <cfRule type="cellIs" dxfId="918" priority="37" operator="equal">
      <formula>"fail"</formula>
    </cfRule>
    <cfRule type="cellIs" dxfId="917" priority="38" operator="equal">
      <formula>"pass"</formula>
    </cfRule>
  </conditionalFormatting>
  <conditionalFormatting sqref="AJ31">
    <cfRule type="cellIs" dxfId="916" priority="36" operator="equal">
      <formula>"pass"</formula>
    </cfRule>
    <cfRule type="cellIs" dxfId="915" priority="35" operator="equal">
      <formula>"fail"</formula>
    </cfRule>
  </conditionalFormatting>
  <conditionalFormatting sqref="AJ39">
    <cfRule type="cellIs" dxfId="914" priority="33" operator="equal">
      <formula>"fail"</formula>
    </cfRule>
    <cfRule type="cellIs" dxfId="913" priority="34" operator="equal">
      <formula>"pass"</formula>
    </cfRule>
  </conditionalFormatting>
  <conditionalFormatting sqref="AJ47">
    <cfRule type="cellIs" dxfId="912" priority="32" operator="equal">
      <formula>"pass"</formula>
    </cfRule>
    <cfRule type="cellIs" dxfId="911" priority="31" operator="equal">
      <formula>"fail"</formula>
    </cfRule>
  </conditionalFormatting>
  <conditionalFormatting sqref="AJ55">
    <cfRule type="cellIs" dxfId="910" priority="29" operator="equal">
      <formula>"fail"</formula>
    </cfRule>
    <cfRule type="cellIs" dxfId="909" priority="30" operator="equal">
      <formula>"pass"</formula>
    </cfRule>
  </conditionalFormatting>
  <conditionalFormatting sqref="AJ63">
    <cfRule type="cellIs" dxfId="908" priority="27" operator="equal">
      <formula>"fail"</formula>
    </cfRule>
    <cfRule type="cellIs" dxfId="907" priority="28" operator="equal">
      <formula>"pass"</formula>
    </cfRule>
  </conditionalFormatting>
  <conditionalFormatting sqref="AJ71">
    <cfRule type="cellIs" dxfId="906" priority="26" operator="equal">
      <formula>"pass"</formula>
    </cfRule>
    <cfRule type="cellIs" dxfId="905" priority="25" operator="equal">
      <formula>"fail"</formula>
    </cfRule>
  </conditionalFormatting>
  <conditionalFormatting sqref="AJ79">
    <cfRule type="cellIs" dxfId="904" priority="23" operator="equal">
      <formula>"fail"</formula>
    </cfRule>
    <cfRule type="cellIs" dxfId="903" priority="24" operator="equal">
      <formula>"pass"</formula>
    </cfRule>
  </conditionalFormatting>
  <conditionalFormatting sqref="AL7">
    <cfRule type="cellIs" dxfId="902" priority="677" operator="equal">
      <formula>"pass"</formula>
    </cfRule>
    <cfRule type="cellIs" dxfId="901" priority="676" operator="equal">
      <formula>"fail"</formula>
    </cfRule>
  </conditionalFormatting>
  <conditionalFormatting sqref="AL15">
    <cfRule type="cellIs" dxfId="900" priority="117" operator="equal">
      <formula>"fail"</formula>
    </cfRule>
    <cfRule type="cellIs" dxfId="899" priority="118" operator="equal">
      <formula>"pass"</formula>
    </cfRule>
  </conditionalFormatting>
  <conditionalFormatting sqref="AL23">
    <cfRule type="cellIs" dxfId="898" priority="115" operator="equal">
      <formula>"fail"</formula>
    </cfRule>
    <cfRule type="cellIs" dxfId="897" priority="116" operator="equal">
      <formula>"pass"</formula>
    </cfRule>
  </conditionalFormatting>
  <conditionalFormatting sqref="AL31">
    <cfRule type="cellIs" dxfId="896" priority="114" operator="equal">
      <formula>"pass"</formula>
    </cfRule>
    <cfRule type="cellIs" dxfId="895" priority="113" operator="equal">
      <formula>"fail"</formula>
    </cfRule>
  </conditionalFormatting>
  <conditionalFormatting sqref="AL39">
    <cfRule type="cellIs" dxfId="894" priority="112" operator="equal">
      <formula>"pass"</formula>
    </cfRule>
    <cfRule type="cellIs" dxfId="893" priority="111" operator="equal">
      <formula>"fail"</formula>
    </cfRule>
  </conditionalFormatting>
  <conditionalFormatting sqref="AL47">
    <cfRule type="cellIs" dxfId="892" priority="110" operator="equal">
      <formula>"pass"</formula>
    </cfRule>
    <cfRule type="cellIs" dxfId="891" priority="109" operator="equal">
      <formula>"fail"</formula>
    </cfRule>
  </conditionalFormatting>
  <conditionalFormatting sqref="AL55">
    <cfRule type="cellIs" dxfId="890" priority="108" operator="equal">
      <formula>"pass"</formula>
    </cfRule>
    <cfRule type="cellIs" dxfId="889" priority="107" operator="equal">
      <formula>"fail"</formula>
    </cfRule>
  </conditionalFormatting>
  <conditionalFormatting sqref="AL63">
    <cfRule type="cellIs" dxfId="888" priority="105" operator="equal">
      <formula>"fail"</formula>
    </cfRule>
    <cfRule type="cellIs" dxfId="887" priority="106" operator="equal">
      <formula>"pass"</formula>
    </cfRule>
  </conditionalFormatting>
  <conditionalFormatting sqref="AL71">
    <cfRule type="cellIs" dxfId="886" priority="104" operator="equal">
      <formula>"pass"</formula>
    </cfRule>
    <cfRule type="cellIs" dxfId="885" priority="103" operator="equal">
      <formula>"fail"</formula>
    </cfRule>
  </conditionalFormatting>
  <conditionalFormatting sqref="AL79">
    <cfRule type="cellIs" dxfId="884" priority="102" operator="equal">
      <formula>"pass"</formula>
    </cfRule>
    <cfRule type="cellIs" dxfId="883" priority="101" operator="equal">
      <formula>"fail"</formula>
    </cfRule>
  </conditionalFormatting>
  <conditionalFormatting sqref="AN7">
    <cfRule type="cellIs" dxfId="882" priority="22" operator="equal">
      <formula>"pass"</formula>
    </cfRule>
    <cfRule type="cellIs" dxfId="881" priority="21" operator="equal">
      <formula>"fail"</formula>
    </cfRule>
  </conditionalFormatting>
  <conditionalFormatting sqref="AN15">
    <cfRule type="cellIs" dxfId="880" priority="19" operator="equal">
      <formula>"fail"</formula>
    </cfRule>
    <cfRule type="cellIs" dxfId="879" priority="20" operator="equal">
      <formula>"pass"</formula>
    </cfRule>
  </conditionalFormatting>
  <conditionalFormatting sqref="AN23">
    <cfRule type="cellIs" dxfId="878" priority="17" operator="equal">
      <formula>"fail"</formula>
    </cfRule>
    <cfRule type="cellIs" dxfId="877" priority="18" operator="equal">
      <formula>"pass"</formula>
    </cfRule>
  </conditionalFormatting>
  <conditionalFormatting sqref="AN31">
    <cfRule type="cellIs" dxfId="876" priority="16" operator="equal">
      <formula>"pass"</formula>
    </cfRule>
    <cfRule type="cellIs" dxfId="875" priority="15" operator="equal">
      <formula>"fail"</formula>
    </cfRule>
  </conditionalFormatting>
  <conditionalFormatting sqref="AN39">
    <cfRule type="cellIs" dxfId="874" priority="14" operator="equal">
      <formula>"pass"</formula>
    </cfRule>
    <cfRule type="cellIs" dxfId="873" priority="13" operator="equal">
      <formula>"fail"</formula>
    </cfRule>
  </conditionalFormatting>
  <conditionalFormatting sqref="AN47">
    <cfRule type="cellIs" dxfId="872" priority="12" operator="equal">
      <formula>"pass"</formula>
    </cfRule>
    <cfRule type="cellIs" dxfId="871" priority="11" operator="equal">
      <formula>"fail"</formula>
    </cfRule>
  </conditionalFormatting>
  <conditionalFormatting sqref="AN55">
    <cfRule type="cellIs" dxfId="870" priority="9" operator="equal">
      <formula>"fail"</formula>
    </cfRule>
    <cfRule type="cellIs" dxfId="869" priority="10" operator="equal">
      <formula>"pass"</formula>
    </cfRule>
  </conditionalFormatting>
  <conditionalFormatting sqref="AN63">
    <cfRule type="cellIs" dxfId="868" priority="7" operator="equal">
      <formula>"fail"</formula>
    </cfRule>
    <cfRule type="cellIs" dxfId="867" priority="8" operator="equal">
      <formula>"pass"</formula>
    </cfRule>
  </conditionalFormatting>
  <conditionalFormatting sqref="AN71">
    <cfRule type="cellIs" dxfId="866" priority="5" operator="equal">
      <formula>"fail"</formula>
    </cfRule>
    <cfRule type="cellIs" dxfId="865" priority="6" operator="equal">
      <formula>"pass"</formula>
    </cfRule>
  </conditionalFormatting>
  <conditionalFormatting sqref="AN79">
    <cfRule type="cellIs" dxfId="864" priority="4" operator="equal">
      <formula>"pass"</formula>
    </cfRule>
    <cfRule type="cellIs" dxfId="863" priority="3" operator="equal">
      <formula>"fail"</formula>
    </cfRule>
  </conditionalFormatting>
  <conditionalFormatting sqref="AP7">
    <cfRule type="cellIs" dxfId="862" priority="649" operator="equal">
      <formula>"pass"</formula>
    </cfRule>
    <cfRule type="cellIs" dxfId="861" priority="648" operator="equal">
      <formula>"fail"</formula>
    </cfRule>
  </conditionalFormatting>
  <conditionalFormatting sqref="AP15 AP23 AP31 AP39 AP47 AP55 AP63 AP71 AP79">
    <cfRule type="cellIs" dxfId="860" priority="207" operator="equal">
      <formula>"fail"</formula>
    </cfRule>
    <cfRule type="cellIs" dxfId="859" priority="208" operator="equal">
      <formula>"pass"</formula>
    </cfRule>
  </conditionalFormatting>
  <conditionalFormatting sqref="AR7">
    <cfRule type="cellIs" dxfId="858" priority="390" operator="equal">
      <formula>"fail"</formula>
    </cfRule>
    <cfRule type="cellIs" dxfId="857" priority="391" operator="equal">
      <formula>"pass"</formula>
    </cfRule>
  </conditionalFormatting>
  <conditionalFormatting sqref="AR15 AR23 AR31 AR39 AR47 AR55 AR63 AR71 AR79">
    <cfRule type="cellIs" dxfId="856" priority="209" operator="equal">
      <formula>"fail"</formula>
    </cfRule>
    <cfRule type="cellIs" dxfId="855" priority="210" operator="equal">
      <formula>"pass"</formula>
    </cfRule>
  </conditionalFormatting>
  <conditionalFormatting sqref="AT7">
    <cfRule type="cellIs" dxfId="854" priority="388" operator="equal">
      <formula>"fail"</formula>
    </cfRule>
    <cfRule type="cellIs" dxfId="853" priority="389" operator="equal">
      <formula>"pass"</formula>
    </cfRule>
  </conditionalFormatting>
  <conditionalFormatting sqref="AT15 AT23 AT31 AT39 AT47 AT55 AT63 AT71 AT79">
    <cfRule type="cellIs" dxfId="852" priority="212" operator="equal">
      <formula>"pass"</formula>
    </cfRule>
    <cfRule type="cellIs" dxfId="851" priority="211" operator="equal">
      <formula>"fail"</formula>
    </cfRule>
  </conditionalFormatting>
  <conditionalFormatting sqref="AY8 BI8 BY8">
    <cfRule type="cellIs" dxfId="850" priority="1211" operator="equal">
      <formula>"FAIL"</formula>
    </cfRule>
  </conditionalFormatting>
  <conditionalFormatting sqref="AY8">
    <cfRule type="cellIs" dxfId="849" priority="1493" operator="equal">
      <formula>"pass"</formula>
    </cfRule>
  </conditionalFormatting>
  <conditionalFormatting sqref="AY18">
    <cfRule type="cellIs" dxfId="848" priority="214" operator="equal">
      <formula>"pass"</formula>
    </cfRule>
    <cfRule type="cellIs" dxfId="847" priority="213" operator="equal">
      <formula>"FAIL"</formula>
    </cfRule>
  </conditionalFormatting>
  <conditionalFormatting sqref="AY28 BA28:BC28 BI28 BM28 BU28 AY35 BA35:BC35 BI35 BM35 BU35 AY42 BA42:BC42 BI42 BM42 BU42 AY49 BA49:BC49 BI49 BM49 BU49 AY56 BA56:BC56 BI56 BM56 BU56 AY63 BA63:BC63 BI63 BM63 BU63 AY70 BA70:BC70 BI70 BM70 BU70">
    <cfRule type="cellIs" dxfId="846" priority="1959" operator="equal">
      <formula>"pass"</formula>
    </cfRule>
    <cfRule type="cellIs" dxfId="845" priority="1960" operator="equal">
      <formula>"fail"</formula>
    </cfRule>
  </conditionalFormatting>
  <conditionalFormatting sqref="BA8:BC8">
    <cfRule type="cellIs" dxfId="844" priority="313" operator="equal">
      <formula>"pass"</formula>
    </cfRule>
    <cfRule type="cellIs" dxfId="843" priority="312" operator="equal">
      <formula>"FAIL"</formula>
    </cfRule>
  </conditionalFormatting>
  <conditionalFormatting sqref="BA18:BC18">
    <cfRule type="cellIs" dxfId="842" priority="216" operator="equal">
      <formula>"pass"</formula>
    </cfRule>
    <cfRule type="cellIs" dxfId="841" priority="215" operator="equal">
      <formula>"FAIL"</formula>
    </cfRule>
  </conditionalFormatting>
  <conditionalFormatting sqref="BE8:BG8">
    <cfRule type="cellIs" dxfId="840" priority="309" operator="equal">
      <formula>"pass"</formula>
    </cfRule>
    <cfRule type="cellIs" dxfId="839" priority="308" operator="equal">
      <formula>"FAIL"</formula>
    </cfRule>
  </conditionalFormatting>
  <conditionalFormatting sqref="BE18:BG18">
    <cfRule type="cellIs" dxfId="838" priority="171" operator="equal">
      <formula>"FAIL"</formula>
    </cfRule>
    <cfRule type="cellIs" dxfId="837" priority="172" operator="equal">
      <formula>"pass"</formula>
    </cfRule>
  </conditionalFormatting>
  <conditionalFormatting sqref="BE28:BG28 BE35:BG35 BE42:BG42 BE49:BG49 BE56:BG56 BE63:BG63 BE70:BG70">
    <cfRule type="cellIs" dxfId="836" priority="322" operator="equal">
      <formula>"pass"</formula>
    </cfRule>
    <cfRule type="cellIs" dxfId="835" priority="323" operator="equal">
      <formula>"fail"</formula>
    </cfRule>
  </conditionalFormatting>
  <conditionalFormatting sqref="BI8">
    <cfRule type="cellIs" dxfId="834" priority="1489" operator="equal">
      <formula>"pass"</formula>
    </cfRule>
  </conditionalFormatting>
  <conditionalFormatting sqref="BI18">
    <cfRule type="cellIs" dxfId="833" priority="224" operator="equal">
      <formula>"pass"</formula>
    </cfRule>
    <cfRule type="cellIs" dxfId="832" priority="223" operator="equal">
      <formula>"FAIL"</formula>
    </cfRule>
  </conditionalFormatting>
  <conditionalFormatting sqref="BK8">
    <cfRule type="cellIs" dxfId="831" priority="346" operator="equal">
      <formula>"FAIL"</formula>
    </cfRule>
    <cfRule type="cellIs" dxfId="830" priority="347" operator="equal">
      <formula>"pass"</formula>
    </cfRule>
  </conditionalFormatting>
  <conditionalFormatting sqref="BK18">
    <cfRule type="cellIs" dxfId="829" priority="173" operator="equal">
      <formula>"FAIL"</formula>
    </cfRule>
    <cfRule type="cellIs" dxfId="828" priority="174" operator="equal">
      <formula>"pass"</formula>
    </cfRule>
  </conditionalFormatting>
  <conditionalFormatting sqref="BK28">
    <cfRule type="cellIs" dxfId="827" priority="1717" operator="equal">
      <formula>"fail"</formula>
    </cfRule>
    <cfRule type="cellIs" dxfId="826" priority="1718" operator="equal">
      <formula>"pass"</formula>
    </cfRule>
  </conditionalFormatting>
  <conditionalFormatting sqref="BK35">
    <cfRule type="cellIs" dxfId="825" priority="1716" operator="equal">
      <formula>"pass"</formula>
    </cfRule>
    <cfRule type="cellIs" dxfId="824" priority="1715" operator="equal">
      <formula>"fail"</formula>
    </cfRule>
  </conditionalFormatting>
  <conditionalFormatting sqref="BK42">
    <cfRule type="cellIs" dxfId="823" priority="1713" operator="equal">
      <formula>"fail"</formula>
    </cfRule>
    <cfRule type="cellIs" dxfId="822" priority="1714" operator="equal">
      <formula>"pass"</formula>
    </cfRule>
  </conditionalFormatting>
  <conditionalFormatting sqref="BK49">
    <cfRule type="cellIs" dxfId="821" priority="1711" operator="equal">
      <formula>"fail"</formula>
    </cfRule>
    <cfRule type="cellIs" dxfId="820" priority="1712" operator="equal">
      <formula>"pass"</formula>
    </cfRule>
  </conditionalFormatting>
  <conditionalFormatting sqref="BK56">
    <cfRule type="cellIs" dxfId="819" priority="1709" operator="equal">
      <formula>"fail"</formula>
    </cfRule>
    <cfRule type="cellIs" dxfId="818" priority="1710" operator="equal">
      <formula>"pass"</formula>
    </cfRule>
  </conditionalFormatting>
  <conditionalFormatting sqref="BK63">
    <cfRule type="cellIs" dxfId="817" priority="1708" operator="equal">
      <formula>"pass"</formula>
    </cfRule>
    <cfRule type="cellIs" dxfId="816" priority="1707" operator="equal">
      <formula>"fail"</formula>
    </cfRule>
  </conditionalFormatting>
  <conditionalFormatting sqref="BK70">
    <cfRule type="cellIs" dxfId="815" priority="1706" operator="equal">
      <formula>"pass"</formula>
    </cfRule>
    <cfRule type="cellIs" dxfId="814" priority="1705" operator="equal">
      <formula>"fail"</formula>
    </cfRule>
  </conditionalFormatting>
  <conditionalFormatting sqref="BM8">
    <cfRule type="cellIs" dxfId="813" priority="345" operator="equal">
      <formula>"pass"</formula>
    </cfRule>
    <cfRule type="cellIs" dxfId="812" priority="344" operator="equal">
      <formula>"FAIL"</formula>
    </cfRule>
  </conditionalFormatting>
  <conditionalFormatting sqref="BM18">
    <cfRule type="cellIs" dxfId="811" priority="228" operator="equal">
      <formula>"pass"</formula>
    </cfRule>
    <cfRule type="cellIs" dxfId="810" priority="227" operator="equal">
      <formula>"FAIL"</formula>
    </cfRule>
  </conditionalFormatting>
  <conditionalFormatting sqref="BO8">
    <cfRule type="cellIs" dxfId="809" priority="343" operator="equal">
      <formula>"pass"</formula>
    </cfRule>
    <cfRule type="cellIs" dxfId="808" priority="342" operator="equal">
      <formula>"FAIL"</formula>
    </cfRule>
  </conditionalFormatting>
  <conditionalFormatting sqref="BO18">
    <cfRule type="cellIs" dxfId="807" priority="229" operator="equal">
      <formula>"FAIL"</formula>
    </cfRule>
    <cfRule type="cellIs" dxfId="806" priority="230" operator="equal">
      <formula>"pass"</formula>
    </cfRule>
  </conditionalFormatting>
  <conditionalFormatting sqref="BO28 BO35 BO42 BO49 BO56 BO63 BO70">
    <cfRule type="cellIs" dxfId="805" priority="758" operator="equal">
      <formula>"fail"</formula>
    </cfRule>
    <cfRule type="cellIs" dxfId="804" priority="757" operator="equal">
      <formula>"pass"</formula>
    </cfRule>
  </conditionalFormatting>
  <conditionalFormatting sqref="BQ8">
    <cfRule type="cellIs" dxfId="803" priority="332" operator="equal">
      <formula>"FAIL"</formula>
    </cfRule>
    <cfRule type="cellIs" dxfId="802" priority="333" operator="equal">
      <formula>"pass"</formula>
    </cfRule>
  </conditionalFormatting>
  <conditionalFormatting sqref="BQ18">
    <cfRule type="cellIs" dxfId="801" priority="231" operator="equal">
      <formula>"FAIL"</formula>
    </cfRule>
    <cfRule type="cellIs" dxfId="800" priority="232" operator="equal">
      <formula>"pass"</formula>
    </cfRule>
  </conditionalFormatting>
  <conditionalFormatting sqref="BQ28 BQ35 BQ42 BQ49 BQ56 BQ63 BQ70">
    <cfRule type="cellIs" dxfId="799" priority="762" operator="equal">
      <formula>"pass"</formula>
    </cfRule>
    <cfRule type="cellIs" dxfId="798" priority="763" operator="equal">
      <formula>"fail"</formula>
    </cfRule>
  </conditionalFormatting>
  <conditionalFormatting sqref="BS8">
    <cfRule type="cellIs" dxfId="797" priority="334" operator="equal">
      <formula>"FAIL"</formula>
    </cfRule>
    <cfRule type="cellIs" dxfId="796" priority="335" operator="equal">
      <formula>"pass"</formula>
    </cfRule>
  </conditionalFormatting>
  <conditionalFormatting sqref="BS18">
    <cfRule type="cellIs" dxfId="795" priority="233" operator="equal">
      <formula>"FAIL"</formula>
    </cfRule>
    <cfRule type="cellIs" dxfId="794" priority="234" operator="equal">
      <formula>"pass"</formula>
    </cfRule>
  </conditionalFormatting>
  <conditionalFormatting sqref="BS28">
    <cfRule type="cellIs" dxfId="793" priority="1749" operator="equal">
      <formula>"fail"</formula>
    </cfRule>
    <cfRule type="cellIs" dxfId="792" priority="1750" operator="equal">
      <formula>"pass"</formula>
    </cfRule>
  </conditionalFormatting>
  <conditionalFormatting sqref="BS35">
    <cfRule type="cellIs" dxfId="791" priority="1751" operator="equal">
      <formula>"fail"</formula>
    </cfRule>
    <cfRule type="cellIs" dxfId="790" priority="1752" operator="equal">
      <formula>"pass"</formula>
    </cfRule>
  </conditionalFormatting>
  <conditionalFormatting sqref="BS42">
    <cfRule type="cellIs" dxfId="789" priority="1753" operator="equal">
      <formula>"fail"</formula>
    </cfRule>
    <cfRule type="cellIs" dxfId="788" priority="1754" operator="equal">
      <formula>"pass"</formula>
    </cfRule>
  </conditionalFormatting>
  <conditionalFormatting sqref="BS49">
    <cfRule type="cellIs" dxfId="787" priority="1755" operator="equal">
      <formula>"fail"</formula>
    </cfRule>
    <cfRule type="cellIs" dxfId="786" priority="1756" operator="equal">
      <formula>"pass"</formula>
    </cfRule>
  </conditionalFormatting>
  <conditionalFormatting sqref="BS56">
    <cfRule type="cellIs" dxfId="785" priority="1758" operator="equal">
      <formula>"pass"</formula>
    </cfRule>
    <cfRule type="cellIs" dxfId="784" priority="1757" operator="equal">
      <formula>"fail"</formula>
    </cfRule>
  </conditionalFormatting>
  <conditionalFormatting sqref="BS63">
    <cfRule type="cellIs" dxfId="783" priority="1759" operator="equal">
      <formula>"fail"</formula>
    </cfRule>
    <cfRule type="cellIs" dxfId="782" priority="1760" operator="equal">
      <formula>"pass"</formula>
    </cfRule>
  </conditionalFormatting>
  <conditionalFormatting sqref="BS70">
    <cfRule type="cellIs" dxfId="781" priority="1761" operator="equal">
      <formula>"fail"</formula>
    </cfRule>
    <cfRule type="cellIs" dxfId="780" priority="1762" operator="equal">
      <formula>"pass"</formula>
    </cfRule>
  </conditionalFormatting>
  <conditionalFormatting sqref="BU8">
    <cfRule type="cellIs" dxfId="779" priority="331" operator="equal">
      <formula>"pass"</formula>
    </cfRule>
    <cfRule type="cellIs" dxfId="778" priority="330" operator="equal">
      <formula>"FAIL"</formula>
    </cfRule>
  </conditionalFormatting>
  <conditionalFormatting sqref="BU18">
    <cfRule type="cellIs" dxfId="777" priority="236" operator="equal">
      <formula>"pass"</formula>
    </cfRule>
    <cfRule type="cellIs" dxfId="776" priority="235" operator="equal">
      <formula>"FAIL"</formula>
    </cfRule>
  </conditionalFormatting>
  <conditionalFormatting sqref="BW8">
    <cfRule type="cellIs" dxfId="775" priority="784" operator="equal">
      <formula>"pass"</formula>
    </cfRule>
    <cfRule type="cellIs" dxfId="774" priority="764" operator="equal">
      <formula>"FAIL"</formula>
    </cfRule>
  </conditionalFormatting>
  <conditionalFormatting sqref="BW18">
    <cfRule type="cellIs" dxfId="773" priority="238" operator="equal">
      <formula>"pass"</formula>
    </cfRule>
    <cfRule type="cellIs" dxfId="772" priority="237" operator="equal">
      <formula>"FAIL"</formula>
    </cfRule>
  </conditionalFormatting>
  <conditionalFormatting sqref="BW28 BW35 BW42 BW49 BW56 BW63 BW70">
    <cfRule type="cellIs" dxfId="771" priority="828" operator="equal">
      <formula>"fail"</formula>
    </cfRule>
    <cfRule type="cellIs" dxfId="770" priority="827" operator="equal">
      <formula>"pass"</formula>
    </cfRule>
  </conditionalFormatting>
  <conditionalFormatting sqref="BY8">
    <cfRule type="cellIs" dxfId="769" priority="1482" operator="equal">
      <formula>"pass"</formula>
    </cfRule>
    <cfRule type="cellIs" dxfId="768" priority="1481" operator="equal">
      <formula>"fail"</formula>
    </cfRule>
  </conditionalFormatting>
  <conditionalFormatting sqref="BY18">
    <cfRule type="cellIs" dxfId="767" priority="239" operator="equal">
      <formula>"FAIL"</formula>
    </cfRule>
    <cfRule type="cellIs" dxfId="766" priority="240" operator="equal">
      <formula>"fail"</formula>
    </cfRule>
    <cfRule type="cellIs" dxfId="765" priority="241" operator="equal">
      <formula>"pass"</formula>
    </cfRule>
  </conditionalFormatting>
  <conditionalFormatting sqref="BY28">
    <cfRule type="cellIs" dxfId="764" priority="1736" operator="equal">
      <formula>"pass"</formula>
    </cfRule>
    <cfRule type="cellIs" dxfId="763" priority="1735" operator="equal">
      <formula>"fail"</formula>
    </cfRule>
  </conditionalFormatting>
  <conditionalFormatting sqref="BY35">
    <cfRule type="cellIs" dxfId="762" priority="1733" operator="equal">
      <formula>"fail"</formula>
    </cfRule>
    <cfRule type="cellIs" dxfId="761" priority="1734" operator="equal">
      <formula>"pass"</formula>
    </cfRule>
  </conditionalFormatting>
  <conditionalFormatting sqref="BY42">
    <cfRule type="cellIs" dxfId="760" priority="1731" operator="equal">
      <formula>"fail"</formula>
    </cfRule>
    <cfRule type="cellIs" dxfId="759" priority="1732" operator="equal">
      <formula>"pass"</formula>
    </cfRule>
  </conditionalFormatting>
  <conditionalFormatting sqref="BY49">
    <cfRule type="cellIs" dxfId="758" priority="1729" operator="equal">
      <formula>"fail"</formula>
    </cfRule>
    <cfRule type="cellIs" dxfId="757" priority="1730" operator="equal">
      <formula>"pass"</formula>
    </cfRule>
  </conditionalFormatting>
  <conditionalFormatting sqref="BY56">
    <cfRule type="cellIs" dxfId="756" priority="1727" operator="equal">
      <formula>"fail"</formula>
    </cfRule>
    <cfRule type="cellIs" dxfId="755" priority="1728" operator="equal">
      <formula>"pass"</formula>
    </cfRule>
  </conditionalFormatting>
  <conditionalFormatting sqref="BY63">
    <cfRule type="cellIs" dxfId="754" priority="1725" operator="equal">
      <formula>"fail"</formula>
    </cfRule>
    <cfRule type="cellIs" dxfId="753" priority="1726" operator="equal">
      <formula>"pass"</formula>
    </cfRule>
  </conditionalFormatting>
  <conditionalFormatting sqref="BY70">
    <cfRule type="cellIs" dxfId="752" priority="1723" operator="equal">
      <formula>"fail"</formula>
    </cfRule>
    <cfRule type="cellIs" dxfId="751" priority="1724" operator="equal">
      <formula>"pass"</formula>
    </cfRule>
  </conditionalFormatting>
  <pageMargins left="0.5" right="0.5" top="1" bottom="1" header="0.25" footer="0.25"/>
  <pageSetup scale="58" fitToHeight="0" orientation="landscape" r:id="rId1"/>
  <headerFooter alignWithMargins="0">
    <oddHeader>&amp;LPart No.:
Batch No(s).: 
Cartridge No. (LSP): &amp;C&amp;12Product QC Testing Worksheet-MTB/XDR&amp;RDocument Number: D37339 Attachment 1
Rev: M
Effective: 5/21/2026
p. &amp;P of &amp;N</oddHeader>
    <oddFooter>&amp;C User is responsible for using the current revision. The controlled current released revision of this document resides in the Agile PLM system.
Cepheid Confidential    Date Printed: &amp;D      &amp;T</oddFooter>
  </headerFooter>
  <rowBreaks count="1" manualBreakCount="1">
    <brk id="83" max="77" man="1"/>
  </rowBreaks>
  <colBreaks count="1" manualBreakCount="1">
    <brk id="39" max="10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6"/>
  <sheetViews>
    <sheetView zoomScaleNormal="100" zoomScaleSheetLayoutView="50" workbookViewId="0">
      <selection activeCell="B25" sqref="B25"/>
    </sheetView>
  </sheetViews>
  <sheetFormatPr defaultColWidth="9.140625" defaultRowHeight="12.75" x14ac:dyDescent="0.2"/>
  <cols>
    <col min="2" max="2" width="32.140625" customWidth="1"/>
    <col min="3" max="4" width="10.5703125" customWidth="1"/>
  </cols>
  <sheetData>
    <row r="1" spans="1:4" s="35" customFormat="1" ht="33.6" customHeight="1" x14ac:dyDescent="0.2">
      <c r="A1" s="179"/>
      <c r="B1" s="180" t="s">
        <v>96</v>
      </c>
      <c r="C1" s="180" t="s">
        <v>402</v>
      </c>
      <c r="D1" s="181" t="s">
        <v>404</v>
      </c>
    </row>
    <row r="2" spans="1:4" x14ac:dyDescent="0.2">
      <c r="A2" s="175">
        <v>1</v>
      </c>
      <c r="B2" s="176">
        <v>1</v>
      </c>
      <c r="C2" s="244" t="s">
        <v>1007</v>
      </c>
      <c r="D2" s="182">
        <f>IF(C2="","",IF(C2="N","N/A",IF(C2="P",0,IF(C2="F",1))))</f>
        <v>0</v>
      </c>
    </row>
    <row r="3" spans="1:4" x14ac:dyDescent="0.2">
      <c r="A3" s="175">
        <v>2</v>
      </c>
      <c r="B3" s="176">
        <v>1</v>
      </c>
      <c r="C3" s="244" t="s">
        <v>1007</v>
      </c>
      <c r="D3" s="182">
        <f t="shared" ref="D3:D66" si="0">IF(C3="","",IF(C3="N","N/A",IF(C3="P",0,IF(C3="F",1))))</f>
        <v>0</v>
      </c>
    </row>
    <row r="4" spans="1:4" x14ac:dyDescent="0.2">
      <c r="A4" s="175">
        <v>3</v>
      </c>
      <c r="B4" s="176">
        <v>1</v>
      </c>
      <c r="C4" s="244" t="s">
        <v>1007</v>
      </c>
      <c r="D4" s="182">
        <f t="shared" si="0"/>
        <v>0</v>
      </c>
    </row>
    <row r="5" spans="1:4" x14ac:dyDescent="0.2">
      <c r="A5" s="175">
        <v>4</v>
      </c>
      <c r="B5" s="176">
        <v>1</v>
      </c>
      <c r="C5" s="244" t="s">
        <v>1007</v>
      </c>
      <c r="D5" s="182">
        <f t="shared" si="0"/>
        <v>0</v>
      </c>
    </row>
    <row r="6" spans="1:4" x14ac:dyDescent="0.2">
      <c r="A6" s="175">
        <v>5</v>
      </c>
      <c r="B6" s="176">
        <v>1</v>
      </c>
      <c r="C6" s="244" t="s">
        <v>1007</v>
      </c>
      <c r="D6" s="182">
        <f t="shared" si="0"/>
        <v>0</v>
      </c>
    </row>
    <row r="7" spans="1:4" x14ac:dyDescent="0.2">
      <c r="A7" s="175">
        <v>6</v>
      </c>
      <c r="B7" s="176">
        <v>1</v>
      </c>
      <c r="C7" s="244" t="s">
        <v>1007</v>
      </c>
      <c r="D7" s="182">
        <f t="shared" si="0"/>
        <v>0</v>
      </c>
    </row>
    <row r="8" spans="1:4" x14ac:dyDescent="0.2">
      <c r="A8" s="175">
        <v>7</v>
      </c>
      <c r="B8" s="176">
        <v>1</v>
      </c>
      <c r="C8" s="244" t="s">
        <v>1007</v>
      </c>
      <c r="D8" s="182">
        <f t="shared" si="0"/>
        <v>0</v>
      </c>
    </row>
    <row r="9" spans="1:4" x14ac:dyDescent="0.2">
      <c r="A9" s="175">
        <v>8</v>
      </c>
      <c r="B9" s="176">
        <v>1</v>
      </c>
      <c r="C9" s="244" t="s">
        <v>1007</v>
      </c>
      <c r="D9" s="182">
        <f t="shared" si="0"/>
        <v>0</v>
      </c>
    </row>
    <row r="10" spans="1:4" x14ac:dyDescent="0.2">
      <c r="A10" s="175">
        <v>9</v>
      </c>
      <c r="B10" s="176">
        <v>1</v>
      </c>
      <c r="C10" s="244" t="s">
        <v>1007</v>
      </c>
      <c r="D10" s="182">
        <f t="shared" si="0"/>
        <v>0</v>
      </c>
    </row>
    <row r="11" spans="1:4" x14ac:dyDescent="0.2">
      <c r="A11" s="175">
        <v>10</v>
      </c>
      <c r="B11" s="176">
        <v>1</v>
      </c>
      <c r="C11" s="244" t="s">
        <v>1007</v>
      </c>
      <c r="D11" s="182">
        <f t="shared" si="0"/>
        <v>0</v>
      </c>
    </row>
    <row r="12" spans="1:4" x14ac:dyDescent="0.2">
      <c r="A12" s="175">
        <v>11</v>
      </c>
      <c r="B12" s="176">
        <v>1</v>
      </c>
      <c r="C12" s="244" t="s">
        <v>1007</v>
      </c>
      <c r="D12" s="182">
        <f t="shared" si="0"/>
        <v>0</v>
      </c>
    </row>
    <row r="13" spans="1:4" x14ac:dyDescent="0.2">
      <c r="A13" s="175">
        <v>12</v>
      </c>
      <c r="B13" s="176">
        <v>1</v>
      </c>
      <c r="C13" s="244" t="s">
        <v>1007</v>
      </c>
      <c r="D13" s="182">
        <f t="shared" si="0"/>
        <v>0</v>
      </c>
    </row>
    <row r="14" spans="1:4" x14ac:dyDescent="0.2">
      <c r="A14" s="175">
        <v>13</v>
      </c>
      <c r="B14" s="176">
        <v>1</v>
      </c>
      <c r="C14" s="244" t="s">
        <v>1007</v>
      </c>
      <c r="D14" s="182">
        <f t="shared" si="0"/>
        <v>0</v>
      </c>
    </row>
    <row r="15" spans="1:4" x14ac:dyDescent="0.2">
      <c r="A15" s="175">
        <v>14</v>
      </c>
      <c r="B15" s="176">
        <v>1</v>
      </c>
      <c r="C15" s="244" t="s">
        <v>1007</v>
      </c>
      <c r="D15" s="182">
        <f t="shared" si="0"/>
        <v>0</v>
      </c>
    </row>
    <row r="16" spans="1:4" x14ac:dyDescent="0.2">
      <c r="A16" s="175">
        <v>15</v>
      </c>
      <c r="B16" s="176">
        <v>1</v>
      </c>
      <c r="C16" s="244" t="s">
        <v>1007</v>
      </c>
      <c r="D16" s="182">
        <f t="shared" si="0"/>
        <v>0</v>
      </c>
    </row>
    <row r="17" spans="1:4" x14ac:dyDescent="0.2">
      <c r="A17" s="175">
        <v>16</v>
      </c>
      <c r="B17" s="176">
        <v>1</v>
      </c>
      <c r="C17" s="244" t="s">
        <v>1007</v>
      </c>
      <c r="D17" s="182">
        <f t="shared" si="0"/>
        <v>0</v>
      </c>
    </row>
    <row r="18" spans="1:4" x14ac:dyDescent="0.2">
      <c r="A18" s="175">
        <v>17</v>
      </c>
      <c r="B18" s="176">
        <v>1</v>
      </c>
      <c r="C18" s="244" t="s">
        <v>1007</v>
      </c>
      <c r="D18" s="182">
        <f t="shared" si="0"/>
        <v>0</v>
      </c>
    </row>
    <row r="19" spans="1:4" x14ac:dyDescent="0.2">
      <c r="A19" s="175">
        <v>18</v>
      </c>
      <c r="B19" s="176">
        <v>1</v>
      </c>
      <c r="C19" s="244" t="s">
        <v>1007</v>
      </c>
      <c r="D19" s="182">
        <f t="shared" si="0"/>
        <v>0</v>
      </c>
    </row>
    <row r="20" spans="1:4" x14ac:dyDescent="0.2">
      <c r="A20" s="175">
        <v>19</v>
      </c>
      <c r="B20" s="176">
        <v>1</v>
      </c>
      <c r="C20" s="244" t="s">
        <v>1007</v>
      </c>
      <c r="D20" s="182">
        <f t="shared" si="0"/>
        <v>0</v>
      </c>
    </row>
    <row r="21" spans="1:4" x14ac:dyDescent="0.2">
      <c r="A21" s="175">
        <v>20</v>
      </c>
      <c r="B21" s="176">
        <v>1</v>
      </c>
      <c r="C21" s="244" t="s">
        <v>1007</v>
      </c>
      <c r="D21" s="182">
        <f t="shared" si="0"/>
        <v>0</v>
      </c>
    </row>
    <row r="22" spans="1:4" x14ac:dyDescent="0.2">
      <c r="A22" s="175">
        <v>21</v>
      </c>
      <c r="B22" s="176">
        <v>1</v>
      </c>
      <c r="C22" s="244" t="s">
        <v>1007</v>
      </c>
      <c r="D22" s="182">
        <f t="shared" si="0"/>
        <v>0</v>
      </c>
    </row>
    <row r="23" spans="1:4" x14ac:dyDescent="0.2">
      <c r="A23" s="175">
        <v>22</v>
      </c>
      <c r="B23" s="176">
        <v>1</v>
      </c>
      <c r="C23" s="244" t="s">
        <v>1007</v>
      </c>
      <c r="D23" s="182">
        <f t="shared" si="0"/>
        <v>0</v>
      </c>
    </row>
    <row r="24" spans="1:4" x14ac:dyDescent="0.2">
      <c r="A24" s="175">
        <v>23</v>
      </c>
      <c r="B24" s="176">
        <v>1</v>
      </c>
      <c r="C24" s="244" t="s">
        <v>1007</v>
      </c>
      <c r="D24" s="182">
        <f t="shared" si="0"/>
        <v>0</v>
      </c>
    </row>
    <row r="25" spans="1:4" x14ac:dyDescent="0.2">
      <c r="A25" s="175">
        <v>24</v>
      </c>
      <c r="B25" s="176">
        <v>1</v>
      </c>
      <c r="C25" s="244" t="s">
        <v>1007</v>
      </c>
      <c r="D25" s="182">
        <f t="shared" si="0"/>
        <v>0</v>
      </c>
    </row>
    <row r="26" spans="1:4" x14ac:dyDescent="0.2">
      <c r="A26" s="175">
        <v>25</v>
      </c>
      <c r="B26" s="176">
        <v>1</v>
      </c>
      <c r="C26" s="244" t="s">
        <v>1007</v>
      </c>
      <c r="D26" s="182">
        <f t="shared" si="0"/>
        <v>0</v>
      </c>
    </row>
    <row r="27" spans="1:4" x14ac:dyDescent="0.2">
      <c r="A27" s="175">
        <v>26</v>
      </c>
      <c r="B27" s="176">
        <v>1</v>
      </c>
      <c r="C27" s="244" t="s">
        <v>1007</v>
      </c>
      <c r="D27" s="182">
        <f t="shared" si="0"/>
        <v>0</v>
      </c>
    </row>
    <row r="28" spans="1:4" x14ac:dyDescent="0.2">
      <c r="A28" s="175">
        <v>27</v>
      </c>
      <c r="B28" s="176">
        <v>1</v>
      </c>
      <c r="C28" s="244" t="s">
        <v>1007</v>
      </c>
      <c r="D28" s="182">
        <f t="shared" si="0"/>
        <v>0</v>
      </c>
    </row>
    <row r="29" spans="1:4" x14ac:dyDescent="0.2">
      <c r="A29" s="175">
        <v>28</v>
      </c>
      <c r="B29" s="176">
        <v>1</v>
      </c>
      <c r="C29" s="244" t="s">
        <v>1007</v>
      </c>
      <c r="D29" s="182">
        <f t="shared" si="0"/>
        <v>0</v>
      </c>
    </row>
    <row r="30" spans="1:4" x14ac:dyDescent="0.2">
      <c r="A30" s="175">
        <v>29</v>
      </c>
      <c r="B30" s="176">
        <v>1</v>
      </c>
      <c r="C30" s="244" t="s">
        <v>1007</v>
      </c>
      <c r="D30" s="182">
        <f t="shared" si="0"/>
        <v>0</v>
      </c>
    </row>
    <row r="31" spans="1:4" x14ac:dyDescent="0.2">
      <c r="A31" s="175">
        <v>30</v>
      </c>
      <c r="B31" s="176">
        <v>1</v>
      </c>
      <c r="C31" s="244" t="s">
        <v>1007</v>
      </c>
      <c r="D31" s="182">
        <f t="shared" si="0"/>
        <v>0</v>
      </c>
    </row>
    <row r="32" spans="1:4" x14ac:dyDescent="0.2">
      <c r="A32" s="175">
        <v>31</v>
      </c>
      <c r="B32" s="176">
        <v>1</v>
      </c>
      <c r="C32" s="244" t="s">
        <v>1007</v>
      </c>
      <c r="D32" s="182">
        <f t="shared" si="0"/>
        <v>0</v>
      </c>
    </row>
    <row r="33" spans="1:4" x14ac:dyDescent="0.2">
      <c r="A33" s="175">
        <v>32</v>
      </c>
      <c r="B33" s="176">
        <v>1</v>
      </c>
      <c r="C33" s="244" t="s">
        <v>1007</v>
      </c>
      <c r="D33" s="182">
        <f t="shared" si="0"/>
        <v>0</v>
      </c>
    </row>
    <row r="34" spans="1:4" x14ac:dyDescent="0.2">
      <c r="A34" s="175">
        <v>33</v>
      </c>
      <c r="B34" s="176">
        <v>1</v>
      </c>
      <c r="C34" s="244" t="s">
        <v>1007</v>
      </c>
      <c r="D34" s="182">
        <f t="shared" si="0"/>
        <v>0</v>
      </c>
    </row>
    <row r="35" spans="1:4" x14ac:dyDescent="0.2">
      <c r="A35" s="175">
        <v>34</v>
      </c>
      <c r="B35" s="176">
        <v>1</v>
      </c>
      <c r="C35" s="244" t="s">
        <v>1007</v>
      </c>
      <c r="D35" s="182">
        <f t="shared" si="0"/>
        <v>0</v>
      </c>
    </row>
    <row r="36" spans="1:4" x14ac:dyDescent="0.2">
      <c r="A36" s="175">
        <v>35</v>
      </c>
      <c r="B36" s="176">
        <v>1</v>
      </c>
      <c r="C36" s="244" t="s">
        <v>1007</v>
      </c>
      <c r="D36" s="182">
        <f t="shared" si="0"/>
        <v>0</v>
      </c>
    </row>
    <row r="37" spans="1:4" x14ac:dyDescent="0.2">
      <c r="A37" s="175">
        <v>36</v>
      </c>
      <c r="B37" s="176">
        <v>1</v>
      </c>
      <c r="C37" s="244" t="s">
        <v>1007</v>
      </c>
      <c r="D37" s="182">
        <f t="shared" si="0"/>
        <v>0</v>
      </c>
    </row>
    <row r="38" spans="1:4" x14ac:dyDescent="0.2">
      <c r="A38" s="175">
        <v>37</v>
      </c>
      <c r="B38" s="176">
        <v>1</v>
      </c>
      <c r="C38" s="244" t="s">
        <v>1007</v>
      </c>
      <c r="D38" s="182">
        <f t="shared" si="0"/>
        <v>0</v>
      </c>
    </row>
    <row r="39" spans="1:4" x14ac:dyDescent="0.2">
      <c r="A39" s="175">
        <v>38</v>
      </c>
      <c r="B39" s="176">
        <v>1</v>
      </c>
      <c r="C39" s="244" t="s">
        <v>1007</v>
      </c>
      <c r="D39" s="182">
        <f t="shared" si="0"/>
        <v>0</v>
      </c>
    </row>
    <row r="40" spans="1:4" x14ac:dyDescent="0.2">
      <c r="A40" s="175">
        <v>39</v>
      </c>
      <c r="B40" s="176">
        <v>1</v>
      </c>
      <c r="C40" s="244" t="s">
        <v>1007</v>
      </c>
      <c r="D40" s="182">
        <f t="shared" si="0"/>
        <v>0</v>
      </c>
    </row>
    <row r="41" spans="1:4" x14ac:dyDescent="0.2">
      <c r="A41" s="175">
        <v>40</v>
      </c>
      <c r="B41" s="176">
        <v>1</v>
      </c>
      <c r="C41" s="244" t="s">
        <v>1007</v>
      </c>
      <c r="D41" s="182">
        <f t="shared" si="0"/>
        <v>0</v>
      </c>
    </row>
    <row r="42" spans="1:4" x14ac:dyDescent="0.2">
      <c r="A42" s="175">
        <v>41</v>
      </c>
      <c r="B42" s="176">
        <v>1</v>
      </c>
      <c r="C42" s="244" t="s">
        <v>1007</v>
      </c>
      <c r="D42" s="182">
        <f t="shared" si="0"/>
        <v>0</v>
      </c>
    </row>
    <row r="43" spans="1:4" x14ac:dyDescent="0.2">
      <c r="A43" s="175">
        <v>42</v>
      </c>
      <c r="B43" s="176">
        <v>1</v>
      </c>
      <c r="C43" s="244" t="s">
        <v>1007</v>
      </c>
      <c r="D43" s="182">
        <f t="shared" si="0"/>
        <v>0</v>
      </c>
    </row>
    <row r="44" spans="1:4" x14ac:dyDescent="0.2">
      <c r="A44" s="175">
        <v>43</v>
      </c>
      <c r="B44" s="176">
        <v>1</v>
      </c>
      <c r="C44" s="244" t="s">
        <v>1007</v>
      </c>
      <c r="D44" s="182">
        <f t="shared" si="0"/>
        <v>0</v>
      </c>
    </row>
    <row r="45" spans="1:4" x14ac:dyDescent="0.2">
      <c r="A45" s="175">
        <v>44</v>
      </c>
      <c r="B45" s="176">
        <v>1</v>
      </c>
      <c r="C45" s="244" t="s">
        <v>1007</v>
      </c>
      <c r="D45" s="182">
        <f t="shared" si="0"/>
        <v>0</v>
      </c>
    </row>
    <row r="46" spans="1:4" x14ac:dyDescent="0.2">
      <c r="A46" s="175">
        <v>45</v>
      </c>
      <c r="B46" s="176">
        <v>1</v>
      </c>
      <c r="C46" s="244" t="s">
        <v>1007</v>
      </c>
      <c r="D46" s="182">
        <f t="shared" si="0"/>
        <v>0</v>
      </c>
    </row>
    <row r="47" spans="1:4" x14ac:dyDescent="0.2">
      <c r="A47" s="175">
        <v>46</v>
      </c>
      <c r="B47" s="176">
        <v>1</v>
      </c>
      <c r="C47" s="244" t="s">
        <v>1007</v>
      </c>
      <c r="D47" s="182">
        <f t="shared" si="0"/>
        <v>0</v>
      </c>
    </row>
    <row r="48" spans="1:4" x14ac:dyDescent="0.2">
      <c r="A48" s="175">
        <v>47</v>
      </c>
      <c r="B48" s="176">
        <v>1</v>
      </c>
      <c r="C48" s="244" t="s">
        <v>1007</v>
      </c>
      <c r="D48" s="182">
        <f t="shared" si="0"/>
        <v>0</v>
      </c>
    </row>
    <row r="49" spans="1:4" x14ac:dyDescent="0.2">
      <c r="A49" s="175">
        <v>48</v>
      </c>
      <c r="B49" s="176">
        <v>1</v>
      </c>
      <c r="C49" s="244" t="s">
        <v>1007</v>
      </c>
      <c r="D49" s="182">
        <f t="shared" si="0"/>
        <v>0</v>
      </c>
    </row>
    <row r="50" spans="1:4" x14ac:dyDescent="0.2">
      <c r="A50" s="175">
        <v>49</v>
      </c>
      <c r="B50" s="176">
        <v>1</v>
      </c>
      <c r="C50" s="244" t="s">
        <v>1007</v>
      </c>
      <c r="D50" s="182">
        <f t="shared" si="0"/>
        <v>0</v>
      </c>
    </row>
    <row r="51" spans="1:4" x14ac:dyDescent="0.2">
      <c r="A51" s="175">
        <v>50</v>
      </c>
      <c r="B51" s="176">
        <v>1</v>
      </c>
      <c r="C51" s="244" t="s">
        <v>1007</v>
      </c>
      <c r="D51" s="182">
        <f t="shared" si="0"/>
        <v>0</v>
      </c>
    </row>
    <row r="52" spans="1:4" x14ac:dyDescent="0.2">
      <c r="A52" s="175">
        <v>51</v>
      </c>
      <c r="B52" s="176">
        <v>1</v>
      </c>
      <c r="C52" s="244" t="s">
        <v>1007</v>
      </c>
      <c r="D52" s="182">
        <f t="shared" si="0"/>
        <v>0</v>
      </c>
    </row>
    <row r="53" spans="1:4" x14ac:dyDescent="0.2">
      <c r="A53" s="175">
        <v>52</v>
      </c>
      <c r="B53" s="176">
        <v>1</v>
      </c>
      <c r="C53" s="244" t="s">
        <v>1007</v>
      </c>
      <c r="D53" s="182">
        <f t="shared" si="0"/>
        <v>0</v>
      </c>
    </row>
    <row r="54" spans="1:4" x14ac:dyDescent="0.2">
      <c r="A54" s="175">
        <v>53</v>
      </c>
      <c r="B54" s="176">
        <v>1</v>
      </c>
      <c r="C54" s="244" t="s">
        <v>1007</v>
      </c>
      <c r="D54" s="182">
        <f t="shared" si="0"/>
        <v>0</v>
      </c>
    </row>
    <row r="55" spans="1:4" x14ac:dyDescent="0.2">
      <c r="A55" s="175">
        <v>54</v>
      </c>
      <c r="B55" s="176">
        <v>1</v>
      </c>
      <c r="C55" s="244" t="s">
        <v>1007</v>
      </c>
      <c r="D55" s="182">
        <f t="shared" si="0"/>
        <v>0</v>
      </c>
    </row>
    <row r="56" spans="1:4" x14ac:dyDescent="0.2">
      <c r="A56" s="175">
        <v>55</v>
      </c>
      <c r="B56" s="176">
        <v>1</v>
      </c>
      <c r="C56" s="244" t="s">
        <v>1007</v>
      </c>
      <c r="D56" s="182">
        <f t="shared" si="0"/>
        <v>0</v>
      </c>
    </row>
    <row r="57" spans="1:4" x14ac:dyDescent="0.2">
      <c r="A57" s="175">
        <v>56</v>
      </c>
      <c r="B57" s="176">
        <v>1</v>
      </c>
      <c r="C57" s="244" t="s">
        <v>1007</v>
      </c>
      <c r="D57" s="182">
        <f t="shared" si="0"/>
        <v>0</v>
      </c>
    </row>
    <row r="58" spans="1:4" x14ac:dyDescent="0.2">
      <c r="A58" s="175">
        <v>57</v>
      </c>
      <c r="B58" s="176">
        <v>1</v>
      </c>
      <c r="C58" s="244" t="s">
        <v>1007</v>
      </c>
      <c r="D58" s="182">
        <f t="shared" si="0"/>
        <v>0</v>
      </c>
    </row>
    <row r="59" spans="1:4" x14ac:dyDescent="0.2">
      <c r="A59" s="175">
        <v>58</v>
      </c>
      <c r="B59" s="176">
        <v>1</v>
      </c>
      <c r="C59" s="244" t="s">
        <v>1007</v>
      </c>
      <c r="D59" s="182">
        <f t="shared" si="0"/>
        <v>0</v>
      </c>
    </row>
    <row r="60" spans="1:4" x14ac:dyDescent="0.2">
      <c r="A60" s="175">
        <v>59</v>
      </c>
      <c r="B60" s="176">
        <v>1</v>
      </c>
      <c r="C60" s="244" t="s">
        <v>1007</v>
      </c>
      <c r="D60" s="182">
        <f t="shared" si="0"/>
        <v>0</v>
      </c>
    </row>
    <row r="61" spans="1:4" x14ac:dyDescent="0.2">
      <c r="A61" s="175">
        <v>60</v>
      </c>
      <c r="B61" s="176">
        <v>1</v>
      </c>
      <c r="C61" s="244" t="s">
        <v>1007</v>
      </c>
      <c r="D61" s="182">
        <f t="shared" si="0"/>
        <v>0</v>
      </c>
    </row>
    <row r="62" spans="1:4" x14ac:dyDescent="0.2">
      <c r="A62" s="175">
        <v>61</v>
      </c>
      <c r="B62" s="176">
        <v>1</v>
      </c>
      <c r="C62" s="244" t="s">
        <v>1007</v>
      </c>
      <c r="D62" s="182">
        <f t="shared" si="0"/>
        <v>0</v>
      </c>
    </row>
    <row r="63" spans="1:4" x14ac:dyDescent="0.2">
      <c r="A63" s="175">
        <v>62</v>
      </c>
      <c r="B63" s="176">
        <v>1</v>
      </c>
      <c r="C63" s="244" t="s">
        <v>1007</v>
      </c>
      <c r="D63" s="182">
        <f t="shared" si="0"/>
        <v>0</v>
      </c>
    </row>
    <row r="64" spans="1:4" x14ac:dyDescent="0.2">
      <c r="A64" s="175">
        <v>63</v>
      </c>
      <c r="B64" s="176">
        <v>1</v>
      </c>
      <c r="C64" s="244" t="s">
        <v>1007</v>
      </c>
      <c r="D64" s="182">
        <f t="shared" si="0"/>
        <v>0</v>
      </c>
    </row>
    <row r="65" spans="1:4" x14ac:dyDescent="0.2">
      <c r="A65" s="175">
        <v>64</v>
      </c>
      <c r="B65" s="176">
        <v>1</v>
      </c>
      <c r="C65" s="244" t="s">
        <v>1007</v>
      </c>
      <c r="D65" s="182">
        <f t="shared" si="0"/>
        <v>0</v>
      </c>
    </row>
    <row r="66" spans="1:4" x14ac:dyDescent="0.2">
      <c r="A66" s="175">
        <v>65</v>
      </c>
      <c r="B66" s="176">
        <v>1</v>
      </c>
      <c r="C66" s="244" t="s">
        <v>1007</v>
      </c>
      <c r="D66" s="182">
        <f t="shared" si="0"/>
        <v>0</v>
      </c>
    </row>
    <row r="67" spans="1:4" x14ac:dyDescent="0.2">
      <c r="A67" s="175">
        <v>66</v>
      </c>
      <c r="B67" s="176">
        <v>1</v>
      </c>
      <c r="C67" s="244" t="s">
        <v>1007</v>
      </c>
      <c r="D67" s="182">
        <f t="shared" ref="D67:D130" si="1">IF(C67="","",IF(C67="N","N/A",IF(C67="P",0,IF(C67="F",1))))</f>
        <v>0</v>
      </c>
    </row>
    <row r="68" spans="1:4" x14ac:dyDescent="0.2">
      <c r="A68" s="175">
        <v>67</v>
      </c>
      <c r="B68" s="176">
        <v>1</v>
      </c>
      <c r="C68" s="244" t="s">
        <v>1007</v>
      </c>
      <c r="D68" s="182">
        <f t="shared" si="1"/>
        <v>0</v>
      </c>
    </row>
    <row r="69" spans="1:4" x14ac:dyDescent="0.2">
      <c r="A69" s="175">
        <v>68</v>
      </c>
      <c r="B69" s="176">
        <v>1</v>
      </c>
      <c r="C69" s="244" t="s">
        <v>1007</v>
      </c>
      <c r="D69" s="182">
        <f t="shared" si="1"/>
        <v>0</v>
      </c>
    </row>
    <row r="70" spans="1:4" x14ac:dyDescent="0.2">
      <c r="A70" s="175">
        <v>69</v>
      </c>
      <c r="B70" s="176">
        <v>1</v>
      </c>
      <c r="C70" s="244" t="s">
        <v>1007</v>
      </c>
      <c r="D70" s="182">
        <f t="shared" si="1"/>
        <v>0</v>
      </c>
    </row>
    <row r="71" spans="1:4" x14ac:dyDescent="0.2">
      <c r="A71" s="175">
        <v>70</v>
      </c>
      <c r="B71" s="176">
        <v>1</v>
      </c>
      <c r="C71" s="244" t="s">
        <v>1007</v>
      </c>
      <c r="D71" s="182">
        <f t="shared" si="1"/>
        <v>0</v>
      </c>
    </row>
    <row r="72" spans="1:4" x14ac:dyDescent="0.2">
      <c r="A72" s="175">
        <v>71</v>
      </c>
      <c r="B72" s="176">
        <v>1</v>
      </c>
      <c r="C72" s="244" t="s">
        <v>1007</v>
      </c>
      <c r="D72" s="182">
        <f t="shared" si="1"/>
        <v>0</v>
      </c>
    </row>
    <row r="73" spans="1:4" x14ac:dyDescent="0.2">
      <c r="A73" s="175">
        <v>72</v>
      </c>
      <c r="B73" s="176">
        <v>1</v>
      </c>
      <c r="C73" s="244" t="s">
        <v>1007</v>
      </c>
      <c r="D73" s="182">
        <f t="shared" si="1"/>
        <v>0</v>
      </c>
    </row>
    <row r="74" spans="1:4" x14ac:dyDescent="0.2">
      <c r="A74" s="175">
        <v>73</v>
      </c>
      <c r="B74" s="176">
        <v>1</v>
      </c>
      <c r="C74" s="244" t="s">
        <v>1007</v>
      </c>
      <c r="D74" s="182">
        <f t="shared" si="1"/>
        <v>0</v>
      </c>
    </row>
    <row r="75" spans="1:4" x14ac:dyDescent="0.2">
      <c r="A75" s="175">
        <v>74</v>
      </c>
      <c r="B75" s="176">
        <v>1</v>
      </c>
      <c r="C75" s="244" t="s">
        <v>1007</v>
      </c>
      <c r="D75" s="182">
        <f t="shared" si="1"/>
        <v>0</v>
      </c>
    </row>
    <row r="76" spans="1:4" x14ac:dyDescent="0.2">
      <c r="A76" s="175">
        <v>75</v>
      </c>
      <c r="B76" s="176">
        <v>1</v>
      </c>
      <c r="C76" s="244" t="s">
        <v>1007</v>
      </c>
      <c r="D76" s="182">
        <f t="shared" si="1"/>
        <v>0</v>
      </c>
    </row>
    <row r="77" spans="1:4" x14ac:dyDescent="0.2">
      <c r="A77" s="175">
        <v>76</v>
      </c>
      <c r="B77" s="176">
        <v>1</v>
      </c>
      <c r="C77" s="244" t="s">
        <v>1007</v>
      </c>
      <c r="D77" s="182">
        <f t="shared" si="1"/>
        <v>0</v>
      </c>
    </row>
    <row r="78" spans="1:4" x14ac:dyDescent="0.2">
      <c r="A78" s="175">
        <v>77</v>
      </c>
      <c r="B78" s="176">
        <v>1</v>
      </c>
      <c r="C78" s="244" t="s">
        <v>1007</v>
      </c>
      <c r="D78" s="182">
        <f t="shared" si="1"/>
        <v>0</v>
      </c>
    </row>
    <row r="79" spans="1:4" x14ac:dyDescent="0.2">
      <c r="A79" s="175">
        <v>78</v>
      </c>
      <c r="B79" s="176">
        <v>1</v>
      </c>
      <c r="C79" s="244" t="s">
        <v>1007</v>
      </c>
      <c r="D79" s="182">
        <f t="shared" si="1"/>
        <v>0</v>
      </c>
    </row>
    <row r="80" spans="1:4" x14ac:dyDescent="0.2">
      <c r="A80" s="175">
        <v>79</v>
      </c>
      <c r="B80" s="176">
        <v>1</v>
      </c>
      <c r="C80" s="244" t="s">
        <v>1007</v>
      </c>
      <c r="D80" s="182">
        <f t="shared" si="1"/>
        <v>0</v>
      </c>
    </row>
    <row r="81" spans="1:4" x14ac:dyDescent="0.2">
      <c r="A81" s="175">
        <v>80</v>
      </c>
      <c r="B81" s="176">
        <v>1</v>
      </c>
      <c r="C81" s="244" t="s">
        <v>1007</v>
      </c>
      <c r="D81" s="182">
        <f t="shared" si="1"/>
        <v>0</v>
      </c>
    </row>
    <row r="82" spans="1:4" x14ac:dyDescent="0.2">
      <c r="A82" s="175">
        <v>81</v>
      </c>
      <c r="B82" s="176">
        <v>1</v>
      </c>
      <c r="C82" s="244" t="s">
        <v>1007</v>
      </c>
      <c r="D82" s="182">
        <f t="shared" si="1"/>
        <v>0</v>
      </c>
    </row>
    <row r="83" spans="1:4" x14ac:dyDescent="0.2">
      <c r="A83" s="175">
        <v>82</v>
      </c>
      <c r="B83" s="176">
        <v>1</v>
      </c>
      <c r="C83" s="244" t="s">
        <v>1007</v>
      </c>
      <c r="D83" s="182">
        <f t="shared" si="1"/>
        <v>0</v>
      </c>
    </row>
    <row r="84" spans="1:4" x14ac:dyDescent="0.2">
      <c r="A84" s="175">
        <v>83</v>
      </c>
      <c r="B84" s="176">
        <v>1</v>
      </c>
      <c r="C84" s="244" t="s">
        <v>1007</v>
      </c>
      <c r="D84" s="182">
        <f t="shared" si="1"/>
        <v>0</v>
      </c>
    </row>
    <row r="85" spans="1:4" x14ac:dyDescent="0.2">
      <c r="A85" s="175">
        <v>84</v>
      </c>
      <c r="B85" s="176">
        <v>1</v>
      </c>
      <c r="C85" s="244" t="s">
        <v>1007</v>
      </c>
      <c r="D85" s="182">
        <f t="shared" si="1"/>
        <v>0</v>
      </c>
    </row>
    <row r="86" spans="1:4" x14ac:dyDescent="0.2">
      <c r="A86" s="175">
        <v>85</v>
      </c>
      <c r="B86" s="176">
        <v>1</v>
      </c>
      <c r="C86" s="244" t="s">
        <v>1007</v>
      </c>
      <c r="D86" s="182">
        <f t="shared" si="1"/>
        <v>0</v>
      </c>
    </row>
    <row r="87" spans="1:4" x14ac:dyDescent="0.2">
      <c r="A87" s="175">
        <v>86</v>
      </c>
      <c r="B87" s="176">
        <v>1</v>
      </c>
      <c r="C87" s="244" t="s">
        <v>1007</v>
      </c>
      <c r="D87" s="182">
        <f t="shared" si="1"/>
        <v>0</v>
      </c>
    </row>
    <row r="88" spans="1:4" x14ac:dyDescent="0.2">
      <c r="A88" s="175">
        <v>87</v>
      </c>
      <c r="B88" s="176">
        <v>1</v>
      </c>
      <c r="C88" s="244" t="s">
        <v>1007</v>
      </c>
      <c r="D88" s="182">
        <f t="shared" si="1"/>
        <v>0</v>
      </c>
    </row>
    <row r="89" spans="1:4" x14ac:dyDescent="0.2">
      <c r="A89" s="175">
        <v>88</v>
      </c>
      <c r="B89" s="176">
        <v>1</v>
      </c>
      <c r="C89" s="244" t="s">
        <v>1007</v>
      </c>
      <c r="D89" s="182">
        <f t="shared" si="1"/>
        <v>0</v>
      </c>
    </row>
    <row r="90" spans="1:4" x14ac:dyDescent="0.2">
      <c r="A90" s="175">
        <v>89</v>
      </c>
      <c r="B90" s="176">
        <v>1</v>
      </c>
      <c r="C90" s="244" t="s">
        <v>1007</v>
      </c>
      <c r="D90" s="182">
        <f t="shared" si="1"/>
        <v>0</v>
      </c>
    </row>
    <row r="91" spans="1:4" x14ac:dyDescent="0.2">
      <c r="A91" s="175">
        <v>90</v>
      </c>
      <c r="B91" s="176">
        <v>1</v>
      </c>
      <c r="C91" s="244" t="s">
        <v>1007</v>
      </c>
      <c r="D91" s="182">
        <f t="shared" si="1"/>
        <v>0</v>
      </c>
    </row>
    <row r="92" spans="1:4" x14ac:dyDescent="0.2">
      <c r="A92" s="175">
        <v>91</v>
      </c>
      <c r="B92" s="176">
        <v>1</v>
      </c>
      <c r="C92" s="244" t="s">
        <v>1007</v>
      </c>
      <c r="D92" s="182">
        <f t="shared" si="1"/>
        <v>0</v>
      </c>
    </row>
    <row r="93" spans="1:4" x14ac:dyDescent="0.2">
      <c r="A93" s="175">
        <v>92</v>
      </c>
      <c r="B93" s="176">
        <v>1</v>
      </c>
      <c r="C93" s="244" t="s">
        <v>1007</v>
      </c>
      <c r="D93" s="182">
        <f t="shared" si="1"/>
        <v>0</v>
      </c>
    </row>
    <row r="94" spans="1:4" x14ac:dyDescent="0.2">
      <c r="A94" s="175">
        <v>93</v>
      </c>
      <c r="B94" s="176">
        <v>1</v>
      </c>
      <c r="C94" s="244" t="s">
        <v>1007</v>
      </c>
      <c r="D94" s="182">
        <f t="shared" si="1"/>
        <v>0</v>
      </c>
    </row>
    <row r="95" spans="1:4" x14ac:dyDescent="0.2">
      <c r="A95" s="175">
        <v>94</v>
      </c>
      <c r="B95" s="176">
        <v>1</v>
      </c>
      <c r="C95" s="244" t="s">
        <v>1007</v>
      </c>
      <c r="D95" s="182">
        <f t="shared" si="1"/>
        <v>0</v>
      </c>
    </row>
    <row r="96" spans="1:4" x14ac:dyDescent="0.2">
      <c r="A96" s="175">
        <v>95</v>
      </c>
      <c r="B96" s="176">
        <v>1</v>
      </c>
      <c r="C96" s="244" t="s">
        <v>1007</v>
      </c>
      <c r="D96" s="182">
        <f t="shared" si="1"/>
        <v>0</v>
      </c>
    </row>
    <row r="97" spans="1:4" x14ac:dyDescent="0.2">
      <c r="A97" s="175">
        <v>96</v>
      </c>
      <c r="B97" s="176">
        <v>1</v>
      </c>
      <c r="C97" s="244" t="s">
        <v>1007</v>
      </c>
      <c r="D97" s="182">
        <f t="shared" si="1"/>
        <v>0</v>
      </c>
    </row>
    <row r="98" spans="1:4" x14ac:dyDescent="0.2">
      <c r="A98" s="175">
        <v>97</v>
      </c>
      <c r="B98" s="176">
        <v>1</v>
      </c>
      <c r="C98" s="244" t="s">
        <v>1007</v>
      </c>
      <c r="D98" s="182">
        <f t="shared" si="1"/>
        <v>0</v>
      </c>
    </row>
    <row r="99" spans="1:4" x14ac:dyDescent="0.2">
      <c r="A99" s="175">
        <v>98</v>
      </c>
      <c r="B99" s="176">
        <v>1</v>
      </c>
      <c r="C99" s="244" t="s">
        <v>1007</v>
      </c>
      <c r="D99" s="182">
        <f t="shared" si="1"/>
        <v>0</v>
      </c>
    </row>
    <row r="100" spans="1:4" x14ac:dyDescent="0.2">
      <c r="A100" s="175">
        <v>99</v>
      </c>
      <c r="B100" s="176">
        <v>1</v>
      </c>
      <c r="C100" s="244" t="s">
        <v>1007</v>
      </c>
      <c r="D100" s="182">
        <f t="shared" si="1"/>
        <v>0</v>
      </c>
    </row>
    <row r="101" spans="1:4" x14ac:dyDescent="0.2">
      <c r="A101" s="175">
        <v>100</v>
      </c>
      <c r="B101" s="176">
        <v>1</v>
      </c>
      <c r="C101" s="244" t="s">
        <v>1007</v>
      </c>
      <c r="D101" s="182">
        <f t="shared" si="1"/>
        <v>0</v>
      </c>
    </row>
    <row r="102" spans="1:4" x14ac:dyDescent="0.2">
      <c r="A102" s="175">
        <v>101</v>
      </c>
      <c r="B102" s="176">
        <v>1</v>
      </c>
      <c r="C102" s="244" t="s">
        <v>1007</v>
      </c>
      <c r="D102" s="182">
        <f t="shared" si="1"/>
        <v>0</v>
      </c>
    </row>
    <row r="103" spans="1:4" x14ac:dyDescent="0.2">
      <c r="A103" s="175">
        <v>102</v>
      </c>
      <c r="B103" s="176">
        <v>1</v>
      </c>
      <c r="C103" s="244" t="s">
        <v>1007</v>
      </c>
      <c r="D103" s="182">
        <f t="shared" si="1"/>
        <v>0</v>
      </c>
    </row>
    <row r="104" spans="1:4" x14ac:dyDescent="0.2">
      <c r="A104" s="175">
        <v>103</v>
      </c>
      <c r="B104" s="176">
        <v>1</v>
      </c>
      <c r="C104" s="244" t="s">
        <v>1007</v>
      </c>
      <c r="D104" s="182">
        <f t="shared" si="1"/>
        <v>0</v>
      </c>
    </row>
    <row r="105" spans="1:4" x14ac:dyDescent="0.2">
      <c r="A105" s="175">
        <v>104</v>
      </c>
      <c r="B105" s="176">
        <v>1</v>
      </c>
      <c r="C105" s="244" t="s">
        <v>1007</v>
      </c>
      <c r="D105" s="182">
        <f t="shared" si="1"/>
        <v>0</v>
      </c>
    </row>
    <row r="106" spans="1:4" x14ac:dyDescent="0.2">
      <c r="A106" s="175">
        <v>105</v>
      </c>
      <c r="B106" s="176">
        <v>1</v>
      </c>
      <c r="C106" s="244" t="s">
        <v>1007</v>
      </c>
      <c r="D106" s="182">
        <f t="shared" si="1"/>
        <v>0</v>
      </c>
    </row>
    <row r="107" spans="1:4" x14ac:dyDescent="0.2">
      <c r="A107" s="175">
        <v>106</v>
      </c>
      <c r="B107" s="176">
        <v>1</v>
      </c>
      <c r="C107" s="244" t="s">
        <v>1007</v>
      </c>
      <c r="D107" s="182">
        <f t="shared" si="1"/>
        <v>0</v>
      </c>
    </row>
    <row r="108" spans="1:4" x14ac:dyDescent="0.2">
      <c r="A108" s="175">
        <v>107</v>
      </c>
      <c r="B108" s="176">
        <v>1</v>
      </c>
      <c r="C108" s="244" t="s">
        <v>1007</v>
      </c>
      <c r="D108" s="182">
        <f t="shared" si="1"/>
        <v>0</v>
      </c>
    </row>
    <row r="109" spans="1:4" x14ac:dyDescent="0.2">
      <c r="A109" s="175">
        <v>108</v>
      </c>
      <c r="B109" s="176">
        <v>1</v>
      </c>
      <c r="C109" s="244" t="s">
        <v>1007</v>
      </c>
      <c r="D109" s="182">
        <f t="shared" si="1"/>
        <v>0</v>
      </c>
    </row>
    <row r="110" spans="1:4" x14ac:dyDescent="0.2">
      <c r="A110" s="175">
        <v>109</v>
      </c>
      <c r="B110" s="176">
        <v>1</v>
      </c>
      <c r="C110" s="244" t="s">
        <v>1007</v>
      </c>
      <c r="D110" s="182">
        <f t="shared" si="1"/>
        <v>0</v>
      </c>
    </row>
    <row r="111" spans="1:4" x14ac:dyDescent="0.2">
      <c r="A111" s="175">
        <v>110</v>
      </c>
      <c r="B111" s="176">
        <v>1</v>
      </c>
      <c r="C111" s="244" t="s">
        <v>1007</v>
      </c>
      <c r="D111" s="182">
        <f t="shared" si="1"/>
        <v>0</v>
      </c>
    </row>
    <row r="112" spans="1:4" x14ac:dyDescent="0.2">
      <c r="A112" s="175">
        <v>111</v>
      </c>
      <c r="B112" s="176">
        <v>1</v>
      </c>
      <c r="C112" s="244" t="s">
        <v>1007</v>
      </c>
      <c r="D112" s="182">
        <f t="shared" si="1"/>
        <v>0</v>
      </c>
    </row>
    <row r="113" spans="1:4" x14ac:dyDescent="0.2">
      <c r="A113" s="175">
        <v>112</v>
      </c>
      <c r="B113" s="176">
        <v>1</v>
      </c>
      <c r="C113" s="244" t="s">
        <v>1007</v>
      </c>
      <c r="D113" s="182">
        <f t="shared" si="1"/>
        <v>0</v>
      </c>
    </row>
    <row r="114" spans="1:4" x14ac:dyDescent="0.2">
      <c r="A114" s="175">
        <v>113</v>
      </c>
      <c r="B114" s="176">
        <v>1</v>
      </c>
      <c r="C114" s="244" t="s">
        <v>1007</v>
      </c>
      <c r="D114" s="182">
        <f t="shared" si="1"/>
        <v>0</v>
      </c>
    </row>
    <row r="115" spans="1:4" x14ac:dyDescent="0.2">
      <c r="A115" s="175">
        <v>114</v>
      </c>
      <c r="B115" s="176">
        <v>1</v>
      </c>
      <c r="C115" s="244" t="s">
        <v>1007</v>
      </c>
      <c r="D115" s="182">
        <f t="shared" si="1"/>
        <v>0</v>
      </c>
    </row>
    <row r="116" spans="1:4" x14ac:dyDescent="0.2">
      <c r="A116" s="175">
        <v>115</v>
      </c>
      <c r="B116" s="176">
        <v>1</v>
      </c>
      <c r="C116" s="244" t="s">
        <v>1007</v>
      </c>
      <c r="D116" s="182">
        <f t="shared" si="1"/>
        <v>0</v>
      </c>
    </row>
    <row r="117" spans="1:4" x14ac:dyDescent="0.2">
      <c r="A117" s="175">
        <v>116</v>
      </c>
      <c r="B117" s="176">
        <v>1</v>
      </c>
      <c r="C117" s="244" t="s">
        <v>1007</v>
      </c>
      <c r="D117" s="182">
        <f t="shared" si="1"/>
        <v>0</v>
      </c>
    </row>
    <row r="118" spans="1:4" x14ac:dyDescent="0.2">
      <c r="A118" s="175">
        <v>117</v>
      </c>
      <c r="B118" s="176">
        <v>1</v>
      </c>
      <c r="C118" s="244" t="s">
        <v>1007</v>
      </c>
      <c r="D118" s="182">
        <f t="shared" si="1"/>
        <v>0</v>
      </c>
    </row>
    <row r="119" spans="1:4" x14ac:dyDescent="0.2">
      <c r="A119" s="175">
        <v>118</v>
      </c>
      <c r="B119" s="176">
        <v>1</v>
      </c>
      <c r="C119" s="244" t="s">
        <v>1007</v>
      </c>
      <c r="D119" s="182">
        <f t="shared" si="1"/>
        <v>0</v>
      </c>
    </row>
    <row r="120" spans="1:4" x14ac:dyDescent="0.2">
      <c r="A120" s="175">
        <v>119</v>
      </c>
      <c r="B120" s="176">
        <v>1</v>
      </c>
      <c r="C120" s="244" t="s">
        <v>1007</v>
      </c>
      <c r="D120" s="182">
        <f t="shared" si="1"/>
        <v>0</v>
      </c>
    </row>
    <row r="121" spans="1:4" x14ac:dyDescent="0.2">
      <c r="A121" s="175">
        <v>120</v>
      </c>
      <c r="B121" s="176">
        <v>1</v>
      </c>
      <c r="C121" s="244" t="s">
        <v>1007</v>
      </c>
      <c r="D121" s="182">
        <f t="shared" si="1"/>
        <v>0</v>
      </c>
    </row>
    <row r="122" spans="1:4" x14ac:dyDescent="0.2">
      <c r="A122" s="175">
        <v>121</v>
      </c>
      <c r="B122" s="176">
        <v>1</v>
      </c>
      <c r="C122" s="244" t="s">
        <v>1007</v>
      </c>
      <c r="D122" s="182">
        <f t="shared" si="1"/>
        <v>0</v>
      </c>
    </row>
    <row r="123" spans="1:4" x14ac:dyDescent="0.2">
      <c r="A123" s="175">
        <v>122</v>
      </c>
      <c r="B123" s="176">
        <v>1</v>
      </c>
      <c r="C123" s="244" t="s">
        <v>1007</v>
      </c>
      <c r="D123" s="182">
        <f t="shared" si="1"/>
        <v>0</v>
      </c>
    </row>
    <row r="124" spans="1:4" x14ac:dyDescent="0.2">
      <c r="A124" s="175">
        <v>123</v>
      </c>
      <c r="B124" s="176">
        <v>1</v>
      </c>
      <c r="C124" s="244" t="s">
        <v>1007</v>
      </c>
      <c r="D124" s="182">
        <f t="shared" si="1"/>
        <v>0</v>
      </c>
    </row>
    <row r="125" spans="1:4" x14ac:dyDescent="0.2">
      <c r="A125" s="175">
        <v>124</v>
      </c>
      <c r="B125" s="176">
        <v>1</v>
      </c>
      <c r="C125" s="244" t="s">
        <v>1007</v>
      </c>
      <c r="D125" s="182">
        <f t="shared" si="1"/>
        <v>0</v>
      </c>
    </row>
    <row r="126" spans="1:4" x14ac:dyDescent="0.2">
      <c r="A126" s="175">
        <v>125</v>
      </c>
      <c r="B126" s="176">
        <v>1</v>
      </c>
      <c r="C126" s="244" t="s">
        <v>1007</v>
      </c>
      <c r="D126" s="182">
        <f t="shared" si="1"/>
        <v>0</v>
      </c>
    </row>
    <row r="127" spans="1:4" x14ac:dyDescent="0.2">
      <c r="A127" s="175">
        <v>126</v>
      </c>
      <c r="B127" s="176">
        <v>1</v>
      </c>
      <c r="C127" s="244" t="s">
        <v>1007</v>
      </c>
      <c r="D127" s="182">
        <f t="shared" si="1"/>
        <v>0</v>
      </c>
    </row>
    <row r="128" spans="1:4" x14ac:dyDescent="0.2">
      <c r="A128" s="175">
        <v>127</v>
      </c>
      <c r="B128" s="176">
        <v>1</v>
      </c>
      <c r="C128" s="244" t="s">
        <v>1007</v>
      </c>
      <c r="D128" s="182">
        <f t="shared" si="1"/>
        <v>0</v>
      </c>
    </row>
    <row r="129" spans="1:4" x14ac:dyDescent="0.2">
      <c r="A129" s="175">
        <v>128</v>
      </c>
      <c r="B129" s="176">
        <v>1</v>
      </c>
      <c r="C129" s="244" t="s">
        <v>1007</v>
      </c>
      <c r="D129" s="182">
        <f t="shared" si="1"/>
        <v>0</v>
      </c>
    </row>
    <row r="130" spans="1:4" x14ac:dyDescent="0.2">
      <c r="A130" s="175">
        <v>129</v>
      </c>
      <c r="B130" s="176">
        <v>1</v>
      </c>
      <c r="C130" s="244" t="s">
        <v>1007</v>
      </c>
      <c r="D130" s="182">
        <f t="shared" si="1"/>
        <v>0</v>
      </c>
    </row>
    <row r="131" spans="1:4" x14ac:dyDescent="0.2">
      <c r="A131" s="175">
        <v>130</v>
      </c>
      <c r="B131" s="176">
        <v>1</v>
      </c>
      <c r="C131" s="244" t="s">
        <v>1007</v>
      </c>
      <c r="D131" s="182">
        <f t="shared" ref="D131:D194" si="2">IF(C131="","",IF(C131="N","N/A",IF(C131="P",0,IF(C131="F",1))))</f>
        <v>0</v>
      </c>
    </row>
    <row r="132" spans="1:4" x14ac:dyDescent="0.2">
      <c r="A132" s="175">
        <v>131</v>
      </c>
      <c r="B132" s="176">
        <v>1</v>
      </c>
      <c r="C132" s="244" t="s">
        <v>1007</v>
      </c>
      <c r="D132" s="182">
        <f t="shared" si="2"/>
        <v>0</v>
      </c>
    </row>
    <row r="133" spans="1:4" x14ac:dyDescent="0.2">
      <c r="A133" s="175">
        <v>132</v>
      </c>
      <c r="B133" s="176">
        <v>1</v>
      </c>
      <c r="C133" s="244" t="s">
        <v>1007</v>
      </c>
      <c r="D133" s="182">
        <f t="shared" si="2"/>
        <v>0</v>
      </c>
    </row>
    <row r="134" spans="1:4" x14ac:dyDescent="0.2">
      <c r="A134" s="175">
        <v>133</v>
      </c>
      <c r="B134" s="176">
        <v>1</v>
      </c>
      <c r="C134" s="244" t="s">
        <v>1007</v>
      </c>
      <c r="D134" s="182">
        <f t="shared" si="2"/>
        <v>0</v>
      </c>
    </row>
    <row r="135" spans="1:4" x14ac:dyDescent="0.2">
      <c r="A135" s="175">
        <v>134</v>
      </c>
      <c r="B135" s="176">
        <v>1</v>
      </c>
      <c r="C135" s="244" t="s">
        <v>1007</v>
      </c>
      <c r="D135" s="182">
        <f t="shared" si="2"/>
        <v>0</v>
      </c>
    </row>
    <row r="136" spans="1:4" x14ac:dyDescent="0.2">
      <c r="A136" s="175">
        <v>135</v>
      </c>
      <c r="B136" s="176">
        <v>1</v>
      </c>
      <c r="C136" s="244" t="s">
        <v>1007</v>
      </c>
      <c r="D136" s="182">
        <f t="shared" si="2"/>
        <v>0</v>
      </c>
    </row>
    <row r="137" spans="1:4" x14ac:dyDescent="0.2">
      <c r="A137" s="175">
        <v>136</v>
      </c>
      <c r="B137" s="176">
        <v>1</v>
      </c>
      <c r="C137" s="244" t="s">
        <v>1007</v>
      </c>
      <c r="D137" s="182">
        <f t="shared" si="2"/>
        <v>0</v>
      </c>
    </row>
    <row r="138" spans="1:4" x14ac:dyDescent="0.2">
      <c r="A138" s="175">
        <v>137</v>
      </c>
      <c r="B138" s="176">
        <v>1</v>
      </c>
      <c r="C138" s="244" t="s">
        <v>1007</v>
      </c>
      <c r="D138" s="182">
        <f t="shared" si="2"/>
        <v>0</v>
      </c>
    </row>
    <row r="139" spans="1:4" x14ac:dyDescent="0.2">
      <c r="A139" s="175">
        <v>138</v>
      </c>
      <c r="B139" s="176">
        <v>1</v>
      </c>
      <c r="C139" s="244" t="s">
        <v>1007</v>
      </c>
      <c r="D139" s="182">
        <f t="shared" si="2"/>
        <v>0</v>
      </c>
    </row>
    <row r="140" spans="1:4" x14ac:dyDescent="0.2">
      <c r="A140" s="175">
        <v>139</v>
      </c>
      <c r="B140" s="176">
        <v>1</v>
      </c>
      <c r="C140" s="244" t="s">
        <v>1007</v>
      </c>
      <c r="D140" s="182">
        <f t="shared" si="2"/>
        <v>0</v>
      </c>
    </row>
    <row r="141" spans="1:4" x14ac:dyDescent="0.2">
      <c r="A141" s="175">
        <v>140</v>
      </c>
      <c r="B141" s="176">
        <v>1</v>
      </c>
      <c r="C141" s="244" t="s">
        <v>1007</v>
      </c>
      <c r="D141" s="182">
        <f t="shared" si="2"/>
        <v>0</v>
      </c>
    </row>
    <row r="142" spans="1:4" x14ac:dyDescent="0.2">
      <c r="A142" s="175">
        <v>141</v>
      </c>
      <c r="B142" s="176">
        <v>1</v>
      </c>
      <c r="C142" s="244" t="s">
        <v>1007</v>
      </c>
      <c r="D142" s="182">
        <f t="shared" si="2"/>
        <v>0</v>
      </c>
    </row>
    <row r="143" spans="1:4" x14ac:dyDescent="0.2">
      <c r="A143" s="175">
        <v>142</v>
      </c>
      <c r="B143" s="176">
        <v>1</v>
      </c>
      <c r="C143" s="244" t="s">
        <v>1007</v>
      </c>
      <c r="D143" s="182">
        <f t="shared" si="2"/>
        <v>0</v>
      </c>
    </row>
    <row r="144" spans="1:4" x14ac:dyDescent="0.2">
      <c r="A144" s="175">
        <v>143</v>
      </c>
      <c r="B144" s="176">
        <v>1</v>
      </c>
      <c r="C144" s="244" t="s">
        <v>1007</v>
      </c>
      <c r="D144" s="182">
        <f t="shared" si="2"/>
        <v>0</v>
      </c>
    </row>
    <row r="145" spans="1:4" x14ac:dyDescent="0.2">
      <c r="A145" s="175">
        <v>144</v>
      </c>
      <c r="B145" s="176">
        <v>1</v>
      </c>
      <c r="C145" s="244" t="s">
        <v>1007</v>
      </c>
      <c r="D145" s="182">
        <f t="shared" si="2"/>
        <v>0</v>
      </c>
    </row>
    <row r="146" spans="1:4" x14ac:dyDescent="0.2">
      <c r="A146" s="175">
        <v>145</v>
      </c>
      <c r="B146" s="176">
        <v>1</v>
      </c>
      <c r="C146" s="244" t="s">
        <v>1007</v>
      </c>
      <c r="D146" s="182">
        <f t="shared" si="2"/>
        <v>0</v>
      </c>
    </row>
    <row r="147" spans="1:4" x14ac:dyDescent="0.2">
      <c r="A147" s="175">
        <v>146</v>
      </c>
      <c r="B147" s="176">
        <v>1</v>
      </c>
      <c r="C147" s="244" t="s">
        <v>1007</v>
      </c>
      <c r="D147" s="182">
        <f t="shared" si="2"/>
        <v>0</v>
      </c>
    </row>
    <row r="148" spans="1:4" x14ac:dyDescent="0.2">
      <c r="A148" s="175">
        <v>147</v>
      </c>
      <c r="B148" s="176">
        <v>1</v>
      </c>
      <c r="C148" s="244" t="s">
        <v>1007</v>
      </c>
      <c r="D148" s="182">
        <f t="shared" si="2"/>
        <v>0</v>
      </c>
    </row>
    <row r="149" spans="1:4" x14ac:dyDescent="0.2">
      <c r="A149" s="175">
        <v>148</v>
      </c>
      <c r="B149" s="176">
        <v>1</v>
      </c>
      <c r="C149" s="244" t="s">
        <v>1007</v>
      </c>
      <c r="D149" s="182">
        <f t="shared" si="2"/>
        <v>0</v>
      </c>
    </row>
    <row r="150" spans="1:4" x14ac:dyDescent="0.2">
      <c r="A150" s="175">
        <v>149</v>
      </c>
      <c r="B150" s="176">
        <v>1</v>
      </c>
      <c r="C150" s="244" t="s">
        <v>1007</v>
      </c>
      <c r="D150" s="182">
        <f t="shared" si="2"/>
        <v>0</v>
      </c>
    </row>
    <row r="151" spans="1:4" x14ac:dyDescent="0.2">
      <c r="A151" s="175">
        <v>150</v>
      </c>
      <c r="B151" s="176">
        <v>1</v>
      </c>
      <c r="C151" s="244" t="s">
        <v>1007</v>
      </c>
      <c r="D151" s="182">
        <f t="shared" si="2"/>
        <v>0</v>
      </c>
    </row>
    <row r="152" spans="1:4" x14ac:dyDescent="0.2">
      <c r="A152" s="175">
        <v>151</v>
      </c>
      <c r="B152" s="176">
        <v>1</v>
      </c>
      <c r="C152" s="244" t="s">
        <v>1007</v>
      </c>
      <c r="D152" s="182">
        <f t="shared" si="2"/>
        <v>0</v>
      </c>
    </row>
    <row r="153" spans="1:4" x14ac:dyDescent="0.2">
      <c r="A153" s="175">
        <v>152</v>
      </c>
      <c r="B153" s="176">
        <v>1</v>
      </c>
      <c r="C153" s="244" t="s">
        <v>1007</v>
      </c>
      <c r="D153" s="182">
        <f t="shared" si="2"/>
        <v>0</v>
      </c>
    </row>
    <row r="154" spans="1:4" x14ac:dyDescent="0.2">
      <c r="A154" s="175">
        <v>153</v>
      </c>
      <c r="B154" s="176">
        <v>1</v>
      </c>
      <c r="C154" s="244" t="s">
        <v>1007</v>
      </c>
      <c r="D154" s="182">
        <f t="shared" si="2"/>
        <v>0</v>
      </c>
    </row>
    <row r="155" spans="1:4" x14ac:dyDescent="0.2">
      <c r="A155" s="175">
        <v>154</v>
      </c>
      <c r="B155" s="176">
        <v>1</v>
      </c>
      <c r="C155" s="244" t="s">
        <v>1007</v>
      </c>
      <c r="D155" s="182">
        <f t="shared" si="2"/>
        <v>0</v>
      </c>
    </row>
    <row r="156" spans="1:4" x14ac:dyDescent="0.2">
      <c r="A156" s="175">
        <v>155</v>
      </c>
      <c r="B156" s="176">
        <v>1</v>
      </c>
      <c r="C156" s="244" t="s">
        <v>1007</v>
      </c>
      <c r="D156" s="182">
        <f t="shared" si="2"/>
        <v>0</v>
      </c>
    </row>
    <row r="157" spans="1:4" x14ac:dyDescent="0.2">
      <c r="A157" s="175">
        <v>156</v>
      </c>
      <c r="B157" s="176">
        <v>1</v>
      </c>
      <c r="C157" s="244" t="s">
        <v>1007</v>
      </c>
      <c r="D157" s="182">
        <f t="shared" si="2"/>
        <v>0</v>
      </c>
    </row>
    <row r="158" spans="1:4" x14ac:dyDescent="0.2">
      <c r="A158" s="175">
        <v>157</v>
      </c>
      <c r="B158" s="176">
        <v>1</v>
      </c>
      <c r="C158" s="244" t="s">
        <v>1007</v>
      </c>
      <c r="D158" s="182">
        <f t="shared" si="2"/>
        <v>0</v>
      </c>
    </row>
    <row r="159" spans="1:4" x14ac:dyDescent="0.2">
      <c r="A159" s="175">
        <v>158</v>
      </c>
      <c r="B159" s="176">
        <v>1</v>
      </c>
      <c r="C159" s="244" t="s">
        <v>1007</v>
      </c>
      <c r="D159" s="182">
        <f t="shared" si="2"/>
        <v>0</v>
      </c>
    </row>
    <row r="160" spans="1:4" x14ac:dyDescent="0.2">
      <c r="A160" s="175">
        <v>159</v>
      </c>
      <c r="B160" s="176">
        <v>1</v>
      </c>
      <c r="C160" s="244" t="s">
        <v>1007</v>
      </c>
      <c r="D160" s="182">
        <f t="shared" si="2"/>
        <v>0</v>
      </c>
    </row>
    <row r="161" spans="1:4" x14ac:dyDescent="0.2">
      <c r="A161" s="175">
        <v>160</v>
      </c>
      <c r="B161" s="176">
        <v>1</v>
      </c>
      <c r="C161" s="244" t="s">
        <v>1007</v>
      </c>
      <c r="D161" s="182">
        <f t="shared" si="2"/>
        <v>0</v>
      </c>
    </row>
    <row r="162" spans="1:4" x14ac:dyDescent="0.2">
      <c r="A162" s="175">
        <v>161</v>
      </c>
      <c r="B162" s="176">
        <v>1</v>
      </c>
      <c r="C162" s="244" t="s">
        <v>1007</v>
      </c>
      <c r="D162" s="182">
        <f t="shared" si="2"/>
        <v>0</v>
      </c>
    </row>
    <row r="163" spans="1:4" x14ac:dyDescent="0.2">
      <c r="A163" s="175">
        <v>162</v>
      </c>
      <c r="B163" s="176">
        <v>1</v>
      </c>
      <c r="C163" s="244" t="s">
        <v>1007</v>
      </c>
      <c r="D163" s="182">
        <f t="shared" si="2"/>
        <v>0</v>
      </c>
    </row>
    <row r="164" spans="1:4" x14ac:dyDescent="0.2">
      <c r="A164" s="175">
        <v>163</v>
      </c>
      <c r="B164" s="176">
        <v>1</v>
      </c>
      <c r="C164" s="244" t="s">
        <v>1007</v>
      </c>
      <c r="D164" s="182">
        <f t="shared" si="2"/>
        <v>0</v>
      </c>
    </row>
    <row r="165" spans="1:4" x14ac:dyDescent="0.2">
      <c r="A165" s="175">
        <v>164</v>
      </c>
      <c r="B165" s="176">
        <v>1</v>
      </c>
      <c r="C165" s="244" t="s">
        <v>1007</v>
      </c>
      <c r="D165" s="182">
        <f t="shared" si="2"/>
        <v>0</v>
      </c>
    </row>
    <row r="166" spans="1:4" x14ac:dyDescent="0.2">
      <c r="A166" s="175">
        <v>165</v>
      </c>
      <c r="B166" s="176">
        <v>1</v>
      </c>
      <c r="C166" s="244" t="s">
        <v>1007</v>
      </c>
      <c r="D166" s="182">
        <f t="shared" si="2"/>
        <v>0</v>
      </c>
    </row>
    <row r="167" spans="1:4" x14ac:dyDescent="0.2">
      <c r="A167" s="175">
        <v>166</v>
      </c>
      <c r="B167" s="176">
        <v>1</v>
      </c>
      <c r="C167" s="244" t="s">
        <v>1007</v>
      </c>
      <c r="D167" s="182">
        <f t="shared" si="2"/>
        <v>0</v>
      </c>
    </row>
    <row r="168" spans="1:4" x14ac:dyDescent="0.2">
      <c r="A168" s="175">
        <v>167</v>
      </c>
      <c r="B168" s="176">
        <v>1</v>
      </c>
      <c r="C168" s="244" t="s">
        <v>1007</v>
      </c>
      <c r="D168" s="182">
        <f t="shared" si="2"/>
        <v>0</v>
      </c>
    </row>
    <row r="169" spans="1:4" x14ac:dyDescent="0.2">
      <c r="A169" s="175">
        <v>168</v>
      </c>
      <c r="B169" s="176">
        <v>1</v>
      </c>
      <c r="C169" s="244" t="s">
        <v>1007</v>
      </c>
      <c r="D169" s="182">
        <f t="shared" si="2"/>
        <v>0</v>
      </c>
    </row>
    <row r="170" spans="1:4" x14ac:dyDescent="0.2">
      <c r="A170" s="175">
        <v>169</v>
      </c>
      <c r="B170" s="176">
        <v>1</v>
      </c>
      <c r="C170" s="244" t="s">
        <v>1007</v>
      </c>
      <c r="D170" s="182">
        <f t="shared" si="2"/>
        <v>0</v>
      </c>
    </row>
    <row r="171" spans="1:4" x14ac:dyDescent="0.2">
      <c r="A171" s="175">
        <v>170</v>
      </c>
      <c r="B171" s="176">
        <v>1</v>
      </c>
      <c r="C171" s="244" t="s">
        <v>1007</v>
      </c>
      <c r="D171" s="182">
        <f t="shared" si="2"/>
        <v>0</v>
      </c>
    </row>
    <row r="172" spans="1:4" x14ac:dyDescent="0.2">
      <c r="A172" s="175">
        <v>171</v>
      </c>
      <c r="B172" s="176">
        <v>1</v>
      </c>
      <c r="C172" s="244" t="s">
        <v>1007</v>
      </c>
      <c r="D172" s="182">
        <f t="shared" si="2"/>
        <v>0</v>
      </c>
    </row>
    <row r="173" spans="1:4" x14ac:dyDescent="0.2">
      <c r="A173" s="175">
        <v>172</v>
      </c>
      <c r="B173" s="176">
        <v>1</v>
      </c>
      <c r="C173" s="244" t="s">
        <v>1007</v>
      </c>
      <c r="D173" s="182">
        <f t="shared" si="2"/>
        <v>0</v>
      </c>
    </row>
    <row r="174" spans="1:4" x14ac:dyDescent="0.2">
      <c r="A174" s="175">
        <v>173</v>
      </c>
      <c r="B174" s="176">
        <v>1</v>
      </c>
      <c r="C174" s="244" t="s">
        <v>1007</v>
      </c>
      <c r="D174" s="182">
        <f t="shared" si="2"/>
        <v>0</v>
      </c>
    </row>
    <row r="175" spans="1:4" x14ac:dyDescent="0.2">
      <c r="A175" s="175">
        <v>174</v>
      </c>
      <c r="B175" s="176">
        <v>1</v>
      </c>
      <c r="C175" s="244" t="s">
        <v>1007</v>
      </c>
      <c r="D175" s="182">
        <f t="shared" si="2"/>
        <v>0</v>
      </c>
    </row>
    <row r="176" spans="1:4" x14ac:dyDescent="0.2">
      <c r="A176" s="175">
        <v>175</v>
      </c>
      <c r="B176" s="176">
        <v>1</v>
      </c>
      <c r="C176" s="244" t="s">
        <v>1007</v>
      </c>
      <c r="D176" s="182">
        <f t="shared" si="2"/>
        <v>0</v>
      </c>
    </row>
    <row r="177" spans="1:4" x14ac:dyDescent="0.2">
      <c r="A177" s="175">
        <v>176</v>
      </c>
      <c r="B177" s="176">
        <v>1</v>
      </c>
      <c r="C177" s="244" t="s">
        <v>1007</v>
      </c>
      <c r="D177" s="182">
        <f t="shared" si="2"/>
        <v>0</v>
      </c>
    </row>
    <row r="178" spans="1:4" x14ac:dyDescent="0.2">
      <c r="A178" s="175">
        <v>177</v>
      </c>
      <c r="B178" s="176">
        <v>1</v>
      </c>
      <c r="C178" s="244" t="s">
        <v>1007</v>
      </c>
      <c r="D178" s="182">
        <f t="shared" si="2"/>
        <v>0</v>
      </c>
    </row>
    <row r="179" spans="1:4" x14ac:dyDescent="0.2">
      <c r="A179" s="175">
        <v>178</v>
      </c>
      <c r="B179" s="176">
        <v>1</v>
      </c>
      <c r="C179" s="244" t="s">
        <v>1007</v>
      </c>
      <c r="D179" s="182">
        <f t="shared" si="2"/>
        <v>0</v>
      </c>
    </row>
    <row r="180" spans="1:4" x14ac:dyDescent="0.2">
      <c r="A180" s="175">
        <v>179</v>
      </c>
      <c r="B180" s="176">
        <v>1</v>
      </c>
      <c r="C180" s="244" t="s">
        <v>1007</v>
      </c>
      <c r="D180" s="182">
        <f t="shared" si="2"/>
        <v>0</v>
      </c>
    </row>
    <row r="181" spans="1:4" x14ac:dyDescent="0.2">
      <c r="A181" s="175">
        <v>180</v>
      </c>
      <c r="B181" s="176">
        <v>1</v>
      </c>
      <c r="C181" s="244" t="s">
        <v>1007</v>
      </c>
      <c r="D181" s="182">
        <f t="shared" si="2"/>
        <v>0</v>
      </c>
    </row>
    <row r="182" spans="1:4" x14ac:dyDescent="0.2">
      <c r="A182" s="175">
        <v>181</v>
      </c>
      <c r="B182" s="176">
        <v>1</v>
      </c>
      <c r="C182" s="244" t="s">
        <v>1007</v>
      </c>
      <c r="D182" s="182">
        <f t="shared" si="2"/>
        <v>0</v>
      </c>
    </row>
    <row r="183" spans="1:4" x14ac:dyDescent="0.2">
      <c r="A183" s="175">
        <v>182</v>
      </c>
      <c r="B183" s="176">
        <v>1</v>
      </c>
      <c r="C183" s="244" t="s">
        <v>1007</v>
      </c>
      <c r="D183" s="182">
        <f t="shared" si="2"/>
        <v>0</v>
      </c>
    </row>
    <row r="184" spans="1:4" x14ac:dyDescent="0.2">
      <c r="A184" s="175">
        <v>183</v>
      </c>
      <c r="B184" s="176">
        <v>1</v>
      </c>
      <c r="C184" s="244" t="s">
        <v>1007</v>
      </c>
      <c r="D184" s="182">
        <f t="shared" si="2"/>
        <v>0</v>
      </c>
    </row>
    <row r="185" spans="1:4" x14ac:dyDescent="0.2">
      <c r="A185" s="175">
        <v>184</v>
      </c>
      <c r="B185" s="176">
        <v>1</v>
      </c>
      <c r="C185" s="244" t="s">
        <v>1007</v>
      </c>
      <c r="D185" s="182">
        <f t="shared" si="2"/>
        <v>0</v>
      </c>
    </row>
    <row r="186" spans="1:4" x14ac:dyDescent="0.2">
      <c r="A186" s="175">
        <v>185</v>
      </c>
      <c r="B186" s="176">
        <v>1</v>
      </c>
      <c r="C186" s="244" t="s">
        <v>1007</v>
      </c>
      <c r="D186" s="182">
        <f t="shared" si="2"/>
        <v>0</v>
      </c>
    </row>
    <row r="187" spans="1:4" x14ac:dyDescent="0.2">
      <c r="A187" s="175">
        <v>186</v>
      </c>
      <c r="B187" s="176">
        <v>1</v>
      </c>
      <c r="C187" s="244" t="s">
        <v>1007</v>
      </c>
      <c r="D187" s="182">
        <f t="shared" si="2"/>
        <v>0</v>
      </c>
    </row>
    <row r="188" spans="1:4" x14ac:dyDescent="0.2">
      <c r="A188" s="175">
        <v>187</v>
      </c>
      <c r="B188" s="176">
        <v>1</v>
      </c>
      <c r="C188" s="244" t="s">
        <v>1007</v>
      </c>
      <c r="D188" s="182">
        <f t="shared" si="2"/>
        <v>0</v>
      </c>
    </row>
    <row r="189" spans="1:4" x14ac:dyDescent="0.2">
      <c r="A189" s="175">
        <v>188</v>
      </c>
      <c r="B189" s="176">
        <v>1</v>
      </c>
      <c r="C189" s="244" t="s">
        <v>1007</v>
      </c>
      <c r="D189" s="182">
        <f t="shared" si="2"/>
        <v>0</v>
      </c>
    </row>
    <row r="190" spans="1:4" x14ac:dyDescent="0.2">
      <c r="A190" s="175">
        <v>189</v>
      </c>
      <c r="B190" s="176">
        <v>1</v>
      </c>
      <c r="C190" s="244" t="s">
        <v>1007</v>
      </c>
      <c r="D190" s="182">
        <f t="shared" si="2"/>
        <v>0</v>
      </c>
    </row>
    <row r="191" spans="1:4" x14ac:dyDescent="0.2">
      <c r="A191" s="175">
        <v>190</v>
      </c>
      <c r="B191" s="176">
        <v>1</v>
      </c>
      <c r="C191" s="244" t="s">
        <v>1007</v>
      </c>
      <c r="D191" s="182">
        <f t="shared" si="2"/>
        <v>0</v>
      </c>
    </row>
    <row r="192" spans="1:4" x14ac:dyDescent="0.2">
      <c r="A192" s="175">
        <v>191</v>
      </c>
      <c r="B192" s="176">
        <v>1</v>
      </c>
      <c r="C192" s="244" t="s">
        <v>1007</v>
      </c>
      <c r="D192" s="182">
        <f t="shared" si="2"/>
        <v>0</v>
      </c>
    </row>
    <row r="193" spans="1:4" x14ac:dyDescent="0.2">
      <c r="A193" s="175">
        <v>192</v>
      </c>
      <c r="B193" s="176">
        <v>1</v>
      </c>
      <c r="C193" s="244" t="s">
        <v>1007</v>
      </c>
      <c r="D193" s="182">
        <f t="shared" si="2"/>
        <v>0</v>
      </c>
    </row>
    <row r="194" spans="1:4" x14ac:dyDescent="0.2">
      <c r="A194" s="175">
        <v>193</v>
      </c>
      <c r="B194" s="176">
        <v>1</v>
      </c>
      <c r="C194" s="244" t="s">
        <v>1007</v>
      </c>
      <c r="D194" s="182">
        <f t="shared" si="2"/>
        <v>0</v>
      </c>
    </row>
    <row r="195" spans="1:4" x14ac:dyDescent="0.2">
      <c r="A195" s="175">
        <v>194</v>
      </c>
      <c r="B195" s="176">
        <v>1</v>
      </c>
      <c r="C195" s="244" t="s">
        <v>1007</v>
      </c>
      <c r="D195" s="182">
        <f t="shared" ref="D195:D251" si="3">IF(C195="","",IF(C195="N","N/A",IF(C195="P",0,IF(C195="F",1))))</f>
        <v>0</v>
      </c>
    </row>
    <row r="196" spans="1:4" x14ac:dyDescent="0.2">
      <c r="A196" s="175">
        <v>195</v>
      </c>
      <c r="B196" s="176">
        <v>1</v>
      </c>
      <c r="C196" s="244" t="s">
        <v>1007</v>
      </c>
      <c r="D196" s="182">
        <f t="shared" si="3"/>
        <v>0</v>
      </c>
    </row>
    <row r="197" spans="1:4" x14ac:dyDescent="0.2">
      <c r="A197" s="175">
        <v>196</v>
      </c>
      <c r="B197" s="176">
        <v>1</v>
      </c>
      <c r="C197" s="244" t="s">
        <v>1007</v>
      </c>
      <c r="D197" s="182">
        <f t="shared" si="3"/>
        <v>0</v>
      </c>
    </row>
    <row r="198" spans="1:4" x14ac:dyDescent="0.2">
      <c r="A198" s="175">
        <v>197</v>
      </c>
      <c r="B198" s="176">
        <v>1</v>
      </c>
      <c r="C198" s="244" t="s">
        <v>1007</v>
      </c>
      <c r="D198" s="182">
        <f t="shared" si="3"/>
        <v>0</v>
      </c>
    </row>
    <row r="199" spans="1:4" x14ac:dyDescent="0.2">
      <c r="A199" s="175">
        <v>198</v>
      </c>
      <c r="B199" s="176">
        <v>1</v>
      </c>
      <c r="C199" s="244" t="s">
        <v>1007</v>
      </c>
      <c r="D199" s="182">
        <f t="shared" si="3"/>
        <v>0</v>
      </c>
    </row>
    <row r="200" spans="1:4" x14ac:dyDescent="0.2">
      <c r="A200" s="175">
        <v>199</v>
      </c>
      <c r="B200" s="176">
        <v>1</v>
      </c>
      <c r="C200" s="244" t="s">
        <v>1007</v>
      </c>
      <c r="D200" s="182">
        <f t="shared" si="3"/>
        <v>0</v>
      </c>
    </row>
    <row r="201" spans="1:4" x14ac:dyDescent="0.2">
      <c r="A201" s="175">
        <v>200</v>
      </c>
      <c r="B201" s="176">
        <v>1</v>
      </c>
      <c r="C201" s="244" t="s">
        <v>1007</v>
      </c>
      <c r="D201" s="182">
        <f t="shared" si="3"/>
        <v>0</v>
      </c>
    </row>
    <row r="202" spans="1:4" x14ac:dyDescent="0.2">
      <c r="A202" s="175">
        <v>201</v>
      </c>
      <c r="B202" s="176">
        <v>1</v>
      </c>
      <c r="C202" s="244" t="s">
        <v>1007</v>
      </c>
      <c r="D202" s="182">
        <f t="shared" si="3"/>
        <v>0</v>
      </c>
    </row>
    <row r="203" spans="1:4" x14ac:dyDescent="0.2">
      <c r="A203" s="175">
        <v>202</v>
      </c>
      <c r="B203" s="176">
        <v>1</v>
      </c>
      <c r="C203" s="244" t="s">
        <v>1007</v>
      </c>
      <c r="D203" s="182">
        <f t="shared" si="3"/>
        <v>0</v>
      </c>
    </row>
    <row r="204" spans="1:4" x14ac:dyDescent="0.2">
      <c r="A204" s="175">
        <v>203</v>
      </c>
      <c r="B204" s="176">
        <v>1</v>
      </c>
      <c r="C204" s="244" t="s">
        <v>1007</v>
      </c>
      <c r="D204" s="182">
        <f t="shared" si="3"/>
        <v>0</v>
      </c>
    </row>
    <row r="205" spans="1:4" x14ac:dyDescent="0.2">
      <c r="A205" s="175">
        <v>204</v>
      </c>
      <c r="B205" s="176">
        <v>1</v>
      </c>
      <c r="C205" s="244" t="s">
        <v>1007</v>
      </c>
      <c r="D205" s="182">
        <f t="shared" si="3"/>
        <v>0</v>
      </c>
    </row>
    <row r="206" spans="1:4" x14ac:dyDescent="0.2">
      <c r="A206" s="175">
        <v>205</v>
      </c>
      <c r="B206" s="176">
        <v>1</v>
      </c>
      <c r="C206" s="244" t="s">
        <v>1007</v>
      </c>
      <c r="D206" s="182">
        <f t="shared" si="3"/>
        <v>0</v>
      </c>
    </row>
    <row r="207" spans="1:4" x14ac:dyDescent="0.2">
      <c r="A207" s="175">
        <v>206</v>
      </c>
      <c r="B207" s="176">
        <v>1</v>
      </c>
      <c r="C207" s="244" t="s">
        <v>1007</v>
      </c>
      <c r="D207" s="182">
        <f t="shared" si="3"/>
        <v>0</v>
      </c>
    </row>
    <row r="208" spans="1:4" x14ac:dyDescent="0.2">
      <c r="A208" s="175">
        <v>207</v>
      </c>
      <c r="B208" s="176">
        <v>1</v>
      </c>
      <c r="C208" s="244" t="s">
        <v>1007</v>
      </c>
      <c r="D208" s="182">
        <f t="shared" si="3"/>
        <v>0</v>
      </c>
    </row>
    <row r="209" spans="1:4" x14ac:dyDescent="0.2">
      <c r="A209" s="175">
        <v>208</v>
      </c>
      <c r="B209" s="176">
        <v>1</v>
      </c>
      <c r="C209" s="244" t="s">
        <v>1007</v>
      </c>
      <c r="D209" s="182">
        <f t="shared" si="3"/>
        <v>0</v>
      </c>
    </row>
    <row r="210" spans="1:4" x14ac:dyDescent="0.2">
      <c r="A210" s="175">
        <v>209</v>
      </c>
      <c r="B210" s="176">
        <v>1</v>
      </c>
      <c r="C210" s="244" t="s">
        <v>1007</v>
      </c>
      <c r="D210" s="182">
        <f t="shared" si="3"/>
        <v>0</v>
      </c>
    </row>
    <row r="211" spans="1:4" x14ac:dyDescent="0.2">
      <c r="A211" s="175">
        <v>210</v>
      </c>
      <c r="B211" s="176">
        <v>1</v>
      </c>
      <c r="C211" s="244" t="s">
        <v>1007</v>
      </c>
      <c r="D211" s="182">
        <f t="shared" si="3"/>
        <v>0</v>
      </c>
    </row>
    <row r="212" spans="1:4" x14ac:dyDescent="0.2">
      <c r="A212" s="175">
        <v>211</v>
      </c>
      <c r="B212" s="176">
        <v>1</v>
      </c>
      <c r="C212" s="244" t="s">
        <v>1007</v>
      </c>
      <c r="D212" s="182">
        <f t="shared" si="3"/>
        <v>0</v>
      </c>
    </row>
    <row r="213" spans="1:4" x14ac:dyDescent="0.2">
      <c r="A213" s="175">
        <v>212</v>
      </c>
      <c r="B213" s="176">
        <v>1</v>
      </c>
      <c r="C213" s="244" t="s">
        <v>1007</v>
      </c>
      <c r="D213" s="182">
        <f t="shared" si="3"/>
        <v>0</v>
      </c>
    </row>
    <row r="214" spans="1:4" x14ac:dyDescent="0.2">
      <c r="A214" s="175">
        <v>213</v>
      </c>
      <c r="B214" s="176">
        <v>1</v>
      </c>
      <c r="C214" s="244" t="s">
        <v>1007</v>
      </c>
      <c r="D214" s="182">
        <f t="shared" si="3"/>
        <v>0</v>
      </c>
    </row>
    <row r="215" spans="1:4" x14ac:dyDescent="0.2">
      <c r="A215" s="175">
        <v>214</v>
      </c>
      <c r="B215" s="176">
        <v>1</v>
      </c>
      <c r="C215" s="244" t="s">
        <v>1007</v>
      </c>
      <c r="D215" s="182">
        <f t="shared" si="3"/>
        <v>0</v>
      </c>
    </row>
    <row r="216" spans="1:4" x14ac:dyDescent="0.2">
      <c r="A216" s="175">
        <v>215</v>
      </c>
      <c r="B216" s="176">
        <v>1</v>
      </c>
      <c r="C216" s="244" t="s">
        <v>1007</v>
      </c>
      <c r="D216" s="182">
        <f t="shared" si="3"/>
        <v>0</v>
      </c>
    </row>
    <row r="217" spans="1:4" x14ac:dyDescent="0.2">
      <c r="A217" s="175">
        <v>216</v>
      </c>
      <c r="B217" s="176">
        <v>1</v>
      </c>
      <c r="C217" s="244" t="s">
        <v>1007</v>
      </c>
      <c r="D217" s="182">
        <f t="shared" si="3"/>
        <v>0</v>
      </c>
    </row>
    <row r="218" spans="1:4" x14ac:dyDescent="0.2">
      <c r="A218" s="175">
        <v>217</v>
      </c>
      <c r="B218" s="176">
        <v>1</v>
      </c>
      <c r="C218" s="244" t="s">
        <v>1007</v>
      </c>
      <c r="D218" s="182">
        <f t="shared" si="3"/>
        <v>0</v>
      </c>
    </row>
    <row r="219" spans="1:4" x14ac:dyDescent="0.2">
      <c r="A219" s="175">
        <v>218</v>
      </c>
      <c r="B219" s="176">
        <v>1</v>
      </c>
      <c r="C219" s="244" t="s">
        <v>1007</v>
      </c>
      <c r="D219" s="182">
        <f t="shared" si="3"/>
        <v>0</v>
      </c>
    </row>
    <row r="220" spans="1:4" x14ac:dyDescent="0.2">
      <c r="A220" s="175">
        <v>219</v>
      </c>
      <c r="B220" s="176">
        <v>1</v>
      </c>
      <c r="C220" s="244" t="s">
        <v>1007</v>
      </c>
      <c r="D220" s="182">
        <f t="shared" si="3"/>
        <v>0</v>
      </c>
    </row>
    <row r="221" spans="1:4" x14ac:dyDescent="0.2">
      <c r="A221" s="175">
        <v>220</v>
      </c>
      <c r="B221" s="176">
        <v>1</v>
      </c>
      <c r="C221" s="244" t="s">
        <v>1007</v>
      </c>
      <c r="D221" s="182">
        <f t="shared" si="3"/>
        <v>0</v>
      </c>
    </row>
    <row r="222" spans="1:4" x14ac:dyDescent="0.2">
      <c r="A222" s="175">
        <v>221</v>
      </c>
      <c r="B222" s="176">
        <v>1</v>
      </c>
      <c r="C222" s="244" t="s">
        <v>1007</v>
      </c>
      <c r="D222" s="182">
        <f t="shared" si="3"/>
        <v>0</v>
      </c>
    </row>
    <row r="223" spans="1:4" x14ac:dyDescent="0.2">
      <c r="A223" s="175">
        <v>222</v>
      </c>
      <c r="B223" s="176">
        <v>1</v>
      </c>
      <c r="C223" s="244" t="s">
        <v>1007</v>
      </c>
      <c r="D223" s="182">
        <f t="shared" si="3"/>
        <v>0</v>
      </c>
    </row>
    <row r="224" spans="1:4" x14ac:dyDescent="0.2">
      <c r="A224" s="175">
        <v>223</v>
      </c>
      <c r="B224" s="176">
        <v>1</v>
      </c>
      <c r="C224" s="244" t="s">
        <v>1007</v>
      </c>
      <c r="D224" s="182">
        <f t="shared" si="3"/>
        <v>0</v>
      </c>
    </row>
    <row r="225" spans="1:4" x14ac:dyDescent="0.2">
      <c r="A225" s="175">
        <v>224</v>
      </c>
      <c r="B225" s="176">
        <v>1</v>
      </c>
      <c r="C225" s="244" t="s">
        <v>1007</v>
      </c>
      <c r="D225" s="182">
        <f t="shared" si="3"/>
        <v>0</v>
      </c>
    </row>
    <row r="226" spans="1:4" x14ac:dyDescent="0.2">
      <c r="A226" s="175">
        <v>225</v>
      </c>
      <c r="B226" s="176">
        <v>1</v>
      </c>
      <c r="C226" s="244" t="s">
        <v>1007</v>
      </c>
      <c r="D226" s="182">
        <f t="shared" si="3"/>
        <v>0</v>
      </c>
    </row>
    <row r="227" spans="1:4" x14ac:dyDescent="0.2">
      <c r="A227" s="175">
        <v>226</v>
      </c>
      <c r="B227" s="176">
        <v>1</v>
      </c>
      <c r="C227" s="244" t="s">
        <v>1007</v>
      </c>
      <c r="D227" s="182">
        <f t="shared" si="3"/>
        <v>0</v>
      </c>
    </row>
    <row r="228" spans="1:4" x14ac:dyDescent="0.2">
      <c r="A228" s="175">
        <v>227</v>
      </c>
      <c r="B228" s="176">
        <v>1</v>
      </c>
      <c r="C228" s="244" t="s">
        <v>1007</v>
      </c>
      <c r="D228" s="182">
        <f t="shared" si="3"/>
        <v>0</v>
      </c>
    </row>
    <row r="229" spans="1:4" x14ac:dyDescent="0.2">
      <c r="A229" s="175">
        <v>228</v>
      </c>
      <c r="B229" s="176">
        <v>1</v>
      </c>
      <c r="C229" s="244" t="s">
        <v>1007</v>
      </c>
      <c r="D229" s="182">
        <f t="shared" si="3"/>
        <v>0</v>
      </c>
    </row>
    <row r="230" spans="1:4" x14ac:dyDescent="0.2">
      <c r="A230" s="175">
        <v>229</v>
      </c>
      <c r="B230" s="176">
        <v>1</v>
      </c>
      <c r="C230" s="244" t="s">
        <v>1007</v>
      </c>
      <c r="D230" s="182">
        <f t="shared" si="3"/>
        <v>0</v>
      </c>
    </row>
    <row r="231" spans="1:4" x14ac:dyDescent="0.2">
      <c r="A231" s="175">
        <v>230</v>
      </c>
      <c r="B231" s="176">
        <v>1</v>
      </c>
      <c r="C231" s="244" t="s">
        <v>1007</v>
      </c>
      <c r="D231" s="182">
        <f t="shared" si="3"/>
        <v>0</v>
      </c>
    </row>
    <row r="232" spans="1:4" x14ac:dyDescent="0.2">
      <c r="A232" s="175">
        <v>231</v>
      </c>
      <c r="B232" s="176">
        <v>1</v>
      </c>
      <c r="C232" s="244" t="s">
        <v>1007</v>
      </c>
      <c r="D232" s="182">
        <f t="shared" si="3"/>
        <v>0</v>
      </c>
    </row>
    <row r="233" spans="1:4" x14ac:dyDescent="0.2">
      <c r="A233" s="175">
        <v>232</v>
      </c>
      <c r="B233" s="176">
        <v>1</v>
      </c>
      <c r="C233" s="244" t="s">
        <v>1007</v>
      </c>
      <c r="D233" s="182">
        <f t="shared" si="3"/>
        <v>0</v>
      </c>
    </row>
    <row r="234" spans="1:4" x14ac:dyDescent="0.2">
      <c r="A234" s="175">
        <v>233</v>
      </c>
      <c r="B234" s="176">
        <v>1</v>
      </c>
      <c r="C234" s="244" t="s">
        <v>1007</v>
      </c>
      <c r="D234" s="182">
        <f t="shared" si="3"/>
        <v>0</v>
      </c>
    </row>
    <row r="235" spans="1:4" x14ac:dyDescent="0.2">
      <c r="A235" s="175">
        <v>234</v>
      </c>
      <c r="B235" s="176">
        <v>1</v>
      </c>
      <c r="C235" s="244" t="s">
        <v>1007</v>
      </c>
      <c r="D235" s="182">
        <f t="shared" si="3"/>
        <v>0</v>
      </c>
    </row>
    <row r="236" spans="1:4" x14ac:dyDescent="0.2">
      <c r="A236" s="175">
        <v>235</v>
      </c>
      <c r="B236" s="176">
        <v>1</v>
      </c>
      <c r="C236" s="244" t="s">
        <v>1007</v>
      </c>
      <c r="D236" s="182">
        <f t="shared" si="3"/>
        <v>0</v>
      </c>
    </row>
    <row r="237" spans="1:4" x14ac:dyDescent="0.2">
      <c r="A237" s="175">
        <v>236</v>
      </c>
      <c r="B237" s="176">
        <v>1</v>
      </c>
      <c r="C237" s="244" t="s">
        <v>1007</v>
      </c>
      <c r="D237" s="182">
        <f t="shared" si="3"/>
        <v>0</v>
      </c>
    </row>
    <row r="238" spans="1:4" x14ac:dyDescent="0.2">
      <c r="A238" s="175">
        <v>237</v>
      </c>
      <c r="B238" s="176">
        <v>1</v>
      </c>
      <c r="C238" s="244" t="s">
        <v>1007</v>
      </c>
      <c r="D238" s="182">
        <f t="shared" si="3"/>
        <v>0</v>
      </c>
    </row>
    <row r="239" spans="1:4" x14ac:dyDescent="0.2">
      <c r="A239" s="175">
        <v>238</v>
      </c>
      <c r="B239" s="176">
        <v>1</v>
      </c>
      <c r="C239" s="244" t="s">
        <v>1007</v>
      </c>
      <c r="D239" s="182">
        <f t="shared" si="3"/>
        <v>0</v>
      </c>
    </row>
    <row r="240" spans="1:4" x14ac:dyDescent="0.2">
      <c r="A240" s="175">
        <v>239</v>
      </c>
      <c r="B240" s="176">
        <v>1</v>
      </c>
      <c r="C240" s="244" t="s">
        <v>1007</v>
      </c>
      <c r="D240" s="182">
        <f t="shared" si="3"/>
        <v>0</v>
      </c>
    </row>
    <row r="241" spans="1:7" x14ac:dyDescent="0.2">
      <c r="A241" s="175">
        <v>240</v>
      </c>
      <c r="B241" s="176">
        <v>1</v>
      </c>
      <c r="C241" s="244" t="s">
        <v>1007</v>
      </c>
      <c r="D241" s="182">
        <f t="shared" si="3"/>
        <v>0</v>
      </c>
    </row>
    <row r="242" spans="1:7" x14ac:dyDescent="0.2">
      <c r="A242" s="175">
        <v>241</v>
      </c>
      <c r="B242" s="176">
        <v>1</v>
      </c>
      <c r="C242" s="244" t="s">
        <v>1007</v>
      </c>
      <c r="D242" s="182">
        <f t="shared" si="3"/>
        <v>0</v>
      </c>
    </row>
    <row r="243" spans="1:7" x14ac:dyDescent="0.2">
      <c r="A243" s="175">
        <v>242</v>
      </c>
      <c r="B243" s="176">
        <v>1</v>
      </c>
      <c r="C243" s="244" t="s">
        <v>1007</v>
      </c>
      <c r="D243" s="182">
        <f t="shared" si="3"/>
        <v>0</v>
      </c>
    </row>
    <row r="244" spans="1:7" x14ac:dyDescent="0.2">
      <c r="A244" s="175">
        <v>243</v>
      </c>
      <c r="B244" s="176">
        <v>1</v>
      </c>
      <c r="C244" s="244" t="s">
        <v>1007</v>
      </c>
      <c r="D244" s="182">
        <f t="shared" si="3"/>
        <v>0</v>
      </c>
    </row>
    <row r="245" spans="1:7" x14ac:dyDescent="0.2">
      <c r="A245" s="175">
        <v>244</v>
      </c>
      <c r="B245" s="176">
        <v>1</v>
      </c>
      <c r="C245" s="244" t="s">
        <v>1007</v>
      </c>
      <c r="D245" s="182">
        <f t="shared" si="3"/>
        <v>0</v>
      </c>
    </row>
    <row r="246" spans="1:7" x14ac:dyDescent="0.2">
      <c r="A246" s="175">
        <v>245</v>
      </c>
      <c r="B246" s="176">
        <v>1</v>
      </c>
      <c r="C246" s="244" t="s">
        <v>1007</v>
      </c>
      <c r="D246" s="182">
        <f t="shared" si="3"/>
        <v>0</v>
      </c>
    </row>
    <row r="247" spans="1:7" x14ac:dyDescent="0.2">
      <c r="A247" s="175">
        <v>246</v>
      </c>
      <c r="B247" s="176">
        <v>1</v>
      </c>
      <c r="C247" s="244" t="s">
        <v>1007</v>
      </c>
      <c r="D247" s="182">
        <f t="shared" si="3"/>
        <v>0</v>
      </c>
    </row>
    <row r="248" spans="1:7" x14ac:dyDescent="0.2">
      <c r="A248" s="175">
        <v>247</v>
      </c>
      <c r="B248" s="176">
        <v>1</v>
      </c>
      <c r="C248" s="244" t="s">
        <v>1007</v>
      </c>
      <c r="D248" s="182">
        <f t="shared" si="3"/>
        <v>0</v>
      </c>
    </row>
    <row r="249" spans="1:7" x14ac:dyDescent="0.2">
      <c r="A249" s="175">
        <v>248</v>
      </c>
      <c r="B249" s="176">
        <v>1</v>
      </c>
      <c r="C249" s="244" t="s">
        <v>1007</v>
      </c>
      <c r="D249" s="182">
        <f t="shared" si="3"/>
        <v>0</v>
      </c>
    </row>
    <row r="250" spans="1:7" x14ac:dyDescent="0.2">
      <c r="A250" s="175">
        <v>249</v>
      </c>
      <c r="B250" s="176">
        <v>1</v>
      </c>
      <c r="C250" s="244" t="s">
        <v>1007</v>
      </c>
      <c r="D250" s="182">
        <f t="shared" si="3"/>
        <v>0</v>
      </c>
    </row>
    <row r="251" spans="1:7" ht="13.5" thickBot="1" x14ac:dyDescent="0.25">
      <c r="A251" s="177">
        <v>250</v>
      </c>
      <c r="B251" s="176">
        <v>1</v>
      </c>
      <c r="C251" s="244" t="s">
        <v>1007</v>
      </c>
      <c r="D251" s="183">
        <f t="shared" si="3"/>
        <v>0</v>
      </c>
    </row>
    <row r="254" spans="1:7" ht="27" customHeight="1" x14ac:dyDescent="0.2">
      <c r="B254" s="178" t="s">
        <v>39</v>
      </c>
      <c r="C254" s="294"/>
      <c r="D254" s="294"/>
      <c r="E254" s="178" t="s">
        <v>23</v>
      </c>
      <c r="F254" s="294"/>
      <c r="G254" s="294"/>
    </row>
    <row r="257" spans="1:4" ht="13.5" thickBot="1" x14ac:dyDescent="0.25">
      <c r="A257" t="s">
        <v>403</v>
      </c>
    </row>
    <row r="258" spans="1:4" x14ac:dyDescent="0.2">
      <c r="A258" s="295"/>
      <c r="B258" s="296"/>
      <c r="C258" s="296"/>
      <c r="D258" s="297"/>
    </row>
    <row r="259" spans="1:4" x14ac:dyDescent="0.2">
      <c r="A259" s="298"/>
      <c r="B259" s="299"/>
      <c r="C259" s="299"/>
      <c r="D259" s="300"/>
    </row>
    <row r="260" spans="1:4" x14ac:dyDescent="0.2">
      <c r="A260" s="298"/>
      <c r="B260" s="299"/>
      <c r="C260" s="299"/>
      <c r="D260" s="300"/>
    </row>
    <row r="261" spans="1:4" x14ac:dyDescent="0.2">
      <c r="A261" s="298"/>
      <c r="B261" s="299"/>
      <c r="C261" s="299"/>
      <c r="D261" s="300"/>
    </row>
    <row r="262" spans="1:4" x14ac:dyDescent="0.2">
      <c r="A262" s="298"/>
      <c r="B262" s="299"/>
      <c r="C262" s="299"/>
      <c r="D262" s="300"/>
    </row>
    <row r="263" spans="1:4" x14ac:dyDescent="0.2">
      <c r="A263" s="298"/>
      <c r="B263" s="299"/>
      <c r="C263" s="299"/>
      <c r="D263" s="300"/>
    </row>
    <row r="264" spans="1:4" x14ac:dyDescent="0.2">
      <c r="A264" s="298"/>
      <c r="B264" s="299"/>
      <c r="C264" s="299"/>
      <c r="D264" s="300"/>
    </row>
    <row r="265" spans="1:4" x14ac:dyDescent="0.2">
      <c r="A265" s="298"/>
      <c r="B265" s="299"/>
      <c r="C265" s="299"/>
      <c r="D265" s="300"/>
    </row>
    <row r="266" spans="1:4" ht="13.5" thickBot="1" x14ac:dyDescent="0.25">
      <c r="A266" s="301"/>
      <c r="B266" s="302"/>
      <c r="C266" s="302"/>
      <c r="D266" s="303"/>
    </row>
  </sheetData>
  <mergeCells count="3">
    <mergeCell ref="C254:D254"/>
    <mergeCell ref="F254:G254"/>
    <mergeCell ref="A258:D266"/>
  </mergeCells>
  <pageMargins left="0.5" right="0.5" top="1" bottom="1" header="0.25" footer="0.25"/>
  <pageSetup scale="58" orientation="landscape" r:id="rId1"/>
  <headerFooter alignWithMargins="0">
    <oddHeader>&amp;LPart No.:
Batch No(s).: 
Cartridge No. (LSP): &amp;C&amp;12Product QC Testing Worksheet-MTB/XDR&amp;RDocument Number: D37339 Attachment 1
Rev: M
Effective: 5/21/2026
p. &amp;P of &amp;N</oddHeader>
    <oddFooter>&amp;C User is responsible for using the current revision. The controlled current released revision of this document resides in the Agile PLM system.
Cepheid Confidential    Date Printed: &amp;D      &amp;T</oddFooter>
  </headerFooter>
  <rowBreaks count="2" manualBreakCount="2">
    <brk id="53" max="6" man="1"/>
    <brk id="106" max="1638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8"/>
  <sheetViews>
    <sheetView tabSelected="1" topLeftCell="A33" zoomScaleNormal="100" workbookViewId="0">
      <selection activeCell="D44" sqref="D44"/>
    </sheetView>
  </sheetViews>
  <sheetFormatPr defaultColWidth="9.140625" defaultRowHeight="12.75" x14ac:dyDescent="0.2"/>
  <cols>
    <col min="1" max="2" width="15.5703125" style="39" customWidth="1"/>
    <col min="3" max="3" width="12.42578125" style="39" customWidth="1"/>
    <col min="4" max="4" width="16.42578125" style="39" customWidth="1"/>
    <col min="5" max="5" width="25" style="39" customWidth="1"/>
    <col min="6" max="6" width="12.5703125" style="39" customWidth="1"/>
    <col min="7" max="7" width="14.5703125" style="39" customWidth="1"/>
    <col min="8" max="8" width="25" style="39" customWidth="1"/>
    <col min="9" max="9" width="29.85546875" style="39" customWidth="1"/>
    <col min="10" max="10" width="12.5703125" style="39" customWidth="1"/>
    <col min="11" max="11" width="18.5703125" style="39" customWidth="1"/>
    <col min="12" max="12" width="15.42578125" style="39" bestFit="1" customWidth="1"/>
    <col min="13" max="13" width="13.28515625" style="39" customWidth="1"/>
    <col min="14" max="14" width="12.42578125" style="39" customWidth="1"/>
    <col min="15" max="16384" width="9.140625" style="39"/>
  </cols>
  <sheetData>
    <row r="1" spans="1:14" x14ac:dyDescent="0.2">
      <c r="A1" s="332" t="s">
        <v>281</v>
      </c>
      <c r="B1" s="332"/>
      <c r="C1" s="332"/>
      <c r="D1" s="332"/>
      <c r="E1" s="332"/>
      <c r="F1" s="332"/>
      <c r="G1" s="332"/>
      <c r="H1" s="332"/>
      <c r="I1" s="332"/>
      <c r="J1" s="332"/>
      <c r="K1" s="332"/>
      <c r="L1" s="332"/>
      <c r="M1" s="332"/>
      <c r="N1" s="332"/>
    </row>
    <row r="2" spans="1:14" x14ac:dyDescent="0.2">
      <c r="A2" s="332"/>
      <c r="B2" s="332"/>
      <c r="C2" s="332"/>
      <c r="D2" s="332"/>
      <c r="E2" s="332"/>
      <c r="F2" s="332"/>
      <c r="G2" s="332"/>
      <c r="H2" s="332"/>
      <c r="I2" s="332"/>
      <c r="J2" s="332"/>
      <c r="K2" s="332"/>
      <c r="L2" s="332"/>
      <c r="M2" s="332"/>
      <c r="N2" s="332"/>
    </row>
    <row r="3" spans="1:14" ht="47.25" x14ac:dyDescent="0.2">
      <c r="A3" s="79" t="s">
        <v>81</v>
      </c>
      <c r="B3" s="335" t="s">
        <v>515</v>
      </c>
      <c r="C3" s="335"/>
      <c r="D3" s="335"/>
      <c r="E3" s="317" t="s">
        <v>74</v>
      </c>
      <c r="F3" s="318"/>
      <c r="G3" s="205"/>
      <c r="H3" s="322" t="s">
        <v>311</v>
      </c>
      <c r="I3" s="322"/>
      <c r="J3" s="307" t="s">
        <v>264</v>
      </c>
      <c r="K3" s="308"/>
      <c r="L3" s="308"/>
      <c r="M3" s="309"/>
      <c r="N3" s="206"/>
    </row>
    <row r="4" spans="1:14" ht="31.5" x14ac:dyDescent="0.2">
      <c r="A4" s="79" t="s">
        <v>97</v>
      </c>
      <c r="B4" s="336">
        <v>12602</v>
      </c>
      <c r="C4" s="335"/>
      <c r="D4" s="335"/>
      <c r="E4" s="319" t="s">
        <v>293</v>
      </c>
      <c r="F4" s="320"/>
      <c r="G4" s="321">
        <v>72937</v>
      </c>
      <c r="H4" s="321"/>
      <c r="I4" s="206"/>
      <c r="J4" s="206"/>
      <c r="K4" s="206"/>
      <c r="L4" s="206"/>
      <c r="M4" s="206"/>
      <c r="N4" s="206"/>
    </row>
    <row r="6" spans="1:14" ht="15.75" x14ac:dyDescent="0.2">
      <c r="A6" s="333" t="s">
        <v>136</v>
      </c>
      <c r="B6" s="333"/>
      <c r="C6" s="334"/>
      <c r="D6" s="334"/>
    </row>
    <row r="7" spans="1:14" ht="12.75" customHeight="1" x14ac:dyDescent="0.2">
      <c r="A7" s="305" t="s">
        <v>495</v>
      </c>
      <c r="B7" s="306"/>
      <c r="C7" s="100" t="s">
        <v>295</v>
      </c>
      <c r="D7" s="100"/>
      <c r="E7" s="305" t="s">
        <v>297</v>
      </c>
      <c r="F7" s="313"/>
      <c r="G7" s="306"/>
      <c r="H7" s="305" t="s">
        <v>297</v>
      </c>
      <c r="I7" s="313"/>
      <c r="J7" s="306"/>
    </row>
    <row r="8" spans="1:14" ht="21.75" customHeight="1" x14ac:dyDescent="0.2">
      <c r="A8" s="203" t="s">
        <v>286</v>
      </c>
      <c r="B8" s="203" t="s">
        <v>62</v>
      </c>
      <c r="C8" s="207" t="s">
        <v>286</v>
      </c>
      <c r="D8" s="207" t="s">
        <v>62</v>
      </c>
      <c r="E8" s="207" t="s">
        <v>286</v>
      </c>
      <c r="F8" s="207" t="s">
        <v>62</v>
      </c>
      <c r="G8" s="207" t="s">
        <v>306</v>
      </c>
      <c r="H8" s="207" t="s">
        <v>286</v>
      </c>
      <c r="I8" s="207" t="s">
        <v>62</v>
      </c>
      <c r="J8" s="207" t="s">
        <v>306</v>
      </c>
    </row>
    <row r="9" spans="1:14" ht="191.45" customHeight="1" x14ac:dyDescent="0.2">
      <c r="A9" s="208" t="s">
        <v>496</v>
      </c>
      <c r="B9" s="209"/>
      <c r="C9" s="208" t="s">
        <v>296</v>
      </c>
      <c r="D9" s="209"/>
      <c r="E9" s="208" t="s">
        <v>535</v>
      </c>
      <c r="F9" s="245"/>
      <c r="G9" s="209"/>
      <c r="H9" s="208" t="s">
        <v>535</v>
      </c>
      <c r="I9" s="209"/>
      <c r="J9" s="209"/>
    </row>
    <row r="10" spans="1:14" ht="13.35" customHeight="1" x14ac:dyDescent="0.2">
      <c r="A10" s="338" t="s">
        <v>505</v>
      </c>
      <c r="B10" s="338"/>
      <c r="C10" s="100" t="s">
        <v>295</v>
      </c>
      <c r="D10" s="100"/>
      <c r="E10" s="305" t="s">
        <v>297</v>
      </c>
      <c r="F10" s="313"/>
      <c r="G10" s="306"/>
      <c r="H10" s="305" t="s">
        <v>297</v>
      </c>
      <c r="I10" s="313"/>
      <c r="J10" s="306"/>
    </row>
    <row r="11" spans="1:14" ht="13.35" customHeight="1" x14ac:dyDescent="0.2">
      <c r="A11" s="203" t="s">
        <v>286</v>
      </c>
      <c r="B11" s="203" t="s">
        <v>62</v>
      </c>
      <c r="C11" s="207" t="s">
        <v>286</v>
      </c>
      <c r="D11" s="207" t="s">
        <v>62</v>
      </c>
      <c r="E11" s="207" t="s">
        <v>286</v>
      </c>
      <c r="F11" s="207" t="s">
        <v>62</v>
      </c>
      <c r="G11" s="207" t="s">
        <v>306</v>
      </c>
      <c r="H11" s="207" t="s">
        <v>286</v>
      </c>
      <c r="I11" s="207" t="s">
        <v>62</v>
      </c>
      <c r="J11" s="207" t="s">
        <v>306</v>
      </c>
    </row>
    <row r="12" spans="1:14" ht="192.6" customHeight="1" x14ac:dyDescent="0.2">
      <c r="A12" s="208" t="s">
        <v>497</v>
      </c>
      <c r="B12" s="209"/>
      <c r="C12" s="208" t="s">
        <v>296</v>
      </c>
      <c r="D12" s="209"/>
      <c r="E12" s="208" t="s">
        <v>535</v>
      </c>
      <c r="F12" s="209"/>
      <c r="G12" s="209"/>
      <c r="H12" s="208" t="s">
        <v>535</v>
      </c>
      <c r="I12" s="209"/>
      <c r="J12" s="209"/>
    </row>
    <row r="13" spans="1:14" ht="13.35" customHeight="1" x14ac:dyDescent="0.2">
      <c r="A13" s="337" t="s">
        <v>287</v>
      </c>
      <c r="B13" s="337"/>
      <c r="C13" s="337"/>
      <c r="D13" s="210"/>
      <c r="H13" s="211"/>
      <c r="I13" s="212"/>
      <c r="J13" s="212"/>
    </row>
    <row r="14" spans="1:14" ht="16.5" thickBot="1" x14ac:dyDescent="0.25">
      <c r="A14" s="80" t="s">
        <v>134</v>
      </c>
      <c r="B14" s="205"/>
      <c r="C14" s="205"/>
      <c r="D14" s="205"/>
      <c r="E14" s="205"/>
      <c r="F14" s="205"/>
      <c r="G14" s="205"/>
      <c r="H14" s="205"/>
      <c r="I14" s="205"/>
      <c r="J14" s="205"/>
      <c r="K14" s="205"/>
      <c r="L14" s="205"/>
      <c r="M14" s="205"/>
    </row>
    <row r="15" spans="1:14" ht="13.5" thickBot="1" x14ac:dyDescent="0.25">
      <c r="A15" s="213" t="s">
        <v>252</v>
      </c>
      <c r="B15" s="314"/>
      <c r="C15" s="314"/>
      <c r="D15" s="314"/>
      <c r="E15" s="314"/>
      <c r="F15" s="339"/>
      <c r="G15" s="339"/>
      <c r="H15" s="310"/>
      <c r="I15" s="311"/>
      <c r="J15" s="310"/>
      <c r="K15" s="311"/>
      <c r="L15" s="310"/>
      <c r="M15" s="311"/>
    </row>
    <row r="16" spans="1:14" ht="26.25" thickBot="1" x14ac:dyDescent="0.25">
      <c r="A16" s="214" t="s">
        <v>251</v>
      </c>
      <c r="B16" s="323"/>
      <c r="C16" s="324"/>
      <c r="D16" s="323"/>
      <c r="E16" s="324"/>
      <c r="F16" s="315"/>
      <c r="G16" s="316"/>
      <c r="H16" s="310"/>
      <c r="I16" s="311"/>
      <c r="J16" s="310"/>
      <c r="K16" s="311"/>
      <c r="L16" s="310"/>
      <c r="M16" s="311"/>
    </row>
    <row r="17" spans="1:13" ht="16.5" thickBot="1" x14ac:dyDescent="0.25">
      <c r="A17" s="80" t="s">
        <v>135</v>
      </c>
      <c r="B17" s="205"/>
      <c r="C17" s="205"/>
      <c r="D17" s="205"/>
      <c r="E17" s="205"/>
      <c r="F17" s="205"/>
      <c r="G17" s="205"/>
      <c r="H17" s="205"/>
      <c r="I17" s="205"/>
      <c r="J17" s="205"/>
      <c r="K17" s="205"/>
      <c r="L17" s="205"/>
      <c r="M17" s="205"/>
    </row>
    <row r="18" spans="1:13" ht="13.5" thickBot="1" x14ac:dyDescent="0.25">
      <c r="A18" s="213" t="s">
        <v>252</v>
      </c>
      <c r="B18" s="314"/>
      <c r="C18" s="314"/>
      <c r="D18" s="314"/>
      <c r="E18" s="314"/>
      <c r="F18" s="310"/>
      <c r="G18" s="311"/>
      <c r="H18" s="310"/>
      <c r="I18" s="311"/>
      <c r="J18" s="310"/>
      <c r="K18" s="311"/>
      <c r="L18" s="310"/>
      <c r="M18" s="311"/>
    </row>
    <row r="19" spans="1:13" ht="26.25" thickBot="1" x14ac:dyDescent="0.25">
      <c r="A19" s="214" t="s">
        <v>251</v>
      </c>
      <c r="B19" s="323"/>
      <c r="C19" s="324"/>
      <c r="D19" s="323"/>
      <c r="E19" s="324"/>
      <c r="F19" s="312"/>
      <c r="G19" s="311"/>
      <c r="H19" s="312"/>
      <c r="I19" s="311"/>
      <c r="J19" s="310"/>
      <c r="K19" s="311"/>
      <c r="L19" s="310"/>
      <c r="M19" s="311"/>
    </row>
    <row r="20" spans="1:13" ht="13.35" customHeight="1" thickBot="1" x14ac:dyDescent="0.25">
      <c r="A20" s="213" t="s">
        <v>252</v>
      </c>
      <c r="B20" s="310"/>
      <c r="C20" s="311"/>
      <c r="D20" s="310"/>
      <c r="E20" s="311"/>
      <c r="F20" s="310"/>
      <c r="G20" s="311"/>
      <c r="H20" s="310"/>
      <c r="I20" s="311"/>
      <c r="J20" s="310"/>
      <c r="K20" s="311"/>
      <c r="L20" s="310"/>
      <c r="M20" s="311"/>
    </row>
    <row r="21" spans="1:13" ht="26.25" thickBot="1" x14ac:dyDescent="0.25">
      <c r="A21" s="214" t="s">
        <v>251</v>
      </c>
      <c r="B21" s="310"/>
      <c r="C21" s="311"/>
      <c r="D21" s="310"/>
      <c r="E21" s="311"/>
      <c r="F21" s="310"/>
      <c r="G21" s="311"/>
      <c r="H21" s="310"/>
      <c r="I21" s="311"/>
      <c r="J21" s="310"/>
      <c r="K21" s="311"/>
      <c r="L21" s="310"/>
      <c r="M21" s="311"/>
    </row>
    <row r="22" spans="1:13" ht="18" x14ac:dyDescent="0.25">
      <c r="A22" s="215" t="s">
        <v>284</v>
      </c>
      <c r="I22" s="216" t="s">
        <v>316</v>
      </c>
    </row>
    <row r="23" spans="1:13" ht="30" x14ac:dyDescent="0.25">
      <c r="A23" s="331" t="s">
        <v>137</v>
      </c>
      <c r="B23" s="331"/>
      <c r="C23" s="217" t="s">
        <v>317</v>
      </c>
      <c r="D23" s="218" t="s">
        <v>131</v>
      </c>
      <c r="E23" s="217" t="s">
        <v>278</v>
      </c>
      <c r="F23" s="217" t="s">
        <v>320</v>
      </c>
      <c r="G23" s="218" t="s">
        <v>131</v>
      </c>
      <c r="I23" s="354" t="s">
        <v>137</v>
      </c>
      <c r="J23" s="354"/>
      <c r="K23" s="219" t="s">
        <v>278</v>
      </c>
    </row>
    <row r="24" spans="1:13" ht="29.25" customHeight="1" x14ac:dyDescent="0.25">
      <c r="A24" s="330" t="s">
        <v>160</v>
      </c>
      <c r="B24" s="304"/>
      <c r="C24" s="220">
        <f>IF($B$3="","",COUNTIF('Data Summary'!$C2:$C234,"INVALID")+COUNTIF('Data Summary'!$C2:$C234,"SPC CT=0"))</f>
        <v>0</v>
      </c>
      <c r="D24" s="221" t="str">
        <f>IF($B$3="","",IF(C24&gt;Specifications!$E$5,"Resample","Pass"))</f>
        <v>Pass</v>
      </c>
      <c r="E24" s="221" t="str">
        <f>IF($J$3="","",IF($J$3="Visual Only Resample","NA",IF($J$3="Delam and Visual Resample","NA",IF($J$3="NA","NA",(COUNTIF('Resample Data Summary'!$C8:$C234,"INVALID"))))))</f>
        <v>NA</v>
      </c>
      <c r="F24" s="221" t="str">
        <f t="shared" ref="F24:F31" si="0">IF($J$3="","",IF($J$3="Visual Only Resample","NA",IF($J$3="Delam and Visual Resample","NA",IF($J$3="NA","NA",(SUM(E24+C24))))))</f>
        <v>NA</v>
      </c>
      <c r="G24" s="221" t="str">
        <f>IF(J3="","",IF(E24="NA","NA",IF((C24+E24)&gt;Specifications!E6,"Fail","Pass")))</f>
        <v>NA</v>
      </c>
      <c r="I24" s="353" t="s">
        <v>309</v>
      </c>
      <c r="J24" s="353"/>
      <c r="K24" s="222" t="s">
        <v>264</v>
      </c>
    </row>
    <row r="25" spans="1:13" ht="15" x14ac:dyDescent="0.25">
      <c r="A25" s="304" t="s">
        <v>150</v>
      </c>
      <c r="B25" s="304"/>
      <c r="C25" s="221">
        <f>IF($B$3="","",COUNTA('Data Summary'!$C2:$C234) - COUNTIFS('Data Summary'!$C2:$C234, "&lt;&gt;Error 5001:*",'Data Summary'!$C2:$C234, "&lt;&gt;Error 5002:*", 'Data Summary'!$C2:$C234, "&lt;&gt;Error 5003:*", 'Data Summary'!$C2:$C234, "&lt;&gt;Error 5004:*", 'Data Summary'!$C2:$C234, "&lt;&gt;Error 5005:*", 'Data Summary'!$C2:$C234, "&lt;&gt;Error 5015:*", 'Data Summary'!$C2:$C234, "&lt;&gt;Error 5016:*", 'Data Summary'!$C2:$C234, "&lt;&gt;"))</f>
        <v>0</v>
      </c>
      <c r="D25" s="221" t="str">
        <f>IF($B$3="","",IF(C25&gt;Specifications!$E$5,"Resample","Pass"))</f>
        <v>Pass</v>
      </c>
      <c r="E25" s="221" t="str">
        <f>IF($J$3="","",IF($J$3="Visual Only Resample","NA",IF($J$3="Delam and Visual Resample","NA",IF($J$3="NA","NA",(COUNTA('Resample Data Summary'!$C$8:$C$234) - COUNTIFS('Resample Data Summary'!$C$8:$C$234, "&lt;&gt;Error 5001:*",'Resample Data Summary'!$C$8:$C$234, "&lt;&gt;Error 5002:*", 'Resample Data Summary'!$C$8:$C$234, "&lt;&gt;Error 5003:*", 'Resample Data Summary'!$C$8:$C$234, "&lt;&gt;Error 5004:*", 'Resample Data Summary'!$C$8:$C$234, "&lt;&gt;Error 5005:*", 'Resample Data Summary'!$C$8:$C$234, "&lt;&gt;Error 5015:*", 'Resample Data Summary'!$C$8:$C$234, "&lt;&gt;Error 5016:*", 'Resample Data Summary'!$C$8:$C$234, "&lt;&gt;"))))))</f>
        <v>NA</v>
      </c>
      <c r="F25" s="221" t="str">
        <f t="shared" si="0"/>
        <v>NA</v>
      </c>
      <c r="G25" s="221" t="str">
        <f>IF(J3="","",IF(E25="NA","NA",IF((C25+E25)&gt;Specifications!E6,"Fail","Pass")))</f>
        <v>NA</v>
      </c>
      <c r="I25" s="353" t="s">
        <v>310</v>
      </c>
      <c r="J25" s="353"/>
      <c r="K25" s="222" t="s">
        <v>264</v>
      </c>
    </row>
    <row r="26" spans="1:13" ht="15" x14ac:dyDescent="0.25">
      <c r="A26" s="304" t="s">
        <v>149</v>
      </c>
      <c r="B26" s="304"/>
      <c r="C26" s="221">
        <f>IF($B$3="","",COUNTIFS('Data Summary'!$C2:$C234,"Error 5007*",'Data Summary'!$C2:$C234,"&lt;&gt;"&amp;"Error 5017*",'Data Summary'!$C2:$C234,"&lt;&gt;"&amp;"Error 5019*")+COUNTIFS('Data Summary'!$C2:$C234,"Error 5017*",'Data Summary'!$C2:$C234,"&lt;&gt;"&amp;"Error 5019*")+COUNTIF('Data Summary'!$C2:$C234,"Error 5019*"))</f>
        <v>0</v>
      </c>
      <c r="D26" s="221" t="str">
        <f>IF($B$3="","",IF(C26&gt;Specifications!$E$5,"Resample","Pass"))</f>
        <v>Pass</v>
      </c>
      <c r="E26" s="221" t="str">
        <f>IF($J$3="","",IF($J$3="Visual Only Resample","NA",IF($J$3="Delam and Visual Resample","NA",IF($J$3="NA","NA",(COUNTIFS('Resample Data Summary'!$C$8:$C$234,"Error 5007*",'Resample Data Summary'!$C$8:$C$234,"&lt;&gt;"&amp;"Error 5017*",'Resample Data Summary'!$C$8:$C$234,"&lt;&gt;"&amp;"Error 5019*")+COUNTIFS('Resample Data Summary'!$C$8:$C$234,"Error 5017*",'Resample Data Summary'!$C$8:$C$234,"&lt;&gt;"&amp;"Error 5019*")+COUNTIF('Resample Data Summary'!$C$8:$C$234,"Error 5019*"))))))</f>
        <v>NA</v>
      </c>
      <c r="F26" s="221" t="str">
        <f t="shared" si="0"/>
        <v>NA</v>
      </c>
      <c r="G26" s="221" t="str">
        <f>IF(J3="","",IF(E26="NA","NA",IF((C26+E26)&gt;Specifications!E6,"Fail","Pass")))</f>
        <v>NA</v>
      </c>
      <c r="I26" s="353" t="s">
        <v>253</v>
      </c>
      <c r="J26" s="353"/>
      <c r="K26" s="222" t="s">
        <v>264</v>
      </c>
    </row>
    <row r="27" spans="1:13" ht="15" x14ac:dyDescent="0.25">
      <c r="A27" s="304" t="s">
        <v>151</v>
      </c>
      <c r="B27" s="304"/>
      <c r="C27" s="221">
        <f>IF($B$3="","",COUNTIFS('Data Summary'!$C2:$C234,"Error 5006*",'Data Summary'!$C2:$C234,"&lt;&gt;"&amp;"Error 5018*")+COUNTIF('Data Summary'!$C2:$C234,"Error 5018*"))</f>
        <v>0</v>
      </c>
      <c r="D27" s="221" t="str">
        <f>IF($B$3="","",IF(C27&gt;Specifications!$E$5,"Resample","Pass"))</f>
        <v>Pass</v>
      </c>
      <c r="E27" s="221" t="str">
        <f>IF($J$3="","",IF($J$3="Visual Only Resample","NA",IF($J$3="Delam and Visual Resample","NA",IF($J$3="NA","NA",(COUNTIFS('Resample Data Summary'!$C8:$C212,"Error 5006*",'Resample Data Summary'!$C8:$C212,"&lt;&gt;"&amp;"Error 5018*")+COUNTIF('Resample Data Summary'!$C8:$C212,"Error 5018*"))))))</f>
        <v>NA</v>
      </c>
      <c r="F27" s="221" t="str">
        <f t="shared" si="0"/>
        <v>NA</v>
      </c>
      <c r="G27" s="221" t="str">
        <f>IF(J3="","",IF(E27="NA","NA",IF((C27+E27)&gt;Specifications!E6,"Fail","Pass")))</f>
        <v>NA</v>
      </c>
      <c r="I27" s="39" t="s">
        <v>401</v>
      </c>
    </row>
    <row r="28" spans="1:13" ht="15" x14ac:dyDescent="0.25">
      <c r="A28" s="304" t="s">
        <v>519</v>
      </c>
      <c r="B28" s="304"/>
      <c r="C28" s="221">
        <f>IF($B$3="","",COUNTIF('Data Summary'!$C2:$C234,"Minor Functional"))</f>
        <v>5</v>
      </c>
      <c r="D28" s="221" t="str">
        <f>IF($B$3="","",IF(C28&gt;Specifications!$E$5,"Resample","Pass"))</f>
        <v>Resample</v>
      </c>
      <c r="E28" s="221" t="str">
        <f>IF($B$3="","",IF($J$3="Visual Only Resample","NA",IF($J$3="Delam and Visual Resample","NA",IF($J$3="NA","NA",COUNTIF('Resample Data Summary'!$C2:$C234,"Minor Functional")))))</f>
        <v>NA</v>
      </c>
      <c r="F28" s="221" t="str">
        <f t="shared" si="0"/>
        <v>NA</v>
      </c>
      <c r="G28" s="221" t="str">
        <f>IF($J$3="","",IF(E28="NA","NA",IF((C28+E28)&gt;Specifications!E6,"Fail","Pass")))</f>
        <v>NA</v>
      </c>
    </row>
    <row r="29" spans="1:13" ht="15" x14ac:dyDescent="0.25">
      <c r="A29" s="304" t="s">
        <v>152</v>
      </c>
      <c r="B29" s="327"/>
      <c r="C29" s="221">
        <f>IF($B$3="","",COUNTIF('Data Summary'!$C2:$C234,"*Error 2037*")+COUNTIF('Data Summary'!$C2:$C234,"*Error 5011*"))</f>
        <v>0</v>
      </c>
      <c r="D29" s="221" t="str">
        <f>IF($B$3="","",IF(C29&gt;Specifications!$E$5,"Resample","Pass"))</f>
        <v>Pass</v>
      </c>
      <c r="E29" s="221" t="str">
        <f>IF($J$3="","",IF($J$3="Visual Only Resample","NA",IF($J$3="Delam and Visual Resample","NA",IF($J$3="NA","NA",(COUNTIF('Resample Data Summary'!$C$8:$C$234,"*Error 2037*")+COUNTIF('Resample Data Summary'!$C$8:$C$234,"*Error 5011*"))))))</f>
        <v>NA</v>
      </c>
      <c r="F29" s="221" t="str">
        <f t="shared" si="0"/>
        <v>NA</v>
      </c>
      <c r="G29" s="221" t="str">
        <f>IF(J3="","",IF(E29="NA","NA",IF((C29+E29)&gt;Specifications!E6,"Fail","Pass")))</f>
        <v>NA</v>
      </c>
    </row>
    <row r="30" spans="1:13" ht="27.75" customHeight="1" x14ac:dyDescent="0.25">
      <c r="A30" s="328" t="s">
        <v>153</v>
      </c>
      <c r="B30" s="329"/>
      <c r="C30" s="221">
        <f>IF($B$3="","",
COUNTIFS('Data Summary'!D10:D19,"FAIL",'Data Summary'!C10:C19,"PASS")
+COUNTIFS('Data Summary'!D25:D124,"FAIL",'Data Summary'!C25:C124,"PASS")
+COUNTIFS('Data Summary'!D130:D209,"FAIL",'Data Summary'!C130:C209,"PASS")
+COUNTIFS('Data Summary'!D215:D234,"FAIL",'Data Summary'!C215:C234,"PASS")
+COUNTIFS('Data Summary'!D10:D19,"FAIL",'Data Summary'!C10:C19,"ERROR*")
+COUNTIFS('Data Summary'!D25:D124,"FAIL",'Data Summary'!C25:C124,"ERROR*")
+COUNTIFS('Data Summary'!D130:D209,"FAIL",'Data Summary'!C130:C209,"ERROR*")
+COUNTIFS('Data Summary'!D215:D234,"FAIL",'Data Summary'!C215:C234,"ERROR*")
+COUNTIFS('Data Summary'!D10:D19,"PASS",'Data Summary'!C10:C19,"ERROR 2008*")
+COUNTIFS('Data Summary'!D25:D124,"PASS",'Data Summary'!C25:C124,"ERROR 2008*")
+COUNTIFS('Data Summary'!D130:D209,"PASS",'Data Summary'!C130:C209,"ERROR 2008*")
+COUNTIFS('Data Summary'!D215:D234,"PASS",'Data Summary'!C215:C234,"ERROR 2008*")
+COUNTIFS('Data Summary'!D10:D19,"FAIL",'Data Summary'!C10:C19,"MAJOR FUNCTIONAL")
+COUNTIFS('Data Summary'!D25:D124,"FAIL",'Data Summary'!C25:C124,"MAJOR FUNCTIONAL")
+COUNTIFS('Data Summary'!D130:D209,"FAIL",'Data Summary'!C130:C209,"MAJOR FUNCTIONAL")
+COUNTIFS('Data Summary'!D215:D234,"FAIL",'Data Summary'!C215:C234,"MAJOR FUNCTIONAL")
+COUNTIFS('Data Summary'!D10:D19,"FAIL",'Data Summary'!C10:C19,"INVALID")
+COUNTIFS('Data Summary'!D25:D124,"FAIL",'Data Summary'!C25:C124,"INVALID")
+COUNTIFS('Data Summary'!D130:D209,"FAIL",'Data Summary'!C130:C209,"INVALID")
+COUNTIFS('Data Summary'!D215:D234,"FAIL",'Data Summary'!C215:C234,"INVALID"))</f>
        <v>0</v>
      </c>
      <c r="D30" s="221" t="str">
        <f>IF($B$3="","",IF(C30&gt;Specifications!$E$5,"Resample","Pass"))</f>
        <v>Pass</v>
      </c>
      <c r="E30" s="221" t="str">
        <f>IF($J$3="","",
IF($J$3="Visual Only Resample","NA",
IF($J$3="Delam and Visual Resample","NA",
IF($J$3="NA","NA",
COUNTIFS('Resample Data Summary'!D10:D19,"FAIL",'Resample Data Summary'!C10:C19,"PASS")
+COUNTIFS('Resample Data Summary'!D25:D124,"FAIL",'Resample Data Summary'!C25:C124,"PASS")
+COUNTIFS('Resample Data Summary'!D130:D209,"FAIL",'Resample Data Summary'!C130:C209,"PASS")
+COUNTIFS('Resample Data Summary'!D215:D234,"FAIL",'Resample Data Summary'!C215:C234,"PASS")
+COUNTIFS('Resample Data Summary'!D10:D19,"FAIL",'Resample Data Summary'!C10:C19,"ERROR*")
+COUNTIFS('Resample Data Summary'!D25:D124,"FAIL",'Resample Data Summary'!C25:C124,"ERROR*")
+COUNTIFS('Resample Data Summary'!D130:D209,"FAIL",'Resample Data Summary'!C130:C209,"ERROR*")
+COUNTIFS('Resample Data Summary'!D215:D234,"FAIL",'Resample Data Summary'!C215:C234,"ERROR*")
+COUNTIFS('Resample Data Summary'!D10:D19,"PASS",'Resample Data Summary'!C10:C19,"ERROR 2008*")
+COUNTIFS('Resample Data Summary'!D25:D124,"PASS",'Resample Data Summary'!C25:C124,"ERROR 2008*")
+COUNTIFS('Resample Data Summary'!D130:D209,"PASS",'Resample Data Summary'!C130:C209,"ERROR 2008*")
+COUNTIFS('Resample Data Summary'!D215:D234,"PASS",'Resample Data Summary'!C215:C234,"ERROR 2008*")
+COUNTIFS('Resample Data Summary'!D10:D19,"FAIL",'Resample Data Summary'!C10:C19,"MAJOR FUNCTIONAL")
+COUNTIFS('Resample Data Summary'!D25:D124,"FAIL",'Resample Data Summary'!C25:C124,"MAJOR FUNCTIONAL")
+COUNTIFS('Resample Data Summary'!D130:D209,"FAIL",'Resample Data Summary'!C130:C209,"MAJOR FUNCTIONAL")
+COUNTIFS('Resample Data Summary'!D215:D234,"FAIL",'Resample Data Summary'!C215:C234,"MAJOR FUNCTIONAL")
+COUNTIFS('Resample Data Summary'!D10:D19,"FAIL",'Resample Data Summary'!C10:C19,"INVALID")
+COUNTIFS('Resample Data Summary'!D25:D124,"FAIL",'Resample Data Summary'!C25:C124,"INVALID")
+COUNTIFS('Resample Data Summary'!D130:D209,"FAIL",'Resample Data Summary'!C130:C209,"INVALID")
+COUNTIFS('Resample Data Summary'!D215:D234,"FAIL",'Resample Data Summary'!C215:C234,"INVALID")))))</f>
        <v>NA</v>
      </c>
      <c r="F30" s="221" t="str">
        <f t="shared" si="0"/>
        <v>NA</v>
      </c>
      <c r="G30" s="221" t="str">
        <f>IF(J3="","",IF(E30="NA","NA",IF((C30+E30)&gt;Specifications!E6,"Fail","Pass")))</f>
        <v>NA</v>
      </c>
      <c r="I30" s="216" t="s">
        <v>359</v>
      </c>
    </row>
    <row r="31" spans="1:13" ht="29.25" customHeight="1" x14ac:dyDescent="0.25">
      <c r="A31" s="328" t="s">
        <v>154</v>
      </c>
      <c r="B31" s="329"/>
      <c r="C31" s="221">
        <f>IF($B$3="","",COUNTIF('Data Summary'!$C2:$C234,"*Error 2096*")+COUNTIF('Data Summary'!$C2:$C234,"*Error 2097*")+COUNTIF('Data Summary'!$C2:$C234,"*Error 2125*"))</f>
        <v>0</v>
      </c>
      <c r="D31" s="221" t="str">
        <f>IF($B$3="","",IF(C31&gt;Specifications!$E$5,"Resample","Pass"))</f>
        <v>Pass</v>
      </c>
      <c r="E31" s="221" t="str">
        <f>IF($J$3="","",IF($J$3="Visual Only Resample","NA",IF($J$3="Delam and Visual Resample","NA",IF($J$3="NA","NA",(COUNTIF('Resample Data Summary'!$C$8:$C$234,"*Error 2096*")+COUNTIF('Resample Data Summary'!$C$8:$C$234,"*Error 2097*")+COUNTIF('Resample Data Summary'!$C$2:$C$234,"*Error 2125*"))))))</f>
        <v>NA</v>
      </c>
      <c r="F31" s="221" t="str">
        <f t="shared" si="0"/>
        <v>NA</v>
      </c>
      <c r="G31" s="221" t="str">
        <f>IF(J3="","",IF(E31="NA","NA",IF((C31+E31)&gt;Specifications!E6,"Fail","Pass")))</f>
        <v>NA</v>
      </c>
      <c r="I31" s="331" t="s">
        <v>137</v>
      </c>
      <c r="J31" s="331"/>
      <c r="K31" s="331"/>
      <c r="L31" s="217" t="s">
        <v>317</v>
      </c>
      <c r="M31" s="217" t="s">
        <v>278</v>
      </c>
    </row>
    <row r="32" spans="1:13" ht="15" x14ac:dyDescent="0.25">
      <c r="A32" s="325" t="s">
        <v>253</v>
      </c>
      <c r="B32" s="326"/>
      <c r="C32" s="221">
        <f>IF($B$3="","",COUNTIF('Data Summary'!$C2:$C234,"DELAMINATION"))</f>
        <v>0</v>
      </c>
      <c r="D32" s="221" t="str">
        <f>IF($B$3="","",IF(C32&gt;Specifications!$E$5,"Resample","Pass"))</f>
        <v>Pass</v>
      </c>
      <c r="E32" s="221" t="str">
        <f>IF($J$3="","",IF($J$3="Visual Only Resample","NA",IF($J$3="Delam and Visual Resample",K26,IF($J$3="NA","NA",(COUNTIF('Resample Data Summary'!$C$25:$C$234,"DELAMINATION"))))))</f>
        <v>NA</v>
      </c>
      <c r="F32" s="221" t="str">
        <f>IF($J$3="","",IF($J$3="Visual Only Resample","NA",IF($J$3="NA","NA",(SUM(E32+C32)))))</f>
        <v>NA</v>
      </c>
      <c r="G32" s="221" t="str">
        <f>IF(J3="","",IF(E32="NA","NA",IF((C32+E32)&gt;Specifications!E6,"Fail","Pass")))</f>
        <v>NA</v>
      </c>
      <c r="I32" s="325" t="s">
        <v>249</v>
      </c>
      <c r="J32" s="352"/>
      <c r="K32" s="326"/>
      <c r="L32" s="221">
        <f>IF($B$3="","",COUNTIF('Data Summary'!$C$130:$C$209,"MAJOR FUNCTIONAL")+COUNTIF('Data Summary'!$C$215:$C$234,"MAJOR FUNCTIONAL"))</f>
        <v>0</v>
      </c>
      <c r="M32" s="221" t="str">
        <f>IF($J$3="","",IF($J$3="Seal Testing and Visual Resample","NA",IF($J$3="Visual Only Resample","NA",IF($J$3="Delam and Visual Resample","NA",IF($J$3="NA","NA",COUNTIF('Resample Data Summary'!C130:C209,"MAJOR FUNCTIONAL")+COUNTIF('Resample Data Summary'!C215:C234,"MAJOR FUNCTIONAL"))))))</f>
        <v>NA</v>
      </c>
    </row>
    <row r="33" spans="1:13" ht="15" x14ac:dyDescent="0.25">
      <c r="I33" s="325" t="s">
        <v>250</v>
      </c>
      <c r="J33" s="352"/>
      <c r="K33" s="326"/>
      <c r="L33" s="221">
        <f>IF($B$3="","",COUNTIF('Data Summary'!$C$10:$C$19,"MAJOR FUNCTIONAL")+COUNTIF('Data Summary'!$C$25:$C$124,"MAJOR FUNCTIONAL"))</f>
        <v>0</v>
      </c>
      <c r="M33" s="221" t="str">
        <f>IF($J$3="","",IF($J$3="Seal Testing and Visual Resample","NA",IF($J$3="Visual Only Resample","NA",IF($J$3="Delam and Visual Resample","NA",IF($J$3="NA","NA",COUNTIF('Resample Data Summary'!C25:C124,"MAJOR FUNCTIONAL"))))))</f>
        <v>NA</v>
      </c>
    </row>
    <row r="34" spans="1:13" ht="15" x14ac:dyDescent="0.25">
      <c r="A34" s="224"/>
      <c r="B34" s="225"/>
      <c r="C34" s="224"/>
      <c r="D34" s="224"/>
      <c r="E34" s="224"/>
      <c r="F34" s="224"/>
      <c r="I34" s="304" t="s">
        <v>85</v>
      </c>
      <c r="J34" s="304"/>
      <c r="K34" s="304"/>
      <c r="L34" s="221">
        <f>IF($B$3="","",COUNTIF('Data Summary'!$C:$C,"MAJOR VISUAL"))</f>
        <v>0</v>
      </c>
      <c r="M34" s="221" t="str">
        <f>IF($J$3="","",IF($J$3="","0",IF($J$3="Seal Testing and Visual Resample",K25,IF($J$3="Visual Only Resample",K25,IF($J$3="Delam and Visual Resample",K25,IF($J$3="Full Resample ",COUNTIF('Resample Data Summary'!$C:$C,"MAJOR VISUAL"),IF($J$3="NA","NA",IF($J$3="Functional And Visual Resample",COUNTIF('Resample Data Summary'!$C:$C,"MAJOR VISUAL")))))))))</f>
        <v>NA</v>
      </c>
    </row>
    <row r="35" spans="1:13" ht="15" x14ac:dyDescent="0.25">
      <c r="A35" s="224"/>
      <c r="B35" s="226" t="s">
        <v>319</v>
      </c>
      <c r="C35" s="221">
        <f>IF($B$3="","",IF(COUNTBLANK(C24:C32)=9,"ND",MAX(C24:C32)))</f>
        <v>5</v>
      </c>
      <c r="D35" s="224"/>
      <c r="E35" s="224"/>
      <c r="F35" s="221" t="str">
        <f>IF(J3="","",IF(J3="NA","NA",IF(COUNTBLANK(E24:E32)+COUNTIF(E24:E32,"N*")=9,"ND",MAX(F24:F32))))</f>
        <v>NA</v>
      </c>
    </row>
    <row r="36" spans="1:13" ht="15" x14ac:dyDescent="0.25">
      <c r="A36" s="224"/>
      <c r="B36" s="224"/>
      <c r="C36" s="224"/>
      <c r="D36" s="224"/>
      <c r="E36" s="224"/>
      <c r="F36" s="224"/>
    </row>
    <row r="37" spans="1:13" ht="15.75" x14ac:dyDescent="0.25">
      <c r="A37" s="224"/>
      <c r="B37" s="226" t="s">
        <v>265</v>
      </c>
      <c r="C37" s="227">
        <f>Specifications!$E$5</f>
        <v>4</v>
      </c>
      <c r="D37" s="224"/>
      <c r="E37" s="224"/>
      <c r="F37" s="228">
        <f>Specifications!$E$6</f>
        <v>10</v>
      </c>
    </row>
    <row r="38" spans="1:13" ht="15.75" x14ac:dyDescent="0.25">
      <c r="A38" s="224"/>
      <c r="B38" s="229" t="s">
        <v>266</v>
      </c>
      <c r="C38" s="229" t="s">
        <v>267</v>
      </c>
      <c r="D38" s="224"/>
      <c r="E38" s="224"/>
      <c r="F38" s="229" t="s">
        <v>268</v>
      </c>
    </row>
    <row r="39" spans="1:13" ht="15.75" x14ac:dyDescent="0.25">
      <c r="A39" s="224"/>
      <c r="B39" s="229"/>
      <c r="C39" s="229"/>
      <c r="D39" s="224"/>
      <c r="E39" s="224"/>
      <c r="F39" s="229"/>
    </row>
    <row r="40" spans="1:13" ht="15.75" x14ac:dyDescent="0.2">
      <c r="A40" s="81" t="s">
        <v>360</v>
      </c>
    </row>
    <row r="41" spans="1:13" ht="30" x14ac:dyDescent="0.25">
      <c r="A41" s="331" t="s">
        <v>137</v>
      </c>
      <c r="B41" s="331"/>
      <c r="C41" s="331"/>
      <c r="D41" s="218" t="s">
        <v>317</v>
      </c>
      <c r="E41" s="223" t="s">
        <v>321</v>
      </c>
      <c r="F41" s="331" t="s">
        <v>131</v>
      </c>
      <c r="G41" s="331"/>
      <c r="H41" s="223" t="s">
        <v>278</v>
      </c>
      <c r="I41" s="223" t="s">
        <v>321</v>
      </c>
      <c r="J41" s="223" t="s">
        <v>318</v>
      </c>
      <c r="K41" s="218" t="s">
        <v>131</v>
      </c>
    </row>
    <row r="42" spans="1:13" ht="15" x14ac:dyDescent="0.25">
      <c r="A42" s="304" t="s">
        <v>69</v>
      </c>
      <c r="B42" s="304"/>
      <c r="C42" s="304"/>
      <c r="D42" s="221">
        <f>IF($B$3="","",COUNTIF('Data - Replaced'!$A$2:$A$1048576,"&lt;&gt;")+'Data Summary'!$D$6+'Data Summary'!$D$21+'Data Summary'!$D$126+'Data Summary'!$D$211)</f>
        <v>210</v>
      </c>
      <c r="E42" s="218" t="s">
        <v>264</v>
      </c>
      <c r="F42" s="331"/>
      <c r="G42" s="331"/>
      <c r="H42" s="221" t="str">
        <f>IF($J$3="","",IF($J$3="Seal Testing and Visual Resample","NA",IF($J$3="Visual Only Resample","NA",IF($J$3="Delam and Visual Resample","NA",IF($J$3="NA","NA",IF($J$3="","",COUNTIF('Data - Resample Replaced '!$A$2:$A$1034,"&lt;&gt;")+'Resample Data Summary'!$D$21+'Resample Data Summary'!$D$126+'Resample Data Summary'!$D$211))))))</f>
        <v>NA</v>
      </c>
      <c r="I42" s="218" t="s">
        <v>264</v>
      </c>
      <c r="J42" s="218" t="s">
        <v>264</v>
      </c>
      <c r="K42" s="231"/>
    </row>
    <row r="43" spans="1:13" ht="15" x14ac:dyDescent="0.25">
      <c r="A43" s="304" t="s">
        <v>70</v>
      </c>
      <c r="B43" s="304"/>
      <c r="C43" s="304"/>
      <c r="D43" s="221">
        <f>IF($B$3="","",'Data Summary'!$D$6+'Data Summary'!$D$21+'Data Summary'!$D$126+'Data Summary'!D211)</f>
        <v>210</v>
      </c>
      <c r="E43" s="218" t="s">
        <v>264</v>
      </c>
      <c r="F43" s="331"/>
      <c r="G43" s="331"/>
      <c r="H43" s="221" t="str">
        <f>IF($J$3="","",IF($J$3="Seal Testing and Visual Resample","NA",IF($J$3="Visual Only Resample","NA",IF($J$3="Delam and Visual Resample","NA",IF($J$3="NA","NA",('Resample Data Summary'!$D$21+'Resample Data Summary'!$D$126+'Resample Data Summary'!D211))))))</f>
        <v>NA</v>
      </c>
      <c r="I43" s="218" t="s">
        <v>264</v>
      </c>
      <c r="J43" s="218" t="s">
        <v>264</v>
      </c>
      <c r="K43" s="231"/>
    </row>
    <row r="44" spans="1:13" ht="15" x14ac:dyDescent="0.25">
      <c r="A44" s="304" t="s">
        <v>292</v>
      </c>
      <c r="B44" s="304"/>
      <c r="C44" s="304"/>
      <c r="D44" s="221">
        <f>IF($B$3="","",
COUNTIFS('Data Summary'!D10:D19,"FAIL",'Data Summary'!C10:C19,"PASS")
+COUNTIFS('Data Summary'!D25:D124,"FAIL",'Data Summary'!C25:C124,"PASS")
+COUNTIFS('Data Summary'!D130:D209,"FAIL",'Data Summary'!C130:C209,"PASS")
+COUNTIFS('Data Summary'!D215:D234,"FAIL",'Data Summary'!C215:C234,"PASS")
+SUM(C24:C29,C31:C32)
+COUNTIFS('Data Summary'!D10:D19,"FAIL",'Data Summary'!C10:C19,"ERROR 2008*")
+COUNTIFS('Data Summary'!D25:D124,"FAIL",'Data Summary'!C25:C124,"ERROR 2008*")
+COUNTIFS('Data Summary'!D130:D209,"FAIL",'Data Summary'!C130:C209,"ERROR 2008*")
+COUNTIFS('Data Summary'!D215:D234,"FAIL",'Data Summary'!C215:C234,"ERROR 2008*")
+COUNTIF('Data Summary'!C9:C234,"BARCODE FAIL")
+COUNTIF('Data Summary'!C9:C234,"MINOR VISUAL")
+COUNTIF('Data Summary'!C9:C234,"Indeterminate")
+COUNTIFS('Data Summary'!D10:D19,"PASS",'Data Summary'!C10:C19,"ERROR 2008*")
+COUNTIFS('Data Summary'!D25:D124,"PASS",'Data Summary'!C25:C124,"ERROR 2008*")
+COUNTIFS('Data Summary'!D130:D209,"PASS",'Data Summary'!C130:C209,"ERROR 2008*")
+COUNTIFS('Data Summary'!D215:D234,"PASS",'Data Summary'!C215:C234,"ERROR 2008*"))</f>
        <v>5</v>
      </c>
      <c r="E44" s="218" t="s">
        <v>264</v>
      </c>
      <c r="F44" s="331"/>
      <c r="G44" s="331"/>
      <c r="H44" s="221" t="str">
        <f>IF($J$3="","",
IF($J$3="Seal Testing and Visual Resample",#REF!+$K$24,
IF($J$3="Visual Only Resample",$K$24,
IF($J$3="Delam and Visual Resample",$K$26+$K$24,
IF($J$3="NA","NA",
COUNTIFS('Resample Data Summary'!D10:D19,"FAIL",'Resample Data Summary'!C10:C19,"PASS")
+COUNTIFS('Resample Data Summary'!D25:D124,"FAIL",'Resample Data Summary'!C25:C124,"PASS")
+COUNTIFS('Resample Data Summary'!D130:D209,"FAIL",'Resample Data Summary'!C130:C209,"PASS")
+COUNTIFS('Resample Data Summary'!D215:D234,"FAIL",'Resample Data Summary'!C215:C234,"PASS")
+SUM(E24:E29,E31:E32)
+COUNTIFS('Resample Data Summary'!D10:D19,"FAIL",'Resample Data Summary'!C10:C19,"ERROR 2008*")
+COUNTIFS('Resample Data Summary'!D25:D124,"FAIL",'Resample Data Summary'!C25:C124,"ERROR 2008*")
+COUNTIFS('Resample Data Summary'!D130:D209,"FAIL",'Resample Data Summary'!C130:C209,"ERROR 2008*")
+COUNTIFS('Resample Data Summary'!D215:D234,"FAIL",'Resample Data Summary'!C215:C234,"ERROR 2008*")
+COUNTIF('Resample Data Summary'!C9:C234,"BARCODE FAIL")
+COUNTIF('Resample Data Summary'!C9:C234,"MINOR VISUAL")
+COUNTIF('Resample Data Summary'!C9:C234,"Indeterminate")
+COUNTIFS('Resample Data Summary'!D10:D19,"PASS",'Resample Data Summary'!C10:C19,"ERROR 2008*")
+COUNTIFS('Resample Data Summary'!D25:D124,"PASS",'Resample Data Summary'!C25:C124,"ERROR 2008*")
+COUNTIFS('Resample Data Summary'!D130:D209,"PASS",'Resample Data Summary'!C130:C209,"ERROR 2008*")
+COUNTIFS('Resample Data Summary'!D215:D234,"PASS",'Resample Data Summary'!C215:C234,"ERROR 2008*"))))))</f>
        <v>NA</v>
      </c>
      <c r="I44" s="218" t="s">
        <v>264</v>
      </c>
      <c r="J44" s="218" t="s">
        <v>264</v>
      </c>
      <c r="K44" s="231"/>
    </row>
    <row r="45" spans="1:13" ht="15" x14ac:dyDescent="0.25">
      <c r="A45" s="304" t="s">
        <v>523</v>
      </c>
      <c r="B45" s="304"/>
      <c r="C45" s="304"/>
      <c r="D45" s="221">
        <f>IF($B$3="","",IF('Vacuum Seal Data'!B2="","NA",SUM('Vacuum Seal Data'!D2:D251)))</f>
        <v>0</v>
      </c>
      <c r="E45" s="218" t="str">
        <f>_xlfn.CONCAT("≤",LOOKUP('Test Summary'!$B$3,Specifications!$A$11:$A$14,Specifications!$H$11:$H$14))</f>
        <v>≤9</v>
      </c>
      <c r="F45" s="350" t="str">
        <f>IF($B$3="","",IF(D45&gt;LOOKUP($B$3,Specifications!A11:A14,Specifications!H11:H14),"Fail","Pass"))</f>
        <v>Pass</v>
      </c>
      <c r="G45" s="351"/>
      <c r="H45" s="218" t="s">
        <v>264</v>
      </c>
      <c r="I45" s="218" t="s">
        <v>264</v>
      </c>
      <c r="J45" s="218" t="s">
        <v>264</v>
      </c>
      <c r="K45" s="218" t="s">
        <v>264</v>
      </c>
    </row>
    <row r="46" spans="1:13" ht="15" x14ac:dyDescent="0.25">
      <c r="A46" s="304" t="s">
        <v>155</v>
      </c>
      <c r="B46" s="304"/>
      <c r="C46" s="304"/>
      <c r="D46" s="221">
        <f>IF($B$3="","",SUM($L$32:$L$34))</f>
        <v>0</v>
      </c>
      <c r="E46" s="217" t="str">
        <f>_xlfn.CONCAT("≤",LOOKUP('Test Summary'!$B$3,Specifications!$A$11:$A$14,Specifications!$K$11:$K$14)," Resample at 2-3")</f>
        <v>≤1 Resample at 2-3</v>
      </c>
      <c r="F46" s="343" t="str">
        <f>IF($B$3="","",IF(D46&lt;=(IF('Test Summary'!$B$3="","",LOOKUP('Test Summary'!$B$3,Specifications!$A$11:$A$14,Specifications!$K$11:$K$14))),"Pass",IF(D46&lt;=(IF('Test Summary'!$B$3="","",LOOKUP('Test Summary'!$B$3,Specifications!$A$11:$A$14,Specifications!$L$11:$L$14))),"Resample","Fail")))</f>
        <v>Pass</v>
      </c>
      <c r="G46" s="343"/>
      <c r="H46" s="221" t="str">
        <f>IF($J$3="","",IF($J$3="NA","NA",SUM(M32:M34)))</f>
        <v>NA</v>
      </c>
      <c r="I46" s="218" t="str">
        <f>_xlfn.CONCAT("Combined"," ≤",LOOKUP('Test Summary'!$B$3,Specifications!$A$11:$A$14,Specifications!$S$11:$S$14))</f>
        <v>Combined ≤5</v>
      </c>
      <c r="J46" s="221" t="str">
        <f>IF($J$3="","",IF($J$3="NA","NA",SUM($D$46+$H$46)))</f>
        <v>NA</v>
      </c>
      <c r="K46" s="221" t="str">
        <f>IF($J$3="","",IF($J$3="NA","NA",IF(J46&lt;=(IF('Test Summary'!$B$3="","",LOOKUP('Test Summary'!$B$3,Specifications!$A$11:$A$14,Specifications!$S$11:$S$14))),"Pass","Fail")))</f>
        <v>NA</v>
      </c>
    </row>
    <row r="47" spans="1:13" ht="15" x14ac:dyDescent="0.25">
      <c r="A47" s="304" t="s">
        <v>291</v>
      </c>
      <c r="B47" s="304"/>
      <c r="C47" s="304"/>
      <c r="D47" s="221">
        <f>IF($B$3="","",SUM(D46,D44))</f>
        <v>5</v>
      </c>
      <c r="E47" s="218" t="str">
        <f>_xlfn.CONCAT("≤",LOOKUP('Test Summary'!$B$3,Specifications!$A$11:$A$14,Specifications!$G$11:$G$14))</f>
        <v>≤9</v>
      </c>
      <c r="F47" s="343" t="str">
        <f>IF($B$3="","",IF(D47&lt;=(IF('Test Summary'!$B$3="","",LOOKUP('Test Summary'!$B$3,Specifications!$A$11:$A$14,Specifications!$G$11:$G$14))),"Pass","Fail"))</f>
        <v>Pass</v>
      </c>
      <c r="G47" s="343"/>
      <c r="H47" s="221" t="str">
        <f>IF($J$3="","",IF($J$3="NA","NA",SUM(H46,H44)))</f>
        <v>NA</v>
      </c>
      <c r="I47" s="218" t="str">
        <f>_xlfn.CONCAT("Resample Data Only"," ≤",LOOKUP('Test Summary'!$B$3,Specifications!$A$11:$A$14,Specifications!$P$11:$P$14))</f>
        <v>Resample Data Only ≤10</v>
      </c>
      <c r="J47" s="218" t="s">
        <v>264</v>
      </c>
      <c r="K47" s="221" t="str">
        <f>IF($J$3="","",IF($J$3="NA","NA",IF(H47&lt;=(IF('Test Summary'!$B$3="","",LOOKUP('Test Summary'!$B$3,Specifications!$A$11:$A$14,Specifications!$P$11:$P$14))),"Pass","Fail")))</f>
        <v>NA</v>
      </c>
    </row>
    <row r="48" spans="1:13" ht="15" x14ac:dyDescent="0.25">
      <c r="B48" s="224"/>
      <c r="C48" s="224"/>
      <c r="D48" s="224"/>
      <c r="E48" s="224"/>
      <c r="F48" s="224"/>
    </row>
    <row r="49" spans="1:12" ht="13.5" thickBot="1" x14ac:dyDescent="0.25">
      <c r="E49" s="337"/>
      <c r="F49" s="337"/>
    </row>
    <row r="50" spans="1:12" ht="29.25" customHeight="1" thickBot="1" x14ac:dyDescent="0.25">
      <c r="C50" s="232" t="s">
        <v>420</v>
      </c>
      <c r="D50" s="344" t="str">
        <f>IF($B$3="","",
IFERROR(
IF(F47="Fail","Fail",
IF(F46="Fail","Fail",
IF(F45="Fail","Fail",
IF(F46="Resample","Resample per D12547",
IF(D24="Resample","Resample per D12547",
IF(D25="Resample","Resample per D12547",
IF(D26="Resample","Resample per D12547",
IF(D27="Resample","Resample per D12547",
IF(D29="Resample","Resample per D12547",
IF(D30="Resample","Resample per D12547",
IF(D31="Resample","Resample per D12547",
IF(D32="Resample","Resample per D12547",
IF(D43&lt;Specifications!$D$1,"ND","Pass"
))))))))))))),"ND"))</f>
        <v>Pass</v>
      </c>
      <c r="E50" s="345"/>
      <c r="G50" s="233" t="s">
        <v>157</v>
      </c>
      <c r="H50" s="341" t="s">
        <v>141</v>
      </c>
      <c r="I50" s="342"/>
    </row>
    <row r="51" spans="1:12" ht="29.25" customHeight="1" thickBot="1" x14ac:dyDescent="0.25">
      <c r="C51" s="232" t="s">
        <v>156</v>
      </c>
      <c r="D51" s="344" t="str">
        <f>IF(B3="","",
IFERROR(
IF(D50="Fail","Fail",
IF(K47="Fail","Fail",
IF(K46="Fail","Fail",
IF(G24="Fail","Fail",
IF(G25="Fail","Fail",
IF(G26="Fail","Fail",
IF(G27="Fail","Fail",
IF(G29="Fail","Fail",
IF(G30="Fail","Fail",
IF(G31="Fail","Fail",
IF(G32="Fail","Fail",
IF(D50="ND","ND",
IF(AND(D50="Resample per D12547",OR($J$3="NA",$J$3="")),"Choose correct resample type",
IF(AND(D50="Resample per D12547",OR($J$3="Visual Only Resample",$J$3="Seal Testing and Visual Resample"),OR(K24="",K25="")),"ND",
IF(AND(D50="Resample per D12547",$J$3="Delam and Visual Resample",OR(K24="",K25="",K26="")),"ND",
IF(H43&lt;Specifications!$F$1,"ND","Pass")))))))))))))))),"ND"))</f>
        <v>Pass</v>
      </c>
      <c r="E51" s="345"/>
      <c r="G51" s="233" t="s">
        <v>263</v>
      </c>
      <c r="H51" s="341" t="s">
        <v>264</v>
      </c>
      <c r="I51" s="342"/>
    </row>
    <row r="52" spans="1:12" ht="13.5" customHeight="1" x14ac:dyDescent="0.2"/>
    <row r="53" spans="1:12" ht="15" x14ac:dyDescent="0.2">
      <c r="B53" s="349" t="s">
        <v>58</v>
      </c>
      <c r="C53" s="349"/>
      <c r="L53" s="234"/>
    </row>
    <row r="54" spans="1:12" ht="64.5" customHeight="1" x14ac:dyDescent="0.2">
      <c r="B54" s="346"/>
      <c r="C54" s="347"/>
      <c r="D54" s="347"/>
      <c r="E54" s="347"/>
      <c r="F54" s="347"/>
      <c r="G54" s="347"/>
      <c r="H54" s="347"/>
      <c r="I54" s="347"/>
      <c r="J54" s="347"/>
      <c r="K54" s="347"/>
      <c r="L54" s="348"/>
    </row>
    <row r="56" spans="1:12" ht="25.5" customHeight="1" x14ac:dyDescent="0.25">
      <c r="A56" s="235"/>
      <c r="B56" s="91" t="s">
        <v>39</v>
      </c>
      <c r="C56" s="340"/>
      <c r="D56" s="340"/>
      <c r="E56" s="340"/>
      <c r="F56" s="340"/>
      <c r="G56" s="340"/>
      <c r="H56" s="235"/>
      <c r="I56" s="91" t="s">
        <v>23</v>
      </c>
      <c r="J56" s="340"/>
      <c r="K56" s="340"/>
      <c r="L56" s="340"/>
    </row>
    <row r="58" spans="1:12" ht="29.25" customHeight="1" x14ac:dyDescent="0.25">
      <c r="B58" s="91" t="s">
        <v>283</v>
      </c>
      <c r="C58" s="340"/>
      <c r="D58" s="340"/>
      <c r="E58" s="340"/>
      <c r="F58" s="340"/>
      <c r="G58" s="340"/>
      <c r="H58" s="235"/>
      <c r="I58" s="91" t="s">
        <v>23</v>
      </c>
      <c r="J58" s="340"/>
      <c r="K58" s="340"/>
      <c r="L58" s="340"/>
    </row>
  </sheetData>
  <sheetProtection formatColumns="0" formatRows="0" selectLockedCells="1"/>
  <mergeCells count="95">
    <mergeCell ref="I31:K31"/>
    <mergeCell ref="I32:K32"/>
    <mergeCell ref="I33:K33"/>
    <mergeCell ref="F18:G18"/>
    <mergeCell ref="I25:J25"/>
    <mergeCell ref="I26:J26"/>
    <mergeCell ref="I23:J23"/>
    <mergeCell ref="I24:J24"/>
    <mergeCell ref="I34:K34"/>
    <mergeCell ref="B54:L54"/>
    <mergeCell ref="B53:C53"/>
    <mergeCell ref="A46:C46"/>
    <mergeCell ref="F44:G44"/>
    <mergeCell ref="A43:C43"/>
    <mergeCell ref="A41:C41"/>
    <mergeCell ref="D51:E51"/>
    <mergeCell ref="A45:C45"/>
    <mergeCell ref="F45:G45"/>
    <mergeCell ref="C58:G58"/>
    <mergeCell ref="J58:L58"/>
    <mergeCell ref="F41:G41"/>
    <mergeCell ref="F42:G42"/>
    <mergeCell ref="A42:C42"/>
    <mergeCell ref="A44:C44"/>
    <mergeCell ref="H50:I50"/>
    <mergeCell ref="C56:G56"/>
    <mergeCell ref="J56:L56"/>
    <mergeCell ref="F43:G43"/>
    <mergeCell ref="E49:F49"/>
    <mergeCell ref="F47:G47"/>
    <mergeCell ref="H51:I51"/>
    <mergeCell ref="D50:E50"/>
    <mergeCell ref="F46:G46"/>
    <mergeCell ref="A47:C47"/>
    <mergeCell ref="A1:N2"/>
    <mergeCell ref="A6:D6"/>
    <mergeCell ref="H18:I18"/>
    <mergeCell ref="J18:K18"/>
    <mergeCell ref="L18:M18"/>
    <mergeCell ref="B3:D3"/>
    <mergeCell ref="B4:D4"/>
    <mergeCell ref="L15:M15"/>
    <mergeCell ref="B15:C15"/>
    <mergeCell ref="D15:E15"/>
    <mergeCell ref="B18:C18"/>
    <mergeCell ref="B16:C16"/>
    <mergeCell ref="D16:E16"/>
    <mergeCell ref="A13:C13"/>
    <mergeCell ref="A10:B10"/>
    <mergeCell ref="F15:G15"/>
    <mergeCell ref="B19:C19"/>
    <mergeCell ref="D19:E19"/>
    <mergeCell ref="F19:G19"/>
    <mergeCell ref="A27:B27"/>
    <mergeCell ref="A32:B32"/>
    <mergeCell ref="A29:B29"/>
    <mergeCell ref="A31:B31"/>
    <mergeCell ref="B20:C20"/>
    <mergeCell ref="A24:B24"/>
    <mergeCell ref="B21:C21"/>
    <mergeCell ref="A30:B30"/>
    <mergeCell ref="A26:B26"/>
    <mergeCell ref="A25:B25"/>
    <mergeCell ref="A23:B23"/>
    <mergeCell ref="D21:E21"/>
    <mergeCell ref="F21:G21"/>
    <mergeCell ref="E3:F3"/>
    <mergeCell ref="E4:F4"/>
    <mergeCell ref="G4:H4"/>
    <mergeCell ref="H3:I3"/>
    <mergeCell ref="E7:G7"/>
    <mergeCell ref="H7:J7"/>
    <mergeCell ref="L20:M20"/>
    <mergeCell ref="H10:J10"/>
    <mergeCell ref="E10:G10"/>
    <mergeCell ref="D20:E20"/>
    <mergeCell ref="F20:G20"/>
    <mergeCell ref="D18:E18"/>
    <mergeCell ref="F16:G16"/>
    <mergeCell ref="A28:B28"/>
    <mergeCell ref="A7:B7"/>
    <mergeCell ref="J3:M3"/>
    <mergeCell ref="L16:M16"/>
    <mergeCell ref="L19:M19"/>
    <mergeCell ref="H21:I21"/>
    <mergeCell ref="J21:K21"/>
    <mergeCell ref="H20:I20"/>
    <mergeCell ref="L21:M21"/>
    <mergeCell ref="J15:K15"/>
    <mergeCell ref="H16:I16"/>
    <mergeCell ref="J16:K16"/>
    <mergeCell ref="H15:I15"/>
    <mergeCell ref="J20:K20"/>
    <mergeCell ref="H19:I19"/>
    <mergeCell ref="J19:K19"/>
  </mergeCells>
  <conditionalFormatting sqref="A3:A4">
    <cfRule type="cellIs" dxfId="750" priority="15" operator="equal">
      <formula>"BARCODE FAIL"</formula>
    </cfRule>
    <cfRule type="cellIs" dxfId="749" priority="16" operator="equal">
      <formula>"MINOR VISUAL"</formula>
    </cfRule>
    <cfRule type="containsText" dxfId="748" priority="18" operator="containsText" text="Error">
      <formula>NOT(ISERROR(SEARCH("Error",A3)))</formula>
    </cfRule>
    <cfRule type="cellIs" dxfId="747" priority="21" operator="equal">
      <formula>"SEAL TEST FAILURE"</formula>
    </cfRule>
    <cfRule type="cellIs" dxfId="746" priority="22" operator="equal">
      <formula>"E*"</formula>
    </cfRule>
    <cfRule type="cellIs" dxfId="745" priority="23" operator="equal">
      <formula>"SPC CT=0"</formula>
    </cfRule>
    <cfRule type="cellIs" dxfId="744" priority="24" operator="equal">
      <formula>"INVALID"</formula>
    </cfRule>
    <cfRule type="cellIs" dxfId="743" priority="25" operator="equal">
      <formula>"MAJOR VISUAL"</formula>
    </cfRule>
    <cfRule type="cellIs" dxfId="742" priority="26" operator="equal">
      <formula>"MAJOR FUNCTIONAL"</formula>
    </cfRule>
    <cfRule type="cellIs" dxfId="741" priority="27" operator="equal">
      <formula>"PASS"</formula>
    </cfRule>
  </conditionalFormatting>
  <conditionalFormatting sqref="B3:B4">
    <cfRule type="cellIs" dxfId="740" priority="17" operator="equal">
      <formula>"N/A"</formula>
    </cfRule>
    <cfRule type="cellIs" dxfId="739" priority="19" operator="equal">
      <formula>"Pass"</formula>
    </cfRule>
    <cfRule type="cellIs" dxfId="738" priority="20" operator="equal">
      <formula>"Fail"</formula>
    </cfRule>
  </conditionalFormatting>
  <conditionalFormatting sqref="H3">
    <cfRule type="cellIs" dxfId="737" priority="2" operator="equal">
      <formula>"BARCODE FAIL"</formula>
    </cfRule>
    <cfRule type="cellIs" dxfId="736" priority="3" operator="equal">
      <formula>"MINOR VISUAL"</formula>
    </cfRule>
    <cfRule type="containsText" dxfId="735" priority="4" operator="containsText" text="Error">
      <formula>NOT(ISERROR(SEARCH("Error",H3)))</formula>
    </cfRule>
    <cfRule type="cellIs" dxfId="734" priority="5" operator="equal">
      <formula>"SEAL TEST FAILURE"</formula>
    </cfRule>
    <cfRule type="cellIs" dxfId="733" priority="6" operator="equal">
      <formula>"E*"</formula>
    </cfRule>
    <cfRule type="cellIs" dxfId="732" priority="7" operator="equal">
      <formula>"SPC CT=0"</formula>
    </cfRule>
    <cfRule type="cellIs" dxfId="731" priority="8" operator="equal">
      <formula>"INVALID"</formula>
    </cfRule>
    <cfRule type="cellIs" dxfId="730" priority="9" operator="equal">
      <formula>"MAJOR VISUAL"</formula>
    </cfRule>
    <cfRule type="cellIs" dxfId="729" priority="10" operator="equal">
      <formula>"MAJOR FUNCTIONAL"</formula>
    </cfRule>
    <cfRule type="cellIs" dxfId="728" priority="11" operator="equal">
      <formula>"PASS"</formula>
    </cfRule>
  </conditionalFormatting>
  <pageMargins left="0.5" right="0.5" top="1" bottom="1" header="0.25" footer="0.25"/>
  <pageSetup scale="58" fitToHeight="0" orientation="landscape" r:id="rId1"/>
  <headerFooter alignWithMargins="0">
    <oddHeader>&amp;LPart No.:
Batch No(s).: 
Cartridge No. (LSP): &amp;C&amp;12Product QC Testing Worksheet-MTB/XDR&amp;RDocument Number: D37339 Attachment 1
Rev: M
Effective: 5/21/2026
p. &amp;P of &amp;N</oddHeader>
    <oddFooter>&amp;C User is responsible for using the current revision. The controlled current released revision of this document resides in the Agile PLM system.
Cepheid Confidential    Date Printed: &amp;D      &amp;T</oddFooter>
  </headerFooter>
  <rowBreaks count="1" manualBreakCount="1">
    <brk id="21"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8199" r:id="rId4" name="Check Box 7">
              <controlPr defaultSize="0" autoFill="0" autoLine="0" autoPict="0" altText="N/A">
                <anchor moveWithCells="1">
                  <from>
                    <xdr:col>11</xdr:col>
                    <xdr:colOff>295275</xdr:colOff>
                    <xdr:row>51</xdr:row>
                    <xdr:rowOff>142875</xdr:rowOff>
                  </from>
                  <to>
                    <xdr:col>12</xdr:col>
                    <xdr:colOff>304800</xdr:colOff>
                    <xdr:row>53</xdr:row>
                    <xdr:rowOff>28575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count="5">
        <x14:dataValidation type="list" allowBlank="1" showInputMessage="1" xr:uid="{00000000-0002-0000-0300-000001000000}">
          <x14:formula1>
            <xm:f>'For Reference Only'!$G$2:$G$4</xm:f>
          </x14:formula1>
          <xm:sqref>H50</xm:sqref>
        </x14:dataValidation>
        <x14:dataValidation type="list" allowBlank="1" showInputMessage="1" xr:uid="{00000000-0002-0000-0300-000002000000}">
          <x14:formula1>
            <xm:f>'For Reference Only'!$P$1:$P$3</xm:f>
          </x14:formula1>
          <xm:sqref>H51:I51</xm:sqref>
        </x14:dataValidation>
        <x14:dataValidation type="list" allowBlank="1" showInputMessage="1" showErrorMessage="1" xr:uid="{00000000-0002-0000-0300-000003000000}">
          <x14:formula1>
            <xm:f>Specifications!$A$11:$A$14</xm:f>
          </x14:formula1>
          <xm:sqref>B3:D3</xm:sqref>
        </x14:dataValidation>
        <x14:dataValidation type="list" allowBlank="1" showInputMessage="1" xr:uid="{00000000-0002-0000-0300-000004000000}">
          <x14:formula1>
            <xm:f>'For Reference Only'!$P$1:$P$2</xm:f>
          </x14:formula1>
          <xm:sqref>K24:K26</xm:sqref>
        </x14:dataValidation>
        <x14:dataValidation type="list" showInputMessage="1" showErrorMessage="1" xr:uid="{00000000-0002-0000-0300-000005000000}">
          <x14:formula1>
            <xm:f>'For Reference Only'!$T$2:$T$6</xm:f>
          </x14:formula1>
          <xm:sqref>J3:M3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39"/>
  <sheetViews>
    <sheetView zoomScaleNormal="100" workbookViewId="0">
      <selection sqref="A1:E1"/>
    </sheetView>
  </sheetViews>
  <sheetFormatPr defaultColWidth="9.140625" defaultRowHeight="12.75" x14ac:dyDescent="0.2"/>
  <cols>
    <col min="1" max="1" width="28.5703125" style="58" bestFit="1" customWidth="1"/>
    <col min="2" max="2" width="68.140625" style="66" customWidth="1"/>
    <col min="3" max="3" width="47.140625" style="65" bestFit="1" customWidth="1"/>
    <col min="4" max="4" width="18.5703125" style="58" bestFit="1" customWidth="1"/>
    <col min="5" max="5" width="63.28515625" style="63" customWidth="1"/>
    <col min="6" max="6" width="55.28515625" style="58" customWidth="1"/>
    <col min="7" max="9" width="9.140625" style="58"/>
    <col min="10" max="10" width="9.140625" style="58" customWidth="1"/>
    <col min="11" max="16384" width="9.140625" style="58"/>
  </cols>
  <sheetData>
    <row r="1" spans="1:5" ht="21" customHeight="1" x14ac:dyDescent="0.2">
      <c r="A1" s="355" t="s">
        <v>127</v>
      </c>
      <c r="B1" s="355"/>
      <c r="C1" s="355"/>
      <c r="D1" s="355"/>
      <c r="E1" s="355"/>
    </row>
    <row r="2" spans="1:5" s="83" customFormat="1" ht="15.75" x14ac:dyDescent="0.2">
      <c r="A2" s="320" t="s">
        <v>84</v>
      </c>
      <c r="B2" s="320"/>
      <c r="C2" s="87" t="str">
        <f>'Test Summary'!B3</f>
        <v>GXMTBXDR10</v>
      </c>
      <c r="D2" s="79"/>
      <c r="E2" s="79"/>
    </row>
    <row r="3" spans="1:5" s="83" customFormat="1" ht="15.75" x14ac:dyDescent="0.2">
      <c r="A3" s="320" t="s">
        <v>147</v>
      </c>
      <c r="B3" s="320"/>
      <c r="C3" s="87">
        <f>IF('Test Summary'!$B$4="","",'Test Summary'!$B$4)</f>
        <v>12602</v>
      </c>
      <c r="D3" s="90"/>
      <c r="E3" s="82"/>
    </row>
    <row r="4" spans="1:5" s="83" customFormat="1" ht="15.75" x14ac:dyDescent="0.2">
      <c r="A4" s="320" t="s">
        <v>148</v>
      </c>
      <c r="B4" s="320"/>
      <c r="C4" s="87" t="str">
        <f>IF('Test Summary'!$B$3="","",LOOKUP('Test Summary'!$B$3,Specifications!$A$11:$A$14,Specifications!$B$11:$B$14))</f>
        <v>Xpert MTB-XDR</v>
      </c>
      <c r="D4" s="90"/>
      <c r="E4" s="82"/>
    </row>
    <row r="5" spans="1:5" x14ac:dyDescent="0.2">
      <c r="A5" s="67"/>
      <c r="B5" s="68"/>
    </row>
    <row r="6" spans="1:5" s="83" customFormat="1" ht="31.5" x14ac:dyDescent="0.2">
      <c r="A6" s="86" t="s">
        <v>188</v>
      </c>
      <c r="B6" s="89">
        <v>0</v>
      </c>
      <c r="C6" s="88" t="s">
        <v>130</v>
      </c>
      <c r="D6" s="363">
        <f>COUNTIF('Data - First 10'!A2:A11,"&lt;&gt;"&amp;"")</f>
        <v>10</v>
      </c>
      <c r="E6" s="363"/>
    </row>
    <row r="7" spans="1:5" s="83" customFormat="1" ht="19.350000000000001" customHeight="1" x14ac:dyDescent="0.2">
      <c r="A7" s="84" t="s">
        <v>146</v>
      </c>
      <c r="B7" s="87" t="str">
        <f>IF($C$3="","",IF($D$6=0,"NO DATA",IF(COUNTIF('Data - First 10'!$E:$E,$C$3)=$D$6,"VALID","")))</f>
        <v>VALID</v>
      </c>
      <c r="C7" s="88" t="s">
        <v>128</v>
      </c>
      <c r="D7" s="363" t="str">
        <f>IF($C$4="","",IF(D6=0,"NO DATA",IF(COUNTIF('Data - First 10'!$A:$A,$C$4)=D6,"VALID","")))</f>
        <v>VALID</v>
      </c>
      <c r="E7" s="363"/>
    </row>
    <row r="8" spans="1:5" s="83" customFormat="1" ht="15.75" x14ac:dyDescent="0.2">
      <c r="A8" s="88" t="s">
        <v>161</v>
      </c>
      <c r="B8" s="153" t="str">
        <f>IF(Specifications!$B$8=$D$6,"PASS","FAIL")</f>
        <v>PASS</v>
      </c>
      <c r="C8" s="95" t="s">
        <v>65</v>
      </c>
      <c r="D8" s="358" t="str">
        <f>LOOKUP($C$2,Specifications!$A$11:$A$14,Specifications!$D$11:D$14)</f>
        <v>MTB NOT DETECTED</v>
      </c>
      <c r="E8" s="359"/>
    </row>
    <row r="9" spans="1:5" x14ac:dyDescent="0.2">
      <c r="A9" s="69" t="s">
        <v>96</v>
      </c>
      <c r="B9" s="70" t="s">
        <v>131</v>
      </c>
      <c r="C9" s="71" t="s">
        <v>132</v>
      </c>
      <c r="D9" s="69" t="s">
        <v>133</v>
      </c>
      <c r="E9" s="72" t="s">
        <v>282</v>
      </c>
    </row>
    <row r="10" spans="1:5" x14ac:dyDescent="0.2">
      <c r="A10" s="73" t="str">
        <f>IF('Data - First 10'!C2="","",'Data - First 10'!C2)</f>
        <v>NEG_00_0_01X</v>
      </c>
      <c r="B10" s="74" t="str">
        <f>IF('Data - First 10'!L2="","",'Data - First 10'!L2)</f>
        <v>MTB NOT DETECTED</v>
      </c>
      <c r="C10" s="75" t="str">
        <f>IF(B10="","",IF(B10="INVALID",IF('Data - First 10'!NK2="","INVALID",'Data - First 10'!NK2),IF(B10="ERROR",'Data - First 10'!NK2,IF(B10="NO RESULT",'Data - First 10'!NK2,IF(B10="V","MINOR VISUAL",IF(B10="M","MAJOR VISUAL",IF(B10="B","BARCODE FAIL",IF(B10="D","DELAMINATION",IF('Data - First 10'!Q2="","DATA ENTRY ERROR",IF(B10=$D$8,"PASS","MAJOR FUNCTIONAL"))))))))))</f>
        <v>PASS</v>
      </c>
      <c r="D10" s="76" t="str">
        <f>IF(C10="","",IF('Data - First 10'!NI2="","N/A",IF('Data - First 10'!NI2&lt;Specifications!$D$3,"PASS","FAIL")))</f>
        <v>PASS</v>
      </c>
      <c r="E10" s="174"/>
    </row>
    <row r="11" spans="1:5" x14ac:dyDescent="0.2">
      <c r="A11" s="73" t="str">
        <f>IF('Data - First 10'!C3="","",'Data - First 10'!C3)</f>
        <v>NEG_00_0_02X</v>
      </c>
      <c r="B11" s="74" t="str">
        <f>IF('Data - First 10'!L3="","",'Data - First 10'!L3)</f>
        <v>MTB NOT DETECTED</v>
      </c>
      <c r="C11" s="75" t="str">
        <f>IF(B11="","",IF(B11="INVALID",IF('Data - First 10'!NK3="","INVALID",'Data - First 10'!NK3),IF(B11="ERROR",'Data - First 10'!NK3,IF(B11="NO RESULT",'Data - First 10'!NK3,IF(B11="V","MINOR VISUAL",IF(B11="M","MAJOR VISUAL",IF(B11="B","BARCODE FAIL",IF(B11="D","DELAMINATION",IF('Data - First 10'!Q3="","DATA ENTRY ERROR",IF(B11=$D$8,"PASS","MAJOR FUNCTIONAL"))))))))))</f>
        <v>PASS</v>
      </c>
      <c r="D11" s="76" t="str">
        <f>IF(C11="","",IF('Data - First 10'!NI3="","N/A",IF('Data - First 10'!NI3&lt;Specifications!$D$3,"PASS","FAIL")))</f>
        <v>PASS</v>
      </c>
      <c r="E11" s="174"/>
    </row>
    <row r="12" spans="1:5" x14ac:dyDescent="0.2">
      <c r="A12" s="73" t="str">
        <f>IF('Data - First 10'!C4="","",'Data - First 10'!C4)</f>
        <v>NEG_00_0_03X</v>
      </c>
      <c r="B12" s="74" t="str">
        <f>IF('Data - First 10'!L4="","",'Data - First 10'!L4)</f>
        <v>MTB NOT DETECTED</v>
      </c>
      <c r="C12" s="75" t="str">
        <f>IF(B12="","",IF(B12="INVALID",IF('Data - First 10'!NK4="","INVALID",'Data - First 10'!NK4),IF(B12="ERROR",'Data - First 10'!NK4,IF(B12="NO RESULT",'Data - First 10'!NK4,IF(B12="V","MINOR VISUAL",IF(B12="M","MAJOR VISUAL",IF(B12="B","BARCODE FAIL",IF(B12="D","DELAMINATION",IF('Data - First 10'!Q4="","DATA ENTRY ERROR",IF(B12=$D$8,"PASS","MAJOR FUNCTIONAL"))))))))))</f>
        <v>PASS</v>
      </c>
      <c r="D12" s="76" t="str">
        <f>IF(C12="","",IF('Data - First 10'!NI4="","N/A",IF('Data - First 10'!NI4&lt;Specifications!$D$3,"PASS","FAIL")))</f>
        <v>PASS</v>
      </c>
      <c r="E12" s="174"/>
    </row>
    <row r="13" spans="1:5" x14ac:dyDescent="0.2">
      <c r="A13" s="73" t="str">
        <f>IF('Data - First 10'!C5="","",'Data - First 10'!C5)</f>
        <v>NEG_00_0_04X</v>
      </c>
      <c r="B13" s="74" t="str">
        <f>IF('Data - First 10'!L5="","",'Data - First 10'!L5)</f>
        <v>MTB NOT DETECTED</v>
      </c>
      <c r="C13" s="75" t="str">
        <f>IF(B13="","",IF(B13="INVALID",IF('Data - First 10'!NK5="","INVALID",'Data - First 10'!NK5),IF(B13="ERROR",'Data - First 10'!NK5,IF(B13="NO RESULT",'Data - First 10'!NK5,IF(B13="V","MINOR VISUAL",IF(B13="M","MAJOR VISUAL",IF(B13="B","BARCODE FAIL",IF(B13="D","DELAMINATION",IF('Data - First 10'!Q5="","DATA ENTRY ERROR",IF(B13=$D$8,"PASS","MAJOR FUNCTIONAL"))))))))))</f>
        <v>PASS</v>
      </c>
      <c r="D13" s="76" t="str">
        <f>IF(C13="","",IF('Data - First 10'!NI5="","N/A",IF('Data - First 10'!NI5&lt;Specifications!$D$3,"PASS","FAIL")))</f>
        <v>PASS</v>
      </c>
      <c r="E13" s="174"/>
    </row>
    <row r="14" spans="1:5" x14ac:dyDescent="0.2">
      <c r="A14" s="73" t="str">
        <f>IF('Data - First 10'!C6="","",'Data - First 10'!C6)</f>
        <v>NEG_00_0_05X</v>
      </c>
      <c r="B14" s="74" t="str">
        <f>IF('Data - First 10'!L6="","",'Data - First 10'!L6)</f>
        <v>MTB NOT DETECTED</v>
      </c>
      <c r="C14" s="75" t="str">
        <f>IF(B14="","",IF(B14="INVALID",IF('Data - First 10'!NK6="","INVALID",'Data - First 10'!NK6),IF(B14="ERROR",'Data - First 10'!NK6,IF(B14="NO RESULT",'Data - First 10'!NK6,IF(B14="V","MINOR VISUAL",IF(B14="M","MAJOR VISUAL",IF(B14="B","BARCODE FAIL",IF(B14="D","DELAMINATION",IF('Data - First 10'!Q6="","DATA ENTRY ERROR",IF(B14=$D$8,"PASS","MAJOR FUNCTIONAL"))))))))))</f>
        <v>PASS</v>
      </c>
      <c r="D14" s="76" t="str">
        <f>IF(C14="","",IF('Data - First 10'!NI6="","N/A",IF('Data - First 10'!NI6&lt;Specifications!$D$3,"PASS","FAIL")))</f>
        <v>PASS</v>
      </c>
      <c r="E14" s="174"/>
    </row>
    <row r="15" spans="1:5" x14ac:dyDescent="0.2">
      <c r="A15" s="73" t="str">
        <f>IF('Data - First 10'!C7="","",'Data - First 10'!C7)</f>
        <v>NEG_00_0_06+</v>
      </c>
      <c r="B15" s="74" t="str">
        <f>IF('Data - First 10'!L7="","",'Data - First 10'!L7)</f>
        <v>MTB NOT DETECTED</v>
      </c>
      <c r="C15" s="75" t="str">
        <f>IF(B15="","",IF(B15="INVALID",IF('Data - First 10'!NK7="","INVALID",'Data - First 10'!NK7),IF(B15="ERROR",'Data - First 10'!NK7,IF(B15="NO RESULT",'Data - First 10'!NK7,IF(B15="V","MINOR VISUAL",IF(B15="M","MAJOR VISUAL",IF(B15="B","BARCODE FAIL",IF(B15="D","DELAMINATION",IF('Data - First 10'!Q7="","DATA ENTRY ERROR",IF(B15=$D$8,"PASS","MAJOR FUNCTIONAL"))))))))))</f>
        <v>PASS</v>
      </c>
      <c r="D15" s="76" t="str">
        <f>IF(C15="","",IF('Data - First 10'!NI7="","N/A",IF('Data - First 10'!NI7&lt;Specifications!$D$3,"PASS","FAIL")))</f>
        <v>PASS</v>
      </c>
      <c r="E15" s="174"/>
    </row>
    <row r="16" spans="1:5" x14ac:dyDescent="0.2">
      <c r="A16" s="73" t="str">
        <f>IF('Data - First 10'!C8="","",'Data - First 10'!C8)</f>
        <v>NEG_00_0_07+</v>
      </c>
      <c r="B16" s="74" t="str">
        <f>IF('Data - First 10'!L8="","",'Data - First 10'!L8)</f>
        <v>MTB NOT DETECTED</v>
      </c>
      <c r="C16" s="75" t="str">
        <f>IF(B16="","",IF(B16="INVALID",IF('Data - First 10'!NK8="","INVALID",'Data - First 10'!NK8),IF(B16="ERROR",'Data - First 10'!NK8,IF(B16="NO RESULT",'Data - First 10'!NK8,IF(B16="V","MINOR VISUAL",IF(B16="M","MAJOR VISUAL",IF(B16="B","BARCODE FAIL",IF(B16="D","DELAMINATION",IF('Data - First 10'!Q8="","DATA ENTRY ERROR",IF(B16=$D$8,"PASS","MAJOR FUNCTIONAL"))))))))))</f>
        <v>PASS</v>
      </c>
      <c r="D16" s="76" t="str">
        <f>IF(C16="","",IF('Data - First 10'!NI8="","N/A",IF('Data - First 10'!NI8&lt;Specifications!$D$3,"PASS","FAIL")))</f>
        <v>PASS</v>
      </c>
      <c r="E16" s="174"/>
    </row>
    <row r="17" spans="1:5" x14ac:dyDescent="0.2">
      <c r="A17" s="73" t="str">
        <f>IF('Data - First 10'!C9="","",'Data - First 10'!C9)</f>
        <v>NEG_00_0_08+</v>
      </c>
      <c r="B17" s="74" t="str">
        <f>IF('Data - First 10'!L9="","",'Data - First 10'!L9)</f>
        <v>MTB NOT DETECTED</v>
      </c>
      <c r="C17" s="75" t="str">
        <f>IF(B17="","",IF(B17="INVALID",IF('Data - First 10'!NK9="","INVALID",'Data - First 10'!NK9),IF(B17="ERROR",'Data - First 10'!NK9,IF(B17="NO RESULT",'Data - First 10'!NK9,IF(B17="V","MINOR VISUAL",IF(B17="M","MAJOR VISUAL",IF(B17="B","BARCODE FAIL",IF(B17="D","DELAMINATION",IF('Data - First 10'!Q9="","DATA ENTRY ERROR",IF(B17=$D$8,"PASS","MAJOR FUNCTIONAL"))))))))))</f>
        <v>PASS</v>
      </c>
      <c r="D17" s="76" t="str">
        <f>IF(C17="","",IF('Data - First 10'!NI9="","N/A",IF('Data - First 10'!NI9&lt;Specifications!$D$3,"PASS","FAIL")))</f>
        <v>PASS</v>
      </c>
      <c r="E17" s="174"/>
    </row>
    <row r="18" spans="1:5" x14ac:dyDescent="0.2">
      <c r="A18" s="73" t="str">
        <f>IF('Data - First 10'!C10="","",'Data - First 10'!C10)</f>
        <v>NEG_00_0_09+</v>
      </c>
      <c r="B18" s="74" t="str">
        <f>IF('Data - First 10'!L10="","",'Data - First 10'!L10)</f>
        <v>MTB NOT DETECTED</v>
      </c>
      <c r="C18" s="75" t="str">
        <f>IF(B18="","",IF(B18="INVALID",IF('Data - First 10'!NK10="","INVALID",'Data - First 10'!NK10),IF(B18="ERROR",'Data - First 10'!NK10,IF(B18="NO RESULT",'Data - First 10'!NK10,IF(B18="V","MINOR VISUAL",IF(B18="M","MAJOR VISUAL",IF(B18="B","BARCODE FAIL",IF(B18="D","DELAMINATION",IF('Data - First 10'!Q10="","DATA ENTRY ERROR",IF(B18=$D$8,"PASS","MAJOR FUNCTIONAL"))))))))))</f>
        <v>PASS</v>
      </c>
      <c r="D18" s="76" t="str">
        <f>IF(C18="","",IF('Data - First 10'!NI10="","N/A",IF('Data - First 10'!NI10&lt;Specifications!$D$3,"PASS","FAIL")))</f>
        <v>PASS</v>
      </c>
      <c r="E18" s="174"/>
    </row>
    <row r="19" spans="1:5" x14ac:dyDescent="0.2">
      <c r="A19" s="73" t="str">
        <f>IF('Data - First 10'!C11="","",'Data - First 10'!C11)</f>
        <v>NEG_00_0_10+</v>
      </c>
      <c r="B19" s="74" t="str">
        <f>IF('Data - First 10'!L11="","",'Data - First 10'!L11)</f>
        <v>MTB NOT DETECTED</v>
      </c>
      <c r="C19" s="75" t="str">
        <f>IF(B19="","",IF(B19="INVALID",IF('Data - First 10'!NK11="","INVALID",'Data - First 10'!NK11),IF(B19="ERROR",'Data - First 10'!NK11,IF(B19="NO RESULT",'Data - First 10'!NK11,IF(B19="V","MINOR VISUAL",IF(B19="M","MAJOR VISUAL",IF(B19="B","BARCODE FAIL",IF(B19="D","DELAMINATION",IF('Data - First 10'!Q11="","DATA ENTRY ERROR",IF(B19=$D$8,"PASS","MAJOR FUNCTIONAL"))))))))))</f>
        <v>PASS</v>
      </c>
      <c r="D19" s="76" t="str">
        <f>IF(C19="","",IF('Data - First 10'!NI11="","N/A",IF('Data - First 10'!NI11&lt;Specifications!$D$3,"PASS","FAIL")))</f>
        <v>PASS</v>
      </c>
      <c r="E19" s="174"/>
    </row>
    <row r="21" spans="1:5" s="83" customFormat="1" ht="15.75" x14ac:dyDescent="0.2">
      <c r="A21" s="84" t="s">
        <v>143</v>
      </c>
      <c r="B21" s="85">
        <v>0</v>
      </c>
      <c r="C21" s="88" t="s">
        <v>130</v>
      </c>
      <c r="D21" s="363">
        <f>COUNTIF('Data - Sample Type 0'!A2:A101,"&lt;&gt;"&amp;"")</f>
        <v>100</v>
      </c>
      <c r="E21" s="363"/>
    </row>
    <row r="22" spans="1:5" s="83" customFormat="1" ht="15.75" x14ac:dyDescent="0.2">
      <c r="A22" s="84" t="s">
        <v>146</v>
      </c>
      <c r="B22" s="87" t="str">
        <f>IF($C$3="","",IF(D21=0,"NO DATA",IF(COUNTIF('Data - Sample Type 0'!$E$2:$E$101,$C$3)=D21,"VALID","")))</f>
        <v>VALID</v>
      </c>
      <c r="C22" s="88" t="s">
        <v>128</v>
      </c>
      <c r="D22" s="363" t="str">
        <f>IF($C$4="","",IF(D21=0,"NO DATA",IF(COUNTIF('Data - Sample Type 0'!$A$2:$A$101,$C$4)=D21,"VALID","")))</f>
        <v>VALID</v>
      </c>
      <c r="E22" s="363"/>
    </row>
    <row r="23" spans="1:5" s="83" customFormat="1" ht="15.75" x14ac:dyDescent="0.2">
      <c r="A23" s="88" t="s">
        <v>161</v>
      </c>
      <c r="B23" s="164" t="str">
        <f>IF(Specifications!$B$6=$D$21,"PASS","FAIL")</f>
        <v>PASS</v>
      </c>
      <c r="C23" s="95" t="s">
        <v>65</v>
      </c>
      <c r="D23" s="360" t="str">
        <f>LOOKUP($C$2,Specifications!$A$11:$A$14,Specifications!$D$11:D$14)</f>
        <v>MTB NOT DETECTED</v>
      </c>
      <c r="E23" s="360"/>
    </row>
    <row r="24" spans="1:5" x14ac:dyDescent="0.2">
      <c r="A24" s="69" t="s">
        <v>96</v>
      </c>
      <c r="B24" s="70" t="s">
        <v>131</v>
      </c>
      <c r="C24" s="71" t="s">
        <v>132</v>
      </c>
      <c r="D24" s="69" t="s">
        <v>133</v>
      </c>
      <c r="E24" s="72" t="s">
        <v>282</v>
      </c>
    </row>
    <row r="25" spans="1:5" x14ac:dyDescent="0.2">
      <c r="A25" s="73" t="str">
        <f>IF('Data - Sample Type 0'!C2="","",'Data - Sample Type 0'!C2)</f>
        <v>NEG_01_0_01X</v>
      </c>
      <c r="B25" s="74" t="str">
        <f>IF('Data - Sample Type 0'!L2="","",'Data - Sample Type 0'!L2)</f>
        <v>MTB NOT DETECTED</v>
      </c>
      <c r="C25" s="75" t="str">
        <f>IF(B25="","",IF(B25="INVALID",IF('Data - Sample Type 0'!NK2="","INVALID",'Data - Sample Type 0'!NK2),IF(B25="ERROR",'Data - Sample Type 0'!NK2,IF(B25="NO RESULT",'Data - Sample Type 0'!NK2,IF(B25="V","MINOR VISUAL",IF(B25="M","MAJOR VISUAL",IF(B25="B","BARCODE FAIL",IF(B25="D","DELAMINATION",IF('Data - Sample Type 0'!Q2="","DATA ENTRY ERROR",IF(B25=$D$23,"PASS","MAJOR FUNCTIONAL"))))))))))</f>
        <v>PASS</v>
      </c>
      <c r="D25" s="77" t="str">
        <f>IF(C25="","",IF('Data - Sample Type 0'!NI2="","N/A",IF('Data - Sample Type 0'!NI2&lt;Specifications!$D$3,"PASS","FAIL")))</f>
        <v>PASS</v>
      </c>
      <c r="E25" s="174"/>
    </row>
    <row r="26" spans="1:5" x14ac:dyDescent="0.2">
      <c r="A26" s="73" t="str">
        <f>IF('Data - Sample Type 0'!C3="","",'Data - Sample Type 0'!C3)</f>
        <v>NEG_01_0_02X</v>
      </c>
      <c r="B26" s="74" t="str">
        <f>IF('Data - Sample Type 0'!L3="","",'Data - Sample Type 0'!L3)</f>
        <v>MTB NOT DETECTED</v>
      </c>
      <c r="C26" s="75" t="str">
        <f>IF(B26="","",IF(B26="INVALID",IF('Data - Sample Type 0'!NK3="","INVALID",'Data - Sample Type 0'!NK3),IF(B26="ERROR",'Data - Sample Type 0'!NK3,IF(B26="NO RESULT",'Data - Sample Type 0'!NK3,IF(B26="V","MINOR VISUAL",IF(B26="M","MAJOR VISUAL",IF(B26="B","BARCODE FAIL",IF(B26="D","DELAMINATION",IF('Data - Sample Type 0'!Q3="","DATA ENTRY ERROR",IF(B26=$D$23,"PASS","MAJOR FUNCTIONAL"))))))))))</f>
        <v>PASS</v>
      </c>
      <c r="D26" s="77" t="str">
        <f>IF(C26="","",IF('Data - Sample Type 0'!NI3="","N/A",IF('Data - Sample Type 0'!NI3&lt;Specifications!$D$3,"PASS","FAIL")))</f>
        <v>PASS</v>
      </c>
      <c r="E26" s="174"/>
    </row>
    <row r="27" spans="1:5" x14ac:dyDescent="0.2">
      <c r="A27" s="73" t="str">
        <f>IF('Data - Sample Type 0'!C4="","",'Data - Sample Type 0'!C4)</f>
        <v>NEG_01_0_03X</v>
      </c>
      <c r="B27" s="74" t="str">
        <f>IF('Data - Sample Type 0'!L4="","",'Data - Sample Type 0'!L4)</f>
        <v>MTB NOT DETECTED</v>
      </c>
      <c r="C27" s="75" t="str">
        <f>IF(B27="","",IF(B27="INVALID",IF('Data - Sample Type 0'!NK4="","INVALID",'Data - Sample Type 0'!NK4),IF(B27="ERROR",'Data - Sample Type 0'!NK4,IF(B27="NO RESULT",'Data - Sample Type 0'!NK4,IF(B27="V","MINOR VISUAL",IF(B27="M","MAJOR VISUAL",IF(B27="B","BARCODE FAIL",IF(B27="D","DELAMINATION",IF('Data - Sample Type 0'!Q4="","DATA ENTRY ERROR",IF(B27=$D$23,"PASS","MAJOR FUNCTIONAL"))))))))))</f>
        <v>PASS</v>
      </c>
      <c r="D27" s="77" t="str">
        <f>IF(C27="","",IF('Data - Sample Type 0'!NI4="","N/A",IF('Data - Sample Type 0'!NI4&lt;Specifications!$D$3,"PASS","FAIL")))</f>
        <v>PASS</v>
      </c>
      <c r="E27" s="174"/>
    </row>
    <row r="28" spans="1:5" x14ac:dyDescent="0.2">
      <c r="A28" s="73" t="str">
        <f>IF('Data - Sample Type 0'!C5="","",'Data - Sample Type 0'!C5)</f>
        <v>NEG_01_0_04X</v>
      </c>
      <c r="B28" s="74" t="str">
        <f>IF('Data - Sample Type 0'!L5="","",'Data - Sample Type 0'!L5)</f>
        <v>MTB NOT DETECTED</v>
      </c>
      <c r="C28" s="75" t="str">
        <f>IF(B28="","",IF(B28="INVALID",IF('Data - Sample Type 0'!NK5="","INVALID",'Data - Sample Type 0'!NK5),IF(B28="ERROR",'Data - Sample Type 0'!NK5,IF(B28="NO RESULT",'Data - Sample Type 0'!NK5,IF(B28="V","MINOR VISUAL",IF(B28="M","MAJOR VISUAL",IF(B28="B","BARCODE FAIL",IF(B28="D","DELAMINATION",IF('Data - Sample Type 0'!Q5="","DATA ENTRY ERROR",IF(B28=$D$23,"PASS","MAJOR FUNCTIONAL"))))))))))</f>
        <v>PASS</v>
      </c>
      <c r="D28" s="77" t="str">
        <f>IF(C28="","",IF('Data - Sample Type 0'!NI5="","N/A",IF('Data - Sample Type 0'!NI5&lt;Specifications!$D$3,"PASS","FAIL")))</f>
        <v>PASS</v>
      </c>
      <c r="E28" s="174"/>
    </row>
    <row r="29" spans="1:5" x14ac:dyDescent="0.2">
      <c r="A29" s="73" t="str">
        <f>IF('Data - Sample Type 0'!C6="","",'Data - Sample Type 0'!C6)</f>
        <v>NEG_01_0_05X</v>
      </c>
      <c r="B29" s="74" t="str">
        <f>IF('Data - Sample Type 0'!L6="","",'Data - Sample Type 0'!L6)</f>
        <v>MTB NOT DETECTED</v>
      </c>
      <c r="C29" s="75" t="str">
        <f>IF(B29="","",IF(B29="INVALID",IF('Data - Sample Type 0'!NK6="","INVALID",'Data - Sample Type 0'!NK6),IF(B29="ERROR",'Data - Sample Type 0'!NK6,IF(B29="NO RESULT",'Data - Sample Type 0'!NK6,IF(B29="V","MINOR VISUAL",IF(B29="M","MAJOR VISUAL",IF(B29="B","BARCODE FAIL",IF(B29="D","DELAMINATION",IF('Data - Sample Type 0'!Q6="","DATA ENTRY ERROR",IF(B29=$D$23,"PASS","MAJOR FUNCTIONAL"))))))))))</f>
        <v>PASS</v>
      </c>
      <c r="D29" s="77" t="str">
        <f>IF(C29="","",IF('Data - Sample Type 0'!NI6="","N/A",IF('Data - Sample Type 0'!NI6&lt;Specifications!$D$3,"PASS","FAIL")))</f>
        <v>PASS</v>
      </c>
      <c r="E29" s="174"/>
    </row>
    <row r="30" spans="1:5" x14ac:dyDescent="0.2">
      <c r="A30" s="73" t="str">
        <f>IF('Data - Sample Type 0'!C7="","",'Data - Sample Type 0'!C7)</f>
        <v>NEG_01_0_06+</v>
      </c>
      <c r="B30" s="74" t="str">
        <f>IF('Data - Sample Type 0'!L7="","",'Data - Sample Type 0'!L7)</f>
        <v>MTB NOT DETECTED</v>
      </c>
      <c r="C30" s="75" t="str">
        <f>IF(B30="","",IF(B30="INVALID",IF('Data - Sample Type 0'!NK7="","INVALID",'Data - Sample Type 0'!NK7),IF(B30="ERROR",'Data - Sample Type 0'!NK7,IF(B30="NO RESULT",'Data - Sample Type 0'!NK7,IF(B30="V","MINOR VISUAL",IF(B30="M","MAJOR VISUAL",IF(B30="B","BARCODE FAIL",IF(B30="D","DELAMINATION",IF('Data - Sample Type 0'!Q7="","DATA ENTRY ERROR",IF(B30=$D$23,"PASS","MAJOR FUNCTIONAL"))))))))))</f>
        <v>PASS</v>
      </c>
      <c r="D30" s="77" t="str">
        <f>IF(C30="","",IF('Data - Sample Type 0'!NI7="","N/A",IF('Data - Sample Type 0'!NI7&lt;Specifications!$D$3,"PASS","FAIL")))</f>
        <v>PASS</v>
      </c>
      <c r="E30" s="174"/>
    </row>
    <row r="31" spans="1:5" x14ac:dyDescent="0.2">
      <c r="A31" s="73" t="str">
        <f>IF('Data - Sample Type 0'!C8="","",'Data - Sample Type 0'!C8)</f>
        <v>NEG_01_0_07+</v>
      </c>
      <c r="B31" s="74" t="str">
        <f>IF('Data - Sample Type 0'!L8="","",'Data - Sample Type 0'!L8)</f>
        <v>MTB NOT DETECTED</v>
      </c>
      <c r="C31" s="75" t="str">
        <f>IF(B31="","",IF(B31="INVALID",IF('Data - Sample Type 0'!NK8="","INVALID",'Data - Sample Type 0'!NK8),IF(B31="ERROR",'Data - Sample Type 0'!NK8,IF(B31="NO RESULT",'Data - Sample Type 0'!NK8,IF(B31="V","MINOR VISUAL",IF(B31="M","MAJOR VISUAL",IF(B31="B","BARCODE FAIL",IF(B31="D","DELAMINATION",IF('Data - Sample Type 0'!Q8="","DATA ENTRY ERROR",IF(B31=$D$23,"PASS","MAJOR FUNCTIONAL"))))))))))</f>
        <v>PASS</v>
      </c>
      <c r="D31" s="77" t="str">
        <f>IF(C31="","",IF('Data - Sample Type 0'!NI8="","N/A",IF('Data - Sample Type 0'!NI8&lt;Specifications!$D$3,"PASS","FAIL")))</f>
        <v>PASS</v>
      </c>
      <c r="E31" s="174"/>
    </row>
    <row r="32" spans="1:5" x14ac:dyDescent="0.2">
      <c r="A32" s="73" t="str">
        <f>IF('Data - Sample Type 0'!C9="","",'Data - Sample Type 0'!C9)</f>
        <v>NEG_01_0_08+</v>
      </c>
      <c r="B32" s="74" t="str">
        <f>IF('Data - Sample Type 0'!L9="","",'Data - Sample Type 0'!L9)</f>
        <v>MTB NOT DETECTED</v>
      </c>
      <c r="C32" s="75" t="str">
        <f>IF(B32="","",IF(B32="INVALID",IF('Data - Sample Type 0'!NK9="","INVALID",'Data - Sample Type 0'!NK9),IF(B32="ERROR",'Data - Sample Type 0'!NK9,IF(B32="NO RESULT",'Data - Sample Type 0'!NK9,IF(B32="V","MINOR VISUAL",IF(B32="M","MAJOR VISUAL",IF(B32="B","BARCODE FAIL",IF(B32="D","DELAMINATION",IF('Data - Sample Type 0'!Q9="","DATA ENTRY ERROR",IF(B32=$D$23,"PASS","MAJOR FUNCTIONAL"))))))))))</f>
        <v>PASS</v>
      </c>
      <c r="D32" s="77" t="str">
        <f>IF(C32="","",IF('Data - Sample Type 0'!NI9="","N/A",IF('Data - Sample Type 0'!NI9&lt;Specifications!$D$3,"PASS","FAIL")))</f>
        <v>PASS</v>
      </c>
      <c r="E32" s="174"/>
    </row>
    <row r="33" spans="1:5" x14ac:dyDescent="0.2">
      <c r="A33" s="73" t="str">
        <f>IF('Data - Sample Type 0'!C10="","",'Data - Sample Type 0'!C10)</f>
        <v>NEG_01_0_09+</v>
      </c>
      <c r="B33" s="74" t="str">
        <f>IF('Data - Sample Type 0'!L10="","",'Data - Sample Type 0'!L10)</f>
        <v>MTB NOT DETECTED</v>
      </c>
      <c r="C33" s="75" t="str">
        <f>IF(B33="","",IF(B33="INVALID",IF('Data - Sample Type 0'!NK10="","INVALID",'Data - Sample Type 0'!NK10),IF(B33="ERROR",'Data - Sample Type 0'!NK10,IF(B33="NO RESULT",'Data - Sample Type 0'!NK10,IF(B33="V","MINOR VISUAL",IF(B33="M","MAJOR VISUAL",IF(B33="B","BARCODE FAIL",IF(B33="D","DELAMINATION",IF('Data - Sample Type 0'!Q10="","DATA ENTRY ERROR",IF(B33=$D$23,"PASS","MAJOR FUNCTIONAL"))))))))))</f>
        <v>PASS</v>
      </c>
      <c r="D33" s="77" t="str">
        <f>IF(C33="","",IF('Data - Sample Type 0'!NI10="","N/A",IF('Data - Sample Type 0'!NI10&lt;Specifications!$D$3,"PASS","FAIL")))</f>
        <v>PASS</v>
      </c>
      <c r="E33" s="174"/>
    </row>
    <row r="34" spans="1:5" x14ac:dyDescent="0.2">
      <c r="A34" s="73" t="str">
        <f>IF('Data - Sample Type 0'!C11="","",'Data - Sample Type 0'!C11)</f>
        <v>NEG_01_0_10+</v>
      </c>
      <c r="B34" s="74" t="str">
        <f>IF('Data - Sample Type 0'!L11="","",'Data - Sample Type 0'!L11)</f>
        <v>MTB NOT DETECTED</v>
      </c>
      <c r="C34" s="75" t="str">
        <f>IF(B34="","",IF(B34="INVALID",IF('Data - Sample Type 0'!NK11="","INVALID",'Data - Sample Type 0'!NK11),IF(B34="ERROR",'Data - Sample Type 0'!NK11,IF(B34="NO RESULT",'Data - Sample Type 0'!NK11,IF(B34="V","MINOR VISUAL",IF(B34="M","MAJOR VISUAL",IF(B34="B","BARCODE FAIL",IF(B34="D","DELAMINATION",IF('Data - Sample Type 0'!Q11="","DATA ENTRY ERROR",IF(B34=$D$23,"PASS","MAJOR FUNCTIONAL"))))))))))</f>
        <v>PASS</v>
      </c>
      <c r="D34" s="77" t="str">
        <f>IF(C34="","",IF('Data - Sample Type 0'!NI11="","N/A",IF('Data - Sample Type 0'!NI11&lt;Specifications!$D$3,"PASS","FAIL")))</f>
        <v>PASS</v>
      </c>
      <c r="E34" s="174"/>
    </row>
    <row r="35" spans="1:5" x14ac:dyDescent="0.2">
      <c r="A35" s="73" t="str">
        <f>IF('Data - Sample Type 0'!C12="","",'Data - Sample Type 0'!C12)</f>
        <v>NEG_02_0_01X</v>
      </c>
      <c r="B35" s="74" t="str">
        <f>IF('Data - Sample Type 0'!L12="","",'Data - Sample Type 0'!L12)</f>
        <v>MTB NOT DETECTED</v>
      </c>
      <c r="C35" s="75" t="str">
        <f>IF(B35="","",IF(B35="INVALID",IF('Data - Sample Type 0'!NK12="","INVALID",'Data - Sample Type 0'!NK12),IF(B35="ERROR",'Data - Sample Type 0'!NK12,IF(B35="NO RESULT",'Data - Sample Type 0'!NK12,IF(B35="V","MINOR VISUAL",IF(B35="M","MAJOR VISUAL",IF(B35="B","BARCODE FAIL",IF(B35="D","DELAMINATION",IF('Data - Sample Type 0'!Q12="","DATA ENTRY ERROR",IF(B35=$D$23,"PASS","MAJOR FUNCTIONAL"))))))))))</f>
        <v>PASS</v>
      </c>
      <c r="D35" s="77" t="str">
        <f>IF(C35="","",IF('Data - Sample Type 0'!NI12="","N/A",IF('Data - Sample Type 0'!NI12&lt;Specifications!$D$3,"PASS","FAIL")))</f>
        <v>PASS</v>
      </c>
      <c r="E35" s="174"/>
    </row>
    <row r="36" spans="1:5" x14ac:dyDescent="0.2">
      <c r="A36" s="73" t="str">
        <f>IF('Data - Sample Type 0'!C13="","",'Data - Sample Type 0'!C13)</f>
        <v>NEG_02_0_02X</v>
      </c>
      <c r="B36" s="74" t="str">
        <f>IF('Data - Sample Type 0'!L13="","",'Data - Sample Type 0'!L13)</f>
        <v>MTB NOT DETECTED</v>
      </c>
      <c r="C36" s="75" t="str">
        <f>IF(B36="","",IF(B36="INVALID",IF('Data - Sample Type 0'!NK13="","INVALID",'Data - Sample Type 0'!NK13),IF(B36="ERROR",'Data - Sample Type 0'!NK13,IF(B36="NO RESULT",'Data - Sample Type 0'!NK13,IF(B36="V","MINOR VISUAL",IF(B36="M","MAJOR VISUAL",IF(B36="B","BARCODE FAIL",IF(B36="D","DELAMINATION",IF('Data - Sample Type 0'!Q13="","DATA ENTRY ERROR",IF(B36=$D$23,"PASS","MAJOR FUNCTIONAL"))))))))))</f>
        <v>PASS</v>
      </c>
      <c r="D36" s="77" t="str">
        <f>IF(C36="","",IF('Data - Sample Type 0'!NI13="","N/A",IF('Data - Sample Type 0'!NI13&lt;Specifications!$D$3,"PASS","FAIL")))</f>
        <v>PASS</v>
      </c>
      <c r="E36" s="174"/>
    </row>
    <row r="37" spans="1:5" x14ac:dyDescent="0.2">
      <c r="A37" s="73" t="str">
        <f>IF('Data - Sample Type 0'!C14="","",'Data - Sample Type 0'!C14)</f>
        <v>NEG_02_0_03X</v>
      </c>
      <c r="B37" s="74" t="str">
        <f>IF('Data - Sample Type 0'!L14="","",'Data - Sample Type 0'!L14)</f>
        <v>MTB NOT DETECTED</v>
      </c>
      <c r="C37" s="75" t="str">
        <f>IF(B37="","",IF(B37="INVALID",IF('Data - Sample Type 0'!NK14="","INVALID",'Data - Sample Type 0'!NK14),IF(B37="ERROR",'Data - Sample Type 0'!NK14,IF(B37="NO RESULT",'Data - Sample Type 0'!NK14,IF(B37="V","MINOR VISUAL",IF(B37="M","MAJOR VISUAL",IF(B37="B","BARCODE FAIL",IF(B37="D","DELAMINATION",IF('Data - Sample Type 0'!Q14="","DATA ENTRY ERROR",IF(B37=$D$23,"PASS","MAJOR FUNCTIONAL"))))))))))</f>
        <v>PASS</v>
      </c>
      <c r="D37" s="77" t="str">
        <f>IF(C37="","",IF('Data - Sample Type 0'!NI14="","N/A",IF('Data - Sample Type 0'!NI14&lt;Specifications!$D$3,"PASS","FAIL")))</f>
        <v>PASS</v>
      </c>
      <c r="E37" s="174"/>
    </row>
    <row r="38" spans="1:5" x14ac:dyDescent="0.2">
      <c r="A38" s="73" t="str">
        <f>IF('Data - Sample Type 0'!C15="","",'Data - Sample Type 0'!C15)</f>
        <v>NEG_02_0_04X</v>
      </c>
      <c r="B38" s="74" t="str">
        <f>IF('Data - Sample Type 0'!L15="","",'Data - Sample Type 0'!L15)</f>
        <v>MTB NOT DETECTED</v>
      </c>
      <c r="C38" s="75" t="str">
        <f>IF(B38="","",IF(B38="INVALID",IF('Data - Sample Type 0'!NK15="","INVALID",'Data - Sample Type 0'!NK15),IF(B38="ERROR",'Data - Sample Type 0'!NK15,IF(B38="NO RESULT",'Data - Sample Type 0'!NK15,IF(B38="V","MINOR VISUAL",IF(B38="M","MAJOR VISUAL",IF(B38="B","BARCODE FAIL",IF(B38="D","DELAMINATION",IF('Data - Sample Type 0'!Q15="","DATA ENTRY ERROR",IF(B38=$D$23,"PASS","MAJOR FUNCTIONAL"))))))))))</f>
        <v>PASS</v>
      </c>
      <c r="D38" s="77" t="str">
        <f>IF(C38="","",IF('Data - Sample Type 0'!NI15="","N/A",IF('Data - Sample Type 0'!NI15&lt;Specifications!$D$3,"PASS","FAIL")))</f>
        <v>PASS</v>
      </c>
      <c r="E38" s="174"/>
    </row>
    <row r="39" spans="1:5" x14ac:dyDescent="0.2">
      <c r="A39" s="73" t="str">
        <f>IF('Data - Sample Type 0'!C16="","",'Data - Sample Type 0'!C16)</f>
        <v>NEG_02_0_05X</v>
      </c>
      <c r="B39" s="74" t="str">
        <f>IF('Data - Sample Type 0'!L16="","",'Data - Sample Type 0'!L16)</f>
        <v>MTB NOT DETECTED</v>
      </c>
      <c r="C39" s="75" t="str">
        <f>IF(B39="","",IF(B39="INVALID",IF('Data - Sample Type 0'!NK16="","INVALID",'Data - Sample Type 0'!NK16),IF(B39="ERROR",'Data - Sample Type 0'!NK16,IF(B39="NO RESULT",'Data - Sample Type 0'!NK16,IF(B39="V","MINOR VISUAL",IF(B39="M","MAJOR VISUAL",IF(B39="B","BARCODE FAIL",IF(B39="D","DELAMINATION",IF('Data - Sample Type 0'!Q16="","DATA ENTRY ERROR",IF(B39=$D$23,"PASS","MAJOR FUNCTIONAL"))))))))))</f>
        <v>PASS</v>
      </c>
      <c r="D39" s="77" t="str">
        <f>IF(C39="","",IF('Data - Sample Type 0'!NI16="","N/A",IF('Data - Sample Type 0'!NI16&lt;Specifications!$D$3,"PASS","FAIL")))</f>
        <v>PASS</v>
      </c>
      <c r="E39" s="174"/>
    </row>
    <row r="40" spans="1:5" x14ac:dyDescent="0.2">
      <c r="A40" s="73" t="str">
        <f>IF('Data - Sample Type 0'!C17="","",'Data - Sample Type 0'!C17)</f>
        <v>NEG_02_0_06+</v>
      </c>
      <c r="B40" s="74" t="str">
        <f>IF('Data - Sample Type 0'!L17="","",'Data - Sample Type 0'!L17)</f>
        <v>MTB NOT DETECTED</v>
      </c>
      <c r="C40" s="75" t="str">
        <f>IF(B40="","",IF(B40="INVALID",IF('Data - Sample Type 0'!NK17="","INVALID",'Data - Sample Type 0'!NK17),IF(B40="ERROR",'Data - Sample Type 0'!NK17,IF(B40="NO RESULT",'Data - Sample Type 0'!NK17,IF(B40="V","MINOR VISUAL",IF(B40="M","MAJOR VISUAL",IF(B40="B","BARCODE FAIL",IF(B40="D","DELAMINATION",IF('Data - Sample Type 0'!Q17="","DATA ENTRY ERROR",IF(B40=$D$23,"PASS","MAJOR FUNCTIONAL"))))))))))</f>
        <v>PASS</v>
      </c>
      <c r="D40" s="77" t="str">
        <f>IF(C40="","",IF('Data - Sample Type 0'!NI17="","N/A",IF('Data - Sample Type 0'!NI17&lt;Specifications!$D$3,"PASS","FAIL")))</f>
        <v>PASS</v>
      </c>
      <c r="E40" s="174"/>
    </row>
    <row r="41" spans="1:5" x14ac:dyDescent="0.2">
      <c r="A41" s="73" t="str">
        <f>IF('Data - Sample Type 0'!C18="","",'Data - Sample Type 0'!C18)</f>
        <v>NEG_02_0_07+</v>
      </c>
      <c r="B41" s="74" t="str">
        <f>IF('Data - Sample Type 0'!L18="","",'Data - Sample Type 0'!L18)</f>
        <v>MTB NOT DETECTED</v>
      </c>
      <c r="C41" s="75" t="str">
        <f>IF(B41="","",IF(B41="INVALID",IF('Data - Sample Type 0'!NK18="","INVALID",'Data - Sample Type 0'!NK18),IF(B41="ERROR",'Data - Sample Type 0'!NK18,IF(B41="NO RESULT",'Data - Sample Type 0'!NK18,IF(B41="V","MINOR VISUAL",IF(B41="M","MAJOR VISUAL",IF(B41="B","BARCODE FAIL",IF(B41="D","DELAMINATION",IF('Data - Sample Type 0'!Q18="","DATA ENTRY ERROR",IF(B41=$D$23,"PASS","MAJOR FUNCTIONAL"))))))))))</f>
        <v>PASS</v>
      </c>
      <c r="D41" s="77" t="str">
        <f>IF(C41="","",IF('Data - Sample Type 0'!NI18="","N/A",IF('Data - Sample Type 0'!NI18&lt;Specifications!$D$3,"PASS","FAIL")))</f>
        <v>PASS</v>
      </c>
      <c r="E41" s="174"/>
    </row>
    <row r="42" spans="1:5" x14ac:dyDescent="0.2">
      <c r="A42" s="73" t="str">
        <f>IF('Data - Sample Type 0'!C19="","",'Data - Sample Type 0'!C19)</f>
        <v>NEG_02_0_08+</v>
      </c>
      <c r="B42" s="74" t="str">
        <f>IF('Data - Sample Type 0'!L19="","",'Data - Sample Type 0'!L19)</f>
        <v>MTB NOT DETECTED</v>
      </c>
      <c r="C42" s="75" t="str">
        <f>IF(B42="","",IF(B42="INVALID",IF('Data - Sample Type 0'!NK19="","INVALID",'Data - Sample Type 0'!NK19),IF(B42="ERROR",'Data - Sample Type 0'!NK19,IF(B42="NO RESULT",'Data - Sample Type 0'!NK19,IF(B42="V","MINOR VISUAL",IF(B42="M","MAJOR VISUAL",IF(B42="B","BARCODE FAIL",IF(B42="D","DELAMINATION",IF('Data - Sample Type 0'!Q19="","DATA ENTRY ERROR",IF(B42=$D$23,"PASS","MAJOR FUNCTIONAL"))))))))))</f>
        <v>PASS</v>
      </c>
      <c r="D42" s="77" t="str">
        <f>IF(C42="","",IF('Data - Sample Type 0'!NI19="","N/A",IF('Data - Sample Type 0'!NI19&lt;Specifications!$D$3,"PASS","FAIL")))</f>
        <v>PASS</v>
      </c>
      <c r="E42" s="174"/>
    </row>
    <row r="43" spans="1:5" x14ac:dyDescent="0.2">
      <c r="A43" s="73" t="str">
        <f>IF('Data - Sample Type 0'!C20="","",'Data - Sample Type 0'!C20)</f>
        <v>NEG_02_0_09+</v>
      </c>
      <c r="B43" s="74" t="str">
        <f>IF('Data - Sample Type 0'!L20="","",'Data - Sample Type 0'!L20)</f>
        <v>MTB NOT DETECTED</v>
      </c>
      <c r="C43" s="75" t="str">
        <f>IF(B43="","",IF(B43="INVALID",IF('Data - Sample Type 0'!NK20="","INVALID",'Data - Sample Type 0'!NK20),IF(B43="ERROR",'Data - Sample Type 0'!NK20,IF(B43="NO RESULT",'Data - Sample Type 0'!NK20,IF(B43="V","MINOR VISUAL",IF(B43="M","MAJOR VISUAL",IF(B43="B","BARCODE FAIL",IF(B43="D","DELAMINATION",IF('Data - Sample Type 0'!Q20="","DATA ENTRY ERROR",IF(B43=$D$23,"PASS","MAJOR FUNCTIONAL"))))))))))</f>
        <v>PASS</v>
      </c>
      <c r="D43" s="77" t="str">
        <f>IF(C43="","",IF('Data - Sample Type 0'!NI20="","N/A",IF('Data - Sample Type 0'!NI20&lt;Specifications!$D$3,"PASS","FAIL")))</f>
        <v>PASS</v>
      </c>
      <c r="E43" s="174"/>
    </row>
    <row r="44" spans="1:5" x14ac:dyDescent="0.2">
      <c r="A44" s="73" t="str">
        <f>IF('Data - Sample Type 0'!C21="","",'Data - Sample Type 0'!C21)</f>
        <v>NEG_02_0_10+</v>
      </c>
      <c r="B44" s="74" t="str">
        <f>IF('Data - Sample Type 0'!L21="","",'Data - Sample Type 0'!L21)</f>
        <v>MTB NOT DETECTED</v>
      </c>
      <c r="C44" s="75" t="str">
        <f>IF(B44="","",IF(B44="INVALID",IF('Data - Sample Type 0'!NK21="","INVALID",'Data - Sample Type 0'!NK21),IF(B44="ERROR",'Data - Sample Type 0'!NK21,IF(B44="NO RESULT",'Data - Sample Type 0'!NK21,IF(B44="V","MINOR VISUAL",IF(B44="M","MAJOR VISUAL",IF(B44="B","BARCODE FAIL",IF(B44="D","DELAMINATION",IF('Data - Sample Type 0'!Q21="","DATA ENTRY ERROR",IF(B44=$D$23,"PASS","MAJOR FUNCTIONAL"))))))))))</f>
        <v>PASS</v>
      </c>
      <c r="D44" s="77" t="str">
        <f>IF(C44="","",IF('Data - Sample Type 0'!NI21="","N/A",IF('Data - Sample Type 0'!NI21&lt;Specifications!$D$3,"PASS","FAIL")))</f>
        <v>PASS</v>
      </c>
      <c r="E44" s="174"/>
    </row>
    <row r="45" spans="1:5" x14ac:dyDescent="0.2">
      <c r="A45" s="73" t="str">
        <f>IF('Data - Sample Type 0'!C22="","",'Data - Sample Type 0'!C22)</f>
        <v>NEG_03_0_01X</v>
      </c>
      <c r="B45" s="74" t="str">
        <f>IF('Data - Sample Type 0'!L22="","",'Data - Sample Type 0'!L22)</f>
        <v>MTB NOT DETECTED</v>
      </c>
      <c r="C45" s="75" t="str">
        <f>IF(B45="","",IF(B45="INVALID",IF('Data - Sample Type 0'!NK22="","INVALID",'Data - Sample Type 0'!NK22),IF(B45="ERROR",'Data - Sample Type 0'!NK22,IF(B45="NO RESULT",'Data - Sample Type 0'!NK22,IF(B45="V","MINOR VISUAL",IF(B45="M","MAJOR VISUAL",IF(B45="B","BARCODE FAIL",IF(B45="D","DELAMINATION",IF('Data - Sample Type 0'!Q22="","DATA ENTRY ERROR",IF(B45=$D$23,"PASS","MAJOR FUNCTIONAL"))))))))))</f>
        <v>PASS</v>
      </c>
      <c r="D45" s="77" t="str">
        <f>IF(C45="","",IF('Data - Sample Type 0'!NI22="","N/A",IF('Data - Sample Type 0'!NI22&lt;Specifications!$D$3,"PASS","FAIL")))</f>
        <v>PASS</v>
      </c>
      <c r="E45" s="174"/>
    </row>
    <row r="46" spans="1:5" x14ac:dyDescent="0.2">
      <c r="A46" s="73" t="str">
        <f>IF('Data - Sample Type 0'!C23="","",'Data - Sample Type 0'!C23)</f>
        <v>NEG_03_0_02X</v>
      </c>
      <c r="B46" s="74" t="str">
        <f>IF('Data - Sample Type 0'!L23="","",'Data - Sample Type 0'!L23)</f>
        <v>MTB NOT DETECTED</v>
      </c>
      <c r="C46" s="75" t="str">
        <f>IF(B46="","",IF(B46="INVALID",IF('Data - Sample Type 0'!NK23="","INVALID",'Data - Sample Type 0'!NK23),IF(B46="ERROR",'Data - Sample Type 0'!NK23,IF(B46="NO RESULT",'Data - Sample Type 0'!NK23,IF(B46="V","MINOR VISUAL",IF(B46="M","MAJOR VISUAL",IF(B46="B","BARCODE FAIL",IF(B46="D","DELAMINATION",IF('Data - Sample Type 0'!Q23="","DATA ENTRY ERROR",IF(B46=$D$23,"PASS","MAJOR FUNCTIONAL"))))))))))</f>
        <v>PASS</v>
      </c>
      <c r="D46" s="77" t="str">
        <f>IF(C46="","",IF('Data - Sample Type 0'!NI23="","N/A",IF('Data - Sample Type 0'!NI23&lt;Specifications!$D$3,"PASS","FAIL")))</f>
        <v>PASS</v>
      </c>
      <c r="E46" s="174"/>
    </row>
    <row r="47" spans="1:5" x14ac:dyDescent="0.2">
      <c r="A47" s="73" t="str">
        <f>IF('Data - Sample Type 0'!C24="","",'Data - Sample Type 0'!C24)</f>
        <v>NEG_03_0_03X</v>
      </c>
      <c r="B47" s="74" t="str">
        <f>IF('Data - Sample Type 0'!L24="","",'Data - Sample Type 0'!L24)</f>
        <v>MTB NOT DETECTED</v>
      </c>
      <c r="C47" s="75" t="str">
        <f>IF(B47="","",IF(B47="INVALID",IF('Data - Sample Type 0'!NK24="","INVALID",'Data - Sample Type 0'!NK24),IF(B47="ERROR",'Data - Sample Type 0'!NK24,IF(B47="NO RESULT",'Data - Sample Type 0'!NK24,IF(B47="V","MINOR VISUAL",IF(B47="M","MAJOR VISUAL",IF(B47="B","BARCODE FAIL",IF(B47="D","DELAMINATION",IF('Data - Sample Type 0'!Q24="","DATA ENTRY ERROR",IF(B47=$D$23,"PASS","MAJOR FUNCTIONAL"))))))))))</f>
        <v>PASS</v>
      </c>
      <c r="D47" s="77" t="str">
        <f>IF(C47="","",IF('Data - Sample Type 0'!NI24="","N/A",IF('Data - Sample Type 0'!NI24&lt;Specifications!$D$3,"PASS","FAIL")))</f>
        <v>PASS</v>
      </c>
      <c r="E47" s="174"/>
    </row>
    <row r="48" spans="1:5" x14ac:dyDescent="0.2">
      <c r="A48" s="73" t="str">
        <f>IF('Data - Sample Type 0'!C25="","",'Data - Sample Type 0'!C25)</f>
        <v>NEG_03_0_04X</v>
      </c>
      <c r="B48" s="74" t="str">
        <f>IF('Data - Sample Type 0'!L25="","",'Data - Sample Type 0'!L25)</f>
        <v>MTB NOT DETECTED</v>
      </c>
      <c r="C48" s="75" t="str">
        <f>IF(B48="","",IF(B48="INVALID",IF('Data - Sample Type 0'!NK25="","INVALID",'Data - Sample Type 0'!NK25),IF(B48="ERROR",'Data - Sample Type 0'!NK25,IF(B48="NO RESULT",'Data - Sample Type 0'!NK25,IF(B48="V","MINOR VISUAL",IF(B48="M","MAJOR VISUAL",IF(B48="B","BARCODE FAIL",IF(B48="D","DELAMINATION",IF('Data - Sample Type 0'!Q25="","DATA ENTRY ERROR",IF(B48=$D$23,"PASS","MAJOR FUNCTIONAL"))))))))))</f>
        <v>PASS</v>
      </c>
      <c r="D48" s="77" t="str">
        <f>IF(C48="","",IF('Data - Sample Type 0'!NI25="","N/A",IF('Data - Sample Type 0'!NI25&lt;Specifications!$D$3,"PASS","FAIL")))</f>
        <v>PASS</v>
      </c>
      <c r="E48" s="174"/>
    </row>
    <row r="49" spans="1:5" x14ac:dyDescent="0.2">
      <c r="A49" s="73" t="str">
        <f>IF('Data - Sample Type 0'!C26="","",'Data - Sample Type 0'!C26)</f>
        <v>NEG_03_0_05X</v>
      </c>
      <c r="B49" s="74" t="str">
        <f>IF('Data - Sample Type 0'!L26="","",'Data - Sample Type 0'!L26)</f>
        <v>MTB NOT DETECTED</v>
      </c>
      <c r="C49" s="75" t="str">
        <f>IF(B49="","",IF(B49="INVALID",IF('Data - Sample Type 0'!NK26="","INVALID",'Data - Sample Type 0'!NK26),IF(B49="ERROR",'Data - Sample Type 0'!NK26,IF(B49="NO RESULT",'Data - Sample Type 0'!NK26,IF(B49="V","MINOR VISUAL",IF(B49="M","MAJOR VISUAL",IF(B49="B","BARCODE FAIL",IF(B49="D","DELAMINATION",IF('Data - Sample Type 0'!Q26="","DATA ENTRY ERROR",IF(B49=$D$23,"PASS","MAJOR FUNCTIONAL"))))))))))</f>
        <v>PASS</v>
      </c>
      <c r="D49" s="77" t="str">
        <f>IF(C49="","",IF('Data - Sample Type 0'!NI26="","N/A",IF('Data - Sample Type 0'!NI26&lt;Specifications!$D$3,"PASS","FAIL")))</f>
        <v>PASS</v>
      </c>
      <c r="E49" s="174"/>
    </row>
    <row r="50" spans="1:5" x14ac:dyDescent="0.2">
      <c r="A50" s="73" t="str">
        <f>IF('Data - Sample Type 0'!C27="","",'Data - Sample Type 0'!C27)</f>
        <v>NEG_03_0_06+</v>
      </c>
      <c r="B50" s="74" t="str">
        <f>IF('Data - Sample Type 0'!L27="","",'Data - Sample Type 0'!L27)</f>
        <v>MTB NOT DETECTED</v>
      </c>
      <c r="C50" s="75" t="str">
        <f>IF(B50="","",IF(B50="INVALID",IF('Data - Sample Type 0'!NK27="","INVALID",'Data - Sample Type 0'!NK27),IF(B50="ERROR",'Data - Sample Type 0'!NK27,IF(B50="NO RESULT",'Data - Sample Type 0'!NK27,IF(B50="V","MINOR VISUAL",IF(B50="M","MAJOR VISUAL",IF(B50="B","BARCODE FAIL",IF(B50="D","DELAMINATION",IF('Data - Sample Type 0'!Q27="","DATA ENTRY ERROR",IF(B50=$D$23,"PASS","MAJOR FUNCTIONAL"))))))))))</f>
        <v>PASS</v>
      </c>
      <c r="D50" s="77" t="str">
        <f>IF(C50="","",IF('Data - Sample Type 0'!NI27="","N/A",IF('Data - Sample Type 0'!NI27&lt;Specifications!$D$3,"PASS","FAIL")))</f>
        <v>PASS</v>
      </c>
      <c r="E50" s="174"/>
    </row>
    <row r="51" spans="1:5" x14ac:dyDescent="0.2">
      <c r="A51" s="73" t="str">
        <f>IF('Data - Sample Type 0'!C28="","",'Data - Sample Type 0'!C28)</f>
        <v>NEG_03_0_07+</v>
      </c>
      <c r="B51" s="74" t="str">
        <f>IF('Data - Sample Type 0'!L28="","",'Data - Sample Type 0'!L28)</f>
        <v>MTB NOT DETECTED</v>
      </c>
      <c r="C51" s="75" t="str">
        <f>IF(B51="","",IF(B51="INVALID",IF('Data - Sample Type 0'!NK28="","INVALID",'Data - Sample Type 0'!NK28),IF(B51="ERROR",'Data - Sample Type 0'!NK28,IF(B51="NO RESULT",'Data - Sample Type 0'!NK28,IF(B51="V","MINOR VISUAL",IF(B51="M","MAJOR VISUAL",IF(B51="B","BARCODE FAIL",IF(B51="D","DELAMINATION",IF('Data - Sample Type 0'!Q28="","DATA ENTRY ERROR",IF(B51=$D$23,"PASS","MAJOR FUNCTIONAL"))))))))))</f>
        <v>PASS</v>
      </c>
      <c r="D51" s="77" t="str">
        <f>IF(C51="","",IF('Data - Sample Type 0'!NI28="","N/A",IF('Data - Sample Type 0'!NI28&lt;Specifications!$D$3,"PASS","FAIL")))</f>
        <v>PASS</v>
      </c>
      <c r="E51" s="174"/>
    </row>
    <row r="52" spans="1:5" x14ac:dyDescent="0.2">
      <c r="A52" s="73" t="str">
        <f>IF('Data - Sample Type 0'!C29="","",'Data - Sample Type 0'!C29)</f>
        <v>NEG_03_0_08+</v>
      </c>
      <c r="B52" s="74" t="str">
        <f>IF('Data - Sample Type 0'!L29="","",'Data - Sample Type 0'!L29)</f>
        <v>MTB NOT DETECTED</v>
      </c>
      <c r="C52" s="75" t="str">
        <f>IF(B52="","",IF(B52="INVALID",IF('Data - Sample Type 0'!NK29="","INVALID",'Data - Sample Type 0'!NK29),IF(B52="ERROR",'Data - Sample Type 0'!NK29,IF(B52="NO RESULT",'Data - Sample Type 0'!NK29,IF(B52="V","MINOR VISUAL",IF(B52="M","MAJOR VISUAL",IF(B52="B","BARCODE FAIL",IF(B52="D","DELAMINATION",IF('Data - Sample Type 0'!Q29="","DATA ENTRY ERROR",IF(B52=$D$23,"PASS","MAJOR FUNCTIONAL"))))))))))</f>
        <v>PASS</v>
      </c>
      <c r="D52" s="77" t="str">
        <f>IF(C52="","",IF('Data - Sample Type 0'!NI29="","N/A",IF('Data - Sample Type 0'!NI29&lt;Specifications!$D$3,"PASS","FAIL")))</f>
        <v>PASS</v>
      </c>
      <c r="E52" s="174"/>
    </row>
    <row r="53" spans="1:5" x14ac:dyDescent="0.2">
      <c r="A53" s="73" t="str">
        <f>IF('Data - Sample Type 0'!C30="","",'Data - Sample Type 0'!C30)</f>
        <v>NEG_03_0_09+</v>
      </c>
      <c r="B53" s="74" t="str">
        <f>IF('Data - Sample Type 0'!L30="","",'Data - Sample Type 0'!L30)</f>
        <v>MTB NOT DETECTED</v>
      </c>
      <c r="C53" s="75" t="str">
        <f>IF(B53="","",IF(B53="INVALID",IF('Data - Sample Type 0'!NK30="","INVALID",'Data - Sample Type 0'!NK30),IF(B53="ERROR",'Data - Sample Type 0'!NK30,IF(B53="NO RESULT",'Data - Sample Type 0'!NK30,IF(B53="V","MINOR VISUAL",IF(B53="M","MAJOR VISUAL",IF(B53="B","BARCODE FAIL",IF(B53="D","DELAMINATION",IF('Data - Sample Type 0'!Q30="","DATA ENTRY ERROR",IF(B53=$D$23,"PASS","MAJOR FUNCTIONAL"))))))))))</f>
        <v>PASS</v>
      </c>
      <c r="D53" s="77" t="str">
        <f>IF(C53="","",IF('Data - Sample Type 0'!NI30="","N/A",IF('Data - Sample Type 0'!NI30&lt;Specifications!$D$3,"PASS","FAIL")))</f>
        <v>PASS</v>
      </c>
      <c r="E53" s="174"/>
    </row>
    <row r="54" spans="1:5" x14ac:dyDescent="0.2">
      <c r="A54" s="73" t="str">
        <f>IF('Data - Sample Type 0'!C31="","",'Data - Sample Type 0'!C31)</f>
        <v>NEG_03_0_10+</v>
      </c>
      <c r="B54" s="74" t="str">
        <f>IF('Data - Sample Type 0'!L31="","",'Data - Sample Type 0'!L31)</f>
        <v>MTB NOT DETECTED</v>
      </c>
      <c r="C54" s="75" t="str">
        <f>IF(B54="","",IF(B54="INVALID",IF('Data - Sample Type 0'!NK31="","INVALID",'Data - Sample Type 0'!NK31),IF(B54="ERROR",'Data - Sample Type 0'!NK31,IF(B54="NO RESULT",'Data - Sample Type 0'!NK31,IF(B54="V","MINOR VISUAL",IF(B54="M","MAJOR VISUAL",IF(B54="B","BARCODE FAIL",IF(B54="D","DELAMINATION",IF('Data - Sample Type 0'!Q31="","DATA ENTRY ERROR",IF(B54=$D$23,"PASS","MAJOR FUNCTIONAL"))))))))))</f>
        <v>PASS</v>
      </c>
      <c r="D54" s="77" t="str">
        <f>IF(C54="","",IF('Data - Sample Type 0'!NI31="","N/A",IF('Data - Sample Type 0'!NI31&lt;Specifications!$D$3,"PASS","FAIL")))</f>
        <v>PASS</v>
      </c>
      <c r="E54" s="174"/>
    </row>
    <row r="55" spans="1:5" x14ac:dyDescent="0.2">
      <c r="A55" s="73" t="str">
        <f>IF('Data - Sample Type 0'!C32="","",'Data - Sample Type 0'!C32)</f>
        <v>NEG_04_0_01AX</v>
      </c>
      <c r="B55" s="74" t="str">
        <f>IF('Data - Sample Type 0'!L32="","",'Data - Sample Type 0'!L32)</f>
        <v>MTB NOT DETECTED</v>
      </c>
      <c r="C55" s="75" t="str">
        <f>IF(B55="","",IF(B55="INVALID",IF('Data - Sample Type 0'!NK32="","INVALID",'Data - Sample Type 0'!NK32),IF(B55="ERROR",'Data - Sample Type 0'!NK32,IF(B55="NO RESULT",'Data - Sample Type 0'!NK32,IF(B55="V","MINOR VISUAL",IF(B55="M","MAJOR VISUAL",IF(B55="B","BARCODE FAIL",IF(B55="D","DELAMINATION",IF('Data - Sample Type 0'!Q32="","DATA ENTRY ERROR",IF(B55=$D$23,"PASS","MAJOR FUNCTIONAL"))))))))))</f>
        <v>PASS</v>
      </c>
      <c r="D55" s="77" t="str">
        <f>IF(C55="","",IF('Data - Sample Type 0'!NI32="","N/A",IF('Data - Sample Type 0'!NI32&lt;Specifications!$D$3,"PASS","FAIL")))</f>
        <v>PASS</v>
      </c>
      <c r="E55" s="174"/>
    </row>
    <row r="56" spans="1:5" x14ac:dyDescent="0.2">
      <c r="A56" s="73" t="str">
        <f>IF('Data - Sample Type 0'!C33="","",'Data - Sample Type 0'!C33)</f>
        <v>NEG_04_0_02X</v>
      </c>
      <c r="B56" s="74" t="str">
        <f>IF('Data - Sample Type 0'!L33="","",'Data - Sample Type 0'!L33)</f>
        <v>MTB NOT DETECTED</v>
      </c>
      <c r="C56" s="75" t="str">
        <f>IF(B56="","",IF(B56="INVALID",IF('Data - Sample Type 0'!NK33="","INVALID",'Data - Sample Type 0'!NK33),IF(B56="ERROR",'Data - Sample Type 0'!NK33,IF(B56="NO RESULT",'Data - Sample Type 0'!NK33,IF(B56="V","MINOR VISUAL",IF(B56="M","MAJOR VISUAL",IF(B56="B","BARCODE FAIL",IF(B56="D","DELAMINATION",IF('Data - Sample Type 0'!Q33="","DATA ENTRY ERROR",IF(B56=$D$23,"PASS","MAJOR FUNCTIONAL"))))))))))</f>
        <v>PASS</v>
      </c>
      <c r="D56" s="77" t="str">
        <f>IF(C56="","",IF('Data - Sample Type 0'!NI33="","N/A",IF('Data - Sample Type 0'!NI33&lt;Specifications!$D$3,"PASS","FAIL")))</f>
        <v>PASS</v>
      </c>
      <c r="E56" s="174"/>
    </row>
    <row r="57" spans="1:5" x14ac:dyDescent="0.2">
      <c r="A57" s="73" t="str">
        <f>IF('Data - Sample Type 0'!C34="","",'Data - Sample Type 0'!C34)</f>
        <v>NEG_04_0_03X</v>
      </c>
      <c r="B57" s="74" t="str">
        <f>IF('Data - Sample Type 0'!L34="","",'Data - Sample Type 0'!L34)</f>
        <v>MTB NOT DETECTED</v>
      </c>
      <c r="C57" s="75" t="str">
        <f>IF(B57="","",IF(B57="INVALID",IF('Data - Sample Type 0'!NK34="","INVALID",'Data - Sample Type 0'!NK34),IF(B57="ERROR",'Data - Sample Type 0'!NK34,IF(B57="NO RESULT",'Data - Sample Type 0'!NK34,IF(B57="V","MINOR VISUAL",IF(B57="M","MAJOR VISUAL",IF(B57="B","BARCODE FAIL",IF(B57="D","DELAMINATION",IF('Data - Sample Type 0'!Q34="","DATA ENTRY ERROR",IF(B57=$D$23,"PASS","MAJOR FUNCTIONAL"))))))))))</f>
        <v>PASS</v>
      </c>
      <c r="D57" s="77" t="str">
        <f>IF(C57="","",IF('Data - Sample Type 0'!NI34="","N/A",IF('Data - Sample Type 0'!NI34&lt;Specifications!$D$3,"PASS","FAIL")))</f>
        <v>PASS</v>
      </c>
      <c r="E57" s="174"/>
    </row>
    <row r="58" spans="1:5" x14ac:dyDescent="0.2">
      <c r="A58" s="73" t="str">
        <f>IF('Data - Sample Type 0'!C35="","",'Data - Sample Type 0'!C35)</f>
        <v>NEG_04_0_04X</v>
      </c>
      <c r="B58" s="74" t="str">
        <f>IF('Data - Sample Type 0'!L35="","",'Data - Sample Type 0'!L35)</f>
        <v>MTB NOT DETECTED</v>
      </c>
      <c r="C58" s="75" t="str">
        <f>IF(B58="","",IF(B58="INVALID",IF('Data - Sample Type 0'!NK35="","INVALID",'Data - Sample Type 0'!NK35),IF(B58="ERROR",'Data - Sample Type 0'!NK35,IF(B58="NO RESULT",'Data - Sample Type 0'!NK35,IF(B58="V","MINOR VISUAL",IF(B58="M","MAJOR VISUAL",IF(B58="B","BARCODE FAIL",IF(B58="D","DELAMINATION",IF('Data - Sample Type 0'!Q35="","DATA ENTRY ERROR",IF(B58=$D$23,"PASS","MAJOR FUNCTIONAL"))))))))))</f>
        <v>PASS</v>
      </c>
      <c r="D58" s="77" t="str">
        <f>IF(C58="","",IF('Data - Sample Type 0'!NI35="","N/A",IF('Data - Sample Type 0'!NI35&lt;Specifications!$D$3,"PASS","FAIL")))</f>
        <v>PASS</v>
      </c>
      <c r="E58" s="174"/>
    </row>
    <row r="59" spans="1:5" x14ac:dyDescent="0.2">
      <c r="A59" s="73" t="str">
        <f>IF('Data - Sample Type 0'!C36="","",'Data - Sample Type 0'!C36)</f>
        <v>NEG_04_0_05X</v>
      </c>
      <c r="B59" s="74" t="str">
        <f>IF('Data - Sample Type 0'!L36="","",'Data - Sample Type 0'!L36)</f>
        <v>MTB NOT DETECTED</v>
      </c>
      <c r="C59" s="75" t="str">
        <f>IF(B59="","",IF(B59="INVALID",IF('Data - Sample Type 0'!NK36="","INVALID",'Data - Sample Type 0'!NK36),IF(B59="ERROR",'Data - Sample Type 0'!NK36,IF(B59="NO RESULT",'Data - Sample Type 0'!NK36,IF(B59="V","MINOR VISUAL",IF(B59="M","MAJOR VISUAL",IF(B59="B","BARCODE FAIL",IF(B59="D","DELAMINATION",IF('Data - Sample Type 0'!Q36="","DATA ENTRY ERROR",IF(B59=$D$23,"PASS","MAJOR FUNCTIONAL"))))))))))</f>
        <v>PASS</v>
      </c>
      <c r="D59" s="77" t="str">
        <f>IF(C59="","",IF('Data - Sample Type 0'!NI36="","N/A",IF('Data - Sample Type 0'!NI36&lt;Specifications!$D$3,"PASS","FAIL")))</f>
        <v>PASS</v>
      </c>
      <c r="E59" s="174"/>
    </row>
    <row r="60" spans="1:5" x14ac:dyDescent="0.2">
      <c r="A60" s="73" t="str">
        <f>IF('Data - Sample Type 0'!C37="","",'Data - Sample Type 0'!C37)</f>
        <v>NEG_04_0_06+</v>
      </c>
      <c r="B60" s="74" t="str">
        <f>IF('Data - Sample Type 0'!L37="","",'Data - Sample Type 0'!L37)</f>
        <v>MTB NOT DETECTED</v>
      </c>
      <c r="C60" s="75" t="str">
        <f>IF(B60="","",IF(B60="INVALID",IF('Data - Sample Type 0'!NK37="","INVALID",'Data - Sample Type 0'!NK37),IF(B60="ERROR",'Data - Sample Type 0'!NK37,IF(B60="NO RESULT",'Data - Sample Type 0'!NK37,IF(B60="V","MINOR VISUAL",IF(B60="M","MAJOR VISUAL",IF(B60="B","BARCODE FAIL",IF(B60="D","DELAMINATION",IF('Data - Sample Type 0'!Q37="","DATA ENTRY ERROR",IF(B60=$D$23,"PASS","MAJOR FUNCTIONAL"))))))))))</f>
        <v>PASS</v>
      </c>
      <c r="D60" s="77" t="str">
        <f>IF(C60="","",IF('Data - Sample Type 0'!NI37="","N/A",IF('Data - Sample Type 0'!NI37&lt;Specifications!$D$3,"PASS","FAIL")))</f>
        <v>PASS</v>
      </c>
      <c r="E60" s="174"/>
    </row>
    <row r="61" spans="1:5" x14ac:dyDescent="0.2">
      <c r="A61" s="73" t="str">
        <f>IF('Data - Sample Type 0'!C38="","",'Data - Sample Type 0'!C38)</f>
        <v>NEG_04_0_07+</v>
      </c>
      <c r="B61" s="74" t="str">
        <f>IF('Data - Sample Type 0'!L38="","",'Data - Sample Type 0'!L38)</f>
        <v>MTB NOT DETECTED</v>
      </c>
      <c r="C61" s="75" t="str">
        <f>IF(B61="","",IF(B61="INVALID",IF('Data - Sample Type 0'!NK38="","INVALID",'Data - Sample Type 0'!NK38),IF(B61="ERROR",'Data - Sample Type 0'!NK38,IF(B61="NO RESULT",'Data - Sample Type 0'!NK38,IF(B61="V","MINOR VISUAL",IF(B61="M","MAJOR VISUAL",IF(B61="B","BARCODE FAIL",IF(B61="D","DELAMINATION",IF('Data - Sample Type 0'!Q38="","DATA ENTRY ERROR",IF(B61=$D$23,"PASS","MAJOR FUNCTIONAL"))))))))))</f>
        <v>PASS</v>
      </c>
      <c r="D61" s="77" t="str">
        <f>IF(C61="","",IF('Data - Sample Type 0'!NI38="","N/A",IF('Data - Sample Type 0'!NI38&lt;Specifications!$D$3,"PASS","FAIL")))</f>
        <v>PASS</v>
      </c>
      <c r="E61" s="174"/>
    </row>
    <row r="62" spans="1:5" x14ac:dyDescent="0.2">
      <c r="A62" s="73" t="str">
        <f>IF('Data - Sample Type 0'!C39="","",'Data - Sample Type 0'!C39)</f>
        <v>NEG_04_0_08+</v>
      </c>
      <c r="B62" s="74" t="str">
        <f>IF('Data - Sample Type 0'!L39="","",'Data - Sample Type 0'!L39)</f>
        <v>MTB NOT DETECTED</v>
      </c>
      <c r="C62" s="75" t="str">
        <f>IF(B62="","",IF(B62="INVALID",IF('Data - Sample Type 0'!NK39="","INVALID",'Data - Sample Type 0'!NK39),IF(B62="ERROR",'Data - Sample Type 0'!NK39,IF(B62="NO RESULT",'Data - Sample Type 0'!NK39,IF(B62="V","MINOR VISUAL",IF(B62="M","MAJOR VISUAL",IF(B62="B","BARCODE FAIL",IF(B62="D","DELAMINATION",IF('Data - Sample Type 0'!Q39="","DATA ENTRY ERROR",IF(B62=$D$23,"PASS","MAJOR FUNCTIONAL"))))))))))</f>
        <v>PASS</v>
      </c>
      <c r="D62" s="77" t="str">
        <f>IF(C62="","",IF('Data - Sample Type 0'!NI39="","N/A",IF('Data - Sample Type 0'!NI39&lt;Specifications!$D$3,"PASS","FAIL")))</f>
        <v>PASS</v>
      </c>
      <c r="E62" s="174"/>
    </row>
    <row r="63" spans="1:5" x14ac:dyDescent="0.2">
      <c r="A63" s="73" t="str">
        <f>IF('Data - Sample Type 0'!C40="","",'Data - Sample Type 0'!C40)</f>
        <v>NEG_04_0_09+</v>
      </c>
      <c r="B63" s="74" t="str">
        <f>IF('Data - Sample Type 0'!L40="","",'Data - Sample Type 0'!L40)</f>
        <v>MTB NOT DETECTED</v>
      </c>
      <c r="C63" s="75" t="str">
        <f>IF(B63="","",IF(B63="INVALID",IF('Data - Sample Type 0'!NK40="","INVALID",'Data - Sample Type 0'!NK40),IF(B63="ERROR",'Data - Sample Type 0'!NK40,IF(B63="NO RESULT",'Data - Sample Type 0'!NK40,IF(B63="V","MINOR VISUAL",IF(B63="M","MAJOR VISUAL",IF(B63="B","BARCODE FAIL",IF(B63="D","DELAMINATION",IF('Data - Sample Type 0'!Q40="","DATA ENTRY ERROR",IF(B63=$D$23,"PASS","MAJOR FUNCTIONAL"))))))))))</f>
        <v>PASS</v>
      </c>
      <c r="D63" s="77" t="str">
        <f>IF(C63="","",IF('Data - Sample Type 0'!NI40="","N/A",IF('Data - Sample Type 0'!NI40&lt;Specifications!$D$3,"PASS","FAIL")))</f>
        <v>PASS</v>
      </c>
      <c r="E63" s="174"/>
    </row>
    <row r="64" spans="1:5" x14ac:dyDescent="0.2">
      <c r="A64" s="73" t="str">
        <f>IF('Data - Sample Type 0'!C41="","",'Data - Sample Type 0'!C41)</f>
        <v>NEG_04_0_10+</v>
      </c>
      <c r="B64" s="74" t="str">
        <f>IF('Data - Sample Type 0'!L41="","",'Data - Sample Type 0'!L41)</f>
        <v>MTB NOT DETECTED</v>
      </c>
      <c r="C64" s="75" t="str">
        <f>IF(B64="","",IF(B64="INVALID",IF('Data - Sample Type 0'!NK41="","INVALID",'Data - Sample Type 0'!NK41),IF(B64="ERROR",'Data - Sample Type 0'!NK41,IF(B64="NO RESULT",'Data - Sample Type 0'!NK41,IF(B64="V","MINOR VISUAL",IF(B64="M","MAJOR VISUAL",IF(B64="B","BARCODE FAIL",IF(B64="D","DELAMINATION",IF('Data - Sample Type 0'!Q41="","DATA ENTRY ERROR",IF(B64=$D$23,"PASS","MAJOR FUNCTIONAL"))))))))))</f>
        <v>PASS</v>
      </c>
      <c r="D64" s="77" t="str">
        <f>IF(C64="","",IF('Data - Sample Type 0'!NI41="","N/A",IF('Data - Sample Type 0'!NI41&lt;Specifications!$D$3,"PASS","FAIL")))</f>
        <v>PASS</v>
      </c>
      <c r="E64" s="174"/>
    </row>
    <row r="65" spans="1:5" x14ac:dyDescent="0.2">
      <c r="A65" s="73" t="str">
        <f>IF('Data - Sample Type 0'!C42="","",'Data - Sample Type 0'!C42)</f>
        <v>NEG_05_0_01X</v>
      </c>
      <c r="B65" s="74" t="str">
        <f>IF('Data - Sample Type 0'!L42="","",'Data - Sample Type 0'!L42)</f>
        <v>MTB NOT DETECTED</v>
      </c>
      <c r="C65" s="75" t="str">
        <f>IF(B65="","",IF(B65="INVALID",IF('Data - Sample Type 0'!NK42="","INVALID",'Data - Sample Type 0'!NK42),IF(B65="ERROR",'Data - Sample Type 0'!NK42,IF(B65="NO RESULT",'Data - Sample Type 0'!NK42,IF(B65="V","MINOR VISUAL",IF(B65="M","MAJOR VISUAL",IF(B65="B","BARCODE FAIL",IF(B65="D","DELAMINATION",IF('Data - Sample Type 0'!Q42="","DATA ENTRY ERROR",IF(B65=$D$23,"PASS","MAJOR FUNCTIONAL"))))))))))</f>
        <v>PASS</v>
      </c>
      <c r="D65" s="77" t="str">
        <f>IF(C65="","",IF('Data - Sample Type 0'!NI42="","N/A",IF('Data - Sample Type 0'!NI42&lt;Specifications!$D$3,"PASS","FAIL")))</f>
        <v>PASS</v>
      </c>
      <c r="E65" s="174"/>
    </row>
    <row r="66" spans="1:5" x14ac:dyDescent="0.2">
      <c r="A66" s="73" t="str">
        <f>IF('Data - Sample Type 0'!C43="","",'Data - Sample Type 0'!C43)</f>
        <v>NEG_05_0_02X</v>
      </c>
      <c r="B66" s="74" t="str">
        <f>IF('Data - Sample Type 0'!L43="","",'Data - Sample Type 0'!L43)</f>
        <v>MTB NOT DETECTED</v>
      </c>
      <c r="C66" s="75" t="str">
        <f>IF(B66="","",IF(B66="INVALID",IF('Data - Sample Type 0'!NK43="","INVALID",'Data - Sample Type 0'!NK43),IF(B66="ERROR",'Data - Sample Type 0'!NK43,IF(B66="NO RESULT",'Data - Sample Type 0'!NK43,IF(B66="V","MINOR VISUAL",IF(B66="M","MAJOR VISUAL",IF(B66="B","BARCODE FAIL",IF(B66="D","DELAMINATION",IF('Data - Sample Type 0'!Q43="","DATA ENTRY ERROR",IF(B66=$D$23,"PASS","MAJOR FUNCTIONAL"))))))))))</f>
        <v>PASS</v>
      </c>
      <c r="D66" s="77" t="str">
        <f>IF(C66="","",IF('Data - Sample Type 0'!NI43="","N/A",IF('Data - Sample Type 0'!NI43&lt;Specifications!$D$3,"PASS","FAIL")))</f>
        <v>PASS</v>
      </c>
      <c r="E66" s="174"/>
    </row>
    <row r="67" spans="1:5" x14ac:dyDescent="0.2">
      <c r="A67" s="73" t="str">
        <f>IF('Data - Sample Type 0'!C44="","",'Data - Sample Type 0'!C44)</f>
        <v>NEG_05_0_03X</v>
      </c>
      <c r="B67" s="74" t="str">
        <f>IF('Data - Sample Type 0'!L44="","",'Data - Sample Type 0'!L44)</f>
        <v>MTB NOT DETECTED</v>
      </c>
      <c r="C67" s="75" t="str">
        <f>IF(B67="","",IF(B67="INVALID",IF('Data - Sample Type 0'!NK44="","INVALID",'Data - Sample Type 0'!NK44),IF(B67="ERROR",'Data - Sample Type 0'!NK44,IF(B67="NO RESULT",'Data - Sample Type 0'!NK44,IF(B67="V","MINOR VISUAL",IF(B67="M","MAJOR VISUAL",IF(B67="B","BARCODE FAIL",IF(B67="D","DELAMINATION",IF('Data - Sample Type 0'!Q44="","DATA ENTRY ERROR",IF(B67=$D$23,"PASS","MAJOR FUNCTIONAL"))))))))))</f>
        <v>PASS</v>
      </c>
      <c r="D67" s="77" t="str">
        <f>IF(C67="","",IF('Data - Sample Type 0'!NI44="","N/A",IF('Data - Sample Type 0'!NI44&lt;Specifications!$D$3,"PASS","FAIL")))</f>
        <v>PASS</v>
      </c>
      <c r="E67" s="174"/>
    </row>
    <row r="68" spans="1:5" x14ac:dyDescent="0.2">
      <c r="A68" s="73" t="str">
        <f>IF('Data - Sample Type 0'!C45="","",'Data - Sample Type 0'!C45)</f>
        <v>NEG_05_0_04X</v>
      </c>
      <c r="B68" s="74" t="str">
        <f>IF('Data - Sample Type 0'!L45="","",'Data - Sample Type 0'!L45)</f>
        <v>MTB NOT DETECTED</v>
      </c>
      <c r="C68" s="75" t="str">
        <f>IF(B68="","",IF(B68="INVALID",IF('Data - Sample Type 0'!NK45="","INVALID",'Data - Sample Type 0'!NK45),IF(B68="ERROR",'Data - Sample Type 0'!NK45,IF(B68="NO RESULT",'Data - Sample Type 0'!NK45,IF(B68="V","MINOR VISUAL",IF(B68="M","MAJOR VISUAL",IF(B68="B","BARCODE FAIL",IF(B68="D","DELAMINATION",IF('Data - Sample Type 0'!Q45="","DATA ENTRY ERROR",IF(B68=$D$23,"PASS","MAJOR FUNCTIONAL"))))))))))</f>
        <v>PASS</v>
      </c>
      <c r="D68" s="77" t="str">
        <f>IF(C68="","",IF('Data - Sample Type 0'!NI45="","N/A",IF('Data - Sample Type 0'!NI45&lt;Specifications!$D$3,"PASS","FAIL")))</f>
        <v>PASS</v>
      </c>
      <c r="E68" s="174"/>
    </row>
    <row r="69" spans="1:5" x14ac:dyDescent="0.2">
      <c r="A69" s="73" t="str">
        <f>IF('Data - Sample Type 0'!C46="","",'Data - Sample Type 0'!C46)</f>
        <v>NEG_05_0_05X</v>
      </c>
      <c r="B69" s="74" t="str">
        <f>IF('Data - Sample Type 0'!L46="","",'Data - Sample Type 0'!L46)</f>
        <v>MTB NOT DETECTED</v>
      </c>
      <c r="C69" s="75" t="str">
        <f>IF(B69="","",IF(B69="INVALID",IF('Data - Sample Type 0'!NK46="","INVALID",'Data - Sample Type 0'!NK46),IF(B69="ERROR",'Data - Sample Type 0'!NK46,IF(B69="NO RESULT",'Data - Sample Type 0'!NK46,IF(B69="V","MINOR VISUAL",IF(B69="M","MAJOR VISUAL",IF(B69="B","BARCODE FAIL",IF(B69="D","DELAMINATION",IF('Data - Sample Type 0'!Q46="","DATA ENTRY ERROR",IF(B69=$D$23,"PASS","MAJOR FUNCTIONAL"))))))))))</f>
        <v>PASS</v>
      </c>
      <c r="D69" s="77" t="str">
        <f>IF(C69="","",IF('Data - Sample Type 0'!NI46="","N/A",IF('Data - Sample Type 0'!NI46&lt;Specifications!$D$3,"PASS","FAIL")))</f>
        <v>PASS</v>
      </c>
      <c r="E69" s="174"/>
    </row>
    <row r="70" spans="1:5" x14ac:dyDescent="0.2">
      <c r="A70" s="73" t="str">
        <f>IF('Data - Sample Type 0'!C47="","",'Data - Sample Type 0'!C47)</f>
        <v>NEG_05_0_06+</v>
      </c>
      <c r="B70" s="74" t="str">
        <f>IF('Data - Sample Type 0'!L47="","",'Data - Sample Type 0'!L47)</f>
        <v>MTB NOT DETECTED</v>
      </c>
      <c r="C70" s="75" t="str">
        <f>IF(B70="","",IF(B70="INVALID",IF('Data - Sample Type 0'!NK47="","INVALID",'Data - Sample Type 0'!NK47),IF(B70="ERROR",'Data - Sample Type 0'!NK47,IF(B70="NO RESULT",'Data - Sample Type 0'!NK47,IF(B70="V","MINOR VISUAL",IF(B70="M","MAJOR VISUAL",IF(B70="B","BARCODE FAIL",IF(B70="D","DELAMINATION",IF('Data - Sample Type 0'!Q47="","DATA ENTRY ERROR",IF(B70=$D$23,"PASS","MAJOR FUNCTIONAL"))))))))))</f>
        <v>PASS</v>
      </c>
      <c r="D70" s="77" t="str">
        <f>IF(C70="","",IF('Data - Sample Type 0'!NI47="","N/A",IF('Data - Sample Type 0'!NI47&lt;Specifications!$D$3,"PASS","FAIL")))</f>
        <v>PASS</v>
      </c>
      <c r="E70" s="174"/>
    </row>
    <row r="71" spans="1:5" x14ac:dyDescent="0.2">
      <c r="A71" s="73" t="str">
        <f>IF('Data - Sample Type 0'!C48="","",'Data - Sample Type 0'!C48)</f>
        <v>NEG_05_0_07+</v>
      </c>
      <c r="B71" s="74" t="str">
        <f>IF('Data - Sample Type 0'!L48="","",'Data - Sample Type 0'!L48)</f>
        <v>MTB NOT DETECTED</v>
      </c>
      <c r="C71" s="75" t="str">
        <f>IF(B71="","",IF(B71="INVALID",IF('Data - Sample Type 0'!NK48="","INVALID",'Data - Sample Type 0'!NK48),IF(B71="ERROR",'Data - Sample Type 0'!NK48,IF(B71="NO RESULT",'Data - Sample Type 0'!NK48,IF(B71="V","MINOR VISUAL",IF(B71="M","MAJOR VISUAL",IF(B71="B","BARCODE FAIL",IF(B71="D","DELAMINATION",IF('Data - Sample Type 0'!Q48="","DATA ENTRY ERROR",IF(B71=$D$23,"PASS","MAJOR FUNCTIONAL"))))))))))</f>
        <v>PASS</v>
      </c>
      <c r="D71" s="77" t="str">
        <f>IF(C71="","",IF('Data - Sample Type 0'!NI48="","N/A",IF('Data - Sample Type 0'!NI48&lt;Specifications!$D$3,"PASS","FAIL")))</f>
        <v>PASS</v>
      </c>
      <c r="E71" s="174"/>
    </row>
    <row r="72" spans="1:5" x14ac:dyDescent="0.2">
      <c r="A72" s="73" t="str">
        <f>IF('Data - Sample Type 0'!C49="","",'Data - Sample Type 0'!C49)</f>
        <v>NEG_05_0_08+</v>
      </c>
      <c r="B72" s="74" t="str">
        <f>IF('Data - Sample Type 0'!L49="","",'Data - Sample Type 0'!L49)</f>
        <v>MTB NOT DETECTED</v>
      </c>
      <c r="C72" s="75" t="str">
        <f>IF(B72="","",IF(B72="INVALID",IF('Data - Sample Type 0'!NK49="","INVALID",'Data - Sample Type 0'!NK49),IF(B72="ERROR",'Data - Sample Type 0'!NK49,IF(B72="NO RESULT",'Data - Sample Type 0'!NK49,IF(B72="V","MINOR VISUAL",IF(B72="M","MAJOR VISUAL",IF(B72="B","BARCODE FAIL",IF(B72="D","DELAMINATION",IF('Data - Sample Type 0'!Q49="","DATA ENTRY ERROR",IF(B72=$D$23,"PASS","MAJOR FUNCTIONAL"))))))))))</f>
        <v>PASS</v>
      </c>
      <c r="D72" s="77" t="str">
        <f>IF(C72="","",IF('Data - Sample Type 0'!NI49="","N/A",IF('Data - Sample Type 0'!NI49&lt;Specifications!$D$3,"PASS","FAIL")))</f>
        <v>PASS</v>
      </c>
      <c r="E72" s="174"/>
    </row>
    <row r="73" spans="1:5" x14ac:dyDescent="0.2">
      <c r="A73" s="73" t="str">
        <f>IF('Data - Sample Type 0'!C50="","",'Data - Sample Type 0'!C50)</f>
        <v>NEG_05_0_09+</v>
      </c>
      <c r="B73" s="74" t="str">
        <f>IF('Data - Sample Type 0'!L50="","",'Data - Sample Type 0'!L50)</f>
        <v>MTB NOT DETECTED</v>
      </c>
      <c r="C73" s="75" t="str">
        <f>IF(B73="","",IF(B73="INVALID",IF('Data - Sample Type 0'!NK50="","INVALID",'Data - Sample Type 0'!NK50),IF(B73="ERROR",'Data - Sample Type 0'!NK50,IF(B73="NO RESULT",'Data - Sample Type 0'!NK50,IF(B73="V","MINOR VISUAL",IF(B73="M","MAJOR VISUAL",IF(B73="B","BARCODE FAIL",IF(B73="D","DELAMINATION",IF('Data - Sample Type 0'!Q50="","DATA ENTRY ERROR",IF(B73=$D$23,"PASS","MAJOR FUNCTIONAL"))))))))))</f>
        <v>PASS</v>
      </c>
      <c r="D73" s="77" t="str">
        <f>IF(C73="","",IF('Data - Sample Type 0'!NI50="","N/A",IF('Data - Sample Type 0'!NI50&lt;Specifications!$D$3,"PASS","FAIL")))</f>
        <v>PASS</v>
      </c>
      <c r="E73" s="174"/>
    </row>
    <row r="74" spans="1:5" x14ac:dyDescent="0.2">
      <c r="A74" s="73" t="str">
        <f>IF('Data - Sample Type 0'!C51="","",'Data - Sample Type 0'!C51)</f>
        <v>NEG_05_0_10+</v>
      </c>
      <c r="B74" s="74" t="str">
        <f>IF('Data - Sample Type 0'!L51="","",'Data - Sample Type 0'!L51)</f>
        <v>MTB NOT DETECTED</v>
      </c>
      <c r="C74" s="75" t="str">
        <f>IF(B74="","",IF(B74="INVALID",IF('Data - Sample Type 0'!NK51="","INVALID",'Data - Sample Type 0'!NK51),IF(B74="ERROR",'Data - Sample Type 0'!NK51,IF(B74="NO RESULT",'Data - Sample Type 0'!NK51,IF(B74="V","MINOR VISUAL",IF(B74="M","MAJOR VISUAL",IF(B74="B","BARCODE FAIL",IF(B74="D","DELAMINATION",IF('Data - Sample Type 0'!Q51="","DATA ENTRY ERROR",IF(B74=$D$23,"PASS","MAJOR FUNCTIONAL"))))))))))</f>
        <v>PASS</v>
      </c>
      <c r="D74" s="77" t="str">
        <f>IF(C74="","",IF('Data - Sample Type 0'!NI51="","N/A",IF('Data - Sample Type 0'!NI51&lt;Specifications!$D$3,"PASS","FAIL")))</f>
        <v>PASS</v>
      </c>
      <c r="E74" s="174"/>
    </row>
    <row r="75" spans="1:5" x14ac:dyDescent="0.2">
      <c r="A75" s="73" t="str">
        <f>IF('Data - Sample Type 0'!C52="","",'Data - Sample Type 0'!C52)</f>
        <v>NEG_06_0_01X</v>
      </c>
      <c r="B75" s="74" t="str">
        <f>IF('Data - Sample Type 0'!L52="","",'Data - Sample Type 0'!L52)</f>
        <v>MTB NOT DETECTED</v>
      </c>
      <c r="C75" s="75" t="str">
        <f>IF(B75="","",IF(B75="INVALID",IF('Data - Sample Type 0'!NK52="","INVALID",'Data - Sample Type 0'!NK52),IF(B75="ERROR",'Data - Sample Type 0'!NK52,IF(B75="NO RESULT",'Data - Sample Type 0'!NK52,IF(B75="V","MINOR VISUAL",IF(B75="M","MAJOR VISUAL",IF(B75="B","BARCODE FAIL",IF(B75="D","DELAMINATION",IF('Data - Sample Type 0'!Q52="","DATA ENTRY ERROR",IF(B75=$D$23,"PASS","MAJOR FUNCTIONAL"))))))))))</f>
        <v>PASS</v>
      </c>
      <c r="D75" s="77" t="str">
        <f>IF(C75="","",IF('Data - Sample Type 0'!NI52="","N/A",IF('Data - Sample Type 0'!NI52&lt;Specifications!$D$3,"PASS","FAIL")))</f>
        <v>PASS</v>
      </c>
      <c r="E75" s="174"/>
    </row>
    <row r="76" spans="1:5" x14ac:dyDescent="0.2">
      <c r="A76" s="73" t="str">
        <f>IF('Data - Sample Type 0'!C53="","",'Data - Sample Type 0'!C53)</f>
        <v>NEG_06_0_02X</v>
      </c>
      <c r="B76" s="74" t="str">
        <f>IF('Data - Sample Type 0'!L53="","",'Data - Sample Type 0'!L53)</f>
        <v>MTB NOT DETECTED</v>
      </c>
      <c r="C76" s="75" t="str">
        <f>IF(B76="","",IF(B76="INVALID",IF('Data - Sample Type 0'!NK53="","INVALID",'Data - Sample Type 0'!NK53),IF(B76="ERROR",'Data - Sample Type 0'!NK53,IF(B76="NO RESULT",'Data - Sample Type 0'!NK53,IF(B76="V","MINOR VISUAL",IF(B76="M","MAJOR VISUAL",IF(B76="B","BARCODE FAIL",IF(B76="D","DELAMINATION",IF('Data - Sample Type 0'!Q53="","DATA ENTRY ERROR",IF(B76=$D$23,"PASS","MAJOR FUNCTIONAL"))))))))))</f>
        <v>PASS</v>
      </c>
      <c r="D76" s="77" t="str">
        <f>IF(C76="","",IF('Data - Sample Type 0'!NI53="","N/A",IF('Data - Sample Type 0'!NI53&lt;Specifications!$D$3,"PASS","FAIL")))</f>
        <v>PASS</v>
      </c>
      <c r="E76" s="174"/>
    </row>
    <row r="77" spans="1:5" x14ac:dyDescent="0.2">
      <c r="A77" s="73" t="str">
        <f>IF('Data - Sample Type 0'!C54="","",'Data - Sample Type 0'!C54)</f>
        <v>NEG_06_0_03X</v>
      </c>
      <c r="B77" s="74" t="str">
        <f>IF('Data - Sample Type 0'!L54="","",'Data - Sample Type 0'!L54)</f>
        <v>MTB NOT DETECTED</v>
      </c>
      <c r="C77" s="75" t="str">
        <f>IF(B77="","",IF(B77="INVALID",IF('Data - Sample Type 0'!NK54="","INVALID",'Data - Sample Type 0'!NK54),IF(B77="ERROR",'Data - Sample Type 0'!NK54,IF(B77="NO RESULT",'Data - Sample Type 0'!NK54,IF(B77="V","MINOR VISUAL",IF(B77="M","MAJOR VISUAL",IF(B77="B","BARCODE FAIL",IF(B77="D","DELAMINATION",IF('Data - Sample Type 0'!Q54="","DATA ENTRY ERROR",IF(B77=$D$23,"PASS","MAJOR FUNCTIONAL"))))))))))</f>
        <v>PASS</v>
      </c>
      <c r="D77" s="77" t="str">
        <f>IF(C77="","",IF('Data - Sample Type 0'!NI54="","N/A",IF('Data - Sample Type 0'!NI54&lt;Specifications!$D$3,"PASS","FAIL")))</f>
        <v>PASS</v>
      </c>
      <c r="E77" s="174"/>
    </row>
    <row r="78" spans="1:5" x14ac:dyDescent="0.2">
      <c r="A78" s="73" t="str">
        <f>IF('Data - Sample Type 0'!C55="","",'Data - Sample Type 0'!C55)</f>
        <v>NEG_06_0_04X</v>
      </c>
      <c r="B78" s="74" t="str">
        <f>IF('Data - Sample Type 0'!L55="","",'Data - Sample Type 0'!L55)</f>
        <v>MTB NOT DETECTED</v>
      </c>
      <c r="C78" s="75" t="str">
        <f>IF(B78="","",IF(B78="INVALID",IF('Data - Sample Type 0'!NK55="","INVALID",'Data - Sample Type 0'!NK55),IF(B78="ERROR",'Data - Sample Type 0'!NK55,IF(B78="NO RESULT",'Data - Sample Type 0'!NK55,IF(B78="V","MINOR VISUAL",IF(B78="M","MAJOR VISUAL",IF(B78="B","BARCODE FAIL",IF(B78="D","DELAMINATION",IF('Data - Sample Type 0'!Q55="","DATA ENTRY ERROR",IF(B78=$D$23,"PASS","MAJOR FUNCTIONAL"))))))))))</f>
        <v>PASS</v>
      </c>
      <c r="D78" s="77" t="str">
        <f>IF(C78="","",IF('Data - Sample Type 0'!NI55="","N/A",IF('Data - Sample Type 0'!NI55&lt;Specifications!$D$3,"PASS","FAIL")))</f>
        <v>PASS</v>
      </c>
      <c r="E78" s="174"/>
    </row>
    <row r="79" spans="1:5" x14ac:dyDescent="0.2">
      <c r="A79" s="73" t="str">
        <f>IF('Data - Sample Type 0'!C56="","",'Data - Sample Type 0'!C56)</f>
        <v>NEG_06_0_05X</v>
      </c>
      <c r="B79" s="74" t="str">
        <f>IF('Data - Sample Type 0'!L56="","",'Data - Sample Type 0'!L56)</f>
        <v>MTB NOT DETECTED</v>
      </c>
      <c r="C79" s="75" t="str">
        <f>IF(B79="","",IF(B79="INVALID",IF('Data - Sample Type 0'!NK56="","INVALID",'Data - Sample Type 0'!NK56),IF(B79="ERROR",'Data - Sample Type 0'!NK56,IF(B79="NO RESULT",'Data - Sample Type 0'!NK56,IF(B79="V","MINOR VISUAL",IF(B79="M","MAJOR VISUAL",IF(B79="B","BARCODE FAIL",IF(B79="D","DELAMINATION",IF('Data - Sample Type 0'!Q56="","DATA ENTRY ERROR",IF(B79=$D$23,"PASS","MAJOR FUNCTIONAL"))))))))))</f>
        <v>PASS</v>
      </c>
      <c r="D79" s="77" t="str">
        <f>IF(C79="","",IF('Data - Sample Type 0'!NI56="","N/A",IF('Data - Sample Type 0'!NI56&lt;Specifications!$D$3,"PASS","FAIL")))</f>
        <v>PASS</v>
      </c>
      <c r="E79" s="174"/>
    </row>
    <row r="80" spans="1:5" x14ac:dyDescent="0.2">
      <c r="A80" s="73" t="str">
        <f>IF('Data - Sample Type 0'!C57="","",'Data - Sample Type 0'!C57)</f>
        <v>NEG_06_0_06+</v>
      </c>
      <c r="B80" s="74" t="str">
        <f>IF('Data - Sample Type 0'!L57="","",'Data - Sample Type 0'!L57)</f>
        <v>MTB NOT DETECTED</v>
      </c>
      <c r="C80" s="75" t="str">
        <f>IF(B80="","",IF(B80="INVALID",IF('Data - Sample Type 0'!NK57="","INVALID",'Data - Sample Type 0'!NK57),IF(B80="ERROR",'Data - Sample Type 0'!NK57,IF(B80="NO RESULT",'Data - Sample Type 0'!NK57,IF(B80="V","MINOR VISUAL",IF(B80="M","MAJOR VISUAL",IF(B80="B","BARCODE FAIL",IF(B80="D","DELAMINATION",IF('Data - Sample Type 0'!Q57="","DATA ENTRY ERROR",IF(B80=$D$23,"PASS","MAJOR FUNCTIONAL"))))))))))</f>
        <v>PASS</v>
      </c>
      <c r="D80" s="77" t="str">
        <f>IF(C80="","",IF('Data - Sample Type 0'!NI57="","N/A",IF('Data - Sample Type 0'!NI57&lt;Specifications!$D$3,"PASS","FAIL")))</f>
        <v>PASS</v>
      </c>
      <c r="E80" s="174"/>
    </row>
    <row r="81" spans="1:7" x14ac:dyDescent="0.2">
      <c r="A81" s="73" t="str">
        <f>IF('Data - Sample Type 0'!C58="","",'Data - Sample Type 0'!C58)</f>
        <v>NEG_06_0_07+</v>
      </c>
      <c r="B81" s="74" t="str">
        <f>IF('Data - Sample Type 0'!L58="","",'Data - Sample Type 0'!L58)</f>
        <v>MTB NOT DETECTED</v>
      </c>
      <c r="C81" s="75" t="str">
        <f>IF(B81="","",IF(B81="INVALID",IF('Data - Sample Type 0'!NK58="","INVALID",'Data - Sample Type 0'!NK58),IF(B81="ERROR",'Data - Sample Type 0'!NK58,IF(B81="NO RESULT",'Data - Sample Type 0'!NK58,IF(B81="V","MINOR VISUAL",IF(B81="M","MAJOR VISUAL",IF(B81="B","BARCODE FAIL",IF(B81="D","DELAMINATION",IF('Data - Sample Type 0'!Q58="","DATA ENTRY ERROR",IF(B81=$D$23,"PASS","MAJOR FUNCTIONAL"))))))))))</f>
        <v>PASS</v>
      </c>
      <c r="D81" s="77" t="str">
        <f>IF(C81="","",IF('Data - Sample Type 0'!NI58="","N/A",IF('Data - Sample Type 0'!NI58&lt;Specifications!$D$3,"PASS","FAIL")))</f>
        <v>PASS</v>
      </c>
      <c r="E81" s="174"/>
    </row>
    <row r="82" spans="1:7" x14ac:dyDescent="0.2">
      <c r="A82" s="73" t="str">
        <f>IF('Data - Sample Type 0'!C59="","",'Data - Sample Type 0'!C59)</f>
        <v>NEG_06_0_08+</v>
      </c>
      <c r="B82" s="74" t="str">
        <f>IF('Data - Sample Type 0'!L59="","",'Data - Sample Type 0'!L59)</f>
        <v>MTB NOT DETECTED</v>
      </c>
      <c r="C82" s="75" t="str">
        <f>IF(B82="","",IF(B82="INVALID",IF('Data - Sample Type 0'!NK59="","INVALID",'Data - Sample Type 0'!NK59),IF(B82="ERROR",'Data - Sample Type 0'!NK59,IF(B82="NO RESULT",'Data - Sample Type 0'!NK59,IF(B82="V","MINOR VISUAL",IF(B82="M","MAJOR VISUAL",IF(B82="B","BARCODE FAIL",IF(B82="D","DELAMINATION",IF('Data - Sample Type 0'!Q59="","DATA ENTRY ERROR",IF(B82=$D$23,"PASS","MAJOR FUNCTIONAL"))))))))))</f>
        <v>PASS</v>
      </c>
      <c r="D82" s="77" t="str">
        <f>IF(C82="","",IF('Data - Sample Type 0'!NI59="","N/A",IF('Data - Sample Type 0'!NI59&lt;Specifications!$D$3,"PASS","FAIL")))</f>
        <v>PASS</v>
      </c>
      <c r="E82" s="174"/>
    </row>
    <row r="83" spans="1:7" x14ac:dyDescent="0.2">
      <c r="A83" s="73" t="str">
        <f>IF('Data - Sample Type 0'!C60="","",'Data - Sample Type 0'!C60)</f>
        <v>NEG_06_0_09+</v>
      </c>
      <c r="B83" s="74" t="str">
        <f>IF('Data - Sample Type 0'!L60="","",'Data - Sample Type 0'!L60)</f>
        <v>MTB NOT DETECTED</v>
      </c>
      <c r="C83" s="75" t="str">
        <f>IF(B83="","",IF(B83="INVALID",IF('Data - Sample Type 0'!NK60="","INVALID",'Data - Sample Type 0'!NK60),IF(B83="ERROR",'Data - Sample Type 0'!NK60,IF(B83="NO RESULT",'Data - Sample Type 0'!NK60,IF(B83="V","MINOR VISUAL",IF(B83="M","MAJOR VISUAL",IF(B83="B","BARCODE FAIL",IF(B83="D","DELAMINATION",IF('Data - Sample Type 0'!Q60="","DATA ENTRY ERROR",IF(B83=$D$23,"PASS","MAJOR FUNCTIONAL"))))))))))</f>
        <v>PASS</v>
      </c>
      <c r="D83" s="77" t="str">
        <f>IF(C83="","",IF('Data - Sample Type 0'!NI60="","N/A",IF('Data - Sample Type 0'!NI60&lt;Specifications!$D$3,"PASS","FAIL")))</f>
        <v>PASS</v>
      </c>
      <c r="E83" s="174"/>
    </row>
    <row r="84" spans="1:7" x14ac:dyDescent="0.2">
      <c r="A84" s="73" t="str">
        <f>IF('Data - Sample Type 0'!C61="","",'Data - Sample Type 0'!C61)</f>
        <v>NEG_06_0_10+</v>
      </c>
      <c r="B84" s="74" t="str">
        <f>IF('Data - Sample Type 0'!L61="","",'Data - Sample Type 0'!L61)</f>
        <v>MTB NOT DETECTED</v>
      </c>
      <c r="C84" s="75" t="str">
        <f>IF(B84="","",IF(B84="INVALID",IF('Data - Sample Type 0'!NK61="","INVALID",'Data - Sample Type 0'!NK61),IF(B84="ERROR",'Data - Sample Type 0'!NK61,IF(B84="NO RESULT",'Data - Sample Type 0'!NK61,IF(B84="V","MINOR VISUAL",IF(B84="M","MAJOR VISUAL",IF(B84="B","BARCODE FAIL",IF(B84="D","DELAMINATION",IF('Data - Sample Type 0'!Q61="","DATA ENTRY ERROR",IF(B84=$D$23,"PASS","MAJOR FUNCTIONAL"))))))))))</f>
        <v>PASS</v>
      </c>
      <c r="D84" s="77" t="str">
        <f>IF(C84="","",IF('Data - Sample Type 0'!NI61="","N/A",IF('Data - Sample Type 0'!NI61&lt;Specifications!$D$3,"PASS","FAIL")))</f>
        <v>PASS</v>
      </c>
      <c r="E84" s="174"/>
    </row>
    <row r="85" spans="1:7" x14ac:dyDescent="0.2">
      <c r="A85" s="73" t="str">
        <f>IF('Data - Sample Type 0'!C62="","",'Data - Sample Type 0'!C62)</f>
        <v>NEG_07_0_01X</v>
      </c>
      <c r="B85" s="74" t="str">
        <f>IF('Data - Sample Type 0'!L62="","",'Data - Sample Type 0'!L62)</f>
        <v>MTB NOT DETECTED</v>
      </c>
      <c r="C85" s="75" t="str">
        <f>IF(B85="","",IF(B85="INVALID",IF('Data - Sample Type 0'!NK62="","INVALID",'Data - Sample Type 0'!NK62),IF(B85="ERROR",'Data - Sample Type 0'!NK62,IF(B85="NO RESULT",'Data - Sample Type 0'!NK62,IF(B85="V","MINOR VISUAL",IF(B85="M","MAJOR VISUAL",IF(B85="B","BARCODE FAIL",IF(B85="D","DELAMINATION",IF('Data - Sample Type 0'!Q62="","DATA ENTRY ERROR",IF(B85=$D$23,"PASS","MAJOR FUNCTIONAL"))))))))))</f>
        <v>PASS</v>
      </c>
      <c r="D85" s="77" t="str">
        <f>IF(C85="","",IF('Data - Sample Type 0'!NI62="","N/A",IF('Data - Sample Type 0'!NI62&lt;Specifications!$D$3,"PASS","FAIL")))</f>
        <v>PASS</v>
      </c>
      <c r="E85" s="174"/>
    </row>
    <row r="86" spans="1:7" x14ac:dyDescent="0.2">
      <c r="A86" s="73" t="str">
        <f>IF('Data - Sample Type 0'!C63="","",'Data - Sample Type 0'!C63)</f>
        <v>NEG_07_0_02X</v>
      </c>
      <c r="B86" s="74" t="str">
        <f>IF('Data - Sample Type 0'!L63="","",'Data - Sample Type 0'!L63)</f>
        <v>MTB NOT DETECTED</v>
      </c>
      <c r="C86" s="75" t="str">
        <f>IF(B86="","",IF(B86="INVALID",IF('Data - Sample Type 0'!NK63="","INVALID",'Data - Sample Type 0'!NK63),IF(B86="ERROR",'Data - Sample Type 0'!NK63,IF(B86="NO RESULT",'Data - Sample Type 0'!NK63,IF(B86="V","MINOR VISUAL",IF(B86="M","MAJOR VISUAL",IF(B86="B","BARCODE FAIL",IF(B86="D","DELAMINATION",IF('Data - Sample Type 0'!Q63="","DATA ENTRY ERROR",IF(B86=$D$23,"PASS","MAJOR FUNCTIONAL"))))))))))</f>
        <v>PASS</v>
      </c>
      <c r="D86" s="77" t="str">
        <f>IF(C86="","",IF('Data - Sample Type 0'!NI63="","N/A",IF('Data - Sample Type 0'!NI63&lt;Specifications!$D$3,"PASS","FAIL")))</f>
        <v>PASS</v>
      </c>
      <c r="E86" s="174"/>
    </row>
    <row r="87" spans="1:7" x14ac:dyDescent="0.2">
      <c r="A87" s="73" t="str">
        <f>IF('Data - Sample Type 0'!C64="","",'Data - Sample Type 0'!C64)</f>
        <v>NEG_07_0_03X</v>
      </c>
      <c r="B87" s="74" t="str">
        <f>IF('Data - Sample Type 0'!L64="","",'Data - Sample Type 0'!L64)</f>
        <v>MTB NOT DETECTED</v>
      </c>
      <c r="C87" s="75" t="str">
        <f>IF(B87="","",IF(B87="INVALID",IF('Data - Sample Type 0'!NK64="","INVALID",'Data - Sample Type 0'!NK64),IF(B87="ERROR",'Data - Sample Type 0'!NK64,IF(B87="NO RESULT",'Data - Sample Type 0'!NK64,IF(B87="V","MINOR VISUAL",IF(B87="M","MAJOR VISUAL",IF(B87="B","BARCODE FAIL",IF(B87="D","DELAMINATION",IF('Data - Sample Type 0'!Q64="","DATA ENTRY ERROR",IF(B87=$D$23,"PASS","MAJOR FUNCTIONAL"))))))))))</f>
        <v>PASS</v>
      </c>
      <c r="D87" s="77" t="str">
        <f>IF(C87="","",IF('Data - Sample Type 0'!NI64="","N/A",IF('Data - Sample Type 0'!NI64&lt;Specifications!$D$3,"PASS","FAIL")))</f>
        <v>PASS</v>
      </c>
      <c r="E87" s="174"/>
    </row>
    <row r="88" spans="1:7" x14ac:dyDescent="0.2">
      <c r="A88" s="73" t="str">
        <f>IF('Data - Sample Type 0'!C65="","",'Data - Sample Type 0'!C65)</f>
        <v>NEG_07_0_04X</v>
      </c>
      <c r="B88" s="74" t="str">
        <f>IF('Data - Sample Type 0'!L65="","",'Data - Sample Type 0'!L65)</f>
        <v>MTB NOT DETECTED</v>
      </c>
      <c r="C88" s="75" t="str">
        <f>IF(B88="","",IF(B88="INVALID",IF('Data - Sample Type 0'!NK65="","INVALID",'Data - Sample Type 0'!NK65),IF(B88="ERROR",'Data - Sample Type 0'!NK65,IF(B88="NO RESULT",'Data - Sample Type 0'!NK65,IF(B88="V","MINOR VISUAL",IF(B88="M","MAJOR VISUAL",IF(B88="B","BARCODE FAIL",IF(B88="D","DELAMINATION",IF('Data - Sample Type 0'!Q65="","DATA ENTRY ERROR",IF(B88=$D$23,"PASS","MAJOR FUNCTIONAL"))))))))))</f>
        <v>PASS</v>
      </c>
      <c r="D88" s="77" t="str">
        <f>IF(C88="","",IF('Data - Sample Type 0'!NI65="","N/A",IF('Data - Sample Type 0'!NI65&lt;Specifications!$D$3,"PASS","FAIL")))</f>
        <v>PASS</v>
      </c>
      <c r="E88" s="174"/>
    </row>
    <row r="89" spans="1:7" x14ac:dyDescent="0.2">
      <c r="A89" s="73" t="str">
        <f>IF('Data - Sample Type 0'!C66="","",'Data - Sample Type 0'!C66)</f>
        <v>NEG_07_0_05X</v>
      </c>
      <c r="B89" s="74" t="str">
        <f>IF('Data - Sample Type 0'!L66="","",'Data - Sample Type 0'!L66)</f>
        <v>MTB NOT DETECTED</v>
      </c>
      <c r="C89" s="75" t="str">
        <f>IF(B89="","",IF(B89="INVALID",IF('Data - Sample Type 0'!NK66="","INVALID",'Data - Sample Type 0'!NK66),IF(B89="ERROR",'Data - Sample Type 0'!NK66,IF(B89="NO RESULT",'Data - Sample Type 0'!NK66,IF(B89="V","MINOR VISUAL",IF(B89="M","MAJOR VISUAL",IF(B89="B","BARCODE FAIL",IF(B89="D","DELAMINATION",IF('Data - Sample Type 0'!Q66="","DATA ENTRY ERROR",IF(B89=$D$23,"PASS","MAJOR FUNCTIONAL"))))))))))</f>
        <v>PASS</v>
      </c>
      <c r="D89" s="77" t="str">
        <f>IF(C89="","",IF('Data - Sample Type 0'!NI66="","N/A",IF('Data - Sample Type 0'!NI66&lt;Specifications!$D$3,"PASS","FAIL")))</f>
        <v>PASS</v>
      </c>
      <c r="E89" s="174"/>
    </row>
    <row r="90" spans="1:7" x14ac:dyDescent="0.2">
      <c r="A90" s="73" t="str">
        <f>IF('Data - Sample Type 0'!C67="","",'Data - Sample Type 0'!C67)</f>
        <v>NEG_07_0_06+</v>
      </c>
      <c r="B90" s="74" t="str">
        <f>IF('Data - Sample Type 0'!L67="","",'Data - Sample Type 0'!L67)</f>
        <v>MTB NOT DETECTED</v>
      </c>
      <c r="C90" s="75" t="str">
        <f>IF(B90="","",IF(B90="INVALID",IF('Data - Sample Type 0'!NK67="","INVALID",'Data - Sample Type 0'!NK67),IF(B90="ERROR",'Data - Sample Type 0'!NK67,IF(B90="NO RESULT",'Data - Sample Type 0'!NK67,IF(B90="V","MINOR VISUAL",IF(B90="M","MAJOR VISUAL",IF(B90="B","BARCODE FAIL",IF(B90="D","DELAMINATION",IF('Data - Sample Type 0'!Q67="","DATA ENTRY ERROR",IF(B90=$D$23,"PASS","MAJOR FUNCTIONAL"))))))))))</f>
        <v>PASS</v>
      </c>
      <c r="D90" s="77" t="str">
        <f>IF(C90="","",IF('Data - Sample Type 0'!NI67="","N/A",IF('Data - Sample Type 0'!NI67&lt;Specifications!$D$3,"PASS","FAIL")))</f>
        <v>PASS</v>
      </c>
      <c r="E90" s="174"/>
    </row>
    <row r="91" spans="1:7" x14ac:dyDescent="0.2">
      <c r="A91" s="73" t="str">
        <f>IF('Data - Sample Type 0'!C68="","",'Data - Sample Type 0'!C68)</f>
        <v>NEG_07_0_07+</v>
      </c>
      <c r="B91" s="74" t="str">
        <f>IF('Data - Sample Type 0'!L68="","",'Data - Sample Type 0'!L68)</f>
        <v>MTB NOT DETECTED</v>
      </c>
      <c r="C91" s="75" t="str">
        <f>IF(B91="","",IF(B91="INVALID",IF('Data - Sample Type 0'!NK68="","INVALID",'Data - Sample Type 0'!NK68),IF(B91="ERROR",'Data - Sample Type 0'!NK68,IF(B91="NO RESULT",'Data - Sample Type 0'!NK68,IF(B91="V","MINOR VISUAL",IF(B91="M","MAJOR VISUAL",IF(B91="B","BARCODE FAIL",IF(B91="D","DELAMINATION",IF('Data - Sample Type 0'!Q68="","DATA ENTRY ERROR",IF(B91=$D$23,"PASS","MAJOR FUNCTIONAL"))))))))))</f>
        <v>PASS</v>
      </c>
      <c r="D91" s="77" t="str">
        <f>IF(C91="","",IF('Data - Sample Type 0'!NI68="","N/A",IF('Data - Sample Type 0'!NI68&lt;Specifications!$D$3,"PASS","FAIL")))</f>
        <v>PASS</v>
      </c>
      <c r="E91" s="174"/>
      <c r="G91" s="201"/>
    </row>
    <row r="92" spans="1:7" x14ac:dyDescent="0.2">
      <c r="A92" s="73" t="str">
        <f>IF('Data - Sample Type 0'!C69="","",'Data - Sample Type 0'!C69)</f>
        <v>NEG_07_0_08+</v>
      </c>
      <c r="B92" s="74" t="str">
        <f>IF('Data - Sample Type 0'!L69="","",'Data - Sample Type 0'!L69)</f>
        <v>MTB NOT DETECTED</v>
      </c>
      <c r="C92" s="75" t="str">
        <f>IF(B92="","",IF(B92="INVALID",IF('Data - Sample Type 0'!NK69="","INVALID",'Data - Sample Type 0'!NK69),IF(B92="ERROR",'Data - Sample Type 0'!NK69,IF(B92="NO RESULT",'Data - Sample Type 0'!NK69,IF(B92="V","MINOR VISUAL",IF(B92="M","MAJOR VISUAL",IF(B92="B","BARCODE FAIL",IF(B92="D","DELAMINATION",IF('Data - Sample Type 0'!Q69="","DATA ENTRY ERROR",IF(B92=$D$23,"PASS","MAJOR FUNCTIONAL"))))))))))</f>
        <v>PASS</v>
      </c>
      <c r="D92" s="77" t="str">
        <f>IF(C92="","",IF('Data - Sample Type 0'!NI69="","N/A",IF('Data - Sample Type 0'!NI69&lt;Specifications!$D$3,"PASS","FAIL")))</f>
        <v>PASS</v>
      </c>
      <c r="E92" s="174"/>
    </row>
    <row r="93" spans="1:7" x14ac:dyDescent="0.2">
      <c r="A93" s="73" t="str">
        <f>IF('Data - Sample Type 0'!C70="","",'Data - Sample Type 0'!C70)</f>
        <v>NEG_07_0_09+</v>
      </c>
      <c r="B93" s="74" t="str">
        <f>IF('Data - Sample Type 0'!L70="","",'Data - Sample Type 0'!L70)</f>
        <v>MTB NOT DETECTED</v>
      </c>
      <c r="C93" s="75" t="str">
        <f>IF(B93="","",IF(B93="INVALID",IF('Data - Sample Type 0'!NK70="","INVALID",'Data - Sample Type 0'!NK70),IF(B93="ERROR",'Data - Sample Type 0'!NK70,IF(B93="NO RESULT",'Data - Sample Type 0'!NK70,IF(B93="V","MINOR VISUAL",IF(B93="M","MAJOR VISUAL",IF(B93="B","BARCODE FAIL",IF(B93="D","DELAMINATION",IF('Data - Sample Type 0'!Q70="","DATA ENTRY ERROR",IF(B93=$D$23,"PASS","MAJOR FUNCTIONAL"))))))))))</f>
        <v>PASS</v>
      </c>
      <c r="D93" s="77" t="str">
        <f>IF(C93="","",IF('Data - Sample Type 0'!NI70="","N/A",IF('Data - Sample Type 0'!NI70&lt;Specifications!$D$3,"PASS","FAIL")))</f>
        <v>PASS</v>
      </c>
      <c r="E93" s="174"/>
    </row>
    <row r="94" spans="1:7" x14ac:dyDescent="0.2">
      <c r="A94" s="73" t="str">
        <f>IF('Data - Sample Type 0'!C71="","",'Data - Sample Type 0'!C71)</f>
        <v>NEG_07_0_10+</v>
      </c>
      <c r="B94" s="74" t="str">
        <f>IF('Data - Sample Type 0'!L71="","",'Data - Sample Type 0'!L71)</f>
        <v>MTB NOT DETECTED</v>
      </c>
      <c r="C94" s="75" t="str">
        <f>IF(B94="","",IF(B94="INVALID",IF('Data - Sample Type 0'!NK71="","INVALID",'Data - Sample Type 0'!NK71),IF(B94="ERROR",'Data - Sample Type 0'!NK71,IF(B94="NO RESULT",'Data - Sample Type 0'!NK71,IF(B94="V","MINOR VISUAL",IF(B94="M","MAJOR VISUAL",IF(B94="B","BARCODE FAIL",IF(B94="D","DELAMINATION",IF('Data - Sample Type 0'!Q71="","DATA ENTRY ERROR",IF(B94=$D$23,"PASS","MAJOR FUNCTIONAL"))))))))))</f>
        <v>PASS</v>
      </c>
      <c r="D94" s="77" t="str">
        <f>IF(C94="","",IF('Data - Sample Type 0'!NI71="","N/A",IF('Data - Sample Type 0'!NI71&lt;Specifications!$D$3,"PASS","FAIL")))</f>
        <v>PASS</v>
      </c>
      <c r="E94" s="174"/>
    </row>
    <row r="95" spans="1:7" x14ac:dyDescent="0.2">
      <c r="A95" s="73" t="str">
        <f>IF('Data - Sample Type 0'!C72="","",'Data - Sample Type 0'!C72)</f>
        <v>NEG_08_0_01X</v>
      </c>
      <c r="B95" s="74" t="str">
        <f>IF('Data - Sample Type 0'!L72="","",'Data - Sample Type 0'!L72)</f>
        <v>MTB NOT DETECTED</v>
      </c>
      <c r="C95" s="75" t="str">
        <f>IF(B95="","",IF(B95="INVALID",IF('Data - Sample Type 0'!NK72="","INVALID",'Data - Sample Type 0'!NK72),IF(B95="ERROR",'Data - Sample Type 0'!NK72,IF(B95="NO RESULT",'Data - Sample Type 0'!NK72,IF(B95="V","MINOR VISUAL",IF(B95="M","MAJOR VISUAL",IF(B95="B","BARCODE FAIL",IF(B95="D","DELAMINATION",IF('Data - Sample Type 0'!Q72="","DATA ENTRY ERROR",IF(B95=$D$23,"PASS","MAJOR FUNCTIONAL"))))))))))</f>
        <v>PASS</v>
      </c>
      <c r="D95" s="77" t="str">
        <f>IF(C95="","",IF('Data - Sample Type 0'!NI72="","N/A",IF('Data - Sample Type 0'!NI72&lt;Specifications!$D$3,"PASS","FAIL")))</f>
        <v>PASS</v>
      </c>
      <c r="E95" s="174"/>
    </row>
    <row r="96" spans="1:7" x14ac:dyDescent="0.2">
      <c r="A96" s="73" t="str">
        <f>IF('Data - Sample Type 0'!C73="","",'Data - Sample Type 0'!C73)</f>
        <v>NEG_08_0_02X</v>
      </c>
      <c r="B96" s="74" t="str">
        <f>IF('Data - Sample Type 0'!L73="","",'Data - Sample Type 0'!L73)</f>
        <v>MTB NOT DETECTED</v>
      </c>
      <c r="C96" s="75" t="str">
        <f>IF(B96="","",IF(B96="INVALID",IF('Data - Sample Type 0'!NK73="","INVALID",'Data - Sample Type 0'!NK73),IF(B96="ERROR",'Data - Sample Type 0'!NK73,IF(B96="NO RESULT",'Data - Sample Type 0'!NK73,IF(B96="V","MINOR VISUAL",IF(B96="M","MAJOR VISUAL",IF(B96="B","BARCODE FAIL",IF(B96="D","DELAMINATION",IF('Data - Sample Type 0'!Q73="","DATA ENTRY ERROR",IF(B96=$D$23,"PASS","MAJOR FUNCTIONAL"))))))))))</f>
        <v>PASS</v>
      </c>
      <c r="D96" s="77" t="str">
        <f>IF(C96="","",IF('Data - Sample Type 0'!NI73="","N/A",IF('Data - Sample Type 0'!NI73&lt;Specifications!$D$3,"PASS","FAIL")))</f>
        <v>PASS</v>
      </c>
      <c r="E96" s="174"/>
    </row>
    <row r="97" spans="1:5" x14ac:dyDescent="0.2">
      <c r="A97" s="73" t="str">
        <f>IF('Data - Sample Type 0'!C74="","",'Data - Sample Type 0'!C74)</f>
        <v>NEG_08_0_03X</v>
      </c>
      <c r="B97" s="74" t="str">
        <f>IF('Data - Sample Type 0'!L74="","",'Data - Sample Type 0'!L74)</f>
        <v>MTB NOT DETECTED</v>
      </c>
      <c r="C97" s="75" t="str">
        <f>IF(B97="","",IF(B97="INVALID",IF('Data - Sample Type 0'!NK74="","INVALID",'Data - Sample Type 0'!NK74),IF(B97="ERROR",'Data - Sample Type 0'!NK74,IF(B97="NO RESULT",'Data - Sample Type 0'!NK74,IF(B97="V","MINOR VISUAL",IF(B97="M","MAJOR VISUAL",IF(B97="B","BARCODE FAIL",IF(B97="D","DELAMINATION",IF('Data - Sample Type 0'!Q74="","DATA ENTRY ERROR",IF(B97=$D$23,"PASS","MAJOR FUNCTIONAL"))))))))))</f>
        <v>PASS</v>
      </c>
      <c r="D97" s="77" t="str">
        <f>IF(C97="","",IF('Data - Sample Type 0'!NI74="","N/A",IF('Data - Sample Type 0'!NI74&lt;Specifications!$D$3,"PASS","FAIL")))</f>
        <v>PASS</v>
      </c>
      <c r="E97" s="174"/>
    </row>
    <row r="98" spans="1:5" x14ac:dyDescent="0.2">
      <c r="A98" s="73" t="str">
        <f>IF('Data - Sample Type 0'!C75="","",'Data - Sample Type 0'!C75)</f>
        <v>NEG_08_0_04X</v>
      </c>
      <c r="B98" s="74" t="str">
        <f>IF('Data - Sample Type 0'!L75="","",'Data - Sample Type 0'!L75)</f>
        <v>MTB NOT DETECTED</v>
      </c>
      <c r="C98" s="75" t="str">
        <f>IF(B98="","",IF(B98="INVALID",IF('Data - Sample Type 0'!NK75="","INVALID",'Data - Sample Type 0'!NK75),IF(B98="ERROR",'Data - Sample Type 0'!NK75,IF(B98="NO RESULT",'Data - Sample Type 0'!NK75,IF(B98="V","MINOR VISUAL",IF(B98="M","MAJOR VISUAL",IF(B98="B","BARCODE FAIL",IF(B98="D","DELAMINATION",IF('Data - Sample Type 0'!Q75="","DATA ENTRY ERROR",IF(B98=$D$23,"PASS","MAJOR FUNCTIONAL"))))))))))</f>
        <v>PASS</v>
      </c>
      <c r="D98" s="77" t="str">
        <f>IF(C98="","",IF('Data - Sample Type 0'!NI75="","N/A",IF('Data - Sample Type 0'!NI75&lt;Specifications!$D$3,"PASS","FAIL")))</f>
        <v>PASS</v>
      </c>
      <c r="E98" s="174"/>
    </row>
    <row r="99" spans="1:5" x14ac:dyDescent="0.2">
      <c r="A99" s="73" t="str">
        <f>IF('Data - Sample Type 0'!C76="","",'Data - Sample Type 0'!C76)</f>
        <v>NEG_08_0_05X</v>
      </c>
      <c r="B99" s="74" t="str">
        <f>IF('Data - Sample Type 0'!L76="","",'Data - Sample Type 0'!L76)</f>
        <v>MTB NOT DETECTED</v>
      </c>
      <c r="C99" s="75" t="str">
        <f>IF(B99="","",IF(B99="INVALID",IF('Data - Sample Type 0'!NK76="","INVALID",'Data - Sample Type 0'!NK76),IF(B99="ERROR",'Data - Sample Type 0'!NK76,IF(B99="NO RESULT",'Data - Sample Type 0'!NK76,IF(B99="V","MINOR VISUAL",IF(B99="M","MAJOR VISUAL",IF(B99="B","BARCODE FAIL",IF(B99="D","DELAMINATION",IF('Data - Sample Type 0'!Q76="","DATA ENTRY ERROR",IF(B99=$D$23,"PASS","MAJOR FUNCTIONAL"))))))))))</f>
        <v>PASS</v>
      </c>
      <c r="D99" s="77" t="str">
        <f>IF(C99="","",IF('Data - Sample Type 0'!NI76="","N/A",IF('Data - Sample Type 0'!NI76&lt;Specifications!$D$3,"PASS","FAIL")))</f>
        <v>PASS</v>
      </c>
      <c r="E99" s="174"/>
    </row>
    <row r="100" spans="1:5" x14ac:dyDescent="0.2">
      <c r="A100" s="73" t="str">
        <f>IF('Data - Sample Type 0'!C77="","",'Data - Sample Type 0'!C77)</f>
        <v>NEG_08_0_06+</v>
      </c>
      <c r="B100" s="74" t="str">
        <f>IF('Data - Sample Type 0'!L77="","",'Data - Sample Type 0'!L77)</f>
        <v>MTB NOT DETECTED</v>
      </c>
      <c r="C100" s="75" t="str">
        <f>IF(B100="","",IF(B100="INVALID",IF('Data - Sample Type 0'!NK77="","INVALID",'Data - Sample Type 0'!NK77),IF(B100="ERROR",'Data - Sample Type 0'!NK77,IF(B100="NO RESULT",'Data - Sample Type 0'!NK77,IF(B100="V","MINOR VISUAL",IF(B100="M","MAJOR VISUAL",IF(B100="B","BARCODE FAIL",IF(B100="D","DELAMINATION",IF('Data - Sample Type 0'!Q77="","DATA ENTRY ERROR",IF(B100=$D$23,"PASS","MAJOR FUNCTIONAL"))))))))))</f>
        <v>PASS</v>
      </c>
      <c r="D100" s="77" t="str">
        <f>IF(C100="","",IF('Data - Sample Type 0'!NI77="","N/A",IF('Data - Sample Type 0'!NI77&lt;Specifications!$D$3,"PASS","FAIL")))</f>
        <v>PASS</v>
      </c>
      <c r="E100" s="174"/>
    </row>
    <row r="101" spans="1:5" x14ac:dyDescent="0.2">
      <c r="A101" s="73" t="str">
        <f>IF('Data - Sample Type 0'!C78="","",'Data - Sample Type 0'!C78)</f>
        <v>NEG_08_0_07+</v>
      </c>
      <c r="B101" s="74" t="str">
        <f>IF('Data - Sample Type 0'!L78="","",'Data - Sample Type 0'!L78)</f>
        <v>MTB NOT DETECTED</v>
      </c>
      <c r="C101" s="75" t="str">
        <f>IF(B101="","",IF(B101="INVALID",IF('Data - Sample Type 0'!NK78="","INVALID",'Data - Sample Type 0'!NK78),IF(B101="ERROR",'Data - Sample Type 0'!NK78,IF(B101="NO RESULT",'Data - Sample Type 0'!NK78,IF(B101="V","MINOR VISUAL",IF(B101="M","MAJOR VISUAL",IF(B101="B","BARCODE FAIL",IF(B101="D","DELAMINATION",IF('Data - Sample Type 0'!Q78="","DATA ENTRY ERROR",IF(B101=$D$23,"PASS","MAJOR FUNCTIONAL"))))))))))</f>
        <v>PASS</v>
      </c>
      <c r="D101" s="77" t="str">
        <f>IF(C101="","",IF('Data - Sample Type 0'!NI78="","N/A",IF('Data - Sample Type 0'!NI78&lt;Specifications!$D$3,"PASS","FAIL")))</f>
        <v>PASS</v>
      </c>
      <c r="E101" s="174"/>
    </row>
    <row r="102" spans="1:5" x14ac:dyDescent="0.2">
      <c r="A102" s="73" t="str">
        <f>IF('Data - Sample Type 0'!C79="","",'Data - Sample Type 0'!C79)</f>
        <v>NEG_08_0_08+</v>
      </c>
      <c r="B102" s="74" t="str">
        <f>IF('Data - Sample Type 0'!L79="","",'Data - Sample Type 0'!L79)</f>
        <v>MTB NOT DETECTED</v>
      </c>
      <c r="C102" s="75" t="str">
        <f>IF(B102="","",IF(B102="INVALID",IF('Data - Sample Type 0'!NK79="","INVALID",'Data - Sample Type 0'!NK79),IF(B102="ERROR",'Data - Sample Type 0'!NK79,IF(B102="NO RESULT",'Data - Sample Type 0'!NK79,IF(B102="V","MINOR VISUAL",IF(B102="M","MAJOR VISUAL",IF(B102="B","BARCODE FAIL",IF(B102="D","DELAMINATION",IF('Data - Sample Type 0'!Q79="","DATA ENTRY ERROR",IF(B102=$D$23,"PASS","MAJOR FUNCTIONAL"))))))))))</f>
        <v>PASS</v>
      </c>
      <c r="D102" s="77" t="str">
        <f>IF(C102="","",IF('Data - Sample Type 0'!NI79="","N/A",IF('Data - Sample Type 0'!NI79&lt;Specifications!$D$3,"PASS","FAIL")))</f>
        <v>PASS</v>
      </c>
      <c r="E102" s="174"/>
    </row>
    <row r="103" spans="1:5" x14ac:dyDescent="0.2">
      <c r="A103" s="73" t="str">
        <f>IF('Data - Sample Type 0'!C80="","",'Data - Sample Type 0'!C80)</f>
        <v>NEG_08_0_09+</v>
      </c>
      <c r="B103" s="74" t="str">
        <f>IF('Data - Sample Type 0'!L80="","",'Data - Sample Type 0'!L80)</f>
        <v>MTB NOT DETECTED</v>
      </c>
      <c r="C103" s="75" t="str">
        <f>IF(B103="","",IF(B103="INVALID",IF('Data - Sample Type 0'!NK80="","INVALID",'Data - Sample Type 0'!NK80),IF(B103="ERROR",'Data - Sample Type 0'!NK80,IF(B103="NO RESULT",'Data - Sample Type 0'!NK80,IF(B103="V","MINOR VISUAL",IF(B103="M","MAJOR VISUAL",IF(B103="B","BARCODE FAIL",IF(B103="D","DELAMINATION",IF('Data - Sample Type 0'!Q80="","DATA ENTRY ERROR",IF(B103=$D$23,"PASS","MAJOR FUNCTIONAL"))))))))))</f>
        <v>PASS</v>
      </c>
      <c r="D103" s="77" t="str">
        <f>IF(C103="","",IF('Data - Sample Type 0'!NI80="","N/A",IF('Data - Sample Type 0'!NI80&lt;Specifications!$D$3,"PASS","FAIL")))</f>
        <v>PASS</v>
      </c>
      <c r="E103" s="174"/>
    </row>
    <row r="104" spans="1:5" x14ac:dyDescent="0.2">
      <c r="A104" s="73" t="str">
        <f>IF('Data - Sample Type 0'!C81="","",'Data - Sample Type 0'!C81)</f>
        <v>NEG_08_0_10+</v>
      </c>
      <c r="B104" s="74" t="str">
        <f>IF('Data - Sample Type 0'!L81="","",'Data - Sample Type 0'!L81)</f>
        <v>MTB NOT DETECTED</v>
      </c>
      <c r="C104" s="75" t="str">
        <f>IF(B104="","",IF(B104="INVALID",IF('Data - Sample Type 0'!NK81="","INVALID",'Data - Sample Type 0'!NK81),IF(B104="ERROR",'Data - Sample Type 0'!NK81,IF(B104="NO RESULT",'Data - Sample Type 0'!NK81,IF(B104="V","MINOR VISUAL",IF(B104="M","MAJOR VISUAL",IF(B104="B","BARCODE FAIL",IF(B104="D","DELAMINATION",IF('Data - Sample Type 0'!Q81="","DATA ENTRY ERROR",IF(B104=$D$23,"PASS","MAJOR FUNCTIONAL"))))))))))</f>
        <v>PASS</v>
      </c>
      <c r="D104" s="77" t="str">
        <f>IF(C104="","",IF('Data - Sample Type 0'!NI81="","N/A",IF('Data - Sample Type 0'!NI81&lt;Specifications!$D$3,"PASS","FAIL")))</f>
        <v>PASS</v>
      </c>
      <c r="E104" s="174"/>
    </row>
    <row r="105" spans="1:5" x14ac:dyDescent="0.2">
      <c r="A105" s="73" t="str">
        <f>IF('Data - Sample Type 0'!C82="","",'Data - Sample Type 0'!C82)</f>
        <v>NEG_09_0_01X</v>
      </c>
      <c r="B105" s="74" t="str">
        <f>IF('Data - Sample Type 0'!L82="","",'Data - Sample Type 0'!L82)</f>
        <v>MTB NOT DETECTED</v>
      </c>
      <c r="C105" s="75" t="str">
        <f>IF(B105="","",IF(B105="INVALID",IF('Data - Sample Type 0'!NK82="","INVALID",'Data - Sample Type 0'!NK82),IF(B105="ERROR",'Data - Sample Type 0'!NK82,IF(B105="NO RESULT",'Data - Sample Type 0'!NK82,IF(B105="V","MINOR VISUAL",IF(B105="M","MAJOR VISUAL",IF(B105="B","BARCODE FAIL",IF(B105="D","DELAMINATION",IF('Data - Sample Type 0'!Q82="","DATA ENTRY ERROR",IF(B105=$D$23,"PASS","MAJOR FUNCTIONAL"))))))))))</f>
        <v>PASS</v>
      </c>
      <c r="D105" s="77" t="str">
        <f>IF(C105="","",IF('Data - Sample Type 0'!NI82="","N/A",IF('Data - Sample Type 0'!NI82&lt;Specifications!$D$3,"PASS","FAIL")))</f>
        <v>PASS</v>
      </c>
      <c r="E105" s="174"/>
    </row>
    <row r="106" spans="1:5" x14ac:dyDescent="0.2">
      <c r="A106" s="73" t="str">
        <f>IF('Data - Sample Type 0'!C83="","",'Data - Sample Type 0'!C83)</f>
        <v>NEG_09_0_02X</v>
      </c>
      <c r="B106" s="74" t="str">
        <f>IF('Data - Sample Type 0'!L83="","",'Data - Sample Type 0'!L83)</f>
        <v>MTB NOT DETECTED</v>
      </c>
      <c r="C106" s="75" t="str">
        <f>IF(B106="","",IF(B106="INVALID",IF('Data - Sample Type 0'!NK83="","INVALID",'Data - Sample Type 0'!NK83),IF(B106="ERROR",'Data - Sample Type 0'!NK83,IF(B106="NO RESULT",'Data - Sample Type 0'!NK83,IF(B106="V","MINOR VISUAL",IF(B106="M","MAJOR VISUAL",IF(B106="B","BARCODE FAIL",IF(B106="D","DELAMINATION",IF('Data - Sample Type 0'!Q83="","DATA ENTRY ERROR",IF(B106=$D$23,"PASS","MAJOR FUNCTIONAL"))))))))))</f>
        <v>PASS</v>
      </c>
      <c r="D106" s="77" t="str">
        <f>IF(C106="","",IF('Data - Sample Type 0'!NI83="","N/A",IF('Data - Sample Type 0'!NI83&lt;Specifications!$D$3,"PASS","FAIL")))</f>
        <v>PASS</v>
      </c>
      <c r="E106" s="174"/>
    </row>
    <row r="107" spans="1:5" x14ac:dyDescent="0.2">
      <c r="A107" s="73" t="str">
        <f>IF('Data - Sample Type 0'!C84="","",'Data - Sample Type 0'!C84)</f>
        <v>NEG_09_0_03X</v>
      </c>
      <c r="B107" s="74" t="str">
        <f>IF('Data - Sample Type 0'!L84="","",'Data - Sample Type 0'!L84)</f>
        <v>MTB NOT DETECTED</v>
      </c>
      <c r="C107" s="75" t="str">
        <f>IF(B107="","",IF(B107="INVALID",IF('Data - Sample Type 0'!NK84="","INVALID",'Data - Sample Type 0'!NK84),IF(B107="ERROR",'Data - Sample Type 0'!NK84,IF(B107="NO RESULT",'Data - Sample Type 0'!NK84,IF(B107="V","MINOR VISUAL",IF(B107="M","MAJOR VISUAL",IF(B107="B","BARCODE FAIL",IF(B107="D","DELAMINATION",IF('Data - Sample Type 0'!Q84="","DATA ENTRY ERROR",IF(B107=$D$23,"PASS","MAJOR FUNCTIONAL"))))))))))</f>
        <v>PASS</v>
      </c>
      <c r="D107" s="77" t="str">
        <f>IF(C107="","",IF('Data - Sample Type 0'!NI84="","N/A",IF('Data - Sample Type 0'!NI84&lt;Specifications!$D$3,"PASS","FAIL")))</f>
        <v>PASS</v>
      </c>
      <c r="E107" s="174"/>
    </row>
    <row r="108" spans="1:5" x14ac:dyDescent="0.2">
      <c r="A108" s="73" t="str">
        <f>IF('Data - Sample Type 0'!C85="","",'Data - Sample Type 0'!C85)</f>
        <v>NEG_09_0_04X</v>
      </c>
      <c r="B108" s="74" t="str">
        <f>IF('Data - Sample Type 0'!L85="","",'Data - Sample Type 0'!L85)</f>
        <v>MTB NOT DETECTED</v>
      </c>
      <c r="C108" s="75" t="str">
        <f>IF(B108="","",IF(B108="INVALID",IF('Data - Sample Type 0'!NK85="","INVALID",'Data - Sample Type 0'!NK85),IF(B108="ERROR",'Data - Sample Type 0'!NK85,IF(B108="NO RESULT",'Data - Sample Type 0'!NK85,IF(B108="V","MINOR VISUAL",IF(B108="M","MAJOR VISUAL",IF(B108="B","BARCODE FAIL",IF(B108="D","DELAMINATION",IF('Data - Sample Type 0'!Q85="","DATA ENTRY ERROR",IF(B108=$D$23,"PASS","MAJOR FUNCTIONAL"))))))))))</f>
        <v>PASS</v>
      </c>
      <c r="D108" s="77" t="str">
        <f>IF(C108="","",IF('Data - Sample Type 0'!NI85="","N/A",IF('Data - Sample Type 0'!NI85&lt;Specifications!$D$3,"PASS","FAIL")))</f>
        <v>PASS</v>
      </c>
      <c r="E108" s="174"/>
    </row>
    <row r="109" spans="1:5" x14ac:dyDescent="0.2">
      <c r="A109" s="73" t="str">
        <f>IF('Data - Sample Type 0'!C86="","",'Data - Sample Type 0'!C86)</f>
        <v>NEG_09_0_05X</v>
      </c>
      <c r="B109" s="74" t="str">
        <f>IF('Data - Sample Type 0'!L86="","",'Data - Sample Type 0'!L86)</f>
        <v>MTB NOT DETECTED</v>
      </c>
      <c r="C109" s="75" t="str">
        <f>IF(B109="","",IF(B109="INVALID",IF('Data - Sample Type 0'!NK86="","INVALID",'Data - Sample Type 0'!NK86),IF(B109="ERROR",'Data - Sample Type 0'!NK86,IF(B109="NO RESULT",'Data - Sample Type 0'!NK86,IF(B109="V","MINOR VISUAL",IF(B109="M","MAJOR VISUAL",IF(B109="B","BARCODE FAIL",IF(B109="D","DELAMINATION",IF('Data - Sample Type 0'!Q86="","DATA ENTRY ERROR",IF(B109=$D$23,"PASS","MAJOR FUNCTIONAL"))))))))))</f>
        <v>PASS</v>
      </c>
      <c r="D109" s="77" t="str">
        <f>IF(C109="","",IF('Data - Sample Type 0'!NI86="","N/A",IF('Data - Sample Type 0'!NI86&lt;Specifications!$D$3,"PASS","FAIL")))</f>
        <v>PASS</v>
      </c>
      <c r="E109" s="174"/>
    </row>
    <row r="110" spans="1:5" x14ac:dyDescent="0.2">
      <c r="A110" s="73" t="str">
        <f>IF('Data - Sample Type 0'!C87="","",'Data - Sample Type 0'!C87)</f>
        <v>NEG_09_0_06+</v>
      </c>
      <c r="B110" s="74" t="str">
        <f>IF('Data - Sample Type 0'!L87="","",'Data - Sample Type 0'!L87)</f>
        <v>MTB NOT DETECTED</v>
      </c>
      <c r="C110" s="75" t="str">
        <f>IF(B110="","",IF(B110="INVALID",IF('Data - Sample Type 0'!NK87="","INVALID",'Data - Sample Type 0'!NK87),IF(B110="ERROR",'Data - Sample Type 0'!NK87,IF(B110="NO RESULT",'Data - Sample Type 0'!NK87,IF(B110="V","MINOR VISUAL",IF(B110="M","MAJOR VISUAL",IF(B110="B","BARCODE FAIL",IF(B110="D","DELAMINATION",IF('Data - Sample Type 0'!Q87="","DATA ENTRY ERROR",IF(B110=$D$23,"PASS","MAJOR FUNCTIONAL"))))))))))</f>
        <v>PASS</v>
      </c>
      <c r="D110" s="77" t="str">
        <f>IF(C110="","",IF('Data - Sample Type 0'!NI87="","N/A",IF('Data - Sample Type 0'!NI87&lt;Specifications!$D$3,"PASS","FAIL")))</f>
        <v>PASS</v>
      </c>
      <c r="E110" s="174"/>
    </row>
    <row r="111" spans="1:5" x14ac:dyDescent="0.2">
      <c r="A111" s="73" t="str">
        <f>IF('Data - Sample Type 0'!C88="","",'Data - Sample Type 0'!C88)</f>
        <v>NEG_09_0_07+</v>
      </c>
      <c r="B111" s="74" t="str">
        <f>IF('Data - Sample Type 0'!L88="","",'Data - Sample Type 0'!L88)</f>
        <v>MTB NOT DETECTED</v>
      </c>
      <c r="C111" s="75" t="str">
        <f>IF(B111="","",IF(B111="INVALID",IF('Data - Sample Type 0'!NK88="","INVALID",'Data - Sample Type 0'!NK88),IF(B111="ERROR",'Data - Sample Type 0'!NK88,IF(B111="NO RESULT",'Data - Sample Type 0'!NK88,IF(B111="V","MINOR VISUAL",IF(B111="M","MAJOR VISUAL",IF(B111="B","BARCODE FAIL",IF(B111="D","DELAMINATION",IF('Data - Sample Type 0'!Q88="","DATA ENTRY ERROR",IF(B111=$D$23,"PASS","MAJOR FUNCTIONAL"))))))))))</f>
        <v>PASS</v>
      </c>
      <c r="D111" s="77" t="str">
        <f>IF(C111="","",IF('Data - Sample Type 0'!NI88="","N/A",IF('Data - Sample Type 0'!NI88&lt;Specifications!$D$3,"PASS","FAIL")))</f>
        <v>PASS</v>
      </c>
      <c r="E111" s="174"/>
    </row>
    <row r="112" spans="1:5" x14ac:dyDescent="0.2">
      <c r="A112" s="73" t="str">
        <f>IF('Data - Sample Type 0'!C89="","",'Data - Sample Type 0'!C89)</f>
        <v>NEG_09_0_08+</v>
      </c>
      <c r="B112" s="74" t="str">
        <f>IF('Data - Sample Type 0'!L89="","",'Data - Sample Type 0'!L89)</f>
        <v>MTB NOT DETECTED</v>
      </c>
      <c r="C112" s="75" t="str">
        <f>IF(B112="","",IF(B112="INVALID",IF('Data - Sample Type 0'!NK89="","INVALID",'Data - Sample Type 0'!NK89),IF(B112="ERROR",'Data - Sample Type 0'!NK89,IF(B112="NO RESULT",'Data - Sample Type 0'!NK89,IF(B112="V","MINOR VISUAL",IF(B112="M","MAJOR VISUAL",IF(B112="B","BARCODE FAIL",IF(B112="D","DELAMINATION",IF('Data - Sample Type 0'!Q89="","DATA ENTRY ERROR",IF(B112=$D$23,"PASS","MAJOR FUNCTIONAL"))))))))))</f>
        <v>PASS</v>
      </c>
      <c r="D112" s="77" t="str">
        <f>IF(C112="","",IF('Data - Sample Type 0'!NI89="","N/A",IF('Data - Sample Type 0'!NI89&lt;Specifications!$D$3,"PASS","FAIL")))</f>
        <v>PASS</v>
      </c>
      <c r="E112" s="174"/>
    </row>
    <row r="113" spans="1:6" x14ac:dyDescent="0.2">
      <c r="A113" s="73" t="str">
        <f>IF('Data - Sample Type 0'!C90="","",'Data - Sample Type 0'!C90)</f>
        <v>NEG_09_0_09+</v>
      </c>
      <c r="B113" s="74" t="str">
        <f>IF('Data - Sample Type 0'!L90="","",'Data - Sample Type 0'!L90)</f>
        <v>MTB NOT DETECTED</v>
      </c>
      <c r="C113" s="75" t="str">
        <f>IF(B113="","",IF(B113="INVALID",IF('Data - Sample Type 0'!NK90="","INVALID",'Data - Sample Type 0'!NK90),IF(B113="ERROR",'Data - Sample Type 0'!NK90,IF(B113="NO RESULT",'Data - Sample Type 0'!NK90,IF(B113="V","MINOR VISUAL",IF(B113="M","MAJOR VISUAL",IF(B113="B","BARCODE FAIL",IF(B113="D","DELAMINATION",IF('Data - Sample Type 0'!Q90="","DATA ENTRY ERROR",IF(B113=$D$23,"PASS","MAJOR FUNCTIONAL"))))))))))</f>
        <v>PASS</v>
      </c>
      <c r="D113" s="77" t="str">
        <f>IF(C113="","",IF('Data - Sample Type 0'!NI90="","N/A",IF('Data - Sample Type 0'!NI90&lt;Specifications!$D$3,"PASS","FAIL")))</f>
        <v>PASS</v>
      </c>
      <c r="E113" s="174"/>
    </row>
    <row r="114" spans="1:6" x14ac:dyDescent="0.2">
      <c r="A114" s="73" t="str">
        <f>IF('Data - Sample Type 0'!C91="","",'Data - Sample Type 0'!C91)</f>
        <v>NEG_09_0_10+</v>
      </c>
      <c r="B114" s="74" t="str">
        <f>IF('Data - Sample Type 0'!L91="","",'Data - Sample Type 0'!L91)</f>
        <v>MTB NOT DETECTED</v>
      </c>
      <c r="C114" s="75" t="str">
        <f>IF(B114="","",IF(B114="INVALID",IF('Data - Sample Type 0'!NK91="","INVALID",'Data - Sample Type 0'!NK91),IF(B114="ERROR",'Data - Sample Type 0'!NK91,IF(B114="NO RESULT",'Data - Sample Type 0'!NK91,IF(B114="V","MINOR VISUAL",IF(B114="M","MAJOR VISUAL",IF(B114="B","BARCODE FAIL",IF(B114="D","DELAMINATION",IF('Data - Sample Type 0'!Q91="","DATA ENTRY ERROR",IF(B114=$D$23,"PASS","MAJOR FUNCTIONAL"))))))))))</f>
        <v>PASS</v>
      </c>
      <c r="D114" s="77" t="str">
        <f>IF(C114="","",IF('Data - Sample Type 0'!NI91="","N/A",IF('Data - Sample Type 0'!NI91&lt;Specifications!$D$3,"PASS","FAIL")))</f>
        <v>PASS</v>
      </c>
      <c r="E114" s="174"/>
    </row>
    <row r="115" spans="1:6" x14ac:dyDescent="0.2">
      <c r="A115" s="73" t="str">
        <f>IF('Data - Sample Type 0'!C92="","",'Data - Sample Type 0'!C92)</f>
        <v>NEG_10_0_01X</v>
      </c>
      <c r="B115" s="74" t="str">
        <f>IF('Data - Sample Type 0'!L92="","",'Data - Sample Type 0'!L92)</f>
        <v>MTB NOT DETECTED</v>
      </c>
      <c r="C115" s="75" t="str">
        <f>IF(B115="","",IF(B115="INVALID",IF('Data - Sample Type 0'!NK92="","INVALID",'Data - Sample Type 0'!NK92),IF(B115="ERROR",'Data - Sample Type 0'!NK92,IF(B115="NO RESULT",'Data - Sample Type 0'!NK92,IF(B115="V","MINOR VISUAL",IF(B115="M","MAJOR VISUAL",IF(B115="B","BARCODE FAIL",IF(B115="D","DELAMINATION",IF('Data - Sample Type 0'!Q92="","DATA ENTRY ERROR",IF(B115=$D$23,"PASS","MAJOR FUNCTIONAL"))))))))))</f>
        <v>PASS</v>
      </c>
      <c r="D115" s="77" t="str">
        <f>IF(C115="","",IF('Data - Sample Type 0'!NI92="","N/A",IF('Data - Sample Type 0'!NI92&lt;Specifications!$D$3,"PASS","FAIL")))</f>
        <v>PASS</v>
      </c>
      <c r="E115" s="174"/>
    </row>
    <row r="116" spans="1:6" x14ac:dyDescent="0.2">
      <c r="A116" s="73" t="str">
        <f>IF('Data - Sample Type 0'!C93="","",'Data - Sample Type 0'!C93)</f>
        <v>NEG_10_0_02X</v>
      </c>
      <c r="B116" s="74" t="str">
        <f>IF('Data - Sample Type 0'!L93="","",'Data - Sample Type 0'!L93)</f>
        <v>MTB NOT DETECTED</v>
      </c>
      <c r="C116" s="75" t="str">
        <f>IF(B116="","",IF(B116="INVALID",IF('Data - Sample Type 0'!NK93="","INVALID",'Data - Sample Type 0'!NK93),IF(B116="ERROR",'Data - Sample Type 0'!NK93,IF(B116="NO RESULT",'Data - Sample Type 0'!NK93,IF(B116="V","MINOR VISUAL",IF(B116="M","MAJOR VISUAL",IF(B116="B","BARCODE FAIL",IF(B116="D","DELAMINATION",IF('Data - Sample Type 0'!Q93="","DATA ENTRY ERROR",IF(B116=$D$23,"PASS","MAJOR FUNCTIONAL"))))))))))</f>
        <v>PASS</v>
      </c>
      <c r="D116" s="77" t="str">
        <f>IF(C116="","",IF('Data - Sample Type 0'!NI93="","N/A",IF('Data - Sample Type 0'!NI93&lt;Specifications!$D$3,"PASS","FAIL")))</f>
        <v>PASS</v>
      </c>
      <c r="E116" s="174"/>
    </row>
    <row r="117" spans="1:6" x14ac:dyDescent="0.2">
      <c r="A117" s="73" t="str">
        <f>IF('Data - Sample Type 0'!C94="","",'Data - Sample Type 0'!C94)</f>
        <v>NEG_10_0_03X</v>
      </c>
      <c r="B117" s="74" t="str">
        <f>IF('Data - Sample Type 0'!L94="","",'Data - Sample Type 0'!L94)</f>
        <v>MTB NOT DETECTED</v>
      </c>
      <c r="C117" s="75" t="str">
        <f>IF(B117="","",IF(B117="INVALID",IF('Data - Sample Type 0'!NK94="","INVALID",'Data - Sample Type 0'!NK94),IF(B117="ERROR",'Data - Sample Type 0'!NK94,IF(B117="NO RESULT",'Data - Sample Type 0'!NK94,IF(B117="V","MINOR VISUAL",IF(B117="M","MAJOR VISUAL",IF(B117="B","BARCODE FAIL",IF(B117="D","DELAMINATION",IF('Data - Sample Type 0'!Q94="","DATA ENTRY ERROR",IF(B117=$D$23,"PASS","MAJOR FUNCTIONAL"))))))))))</f>
        <v>PASS</v>
      </c>
      <c r="D117" s="77" t="str">
        <f>IF(C117="","",IF('Data - Sample Type 0'!NI94="","N/A",IF('Data - Sample Type 0'!NI94&lt;Specifications!$D$3,"PASS","FAIL")))</f>
        <v>PASS</v>
      </c>
      <c r="E117" s="174"/>
    </row>
    <row r="118" spans="1:6" x14ac:dyDescent="0.2">
      <c r="A118" s="73" t="str">
        <f>IF('Data - Sample Type 0'!C95="","",'Data - Sample Type 0'!C95)</f>
        <v>NEG_10_0_04X</v>
      </c>
      <c r="B118" s="74" t="str">
        <f>IF('Data - Sample Type 0'!L95="","",'Data - Sample Type 0'!L95)</f>
        <v>MTB NOT DETECTED</v>
      </c>
      <c r="C118" s="75" t="str">
        <f>IF(B118="","",IF(B118="INVALID",IF('Data - Sample Type 0'!NK95="","INVALID",'Data - Sample Type 0'!NK95),IF(B118="ERROR",'Data - Sample Type 0'!NK95,IF(B118="NO RESULT",'Data - Sample Type 0'!NK95,IF(B118="V","MINOR VISUAL",IF(B118="M","MAJOR VISUAL",IF(B118="B","BARCODE FAIL",IF(B118="D","DELAMINATION",IF('Data - Sample Type 0'!Q95="","DATA ENTRY ERROR",IF(B118=$D$23,"PASS","MAJOR FUNCTIONAL"))))))))))</f>
        <v>PASS</v>
      </c>
      <c r="D118" s="77" t="str">
        <f>IF(C118="","",IF('Data - Sample Type 0'!NI95="","N/A",IF('Data - Sample Type 0'!NI95&lt;Specifications!$D$3,"PASS","FAIL")))</f>
        <v>PASS</v>
      </c>
      <c r="E118" s="174"/>
    </row>
    <row r="119" spans="1:6" x14ac:dyDescent="0.2">
      <c r="A119" s="73" t="str">
        <f>IF('Data - Sample Type 0'!C96="","",'Data - Sample Type 0'!C96)</f>
        <v>NEG_10_0_05X</v>
      </c>
      <c r="B119" s="74" t="str">
        <f>IF('Data - Sample Type 0'!L96="","",'Data - Sample Type 0'!L96)</f>
        <v>MTB NOT DETECTED</v>
      </c>
      <c r="C119" s="75" t="str">
        <f>IF(B119="","",IF(B119="INVALID",IF('Data - Sample Type 0'!NK96="","INVALID",'Data - Sample Type 0'!NK96),IF(B119="ERROR",'Data - Sample Type 0'!NK96,IF(B119="NO RESULT",'Data - Sample Type 0'!NK96,IF(B119="V","MINOR VISUAL",IF(B119="M","MAJOR VISUAL",IF(B119="B","BARCODE FAIL",IF(B119="D","DELAMINATION",IF('Data - Sample Type 0'!Q96="","DATA ENTRY ERROR",IF(B119=$D$23,"PASS","MAJOR FUNCTIONAL"))))))))))</f>
        <v>PASS</v>
      </c>
      <c r="D119" s="77" t="str">
        <f>IF(C119="","",IF('Data - Sample Type 0'!NI96="","N/A",IF('Data - Sample Type 0'!NI96&lt;Specifications!$D$3,"PASS","FAIL")))</f>
        <v>PASS</v>
      </c>
      <c r="E119" s="174"/>
    </row>
    <row r="120" spans="1:6" x14ac:dyDescent="0.2">
      <c r="A120" s="73" t="str">
        <f>IF('Data - Sample Type 0'!C97="","",'Data - Sample Type 0'!C97)</f>
        <v>NEG_10_0_06+</v>
      </c>
      <c r="B120" s="74" t="str">
        <f>IF('Data - Sample Type 0'!L97="","",'Data - Sample Type 0'!L97)</f>
        <v>MTB NOT DETECTED</v>
      </c>
      <c r="C120" s="75" t="str">
        <f>IF(B120="","",IF(B120="INVALID",IF('Data - Sample Type 0'!NK97="","INVALID",'Data - Sample Type 0'!NK97),IF(B120="ERROR",'Data - Sample Type 0'!NK97,IF(B120="NO RESULT",'Data - Sample Type 0'!NK97,IF(B120="V","MINOR VISUAL",IF(B120="M","MAJOR VISUAL",IF(B120="B","BARCODE FAIL",IF(B120="D","DELAMINATION",IF('Data - Sample Type 0'!Q97="","DATA ENTRY ERROR",IF(B120=$D$23,"PASS","MAJOR FUNCTIONAL"))))))))))</f>
        <v>PASS</v>
      </c>
      <c r="D120" s="77" t="str">
        <f>IF(C120="","",IF('Data - Sample Type 0'!NI97="","N/A",IF('Data - Sample Type 0'!NI97&lt;Specifications!$D$3,"PASS","FAIL")))</f>
        <v>PASS</v>
      </c>
      <c r="E120" s="174"/>
    </row>
    <row r="121" spans="1:6" x14ac:dyDescent="0.2">
      <c r="A121" s="73" t="str">
        <f>IF('Data - Sample Type 0'!C98="","",'Data - Sample Type 0'!C98)</f>
        <v>NEG_10_0_07+</v>
      </c>
      <c r="B121" s="74" t="str">
        <f>IF('Data - Sample Type 0'!L98="","",'Data - Sample Type 0'!L98)</f>
        <v>MTB NOT DETECTED</v>
      </c>
      <c r="C121" s="75" t="str">
        <f>IF(B121="","",IF(B121="INVALID",IF('Data - Sample Type 0'!NK98="","INVALID",'Data - Sample Type 0'!NK98),IF(B121="ERROR",'Data - Sample Type 0'!NK98,IF(B121="NO RESULT",'Data - Sample Type 0'!NK98,IF(B121="V","MINOR VISUAL",IF(B121="M","MAJOR VISUAL",IF(B121="B","BARCODE FAIL",IF(B121="D","DELAMINATION",IF('Data - Sample Type 0'!Q98="","DATA ENTRY ERROR",IF(B121=$D$23,"PASS","MAJOR FUNCTIONAL"))))))))))</f>
        <v>PASS</v>
      </c>
      <c r="D121" s="77" t="str">
        <f>IF(C121="","",IF('Data - Sample Type 0'!NI98="","N/A",IF('Data - Sample Type 0'!NI98&lt;Specifications!$D$3,"PASS","FAIL")))</f>
        <v>PASS</v>
      </c>
      <c r="E121" s="174"/>
    </row>
    <row r="122" spans="1:6" x14ac:dyDescent="0.2">
      <c r="A122" s="73" t="str">
        <f>IF('Data - Sample Type 0'!C99="","",'Data - Sample Type 0'!C99)</f>
        <v>NEG_10_0_08+</v>
      </c>
      <c r="B122" s="74" t="str">
        <f>IF('Data - Sample Type 0'!L99="","",'Data - Sample Type 0'!L99)</f>
        <v>MTB NOT DETECTED</v>
      </c>
      <c r="C122" s="75" t="str">
        <f>IF(B122="","",IF(B122="INVALID",IF('Data - Sample Type 0'!NK99="","INVALID",'Data - Sample Type 0'!NK99),IF(B122="ERROR",'Data - Sample Type 0'!NK99,IF(B122="NO RESULT",'Data - Sample Type 0'!NK99,IF(B122="V","MINOR VISUAL",IF(B122="M","MAJOR VISUAL",IF(B122="B","BARCODE FAIL",IF(B122="D","DELAMINATION",IF('Data - Sample Type 0'!Q99="","DATA ENTRY ERROR",IF(B122=$D$23,"PASS","MAJOR FUNCTIONAL"))))))))))</f>
        <v>PASS</v>
      </c>
      <c r="D122" s="77" t="str">
        <f>IF(C122="","",IF('Data - Sample Type 0'!NI99="","N/A",IF('Data - Sample Type 0'!NI99&lt;Specifications!$D$3,"PASS","FAIL")))</f>
        <v>PASS</v>
      </c>
      <c r="E122" s="174"/>
    </row>
    <row r="123" spans="1:6" x14ac:dyDescent="0.2">
      <c r="A123" s="73" t="str">
        <f>IF('Data - Sample Type 0'!C100="","",'Data - Sample Type 0'!C100)</f>
        <v>NEG_10_0_09+</v>
      </c>
      <c r="B123" s="74" t="str">
        <f>IF('Data - Sample Type 0'!L100="","",'Data - Sample Type 0'!L100)</f>
        <v>MTB NOT DETECTED</v>
      </c>
      <c r="C123" s="75" t="str">
        <f>IF(B123="","",IF(B123="INVALID",IF('Data - Sample Type 0'!NK100="","INVALID",'Data - Sample Type 0'!NK100),IF(B123="ERROR",'Data - Sample Type 0'!NK100,IF(B123="NO RESULT",'Data - Sample Type 0'!NK100,IF(B123="V","MINOR VISUAL",IF(B123="M","MAJOR VISUAL",IF(B123="B","BARCODE FAIL",IF(B123="D","DELAMINATION",IF('Data - Sample Type 0'!Q100="","DATA ENTRY ERROR",IF(B123=$D$23,"PASS","MAJOR FUNCTIONAL"))))))))))</f>
        <v>PASS</v>
      </c>
      <c r="D123" s="77" t="str">
        <f>IF(C123="","",IF('Data - Sample Type 0'!NI100="","N/A",IF('Data - Sample Type 0'!NI100&lt;Specifications!$D$3,"PASS","FAIL")))</f>
        <v>PASS</v>
      </c>
      <c r="E123" s="174"/>
    </row>
    <row r="124" spans="1:6" x14ac:dyDescent="0.2">
      <c r="A124" s="73" t="str">
        <f>IF('Data - Sample Type 0'!C101="","",'Data - Sample Type 0'!C101)</f>
        <v>NEG_10_0_10+</v>
      </c>
      <c r="B124" s="74" t="str">
        <f>IF('Data - Sample Type 0'!L101="","",'Data - Sample Type 0'!L101)</f>
        <v>MTB NOT DETECTED</v>
      </c>
      <c r="C124" s="75" t="str">
        <f>IF(B124="","",IF(B124="INVALID",IF('Data - Sample Type 0'!NK101="","INVALID",'Data - Sample Type 0'!NK101),IF(B124="ERROR",'Data - Sample Type 0'!NK101,IF(B124="NO RESULT",'Data - Sample Type 0'!NK101,IF(B124="V","MINOR VISUAL",IF(B124="M","MAJOR VISUAL",IF(B124="B","BARCODE FAIL",IF(B124="D","DELAMINATION",IF('Data - Sample Type 0'!Q101="","DATA ENTRY ERROR",IF(B124=$D$23,"PASS","MAJOR FUNCTIONAL"))))))))))</f>
        <v>PASS</v>
      </c>
      <c r="D124" s="77" t="str">
        <f>IF(C124="","",IF('Data - Sample Type 0'!NI101="","N/A",IF('Data - Sample Type 0'!NI101&lt;Specifications!$D$3,"PASS","FAIL")))</f>
        <v>PASS</v>
      </c>
      <c r="E124" s="174"/>
    </row>
    <row r="125" spans="1:6" x14ac:dyDescent="0.2">
      <c r="C125" s="147"/>
      <c r="D125" s="63"/>
      <c r="E125" s="148"/>
    </row>
    <row r="126" spans="1:6" s="83" customFormat="1" ht="15.75" x14ac:dyDescent="0.2">
      <c r="A126" s="84" t="s">
        <v>143</v>
      </c>
      <c r="B126" s="85">
        <v>1</v>
      </c>
      <c r="C126" s="86" t="s">
        <v>130</v>
      </c>
      <c r="D126" s="361">
        <f>COUNTIF('Data - Sample Type 1'!A2:A81,"&lt;&gt;"&amp;"")</f>
        <v>80</v>
      </c>
      <c r="E126" s="362"/>
    </row>
    <row r="127" spans="1:6" s="83" customFormat="1" ht="15.75" x14ac:dyDescent="0.2">
      <c r="A127" s="84" t="s">
        <v>146</v>
      </c>
      <c r="B127" s="87" t="str">
        <f>IF($C$3="","",IF(D126=0,"NO DATA",IF(COUNTIF('Data - Sample Type 1'!$E$2:$E$81,$C$3)=D126,"VALID","")))</f>
        <v>VALID</v>
      </c>
      <c r="C127" s="88" t="s">
        <v>128</v>
      </c>
      <c r="D127" s="361" t="str">
        <f>IF($C$4="","",IF(D126=1,"NO DATA",IF(COUNTIF('Data - Sample Type 1'!$A$2:$A$81,$C$4)=D126,"VALID","")))</f>
        <v>VALID</v>
      </c>
      <c r="E127" s="362"/>
      <c r="F127" s="252" t="s">
        <v>521</v>
      </c>
    </row>
    <row r="128" spans="1:6" s="83" customFormat="1" ht="80.099999999999994" customHeight="1" x14ac:dyDescent="0.2">
      <c r="A128" s="88" t="s">
        <v>161</v>
      </c>
      <c r="B128" s="87" t="str">
        <f>IF(Specifications!$B$7=D126,"PASS","FAIL")</f>
        <v>PASS</v>
      </c>
      <c r="C128" s="95" t="s">
        <v>65</v>
      </c>
      <c r="D128" s="356" t="str">
        <f>LOOKUP($C$2,Specifications!$A$11:$A$14,Specifications!$E$11:E$14)</f>
        <v>MTB DETECTED;INH Resistance NOT DETECTED;FLQ Resistance NOT DETECTED;AMK Resistance NOT DETECTED;KAN Resistance NOT DETECTED;CAP Resistance NOT DETECTED;ETH Resistance NOT DETECTED</v>
      </c>
      <c r="E128" s="357"/>
      <c r="F128" s="253" t="str">
        <f>IF(D126=0,"N/A","MTB DETECTED;INH Resistance NOT DETECTED;FLQ Resistance NOT DETECTED;AMK Resistance NOT DETECTED;KAN Resistance NOT DETECTED;CAP Resistance INDETERMINATE;ETH Resistance NOT DETECTED")</f>
        <v>MTB DETECTED;INH Resistance NOT DETECTED;FLQ Resistance NOT DETECTED;AMK Resistance NOT DETECTED;KAN Resistance NOT DETECTED;CAP Resistance INDETERMINATE;ETH Resistance NOT DETECTED</v>
      </c>
    </row>
    <row r="129" spans="1:5" x14ac:dyDescent="0.2">
      <c r="A129" s="69" t="s">
        <v>96</v>
      </c>
      <c r="B129" s="70" t="s">
        <v>131</v>
      </c>
      <c r="C129" s="71" t="s">
        <v>132</v>
      </c>
      <c r="D129" s="69" t="s">
        <v>133</v>
      </c>
      <c r="E129" s="72" t="s">
        <v>282</v>
      </c>
    </row>
    <row r="130" spans="1:5" x14ac:dyDescent="0.2">
      <c r="A130" s="73" t="str">
        <f>IF('Data - Sample Type 1'!C2="","",'Data - Sample Type 1'!C2)</f>
        <v>D15JAN26A_01_1_11AX</v>
      </c>
      <c r="B130" s="74" t="str">
        <f>IF('Data - Sample Type 1'!L2="","",'Data - Sample Type 1'!L2)</f>
        <v>MTB DETECTED;INH Resistance NOT DETECTED;FLQ Resistance NOT DETECTED;AMK Resistance NOT DETECTED;KAN Resistance NOT DETECTED;CAP Resistance NOT DETECTED;ETH Resistance NOT DETECTED</v>
      </c>
      <c r="C130" s="75" t="str">
        <f>IF(B130="","",IF(B130="INVALID",IF('Data - Sample Type 1'!NK2="","INVALID",'Data - Sample Type 1'!NK2),IF(B130="ERROR",'Data - Sample Type 1'!NK2,IF(B130="NO RESULT",'Data - Sample Type 1'!NK2,IF(B130="V","MINOR VISUAL",IF(B130="M","MAJOR VISUAL",IF(B130="B","BARCODE FAIL",IF(B130="D","DELAMINATION",IF(COUNTIF(B130,$D$128)+(COUNTIF(B130,$F$128))&lt;&gt;1,"MAJOR FUNCTIONAL",IF(COUNTIF(B130,$F$128)=1,"MINOR FUNCTIONAL",IF(COUNTIF(B130,$F$128)=1,"MINOR FUNCTIONAL",IF('Data - Sample Type 1'!Q2="","DATA ENTRY ERROR",IF('Data - Sample Type 1'!Q2=0,"SPC CT=0","PASS")))))))))))))</f>
        <v>PASS</v>
      </c>
      <c r="D130" s="77" t="str">
        <f>IF(C130="","",IF('Data - Sample Type 1'!NI2="","N/A",IF('Data - Sample Type 1'!NI2&lt;Specifications!$D$3,"PASS","FAIL")))</f>
        <v>PASS</v>
      </c>
      <c r="E130" s="174"/>
    </row>
    <row r="131" spans="1:5" x14ac:dyDescent="0.2">
      <c r="A131" s="73" t="str">
        <f>IF('Data - Sample Type 1'!C3="","",'Data - Sample Type 1'!C3)</f>
        <v>D15JAN26A_01_1_12AX</v>
      </c>
      <c r="B131" s="74" t="str">
        <f>IF('Data - Sample Type 1'!L3="","",'Data - Sample Type 1'!L3)</f>
        <v>MTB DETECTED;INH Resistance NOT DETECTED;FLQ Resistance NOT DETECTED;AMK Resistance NOT DETECTED;KAN Resistance NOT DETECTED;CAP Resistance NOT DETECTED;ETH Resistance NOT DETECTED</v>
      </c>
      <c r="C131" s="75" t="str">
        <f>IF(B131="","",IF(B131="INVALID",IF('Data - Sample Type 1'!NK3="","INVALID",'Data - Sample Type 1'!NK3),IF(B131="ERROR",'Data - Sample Type 1'!NK3,IF(B131="NO RESULT",'Data - Sample Type 1'!NK3,IF(B131="V","MINOR VISUAL",IF(B131="M","MAJOR VISUAL",IF(B131="B","BARCODE FAIL",IF(B131="D","DELAMINATION",IF(COUNTIF(B131,$D$128)+(COUNTIF(B131,$F$128))&lt;&gt;1,"MAJOR FUNCTIONAL",IF(COUNTIF(B131,$F$128)=1,"MINOR FUNCTIONAL",IF(COUNTIF(B131,$F$128)=1,"MINOR FUNCTIONAL",IF('Data - Sample Type 1'!Q3="","DATA ENTRY ERROR",IF('Data - Sample Type 1'!Q3=0,"SPC CT=0","PASS")))))))))))))</f>
        <v>PASS</v>
      </c>
      <c r="D131" s="77" t="str">
        <f>IF(C131="","",IF('Data - Sample Type 1'!NI3="","N/A",IF('Data - Sample Type 1'!NI3&lt;Specifications!$D$3,"PASS","FAIL")))</f>
        <v>PASS</v>
      </c>
      <c r="E131" s="174"/>
    </row>
    <row r="132" spans="1:5" x14ac:dyDescent="0.2">
      <c r="A132" s="73" t="str">
        <f>IF('Data - Sample Type 1'!C4="","",'Data - Sample Type 1'!C4)</f>
        <v>D15JAN26A_01_1_13AX</v>
      </c>
      <c r="B132" s="74" t="str">
        <f>IF('Data - Sample Type 1'!L4="","",'Data - Sample Type 1'!L4)</f>
        <v>MTB DETECTED;INH Resistance NOT DETECTED;FLQ Resistance NOT DETECTED;AMK Resistance NOT DETECTED;KAN Resistance NOT DETECTED;CAP Resistance NOT DETECTED;ETH Resistance NOT DETECTED</v>
      </c>
      <c r="C132" s="75" t="str">
        <f>IF(B132="","",IF(B132="INVALID",IF('Data - Sample Type 1'!NK4="","INVALID",'Data - Sample Type 1'!NK4),IF(B132="ERROR",'Data - Sample Type 1'!NK4,IF(B132="NO RESULT",'Data - Sample Type 1'!NK4,IF(B132="V","MINOR VISUAL",IF(B132="M","MAJOR VISUAL",IF(B132="B","BARCODE FAIL",IF(B132="D","DELAMINATION",IF(COUNTIF(B132,$D$128)+(COUNTIF(B132,$F$128))&lt;&gt;1,"MAJOR FUNCTIONAL",IF(COUNTIF(B132,$F$128)=1,"MINOR FUNCTIONAL",IF(COUNTIF(B132,$F$128)=1,"MINOR FUNCTIONAL",IF('Data - Sample Type 1'!Q4="","DATA ENTRY ERROR",IF('Data - Sample Type 1'!Q4=0,"SPC CT=0","PASS")))))))))))))</f>
        <v>PASS</v>
      </c>
      <c r="D132" s="77" t="str">
        <f>IF(C132="","",IF('Data - Sample Type 1'!NI4="","N/A",IF('Data - Sample Type 1'!NI4&lt;Specifications!$D$3,"PASS","FAIL")))</f>
        <v>PASS</v>
      </c>
      <c r="E132" s="174"/>
    </row>
    <row r="133" spans="1:5" x14ac:dyDescent="0.2">
      <c r="A133" s="73" t="str">
        <f>IF('Data - Sample Type 1'!C5="","",'Data - Sample Type 1'!C5)</f>
        <v>D15JAN26A_01_1_14AX</v>
      </c>
      <c r="B133" s="74" t="str">
        <f>IF('Data - Sample Type 1'!L5="","",'Data - Sample Type 1'!L5)</f>
        <v>MTB DETECTED;INH Resistance NOT DETECTED;FLQ Resistance NOT DETECTED;AMK Resistance NOT DETECTED;KAN Resistance NOT DETECTED;CAP Resistance NOT DETECTED;ETH Resistance NOT DETECTED</v>
      </c>
      <c r="C133" s="75" t="str">
        <f>IF(B133="","",IF(B133="INVALID",IF('Data - Sample Type 1'!NK5="","INVALID",'Data - Sample Type 1'!NK5),IF(B133="ERROR",'Data - Sample Type 1'!NK5,IF(B133="NO RESULT",'Data - Sample Type 1'!NK5,IF(B133="V","MINOR VISUAL",IF(B133="M","MAJOR VISUAL",IF(B133="B","BARCODE FAIL",IF(B133="D","DELAMINATION",IF(COUNTIF(B133,$D$128)+(COUNTIF(B133,$F$128))&lt;&gt;1,"MAJOR FUNCTIONAL",IF(COUNTIF(B133,$F$128)=1,"MINOR FUNCTIONAL",IF(COUNTIF(B133,$F$128)=1,"MINOR FUNCTIONAL",IF('Data - Sample Type 1'!Q5="","DATA ENTRY ERROR",IF('Data - Sample Type 1'!Q5=0,"SPC CT=0","PASS")))))))))))))</f>
        <v>PASS</v>
      </c>
      <c r="D133" s="77" t="str">
        <f>IF(C133="","",IF('Data - Sample Type 1'!NI5="","N/A",IF('Data - Sample Type 1'!NI5&lt;Specifications!$D$3,"PASS","FAIL")))</f>
        <v>PASS</v>
      </c>
      <c r="E133" s="174"/>
    </row>
    <row r="134" spans="1:5" x14ac:dyDescent="0.2">
      <c r="A134" s="73" t="str">
        <f>IF('Data - Sample Type 1'!C6="","",'Data - Sample Type 1'!C6)</f>
        <v>D15JAN26A_01_1_15A+</v>
      </c>
      <c r="B134" s="74" t="str">
        <f>IF('Data - Sample Type 1'!L6="","",'Data - Sample Type 1'!L6)</f>
        <v>MTB DETECTED;INH Resistance NOT DETECTED;FLQ Resistance NOT DETECTED;AMK Resistance NOT DETECTED;KAN Resistance NOT DETECTED;CAP Resistance NOT DETECTED;ETH Resistance NOT DETECTED</v>
      </c>
      <c r="C134" s="75" t="str">
        <f>IF(B134="","",IF(B134="INVALID",IF('Data - Sample Type 1'!NK6="","INVALID",'Data - Sample Type 1'!NK6),IF(B134="ERROR",'Data - Sample Type 1'!NK6,IF(B134="NO RESULT",'Data - Sample Type 1'!NK6,IF(B134="V","MINOR VISUAL",IF(B134="M","MAJOR VISUAL",IF(B134="B","BARCODE FAIL",IF(B134="D","DELAMINATION",IF(COUNTIF(B134,$D$128)+(COUNTIF(B134,$F$128))&lt;&gt;1,"MAJOR FUNCTIONAL",IF(COUNTIF(B134,$F$128)=1,"MINOR FUNCTIONAL",IF(COUNTIF(B134,$F$128)=1,"MINOR FUNCTIONAL",IF('Data - Sample Type 1'!Q6="","DATA ENTRY ERROR",IF('Data - Sample Type 1'!Q6=0,"SPC CT=0","PASS")))))))))))))</f>
        <v>PASS</v>
      </c>
      <c r="D134" s="77" t="str">
        <f>IF(C134="","",IF('Data - Sample Type 1'!NI6="","N/A",IF('Data - Sample Type 1'!NI6&lt;Specifications!$D$3,"PASS","FAIL")))</f>
        <v>PASS</v>
      </c>
      <c r="E134" s="174"/>
    </row>
    <row r="135" spans="1:5" x14ac:dyDescent="0.2">
      <c r="A135" s="73" t="str">
        <f>IF('Data - Sample Type 1'!C7="","",'Data - Sample Type 1'!C7)</f>
        <v>D15JAN26A_01_1_16A+</v>
      </c>
      <c r="B135" s="74" t="str">
        <f>IF('Data - Sample Type 1'!L7="","",'Data - Sample Type 1'!L7)</f>
        <v>MTB DETECTED;INH Resistance NOT DETECTED;FLQ Resistance NOT DETECTED;AMK Resistance NOT DETECTED;KAN Resistance NOT DETECTED;CAP Resistance NOT DETECTED;ETH Resistance NOT DETECTED</v>
      </c>
      <c r="C135" s="75" t="str">
        <f>IF(B135="","",IF(B135="INVALID",IF('Data - Sample Type 1'!NK7="","INVALID",'Data - Sample Type 1'!NK7),IF(B135="ERROR",'Data - Sample Type 1'!NK7,IF(B135="NO RESULT",'Data - Sample Type 1'!NK7,IF(B135="V","MINOR VISUAL",IF(B135="M","MAJOR VISUAL",IF(B135="B","BARCODE FAIL",IF(B135="D","DELAMINATION",IF(COUNTIF(B135,$D$128)+(COUNTIF(B135,$F$128))&lt;&gt;1,"MAJOR FUNCTIONAL",IF(COUNTIF(B135,$F$128)=1,"MINOR FUNCTIONAL",IF(COUNTIF(B135,$F$128)=1,"MINOR FUNCTIONAL",IF('Data - Sample Type 1'!Q7="","DATA ENTRY ERROR",IF('Data - Sample Type 1'!Q7=0,"SPC CT=0","PASS")))))))))))))</f>
        <v>PASS</v>
      </c>
      <c r="D135" s="77" t="str">
        <f>IF(C135="","",IF('Data - Sample Type 1'!NI7="","N/A",IF('Data - Sample Type 1'!NI7&lt;Specifications!$D$3,"PASS","FAIL")))</f>
        <v>PASS</v>
      </c>
      <c r="E135" s="174"/>
    </row>
    <row r="136" spans="1:5" x14ac:dyDescent="0.2">
      <c r="A136" s="73" t="str">
        <f>IF('Data - Sample Type 1'!C8="","",'Data - Sample Type 1'!C8)</f>
        <v>D15JAN26A_01_1_17A+</v>
      </c>
      <c r="B136" s="74" t="str">
        <f>IF('Data - Sample Type 1'!L8="","",'Data - Sample Type 1'!L8)</f>
        <v>MTB DETECTED;INH Resistance NOT DETECTED;FLQ Resistance NOT DETECTED;AMK Resistance NOT DETECTED;KAN Resistance NOT DETECTED;CAP Resistance NOT DETECTED;ETH Resistance NOT DETECTED</v>
      </c>
      <c r="C136" s="75" t="str">
        <f>IF(B136="","",IF(B136="INVALID",IF('Data - Sample Type 1'!NK8="","INVALID",'Data - Sample Type 1'!NK8),IF(B136="ERROR",'Data - Sample Type 1'!NK8,IF(B136="NO RESULT",'Data - Sample Type 1'!NK8,IF(B136="V","MINOR VISUAL",IF(B136="M","MAJOR VISUAL",IF(B136="B","BARCODE FAIL",IF(B136="D","DELAMINATION",IF(COUNTIF(B136,$D$128)+(COUNTIF(B136,$F$128))&lt;&gt;1,"MAJOR FUNCTIONAL",IF(COUNTIF(B136,$F$128)=1,"MINOR FUNCTIONAL",IF(COUNTIF(B136,$F$128)=1,"MINOR FUNCTIONAL",IF('Data - Sample Type 1'!Q8="","DATA ENTRY ERROR",IF('Data - Sample Type 1'!Q8=0,"SPC CT=0","PASS")))))))))))))</f>
        <v>PASS</v>
      </c>
      <c r="D136" s="77" t="str">
        <f>IF(C136="","",IF('Data - Sample Type 1'!NI8="","N/A",IF('Data - Sample Type 1'!NI8&lt;Specifications!$D$3,"PASS","FAIL")))</f>
        <v>PASS</v>
      </c>
      <c r="E136" s="174"/>
    </row>
    <row r="137" spans="1:5" x14ac:dyDescent="0.2">
      <c r="A137" s="73" t="str">
        <f>IF('Data - Sample Type 1'!C9="","",'Data - Sample Type 1'!C9)</f>
        <v>D15JAN26A_01_1_18A+</v>
      </c>
      <c r="B137" s="74" t="str">
        <f>IF('Data - Sample Type 1'!L9="","",'Data - Sample Type 1'!L9)</f>
        <v>MTB DETECTED;INH Resistance NOT DETECTED;FLQ Resistance NOT DETECTED;AMK Resistance NOT DETECTED;KAN Resistance NOT DETECTED;CAP Resistance NOT DETECTED;ETH Resistance NOT DETECTED</v>
      </c>
      <c r="C137" s="75" t="str">
        <f>IF(B137="","",IF(B137="INVALID",IF('Data - Sample Type 1'!NK9="","INVALID",'Data - Sample Type 1'!NK9),IF(B137="ERROR",'Data - Sample Type 1'!NK9,IF(B137="NO RESULT",'Data - Sample Type 1'!NK9,IF(B137="V","MINOR VISUAL",IF(B137="M","MAJOR VISUAL",IF(B137="B","BARCODE FAIL",IF(B137="D","DELAMINATION",IF(COUNTIF(B137,$D$128)+(COUNTIF(B137,$F$128))&lt;&gt;1,"MAJOR FUNCTIONAL",IF(COUNTIF(B137,$F$128)=1,"MINOR FUNCTIONAL",IF(COUNTIF(B137,$F$128)=1,"MINOR FUNCTIONAL",IF('Data - Sample Type 1'!Q9="","DATA ENTRY ERROR",IF('Data - Sample Type 1'!Q9=0,"SPC CT=0","PASS")))))))))))))</f>
        <v>PASS</v>
      </c>
      <c r="D137" s="77" t="str">
        <f>IF(C137="","",IF('Data - Sample Type 1'!NI9="","N/A",IF('Data - Sample Type 1'!NI9&lt;Specifications!$D$3,"PASS","FAIL")))</f>
        <v>PASS</v>
      </c>
      <c r="E137" s="174"/>
    </row>
    <row r="138" spans="1:5" x14ac:dyDescent="0.2">
      <c r="A138" s="73" t="str">
        <f>IF('Data - Sample Type 1'!C10="","",'Data - Sample Type 1'!C10)</f>
        <v>D15JAN26A_02_1_11X</v>
      </c>
      <c r="B138" s="74" t="str">
        <f>IF('Data - Sample Type 1'!L10="","",'Data - Sample Type 1'!L10)</f>
        <v>MTB DETECTED;INH Resistance NOT DETECTED;FLQ Resistance NOT DETECTED;AMK Resistance NOT DETECTED;KAN Resistance NOT DETECTED;CAP Resistance NOT DETECTED;ETH Resistance NOT DETECTED</v>
      </c>
      <c r="C138" s="75" t="str">
        <f>IF(B138="","",IF(B138="INVALID",IF('Data - Sample Type 1'!NK10="","INVALID",'Data - Sample Type 1'!NK10),IF(B138="ERROR",'Data - Sample Type 1'!NK10,IF(B138="NO RESULT",'Data - Sample Type 1'!NK10,IF(B138="V","MINOR VISUAL",IF(B138="M","MAJOR VISUAL",IF(B138="B","BARCODE FAIL",IF(B138="D","DELAMINATION",IF(COUNTIF(B138,$D$128)+(COUNTIF(B138,$F$128))&lt;&gt;1,"MAJOR FUNCTIONAL",IF(COUNTIF(B138,$F$128)=1,"MINOR FUNCTIONAL",IF(COUNTIF(B138,$F$128)=1,"MINOR FUNCTIONAL",IF('Data - Sample Type 1'!Q10="","DATA ENTRY ERROR",IF('Data - Sample Type 1'!Q10=0,"SPC CT=0","PASS")))))))))))))</f>
        <v>PASS</v>
      </c>
      <c r="D138" s="77" t="str">
        <f>IF(C138="","",IF('Data - Sample Type 1'!NI10="","N/A",IF('Data - Sample Type 1'!NI10&lt;Specifications!$D$3,"PASS","FAIL")))</f>
        <v>PASS</v>
      </c>
      <c r="E138" s="174"/>
    </row>
    <row r="139" spans="1:5" x14ac:dyDescent="0.2">
      <c r="A139" s="73" t="str">
        <f>IF('Data - Sample Type 1'!C11="","",'Data - Sample Type 1'!C11)</f>
        <v>D15JAN26A_02_1_12X</v>
      </c>
      <c r="B139" s="74" t="str">
        <f>IF('Data - Sample Type 1'!L11="","",'Data - Sample Type 1'!L11)</f>
        <v>MTB DETECTED;INH Resistance NOT DETECTED;FLQ Resistance NOT DETECTED;AMK Resistance NOT DETECTED;KAN Resistance NOT DETECTED;CAP Resistance NOT DETECTED;ETH Resistance NOT DETECTED</v>
      </c>
      <c r="C139" s="75" t="str">
        <f>IF(B139="","",IF(B139="INVALID",IF('Data - Sample Type 1'!NK11="","INVALID",'Data - Sample Type 1'!NK11),IF(B139="ERROR",'Data - Sample Type 1'!NK11,IF(B139="NO RESULT",'Data - Sample Type 1'!NK11,IF(B139="V","MINOR VISUAL",IF(B139="M","MAJOR VISUAL",IF(B139="B","BARCODE FAIL",IF(B139="D","DELAMINATION",IF(COUNTIF(B139,$D$128)+(COUNTIF(B139,$F$128))&lt;&gt;1,"MAJOR FUNCTIONAL",IF(COUNTIF(B139,$F$128)=1,"MINOR FUNCTIONAL",IF(COUNTIF(B139,$F$128)=1,"MINOR FUNCTIONAL",IF('Data - Sample Type 1'!Q11="","DATA ENTRY ERROR",IF('Data - Sample Type 1'!Q11=0,"SPC CT=0","PASS")))))))))))))</f>
        <v>PASS</v>
      </c>
      <c r="D139" s="77" t="str">
        <f>IF(C139="","",IF('Data - Sample Type 1'!NI11="","N/A",IF('Data - Sample Type 1'!NI11&lt;Specifications!$D$3,"PASS","FAIL")))</f>
        <v>PASS</v>
      </c>
      <c r="E139" s="174"/>
    </row>
    <row r="140" spans="1:5" x14ac:dyDescent="0.2">
      <c r="A140" s="73" t="str">
        <f>IF('Data - Sample Type 1'!C12="","",'Data - Sample Type 1'!C12)</f>
        <v>D15JAN26A_02_1_13X</v>
      </c>
      <c r="B140" s="74" t="str">
        <f>IF('Data - Sample Type 1'!L12="","",'Data - Sample Type 1'!L12)</f>
        <v>MTB DETECTED;INH Resistance NOT DETECTED;FLQ Resistance NOT DETECTED;AMK Resistance NOT DETECTED;KAN Resistance NOT DETECTED;CAP Resistance NOT DETECTED;ETH Resistance NOT DETECTED</v>
      </c>
      <c r="C140" s="75" t="str">
        <f>IF(B140="","",IF(B140="INVALID",IF('Data - Sample Type 1'!NK12="","INVALID",'Data - Sample Type 1'!NK12),IF(B140="ERROR",'Data - Sample Type 1'!NK12,IF(B140="NO RESULT",'Data - Sample Type 1'!NK12,IF(B140="V","MINOR VISUAL",IF(B140="M","MAJOR VISUAL",IF(B140="B","BARCODE FAIL",IF(B140="D","DELAMINATION",IF(COUNTIF(B140,$D$128)+(COUNTIF(B140,$F$128))&lt;&gt;1,"MAJOR FUNCTIONAL",IF(COUNTIF(B140,$F$128)=1,"MINOR FUNCTIONAL",IF(COUNTIF(B140,$F$128)=1,"MINOR FUNCTIONAL",IF('Data - Sample Type 1'!Q12="","DATA ENTRY ERROR",IF('Data - Sample Type 1'!Q12=0,"SPC CT=0","PASS")))))))))))))</f>
        <v>PASS</v>
      </c>
      <c r="D140" s="77" t="str">
        <f>IF(C140="","",IF('Data - Sample Type 1'!NI12="","N/A",IF('Data - Sample Type 1'!NI12&lt;Specifications!$D$3,"PASS","FAIL")))</f>
        <v>PASS</v>
      </c>
      <c r="E140" s="174"/>
    </row>
    <row r="141" spans="1:5" x14ac:dyDescent="0.2">
      <c r="A141" s="73" t="str">
        <f>IF('Data - Sample Type 1'!C13="","",'Data - Sample Type 1'!C13)</f>
        <v>D15JAN26A_02_1_14X</v>
      </c>
      <c r="B141" s="74" t="str">
        <f>IF('Data - Sample Type 1'!L13="","",'Data - Sample Type 1'!L13)</f>
        <v>MTB DETECTED;INH Resistance NOT DETECTED;FLQ Resistance NOT DETECTED;AMK Resistance NOT DETECTED;KAN Resistance NOT DETECTED;CAP Resistance NOT DETECTED;ETH Resistance NOT DETECTED</v>
      </c>
      <c r="C141" s="75" t="str">
        <f>IF(B141="","",IF(B141="INVALID",IF('Data - Sample Type 1'!NK13="","INVALID",'Data - Sample Type 1'!NK13),IF(B141="ERROR",'Data - Sample Type 1'!NK13,IF(B141="NO RESULT",'Data - Sample Type 1'!NK13,IF(B141="V","MINOR VISUAL",IF(B141="M","MAJOR VISUAL",IF(B141="B","BARCODE FAIL",IF(B141="D","DELAMINATION",IF(COUNTIF(B141,$D$128)+(COUNTIF(B141,$F$128))&lt;&gt;1,"MAJOR FUNCTIONAL",IF(COUNTIF(B141,$F$128)=1,"MINOR FUNCTIONAL",IF(COUNTIF(B141,$F$128)=1,"MINOR FUNCTIONAL",IF('Data - Sample Type 1'!Q13="","DATA ENTRY ERROR",IF('Data - Sample Type 1'!Q13=0,"SPC CT=0","PASS")))))))))))))</f>
        <v>PASS</v>
      </c>
      <c r="D141" s="77" t="str">
        <f>IF(C141="","",IF('Data - Sample Type 1'!NI13="","N/A",IF('Data - Sample Type 1'!NI13&lt;Specifications!$D$3,"PASS","FAIL")))</f>
        <v>PASS</v>
      </c>
      <c r="E141" s="174"/>
    </row>
    <row r="142" spans="1:5" x14ac:dyDescent="0.2">
      <c r="A142" s="73" t="str">
        <f>IF('Data - Sample Type 1'!C14="","",'Data - Sample Type 1'!C14)</f>
        <v>D15JAN26A_02_1_15X</v>
      </c>
      <c r="B142" s="74" t="str">
        <f>IF('Data - Sample Type 1'!L14="","",'Data - Sample Type 1'!L14)</f>
        <v>MTB DETECTED;INH Resistance NOT DETECTED;FLQ Resistance NOT DETECTED;AMK Resistance NOT DETECTED;KAN Resistance NOT DETECTED;CAP Resistance NOT DETECTED;ETH Resistance NOT DETECTED</v>
      </c>
      <c r="C142" s="75" t="str">
        <f>IF(B142="","",IF(B142="INVALID",IF('Data - Sample Type 1'!NK14="","INVALID",'Data - Sample Type 1'!NK14),IF(B142="ERROR",'Data - Sample Type 1'!NK14,IF(B142="NO RESULT",'Data - Sample Type 1'!NK14,IF(B142="V","MINOR VISUAL",IF(B142="M","MAJOR VISUAL",IF(B142="B","BARCODE FAIL",IF(B142="D","DELAMINATION",IF(COUNTIF(B142,$D$128)+(COUNTIF(B142,$F$128))&lt;&gt;1,"MAJOR FUNCTIONAL",IF(COUNTIF(B142,$F$128)=1,"MINOR FUNCTIONAL",IF(COUNTIF(B142,$F$128)=1,"MINOR FUNCTIONAL",IF('Data - Sample Type 1'!Q14="","DATA ENTRY ERROR",IF('Data - Sample Type 1'!Q14=0,"SPC CT=0","PASS")))))))))))))</f>
        <v>PASS</v>
      </c>
      <c r="D142" s="77" t="str">
        <f>IF(C142="","",IF('Data - Sample Type 1'!NI14="","N/A",IF('Data - Sample Type 1'!NI14&lt;Specifications!$D$3,"PASS","FAIL")))</f>
        <v>PASS</v>
      </c>
      <c r="E142" s="174"/>
    </row>
    <row r="143" spans="1:5" x14ac:dyDescent="0.2">
      <c r="A143" s="73" t="str">
        <f>IF('Data - Sample Type 1'!C15="","",'Data - Sample Type 1'!C15)</f>
        <v>D15JAN26A_02_1_16X</v>
      </c>
      <c r="B143" s="74" t="str">
        <f>IF('Data - Sample Type 1'!L15="","",'Data - Sample Type 1'!L15)</f>
        <v>MTB DETECTED;INH Resistance NOT DETECTED;FLQ Resistance NOT DETECTED;AMK Resistance NOT DETECTED;KAN Resistance NOT DETECTED;CAP Resistance NOT DETECTED;ETH Resistance NOT DETECTED</v>
      </c>
      <c r="C143" s="75" t="str">
        <f>IF(B143="","",IF(B143="INVALID",IF('Data - Sample Type 1'!NK15="","INVALID",'Data - Sample Type 1'!NK15),IF(B143="ERROR",'Data - Sample Type 1'!NK15,IF(B143="NO RESULT",'Data - Sample Type 1'!NK15,IF(B143="V","MINOR VISUAL",IF(B143="M","MAJOR VISUAL",IF(B143="B","BARCODE FAIL",IF(B143="D","DELAMINATION",IF(COUNTIF(B143,$D$128)+(COUNTIF(B143,$F$128))&lt;&gt;1,"MAJOR FUNCTIONAL",IF(COUNTIF(B143,$F$128)=1,"MINOR FUNCTIONAL",IF(COUNTIF(B143,$F$128)=1,"MINOR FUNCTIONAL",IF('Data - Sample Type 1'!Q15="","DATA ENTRY ERROR",IF('Data - Sample Type 1'!Q15=0,"SPC CT=0","PASS")))))))))))))</f>
        <v>PASS</v>
      </c>
      <c r="D143" s="77" t="str">
        <f>IF(C143="","",IF('Data - Sample Type 1'!NI15="","N/A",IF('Data - Sample Type 1'!NI15&lt;Specifications!$D$3,"PASS","FAIL")))</f>
        <v>PASS</v>
      </c>
      <c r="E143" s="174"/>
    </row>
    <row r="144" spans="1:5" x14ac:dyDescent="0.2">
      <c r="A144" s="73" t="str">
        <f>IF('Data - Sample Type 1'!C16="","",'Data - Sample Type 1'!C16)</f>
        <v>D15JAN26A_02_1_17+</v>
      </c>
      <c r="B144" s="74" t="str">
        <f>IF('Data - Sample Type 1'!L16="","",'Data - Sample Type 1'!L16)</f>
        <v>MTB DETECTED;INH Resistance NOT DETECTED;FLQ Resistance NOT DETECTED;AMK Resistance NOT DETECTED;KAN Resistance NOT DETECTED;CAP Resistance NOT DETECTED;ETH Resistance NOT DETECTED</v>
      </c>
      <c r="C144" s="75" t="str">
        <f>IF(B144="","",IF(B144="INVALID",IF('Data - Sample Type 1'!NK16="","INVALID",'Data - Sample Type 1'!NK16),IF(B144="ERROR",'Data - Sample Type 1'!NK16,IF(B144="NO RESULT",'Data - Sample Type 1'!NK16,IF(B144="V","MINOR VISUAL",IF(B144="M","MAJOR VISUAL",IF(B144="B","BARCODE FAIL",IF(B144="D","DELAMINATION",IF(COUNTIF(B144,$D$128)+(COUNTIF(B144,$F$128))&lt;&gt;1,"MAJOR FUNCTIONAL",IF(COUNTIF(B144,$F$128)=1,"MINOR FUNCTIONAL",IF(COUNTIF(B144,$F$128)=1,"MINOR FUNCTIONAL",IF('Data - Sample Type 1'!Q16="","DATA ENTRY ERROR",IF('Data - Sample Type 1'!Q16=0,"SPC CT=0","PASS")))))))))))))</f>
        <v>PASS</v>
      </c>
      <c r="D144" s="77" t="str">
        <f>IF(C144="","",IF('Data - Sample Type 1'!NI16="","N/A",IF('Data - Sample Type 1'!NI16&lt;Specifications!$D$3,"PASS","FAIL")))</f>
        <v>PASS</v>
      </c>
      <c r="E144" s="174"/>
    </row>
    <row r="145" spans="1:5" x14ac:dyDescent="0.2">
      <c r="A145" s="73" t="str">
        <f>IF('Data - Sample Type 1'!C17="","",'Data - Sample Type 1'!C17)</f>
        <v>D15JAN26A_02_1_18+</v>
      </c>
      <c r="B145" s="74" t="str">
        <f>IF('Data - Sample Type 1'!L17="","",'Data - Sample Type 1'!L17)</f>
        <v>MTB DETECTED;INH Resistance NOT DETECTED;FLQ Resistance NOT DETECTED;AMK Resistance NOT DETECTED;KAN Resistance NOT DETECTED;CAP Resistance NOT DETECTED;ETH Resistance NOT DETECTED</v>
      </c>
      <c r="C145" s="75" t="str">
        <f>IF(B145="","",IF(B145="INVALID",IF('Data - Sample Type 1'!NK17="","INVALID",'Data - Sample Type 1'!NK17),IF(B145="ERROR",'Data - Sample Type 1'!NK17,IF(B145="NO RESULT",'Data - Sample Type 1'!NK17,IF(B145="V","MINOR VISUAL",IF(B145="M","MAJOR VISUAL",IF(B145="B","BARCODE FAIL",IF(B145="D","DELAMINATION",IF(COUNTIF(B145,$D$128)+(COUNTIF(B145,$F$128))&lt;&gt;1,"MAJOR FUNCTIONAL",IF(COUNTIF(B145,$F$128)=1,"MINOR FUNCTIONAL",IF(COUNTIF(B145,$F$128)=1,"MINOR FUNCTIONAL",IF('Data - Sample Type 1'!Q17="","DATA ENTRY ERROR",IF('Data - Sample Type 1'!Q17=0,"SPC CT=0","PASS")))))))))))))</f>
        <v>PASS</v>
      </c>
      <c r="D145" s="77" t="str">
        <f>IF(C145="","",IF('Data - Sample Type 1'!NI17="","N/A",IF('Data - Sample Type 1'!NI17&lt;Specifications!$D$3,"PASS","FAIL")))</f>
        <v>PASS</v>
      </c>
      <c r="E145" s="174"/>
    </row>
    <row r="146" spans="1:5" x14ac:dyDescent="0.2">
      <c r="A146" s="73" t="str">
        <f>IF('Data - Sample Type 1'!C18="","",'Data - Sample Type 1'!C18)</f>
        <v>D15JAN26A_03_1_11X</v>
      </c>
      <c r="B146" s="74" t="str">
        <f>IF('Data - Sample Type 1'!L18="","",'Data - Sample Type 1'!L18)</f>
        <v>MTB DETECTED;INH Resistance NOT DETECTED;FLQ Resistance NOT DETECTED;AMK Resistance NOT DETECTED;KAN Resistance NOT DETECTED;CAP Resistance NOT DETECTED;ETH Resistance NOT DETECTED</v>
      </c>
      <c r="C146" s="75" t="str">
        <f>IF(B146="","",IF(B146="INVALID",IF('Data - Sample Type 1'!NK18="","INVALID",'Data - Sample Type 1'!NK18),IF(B146="ERROR",'Data - Sample Type 1'!NK18,IF(B146="NO RESULT",'Data - Sample Type 1'!NK18,IF(B146="V","MINOR VISUAL",IF(B146="M","MAJOR VISUAL",IF(B146="B","BARCODE FAIL",IF(B146="D","DELAMINATION",IF(COUNTIF(B146,$D$128)+(COUNTIF(B146,$F$128))&lt;&gt;1,"MAJOR FUNCTIONAL",IF(COUNTIF(B146,$F$128)=1,"MINOR FUNCTIONAL",IF(COUNTIF(B146,$F$128)=1,"MINOR FUNCTIONAL",IF('Data - Sample Type 1'!Q18="","DATA ENTRY ERROR",IF('Data - Sample Type 1'!Q18=0,"SPC CT=0","PASS")))))))))))))</f>
        <v>PASS</v>
      </c>
      <c r="D146" s="77" t="str">
        <f>IF(C146="","",IF('Data - Sample Type 1'!NI18="","N/A",IF('Data - Sample Type 1'!NI18&lt;Specifications!$D$3,"PASS","FAIL")))</f>
        <v>PASS</v>
      </c>
      <c r="E146" s="174"/>
    </row>
    <row r="147" spans="1:5" x14ac:dyDescent="0.2">
      <c r="A147" s="73" t="str">
        <f>IF('Data - Sample Type 1'!C19="","",'Data - Sample Type 1'!C19)</f>
        <v>D15JAN26A_03_1_12X</v>
      </c>
      <c r="B147" s="74" t="str">
        <f>IF('Data - Sample Type 1'!L19="","",'Data - Sample Type 1'!L19)</f>
        <v>MTB DETECTED;INH Resistance NOT DETECTED;FLQ Resistance NOT DETECTED;AMK Resistance NOT DETECTED;KAN Resistance NOT DETECTED;CAP Resistance NOT DETECTED;ETH Resistance NOT DETECTED</v>
      </c>
      <c r="C147" s="75" t="str">
        <f>IF(B147="","",IF(B147="INVALID",IF('Data - Sample Type 1'!NK19="","INVALID",'Data - Sample Type 1'!NK19),IF(B147="ERROR",'Data - Sample Type 1'!NK19,IF(B147="NO RESULT",'Data - Sample Type 1'!NK19,IF(B147="V","MINOR VISUAL",IF(B147="M","MAJOR VISUAL",IF(B147="B","BARCODE FAIL",IF(B147="D","DELAMINATION",IF(COUNTIF(B147,$D$128)+(COUNTIF(B147,$F$128))&lt;&gt;1,"MAJOR FUNCTIONAL",IF(COUNTIF(B147,$F$128)=1,"MINOR FUNCTIONAL",IF(COUNTIF(B147,$F$128)=1,"MINOR FUNCTIONAL",IF('Data - Sample Type 1'!Q19="","DATA ENTRY ERROR",IF('Data - Sample Type 1'!Q19=0,"SPC CT=0","PASS")))))))))))))</f>
        <v>PASS</v>
      </c>
      <c r="D147" s="77" t="str">
        <f>IF(C147="","",IF('Data - Sample Type 1'!NI19="","N/A",IF('Data - Sample Type 1'!NI19&lt;Specifications!$D$3,"PASS","FAIL")))</f>
        <v>PASS</v>
      </c>
      <c r="E147" s="174"/>
    </row>
    <row r="148" spans="1:5" x14ac:dyDescent="0.2">
      <c r="A148" s="73" t="str">
        <f>IF('Data - Sample Type 1'!C20="","",'Data - Sample Type 1'!C20)</f>
        <v>D15JAN26A_03_1_13X</v>
      </c>
      <c r="B148" s="74" t="str">
        <f>IF('Data - Sample Type 1'!L20="","",'Data - Sample Type 1'!L20)</f>
        <v>MTB DETECTED;INH Resistance NOT DETECTED;FLQ Resistance NOT DETECTED;AMK Resistance NOT DETECTED;KAN Resistance NOT DETECTED;CAP Resistance NOT DETECTED;ETH Resistance NOT DETECTED</v>
      </c>
      <c r="C148" s="75" t="str">
        <f>IF(B148="","",IF(B148="INVALID",IF('Data - Sample Type 1'!NK20="","INVALID",'Data - Sample Type 1'!NK20),IF(B148="ERROR",'Data - Sample Type 1'!NK20,IF(B148="NO RESULT",'Data - Sample Type 1'!NK20,IF(B148="V","MINOR VISUAL",IF(B148="M","MAJOR VISUAL",IF(B148="B","BARCODE FAIL",IF(B148="D","DELAMINATION",IF(COUNTIF(B148,$D$128)+(COUNTIF(B148,$F$128))&lt;&gt;1,"MAJOR FUNCTIONAL",IF(COUNTIF(B148,$F$128)=1,"MINOR FUNCTIONAL",IF(COUNTIF(B148,$F$128)=1,"MINOR FUNCTIONAL",IF('Data - Sample Type 1'!Q20="","DATA ENTRY ERROR",IF('Data - Sample Type 1'!Q20=0,"SPC CT=0","PASS")))))))))))))</f>
        <v>PASS</v>
      </c>
      <c r="D148" s="77" t="str">
        <f>IF(C148="","",IF('Data - Sample Type 1'!NI20="","N/A",IF('Data - Sample Type 1'!NI20&lt;Specifications!$D$3,"PASS","FAIL")))</f>
        <v>PASS</v>
      </c>
      <c r="E148" s="174"/>
    </row>
    <row r="149" spans="1:5" x14ac:dyDescent="0.2">
      <c r="A149" s="73" t="str">
        <f>IF('Data - Sample Type 1'!C21="","",'Data - Sample Type 1'!C21)</f>
        <v>D15JAN26A_03_1_14X</v>
      </c>
      <c r="B149" s="74" t="str">
        <f>IF('Data - Sample Type 1'!L21="","",'Data - Sample Type 1'!L21)</f>
        <v>MTB DETECTED;INH Resistance NOT DETECTED;FLQ Resistance NOT DETECTED;AMK Resistance NOT DETECTED;KAN Resistance NOT DETECTED;CAP Resistance NOT DETECTED;ETH Resistance NOT DETECTED</v>
      </c>
      <c r="C149" s="75" t="str">
        <f>IF(B149="","",IF(B149="INVALID",IF('Data - Sample Type 1'!NK21="","INVALID",'Data - Sample Type 1'!NK21),IF(B149="ERROR",'Data - Sample Type 1'!NK21,IF(B149="NO RESULT",'Data - Sample Type 1'!NK21,IF(B149="V","MINOR VISUAL",IF(B149="M","MAJOR VISUAL",IF(B149="B","BARCODE FAIL",IF(B149="D","DELAMINATION",IF(COUNTIF(B149,$D$128)+(COUNTIF(B149,$F$128))&lt;&gt;1,"MAJOR FUNCTIONAL",IF(COUNTIF(B149,$F$128)=1,"MINOR FUNCTIONAL",IF(COUNTIF(B149,$F$128)=1,"MINOR FUNCTIONAL",IF('Data - Sample Type 1'!Q21="","DATA ENTRY ERROR",IF('Data - Sample Type 1'!Q21=0,"SPC CT=0","PASS")))))))))))))</f>
        <v>PASS</v>
      </c>
      <c r="D149" s="77" t="str">
        <f>IF(C149="","",IF('Data - Sample Type 1'!NI21="","N/A",IF('Data - Sample Type 1'!NI21&lt;Specifications!$D$3,"PASS","FAIL")))</f>
        <v>PASS</v>
      </c>
      <c r="E149" s="174"/>
    </row>
    <row r="150" spans="1:5" x14ac:dyDescent="0.2">
      <c r="A150" s="73" t="str">
        <f>IF('Data - Sample Type 1'!C22="","",'Data - Sample Type 1'!C22)</f>
        <v>D15JAN26A_03_1_15+</v>
      </c>
      <c r="B150" s="74" t="str">
        <f>IF('Data - Sample Type 1'!L22="","",'Data - Sample Type 1'!L22)</f>
        <v>MTB DETECTED;INH Resistance NOT DETECTED;FLQ Resistance NOT DETECTED;AMK Resistance NOT DETECTED;KAN Resistance NOT DETECTED;CAP Resistance NOT DETECTED;ETH Resistance NOT DETECTED</v>
      </c>
      <c r="C150" s="75" t="str">
        <f>IF(B150="","",IF(B150="INVALID",IF('Data - Sample Type 1'!NK22="","INVALID",'Data - Sample Type 1'!NK22),IF(B150="ERROR",'Data - Sample Type 1'!NK22,IF(B150="NO RESULT",'Data - Sample Type 1'!NK22,IF(B150="V","MINOR VISUAL",IF(B150="M","MAJOR VISUAL",IF(B150="B","BARCODE FAIL",IF(B150="D","DELAMINATION",IF(COUNTIF(B150,$D$128)+(COUNTIF(B150,$F$128))&lt;&gt;1,"MAJOR FUNCTIONAL",IF(COUNTIF(B150,$F$128)=1,"MINOR FUNCTIONAL",IF(COUNTIF(B150,$F$128)=1,"MINOR FUNCTIONAL",IF('Data - Sample Type 1'!Q22="","DATA ENTRY ERROR",IF('Data - Sample Type 1'!Q22=0,"SPC CT=0","PASS")))))))))))))</f>
        <v>PASS</v>
      </c>
      <c r="D150" s="77" t="str">
        <f>IF(C150="","",IF('Data - Sample Type 1'!NI22="","N/A",IF('Data - Sample Type 1'!NI22&lt;Specifications!$D$3,"PASS","FAIL")))</f>
        <v>PASS</v>
      </c>
      <c r="E150" s="174"/>
    </row>
    <row r="151" spans="1:5" x14ac:dyDescent="0.2">
      <c r="A151" s="73" t="str">
        <f>IF('Data - Sample Type 1'!C23="","",'Data - Sample Type 1'!C23)</f>
        <v>D15JAN26A_03_1_16+</v>
      </c>
      <c r="B151" s="74" t="str">
        <f>IF('Data - Sample Type 1'!L23="","",'Data - Sample Type 1'!L23)</f>
        <v>MTB DETECTED;INH Resistance NOT DETECTED;FLQ Resistance NOT DETECTED;AMK Resistance NOT DETECTED;KAN Resistance NOT DETECTED;CAP Resistance NOT DETECTED;ETH Resistance NOT DETECTED</v>
      </c>
      <c r="C151" s="75" t="str">
        <f>IF(B151="","",IF(B151="INVALID",IF('Data - Sample Type 1'!NK23="","INVALID",'Data - Sample Type 1'!NK23),IF(B151="ERROR",'Data - Sample Type 1'!NK23,IF(B151="NO RESULT",'Data - Sample Type 1'!NK23,IF(B151="V","MINOR VISUAL",IF(B151="M","MAJOR VISUAL",IF(B151="B","BARCODE FAIL",IF(B151="D","DELAMINATION",IF(COUNTIF(B151,$D$128)+(COUNTIF(B151,$F$128))&lt;&gt;1,"MAJOR FUNCTIONAL",IF(COUNTIF(B151,$F$128)=1,"MINOR FUNCTIONAL",IF(COUNTIF(B151,$F$128)=1,"MINOR FUNCTIONAL",IF('Data - Sample Type 1'!Q23="","DATA ENTRY ERROR",IF('Data - Sample Type 1'!Q23=0,"SPC CT=0","PASS")))))))))))))</f>
        <v>PASS</v>
      </c>
      <c r="D151" s="77" t="str">
        <f>IF(C151="","",IF('Data - Sample Type 1'!NI23="","N/A",IF('Data - Sample Type 1'!NI23&lt;Specifications!$D$3,"PASS","FAIL")))</f>
        <v>PASS</v>
      </c>
      <c r="E151" s="174"/>
    </row>
    <row r="152" spans="1:5" x14ac:dyDescent="0.2">
      <c r="A152" s="73" t="str">
        <f>IF('Data - Sample Type 1'!C24="","",'Data - Sample Type 1'!C24)</f>
        <v>D15JAN26A_03_1_17+</v>
      </c>
      <c r="B152" s="74" t="str">
        <f>IF('Data - Sample Type 1'!L24="","",'Data - Sample Type 1'!L24)</f>
        <v>MTB DETECTED;INH Resistance NOT DETECTED;FLQ Resistance NOT DETECTED;AMK Resistance NOT DETECTED;KAN Resistance NOT DETECTED;CAP Resistance NOT DETECTED;ETH Resistance NOT DETECTED</v>
      </c>
      <c r="C152" s="75" t="str">
        <f>IF(B152="","",IF(B152="INVALID",IF('Data - Sample Type 1'!NK24="","INVALID",'Data - Sample Type 1'!NK24),IF(B152="ERROR",'Data - Sample Type 1'!NK24,IF(B152="NO RESULT",'Data - Sample Type 1'!NK24,IF(B152="V","MINOR VISUAL",IF(B152="M","MAJOR VISUAL",IF(B152="B","BARCODE FAIL",IF(B152="D","DELAMINATION",IF(COUNTIF(B152,$D$128)+(COUNTIF(B152,$F$128))&lt;&gt;1,"MAJOR FUNCTIONAL",IF(COUNTIF(B152,$F$128)=1,"MINOR FUNCTIONAL",IF(COUNTIF(B152,$F$128)=1,"MINOR FUNCTIONAL",IF('Data - Sample Type 1'!Q24="","DATA ENTRY ERROR",IF('Data - Sample Type 1'!Q24=0,"SPC CT=0","PASS")))))))))))))</f>
        <v>PASS</v>
      </c>
      <c r="D152" s="77" t="str">
        <f>IF(C152="","",IF('Data - Sample Type 1'!NI24="","N/A",IF('Data - Sample Type 1'!NI24&lt;Specifications!$D$3,"PASS","FAIL")))</f>
        <v>PASS</v>
      </c>
      <c r="E152" s="174"/>
    </row>
    <row r="153" spans="1:5" x14ac:dyDescent="0.2">
      <c r="A153" s="73" t="str">
        <f>IF('Data - Sample Type 1'!C25="","",'Data - Sample Type 1'!C25)</f>
        <v>D15JAN26A_03_1_18+</v>
      </c>
      <c r="B153" s="74" t="str">
        <f>IF('Data - Sample Type 1'!L25="","",'Data - Sample Type 1'!L25)</f>
        <v>MTB DETECTED;INH Resistance NOT DETECTED;FLQ Resistance NOT DETECTED;AMK Resistance NOT DETECTED;KAN Resistance NOT DETECTED;CAP Resistance NOT DETECTED;ETH Resistance NOT DETECTED</v>
      </c>
      <c r="C153" s="75" t="str">
        <f>IF(B153="","",IF(B153="INVALID",IF('Data - Sample Type 1'!NK25="","INVALID",'Data - Sample Type 1'!NK25),IF(B153="ERROR",'Data - Sample Type 1'!NK25,IF(B153="NO RESULT",'Data - Sample Type 1'!NK25,IF(B153="V","MINOR VISUAL",IF(B153="M","MAJOR VISUAL",IF(B153="B","BARCODE FAIL",IF(B153="D","DELAMINATION",IF(COUNTIF(B153,$D$128)+(COUNTIF(B153,$F$128))&lt;&gt;1,"MAJOR FUNCTIONAL",IF(COUNTIF(B153,$F$128)=1,"MINOR FUNCTIONAL",IF(COUNTIF(B153,$F$128)=1,"MINOR FUNCTIONAL",IF('Data - Sample Type 1'!Q25="","DATA ENTRY ERROR",IF('Data - Sample Type 1'!Q25=0,"SPC CT=0","PASS")))))))))))))</f>
        <v>PASS</v>
      </c>
      <c r="D153" s="77" t="str">
        <f>IF(C153="","",IF('Data - Sample Type 1'!NI25="","N/A",IF('Data - Sample Type 1'!NI25&lt;Specifications!$D$3,"PASS","FAIL")))</f>
        <v>PASS</v>
      </c>
      <c r="E153" s="174"/>
    </row>
    <row r="154" spans="1:5" x14ac:dyDescent="0.2">
      <c r="A154" s="73" t="str">
        <f>IF('Data - Sample Type 1'!C26="","",'Data - Sample Type 1'!C26)</f>
        <v>D15JAN26A_04_1_11X</v>
      </c>
      <c r="B154" s="74" t="str">
        <f>IF('Data - Sample Type 1'!L26="","",'Data - Sample Type 1'!L26)</f>
        <v>MTB DETECTED;INH Resistance NOT DETECTED;FLQ Resistance NOT DETECTED;AMK Resistance NOT DETECTED;KAN Resistance NOT DETECTED;CAP Resistance NOT DETECTED;ETH Resistance NOT DETECTED</v>
      </c>
      <c r="C154" s="75" t="str">
        <f>IF(B154="","",IF(B154="INVALID",IF('Data - Sample Type 1'!NK26="","INVALID",'Data - Sample Type 1'!NK26),IF(B154="ERROR",'Data - Sample Type 1'!NK26,IF(B154="NO RESULT",'Data - Sample Type 1'!NK26,IF(B154="V","MINOR VISUAL",IF(B154="M","MAJOR VISUAL",IF(B154="B","BARCODE FAIL",IF(B154="D","DELAMINATION",IF(COUNTIF(B154,$D$128)+(COUNTIF(B154,$F$128))&lt;&gt;1,"MAJOR FUNCTIONAL",IF(COUNTIF(B154,$F$128)=1,"MINOR FUNCTIONAL",IF(COUNTIF(B154,$F$128)=1,"MINOR FUNCTIONAL",IF('Data - Sample Type 1'!Q26="","DATA ENTRY ERROR",IF('Data - Sample Type 1'!Q26=0,"SPC CT=0","PASS")))))))))))))</f>
        <v>PASS</v>
      </c>
      <c r="D154" s="77" t="str">
        <f>IF(C154="","",IF('Data - Sample Type 1'!NI26="","N/A",IF('Data - Sample Type 1'!NI26&lt;Specifications!$D$3,"PASS","FAIL")))</f>
        <v>PASS</v>
      </c>
      <c r="E154" s="174"/>
    </row>
    <row r="155" spans="1:5" x14ac:dyDescent="0.2">
      <c r="A155" s="73" t="str">
        <f>IF('Data - Sample Type 1'!C27="","",'Data - Sample Type 1'!C27)</f>
        <v>D15JAN26A_04_1_12X</v>
      </c>
      <c r="B155" s="74" t="str">
        <f>IF('Data - Sample Type 1'!L27="","",'Data - Sample Type 1'!L27)</f>
        <v>MTB DETECTED;INH Resistance NOT DETECTED;FLQ Resistance NOT DETECTED;AMK Resistance NOT DETECTED;KAN Resistance NOT DETECTED;CAP Resistance NOT DETECTED;ETH Resistance NOT DETECTED</v>
      </c>
      <c r="C155" s="75" t="str">
        <f>IF(B155="","",IF(B155="INVALID",IF('Data - Sample Type 1'!NK27="","INVALID",'Data - Sample Type 1'!NK27),IF(B155="ERROR",'Data - Sample Type 1'!NK27,IF(B155="NO RESULT",'Data - Sample Type 1'!NK27,IF(B155="V","MINOR VISUAL",IF(B155="M","MAJOR VISUAL",IF(B155="B","BARCODE FAIL",IF(B155="D","DELAMINATION",IF(COUNTIF(B155,$D$128)+(COUNTIF(B155,$F$128))&lt;&gt;1,"MAJOR FUNCTIONAL",IF(COUNTIF(B155,$F$128)=1,"MINOR FUNCTIONAL",IF(COUNTIF(B155,$F$128)=1,"MINOR FUNCTIONAL",IF('Data - Sample Type 1'!Q27="","DATA ENTRY ERROR",IF('Data - Sample Type 1'!Q27=0,"SPC CT=0","PASS")))))))))))))</f>
        <v>PASS</v>
      </c>
      <c r="D155" s="77" t="str">
        <f>IF(C155="","",IF('Data - Sample Type 1'!NI27="","N/A",IF('Data - Sample Type 1'!NI27&lt;Specifications!$D$3,"PASS","FAIL")))</f>
        <v>PASS</v>
      </c>
      <c r="E155" s="174"/>
    </row>
    <row r="156" spans="1:5" x14ac:dyDescent="0.2">
      <c r="A156" s="73" t="str">
        <f>IF('Data - Sample Type 1'!C28="","",'Data - Sample Type 1'!C28)</f>
        <v>D15JAN26A_04_1_13X</v>
      </c>
      <c r="B156" s="74" t="str">
        <f>IF('Data - Sample Type 1'!L28="","",'Data - Sample Type 1'!L28)</f>
        <v>MTB DETECTED;INH Resistance NOT DETECTED;FLQ Resistance NOT DETECTED;AMK Resistance NOT DETECTED;KAN Resistance NOT DETECTED;CAP Resistance NOT DETECTED;ETH Resistance NOT DETECTED</v>
      </c>
      <c r="C156" s="75" t="str">
        <f>IF(B156="","",IF(B156="INVALID",IF('Data - Sample Type 1'!NK28="","INVALID",'Data - Sample Type 1'!NK28),IF(B156="ERROR",'Data - Sample Type 1'!NK28,IF(B156="NO RESULT",'Data - Sample Type 1'!NK28,IF(B156="V","MINOR VISUAL",IF(B156="M","MAJOR VISUAL",IF(B156="B","BARCODE FAIL",IF(B156="D","DELAMINATION",IF(COUNTIF(B156,$D$128)+(COUNTIF(B156,$F$128))&lt;&gt;1,"MAJOR FUNCTIONAL",IF(COUNTIF(B156,$F$128)=1,"MINOR FUNCTIONAL",IF(COUNTIF(B156,$F$128)=1,"MINOR FUNCTIONAL",IF('Data - Sample Type 1'!Q28="","DATA ENTRY ERROR",IF('Data - Sample Type 1'!Q28=0,"SPC CT=0","PASS")))))))))))))</f>
        <v>PASS</v>
      </c>
      <c r="D156" s="77" t="str">
        <f>IF(C156="","",IF('Data - Sample Type 1'!NI28="","N/A",IF('Data - Sample Type 1'!NI28&lt;Specifications!$D$3,"PASS","FAIL")))</f>
        <v>PASS</v>
      </c>
      <c r="E156" s="174"/>
    </row>
    <row r="157" spans="1:5" x14ac:dyDescent="0.2">
      <c r="A157" s="73" t="str">
        <f>IF('Data - Sample Type 1'!C29="","",'Data - Sample Type 1'!C29)</f>
        <v>D15JAN26A_04_1_14X</v>
      </c>
      <c r="B157" s="74" t="str">
        <f>IF('Data - Sample Type 1'!L29="","",'Data - Sample Type 1'!L29)</f>
        <v>MTB DETECTED;INH Resistance NOT DETECTED;FLQ Resistance NOT DETECTED;AMK Resistance NOT DETECTED;KAN Resistance NOT DETECTED;CAP Resistance NOT DETECTED;ETH Resistance NOT DETECTED</v>
      </c>
      <c r="C157" s="75" t="str">
        <f>IF(B157="","",IF(B157="INVALID",IF('Data - Sample Type 1'!NK29="","INVALID",'Data - Sample Type 1'!NK29),IF(B157="ERROR",'Data - Sample Type 1'!NK29,IF(B157="NO RESULT",'Data - Sample Type 1'!NK29,IF(B157="V","MINOR VISUAL",IF(B157="M","MAJOR VISUAL",IF(B157="B","BARCODE FAIL",IF(B157="D","DELAMINATION",IF(COUNTIF(B157,$D$128)+(COUNTIF(B157,$F$128))&lt;&gt;1,"MAJOR FUNCTIONAL",IF(COUNTIF(B157,$F$128)=1,"MINOR FUNCTIONAL",IF(COUNTIF(B157,$F$128)=1,"MINOR FUNCTIONAL",IF('Data - Sample Type 1'!Q29="","DATA ENTRY ERROR",IF('Data - Sample Type 1'!Q29=0,"SPC CT=0","PASS")))))))))))))</f>
        <v>PASS</v>
      </c>
      <c r="D157" s="77" t="str">
        <f>IF(C157="","",IF('Data - Sample Type 1'!NI29="","N/A",IF('Data - Sample Type 1'!NI29&lt;Specifications!$D$3,"PASS","FAIL")))</f>
        <v>PASS</v>
      </c>
      <c r="E157" s="174"/>
    </row>
    <row r="158" spans="1:5" x14ac:dyDescent="0.2">
      <c r="A158" s="73" t="str">
        <f>IF('Data - Sample Type 1'!C30="","",'Data - Sample Type 1'!C30)</f>
        <v>D15JAN26A_04_1_15+</v>
      </c>
      <c r="B158" s="74" t="str">
        <f>IF('Data - Sample Type 1'!L30="","",'Data - Sample Type 1'!L30)</f>
        <v>MTB DETECTED;INH Resistance NOT DETECTED;FLQ Resistance NOT DETECTED;AMK Resistance NOT DETECTED;KAN Resistance NOT DETECTED;CAP Resistance NOT DETECTED;ETH Resistance NOT DETECTED</v>
      </c>
      <c r="C158" s="75" t="str">
        <f>IF(B158="","",IF(B158="INVALID",IF('Data - Sample Type 1'!NK30="","INVALID",'Data - Sample Type 1'!NK30),IF(B158="ERROR",'Data - Sample Type 1'!NK30,IF(B158="NO RESULT",'Data - Sample Type 1'!NK30,IF(B158="V","MINOR VISUAL",IF(B158="M","MAJOR VISUAL",IF(B158="B","BARCODE FAIL",IF(B158="D","DELAMINATION",IF(COUNTIF(B158,$D$128)+(COUNTIF(B158,$F$128))&lt;&gt;1,"MAJOR FUNCTIONAL",IF(COUNTIF(B158,$F$128)=1,"MINOR FUNCTIONAL",IF(COUNTIF(B158,$F$128)=1,"MINOR FUNCTIONAL",IF('Data - Sample Type 1'!Q30="","DATA ENTRY ERROR",IF('Data - Sample Type 1'!Q30=0,"SPC CT=0","PASS")))))))))))))</f>
        <v>PASS</v>
      </c>
      <c r="D158" s="77" t="str">
        <f>IF(C158="","",IF('Data - Sample Type 1'!NI30="","N/A",IF('Data - Sample Type 1'!NI30&lt;Specifications!$D$3,"PASS","FAIL")))</f>
        <v>PASS</v>
      </c>
      <c r="E158" s="174"/>
    </row>
    <row r="159" spans="1:5" x14ac:dyDescent="0.2">
      <c r="A159" s="73" t="str">
        <f>IF('Data - Sample Type 1'!C31="","",'Data - Sample Type 1'!C31)</f>
        <v>D15JAN26A_04_1_16+</v>
      </c>
      <c r="B159" s="74" t="str">
        <f>IF('Data - Sample Type 1'!L31="","",'Data - Sample Type 1'!L31)</f>
        <v>MTB DETECTED;INH Resistance NOT DETECTED;FLQ Resistance NOT DETECTED;AMK Resistance NOT DETECTED;KAN Resistance NOT DETECTED;CAP Resistance NOT DETECTED;ETH Resistance NOT DETECTED</v>
      </c>
      <c r="C159" s="75" t="str">
        <f>IF(B159="","",IF(B159="INVALID",IF('Data - Sample Type 1'!NK31="","INVALID",'Data - Sample Type 1'!NK31),IF(B159="ERROR",'Data - Sample Type 1'!NK31,IF(B159="NO RESULT",'Data - Sample Type 1'!NK31,IF(B159="V","MINOR VISUAL",IF(B159="M","MAJOR VISUAL",IF(B159="B","BARCODE FAIL",IF(B159="D","DELAMINATION",IF(COUNTIF(B159,$D$128)+(COUNTIF(B159,$F$128))&lt;&gt;1,"MAJOR FUNCTIONAL",IF(COUNTIF(B159,$F$128)=1,"MINOR FUNCTIONAL",IF(COUNTIF(B159,$F$128)=1,"MINOR FUNCTIONAL",IF('Data - Sample Type 1'!Q31="","DATA ENTRY ERROR",IF('Data - Sample Type 1'!Q31=0,"SPC CT=0","PASS")))))))))))))</f>
        <v>PASS</v>
      </c>
      <c r="D159" s="77" t="str">
        <f>IF(C159="","",IF('Data - Sample Type 1'!NI31="","N/A",IF('Data - Sample Type 1'!NI31&lt;Specifications!$D$3,"PASS","FAIL")))</f>
        <v>PASS</v>
      </c>
      <c r="E159" s="174"/>
    </row>
    <row r="160" spans="1:5" x14ac:dyDescent="0.2">
      <c r="A160" s="73" t="str">
        <f>IF('Data - Sample Type 1'!C32="","",'Data - Sample Type 1'!C32)</f>
        <v>D15JAN26A_04_1_17+</v>
      </c>
      <c r="B160" s="74" t="str">
        <f>IF('Data - Sample Type 1'!L32="","",'Data - Sample Type 1'!L32)</f>
        <v>MTB DETECTED;INH Resistance NOT DETECTED;FLQ Resistance NOT DETECTED;AMK Resistance NOT DETECTED;KAN Resistance NOT DETECTED;CAP Resistance NOT DETECTED;ETH Resistance NOT DETECTED</v>
      </c>
      <c r="C160" s="75" t="str">
        <f>IF(B160="","",IF(B160="INVALID",IF('Data - Sample Type 1'!NK32="","INVALID",'Data - Sample Type 1'!NK32),IF(B160="ERROR",'Data - Sample Type 1'!NK32,IF(B160="NO RESULT",'Data - Sample Type 1'!NK32,IF(B160="V","MINOR VISUAL",IF(B160="M","MAJOR VISUAL",IF(B160="B","BARCODE FAIL",IF(B160="D","DELAMINATION",IF(COUNTIF(B160,$D$128)+(COUNTIF(B160,$F$128))&lt;&gt;1,"MAJOR FUNCTIONAL",IF(COUNTIF(B160,$F$128)=1,"MINOR FUNCTIONAL",IF(COUNTIF(B160,$F$128)=1,"MINOR FUNCTIONAL",IF('Data - Sample Type 1'!Q32="","DATA ENTRY ERROR",IF('Data - Sample Type 1'!Q32=0,"SPC CT=0","PASS")))))))))))))</f>
        <v>PASS</v>
      </c>
      <c r="D160" s="77" t="str">
        <f>IF(C160="","",IF('Data - Sample Type 1'!NI32="","N/A",IF('Data - Sample Type 1'!NI32&lt;Specifications!$D$3,"PASS","FAIL")))</f>
        <v>PASS</v>
      </c>
      <c r="E160" s="174"/>
    </row>
    <row r="161" spans="1:5" x14ac:dyDescent="0.2">
      <c r="A161" s="73" t="str">
        <f>IF('Data - Sample Type 1'!C33="","",'Data - Sample Type 1'!C33)</f>
        <v>D15JAN26A_04_1_18+</v>
      </c>
      <c r="B161" s="74" t="str">
        <f>IF('Data - Sample Type 1'!L33="","",'Data - Sample Type 1'!L33)</f>
        <v>MTB DETECTED;INH Resistance NOT DETECTED;FLQ Resistance NOT DETECTED;AMK Resistance NOT DETECTED;KAN Resistance NOT DETECTED;CAP Resistance NOT DETECTED;ETH Resistance NOT DETECTED</v>
      </c>
      <c r="C161" s="75" t="str">
        <f>IF(B161="","",IF(B161="INVALID",IF('Data - Sample Type 1'!NK33="","INVALID",'Data - Sample Type 1'!NK33),IF(B161="ERROR",'Data - Sample Type 1'!NK33,IF(B161="NO RESULT",'Data - Sample Type 1'!NK33,IF(B161="V","MINOR VISUAL",IF(B161="M","MAJOR VISUAL",IF(B161="B","BARCODE FAIL",IF(B161="D","DELAMINATION",IF(COUNTIF(B161,$D$128)+(COUNTIF(B161,$F$128))&lt;&gt;1,"MAJOR FUNCTIONAL",IF(COUNTIF(B161,$F$128)=1,"MINOR FUNCTIONAL",IF(COUNTIF(B161,$F$128)=1,"MINOR FUNCTIONAL",IF('Data - Sample Type 1'!Q33="","DATA ENTRY ERROR",IF('Data - Sample Type 1'!Q33=0,"SPC CT=0","PASS")))))))))))))</f>
        <v>PASS</v>
      </c>
      <c r="D161" s="77" t="str">
        <f>IF(C161="","",IF('Data - Sample Type 1'!NI33="","N/A",IF('Data - Sample Type 1'!NI33&lt;Specifications!$D$3,"PASS","FAIL")))</f>
        <v>PASS</v>
      </c>
      <c r="E161" s="174"/>
    </row>
    <row r="162" spans="1:5" x14ac:dyDescent="0.2">
      <c r="A162" s="73" t="str">
        <f>IF('Data - Sample Type 1'!C34="","",'Data - Sample Type 1'!C34)</f>
        <v>D15JAN26A_05_1_11X</v>
      </c>
      <c r="B162" s="74" t="str">
        <f>IF('Data - Sample Type 1'!L34="","",'Data - Sample Type 1'!L34)</f>
        <v>MTB DETECTED;INH Resistance NOT DETECTED;FLQ Resistance NOT DETECTED;AMK Resistance NOT DETECTED;KAN Resistance NOT DETECTED;CAP Resistance NOT DETECTED;ETH Resistance NOT DETECTED</v>
      </c>
      <c r="C162" s="75" t="str">
        <f>IF(B162="","",IF(B162="INVALID",IF('Data - Sample Type 1'!NK34="","INVALID",'Data - Sample Type 1'!NK34),IF(B162="ERROR",'Data - Sample Type 1'!NK34,IF(B162="NO RESULT",'Data - Sample Type 1'!NK34,IF(B162="V","MINOR VISUAL",IF(B162="M","MAJOR VISUAL",IF(B162="B","BARCODE FAIL",IF(B162="D","DELAMINATION",IF(COUNTIF(B162,$D$128)+(COUNTIF(B162,$F$128))&lt;&gt;1,"MAJOR FUNCTIONAL",IF(COUNTIF(B162,$F$128)=1,"MINOR FUNCTIONAL",IF(COUNTIF(B162,$F$128)=1,"MINOR FUNCTIONAL",IF('Data - Sample Type 1'!Q34="","DATA ENTRY ERROR",IF('Data - Sample Type 1'!Q34=0,"SPC CT=0","PASS")))))))))))))</f>
        <v>PASS</v>
      </c>
      <c r="D162" s="77" t="str">
        <f>IF(C162="","",IF('Data - Sample Type 1'!NI34="","N/A",IF('Data - Sample Type 1'!NI34&lt;Specifications!$D$3,"PASS","FAIL")))</f>
        <v>PASS</v>
      </c>
      <c r="E162" s="174"/>
    </row>
    <row r="163" spans="1:5" x14ac:dyDescent="0.2">
      <c r="A163" s="73" t="str">
        <f>IF('Data - Sample Type 1'!C35="","",'Data - Sample Type 1'!C35)</f>
        <v>D15JAN26A_05_1_12X</v>
      </c>
      <c r="B163" s="74" t="str">
        <f>IF('Data - Sample Type 1'!L35="","",'Data - Sample Type 1'!L35)</f>
        <v>MTB DETECTED;INH Resistance NOT DETECTED;FLQ Resistance NOT DETECTED;AMK Resistance NOT DETECTED;KAN Resistance NOT DETECTED;CAP Resistance NOT DETECTED;ETH Resistance NOT DETECTED</v>
      </c>
      <c r="C163" s="75" t="str">
        <f>IF(B163="","",IF(B163="INVALID",IF('Data - Sample Type 1'!NK35="","INVALID",'Data - Sample Type 1'!NK35),IF(B163="ERROR",'Data - Sample Type 1'!NK35,IF(B163="NO RESULT",'Data - Sample Type 1'!NK35,IF(B163="V","MINOR VISUAL",IF(B163="M","MAJOR VISUAL",IF(B163="B","BARCODE FAIL",IF(B163="D","DELAMINATION",IF(COUNTIF(B163,$D$128)+(COUNTIF(B163,$F$128))&lt;&gt;1,"MAJOR FUNCTIONAL",IF(COUNTIF(B163,$F$128)=1,"MINOR FUNCTIONAL",IF(COUNTIF(B163,$F$128)=1,"MINOR FUNCTIONAL",IF('Data - Sample Type 1'!Q35="","DATA ENTRY ERROR",IF('Data - Sample Type 1'!Q35=0,"SPC CT=0","PASS")))))))))))))</f>
        <v>PASS</v>
      </c>
      <c r="D163" s="77" t="str">
        <f>IF(C163="","",IF('Data - Sample Type 1'!NI35="","N/A",IF('Data - Sample Type 1'!NI35&lt;Specifications!$D$3,"PASS","FAIL")))</f>
        <v>PASS</v>
      </c>
      <c r="E163" s="174"/>
    </row>
    <row r="164" spans="1:5" x14ac:dyDescent="0.2">
      <c r="A164" s="73" t="str">
        <f>IF('Data - Sample Type 1'!C36="","",'Data - Sample Type 1'!C36)</f>
        <v>D15JAN26A_05_1_13X</v>
      </c>
      <c r="B164" s="74" t="str">
        <f>IF('Data - Sample Type 1'!L36="","",'Data - Sample Type 1'!L36)</f>
        <v>MTB DETECTED;INH Resistance NOT DETECTED;FLQ Resistance NOT DETECTED;AMK Resistance NOT DETECTED;KAN Resistance NOT DETECTED;CAP Resistance NOT DETECTED;ETH Resistance NOT DETECTED</v>
      </c>
      <c r="C164" s="75" t="str">
        <f>IF(B164="","",IF(B164="INVALID",IF('Data - Sample Type 1'!NK36="","INVALID",'Data - Sample Type 1'!NK36),IF(B164="ERROR",'Data - Sample Type 1'!NK36,IF(B164="NO RESULT",'Data - Sample Type 1'!NK36,IF(B164="V","MINOR VISUAL",IF(B164="M","MAJOR VISUAL",IF(B164="B","BARCODE FAIL",IF(B164="D","DELAMINATION",IF(COUNTIF(B164,$D$128)+(COUNTIF(B164,$F$128))&lt;&gt;1,"MAJOR FUNCTIONAL",IF(COUNTIF(B164,$F$128)=1,"MINOR FUNCTIONAL",IF(COUNTIF(B164,$F$128)=1,"MINOR FUNCTIONAL",IF('Data - Sample Type 1'!Q36="","DATA ENTRY ERROR",IF('Data - Sample Type 1'!Q36=0,"SPC CT=0","PASS")))))))))))))</f>
        <v>PASS</v>
      </c>
      <c r="D164" s="77" t="str">
        <f>IF(C164="","",IF('Data - Sample Type 1'!NI36="","N/A",IF('Data - Sample Type 1'!NI36&lt;Specifications!$D$3,"PASS","FAIL")))</f>
        <v>PASS</v>
      </c>
      <c r="E164" s="174"/>
    </row>
    <row r="165" spans="1:5" x14ac:dyDescent="0.2">
      <c r="A165" s="73" t="str">
        <f>IF('Data - Sample Type 1'!C37="","",'Data - Sample Type 1'!C37)</f>
        <v>D15JAN26A_05_1_14X</v>
      </c>
      <c r="B165" s="74" t="str">
        <f>IF('Data - Sample Type 1'!L37="","",'Data - Sample Type 1'!L37)</f>
        <v>MTB DETECTED;INH Resistance NOT DETECTED;FLQ Resistance NOT DETECTED;AMK Resistance NOT DETECTED;KAN Resistance NOT DETECTED;CAP Resistance NOT DETECTED;ETH Resistance NOT DETECTED</v>
      </c>
      <c r="C165" s="75" t="str">
        <f>IF(B165="","",IF(B165="INVALID",IF('Data - Sample Type 1'!NK37="","INVALID",'Data - Sample Type 1'!NK37),IF(B165="ERROR",'Data - Sample Type 1'!NK37,IF(B165="NO RESULT",'Data - Sample Type 1'!NK37,IF(B165="V","MINOR VISUAL",IF(B165="M","MAJOR VISUAL",IF(B165="B","BARCODE FAIL",IF(B165="D","DELAMINATION",IF(COUNTIF(B165,$D$128)+(COUNTIF(B165,$F$128))&lt;&gt;1,"MAJOR FUNCTIONAL",IF(COUNTIF(B165,$F$128)=1,"MINOR FUNCTIONAL",IF(COUNTIF(B165,$F$128)=1,"MINOR FUNCTIONAL",IF('Data - Sample Type 1'!Q37="","DATA ENTRY ERROR",IF('Data - Sample Type 1'!Q37=0,"SPC CT=0","PASS")))))))))))))</f>
        <v>PASS</v>
      </c>
      <c r="D165" s="77" t="str">
        <f>IF(C165="","",IF('Data - Sample Type 1'!NI37="","N/A",IF('Data - Sample Type 1'!NI37&lt;Specifications!$D$3,"PASS","FAIL")))</f>
        <v>PASS</v>
      </c>
      <c r="E165" s="174"/>
    </row>
    <row r="166" spans="1:5" x14ac:dyDescent="0.2">
      <c r="A166" s="73" t="str">
        <f>IF('Data - Sample Type 1'!C38="","",'Data - Sample Type 1'!C38)</f>
        <v>D15JAN26A_05_1_15+</v>
      </c>
      <c r="B166" s="74" t="str">
        <f>IF('Data - Sample Type 1'!L38="","",'Data - Sample Type 1'!L38)</f>
        <v>MTB DETECTED;INH Resistance NOT DETECTED;FLQ Resistance NOT DETECTED;AMK Resistance NOT DETECTED;KAN Resistance NOT DETECTED;CAP Resistance NOT DETECTED;ETH Resistance NOT DETECTED</v>
      </c>
      <c r="C166" s="75" t="str">
        <f>IF(B166="","",IF(B166="INVALID",IF('Data - Sample Type 1'!NK38="","INVALID",'Data - Sample Type 1'!NK38),IF(B166="ERROR",'Data - Sample Type 1'!NK38,IF(B166="NO RESULT",'Data - Sample Type 1'!NK38,IF(B166="V","MINOR VISUAL",IF(B166="M","MAJOR VISUAL",IF(B166="B","BARCODE FAIL",IF(B166="D","DELAMINATION",IF(COUNTIF(B166,$D$128)+(COUNTIF(B166,$F$128))&lt;&gt;1,"MAJOR FUNCTIONAL",IF(COUNTIF(B166,$F$128)=1,"MINOR FUNCTIONAL",IF(COUNTIF(B166,$F$128)=1,"MINOR FUNCTIONAL",IF('Data - Sample Type 1'!Q38="","DATA ENTRY ERROR",IF('Data - Sample Type 1'!Q38=0,"SPC CT=0","PASS")))))))))))))</f>
        <v>PASS</v>
      </c>
      <c r="D166" s="77" t="str">
        <f>IF(C166="","",IF('Data - Sample Type 1'!NI38="","N/A",IF('Data - Sample Type 1'!NI38&lt;Specifications!$D$3,"PASS","FAIL")))</f>
        <v>PASS</v>
      </c>
      <c r="E166" s="174"/>
    </row>
    <row r="167" spans="1:5" x14ac:dyDescent="0.2">
      <c r="A167" s="73" t="str">
        <f>IF('Data - Sample Type 1'!C39="","",'Data - Sample Type 1'!C39)</f>
        <v>D15JAN26A_05_1_16</v>
      </c>
      <c r="B167" s="74" t="str">
        <f>IF('Data - Sample Type 1'!L39="","",'Data - Sample Type 1'!L39)</f>
        <v>MTB DETECTED;INH Resistance NOT DETECTED;FLQ Resistance NOT DETECTED;AMK Resistance NOT DETECTED;KAN Resistance NOT DETECTED;CAP Resistance NOT DETECTED;ETH Resistance NOT DETECTED</v>
      </c>
      <c r="C167" s="75" t="str">
        <f>IF(B167="","",IF(B167="INVALID",IF('Data - Sample Type 1'!NK39="","INVALID",'Data - Sample Type 1'!NK39),IF(B167="ERROR",'Data - Sample Type 1'!NK39,IF(B167="NO RESULT",'Data - Sample Type 1'!NK39,IF(B167="V","MINOR VISUAL",IF(B167="M","MAJOR VISUAL",IF(B167="B","BARCODE FAIL",IF(B167="D","DELAMINATION",IF(COUNTIF(B167,$D$128)+(COUNTIF(B167,$F$128))&lt;&gt;1,"MAJOR FUNCTIONAL",IF(COUNTIF(B167,$F$128)=1,"MINOR FUNCTIONAL",IF(COUNTIF(B167,$F$128)=1,"MINOR FUNCTIONAL",IF('Data - Sample Type 1'!Q39="","DATA ENTRY ERROR",IF('Data - Sample Type 1'!Q39=0,"SPC CT=0","PASS")))))))))))))</f>
        <v>PASS</v>
      </c>
      <c r="D167" s="77" t="str">
        <f>IF(C167="","",IF('Data - Sample Type 1'!NI39="","N/A",IF('Data - Sample Type 1'!NI39&lt;Specifications!$D$3,"PASS","FAIL")))</f>
        <v>PASS</v>
      </c>
      <c r="E167" s="174"/>
    </row>
    <row r="168" spans="1:5" x14ac:dyDescent="0.2">
      <c r="A168" s="73" t="str">
        <f>IF('Data - Sample Type 1'!C40="","",'Data - Sample Type 1'!C40)</f>
        <v>D15JAN26A_05_1_17+</v>
      </c>
      <c r="B168" s="74" t="str">
        <f>IF('Data - Sample Type 1'!L40="","",'Data - Sample Type 1'!L40)</f>
        <v>MTB DETECTED;INH Resistance NOT DETECTED;FLQ Resistance NOT DETECTED;AMK Resistance NOT DETECTED;KAN Resistance NOT DETECTED;CAP Resistance NOT DETECTED;ETH Resistance NOT DETECTED</v>
      </c>
      <c r="C168" s="75" t="str">
        <f>IF(B168="","",IF(B168="INVALID",IF('Data - Sample Type 1'!NK40="","INVALID",'Data - Sample Type 1'!NK40),IF(B168="ERROR",'Data - Sample Type 1'!NK40,IF(B168="NO RESULT",'Data - Sample Type 1'!NK40,IF(B168="V","MINOR VISUAL",IF(B168="M","MAJOR VISUAL",IF(B168="B","BARCODE FAIL",IF(B168="D","DELAMINATION",IF(COUNTIF(B168,$D$128)+(COUNTIF(B168,$F$128))&lt;&gt;1,"MAJOR FUNCTIONAL",IF(COUNTIF(B168,$F$128)=1,"MINOR FUNCTIONAL",IF(COUNTIF(B168,$F$128)=1,"MINOR FUNCTIONAL",IF('Data - Sample Type 1'!Q40="","DATA ENTRY ERROR",IF('Data - Sample Type 1'!Q40=0,"SPC CT=0","PASS")))))))))))))</f>
        <v>PASS</v>
      </c>
      <c r="D168" s="77" t="str">
        <f>IF(C168="","",IF('Data - Sample Type 1'!NI40="","N/A",IF('Data - Sample Type 1'!NI40&lt;Specifications!$D$3,"PASS","FAIL")))</f>
        <v>PASS</v>
      </c>
      <c r="E168" s="174"/>
    </row>
    <row r="169" spans="1:5" x14ac:dyDescent="0.2">
      <c r="A169" s="73" t="str">
        <f>IF('Data - Sample Type 1'!C41="","",'Data - Sample Type 1'!C41)</f>
        <v>D15JAN26A_05_1_18+</v>
      </c>
      <c r="B169" s="74" t="str">
        <f>IF('Data - Sample Type 1'!L41="","",'Data - Sample Type 1'!L41)</f>
        <v>MTB DETECTED;INH Resistance NOT DETECTED;FLQ Resistance NOT DETECTED;AMK Resistance NOT DETECTED;KAN Resistance NOT DETECTED;CAP Resistance NOT DETECTED;ETH Resistance NOT DETECTED</v>
      </c>
      <c r="C169" s="75" t="str">
        <f>IF(B169="","",IF(B169="INVALID",IF('Data - Sample Type 1'!NK41="","INVALID",'Data - Sample Type 1'!NK41),IF(B169="ERROR",'Data - Sample Type 1'!NK41,IF(B169="NO RESULT",'Data - Sample Type 1'!NK41,IF(B169="V","MINOR VISUAL",IF(B169="M","MAJOR VISUAL",IF(B169="B","BARCODE FAIL",IF(B169="D","DELAMINATION",IF(COUNTIF(B169,$D$128)+(COUNTIF(B169,$F$128))&lt;&gt;1,"MAJOR FUNCTIONAL",IF(COUNTIF(B169,$F$128)=1,"MINOR FUNCTIONAL",IF(COUNTIF(B169,$F$128)=1,"MINOR FUNCTIONAL",IF('Data - Sample Type 1'!Q41="","DATA ENTRY ERROR",IF('Data - Sample Type 1'!Q41=0,"SPC CT=0","PASS")))))))))))))</f>
        <v>PASS</v>
      </c>
      <c r="D169" s="77" t="str">
        <f>IF(C169="","",IF('Data - Sample Type 1'!NI41="","N/A",IF('Data - Sample Type 1'!NI41&lt;Specifications!$D$3,"PASS","FAIL")))</f>
        <v>PASS</v>
      </c>
      <c r="E169" s="174"/>
    </row>
    <row r="170" spans="1:5" x14ac:dyDescent="0.2">
      <c r="A170" s="73" t="str">
        <f>IF('Data - Sample Type 1'!C42="","",'Data - Sample Type 1'!C42)</f>
        <v>D15JAN26A_06_1_11X</v>
      </c>
      <c r="B170" s="74" t="str">
        <f>IF('Data - Sample Type 1'!L42="","",'Data - Sample Type 1'!L42)</f>
        <v>MTB DETECTED;INH Resistance NOT DETECTED;FLQ Resistance NOT DETECTED;AMK Resistance NOT DETECTED;KAN Resistance NOT DETECTED;CAP Resistance NOT DETECTED;ETH Resistance NOT DETECTED</v>
      </c>
      <c r="C170" s="75" t="str">
        <f>IF(B170="","",IF(B170="INVALID",IF('Data - Sample Type 1'!NK42="","INVALID",'Data - Sample Type 1'!NK42),IF(B170="ERROR",'Data - Sample Type 1'!NK42,IF(B170="NO RESULT",'Data - Sample Type 1'!NK42,IF(B170="V","MINOR VISUAL",IF(B170="M","MAJOR VISUAL",IF(B170="B","BARCODE FAIL",IF(B170="D","DELAMINATION",IF(COUNTIF(B170,$D$128)+(COUNTIF(B170,$F$128))&lt;&gt;1,"MAJOR FUNCTIONAL",IF(COUNTIF(B170,$F$128)=1,"MINOR FUNCTIONAL",IF(COUNTIF(B170,$F$128)=1,"MINOR FUNCTIONAL",IF('Data - Sample Type 1'!Q42="","DATA ENTRY ERROR",IF('Data - Sample Type 1'!Q42=0,"SPC CT=0","PASS")))))))))))))</f>
        <v>PASS</v>
      </c>
      <c r="D170" s="77" t="str">
        <f>IF(C170="","",IF('Data - Sample Type 1'!NI42="","N/A",IF('Data - Sample Type 1'!NI42&lt;Specifications!$D$3,"PASS","FAIL")))</f>
        <v>PASS</v>
      </c>
      <c r="E170" s="174"/>
    </row>
    <row r="171" spans="1:5" x14ac:dyDescent="0.2">
      <c r="A171" s="73" t="str">
        <f>IF('Data - Sample Type 1'!C43="","",'Data - Sample Type 1'!C43)</f>
        <v>D15JAN26A_06_1_12X</v>
      </c>
      <c r="B171" s="74" t="str">
        <f>IF('Data - Sample Type 1'!L43="","",'Data - Sample Type 1'!L43)</f>
        <v>MTB DETECTED;INH Resistance NOT DETECTED;FLQ Resistance NOT DETECTED;AMK Resistance NOT DETECTED;KAN Resistance NOT DETECTED;CAP Resistance NOT DETECTED;ETH Resistance NOT DETECTED</v>
      </c>
      <c r="C171" s="75" t="str">
        <f>IF(B171="","",IF(B171="INVALID",IF('Data - Sample Type 1'!NK43="","INVALID",'Data - Sample Type 1'!NK43),IF(B171="ERROR",'Data - Sample Type 1'!NK43,IF(B171="NO RESULT",'Data - Sample Type 1'!NK43,IF(B171="V","MINOR VISUAL",IF(B171="M","MAJOR VISUAL",IF(B171="B","BARCODE FAIL",IF(B171="D","DELAMINATION",IF(COUNTIF(B171,$D$128)+(COUNTIF(B171,$F$128))&lt;&gt;1,"MAJOR FUNCTIONAL",IF(COUNTIF(B171,$F$128)=1,"MINOR FUNCTIONAL",IF(COUNTIF(B171,$F$128)=1,"MINOR FUNCTIONAL",IF('Data - Sample Type 1'!Q43="","DATA ENTRY ERROR",IF('Data - Sample Type 1'!Q43=0,"SPC CT=0","PASS")))))))))))))</f>
        <v>PASS</v>
      </c>
      <c r="D171" s="77" t="str">
        <f>IF(C171="","",IF('Data - Sample Type 1'!NI43="","N/A",IF('Data - Sample Type 1'!NI43&lt;Specifications!$D$3,"PASS","FAIL")))</f>
        <v>PASS</v>
      </c>
      <c r="E171" s="174"/>
    </row>
    <row r="172" spans="1:5" x14ac:dyDescent="0.2">
      <c r="A172" s="73" t="str">
        <f>IF('Data - Sample Type 1'!C44="","",'Data - Sample Type 1'!C44)</f>
        <v>D15JAN26A_06_1_13X</v>
      </c>
      <c r="B172" s="74" t="str">
        <f>IF('Data - Sample Type 1'!L44="","",'Data - Sample Type 1'!L44)</f>
        <v>MTB DETECTED;INH Resistance NOT DETECTED;FLQ Resistance NOT DETECTED;AMK Resistance NOT DETECTED;KAN Resistance NOT DETECTED;CAP Resistance NOT DETECTED;ETH Resistance NOT DETECTED</v>
      </c>
      <c r="C172" s="75" t="str">
        <f>IF(B172="","",IF(B172="INVALID",IF('Data - Sample Type 1'!NK44="","INVALID",'Data - Sample Type 1'!NK44),IF(B172="ERROR",'Data - Sample Type 1'!NK44,IF(B172="NO RESULT",'Data - Sample Type 1'!NK44,IF(B172="V","MINOR VISUAL",IF(B172="M","MAJOR VISUAL",IF(B172="B","BARCODE FAIL",IF(B172="D","DELAMINATION",IF(COUNTIF(B172,$D$128)+(COUNTIF(B172,$F$128))&lt;&gt;1,"MAJOR FUNCTIONAL",IF(COUNTIF(B172,$F$128)=1,"MINOR FUNCTIONAL",IF(COUNTIF(B172,$F$128)=1,"MINOR FUNCTIONAL",IF('Data - Sample Type 1'!Q44="","DATA ENTRY ERROR",IF('Data - Sample Type 1'!Q44=0,"SPC CT=0","PASS")))))))))))))</f>
        <v>PASS</v>
      </c>
      <c r="D172" s="77" t="str">
        <f>IF(C172="","",IF('Data - Sample Type 1'!NI44="","N/A",IF('Data - Sample Type 1'!NI44&lt;Specifications!$D$3,"PASS","FAIL")))</f>
        <v>PASS</v>
      </c>
      <c r="E172" s="174"/>
    </row>
    <row r="173" spans="1:5" x14ac:dyDescent="0.2">
      <c r="A173" s="73" t="str">
        <f>IF('Data - Sample Type 1'!C45="","",'Data - Sample Type 1'!C45)</f>
        <v>D15JAN26A_06_1_14X</v>
      </c>
      <c r="B173" s="74" t="str">
        <f>IF('Data - Sample Type 1'!L45="","",'Data - Sample Type 1'!L45)</f>
        <v>MTB DETECTED;INH Resistance NOT DETECTED;FLQ Resistance NOT DETECTED;AMK Resistance NOT DETECTED;KAN Resistance NOT DETECTED;CAP Resistance NOT DETECTED;ETH Resistance NOT DETECTED</v>
      </c>
      <c r="C173" s="75" t="str">
        <f>IF(B173="","",IF(B173="INVALID",IF('Data - Sample Type 1'!NK45="","INVALID",'Data - Sample Type 1'!NK45),IF(B173="ERROR",'Data - Sample Type 1'!NK45,IF(B173="NO RESULT",'Data - Sample Type 1'!NK45,IF(B173="V","MINOR VISUAL",IF(B173="M","MAJOR VISUAL",IF(B173="B","BARCODE FAIL",IF(B173="D","DELAMINATION",IF(COUNTIF(B173,$D$128)+(COUNTIF(B173,$F$128))&lt;&gt;1,"MAJOR FUNCTIONAL",IF(COUNTIF(B173,$F$128)=1,"MINOR FUNCTIONAL",IF(COUNTIF(B173,$F$128)=1,"MINOR FUNCTIONAL",IF('Data - Sample Type 1'!Q45="","DATA ENTRY ERROR",IF('Data - Sample Type 1'!Q45=0,"SPC CT=0","PASS")))))))))))))</f>
        <v>PASS</v>
      </c>
      <c r="D173" s="77" t="str">
        <f>IF(C173="","",IF('Data - Sample Type 1'!NI45="","N/A",IF('Data - Sample Type 1'!NI45&lt;Specifications!$D$3,"PASS","FAIL")))</f>
        <v>PASS</v>
      </c>
      <c r="E173" s="174"/>
    </row>
    <row r="174" spans="1:5" x14ac:dyDescent="0.2">
      <c r="A174" s="73" t="str">
        <f>IF('Data - Sample Type 1'!C46="","",'Data - Sample Type 1'!C46)</f>
        <v>D15JAN26A_06_1_15+</v>
      </c>
      <c r="B174" s="74" t="str">
        <f>IF('Data - Sample Type 1'!L46="","",'Data - Sample Type 1'!L46)</f>
        <v>MTB DETECTED;INH Resistance NOT DETECTED;FLQ Resistance NOT DETECTED;AMK Resistance NOT DETECTED;KAN Resistance NOT DETECTED;CAP Resistance NOT DETECTED;ETH Resistance NOT DETECTED</v>
      </c>
      <c r="C174" s="75" t="str">
        <f>IF(B174="","",IF(B174="INVALID",IF('Data - Sample Type 1'!NK46="","INVALID",'Data - Sample Type 1'!NK46),IF(B174="ERROR",'Data - Sample Type 1'!NK46,IF(B174="NO RESULT",'Data - Sample Type 1'!NK46,IF(B174="V","MINOR VISUAL",IF(B174="M","MAJOR VISUAL",IF(B174="B","BARCODE FAIL",IF(B174="D","DELAMINATION",IF(COUNTIF(B174,$D$128)+(COUNTIF(B174,$F$128))&lt;&gt;1,"MAJOR FUNCTIONAL",IF(COUNTIF(B174,$F$128)=1,"MINOR FUNCTIONAL",IF(COUNTIF(B174,$F$128)=1,"MINOR FUNCTIONAL",IF('Data - Sample Type 1'!Q46="","DATA ENTRY ERROR",IF('Data - Sample Type 1'!Q46=0,"SPC CT=0","PASS")))))))))))))</f>
        <v>PASS</v>
      </c>
      <c r="D174" s="77" t="str">
        <f>IF(C174="","",IF('Data - Sample Type 1'!NI46="","N/A",IF('Data - Sample Type 1'!NI46&lt;Specifications!$D$3,"PASS","FAIL")))</f>
        <v>PASS</v>
      </c>
      <c r="E174" s="174"/>
    </row>
    <row r="175" spans="1:5" x14ac:dyDescent="0.2">
      <c r="A175" s="73" t="str">
        <f>IF('Data - Sample Type 1'!C47="","",'Data - Sample Type 1'!C47)</f>
        <v>D15JAN26A_06_1_16+</v>
      </c>
      <c r="B175" s="74" t="str">
        <f>IF('Data - Sample Type 1'!L47="","",'Data - Sample Type 1'!L47)</f>
        <v>MTB DETECTED;INH Resistance NOT DETECTED;FLQ Resistance NOT DETECTED;AMK Resistance NOT DETECTED;KAN Resistance NOT DETECTED;CAP Resistance NOT DETECTED;ETH Resistance NOT DETECTED</v>
      </c>
      <c r="C175" s="75" t="str">
        <f>IF(B175="","",IF(B175="INVALID",IF('Data - Sample Type 1'!NK47="","INVALID",'Data - Sample Type 1'!NK47),IF(B175="ERROR",'Data - Sample Type 1'!NK47,IF(B175="NO RESULT",'Data - Sample Type 1'!NK47,IF(B175="V","MINOR VISUAL",IF(B175="M","MAJOR VISUAL",IF(B175="B","BARCODE FAIL",IF(B175="D","DELAMINATION",IF(COUNTIF(B175,$D$128)+(COUNTIF(B175,$F$128))&lt;&gt;1,"MAJOR FUNCTIONAL",IF(COUNTIF(B175,$F$128)=1,"MINOR FUNCTIONAL",IF(COUNTIF(B175,$F$128)=1,"MINOR FUNCTIONAL",IF('Data - Sample Type 1'!Q47="","DATA ENTRY ERROR",IF('Data - Sample Type 1'!Q47=0,"SPC CT=0","PASS")))))))))))))</f>
        <v>PASS</v>
      </c>
      <c r="D175" s="77" t="str">
        <f>IF(C175="","",IF('Data - Sample Type 1'!NI47="","N/A",IF('Data - Sample Type 1'!NI47&lt;Specifications!$D$3,"PASS","FAIL")))</f>
        <v>PASS</v>
      </c>
      <c r="E175" s="174"/>
    </row>
    <row r="176" spans="1:5" x14ac:dyDescent="0.2">
      <c r="A176" s="73" t="str">
        <f>IF('Data - Sample Type 1'!C48="","",'Data - Sample Type 1'!C48)</f>
        <v>D15JAN26A_06_1_17+</v>
      </c>
      <c r="B176" s="74" t="str">
        <f>IF('Data - Sample Type 1'!L48="","",'Data - Sample Type 1'!L48)</f>
        <v>MTB DETECTED;INH Resistance NOT DETECTED;FLQ Resistance NOT DETECTED;AMK Resistance NOT DETECTED;KAN Resistance NOT DETECTED;CAP Resistance NOT DETECTED;ETH Resistance NOT DETECTED</v>
      </c>
      <c r="C176" s="75" t="str">
        <f>IF(B176="","",IF(B176="INVALID",IF('Data - Sample Type 1'!NK48="","INVALID",'Data - Sample Type 1'!NK48),IF(B176="ERROR",'Data - Sample Type 1'!NK48,IF(B176="NO RESULT",'Data - Sample Type 1'!NK48,IF(B176="V","MINOR VISUAL",IF(B176="M","MAJOR VISUAL",IF(B176="B","BARCODE FAIL",IF(B176="D","DELAMINATION",IF(COUNTIF(B176,$D$128)+(COUNTIF(B176,$F$128))&lt;&gt;1,"MAJOR FUNCTIONAL",IF(COUNTIF(B176,$F$128)=1,"MINOR FUNCTIONAL",IF(COUNTIF(B176,$F$128)=1,"MINOR FUNCTIONAL",IF('Data - Sample Type 1'!Q48="","DATA ENTRY ERROR",IF('Data - Sample Type 1'!Q48=0,"SPC CT=0","PASS")))))))))))))</f>
        <v>PASS</v>
      </c>
      <c r="D176" s="77" t="str">
        <f>IF(C176="","",IF('Data - Sample Type 1'!NI48="","N/A",IF('Data - Sample Type 1'!NI48&lt;Specifications!$D$3,"PASS","FAIL")))</f>
        <v>PASS</v>
      </c>
      <c r="E176" s="174"/>
    </row>
    <row r="177" spans="1:5" x14ac:dyDescent="0.2">
      <c r="A177" s="73" t="str">
        <f>IF('Data - Sample Type 1'!C49="","",'Data - Sample Type 1'!C49)</f>
        <v>D15JAN26A_06_1_18+</v>
      </c>
      <c r="B177" s="74" t="str">
        <f>IF('Data - Sample Type 1'!L49="","",'Data - Sample Type 1'!L49)</f>
        <v>MTB DETECTED;INH Resistance NOT DETECTED;FLQ Resistance NOT DETECTED;AMK Resistance NOT DETECTED;KAN Resistance NOT DETECTED;CAP Resistance NOT DETECTED;ETH Resistance NOT DETECTED</v>
      </c>
      <c r="C177" s="75" t="str">
        <f>IF(B177="","",IF(B177="INVALID",IF('Data - Sample Type 1'!NK49="","INVALID",'Data - Sample Type 1'!NK49),IF(B177="ERROR",'Data - Sample Type 1'!NK49,IF(B177="NO RESULT",'Data - Sample Type 1'!NK49,IF(B177="V","MINOR VISUAL",IF(B177="M","MAJOR VISUAL",IF(B177="B","BARCODE FAIL",IF(B177="D","DELAMINATION",IF(COUNTIF(B177,$D$128)+(COUNTIF(B177,$F$128))&lt;&gt;1,"MAJOR FUNCTIONAL",IF(COUNTIF(B177,$F$128)=1,"MINOR FUNCTIONAL",IF(COUNTIF(B177,$F$128)=1,"MINOR FUNCTIONAL",IF('Data - Sample Type 1'!Q49="","DATA ENTRY ERROR",IF('Data - Sample Type 1'!Q49=0,"SPC CT=0","PASS")))))))))))))</f>
        <v>PASS</v>
      </c>
      <c r="D177" s="77" t="str">
        <f>IF(C177="","",IF('Data - Sample Type 1'!NI49="","N/A",IF('Data - Sample Type 1'!NI49&lt;Specifications!$D$3,"PASS","FAIL")))</f>
        <v>PASS</v>
      </c>
      <c r="E177" s="174"/>
    </row>
    <row r="178" spans="1:5" x14ac:dyDescent="0.2">
      <c r="A178" s="73" t="str">
        <f>IF('Data - Sample Type 1'!C50="","",'Data - Sample Type 1'!C50)</f>
        <v>D15JAN26A_07_1_11X</v>
      </c>
      <c r="B178" s="74" t="str">
        <f>IF('Data - Sample Type 1'!L50="","",'Data - Sample Type 1'!L50)</f>
        <v>MTB DETECTED;INH Resistance NOT DETECTED;FLQ Resistance NOT DETECTED;AMK Resistance NOT DETECTED;KAN Resistance NOT DETECTED;CAP Resistance NOT DETECTED;ETH Resistance NOT DETECTED</v>
      </c>
      <c r="C178" s="75" t="str">
        <f>IF(B178="","",IF(B178="INVALID",IF('Data - Sample Type 1'!NK50="","INVALID",'Data - Sample Type 1'!NK50),IF(B178="ERROR",'Data - Sample Type 1'!NK50,IF(B178="NO RESULT",'Data - Sample Type 1'!NK50,IF(B178="V","MINOR VISUAL",IF(B178="M","MAJOR VISUAL",IF(B178="B","BARCODE FAIL",IF(B178="D","DELAMINATION",IF(COUNTIF(B178,$D$128)+(COUNTIF(B178,$F$128))&lt;&gt;1,"MAJOR FUNCTIONAL",IF(COUNTIF(B178,$F$128)=1,"MINOR FUNCTIONAL",IF(COUNTIF(B178,$F$128)=1,"MINOR FUNCTIONAL",IF('Data - Sample Type 1'!Q50="","DATA ENTRY ERROR",IF('Data - Sample Type 1'!Q50=0,"SPC CT=0","PASS")))))))))))))</f>
        <v>PASS</v>
      </c>
      <c r="D178" s="77" t="str">
        <f>IF(C178="","",IF('Data - Sample Type 1'!NI50="","N/A",IF('Data - Sample Type 1'!NI50&lt;Specifications!$D$3,"PASS","FAIL")))</f>
        <v>PASS</v>
      </c>
      <c r="E178" s="174"/>
    </row>
    <row r="179" spans="1:5" x14ac:dyDescent="0.2">
      <c r="A179" s="73" t="str">
        <f>IF('Data - Sample Type 1'!C51="","",'Data - Sample Type 1'!C51)</f>
        <v>D15JAN26A_07_1_12X</v>
      </c>
      <c r="B179" s="74" t="str">
        <f>IF('Data - Sample Type 1'!L51="","",'Data - Sample Type 1'!L51)</f>
        <v>MTB DETECTED;INH Resistance NOT DETECTED;FLQ Resistance NOT DETECTED;AMK Resistance NOT DETECTED;KAN Resistance NOT DETECTED;CAP Resistance NOT DETECTED;ETH Resistance NOT DETECTED</v>
      </c>
      <c r="C179" s="75" t="str">
        <f>IF(B179="","",IF(B179="INVALID",IF('Data - Sample Type 1'!NK51="","INVALID",'Data - Sample Type 1'!NK51),IF(B179="ERROR",'Data - Sample Type 1'!NK51,IF(B179="NO RESULT",'Data - Sample Type 1'!NK51,IF(B179="V","MINOR VISUAL",IF(B179="M","MAJOR VISUAL",IF(B179="B","BARCODE FAIL",IF(B179="D","DELAMINATION",IF(COUNTIF(B179,$D$128)+(COUNTIF(B179,$F$128))&lt;&gt;1,"MAJOR FUNCTIONAL",IF(COUNTIF(B179,$F$128)=1,"MINOR FUNCTIONAL",IF(COUNTIF(B179,$F$128)=1,"MINOR FUNCTIONAL",IF('Data - Sample Type 1'!Q51="","DATA ENTRY ERROR",IF('Data - Sample Type 1'!Q51=0,"SPC CT=0","PASS")))))))))))))</f>
        <v>PASS</v>
      </c>
      <c r="D179" s="77" t="str">
        <f>IF(C179="","",IF('Data - Sample Type 1'!NI51="","N/A",IF('Data - Sample Type 1'!NI51&lt;Specifications!$D$3,"PASS","FAIL")))</f>
        <v>PASS</v>
      </c>
      <c r="E179" s="174"/>
    </row>
    <row r="180" spans="1:5" x14ac:dyDescent="0.2">
      <c r="A180" s="73" t="str">
        <f>IF('Data - Sample Type 1'!C52="","",'Data - Sample Type 1'!C52)</f>
        <v>D15JAN26A_07_1_13X</v>
      </c>
      <c r="B180" s="74" t="str">
        <f>IF('Data - Sample Type 1'!L52="","",'Data - Sample Type 1'!L52)</f>
        <v>MTB DETECTED;INH Resistance NOT DETECTED;FLQ Resistance NOT DETECTED;AMK Resistance NOT DETECTED;KAN Resistance NOT DETECTED;CAP Resistance NOT DETECTED;ETH Resistance NOT DETECTED</v>
      </c>
      <c r="C180" s="75" t="str">
        <f>IF(B180="","",IF(B180="INVALID",IF('Data - Sample Type 1'!NK52="","INVALID",'Data - Sample Type 1'!NK52),IF(B180="ERROR",'Data - Sample Type 1'!NK52,IF(B180="NO RESULT",'Data - Sample Type 1'!NK52,IF(B180="V","MINOR VISUAL",IF(B180="M","MAJOR VISUAL",IF(B180="B","BARCODE FAIL",IF(B180="D","DELAMINATION",IF(COUNTIF(B180,$D$128)+(COUNTIF(B180,$F$128))&lt;&gt;1,"MAJOR FUNCTIONAL",IF(COUNTIF(B180,$F$128)=1,"MINOR FUNCTIONAL",IF(COUNTIF(B180,$F$128)=1,"MINOR FUNCTIONAL",IF('Data - Sample Type 1'!Q52="","DATA ENTRY ERROR",IF('Data - Sample Type 1'!Q52=0,"SPC CT=0","PASS")))))))))))))</f>
        <v>PASS</v>
      </c>
      <c r="D180" s="77" t="str">
        <f>IF(C180="","",IF('Data - Sample Type 1'!NI52="","N/A",IF('Data - Sample Type 1'!NI52&lt;Specifications!$D$3,"PASS","FAIL")))</f>
        <v>PASS</v>
      </c>
      <c r="E180" s="174"/>
    </row>
    <row r="181" spans="1:5" x14ac:dyDescent="0.2">
      <c r="A181" s="73" t="str">
        <f>IF('Data - Sample Type 1'!C53="","",'Data - Sample Type 1'!C53)</f>
        <v>D15JAN26A_07_1_14X</v>
      </c>
      <c r="B181" s="74" t="str">
        <f>IF('Data - Sample Type 1'!L53="","",'Data - Sample Type 1'!L53)</f>
        <v>MTB DETECTED;INH Resistance NOT DETECTED;FLQ Resistance NOT DETECTED;AMK Resistance NOT DETECTED;KAN Resistance NOT DETECTED;CAP Resistance NOT DETECTED;ETH Resistance NOT DETECTED</v>
      </c>
      <c r="C181" s="75" t="str">
        <f>IF(B181="","",IF(B181="INVALID",IF('Data - Sample Type 1'!NK53="","INVALID",'Data - Sample Type 1'!NK53),IF(B181="ERROR",'Data - Sample Type 1'!NK53,IF(B181="NO RESULT",'Data - Sample Type 1'!NK53,IF(B181="V","MINOR VISUAL",IF(B181="M","MAJOR VISUAL",IF(B181="B","BARCODE FAIL",IF(B181="D","DELAMINATION",IF(COUNTIF(B181,$D$128)+(COUNTIF(B181,$F$128))&lt;&gt;1,"MAJOR FUNCTIONAL",IF(COUNTIF(B181,$F$128)=1,"MINOR FUNCTIONAL",IF(COUNTIF(B181,$F$128)=1,"MINOR FUNCTIONAL",IF('Data - Sample Type 1'!Q53="","DATA ENTRY ERROR",IF('Data - Sample Type 1'!Q53=0,"SPC CT=0","PASS")))))))))))))</f>
        <v>PASS</v>
      </c>
      <c r="D181" s="77" t="str">
        <f>IF(C181="","",IF('Data - Sample Type 1'!NI53="","N/A",IF('Data - Sample Type 1'!NI53&lt;Specifications!$D$3,"PASS","FAIL")))</f>
        <v>PASS</v>
      </c>
      <c r="E181" s="174"/>
    </row>
    <row r="182" spans="1:5" x14ac:dyDescent="0.2">
      <c r="A182" s="73" t="str">
        <f>IF('Data - Sample Type 1'!C54="","",'Data - Sample Type 1'!C54)</f>
        <v>D15JAN26A_07_1_15+</v>
      </c>
      <c r="B182" s="74" t="str">
        <f>IF('Data - Sample Type 1'!L54="","",'Data - Sample Type 1'!L54)</f>
        <v>MTB DETECTED;INH Resistance NOT DETECTED;FLQ Resistance NOT DETECTED;AMK Resistance NOT DETECTED;KAN Resistance NOT DETECTED;CAP Resistance NOT DETECTED;ETH Resistance NOT DETECTED</v>
      </c>
      <c r="C182" s="75" t="str">
        <f>IF(B182="","",IF(B182="INVALID",IF('Data - Sample Type 1'!NK54="","INVALID",'Data - Sample Type 1'!NK54),IF(B182="ERROR",'Data - Sample Type 1'!NK54,IF(B182="NO RESULT",'Data - Sample Type 1'!NK54,IF(B182="V","MINOR VISUAL",IF(B182="M","MAJOR VISUAL",IF(B182="B","BARCODE FAIL",IF(B182="D","DELAMINATION",IF(COUNTIF(B182,$D$128)+(COUNTIF(B182,$F$128))&lt;&gt;1,"MAJOR FUNCTIONAL",IF(COUNTIF(B182,$F$128)=1,"MINOR FUNCTIONAL",IF(COUNTIF(B182,$F$128)=1,"MINOR FUNCTIONAL",IF('Data - Sample Type 1'!Q54="","DATA ENTRY ERROR",IF('Data - Sample Type 1'!Q54=0,"SPC CT=0","PASS")))))))))))))</f>
        <v>PASS</v>
      </c>
      <c r="D182" s="77" t="str">
        <f>IF(C182="","",IF('Data - Sample Type 1'!NI54="","N/A",IF('Data - Sample Type 1'!NI54&lt;Specifications!$D$3,"PASS","FAIL")))</f>
        <v>PASS</v>
      </c>
      <c r="E182" s="174"/>
    </row>
    <row r="183" spans="1:5" x14ac:dyDescent="0.2">
      <c r="A183" s="73" t="str">
        <f>IF('Data - Sample Type 1'!C55="","",'Data - Sample Type 1'!C55)</f>
        <v>D15JAN26A_07_1_16+</v>
      </c>
      <c r="B183" s="74" t="str">
        <f>IF('Data - Sample Type 1'!L55="","",'Data - Sample Type 1'!L55)</f>
        <v>MTB DETECTED;INH Resistance NOT DETECTED;FLQ Resistance NOT DETECTED;AMK Resistance NOT DETECTED;KAN Resistance NOT DETECTED;CAP Resistance NOT DETECTED;ETH Resistance NOT DETECTED</v>
      </c>
      <c r="C183" s="75" t="str">
        <f>IF(B183="","",IF(B183="INVALID",IF('Data - Sample Type 1'!NK55="","INVALID",'Data - Sample Type 1'!NK55),IF(B183="ERROR",'Data - Sample Type 1'!NK55,IF(B183="NO RESULT",'Data - Sample Type 1'!NK55,IF(B183="V","MINOR VISUAL",IF(B183="M","MAJOR VISUAL",IF(B183="B","BARCODE FAIL",IF(B183="D","DELAMINATION",IF(COUNTIF(B183,$D$128)+(COUNTIF(B183,$F$128))&lt;&gt;1,"MAJOR FUNCTIONAL",IF(COUNTIF(B183,$F$128)=1,"MINOR FUNCTIONAL",IF(COUNTIF(B183,$F$128)=1,"MINOR FUNCTIONAL",IF('Data - Sample Type 1'!Q55="","DATA ENTRY ERROR",IF('Data - Sample Type 1'!Q55=0,"SPC CT=0","PASS")))))))))))))</f>
        <v>PASS</v>
      </c>
      <c r="D183" s="77" t="str">
        <f>IF(C183="","",IF('Data - Sample Type 1'!NI55="","N/A",IF('Data - Sample Type 1'!NI55&lt;Specifications!$D$3,"PASS","FAIL")))</f>
        <v>PASS</v>
      </c>
      <c r="E183" s="174"/>
    </row>
    <row r="184" spans="1:5" x14ac:dyDescent="0.2">
      <c r="A184" s="73" t="str">
        <f>IF('Data - Sample Type 1'!C56="","",'Data - Sample Type 1'!C56)</f>
        <v>D15JAN26A_07_1_17+</v>
      </c>
      <c r="B184" s="74" t="str">
        <f>IF('Data - Sample Type 1'!L56="","",'Data - Sample Type 1'!L56)</f>
        <v>MTB DETECTED;INH Resistance NOT DETECTED;FLQ Resistance NOT DETECTED;AMK Resistance NOT DETECTED;KAN Resistance NOT DETECTED;CAP Resistance NOT DETECTED;ETH Resistance NOT DETECTED</v>
      </c>
      <c r="C184" s="75" t="str">
        <f>IF(B184="","",IF(B184="INVALID",IF('Data - Sample Type 1'!NK56="","INVALID",'Data - Sample Type 1'!NK56),IF(B184="ERROR",'Data - Sample Type 1'!NK56,IF(B184="NO RESULT",'Data - Sample Type 1'!NK56,IF(B184="V","MINOR VISUAL",IF(B184="M","MAJOR VISUAL",IF(B184="B","BARCODE FAIL",IF(B184="D","DELAMINATION",IF(COUNTIF(B184,$D$128)+(COUNTIF(B184,$F$128))&lt;&gt;1,"MAJOR FUNCTIONAL",IF(COUNTIF(B184,$F$128)=1,"MINOR FUNCTIONAL",IF(COUNTIF(B184,$F$128)=1,"MINOR FUNCTIONAL",IF('Data - Sample Type 1'!Q56="","DATA ENTRY ERROR",IF('Data - Sample Type 1'!Q56=0,"SPC CT=0","PASS")))))))))))))</f>
        <v>PASS</v>
      </c>
      <c r="D184" s="77" t="str">
        <f>IF(C184="","",IF('Data - Sample Type 1'!NI56="","N/A",IF('Data - Sample Type 1'!NI56&lt;Specifications!$D$3,"PASS","FAIL")))</f>
        <v>PASS</v>
      </c>
      <c r="E184" s="174"/>
    </row>
    <row r="185" spans="1:5" x14ac:dyDescent="0.2">
      <c r="A185" s="73" t="str">
        <f>IF('Data - Sample Type 1'!C57="","",'Data - Sample Type 1'!C57)</f>
        <v>D15JAN26A_07_1_18+</v>
      </c>
      <c r="B185" s="74" t="str">
        <f>IF('Data - Sample Type 1'!L57="","",'Data - Sample Type 1'!L57)</f>
        <v>MTB DETECTED;INH Resistance NOT DETECTED;FLQ Resistance NOT DETECTED;AMK Resistance NOT DETECTED;KAN Resistance NOT DETECTED;CAP Resistance NOT DETECTED;ETH Resistance NOT DETECTED</v>
      </c>
      <c r="C185" s="75" t="str">
        <f>IF(B185="","",IF(B185="INVALID",IF('Data - Sample Type 1'!NK57="","INVALID",'Data - Sample Type 1'!NK57),IF(B185="ERROR",'Data - Sample Type 1'!NK57,IF(B185="NO RESULT",'Data - Sample Type 1'!NK57,IF(B185="V","MINOR VISUAL",IF(B185="M","MAJOR VISUAL",IF(B185="B","BARCODE FAIL",IF(B185="D","DELAMINATION",IF(COUNTIF(B185,$D$128)+(COUNTIF(B185,$F$128))&lt;&gt;1,"MAJOR FUNCTIONAL",IF(COUNTIF(B185,$F$128)=1,"MINOR FUNCTIONAL",IF(COUNTIF(B185,$F$128)=1,"MINOR FUNCTIONAL",IF('Data - Sample Type 1'!Q57="","DATA ENTRY ERROR",IF('Data - Sample Type 1'!Q57=0,"SPC CT=0","PASS")))))))))))))</f>
        <v>PASS</v>
      </c>
      <c r="D185" s="77" t="str">
        <f>IF(C185="","",IF('Data - Sample Type 1'!NI57="","N/A",IF('Data - Sample Type 1'!NI57&lt;Specifications!$D$3,"PASS","FAIL")))</f>
        <v>PASS</v>
      </c>
      <c r="E185" s="174"/>
    </row>
    <row r="186" spans="1:5" x14ac:dyDescent="0.2">
      <c r="A186" s="73" t="str">
        <f>IF('Data - Sample Type 1'!C58="","",'Data - Sample Type 1'!C58)</f>
        <v>D15JAN26A_08_1_11X</v>
      </c>
      <c r="B186" s="74" t="str">
        <f>IF('Data - Sample Type 1'!L58="","",'Data - Sample Type 1'!L58)</f>
        <v>MTB DETECTED;INH Resistance NOT DETECTED;FLQ Resistance NOT DETECTED;AMK Resistance NOT DETECTED;KAN Resistance NOT DETECTED;CAP Resistance NOT DETECTED;ETH Resistance NOT DETECTED</v>
      </c>
      <c r="C186" s="75" t="str">
        <f>IF(B186="","",IF(B186="INVALID",IF('Data - Sample Type 1'!NK58="","INVALID",'Data - Sample Type 1'!NK58),IF(B186="ERROR",'Data - Sample Type 1'!NK58,IF(B186="NO RESULT",'Data - Sample Type 1'!NK58,IF(B186="V","MINOR VISUAL",IF(B186="M","MAJOR VISUAL",IF(B186="B","BARCODE FAIL",IF(B186="D","DELAMINATION",IF(COUNTIF(B186,$D$128)+(COUNTIF(B186,$F$128))&lt;&gt;1,"MAJOR FUNCTIONAL",IF(COUNTIF(B186,$F$128)=1,"MINOR FUNCTIONAL",IF(COUNTIF(B186,$F$128)=1,"MINOR FUNCTIONAL",IF('Data - Sample Type 1'!Q58="","DATA ENTRY ERROR",IF('Data - Sample Type 1'!Q58=0,"SPC CT=0","PASS")))))))))))))</f>
        <v>PASS</v>
      </c>
      <c r="D186" s="77" t="str">
        <f>IF(C186="","",IF('Data - Sample Type 1'!NI58="","N/A",IF('Data - Sample Type 1'!NI58&lt;Specifications!$D$3,"PASS","FAIL")))</f>
        <v>PASS</v>
      </c>
      <c r="E186" s="174"/>
    </row>
    <row r="187" spans="1:5" x14ac:dyDescent="0.2">
      <c r="A187" s="73" t="str">
        <f>IF('Data - Sample Type 1'!C59="","",'Data - Sample Type 1'!C59)</f>
        <v>D15JAN26A_08_1_12X</v>
      </c>
      <c r="B187" s="74" t="str">
        <f>IF('Data - Sample Type 1'!L59="","",'Data - Sample Type 1'!L59)</f>
        <v>MTB DETECTED;INH Resistance NOT DETECTED;FLQ Resistance NOT DETECTED;AMK Resistance NOT DETECTED;KAN Resistance NOT DETECTED;CAP Resistance NOT DETECTED;ETH Resistance NOT DETECTED</v>
      </c>
      <c r="C187" s="75" t="str">
        <f>IF(B187="","",IF(B187="INVALID",IF('Data - Sample Type 1'!NK59="","INVALID",'Data - Sample Type 1'!NK59),IF(B187="ERROR",'Data - Sample Type 1'!NK59,IF(B187="NO RESULT",'Data - Sample Type 1'!NK59,IF(B187="V","MINOR VISUAL",IF(B187="M","MAJOR VISUAL",IF(B187="B","BARCODE FAIL",IF(B187="D","DELAMINATION",IF(COUNTIF(B187,$D$128)+(COUNTIF(B187,$F$128))&lt;&gt;1,"MAJOR FUNCTIONAL",IF(COUNTIF(B187,$F$128)=1,"MINOR FUNCTIONAL",IF(COUNTIF(B187,$F$128)=1,"MINOR FUNCTIONAL",IF('Data - Sample Type 1'!Q59="","DATA ENTRY ERROR",IF('Data - Sample Type 1'!Q59=0,"SPC CT=0","PASS")))))))))))))</f>
        <v>PASS</v>
      </c>
      <c r="D187" s="77" t="str">
        <f>IF(C187="","",IF('Data - Sample Type 1'!NI59="","N/A",IF('Data - Sample Type 1'!NI59&lt;Specifications!$D$3,"PASS","FAIL")))</f>
        <v>PASS</v>
      </c>
      <c r="E187" s="174"/>
    </row>
    <row r="188" spans="1:5" x14ac:dyDescent="0.2">
      <c r="A188" s="73" t="str">
        <f>IF('Data - Sample Type 1'!C60="","",'Data - Sample Type 1'!C60)</f>
        <v>D15JAN26A_08_1_13X</v>
      </c>
      <c r="B188" s="74" t="str">
        <f>IF('Data - Sample Type 1'!L60="","",'Data - Sample Type 1'!L60)</f>
        <v>MTB DETECTED;INH Resistance NOT DETECTED;FLQ Resistance NOT DETECTED;AMK Resistance NOT DETECTED;KAN Resistance NOT DETECTED;CAP Resistance NOT DETECTED;ETH Resistance NOT DETECTED</v>
      </c>
      <c r="C188" s="75" t="str">
        <f>IF(B188="","",IF(B188="INVALID",IF('Data - Sample Type 1'!NK60="","INVALID",'Data - Sample Type 1'!NK60),IF(B188="ERROR",'Data - Sample Type 1'!NK60,IF(B188="NO RESULT",'Data - Sample Type 1'!NK60,IF(B188="V","MINOR VISUAL",IF(B188="M","MAJOR VISUAL",IF(B188="B","BARCODE FAIL",IF(B188="D","DELAMINATION",IF(COUNTIF(B188,$D$128)+(COUNTIF(B188,$F$128))&lt;&gt;1,"MAJOR FUNCTIONAL",IF(COUNTIF(B188,$F$128)=1,"MINOR FUNCTIONAL",IF(COUNTIF(B188,$F$128)=1,"MINOR FUNCTIONAL",IF('Data - Sample Type 1'!Q60="","DATA ENTRY ERROR",IF('Data - Sample Type 1'!Q60=0,"SPC CT=0","PASS")))))))))))))</f>
        <v>PASS</v>
      </c>
      <c r="D188" s="77" t="str">
        <f>IF(C188="","",IF('Data - Sample Type 1'!NI60="","N/A",IF('Data - Sample Type 1'!NI60&lt;Specifications!$D$3,"PASS","FAIL")))</f>
        <v>PASS</v>
      </c>
      <c r="E188" s="174"/>
    </row>
    <row r="189" spans="1:5" x14ac:dyDescent="0.2">
      <c r="A189" s="73" t="str">
        <f>IF('Data - Sample Type 1'!C61="","",'Data - Sample Type 1'!C61)</f>
        <v>D15JAN26A_08_1_14X</v>
      </c>
      <c r="B189" s="74" t="str">
        <f>IF('Data - Sample Type 1'!L61="","",'Data - Sample Type 1'!L61)</f>
        <v>MTB DETECTED;INH Resistance NOT DETECTED;FLQ Resistance NOT DETECTED;AMK Resistance NOT DETECTED;KAN Resistance NOT DETECTED;CAP Resistance NOT DETECTED;ETH Resistance NOT DETECTED</v>
      </c>
      <c r="C189" s="75" t="str">
        <f>IF(B189="","",IF(B189="INVALID",IF('Data - Sample Type 1'!NK61="","INVALID",'Data - Sample Type 1'!NK61),IF(B189="ERROR",'Data - Sample Type 1'!NK61,IF(B189="NO RESULT",'Data - Sample Type 1'!NK61,IF(B189="V","MINOR VISUAL",IF(B189="M","MAJOR VISUAL",IF(B189="B","BARCODE FAIL",IF(B189="D","DELAMINATION",IF(COUNTIF(B189,$D$128)+(COUNTIF(B189,$F$128))&lt;&gt;1,"MAJOR FUNCTIONAL",IF(COUNTIF(B189,$F$128)=1,"MINOR FUNCTIONAL",IF(COUNTIF(B189,$F$128)=1,"MINOR FUNCTIONAL",IF('Data - Sample Type 1'!Q61="","DATA ENTRY ERROR",IF('Data - Sample Type 1'!Q61=0,"SPC CT=0","PASS")))))))))))))</f>
        <v>PASS</v>
      </c>
      <c r="D189" s="77" t="str">
        <f>IF(C189="","",IF('Data - Sample Type 1'!NI61="","N/A",IF('Data - Sample Type 1'!NI61&lt;Specifications!$D$3,"PASS","FAIL")))</f>
        <v>PASS</v>
      </c>
      <c r="E189" s="174"/>
    </row>
    <row r="190" spans="1:5" x14ac:dyDescent="0.2">
      <c r="A190" s="73" t="str">
        <f>IF('Data - Sample Type 1'!C62="","",'Data - Sample Type 1'!C62)</f>
        <v>D15JAN26A_08_1_15+</v>
      </c>
      <c r="B190" s="74" t="str">
        <f>IF('Data - Sample Type 1'!L62="","",'Data - Sample Type 1'!L62)</f>
        <v>MTB DETECTED;INH Resistance NOT DETECTED;FLQ Resistance NOT DETECTED;AMK Resistance NOT DETECTED;KAN Resistance NOT DETECTED;CAP Resistance NOT DETECTED;ETH Resistance NOT DETECTED</v>
      </c>
      <c r="C190" s="75" t="str">
        <f>IF(B190="","",IF(B190="INVALID",IF('Data - Sample Type 1'!NK62="","INVALID",'Data - Sample Type 1'!NK62),IF(B190="ERROR",'Data - Sample Type 1'!NK62,IF(B190="NO RESULT",'Data - Sample Type 1'!NK62,IF(B190="V","MINOR VISUAL",IF(B190="M","MAJOR VISUAL",IF(B190="B","BARCODE FAIL",IF(B190="D","DELAMINATION",IF(COUNTIF(B190,$D$128)+(COUNTIF(B190,$F$128))&lt;&gt;1,"MAJOR FUNCTIONAL",IF(COUNTIF(B190,$F$128)=1,"MINOR FUNCTIONAL",IF(COUNTIF(B190,$F$128)=1,"MINOR FUNCTIONAL",IF('Data - Sample Type 1'!Q62="","DATA ENTRY ERROR",IF('Data - Sample Type 1'!Q62=0,"SPC CT=0","PASS")))))))))))))</f>
        <v>PASS</v>
      </c>
      <c r="D190" s="77" t="str">
        <f>IF(C190="","",IF('Data - Sample Type 1'!NI62="","N/A",IF('Data - Sample Type 1'!NI62&lt;Specifications!$D$3,"PASS","FAIL")))</f>
        <v>PASS</v>
      </c>
      <c r="E190" s="174"/>
    </row>
    <row r="191" spans="1:5" x14ac:dyDescent="0.2">
      <c r="A191" s="73" t="str">
        <f>IF('Data - Sample Type 1'!C63="","",'Data - Sample Type 1'!C63)</f>
        <v>D15JAN26A_08_1_16+</v>
      </c>
      <c r="B191" s="74" t="str">
        <f>IF('Data - Sample Type 1'!L63="","",'Data - Sample Type 1'!L63)</f>
        <v>MTB DETECTED;INH Resistance NOT DETECTED;FLQ Resistance NOT DETECTED;AMK Resistance NOT DETECTED;KAN Resistance NOT DETECTED;CAP Resistance NOT DETECTED;ETH Resistance NOT DETECTED</v>
      </c>
      <c r="C191" s="75" t="str">
        <f>IF(B191="","",IF(B191="INVALID",IF('Data - Sample Type 1'!NK63="","INVALID",'Data - Sample Type 1'!NK63),IF(B191="ERROR",'Data - Sample Type 1'!NK63,IF(B191="NO RESULT",'Data - Sample Type 1'!NK63,IF(B191="V","MINOR VISUAL",IF(B191="M","MAJOR VISUAL",IF(B191="B","BARCODE FAIL",IF(B191="D","DELAMINATION",IF(COUNTIF(B191,$D$128)+(COUNTIF(B191,$F$128))&lt;&gt;1,"MAJOR FUNCTIONAL",IF(COUNTIF(B191,$F$128)=1,"MINOR FUNCTIONAL",IF(COUNTIF(B191,$F$128)=1,"MINOR FUNCTIONAL",IF('Data - Sample Type 1'!Q63="","DATA ENTRY ERROR",IF('Data - Sample Type 1'!Q63=0,"SPC CT=0","PASS")))))))))))))</f>
        <v>PASS</v>
      </c>
      <c r="D191" s="77" t="str">
        <f>IF(C191="","",IF('Data - Sample Type 1'!NI63="","N/A",IF('Data - Sample Type 1'!NI63&lt;Specifications!$D$3,"PASS","FAIL")))</f>
        <v>PASS</v>
      </c>
      <c r="E191" s="174"/>
    </row>
    <row r="192" spans="1:5" x14ac:dyDescent="0.2">
      <c r="A192" s="73" t="str">
        <f>IF('Data - Sample Type 1'!C64="","",'Data - Sample Type 1'!C64)</f>
        <v>D15JAN26A_08_1_17+</v>
      </c>
      <c r="B192" s="74" t="str">
        <f>IF('Data - Sample Type 1'!L64="","",'Data - Sample Type 1'!L64)</f>
        <v>MTB DETECTED;INH Resistance NOT DETECTED;FLQ Resistance NOT DETECTED;AMK Resistance NOT DETECTED;KAN Resistance NOT DETECTED;CAP Resistance NOT DETECTED;ETH Resistance NOT DETECTED</v>
      </c>
      <c r="C192" s="75" t="str">
        <f>IF(B192="","",IF(B192="INVALID",IF('Data - Sample Type 1'!NK64="","INVALID",'Data - Sample Type 1'!NK64),IF(B192="ERROR",'Data - Sample Type 1'!NK64,IF(B192="NO RESULT",'Data - Sample Type 1'!NK64,IF(B192="V","MINOR VISUAL",IF(B192="M","MAJOR VISUAL",IF(B192="B","BARCODE FAIL",IF(B192="D","DELAMINATION",IF(COUNTIF(B192,$D$128)+(COUNTIF(B192,$F$128))&lt;&gt;1,"MAJOR FUNCTIONAL",IF(COUNTIF(B192,$F$128)=1,"MINOR FUNCTIONAL",IF(COUNTIF(B192,$F$128)=1,"MINOR FUNCTIONAL",IF('Data - Sample Type 1'!Q64="","DATA ENTRY ERROR",IF('Data - Sample Type 1'!Q64=0,"SPC CT=0","PASS")))))))))))))</f>
        <v>PASS</v>
      </c>
      <c r="D192" s="77" t="str">
        <f>IF(C192="","",IF('Data - Sample Type 1'!NI64="","N/A",IF('Data - Sample Type 1'!NI64&lt;Specifications!$D$3,"PASS","FAIL")))</f>
        <v>PASS</v>
      </c>
      <c r="E192" s="174"/>
    </row>
    <row r="193" spans="1:5" x14ac:dyDescent="0.2">
      <c r="A193" s="73" t="str">
        <f>IF('Data - Sample Type 1'!C65="","",'Data - Sample Type 1'!C65)</f>
        <v>D15JAN26A_08_1_18+</v>
      </c>
      <c r="B193" s="74" t="str">
        <f>IF('Data - Sample Type 1'!L65="","",'Data - Sample Type 1'!L65)</f>
        <v>MTB DETECTED;INH Resistance NOT DETECTED;FLQ Resistance NOT DETECTED;AMK Resistance NOT DETECTED;KAN Resistance NOT DETECTED;CAP Resistance NOT DETECTED;ETH Resistance NOT DETECTED</v>
      </c>
      <c r="C193" s="75" t="str">
        <f>IF(B193="","",IF(B193="INVALID",IF('Data - Sample Type 1'!NK65="","INVALID",'Data - Sample Type 1'!NK65),IF(B193="ERROR",'Data - Sample Type 1'!NK65,IF(B193="NO RESULT",'Data - Sample Type 1'!NK65,IF(B193="V","MINOR VISUAL",IF(B193="M","MAJOR VISUAL",IF(B193="B","BARCODE FAIL",IF(B193="D","DELAMINATION",IF(COUNTIF(B193,$D$128)+(COUNTIF(B193,$F$128))&lt;&gt;1,"MAJOR FUNCTIONAL",IF(COUNTIF(B193,$F$128)=1,"MINOR FUNCTIONAL",IF(COUNTIF(B193,$F$128)=1,"MINOR FUNCTIONAL",IF('Data - Sample Type 1'!Q65="","DATA ENTRY ERROR",IF('Data - Sample Type 1'!Q65=0,"SPC CT=0","PASS")))))))))))))</f>
        <v>PASS</v>
      </c>
      <c r="D193" s="77" t="str">
        <f>IF(C193="","",IF('Data - Sample Type 1'!NI65="","N/A",IF('Data - Sample Type 1'!NI65&lt;Specifications!$D$3,"PASS","FAIL")))</f>
        <v>PASS</v>
      </c>
      <c r="E193" s="174"/>
    </row>
    <row r="194" spans="1:5" x14ac:dyDescent="0.2">
      <c r="A194" s="73" t="str">
        <f>IF('Data - Sample Type 1'!C66="","",'Data - Sample Type 1'!C66)</f>
        <v>D15JAN26A_09_1_11X</v>
      </c>
      <c r="B194" s="74" t="str">
        <f>IF('Data - Sample Type 1'!L66="","",'Data - Sample Type 1'!L66)</f>
        <v>MTB DETECTED;INH Resistance NOT DETECTED;FLQ Resistance NOT DETECTED;AMK Resistance NOT DETECTED;KAN Resistance NOT DETECTED;CAP Resistance NOT DETECTED;ETH Resistance NOT DETECTED</v>
      </c>
      <c r="C194" s="75" t="str">
        <f>IF(B194="","",IF(B194="INVALID",IF('Data - Sample Type 1'!NK66="","INVALID",'Data - Sample Type 1'!NK66),IF(B194="ERROR",'Data - Sample Type 1'!NK66,IF(B194="NO RESULT",'Data - Sample Type 1'!NK66,IF(B194="V","MINOR VISUAL",IF(B194="M","MAJOR VISUAL",IF(B194="B","BARCODE FAIL",IF(B194="D","DELAMINATION",IF(COUNTIF(B194,$D$128)+(COUNTIF(B194,$F$128))&lt;&gt;1,"MAJOR FUNCTIONAL",IF(COUNTIF(B194,$F$128)=1,"MINOR FUNCTIONAL",IF(COUNTIF(B194,$F$128)=1,"MINOR FUNCTIONAL",IF('Data - Sample Type 1'!Q66="","DATA ENTRY ERROR",IF('Data - Sample Type 1'!Q66=0,"SPC CT=0","PASS")))))))))))))</f>
        <v>PASS</v>
      </c>
      <c r="D194" s="77" t="str">
        <f>IF(C194="","",IF('Data - Sample Type 1'!NI66="","N/A",IF('Data - Sample Type 1'!NI66&lt;Specifications!$D$3,"PASS","FAIL")))</f>
        <v>PASS</v>
      </c>
      <c r="E194" s="174"/>
    </row>
    <row r="195" spans="1:5" x14ac:dyDescent="0.2">
      <c r="A195" s="73" t="str">
        <f>IF('Data - Sample Type 1'!C67="","",'Data - Sample Type 1'!C67)</f>
        <v>D15JAN26A_09_1_12X</v>
      </c>
      <c r="B195" s="74" t="str">
        <f>IF('Data - Sample Type 1'!L67="","",'Data - Sample Type 1'!L67)</f>
        <v>MTB DETECTED;INH Resistance NOT DETECTED;FLQ Resistance NOT DETECTED;AMK Resistance NOT DETECTED;KAN Resistance NOT DETECTED;CAP Resistance NOT DETECTED;ETH Resistance NOT DETECTED</v>
      </c>
      <c r="C195" s="75" t="str">
        <f>IF(B195="","",IF(B195="INVALID",IF('Data - Sample Type 1'!NK67="","INVALID",'Data - Sample Type 1'!NK67),IF(B195="ERROR",'Data - Sample Type 1'!NK67,IF(B195="NO RESULT",'Data - Sample Type 1'!NK67,IF(B195="V","MINOR VISUAL",IF(B195="M","MAJOR VISUAL",IF(B195="B","BARCODE FAIL",IF(B195="D","DELAMINATION",IF(COUNTIF(B195,$D$128)+(COUNTIF(B195,$F$128))&lt;&gt;1,"MAJOR FUNCTIONAL",IF(COUNTIF(B195,$F$128)=1,"MINOR FUNCTIONAL",IF(COUNTIF(B195,$F$128)=1,"MINOR FUNCTIONAL",IF('Data - Sample Type 1'!Q67="","DATA ENTRY ERROR",IF('Data - Sample Type 1'!Q67=0,"SPC CT=0","PASS")))))))))))))</f>
        <v>PASS</v>
      </c>
      <c r="D195" s="77" t="str">
        <f>IF(C195="","",IF('Data - Sample Type 1'!NI67="","N/A",IF('Data - Sample Type 1'!NI67&lt;Specifications!$D$3,"PASS","FAIL")))</f>
        <v>PASS</v>
      </c>
      <c r="E195" s="174"/>
    </row>
    <row r="196" spans="1:5" x14ac:dyDescent="0.2">
      <c r="A196" s="73" t="str">
        <f>IF('Data - Sample Type 1'!C68="","",'Data - Sample Type 1'!C68)</f>
        <v>D15JAN26A_09_1_13X</v>
      </c>
      <c r="B196" s="74" t="str">
        <f>IF('Data - Sample Type 1'!L68="","",'Data - Sample Type 1'!L68)</f>
        <v>MTB DETECTED;INH Resistance NOT DETECTED;FLQ Resistance NOT DETECTED;AMK Resistance NOT DETECTED;KAN Resistance NOT DETECTED;CAP Resistance NOT DETECTED;ETH Resistance NOT DETECTED</v>
      </c>
      <c r="C196" s="75" t="str">
        <f>IF(B196="","",IF(B196="INVALID",IF('Data - Sample Type 1'!NK68="","INVALID",'Data - Sample Type 1'!NK68),IF(B196="ERROR",'Data - Sample Type 1'!NK68,IF(B196="NO RESULT",'Data - Sample Type 1'!NK68,IF(B196="V","MINOR VISUAL",IF(B196="M","MAJOR VISUAL",IF(B196="B","BARCODE FAIL",IF(B196="D","DELAMINATION",IF(COUNTIF(B196,$D$128)+(COUNTIF(B196,$F$128))&lt;&gt;1,"MAJOR FUNCTIONAL",IF(COUNTIF(B196,$F$128)=1,"MINOR FUNCTIONAL",IF(COUNTIF(B196,$F$128)=1,"MINOR FUNCTIONAL",IF('Data - Sample Type 1'!Q68="","DATA ENTRY ERROR",IF('Data - Sample Type 1'!Q68=0,"SPC CT=0","PASS")))))))))))))</f>
        <v>PASS</v>
      </c>
      <c r="D196" s="77" t="str">
        <f>IF(C196="","",IF('Data - Sample Type 1'!NI68="","N/A",IF('Data - Sample Type 1'!NI68&lt;Specifications!$D$3,"PASS","FAIL")))</f>
        <v>PASS</v>
      </c>
      <c r="E196" s="174"/>
    </row>
    <row r="197" spans="1:5" x14ac:dyDescent="0.2">
      <c r="A197" s="73" t="str">
        <f>IF('Data - Sample Type 1'!C69="","",'Data - Sample Type 1'!C69)</f>
        <v>D15JAN26A_09_1_14X</v>
      </c>
      <c r="B197" s="74" t="str">
        <f>IF('Data - Sample Type 1'!L69="","",'Data - Sample Type 1'!L69)</f>
        <v>MTB DETECTED;INH Resistance NOT DETECTED;FLQ Resistance NOT DETECTED;AMK Resistance NOT DETECTED;KAN Resistance NOT DETECTED;CAP Resistance NOT DETECTED;ETH Resistance NOT DETECTED</v>
      </c>
      <c r="C197" s="75" t="str">
        <f>IF(B197="","",IF(B197="INVALID",IF('Data - Sample Type 1'!NK69="","INVALID",'Data - Sample Type 1'!NK69),IF(B197="ERROR",'Data - Sample Type 1'!NK69,IF(B197="NO RESULT",'Data - Sample Type 1'!NK69,IF(B197="V","MINOR VISUAL",IF(B197="M","MAJOR VISUAL",IF(B197="B","BARCODE FAIL",IF(B197="D","DELAMINATION",IF(COUNTIF(B197,$D$128)+(COUNTIF(B197,$F$128))&lt;&gt;1,"MAJOR FUNCTIONAL",IF(COUNTIF(B197,$F$128)=1,"MINOR FUNCTIONAL",IF(COUNTIF(B197,$F$128)=1,"MINOR FUNCTIONAL",IF('Data - Sample Type 1'!Q69="","DATA ENTRY ERROR",IF('Data - Sample Type 1'!Q69=0,"SPC CT=0","PASS")))))))))))))</f>
        <v>PASS</v>
      </c>
      <c r="D197" s="77" t="str">
        <f>IF(C197="","",IF('Data - Sample Type 1'!NI69="","N/A",IF('Data - Sample Type 1'!NI69&lt;Specifications!$D$3,"PASS","FAIL")))</f>
        <v>PASS</v>
      </c>
      <c r="E197" s="174"/>
    </row>
    <row r="198" spans="1:5" x14ac:dyDescent="0.2">
      <c r="A198" s="73" t="str">
        <f>IF('Data - Sample Type 1'!C70="","",'Data - Sample Type 1'!C70)</f>
        <v>D15JAN26A_09_1_15+</v>
      </c>
      <c r="B198" s="74" t="str">
        <f>IF('Data - Sample Type 1'!L70="","",'Data - Sample Type 1'!L70)</f>
        <v>MTB DETECTED;INH Resistance NOT DETECTED;FLQ Resistance NOT DETECTED;AMK Resistance NOT DETECTED;KAN Resistance NOT DETECTED;CAP Resistance NOT DETECTED;ETH Resistance NOT DETECTED</v>
      </c>
      <c r="C198" s="75" t="str">
        <f>IF(B198="","",IF(B198="INVALID",IF('Data - Sample Type 1'!NK70="","INVALID",'Data - Sample Type 1'!NK70),IF(B198="ERROR",'Data - Sample Type 1'!NK70,IF(B198="NO RESULT",'Data - Sample Type 1'!NK70,IF(B198="V","MINOR VISUAL",IF(B198="M","MAJOR VISUAL",IF(B198="B","BARCODE FAIL",IF(B198="D","DELAMINATION",IF(COUNTIF(B198,$D$128)+(COUNTIF(B198,$F$128))&lt;&gt;1,"MAJOR FUNCTIONAL",IF(COUNTIF(B198,$F$128)=1,"MINOR FUNCTIONAL",IF(COUNTIF(B198,$F$128)=1,"MINOR FUNCTIONAL",IF('Data - Sample Type 1'!Q70="","DATA ENTRY ERROR",IF('Data - Sample Type 1'!Q70=0,"SPC CT=0","PASS")))))))))))))</f>
        <v>PASS</v>
      </c>
      <c r="D198" s="77" t="str">
        <f>IF(C198="","",IF('Data - Sample Type 1'!NI70="","N/A",IF('Data - Sample Type 1'!NI70&lt;Specifications!$D$3,"PASS","FAIL")))</f>
        <v>PASS</v>
      </c>
      <c r="E198" s="174"/>
    </row>
    <row r="199" spans="1:5" x14ac:dyDescent="0.2">
      <c r="A199" s="73" t="str">
        <f>IF('Data - Sample Type 1'!C71="","",'Data - Sample Type 1'!C71)</f>
        <v>D15JAN26A_09_1_16+</v>
      </c>
      <c r="B199" s="74" t="str">
        <f>IF('Data - Sample Type 1'!L71="","",'Data - Sample Type 1'!L71)</f>
        <v>MTB DETECTED;INH Resistance NOT DETECTED;FLQ Resistance NOT DETECTED;AMK Resistance NOT DETECTED;KAN Resistance NOT DETECTED;CAP Resistance NOT DETECTED;ETH Resistance NOT DETECTED</v>
      </c>
      <c r="C199" s="75" t="str">
        <f>IF(B199="","",IF(B199="INVALID",IF('Data - Sample Type 1'!NK71="","INVALID",'Data - Sample Type 1'!NK71),IF(B199="ERROR",'Data - Sample Type 1'!NK71,IF(B199="NO RESULT",'Data - Sample Type 1'!NK71,IF(B199="V","MINOR VISUAL",IF(B199="M","MAJOR VISUAL",IF(B199="B","BARCODE FAIL",IF(B199="D","DELAMINATION",IF(COUNTIF(B199,$D$128)+(COUNTIF(B199,$F$128))&lt;&gt;1,"MAJOR FUNCTIONAL",IF(COUNTIF(B199,$F$128)=1,"MINOR FUNCTIONAL",IF(COUNTIF(B199,$F$128)=1,"MINOR FUNCTIONAL",IF('Data - Sample Type 1'!Q71="","DATA ENTRY ERROR",IF('Data - Sample Type 1'!Q71=0,"SPC CT=0","PASS")))))))))))))</f>
        <v>PASS</v>
      </c>
      <c r="D199" s="77" t="str">
        <f>IF(C199="","",IF('Data - Sample Type 1'!NI71="","N/A",IF('Data - Sample Type 1'!NI71&lt;Specifications!$D$3,"PASS","FAIL")))</f>
        <v>PASS</v>
      </c>
      <c r="E199" s="174"/>
    </row>
    <row r="200" spans="1:5" x14ac:dyDescent="0.2">
      <c r="A200" s="73" t="str">
        <f>IF('Data - Sample Type 1'!C72="","",'Data - Sample Type 1'!C72)</f>
        <v>D15JAN26A_09_1_17+</v>
      </c>
      <c r="B200" s="74" t="str">
        <f>IF('Data - Sample Type 1'!L72="","",'Data - Sample Type 1'!L72)</f>
        <v>MTB DETECTED;INH Resistance NOT DETECTED;FLQ Resistance NOT DETECTED;AMK Resistance NOT DETECTED;KAN Resistance NOT DETECTED;CAP Resistance NOT DETECTED;ETH Resistance NOT DETECTED</v>
      </c>
      <c r="C200" s="75" t="str">
        <f>IF(B200="","",IF(B200="INVALID",IF('Data - Sample Type 1'!NK72="","INVALID",'Data - Sample Type 1'!NK72),IF(B200="ERROR",'Data - Sample Type 1'!NK72,IF(B200="NO RESULT",'Data - Sample Type 1'!NK72,IF(B200="V","MINOR VISUAL",IF(B200="M","MAJOR VISUAL",IF(B200="B","BARCODE FAIL",IF(B200="D","DELAMINATION",IF(COUNTIF(B200,$D$128)+(COUNTIF(B200,$F$128))&lt;&gt;1,"MAJOR FUNCTIONAL",IF(COUNTIF(B200,$F$128)=1,"MINOR FUNCTIONAL",IF(COUNTIF(B200,$F$128)=1,"MINOR FUNCTIONAL",IF('Data - Sample Type 1'!Q72="","DATA ENTRY ERROR",IF('Data - Sample Type 1'!Q72=0,"SPC CT=0","PASS")))))))))))))</f>
        <v>PASS</v>
      </c>
      <c r="D200" s="77" t="str">
        <f>IF(C200="","",IF('Data - Sample Type 1'!NI72="","N/A",IF('Data - Sample Type 1'!NI72&lt;Specifications!$D$3,"PASS","FAIL")))</f>
        <v>PASS</v>
      </c>
      <c r="E200" s="174"/>
    </row>
    <row r="201" spans="1:5" x14ac:dyDescent="0.2">
      <c r="A201" s="73" t="str">
        <f>IF('Data - Sample Type 1'!C73="","",'Data - Sample Type 1'!C73)</f>
        <v>D15JAN26A_09_1_18+</v>
      </c>
      <c r="B201" s="74" t="str">
        <f>IF('Data - Sample Type 1'!L73="","",'Data - Sample Type 1'!L73)</f>
        <v>MTB DETECTED;INH Resistance NOT DETECTED;FLQ Resistance NOT DETECTED;AMK Resistance NOT DETECTED;KAN Resistance NOT DETECTED;CAP Resistance NOT DETECTED;ETH Resistance NOT DETECTED</v>
      </c>
      <c r="C201" s="75" t="str">
        <f>IF(B201="","",IF(B201="INVALID",IF('Data - Sample Type 1'!NK73="","INVALID",'Data - Sample Type 1'!NK73),IF(B201="ERROR",'Data - Sample Type 1'!NK73,IF(B201="NO RESULT",'Data - Sample Type 1'!NK73,IF(B201="V","MINOR VISUAL",IF(B201="M","MAJOR VISUAL",IF(B201="B","BARCODE FAIL",IF(B201="D","DELAMINATION",IF(COUNTIF(B201,$D$128)+(COUNTIF(B201,$F$128))&lt;&gt;1,"MAJOR FUNCTIONAL",IF(COUNTIF(B201,$F$128)=1,"MINOR FUNCTIONAL",IF(COUNTIF(B201,$F$128)=1,"MINOR FUNCTIONAL",IF('Data - Sample Type 1'!Q73="","DATA ENTRY ERROR",IF('Data - Sample Type 1'!Q73=0,"SPC CT=0","PASS")))))))))))))</f>
        <v>PASS</v>
      </c>
      <c r="D201" s="77" t="str">
        <f>IF(C201="","",IF('Data - Sample Type 1'!NI73="","N/A",IF('Data - Sample Type 1'!NI73&lt;Specifications!$D$3,"PASS","FAIL")))</f>
        <v>PASS</v>
      </c>
      <c r="E201" s="174"/>
    </row>
    <row r="202" spans="1:5" x14ac:dyDescent="0.2">
      <c r="A202" s="73" t="str">
        <f>IF('Data - Sample Type 1'!C74="","",'Data - Sample Type 1'!C74)</f>
        <v>D15JAN26A_10_1_11X</v>
      </c>
      <c r="B202" s="74" t="str">
        <f>IF('Data - Sample Type 1'!L74="","",'Data - Sample Type 1'!L74)</f>
        <v>MTB DETECTED;INH Resistance NOT DETECTED;FLQ Resistance NOT DETECTED;AMK Resistance NOT DETECTED;KAN Resistance NOT DETECTED;CAP Resistance NOT DETECTED;ETH Resistance NOT DETECTED</v>
      </c>
      <c r="C202" s="75" t="str">
        <f>IF(B202="","",IF(B202="INVALID",IF('Data - Sample Type 1'!NK74="","INVALID",'Data - Sample Type 1'!NK74),IF(B202="ERROR",'Data - Sample Type 1'!NK74,IF(B202="NO RESULT",'Data - Sample Type 1'!NK74,IF(B202="V","MINOR VISUAL",IF(B202="M","MAJOR VISUAL",IF(B202="B","BARCODE FAIL",IF(B202="D","DELAMINATION",IF(COUNTIF(B202,$D$128)+(COUNTIF(B202,$F$128))&lt;&gt;1,"MAJOR FUNCTIONAL",IF(COUNTIF(B202,$F$128)=1,"MINOR FUNCTIONAL",IF(COUNTIF(B202,$F$128)=1,"MINOR FUNCTIONAL",IF('Data - Sample Type 1'!Q74="","DATA ENTRY ERROR",IF('Data - Sample Type 1'!Q74=0,"SPC CT=0","PASS")))))))))))))</f>
        <v>PASS</v>
      </c>
      <c r="D202" s="77" t="str">
        <f>IF(C202="","",IF('Data - Sample Type 1'!NI74="","N/A",IF('Data - Sample Type 1'!NI74&lt;Specifications!$D$3,"PASS","FAIL")))</f>
        <v>PASS</v>
      </c>
      <c r="E202" s="174"/>
    </row>
    <row r="203" spans="1:5" x14ac:dyDescent="0.2">
      <c r="A203" s="73" t="str">
        <f>IF('Data - Sample Type 1'!C75="","",'Data - Sample Type 1'!C75)</f>
        <v>D15JAN26A_10_1_12X</v>
      </c>
      <c r="B203" s="74" t="str">
        <f>IF('Data - Sample Type 1'!L75="","",'Data - Sample Type 1'!L75)</f>
        <v>MTB DETECTED;INH Resistance NOT DETECTED;FLQ Resistance NOT DETECTED;AMK Resistance NOT DETECTED;KAN Resistance NOT DETECTED;CAP Resistance NOT DETECTED;ETH Resistance NOT DETECTED</v>
      </c>
      <c r="C203" s="75" t="str">
        <f>IF(B203="","",IF(B203="INVALID",IF('Data - Sample Type 1'!NK75="","INVALID",'Data - Sample Type 1'!NK75),IF(B203="ERROR",'Data - Sample Type 1'!NK75,IF(B203="NO RESULT",'Data - Sample Type 1'!NK75,IF(B203="V","MINOR VISUAL",IF(B203="M","MAJOR VISUAL",IF(B203="B","BARCODE FAIL",IF(B203="D","DELAMINATION",IF(COUNTIF(B203,$D$128)+(COUNTIF(B203,$F$128))&lt;&gt;1,"MAJOR FUNCTIONAL",IF(COUNTIF(B203,$F$128)=1,"MINOR FUNCTIONAL",IF(COUNTIF(B203,$F$128)=1,"MINOR FUNCTIONAL",IF('Data - Sample Type 1'!Q75="","DATA ENTRY ERROR",IF('Data - Sample Type 1'!Q75=0,"SPC CT=0","PASS")))))))))))))</f>
        <v>PASS</v>
      </c>
      <c r="D203" s="77" t="str">
        <f>IF(C203="","",IF('Data - Sample Type 1'!NI75="","N/A",IF('Data - Sample Type 1'!NI75&lt;Specifications!$D$3,"PASS","FAIL")))</f>
        <v>PASS</v>
      </c>
      <c r="E203" s="174"/>
    </row>
    <row r="204" spans="1:5" x14ac:dyDescent="0.2">
      <c r="A204" s="73" t="str">
        <f>IF('Data - Sample Type 1'!C76="","",'Data - Sample Type 1'!C76)</f>
        <v>D15JAN26A_10_1_13X</v>
      </c>
      <c r="B204" s="74" t="str">
        <f>IF('Data - Sample Type 1'!L76="","",'Data - Sample Type 1'!L76)</f>
        <v>MTB DETECTED;INH Resistance NOT DETECTED;FLQ Resistance NOT DETECTED;AMK Resistance NOT DETECTED;KAN Resistance NOT DETECTED;CAP Resistance NOT DETECTED;ETH Resistance NOT DETECTED</v>
      </c>
      <c r="C204" s="75" t="str">
        <f>IF(B204="","",IF(B204="INVALID",IF('Data - Sample Type 1'!NK76="","INVALID",'Data - Sample Type 1'!NK76),IF(B204="ERROR",'Data - Sample Type 1'!NK76,IF(B204="NO RESULT",'Data - Sample Type 1'!NK76,IF(B204="V","MINOR VISUAL",IF(B204="M","MAJOR VISUAL",IF(B204="B","BARCODE FAIL",IF(B204="D","DELAMINATION",IF(COUNTIF(B204,$D$128)+(COUNTIF(B204,$F$128))&lt;&gt;1,"MAJOR FUNCTIONAL",IF(COUNTIF(B204,$F$128)=1,"MINOR FUNCTIONAL",IF(COUNTIF(B204,$F$128)=1,"MINOR FUNCTIONAL",IF('Data - Sample Type 1'!Q76="","DATA ENTRY ERROR",IF('Data - Sample Type 1'!Q76=0,"SPC CT=0","PASS")))))))))))))</f>
        <v>PASS</v>
      </c>
      <c r="D204" s="77" t="str">
        <f>IF(C204="","",IF('Data - Sample Type 1'!NI76="","N/A",IF('Data - Sample Type 1'!NI76&lt;Specifications!$D$3,"PASS","FAIL")))</f>
        <v>PASS</v>
      </c>
      <c r="E204" s="174"/>
    </row>
    <row r="205" spans="1:5" x14ac:dyDescent="0.2">
      <c r="A205" s="73" t="str">
        <f>IF('Data - Sample Type 1'!C77="","",'Data - Sample Type 1'!C77)</f>
        <v>D15JAN26A_10_1_14X</v>
      </c>
      <c r="B205" s="74" t="str">
        <f>IF('Data - Sample Type 1'!L77="","",'Data - Sample Type 1'!L77)</f>
        <v>MTB DETECTED;INH Resistance NOT DETECTED;FLQ Resistance NOT DETECTED;AMK Resistance NOT DETECTED;KAN Resistance NOT DETECTED;CAP Resistance NOT DETECTED;ETH Resistance NOT DETECTED</v>
      </c>
      <c r="C205" s="75" t="str">
        <f>IF(B205="","",IF(B205="INVALID",IF('Data - Sample Type 1'!NK77="","INVALID",'Data - Sample Type 1'!NK77),IF(B205="ERROR",'Data - Sample Type 1'!NK77,IF(B205="NO RESULT",'Data - Sample Type 1'!NK77,IF(B205="V","MINOR VISUAL",IF(B205="M","MAJOR VISUAL",IF(B205="B","BARCODE FAIL",IF(B205="D","DELAMINATION",IF(COUNTIF(B205,$D$128)+(COUNTIF(B205,$F$128))&lt;&gt;1,"MAJOR FUNCTIONAL",IF(COUNTIF(B205,$F$128)=1,"MINOR FUNCTIONAL",IF(COUNTIF(B205,$F$128)=1,"MINOR FUNCTIONAL",IF('Data - Sample Type 1'!Q77="","DATA ENTRY ERROR",IF('Data - Sample Type 1'!Q77=0,"SPC CT=0","PASS")))))))))))))</f>
        <v>PASS</v>
      </c>
      <c r="D205" s="77" t="str">
        <f>IF(C205="","",IF('Data - Sample Type 1'!NI77="","N/A",IF('Data - Sample Type 1'!NI77&lt;Specifications!$D$3,"PASS","FAIL")))</f>
        <v>PASS</v>
      </c>
      <c r="E205" s="174"/>
    </row>
    <row r="206" spans="1:5" x14ac:dyDescent="0.2">
      <c r="A206" s="73" t="str">
        <f>IF('Data - Sample Type 1'!C78="","",'Data - Sample Type 1'!C78)</f>
        <v>D15JAN26A_10_1_15+</v>
      </c>
      <c r="B206" s="74" t="str">
        <f>IF('Data - Sample Type 1'!L78="","",'Data - Sample Type 1'!L78)</f>
        <v>MTB DETECTED;INH Resistance NOT DETECTED;FLQ Resistance NOT DETECTED;AMK Resistance NOT DETECTED;KAN Resistance NOT DETECTED;CAP Resistance NOT DETECTED;ETH Resistance NOT DETECTED</v>
      </c>
      <c r="C206" s="75" t="str">
        <f>IF(B206="","",IF(B206="INVALID",IF('Data - Sample Type 1'!NK78="","INVALID",'Data - Sample Type 1'!NK78),IF(B206="ERROR",'Data - Sample Type 1'!NK78,IF(B206="NO RESULT",'Data - Sample Type 1'!NK78,IF(B206="V","MINOR VISUAL",IF(B206="M","MAJOR VISUAL",IF(B206="B","BARCODE FAIL",IF(B206="D","DELAMINATION",IF(COUNTIF(B206,$D$128)+(COUNTIF(B206,$F$128))&lt;&gt;1,"MAJOR FUNCTIONAL",IF(COUNTIF(B206,$F$128)=1,"MINOR FUNCTIONAL",IF(COUNTIF(B206,$F$128)=1,"MINOR FUNCTIONAL",IF('Data - Sample Type 1'!Q78="","DATA ENTRY ERROR",IF('Data - Sample Type 1'!Q78=0,"SPC CT=0","PASS")))))))))))))</f>
        <v>PASS</v>
      </c>
      <c r="D206" s="77" t="str">
        <f>IF(C206="","",IF('Data - Sample Type 1'!NI78="","N/A",IF('Data - Sample Type 1'!NI78&lt;Specifications!$D$3,"PASS","FAIL")))</f>
        <v>PASS</v>
      </c>
      <c r="E206" s="174"/>
    </row>
    <row r="207" spans="1:5" x14ac:dyDescent="0.2">
      <c r="A207" s="73" t="str">
        <f>IF('Data - Sample Type 1'!C79="","",'Data - Sample Type 1'!C79)</f>
        <v>D15JAN26A_10_1_16+</v>
      </c>
      <c r="B207" s="74" t="str">
        <f>IF('Data - Sample Type 1'!L79="","",'Data - Sample Type 1'!L79)</f>
        <v>MTB DETECTED;INH Resistance NOT DETECTED;FLQ Resistance NOT DETECTED;AMK Resistance NOT DETECTED;KAN Resistance NOT DETECTED;CAP Resistance NOT DETECTED;ETH Resistance NOT DETECTED</v>
      </c>
      <c r="C207" s="75" t="str">
        <f>IF(B207="","",IF(B207="INVALID",IF('Data - Sample Type 1'!NK79="","INVALID",'Data - Sample Type 1'!NK79),IF(B207="ERROR",'Data - Sample Type 1'!NK79,IF(B207="NO RESULT",'Data - Sample Type 1'!NK79,IF(B207="V","MINOR VISUAL",IF(B207="M","MAJOR VISUAL",IF(B207="B","BARCODE FAIL",IF(B207="D","DELAMINATION",IF(COUNTIF(B207,$D$128)+(COUNTIF(B207,$F$128))&lt;&gt;1,"MAJOR FUNCTIONAL",IF(COUNTIF(B207,$F$128)=1,"MINOR FUNCTIONAL",IF(COUNTIF(B207,$F$128)=1,"MINOR FUNCTIONAL",IF('Data - Sample Type 1'!Q79="","DATA ENTRY ERROR",IF('Data - Sample Type 1'!Q79=0,"SPC CT=0","PASS")))))))))))))</f>
        <v>PASS</v>
      </c>
      <c r="D207" s="77" t="str">
        <f>IF(C207="","",IF('Data - Sample Type 1'!NI79="","N/A",IF('Data - Sample Type 1'!NI79&lt;Specifications!$D$3,"PASS","FAIL")))</f>
        <v>PASS</v>
      </c>
      <c r="E207" s="174"/>
    </row>
    <row r="208" spans="1:5" x14ac:dyDescent="0.2">
      <c r="A208" s="73" t="str">
        <f>IF('Data - Sample Type 1'!C80="","",'Data - Sample Type 1'!C80)</f>
        <v>D15JAN26A_10_1_17+</v>
      </c>
      <c r="B208" s="74" t="str">
        <f>IF('Data - Sample Type 1'!L80="","",'Data - Sample Type 1'!L80)</f>
        <v>MTB DETECTED;INH Resistance NOT DETECTED;FLQ Resistance NOT DETECTED;AMK Resistance NOT DETECTED;KAN Resistance NOT DETECTED;CAP Resistance NOT DETECTED;ETH Resistance NOT DETECTED</v>
      </c>
      <c r="C208" s="75" t="str">
        <f>IF(B208="","",IF(B208="INVALID",IF('Data - Sample Type 1'!NK80="","INVALID",'Data - Sample Type 1'!NK80),IF(B208="ERROR",'Data - Sample Type 1'!NK80,IF(B208="NO RESULT",'Data - Sample Type 1'!NK80,IF(B208="V","MINOR VISUAL",IF(B208="M","MAJOR VISUAL",IF(B208="B","BARCODE FAIL",IF(B208="D","DELAMINATION",IF(COUNTIF(B208,$D$128)+(COUNTIF(B208,$F$128))&lt;&gt;1,"MAJOR FUNCTIONAL",IF(COUNTIF(B208,$F$128)=1,"MINOR FUNCTIONAL",IF(COUNTIF(B208,$F$128)=1,"MINOR FUNCTIONAL",IF('Data - Sample Type 1'!Q80="","DATA ENTRY ERROR",IF('Data - Sample Type 1'!Q80=0,"SPC CT=0","PASS")))))))))))))</f>
        <v>PASS</v>
      </c>
      <c r="D208" s="77" t="str">
        <f>IF(C208="","",IF('Data - Sample Type 1'!NI80="","N/A",IF('Data - Sample Type 1'!NI80&lt;Specifications!$D$3,"PASS","FAIL")))</f>
        <v>PASS</v>
      </c>
      <c r="E208" s="174"/>
    </row>
    <row r="209" spans="1:6" ht="15.75" customHeight="1" x14ac:dyDescent="0.2">
      <c r="A209" s="73" t="str">
        <f>IF('Data - Sample Type 1'!C81="","",'Data - Sample Type 1'!C81)</f>
        <v>D15JAN26A_10_1_18+</v>
      </c>
      <c r="B209" s="74" t="str">
        <f>IF('Data - Sample Type 1'!L81="","",'Data - Sample Type 1'!L81)</f>
        <v>MTB DETECTED;INH Resistance NOT DETECTED;FLQ Resistance NOT DETECTED;AMK Resistance NOT DETECTED;KAN Resistance NOT DETECTED;CAP Resistance NOT DETECTED;ETH Resistance NOT DETECTED</v>
      </c>
      <c r="C209" s="75" t="str">
        <f>IF(B209="","",IF(B209="INVALID",IF('Data - Sample Type 1'!NK81="","INVALID",'Data - Sample Type 1'!NK81),IF(B209="ERROR",'Data - Sample Type 1'!NK81,IF(B209="NO RESULT",'Data - Sample Type 1'!NK81,IF(B209="V","MINOR VISUAL",IF(B209="M","MAJOR VISUAL",IF(B209="B","BARCODE FAIL",IF(B209="D","DELAMINATION",IF(COUNTIF(B209,$D$128)+(COUNTIF(B209,$F$128))&lt;&gt;1,"MAJOR FUNCTIONAL",IF(COUNTIF(B209,$F$128)=1,"MINOR FUNCTIONAL",IF(COUNTIF(B209,$F$128)=1,"MINOR FUNCTIONAL",IF('Data - Sample Type 1'!Q81="","DATA ENTRY ERROR",IF('Data - Sample Type 1'!Q81=0,"SPC CT=0","PASS")))))))))))))</f>
        <v>PASS</v>
      </c>
      <c r="D209" s="77" t="str">
        <f>IF(C209="","",IF('Data - Sample Type 1'!NI81="","N/A",IF('Data - Sample Type 1'!NI81&lt;Specifications!$D$3,"PASS","FAIL")))</f>
        <v>PASS</v>
      </c>
      <c r="E209" s="174"/>
    </row>
    <row r="210" spans="1:6" ht="15.75" customHeight="1" x14ac:dyDescent="0.2"/>
    <row r="211" spans="1:6" s="83" customFormat="1" ht="15.75" x14ac:dyDescent="0.2">
      <c r="A211" s="84" t="s">
        <v>143</v>
      </c>
      <c r="B211" s="85">
        <v>2</v>
      </c>
      <c r="C211" s="86" t="s">
        <v>130</v>
      </c>
      <c r="D211" s="363">
        <f>COUNTIF('Data - Sample Type 2'!A2:A21,"&lt;&gt;"&amp;"")</f>
        <v>20</v>
      </c>
      <c r="E211" s="363"/>
    </row>
    <row r="212" spans="1:6" s="83" customFormat="1" ht="15.75" x14ac:dyDescent="0.2">
      <c r="A212" s="84" t="s">
        <v>146</v>
      </c>
      <c r="B212" s="87" t="str">
        <f>IF($C$3="","",IF(D211=0,"NO DATA",IF(COUNTIF('Data - Sample Type 2'!$E$2:$E$21,$C$3)=D211,"VALID","")))</f>
        <v>VALID</v>
      </c>
      <c r="C212" s="88" t="s">
        <v>128</v>
      </c>
      <c r="D212" s="363" t="str">
        <f>IF($C$4="","",IF(D211=2,"NO DATA",IF(COUNTIF('Data - Sample Type 2'!$A$2:$A$21,$C$4)=D211,"VALID","")))</f>
        <v>VALID</v>
      </c>
      <c r="E212" s="363"/>
      <c r="F212" s="252" t="s">
        <v>521</v>
      </c>
    </row>
    <row r="213" spans="1:6" s="83" customFormat="1" ht="60" customHeight="1" x14ac:dyDescent="0.2">
      <c r="A213" s="88" t="s">
        <v>161</v>
      </c>
      <c r="B213" s="87" t="str">
        <f>IF(Specifications!$B$9=$D$211,"PASS","FAIL")</f>
        <v>PASS</v>
      </c>
      <c r="C213" s="95" t="s">
        <v>65</v>
      </c>
      <c r="D213" s="356" t="str">
        <f>LOOKUP($C$2,Specifications!$A$11:$A$14,Specifications!$F$11:F$14)</f>
        <v>MTB DETECTED;INH Resistance DETECTED;FLQ Resistance DETECTED;AMK Resistance DETECTED;KAN Resistance DETECTED;CAP Resistance DETECTED;ETH Resistance DETECTED</v>
      </c>
      <c r="E213" s="357"/>
      <c r="F213" s="253" t="str">
        <f>IF(D211=0,"N/A","MTB DETECTED;INH Resistance DETECTED;FLQ Resistance DETECTED;AMK Resistance DETECTED;KAN Resistance DETECTED;CAP Resistance INDETERMINATE;ETH Resistance DETECTED")</f>
        <v>MTB DETECTED;INH Resistance DETECTED;FLQ Resistance DETECTED;AMK Resistance DETECTED;KAN Resistance DETECTED;CAP Resistance INDETERMINATE;ETH Resistance DETECTED</v>
      </c>
    </row>
    <row r="214" spans="1:6" x14ac:dyDescent="0.2">
      <c r="A214" s="69" t="s">
        <v>96</v>
      </c>
      <c r="B214" s="70" t="s">
        <v>131</v>
      </c>
      <c r="C214" s="71" t="s">
        <v>132</v>
      </c>
      <c r="D214" s="69" t="s">
        <v>133</v>
      </c>
      <c r="E214" s="72" t="s">
        <v>282</v>
      </c>
    </row>
    <row r="215" spans="1:6" x14ac:dyDescent="0.2">
      <c r="A215" s="73" t="str">
        <f>IF('Data - Sample Type 2'!C2="","",'Data - Sample Type 2'!C2)</f>
        <v>K0MAR26A_01_2_19AX</v>
      </c>
      <c r="B215" s="74" t="str">
        <f>IF('Data - Sample Type 2'!L2="","",'Data - Sample Type 2'!L2)</f>
        <v>MTB DETECTED;INH Resistance DETECTED;FLQ Resistance DETECTED;AMK Resistance DETECTED;KAN Resistance DETECTED;CAP Resistance INDETERMINATE;ETH Resistance DETECTED</v>
      </c>
      <c r="C215" s="75" t="str">
        <f>IF(B215="","",IF(B215="INVALID",IF('Data - Sample Type 2'!NK2="","INVALID",'Data - Sample Type 2'!NK2),IF(B215="ERROR",'Data - Sample Type 2'!NK2,IF(B215="NO RESULT",'Data - Sample Type 2'!NK2,IF(B215="V","MINOR VISUAL",IF(B215="M","MAJOR VISUAL",IF(B215="B","BARCODE FAIL",IF(B215="D","DELAMINATION",IF(COUNTIF(B215,$D$213)+(COUNTIF(B215,$F$213))&lt;&gt;1,"MAJOR FUNCTIONAL",IF(COUNTIF(B215,$F$213)=1,"MINOR FUNCTIONAL",IF('Data - Sample Type 2'!Q2="","DATA ENTRY ERROR",IF('Data - Sample Type 2'!Q2=0,"SPC CT=0","PASS"))))))))))))</f>
        <v>MINOR FUNCTIONAL</v>
      </c>
      <c r="D215" s="76" t="str">
        <f>IF(C215="","",IF('Data - Sample Type 2'!NI2="","N/A",IF('Data - Sample Type 2'!NI2&lt;Specifications!$D$3,"PASS","FAIL")))</f>
        <v>PASS</v>
      </c>
      <c r="E215" s="174"/>
    </row>
    <row r="216" spans="1:6" x14ac:dyDescent="0.2">
      <c r="A216" s="73" t="str">
        <f>IF('Data - Sample Type 2'!C3="","",'Data - Sample Type 2'!C3)</f>
        <v>K0MAR26A_01_2_20A+</v>
      </c>
      <c r="B216" s="74" t="str">
        <f>IF('Data - Sample Type 2'!L3="","",'Data - Sample Type 2'!L3)</f>
        <v>MTB DETECTED;INH Resistance DETECTED;FLQ Resistance DETECTED;AMK Resistance DETECTED;KAN Resistance DETECTED;CAP Resistance DETECTED;ETH Resistance DETECTED</v>
      </c>
      <c r="C216" s="75" t="str">
        <f>IF(B216="","",IF(B216="INVALID",IF('Data - Sample Type 2'!NK3="","INVALID",'Data - Sample Type 2'!NK3),IF(B216="ERROR",'Data - Sample Type 2'!NK3,IF(B216="NO RESULT",'Data - Sample Type 2'!NK3,IF(B216="V","MINOR VISUAL",IF(B216="M","MAJOR VISUAL",IF(B216="B","BARCODE FAIL",IF(B216="D","DELAMINATION",IF(COUNTIF(B216,$D$213)+(COUNTIF(B216,$F$213))&lt;&gt;1,"MAJOR FUNCTIONAL",IF(COUNTIF(B216,$F$213)=1,"MINOR FUNCTIONAL",IF('Data - Sample Type 2'!Q3="","DATA ENTRY ERROR",IF('Data - Sample Type 2'!Q3=0,"SPC CT=0","PASS"))))))))))))</f>
        <v>PASS</v>
      </c>
      <c r="D216" s="76" t="str">
        <f>IF(C216="","",IF('Data - Sample Type 2'!NI3="","N/A",IF('Data - Sample Type 2'!NI3&lt;Specifications!$D$3,"PASS","FAIL")))</f>
        <v>PASS</v>
      </c>
      <c r="E216" s="174"/>
    </row>
    <row r="217" spans="1:6" x14ac:dyDescent="0.2">
      <c r="A217" s="73" t="str">
        <f>IF('Data - Sample Type 2'!C4="","",'Data - Sample Type 2'!C4)</f>
        <v>K0MAR26A_02_2_19X</v>
      </c>
      <c r="B217" s="74" t="str">
        <f>IF('Data - Sample Type 2'!L4="","",'Data - Sample Type 2'!L4)</f>
        <v>MTB DETECTED;INH Resistance DETECTED;FLQ Resistance DETECTED;AMK Resistance DETECTED;KAN Resistance DETECTED;CAP Resistance DETECTED;ETH Resistance DETECTED</v>
      </c>
      <c r="C217" s="75" t="str">
        <f>IF(B217="","",IF(B217="INVALID",IF('Data - Sample Type 2'!NK4="","INVALID",'Data - Sample Type 2'!NK4),IF(B217="ERROR",'Data - Sample Type 2'!NK4,IF(B217="NO RESULT",'Data - Sample Type 2'!NK4,IF(B217="V","MINOR VISUAL",IF(B217="M","MAJOR VISUAL",IF(B217="B","BARCODE FAIL",IF(B217="D","DELAMINATION",IF(COUNTIF(B217,$D$213)+(COUNTIF(B217,$F$213))&lt;&gt;1,"MAJOR FUNCTIONAL",IF(COUNTIF(B217,$F$213)=1,"MINOR FUNCTIONAL",IF('Data - Sample Type 2'!Q4="","DATA ENTRY ERROR",IF('Data - Sample Type 2'!Q4=0,"SPC CT=0","PASS"))))))))))))</f>
        <v>PASS</v>
      </c>
      <c r="D217" s="76" t="str">
        <f>IF(C217="","",IF('Data - Sample Type 2'!NI4="","N/A",IF('Data - Sample Type 2'!NI4&lt;Specifications!$D$3,"PASS","FAIL")))</f>
        <v>PASS</v>
      </c>
      <c r="E217" s="174"/>
    </row>
    <row r="218" spans="1:6" x14ac:dyDescent="0.2">
      <c r="A218" s="73" t="str">
        <f>IF('Data - Sample Type 2'!C5="","",'Data - Sample Type 2'!C5)</f>
        <v>K0MAR26A_02_2_20+</v>
      </c>
      <c r="B218" s="74" t="str">
        <f>IF('Data - Sample Type 2'!L5="","",'Data - Sample Type 2'!L5)</f>
        <v>MTB DETECTED;INH Resistance DETECTED;FLQ Resistance DETECTED;AMK Resistance DETECTED;KAN Resistance DETECTED;CAP Resistance INDETERMINATE;ETH Resistance DETECTED</v>
      </c>
      <c r="C218" s="75" t="str">
        <f>IF(B218="","",IF(B218="INVALID",IF('Data - Sample Type 2'!NK5="","INVALID",'Data - Sample Type 2'!NK5),IF(B218="ERROR",'Data - Sample Type 2'!NK5,IF(B218="NO RESULT",'Data - Sample Type 2'!NK5,IF(B218="V","MINOR VISUAL",IF(B218="M","MAJOR VISUAL",IF(B218="B","BARCODE FAIL",IF(B218="D","DELAMINATION",IF(COUNTIF(B218,$D$213)+(COUNTIF(B218,$F$213))&lt;&gt;1,"MAJOR FUNCTIONAL",IF(COUNTIF(B218,$F$213)=1,"MINOR FUNCTIONAL",IF('Data - Sample Type 2'!Q5="","DATA ENTRY ERROR",IF('Data - Sample Type 2'!Q5=0,"SPC CT=0","PASS"))))))))))))</f>
        <v>MINOR FUNCTIONAL</v>
      </c>
      <c r="D218" s="76" t="str">
        <f>IF(C218="","",IF('Data - Sample Type 2'!NI5="","N/A",IF('Data - Sample Type 2'!NI5&lt;Specifications!$D$3,"PASS","FAIL")))</f>
        <v>PASS</v>
      </c>
      <c r="E218" s="174"/>
      <c r="F218" s="205"/>
    </row>
    <row r="219" spans="1:6" x14ac:dyDescent="0.2">
      <c r="A219" s="73" t="str">
        <f>IF('Data - Sample Type 2'!C6="","",'Data - Sample Type 2'!C6)</f>
        <v>K0MAR26A_03_2_19X</v>
      </c>
      <c r="B219" s="74" t="str">
        <f>IF('Data - Sample Type 2'!L6="","",'Data - Sample Type 2'!L6)</f>
        <v>MTB DETECTED;INH Resistance DETECTED;FLQ Resistance DETECTED;AMK Resistance DETECTED;KAN Resistance DETECTED;CAP Resistance DETECTED;ETH Resistance DETECTED</v>
      </c>
      <c r="C219" s="75" t="str">
        <f>IF(B219="","",IF(B219="INVALID",IF('Data - Sample Type 2'!NK6="","INVALID",'Data - Sample Type 2'!NK6),IF(B219="ERROR",'Data - Sample Type 2'!NK6,IF(B219="NO RESULT",'Data - Sample Type 2'!NK6,IF(B219="V","MINOR VISUAL",IF(B219="M","MAJOR VISUAL",IF(B219="B","BARCODE FAIL",IF(B219="D","DELAMINATION",IF(COUNTIF(B219,$D$213)+(COUNTIF(B219,$F$213))&lt;&gt;1,"MAJOR FUNCTIONAL",IF(COUNTIF(B219,$F$213)=1,"MINOR FUNCTIONAL",IF('Data - Sample Type 2'!Q6="","DATA ENTRY ERROR",IF('Data - Sample Type 2'!Q6=0,"SPC CT=0","PASS"))))))))))))</f>
        <v>PASS</v>
      </c>
      <c r="D219" s="76" t="str">
        <f>IF(C219="","",IF('Data - Sample Type 2'!NI6="","N/A",IF('Data - Sample Type 2'!NI6&lt;Specifications!$D$3,"PASS","FAIL")))</f>
        <v>PASS</v>
      </c>
      <c r="E219" s="174"/>
    </row>
    <row r="220" spans="1:6" x14ac:dyDescent="0.2">
      <c r="A220" s="73" t="str">
        <f>IF('Data - Sample Type 2'!C7="","",'Data - Sample Type 2'!C7)</f>
        <v>K0MAR26A_03_2_20+</v>
      </c>
      <c r="B220" s="74" t="str">
        <f>IF('Data - Sample Type 2'!L7="","",'Data - Sample Type 2'!L7)</f>
        <v>MTB DETECTED;INH Resistance DETECTED;FLQ Resistance DETECTED;AMK Resistance DETECTED;KAN Resistance DETECTED;CAP Resistance DETECTED;ETH Resistance DETECTED</v>
      </c>
      <c r="C220" s="75" t="str">
        <f>IF(B220="","",IF(B220="INVALID",IF('Data - Sample Type 2'!NK7="","INVALID",'Data - Sample Type 2'!NK7),IF(B220="ERROR",'Data - Sample Type 2'!NK7,IF(B220="NO RESULT",'Data - Sample Type 2'!NK7,IF(B220="V","MINOR VISUAL",IF(B220="M","MAJOR VISUAL",IF(B220="B","BARCODE FAIL",IF(B220="D","DELAMINATION",IF(COUNTIF(B220,$D$213)+(COUNTIF(B220,$F$213))&lt;&gt;1,"MAJOR FUNCTIONAL",IF(COUNTIF(B220,$F$213)=1,"MINOR FUNCTIONAL",IF('Data - Sample Type 2'!Q7="","DATA ENTRY ERROR",IF('Data - Sample Type 2'!Q7=0,"SPC CT=0","PASS"))))))))))))</f>
        <v>PASS</v>
      </c>
      <c r="D220" s="76" t="str">
        <f>IF(C220="","",IF('Data - Sample Type 2'!NI7="","N/A",IF('Data - Sample Type 2'!NI7&lt;Specifications!$D$3,"PASS","FAIL")))</f>
        <v>PASS</v>
      </c>
      <c r="E220" s="174"/>
    </row>
    <row r="221" spans="1:6" x14ac:dyDescent="0.2">
      <c r="A221" s="73" t="str">
        <f>IF('Data - Sample Type 2'!C8="","",'Data - Sample Type 2'!C8)</f>
        <v>K0MAR26A_04_2_19X</v>
      </c>
      <c r="B221" s="74" t="str">
        <f>IF('Data - Sample Type 2'!L8="","",'Data - Sample Type 2'!L8)</f>
        <v>MTB DETECTED;INH Resistance DETECTED;FLQ Resistance DETECTED;AMK Resistance DETECTED;KAN Resistance DETECTED;CAP Resistance INDETERMINATE;ETH Resistance DETECTED</v>
      </c>
      <c r="C221" s="75" t="str">
        <f>IF(B221="","",IF(B221="INVALID",IF('Data - Sample Type 2'!NK8="","INVALID",'Data - Sample Type 2'!NK8),IF(B221="ERROR",'Data - Sample Type 2'!NK8,IF(B221="NO RESULT",'Data - Sample Type 2'!NK8,IF(B221="V","MINOR VISUAL",IF(B221="M","MAJOR VISUAL",IF(B221="B","BARCODE FAIL",IF(B221="D","DELAMINATION",IF(COUNTIF(B221,$D$213)+(COUNTIF(B221,$F$213))&lt;&gt;1,"MAJOR FUNCTIONAL",IF(COUNTIF(B221,$F$213)=1,"MINOR FUNCTIONAL",IF('Data - Sample Type 2'!Q8="","DATA ENTRY ERROR",IF('Data - Sample Type 2'!Q8=0,"SPC CT=0","PASS"))))))))))))</f>
        <v>MINOR FUNCTIONAL</v>
      </c>
      <c r="D221" s="76" t="str">
        <f>IF(C221="","",IF('Data - Sample Type 2'!NI8="","N/A",IF('Data - Sample Type 2'!NI8&lt;Specifications!$D$3,"PASS","FAIL")))</f>
        <v>PASS</v>
      </c>
      <c r="E221" s="174"/>
    </row>
    <row r="222" spans="1:6" x14ac:dyDescent="0.2">
      <c r="A222" s="73" t="str">
        <f>IF('Data - Sample Type 2'!C9="","",'Data - Sample Type 2'!C9)</f>
        <v>K0MAR26A_04_2_20+</v>
      </c>
      <c r="B222" s="74" t="str">
        <f>IF('Data - Sample Type 2'!L9="","",'Data - Sample Type 2'!L9)</f>
        <v>MTB DETECTED;INH Resistance DETECTED;FLQ Resistance DETECTED;AMK Resistance DETECTED;KAN Resistance DETECTED;CAP Resistance DETECTED;ETH Resistance DETECTED</v>
      </c>
      <c r="C222" s="75" t="str">
        <f>IF(B222="","",IF(B222="INVALID",IF('Data - Sample Type 2'!NK9="","INVALID",'Data - Sample Type 2'!NK9),IF(B222="ERROR",'Data - Sample Type 2'!NK9,IF(B222="NO RESULT",'Data - Sample Type 2'!NK9,IF(B222="V","MINOR VISUAL",IF(B222="M","MAJOR VISUAL",IF(B222="B","BARCODE FAIL",IF(B222="D","DELAMINATION",IF(COUNTIF(B222,$D$213)+(COUNTIF(B222,$F$213))&lt;&gt;1,"MAJOR FUNCTIONAL",IF(COUNTIF(B222,$F$213)=1,"MINOR FUNCTIONAL",IF('Data - Sample Type 2'!Q9="","DATA ENTRY ERROR",IF('Data - Sample Type 2'!Q9=0,"SPC CT=0","PASS"))))))))))))</f>
        <v>PASS</v>
      </c>
      <c r="D222" s="76" t="str">
        <f>IF(C222="","",IF('Data - Sample Type 2'!NI9="","N/A",IF('Data - Sample Type 2'!NI9&lt;Specifications!$D$3,"PASS","FAIL")))</f>
        <v>PASS</v>
      </c>
      <c r="E222" s="174"/>
    </row>
    <row r="223" spans="1:6" x14ac:dyDescent="0.2">
      <c r="A223" s="73" t="str">
        <f>IF('Data - Sample Type 2'!C10="","",'Data - Sample Type 2'!C10)</f>
        <v>K0MAR26A_05_2_19X</v>
      </c>
      <c r="B223" s="74" t="str">
        <f>IF('Data - Sample Type 2'!L10="","",'Data - Sample Type 2'!L10)</f>
        <v>MTB DETECTED;INH Resistance DETECTED;FLQ Resistance DETECTED;AMK Resistance DETECTED;KAN Resistance DETECTED;CAP Resistance INDETERMINATE;ETH Resistance DETECTED</v>
      </c>
      <c r="C223" s="75" t="str">
        <f>IF(B223="","",IF(B223="INVALID",IF('Data - Sample Type 2'!NK10="","INVALID",'Data - Sample Type 2'!NK10),IF(B223="ERROR",'Data - Sample Type 2'!NK10,IF(B223="NO RESULT",'Data - Sample Type 2'!NK10,IF(B223="V","MINOR VISUAL",IF(B223="M","MAJOR VISUAL",IF(B223="B","BARCODE FAIL",IF(B223="D","DELAMINATION",IF(COUNTIF(B223,$D$213)+(COUNTIF(B223,$F$213))&lt;&gt;1,"MAJOR FUNCTIONAL",IF(COUNTIF(B223,$F$213)=1,"MINOR FUNCTIONAL",IF('Data - Sample Type 2'!Q10="","DATA ENTRY ERROR",IF('Data - Sample Type 2'!Q10=0,"SPC CT=0","PASS"))))))))))))</f>
        <v>MINOR FUNCTIONAL</v>
      </c>
      <c r="D223" s="76" t="str">
        <f>IF(C223="","",IF('Data - Sample Type 2'!NI10="","N/A",IF('Data - Sample Type 2'!NI10&lt;Specifications!$D$3,"PASS","FAIL")))</f>
        <v>PASS</v>
      </c>
      <c r="E223" s="174"/>
    </row>
    <row r="224" spans="1:6" x14ac:dyDescent="0.2">
      <c r="A224" s="73" t="str">
        <f>IF('Data - Sample Type 2'!C11="","",'Data - Sample Type 2'!C11)</f>
        <v>K0MAR26A_05_2_20+</v>
      </c>
      <c r="B224" s="74" t="str">
        <f>IF('Data - Sample Type 2'!L11="","",'Data - Sample Type 2'!L11)</f>
        <v>MTB DETECTED;INH Resistance DETECTED;FLQ Resistance DETECTED;AMK Resistance DETECTED;KAN Resistance DETECTED;CAP Resistance DETECTED;ETH Resistance DETECTED</v>
      </c>
      <c r="C224" s="75" t="str">
        <f>IF(B224="","",IF(B224="INVALID",IF('Data - Sample Type 2'!NK11="","INVALID",'Data - Sample Type 2'!NK11),IF(B224="ERROR",'Data - Sample Type 2'!NK11,IF(B224="NO RESULT",'Data - Sample Type 2'!NK11,IF(B224="V","MINOR VISUAL",IF(B224="M","MAJOR VISUAL",IF(B224="B","BARCODE FAIL",IF(B224="D","DELAMINATION",IF(COUNTIF(B224,$D$213)+(COUNTIF(B224,$F$213))&lt;&gt;1,"MAJOR FUNCTIONAL",IF(COUNTIF(B224,$F$213)=1,"MINOR FUNCTIONAL",IF('Data - Sample Type 2'!Q11="","DATA ENTRY ERROR",IF('Data - Sample Type 2'!Q11=0,"SPC CT=0","PASS"))))))))))))</f>
        <v>PASS</v>
      </c>
      <c r="D224" s="76" t="str">
        <f>IF(C224="","",IF('Data - Sample Type 2'!NI11="","N/A",IF('Data - Sample Type 2'!NI11&lt;Specifications!$D$3,"PASS","FAIL")))</f>
        <v>PASS</v>
      </c>
      <c r="E224" s="174"/>
    </row>
    <row r="225" spans="1:6" x14ac:dyDescent="0.2">
      <c r="A225" s="73" t="str">
        <f>IF('Data - Sample Type 2'!C12="","",'Data - Sample Type 2'!C12)</f>
        <v>K05MAR26A_06_2_19X</v>
      </c>
      <c r="B225" s="74" t="str">
        <f>IF('Data - Sample Type 2'!L12="","",'Data - Sample Type 2'!L12)</f>
        <v>MTB DETECTED;INH Resistance DETECTED;FLQ Resistance DETECTED;AMK Resistance DETECTED;KAN Resistance DETECTED;CAP Resistance DETECTED;ETH Resistance DETECTED</v>
      </c>
      <c r="C225" s="75" t="str">
        <f>IF(B225="","",IF(B225="INVALID",IF('Data - Sample Type 2'!NK12="","INVALID",'Data - Sample Type 2'!NK12),IF(B225="ERROR",'Data - Sample Type 2'!NK12,IF(B225="NO RESULT",'Data - Sample Type 2'!NK12,IF(B225="V","MINOR VISUAL",IF(B225="M","MAJOR VISUAL",IF(B225="B","BARCODE FAIL",IF(B225="D","DELAMINATION",IF(COUNTIF(B225,$D$213)+(COUNTIF(B225,$F$213))&lt;&gt;1,"MAJOR FUNCTIONAL",IF(COUNTIF(B225,$F$213)=1,"MINOR FUNCTIONAL",IF('Data - Sample Type 2'!Q12="","DATA ENTRY ERROR",IF('Data - Sample Type 2'!Q12=0,"SPC CT=0","PASS"))))))))))))</f>
        <v>PASS</v>
      </c>
      <c r="D225" s="76" t="str">
        <f>IF(C225="","",IF('Data - Sample Type 2'!NI12="","N/A",IF('Data - Sample Type 2'!NI12&lt;Specifications!$D$3,"PASS","FAIL")))</f>
        <v>PASS</v>
      </c>
      <c r="E225" s="174"/>
    </row>
    <row r="226" spans="1:6" x14ac:dyDescent="0.2">
      <c r="A226" s="73" t="str">
        <f>IF('Data - Sample Type 2'!C13="","",'Data - Sample Type 2'!C13)</f>
        <v>K05MAR26A_06_2_20+</v>
      </c>
      <c r="B226" s="74" t="str">
        <f>IF('Data - Sample Type 2'!L13="","",'Data - Sample Type 2'!L13)</f>
        <v>MTB DETECTED;INH Resistance DETECTED;FLQ Resistance DETECTED;AMK Resistance DETECTED;KAN Resistance DETECTED;CAP Resistance DETECTED;ETH Resistance DETECTED</v>
      </c>
      <c r="C226" s="75" t="str">
        <f>IF(B226="","",IF(B226="INVALID",IF('Data - Sample Type 2'!NK13="","INVALID",'Data - Sample Type 2'!NK13),IF(B226="ERROR",'Data - Sample Type 2'!NK13,IF(B226="NO RESULT",'Data - Sample Type 2'!NK13,IF(B226="V","MINOR VISUAL",IF(B226="M","MAJOR VISUAL",IF(B226="B","BARCODE FAIL",IF(B226="D","DELAMINATION",IF(COUNTIF(B226,$D$213)+(COUNTIF(B226,$F$213))&lt;&gt;1,"MAJOR FUNCTIONAL",IF(COUNTIF(B226,$F$213)=1,"MINOR FUNCTIONAL",IF('Data - Sample Type 2'!Q13="","DATA ENTRY ERROR",IF('Data - Sample Type 2'!Q13=0,"SPC CT=0","PASS"))))))))))))</f>
        <v>PASS</v>
      </c>
      <c r="D226" s="76" t="str">
        <f>IF(C226="","",IF('Data - Sample Type 2'!NI13="","N/A",IF('Data - Sample Type 2'!NI13&lt;Specifications!$D$3,"PASS","FAIL")))</f>
        <v>PASS</v>
      </c>
      <c r="E226" s="174"/>
    </row>
    <row r="227" spans="1:6" x14ac:dyDescent="0.2">
      <c r="A227" s="73" t="str">
        <f>IF('Data - Sample Type 2'!C14="","",'Data - Sample Type 2'!C14)</f>
        <v>K05MAR26A_07_2_19X</v>
      </c>
      <c r="B227" s="74" t="str">
        <f>IF('Data - Sample Type 2'!L14="","",'Data - Sample Type 2'!L14)</f>
        <v>MTB DETECTED;INH Resistance DETECTED;FLQ Resistance DETECTED;AMK Resistance DETECTED;KAN Resistance DETECTED;CAP Resistance DETECTED;ETH Resistance DETECTED</v>
      </c>
      <c r="C227" s="75" t="str">
        <f>IF(B227="","",IF(B227="INVALID",IF('Data - Sample Type 2'!NK14="","INVALID",'Data - Sample Type 2'!NK14),IF(B227="ERROR",'Data - Sample Type 2'!NK14,IF(B227="NO RESULT",'Data - Sample Type 2'!NK14,IF(B227="V","MINOR VISUAL",IF(B227="M","MAJOR VISUAL",IF(B227="B","BARCODE FAIL",IF(B227="D","DELAMINATION",IF(COUNTIF(B227,$D$213)+(COUNTIF(B227,$F$213))&lt;&gt;1,"MAJOR FUNCTIONAL",IF(COUNTIF(B227,$F$213)=1,"MINOR FUNCTIONAL",IF('Data - Sample Type 2'!Q14="","DATA ENTRY ERROR",IF('Data - Sample Type 2'!Q14=0,"SPC CT=0","PASS"))))))))))))</f>
        <v>PASS</v>
      </c>
      <c r="D227" s="76" t="str">
        <f>IF(C227="","",IF('Data - Sample Type 2'!NI14="","N/A",IF('Data - Sample Type 2'!NI14&lt;Specifications!$D$3,"PASS","FAIL")))</f>
        <v>PASS</v>
      </c>
      <c r="E227" s="174"/>
    </row>
    <row r="228" spans="1:6" x14ac:dyDescent="0.2">
      <c r="A228" s="73" t="str">
        <f>IF('Data - Sample Type 2'!C15="","",'Data - Sample Type 2'!C15)</f>
        <v>K05MAR26A_07_2_20+</v>
      </c>
      <c r="B228" s="74" t="str">
        <f>IF('Data - Sample Type 2'!L15="","",'Data - Sample Type 2'!L15)</f>
        <v>MTB DETECTED;INH Resistance DETECTED;FLQ Resistance DETECTED;AMK Resistance DETECTED;KAN Resistance DETECTED;CAP Resistance DETECTED;ETH Resistance DETECTED</v>
      </c>
      <c r="C228" s="75" t="str">
        <f>IF(B228="","",IF(B228="INVALID",IF('Data - Sample Type 2'!NK15="","INVALID",'Data - Sample Type 2'!NK15),IF(B228="ERROR",'Data - Sample Type 2'!NK15,IF(B228="NO RESULT",'Data - Sample Type 2'!NK15,IF(B228="V","MINOR VISUAL",IF(B228="M","MAJOR VISUAL",IF(B228="B","BARCODE FAIL",IF(B228="D","DELAMINATION",IF(COUNTIF(B228,$D$213)+(COUNTIF(B228,$F$213))&lt;&gt;1,"MAJOR FUNCTIONAL",IF(COUNTIF(B228,$F$213)=1,"MINOR FUNCTIONAL",IF('Data - Sample Type 2'!Q15="","DATA ENTRY ERROR",IF('Data - Sample Type 2'!Q15=0,"SPC CT=0","PASS"))))))))))))</f>
        <v>PASS</v>
      </c>
      <c r="D228" s="76" t="str">
        <f>IF(C228="","",IF('Data - Sample Type 2'!NI15="","N/A",IF('Data - Sample Type 2'!NI15&lt;Specifications!$D$3,"PASS","FAIL")))</f>
        <v>PASS</v>
      </c>
      <c r="E228" s="174"/>
    </row>
    <row r="229" spans="1:6" x14ac:dyDescent="0.2">
      <c r="A229" s="73" t="str">
        <f>IF('Data - Sample Type 2'!C16="","",'Data - Sample Type 2'!C16)</f>
        <v>K05MAR26A_08_2_19X</v>
      </c>
      <c r="B229" s="74" t="str">
        <f>IF('Data - Sample Type 2'!L16="","",'Data - Sample Type 2'!L16)</f>
        <v>MTB DETECTED;INH Resistance DETECTED;FLQ Resistance DETECTED;AMK Resistance DETECTED;KAN Resistance DETECTED;CAP Resistance INDETERMINATE;ETH Resistance DETECTED</v>
      </c>
      <c r="C229" s="75" t="str">
        <f>IF(B229="","",IF(B229="INVALID",IF('Data - Sample Type 2'!NK16="","INVALID",'Data - Sample Type 2'!NK16),IF(B229="ERROR",'Data - Sample Type 2'!NK16,IF(B229="NO RESULT",'Data - Sample Type 2'!NK16,IF(B229="V","MINOR VISUAL",IF(B229="M","MAJOR VISUAL",IF(B229="B","BARCODE FAIL",IF(B229="D","DELAMINATION",IF(COUNTIF(B229,$D$213)+(COUNTIF(B229,$F$213))&lt;&gt;1,"MAJOR FUNCTIONAL",IF(COUNTIF(B229,$F$213)=1,"MINOR FUNCTIONAL",IF('Data - Sample Type 2'!Q16="","DATA ENTRY ERROR",IF('Data - Sample Type 2'!Q16=0,"SPC CT=0","PASS"))))))))))))</f>
        <v>MINOR FUNCTIONAL</v>
      </c>
      <c r="D229" s="76" t="str">
        <f>IF(C229="","",IF('Data - Sample Type 2'!NI16="","N/A",IF('Data - Sample Type 2'!NI16&lt;Specifications!$D$3,"PASS","FAIL")))</f>
        <v>PASS</v>
      </c>
      <c r="E229" s="174"/>
    </row>
    <row r="230" spans="1:6" x14ac:dyDescent="0.2">
      <c r="A230" s="73" t="str">
        <f>IF('Data - Sample Type 2'!C17="","",'Data - Sample Type 2'!C17)</f>
        <v>K05MAR26A_08_2_20+</v>
      </c>
      <c r="B230" s="74" t="str">
        <f>IF('Data - Sample Type 2'!L17="","",'Data - Sample Type 2'!L17)</f>
        <v>MTB DETECTED;INH Resistance DETECTED;FLQ Resistance DETECTED;AMK Resistance DETECTED;KAN Resistance DETECTED;CAP Resistance DETECTED;ETH Resistance DETECTED</v>
      </c>
      <c r="C230" s="75" t="str">
        <f>IF(B230="","",IF(B230="INVALID",IF('Data - Sample Type 2'!NK17="","INVALID",'Data - Sample Type 2'!NK17),IF(B230="ERROR",'Data - Sample Type 2'!NK17,IF(B230="NO RESULT",'Data - Sample Type 2'!NK17,IF(B230="V","MINOR VISUAL",IF(B230="M","MAJOR VISUAL",IF(B230="B","BARCODE FAIL",IF(B230="D","DELAMINATION",IF(COUNTIF(B230,$D$213)+(COUNTIF(B230,$F$213))&lt;&gt;1,"MAJOR FUNCTIONAL",IF(COUNTIF(B230,$F$213)=1,"MINOR FUNCTIONAL",IF('Data - Sample Type 2'!Q17="","DATA ENTRY ERROR",IF('Data - Sample Type 2'!Q17=0,"SPC CT=0","PASS"))))))))))))</f>
        <v>PASS</v>
      </c>
      <c r="D230" s="76" t="str">
        <f>IF(C230="","",IF('Data - Sample Type 2'!NI17="","N/A",IF('Data - Sample Type 2'!NI17&lt;Specifications!$D$3,"PASS","FAIL")))</f>
        <v>PASS</v>
      </c>
      <c r="E230" s="174"/>
    </row>
    <row r="231" spans="1:6" x14ac:dyDescent="0.2">
      <c r="A231" s="73" t="str">
        <f>IF('Data - Sample Type 2'!C18="","",'Data - Sample Type 2'!C18)</f>
        <v>K05MAR26A_09_2_19X</v>
      </c>
      <c r="B231" s="74" t="str">
        <f>IF('Data - Sample Type 2'!L18="","",'Data - Sample Type 2'!L18)</f>
        <v>MTB DETECTED;INH Resistance DETECTED;FLQ Resistance DETECTED;AMK Resistance DETECTED;KAN Resistance DETECTED;CAP Resistance DETECTED;ETH Resistance DETECTED</v>
      </c>
      <c r="C231" s="75" t="str">
        <f>IF(B231="","",IF(B231="INVALID",IF('Data - Sample Type 2'!NK18="","INVALID",'Data - Sample Type 2'!NK18),IF(B231="ERROR",'Data - Sample Type 2'!NK18,IF(B231="NO RESULT",'Data - Sample Type 2'!NK18,IF(B231="V","MINOR VISUAL",IF(B231="M","MAJOR VISUAL",IF(B231="B","BARCODE FAIL",IF(B231="D","DELAMINATION",IF(COUNTIF(B231,$D$213)+(COUNTIF(B231,$F$213))&lt;&gt;1,"MAJOR FUNCTIONAL",IF(COUNTIF(B231,$F$213)=1,"MINOR FUNCTIONAL",IF('Data - Sample Type 2'!Q18="","DATA ENTRY ERROR",IF('Data - Sample Type 2'!Q18=0,"SPC CT=0","PASS"))))))))))))</f>
        <v>PASS</v>
      </c>
      <c r="D231" s="76" t="str">
        <f>IF(C231="","",IF('Data - Sample Type 2'!NI18="","N/A",IF('Data - Sample Type 2'!NI18&lt;Specifications!$D$3,"PASS","FAIL")))</f>
        <v>PASS</v>
      </c>
      <c r="E231" s="174"/>
    </row>
    <row r="232" spans="1:6" x14ac:dyDescent="0.2">
      <c r="A232" s="73" t="str">
        <f>IF('Data - Sample Type 2'!C19="","",'Data - Sample Type 2'!C19)</f>
        <v>K05MAR26A_09_2_20+</v>
      </c>
      <c r="B232" s="74" t="str">
        <f>IF('Data - Sample Type 2'!L19="","",'Data - Sample Type 2'!L19)</f>
        <v>MTB DETECTED;INH Resistance DETECTED;FLQ Resistance DETECTED;AMK Resistance DETECTED;KAN Resistance DETECTED;CAP Resistance DETECTED;ETH Resistance DETECTED</v>
      </c>
      <c r="C232" s="75" t="str">
        <f>IF(B232="","",IF(B232="INVALID",IF('Data - Sample Type 2'!NK19="","INVALID",'Data - Sample Type 2'!NK19),IF(B232="ERROR",'Data - Sample Type 2'!NK19,IF(B232="NO RESULT",'Data - Sample Type 2'!NK19,IF(B232="V","MINOR VISUAL",IF(B232="M","MAJOR VISUAL",IF(B232="B","BARCODE FAIL",IF(B232="D","DELAMINATION",IF(COUNTIF(B232,$D$213)+(COUNTIF(B232,$F$213))&lt;&gt;1,"MAJOR FUNCTIONAL",IF(COUNTIF(B232,$F$213)=1,"MINOR FUNCTIONAL",IF('Data - Sample Type 2'!Q19="","DATA ENTRY ERROR",IF('Data - Sample Type 2'!Q19=0,"SPC CT=0","PASS"))))))))))))</f>
        <v>PASS</v>
      </c>
      <c r="D232" s="76" t="str">
        <f>IF(C232="","",IF('Data - Sample Type 2'!NI19="","N/A",IF('Data - Sample Type 2'!NI19&lt;Specifications!$D$3,"PASS","FAIL")))</f>
        <v>PASS</v>
      </c>
      <c r="E232" s="174"/>
    </row>
    <row r="233" spans="1:6" x14ac:dyDescent="0.2">
      <c r="A233" s="73" t="str">
        <f>IF('Data - Sample Type 2'!C20="","",'Data - Sample Type 2'!C20)</f>
        <v>K05MAR26A_10_2_19X</v>
      </c>
      <c r="B233" s="74" t="str">
        <f>IF('Data - Sample Type 2'!L20="","",'Data - Sample Type 2'!L20)</f>
        <v>MTB DETECTED;INH Resistance DETECTED;FLQ Resistance DETECTED;AMK Resistance DETECTED;KAN Resistance DETECTED;CAP Resistance DETECTED;ETH Resistance DETECTED</v>
      </c>
      <c r="C233" s="75" t="str">
        <f>IF(B233="","",IF(B233="INVALID",IF('Data - Sample Type 2'!NK20="","INVALID",'Data - Sample Type 2'!NK20),IF(B233="ERROR",'Data - Sample Type 2'!NK20,IF(B233="NO RESULT",'Data - Sample Type 2'!NK20,IF(B233="V","MINOR VISUAL",IF(B233="M","MAJOR VISUAL",IF(B233="B","BARCODE FAIL",IF(B233="D","DELAMINATION",IF(COUNTIF(B233,$D$213)+(COUNTIF(B233,$F$213))&lt;&gt;1,"MAJOR FUNCTIONAL",IF(COUNTIF(B233,$F$213)=1,"MINOR FUNCTIONAL",IF('Data - Sample Type 2'!Q20="","DATA ENTRY ERROR",IF('Data - Sample Type 2'!Q20=0,"SPC CT=0","PASS"))))))))))))</f>
        <v>PASS</v>
      </c>
      <c r="D233" s="76" t="str">
        <f>IF(C233="","",IF('Data - Sample Type 2'!NI20="","N/A",IF('Data - Sample Type 2'!NI20&lt;Specifications!$D$3,"PASS","FAIL")))</f>
        <v>PASS</v>
      </c>
      <c r="E233" s="174"/>
    </row>
    <row r="234" spans="1:6" x14ac:dyDescent="0.2">
      <c r="A234" s="73" t="str">
        <f>IF('Data - Sample Type 2'!C21="","",'Data - Sample Type 2'!C21)</f>
        <v>K05MAR26A_10_2_20+</v>
      </c>
      <c r="B234" s="74" t="str">
        <f>IF('Data - Sample Type 2'!L21="","",'Data - Sample Type 2'!L21)</f>
        <v>MTB DETECTED;INH Resistance DETECTED;FLQ Resistance DETECTED;AMK Resistance DETECTED;KAN Resistance DETECTED;CAP Resistance DETECTED;ETH Resistance DETECTED</v>
      </c>
      <c r="C234" s="75" t="str">
        <f>IF(B234="","",IF(B234="INVALID",IF('Data - Sample Type 2'!NK21="","INVALID",'Data - Sample Type 2'!NK21),IF(B234="ERROR",'Data - Sample Type 2'!NK21,IF(B234="NO RESULT",'Data - Sample Type 2'!NK21,IF(B234="V","MINOR VISUAL",IF(B234="M","MAJOR VISUAL",IF(B234="B","BARCODE FAIL",IF(B234="D","DELAMINATION",IF(COUNTIF(B234,$D$213)+(COUNTIF(B234,$F$213))&lt;&gt;1,"MAJOR FUNCTIONAL",IF(COUNTIF(B234,$F$213)=1,"MINOR FUNCTIONAL",IF('Data - Sample Type 2'!Q21="","DATA ENTRY ERROR",IF('Data - Sample Type 2'!Q21=0,"SPC CT=0","PASS"))))))))))))</f>
        <v>PASS</v>
      </c>
      <c r="D234" s="76" t="str">
        <f>IF(C234="","",IF('Data - Sample Type 2'!NI21="","N/A",IF('Data - Sample Type 2'!NI21&lt;Specifications!$D$3,"PASS","FAIL")))</f>
        <v>PASS</v>
      </c>
      <c r="E234" s="174"/>
    </row>
    <row r="236" spans="1:6" ht="15.75" x14ac:dyDescent="0.2">
      <c r="A236" s="81" t="s">
        <v>138</v>
      </c>
      <c r="B236" s="82"/>
      <c r="C236" s="80" t="s">
        <v>130</v>
      </c>
      <c r="D236" s="79">
        <f>COUNTIF('Data - Replaced'!A2:A1048576,"&lt;&gt;"&amp;"")</f>
        <v>0</v>
      </c>
      <c r="E236" s="83"/>
      <c r="F236" s="83"/>
    </row>
    <row r="237" spans="1:6" x14ac:dyDescent="0.2">
      <c r="A237" s="69" t="s">
        <v>96</v>
      </c>
      <c r="B237" s="70" t="s">
        <v>131</v>
      </c>
      <c r="C237" s="71" t="s">
        <v>132</v>
      </c>
      <c r="D237" s="69" t="s">
        <v>133</v>
      </c>
      <c r="E237" s="72" t="s">
        <v>282</v>
      </c>
    </row>
    <row r="238" spans="1:6" x14ac:dyDescent="0.2">
      <c r="A238" s="73" t="str">
        <f>IF('Data - Replaced'!C2="","",'Data - Replaced'!C2)</f>
        <v/>
      </c>
      <c r="B238" s="74" t="str">
        <f>IF('Data - Replaced'!L2="","",'Data - Replaced'!L2)</f>
        <v/>
      </c>
      <c r="C238" s="75" t="str">
        <f>IF('Data - Replaced'!NK2="","",'Data - Replaced'!NK2)</f>
        <v/>
      </c>
      <c r="D238" s="77" t="str">
        <f>IF(C238="","",IF('Data - Replaced'!NI2="","N/A",IF('Data - Replaced'!NI2&lt;Specifications!$D$3,"PASS","FAIL")))</f>
        <v/>
      </c>
      <c r="E238" s="78"/>
    </row>
    <row r="239" spans="1:6" x14ac:dyDescent="0.2">
      <c r="A239" s="73" t="str">
        <f>IF('Data - Replaced'!C3="","",'Data - Replaced'!C3)</f>
        <v/>
      </c>
      <c r="B239" s="74" t="str">
        <f>IF('Data - Replaced'!L3="","",'Data - Replaced'!L3)</f>
        <v/>
      </c>
      <c r="C239" s="75" t="str">
        <f>IF('Data - Replaced'!NK3="","",'Data - Replaced'!NK3)</f>
        <v/>
      </c>
      <c r="D239" s="77" t="str">
        <f>IF(C239="","",IF('Data - Replaced'!NI3="","N/A",IF('Data - Replaced'!NI3&lt;Specifications!$D$3,"PASS","FAIL")))</f>
        <v/>
      </c>
      <c r="E239" s="78"/>
    </row>
    <row r="240" spans="1:6" x14ac:dyDescent="0.2">
      <c r="A240" s="73" t="str">
        <f>IF('Data - Replaced'!C4="","",'Data - Replaced'!C4)</f>
        <v/>
      </c>
      <c r="B240" s="74" t="str">
        <f>IF('Data - Replaced'!L4="","",'Data - Replaced'!L4)</f>
        <v/>
      </c>
      <c r="C240" s="75" t="str">
        <f>IF('Data - Replaced'!NK4="","",'Data - Replaced'!NK4)</f>
        <v/>
      </c>
      <c r="D240" s="77" t="str">
        <f>IF(C240="","",IF('Data - Replaced'!NI4="","N/A",IF('Data - Replaced'!NI4&lt;Specifications!$D$3,"PASS","FAIL")))</f>
        <v/>
      </c>
      <c r="E240" s="78"/>
    </row>
    <row r="241" spans="1:5" x14ac:dyDescent="0.2">
      <c r="A241" s="73" t="str">
        <f>IF('Data - Replaced'!C5="","",'Data - Replaced'!C5)</f>
        <v/>
      </c>
      <c r="B241" s="74" t="str">
        <f>IF('Data - Replaced'!L5="","",'Data - Replaced'!L5)</f>
        <v/>
      </c>
      <c r="C241" s="75" t="str">
        <f>IF('Data - Replaced'!NK5="","",'Data - Replaced'!NK5)</f>
        <v/>
      </c>
      <c r="D241" s="77" t="str">
        <f>IF(C241="","",IF('Data - Replaced'!NI5="","N/A",IF('Data - Replaced'!NI5&lt;Specifications!$D$3,"PASS","FAIL")))</f>
        <v/>
      </c>
      <c r="E241" s="78"/>
    </row>
    <row r="242" spans="1:5" x14ac:dyDescent="0.2">
      <c r="A242" s="73" t="str">
        <f>IF('Data - Replaced'!C6="","",'Data - Replaced'!C6)</f>
        <v/>
      </c>
      <c r="B242" s="74" t="str">
        <f>IF('Data - Replaced'!L6="","",'Data - Replaced'!L6)</f>
        <v/>
      </c>
      <c r="C242" s="75" t="str">
        <f>IF('Data - Replaced'!NK6="","",'Data - Replaced'!NK6)</f>
        <v/>
      </c>
      <c r="D242" s="77" t="str">
        <f>IF(C242="","",IF('Data - Replaced'!NI6="","N/A",IF('Data - Replaced'!NI6&lt;Specifications!$D$3,"PASS","FAIL")))</f>
        <v/>
      </c>
      <c r="E242" s="78"/>
    </row>
    <row r="243" spans="1:5" x14ac:dyDescent="0.2">
      <c r="A243" s="73" t="str">
        <f>IF('Data - Replaced'!C7="","",'Data - Replaced'!C7)</f>
        <v/>
      </c>
      <c r="B243" s="74" t="str">
        <f>IF('Data - Replaced'!L7="","",'Data - Replaced'!L7)</f>
        <v/>
      </c>
      <c r="C243" s="75" t="str">
        <f>IF('Data - Replaced'!NK7="","",'Data - Replaced'!NK7)</f>
        <v/>
      </c>
      <c r="D243" s="77" t="str">
        <f>IF(C243="","",IF('Data - Replaced'!NI7="","N/A",IF('Data - Replaced'!NI7&lt;Specifications!$D$3,"PASS","FAIL")))</f>
        <v/>
      </c>
      <c r="E243" s="78"/>
    </row>
    <row r="244" spans="1:5" x14ac:dyDescent="0.2">
      <c r="A244" s="73" t="str">
        <f>IF('Data - Replaced'!C8="","",'Data - Replaced'!C8)</f>
        <v/>
      </c>
      <c r="B244" s="74" t="str">
        <f>IF('Data - Replaced'!L8="","",'Data - Replaced'!L8)</f>
        <v/>
      </c>
      <c r="C244" s="75" t="str">
        <f>IF('Data - Replaced'!NK8="","",'Data - Replaced'!NK8)</f>
        <v/>
      </c>
      <c r="D244" s="77" t="str">
        <f>IF(C244="","",IF('Data - Replaced'!NI8="","N/A",IF('Data - Replaced'!NI8&lt;Specifications!$D$3,"PASS","FAIL")))</f>
        <v/>
      </c>
      <c r="E244" s="78"/>
    </row>
    <row r="245" spans="1:5" x14ac:dyDescent="0.2">
      <c r="A245" s="73" t="str">
        <f>IF('Data - Replaced'!C9="","",'Data - Replaced'!C9)</f>
        <v/>
      </c>
      <c r="B245" s="74" t="str">
        <f>IF('Data - Replaced'!L9="","",'Data - Replaced'!L9)</f>
        <v/>
      </c>
      <c r="C245" s="75" t="str">
        <f>IF('Data - Replaced'!NK9="","",'Data - Replaced'!NK9)</f>
        <v/>
      </c>
      <c r="D245" s="77" t="str">
        <f>IF(C245="","",IF('Data - Replaced'!NI9="","N/A",IF('Data - Replaced'!NI9&lt;Specifications!$D$3,"PASS","FAIL")))</f>
        <v/>
      </c>
      <c r="E245" s="78"/>
    </row>
    <row r="246" spans="1:5" x14ac:dyDescent="0.2">
      <c r="A246" s="73" t="str">
        <f>IF('Data - Replaced'!C10="","",'Data - Replaced'!C10)</f>
        <v/>
      </c>
      <c r="B246" s="74" t="str">
        <f>IF('Data - Replaced'!L10="","",'Data - Replaced'!L10)</f>
        <v/>
      </c>
      <c r="C246" s="75" t="str">
        <f>IF('Data - Replaced'!NK10="","",'Data - Replaced'!NK10)</f>
        <v/>
      </c>
      <c r="D246" s="77" t="str">
        <f>IF(C246="","",IF('Data - Replaced'!NI10="","N/A",IF('Data - Replaced'!NI10&lt;Specifications!$D$3,"PASS","FAIL")))</f>
        <v/>
      </c>
      <c r="E246" s="78"/>
    </row>
    <row r="247" spans="1:5" x14ac:dyDescent="0.2">
      <c r="A247" s="73" t="str">
        <f>IF('Data - Replaced'!C11="","",'Data - Replaced'!C11)</f>
        <v/>
      </c>
      <c r="B247" s="74" t="str">
        <f>IF('Data - Replaced'!L11="","",'Data - Replaced'!L11)</f>
        <v/>
      </c>
      <c r="C247" s="75" t="str">
        <f>IF('Data - Replaced'!NK11="","",'Data - Replaced'!NK11)</f>
        <v/>
      </c>
      <c r="D247" s="77" t="str">
        <f>IF(C247="","",IF('Data - Replaced'!NI11="","N/A",IF('Data - Replaced'!NI11&lt;Specifications!$D$3,"PASS","FAIL")))</f>
        <v/>
      </c>
      <c r="E247" s="78"/>
    </row>
    <row r="248" spans="1:5" x14ac:dyDescent="0.2">
      <c r="A248" s="73" t="str">
        <f>IF('Data - Replaced'!C12="","",'Data - Replaced'!C12)</f>
        <v/>
      </c>
      <c r="B248" s="74" t="str">
        <f>IF('Data - Replaced'!L12="","",'Data - Replaced'!L12)</f>
        <v/>
      </c>
      <c r="C248" s="75" t="str">
        <f>IF('Data - Replaced'!NK12="","",'Data - Replaced'!NK12)</f>
        <v/>
      </c>
      <c r="D248" s="77" t="str">
        <f>IF(C248="","",IF('Data - Replaced'!NI12="","N/A",IF('Data - Replaced'!NI12&lt;Specifications!$D$3,"PASS","FAIL")))</f>
        <v/>
      </c>
      <c r="E248" s="78"/>
    </row>
    <row r="249" spans="1:5" x14ac:dyDescent="0.2">
      <c r="A249" s="73" t="str">
        <f>IF('Data - Replaced'!C13="","",'Data - Replaced'!C13)</f>
        <v/>
      </c>
      <c r="B249" s="74" t="str">
        <f>IF('Data - Replaced'!L13="","",'Data - Replaced'!L13)</f>
        <v/>
      </c>
      <c r="C249" s="75" t="str">
        <f>IF('Data - Replaced'!NK13="","",'Data - Replaced'!NK13)</f>
        <v/>
      </c>
      <c r="D249" s="77" t="str">
        <f>IF(C249="","",IF('Data - Replaced'!NI13="","N/A",IF('Data - Replaced'!NI13&lt;Specifications!$D$3,"PASS","FAIL")))</f>
        <v/>
      </c>
      <c r="E249" s="78"/>
    </row>
    <row r="250" spans="1:5" x14ac:dyDescent="0.2">
      <c r="A250" s="73" t="str">
        <f>IF('Data - Replaced'!C14="","",'Data - Replaced'!C14)</f>
        <v/>
      </c>
      <c r="B250" s="74" t="str">
        <f>IF('Data - Replaced'!L14="","",'Data - Replaced'!L14)</f>
        <v/>
      </c>
      <c r="C250" s="75" t="str">
        <f>IF('Data - Replaced'!NK14="","",'Data - Replaced'!NK14)</f>
        <v/>
      </c>
      <c r="D250" s="77" t="str">
        <f>IF(C250="","",IF('Data - Replaced'!NI14="","N/A",IF('Data - Replaced'!NI14&lt;Specifications!$D$3,"PASS","FAIL")))</f>
        <v/>
      </c>
      <c r="E250" s="78"/>
    </row>
    <row r="251" spans="1:5" x14ac:dyDescent="0.2">
      <c r="A251" s="73" t="str">
        <f>IF('Data - Replaced'!C15="","",'Data - Replaced'!C15)</f>
        <v/>
      </c>
      <c r="B251" s="74" t="str">
        <f>IF('Data - Replaced'!L15="","",'Data - Replaced'!L15)</f>
        <v/>
      </c>
      <c r="C251" s="75" t="str">
        <f>IF('Data - Replaced'!NK15="","",'Data - Replaced'!NK15)</f>
        <v/>
      </c>
      <c r="D251" s="77" t="str">
        <f>IF(C251="","",IF('Data - Replaced'!NI15="","N/A",IF('Data - Replaced'!NI15&lt;Specifications!$D$3,"PASS","FAIL")))</f>
        <v/>
      </c>
      <c r="E251" s="78"/>
    </row>
    <row r="252" spans="1:5" x14ac:dyDescent="0.2">
      <c r="A252" s="73" t="str">
        <f>IF('Data - Replaced'!C16="","",'Data - Replaced'!C16)</f>
        <v/>
      </c>
      <c r="B252" s="74" t="str">
        <f>IF('Data - Replaced'!L16="","",'Data - Replaced'!L16)</f>
        <v/>
      </c>
      <c r="C252" s="75" t="str">
        <f>IF('Data - Replaced'!NK16="","",'Data - Replaced'!NK16)</f>
        <v/>
      </c>
      <c r="D252" s="77" t="str">
        <f>IF(C252="","",IF('Data - Replaced'!NI16="","N/A",IF('Data - Replaced'!NI16&lt;Specifications!$D$3,"PASS","FAIL")))</f>
        <v/>
      </c>
      <c r="E252" s="78"/>
    </row>
    <row r="253" spans="1:5" x14ac:dyDescent="0.2">
      <c r="A253" s="73" t="str">
        <f>IF('Data - Replaced'!C17="","",'Data - Replaced'!C17)</f>
        <v/>
      </c>
      <c r="B253" s="74" t="str">
        <f>IF('Data - Replaced'!L17="","",'Data - Replaced'!L17)</f>
        <v/>
      </c>
      <c r="C253" s="75" t="str">
        <f>IF('Data - Replaced'!NK17="","",'Data - Replaced'!NK17)</f>
        <v/>
      </c>
      <c r="D253" s="77" t="str">
        <f>IF(C253="","",IF('Data - Replaced'!NI17="","N/A",IF('Data - Replaced'!NI17&lt;Specifications!$D$3,"PASS","FAIL")))</f>
        <v/>
      </c>
      <c r="E253" s="78"/>
    </row>
    <row r="254" spans="1:5" x14ac:dyDescent="0.2">
      <c r="A254" s="73" t="str">
        <f>IF('Data - Replaced'!C18="","",'Data - Replaced'!C18)</f>
        <v/>
      </c>
      <c r="B254" s="74" t="str">
        <f>IF('Data - Replaced'!L18="","",'Data - Replaced'!L18)</f>
        <v/>
      </c>
      <c r="C254" s="75" t="str">
        <f>IF('Data - Replaced'!NK18="","",'Data - Replaced'!NK18)</f>
        <v/>
      </c>
      <c r="D254" s="77" t="str">
        <f>IF(C254="","",IF('Data - Replaced'!NI18="","N/A",IF('Data - Replaced'!NI18&lt;Specifications!$D$3,"PASS","FAIL")))</f>
        <v/>
      </c>
      <c r="E254" s="78"/>
    </row>
    <row r="255" spans="1:5" x14ac:dyDescent="0.2">
      <c r="A255" s="73" t="str">
        <f>IF('Data - Replaced'!C19="","",'Data - Replaced'!C19)</f>
        <v/>
      </c>
      <c r="B255" s="74" t="str">
        <f>IF('Data - Replaced'!L19="","",'Data - Replaced'!L19)</f>
        <v/>
      </c>
      <c r="C255" s="75" t="str">
        <f>IF('Data - Replaced'!NK19="","",'Data - Replaced'!NK19)</f>
        <v/>
      </c>
      <c r="D255" s="77" t="str">
        <f>IF(C255="","",IF('Data - Replaced'!NI19="","N/A",IF('Data - Replaced'!NI19&lt;Specifications!$D$3,"PASS","FAIL")))</f>
        <v/>
      </c>
      <c r="E255" s="78"/>
    </row>
    <row r="256" spans="1:5" x14ac:dyDescent="0.2">
      <c r="A256" s="73" t="str">
        <f>IF('Data - Replaced'!C20="","",'Data - Replaced'!C20)</f>
        <v/>
      </c>
      <c r="B256" s="74" t="str">
        <f>IF('Data - Replaced'!L20="","",'Data - Replaced'!L20)</f>
        <v/>
      </c>
      <c r="C256" s="75" t="str">
        <f>IF('Data - Replaced'!NK20="","",'Data - Replaced'!NK20)</f>
        <v/>
      </c>
      <c r="D256" s="77" t="str">
        <f>IF(C256="","",IF('Data - Replaced'!NI20="","N/A",IF('Data - Replaced'!NI20&lt;Specifications!$D$3,"PASS","FAIL")))</f>
        <v/>
      </c>
      <c r="E256" s="78"/>
    </row>
    <row r="257" spans="1:5" x14ac:dyDescent="0.2">
      <c r="A257" s="73" t="str">
        <f>IF('Data - Replaced'!C21="","",'Data - Replaced'!C21)</f>
        <v/>
      </c>
      <c r="B257" s="74" t="str">
        <f>IF('Data - Replaced'!L21="","",'Data - Replaced'!L21)</f>
        <v/>
      </c>
      <c r="C257" s="75" t="str">
        <f>IF('Data - Replaced'!NK21="","",'Data - Replaced'!NK21)</f>
        <v/>
      </c>
      <c r="D257" s="77" t="str">
        <f>IF(C257="","",IF('Data - Replaced'!NI21="","N/A",IF('Data - Replaced'!NI21&lt;Specifications!$D$3,"PASS","FAIL")))</f>
        <v/>
      </c>
      <c r="E257" s="78"/>
    </row>
    <row r="258" spans="1:5" x14ac:dyDescent="0.2">
      <c r="A258" s="73" t="str">
        <f>IF('Data - Replaced'!C22="","",'Data - Replaced'!C22)</f>
        <v/>
      </c>
      <c r="B258" s="74" t="str">
        <f>IF('Data - Replaced'!L22="","",'Data - Replaced'!L22)</f>
        <v/>
      </c>
      <c r="C258" s="75" t="str">
        <f>IF('Data - Replaced'!NK22="","",'Data - Replaced'!NK22)</f>
        <v/>
      </c>
      <c r="D258" s="77" t="str">
        <f>IF(C258="","",IF('Data - Replaced'!NI22="","N/A",IF('Data - Replaced'!NI22&lt;Specifications!$D$3,"PASS","FAIL")))</f>
        <v/>
      </c>
      <c r="E258" s="78"/>
    </row>
    <row r="259" spans="1:5" x14ac:dyDescent="0.2">
      <c r="A259" s="73" t="str">
        <f>IF('Data - Replaced'!C23="","",'Data - Replaced'!C23)</f>
        <v/>
      </c>
      <c r="B259" s="74" t="str">
        <f>IF('Data - Replaced'!L23="","",'Data - Replaced'!L23)</f>
        <v/>
      </c>
      <c r="C259" s="75" t="str">
        <f>IF('Data - Replaced'!NK23="","",'Data - Replaced'!NK23)</f>
        <v/>
      </c>
      <c r="D259" s="77" t="str">
        <f>IF(C259="","",IF('Data - Replaced'!NI23="","N/A",IF('Data - Replaced'!NI23&lt;Specifications!$D$3,"PASS","FAIL")))</f>
        <v/>
      </c>
      <c r="E259" s="78"/>
    </row>
    <row r="260" spans="1:5" x14ac:dyDescent="0.2">
      <c r="A260" s="73" t="str">
        <f>IF('Data - Replaced'!C24="","",'Data - Replaced'!C24)</f>
        <v/>
      </c>
      <c r="B260" s="74" t="str">
        <f>IF('Data - Replaced'!L24="","",'Data - Replaced'!L24)</f>
        <v/>
      </c>
      <c r="C260" s="75" t="str">
        <f>IF('Data - Replaced'!NK24="","",'Data - Replaced'!NK24)</f>
        <v/>
      </c>
      <c r="D260" s="77" t="str">
        <f>IF(C260="","",IF('Data - Replaced'!NI24="","N/A",IF('Data - Replaced'!NI24&lt;Specifications!$D$3,"PASS","FAIL")))</f>
        <v/>
      </c>
      <c r="E260" s="78"/>
    </row>
    <row r="261" spans="1:5" x14ac:dyDescent="0.2">
      <c r="A261" s="73" t="str">
        <f>IF('Data - Replaced'!C25="","",'Data - Replaced'!C25)</f>
        <v/>
      </c>
      <c r="B261" s="74" t="str">
        <f>IF('Data - Replaced'!L25="","",'Data - Replaced'!L25)</f>
        <v/>
      </c>
      <c r="C261" s="75" t="str">
        <f>IF('Data - Replaced'!NK25="","",'Data - Replaced'!NK25)</f>
        <v/>
      </c>
      <c r="D261" s="77" t="str">
        <f>IF(C261="","",IF('Data - Replaced'!NI25="","N/A",IF('Data - Replaced'!NI25&lt;Specifications!$D$3,"PASS","FAIL")))</f>
        <v/>
      </c>
      <c r="E261" s="78"/>
    </row>
    <row r="262" spans="1:5" x14ac:dyDescent="0.2">
      <c r="A262" s="73" t="str">
        <f>IF('Data - Replaced'!C26="","",'Data - Replaced'!C26)</f>
        <v/>
      </c>
      <c r="B262" s="74" t="str">
        <f>IF('Data - Replaced'!L26="","",'Data - Replaced'!L26)</f>
        <v/>
      </c>
      <c r="C262" s="75" t="str">
        <f>IF('Data - Replaced'!NK26="","",'Data - Replaced'!NK26)</f>
        <v/>
      </c>
      <c r="D262" s="77" t="str">
        <f>IF(C262="","",IF('Data - Replaced'!NI26="","N/A",IF('Data - Replaced'!NI26&lt;Specifications!$D$3,"PASS","FAIL")))</f>
        <v/>
      </c>
      <c r="E262" s="78"/>
    </row>
    <row r="263" spans="1:5" x14ac:dyDescent="0.2">
      <c r="A263" s="73" t="str">
        <f>IF('Data - Replaced'!C27="","",'Data - Replaced'!C27)</f>
        <v/>
      </c>
      <c r="B263" s="74" t="str">
        <f>IF('Data - Replaced'!L27="","",'Data - Replaced'!L27)</f>
        <v/>
      </c>
      <c r="C263" s="75" t="str">
        <f>IF('Data - Replaced'!NK27="","",'Data - Replaced'!NK27)</f>
        <v/>
      </c>
      <c r="D263" s="77" t="str">
        <f>IF(C263="","",IF('Data - Replaced'!NI27="","N/A",IF('Data - Replaced'!NI27&lt;Specifications!$D$3,"PASS","FAIL")))</f>
        <v/>
      </c>
      <c r="E263" s="78"/>
    </row>
    <row r="264" spans="1:5" x14ac:dyDescent="0.2">
      <c r="A264" s="73" t="str">
        <f>IF('Data - Replaced'!C28="","",'Data - Replaced'!C28)</f>
        <v/>
      </c>
      <c r="B264" s="74" t="str">
        <f>IF('Data - Replaced'!L28="","",'Data - Replaced'!L28)</f>
        <v/>
      </c>
      <c r="C264" s="75" t="str">
        <f>IF('Data - Replaced'!NK28="","",'Data - Replaced'!NK28)</f>
        <v/>
      </c>
      <c r="D264" s="77" t="str">
        <f>IF(C264="","",IF('Data - Replaced'!NI28="","N/A",IF('Data - Replaced'!NI28&lt;Specifications!$D$3,"PASS","FAIL")))</f>
        <v/>
      </c>
      <c r="E264" s="78"/>
    </row>
    <row r="265" spans="1:5" x14ac:dyDescent="0.2">
      <c r="A265" s="73" t="str">
        <f>IF('Data - Replaced'!C29="","",'Data - Replaced'!C29)</f>
        <v/>
      </c>
      <c r="B265" s="74" t="str">
        <f>IF('Data - Replaced'!L29="","",'Data - Replaced'!L29)</f>
        <v/>
      </c>
      <c r="C265" s="75" t="str">
        <f>IF('Data - Replaced'!NK29="","",'Data - Replaced'!NK29)</f>
        <v/>
      </c>
      <c r="D265" s="77" t="str">
        <f>IF(C265="","",IF('Data - Replaced'!NI29="","N/A",IF('Data - Replaced'!NI29&lt;Specifications!$D$3,"PASS","FAIL")))</f>
        <v/>
      </c>
      <c r="E265" s="78"/>
    </row>
    <row r="266" spans="1:5" x14ac:dyDescent="0.2">
      <c r="A266" s="73" t="str">
        <f>IF('Data - Replaced'!C30="","",'Data - Replaced'!C30)</f>
        <v/>
      </c>
      <c r="B266" s="74" t="str">
        <f>IF('Data - Replaced'!L30="","",'Data - Replaced'!L30)</f>
        <v/>
      </c>
      <c r="C266" s="75" t="str">
        <f>IF('Data - Replaced'!NK30="","",'Data - Replaced'!NK30)</f>
        <v/>
      </c>
      <c r="D266" s="77" t="str">
        <f>IF(C266="","",IF('Data - Replaced'!NI30="","N/A",IF('Data - Replaced'!NI30&lt;Specifications!$D$3,"PASS","FAIL")))</f>
        <v/>
      </c>
      <c r="E266" s="78"/>
    </row>
    <row r="267" spans="1:5" x14ac:dyDescent="0.2">
      <c r="A267" s="73" t="str">
        <f>IF('Data - Replaced'!C31="","",'Data - Replaced'!C31)</f>
        <v/>
      </c>
      <c r="B267" s="74" t="str">
        <f>IF('Data - Replaced'!L31="","",'Data - Replaced'!L31)</f>
        <v/>
      </c>
      <c r="C267" s="75" t="str">
        <f>IF('Data - Replaced'!NK31="","",'Data - Replaced'!NK31)</f>
        <v/>
      </c>
      <c r="D267" s="77" t="str">
        <f>IF(C267="","",IF('Data - Replaced'!NI31="","N/A",IF('Data - Replaced'!NI31&lt;Specifications!$D$3,"PASS","FAIL")))</f>
        <v/>
      </c>
      <c r="E267" s="78"/>
    </row>
    <row r="268" spans="1:5" x14ac:dyDescent="0.2">
      <c r="A268" s="73" t="str">
        <f>IF('Data - Replaced'!C32="","",'Data - Replaced'!C32)</f>
        <v/>
      </c>
      <c r="B268" s="74" t="str">
        <f>IF('Data - Replaced'!L32="","",'Data - Replaced'!L32)</f>
        <v/>
      </c>
      <c r="C268" s="75" t="str">
        <f>IF('Data - Replaced'!NK32="","",'Data - Replaced'!NK32)</f>
        <v/>
      </c>
      <c r="D268" s="77" t="str">
        <f>IF(C268="","",IF('Data - Replaced'!NI32="","N/A",IF('Data - Replaced'!NI32&lt;Specifications!$D$3,"PASS","FAIL")))</f>
        <v/>
      </c>
      <c r="E268" s="78"/>
    </row>
    <row r="269" spans="1:5" x14ac:dyDescent="0.2">
      <c r="A269" s="73" t="str">
        <f>IF('Data - Replaced'!C33="","",'Data - Replaced'!C33)</f>
        <v/>
      </c>
      <c r="B269" s="74" t="str">
        <f>IF('Data - Replaced'!L33="","",'Data - Replaced'!L33)</f>
        <v/>
      </c>
      <c r="C269" s="75" t="str">
        <f>IF('Data - Replaced'!NK33="","",'Data - Replaced'!NK33)</f>
        <v/>
      </c>
      <c r="D269" s="77" t="str">
        <f>IF(C269="","",IF('Data - Replaced'!NI33="","N/A",IF('Data - Replaced'!NI33&lt;Specifications!$D$3,"PASS","FAIL")))</f>
        <v/>
      </c>
      <c r="E269" s="78"/>
    </row>
    <row r="270" spans="1:5" x14ac:dyDescent="0.2">
      <c r="A270" s="73" t="str">
        <f>IF('Data - Replaced'!C34="","",'Data - Replaced'!C34)</f>
        <v/>
      </c>
      <c r="B270" s="74" t="str">
        <f>IF('Data - Replaced'!L34="","",'Data - Replaced'!L34)</f>
        <v/>
      </c>
      <c r="C270" s="75" t="str">
        <f>IF('Data - Replaced'!NK34="","",'Data - Replaced'!NK34)</f>
        <v/>
      </c>
      <c r="D270" s="77" t="str">
        <f>IF(C270="","",IF('Data - Replaced'!NI34="","N/A",IF('Data - Replaced'!NI34&lt;Specifications!$D$3,"PASS","FAIL")))</f>
        <v/>
      </c>
      <c r="E270" s="78"/>
    </row>
    <row r="271" spans="1:5" x14ac:dyDescent="0.2">
      <c r="A271" s="73" t="str">
        <f>IF('Data - Replaced'!C35="","",'Data - Replaced'!C35)</f>
        <v/>
      </c>
      <c r="B271" s="74" t="str">
        <f>IF('Data - Replaced'!L35="","",'Data - Replaced'!L35)</f>
        <v/>
      </c>
      <c r="C271" s="75" t="str">
        <f>IF('Data - Replaced'!NK35="","",'Data - Replaced'!NK35)</f>
        <v/>
      </c>
      <c r="D271" s="77" t="str">
        <f>IF(C271="","",IF('Data - Replaced'!NI35="","N/A",IF('Data - Replaced'!NI35&lt;Specifications!$D$3,"PASS","FAIL")))</f>
        <v/>
      </c>
      <c r="E271" s="78"/>
    </row>
    <row r="272" spans="1:5" x14ac:dyDescent="0.2">
      <c r="A272" s="73" t="str">
        <f>IF('Data - Replaced'!C36="","",'Data - Replaced'!C36)</f>
        <v/>
      </c>
      <c r="B272" s="74" t="str">
        <f>IF('Data - Replaced'!L36="","",'Data - Replaced'!L36)</f>
        <v/>
      </c>
      <c r="C272" s="75" t="str">
        <f>IF('Data - Replaced'!NK36="","",'Data - Replaced'!NK36)</f>
        <v/>
      </c>
      <c r="D272" s="77" t="str">
        <f>IF(C272="","",IF('Data - Replaced'!NI36="","N/A",IF('Data - Replaced'!NI36&lt;Specifications!$D$3,"PASS","FAIL")))</f>
        <v/>
      </c>
      <c r="E272" s="78"/>
    </row>
    <row r="273" spans="1:6" x14ac:dyDescent="0.2">
      <c r="A273" s="73" t="str">
        <f>IF('Data - Replaced'!C37="","",'Data - Replaced'!C37)</f>
        <v/>
      </c>
      <c r="B273" s="74" t="str">
        <f>IF('Data - Replaced'!L37="","",'Data - Replaced'!L37)</f>
        <v/>
      </c>
      <c r="C273" s="75" t="str">
        <f>IF('Data - Replaced'!NK37="","",'Data - Replaced'!NK37)</f>
        <v/>
      </c>
      <c r="D273" s="77" t="str">
        <f>IF(C273="","",IF('Data - Replaced'!NI37="","N/A",IF('Data - Replaced'!NI37&lt;Specifications!$D$3,"PASS","FAIL")))</f>
        <v/>
      </c>
      <c r="E273" s="78"/>
    </row>
    <row r="274" spans="1:6" x14ac:dyDescent="0.2">
      <c r="A274" s="73" t="str">
        <f>IF('Data - Replaced'!C38="","",'Data - Replaced'!C38)</f>
        <v/>
      </c>
      <c r="B274" s="74" t="str">
        <f>IF('Data - Replaced'!L38="","",'Data - Replaced'!L38)</f>
        <v/>
      </c>
      <c r="C274" s="75" t="str">
        <f>IF('Data - Replaced'!NK38="","",'Data - Replaced'!NK38)</f>
        <v/>
      </c>
      <c r="D274" s="77" t="str">
        <f>IF(C274="","",IF('Data - Replaced'!NI38="","N/A",IF('Data - Replaced'!NI38&lt;Specifications!$D$3,"PASS","FAIL")))</f>
        <v/>
      </c>
      <c r="E274" s="78"/>
    </row>
    <row r="275" spans="1:6" x14ac:dyDescent="0.2">
      <c r="A275" s="73" t="str">
        <f>IF('Data - Replaced'!C39="","",'Data - Replaced'!C39)</f>
        <v/>
      </c>
      <c r="B275" s="74" t="str">
        <f>IF('Data - Replaced'!L39="","",'Data - Replaced'!L39)</f>
        <v/>
      </c>
      <c r="C275" s="75" t="str">
        <f>IF('Data - Replaced'!NK39="","",'Data - Replaced'!NK39)</f>
        <v/>
      </c>
      <c r="D275" s="77" t="str">
        <f>IF(C275="","",IF('Data - Replaced'!NI39="","N/A",IF('Data - Replaced'!NI39&lt;Specifications!$D$3,"PASS","FAIL")))</f>
        <v/>
      </c>
      <c r="E275" s="78"/>
    </row>
    <row r="276" spans="1:6" x14ac:dyDescent="0.2">
      <c r="A276" s="73" t="str">
        <f>IF('Data - Replaced'!C40="","",'Data - Replaced'!C40)</f>
        <v/>
      </c>
      <c r="B276" s="74" t="str">
        <f>IF('Data - Replaced'!L40="","",'Data - Replaced'!L40)</f>
        <v/>
      </c>
      <c r="C276" s="75" t="str">
        <f>IF('Data - Replaced'!NK40="","",'Data - Replaced'!NK40)</f>
        <v/>
      </c>
      <c r="D276" s="77" t="str">
        <f>IF(C276="","",IF('Data - Replaced'!NI40="","N/A",IF('Data - Replaced'!NI40&lt;Specifications!$D$3,"PASS","FAIL")))</f>
        <v/>
      </c>
      <c r="E276" s="78"/>
    </row>
    <row r="277" spans="1:6" x14ac:dyDescent="0.2">
      <c r="A277" s="73" t="str">
        <f>IF('Data - Replaced'!C41="","",'Data - Replaced'!C41)</f>
        <v/>
      </c>
      <c r="B277" s="74" t="str">
        <f>IF('Data - Replaced'!L41="","",'Data - Replaced'!L41)</f>
        <v/>
      </c>
      <c r="C277" s="75" t="str">
        <f>IF('Data - Replaced'!NK41="","",'Data - Replaced'!NK41)</f>
        <v/>
      </c>
      <c r="D277" s="77" t="str">
        <f>IF(C277="","",IF('Data - Replaced'!NI41="","N/A",IF('Data - Replaced'!NI41&lt;Specifications!$D$3,"PASS","FAIL")))</f>
        <v/>
      </c>
      <c r="E277" s="78"/>
    </row>
    <row r="278" spans="1:6" x14ac:dyDescent="0.2">
      <c r="A278" s="73" t="str">
        <f>IF('Data - Replaced'!C42="","",'Data - Replaced'!C42)</f>
        <v/>
      </c>
      <c r="B278" s="74" t="str">
        <f>IF('Data - Replaced'!L42="","",'Data - Replaced'!L42)</f>
        <v/>
      </c>
      <c r="C278" s="75" t="str">
        <f>IF('Data - Replaced'!NK42="","",'Data - Replaced'!NK42)</f>
        <v/>
      </c>
      <c r="D278" s="77" t="str">
        <f>IF(C278="","",IF('Data - Replaced'!NI42="","N/A",IF('Data - Replaced'!NI42&lt;Specifications!$D$3,"PASS","FAIL")))</f>
        <v/>
      </c>
      <c r="E278" s="78"/>
    </row>
    <row r="279" spans="1:6" x14ac:dyDescent="0.2">
      <c r="A279" s="73" t="str">
        <f>IF('Data - Replaced'!C43="","",'Data - Replaced'!C43)</f>
        <v/>
      </c>
      <c r="B279" s="74" t="str">
        <f>IF('Data - Replaced'!L43="","",'Data - Replaced'!L43)</f>
        <v/>
      </c>
      <c r="C279" s="75" t="str">
        <f>IF('Data - Replaced'!NK43="","",'Data - Replaced'!NK43)</f>
        <v/>
      </c>
      <c r="D279" s="77" t="str">
        <f>IF(C279="","",IF('Data - Replaced'!NI43="","N/A",IF('Data - Replaced'!NI43&lt;Specifications!$D$3,"PASS","FAIL")))</f>
        <v/>
      </c>
      <c r="E279" s="78"/>
    </row>
    <row r="280" spans="1:6" x14ac:dyDescent="0.2">
      <c r="A280" s="73" t="str">
        <f>IF('Data - Replaced'!C44="","",'Data - Replaced'!C44)</f>
        <v/>
      </c>
      <c r="B280" s="74" t="str">
        <f>IF('Data - Replaced'!L44="","",'Data - Replaced'!L44)</f>
        <v/>
      </c>
      <c r="C280" s="75" t="str">
        <f>IF('Data - Replaced'!NK44="","",'Data - Replaced'!NK44)</f>
        <v/>
      </c>
      <c r="D280" s="77" t="str">
        <f>IF(C280="","",IF('Data - Replaced'!NI44="","N/A",IF('Data - Replaced'!NI44&lt;Specifications!$D$3,"PASS","FAIL")))</f>
        <v/>
      </c>
      <c r="E280" s="78"/>
    </row>
    <row r="281" spans="1:6" x14ac:dyDescent="0.2">
      <c r="A281" s="73" t="str">
        <f>IF('Data - Replaced'!C45="","",'Data - Replaced'!C45)</f>
        <v/>
      </c>
      <c r="B281" s="74" t="str">
        <f>IF('Data - Replaced'!L45="","",'Data - Replaced'!L45)</f>
        <v/>
      </c>
      <c r="C281" s="75" t="str">
        <f>IF('Data - Replaced'!NK45="","",'Data - Replaced'!NK45)</f>
        <v/>
      </c>
      <c r="D281" s="77" t="str">
        <f>IF(C281="","",IF('Data - Replaced'!NI45="","N/A",IF('Data - Replaced'!NI45&lt;Specifications!$D$3,"PASS","FAIL")))</f>
        <v/>
      </c>
      <c r="E281" s="78"/>
    </row>
    <row r="282" spans="1:6" x14ac:dyDescent="0.2">
      <c r="A282" s="73" t="str">
        <f>IF('Data - Replaced'!C46="","",'Data - Replaced'!C46)</f>
        <v/>
      </c>
      <c r="B282" s="74" t="str">
        <f>IF('Data - Replaced'!L46="","",'Data - Replaced'!L46)</f>
        <v/>
      </c>
      <c r="C282" s="75" t="str">
        <f>IF('Data - Replaced'!NK46="","",'Data - Replaced'!NK46)</f>
        <v/>
      </c>
      <c r="D282" s="77" t="str">
        <f>IF(C282="","",IF('Data - Replaced'!NI46="","N/A",IF('Data - Replaced'!NI46&lt;Specifications!$D$3,"PASS","FAIL")))</f>
        <v/>
      </c>
      <c r="E282" s="78"/>
    </row>
    <row r="283" spans="1:6" x14ac:dyDescent="0.2">
      <c r="A283" s="73" t="str">
        <f>IF('Data - Replaced'!C47="","",'Data - Replaced'!C47)</f>
        <v/>
      </c>
      <c r="B283" s="74" t="str">
        <f>IF('Data - Replaced'!L47="","",'Data - Replaced'!L47)</f>
        <v/>
      </c>
      <c r="C283" s="75" t="str">
        <f>IF('Data - Replaced'!NK47="","",'Data - Replaced'!NK47)</f>
        <v/>
      </c>
      <c r="D283" s="77" t="str">
        <f>IF(C283="","",IF('Data - Replaced'!NI47="","N/A",IF('Data - Replaced'!NI47&lt;Specifications!$D$3,"PASS","FAIL")))</f>
        <v/>
      </c>
      <c r="E283" s="78"/>
    </row>
    <row r="284" spans="1:6" x14ac:dyDescent="0.2">
      <c r="A284" s="73" t="str">
        <f>IF('Data - Replaced'!C48="","",'Data - Replaced'!C48)</f>
        <v/>
      </c>
      <c r="B284" s="74" t="str">
        <f>IF('Data - Replaced'!L48="","",'Data - Replaced'!L48)</f>
        <v/>
      </c>
      <c r="C284" s="75" t="str">
        <f>IF('Data - Replaced'!NK48="","",'Data - Replaced'!NK48)</f>
        <v/>
      </c>
      <c r="D284" s="77" t="str">
        <f>IF(C284="","",IF('Data - Replaced'!NI48="","N/A",IF('Data - Replaced'!NI48&lt;Specifications!$D$3,"PASS","FAIL")))</f>
        <v/>
      </c>
      <c r="E284" s="78"/>
    </row>
    <row r="285" spans="1:6" x14ac:dyDescent="0.2">
      <c r="A285" s="73" t="str">
        <f>IF('Data - Replaced'!C49="","",'Data - Replaced'!C49)</f>
        <v/>
      </c>
      <c r="B285" s="74" t="str">
        <f>IF('Data - Replaced'!L49="","",'Data - Replaced'!L49)</f>
        <v/>
      </c>
      <c r="C285" s="75" t="str">
        <f>IF('Data - Replaced'!NK49="","",'Data - Replaced'!NK49)</f>
        <v/>
      </c>
      <c r="D285" s="77" t="str">
        <f>IF(C285="","",IF('Data - Replaced'!NI49="","N/A",IF('Data - Replaced'!NI49&lt;Specifications!$D$3,"PASS","FAIL")))</f>
        <v/>
      </c>
      <c r="E285" s="78"/>
    </row>
    <row r="286" spans="1:6" s="83" customFormat="1" ht="15" x14ac:dyDescent="0.2">
      <c r="A286" s="73" t="str">
        <f>IF('Data - Replaced'!C50="","",'Data - Replaced'!C50)</f>
        <v/>
      </c>
      <c r="B286" s="74" t="str">
        <f>IF('Data - Replaced'!L50="","",'Data - Replaced'!L50)</f>
        <v/>
      </c>
      <c r="C286" s="75" t="str">
        <f>IF('Data - Replaced'!NK50="","",'Data - Replaced'!NK50)</f>
        <v/>
      </c>
      <c r="D286" s="77" t="str">
        <f>IF(C286="","",IF('Data - Replaced'!NI50="","N/A",IF('Data - Replaced'!NI50&lt;Specifications!$D$3,"PASS","FAIL")))</f>
        <v/>
      </c>
      <c r="E286" s="78"/>
      <c r="F286" s="58"/>
    </row>
    <row r="287" spans="1:6" x14ac:dyDescent="0.2">
      <c r="A287" s="73" t="str">
        <f>IF('Data - Replaced'!C51="","",'Data - Replaced'!C51)</f>
        <v/>
      </c>
      <c r="B287" s="74" t="str">
        <f>IF('Data - Replaced'!L51="","",'Data - Replaced'!L51)</f>
        <v/>
      </c>
      <c r="C287" s="75" t="str">
        <f>IF('Data - Replaced'!NK51="","",'Data - Replaced'!NK51)</f>
        <v/>
      </c>
      <c r="D287" s="77" t="str">
        <f>IF(C287="","",IF('Data - Replaced'!NI51="","N/A",IF('Data - Replaced'!NI51&lt;Specifications!$D$3,"PASS","FAIL")))</f>
        <v/>
      </c>
      <c r="E287" s="78"/>
    </row>
    <row r="288" spans="1:6" x14ac:dyDescent="0.2">
      <c r="A288" s="73" t="str">
        <f>IF('Data - Replaced'!C52="","",'Data - Replaced'!C52)</f>
        <v/>
      </c>
      <c r="B288" s="74" t="str">
        <f>IF('Data - Replaced'!L52="","",'Data - Replaced'!L52)</f>
        <v/>
      </c>
      <c r="C288" s="75" t="str">
        <f>IF('Data - Replaced'!NK52="","",'Data - Replaced'!NK52)</f>
        <v/>
      </c>
      <c r="D288" s="77" t="str">
        <f>IF(C288="","",IF('Data - Replaced'!NI52="","N/A",IF('Data - Replaced'!NI52&lt;Specifications!$D$3,"PASS","FAIL")))</f>
        <v/>
      </c>
      <c r="E288" s="78"/>
    </row>
    <row r="289" spans="1:5" x14ac:dyDescent="0.2">
      <c r="A289" s="73" t="str">
        <f>IF('Data - Replaced'!C53="","",'Data - Replaced'!C53)</f>
        <v/>
      </c>
      <c r="B289" s="74" t="str">
        <f>IF('Data - Replaced'!L53="","",'Data - Replaced'!L53)</f>
        <v/>
      </c>
      <c r="C289" s="75" t="str">
        <f>IF('Data - Replaced'!NK53="","",'Data - Replaced'!NK53)</f>
        <v/>
      </c>
      <c r="D289" s="77" t="str">
        <f>IF(C289="","",IF('Data - Replaced'!NI53="","N/A",IF('Data - Replaced'!NI53&lt;Specifications!$D$3,"PASS","FAIL")))</f>
        <v/>
      </c>
      <c r="E289" s="78"/>
    </row>
    <row r="290" spans="1:5" x14ac:dyDescent="0.2">
      <c r="A290" s="73" t="str">
        <f>IF('Data - Replaced'!C54="","",'Data - Replaced'!C54)</f>
        <v/>
      </c>
      <c r="B290" s="74" t="str">
        <f>IF('Data - Replaced'!L54="","",'Data - Replaced'!L54)</f>
        <v/>
      </c>
      <c r="C290" s="75" t="str">
        <f>IF('Data - Replaced'!NK54="","",'Data - Replaced'!NK54)</f>
        <v/>
      </c>
      <c r="D290" s="77" t="str">
        <f>IF(C290="","",IF('Data - Replaced'!NI54="","N/A",IF('Data - Replaced'!NI54&lt;Specifications!$D$3,"PASS","FAIL")))</f>
        <v/>
      </c>
      <c r="E290" s="78"/>
    </row>
    <row r="291" spans="1:5" x14ac:dyDescent="0.2">
      <c r="A291" s="73" t="str">
        <f>IF('Data - Replaced'!C55="","",'Data - Replaced'!C55)</f>
        <v/>
      </c>
      <c r="B291" s="74" t="str">
        <f>IF('Data - Replaced'!L55="","",'Data - Replaced'!L55)</f>
        <v/>
      </c>
      <c r="C291" s="75" t="str">
        <f>IF('Data - Replaced'!NK55="","",'Data - Replaced'!NK55)</f>
        <v/>
      </c>
      <c r="D291" s="77" t="str">
        <f>IF(C291="","",IF('Data - Replaced'!NI55="","N/A",IF('Data - Replaced'!NI55&lt;Specifications!$D$3,"PASS","FAIL")))</f>
        <v/>
      </c>
      <c r="E291" s="78"/>
    </row>
    <row r="292" spans="1:5" x14ac:dyDescent="0.2">
      <c r="A292" s="73" t="str">
        <f>IF('Data - Replaced'!C56="","",'Data - Replaced'!C56)</f>
        <v/>
      </c>
      <c r="B292" s="74" t="str">
        <f>IF('Data - Replaced'!L56="","",'Data - Replaced'!L56)</f>
        <v/>
      </c>
      <c r="C292" s="75" t="str">
        <f>IF('Data - Replaced'!NK56="","",'Data - Replaced'!NK56)</f>
        <v/>
      </c>
      <c r="D292" s="77" t="str">
        <f>IF(C292="","",IF('Data - Replaced'!NI56="","N/A",IF('Data - Replaced'!NI56&lt;Specifications!$D$3,"PASS","FAIL")))</f>
        <v/>
      </c>
      <c r="E292" s="78"/>
    </row>
    <row r="293" spans="1:5" x14ac:dyDescent="0.2">
      <c r="A293" s="73" t="str">
        <f>IF('Data - Replaced'!C57="","",'Data - Replaced'!C57)</f>
        <v/>
      </c>
      <c r="B293" s="74" t="str">
        <f>IF('Data - Replaced'!L57="","",'Data - Replaced'!L57)</f>
        <v/>
      </c>
      <c r="C293" s="75" t="str">
        <f>IF('Data - Replaced'!NK57="","",'Data - Replaced'!NK57)</f>
        <v/>
      </c>
      <c r="D293" s="77" t="str">
        <f>IF(C293="","",IF('Data - Replaced'!NI57="","N/A",IF('Data - Replaced'!NI57&lt;Specifications!$D$3,"PASS","FAIL")))</f>
        <v/>
      </c>
      <c r="E293" s="78"/>
    </row>
    <row r="294" spans="1:5" x14ac:dyDescent="0.2">
      <c r="A294" s="73" t="str">
        <f>IF('Data - Replaced'!C58="","",'Data - Replaced'!C58)</f>
        <v/>
      </c>
      <c r="B294" s="74" t="str">
        <f>IF('Data - Replaced'!L58="","",'Data - Replaced'!L58)</f>
        <v/>
      </c>
      <c r="C294" s="75" t="str">
        <f>IF('Data - Replaced'!NK58="","",'Data - Replaced'!NK58)</f>
        <v/>
      </c>
      <c r="D294" s="77" t="str">
        <f>IF(C294="","",IF('Data - Replaced'!NI58="","N/A",IF('Data - Replaced'!NI58&lt;Specifications!$D$3,"PASS","FAIL")))</f>
        <v/>
      </c>
      <c r="E294" s="78"/>
    </row>
    <row r="295" spans="1:5" x14ac:dyDescent="0.2">
      <c r="A295" s="73" t="str">
        <f>IF('Data - Replaced'!C59="","",'Data - Replaced'!C59)</f>
        <v/>
      </c>
      <c r="B295" s="74" t="str">
        <f>IF('Data - Replaced'!L59="","",'Data - Replaced'!L59)</f>
        <v/>
      </c>
      <c r="C295" s="75" t="str">
        <f>IF('Data - Replaced'!NK59="","",'Data - Replaced'!NK59)</f>
        <v/>
      </c>
      <c r="D295" s="77" t="str">
        <f>IF(C295="","",IF('Data - Replaced'!NI59="","N/A",IF('Data - Replaced'!NI59&lt;Specifications!$D$3,"PASS","FAIL")))</f>
        <v/>
      </c>
      <c r="E295" s="78"/>
    </row>
    <row r="296" spans="1:5" x14ac:dyDescent="0.2">
      <c r="A296" s="73" t="str">
        <f>IF('Data - Replaced'!C60="","",'Data - Replaced'!C60)</f>
        <v/>
      </c>
      <c r="B296" s="74" t="str">
        <f>IF('Data - Replaced'!L60="","",'Data - Replaced'!L60)</f>
        <v/>
      </c>
      <c r="C296" s="75" t="str">
        <f>IF('Data - Replaced'!NK60="","",'Data - Replaced'!NK60)</f>
        <v/>
      </c>
      <c r="D296" s="77" t="str">
        <f>IF(C296="","",IF('Data - Replaced'!NI60="","N/A",IF('Data - Replaced'!NI60&lt;Specifications!$D$3,"PASS","FAIL")))</f>
        <v/>
      </c>
      <c r="E296" s="78"/>
    </row>
    <row r="297" spans="1:5" x14ac:dyDescent="0.2">
      <c r="A297" s="73" t="str">
        <f>IF('Data - Replaced'!C61="","",'Data - Replaced'!C61)</f>
        <v/>
      </c>
      <c r="B297" s="74" t="str">
        <f>IF('Data - Replaced'!L61="","",'Data - Replaced'!L61)</f>
        <v/>
      </c>
      <c r="C297" s="75" t="str">
        <f>IF('Data - Replaced'!NK61="","",'Data - Replaced'!NK61)</f>
        <v/>
      </c>
      <c r="D297" s="77" t="str">
        <f>IF(C297="","",IF('Data - Replaced'!NI61="","N/A",IF('Data - Replaced'!NI61&lt;Specifications!$D$3,"PASS","FAIL")))</f>
        <v/>
      </c>
      <c r="E297" s="78"/>
    </row>
    <row r="298" spans="1:5" x14ac:dyDescent="0.2">
      <c r="A298" s="73" t="str">
        <f>IF('Data - Replaced'!C62="","",'Data - Replaced'!C62)</f>
        <v/>
      </c>
      <c r="B298" s="74" t="str">
        <f>IF('Data - Replaced'!L62="","",'Data - Replaced'!L62)</f>
        <v/>
      </c>
      <c r="C298" s="75" t="str">
        <f>IF('Data - Replaced'!NK62="","",'Data - Replaced'!NK62)</f>
        <v/>
      </c>
      <c r="D298" s="77" t="str">
        <f>IF(C298="","",IF('Data - Replaced'!NI62="","N/A",IF('Data - Replaced'!NI62&lt;Specifications!$D$3,"PASS","FAIL")))</f>
        <v/>
      </c>
      <c r="E298" s="78"/>
    </row>
    <row r="299" spans="1:5" x14ac:dyDescent="0.2">
      <c r="A299" s="73" t="str">
        <f>IF('Data - Replaced'!C63="","",'Data - Replaced'!C63)</f>
        <v/>
      </c>
      <c r="B299" s="74" t="str">
        <f>IF('Data - Replaced'!L63="","",'Data - Replaced'!L63)</f>
        <v/>
      </c>
      <c r="C299" s="75" t="str">
        <f>IF('Data - Replaced'!NK63="","",'Data - Replaced'!NK63)</f>
        <v/>
      </c>
      <c r="D299" s="77" t="str">
        <f>IF(C299="","",IF('Data - Replaced'!NI63="","N/A",IF('Data - Replaced'!NI63&lt;Specifications!$D$3,"PASS","FAIL")))</f>
        <v/>
      </c>
      <c r="E299" s="78"/>
    </row>
    <row r="300" spans="1:5" x14ac:dyDescent="0.2">
      <c r="A300" s="73" t="str">
        <f>IF('Data - Replaced'!C64="","",'Data - Replaced'!C64)</f>
        <v/>
      </c>
      <c r="B300" s="74" t="str">
        <f>IF('Data - Replaced'!L64="","",'Data - Replaced'!L64)</f>
        <v/>
      </c>
      <c r="C300" s="75" t="str">
        <f>IF('Data - Replaced'!NK64="","",'Data - Replaced'!NK64)</f>
        <v/>
      </c>
      <c r="D300" s="77" t="str">
        <f>IF(C300="","",IF('Data - Replaced'!NI64="","N/A",IF('Data - Replaced'!NI64&lt;Specifications!$D$3,"PASS","FAIL")))</f>
        <v/>
      </c>
      <c r="E300" s="78"/>
    </row>
    <row r="301" spans="1:5" x14ac:dyDescent="0.2">
      <c r="A301" s="73" t="str">
        <f>IF('Data - Replaced'!C65="","",'Data - Replaced'!C65)</f>
        <v/>
      </c>
      <c r="B301" s="74" t="str">
        <f>IF('Data - Replaced'!L65="","",'Data - Replaced'!L65)</f>
        <v/>
      </c>
      <c r="C301" s="75" t="str">
        <f>IF('Data - Replaced'!NK65="","",'Data - Replaced'!NK65)</f>
        <v/>
      </c>
      <c r="D301" s="77" t="str">
        <f>IF(C301="","",IF('Data - Replaced'!NI65="","N/A",IF('Data - Replaced'!NI65&lt;Specifications!$D$3,"PASS","FAIL")))</f>
        <v/>
      </c>
      <c r="E301" s="78"/>
    </row>
    <row r="302" spans="1:5" x14ac:dyDescent="0.2">
      <c r="A302" s="73" t="str">
        <f>IF('Data - Replaced'!C66="","",'Data - Replaced'!C66)</f>
        <v/>
      </c>
      <c r="B302" s="74" t="str">
        <f>IF('Data - Replaced'!L66="","",'Data - Replaced'!L66)</f>
        <v/>
      </c>
      <c r="C302" s="75" t="str">
        <f>IF('Data - Replaced'!NK66="","",'Data - Replaced'!NK66)</f>
        <v/>
      </c>
      <c r="D302" s="77" t="str">
        <f>IF(C302="","",IF('Data - Replaced'!NI66="","N/A",IF('Data - Replaced'!NI66&lt;Specifications!$D$3,"PASS","FAIL")))</f>
        <v/>
      </c>
      <c r="E302" s="78"/>
    </row>
    <row r="303" spans="1:5" x14ac:dyDescent="0.2">
      <c r="A303" s="73" t="str">
        <f>IF('Data - Replaced'!C67="","",'Data - Replaced'!C67)</f>
        <v/>
      </c>
      <c r="B303" s="74" t="str">
        <f>IF('Data - Replaced'!L67="","",'Data - Replaced'!L67)</f>
        <v/>
      </c>
      <c r="C303" s="75" t="str">
        <f>IF('Data - Replaced'!NK67="","",'Data - Replaced'!NK67)</f>
        <v/>
      </c>
      <c r="D303" s="77" t="str">
        <f>IF(C303="","",IF('Data - Replaced'!NI67="","N/A",IF('Data - Replaced'!NI67&lt;Specifications!$D$3,"PASS","FAIL")))</f>
        <v/>
      </c>
      <c r="E303" s="78"/>
    </row>
    <row r="304" spans="1:5" x14ac:dyDescent="0.2">
      <c r="A304" s="73" t="str">
        <f>IF('Data - Replaced'!C68="","",'Data - Replaced'!C68)</f>
        <v/>
      </c>
      <c r="B304" s="74" t="str">
        <f>IF('Data - Replaced'!L68="","",'Data - Replaced'!L68)</f>
        <v/>
      </c>
      <c r="C304" s="75" t="str">
        <f>IF('Data - Replaced'!NK68="","",'Data - Replaced'!NK68)</f>
        <v/>
      </c>
      <c r="D304" s="77" t="str">
        <f>IF(C304="","",IF('Data - Replaced'!NI68="","N/A",IF('Data - Replaced'!NI68&lt;Specifications!$D$3,"PASS","FAIL")))</f>
        <v/>
      </c>
      <c r="E304" s="78"/>
    </row>
    <row r="305" spans="1:5" x14ac:dyDescent="0.2">
      <c r="A305" s="73" t="str">
        <f>IF('Data - Replaced'!C69="","",'Data - Replaced'!C69)</f>
        <v/>
      </c>
      <c r="B305" s="74" t="str">
        <f>IF('Data - Replaced'!L69="","",'Data - Replaced'!L69)</f>
        <v/>
      </c>
      <c r="C305" s="75" t="str">
        <f>IF('Data - Replaced'!NK69="","",'Data - Replaced'!NK69)</f>
        <v/>
      </c>
      <c r="D305" s="77" t="str">
        <f>IF(C305="","",IF('Data - Replaced'!NI69="","N/A",IF('Data - Replaced'!NI69&lt;Specifications!$D$3,"PASS","FAIL")))</f>
        <v/>
      </c>
      <c r="E305" s="78"/>
    </row>
    <row r="306" spans="1:5" x14ac:dyDescent="0.2">
      <c r="A306" s="73" t="str">
        <f>IF('Data - Replaced'!C70="","",'Data - Replaced'!C70)</f>
        <v/>
      </c>
      <c r="B306" s="74" t="str">
        <f>IF('Data - Replaced'!L70="","",'Data - Replaced'!L70)</f>
        <v/>
      </c>
      <c r="C306" s="75" t="str">
        <f>IF('Data - Replaced'!NK70="","",'Data - Replaced'!NK70)</f>
        <v/>
      </c>
      <c r="D306" s="77" t="str">
        <f>IF(C306="","",IF('Data - Replaced'!NI70="","N/A",IF('Data - Replaced'!NI70&lt;Specifications!$D$3,"PASS","FAIL")))</f>
        <v/>
      </c>
      <c r="E306" s="78"/>
    </row>
    <row r="307" spans="1:5" x14ac:dyDescent="0.2">
      <c r="A307" s="73" t="str">
        <f>IF('Data - Replaced'!C71="","",'Data - Replaced'!C71)</f>
        <v/>
      </c>
      <c r="B307" s="74" t="str">
        <f>IF('Data - Replaced'!L71="","",'Data - Replaced'!L71)</f>
        <v/>
      </c>
      <c r="C307" s="75" t="str">
        <f>IF('Data - Replaced'!NK71="","",'Data - Replaced'!NK71)</f>
        <v/>
      </c>
      <c r="D307" s="77" t="str">
        <f>IF(C307="","",IF('Data - Replaced'!NI71="","N/A",IF('Data - Replaced'!NI71&lt;Specifications!$D$3,"PASS","FAIL")))</f>
        <v/>
      </c>
      <c r="E307" s="78"/>
    </row>
    <row r="308" spans="1:5" x14ac:dyDescent="0.2">
      <c r="A308" s="73" t="str">
        <f>IF('Data - Replaced'!C72="","",'Data - Replaced'!C72)</f>
        <v/>
      </c>
      <c r="B308" s="74" t="str">
        <f>IF('Data - Replaced'!L72="","",'Data - Replaced'!L72)</f>
        <v/>
      </c>
      <c r="C308" s="75" t="str">
        <f>IF('Data - Replaced'!NK72="","",'Data - Replaced'!NK72)</f>
        <v/>
      </c>
      <c r="D308" s="77" t="str">
        <f>IF(C308="","",IF('Data - Replaced'!NI72="","N/A",IF('Data - Replaced'!NI72&lt;Specifications!$D$3,"PASS","FAIL")))</f>
        <v/>
      </c>
      <c r="E308" s="78"/>
    </row>
    <row r="309" spans="1:5" x14ac:dyDescent="0.2">
      <c r="A309" s="73" t="str">
        <f>IF('Data - Replaced'!C73="","",'Data - Replaced'!C73)</f>
        <v/>
      </c>
      <c r="B309" s="74" t="str">
        <f>IF('Data - Replaced'!L73="","",'Data - Replaced'!L73)</f>
        <v/>
      </c>
      <c r="C309" s="75" t="str">
        <f>IF('Data - Replaced'!NK73="","",'Data - Replaced'!NK73)</f>
        <v/>
      </c>
      <c r="D309" s="77" t="str">
        <f>IF(C309="","",IF('Data - Replaced'!NI73="","N/A",IF('Data - Replaced'!NI73&lt;Specifications!$D$3,"PASS","FAIL")))</f>
        <v/>
      </c>
      <c r="E309" s="78"/>
    </row>
    <row r="310" spans="1:5" x14ac:dyDescent="0.2">
      <c r="A310" s="73" t="str">
        <f>IF('Data - Replaced'!C74="","",'Data - Replaced'!C74)</f>
        <v/>
      </c>
      <c r="B310" s="74" t="str">
        <f>IF('Data - Replaced'!L74="","",'Data - Replaced'!L74)</f>
        <v/>
      </c>
      <c r="C310" s="75" t="str">
        <f>IF('Data - Replaced'!NK74="","",'Data - Replaced'!NK74)</f>
        <v/>
      </c>
      <c r="D310" s="77" t="str">
        <f>IF(C310="","",IF('Data - Replaced'!NI74="","N/A",IF('Data - Replaced'!NI74&lt;Specifications!$D$3,"PASS","FAIL")))</f>
        <v/>
      </c>
      <c r="E310" s="78"/>
    </row>
    <row r="311" spans="1:5" x14ac:dyDescent="0.2">
      <c r="A311" s="73" t="str">
        <f>IF('Data - Replaced'!C75="","",'Data - Replaced'!C75)</f>
        <v/>
      </c>
      <c r="B311" s="74" t="str">
        <f>IF('Data - Replaced'!L75="","",'Data - Replaced'!L75)</f>
        <v/>
      </c>
      <c r="C311" s="75" t="str">
        <f>IF('Data - Replaced'!NK75="","",'Data - Replaced'!NK75)</f>
        <v/>
      </c>
      <c r="D311" s="77" t="str">
        <f>IF(C311="","",IF('Data - Replaced'!NI75="","N/A",IF('Data - Replaced'!NI75&lt;Specifications!$D$3,"PASS","FAIL")))</f>
        <v/>
      </c>
      <c r="E311" s="78"/>
    </row>
    <row r="312" spans="1:5" x14ac:dyDescent="0.2">
      <c r="A312" s="73" t="str">
        <f>IF('Data - Replaced'!C76="","",'Data - Replaced'!C76)</f>
        <v/>
      </c>
      <c r="B312" s="74" t="str">
        <f>IF('Data - Replaced'!L76="","",'Data - Replaced'!L76)</f>
        <v/>
      </c>
      <c r="C312" s="75" t="str">
        <f>IF('Data - Replaced'!NK76="","",'Data - Replaced'!NK76)</f>
        <v/>
      </c>
      <c r="D312" s="77" t="str">
        <f>IF(C312="","",IF('Data - Replaced'!NI76="","N/A",IF('Data - Replaced'!NI76&lt;Specifications!$D$3,"PASS","FAIL")))</f>
        <v/>
      </c>
      <c r="E312" s="78"/>
    </row>
    <row r="313" spans="1:5" x14ac:dyDescent="0.2">
      <c r="A313" s="73" t="str">
        <f>IF('Data - Replaced'!C77="","",'Data - Replaced'!C77)</f>
        <v/>
      </c>
      <c r="B313" s="74" t="str">
        <f>IF('Data - Replaced'!L77="","",'Data - Replaced'!L77)</f>
        <v/>
      </c>
      <c r="C313" s="75" t="str">
        <f>IF('Data - Replaced'!NK77="","",'Data - Replaced'!NK77)</f>
        <v/>
      </c>
      <c r="D313" s="77" t="str">
        <f>IF(C313="","",IF('Data - Replaced'!NI77="","N/A",IF('Data - Replaced'!NI77&lt;Specifications!$D$3,"PASS","FAIL")))</f>
        <v/>
      </c>
      <c r="E313" s="78"/>
    </row>
    <row r="314" spans="1:5" x14ac:dyDescent="0.2">
      <c r="A314" s="73" t="str">
        <f>IF('Data - Replaced'!C78="","",'Data - Replaced'!C78)</f>
        <v/>
      </c>
      <c r="B314" s="74" t="str">
        <f>IF('Data - Replaced'!L78="","",'Data - Replaced'!L78)</f>
        <v/>
      </c>
      <c r="C314" s="75" t="str">
        <f>IF('Data - Replaced'!NK78="","",'Data - Replaced'!NK78)</f>
        <v/>
      </c>
      <c r="D314" s="77" t="str">
        <f>IF(C314="","",IF('Data - Replaced'!NI78="","N/A",IF('Data - Replaced'!NI78&lt;Specifications!$D$3,"PASS","FAIL")))</f>
        <v/>
      </c>
      <c r="E314" s="78"/>
    </row>
    <row r="315" spans="1:5" x14ac:dyDescent="0.2">
      <c r="A315" s="73" t="str">
        <f>IF('Data - Replaced'!C79="","",'Data - Replaced'!C79)</f>
        <v/>
      </c>
      <c r="B315" s="74" t="str">
        <f>IF('Data - Replaced'!L79="","",'Data - Replaced'!L79)</f>
        <v/>
      </c>
      <c r="C315" s="75" t="str">
        <f>IF('Data - Replaced'!NK79="","",'Data - Replaced'!NK79)</f>
        <v/>
      </c>
      <c r="D315" s="77" t="str">
        <f>IF(C315="","",IF('Data - Replaced'!NI79="","N/A",IF('Data - Replaced'!NI79&lt;Specifications!$D$3,"PASS","FAIL")))</f>
        <v/>
      </c>
      <c r="E315" s="78"/>
    </row>
    <row r="316" spans="1:5" x14ac:dyDescent="0.2">
      <c r="A316" s="73" t="str">
        <f>IF('Data - Replaced'!C80="","",'Data - Replaced'!C80)</f>
        <v/>
      </c>
      <c r="B316" s="74" t="str">
        <f>IF('Data - Replaced'!L80="","",'Data - Replaced'!L80)</f>
        <v/>
      </c>
      <c r="C316" s="75" t="str">
        <f>IF('Data - Replaced'!NK80="","",'Data - Replaced'!NK80)</f>
        <v/>
      </c>
      <c r="D316" s="77" t="str">
        <f>IF(C316="","",IF('Data - Replaced'!NI80="","N/A",IF('Data - Replaced'!NI80&lt;Specifications!$D$3,"PASS","FAIL")))</f>
        <v/>
      </c>
      <c r="E316" s="78"/>
    </row>
    <row r="317" spans="1:5" x14ac:dyDescent="0.2">
      <c r="A317" s="73" t="str">
        <f>IF('Data - Replaced'!C81="","",'Data - Replaced'!C81)</f>
        <v/>
      </c>
      <c r="B317" s="74" t="str">
        <f>IF('Data - Replaced'!L81="","",'Data - Replaced'!L81)</f>
        <v/>
      </c>
      <c r="C317" s="75" t="str">
        <f>IF('Data - Replaced'!NK81="","",'Data - Replaced'!NK81)</f>
        <v/>
      </c>
      <c r="D317" s="77" t="str">
        <f>IF(C317="","",IF('Data - Replaced'!NI81="","N/A",IF('Data - Replaced'!NI81&lt;Specifications!$D$3,"PASS","FAIL")))</f>
        <v/>
      </c>
      <c r="E317" s="78"/>
    </row>
    <row r="318" spans="1:5" x14ac:dyDescent="0.2">
      <c r="A318" s="73" t="str">
        <f>IF('Data - Replaced'!C82="","",'Data - Replaced'!C82)</f>
        <v/>
      </c>
      <c r="B318" s="74" t="str">
        <f>IF('Data - Replaced'!L82="","",'Data - Replaced'!L82)</f>
        <v/>
      </c>
      <c r="C318" s="75" t="str">
        <f>IF('Data - Replaced'!NK82="","",'Data - Replaced'!NK82)</f>
        <v/>
      </c>
      <c r="D318" s="77" t="str">
        <f>IF(C318="","",IF('Data - Replaced'!NI82="","N/A",IF('Data - Replaced'!NI82&lt;Specifications!$D$3,"PASS","FAIL")))</f>
        <v/>
      </c>
      <c r="E318" s="78"/>
    </row>
    <row r="319" spans="1:5" x14ac:dyDescent="0.2">
      <c r="A319" s="73" t="str">
        <f>IF('Data - Replaced'!C83="","",'Data - Replaced'!C83)</f>
        <v/>
      </c>
      <c r="B319" s="74" t="str">
        <f>IF('Data - Replaced'!L83="","",'Data - Replaced'!L83)</f>
        <v/>
      </c>
      <c r="C319" s="75" t="str">
        <f>IF('Data - Replaced'!NK83="","",'Data - Replaced'!NK83)</f>
        <v/>
      </c>
      <c r="D319" s="77" t="str">
        <f>IF(C319="","",IF('Data - Replaced'!NI83="","N/A",IF('Data - Replaced'!NI83&lt;Specifications!$D$3,"PASS","FAIL")))</f>
        <v/>
      </c>
      <c r="E319" s="78"/>
    </row>
    <row r="320" spans="1:5" x14ac:dyDescent="0.2">
      <c r="A320" s="73" t="str">
        <f>IF('Data - Replaced'!C84="","",'Data - Replaced'!C84)</f>
        <v/>
      </c>
      <c r="B320" s="74" t="str">
        <f>IF('Data - Replaced'!L84="","",'Data - Replaced'!L84)</f>
        <v/>
      </c>
      <c r="C320" s="75" t="str">
        <f>IF('Data - Replaced'!NK84="","",'Data - Replaced'!NK84)</f>
        <v/>
      </c>
      <c r="D320" s="77" t="str">
        <f>IF(C320="","",IF('Data - Replaced'!NI84="","N/A",IF('Data - Replaced'!NI84&lt;Specifications!$D$3,"PASS","FAIL")))</f>
        <v/>
      </c>
      <c r="E320" s="78"/>
    </row>
    <row r="321" spans="1:5" x14ac:dyDescent="0.2">
      <c r="A321" s="73" t="str">
        <f>IF('Data - Replaced'!C85="","",'Data - Replaced'!C85)</f>
        <v/>
      </c>
      <c r="B321" s="74" t="str">
        <f>IF('Data - Replaced'!L85="","",'Data - Replaced'!L85)</f>
        <v/>
      </c>
      <c r="C321" s="75" t="str">
        <f>IF('Data - Replaced'!NK85="","",'Data - Replaced'!NK85)</f>
        <v/>
      </c>
      <c r="D321" s="77" t="str">
        <f>IF(C321="","",IF('Data - Replaced'!NI85="","N/A",IF('Data - Replaced'!NI85&lt;Specifications!$D$3,"PASS","FAIL")))</f>
        <v/>
      </c>
      <c r="E321" s="78"/>
    </row>
    <row r="322" spans="1:5" x14ac:dyDescent="0.2">
      <c r="A322" s="73" t="str">
        <f>IF('Data - Replaced'!C86="","",'Data - Replaced'!C86)</f>
        <v/>
      </c>
      <c r="B322" s="74" t="str">
        <f>IF('Data - Replaced'!L86="","",'Data - Replaced'!L86)</f>
        <v/>
      </c>
      <c r="C322" s="75" t="str">
        <f>IF('Data - Replaced'!NK86="","",'Data - Replaced'!NK86)</f>
        <v/>
      </c>
      <c r="D322" s="77" t="str">
        <f>IF(C322="","",IF('Data - Replaced'!NI86="","N/A",IF('Data - Replaced'!NI86&lt;Specifications!$D$3,"PASS","FAIL")))</f>
        <v/>
      </c>
      <c r="E322" s="78"/>
    </row>
    <row r="323" spans="1:5" x14ac:dyDescent="0.2">
      <c r="A323" s="73" t="str">
        <f>IF('Data - Replaced'!C87="","",'Data - Replaced'!C87)</f>
        <v/>
      </c>
      <c r="B323" s="74" t="str">
        <f>IF('Data - Replaced'!L87="","",'Data - Replaced'!L87)</f>
        <v/>
      </c>
      <c r="C323" s="75" t="str">
        <f>IF('Data - Replaced'!NK87="","",'Data - Replaced'!NK87)</f>
        <v/>
      </c>
      <c r="D323" s="77" t="str">
        <f>IF(C323="","",IF('Data - Replaced'!NI87="","N/A",IF('Data - Replaced'!NI87&lt;Specifications!$D$3,"PASS","FAIL")))</f>
        <v/>
      </c>
      <c r="E323" s="78"/>
    </row>
    <row r="324" spans="1:5" x14ac:dyDescent="0.2">
      <c r="A324" s="73" t="str">
        <f>IF('Data - Replaced'!C88="","",'Data - Replaced'!C88)</f>
        <v/>
      </c>
      <c r="B324" s="74" t="str">
        <f>IF('Data - Replaced'!L88="","",'Data - Replaced'!L88)</f>
        <v/>
      </c>
      <c r="C324" s="75" t="str">
        <f>IF('Data - Replaced'!NK88="","",'Data - Replaced'!NK88)</f>
        <v/>
      </c>
      <c r="D324" s="77" t="str">
        <f>IF(C324="","",IF('Data - Replaced'!NI88="","N/A",IF('Data - Replaced'!NI88&lt;Specifications!$D$3,"PASS","FAIL")))</f>
        <v/>
      </c>
      <c r="E324" s="78"/>
    </row>
    <row r="325" spans="1:5" x14ac:dyDescent="0.2">
      <c r="A325" s="73" t="str">
        <f>IF('Data - Replaced'!C89="","",'Data - Replaced'!C89)</f>
        <v/>
      </c>
      <c r="B325" s="74" t="str">
        <f>IF('Data - Replaced'!L89="","",'Data - Replaced'!L89)</f>
        <v/>
      </c>
      <c r="C325" s="75" t="str">
        <f>IF('Data - Replaced'!NK89="","",'Data - Replaced'!NK89)</f>
        <v/>
      </c>
      <c r="D325" s="77" t="str">
        <f>IF(C325="","",IF('Data - Replaced'!NI89="","N/A",IF('Data - Replaced'!NI89&lt;Specifications!$D$3,"PASS","FAIL")))</f>
        <v/>
      </c>
      <c r="E325" s="78"/>
    </row>
    <row r="326" spans="1:5" x14ac:dyDescent="0.2">
      <c r="A326" s="73" t="str">
        <f>IF('Data - Replaced'!C90="","",'Data - Replaced'!C90)</f>
        <v/>
      </c>
      <c r="B326" s="74" t="str">
        <f>IF('Data - Replaced'!L90="","",'Data - Replaced'!L90)</f>
        <v/>
      </c>
      <c r="C326" s="75" t="str">
        <f>IF('Data - Replaced'!NK90="","",'Data - Replaced'!NK90)</f>
        <v/>
      </c>
      <c r="D326" s="77" t="str">
        <f>IF(C326="","",IF('Data - Replaced'!NI90="","N/A",IF('Data - Replaced'!NI90&lt;Specifications!$D$3,"PASS","FAIL")))</f>
        <v/>
      </c>
      <c r="E326" s="78"/>
    </row>
    <row r="327" spans="1:5" x14ac:dyDescent="0.2">
      <c r="A327" s="73" t="str">
        <f>IF('Data - Replaced'!C91="","",'Data - Replaced'!C91)</f>
        <v/>
      </c>
      <c r="B327" s="74" t="str">
        <f>IF('Data - Replaced'!L91="","",'Data - Replaced'!L91)</f>
        <v/>
      </c>
      <c r="C327" s="75" t="str">
        <f>IF('Data - Replaced'!NK91="","",'Data - Replaced'!NK91)</f>
        <v/>
      </c>
      <c r="D327" s="77" t="str">
        <f>IF(C327="","",IF('Data - Replaced'!NI91="","N/A",IF('Data - Replaced'!NI91&lt;Specifications!$D$3,"PASS","FAIL")))</f>
        <v/>
      </c>
      <c r="E327" s="78"/>
    </row>
    <row r="328" spans="1:5" x14ac:dyDescent="0.2">
      <c r="A328" s="73" t="str">
        <f>IF('Data - Replaced'!C92="","",'Data - Replaced'!C92)</f>
        <v/>
      </c>
      <c r="B328" s="74" t="str">
        <f>IF('Data - Replaced'!L92="","",'Data - Replaced'!L92)</f>
        <v/>
      </c>
      <c r="C328" s="75" t="str">
        <f>IF('Data - Replaced'!NK92="","",'Data - Replaced'!NK92)</f>
        <v/>
      </c>
      <c r="D328" s="77" t="str">
        <f>IF(C328="","",IF('Data - Replaced'!NI92="","N/A",IF('Data - Replaced'!NI92&lt;Specifications!$D$3,"PASS","FAIL")))</f>
        <v/>
      </c>
      <c r="E328" s="78"/>
    </row>
    <row r="329" spans="1:5" x14ac:dyDescent="0.2">
      <c r="A329" s="73" t="str">
        <f>IF('Data - Replaced'!C93="","",'Data - Replaced'!C93)</f>
        <v/>
      </c>
      <c r="B329" s="74" t="str">
        <f>IF('Data - Replaced'!L93="","",'Data - Replaced'!L93)</f>
        <v/>
      </c>
      <c r="C329" s="75" t="str">
        <f>IF('Data - Replaced'!NK93="","",'Data - Replaced'!NK93)</f>
        <v/>
      </c>
      <c r="D329" s="77" t="str">
        <f>IF(C329="","",IF('Data - Replaced'!NI93="","N/A",IF('Data - Replaced'!NI93&lt;Specifications!$D$3,"PASS","FAIL")))</f>
        <v/>
      </c>
      <c r="E329" s="78"/>
    </row>
    <row r="330" spans="1:5" x14ac:dyDescent="0.2">
      <c r="A330" s="73" t="str">
        <f>IF('Data - Replaced'!C94="","",'Data - Replaced'!C94)</f>
        <v/>
      </c>
      <c r="B330" s="74" t="str">
        <f>IF('Data - Replaced'!L94="","",'Data - Replaced'!L94)</f>
        <v/>
      </c>
      <c r="C330" s="75" t="str">
        <f>IF('Data - Replaced'!NK94="","",'Data - Replaced'!NK94)</f>
        <v/>
      </c>
      <c r="D330" s="77" t="str">
        <f>IF(C330="","",IF('Data - Replaced'!NI94="","N/A",IF('Data - Replaced'!NI94&lt;Specifications!$D$3,"PASS","FAIL")))</f>
        <v/>
      </c>
      <c r="E330" s="78"/>
    </row>
    <row r="331" spans="1:5" x14ac:dyDescent="0.2">
      <c r="A331" s="73" t="str">
        <f>IF('Data - Replaced'!C95="","",'Data - Replaced'!C95)</f>
        <v/>
      </c>
      <c r="B331" s="74" t="str">
        <f>IF('Data - Replaced'!L95="","",'Data - Replaced'!L95)</f>
        <v/>
      </c>
      <c r="C331" s="75" t="str">
        <f>IF('Data - Replaced'!NK95="","",'Data - Replaced'!NK95)</f>
        <v/>
      </c>
      <c r="D331" s="77" t="str">
        <f>IF(C331="","",IF('Data - Replaced'!NI95="","N/A",IF('Data - Replaced'!NI95&lt;Specifications!$D$3,"PASS","FAIL")))</f>
        <v/>
      </c>
      <c r="E331" s="78"/>
    </row>
    <row r="332" spans="1:5" x14ac:dyDescent="0.2">
      <c r="A332" s="73" t="str">
        <f>IF('Data - Replaced'!C96="","",'Data - Replaced'!C96)</f>
        <v/>
      </c>
      <c r="B332" s="74" t="str">
        <f>IF('Data - Replaced'!L96="","",'Data - Replaced'!L96)</f>
        <v/>
      </c>
      <c r="C332" s="75" t="str">
        <f>IF('Data - Replaced'!NK96="","",'Data - Replaced'!NK96)</f>
        <v/>
      </c>
      <c r="D332" s="77" t="str">
        <f>IF(C332="","",IF('Data - Replaced'!NI96="","N/A",IF('Data - Replaced'!NI96&lt;Specifications!$D$3,"PASS","FAIL")))</f>
        <v/>
      </c>
      <c r="E332" s="78"/>
    </row>
    <row r="333" spans="1:5" x14ac:dyDescent="0.2">
      <c r="A333" s="73" t="str">
        <f>IF('Data - Replaced'!C97="","",'Data - Replaced'!C97)</f>
        <v/>
      </c>
      <c r="B333" s="74" t="str">
        <f>IF('Data - Replaced'!L97="","",'Data - Replaced'!L97)</f>
        <v/>
      </c>
      <c r="C333" s="75" t="str">
        <f>IF('Data - Replaced'!NK97="","",'Data - Replaced'!NK97)</f>
        <v/>
      </c>
      <c r="D333" s="77" t="str">
        <f>IF(C333="","",IF('Data - Replaced'!NI97="","N/A",IF('Data - Replaced'!NI97&lt;Specifications!$D$3,"PASS","FAIL")))</f>
        <v/>
      </c>
      <c r="E333" s="78"/>
    </row>
    <row r="334" spans="1:5" x14ac:dyDescent="0.2">
      <c r="A334" s="73" t="str">
        <f>IF('Data - Replaced'!C98="","",'Data - Replaced'!C98)</f>
        <v/>
      </c>
      <c r="B334" s="74" t="str">
        <f>IF('Data - Replaced'!L98="","",'Data - Replaced'!L98)</f>
        <v/>
      </c>
      <c r="C334" s="75" t="str">
        <f>IF('Data - Replaced'!NK98="","",'Data - Replaced'!NK98)</f>
        <v/>
      </c>
      <c r="D334" s="77" t="str">
        <f>IF(C334="","",IF('Data - Replaced'!NI98="","N/A",IF('Data - Replaced'!NI98&lt;Specifications!$D$3,"PASS","FAIL")))</f>
        <v/>
      </c>
      <c r="E334" s="78"/>
    </row>
    <row r="335" spans="1:5" x14ac:dyDescent="0.2">
      <c r="A335" s="73" t="str">
        <f>IF('Data - Replaced'!C99="","",'Data - Replaced'!C99)</f>
        <v/>
      </c>
      <c r="B335" s="74" t="str">
        <f>IF('Data - Replaced'!L99="","",'Data - Replaced'!L99)</f>
        <v/>
      </c>
      <c r="C335" s="75" t="str">
        <f>IF('Data - Replaced'!NK99="","",'Data - Replaced'!NK99)</f>
        <v/>
      </c>
      <c r="D335" s="77" t="str">
        <f>IF(C335="","",IF('Data - Replaced'!NI99="","N/A",IF('Data - Replaced'!NI99&lt;Specifications!$D$3,"PASS","FAIL")))</f>
        <v/>
      </c>
      <c r="E335" s="78"/>
    </row>
    <row r="336" spans="1:5" x14ac:dyDescent="0.2">
      <c r="A336" s="73" t="str">
        <f>IF('Data - Replaced'!C100="","",'Data - Replaced'!C100)</f>
        <v/>
      </c>
      <c r="B336" s="74" t="str">
        <f>IF('Data - Replaced'!L100="","",'Data - Replaced'!L100)</f>
        <v/>
      </c>
      <c r="C336" s="75" t="str">
        <f>IF('Data - Replaced'!NK100="","",'Data - Replaced'!NK100)</f>
        <v/>
      </c>
      <c r="D336" s="77" t="str">
        <f>IF(C336="","",IF('Data - Replaced'!NI100="","N/A",IF('Data - Replaced'!NI100&lt;Specifications!$D$3,"PASS","FAIL")))</f>
        <v/>
      </c>
      <c r="E336" s="78"/>
    </row>
    <row r="337" spans="1:5" x14ac:dyDescent="0.2">
      <c r="A337" s="73" t="str">
        <f>IF('Data - Replaced'!C101="","",'Data - Replaced'!C101)</f>
        <v/>
      </c>
      <c r="B337" s="74" t="str">
        <f>IF('Data - Replaced'!L101="","",'Data - Replaced'!L101)</f>
        <v/>
      </c>
      <c r="C337" s="75" t="str">
        <f>IF('Data - Replaced'!NK101="","",'Data - Replaced'!NK101)</f>
        <v/>
      </c>
      <c r="D337" s="77" t="str">
        <f>IF(C337="","",IF('Data - Replaced'!NI101="","N/A",IF('Data - Replaced'!NI101&lt;Specifications!$D$3,"PASS","FAIL")))</f>
        <v/>
      </c>
      <c r="E337" s="78"/>
    </row>
    <row r="339" spans="1:5" ht="15.75" x14ac:dyDescent="0.25">
      <c r="A339" s="91" t="s">
        <v>39</v>
      </c>
      <c r="B339" s="92"/>
      <c r="C339" s="91" t="s">
        <v>23</v>
      </c>
      <c r="D339" s="93"/>
    </row>
  </sheetData>
  <sheetProtection formatColumns="0" formatRows="0"/>
  <mergeCells count="16">
    <mergeCell ref="A3:B3"/>
    <mergeCell ref="A2:B2"/>
    <mergeCell ref="A1:E1"/>
    <mergeCell ref="D128:E128"/>
    <mergeCell ref="D213:E213"/>
    <mergeCell ref="D8:E8"/>
    <mergeCell ref="D23:E23"/>
    <mergeCell ref="D126:E126"/>
    <mergeCell ref="D127:E127"/>
    <mergeCell ref="D212:E212"/>
    <mergeCell ref="D211:E211"/>
    <mergeCell ref="D6:E6"/>
    <mergeCell ref="D7:E7"/>
    <mergeCell ref="D21:E21"/>
    <mergeCell ref="D22:E22"/>
    <mergeCell ref="A4:B4"/>
  </mergeCells>
  <conditionalFormatting sqref="A8">
    <cfRule type="cellIs" dxfId="727" priority="201" operator="equal">
      <formula>"SEAL TEST FAILURE"</formula>
    </cfRule>
    <cfRule type="containsText" dxfId="726" priority="200" operator="containsText" text="Error">
      <formula>NOT(ISERROR(SEARCH("Error",A8)))</formula>
    </cfRule>
    <cfRule type="cellIs" dxfId="725" priority="199" operator="equal">
      <formula>"MINOR VISUAL"</formula>
    </cfRule>
    <cfRule type="cellIs" dxfId="724" priority="198" operator="equal">
      <formula>"BARCODE FAIL"</formula>
    </cfRule>
    <cfRule type="cellIs" dxfId="723" priority="205" operator="equal">
      <formula>"MAJOR VISUAL"</formula>
    </cfRule>
    <cfRule type="cellIs" dxfId="722" priority="207" operator="equal">
      <formula>"PASS"</formula>
    </cfRule>
    <cfRule type="cellIs" dxfId="721" priority="206" operator="equal">
      <formula>"MAJOR FUNCTIONAL"</formula>
    </cfRule>
    <cfRule type="cellIs" dxfId="720" priority="204" operator="equal">
      <formula>"INVALID"</formula>
    </cfRule>
    <cfRule type="cellIs" dxfId="719" priority="203" operator="equal">
      <formula>"SPC CT=0"</formula>
    </cfRule>
    <cfRule type="cellIs" dxfId="718" priority="202" operator="equal">
      <formula>"E*"</formula>
    </cfRule>
  </conditionalFormatting>
  <conditionalFormatting sqref="A23">
    <cfRule type="cellIs" dxfId="717" priority="52" operator="equal">
      <formula>"MAJOR VISUAL"</formula>
    </cfRule>
    <cfRule type="cellIs" dxfId="716" priority="45" operator="equal">
      <formula>"BARCODE FAIL"</formula>
    </cfRule>
    <cfRule type="cellIs" dxfId="715" priority="46" operator="equal">
      <formula>"MINOR VISUAL"</formula>
    </cfRule>
    <cfRule type="containsText" dxfId="714" priority="47" operator="containsText" text="Error">
      <formula>NOT(ISERROR(SEARCH("Error",A23)))</formula>
    </cfRule>
    <cfRule type="cellIs" dxfId="713" priority="48" operator="equal">
      <formula>"SEAL TEST FAILURE"</formula>
    </cfRule>
    <cfRule type="cellIs" dxfId="712" priority="49" operator="equal">
      <formula>"E*"</formula>
    </cfRule>
    <cfRule type="cellIs" dxfId="711" priority="50" operator="equal">
      <formula>"SPC CT=0"</formula>
    </cfRule>
    <cfRule type="cellIs" dxfId="710" priority="51" operator="equal">
      <formula>"INVALID"</formula>
    </cfRule>
    <cfRule type="cellIs" dxfId="709" priority="53" operator="equal">
      <formula>"MAJOR FUNCTIONAL"</formula>
    </cfRule>
    <cfRule type="cellIs" dxfId="708" priority="54" operator="equal">
      <formula>"PASS"</formula>
    </cfRule>
  </conditionalFormatting>
  <conditionalFormatting sqref="A128">
    <cfRule type="cellIs" dxfId="707" priority="110" operator="equal">
      <formula>"PASS"</formula>
    </cfRule>
    <cfRule type="cellIs" dxfId="706" priority="101" operator="equal">
      <formula>"BARCODE FAIL"</formula>
    </cfRule>
    <cfRule type="cellIs" dxfId="705" priority="102" operator="equal">
      <formula>"MINOR VISUAL"</formula>
    </cfRule>
    <cfRule type="containsText" dxfId="704" priority="103" operator="containsText" text="Error">
      <formula>NOT(ISERROR(SEARCH("Error",A128)))</formula>
    </cfRule>
    <cfRule type="cellIs" dxfId="703" priority="104" operator="equal">
      <formula>"SEAL TEST FAILURE"</formula>
    </cfRule>
    <cfRule type="cellIs" dxfId="702" priority="105" operator="equal">
      <formula>"E*"</formula>
    </cfRule>
    <cfRule type="cellIs" dxfId="701" priority="106" operator="equal">
      <formula>"SPC CT=0"</formula>
    </cfRule>
    <cfRule type="cellIs" dxfId="700" priority="107" operator="equal">
      <formula>"INVALID"</formula>
    </cfRule>
    <cfRule type="cellIs" dxfId="699" priority="108" operator="equal">
      <formula>"MAJOR VISUAL"</formula>
    </cfRule>
    <cfRule type="cellIs" dxfId="698" priority="109" operator="equal">
      <formula>"MAJOR FUNCTIONAL"</formula>
    </cfRule>
  </conditionalFormatting>
  <conditionalFormatting sqref="A213">
    <cfRule type="cellIs" dxfId="697" priority="182" operator="equal">
      <formula>"E*"</formula>
    </cfRule>
    <cfRule type="cellIs" dxfId="696" priority="183" operator="equal">
      <formula>"SPC CT=0"</formula>
    </cfRule>
    <cfRule type="cellIs" dxfId="695" priority="185" operator="equal">
      <formula>"MAJOR VISUAL"</formula>
    </cfRule>
    <cfRule type="cellIs" dxfId="694" priority="186" operator="equal">
      <formula>"MAJOR FUNCTIONAL"</formula>
    </cfRule>
    <cfRule type="cellIs" dxfId="693" priority="187" operator="equal">
      <formula>"PASS"</formula>
    </cfRule>
    <cfRule type="cellIs" dxfId="692" priority="184" operator="equal">
      <formula>"INVALID"</formula>
    </cfRule>
    <cfRule type="cellIs" dxfId="691" priority="178" operator="equal">
      <formula>"BARCODE FAIL"</formula>
    </cfRule>
    <cfRule type="cellIs" dxfId="690" priority="179" operator="equal">
      <formula>"MINOR VISUAL"</formula>
    </cfRule>
    <cfRule type="containsText" dxfId="689" priority="180" operator="containsText" text="Error">
      <formula>NOT(ISERROR(SEARCH("Error",A213)))</formula>
    </cfRule>
    <cfRule type="cellIs" dxfId="688" priority="181" operator="equal">
      <formula>"SEAL TEST FAILURE"</formula>
    </cfRule>
  </conditionalFormatting>
  <conditionalFormatting sqref="B6:B7">
    <cfRule type="cellIs" dxfId="687" priority="343" operator="equal">
      <formula>"SPC CT=0"</formula>
    </cfRule>
    <cfRule type="cellIs" dxfId="686" priority="346" operator="equal">
      <formula>"MAJOR FUNCTIONAL"</formula>
    </cfRule>
    <cfRule type="cellIs" dxfId="685" priority="345" operator="equal">
      <formula>"MAJOR VISUAL"</formula>
    </cfRule>
    <cfRule type="cellIs" dxfId="684" priority="344" operator="equal">
      <formula>"INVALID"</formula>
    </cfRule>
    <cfRule type="cellIs" dxfId="683" priority="347" operator="equal">
      <formula>"PASS"</formula>
    </cfRule>
    <cfRule type="cellIs" dxfId="682" priority="342" operator="equal">
      <formula>"E*"</formula>
    </cfRule>
    <cfRule type="cellIs" dxfId="681" priority="341" operator="equal">
      <formula>"SEAL TEST FAILURE"</formula>
    </cfRule>
    <cfRule type="containsText" dxfId="680" priority="340" operator="containsText" text="Error">
      <formula>NOT(ISERROR(SEARCH("Error",B6)))</formula>
    </cfRule>
    <cfRule type="cellIs" dxfId="679" priority="339" operator="equal">
      <formula>"MINOR VISUAL"</formula>
    </cfRule>
    <cfRule type="cellIs" dxfId="678" priority="338" operator="equal">
      <formula>"BARCODE FAIL"</formula>
    </cfRule>
  </conditionalFormatting>
  <conditionalFormatting sqref="B22">
    <cfRule type="cellIs" dxfId="677" priority="309" operator="equal">
      <formula>"MINOR VISUAL"</formula>
    </cfRule>
    <cfRule type="cellIs" dxfId="676" priority="314" operator="equal">
      <formula>"INVALID"</formula>
    </cfRule>
    <cfRule type="cellIs" dxfId="675" priority="313" operator="equal">
      <formula>"SPC CT=0"</formula>
    </cfRule>
    <cfRule type="cellIs" dxfId="674" priority="317" operator="equal">
      <formula>"PASS"</formula>
    </cfRule>
    <cfRule type="cellIs" dxfId="673" priority="315" operator="equal">
      <formula>"MAJOR VISUAL"</formula>
    </cfRule>
    <cfRule type="cellIs" dxfId="672" priority="312" operator="equal">
      <formula>"E*"</formula>
    </cfRule>
    <cfRule type="cellIs" dxfId="671" priority="311" operator="equal">
      <formula>"SEAL TEST FAILURE"</formula>
    </cfRule>
    <cfRule type="cellIs" dxfId="670" priority="308" operator="equal">
      <formula>"BARCODE FAIL"</formula>
    </cfRule>
    <cfRule type="cellIs" dxfId="669" priority="316" operator="equal">
      <formula>"MAJOR FUNCTIONAL"</formula>
    </cfRule>
    <cfRule type="containsText" dxfId="668" priority="310" operator="containsText" text="Error">
      <formula>NOT(ISERROR(SEARCH("Error",B22)))</formula>
    </cfRule>
  </conditionalFormatting>
  <conditionalFormatting sqref="B127">
    <cfRule type="cellIs" dxfId="667" priority="139" operator="equal">
      <formula>"MAJOR FUNCTIONAL"</formula>
    </cfRule>
    <cfRule type="cellIs" dxfId="666" priority="138" operator="equal">
      <formula>"MAJOR VISUAL"</formula>
    </cfRule>
    <cfRule type="cellIs" dxfId="665" priority="131" operator="equal">
      <formula>"BARCODE FAIL"</formula>
    </cfRule>
    <cfRule type="containsText" dxfId="664" priority="133" operator="containsText" text="Error">
      <formula>NOT(ISERROR(SEARCH("Error",B127)))</formula>
    </cfRule>
    <cfRule type="cellIs" dxfId="663" priority="132" operator="equal">
      <formula>"MINOR VISUAL"</formula>
    </cfRule>
    <cfRule type="cellIs" dxfId="662" priority="140" operator="equal">
      <formula>"PASS"</formula>
    </cfRule>
  </conditionalFormatting>
  <conditionalFormatting sqref="B212">
    <cfRule type="cellIs" dxfId="661" priority="278" operator="equal">
      <formula>"BARCODE FAIL"</formula>
    </cfRule>
    <cfRule type="containsText" dxfId="660" priority="280" operator="containsText" text="Error">
      <formula>NOT(ISERROR(SEARCH("Error",B212)))</formula>
    </cfRule>
    <cfRule type="cellIs" dxfId="659" priority="279" operator="equal">
      <formula>"MINOR VISUAL"</formula>
    </cfRule>
  </conditionalFormatting>
  <conditionalFormatting sqref="B127:C127">
    <cfRule type="cellIs" dxfId="658" priority="137" operator="equal">
      <formula>"INVALID"</formula>
    </cfRule>
    <cfRule type="cellIs" dxfId="657" priority="136" operator="equal">
      <formula>"SPC CT=0"</formula>
    </cfRule>
    <cfRule type="cellIs" dxfId="656" priority="135" operator="equal">
      <formula>"E*"</formula>
    </cfRule>
    <cfRule type="cellIs" dxfId="655" priority="134" operator="equal">
      <formula>"SEAL TEST FAILURE"</formula>
    </cfRule>
  </conditionalFormatting>
  <conditionalFormatting sqref="B212:C212">
    <cfRule type="cellIs" dxfId="654" priority="282" operator="equal">
      <formula>"E*"</formula>
    </cfRule>
    <cfRule type="cellIs" dxfId="653" priority="285" operator="equal">
      <formula>"MAJOR VISUAL"</formula>
    </cfRule>
    <cfRule type="cellIs" dxfId="652" priority="284" operator="equal">
      <formula>"INVALID"</formula>
    </cfRule>
    <cfRule type="cellIs" dxfId="651" priority="281" operator="equal">
      <formula>"SEAL TEST FAILURE"</formula>
    </cfRule>
    <cfRule type="cellIs" dxfId="650" priority="283" operator="equal">
      <formula>"SPC CT=0"</formula>
    </cfRule>
    <cfRule type="cellIs" dxfId="649" priority="287" operator="equal">
      <formula>"PASS"</formula>
    </cfRule>
    <cfRule type="cellIs" dxfId="648" priority="286" operator="equal">
      <formula>"MAJOR FUNCTIONAL"</formula>
    </cfRule>
  </conditionalFormatting>
  <conditionalFormatting sqref="C2:C7">
    <cfRule type="cellIs" dxfId="647" priority="247" operator="equal">
      <formula>"PASS"</formula>
    </cfRule>
    <cfRule type="cellIs" dxfId="646" priority="238" operator="equal">
      <formula>"BARCODE FAIL"</formula>
    </cfRule>
    <cfRule type="cellIs" dxfId="645" priority="239" operator="equal">
      <formula>"MINOR VISUAL"</formula>
    </cfRule>
    <cfRule type="containsText" dxfId="644" priority="240" operator="containsText" text="Error">
      <formula>NOT(ISERROR(SEARCH("Error",C2)))</formula>
    </cfRule>
    <cfRule type="cellIs" dxfId="643" priority="241" operator="equal">
      <formula>"SEAL TEST FAILURE"</formula>
    </cfRule>
    <cfRule type="cellIs" dxfId="642" priority="242" operator="equal">
      <formula>"E*"</formula>
    </cfRule>
    <cfRule type="cellIs" dxfId="641" priority="243" operator="equal">
      <formula>"SPC CT=0"</formula>
    </cfRule>
    <cfRule type="cellIs" dxfId="640" priority="244" operator="equal">
      <formula>"INVALID"</formula>
    </cfRule>
    <cfRule type="cellIs" dxfId="639" priority="245" operator="equal">
      <formula>"MAJOR VISUAL"</formula>
    </cfRule>
    <cfRule type="cellIs" dxfId="638" priority="246" operator="equal">
      <formula>"MAJOR FUNCTIONAL"</formula>
    </cfRule>
  </conditionalFormatting>
  <conditionalFormatting sqref="C9:C22">
    <cfRule type="cellIs" dxfId="637" priority="326" operator="equal">
      <formula>"MAJOR FUNCTIONAL"</formula>
    </cfRule>
    <cfRule type="cellIs" dxfId="636" priority="327" operator="equal">
      <formula>"PASS"</formula>
    </cfRule>
    <cfRule type="cellIs" dxfId="635" priority="324" operator="equal">
      <formula>"INVALID"</formula>
    </cfRule>
    <cfRule type="cellIs" dxfId="634" priority="318" operator="equal">
      <formula>"BARCODE FAIL"</formula>
    </cfRule>
    <cfRule type="cellIs" dxfId="633" priority="319" operator="equal">
      <formula>"MINOR VISUAL"</formula>
    </cfRule>
    <cfRule type="containsText" dxfId="632" priority="320" operator="containsText" text="Error">
      <formula>NOT(ISERROR(SEARCH("Error",C9)))</formula>
    </cfRule>
    <cfRule type="cellIs" dxfId="631" priority="321" operator="equal">
      <formula>"SEAL TEST FAILURE"</formula>
    </cfRule>
    <cfRule type="cellIs" dxfId="630" priority="322" operator="equal">
      <formula>"E*"</formula>
    </cfRule>
    <cfRule type="cellIs" dxfId="629" priority="323" operator="equal">
      <formula>"SPC CT=0"</formula>
    </cfRule>
    <cfRule type="cellIs" dxfId="628" priority="325" operator="equal">
      <formula>"MAJOR VISUAL"</formula>
    </cfRule>
  </conditionalFormatting>
  <conditionalFormatting sqref="C10:C19 C25:C125 C130:C209 C215:C234">
    <cfRule type="cellIs" dxfId="627" priority="164" operator="equal">
      <formula>"DELAMINATION"</formula>
    </cfRule>
  </conditionalFormatting>
  <conditionalFormatting sqref="C24:C125 C214:C235 D236 C237 C338 C340:C1048576">
    <cfRule type="cellIs" dxfId="626" priority="408" operator="equal">
      <formula>"INVALID"</formula>
    </cfRule>
    <cfRule type="cellIs" dxfId="625" priority="407" operator="equal">
      <formula>"SPC CT=0"</formula>
    </cfRule>
    <cfRule type="cellIs" dxfId="624" priority="405" operator="equal">
      <formula>"SEAL TEST FAILURE"</formula>
    </cfRule>
    <cfRule type="cellIs" dxfId="623" priority="406" operator="equal">
      <formula>"E*"</formula>
    </cfRule>
  </conditionalFormatting>
  <conditionalFormatting sqref="C24:C127">
    <cfRule type="cellIs" dxfId="622" priority="141" operator="equal">
      <formula>"BARCODE FAIL"</formula>
    </cfRule>
    <cfRule type="containsText" dxfId="621" priority="143" operator="containsText" text="Error">
      <formula>NOT(ISERROR(SEARCH("Error",C24)))</formula>
    </cfRule>
    <cfRule type="cellIs" dxfId="620" priority="142" operator="equal">
      <formula>"MINOR VISUAL"</formula>
    </cfRule>
  </conditionalFormatting>
  <conditionalFormatting sqref="C127">
    <cfRule type="cellIs" dxfId="619" priority="148" operator="equal">
      <formula>"MAJOR VISUAL"</formula>
    </cfRule>
    <cfRule type="cellIs" dxfId="618" priority="150" operator="equal">
      <formula>"PASS"</formula>
    </cfRule>
    <cfRule type="cellIs" dxfId="617" priority="149" operator="equal">
      <formula>"MAJOR FUNCTIONAL"</formula>
    </cfRule>
  </conditionalFormatting>
  <conditionalFormatting sqref="C129:C210">
    <cfRule type="cellIs" dxfId="616" priority="159" operator="equal">
      <formula>"SPC CT=0"</formula>
    </cfRule>
    <cfRule type="cellIs" dxfId="615" priority="158" operator="equal">
      <formula>"E*"</formula>
    </cfRule>
    <cfRule type="cellIs" dxfId="614" priority="163" operator="equal">
      <formula>"PASS"</formula>
    </cfRule>
    <cfRule type="cellIs" dxfId="613" priority="162" operator="equal">
      <formula>"MAJOR FUNCTIONAL"</formula>
    </cfRule>
    <cfRule type="cellIs" dxfId="612" priority="157" operator="equal">
      <formula>"SEAL TEST FAILURE"</formula>
    </cfRule>
    <cfRule type="cellIs" dxfId="611" priority="161" operator="equal">
      <formula>"MAJOR VISUAL"</formula>
    </cfRule>
    <cfRule type="cellIs" dxfId="610" priority="160" operator="equal">
      <formula>"INVALID"</formula>
    </cfRule>
  </conditionalFormatting>
  <conditionalFormatting sqref="C129:C212">
    <cfRule type="cellIs" dxfId="609" priority="152" operator="equal">
      <formula>"MINOR VISUAL"</formula>
    </cfRule>
    <cfRule type="containsText" dxfId="608" priority="154" operator="containsText" text="Error">
      <formula>NOT(ISERROR(SEARCH("Error",C129)))</formula>
    </cfRule>
    <cfRule type="cellIs" dxfId="607" priority="151" operator="equal">
      <formula>"BARCODE FAIL"</formula>
    </cfRule>
  </conditionalFormatting>
  <conditionalFormatting sqref="C130:C234">
    <cfRule type="cellIs" dxfId="606" priority="16" operator="equal">
      <formula>"MINOR FUNCTIONAL"</formula>
    </cfRule>
  </conditionalFormatting>
  <conditionalFormatting sqref="C214:C235 D236 C237 C338 C340:C1048576 C24:C125">
    <cfRule type="cellIs" dxfId="605" priority="411" operator="equal">
      <formula>"PASS"</formula>
    </cfRule>
    <cfRule type="cellIs" dxfId="604" priority="410" operator="equal">
      <formula>"MAJOR FUNCTIONAL"</formula>
    </cfRule>
    <cfRule type="cellIs" dxfId="603" priority="409" operator="equal">
      <formula>"MAJOR VISUAL"</formula>
    </cfRule>
  </conditionalFormatting>
  <conditionalFormatting sqref="C214:C235 D236 C237 C338 C340:C1048576">
    <cfRule type="containsText" dxfId="602" priority="381" operator="containsText" text="Error">
      <formula>NOT(ISERROR(SEARCH("Error",C214)))</formula>
    </cfRule>
    <cfRule type="cellIs" dxfId="601" priority="379" operator="equal">
      <formula>"MINOR VISUAL"</formula>
    </cfRule>
    <cfRule type="cellIs" dxfId="600" priority="378" operator="equal">
      <formula>"BARCODE FAIL"</formula>
    </cfRule>
  </conditionalFormatting>
  <conditionalFormatting sqref="D3:D4">
    <cfRule type="cellIs" dxfId="599" priority="371" operator="equal">
      <formula>"SEAL TEST FAILURE"</formula>
    </cfRule>
    <cfRule type="cellIs" dxfId="598" priority="369" operator="equal">
      <formula>"MINOR VISUAL"</formula>
    </cfRule>
    <cfRule type="cellIs" dxfId="597" priority="368" operator="equal">
      <formula>"BARCODE FAIL"</formula>
    </cfRule>
    <cfRule type="cellIs" dxfId="596" priority="377" operator="equal">
      <formula>"PASS"</formula>
    </cfRule>
    <cfRule type="containsText" dxfId="595" priority="370" operator="containsText" text="Error">
      <formula>NOT(ISERROR(SEARCH("Error",D3)))</formula>
    </cfRule>
    <cfRule type="cellIs" dxfId="594" priority="372" operator="equal">
      <formula>"E*"</formula>
    </cfRule>
    <cfRule type="cellIs" dxfId="593" priority="373" operator="equal">
      <formula>"SPC CT=0"</formula>
    </cfRule>
    <cfRule type="cellIs" dxfId="592" priority="374" operator="equal">
      <formula>"INVALID"</formula>
    </cfRule>
    <cfRule type="cellIs" dxfId="591" priority="375" operator="equal">
      <formula>"MAJOR VISUAL"</formula>
    </cfRule>
    <cfRule type="cellIs" dxfId="590" priority="376" operator="equal">
      <formula>"MAJOR FUNCTIONAL"</formula>
    </cfRule>
  </conditionalFormatting>
  <conditionalFormatting sqref="D5 D9:D20 D24:D125 D214:D235 D237 D338 D340:D1048576">
    <cfRule type="cellIs" dxfId="589" priority="396" operator="equal">
      <formula>"Pass"</formula>
    </cfRule>
    <cfRule type="cellIs" dxfId="588" priority="397" operator="equal">
      <formula>"Fail"</formula>
    </cfRule>
    <cfRule type="cellIs" dxfId="587" priority="380" operator="equal">
      <formula>"N/A"</formula>
    </cfRule>
  </conditionalFormatting>
  <conditionalFormatting sqref="D6:D7">
    <cfRule type="cellIs" dxfId="586" priority="337" operator="equal">
      <formula>"PASS"</formula>
    </cfRule>
    <cfRule type="cellIs" dxfId="585" priority="329" operator="equal">
      <formula>"MINOR VISUAL"</formula>
    </cfRule>
    <cfRule type="containsText" dxfId="584" priority="330" operator="containsText" text="Error">
      <formula>NOT(ISERROR(SEARCH("Error",D6)))</formula>
    </cfRule>
    <cfRule type="cellIs" dxfId="583" priority="332" operator="equal">
      <formula>"E*"</formula>
    </cfRule>
    <cfRule type="cellIs" dxfId="582" priority="334" operator="equal">
      <formula>"INVALID"</formula>
    </cfRule>
    <cfRule type="cellIs" dxfId="581" priority="331" operator="equal">
      <formula>"SEAL TEST FAILURE"</formula>
    </cfRule>
    <cfRule type="cellIs" dxfId="580" priority="333" operator="equal">
      <formula>"SPC CT=0"</formula>
    </cfRule>
    <cfRule type="cellIs" dxfId="579" priority="328" operator="equal">
      <formula>"BARCODE FAIL"</formula>
    </cfRule>
    <cfRule type="cellIs" dxfId="578" priority="335" operator="equal">
      <formula>"MAJOR VISUAL"</formula>
    </cfRule>
    <cfRule type="cellIs" dxfId="577" priority="336" operator="equal">
      <formula>"MAJOR FUNCTIONAL"</formula>
    </cfRule>
  </conditionalFormatting>
  <conditionalFormatting sqref="D21:D22">
    <cfRule type="cellIs" dxfId="576" priority="257" operator="equal">
      <formula>"PASS"</formula>
    </cfRule>
    <cfRule type="cellIs" dxfId="575" priority="251" operator="equal">
      <formula>"SEAL TEST FAILURE"</formula>
    </cfRule>
    <cfRule type="cellIs" dxfId="574" priority="248" operator="equal">
      <formula>"BARCODE FAIL"</formula>
    </cfRule>
    <cfRule type="cellIs" dxfId="573" priority="249" operator="equal">
      <formula>"MINOR VISUAL"</formula>
    </cfRule>
    <cfRule type="containsText" dxfId="572" priority="250" operator="containsText" text="Error">
      <formula>NOT(ISERROR(SEARCH("Error",D21)))</formula>
    </cfRule>
    <cfRule type="cellIs" dxfId="571" priority="252" operator="equal">
      <formula>"E*"</formula>
    </cfRule>
    <cfRule type="cellIs" dxfId="570" priority="253" operator="equal">
      <formula>"SPC CT=0"</formula>
    </cfRule>
    <cfRule type="cellIs" dxfId="569" priority="254" operator="equal">
      <formula>"INVALID"</formula>
    </cfRule>
    <cfRule type="cellIs" dxfId="568" priority="255" operator="equal">
      <formula>"MAJOR VISUAL"</formula>
    </cfRule>
    <cfRule type="cellIs" dxfId="567" priority="256" operator="equal">
      <formula>"MAJOR FUNCTIONAL"</formula>
    </cfRule>
  </conditionalFormatting>
  <conditionalFormatting sqref="D126:D127">
    <cfRule type="cellIs" dxfId="566" priority="119" operator="equal">
      <formula>"MAJOR FUNCTIONAL"</formula>
    </cfRule>
    <cfRule type="cellIs" dxfId="565" priority="120" operator="equal">
      <formula>"PASS"</formula>
    </cfRule>
    <cfRule type="cellIs" dxfId="564" priority="118" operator="equal">
      <formula>"MAJOR VISUAL"</formula>
    </cfRule>
    <cfRule type="cellIs" dxfId="563" priority="117" operator="equal">
      <formula>"INVALID"</formula>
    </cfRule>
    <cfRule type="cellIs" dxfId="562" priority="116" operator="equal">
      <formula>"SPC CT=0"</formula>
    </cfRule>
    <cfRule type="cellIs" dxfId="561" priority="115" operator="equal">
      <formula>"E*"</formula>
    </cfRule>
    <cfRule type="cellIs" dxfId="560" priority="114" operator="equal">
      <formula>"SEAL TEST FAILURE"</formula>
    </cfRule>
    <cfRule type="containsText" dxfId="559" priority="113" operator="containsText" text="Error">
      <formula>NOT(ISERROR(SEARCH("Error",D126)))</formula>
    </cfRule>
    <cfRule type="cellIs" dxfId="558" priority="112" operator="equal">
      <formula>"MINOR VISUAL"</formula>
    </cfRule>
    <cfRule type="cellIs" dxfId="557" priority="111" operator="equal">
      <formula>"BARCODE FAIL"</formula>
    </cfRule>
  </conditionalFormatting>
  <conditionalFormatting sqref="D129:D210">
    <cfRule type="cellIs" dxfId="556" priority="8" operator="equal">
      <formula>"Fail"</formula>
    </cfRule>
    <cfRule type="cellIs" dxfId="555" priority="5" operator="equal">
      <formula>"N/A"</formula>
    </cfRule>
    <cfRule type="cellIs" dxfId="554" priority="7" operator="equal">
      <formula>"Pass"</formula>
    </cfRule>
  </conditionalFormatting>
  <conditionalFormatting sqref="D211:D212">
    <cfRule type="cellIs" dxfId="553" priority="261" operator="equal">
      <formula>"SEAL TEST FAILURE"</formula>
    </cfRule>
    <cfRule type="containsText" dxfId="552" priority="260" operator="containsText" text="Error">
      <formula>NOT(ISERROR(SEARCH("Error",D211)))</formula>
    </cfRule>
    <cfRule type="cellIs" dxfId="551" priority="259" operator="equal">
      <formula>"MINOR VISUAL"</formula>
    </cfRule>
    <cfRule type="cellIs" dxfId="550" priority="258" operator="equal">
      <formula>"BARCODE FAIL"</formula>
    </cfRule>
    <cfRule type="cellIs" dxfId="549" priority="267" operator="equal">
      <formula>"PASS"</formula>
    </cfRule>
    <cfRule type="cellIs" dxfId="548" priority="266" operator="equal">
      <formula>"MAJOR FUNCTIONAL"</formula>
    </cfRule>
    <cfRule type="cellIs" dxfId="547" priority="265" operator="equal">
      <formula>"MAJOR VISUAL"</formula>
    </cfRule>
    <cfRule type="cellIs" dxfId="546" priority="264" operator="equal">
      <formula>"INVALID"</formula>
    </cfRule>
    <cfRule type="cellIs" dxfId="545" priority="263" operator="equal">
      <formula>"SPC CT=0"</formula>
    </cfRule>
    <cfRule type="cellIs" dxfId="544" priority="262" operator="equal">
      <formula>"E*"</formula>
    </cfRule>
  </conditionalFormatting>
  <pageMargins left="0.5" right="0.5" top="1" bottom="1" header="0.25" footer="0.25"/>
  <pageSetup scale="58" fitToHeight="0" orientation="landscape" r:id="rId1"/>
  <headerFooter alignWithMargins="0">
    <oddHeader>&amp;LPart No.:
Batch No(s).: 
Cartridge No. (LSP): &amp;C&amp;12Product QC Testing Worksheet-MTB/XDR&amp;RDocument Number: D37339 Attachment 1
Rev: M
Effective: 5/21/2026
p. &amp;P of &amp;N</oddHeader>
    <oddFooter>&amp;C User is responsible for using the current revision. The controlled current released revision of this document resides in the Agile PLM system.
Cepheid Confidential    Date Printed: &amp;D      &amp;T</oddFooter>
  </headerFooter>
  <rowBreaks count="2" manualBreakCount="2">
    <brk id="125" max="4" man="1"/>
    <brk id="210" max="4" man="1"/>
  </rowBreaks>
  <drawing r:id="rId2"/>
  <legacyDrawing r:id="rId3"/>
  <mc:AlternateContent xmlns:mc="http://schemas.openxmlformats.org/markup-compatibility/2006">
    <mc:Choice Requires="x14">
      <controls>
        <mc:AlternateContent xmlns:mc="http://schemas.openxmlformats.org/markup-compatibility/2006">
          <mc:Choice Requires="x14">
            <control shapeId="19457" r:id="rId4" name="Check Box 1">
              <controlPr defaultSize="0" autoFill="0" autoLine="0" autoPict="0" altText="N/A">
                <anchor moveWithCells="1">
                  <from>
                    <xdr:col>1</xdr:col>
                    <xdr:colOff>1419225</xdr:colOff>
                    <xdr:row>234</xdr:row>
                    <xdr:rowOff>152400</xdr:rowOff>
                  </from>
                  <to>
                    <xdr:col>1</xdr:col>
                    <xdr:colOff>2466975</xdr:colOff>
                    <xdr:row>236</xdr:row>
                    <xdr:rowOff>28575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count="2">
        <x14:dataValidation type="list" allowBlank="1" showInputMessage="1" xr:uid="{00000000-0002-0000-0400-000000000000}">
          <x14:formula1>
            <xm:f>'For Reference Only'!$A$2:$A$6</xm:f>
          </x14:formula1>
          <xm:sqref>E238:E337</xm:sqref>
        </x14:dataValidation>
        <x14:dataValidation type="list" showInputMessage="1" xr:uid="{00000000-0002-0000-0400-000001000000}">
          <x14:formula1>
            <xm:f>'For Reference Only'!$C$2:$C$14</xm:f>
          </x14:formula1>
          <xm:sqref>E10:E19 E215:E234 E25:E125 E130:E209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P775"/>
  <sheetViews>
    <sheetView zoomScaleNormal="100" workbookViewId="0">
      <selection activeCell="A2" sqref="A2:XFD11"/>
    </sheetView>
  </sheetViews>
  <sheetFormatPr defaultColWidth="9.140625" defaultRowHeight="12.75" x14ac:dyDescent="0.2"/>
  <cols>
    <col min="1" max="1" width="13.85546875" style="60" bestFit="1" customWidth="1"/>
    <col min="2" max="2" width="7.85546875" style="60" bestFit="1" customWidth="1"/>
    <col min="3" max="3" width="13.42578125" style="60" bestFit="1" customWidth="1"/>
    <col min="4" max="4" width="10" style="60" bestFit="1" customWidth="1"/>
    <col min="5" max="5" width="12" style="60" bestFit="1" customWidth="1"/>
    <col min="6" max="6" width="16.140625" style="60" bestFit="1" customWidth="1"/>
    <col min="7" max="7" width="14.42578125" style="60" bestFit="1" customWidth="1"/>
    <col min="8" max="8" width="7.5703125" style="60" bestFit="1" customWidth="1"/>
    <col min="9" max="9" width="7.85546875" style="60" bestFit="1" customWidth="1"/>
    <col min="10" max="10" width="13.42578125" style="60" bestFit="1" customWidth="1"/>
    <col min="11" max="11" width="6.5703125" style="60" bestFit="1" customWidth="1"/>
    <col min="12" max="12" width="35.7109375" style="60" customWidth="1"/>
    <col min="13" max="13" width="9.5703125" style="60" bestFit="1" customWidth="1"/>
    <col min="14" max="14" width="5.42578125" style="60" bestFit="1" customWidth="1"/>
    <col min="15" max="15" width="14.5703125" style="60" bestFit="1" customWidth="1"/>
    <col min="16" max="16" width="7.85546875" style="60" bestFit="1" customWidth="1"/>
    <col min="17" max="17" width="5" style="60" bestFit="1" customWidth="1"/>
    <col min="18" max="19" width="6.42578125" style="60" bestFit="1" customWidth="1"/>
    <col min="20" max="20" width="12.140625" style="60" bestFit="1" customWidth="1"/>
    <col min="21" max="23" width="8.140625" style="60" bestFit="1" customWidth="1"/>
    <col min="24" max="24" width="12.5703125" style="60" bestFit="1" customWidth="1"/>
    <col min="25" max="25" width="14.85546875" style="60" bestFit="1" customWidth="1"/>
    <col min="26" max="26" width="6" style="60" bestFit="1" customWidth="1"/>
    <col min="27" max="27" width="7.85546875" style="60" bestFit="1" customWidth="1"/>
    <col min="28" max="28" width="6.140625" style="60" bestFit="1" customWidth="1"/>
    <col min="29" max="29" width="8.42578125" style="60" bestFit="1" customWidth="1"/>
    <col min="30" max="30" width="7.85546875" style="60" bestFit="1" customWidth="1"/>
    <col min="31" max="31" width="2.85546875" style="60" bestFit="1" customWidth="1"/>
    <col min="32" max="33" width="6.42578125" style="60" bestFit="1" customWidth="1"/>
    <col min="34" max="34" width="12.140625" style="60" bestFit="1" customWidth="1"/>
    <col min="35" max="37" width="8.140625" style="60" bestFit="1" customWidth="1"/>
    <col min="38" max="38" width="12.5703125" style="60" bestFit="1" customWidth="1"/>
    <col min="39" max="39" width="14.85546875" style="60" bestFit="1" customWidth="1"/>
    <col min="40" max="40" width="6" style="60" bestFit="1" customWidth="1"/>
    <col min="41" max="41" width="7.85546875" style="60" bestFit="1" customWidth="1"/>
    <col min="42" max="42" width="6.140625" style="60" bestFit="1" customWidth="1"/>
    <col min="43" max="43" width="8.42578125" style="60" bestFit="1" customWidth="1"/>
    <col min="44" max="44" width="7.85546875" style="60" bestFit="1" customWidth="1"/>
    <col min="45" max="45" width="2.85546875" style="60" bestFit="1" customWidth="1"/>
    <col min="46" max="47" width="6.42578125" style="60" bestFit="1" customWidth="1"/>
    <col min="48" max="48" width="12.140625" style="60" bestFit="1" customWidth="1"/>
    <col min="49" max="51" width="8.140625" style="60" bestFit="1" customWidth="1"/>
    <col min="52" max="52" width="12.5703125" style="60" bestFit="1" customWidth="1"/>
    <col min="53" max="53" width="14.85546875" style="60" bestFit="1" customWidth="1"/>
    <col min="54" max="54" width="6" style="60" bestFit="1" customWidth="1"/>
    <col min="55" max="55" width="7.85546875" style="60" bestFit="1" customWidth="1"/>
    <col min="56" max="56" width="6.140625" style="60" bestFit="1" customWidth="1"/>
    <col min="57" max="57" width="8.42578125" style="60" bestFit="1" customWidth="1"/>
    <col min="58" max="58" width="7.85546875" style="60" bestFit="1" customWidth="1"/>
    <col min="59" max="59" width="5" style="60" bestFit="1" customWidth="1"/>
    <col min="60" max="61" width="6.42578125" style="60" bestFit="1" customWidth="1"/>
    <col min="62" max="62" width="12.140625" style="60" bestFit="1" customWidth="1"/>
    <col min="63" max="65" width="8.140625" style="60" bestFit="1" customWidth="1"/>
    <col min="66" max="66" width="12.5703125" style="60" bestFit="1" customWidth="1"/>
    <col min="67" max="67" width="14.85546875" style="60" bestFit="1" customWidth="1"/>
    <col min="68" max="68" width="6" style="60" bestFit="1" customWidth="1"/>
    <col min="69" max="69" width="7.85546875" style="60" bestFit="1" customWidth="1"/>
    <col min="70" max="70" width="6.140625" style="60" bestFit="1" customWidth="1"/>
    <col min="71" max="71" width="8.42578125" style="60" bestFit="1" customWidth="1"/>
    <col min="72" max="72" width="7.85546875" style="60" bestFit="1" customWidth="1"/>
    <col min="73" max="73" width="5" style="60" bestFit="1" customWidth="1"/>
    <col min="74" max="75" width="6.42578125" style="60" bestFit="1" customWidth="1"/>
    <col min="76" max="76" width="12.140625" style="60" bestFit="1" customWidth="1"/>
    <col min="77" max="79" width="8.140625" style="60" bestFit="1" customWidth="1"/>
    <col min="80" max="80" width="12.5703125" style="60" bestFit="1" customWidth="1"/>
    <col min="81" max="81" width="14.85546875" style="60" bestFit="1" customWidth="1"/>
    <col min="82" max="82" width="6" style="60" bestFit="1" customWidth="1"/>
    <col min="83" max="83" width="13.85546875" style="60" bestFit="1" customWidth="1"/>
    <col min="84" max="84" width="6.5703125" style="60" bestFit="1" customWidth="1"/>
    <col min="85" max="85" width="5.140625" style="60" bestFit="1" customWidth="1"/>
    <col min="86" max="86" width="7.85546875" style="60" bestFit="1" customWidth="1"/>
    <col min="87" max="87" width="5" style="60" bestFit="1" customWidth="1"/>
    <col min="88" max="88" width="6.42578125" style="60" bestFit="1" customWidth="1"/>
    <col min="89" max="89" width="9.140625" style="60" bestFit="1" customWidth="1"/>
    <col min="90" max="90" width="6.85546875" style="60" bestFit="1" customWidth="1"/>
    <col min="91" max="93" width="8.140625" style="60" bestFit="1" customWidth="1"/>
    <col min="94" max="94" width="6.5703125" style="60" bestFit="1" customWidth="1"/>
    <col min="95" max="96" width="6.85546875" style="60" bestFit="1" customWidth="1"/>
    <col min="97" max="97" width="7.85546875" style="60" bestFit="1" customWidth="1"/>
    <col min="98" max="98" width="6.5703125" style="60" bestFit="1" customWidth="1"/>
    <col min="99" max="99" width="8.42578125" style="60" bestFit="1" customWidth="1"/>
    <col min="100" max="100" width="7.85546875" style="60" bestFit="1" customWidth="1"/>
    <col min="101" max="101" width="5" style="60" bestFit="1" customWidth="1"/>
    <col min="102" max="102" width="6.42578125" style="60" bestFit="1" customWidth="1"/>
    <col min="103" max="103" width="9.140625" style="60"/>
    <col min="104" max="107" width="8.140625" style="60" bestFit="1" customWidth="1"/>
    <col min="108" max="108" width="6.5703125" style="60" bestFit="1" customWidth="1"/>
    <col min="109" max="110" width="6.85546875" style="60" bestFit="1" customWidth="1"/>
    <col min="111" max="111" width="7.85546875" style="60" bestFit="1" customWidth="1"/>
    <col min="112" max="112" width="6.5703125" style="60" bestFit="1" customWidth="1"/>
    <col min="113" max="113" width="8.42578125" style="60" bestFit="1" customWidth="1"/>
    <col min="114" max="114" width="7.85546875" style="60" bestFit="1" customWidth="1"/>
    <col min="115" max="115" width="2.85546875" style="60" bestFit="1" customWidth="1"/>
    <col min="116" max="116" width="6.42578125" style="60" bestFit="1" customWidth="1"/>
    <col min="117" max="117" width="9.140625" style="60"/>
    <col min="118" max="121" width="8.140625" style="60" bestFit="1" customWidth="1"/>
    <col min="122" max="122" width="6.5703125" style="60" bestFit="1" customWidth="1"/>
    <col min="123" max="124" width="6.85546875" style="60" bestFit="1" customWidth="1"/>
    <col min="125" max="125" width="7.85546875" style="60" bestFit="1" customWidth="1"/>
    <col min="126" max="126" width="6.5703125" style="60" bestFit="1" customWidth="1"/>
    <col min="127" max="127" width="8.42578125" style="60" bestFit="1" customWidth="1"/>
    <col min="128" max="128" width="7.85546875" style="60" bestFit="1" customWidth="1"/>
    <col min="129" max="129" width="5" style="60" bestFit="1" customWidth="1"/>
    <col min="130" max="130" width="6.42578125" style="60" bestFit="1" customWidth="1"/>
    <col min="131" max="131" width="9.140625" style="60"/>
    <col min="132" max="135" width="8.140625" style="60" bestFit="1" customWidth="1"/>
    <col min="136" max="136" width="6.5703125" style="60" bestFit="1" customWidth="1"/>
    <col min="137" max="138" width="6.85546875" style="60" bestFit="1" customWidth="1"/>
    <col min="139" max="139" width="7.85546875" style="60" bestFit="1" customWidth="1"/>
    <col min="140" max="140" width="6.5703125" style="60" bestFit="1" customWidth="1"/>
    <col min="141" max="141" width="8.42578125" style="60" bestFit="1" customWidth="1"/>
    <col min="142" max="142" width="7.85546875" style="60" bestFit="1" customWidth="1"/>
    <col min="143" max="143" width="2.85546875" style="60" bestFit="1" customWidth="1"/>
    <col min="144" max="144" width="6.42578125" style="60" bestFit="1" customWidth="1"/>
    <col min="145" max="145" width="9.140625" style="60"/>
    <col min="146" max="149" width="8.140625" style="60" bestFit="1" customWidth="1"/>
    <col min="150" max="150" width="6.5703125" style="60" bestFit="1" customWidth="1"/>
    <col min="151" max="152" width="6.85546875" style="60" bestFit="1" customWidth="1"/>
    <col min="153" max="153" width="7.85546875" style="60" bestFit="1" customWidth="1"/>
    <col min="154" max="154" width="6.5703125" style="60" bestFit="1" customWidth="1"/>
    <col min="155" max="157" width="8.140625" style="60" bestFit="1" customWidth="1"/>
    <col min="158" max="158" width="6.5703125" style="60" bestFit="1" customWidth="1"/>
    <col min="159" max="159" width="7.85546875" style="60" bestFit="1" customWidth="1"/>
    <col min="160" max="160" width="6.5703125" style="60" bestFit="1" customWidth="1"/>
    <col min="161" max="163" width="8.140625" style="60" bestFit="1" customWidth="1"/>
    <col min="164" max="164" width="6.5703125" style="60" bestFit="1" customWidth="1"/>
    <col min="165" max="165" width="8.85546875" style="60" bestFit="1" customWidth="1"/>
    <col min="166" max="166" width="10.42578125" style="60" bestFit="1" customWidth="1"/>
    <col min="167" max="169" width="8.140625" style="60" bestFit="1" customWidth="1"/>
    <col min="170" max="170" width="6.5703125" style="60" bestFit="1" customWidth="1"/>
    <col min="171" max="171" width="9.140625" style="60"/>
    <col min="172" max="172" width="6.85546875" style="60" bestFit="1" customWidth="1"/>
    <col min="173" max="173" width="9.140625" style="60"/>
    <col min="174" max="174" width="10.42578125" style="60" bestFit="1" customWidth="1"/>
    <col min="175" max="177" width="8.140625" style="60" bestFit="1" customWidth="1"/>
    <col min="178" max="178" width="6.5703125" style="60" bestFit="1" customWidth="1"/>
    <col min="179" max="179" width="9.140625" style="60"/>
    <col min="180" max="180" width="6.85546875" style="60" bestFit="1" customWidth="1"/>
    <col min="181" max="181" width="10" style="60" bestFit="1" customWidth="1"/>
    <col min="182" max="182" width="10.42578125" style="60" bestFit="1" customWidth="1"/>
    <col min="183" max="185" width="8.140625" style="60" bestFit="1" customWidth="1"/>
    <col min="186" max="186" width="6.5703125" style="60" bestFit="1" customWidth="1"/>
    <col min="187" max="187" width="9.140625" style="60"/>
    <col min="188" max="188" width="6.85546875" style="60" bestFit="1" customWidth="1"/>
    <col min="189" max="189" width="9.42578125" style="60" bestFit="1" customWidth="1"/>
    <col min="190" max="190" width="10.42578125" style="60" bestFit="1" customWidth="1"/>
    <col min="191" max="193" width="8.140625" style="60" bestFit="1" customWidth="1"/>
    <col min="194" max="194" width="6.5703125" style="60" bestFit="1" customWidth="1"/>
    <col min="195" max="195" width="9.140625" style="60"/>
    <col min="196" max="196" width="6.85546875" style="60" bestFit="1" customWidth="1"/>
    <col min="197" max="197" width="10" style="60" bestFit="1" customWidth="1"/>
    <col min="198" max="198" width="10.42578125" style="60" bestFit="1" customWidth="1"/>
    <col min="199" max="201" width="8.140625" style="60" bestFit="1" customWidth="1"/>
    <col min="202" max="202" width="6.5703125" style="60" bestFit="1" customWidth="1"/>
    <col min="203" max="203" width="9.140625" style="60"/>
    <col min="204" max="204" width="6.85546875" style="60" bestFit="1" customWidth="1"/>
    <col min="205" max="205" width="10" style="60" bestFit="1" customWidth="1"/>
    <col min="206" max="206" width="10.42578125" style="60" bestFit="1" customWidth="1"/>
    <col min="207" max="209" width="8.140625" style="60" bestFit="1" customWidth="1"/>
    <col min="210" max="210" width="6.5703125" style="60" bestFit="1" customWidth="1"/>
    <col min="211" max="211" width="9.140625" style="60"/>
    <col min="212" max="212" width="6.85546875" style="60" bestFit="1" customWidth="1"/>
    <col min="213" max="213" width="10" style="60" bestFit="1" customWidth="1"/>
    <col min="214" max="214" width="10.42578125" style="60" bestFit="1" customWidth="1"/>
    <col min="215" max="217" width="8.140625" style="60" bestFit="1" customWidth="1"/>
    <col min="218" max="218" width="6.5703125" style="60" bestFit="1" customWidth="1"/>
    <col min="219" max="219" width="9.140625" style="60"/>
    <col min="220" max="220" width="6.85546875" style="60" bestFit="1" customWidth="1"/>
    <col min="221" max="221" width="10" style="60" bestFit="1" customWidth="1"/>
    <col min="222" max="222" width="10.42578125" style="60" bestFit="1" customWidth="1"/>
    <col min="223" max="225" width="8.140625" style="60" bestFit="1" customWidth="1"/>
    <col min="226" max="226" width="6.5703125" style="60" bestFit="1" customWidth="1"/>
    <col min="227" max="227" width="9.140625" style="60"/>
    <col min="228" max="228" width="6.85546875" style="60" bestFit="1" customWidth="1"/>
    <col min="229" max="229" width="7.85546875" style="60" bestFit="1" customWidth="1"/>
    <col min="230" max="230" width="10.42578125" style="60" bestFit="1" customWidth="1"/>
    <col min="231" max="233" width="8.140625" style="60" bestFit="1" customWidth="1"/>
    <col min="234" max="234" width="6.5703125" style="60" bestFit="1" customWidth="1"/>
    <col min="235" max="235" width="9.140625" style="60"/>
    <col min="236" max="236" width="6.85546875" style="60" bestFit="1" customWidth="1"/>
    <col min="237" max="237" width="7.85546875" style="60" bestFit="1" customWidth="1"/>
    <col min="238" max="238" width="10.42578125" style="60" bestFit="1" customWidth="1"/>
    <col min="239" max="241" width="8.140625" style="60" bestFit="1" customWidth="1"/>
    <col min="242" max="242" width="6.5703125" style="60" bestFit="1" customWidth="1"/>
    <col min="243" max="243" width="9.140625" style="60"/>
    <col min="244" max="244" width="6.85546875" style="60" bestFit="1" customWidth="1"/>
    <col min="245" max="245" width="12.5703125" style="60" bestFit="1" customWidth="1"/>
    <col min="246" max="246" width="10.42578125" style="60" bestFit="1" customWidth="1"/>
    <col min="247" max="249" width="8.140625" style="60" bestFit="1" customWidth="1"/>
    <col min="250" max="250" width="6.5703125" style="60" bestFit="1" customWidth="1"/>
    <col min="251" max="251" width="9.140625" style="60"/>
    <col min="252" max="252" width="6.85546875" style="60" bestFit="1" customWidth="1"/>
    <col min="253" max="253" width="12.85546875" style="60" bestFit="1" customWidth="1"/>
    <col min="254" max="254" width="10.42578125" style="60" bestFit="1" customWidth="1"/>
    <col min="255" max="257" width="8.140625" style="60" bestFit="1" customWidth="1"/>
    <col min="258" max="258" width="6.5703125" style="60" bestFit="1" customWidth="1"/>
    <col min="259" max="259" width="9.140625" style="60"/>
    <col min="260" max="260" width="6.85546875" style="60" bestFit="1" customWidth="1"/>
    <col min="261" max="261" width="13.85546875" style="60" bestFit="1" customWidth="1"/>
    <col min="262" max="262" width="10.42578125" style="60" bestFit="1" customWidth="1"/>
    <col min="263" max="265" width="8.140625" style="60" bestFit="1" customWidth="1"/>
    <col min="266" max="266" width="6.5703125" style="60" bestFit="1" customWidth="1"/>
    <col min="267" max="267" width="9.140625" style="60"/>
    <col min="268" max="268" width="6.85546875" style="60" bestFit="1" customWidth="1"/>
    <col min="269" max="269" width="13.42578125" style="60" bestFit="1" customWidth="1"/>
    <col min="270" max="270" width="10.42578125" style="60" bestFit="1" customWidth="1"/>
    <col min="271" max="273" width="8.140625" style="60" bestFit="1" customWidth="1"/>
    <col min="274" max="274" width="6.5703125" style="60" bestFit="1" customWidth="1"/>
    <col min="275" max="275" width="9.140625" style="60"/>
    <col min="276" max="276" width="6.85546875" style="60" bestFit="1" customWidth="1"/>
    <col min="277" max="277" width="15.140625" style="60" bestFit="1" customWidth="1"/>
    <col min="278" max="278" width="10.42578125" style="60" bestFit="1" customWidth="1"/>
    <col min="279" max="281" width="8.140625" style="60" bestFit="1" customWidth="1"/>
    <col min="282" max="282" width="6.5703125" style="60" bestFit="1" customWidth="1"/>
    <col min="283" max="283" width="9.140625" style="60"/>
    <col min="284" max="284" width="6.85546875" style="60" bestFit="1" customWidth="1"/>
    <col min="285" max="285" width="15.140625" style="60" bestFit="1" customWidth="1"/>
    <col min="286" max="286" width="10.42578125" style="60" bestFit="1" customWidth="1"/>
    <col min="287" max="289" width="8.140625" style="60" bestFit="1" customWidth="1"/>
    <col min="290" max="290" width="6.5703125" style="60" bestFit="1" customWidth="1"/>
    <col min="291" max="291" width="9.140625" style="60"/>
    <col min="292" max="292" width="6.85546875" style="60" bestFit="1" customWidth="1"/>
    <col min="293" max="293" width="15.140625" style="60" bestFit="1" customWidth="1"/>
    <col min="294" max="294" width="10.42578125" style="60" bestFit="1" customWidth="1"/>
    <col min="295" max="297" width="8.140625" style="60" bestFit="1" customWidth="1"/>
    <col min="298" max="298" width="6.5703125" style="60" bestFit="1" customWidth="1"/>
    <col min="299" max="299" width="9.140625" style="60"/>
    <col min="300" max="300" width="6.85546875" style="60" bestFit="1" customWidth="1"/>
    <col min="301" max="301" width="15.140625" style="60" bestFit="1" customWidth="1"/>
    <col min="302" max="302" width="10.42578125" style="60" bestFit="1" customWidth="1"/>
    <col min="303" max="305" width="8.140625" style="60" bestFit="1" customWidth="1"/>
    <col min="306" max="306" width="6.5703125" style="60" bestFit="1" customWidth="1"/>
    <col min="307" max="307" width="9.140625" style="60"/>
    <col min="308" max="308" width="6.85546875" style="60" bestFit="1" customWidth="1"/>
    <col min="309" max="309" width="15.140625" style="60" bestFit="1" customWidth="1"/>
    <col min="310" max="310" width="10.42578125" style="60" bestFit="1" customWidth="1"/>
    <col min="311" max="313" width="8.140625" style="60" bestFit="1" customWidth="1"/>
    <col min="314" max="314" width="6.5703125" style="60" bestFit="1" customWidth="1"/>
    <col min="315" max="315" width="9.140625" style="60"/>
    <col min="316" max="316" width="6.85546875" style="60" bestFit="1" customWidth="1"/>
    <col min="317" max="317" width="15.140625" style="60" bestFit="1" customWidth="1"/>
    <col min="318" max="318" width="10.42578125" style="60" bestFit="1" customWidth="1"/>
    <col min="319" max="321" width="8.140625" style="60" bestFit="1" customWidth="1"/>
    <col min="322" max="322" width="6.5703125" style="60" bestFit="1" customWidth="1"/>
    <col min="323" max="323" width="9.140625" style="60"/>
    <col min="324" max="324" width="6.85546875" style="60" bestFit="1" customWidth="1"/>
    <col min="325" max="325" width="15.140625" style="60" bestFit="1" customWidth="1"/>
    <col min="326" max="326" width="10.42578125" style="60" bestFit="1" customWidth="1"/>
    <col min="327" max="329" width="8.140625" style="60" bestFit="1" customWidth="1"/>
    <col min="330" max="330" width="6.5703125" style="60" bestFit="1" customWidth="1"/>
    <col min="331" max="331" width="9.140625" style="60"/>
    <col min="332" max="332" width="6.85546875" style="60" bestFit="1" customWidth="1"/>
    <col min="333" max="333" width="15.140625" style="60" bestFit="1" customWidth="1"/>
    <col min="334" max="334" width="10.42578125" style="60" bestFit="1" customWidth="1"/>
    <col min="335" max="337" width="8.140625" style="60" bestFit="1" customWidth="1"/>
    <col min="338" max="338" width="6.5703125" style="60" bestFit="1" customWidth="1"/>
    <col min="339" max="339" width="9.140625" style="60"/>
    <col min="340" max="340" width="6.85546875" style="60" bestFit="1" customWidth="1"/>
    <col min="341" max="341" width="13.85546875" style="60" bestFit="1" customWidth="1"/>
    <col min="342" max="342" width="10.42578125" style="60" bestFit="1" customWidth="1"/>
    <col min="343" max="345" width="8.140625" style="60" bestFit="1" customWidth="1"/>
    <col min="346" max="346" width="6.5703125" style="60" bestFit="1" customWidth="1"/>
    <col min="347" max="347" width="9.140625" style="60"/>
    <col min="348" max="348" width="6.85546875" style="60" bestFit="1" customWidth="1"/>
    <col min="349" max="349" width="11" style="60" bestFit="1" customWidth="1"/>
    <col min="350" max="350" width="10.42578125" style="60" bestFit="1" customWidth="1"/>
    <col min="351" max="353" width="8.140625" style="60" bestFit="1" customWidth="1"/>
    <col min="354" max="354" width="6.5703125" style="60" bestFit="1" customWidth="1"/>
    <col min="355" max="355" width="9.140625" style="60"/>
    <col min="356" max="356" width="6.85546875" style="60" bestFit="1" customWidth="1"/>
    <col min="357" max="357" width="12.5703125" style="60" bestFit="1" customWidth="1"/>
    <col min="358" max="358" width="10.42578125" style="60" bestFit="1" customWidth="1"/>
    <col min="359" max="361" width="8.140625" style="60" bestFit="1" customWidth="1"/>
    <col min="362" max="362" width="6.5703125" style="60" bestFit="1" customWidth="1"/>
    <col min="363" max="363" width="9.140625" style="60"/>
    <col min="364" max="364" width="6.85546875" style="60" bestFit="1" customWidth="1"/>
    <col min="365" max="365" width="12.5703125" style="60" bestFit="1" customWidth="1"/>
    <col min="366" max="366" width="10.42578125" style="60" bestFit="1" customWidth="1"/>
    <col min="367" max="369" width="8.140625" style="60" bestFit="1" customWidth="1"/>
    <col min="370" max="370" width="6.5703125" style="60" bestFit="1" customWidth="1"/>
    <col min="371" max="371" width="9.140625" style="60"/>
    <col min="372" max="372" width="6.85546875" style="60" bestFit="1" customWidth="1"/>
    <col min="373" max="374" width="8.85546875" style="60" bestFit="1" customWidth="1"/>
    <col min="375" max="375" width="5.42578125" style="60" bestFit="1" customWidth="1"/>
    <col min="376" max="376" width="7.42578125" style="60" bestFit="1" customWidth="1"/>
    <col min="377" max="379" width="8.5703125" style="60" bestFit="1" customWidth="1"/>
    <col min="380" max="380" width="8.140625" style="60" bestFit="1" customWidth="1"/>
    <col min="381" max="16384" width="9.140625" style="60"/>
  </cols>
  <sheetData>
    <row r="1" spans="1:380" s="188" customFormat="1" ht="51" x14ac:dyDescent="0.2">
      <c r="A1" s="186" t="s">
        <v>98</v>
      </c>
      <c r="B1" s="186" t="s">
        <v>99</v>
      </c>
      <c r="C1" s="186" t="s">
        <v>100</v>
      </c>
      <c r="D1" s="186" t="s">
        <v>101</v>
      </c>
      <c r="E1" s="186" t="s">
        <v>102</v>
      </c>
      <c r="F1" s="186" t="s">
        <v>103</v>
      </c>
      <c r="G1" s="186" t="s">
        <v>104</v>
      </c>
      <c r="H1" s="186" t="s">
        <v>105</v>
      </c>
      <c r="I1" s="186" t="s">
        <v>106</v>
      </c>
      <c r="J1" s="186" t="s">
        <v>107</v>
      </c>
      <c r="K1" s="186" t="s">
        <v>108</v>
      </c>
      <c r="L1" s="186" t="s">
        <v>109</v>
      </c>
      <c r="M1" s="186" t="s">
        <v>110</v>
      </c>
      <c r="N1" s="186" t="s">
        <v>111</v>
      </c>
      <c r="O1" s="186" t="s">
        <v>112</v>
      </c>
      <c r="P1" s="186" t="s">
        <v>113</v>
      </c>
      <c r="Q1" s="186" t="s">
        <v>114</v>
      </c>
      <c r="R1" s="186" t="s">
        <v>115</v>
      </c>
      <c r="S1" s="186" t="s">
        <v>116</v>
      </c>
      <c r="T1" s="186" t="s">
        <v>117</v>
      </c>
      <c r="U1" s="186" t="s">
        <v>118</v>
      </c>
      <c r="V1" s="186" t="s">
        <v>119</v>
      </c>
      <c r="W1" s="186" t="s">
        <v>120</v>
      </c>
      <c r="X1" s="186" t="s">
        <v>121</v>
      </c>
      <c r="Y1" s="186" t="s">
        <v>122</v>
      </c>
      <c r="Z1" s="186" t="s">
        <v>123</v>
      </c>
      <c r="AA1" s="186" t="s">
        <v>110</v>
      </c>
      <c r="AB1" s="186" t="s">
        <v>111</v>
      </c>
      <c r="AC1" s="186" t="s">
        <v>112</v>
      </c>
      <c r="AD1" s="186" t="s">
        <v>113</v>
      </c>
      <c r="AE1" s="186" t="s">
        <v>114</v>
      </c>
      <c r="AF1" s="186" t="s">
        <v>115</v>
      </c>
      <c r="AG1" s="186" t="s">
        <v>116</v>
      </c>
      <c r="AH1" s="186" t="s">
        <v>117</v>
      </c>
      <c r="AI1" s="186" t="s">
        <v>118</v>
      </c>
      <c r="AJ1" s="186" t="s">
        <v>119</v>
      </c>
      <c r="AK1" s="186" t="s">
        <v>120</v>
      </c>
      <c r="AL1" s="186" t="s">
        <v>121</v>
      </c>
      <c r="AM1" s="186" t="s">
        <v>122</v>
      </c>
      <c r="AN1" s="186" t="s">
        <v>123</v>
      </c>
      <c r="AO1" s="186" t="s">
        <v>110</v>
      </c>
      <c r="AP1" s="186" t="s">
        <v>111</v>
      </c>
      <c r="AQ1" s="186" t="s">
        <v>112</v>
      </c>
      <c r="AR1" s="186" t="s">
        <v>113</v>
      </c>
      <c r="AS1" s="186" t="s">
        <v>114</v>
      </c>
      <c r="AT1" s="186" t="s">
        <v>115</v>
      </c>
      <c r="AU1" s="186" t="s">
        <v>116</v>
      </c>
      <c r="AV1" s="186" t="s">
        <v>117</v>
      </c>
      <c r="AW1" s="186" t="s">
        <v>118</v>
      </c>
      <c r="AX1" s="186" t="s">
        <v>119</v>
      </c>
      <c r="AY1" s="186" t="s">
        <v>120</v>
      </c>
      <c r="AZ1" s="186" t="s">
        <v>121</v>
      </c>
      <c r="BA1" s="186" t="s">
        <v>122</v>
      </c>
      <c r="BB1" s="186" t="s">
        <v>123</v>
      </c>
      <c r="BC1" s="186" t="s">
        <v>110</v>
      </c>
      <c r="BD1" s="186" t="s">
        <v>111</v>
      </c>
      <c r="BE1" s="186" t="s">
        <v>112</v>
      </c>
      <c r="BF1" s="186" t="s">
        <v>113</v>
      </c>
      <c r="BG1" s="186" t="s">
        <v>114</v>
      </c>
      <c r="BH1" s="186" t="s">
        <v>115</v>
      </c>
      <c r="BI1" s="186" t="s">
        <v>116</v>
      </c>
      <c r="BJ1" s="186" t="s">
        <v>117</v>
      </c>
      <c r="BK1" s="186" t="s">
        <v>118</v>
      </c>
      <c r="BL1" s="186" t="s">
        <v>119</v>
      </c>
      <c r="BM1" s="186" t="s">
        <v>120</v>
      </c>
      <c r="BN1" s="186" t="s">
        <v>121</v>
      </c>
      <c r="BO1" s="186" t="s">
        <v>122</v>
      </c>
      <c r="BP1" s="186" t="s">
        <v>123</v>
      </c>
      <c r="BQ1" s="186" t="s">
        <v>110</v>
      </c>
      <c r="BR1" s="186" t="s">
        <v>111</v>
      </c>
      <c r="BS1" s="186" t="s">
        <v>112</v>
      </c>
      <c r="BT1" s="187" t="s">
        <v>113</v>
      </c>
      <c r="BU1" s="187" t="s">
        <v>114</v>
      </c>
      <c r="BV1" s="187" t="s">
        <v>115</v>
      </c>
      <c r="BW1" s="187" t="s">
        <v>116</v>
      </c>
      <c r="BX1" s="187" t="s">
        <v>117</v>
      </c>
      <c r="BY1" s="187" t="s">
        <v>118</v>
      </c>
      <c r="BZ1" s="187" t="s">
        <v>119</v>
      </c>
      <c r="CA1" s="187" t="s">
        <v>120</v>
      </c>
      <c r="CB1" s="187" t="s">
        <v>121</v>
      </c>
      <c r="CC1" s="187" t="s">
        <v>122</v>
      </c>
      <c r="CD1" s="187" t="s">
        <v>123</v>
      </c>
      <c r="CE1" s="187" t="s">
        <v>110</v>
      </c>
      <c r="CF1" s="187" t="s">
        <v>111</v>
      </c>
      <c r="CG1" s="187" t="s">
        <v>112</v>
      </c>
      <c r="CH1" s="187" t="s">
        <v>113</v>
      </c>
      <c r="CI1" s="187" t="s">
        <v>114</v>
      </c>
      <c r="CJ1" s="187" t="s">
        <v>115</v>
      </c>
      <c r="CK1" s="187" t="s">
        <v>116</v>
      </c>
      <c r="CL1" s="187" t="s">
        <v>117</v>
      </c>
      <c r="CM1" s="187" t="s">
        <v>118</v>
      </c>
      <c r="CN1" s="187" t="s">
        <v>119</v>
      </c>
      <c r="CO1" s="187" t="s">
        <v>120</v>
      </c>
      <c r="CP1" s="187" t="s">
        <v>121</v>
      </c>
      <c r="CQ1" s="187" t="s">
        <v>122</v>
      </c>
      <c r="CR1" s="187" t="s">
        <v>123</v>
      </c>
      <c r="CS1" s="187" t="s">
        <v>110</v>
      </c>
      <c r="CT1" s="187" t="s">
        <v>111</v>
      </c>
      <c r="CU1" s="187" t="s">
        <v>112</v>
      </c>
      <c r="CV1" s="187" t="s">
        <v>113</v>
      </c>
      <c r="CW1" s="187" t="s">
        <v>114</v>
      </c>
      <c r="CX1" s="187" t="s">
        <v>115</v>
      </c>
      <c r="CY1" s="187" t="s">
        <v>116</v>
      </c>
      <c r="CZ1" s="187" t="s">
        <v>117</v>
      </c>
      <c r="DA1" s="187" t="s">
        <v>118</v>
      </c>
      <c r="DB1" s="187" t="s">
        <v>119</v>
      </c>
      <c r="DC1" s="187" t="s">
        <v>120</v>
      </c>
      <c r="DD1" s="187" t="s">
        <v>121</v>
      </c>
      <c r="DE1" s="187" t="s">
        <v>122</v>
      </c>
      <c r="DF1" s="187" t="s">
        <v>123</v>
      </c>
      <c r="DG1" s="187" t="s">
        <v>110</v>
      </c>
      <c r="DH1" s="187" t="s">
        <v>111</v>
      </c>
      <c r="DI1" s="187" t="s">
        <v>112</v>
      </c>
      <c r="DJ1" s="187" t="s">
        <v>113</v>
      </c>
      <c r="DK1" s="187" t="s">
        <v>114</v>
      </c>
      <c r="DL1" s="187" t="s">
        <v>115</v>
      </c>
      <c r="DM1" s="187" t="s">
        <v>116</v>
      </c>
      <c r="DN1" s="187" t="s">
        <v>117</v>
      </c>
      <c r="DO1" s="187" t="s">
        <v>118</v>
      </c>
      <c r="DP1" s="187" t="s">
        <v>119</v>
      </c>
      <c r="DQ1" s="187" t="s">
        <v>120</v>
      </c>
      <c r="DR1" s="187" t="s">
        <v>121</v>
      </c>
      <c r="DS1" s="187" t="s">
        <v>122</v>
      </c>
      <c r="DT1" s="187" t="s">
        <v>123</v>
      </c>
      <c r="DU1" s="187" t="s">
        <v>110</v>
      </c>
      <c r="DV1" s="187" t="s">
        <v>111</v>
      </c>
      <c r="DW1" s="187" t="s">
        <v>112</v>
      </c>
      <c r="DX1" s="187" t="s">
        <v>113</v>
      </c>
      <c r="DY1" s="187" t="s">
        <v>114</v>
      </c>
      <c r="DZ1" s="187" t="s">
        <v>115</v>
      </c>
      <c r="EA1" s="187" t="s">
        <v>116</v>
      </c>
      <c r="EB1" s="187" t="s">
        <v>117</v>
      </c>
      <c r="EC1" s="187" t="s">
        <v>118</v>
      </c>
      <c r="ED1" s="187" t="s">
        <v>119</v>
      </c>
      <c r="EE1" s="187" t="s">
        <v>120</v>
      </c>
      <c r="EF1" s="187" t="s">
        <v>121</v>
      </c>
      <c r="EG1" s="187" t="s">
        <v>122</v>
      </c>
      <c r="EH1" s="187" t="s">
        <v>123</v>
      </c>
      <c r="EI1" s="187" t="s">
        <v>110</v>
      </c>
      <c r="EJ1" s="187" t="s">
        <v>111</v>
      </c>
      <c r="EK1" s="187" t="s">
        <v>112</v>
      </c>
      <c r="EL1" s="187" t="s">
        <v>113</v>
      </c>
      <c r="EM1" s="187" t="s">
        <v>114</v>
      </c>
      <c r="EN1" s="187" t="s">
        <v>115</v>
      </c>
      <c r="EO1" s="187" t="s">
        <v>116</v>
      </c>
      <c r="EP1" s="187" t="s">
        <v>117</v>
      </c>
      <c r="EQ1" s="187" t="s">
        <v>118</v>
      </c>
      <c r="ER1" s="187" t="s">
        <v>119</v>
      </c>
      <c r="ES1" s="187" t="s">
        <v>120</v>
      </c>
      <c r="ET1" s="187" t="s">
        <v>121</v>
      </c>
      <c r="EU1" s="187" t="s">
        <v>122</v>
      </c>
      <c r="EV1" s="187" t="s">
        <v>123</v>
      </c>
      <c r="EW1" s="187" t="s">
        <v>110</v>
      </c>
      <c r="EX1" s="187" t="s">
        <v>111</v>
      </c>
      <c r="EY1" s="187" t="s">
        <v>118</v>
      </c>
      <c r="EZ1" s="187" t="s">
        <v>119</v>
      </c>
      <c r="FA1" s="187" t="s">
        <v>120</v>
      </c>
      <c r="FB1" s="187" t="s">
        <v>121</v>
      </c>
      <c r="FC1" s="187" t="s">
        <v>110</v>
      </c>
      <c r="FD1" s="187" t="s">
        <v>111</v>
      </c>
      <c r="FE1" s="187" t="s">
        <v>118</v>
      </c>
      <c r="FF1" s="187" t="s">
        <v>119</v>
      </c>
      <c r="FG1" s="187" t="s">
        <v>120</v>
      </c>
      <c r="FH1" s="187" t="s">
        <v>121</v>
      </c>
      <c r="FI1" s="187" t="s">
        <v>110</v>
      </c>
      <c r="FJ1" s="187" t="s">
        <v>111</v>
      </c>
      <c r="FK1" s="187" t="s">
        <v>118</v>
      </c>
      <c r="FL1" s="187" t="s">
        <v>119</v>
      </c>
      <c r="FM1" s="187" t="s">
        <v>120</v>
      </c>
      <c r="FN1" s="187" t="s">
        <v>121</v>
      </c>
      <c r="FO1" s="187" t="s">
        <v>298</v>
      </c>
      <c r="FP1" s="187" t="s">
        <v>299</v>
      </c>
      <c r="FQ1" s="187" t="s">
        <v>110</v>
      </c>
      <c r="FR1" s="187" t="s">
        <v>111</v>
      </c>
      <c r="FS1" s="187" t="s">
        <v>118</v>
      </c>
      <c r="FT1" s="187" t="s">
        <v>119</v>
      </c>
      <c r="FU1" s="187" t="s">
        <v>120</v>
      </c>
      <c r="FV1" s="187" t="s">
        <v>121</v>
      </c>
      <c r="FW1" s="187" t="s">
        <v>298</v>
      </c>
      <c r="FX1" s="187" t="s">
        <v>299</v>
      </c>
      <c r="FY1" s="187" t="s">
        <v>110</v>
      </c>
      <c r="FZ1" s="187" t="s">
        <v>111</v>
      </c>
      <c r="GA1" s="187" t="s">
        <v>118</v>
      </c>
      <c r="GB1" s="187" t="s">
        <v>119</v>
      </c>
      <c r="GC1" s="187" t="s">
        <v>120</v>
      </c>
      <c r="GD1" s="187" t="s">
        <v>121</v>
      </c>
      <c r="GE1" s="187" t="s">
        <v>298</v>
      </c>
      <c r="GF1" s="187" t="s">
        <v>299</v>
      </c>
      <c r="GG1" s="187" t="s">
        <v>110</v>
      </c>
      <c r="GH1" s="187" t="s">
        <v>111</v>
      </c>
      <c r="GI1" s="187" t="s">
        <v>118</v>
      </c>
      <c r="GJ1" s="187" t="s">
        <v>119</v>
      </c>
      <c r="GK1" s="187" t="s">
        <v>120</v>
      </c>
      <c r="GL1" s="187" t="s">
        <v>121</v>
      </c>
      <c r="GM1" s="187" t="s">
        <v>298</v>
      </c>
      <c r="GN1" s="187" t="s">
        <v>299</v>
      </c>
      <c r="GO1" s="187" t="s">
        <v>110</v>
      </c>
      <c r="GP1" s="187" t="s">
        <v>111</v>
      </c>
      <c r="GQ1" s="187" t="s">
        <v>118</v>
      </c>
      <c r="GR1" s="187" t="s">
        <v>119</v>
      </c>
      <c r="GS1" s="187" t="s">
        <v>120</v>
      </c>
      <c r="GT1" s="187" t="s">
        <v>121</v>
      </c>
      <c r="GU1" s="187" t="s">
        <v>298</v>
      </c>
      <c r="GV1" s="187" t="s">
        <v>299</v>
      </c>
      <c r="GW1" s="187" t="s">
        <v>110</v>
      </c>
      <c r="GX1" s="187" t="s">
        <v>111</v>
      </c>
      <c r="GY1" s="187" t="s">
        <v>118</v>
      </c>
      <c r="GZ1" s="187" t="s">
        <v>119</v>
      </c>
      <c r="HA1" s="187" t="s">
        <v>120</v>
      </c>
      <c r="HB1" s="187" t="s">
        <v>121</v>
      </c>
      <c r="HC1" s="187" t="s">
        <v>298</v>
      </c>
      <c r="HD1" s="187" t="s">
        <v>299</v>
      </c>
      <c r="HE1" s="187" t="s">
        <v>110</v>
      </c>
      <c r="HF1" s="187" t="s">
        <v>111</v>
      </c>
      <c r="HG1" s="187" t="s">
        <v>118</v>
      </c>
      <c r="HH1" s="187" t="s">
        <v>119</v>
      </c>
      <c r="HI1" s="187" t="s">
        <v>120</v>
      </c>
      <c r="HJ1" s="187" t="s">
        <v>121</v>
      </c>
      <c r="HK1" s="187" t="s">
        <v>298</v>
      </c>
      <c r="HL1" s="187" t="s">
        <v>299</v>
      </c>
      <c r="HM1" s="187" t="s">
        <v>110</v>
      </c>
      <c r="HN1" s="187" t="s">
        <v>111</v>
      </c>
      <c r="HO1" s="187" t="s">
        <v>118</v>
      </c>
      <c r="HP1" s="187" t="s">
        <v>119</v>
      </c>
      <c r="HQ1" s="187" t="s">
        <v>120</v>
      </c>
      <c r="HR1" s="187" t="s">
        <v>121</v>
      </c>
      <c r="HS1" s="187" t="s">
        <v>298</v>
      </c>
      <c r="HT1" s="187" t="s">
        <v>299</v>
      </c>
      <c r="HU1" s="187" t="s">
        <v>110</v>
      </c>
      <c r="HV1" s="187" t="s">
        <v>111</v>
      </c>
      <c r="HW1" s="187" t="s">
        <v>118</v>
      </c>
      <c r="HX1" s="187" t="s">
        <v>119</v>
      </c>
      <c r="HY1" s="187" t="s">
        <v>120</v>
      </c>
      <c r="HZ1" s="187" t="s">
        <v>121</v>
      </c>
      <c r="IA1" s="187" t="s">
        <v>298</v>
      </c>
      <c r="IB1" s="187" t="s">
        <v>299</v>
      </c>
      <c r="IC1" s="187" t="s">
        <v>110</v>
      </c>
      <c r="ID1" s="187" t="s">
        <v>111</v>
      </c>
      <c r="IE1" s="187" t="s">
        <v>118</v>
      </c>
      <c r="IF1" s="187" t="s">
        <v>119</v>
      </c>
      <c r="IG1" s="187" t="s">
        <v>120</v>
      </c>
      <c r="IH1" s="187" t="s">
        <v>121</v>
      </c>
      <c r="II1" s="187" t="s">
        <v>298</v>
      </c>
      <c r="IJ1" s="187" t="s">
        <v>299</v>
      </c>
      <c r="IK1" s="187" t="s">
        <v>110</v>
      </c>
      <c r="IL1" s="187" t="s">
        <v>111</v>
      </c>
      <c r="IM1" s="187" t="s">
        <v>118</v>
      </c>
      <c r="IN1" s="187" t="s">
        <v>119</v>
      </c>
      <c r="IO1" s="187" t="s">
        <v>120</v>
      </c>
      <c r="IP1" s="187" t="s">
        <v>121</v>
      </c>
      <c r="IQ1" s="187" t="s">
        <v>298</v>
      </c>
      <c r="IR1" s="187" t="s">
        <v>299</v>
      </c>
      <c r="IS1" s="187" t="s">
        <v>110</v>
      </c>
      <c r="IT1" s="187" t="s">
        <v>111</v>
      </c>
      <c r="IU1" s="187" t="s">
        <v>118</v>
      </c>
      <c r="IV1" s="187" t="s">
        <v>119</v>
      </c>
      <c r="IW1" s="187" t="s">
        <v>120</v>
      </c>
      <c r="IX1" s="187" t="s">
        <v>121</v>
      </c>
      <c r="IY1" s="187" t="s">
        <v>298</v>
      </c>
      <c r="IZ1" s="187" t="s">
        <v>299</v>
      </c>
      <c r="JA1" s="187" t="s">
        <v>110</v>
      </c>
      <c r="JB1" s="187" t="s">
        <v>111</v>
      </c>
      <c r="JC1" s="187" t="s">
        <v>118</v>
      </c>
      <c r="JD1" s="187" t="s">
        <v>119</v>
      </c>
      <c r="JE1" s="187" t="s">
        <v>120</v>
      </c>
      <c r="JF1" s="187" t="s">
        <v>121</v>
      </c>
      <c r="JG1" s="187" t="s">
        <v>298</v>
      </c>
      <c r="JH1" s="187" t="s">
        <v>299</v>
      </c>
      <c r="JI1" s="187" t="s">
        <v>110</v>
      </c>
      <c r="JJ1" s="187" t="s">
        <v>111</v>
      </c>
      <c r="JK1" s="187" t="s">
        <v>118</v>
      </c>
      <c r="JL1" s="187" t="s">
        <v>119</v>
      </c>
      <c r="JM1" s="187" t="s">
        <v>120</v>
      </c>
      <c r="JN1" s="187" t="s">
        <v>121</v>
      </c>
      <c r="JO1" s="187" t="s">
        <v>298</v>
      </c>
      <c r="JP1" s="187" t="s">
        <v>299</v>
      </c>
      <c r="JQ1" s="187" t="s">
        <v>110</v>
      </c>
      <c r="JR1" s="187" t="s">
        <v>111</v>
      </c>
      <c r="JS1" s="187" t="s">
        <v>118</v>
      </c>
      <c r="JT1" s="187" t="s">
        <v>119</v>
      </c>
      <c r="JU1" s="187" t="s">
        <v>120</v>
      </c>
      <c r="JV1" s="187" t="s">
        <v>121</v>
      </c>
      <c r="JW1" s="187" t="s">
        <v>298</v>
      </c>
      <c r="JX1" s="187" t="s">
        <v>299</v>
      </c>
      <c r="JY1" s="187" t="s">
        <v>110</v>
      </c>
      <c r="JZ1" s="187" t="s">
        <v>111</v>
      </c>
      <c r="KA1" s="187" t="s">
        <v>118</v>
      </c>
      <c r="KB1" s="187" t="s">
        <v>119</v>
      </c>
      <c r="KC1" s="187" t="s">
        <v>120</v>
      </c>
      <c r="KD1" s="187" t="s">
        <v>121</v>
      </c>
      <c r="KE1" s="187" t="s">
        <v>298</v>
      </c>
      <c r="KF1" s="187" t="s">
        <v>299</v>
      </c>
      <c r="KG1" s="187" t="s">
        <v>110</v>
      </c>
      <c r="KH1" s="187" t="s">
        <v>111</v>
      </c>
      <c r="KI1" s="187" t="s">
        <v>118</v>
      </c>
      <c r="KJ1" s="187" t="s">
        <v>119</v>
      </c>
      <c r="KK1" s="187" t="s">
        <v>120</v>
      </c>
      <c r="KL1" s="187" t="s">
        <v>121</v>
      </c>
      <c r="KM1" s="187" t="s">
        <v>298</v>
      </c>
      <c r="KN1" s="187" t="s">
        <v>299</v>
      </c>
      <c r="KO1" s="187" t="s">
        <v>110</v>
      </c>
      <c r="KP1" s="187" t="s">
        <v>111</v>
      </c>
      <c r="KQ1" s="187" t="s">
        <v>118</v>
      </c>
      <c r="KR1" s="187" t="s">
        <v>119</v>
      </c>
      <c r="KS1" s="187" t="s">
        <v>120</v>
      </c>
      <c r="KT1" s="187" t="s">
        <v>121</v>
      </c>
      <c r="KU1" s="187" t="s">
        <v>298</v>
      </c>
      <c r="KV1" s="187" t="s">
        <v>299</v>
      </c>
      <c r="KW1" s="187" t="s">
        <v>110</v>
      </c>
      <c r="KX1" s="187" t="s">
        <v>111</v>
      </c>
      <c r="KY1" s="187" t="s">
        <v>118</v>
      </c>
      <c r="KZ1" s="187" t="s">
        <v>119</v>
      </c>
      <c r="LA1" s="187" t="s">
        <v>120</v>
      </c>
      <c r="LB1" s="187" t="s">
        <v>121</v>
      </c>
      <c r="LC1" s="187" t="s">
        <v>298</v>
      </c>
      <c r="LD1" s="187" t="s">
        <v>299</v>
      </c>
      <c r="LE1" s="187" t="s">
        <v>110</v>
      </c>
      <c r="LF1" s="187" t="s">
        <v>111</v>
      </c>
      <c r="LG1" s="187" t="s">
        <v>118</v>
      </c>
      <c r="LH1" s="187" t="s">
        <v>119</v>
      </c>
      <c r="LI1" s="187" t="s">
        <v>120</v>
      </c>
      <c r="LJ1" s="187" t="s">
        <v>121</v>
      </c>
      <c r="LK1" s="187" t="s">
        <v>298</v>
      </c>
      <c r="LL1" s="187" t="s">
        <v>299</v>
      </c>
      <c r="LM1" s="187" t="s">
        <v>110</v>
      </c>
      <c r="LN1" s="187" t="s">
        <v>111</v>
      </c>
      <c r="LO1" s="187" t="s">
        <v>118</v>
      </c>
      <c r="LP1" s="187" t="s">
        <v>119</v>
      </c>
      <c r="LQ1" s="187" t="s">
        <v>120</v>
      </c>
      <c r="LR1" s="187" t="s">
        <v>121</v>
      </c>
      <c r="LS1" s="187" t="s">
        <v>298</v>
      </c>
      <c r="LT1" s="187" t="s">
        <v>299</v>
      </c>
      <c r="LU1" s="187" t="s">
        <v>110</v>
      </c>
      <c r="LV1" s="187" t="s">
        <v>111</v>
      </c>
      <c r="LW1" s="187" t="s">
        <v>118</v>
      </c>
      <c r="LX1" s="187" t="s">
        <v>119</v>
      </c>
      <c r="LY1" s="187" t="s">
        <v>120</v>
      </c>
      <c r="LZ1" s="187" t="s">
        <v>121</v>
      </c>
      <c r="MA1" s="187" t="s">
        <v>298</v>
      </c>
      <c r="MB1" s="187" t="s">
        <v>299</v>
      </c>
      <c r="MC1" s="187" t="s">
        <v>110</v>
      </c>
      <c r="MD1" s="187" t="s">
        <v>111</v>
      </c>
      <c r="ME1" s="187" t="s">
        <v>118</v>
      </c>
      <c r="MF1" s="187" t="s">
        <v>119</v>
      </c>
      <c r="MG1" s="187" t="s">
        <v>120</v>
      </c>
      <c r="MH1" s="187" t="s">
        <v>121</v>
      </c>
      <c r="MI1" s="187" t="s">
        <v>298</v>
      </c>
      <c r="MJ1" s="187" t="s">
        <v>299</v>
      </c>
      <c r="MK1" s="187" t="s">
        <v>110</v>
      </c>
      <c r="ML1" s="187" t="s">
        <v>111</v>
      </c>
      <c r="MM1" s="187" t="s">
        <v>118</v>
      </c>
      <c r="MN1" s="187" t="s">
        <v>119</v>
      </c>
      <c r="MO1" s="187" t="s">
        <v>120</v>
      </c>
      <c r="MP1" s="187" t="s">
        <v>121</v>
      </c>
      <c r="MQ1" s="187" t="s">
        <v>298</v>
      </c>
      <c r="MR1" s="187" t="s">
        <v>299</v>
      </c>
      <c r="MS1" s="187" t="s">
        <v>110</v>
      </c>
      <c r="MT1" s="187" t="s">
        <v>111</v>
      </c>
      <c r="MU1" s="187" t="s">
        <v>118</v>
      </c>
      <c r="MV1" s="187" t="s">
        <v>119</v>
      </c>
      <c r="MW1" s="187" t="s">
        <v>120</v>
      </c>
      <c r="MX1" s="187" t="s">
        <v>121</v>
      </c>
      <c r="MY1" s="187" t="s">
        <v>298</v>
      </c>
      <c r="MZ1" s="187" t="s">
        <v>299</v>
      </c>
      <c r="NA1" s="187" t="s">
        <v>110</v>
      </c>
      <c r="NB1" s="187" t="s">
        <v>111</v>
      </c>
      <c r="NC1" s="187" t="s">
        <v>118</v>
      </c>
      <c r="ND1" s="187" t="s">
        <v>119</v>
      </c>
      <c r="NE1" s="187" t="s">
        <v>120</v>
      </c>
      <c r="NF1" s="187" t="s">
        <v>121</v>
      </c>
      <c r="NG1" s="187" t="s">
        <v>298</v>
      </c>
      <c r="NH1" s="187" t="s">
        <v>299</v>
      </c>
      <c r="NI1" s="187" t="s">
        <v>124</v>
      </c>
      <c r="NJ1" s="187" t="s">
        <v>125</v>
      </c>
      <c r="NK1" s="187" t="s">
        <v>126</v>
      </c>
      <c r="NL1" s="187" t="s">
        <v>244</v>
      </c>
      <c r="NM1" s="187" t="s">
        <v>245</v>
      </c>
      <c r="NN1" s="187" t="s">
        <v>246</v>
      </c>
      <c r="NO1" s="187" t="s">
        <v>247</v>
      </c>
      <c r="NP1" s="187" t="s">
        <v>248</v>
      </c>
    </row>
    <row r="2" spans="1:380" x14ac:dyDescent="0.2">
      <c r="A2" s="60" t="s">
        <v>517</v>
      </c>
      <c r="B2" s="60">
        <v>1</v>
      </c>
      <c r="C2" s="60" t="s">
        <v>541</v>
      </c>
      <c r="D2" s="60">
        <v>646950152</v>
      </c>
      <c r="E2" s="60">
        <v>12602</v>
      </c>
      <c r="F2" s="60" t="s">
        <v>542</v>
      </c>
      <c r="G2" s="60">
        <v>750249</v>
      </c>
      <c r="H2" s="60">
        <v>866159</v>
      </c>
      <c r="I2" s="60" t="s">
        <v>543</v>
      </c>
      <c r="J2" s="61" t="s">
        <v>544</v>
      </c>
      <c r="K2" s="60" t="s">
        <v>545</v>
      </c>
      <c r="L2" s="60" t="s">
        <v>294</v>
      </c>
      <c r="M2" s="60" t="s">
        <v>546</v>
      </c>
      <c r="N2" s="60" t="s">
        <v>468</v>
      </c>
      <c r="O2" s="60" t="s">
        <v>547</v>
      </c>
      <c r="P2" s="60" t="s">
        <v>270</v>
      </c>
      <c r="Q2" s="60">
        <v>26.8</v>
      </c>
      <c r="R2" s="60">
        <v>273</v>
      </c>
      <c r="S2" s="60" t="s">
        <v>270</v>
      </c>
      <c r="T2" s="60">
        <v>-9999</v>
      </c>
      <c r="U2" s="60">
        <v>486</v>
      </c>
      <c r="V2" s="60">
        <v>501</v>
      </c>
      <c r="W2" s="60">
        <v>476</v>
      </c>
      <c r="X2" s="60" t="s">
        <v>270</v>
      </c>
      <c r="Y2" s="60">
        <v>0</v>
      </c>
      <c r="Z2" s="60">
        <v>55</v>
      </c>
      <c r="AA2" s="60" t="s">
        <v>469</v>
      </c>
      <c r="AB2" s="60" t="s">
        <v>548</v>
      </c>
      <c r="AC2" s="60">
        <v>1</v>
      </c>
      <c r="AD2" s="60" t="s">
        <v>549</v>
      </c>
      <c r="AE2" s="60">
        <v>0</v>
      </c>
      <c r="AF2" s="60">
        <v>29</v>
      </c>
      <c r="AG2" s="60" t="s">
        <v>264</v>
      </c>
      <c r="AH2" s="60">
        <v>-9999</v>
      </c>
      <c r="AI2" s="60">
        <v>471</v>
      </c>
      <c r="AJ2" s="60">
        <v>574</v>
      </c>
      <c r="AK2" s="60">
        <v>467</v>
      </c>
      <c r="AL2" s="60" t="s">
        <v>270</v>
      </c>
      <c r="AM2" s="60">
        <v>0</v>
      </c>
      <c r="AN2" s="60">
        <v>55</v>
      </c>
      <c r="AO2" s="60" t="s">
        <v>470</v>
      </c>
      <c r="AP2" s="60" t="s">
        <v>548</v>
      </c>
      <c r="AQ2" s="60">
        <v>2</v>
      </c>
      <c r="AR2" s="60" t="s">
        <v>549</v>
      </c>
      <c r="AS2" s="60">
        <v>0</v>
      </c>
      <c r="AT2" s="60">
        <v>33</v>
      </c>
      <c r="AU2" s="60" t="s">
        <v>264</v>
      </c>
      <c r="AV2" s="60">
        <v>-9999</v>
      </c>
      <c r="AW2" s="60">
        <v>402</v>
      </c>
      <c r="AX2" s="60">
        <v>425</v>
      </c>
      <c r="AY2" s="60">
        <v>400</v>
      </c>
      <c r="AZ2" s="60" t="s">
        <v>270</v>
      </c>
      <c r="BA2" s="60">
        <v>0</v>
      </c>
      <c r="BB2" s="60">
        <v>55</v>
      </c>
      <c r="BC2" s="60" t="s">
        <v>550</v>
      </c>
      <c r="BD2" s="60" t="s">
        <v>548</v>
      </c>
      <c r="BE2" s="60">
        <v>3</v>
      </c>
      <c r="BF2" s="60" t="s">
        <v>549</v>
      </c>
      <c r="BG2" s="60">
        <v>0</v>
      </c>
      <c r="BH2" s="60">
        <v>-4</v>
      </c>
      <c r="BI2" s="60" t="s">
        <v>264</v>
      </c>
      <c r="BJ2" s="60">
        <v>-9999</v>
      </c>
      <c r="BK2" s="60">
        <v>97</v>
      </c>
      <c r="BL2" s="60">
        <v>127</v>
      </c>
      <c r="BM2" s="60">
        <v>97</v>
      </c>
      <c r="BN2" s="60" t="s">
        <v>270</v>
      </c>
      <c r="BO2" s="60">
        <v>0</v>
      </c>
      <c r="BP2" s="60">
        <v>55</v>
      </c>
      <c r="BQ2" s="60" t="s">
        <v>504</v>
      </c>
      <c r="BR2" s="60" t="s">
        <v>548</v>
      </c>
      <c r="BS2" s="60">
        <v>4</v>
      </c>
      <c r="BT2" s="60" t="s">
        <v>549</v>
      </c>
      <c r="BU2" s="60">
        <v>51.3</v>
      </c>
      <c r="BV2" s="60">
        <v>110</v>
      </c>
      <c r="BW2" s="60" t="s">
        <v>264</v>
      </c>
      <c r="BX2" s="60">
        <v>-9999</v>
      </c>
      <c r="BY2" s="60">
        <v>254</v>
      </c>
      <c r="BZ2" s="60">
        <v>295</v>
      </c>
      <c r="CA2" s="60">
        <v>252</v>
      </c>
      <c r="CB2" s="60" t="s">
        <v>270</v>
      </c>
      <c r="CC2" s="60">
        <v>0</v>
      </c>
      <c r="CD2" s="60">
        <v>55</v>
      </c>
      <c r="CE2" s="60" t="s">
        <v>471</v>
      </c>
      <c r="CF2" s="60" t="s">
        <v>548</v>
      </c>
      <c r="CG2" s="60">
        <v>5</v>
      </c>
      <c r="CH2" s="60" t="s">
        <v>549</v>
      </c>
      <c r="CI2" s="60">
        <v>50.4</v>
      </c>
      <c r="CJ2" s="60">
        <v>266</v>
      </c>
      <c r="CK2" s="60" t="s">
        <v>264</v>
      </c>
      <c r="CL2" s="60">
        <v>-9999</v>
      </c>
      <c r="CM2" s="60">
        <v>412</v>
      </c>
      <c r="CN2" s="60">
        <v>479</v>
      </c>
      <c r="CO2" s="60">
        <v>410</v>
      </c>
      <c r="CP2" s="60" t="s">
        <v>270</v>
      </c>
      <c r="CQ2" s="60">
        <v>0</v>
      </c>
      <c r="CR2" s="60">
        <v>55</v>
      </c>
      <c r="CS2" s="60" t="s">
        <v>472</v>
      </c>
      <c r="CT2" s="60" t="s">
        <v>548</v>
      </c>
      <c r="CU2" s="60">
        <v>6</v>
      </c>
      <c r="CV2" s="60" t="s">
        <v>549</v>
      </c>
      <c r="CW2" s="60">
        <v>52.7</v>
      </c>
      <c r="CX2" s="60">
        <v>113</v>
      </c>
      <c r="CY2" s="60" t="s">
        <v>264</v>
      </c>
      <c r="CZ2" s="60">
        <v>-9999</v>
      </c>
      <c r="DA2" s="60">
        <v>597</v>
      </c>
      <c r="DB2" s="60">
        <v>676</v>
      </c>
      <c r="DC2" s="60">
        <v>585</v>
      </c>
      <c r="DD2" s="60" t="s">
        <v>270</v>
      </c>
      <c r="DE2" s="60">
        <v>0</v>
      </c>
      <c r="DF2" s="60">
        <v>55</v>
      </c>
      <c r="DG2" s="60" t="s">
        <v>473</v>
      </c>
      <c r="DH2" s="60" t="s">
        <v>548</v>
      </c>
      <c r="DI2" s="60">
        <v>7</v>
      </c>
      <c r="DJ2" s="60" t="s">
        <v>549</v>
      </c>
      <c r="DK2" s="60">
        <v>0</v>
      </c>
      <c r="DL2" s="60">
        <v>31</v>
      </c>
      <c r="DM2" s="60" t="s">
        <v>264</v>
      </c>
      <c r="DN2" s="60">
        <v>-9999</v>
      </c>
      <c r="DO2" s="60">
        <v>541</v>
      </c>
      <c r="DP2" s="60">
        <v>621</v>
      </c>
      <c r="DQ2" s="60">
        <v>534</v>
      </c>
      <c r="DR2" s="60" t="s">
        <v>270</v>
      </c>
      <c r="DS2" s="60">
        <v>0</v>
      </c>
      <c r="DT2" s="60">
        <v>55</v>
      </c>
      <c r="DU2" s="60" t="s">
        <v>474</v>
      </c>
      <c r="DV2" s="60" t="s">
        <v>548</v>
      </c>
      <c r="DW2" s="60">
        <v>8</v>
      </c>
      <c r="DX2" s="60" t="s">
        <v>549</v>
      </c>
      <c r="DY2" s="60">
        <v>51.3</v>
      </c>
      <c r="DZ2" s="60">
        <v>31</v>
      </c>
      <c r="EA2" s="60" t="s">
        <v>264</v>
      </c>
      <c r="EB2" s="60">
        <v>-9999</v>
      </c>
      <c r="EC2" s="60">
        <v>101</v>
      </c>
      <c r="ED2" s="60">
        <v>123</v>
      </c>
      <c r="EE2" s="60">
        <v>98</v>
      </c>
      <c r="EF2" s="60" t="s">
        <v>270</v>
      </c>
      <c r="EG2" s="60">
        <v>0</v>
      </c>
      <c r="EH2" s="60">
        <v>55</v>
      </c>
      <c r="EI2" s="60" t="s">
        <v>475</v>
      </c>
      <c r="EJ2" s="60" t="s">
        <v>548</v>
      </c>
      <c r="EK2" s="60">
        <v>9</v>
      </c>
      <c r="EL2" s="60" t="s">
        <v>549</v>
      </c>
      <c r="EM2" s="60">
        <v>0</v>
      </c>
      <c r="EN2" s="60">
        <v>11</v>
      </c>
      <c r="EO2" s="60" t="s">
        <v>264</v>
      </c>
      <c r="EP2" s="60">
        <v>-9999</v>
      </c>
      <c r="EQ2" s="60">
        <v>301</v>
      </c>
      <c r="ER2" s="60">
        <v>288</v>
      </c>
      <c r="ES2" s="60">
        <v>265</v>
      </c>
      <c r="ET2" s="60" t="s">
        <v>270</v>
      </c>
      <c r="EU2" s="60">
        <v>0</v>
      </c>
      <c r="EV2" s="60">
        <v>55</v>
      </c>
      <c r="EW2" s="60" t="s">
        <v>551</v>
      </c>
      <c r="EX2" s="60" t="s">
        <v>552</v>
      </c>
      <c r="EY2" s="60">
        <v>114</v>
      </c>
      <c r="EZ2" s="60">
        <v>114</v>
      </c>
      <c r="FA2" s="60">
        <v>114</v>
      </c>
      <c r="FB2" s="60" t="s">
        <v>270</v>
      </c>
      <c r="FC2" s="60" t="s">
        <v>553</v>
      </c>
      <c r="FD2" s="60" t="s">
        <v>552</v>
      </c>
      <c r="FE2" s="60">
        <v>282</v>
      </c>
      <c r="FF2" s="60">
        <v>281</v>
      </c>
      <c r="FG2" s="60">
        <v>280</v>
      </c>
      <c r="FH2" s="60" t="s">
        <v>270</v>
      </c>
      <c r="FI2" s="60" t="s">
        <v>554</v>
      </c>
      <c r="FJ2" s="60" t="s">
        <v>555</v>
      </c>
      <c r="FK2" s="60">
        <v>0</v>
      </c>
      <c r="FL2" s="60">
        <v>0</v>
      </c>
      <c r="FM2" s="60">
        <v>0</v>
      </c>
      <c r="FN2" s="60" t="s">
        <v>264</v>
      </c>
      <c r="FQ2" s="60" t="s">
        <v>556</v>
      </c>
      <c r="FR2" s="60" t="s">
        <v>555</v>
      </c>
      <c r="FS2" s="60">
        <v>0</v>
      </c>
      <c r="FT2" s="60">
        <v>0</v>
      </c>
      <c r="FU2" s="60">
        <v>0</v>
      </c>
      <c r="FV2" s="60" t="s">
        <v>264</v>
      </c>
      <c r="FY2" s="60" t="s">
        <v>557</v>
      </c>
      <c r="FZ2" s="60" t="s">
        <v>555</v>
      </c>
      <c r="GA2" s="60">
        <v>0</v>
      </c>
      <c r="GB2" s="60">
        <v>0</v>
      </c>
      <c r="GC2" s="60">
        <v>0</v>
      </c>
      <c r="GD2" s="60" t="s">
        <v>264</v>
      </c>
      <c r="GG2" s="60" t="s">
        <v>558</v>
      </c>
      <c r="GH2" s="60" t="s">
        <v>555</v>
      </c>
      <c r="GI2" s="60">
        <v>0</v>
      </c>
      <c r="GJ2" s="60">
        <v>0</v>
      </c>
      <c r="GK2" s="60">
        <v>0</v>
      </c>
      <c r="GL2" s="60" t="s">
        <v>264</v>
      </c>
      <c r="GO2" s="60" t="s">
        <v>559</v>
      </c>
      <c r="GP2" s="60" t="s">
        <v>555</v>
      </c>
      <c r="GQ2" s="60">
        <v>0</v>
      </c>
      <c r="GR2" s="60">
        <v>0</v>
      </c>
      <c r="GS2" s="60">
        <v>0</v>
      </c>
      <c r="GT2" s="60" t="s">
        <v>264</v>
      </c>
      <c r="GW2" s="60" t="s">
        <v>560</v>
      </c>
      <c r="GX2" s="60" t="s">
        <v>555</v>
      </c>
      <c r="GY2" s="60">
        <v>0</v>
      </c>
      <c r="GZ2" s="60">
        <v>0</v>
      </c>
      <c r="HA2" s="60">
        <v>0</v>
      </c>
      <c r="HB2" s="60" t="s">
        <v>264</v>
      </c>
      <c r="HE2" s="60" t="s">
        <v>561</v>
      </c>
      <c r="HF2" s="60" t="s">
        <v>555</v>
      </c>
      <c r="HG2" s="60">
        <v>0</v>
      </c>
      <c r="HH2" s="60">
        <v>0</v>
      </c>
      <c r="HI2" s="60">
        <v>0</v>
      </c>
      <c r="HJ2" s="60" t="s">
        <v>264</v>
      </c>
      <c r="HM2" s="60" t="s">
        <v>562</v>
      </c>
      <c r="HN2" s="60" t="s">
        <v>555</v>
      </c>
      <c r="HO2" s="60">
        <v>0</v>
      </c>
      <c r="HP2" s="60">
        <v>0</v>
      </c>
      <c r="HQ2" s="60">
        <v>0</v>
      </c>
      <c r="HR2" s="60" t="s">
        <v>264</v>
      </c>
      <c r="HU2" s="60" t="s">
        <v>563</v>
      </c>
      <c r="HV2" s="60" t="s">
        <v>555</v>
      </c>
      <c r="HW2" s="60">
        <v>0</v>
      </c>
      <c r="HX2" s="60">
        <v>0</v>
      </c>
      <c r="HY2" s="60">
        <v>0</v>
      </c>
      <c r="HZ2" s="60" t="s">
        <v>264</v>
      </c>
      <c r="IC2" s="60" t="s">
        <v>564</v>
      </c>
      <c r="ID2" s="60" t="s">
        <v>555</v>
      </c>
      <c r="IE2" s="60">
        <v>0</v>
      </c>
      <c r="IF2" s="60">
        <v>0</v>
      </c>
      <c r="IG2" s="60">
        <v>0</v>
      </c>
      <c r="IH2" s="60" t="s">
        <v>264</v>
      </c>
      <c r="IK2" s="60" t="s">
        <v>565</v>
      </c>
      <c r="IL2" s="60" t="s">
        <v>555</v>
      </c>
      <c r="IM2" s="60">
        <v>0</v>
      </c>
      <c r="IN2" s="60">
        <v>0</v>
      </c>
      <c r="IO2" s="60">
        <v>0</v>
      </c>
      <c r="IP2" s="60" t="s">
        <v>264</v>
      </c>
      <c r="IS2" s="60" t="s">
        <v>566</v>
      </c>
      <c r="IT2" s="60" t="s">
        <v>555</v>
      </c>
      <c r="IU2" s="60">
        <v>0</v>
      </c>
      <c r="IV2" s="60">
        <v>0</v>
      </c>
      <c r="IW2" s="60">
        <v>0</v>
      </c>
      <c r="IX2" s="60" t="s">
        <v>264</v>
      </c>
      <c r="JA2" s="60" t="s">
        <v>567</v>
      </c>
      <c r="JB2" s="60" t="s">
        <v>555</v>
      </c>
      <c r="JC2" s="60">
        <v>0</v>
      </c>
      <c r="JD2" s="60">
        <v>0</v>
      </c>
      <c r="JE2" s="60">
        <v>0</v>
      </c>
      <c r="JF2" s="60" t="s">
        <v>264</v>
      </c>
      <c r="JI2" s="60" t="s">
        <v>568</v>
      </c>
      <c r="JJ2" s="60" t="s">
        <v>555</v>
      </c>
      <c r="JK2" s="60">
        <v>0</v>
      </c>
      <c r="JL2" s="60">
        <v>0</v>
      </c>
      <c r="JM2" s="60">
        <v>0</v>
      </c>
      <c r="JN2" s="60" t="s">
        <v>264</v>
      </c>
      <c r="JQ2" s="60" t="s">
        <v>569</v>
      </c>
      <c r="JR2" s="60" t="s">
        <v>555</v>
      </c>
      <c r="JS2" s="60">
        <v>0</v>
      </c>
      <c r="JT2" s="60">
        <v>0</v>
      </c>
      <c r="JU2" s="60">
        <v>0</v>
      </c>
      <c r="JV2" s="60" t="s">
        <v>264</v>
      </c>
      <c r="JY2" s="60" t="s">
        <v>570</v>
      </c>
      <c r="JZ2" s="60" t="s">
        <v>555</v>
      </c>
      <c r="KA2" s="60">
        <v>0</v>
      </c>
      <c r="KB2" s="60">
        <v>0</v>
      </c>
      <c r="KC2" s="60">
        <v>0</v>
      </c>
      <c r="KD2" s="60" t="s">
        <v>264</v>
      </c>
      <c r="KG2" s="60" t="s">
        <v>571</v>
      </c>
      <c r="KH2" s="60" t="s">
        <v>555</v>
      </c>
      <c r="KI2" s="60">
        <v>0</v>
      </c>
      <c r="KJ2" s="60">
        <v>0</v>
      </c>
      <c r="KK2" s="60">
        <v>0</v>
      </c>
      <c r="KL2" s="60" t="s">
        <v>264</v>
      </c>
      <c r="KO2" s="60" t="s">
        <v>572</v>
      </c>
      <c r="KP2" s="60" t="s">
        <v>555</v>
      </c>
      <c r="KQ2" s="60">
        <v>0</v>
      </c>
      <c r="KR2" s="60">
        <v>0</v>
      </c>
      <c r="KS2" s="60">
        <v>0</v>
      </c>
      <c r="KT2" s="60" t="s">
        <v>264</v>
      </c>
      <c r="KW2" s="60" t="s">
        <v>573</v>
      </c>
      <c r="KX2" s="60" t="s">
        <v>555</v>
      </c>
      <c r="KY2" s="60">
        <v>0</v>
      </c>
      <c r="KZ2" s="60">
        <v>0</v>
      </c>
      <c r="LA2" s="60">
        <v>0</v>
      </c>
      <c r="LB2" s="60" t="s">
        <v>264</v>
      </c>
      <c r="LE2" s="60" t="s">
        <v>574</v>
      </c>
      <c r="LF2" s="60" t="s">
        <v>555</v>
      </c>
      <c r="LG2" s="60">
        <v>0</v>
      </c>
      <c r="LH2" s="60">
        <v>0</v>
      </c>
      <c r="LI2" s="60">
        <v>0</v>
      </c>
      <c r="LJ2" s="60" t="s">
        <v>264</v>
      </c>
      <c r="LM2" s="60" t="s">
        <v>575</v>
      </c>
      <c r="LN2" s="60" t="s">
        <v>555</v>
      </c>
      <c r="LO2" s="60">
        <v>0</v>
      </c>
      <c r="LP2" s="60">
        <v>0</v>
      </c>
      <c r="LQ2" s="60">
        <v>0</v>
      </c>
      <c r="LR2" s="60" t="s">
        <v>264</v>
      </c>
      <c r="LU2" s="60" t="s">
        <v>576</v>
      </c>
      <c r="LV2" s="60" t="s">
        <v>555</v>
      </c>
      <c r="LW2" s="60">
        <v>0</v>
      </c>
      <c r="LX2" s="60">
        <v>0</v>
      </c>
      <c r="LY2" s="60">
        <v>0</v>
      </c>
      <c r="LZ2" s="60" t="s">
        <v>264</v>
      </c>
      <c r="MC2" s="60" t="s">
        <v>577</v>
      </c>
      <c r="MD2" s="60" t="s">
        <v>555</v>
      </c>
      <c r="ME2" s="60">
        <v>0</v>
      </c>
      <c r="MF2" s="60">
        <v>0</v>
      </c>
      <c r="MG2" s="60">
        <v>0</v>
      </c>
      <c r="MH2" s="60" t="s">
        <v>264</v>
      </c>
      <c r="MK2" s="60" t="s">
        <v>578</v>
      </c>
      <c r="ML2" s="60" t="s">
        <v>555</v>
      </c>
      <c r="MM2" s="60">
        <v>0</v>
      </c>
      <c r="MN2" s="60">
        <v>0</v>
      </c>
      <c r="MO2" s="60">
        <v>0</v>
      </c>
      <c r="MP2" s="60" t="s">
        <v>264</v>
      </c>
      <c r="MS2" s="60" t="s">
        <v>579</v>
      </c>
      <c r="MT2" s="60" t="s">
        <v>555</v>
      </c>
      <c r="MU2" s="60">
        <v>0</v>
      </c>
      <c r="MV2" s="60">
        <v>0</v>
      </c>
      <c r="MW2" s="60">
        <v>0</v>
      </c>
      <c r="MX2" s="60" t="s">
        <v>264</v>
      </c>
      <c r="NA2" s="60" t="s">
        <v>580</v>
      </c>
      <c r="NB2" s="60" t="s">
        <v>555</v>
      </c>
      <c r="NC2" s="60">
        <v>0</v>
      </c>
      <c r="ND2" s="60">
        <v>0</v>
      </c>
      <c r="NE2" s="60">
        <v>0</v>
      </c>
      <c r="NF2" s="60" t="s">
        <v>264</v>
      </c>
      <c r="NI2" s="60">
        <v>40</v>
      </c>
      <c r="NJ2" s="60">
        <v>-9.6999999999999993</v>
      </c>
      <c r="NP2" s="60" t="s">
        <v>581</v>
      </c>
    </row>
    <row r="3" spans="1:380" x14ac:dyDescent="0.2">
      <c r="A3" s="60" t="s">
        <v>517</v>
      </c>
      <c r="B3" s="60">
        <v>1</v>
      </c>
      <c r="C3" s="60" t="s">
        <v>582</v>
      </c>
      <c r="D3" s="60">
        <v>646950158</v>
      </c>
      <c r="E3" s="60">
        <v>12602</v>
      </c>
      <c r="F3" s="60" t="s">
        <v>542</v>
      </c>
      <c r="G3" s="60">
        <v>750249</v>
      </c>
      <c r="H3" s="60">
        <v>634695</v>
      </c>
      <c r="I3" s="60" t="s">
        <v>543</v>
      </c>
      <c r="J3" s="61" t="s">
        <v>583</v>
      </c>
      <c r="K3" s="60" t="s">
        <v>545</v>
      </c>
      <c r="L3" s="60" t="s">
        <v>294</v>
      </c>
      <c r="M3" s="60" t="s">
        <v>546</v>
      </c>
      <c r="N3" s="60" t="s">
        <v>468</v>
      </c>
      <c r="O3" s="60" t="s">
        <v>547</v>
      </c>
      <c r="P3" s="60" t="s">
        <v>264</v>
      </c>
      <c r="Q3" s="60">
        <v>26.2</v>
      </c>
      <c r="R3" s="60">
        <v>275</v>
      </c>
      <c r="S3" s="60" t="s">
        <v>264</v>
      </c>
      <c r="T3" s="60">
        <v>-9999</v>
      </c>
      <c r="U3" s="60">
        <v>490</v>
      </c>
      <c r="V3" s="60">
        <v>507</v>
      </c>
      <c r="W3" s="60">
        <v>483</v>
      </c>
      <c r="X3" s="60" t="s">
        <v>270</v>
      </c>
      <c r="Y3" s="60">
        <v>0</v>
      </c>
      <c r="Z3" s="60">
        <v>55</v>
      </c>
      <c r="AA3" s="60" t="s">
        <v>469</v>
      </c>
      <c r="AB3" s="60" t="s">
        <v>548</v>
      </c>
      <c r="AC3" s="60">
        <v>1</v>
      </c>
      <c r="AD3" s="60" t="s">
        <v>549</v>
      </c>
      <c r="AE3" s="60">
        <v>0</v>
      </c>
      <c r="AF3" s="60">
        <v>35</v>
      </c>
      <c r="AG3" s="60" t="s">
        <v>264</v>
      </c>
      <c r="AH3" s="60">
        <v>-9999</v>
      </c>
      <c r="AI3" s="60">
        <v>574</v>
      </c>
      <c r="AJ3" s="60">
        <v>708</v>
      </c>
      <c r="AK3" s="60">
        <v>571</v>
      </c>
      <c r="AL3" s="60" t="s">
        <v>270</v>
      </c>
      <c r="AM3" s="60">
        <v>0</v>
      </c>
      <c r="AN3" s="60">
        <v>55</v>
      </c>
      <c r="AO3" s="60" t="s">
        <v>470</v>
      </c>
      <c r="AP3" s="60" t="s">
        <v>548</v>
      </c>
      <c r="AQ3" s="60">
        <v>2</v>
      </c>
      <c r="AR3" s="60" t="s">
        <v>549</v>
      </c>
      <c r="AS3" s="60">
        <v>54.5</v>
      </c>
      <c r="AT3" s="60">
        <v>47</v>
      </c>
      <c r="AU3" s="60" t="s">
        <v>264</v>
      </c>
      <c r="AV3" s="60">
        <v>-9999</v>
      </c>
      <c r="AW3" s="60">
        <v>381</v>
      </c>
      <c r="AX3" s="60">
        <v>399</v>
      </c>
      <c r="AY3" s="60">
        <v>380</v>
      </c>
      <c r="AZ3" s="60" t="s">
        <v>270</v>
      </c>
      <c r="BA3" s="60">
        <v>0</v>
      </c>
      <c r="BB3" s="60">
        <v>55</v>
      </c>
      <c r="BC3" s="60" t="s">
        <v>550</v>
      </c>
      <c r="BD3" s="60" t="s">
        <v>548</v>
      </c>
      <c r="BE3" s="60">
        <v>3</v>
      </c>
      <c r="BF3" s="60" t="s">
        <v>584</v>
      </c>
      <c r="BG3" s="60">
        <v>33.1</v>
      </c>
      <c r="BH3" s="60">
        <v>27</v>
      </c>
      <c r="BI3" s="60" t="s">
        <v>264</v>
      </c>
      <c r="BJ3" s="60">
        <v>-9999</v>
      </c>
      <c r="BK3" s="60">
        <v>87</v>
      </c>
      <c r="BL3" s="60">
        <v>121</v>
      </c>
      <c r="BM3" s="60">
        <v>88</v>
      </c>
      <c r="BN3" s="60" t="s">
        <v>270</v>
      </c>
      <c r="BO3" s="60">
        <v>0</v>
      </c>
      <c r="BP3" s="60">
        <v>55</v>
      </c>
      <c r="BQ3" s="60" t="s">
        <v>504</v>
      </c>
      <c r="BR3" s="60" t="s">
        <v>548</v>
      </c>
      <c r="BS3" s="60">
        <v>4</v>
      </c>
      <c r="BT3" s="60" t="s">
        <v>549</v>
      </c>
      <c r="BU3" s="60">
        <v>52.9</v>
      </c>
      <c r="BV3" s="60">
        <v>57</v>
      </c>
      <c r="BW3" s="60" t="s">
        <v>264</v>
      </c>
      <c r="BX3" s="60">
        <v>-9999</v>
      </c>
      <c r="BY3" s="60">
        <v>249</v>
      </c>
      <c r="BZ3" s="60">
        <v>290</v>
      </c>
      <c r="CA3" s="60">
        <v>248</v>
      </c>
      <c r="CB3" s="60" t="s">
        <v>270</v>
      </c>
      <c r="CC3" s="60">
        <v>0</v>
      </c>
      <c r="CD3" s="60">
        <v>55</v>
      </c>
      <c r="CE3" s="60" t="s">
        <v>471</v>
      </c>
      <c r="CF3" s="60" t="s">
        <v>548</v>
      </c>
      <c r="CG3" s="60">
        <v>5</v>
      </c>
      <c r="CH3" s="60" t="s">
        <v>549</v>
      </c>
      <c r="CI3" s="60">
        <v>50.4</v>
      </c>
      <c r="CJ3" s="60">
        <v>186</v>
      </c>
      <c r="CK3" s="60" t="s">
        <v>264</v>
      </c>
      <c r="CL3" s="60">
        <v>-9999</v>
      </c>
      <c r="CM3" s="60">
        <v>519</v>
      </c>
      <c r="CN3" s="60">
        <v>610</v>
      </c>
      <c r="CO3" s="60">
        <v>519</v>
      </c>
      <c r="CP3" s="60" t="s">
        <v>270</v>
      </c>
      <c r="CQ3" s="60">
        <v>0</v>
      </c>
      <c r="CR3" s="60">
        <v>55</v>
      </c>
      <c r="CS3" s="60" t="s">
        <v>472</v>
      </c>
      <c r="CT3" s="60" t="s">
        <v>548</v>
      </c>
      <c r="CU3" s="60">
        <v>6</v>
      </c>
      <c r="CV3" s="60" t="s">
        <v>549</v>
      </c>
      <c r="CW3" s="60">
        <v>52.3</v>
      </c>
      <c r="CX3" s="60">
        <v>121</v>
      </c>
      <c r="CY3" s="60" t="s">
        <v>264</v>
      </c>
      <c r="CZ3" s="60">
        <v>-9999</v>
      </c>
      <c r="DA3" s="60">
        <v>612</v>
      </c>
      <c r="DB3" s="60">
        <v>696</v>
      </c>
      <c r="DC3" s="60">
        <v>604</v>
      </c>
      <c r="DD3" s="60" t="s">
        <v>270</v>
      </c>
      <c r="DE3" s="60">
        <v>0</v>
      </c>
      <c r="DF3" s="60">
        <v>55</v>
      </c>
      <c r="DG3" s="60" t="s">
        <v>473</v>
      </c>
      <c r="DH3" s="60" t="s">
        <v>548</v>
      </c>
      <c r="DI3" s="60">
        <v>7</v>
      </c>
      <c r="DJ3" s="60" t="s">
        <v>549</v>
      </c>
      <c r="DK3" s="60">
        <v>0</v>
      </c>
      <c r="DL3" s="60">
        <v>33</v>
      </c>
      <c r="DM3" s="60" t="s">
        <v>264</v>
      </c>
      <c r="DN3" s="60">
        <v>-9999</v>
      </c>
      <c r="DO3" s="60">
        <v>586</v>
      </c>
      <c r="DP3" s="60">
        <v>670</v>
      </c>
      <c r="DQ3" s="60">
        <v>583</v>
      </c>
      <c r="DR3" s="60" t="s">
        <v>270</v>
      </c>
      <c r="DS3" s="60">
        <v>0</v>
      </c>
      <c r="DT3" s="60">
        <v>55</v>
      </c>
      <c r="DU3" s="60" t="s">
        <v>474</v>
      </c>
      <c r="DV3" s="60" t="s">
        <v>548</v>
      </c>
      <c r="DW3" s="60">
        <v>8</v>
      </c>
      <c r="DX3" s="60" t="s">
        <v>549</v>
      </c>
      <c r="DY3" s="60">
        <v>52.1</v>
      </c>
      <c r="DZ3" s="60">
        <v>24</v>
      </c>
      <c r="EA3" s="60" t="s">
        <v>264</v>
      </c>
      <c r="EB3" s="60">
        <v>-9999</v>
      </c>
      <c r="EC3" s="60">
        <v>105</v>
      </c>
      <c r="ED3" s="60">
        <v>127</v>
      </c>
      <c r="EE3" s="60">
        <v>104</v>
      </c>
      <c r="EF3" s="60" t="s">
        <v>270</v>
      </c>
      <c r="EG3" s="60">
        <v>0</v>
      </c>
      <c r="EH3" s="60">
        <v>55</v>
      </c>
      <c r="EI3" s="60" t="s">
        <v>475</v>
      </c>
      <c r="EJ3" s="60" t="s">
        <v>548</v>
      </c>
      <c r="EK3" s="60">
        <v>9</v>
      </c>
      <c r="EL3" s="60" t="s">
        <v>549</v>
      </c>
      <c r="EM3" s="60">
        <v>0</v>
      </c>
      <c r="EN3" s="60">
        <v>7</v>
      </c>
      <c r="EO3" s="60" t="s">
        <v>264</v>
      </c>
      <c r="EP3" s="60">
        <v>-9999</v>
      </c>
      <c r="EQ3" s="60">
        <v>340</v>
      </c>
      <c r="ER3" s="60">
        <v>331</v>
      </c>
      <c r="ES3" s="60">
        <v>311</v>
      </c>
      <c r="ET3" s="60" t="s">
        <v>270</v>
      </c>
      <c r="EU3" s="60">
        <v>0</v>
      </c>
      <c r="EV3" s="60">
        <v>55</v>
      </c>
      <c r="EW3" s="60" t="s">
        <v>551</v>
      </c>
      <c r="EX3" s="60" t="s">
        <v>552</v>
      </c>
      <c r="EY3" s="60">
        <v>156</v>
      </c>
      <c r="EZ3" s="60">
        <v>157</v>
      </c>
      <c r="FA3" s="60">
        <v>158</v>
      </c>
      <c r="FB3" s="60" t="s">
        <v>270</v>
      </c>
      <c r="FC3" s="60" t="s">
        <v>553</v>
      </c>
      <c r="FD3" s="60" t="s">
        <v>552</v>
      </c>
      <c r="FE3" s="60">
        <v>313</v>
      </c>
      <c r="FF3" s="60">
        <v>311</v>
      </c>
      <c r="FG3" s="60">
        <v>310</v>
      </c>
      <c r="FH3" s="60" t="s">
        <v>270</v>
      </c>
      <c r="FI3" s="60" t="s">
        <v>554</v>
      </c>
      <c r="FJ3" s="60" t="s">
        <v>555</v>
      </c>
      <c r="FK3" s="60">
        <v>0</v>
      </c>
      <c r="FL3" s="60">
        <v>0</v>
      </c>
      <c r="FM3" s="60">
        <v>0</v>
      </c>
      <c r="FN3" s="60" t="s">
        <v>264</v>
      </c>
      <c r="FQ3" s="60" t="s">
        <v>556</v>
      </c>
      <c r="FR3" s="60" t="s">
        <v>555</v>
      </c>
      <c r="FS3" s="60">
        <v>0</v>
      </c>
      <c r="FT3" s="60">
        <v>0</v>
      </c>
      <c r="FU3" s="60">
        <v>0</v>
      </c>
      <c r="FV3" s="60" t="s">
        <v>264</v>
      </c>
      <c r="FY3" s="60" t="s">
        <v>557</v>
      </c>
      <c r="FZ3" s="60" t="s">
        <v>555</v>
      </c>
      <c r="GA3" s="60">
        <v>0</v>
      </c>
      <c r="GB3" s="60">
        <v>0</v>
      </c>
      <c r="GC3" s="60">
        <v>0</v>
      </c>
      <c r="GD3" s="60" t="s">
        <v>264</v>
      </c>
      <c r="GG3" s="60" t="s">
        <v>558</v>
      </c>
      <c r="GH3" s="60" t="s">
        <v>555</v>
      </c>
      <c r="GI3" s="60">
        <v>0</v>
      </c>
      <c r="GJ3" s="60">
        <v>0</v>
      </c>
      <c r="GK3" s="60">
        <v>0</v>
      </c>
      <c r="GL3" s="60" t="s">
        <v>264</v>
      </c>
      <c r="GO3" s="60" t="s">
        <v>559</v>
      </c>
      <c r="GP3" s="60" t="s">
        <v>555</v>
      </c>
      <c r="GQ3" s="60">
        <v>0</v>
      </c>
      <c r="GR3" s="60">
        <v>0</v>
      </c>
      <c r="GS3" s="60">
        <v>0</v>
      </c>
      <c r="GT3" s="60" t="s">
        <v>264</v>
      </c>
      <c r="GW3" s="60" t="s">
        <v>560</v>
      </c>
      <c r="GX3" s="60" t="s">
        <v>555</v>
      </c>
      <c r="GY3" s="60">
        <v>0</v>
      </c>
      <c r="GZ3" s="60">
        <v>0</v>
      </c>
      <c r="HA3" s="60">
        <v>0</v>
      </c>
      <c r="HB3" s="60" t="s">
        <v>264</v>
      </c>
      <c r="HE3" s="60" t="s">
        <v>561</v>
      </c>
      <c r="HF3" s="60" t="s">
        <v>555</v>
      </c>
      <c r="HG3" s="60">
        <v>0</v>
      </c>
      <c r="HH3" s="60">
        <v>0</v>
      </c>
      <c r="HI3" s="60">
        <v>0</v>
      </c>
      <c r="HJ3" s="60" t="s">
        <v>264</v>
      </c>
      <c r="HM3" s="60" t="s">
        <v>562</v>
      </c>
      <c r="HN3" s="60" t="s">
        <v>555</v>
      </c>
      <c r="HO3" s="60">
        <v>0</v>
      </c>
      <c r="HP3" s="60">
        <v>0</v>
      </c>
      <c r="HQ3" s="60">
        <v>0</v>
      </c>
      <c r="HR3" s="60" t="s">
        <v>264</v>
      </c>
      <c r="HU3" s="60" t="s">
        <v>563</v>
      </c>
      <c r="HV3" s="60" t="s">
        <v>555</v>
      </c>
      <c r="HW3" s="60">
        <v>0</v>
      </c>
      <c r="HX3" s="60">
        <v>0</v>
      </c>
      <c r="HY3" s="60">
        <v>0</v>
      </c>
      <c r="HZ3" s="60" t="s">
        <v>264</v>
      </c>
      <c r="IC3" s="60" t="s">
        <v>564</v>
      </c>
      <c r="ID3" s="60" t="s">
        <v>555</v>
      </c>
      <c r="IE3" s="60">
        <v>0</v>
      </c>
      <c r="IF3" s="60">
        <v>0</v>
      </c>
      <c r="IG3" s="60">
        <v>0</v>
      </c>
      <c r="IH3" s="60" t="s">
        <v>264</v>
      </c>
      <c r="IK3" s="60" t="s">
        <v>565</v>
      </c>
      <c r="IL3" s="60" t="s">
        <v>555</v>
      </c>
      <c r="IM3" s="60">
        <v>0</v>
      </c>
      <c r="IN3" s="60">
        <v>0</v>
      </c>
      <c r="IO3" s="60">
        <v>0</v>
      </c>
      <c r="IP3" s="60" t="s">
        <v>264</v>
      </c>
      <c r="IS3" s="60" t="s">
        <v>566</v>
      </c>
      <c r="IT3" s="60" t="s">
        <v>555</v>
      </c>
      <c r="IU3" s="60">
        <v>0</v>
      </c>
      <c r="IV3" s="60">
        <v>0</v>
      </c>
      <c r="IW3" s="60">
        <v>0</v>
      </c>
      <c r="IX3" s="60" t="s">
        <v>264</v>
      </c>
      <c r="JA3" s="60" t="s">
        <v>567</v>
      </c>
      <c r="JB3" s="60" t="s">
        <v>555</v>
      </c>
      <c r="JC3" s="60">
        <v>0</v>
      </c>
      <c r="JD3" s="60">
        <v>0</v>
      </c>
      <c r="JE3" s="60">
        <v>0</v>
      </c>
      <c r="JF3" s="60" t="s">
        <v>264</v>
      </c>
      <c r="JI3" s="60" t="s">
        <v>568</v>
      </c>
      <c r="JJ3" s="60" t="s">
        <v>555</v>
      </c>
      <c r="JK3" s="60">
        <v>0</v>
      </c>
      <c r="JL3" s="60">
        <v>0</v>
      </c>
      <c r="JM3" s="60">
        <v>0</v>
      </c>
      <c r="JN3" s="60" t="s">
        <v>264</v>
      </c>
      <c r="JQ3" s="60" t="s">
        <v>569</v>
      </c>
      <c r="JR3" s="60" t="s">
        <v>555</v>
      </c>
      <c r="JS3" s="60">
        <v>0</v>
      </c>
      <c r="JT3" s="60">
        <v>0</v>
      </c>
      <c r="JU3" s="60">
        <v>0</v>
      </c>
      <c r="JV3" s="60" t="s">
        <v>264</v>
      </c>
      <c r="JY3" s="60" t="s">
        <v>570</v>
      </c>
      <c r="JZ3" s="60" t="s">
        <v>555</v>
      </c>
      <c r="KA3" s="60">
        <v>0</v>
      </c>
      <c r="KB3" s="60">
        <v>0</v>
      </c>
      <c r="KC3" s="60">
        <v>0</v>
      </c>
      <c r="KD3" s="60" t="s">
        <v>264</v>
      </c>
      <c r="KG3" s="60" t="s">
        <v>571</v>
      </c>
      <c r="KH3" s="60" t="s">
        <v>555</v>
      </c>
      <c r="KI3" s="60">
        <v>0</v>
      </c>
      <c r="KJ3" s="60">
        <v>0</v>
      </c>
      <c r="KK3" s="60">
        <v>0</v>
      </c>
      <c r="KL3" s="60" t="s">
        <v>264</v>
      </c>
      <c r="KO3" s="60" t="s">
        <v>572</v>
      </c>
      <c r="KP3" s="60" t="s">
        <v>555</v>
      </c>
      <c r="KQ3" s="60">
        <v>0</v>
      </c>
      <c r="KR3" s="60">
        <v>0</v>
      </c>
      <c r="KS3" s="60">
        <v>0</v>
      </c>
      <c r="KT3" s="60" t="s">
        <v>264</v>
      </c>
      <c r="KW3" s="60" t="s">
        <v>573</v>
      </c>
      <c r="KX3" s="60" t="s">
        <v>555</v>
      </c>
      <c r="KY3" s="60">
        <v>0</v>
      </c>
      <c r="KZ3" s="60">
        <v>0</v>
      </c>
      <c r="LA3" s="60">
        <v>0</v>
      </c>
      <c r="LB3" s="60" t="s">
        <v>264</v>
      </c>
      <c r="LE3" s="60" t="s">
        <v>574</v>
      </c>
      <c r="LF3" s="60" t="s">
        <v>555</v>
      </c>
      <c r="LG3" s="60">
        <v>0</v>
      </c>
      <c r="LH3" s="60">
        <v>0</v>
      </c>
      <c r="LI3" s="60">
        <v>0</v>
      </c>
      <c r="LJ3" s="60" t="s">
        <v>264</v>
      </c>
      <c r="LM3" s="60" t="s">
        <v>575</v>
      </c>
      <c r="LN3" s="60" t="s">
        <v>555</v>
      </c>
      <c r="LO3" s="60">
        <v>0</v>
      </c>
      <c r="LP3" s="60">
        <v>0</v>
      </c>
      <c r="LQ3" s="60">
        <v>0</v>
      </c>
      <c r="LR3" s="60" t="s">
        <v>264</v>
      </c>
      <c r="LU3" s="60" t="s">
        <v>576</v>
      </c>
      <c r="LV3" s="60" t="s">
        <v>555</v>
      </c>
      <c r="LW3" s="60">
        <v>0</v>
      </c>
      <c r="LX3" s="60">
        <v>0</v>
      </c>
      <c r="LY3" s="60">
        <v>0</v>
      </c>
      <c r="LZ3" s="60" t="s">
        <v>264</v>
      </c>
      <c r="MC3" s="60" t="s">
        <v>577</v>
      </c>
      <c r="MD3" s="60" t="s">
        <v>555</v>
      </c>
      <c r="ME3" s="60">
        <v>0</v>
      </c>
      <c r="MF3" s="60">
        <v>0</v>
      </c>
      <c r="MG3" s="60">
        <v>0</v>
      </c>
      <c r="MH3" s="60" t="s">
        <v>264</v>
      </c>
      <c r="MK3" s="60" t="s">
        <v>578</v>
      </c>
      <c r="ML3" s="60" t="s">
        <v>555</v>
      </c>
      <c r="MM3" s="60">
        <v>0</v>
      </c>
      <c r="MN3" s="60">
        <v>0</v>
      </c>
      <c r="MO3" s="60">
        <v>0</v>
      </c>
      <c r="MP3" s="60" t="s">
        <v>264</v>
      </c>
      <c r="MS3" s="60" t="s">
        <v>579</v>
      </c>
      <c r="MT3" s="60" t="s">
        <v>555</v>
      </c>
      <c r="MU3" s="60">
        <v>0</v>
      </c>
      <c r="MV3" s="60">
        <v>0</v>
      </c>
      <c r="MW3" s="60">
        <v>0</v>
      </c>
      <c r="MX3" s="60" t="s">
        <v>264</v>
      </c>
      <c r="NA3" s="60" t="s">
        <v>580</v>
      </c>
      <c r="NB3" s="60" t="s">
        <v>555</v>
      </c>
      <c r="NC3" s="60">
        <v>0</v>
      </c>
      <c r="ND3" s="60">
        <v>0</v>
      </c>
      <c r="NE3" s="60">
        <v>0</v>
      </c>
      <c r="NF3" s="60" t="s">
        <v>264</v>
      </c>
      <c r="NI3" s="60">
        <v>40.1</v>
      </c>
      <c r="NJ3" s="60">
        <v>-5.4</v>
      </c>
      <c r="NP3" s="60" t="s">
        <v>581</v>
      </c>
    </row>
    <row r="4" spans="1:380" x14ac:dyDescent="0.2">
      <c r="A4" s="60" t="s">
        <v>517</v>
      </c>
      <c r="B4" s="60">
        <v>1</v>
      </c>
      <c r="C4" s="60" t="s">
        <v>585</v>
      </c>
      <c r="D4" s="60">
        <v>646950156</v>
      </c>
      <c r="E4" s="60">
        <v>12602</v>
      </c>
      <c r="F4" s="60" t="s">
        <v>542</v>
      </c>
      <c r="G4" s="60">
        <v>750210</v>
      </c>
      <c r="H4" s="60">
        <v>617589</v>
      </c>
      <c r="I4" s="60" t="s">
        <v>543</v>
      </c>
      <c r="J4" s="61" t="s">
        <v>586</v>
      </c>
      <c r="K4" s="60" t="s">
        <v>545</v>
      </c>
      <c r="L4" s="60" t="s">
        <v>294</v>
      </c>
      <c r="M4" s="60" t="s">
        <v>546</v>
      </c>
      <c r="N4" s="60" t="s">
        <v>468</v>
      </c>
      <c r="O4" s="60" t="s">
        <v>547</v>
      </c>
      <c r="P4" s="60" t="s">
        <v>264</v>
      </c>
      <c r="Q4" s="60">
        <v>26.3</v>
      </c>
      <c r="R4" s="60">
        <v>271</v>
      </c>
      <c r="S4" s="60" t="s">
        <v>264</v>
      </c>
      <c r="T4" s="60">
        <v>-9999</v>
      </c>
      <c r="U4" s="60">
        <v>559</v>
      </c>
      <c r="V4" s="60">
        <v>579</v>
      </c>
      <c r="W4" s="60">
        <v>550</v>
      </c>
      <c r="X4" s="60" t="s">
        <v>270</v>
      </c>
      <c r="Y4" s="60">
        <v>0</v>
      </c>
      <c r="Z4" s="60">
        <v>55</v>
      </c>
      <c r="AA4" s="60" t="s">
        <v>469</v>
      </c>
      <c r="AB4" s="60" t="s">
        <v>548</v>
      </c>
      <c r="AC4" s="60">
        <v>1</v>
      </c>
      <c r="AD4" s="60" t="s">
        <v>549</v>
      </c>
      <c r="AE4" s="60">
        <v>0</v>
      </c>
      <c r="AF4" s="60">
        <v>-1</v>
      </c>
      <c r="AG4" s="60" t="s">
        <v>264</v>
      </c>
      <c r="AH4" s="60">
        <v>-9999</v>
      </c>
      <c r="AI4" s="60">
        <v>486</v>
      </c>
      <c r="AJ4" s="60">
        <v>588</v>
      </c>
      <c r="AK4" s="60">
        <v>482</v>
      </c>
      <c r="AL4" s="60" t="s">
        <v>270</v>
      </c>
      <c r="AM4" s="60">
        <v>0</v>
      </c>
      <c r="AN4" s="60">
        <v>55</v>
      </c>
      <c r="AO4" s="60" t="s">
        <v>470</v>
      </c>
      <c r="AP4" s="60" t="s">
        <v>548</v>
      </c>
      <c r="AQ4" s="60">
        <v>2</v>
      </c>
      <c r="AR4" s="60" t="s">
        <v>549</v>
      </c>
      <c r="AS4" s="60">
        <v>54.1</v>
      </c>
      <c r="AT4" s="60">
        <v>55</v>
      </c>
      <c r="AU4" s="60" t="s">
        <v>264</v>
      </c>
      <c r="AV4" s="60">
        <v>-9999</v>
      </c>
      <c r="AW4" s="60">
        <v>320</v>
      </c>
      <c r="AX4" s="60">
        <v>335</v>
      </c>
      <c r="AY4" s="60">
        <v>317</v>
      </c>
      <c r="AZ4" s="60" t="s">
        <v>270</v>
      </c>
      <c r="BA4" s="60">
        <v>0</v>
      </c>
      <c r="BB4" s="60">
        <v>55</v>
      </c>
      <c r="BC4" s="60" t="s">
        <v>550</v>
      </c>
      <c r="BD4" s="60" t="s">
        <v>548</v>
      </c>
      <c r="BE4" s="60">
        <v>3</v>
      </c>
      <c r="BF4" s="60" t="s">
        <v>584</v>
      </c>
      <c r="BG4" s="60">
        <v>29.7</v>
      </c>
      <c r="BH4" s="60">
        <v>40</v>
      </c>
      <c r="BI4" s="60" t="s">
        <v>264</v>
      </c>
      <c r="BJ4" s="60">
        <v>-9999</v>
      </c>
      <c r="BK4" s="60">
        <v>102</v>
      </c>
      <c r="BL4" s="60">
        <v>138</v>
      </c>
      <c r="BM4" s="60">
        <v>104</v>
      </c>
      <c r="BN4" s="60" t="s">
        <v>270</v>
      </c>
      <c r="BO4" s="60">
        <v>0</v>
      </c>
      <c r="BP4" s="60">
        <v>55</v>
      </c>
      <c r="BQ4" s="60" t="s">
        <v>504</v>
      </c>
      <c r="BR4" s="60" t="s">
        <v>548</v>
      </c>
      <c r="BS4" s="60">
        <v>4</v>
      </c>
      <c r="BT4" s="60" t="s">
        <v>549</v>
      </c>
      <c r="BU4" s="60">
        <v>52.9</v>
      </c>
      <c r="BV4" s="60">
        <v>66</v>
      </c>
      <c r="BW4" s="60" t="s">
        <v>264</v>
      </c>
      <c r="BX4" s="60">
        <v>-9999</v>
      </c>
      <c r="BY4" s="60">
        <v>202</v>
      </c>
      <c r="BZ4" s="60">
        <v>234</v>
      </c>
      <c r="CA4" s="60">
        <v>200</v>
      </c>
      <c r="CB4" s="60" t="s">
        <v>270</v>
      </c>
      <c r="CC4" s="60">
        <v>0</v>
      </c>
      <c r="CD4" s="60">
        <v>55</v>
      </c>
      <c r="CE4" s="60" t="s">
        <v>471</v>
      </c>
      <c r="CF4" s="60" t="s">
        <v>548</v>
      </c>
      <c r="CG4" s="60">
        <v>5</v>
      </c>
      <c r="CH4" s="60" t="s">
        <v>549</v>
      </c>
      <c r="CI4" s="60">
        <v>51.1</v>
      </c>
      <c r="CJ4" s="60">
        <v>212</v>
      </c>
      <c r="CK4" s="60" t="s">
        <v>264</v>
      </c>
      <c r="CL4" s="60">
        <v>-9999</v>
      </c>
      <c r="CM4" s="60">
        <v>445</v>
      </c>
      <c r="CN4" s="60">
        <v>519</v>
      </c>
      <c r="CO4" s="60">
        <v>444</v>
      </c>
      <c r="CP4" s="60" t="s">
        <v>270</v>
      </c>
      <c r="CQ4" s="60">
        <v>0</v>
      </c>
      <c r="CR4" s="60">
        <v>55</v>
      </c>
      <c r="CS4" s="60" t="s">
        <v>472</v>
      </c>
      <c r="CT4" s="60" t="s">
        <v>548</v>
      </c>
      <c r="CU4" s="60">
        <v>6</v>
      </c>
      <c r="CV4" s="60" t="s">
        <v>549</v>
      </c>
      <c r="CW4" s="60">
        <v>53.2</v>
      </c>
      <c r="CX4" s="60">
        <v>106</v>
      </c>
      <c r="CY4" s="60" t="s">
        <v>264</v>
      </c>
      <c r="CZ4" s="60">
        <v>-9999</v>
      </c>
      <c r="DA4" s="60">
        <v>567</v>
      </c>
      <c r="DB4" s="60">
        <v>644</v>
      </c>
      <c r="DC4" s="60">
        <v>559</v>
      </c>
      <c r="DD4" s="60" t="s">
        <v>270</v>
      </c>
      <c r="DE4" s="60">
        <v>0</v>
      </c>
      <c r="DF4" s="60">
        <v>55</v>
      </c>
      <c r="DG4" s="60" t="s">
        <v>473</v>
      </c>
      <c r="DH4" s="60" t="s">
        <v>548</v>
      </c>
      <c r="DI4" s="60">
        <v>7</v>
      </c>
      <c r="DJ4" s="60" t="s">
        <v>549</v>
      </c>
      <c r="DK4" s="60">
        <v>0</v>
      </c>
      <c r="DL4" s="60">
        <v>19</v>
      </c>
      <c r="DM4" s="60" t="s">
        <v>264</v>
      </c>
      <c r="DN4" s="60">
        <v>-9999</v>
      </c>
      <c r="DO4" s="60">
        <v>545</v>
      </c>
      <c r="DP4" s="60">
        <v>627</v>
      </c>
      <c r="DQ4" s="60">
        <v>540</v>
      </c>
      <c r="DR4" s="60" t="s">
        <v>270</v>
      </c>
      <c r="DS4" s="60">
        <v>0</v>
      </c>
      <c r="DT4" s="60">
        <v>55</v>
      </c>
      <c r="DU4" s="60" t="s">
        <v>474</v>
      </c>
      <c r="DV4" s="60" t="s">
        <v>548</v>
      </c>
      <c r="DW4" s="60">
        <v>8</v>
      </c>
      <c r="DX4" s="60" t="s">
        <v>549</v>
      </c>
      <c r="DY4" s="60">
        <v>0</v>
      </c>
      <c r="DZ4" s="60">
        <v>5</v>
      </c>
      <c r="EA4" s="60" t="s">
        <v>264</v>
      </c>
      <c r="EB4" s="60">
        <v>-9999</v>
      </c>
      <c r="EC4" s="60">
        <v>108</v>
      </c>
      <c r="ED4" s="60">
        <v>130</v>
      </c>
      <c r="EE4" s="60">
        <v>106</v>
      </c>
      <c r="EF4" s="60" t="s">
        <v>270</v>
      </c>
      <c r="EG4" s="60">
        <v>0</v>
      </c>
      <c r="EH4" s="60">
        <v>55</v>
      </c>
      <c r="EI4" s="60" t="s">
        <v>475</v>
      </c>
      <c r="EJ4" s="60" t="s">
        <v>548</v>
      </c>
      <c r="EK4" s="60">
        <v>9</v>
      </c>
      <c r="EL4" s="60" t="s">
        <v>549</v>
      </c>
      <c r="EM4" s="60">
        <v>0</v>
      </c>
      <c r="EN4" s="60">
        <v>-4</v>
      </c>
      <c r="EO4" s="60" t="s">
        <v>264</v>
      </c>
      <c r="EP4" s="60">
        <v>-9999</v>
      </c>
      <c r="EQ4" s="60">
        <v>313</v>
      </c>
      <c r="ER4" s="60">
        <v>294</v>
      </c>
      <c r="ES4" s="60">
        <v>273</v>
      </c>
      <c r="ET4" s="60" t="s">
        <v>270</v>
      </c>
      <c r="EU4" s="60">
        <v>0</v>
      </c>
      <c r="EV4" s="60">
        <v>55</v>
      </c>
      <c r="EW4" s="60" t="s">
        <v>551</v>
      </c>
      <c r="EX4" s="60" t="s">
        <v>552</v>
      </c>
      <c r="EY4" s="60">
        <v>129</v>
      </c>
      <c r="EZ4" s="60">
        <v>130</v>
      </c>
      <c r="FA4" s="60">
        <v>130</v>
      </c>
      <c r="FB4" s="60" t="s">
        <v>270</v>
      </c>
      <c r="FC4" s="60" t="s">
        <v>553</v>
      </c>
      <c r="FD4" s="60" t="s">
        <v>552</v>
      </c>
      <c r="FE4" s="60">
        <v>260</v>
      </c>
      <c r="FF4" s="60">
        <v>258</v>
      </c>
      <c r="FG4" s="60">
        <v>257</v>
      </c>
      <c r="FH4" s="60" t="s">
        <v>270</v>
      </c>
      <c r="FI4" s="60" t="s">
        <v>554</v>
      </c>
      <c r="FJ4" s="60" t="s">
        <v>555</v>
      </c>
      <c r="FK4" s="60">
        <v>0</v>
      </c>
      <c r="FL4" s="60">
        <v>0</v>
      </c>
      <c r="FM4" s="60">
        <v>0</v>
      </c>
      <c r="FN4" s="60" t="s">
        <v>264</v>
      </c>
      <c r="FQ4" s="60" t="s">
        <v>556</v>
      </c>
      <c r="FR4" s="60" t="s">
        <v>555</v>
      </c>
      <c r="FS4" s="60">
        <v>0</v>
      </c>
      <c r="FT4" s="60">
        <v>0</v>
      </c>
      <c r="FU4" s="60">
        <v>0</v>
      </c>
      <c r="FV4" s="60" t="s">
        <v>264</v>
      </c>
      <c r="FY4" s="60" t="s">
        <v>557</v>
      </c>
      <c r="FZ4" s="60" t="s">
        <v>555</v>
      </c>
      <c r="GA4" s="60">
        <v>0</v>
      </c>
      <c r="GB4" s="60">
        <v>0</v>
      </c>
      <c r="GC4" s="60">
        <v>0</v>
      </c>
      <c r="GD4" s="60" t="s">
        <v>264</v>
      </c>
      <c r="GG4" s="60" t="s">
        <v>558</v>
      </c>
      <c r="GH4" s="60" t="s">
        <v>555</v>
      </c>
      <c r="GI4" s="60">
        <v>0</v>
      </c>
      <c r="GJ4" s="60">
        <v>0</v>
      </c>
      <c r="GK4" s="60">
        <v>0</v>
      </c>
      <c r="GL4" s="60" t="s">
        <v>264</v>
      </c>
      <c r="GO4" s="60" t="s">
        <v>559</v>
      </c>
      <c r="GP4" s="60" t="s">
        <v>555</v>
      </c>
      <c r="GQ4" s="60">
        <v>0</v>
      </c>
      <c r="GR4" s="60">
        <v>0</v>
      </c>
      <c r="GS4" s="60">
        <v>0</v>
      </c>
      <c r="GT4" s="60" t="s">
        <v>264</v>
      </c>
      <c r="GW4" s="60" t="s">
        <v>560</v>
      </c>
      <c r="GX4" s="60" t="s">
        <v>555</v>
      </c>
      <c r="GY4" s="60">
        <v>0</v>
      </c>
      <c r="GZ4" s="60">
        <v>0</v>
      </c>
      <c r="HA4" s="60">
        <v>0</v>
      </c>
      <c r="HB4" s="60" t="s">
        <v>264</v>
      </c>
      <c r="HE4" s="60" t="s">
        <v>561</v>
      </c>
      <c r="HF4" s="60" t="s">
        <v>555</v>
      </c>
      <c r="HG4" s="60">
        <v>0</v>
      </c>
      <c r="HH4" s="60">
        <v>0</v>
      </c>
      <c r="HI4" s="60">
        <v>0</v>
      </c>
      <c r="HJ4" s="60" t="s">
        <v>264</v>
      </c>
      <c r="HM4" s="60" t="s">
        <v>562</v>
      </c>
      <c r="HN4" s="60" t="s">
        <v>555</v>
      </c>
      <c r="HO4" s="60">
        <v>0</v>
      </c>
      <c r="HP4" s="60">
        <v>0</v>
      </c>
      <c r="HQ4" s="60">
        <v>0</v>
      </c>
      <c r="HR4" s="60" t="s">
        <v>264</v>
      </c>
      <c r="HU4" s="60" t="s">
        <v>563</v>
      </c>
      <c r="HV4" s="60" t="s">
        <v>555</v>
      </c>
      <c r="HW4" s="60">
        <v>0</v>
      </c>
      <c r="HX4" s="60">
        <v>0</v>
      </c>
      <c r="HY4" s="60">
        <v>0</v>
      </c>
      <c r="HZ4" s="60" t="s">
        <v>264</v>
      </c>
      <c r="IC4" s="60" t="s">
        <v>564</v>
      </c>
      <c r="ID4" s="60" t="s">
        <v>555</v>
      </c>
      <c r="IE4" s="60">
        <v>0</v>
      </c>
      <c r="IF4" s="60">
        <v>0</v>
      </c>
      <c r="IG4" s="60">
        <v>0</v>
      </c>
      <c r="IH4" s="60" t="s">
        <v>264</v>
      </c>
      <c r="IK4" s="60" t="s">
        <v>565</v>
      </c>
      <c r="IL4" s="60" t="s">
        <v>555</v>
      </c>
      <c r="IM4" s="60">
        <v>0</v>
      </c>
      <c r="IN4" s="60">
        <v>0</v>
      </c>
      <c r="IO4" s="60">
        <v>0</v>
      </c>
      <c r="IP4" s="60" t="s">
        <v>264</v>
      </c>
      <c r="IS4" s="60" t="s">
        <v>566</v>
      </c>
      <c r="IT4" s="60" t="s">
        <v>555</v>
      </c>
      <c r="IU4" s="60">
        <v>0</v>
      </c>
      <c r="IV4" s="60">
        <v>0</v>
      </c>
      <c r="IW4" s="60">
        <v>0</v>
      </c>
      <c r="IX4" s="60" t="s">
        <v>264</v>
      </c>
      <c r="JA4" s="60" t="s">
        <v>567</v>
      </c>
      <c r="JB4" s="60" t="s">
        <v>555</v>
      </c>
      <c r="JC4" s="60">
        <v>0</v>
      </c>
      <c r="JD4" s="60">
        <v>0</v>
      </c>
      <c r="JE4" s="60">
        <v>0</v>
      </c>
      <c r="JF4" s="60" t="s">
        <v>264</v>
      </c>
      <c r="JI4" s="60" t="s">
        <v>568</v>
      </c>
      <c r="JJ4" s="60" t="s">
        <v>555</v>
      </c>
      <c r="JK4" s="60">
        <v>0</v>
      </c>
      <c r="JL4" s="60">
        <v>0</v>
      </c>
      <c r="JM4" s="60">
        <v>0</v>
      </c>
      <c r="JN4" s="60" t="s">
        <v>264</v>
      </c>
      <c r="JQ4" s="60" t="s">
        <v>569</v>
      </c>
      <c r="JR4" s="60" t="s">
        <v>555</v>
      </c>
      <c r="JS4" s="60">
        <v>0</v>
      </c>
      <c r="JT4" s="60">
        <v>0</v>
      </c>
      <c r="JU4" s="60">
        <v>0</v>
      </c>
      <c r="JV4" s="60" t="s">
        <v>264</v>
      </c>
      <c r="JY4" s="60" t="s">
        <v>570</v>
      </c>
      <c r="JZ4" s="60" t="s">
        <v>555</v>
      </c>
      <c r="KA4" s="60">
        <v>0</v>
      </c>
      <c r="KB4" s="60">
        <v>0</v>
      </c>
      <c r="KC4" s="60">
        <v>0</v>
      </c>
      <c r="KD4" s="60" t="s">
        <v>264</v>
      </c>
      <c r="KG4" s="60" t="s">
        <v>571</v>
      </c>
      <c r="KH4" s="60" t="s">
        <v>555</v>
      </c>
      <c r="KI4" s="60">
        <v>0</v>
      </c>
      <c r="KJ4" s="60">
        <v>0</v>
      </c>
      <c r="KK4" s="60">
        <v>0</v>
      </c>
      <c r="KL4" s="60" t="s">
        <v>264</v>
      </c>
      <c r="KO4" s="60" t="s">
        <v>572</v>
      </c>
      <c r="KP4" s="60" t="s">
        <v>555</v>
      </c>
      <c r="KQ4" s="60">
        <v>0</v>
      </c>
      <c r="KR4" s="60">
        <v>0</v>
      </c>
      <c r="KS4" s="60">
        <v>0</v>
      </c>
      <c r="KT4" s="60" t="s">
        <v>264</v>
      </c>
      <c r="KW4" s="60" t="s">
        <v>573</v>
      </c>
      <c r="KX4" s="60" t="s">
        <v>555</v>
      </c>
      <c r="KY4" s="60">
        <v>0</v>
      </c>
      <c r="KZ4" s="60">
        <v>0</v>
      </c>
      <c r="LA4" s="60">
        <v>0</v>
      </c>
      <c r="LB4" s="60" t="s">
        <v>264</v>
      </c>
      <c r="LE4" s="60" t="s">
        <v>574</v>
      </c>
      <c r="LF4" s="60" t="s">
        <v>555</v>
      </c>
      <c r="LG4" s="60">
        <v>0</v>
      </c>
      <c r="LH4" s="60">
        <v>0</v>
      </c>
      <c r="LI4" s="60">
        <v>0</v>
      </c>
      <c r="LJ4" s="60" t="s">
        <v>264</v>
      </c>
      <c r="LM4" s="60" t="s">
        <v>575</v>
      </c>
      <c r="LN4" s="60" t="s">
        <v>555</v>
      </c>
      <c r="LO4" s="60">
        <v>0</v>
      </c>
      <c r="LP4" s="60">
        <v>0</v>
      </c>
      <c r="LQ4" s="60">
        <v>0</v>
      </c>
      <c r="LR4" s="60" t="s">
        <v>264</v>
      </c>
      <c r="LU4" s="60" t="s">
        <v>576</v>
      </c>
      <c r="LV4" s="60" t="s">
        <v>555</v>
      </c>
      <c r="LW4" s="60">
        <v>0</v>
      </c>
      <c r="LX4" s="60">
        <v>0</v>
      </c>
      <c r="LY4" s="60">
        <v>0</v>
      </c>
      <c r="LZ4" s="60" t="s">
        <v>264</v>
      </c>
      <c r="MC4" s="60" t="s">
        <v>577</v>
      </c>
      <c r="MD4" s="60" t="s">
        <v>555</v>
      </c>
      <c r="ME4" s="60">
        <v>0</v>
      </c>
      <c r="MF4" s="60">
        <v>0</v>
      </c>
      <c r="MG4" s="60">
        <v>0</v>
      </c>
      <c r="MH4" s="60" t="s">
        <v>264</v>
      </c>
      <c r="MK4" s="60" t="s">
        <v>578</v>
      </c>
      <c r="ML4" s="60" t="s">
        <v>555</v>
      </c>
      <c r="MM4" s="60">
        <v>0</v>
      </c>
      <c r="MN4" s="60">
        <v>0</v>
      </c>
      <c r="MO4" s="60">
        <v>0</v>
      </c>
      <c r="MP4" s="60" t="s">
        <v>264</v>
      </c>
      <c r="MS4" s="60" t="s">
        <v>579</v>
      </c>
      <c r="MT4" s="60" t="s">
        <v>555</v>
      </c>
      <c r="MU4" s="60">
        <v>0</v>
      </c>
      <c r="MV4" s="60">
        <v>0</v>
      </c>
      <c r="MW4" s="60">
        <v>0</v>
      </c>
      <c r="MX4" s="60" t="s">
        <v>264</v>
      </c>
      <c r="NA4" s="60" t="s">
        <v>580</v>
      </c>
      <c r="NB4" s="60" t="s">
        <v>555</v>
      </c>
      <c r="NC4" s="60">
        <v>0</v>
      </c>
      <c r="ND4" s="60">
        <v>0</v>
      </c>
      <c r="NE4" s="60">
        <v>0</v>
      </c>
      <c r="NF4" s="60" t="s">
        <v>264</v>
      </c>
      <c r="NI4" s="60">
        <v>40</v>
      </c>
      <c r="NJ4" s="60">
        <v>-8.6999999999999993</v>
      </c>
      <c r="NP4" s="60" t="s">
        <v>581</v>
      </c>
    </row>
    <row r="5" spans="1:380" x14ac:dyDescent="0.2">
      <c r="A5" s="60" t="s">
        <v>517</v>
      </c>
      <c r="B5" s="60">
        <v>1</v>
      </c>
      <c r="C5" s="60" t="s">
        <v>587</v>
      </c>
      <c r="D5" s="60">
        <v>646950150</v>
      </c>
      <c r="E5" s="60">
        <v>12602</v>
      </c>
      <c r="F5" s="60" t="s">
        <v>542</v>
      </c>
      <c r="G5" s="60">
        <v>750210</v>
      </c>
      <c r="H5" s="60">
        <v>867864</v>
      </c>
      <c r="I5" s="60" t="s">
        <v>543</v>
      </c>
      <c r="J5" s="61" t="s">
        <v>588</v>
      </c>
      <c r="K5" s="60" t="s">
        <v>545</v>
      </c>
      <c r="L5" s="60" t="s">
        <v>294</v>
      </c>
      <c r="M5" s="60" t="s">
        <v>546</v>
      </c>
      <c r="N5" s="60" t="s">
        <v>468</v>
      </c>
      <c r="O5" s="60" t="s">
        <v>547</v>
      </c>
      <c r="P5" s="60" t="s">
        <v>264</v>
      </c>
      <c r="Q5" s="60">
        <v>26.4</v>
      </c>
      <c r="R5" s="60">
        <v>252</v>
      </c>
      <c r="S5" s="60" t="s">
        <v>264</v>
      </c>
      <c r="T5" s="60">
        <v>-9999</v>
      </c>
      <c r="U5" s="60">
        <v>610</v>
      </c>
      <c r="V5" s="60">
        <v>632</v>
      </c>
      <c r="W5" s="60">
        <v>599</v>
      </c>
      <c r="X5" s="60" t="s">
        <v>270</v>
      </c>
      <c r="Y5" s="60">
        <v>0</v>
      </c>
      <c r="Z5" s="60">
        <v>55</v>
      </c>
      <c r="AA5" s="60" t="s">
        <v>469</v>
      </c>
      <c r="AB5" s="60" t="s">
        <v>548</v>
      </c>
      <c r="AC5" s="60">
        <v>1</v>
      </c>
      <c r="AD5" s="60" t="s">
        <v>549</v>
      </c>
      <c r="AE5" s="60">
        <v>0</v>
      </c>
      <c r="AF5" s="60">
        <v>41</v>
      </c>
      <c r="AG5" s="60" t="s">
        <v>264</v>
      </c>
      <c r="AH5" s="60">
        <v>-9999</v>
      </c>
      <c r="AI5" s="60">
        <v>442</v>
      </c>
      <c r="AJ5" s="60">
        <v>544</v>
      </c>
      <c r="AK5" s="60">
        <v>442</v>
      </c>
      <c r="AL5" s="60" t="s">
        <v>270</v>
      </c>
      <c r="AM5" s="60">
        <v>0</v>
      </c>
      <c r="AN5" s="60">
        <v>55</v>
      </c>
      <c r="AO5" s="60" t="s">
        <v>470</v>
      </c>
      <c r="AP5" s="60" t="s">
        <v>548</v>
      </c>
      <c r="AQ5" s="60">
        <v>2</v>
      </c>
      <c r="AR5" s="60" t="s">
        <v>549</v>
      </c>
      <c r="AS5" s="60">
        <v>0</v>
      </c>
      <c r="AT5" s="60">
        <v>35</v>
      </c>
      <c r="AU5" s="60" t="s">
        <v>264</v>
      </c>
      <c r="AV5" s="60">
        <v>-9999</v>
      </c>
      <c r="AW5" s="60">
        <v>393</v>
      </c>
      <c r="AX5" s="60">
        <v>415</v>
      </c>
      <c r="AY5" s="60">
        <v>392</v>
      </c>
      <c r="AZ5" s="60" t="s">
        <v>270</v>
      </c>
      <c r="BA5" s="60">
        <v>0</v>
      </c>
      <c r="BB5" s="60">
        <v>55</v>
      </c>
      <c r="BC5" s="60" t="s">
        <v>550</v>
      </c>
      <c r="BD5" s="60" t="s">
        <v>548</v>
      </c>
      <c r="BE5" s="60">
        <v>3</v>
      </c>
      <c r="BF5" s="60" t="s">
        <v>549</v>
      </c>
      <c r="BG5" s="60">
        <v>0</v>
      </c>
      <c r="BH5" s="60">
        <v>-23</v>
      </c>
      <c r="BI5" s="60" t="s">
        <v>264</v>
      </c>
      <c r="BJ5" s="60">
        <v>-9999</v>
      </c>
      <c r="BK5" s="60">
        <v>213</v>
      </c>
      <c r="BL5" s="60">
        <v>259</v>
      </c>
      <c r="BM5" s="60">
        <v>208</v>
      </c>
      <c r="BN5" s="60" t="s">
        <v>270</v>
      </c>
      <c r="BO5" s="60">
        <v>0</v>
      </c>
      <c r="BP5" s="60">
        <v>55</v>
      </c>
      <c r="BQ5" s="60" t="s">
        <v>504</v>
      </c>
      <c r="BR5" s="60" t="s">
        <v>548</v>
      </c>
      <c r="BS5" s="60">
        <v>4</v>
      </c>
      <c r="BT5" s="60" t="s">
        <v>549</v>
      </c>
      <c r="BU5" s="60">
        <v>51.7</v>
      </c>
      <c r="BV5" s="60">
        <v>86</v>
      </c>
      <c r="BW5" s="60" t="s">
        <v>264</v>
      </c>
      <c r="BX5" s="60">
        <v>-9999</v>
      </c>
      <c r="BY5" s="60">
        <v>213</v>
      </c>
      <c r="BZ5" s="60">
        <v>247</v>
      </c>
      <c r="CA5" s="60">
        <v>211</v>
      </c>
      <c r="CB5" s="60" t="s">
        <v>270</v>
      </c>
      <c r="CC5" s="60">
        <v>0</v>
      </c>
      <c r="CD5" s="60">
        <v>55</v>
      </c>
      <c r="CE5" s="60" t="s">
        <v>471</v>
      </c>
      <c r="CF5" s="60" t="s">
        <v>548</v>
      </c>
      <c r="CG5" s="60">
        <v>5</v>
      </c>
      <c r="CH5" s="60" t="s">
        <v>549</v>
      </c>
      <c r="CI5" s="60">
        <v>52.4</v>
      </c>
      <c r="CJ5" s="60">
        <v>154</v>
      </c>
      <c r="CK5" s="60" t="s">
        <v>264</v>
      </c>
      <c r="CL5" s="60">
        <v>-9999</v>
      </c>
      <c r="CM5" s="60">
        <v>464</v>
      </c>
      <c r="CN5" s="60">
        <v>540</v>
      </c>
      <c r="CO5" s="60">
        <v>462</v>
      </c>
      <c r="CP5" s="60" t="s">
        <v>270</v>
      </c>
      <c r="CQ5" s="60">
        <v>0</v>
      </c>
      <c r="CR5" s="60">
        <v>55</v>
      </c>
      <c r="CS5" s="60" t="s">
        <v>472</v>
      </c>
      <c r="CT5" s="60" t="s">
        <v>548</v>
      </c>
      <c r="CU5" s="60">
        <v>6</v>
      </c>
      <c r="CV5" s="60" t="s">
        <v>549</v>
      </c>
      <c r="CW5" s="60">
        <v>54.4</v>
      </c>
      <c r="CX5" s="60">
        <v>66</v>
      </c>
      <c r="CY5" s="60" t="s">
        <v>264</v>
      </c>
      <c r="CZ5" s="60">
        <v>-9999</v>
      </c>
      <c r="DA5" s="60">
        <v>645</v>
      </c>
      <c r="DB5" s="60">
        <v>732</v>
      </c>
      <c r="DC5" s="60">
        <v>634</v>
      </c>
      <c r="DD5" s="60" t="s">
        <v>270</v>
      </c>
      <c r="DE5" s="60">
        <v>0</v>
      </c>
      <c r="DF5" s="60">
        <v>55</v>
      </c>
      <c r="DG5" s="60" t="s">
        <v>473</v>
      </c>
      <c r="DH5" s="60" t="s">
        <v>548</v>
      </c>
      <c r="DI5" s="60">
        <v>7</v>
      </c>
      <c r="DJ5" s="60" t="s">
        <v>549</v>
      </c>
      <c r="DK5" s="60">
        <v>0</v>
      </c>
      <c r="DL5" s="60">
        <v>28</v>
      </c>
      <c r="DM5" s="60" t="s">
        <v>264</v>
      </c>
      <c r="DN5" s="60">
        <v>-9999</v>
      </c>
      <c r="DO5" s="60">
        <v>575</v>
      </c>
      <c r="DP5" s="60">
        <v>662</v>
      </c>
      <c r="DQ5" s="60">
        <v>569</v>
      </c>
      <c r="DR5" s="60" t="s">
        <v>270</v>
      </c>
      <c r="DS5" s="60">
        <v>0</v>
      </c>
      <c r="DT5" s="60">
        <v>55</v>
      </c>
      <c r="DU5" s="60" t="s">
        <v>474</v>
      </c>
      <c r="DV5" s="60" t="s">
        <v>548</v>
      </c>
      <c r="DW5" s="60">
        <v>8</v>
      </c>
      <c r="DX5" s="60" t="s">
        <v>584</v>
      </c>
      <c r="DY5" s="60">
        <v>37.5</v>
      </c>
      <c r="DZ5" s="60">
        <v>356</v>
      </c>
      <c r="EA5" s="60" t="s">
        <v>264</v>
      </c>
      <c r="EB5" s="60">
        <v>-9999</v>
      </c>
      <c r="EC5" s="60">
        <v>131</v>
      </c>
      <c r="ED5" s="60">
        <v>156</v>
      </c>
      <c r="EE5" s="60">
        <v>130</v>
      </c>
      <c r="EF5" s="60" t="s">
        <v>270</v>
      </c>
      <c r="EG5" s="60">
        <v>0</v>
      </c>
      <c r="EH5" s="60">
        <v>55</v>
      </c>
      <c r="EI5" s="60" t="s">
        <v>475</v>
      </c>
      <c r="EJ5" s="60" t="s">
        <v>548</v>
      </c>
      <c r="EK5" s="60">
        <v>9</v>
      </c>
      <c r="EL5" s="60" t="s">
        <v>549</v>
      </c>
      <c r="EM5" s="60">
        <v>47.9</v>
      </c>
      <c r="EN5" s="60">
        <v>33</v>
      </c>
      <c r="EO5" s="60" t="s">
        <v>264</v>
      </c>
      <c r="EP5" s="60">
        <v>-9999</v>
      </c>
      <c r="EQ5" s="60">
        <v>317</v>
      </c>
      <c r="ER5" s="60">
        <v>293</v>
      </c>
      <c r="ES5" s="60">
        <v>272</v>
      </c>
      <c r="ET5" s="60" t="s">
        <v>270</v>
      </c>
      <c r="EU5" s="60">
        <v>0</v>
      </c>
      <c r="EV5" s="60">
        <v>55</v>
      </c>
      <c r="EW5" s="60" t="s">
        <v>551</v>
      </c>
      <c r="EX5" s="60" t="s">
        <v>552</v>
      </c>
      <c r="EY5" s="60">
        <v>150</v>
      </c>
      <c r="EZ5" s="60">
        <v>151</v>
      </c>
      <c r="FA5" s="60">
        <v>151</v>
      </c>
      <c r="FB5" s="60" t="s">
        <v>270</v>
      </c>
      <c r="FC5" s="60" t="s">
        <v>553</v>
      </c>
      <c r="FD5" s="60" t="s">
        <v>552</v>
      </c>
      <c r="FE5" s="60">
        <v>307</v>
      </c>
      <c r="FF5" s="60">
        <v>306</v>
      </c>
      <c r="FG5" s="60">
        <v>305</v>
      </c>
      <c r="FH5" s="60" t="s">
        <v>270</v>
      </c>
      <c r="FI5" s="60" t="s">
        <v>554</v>
      </c>
      <c r="FJ5" s="60" t="s">
        <v>555</v>
      </c>
      <c r="FK5" s="60">
        <v>0</v>
      </c>
      <c r="FL5" s="60">
        <v>0</v>
      </c>
      <c r="FM5" s="60">
        <v>0</v>
      </c>
      <c r="FN5" s="60" t="s">
        <v>264</v>
      </c>
      <c r="FQ5" s="60" t="s">
        <v>556</v>
      </c>
      <c r="FR5" s="60" t="s">
        <v>555</v>
      </c>
      <c r="FS5" s="60">
        <v>0</v>
      </c>
      <c r="FT5" s="60">
        <v>0</v>
      </c>
      <c r="FU5" s="60">
        <v>0</v>
      </c>
      <c r="FV5" s="60" t="s">
        <v>264</v>
      </c>
      <c r="FY5" s="60" t="s">
        <v>557</v>
      </c>
      <c r="FZ5" s="60" t="s">
        <v>555</v>
      </c>
      <c r="GA5" s="60">
        <v>0</v>
      </c>
      <c r="GB5" s="60">
        <v>0</v>
      </c>
      <c r="GC5" s="60">
        <v>0</v>
      </c>
      <c r="GD5" s="60" t="s">
        <v>264</v>
      </c>
      <c r="GG5" s="60" t="s">
        <v>558</v>
      </c>
      <c r="GH5" s="60" t="s">
        <v>555</v>
      </c>
      <c r="GI5" s="60">
        <v>0</v>
      </c>
      <c r="GJ5" s="60">
        <v>0</v>
      </c>
      <c r="GK5" s="60">
        <v>0</v>
      </c>
      <c r="GL5" s="60" t="s">
        <v>264</v>
      </c>
      <c r="GO5" s="60" t="s">
        <v>559</v>
      </c>
      <c r="GP5" s="60" t="s">
        <v>555</v>
      </c>
      <c r="GQ5" s="60">
        <v>0</v>
      </c>
      <c r="GR5" s="60">
        <v>0</v>
      </c>
      <c r="GS5" s="60">
        <v>0</v>
      </c>
      <c r="GT5" s="60" t="s">
        <v>264</v>
      </c>
      <c r="GW5" s="60" t="s">
        <v>560</v>
      </c>
      <c r="GX5" s="60" t="s">
        <v>555</v>
      </c>
      <c r="GY5" s="60">
        <v>0</v>
      </c>
      <c r="GZ5" s="60">
        <v>0</v>
      </c>
      <c r="HA5" s="60">
        <v>0</v>
      </c>
      <c r="HB5" s="60" t="s">
        <v>264</v>
      </c>
      <c r="HE5" s="60" t="s">
        <v>561</v>
      </c>
      <c r="HF5" s="60" t="s">
        <v>555</v>
      </c>
      <c r="HG5" s="60">
        <v>0</v>
      </c>
      <c r="HH5" s="60">
        <v>0</v>
      </c>
      <c r="HI5" s="60">
        <v>0</v>
      </c>
      <c r="HJ5" s="60" t="s">
        <v>264</v>
      </c>
      <c r="HM5" s="60" t="s">
        <v>562</v>
      </c>
      <c r="HN5" s="60" t="s">
        <v>555</v>
      </c>
      <c r="HO5" s="60">
        <v>0</v>
      </c>
      <c r="HP5" s="60">
        <v>0</v>
      </c>
      <c r="HQ5" s="60">
        <v>0</v>
      </c>
      <c r="HR5" s="60" t="s">
        <v>264</v>
      </c>
      <c r="HU5" s="60" t="s">
        <v>563</v>
      </c>
      <c r="HV5" s="60" t="s">
        <v>555</v>
      </c>
      <c r="HW5" s="60">
        <v>0</v>
      </c>
      <c r="HX5" s="60">
        <v>0</v>
      </c>
      <c r="HY5" s="60">
        <v>0</v>
      </c>
      <c r="HZ5" s="60" t="s">
        <v>264</v>
      </c>
      <c r="IA5" s="60">
        <v>75.099999999999994</v>
      </c>
      <c r="IB5" s="60">
        <v>142.6</v>
      </c>
      <c r="IC5" s="60" t="s">
        <v>564</v>
      </c>
      <c r="ID5" s="60" t="s">
        <v>555</v>
      </c>
      <c r="IE5" s="60">
        <v>0</v>
      </c>
      <c r="IF5" s="60">
        <v>0</v>
      </c>
      <c r="IG5" s="60">
        <v>0</v>
      </c>
      <c r="IH5" s="60" t="s">
        <v>264</v>
      </c>
      <c r="IK5" s="60" t="s">
        <v>565</v>
      </c>
      <c r="IL5" s="60" t="s">
        <v>555</v>
      </c>
      <c r="IM5" s="60">
        <v>0</v>
      </c>
      <c r="IN5" s="60">
        <v>0</v>
      </c>
      <c r="IO5" s="60">
        <v>0</v>
      </c>
      <c r="IP5" s="60" t="s">
        <v>264</v>
      </c>
      <c r="IS5" s="60" t="s">
        <v>566</v>
      </c>
      <c r="IT5" s="60" t="s">
        <v>555</v>
      </c>
      <c r="IU5" s="60">
        <v>0</v>
      </c>
      <c r="IV5" s="60">
        <v>0</v>
      </c>
      <c r="IW5" s="60">
        <v>0</v>
      </c>
      <c r="IX5" s="60" t="s">
        <v>264</v>
      </c>
      <c r="JA5" s="60" t="s">
        <v>567</v>
      </c>
      <c r="JB5" s="60" t="s">
        <v>555</v>
      </c>
      <c r="JC5" s="60">
        <v>0</v>
      </c>
      <c r="JD5" s="60">
        <v>0</v>
      </c>
      <c r="JE5" s="60">
        <v>0</v>
      </c>
      <c r="JF5" s="60" t="s">
        <v>264</v>
      </c>
      <c r="JI5" s="60" t="s">
        <v>568</v>
      </c>
      <c r="JJ5" s="60" t="s">
        <v>555</v>
      </c>
      <c r="JK5" s="60">
        <v>0</v>
      </c>
      <c r="JL5" s="60">
        <v>0</v>
      </c>
      <c r="JM5" s="60">
        <v>0</v>
      </c>
      <c r="JN5" s="60" t="s">
        <v>264</v>
      </c>
      <c r="JQ5" s="60" t="s">
        <v>569</v>
      </c>
      <c r="JR5" s="60" t="s">
        <v>555</v>
      </c>
      <c r="JS5" s="60">
        <v>0</v>
      </c>
      <c r="JT5" s="60">
        <v>0</v>
      </c>
      <c r="JU5" s="60">
        <v>0</v>
      </c>
      <c r="JV5" s="60" t="s">
        <v>264</v>
      </c>
      <c r="JY5" s="60" t="s">
        <v>570</v>
      </c>
      <c r="JZ5" s="60" t="s">
        <v>555</v>
      </c>
      <c r="KA5" s="60">
        <v>0</v>
      </c>
      <c r="KB5" s="60">
        <v>0</v>
      </c>
      <c r="KC5" s="60">
        <v>0</v>
      </c>
      <c r="KD5" s="60" t="s">
        <v>264</v>
      </c>
      <c r="KG5" s="60" t="s">
        <v>571</v>
      </c>
      <c r="KH5" s="60" t="s">
        <v>555</v>
      </c>
      <c r="KI5" s="60">
        <v>0</v>
      </c>
      <c r="KJ5" s="60">
        <v>0</v>
      </c>
      <c r="KK5" s="60">
        <v>0</v>
      </c>
      <c r="KL5" s="60" t="s">
        <v>264</v>
      </c>
      <c r="KO5" s="60" t="s">
        <v>572</v>
      </c>
      <c r="KP5" s="60" t="s">
        <v>555</v>
      </c>
      <c r="KQ5" s="60">
        <v>0</v>
      </c>
      <c r="KR5" s="60">
        <v>0</v>
      </c>
      <c r="KS5" s="60">
        <v>0</v>
      </c>
      <c r="KT5" s="60" t="s">
        <v>264</v>
      </c>
      <c r="KW5" s="60" t="s">
        <v>573</v>
      </c>
      <c r="KX5" s="60" t="s">
        <v>555</v>
      </c>
      <c r="KY5" s="60">
        <v>0</v>
      </c>
      <c r="KZ5" s="60">
        <v>0</v>
      </c>
      <c r="LA5" s="60">
        <v>0</v>
      </c>
      <c r="LB5" s="60" t="s">
        <v>264</v>
      </c>
      <c r="LE5" s="60" t="s">
        <v>574</v>
      </c>
      <c r="LF5" s="60" t="s">
        <v>555</v>
      </c>
      <c r="LG5" s="60">
        <v>0</v>
      </c>
      <c r="LH5" s="60">
        <v>0</v>
      </c>
      <c r="LI5" s="60">
        <v>0</v>
      </c>
      <c r="LJ5" s="60" t="s">
        <v>264</v>
      </c>
      <c r="LM5" s="60" t="s">
        <v>575</v>
      </c>
      <c r="LN5" s="60" t="s">
        <v>555</v>
      </c>
      <c r="LO5" s="60">
        <v>0</v>
      </c>
      <c r="LP5" s="60">
        <v>0</v>
      </c>
      <c r="LQ5" s="60">
        <v>0</v>
      </c>
      <c r="LR5" s="60" t="s">
        <v>264</v>
      </c>
      <c r="LU5" s="60" t="s">
        <v>576</v>
      </c>
      <c r="LV5" s="60" t="s">
        <v>555</v>
      </c>
      <c r="LW5" s="60">
        <v>0</v>
      </c>
      <c r="LX5" s="60">
        <v>0</v>
      </c>
      <c r="LY5" s="60">
        <v>0</v>
      </c>
      <c r="LZ5" s="60" t="s">
        <v>264</v>
      </c>
      <c r="MC5" s="60" t="s">
        <v>577</v>
      </c>
      <c r="MD5" s="60" t="s">
        <v>555</v>
      </c>
      <c r="ME5" s="60">
        <v>0</v>
      </c>
      <c r="MF5" s="60">
        <v>0</v>
      </c>
      <c r="MG5" s="60">
        <v>0</v>
      </c>
      <c r="MH5" s="60" t="s">
        <v>264</v>
      </c>
      <c r="MK5" s="60" t="s">
        <v>578</v>
      </c>
      <c r="ML5" s="60" t="s">
        <v>555</v>
      </c>
      <c r="MM5" s="60">
        <v>0</v>
      </c>
      <c r="MN5" s="60">
        <v>0</v>
      </c>
      <c r="MO5" s="60">
        <v>0</v>
      </c>
      <c r="MP5" s="60" t="s">
        <v>264</v>
      </c>
      <c r="MS5" s="60" t="s">
        <v>579</v>
      </c>
      <c r="MT5" s="60" t="s">
        <v>555</v>
      </c>
      <c r="MU5" s="60">
        <v>0</v>
      </c>
      <c r="MV5" s="60">
        <v>0</v>
      </c>
      <c r="MW5" s="60">
        <v>0</v>
      </c>
      <c r="MX5" s="60" t="s">
        <v>264</v>
      </c>
      <c r="NA5" s="60" t="s">
        <v>580</v>
      </c>
      <c r="NB5" s="60" t="s">
        <v>555</v>
      </c>
      <c r="NC5" s="60">
        <v>0</v>
      </c>
      <c r="ND5" s="60">
        <v>0</v>
      </c>
      <c r="NE5" s="60">
        <v>0</v>
      </c>
      <c r="NF5" s="60" t="s">
        <v>264</v>
      </c>
      <c r="NI5" s="60">
        <v>40</v>
      </c>
      <c r="NJ5" s="60">
        <v>-8.1999999999999993</v>
      </c>
      <c r="NP5" s="60" t="s">
        <v>581</v>
      </c>
    </row>
    <row r="6" spans="1:380" x14ac:dyDescent="0.2">
      <c r="A6" s="60" t="s">
        <v>517</v>
      </c>
      <c r="B6" s="60">
        <v>1</v>
      </c>
      <c r="C6" s="60" t="s">
        <v>589</v>
      </c>
      <c r="D6" s="60">
        <v>646950160</v>
      </c>
      <c r="E6" s="60">
        <v>12602</v>
      </c>
      <c r="F6" s="60" t="s">
        <v>542</v>
      </c>
      <c r="G6" s="60">
        <v>750210</v>
      </c>
      <c r="H6" s="60">
        <v>914330</v>
      </c>
      <c r="I6" s="60" t="s">
        <v>543</v>
      </c>
      <c r="J6" s="61" t="s">
        <v>590</v>
      </c>
      <c r="K6" s="60" t="s">
        <v>545</v>
      </c>
      <c r="L6" s="60" t="s">
        <v>294</v>
      </c>
      <c r="M6" s="60" t="s">
        <v>546</v>
      </c>
      <c r="N6" s="60" t="s">
        <v>468</v>
      </c>
      <c r="O6" s="60" t="s">
        <v>547</v>
      </c>
      <c r="P6" s="60" t="s">
        <v>270</v>
      </c>
      <c r="Q6" s="60">
        <v>25.7</v>
      </c>
      <c r="R6" s="60">
        <v>267</v>
      </c>
      <c r="S6" s="60" t="s">
        <v>270</v>
      </c>
      <c r="T6" s="60">
        <v>-9999</v>
      </c>
      <c r="U6" s="60">
        <v>465</v>
      </c>
      <c r="V6" s="60">
        <v>480</v>
      </c>
      <c r="W6" s="60">
        <v>457</v>
      </c>
      <c r="X6" s="60" t="s">
        <v>270</v>
      </c>
      <c r="Y6" s="60">
        <v>0</v>
      </c>
      <c r="Z6" s="60">
        <v>55</v>
      </c>
      <c r="AA6" s="60" t="s">
        <v>469</v>
      </c>
      <c r="AB6" s="60" t="s">
        <v>548</v>
      </c>
      <c r="AC6" s="60">
        <v>1</v>
      </c>
      <c r="AD6" s="60" t="s">
        <v>549</v>
      </c>
      <c r="AE6" s="60">
        <v>0</v>
      </c>
      <c r="AF6" s="60">
        <v>19</v>
      </c>
      <c r="AG6" s="60" t="s">
        <v>264</v>
      </c>
      <c r="AH6" s="60">
        <v>-9999</v>
      </c>
      <c r="AI6" s="60">
        <v>438</v>
      </c>
      <c r="AJ6" s="60">
        <v>542</v>
      </c>
      <c r="AK6" s="60">
        <v>437</v>
      </c>
      <c r="AL6" s="60" t="s">
        <v>270</v>
      </c>
      <c r="AM6" s="60">
        <v>0</v>
      </c>
      <c r="AN6" s="60">
        <v>55</v>
      </c>
      <c r="AO6" s="60" t="s">
        <v>470</v>
      </c>
      <c r="AP6" s="60" t="s">
        <v>548</v>
      </c>
      <c r="AQ6" s="60">
        <v>2</v>
      </c>
      <c r="AR6" s="60" t="s">
        <v>549</v>
      </c>
      <c r="AS6" s="60">
        <v>53.2</v>
      </c>
      <c r="AT6" s="60">
        <v>71</v>
      </c>
      <c r="AU6" s="60" t="s">
        <v>264</v>
      </c>
      <c r="AV6" s="60">
        <v>-9999</v>
      </c>
      <c r="AW6" s="60">
        <v>348</v>
      </c>
      <c r="AX6" s="60">
        <v>365</v>
      </c>
      <c r="AY6" s="60">
        <v>347</v>
      </c>
      <c r="AZ6" s="60" t="s">
        <v>270</v>
      </c>
      <c r="BA6" s="60">
        <v>0</v>
      </c>
      <c r="BB6" s="60">
        <v>55</v>
      </c>
      <c r="BC6" s="60" t="s">
        <v>550</v>
      </c>
      <c r="BD6" s="60" t="s">
        <v>548</v>
      </c>
      <c r="BE6" s="60">
        <v>3</v>
      </c>
      <c r="BF6" s="60" t="s">
        <v>549</v>
      </c>
      <c r="BG6" s="60">
        <v>0</v>
      </c>
      <c r="BH6" s="60">
        <v>4</v>
      </c>
      <c r="BI6" s="60" t="s">
        <v>264</v>
      </c>
      <c r="BJ6" s="60">
        <v>-9999</v>
      </c>
      <c r="BK6" s="60">
        <v>188</v>
      </c>
      <c r="BL6" s="60">
        <v>230</v>
      </c>
      <c r="BM6" s="60">
        <v>186</v>
      </c>
      <c r="BN6" s="60" t="s">
        <v>270</v>
      </c>
      <c r="BO6" s="60">
        <v>0</v>
      </c>
      <c r="BP6" s="60">
        <v>55</v>
      </c>
      <c r="BQ6" s="60" t="s">
        <v>504</v>
      </c>
      <c r="BR6" s="60" t="s">
        <v>548</v>
      </c>
      <c r="BS6" s="60">
        <v>4</v>
      </c>
      <c r="BT6" s="60" t="s">
        <v>549</v>
      </c>
      <c r="BU6" s="60">
        <v>53.6</v>
      </c>
      <c r="BV6" s="60">
        <v>43</v>
      </c>
      <c r="BW6" s="60" t="s">
        <v>264</v>
      </c>
      <c r="BX6" s="60">
        <v>-9999</v>
      </c>
      <c r="BY6" s="60">
        <v>192</v>
      </c>
      <c r="BZ6" s="60">
        <v>222</v>
      </c>
      <c r="CA6" s="60">
        <v>189</v>
      </c>
      <c r="CB6" s="60" t="s">
        <v>270</v>
      </c>
      <c r="CC6" s="60">
        <v>0</v>
      </c>
      <c r="CD6" s="60">
        <v>55</v>
      </c>
      <c r="CE6" s="60" t="s">
        <v>471</v>
      </c>
      <c r="CF6" s="60" t="s">
        <v>548</v>
      </c>
      <c r="CG6" s="60">
        <v>5</v>
      </c>
      <c r="CH6" s="60" t="s">
        <v>549</v>
      </c>
      <c r="CI6" s="60">
        <v>52.4</v>
      </c>
      <c r="CJ6" s="60">
        <v>107</v>
      </c>
      <c r="CK6" s="60" t="s">
        <v>264</v>
      </c>
      <c r="CL6" s="60">
        <v>-9999</v>
      </c>
      <c r="CM6" s="60">
        <v>488</v>
      </c>
      <c r="CN6" s="60">
        <v>566</v>
      </c>
      <c r="CO6" s="60">
        <v>488</v>
      </c>
      <c r="CP6" s="60" t="s">
        <v>270</v>
      </c>
      <c r="CQ6" s="60">
        <v>0</v>
      </c>
      <c r="CR6" s="60">
        <v>55</v>
      </c>
      <c r="CS6" s="60" t="s">
        <v>472</v>
      </c>
      <c r="CT6" s="60" t="s">
        <v>548</v>
      </c>
      <c r="CU6" s="60">
        <v>6</v>
      </c>
      <c r="CV6" s="60" t="s">
        <v>549</v>
      </c>
      <c r="CW6" s="60">
        <v>54</v>
      </c>
      <c r="CX6" s="60">
        <v>73</v>
      </c>
      <c r="CY6" s="60" t="s">
        <v>264</v>
      </c>
      <c r="CZ6" s="60">
        <v>-9999</v>
      </c>
      <c r="DA6" s="60">
        <v>576</v>
      </c>
      <c r="DB6" s="60">
        <v>654</v>
      </c>
      <c r="DC6" s="60">
        <v>566</v>
      </c>
      <c r="DD6" s="60" t="s">
        <v>270</v>
      </c>
      <c r="DE6" s="60">
        <v>0</v>
      </c>
      <c r="DF6" s="60">
        <v>55</v>
      </c>
      <c r="DG6" s="60" t="s">
        <v>473</v>
      </c>
      <c r="DH6" s="60" t="s">
        <v>548</v>
      </c>
      <c r="DI6" s="60">
        <v>7</v>
      </c>
      <c r="DJ6" s="60" t="s">
        <v>549</v>
      </c>
      <c r="DK6" s="60">
        <v>0</v>
      </c>
      <c r="DL6" s="60">
        <v>34</v>
      </c>
      <c r="DM6" s="60" t="s">
        <v>264</v>
      </c>
      <c r="DN6" s="60">
        <v>-9999</v>
      </c>
      <c r="DO6" s="60">
        <v>465</v>
      </c>
      <c r="DP6" s="60">
        <v>534</v>
      </c>
      <c r="DQ6" s="60">
        <v>461</v>
      </c>
      <c r="DR6" s="60" t="s">
        <v>270</v>
      </c>
      <c r="DS6" s="60">
        <v>0</v>
      </c>
      <c r="DT6" s="60">
        <v>55</v>
      </c>
      <c r="DU6" s="60" t="s">
        <v>474</v>
      </c>
      <c r="DV6" s="60" t="s">
        <v>548</v>
      </c>
      <c r="DW6" s="60">
        <v>8</v>
      </c>
      <c r="DX6" s="60" t="s">
        <v>549</v>
      </c>
      <c r="DY6" s="60">
        <v>48</v>
      </c>
      <c r="DZ6" s="60">
        <v>54</v>
      </c>
      <c r="EA6" s="60" t="s">
        <v>264</v>
      </c>
      <c r="EB6" s="60">
        <v>-9999</v>
      </c>
      <c r="EC6" s="60">
        <v>90</v>
      </c>
      <c r="ED6" s="60">
        <v>110</v>
      </c>
      <c r="EE6" s="60">
        <v>88</v>
      </c>
      <c r="EF6" s="60" t="s">
        <v>270</v>
      </c>
      <c r="EG6" s="60">
        <v>0</v>
      </c>
      <c r="EH6" s="60">
        <v>55</v>
      </c>
      <c r="EI6" s="60" t="s">
        <v>475</v>
      </c>
      <c r="EJ6" s="60" t="s">
        <v>548</v>
      </c>
      <c r="EK6" s="60">
        <v>9</v>
      </c>
      <c r="EL6" s="60" t="s">
        <v>549</v>
      </c>
      <c r="EM6" s="60">
        <v>0</v>
      </c>
      <c r="EN6" s="60">
        <v>-6</v>
      </c>
      <c r="EO6" s="60" t="s">
        <v>264</v>
      </c>
      <c r="EP6" s="60">
        <v>-9999</v>
      </c>
      <c r="EQ6" s="60">
        <v>313</v>
      </c>
      <c r="ER6" s="60">
        <v>287</v>
      </c>
      <c r="ES6" s="60">
        <v>263</v>
      </c>
      <c r="ET6" s="60" t="s">
        <v>270</v>
      </c>
      <c r="EU6" s="60">
        <v>0</v>
      </c>
      <c r="EV6" s="60">
        <v>55</v>
      </c>
      <c r="EW6" s="60" t="s">
        <v>551</v>
      </c>
      <c r="EX6" s="60" t="s">
        <v>552</v>
      </c>
      <c r="EY6" s="60">
        <v>130</v>
      </c>
      <c r="EZ6" s="60">
        <v>131</v>
      </c>
      <c r="FA6" s="60">
        <v>131</v>
      </c>
      <c r="FB6" s="60" t="s">
        <v>270</v>
      </c>
      <c r="FC6" s="60" t="s">
        <v>553</v>
      </c>
      <c r="FD6" s="60" t="s">
        <v>552</v>
      </c>
      <c r="FE6" s="60">
        <v>287</v>
      </c>
      <c r="FF6" s="60">
        <v>286</v>
      </c>
      <c r="FG6" s="60">
        <v>285</v>
      </c>
      <c r="FH6" s="60" t="s">
        <v>270</v>
      </c>
      <c r="FI6" s="60" t="s">
        <v>554</v>
      </c>
      <c r="FJ6" s="60" t="s">
        <v>555</v>
      </c>
      <c r="FK6" s="60">
        <v>0</v>
      </c>
      <c r="FL6" s="60">
        <v>0</v>
      </c>
      <c r="FM6" s="60">
        <v>0</v>
      </c>
      <c r="FN6" s="60" t="s">
        <v>264</v>
      </c>
      <c r="FQ6" s="60" t="s">
        <v>556</v>
      </c>
      <c r="FR6" s="60" t="s">
        <v>555</v>
      </c>
      <c r="FS6" s="60">
        <v>0</v>
      </c>
      <c r="FT6" s="60">
        <v>0</v>
      </c>
      <c r="FU6" s="60">
        <v>0</v>
      </c>
      <c r="FV6" s="60" t="s">
        <v>264</v>
      </c>
      <c r="FY6" s="60" t="s">
        <v>557</v>
      </c>
      <c r="FZ6" s="60" t="s">
        <v>555</v>
      </c>
      <c r="GA6" s="60">
        <v>0</v>
      </c>
      <c r="GB6" s="60">
        <v>0</v>
      </c>
      <c r="GC6" s="60">
        <v>0</v>
      </c>
      <c r="GD6" s="60" t="s">
        <v>264</v>
      </c>
      <c r="GG6" s="60" t="s">
        <v>558</v>
      </c>
      <c r="GH6" s="60" t="s">
        <v>555</v>
      </c>
      <c r="GI6" s="60">
        <v>0</v>
      </c>
      <c r="GJ6" s="60">
        <v>0</v>
      </c>
      <c r="GK6" s="60">
        <v>0</v>
      </c>
      <c r="GL6" s="60" t="s">
        <v>264</v>
      </c>
      <c r="GO6" s="60" t="s">
        <v>559</v>
      </c>
      <c r="GP6" s="60" t="s">
        <v>555</v>
      </c>
      <c r="GQ6" s="60">
        <v>0</v>
      </c>
      <c r="GR6" s="60">
        <v>0</v>
      </c>
      <c r="GS6" s="60">
        <v>0</v>
      </c>
      <c r="GT6" s="60" t="s">
        <v>264</v>
      </c>
      <c r="GW6" s="60" t="s">
        <v>560</v>
      </c>
      <c r="GX6" s="60" t="s">
        <v>555</v>
      </c>
      <c r="GY6" s="60">
        <v>0</v>
      </c>
      <c r="GZ6" s="60">
        <v>0</v>
      </c>
      <c r="HA6" s="60">
        <v>0</v>
      </c>
      <c r="HB6" s="60" t="s">
        <v>264</v>
      </c>
      <c r="HE6" s="60" t="s">
        <v>561</v>
      </c>
      <c r="HF6" s="60" t="s">
        <v>555</v>
      </c>
      <c r="HG6" s="60">
        <v>0</v>
      </c>
      <c r="HH6" s="60">
        <v>0</v>
      </c>
      <c r="HI6" s="60">
        <v>0</v>
      </c>
      <c r="HJ6" s="60" t="s">
        <v>264</v>
      </c>
      <c r="HM6" s="60" t="s">
        <v>562</v>
      </c>
      <c r="HN6" s="60" t="s">
        <v>555</v>
      </c>
      <c r="HO6" s="60">
        <v>0</v>
      </c>
      <c r="HP6" s="60">
        <v>0</v>
      </c>
      <c r="HQ6" s="60">
        <v>0</v>
      </c>
      <c r="HR6" s="60" t="s">
        <v>264</v>
      </c>
      <c r="HU6" s="60" t="s">
        <v>563</v>
      </c>
      <c r="HV6" s="60" t="s">
        <v>555</v>
      </c>
      <c r="HW6" s="60">
        <v>0</v>
      </c>
      <c r="HX6" s="60">
        <v>0</v>
      </c>
      <c r="HY6" s="60">
        <v>0</v>
      </c>
      <c r="HZ6" s="60" t="s">
        <v>264</v>
      </c>
      <c r="IC6" s="60" t="s">
        <v>564</v>
      </c>
      <c r="ID6" s="60" t="s">
        <v>555</v>
      </c>
      <c r="IE6" s="60">
        <v>0</v>
      </c>
      <c r="IF6" s="60">
        <v>0</v>
      </c>
      <c r="IG6" s="60">
        <v>0</v>
      </c>
      <c r="IH6" s="60" t="s">
        <v>264</v>
      </c>
      <c r="IK6" s="60" t="s">
        <v>565</v>
      </c>
      <c r="IL6" s="60" t="s">
        <v>555</v>
      </c>
      <c r="IM6" s="60">
        <v>0</v>
      </c>
      <c r="IN6" s="60">
        <v>0</v>
      </c>
      <c r="IO6" s="60">
        <v>0</v>
      </c>
      <c r="IP6" s="60" t="s">
        <v>264</v>
      </c>
      <c r="IS6" s="60" t="s">
        <v>566</v>
      </c>
      <c r="IT6" s="60" t="s">
        <v>555</v>
      </c>
      <c r="IU6" s="60">
        <v>0</v>
      </c>
      <c r="IV6" s="60">
        <v>0</v>
      </c>
      <c r="IW6" s="60">
        <v>0</v>
      </c>
      <c r="IX6" s="60" t="s">
        <v>264</v>
      </c>
      <c r="JA6" s="60" t="s">
        <v>567</v>
      </c>
      <c r="JB6" s="60" t="s">
        <v>555</v>
      </c>
      <c r="JC6" s="60">
        <v>0</v>
      </c>
      <c r="JD6" s="60">
        <v>0</v>
      </c>
      <c r="JE6" s="60">
        <v>0</v>
      </c>
      <c r="JF6" s="60" t="s">
        <v>264</v>
      </c>
      <c r="JI6" s="60" t="s">
        <v>568</v>
      </c>
      <c r="JJ6" s="60" t="s">
        <v>555</v>
      </c>
      <c r="JK6" s="60">
        <v>0</v>
      </c>
      <c r="JL6" s="60">
        <v>0</v>
      </c>
      <c r="JM6" s="60">
        <v>0</v>
      </c>
      <c r="JN6" s="60" t="s">
        <v>264</v>
      </c>
      <c r="JQ6" s="60" t="s">
        <v>569</v>
      </c>
      <c r="JR6" s="60" t="s">
        <v>555</v>
      </c>
      <c r="JS6" s="60">
        <v>0</v>
      </c>
      <c r="JT6" s="60">
        <v>0</v>
      </c>
      <c r="JU6" s="60">
        <v>0</v>
      </c>
      <c r="JV6" s="60" t="s">
        <v>264</v>
      </c>
      <c r="JY6" s="60" t="s">
        <v>570</v>
      </c>
      <c r="JZ6" s="60" t="s">
        <v>555</v>
      </c>
      <c r="KA6" s="60">
        <v>0</v>
      </c>
      <c r="KB6" s="60">
        <v>0</v>
      </c>
      <c r="KC6" s="60">
        <v>0</v>
      </c>
      <c r="KD6" s="60" t="s">
        <v>264</v>
      </c>
      <c r="KG6" s="60" t="s">
        <v>571</v>
      </c>
      <c r="KH6" s="60" t="s">
        <v>555</v>
      </c>
      <c r="KI6" s="60">
        <v>0</v>
      </c>
      <c r="KJ6" s="60">
        <v>0</v>
      </c>
      <c r="KK6" s="60">
        <v>0</v>
      </c>
      <c r="KL6" s="60" t="s">
        <v>264</v>
      </c>
      <c r="KO6" s="60" t="s">
        <v>572</v>
      </c>
      <c r="KP6" s="60" t="s">
        <v>555</v>
      </c>
      <c r="KQ6" s="60">
        <v>0</v>
      </c>
      <c r="KR6" s="60">
        <v>0</v>
      </c>
      <c r="KS6" s="60">
        <v>0</v>
      </c>
      <c r="KT6" s="60" t="s">
        <v>264</v>
      </c>
      <c r="KW6" s="60" t="s">
        <v>573</v>
      </c>
      <c r="KX6" s="60" t="s">
        <v>555</v>
      </c>
      <c r="KY6" s="60">
        <v>0</v>
      </c>
      <c r="KZ6" s="60">
        <v>0</v>
      </c>
      <c r="LA6" s="60">
        <v>0</v>
      </c>
      <c r="LB6" s="60" t="s">
        <v>264</v>
      </c>
      <c r="LE6" s="60" t="s">
        <v>574</v>
      </c>
      <c r="LF6" s="60" t="s">
        <v>555</v>
      </c>
      <c r="LG6" s="60">
        <v>0</v>
      </c>
      <c r="LH6" s="60">
        <v>0</v>
      </c>
      <c r="LI6" s="60">
        <v>0</v>
      </c>
      <c r="LJ6" s="60" t="s">
        <v>264</v>
      </c>
      <c r="LM6" s="60" t="s">
        <v>575</v>
      </c>
      <c r="LN6" s="60" t="s">
        <v>555</v>
      </c>
      <c r="LO6" s="60">
        <v>0</v>
      </c>
      <c r="LP6" s="60">
        <v>0</v>
      </c>
      <c r="LQ6" s="60">
        <v>0</v>
      </c>
      <c r="LR6" s="60" t="s">
        <v>264</v>
      </c>
      <c r="LU6" s="60" t="s">
        <v>576</v>
      </c>
      <c r="LV6" s="60" t="s">
        <v>555</v>
      </c>
      <c r="LW6" s="60">
        <v>0</v>
      </c>
      <c r="LX6" s="60">
        <v>0</v>
      </c>
      <c r="LY6" s="60">
        <v>0</v>
      </c>
      <c r="LZ6" s="60" t="s">
        <v>264</v>
      </c>
      <c r="MC6" s="60" t="s">
        <v>577</v>
      </c>
      <c r="MD6" s="60" t="s">
        <v>555</v>
      </c>
      <c r="ME6" s="60">
        <v>0</v>
      </c>
      <c r="MF6" s="60">
        <v>0</v>
      </c>
      <c r="MG6" s="60">
        <v>0</v>
      </c>
      <c r="MH6" s="60" t="s">
        <v>264</v>
      </c>
      <c r="MK6" s="60" t="s">
        <v>578</v>
      </c>
      <c r="ML6" s="60" t="s">
        <v>555</v>
      </c>
      <c r="MM6" s="60">
        <v>0</v>
      </c>
      <c r="MN6" s="60">
        <v>0</v>
      </c>
      <c r="MO6" s="60">
        <v>0</v>
      </c>
      <c r="MP6" s="60" t="s">
        <v>264</v>
      </c>
      <c r="MS6" s="60" t="s">
        <v>579</v>
      </c>
      <c r="MT6" s="60" t="s">
        <v>555</v>
      </c>
      <c r="MU6" s="60">
        <v>0</v>
      </c>
      <c r="MV6" s="60">
        <v>0</v>
      </c>
      <c r="MW6" s="60">
        <v>0</v>
      </c>
      <c r="MX6" s="60" t="s">
        <v>264</v>
      </c>
      <c r="NA6" s="60" t="s">
        <v>580</v>
      </c>
      <c r="NB6" s="60" t="s">
        <v>555</v>
      </c>
      <c r="NC6" s="60">
        <v>0</v>
      </c>
      <c r="ND6" s="60">
        <v>0</v>
      </c>
      <c r="NE6" s="60">
        <v>0</v>
      </c>
      <c r="NF6" s="60" t="s">
        <v>264</v>
      </c>
      <c r="NI6" s="60">
        <v>40.1</v>
      </c>
      <c r="NJ6" s="60">
        <v>-10.1</v>
      </c>
      <c r="NP6" s="60" t="s">
        <v>581</v>
      </c>
    </row>
    <row r="7" spans="1:380" x14ac:dyDescent="0.2">
      <c r="A7" s="60" t="s">
        <v>517</v>
      </c>
      <c r="B7" s="60">
        <v>1</v>
      </c>
      <c r="C7" s="60" t="s">
        <v>591</v>
      </c>
      <c r="D7" s="60">
        <v>646950161</v>
      </c>
      <c r="E7" s="60">
        <v>12602</v>
      </c>
      <c r="F7" s="60" t="s">
        <v>542</v>
      </c>
      <c r="G7" s="60">
        <v>750210</v>
      </c>
      <c r="H7" s="60">
        <v>210066025</v>
      </c>
      <c r="I7" s="60" t="s">
        <v>543</v>
      </c>
      <c r="J7" s="61" t="s">
        <v>592</v>
      </c>
      <c r="K7" s="60" t="s">
        <v>545</v>
      </c>
      <c r="L7" s="60" t="s">
        <v>294</v>
      </c>
      <c r="M7" s="60" t="s">
        <v>546</v>
      </c>
      <c r="N7" s="60" t="s">
        <v>468</v>
      </c>
      <c r="O7" s="60" t="s">
        <v>547</v>
      </c>
      <c r="P7" s="60" t="s">
        <v>270</v>
      </c>
      <c r="Q7" s="60">
        <v>25.9</v>
      </c>
      <c r="R7" s="60">
        <v>252</v>
      </c>
      <c r="S7" s="60" t="s">
        <v>270</v>
      </c>
      <c r="T7" s="60">
        <v>-9999</v>
      </c>
      <c r="U7" s="60">
        <v>626</v>
      </c>
      <c r="V7" s="60">
        <v>646</v>
      </c>
      <c r="W7" s="60">
        <v>614</v>
      </c>
      <c r="X7" s="60" t="s">
        <v>270</v>
      </c>
      <c r="Y7" s="60">
        <v>0</v>
      </c>
      <c r="Z7" s="60">
        <v>55</v>
      </c>
      <c r="AA7" s="60" t="s">
        <v>469</v>
      </c>
      <c r="AB7" s="60" t="s">
        <v>548</v>
      </c>
      <c r="AC7" s="60">
        <v>1</v>
      </c>
      <c r="AD7" s="60" t="s">
        <v>549</v>
      </c>
      <c r="AE7" s="60">
        <v>0</v>
      </c>
      <c r="AF7" s="60">
        <v>18</v>
      </c>
      <c r="AG7" s="60" t="s">
        <v>264</v>
      </c>
      <c r="AH7" s="60">
        <v>-9999</v>
      </c>
      <c r="AI7" s="60">
        <v>532</v>
      </c>
      <c r="AJ7" s="60">
        <v>645</v>
      </c>
      <c r="AK7" s="60">
        <v>525</v>
      </c>
      <c r="AL7" s="60" t="s">
        <v>270</v>
      </c>
      <c r="AM7" s="60">
        <v>0</v>
      </c>
      <c r="AN7" s="60">
        <v>55</v>
      </c>
      <c r="AO7" s="60" t="s">
        <v>470</v>
      </c>
      <c r="AP7" s="60" t="s">
        <v>548</v>
      </c>
      <c r="AQ7" s="60">
        <v>2</v>
      </c>
      <c r="AR7" s="60" t="s">
        <v>549</v>
      </c>
      <c r="AS7" s="60">
        <v>54.5</v>
      </c>
      <c r="AT7" s="60">
        <v>48</v>
      </c>
      <c r="AU7" s="60" t="s">
        <v>264</v>
      </c>
      <c r="AV7" s="60">
        <v>-9999</v>
      </c>
      <c r="AW7" s="60">
        <v>369</v>
      </c>
      <c r="AX7" s="60">
        <v>387</v>
      </c>
      <c r="AY7" s="60">
        <v>367</v>
      </c>
      <c r="AZ7" s="60" t="s">
        <v>270</v>
      </c>
      <c r="BA7" s="60">
        <v>0</v>
      </c>
      <c r="BB7" s="60">
        <v>55</v>
      </c>
      <c r="BC7" s="60" t="s">
        <v>550</v>
      </c>
      <c r="BD7" s="60" t="s">
        <v>548</v>
      </c>
      <c r="BE7" s="60">
        <v>3</v>
      </c>
      <c r="BF7" s="60" t="s">
        <v>549</v>
      </c>
      <c r="BG7" s="60">
        <v>13.9</v>
      </c>
      <c r="BH7" s="60">
        <v>291</v>
      </c>
      <c r="BI7" s="60" t="s">
        <v>264</v>
      </c>
      <c r="BJ7" s="60">
        <v>-9999</v>
      </c>
      <c r="BK7" s="60">
        <v>20</v>
      </c>
      <c r="BL7" s="60">
        <v>41</v>
      </c>
      <c r="BM7" s="60">
        <v>24</v>
      </c>
      <c r="BN7" s="60" t="s">
        <v>270</v>
      </c>
      <c r="BO7" s="60">
        <v>0</v>
      </c>
      <c r="BP7" s="60">
        <v>55</v>
      </c>
      <c r="BQ7" s="60" t="s">
        <v>504</v>
      </c>
      <c r="BR7" s="60" t="s">
        <v>548</v>
      </c>
      <c r="BS7" s="60">
        <v>4</v>
      </c>
      <c r="BT7" s="60" t="s">
        <v>549</v>
      </c>
      <c r="BU7" s="60">
        <v>52.2</v>
      </c>
      <c r="BV7" s="60">
        <v>102</v>
      </c>
      <c r="BW7" s="60" t="s">
        <v>264</v>
      </c>
      <c r="BX7" s="60">
        <v>-9999</v>
      </c>
      <c r="BY7" s="60">
        <v>201</v>
      </c>
      <c r="BZ7" s="60">
        <v>232</v>
      </c>
      <c r="CA7" s="60">
        <v>198</v>
      </c>
      <c r="CB7" s="60" t="s">
        <v>270</v>
      </c>
      <c r="CC7" s="60">
        <v>0</v>
      </c>
      <c r="CD7" s="60">
        <v>55</v>
      </c>
      <c r="CE7" s="60" t="s">
        <v>471</v>
      </c>
      <c r="CF7" s="60" t="s">
        <v>548</v>
      </c>
      <c r="CG7" s="60">
        <v>5</v>
      </c>
      <c r="CH7" s="60" t="s">
        <v>549</v>
      </c>
      <c r="CI7" s="60">
        <v>50.8</v>
      </c>
      <c r="CJ7" s="60">
        <v>313</v>
      </c>
      <c r="CK7" s="60" t="s">
        <v>264</v>
      </c>
      <c r="CL7" s="60">
        <v>-9999</v>
      </c>
      <c r="CM7" s="60">
        <v>450</v>
      </c>
      <c r="CN7" s="60">
        <v>524</v>
      </c>
      <c r="CO7" s="60">
        <v>449</v>
      </c>
      <c r="CP7" s="60" t="s">
        <v>270</v>
      </c>
      <c r="CQ7" s="60">
        <v>0</v>
      </c>
      <c r="CR7" s="60">
        <v>55</v>
      </c>
      <c r="CS7" s="60" t="s">
        <v>472</v>
      </c>
      <c r="CT7" s="60" t="s">
        <v>548</v>
      </c>
      <c r="CU7" s="60">
        <v>6</v>
      </c>
      <c r="CV7" s="60" t="s">
        <v>549</v>
      </c>
      <c r="CW7" s="60">
        <v>52.4</v>
      </c>
      <c r="CX7" s="60">
        <v>170</v>
      </c>
      <c r="CY7" s="60" t="s">
        <v>264</v>
      </c>
      <c r="CZ7" s="60">
        <v>-9999</v>
      </c>
      <c r="DA7" s="60">
        <v>622</v>
      </c>
      <c r="DB7" s="60">
        <v>702</v>
      </c>
      <c r="DC7" s="60">
        <v>609</v>
      </c>
      <c r="DD7" s="60" t="s">
        <v>270</v>
      </c>
      <c r="DE7" s="60">
        <v>0</v>
      </c>
      <c r="DF7" s="60">
        <v>55</v>
      </c>
      <c r="DG7" s="60" t="s">
        <v>473</v>
      </c>
      <c r="DH7" s="60" t="s">
        <v>548</v>
      </c>
      <c r="DI7" s="60">
        <v>7</v>
      </c>
      <c r="DJ7" s="60" t="s">
        <v>549</v>
      </c>
      <c r="DK7" s="60">
        <v>0</v>
      </c>
      <c r="DL7" s="60">
        <v>32</v>
      </c>
      <c r="DM7" s="60" t="s">
        <v>264</v>
      </c>
      <c r="DN7" s="60">
        <v>-9999</v>
      </c>
      <c r="DO7" s="60">
        <v>546</v>
      </c>
      <c r="DP7" s="60">
        <v>625</v>
      </c>
      <c r="DQ7" s="60">
        <v>540</v>
      </c>
      <c r="DR7" s="60" t="s">
        <v>270</v>
      </c>
      <c r="DS7" s="60">
        <v>0</v>
      </c>
      <c r="DT7" s="60">
        <v>55</v>
      </c>
      <c r="DU7" s="60" t="s">
        <v>474</v>
      </c>
      <c r="DV7" s="60" t="s">
        <v>548</v>
      </c>
      <c r="DW7" s="60">
        <v>8</v>
      </c>
      <c r="DX7" s="60" t="s">
        <v>549</v>
      </c>
      <c r="DY7" s="60">
        <v>49.5</v>
      </c>
      <c r="DZ7" s="60">
        <v>66</v>
      </c>
      <c r="EA7" s="60" t="s">
        <v>264</v>
      </c>
      <c r="EB7" s="60">
        <v>-9999</v>
      </c>
      <c r="EC7" s="60">
        <v>97</v>
      </c>
      <c r="ED7" s="60">
        <v>116</v>
      </c>
      <c r="EE7" s="60">
        <v>95</v>
      </c>
      <c r="EF7" s="60" t="s">
        <v>270</v>
      </c>
      <c r="EG7" s="60">
        <v>0</v>
      </c>
      <c r="EH7" s="60">
        <v>55</v>
      </c>
      <c r="EI7" s="60" t="s">
        <v>475</v>
      </c>
      <c r="EJ7" s="60" t="s">
        <v>548</v>
      </c>
      <c r="EK7" s="60">
        <v>9</v>
      </c>
      <c r="EL7" s="60" t="s">
        <v>549</v>
      </c>
      <c r="EM7" s="60">
        <v>0</v>
      </c>
      <c r="EN7" s="60">
        <v>9</v>
      </c>
      <c r="EO7" s="60" t="s">
        <v>264</v>
      </c>
      <c r="EP7" s="60">
        <v>-9999</v>
      </c>
      <c r="EQ7" s="60">
        <v>359</v>
      </c>
      <c r="ER7" s="60">
        <v>335</v>
      </c>
      <c r="ES7" s="60">
        <v>302</v>
      </c>
      <c r="ET7" s="60" t="s">
        <v>270</v>
      </c>
      <c r="EU7" s="60">
        <v>0</v>
      </c>
      <c r="EV7" s="60">
        <v>55</v>
      </c>
      <c r="EW7" s="60" t="s">
        <v>551</v>
      </c>
      <c r="EX7" s="60" t="s">
        <v>552</v>
      </c>
      <c r="EY7" s="60">
        <v>122</v>
      </c>
      <c r="EZ7" s="60">
        <v>122</v>
      </c>
      <c r="FA7" s="60">
        <v>123</v>
      </c>
      <c r="FB7" s="60" t="s">
        <v>270</v>
      </c>
      <c r="FC7" s="60" t="s">
        <v>553</v>
      </c>
      <c r="FD7" s="60" t="s">
        <v>552</v>
      </c>
      <c r="FE7" s="60">
        <v>333</v>
      </c>
      <c r="FF7" s="60">
        <v>332</v>
      </c>
      <c r="FG7" s="60">
        <v>330</v>
      </c>
      <c r="FH7" s="60" t="s">
        <v>270</v>
      </c>
      <c r="FI7" s="60" t="s">
        <v>554</v>
      </c>
      <c r="FJ7" s="60" t="s">
        <v>555</v>
      </c>
      <c r="FK7" s="60">
        <v>0</v>
      </c>
      <c r="FL7" s="60">
        <v>0</v>
      </c>
      <c r="FM7" s="60">
        <v>0</v>
      </c>
      <c r="FN7" s="60" t="s">
        <v>264</v>
      </c>
      <c r="FQ7" s="60" t="s">
        <v>556</v>
      </c>
      <c r="FR7" s="60" t="s">
        <v>555</v>
      </c>
      <c r="FS7" s="60">
        <v>0</v>
      </c>
      <c r="FT7" s="60">
        <v>0</v>
      </c>
      <c r="FU7" s="60">
        <v>0</v>
      </c>
      <c r="FV7" s="60" t="s">
        <v>264</v>
      </c>
      <c r="FY7" s="60" t="s">
        <v>557</v>
      </c>
      <c r="FZ7" s="60" t="s">
        <v>555</v>
      </c>
      <c r="GA7" s="60">
        <v>0</v>
      </c>
      <c r="GB7" s="60">
        <v>0</v>
      </c>
      <c r="GC7" s="60">
        <v>0</v>
      </c>
      <c r="GD7" s="60" t="s">
        <v>264</v>
      </c>
      <c r="GG7" s="60" t="s">
        <v>558</v>
      </c>
      <c r="GH7" s="60" t="s">
        <v>555</v>
      </c>
      <c r="GI7" s="60">
        <v>0</v>
      </c>
      <c r="GJ7" s="60">
        <v>0</v>
      </c>
      <c r="GK7" s="60">
        <v>0</v>
      </c>
      <c r="GL7" s="60" t="s">
        <v>264</v>
      </c>
      <c r="GO7" s="60" t="s">
        <v>559</v>
      </c>
      <c r="GP7" s="60" t="s">
        <v>555</v>
      </c>
      <c r="GQ7" s="60">
        <v>0</v>
      </c>
      <c r="GR7" s="60">
        <v>0</v>
      </c>
      <c r="GS7" s="60">
        <v>0</v>
      </c>
      <c r="GT7" s="60" t="s">
        <v>264</v>
      </c>
      <c r="GW7" s="60" t="s">
        <v>560</v>
      </c>
      <c r="GX7" s="60" t="s">
        <v>555</v>
      </c>
      <c r="GY7" s="60">
        <v>0</v>
      </c>
      <c r="GZ7" s="60">
        <v>0</v>
      </c>
      <c r="HA7" s="60">
        <v>0</v>
      </c>
      <c r="HB7" s="60" t="s">
        <v>264</v>
      </c>
      <c r="HE7" s="60" t="s">
        <v>561</v>
      </c>
      <c r="HF7" s="60" t="s">
        <v>555</v>
      </c>
      <c r="HG7" s="60">
        <v>0</v>
      </c>
      <c r="HH7" s="60">
        <v>0</v>
      </c>
      <c r="HI7" s="60">
        <v>0</v>
      </c>
      <c r="HJ7" s="60" t="s">
        <v>264</v>
      </c>
      <c r="HM7" s="60" t="s">
        <v>562</v>
      </c>
      <c r="HN7" s="60" t="s">
        <v>555</v>
      </c>
      <c r="HO7" s="60">
        <v>0</v>
      </c>
      <c r="HP7" s="60">
        <v>0</v>
      </c>
      <c r="HQ7" s="60">
        <v>0</v>
      </c>
      <c r="HR7" s="60" t="s">
        <v>264</v>
      </c>
      <c r="HU7" s="60" t="s">
        <v>563</v>
      </c>
      <c r="HV7" s="60" t="s">
        <v>555</v>
      </c>
      <c r="HW7" s="60">
        <v>0</v>
      </c>
      <c r="HX7" s="60">
        <v>0</v>
      </c>
      <c r="HY7" s="60">
        <v>0</v>
      </c>
      <c r="HZ7" s="60" t="s">
        <v>264</v>
      </c>
      <c r="IC7" s="60" t="s">
        <v>564</v>
      </c>
      <c r="ID7" s="60" t="s">
        <v>555</v>
      </c>
      <c r="IE7" s="60">
        <v>0</v>
      </c>
      <c r="IF7" s="60">
        <v>0</v>
      </c>
      <c r="IG7" s="60">
        <v>0</v>
      </c>
      <c r="IH7" s="60" t="s">
        <v>264</v>
      </c>
      <c r="IK7" s="60" t="s">
        <v>565</v>
      </c>
      <c r="IL7" s="60" t="s">
        <v>555</v>
      </c>
      <c r="IM7" s="60">
        <v>0</v>
      </c>
      <c r="IN7" s="60">
        <v>0</v>
      </c>
      <c r="IO7" s="60">
        <v>0</v>
      </c>
      <c r="IP7" s="60" t="s">
        <v>264</v>
      </c>
      <c r="IS7" s="60" t="s">
        <v>566</v>
      </c>
      <c r="IT7" s="60" t="s">
        <v>555</v>
      </c>
      <c r="IU7" s="60">
        <v>0</v>
      </c>
      <c r="IV7" s="60">
        <v>0</v>
      </c>
      <c r="IW7" s="60">
        <v>0</v>
      </c>
      <c r="IX7" s="60" t="s">
        <v>264</v>
      </c>
      <c r="JA7" s="60" t="s">
        <v>567</v>
      </c>
      <c r="JB7" s="60" t="s">
        <v>555</v>
      </c>
      <c r="JC7" s="60">
        <v>0</v>
      </c>
      <c r="JD7" s="60">
        <v>0</v>
      </c>
      <c r="JE7" s="60">
        <v>0</v>
      </c>
      <c r="JF7" s="60" t="s">
        <v>264</v>
      </c>
      <c r="JI7" s="60" t="s">
        <v>568</v>
      </c>
      <c r="JJ7" s="60" t="s">
        <v>555</v>
      </c>
      <c r="JK7" s="60">
        <v>0</v>
      </c>
      <c r="JL7" s="60">
        <v>0</v>
      </c>
      <c r="JM7" s="60">
        <v>0</v>
      </c>
      <c r="JN7" s="60" t="s">
        <v>264</v>
      </c>
      <c r="JQ7" s="60" t="s">
        <v>569</v>
      </c>
      <c r="JR7" s="60" t="s">
        <v>555</v>
      </c>
      <c r="JS7" s="60">
        <v>0</v>
      </c>
      <c r="JT7" s="60">
        <v>0</v>
      </c>
      <c r="JU7" s="60">
        <v>0</v>
      </c>
      <c r="JV7" s="60" t="s">
        <v>264</v>
      </c>
      <c r="JY7" s="60" t="s">
        <v>570</v>
      </c>
      <c r="JZ7" s="60" t="s">
        <v>555</v>
      </c>
      <c r="KA7" s="60">
        <v>0</v>
      </c>
      <c r="KB7" s="60">
        <v>0</v>
      </c>
      <c r="KC7" s="60">
        <v>0</v>
      </c>
      <c r="KD7" s="60" t="s">
        <v>264</v>
      </c>
      <c r="KG7" s="60" t="s">
        <v>571</v>
      </c>
      <c r="KH7" s="60" t="s">
        <v>555</v>
      </c>
      <c r="KI7" s="60">
        <v>0</v>
      </c>
      <c r="KJ7" s="60">
        <v>0</v>
      </c>
      <c r="KK7" s="60">
        <v>0</v>
      </c>
      <c r="KL7" s="60" t="s">
        <v>264</v>
      </c>
      <c r="KO7" s="60" t="s">
        <v>572</v>
      </c>
      <c r="KP7" s="60" t="s">
        <v>555</v>
      </c>
      <c r="KQ7" s="60">
        <v>0</v>
      </c>
      <c r="KR7" s="60">
        <v>0</v>
      </c>
      <c r="KS7" s="60">
        <v>0</v>
      </c>
      <c r="KT7" s="60" t="s">
        <v>264</v>
      </c>
      <c r="KW7" s="60" t="s">
        <v>573</v>
      </c>
      <c r="KX7" s="60" t="s">
        <v>555</v>
      </c>
      <c r="KY7" s="60">
        <v>0</v>
      </c>
      <c r="KZ7" s="60">
        <v>0</v>
      </c>
      <c r="LA7" s="60">
        <v>0</v>
      </c>
      <c r="LB7" s="60" t="s">
        <v>264</v>
      </c>
      <c r="LE7" s="60" t="s">
        <v>574</v>
      </c>
      <c r="LF7" s="60" t="s">
        <v>555</v>
      </c>
      <c r="LG7" s="60">
        <v>0</v>
      </c>
      <c r="LH7" s="60">
        <v>0</v>
      </c>
      <c r="LI7" s="60">
        <v>0</v>
      </c>
      <c r="LJ7" s="60" t="s">
        <v>264</v>
      </c>
      <c r="LM7" s="60" t="s">
        <v>575</v>
      </c>
      <c r="LN7" s="60" t="s">
        <v>555</v>
      </c>
      <c r="LO7" s="60">
        <v>0</v>
      </c>
      <c r="LP7" s="60">
        <v>0</v>
      </c>
      <c r="LQ7" s="60">
        <v>0</v>
      </c>
      <c r="LR7" s="60" t="s">
        <v>264</v>
      </c>
      <c r="LU7" s="60" t="s">
        <v>576</v>
      </c>
      <c r="LV7" s="60" t="s">
        <v>555</v>
      </c>
      <c r="LW7" s="60">
        <v>0</v>
      </c>
      <c r="LX7" s="60">
        <v>0</v>
      </c>
      <c r="LY7" s="60">
        <v>0</v>
      </c>
      <c r="LZ7" s="60" t="s">
        <v>264</v>
      </c>
      <c r="MC7" s="60" t="s">
        <v>577</v>
      </c>
      <c r="MD7" s="60" t="s">
        <v>555</v>
      </c>
      <c r="ME7" s="60">
        <v>0</v>
      </c>
      <c r="MF7" s="60">
        <v>0</v>
      </c>
      <c r="MG7" s="60">
        <v>0</v>
      </c>
      <c r="MH7" s="60" t="s">
        <v>264</v>
      </c>
      <c r="MK7" s="60" t="s">
        <v>578</v>
      </c>
      <c r="ML7" s="60" t="s">
        <v>555</v>
      </c>
      <c r="MM7" s="60">
        <v>0</v>
      </c>
      <c r="MN7" s="60">
        <v>0</v>
      </c>
      <c r="MO7" s="60">
        <v>0</v>
      </c>
      <c r="MP7" s="60" t="s">
        <v>264</v>
      </c>
      <c r="MS7" s="60" t="s">
        <v>579</v>
      </c>
      <c r="MT7" s="60" t="s">
        <v>555</v>
      </c>
      <c r="MU7" s="60">
        <v>0</v>
      </c>
      <c r="MV7" s="60">
        <v>0</v>
      </c>
      <c r="MW7" s="60">
        <v>0</v>
      </c>
      <c r="MX7" s="60" t="s">
        <v>264</v>
      </c>
      <c r="NA7" s="60" t="s">
        <v>580</v>
      </c>
      <c r="NB7" s="60" t="s">
        <v>555</v>
      </c>
      <c r="NC7" s="60">
        <v>0</v>
      </c>
      <c r="ND7" s="60">
        <v>0</v>
      </c>
      <c r="NE7" s="60">
        <v>0</v>
      </c>
      <c r="NF7" s="60" t="s">
        <v>264</v>
      </c>
      <c r="NI7" s="60">
        <v>40</v>
      </c>
      <c r="NJ7" s="60">
        <v>-10.8</v>
      </c>
      <c r="NP7" s="60" t="s">
        <v>581</v>
      </c>
    </row>
    <row r="8" spans="1:380" x14ac:dyDescent="0.2">
      <c r="A8" s="60" t="s">
        <v>517</v>
      </c>
      <c r="B8" s="60">
        <v>1</v>
      </c>
      <c r="C8" s="60" t="s">
        <v>593</v>
      </c>
      <c r="D8" s="60">
        <v>646950157</v>
      </c>
      <c r="E8" s="60">
        <v>12602</v>
      </c>
      <c r="F8" s="60" t="s">
        <v>542</v>
      </c>
      <c r="G8" s="60">
        <v>750211</v>
      </c>
      <c r="H8" s="60">
        <v>220016446</v>
      </c>
      <c r="I8" s="60" t="s">
        <v>543</v>
      </c>
      <c r="J8" s="61" t="s">
        <v>594</v>
      </c>
      <c r="K8" s="60" t="s">
        <v>545</v>
      </c>
      <c r="L8" s="60" t="s">
        <v>294</v>
      </c>
      <c r="M8" s="60" t="s">
        <v>546</v>
      </c>
      <c r="N8" s="60" t="s">
        <v>468</v>
      </c>
      <c r="O8" s="60" t="s">
        <v>547</v>
      </c>
      <c r="P8" s="60" t="s">
        <v>270</v>
      </c>
      <c r="Q8" s="60">
        <v>27.4</v>
      </c>
      <c r="R8" s="60">
        <v>250</v>
      </c>
      <c r="S8" s="60" t="s">
        <v>270</v>
      </c>
      <c r="T8" s="60">
        <v>-9999</v>
      </c>
      <c r="U8" s="60">
        <v>845</v>
      </c>
      <c r="V8" s="60">
        <v>875</v>
      </c>
      <c r="W8" s="60">
        <v>833</v>
      </c>
      <c r="X8" s="60" t="s">
        <v>270</v>
      </c>
      <c r="Y8" s="60">
        <v>0</v>
      </c>
      <c r="Z8" s="60">
        <v>55</v>
      </c>
      <c r="AA8" s="60" t="s">
        <v>469</v>
      </c>
      <c r="AB8" s="60" t="s">
        <v>548</v>
      </c>
      <c r="AC8" s="60">
        <v>1</v>
      </c>
      <c r="AD8" s="60" t="s">
        <v>549</v>
      </c>
      <c r="AE8" s="60">
        <v>0</v>
      </c>
      <c r="AF8" s="60">
        <v>28</v>
      </c>
      <c r="AG8" s="60" t="s">
        <v>264</v>
      </c>
      <c r="AH8" s="60">
        <v>-9999</v>
      </c>
      <c r="AI8" s="60">
        <v>423</v>
      </c>
      <c r="AJ8" s="60">
        <v>526</v>
      </c>
      <c r="AK8" s="60">
        <v>424</v>
      </c>
      <c r="AL8" s="60" t="s">
        <v>270</v>
      </c>
      <c r="AM8" s="60">
        <v>0</v>
      </c>
      <c r="AN8" s="60">
        <v>55</v>
      </c>
      <c r="AO8" s="60" t="s">
        <v>470</v>
      </c>
      <c r="AP8" s="60" t="s">
        <v>548</v>
      </c>
      <c r="AQ8" s="60">
        <v>2</v>
      </c>
      <c r="AR8" s="60" t="s">
        <v>549</v>
      </c>
      <c r="AS8" s="60">
        <v>53.1</v>
      </c>
      <c r="AT8" s="60">
        <v>81</v>
      </c>
      <c r="AU8" s="60" t="s">
        <v>264</v>
      </c>
      <c r="AV8" s="60">
        <v>-9999</v>
      </c>
      <c r="AW8" s="60">
        <v>449</v>
      </c>
      <c r="AX8" s="60">
        <v>471</v>
      </c>
      <c r="AY8" s="60">
        <v>445</v>
      </c>
      <c r="AZ8" s="60" t="s">
        <v>270</v>
      </c>
      <c r="BA8" s="60">
        <v>0</v>
      </c>
      <c r="BB8" s="60">
        <v>55</v>
      </c>
      <c r="BC8" s="60" t="s">
        <v>550</v>
      </c>
      <c r="BD8" s="60" t="s">
        <v>548</v>
      </c>
      <c r="BE8" s="60">
        <v>3</v>
      </c>
      <c r="BF8" s="60" t="s">
        <v>549</v>
      </c>
      <c r="BG8" s="60">
        <v>0</v>
      </c>
      <c r="BH8" s="60">
        <v>-7</v>
      </c>
      <c r="BI8" s="60" t="s">
        <v>264</v>
      </c>
      <c r="BJ8" s="60">
        <v>-9999</v>
      </c>
      <c r="BK8" s="60">
        <v>201</v>
      </c>
      <c r="BL8" s="60">
        <v>244</v>
      </c>
      <c r="BM8" s="60">
        <v>195</v>
      </c>
      <c r="BN8" s="60" t="s">
        <v>270</v>
      </c>
      <c r="BO8" s="60">
        <v>0</v>
      </c>
      <c r="BP8" s="60">
        <v>55</v>
      </c>
      <c r="BQ8" s="60" t="s">
        <v>504</v>
      </c>
      <c r="BR8" s="60" t="s">
        <v>548</v>
      </c>
      <c r="BS8" s="60">
        <v>4</v>
      </c>
      <c r="BT8" s="60" t="s">
        <v>549</v>
      </c>
      <c r="BU8" s="60">
        <v>52.5</v>
      </c>
      <c r="BV8" s="60">
        <v>68</v>
      </c>
      <c r="BW8" s="60" t="s">
        <v>264</v>
      </c>
      <c r="BX8" s="60">
        <v>-9999</v>
      </c>
      <c r="BY8" s="60">
        <v>248</v>
      </c>
      <c r="BZ8" s="60">
        <v>285</v>
      </c>
      <c r="CA8" s="60">
        <v>245</v>
      </c>
      <c r="CB8" s="60" t="s">
        <v>270</v>
      </c>
      <c r="CC8" s="60">
        <v>0</v>
      </c>
      <c r="CD8" s="60">
        <v>55</v>
      </c>
      <c r="CE8" s="60" t="s">
        <v>471</v>
      </c>
      <c r="CF8" s="60" t="s">
        <v>548</v>
      </c>
      <c r="CG8" s="60">
        <v>5</v>
      </c>
      <c r="CH8" s="60" t="s">
        <v>549</v>
      </c>
      <c r="CI8" s="60">
        <v>50.9</v>
      </c>
      <c r="CJ8" s="60">
        <v>218</v>
      </c>
      <c r="CK8" s="60" t="s">
        <v>264</v>
      </c>
      <c r="CL8" s="60">
        <v>-9999</v>
      </c>
      <c r="CM8" s="60">
        <v>489</v>
      </c>
      <c r="CN8" s="60">
        <v>570</v>
      </c>
      <c r="CO8" s="60">
        <v>488</v>
      </c>
      <c r="CP8" s="60" t="s">
        <v>270</v>
      </c>
      <c r="CQ8" s="60">
        <v>0</v>
      </c>
      <c r="CR8" s="60">
        <v>55</v>
      </c>
      <c r="CS8" s="60" t="s">
        <v>472</v>
      </c>
      <c r="CT8" s="60" t="s">
        <v>548</v>
      </c>
      <c r="CU8" s="60">
        <v>6</v>
      </c>
      <c r="CV8" s="60" t="s">
        <v>549</v>
      </c>
      <c r="CW8" s="60">
        <v>53.2</v>
      </c>
      <c r="CX8" s="60">
        <v>98</v>
      </c>
      <c r="CY8" s="60" t="s">
        <v>264</v>
      </c>
      <c r="CZ8" s="60">
        <v>-9999</v>
      </c>
      <c r="DA8" s="60">
        <v>711</v>
      </c>
      <c r="DB8" s="60">
        <v>805</v>
      </c>
      <c r="DC8" s="60">
        <v>698</v>
      </c>
      <c r="DD8" s="60" t="s">
        <v>270</v>
      </c>
      <c r="DE8" s="60">
        <v>0</v>
      </c>
      <c r="DF8" s="60">
        <v>55</v>
      </c>
      <c r="DG8" s="60" t="s">
        <v>473</v>
      </c>
      <c r="DH8" s="60" t="s">
        <v>548</v>
      </c>
      <c r="DI8" s="60">
        <v>7</v>
      </c>
      <c r="DJ8" s="60" t="s">
        <v>549</v>
      </c>
      <c r="DK8" s="60">
        <v>0</v>
      </c>
      <c r="DL8" s="60">
        <v>22</v>
      </c>
      <c r="DM8" s="60" t="s">
        <v>264</v>
      </c>
      <c r="DN8" s="60">
        <v>-9999</v>
      </c>
      <c r="DO8" s="60">
        <v>571</v>
      </c>
      <c r="DP8" s="60">
        <v>654</v>
      </c>
      <c r="DQ8" s="60">
        <v>565</v>
      </c>
      <c r="DR8" s="60" t="s">
        <v>270</v>
      </c>
      <c r="DS8" s="60">
        <v>0</v>
      </c>
      <c r="DT8" s="60">
        <v>55</v>
      </c>
      <c r="DU8" s="60" t="s">
        <v>474</v>
      </c>
      <c r="DV8" s="60" t="s">
        <v>548</v>
      </c>
      <c r="DW8" s="60">
        <v>8</v>
      </c>
      <c r="DX8" s="60" t="s">
        <v>549</v>
      </c>
      <c r="DY8" s="60">
        <v>50</v>
      </c>
      <c r="DZ8" s="60">
        <v>37</v>
      </c>
      <c r="EA8" s="60" t="s">
        <v>264</v>
      </c>
      <c r="EB8" s="60">
        <v>-9999</v>
      </c>
      <c r="EC8" s="60">
        <v>102</v>
      </c>
      <c r="ED8" s="60">
        <v>122</v>
      </c>
      <c r="EE8" s="60">
        <v>99</v>
      </c>
      <c r="EF8" s="60" t="s">
        <v>270</v>
      </c>
      <c r="EG8" s="60">
        <v>0</v>
      </c>
      <c r="EH8" s="60">
        <v>55</v>
      </c>
      <c r="EI8" s="60" t="s">
        <v>475</v>
      </c>
      <c r="EJ8" s="60" t="s">
        <v>548</v>
      </c>
      <c r="EK8" s="60">
        <v>9</v>
      </c>
      <c r="EL8" s="60" t="s">
        <v>549</v>
      </c>
      <c r="EM8" s="60">
        <v>54.9</v>
      </c>
      <c r="EN8" s="60">
        <v>20</v>
      </c>
      <c r="EO8" s="60" t="s">
        <v>264</v>
      </c>
      <c r="EP8" s="60">
        <v>-9999</v>
      </c>
      <c r="EQ8" s="60">
        <v>299</v>
      </c>
      <c r="ER8" s="60">
        <v>270</v>
      </c>
      <c r="ES8" s="60">
        <v>252</v>
      </c>
      <c r="ET8" s="60" t="s">
        <v>270</v>
      </c>
      <c r="EU8" s="60">
        <v>0</v>
      </c>
      <c r="EV8" s="60">
        <v>55</v>
      </c>
      <c r="EW8" s="60" t="s">
        <v>551</v>
      </c>
      <c r="EX8" s="60" t="s">
        <v>552</v>
      </c>
      <c r="EY8" s="60">
        <v>142</v>
      </c>
      <c r="EZ8" s="60">
        <v>142</v>
      </c>
      <c r="FA8" s="60">
        <v>142</v>
      </c>
      <c r="FB8" s="60" t="s">
        <v>270</v>
      </c>
      <c r="FC8" s="60" t="s">
        <v>553</v>
      </c>
      <c r="FD8" s="60" t="s">
        <v>552</v>
      </c>
      <c r="FE8" s="60">
        <v>343</v>
      </c>
      <c r="FF8" s="60">
        <v>342</v>
      </c>
      <c r="FG8" s="60">
        <v>341</v>
      </c>
      <c r="FH8" s="60" t="s">
        <v>270</v>
      </c>
      <c r="FI8" s="60" t="s">
        <v>554</v>
      </c>
      <c r="FJ8" s="60" t="s">
        <v>555</v>
      </c>
      <c r="FK8" s="60">
        <v>0</v>
      </c>
      <c r="FL8" s="60">
        <v>0</v>
      </c>
      <c r="FM8" s="60">
        <v>0</v>
      </c>
      <c r="FN8" s="60" t="s">
        <v>264</v>
      </c>
      <c r="FQ8" s="60" t="s">
        <v>556</v>
      </c>
      <c r="FR8" s="60" t="s">
        <v>555</v>
      </c>
      <c r="FS8" s="60">
        <v>0</v>
      </c>
      <c r="FT8" s="60">
        <v>0</v>
      </c>
      <c r="FU8" s="60">
        <v>0</v>
      </c>
      <c r="FV8" s="60" t="s">
        <v>264</v>
      </c>
      <c r="FY8" s="60" t="s">
        <v>557</v>
      </c>
      <c r="FZ8" s="60" t="s">
        <v>555</v>
      </c>
      <c r="GA8" s="60">
        <v>0</v>
      </c>
      <c r="GB8" s="60">
        <v>0</v>
      </c>
      <c r="GC8" s="60">
        <v>0</v>
      </c>
      <c r="GD8" s="60" t="s">
        <v>264</v>
      </c>
      <c r="GG8" s="60" t="s">
        <v>558</v>
      </c>
      <c r="GH8" s="60" t="s">
        <v>555</v>
      </c>
      <c r="GI8" s="60">
        <v>0</v>
      </c>
      <c r="GJ8" s="60">
        <v>0</v>
      </c>
      <c r="GK8" s="60">
        <v>0</v>
      </c>
      <c r="GL8" s="60" t="s">
        <v>264</v>
      </c>
      <c r="GO8" s="60" t="s">
        <v>559</v>
      </c>
      <c r="GP8" s="60" t="s">
        <v>555</v>
      </c>
      <c r="GQ8" s="60">
        <v>0</v>
      </c>
      <c r="GR8" s="60">
        <v>0</v>
      </c>
      <c r="GS8" s="60">
        <v>0</v>
      </c>
      <c r="GT8" s="60" t="s">
        <v>264</v>
      </c>
      <c r="GW8" s="60" t="s">
        <v>560</v>
      </c>
      <c r="GX8" s="60" t="s">
        <v>555</v>
      </c>
      <c r="GY8" s="60">
        <v>0</v>
      </c>
      <c r="GZ8" s="60">
        <v>0</v>
      </c>
      <c r="HA8" s="60">
        <v>0</v>
      </c>
      <c r="HB8" s="60" t="s">
        <v>264</v>
      </c>
      <c r="HE8" s="60" t="s">
        <v>561</v>
      </c>
      <c r="HF8" s="60" t="s">
        <v>555</v>
      </c>
      <c r="HG8" s="60">
        <v>0</v>
      </c>
      <c r="HH8" s="60">
        <v>0</v>
      </c>
      <c r="HI8" s="60">
        <v>0</v>
      </c>
      <c r="HJ8" s="60" t="s">
        <v>264</v>
      </c>
      <c r="HM8" s="60" t="s">
        <v>562</v>
      </c>
      <c r="HN8" s="60" t="s">
        <v>555</v>
      </c>
      <c r="HO8" s="60">
        <v>0</v>
      </c>
      <c r="HP8" s="60">
        <v>0</v>
      </c>
      <c r="HQ8" s="60">
        <v>0</v>
      </c>
      <c r="HR8" s="60" t="s">
        <v>264</v>
      </c>
      <c r="HU8" s="60" t="s">
        <v>563</v>
      </c>
      <c r="HV8" s="60" t="s">
        <v>555</v>
      </c>
      <c r="HW8" s="60">
        <v>0</v>
      </c>
      <c r="HX8" s="60">
        <v>0</v>
      </c>
      <c r="HY8" s="60">
        <v>0</v>
      </c>
      <c r="HZ8" s="60" t="s">
        <v>264</v>
      </c>
      <c r="IC8" s="60" t="s">
        <v>564</v>
      </c>
      <c r="ID8" s="60" t="s">
        <v>555</v>
      </c>
      <c r="IE8" s="60">
        <v>0</v>
      </c>
      <c r="IF8" s="60">
        <v>0</v>
      </c>
      <c r="IG8" s="60">
        <v>0</v>
      </c>
      <c r="IH8" s="60" t="s">
        <v>264</v>
      </c>
      <c r="IK8" s="60" t="s">
        <v>565</v>
      </c>
      <c r="IL8" s="60" t="s">
        <v>555</v>
      </c>
      <c r="IM8" s="60">
        <v>0</v>
      </c>
      <c r="IN8" s="60">
        <v>0</v>
      </c>
      <c r="IO8" s="60">
        <v>0</v>
      </c>
      <c r="IP8" s="60" t="s">
        <v>264</v>
      </c>
      <c r="IS8" s="60" t="s">
        <v>566</v>
      </c>
      <c r="IT8" s="60" t="s">
        <v>555</v>
      </c>
      <c r="IU8" s="60">
        <v>0</v>
      </c>
      <c r="IV8" s="60">
        <v>0</v>
      </c>
      <c r="IW8" s="60">
        <v>0</v>
      </c>
      <c r="IX8" s="60" t="s">
        <v>264</v>
      </c>
      <c r="JA8" s="60" t="s">
        <v>567</v>
      </c>
      <c r="JB8" s="60" t="s">
        <v>555</v>
      </c>
      <c r="JC8" s="60">
        <v>0</v>
      </c>
      <c r="JD8" s="60">
        <v>0</v>
      </c>
      <c r="JE8" s="60">
        <v>0</v>
      </c>
      <c r="JF8" s="60" t="s">
        <v>264</v>
      </c>
      <c r="JI8" s="60" t="s">
        <v>568</v>
      </c>
      <c r="JJ8" s="60" t="s">
        <v>555</v>
      </c>
      <c r="JK8" s="60">
        <v>0</v>
      </c>
      <c r="JL8" s="60">
        <v>0</v>
      </c>
      <c r="JM8" s="60">
        <v>0</v>
      </c>
      <c r="JN8" s="60" t="s">
        <v>264</v>
      </c>
      <c r="JQ8" s="60" t="s">
        <v>569</v>
      </c>
      <c r="JR8" s="60" t="s">
        <v>555</v>
      </c>
      <c r="JS8" s="60">
        <v>0</v>
      </c>
      <c r="JT8" s="60">
        <v>0</v>
      </c>
      <c r="JU8" s="60">
        <v>0</v>
      </c>
      <c r="JV8" s="60" t="s">
        <v>264</v>
      </c>
      <c r="JY8" s="60" t="s">
        <v>570</v>
      </c>
      <c r="JZ8" s="60" t="s">
        <v>555</v>
      </c>
      <c r="KA8" s="60">
        <v>0</v>
      </c>
      <c r="KB8" s="60">
        <v>0</v>
      </c>
      <c r="KC8" s="60">
        <v>0</v>
      </c>
      <c r="KD8" s="60" t="s">
        <v>264</v>
      </c>
      <c r="KG8" s="60" t="s">
        <v>571</v>
      </c>
      <c r="KH8" s="60" t="s">
        <v>555</v>
      </c>
      <c r="KI8" s="60">
        <v>0</v>
      </c>
      <c r="KJ8" s="60">
        <v>0</v>
      </c>
      <c r="KK8" s="60">
        <v>0</v>
      </c>
      <c r="KL8" s="60" t="s">
        <v>264</v>
      </c>
      <c r="KO8" s="60" t="s">
        <v>572</v>
      </c>
      <c r="KP8" s="60" t="s">
        <v>555</v>
      </c>
      <c r="KQ8" s="60">
        <v>0</v>
      </c>
      <c r="KR8" s="60">
        <v>0</v>
      </c>
      <c r="KS8" s="60">
        <v>0</v>
      </c>
      <c r="KT8" s="60" t="s">
        <v>264</v>
      </c>
      <c r="KW8" s="60" t="s">
        <v>573</v>
      </c>
      <c r="KX8" s="60" t="s">
        <v>555</v>
      </c>
      <c r="KY8" s="60">
        <v>0</v>
      </c>
      <c r="KZ8" s="60">
        <v>0</v>
      </c>
      <c r="LA8" s="60">
        <v>0</v>
      </c>
      <c r="LB8" s="60" t="s">
        <v>264</v>
      </c>
      <c r="LE8" s="60" t="s">
        <v>574</v>
      </c>
      <c r="LF8" s="60" t="s">
        <v>555</v>
      </c>
      <c r="LG8" s="60">
        <v>0</v>
      </c>
      <c r="LH8" s="60">
        <v>0</v>
      </c>
      <c r="LI8" s="60">
        <v>0</v>
      </c>
      <c r="LJ8" s="60" t="s">
        <v>264</v>
      </c>
      <c r="LM8" s="60" t="s">
        <v>575</v>
      </c>
      <c r="LN8" s="60" t="s">
        <v>555</v>
      </c>
      <c r="LO8" s="60">
        <v>0</v>
      </c>
      <c r="LP8" s="60">
        <v>0</v>
      </c>
      <c r="LQ8" s="60">
        <v>0</v>
      </c>
      <c r="LR8" s="60" t="s">
        <v>264</v>
      </c>
      <c r="LU8" s="60" t="s">
        <v>576</v>
      </c>
      <c r="LV8" s="60" t="s">
        <v>555</v>
      </c>
      <c r="LW8" s="60">
        <v>0</v>
      </c>
      <c r="LX8" s="60">
        <v>0</v>
      </c>
      <c r="LY8" s="60">
        <v>0</v>
      </c>
      <c r="LZ8" s="60" t="s">
        <v>264</v>
      </c>
      <c r="MC8" s="60" t="s">
        <v>577</v>
      </c>
      <c r="MD8" s="60" t="s">
        <v>555</v>
      </c>
      <c r="ME8" s="60">
        <v>0</v>
      </c>
      <c r="MF8" s="60">
        <v>0</v>
      </c>
      <c r="MG8" s="60">
        <v>0</v>
      </c>
      <c r="MH8" s="60" t="s">
        <v>264</v>
      </c>
      <c r="MK8" s="60" t="s">
        <v>578</v>
      </c>
      <c r="ML8" s="60" t="s">
        <v>555</v>
      </c>
      <c r="MM8" s="60">
        <v>0</v>
      </c>
      <c r="MN8" s="60">
        <v>0</v>
      </c>
      <c r="MO8" s="60">
        <v>0</v>
      </c>
      <c r="MP8" s="60" t="s">
        <v>264</v>
      </c>
      <c r="MS8" s="60" t="s">
        <v>579</v>
      </c>
      <c r="MT8" s="60" t="s">
        <v>555</v>
      </c>
      <c r="MU8" s="60">
        <v>0</v>
      </c>
      <c r="MV8" s="60">
        <v>0</v>
      </c>
      <c r="MW8" s="60">
        <v>0</v>
      </c>
      <c r="MX8" s="60" t="s">
        <v>264</v>
      </c>
      <c r="NA8" s="60" t="s">
        <v>580</v>
      </c>
      <c r="NB8" s="60" t="s">
        <v>555</v>
      </c>
      <c r="NC8" s="60">
        <v>0</v>
      </c>
      <c r="ND8" s="60">
        <v>0</v>
      </c>
      <c r="NE8" s="60">
        <v>0</v>
      </c>
      <c r="NF8" s="60" t="s">
        <v>264</v>
      </c>
      <c r="NI8" s="60">
        <v>40.1</v>
      </c>
      <c r="NJ8" s="60">
        <v>-18.7</v>
      </c>
      <c r="NP8" s="60" t="s">
        <v>581</v>
      </c>
    </row>
    <row r="9" spans="1:380" x14ac:dyDescent="0.2">
      <c r="A9" s="60" t="s">
        <v>517</v>
      </c>
      <c r="B9" s="60">
        <v>1</v>
      </c>
      <c r="C9" s="60" t="s">
        <v>595</v>
      </c>
      <c r="D9" s="60">
        <v>646950159</v>
      </c>
      <c r="E9" s="60">
        <v>12602</v>
      </c>
      <c r="F9" s="60" t="s">
        <v>542</v>
      </c>
      <c r="G9" s="60">
        <v>750211</v>
      </c>
      <c r="H9" s="60">
        <v>887224</v>
      </c>
      <c r="I9" s="60" t="s">
        <v>543</v>
      </c>
      <c r="J9" s="61" t="s">
        <v>596</v>
      </c>
      <c r="K9" s="60" t="s">
        <v>545</v>
      </c>
      <c r="L9" s="60" t="s">
        <v>294</v>
      </c>
      <c r="M9" s="60" t="s">
        <v>546</v>
      </c>
      <c r="N9" s="60" t="s">
        <v>468</v>
      </c>
      <c r="O9" s="60" t="s">
        <v>547</v>
      </c>
      <c r="P9" s="60" t="s">
        <v>264</v>
      </c>
      <c r="Q9" s="60">
        <v>27.8</v>
      </c>
      <c r="R9" s="60">
        <v>272</v>
      </c>
      <c r="S9" s="60" t="s">
        <v>264</v>
      </c>
      <c r="T9" s="60">
        <v>-9999</v>
      </c>
      <c r="U9" s="60">
        <v>571</v>
      </c>
      <c r="V9" s="60">
        <v>592</v>
      </c>
      <c r="W9" s="60">
        <v>562</v>
      </c>
      <c r="X9" s="60" t="s">
        <v>270</v>
      </c>
      <c r="Y9" s="60">
        <v>0</v>
      </c>
      <c r="Z9" s="60">
        <v>55</v>
      </c>
      <c r="AA9" s="60" t="s">
        <v>469</v>
      </c>
      <c r="AB9" s="60" t="s">
        <v>548</v>
      </c>
      <c r="AC9" s="60">
        <v>1</v>
      </c>
      <c r="AD9" s="60" t="s">
        <v>549</v>
      </c>
      <c r="AE9" s="60">
        <v>0</v>
      </c>
      <c r="AF9" s="60">
        <v>16</v>
      </c>
      <c r="AG9" s="60" t="s">
        <v>264</v>
      </c>
      <c r="AH9" s="60">
        <v>-9999</v>
      </c>
      <c r="AI9" s="60">
        <v>512</v>
      </c>
      <c r="AJ9" s="60">
        <v>618</v>
      </c>
      <c r="AK9" s="60">
        <v>506</v>
      </c>
      <c r="AL9" s="60" t="s">
        <v>270</v>
      </c>
      <c r="AM9" s="60">
        <v>0</v>
      </c>
      <c r="AN9" s="60">
        <v>55</v>
      </c>
      <c r="AO9" s="60" t="s">
        <v>470</v>
      </c>
      <c r="AP9" s="60" t="s">
        <v>548</v>
      </c>
      <c r="AQ9" s="60">
        <v>2</v>
      </c>
      <c r="AR9" s="60" t="s">
        <v>549</v>
      </c>
      <c r="AS9" s="60">
        <v>53.8</v>
      </c>
      <c r="AT9" s="60">
        <v>58</v>
      </c>
      <c r="AU9" s="60" t="s">
        <v>264</v>
      </c>
      <c r="AV9" s="60">
        <v>-9999</v>
      </c>
      <c r="AW9" s="60">
        <v>377</v>
      </c>
      <c r="AX9" s="60">
        <v>398</v>
      </c>
      <c r="AY9" s="60">
        <v>376</v>
      </c>
      <c r="AZ9" s="60" t="s">
        <v>270</v>
      </c>
      <c r="BA9" s="60">
        <v>0</v>
      </c>
      <c r="BB9" s="60">
        <v>55</v>
      </c>
      <c r="BC9" s="60" t="s">
        <v>550</v>
      </c>
      <c r="BD9" s="60" t="s">
        <v>548</v>
      </c>
      <c r="BE9" s="60">
        <v>3</v>
      </c>
      <c r="BF9" s="60" t="s">
        <v>584</v>
      </c>
      <c r="BG9" s="60">
        <v>28.4</v>
      </c>
      <c r="BH9" s="60">
        <v>10</v>
      </c>
      <c r="BI9" s="60" t="s">
        <v>264</v>
      </c>
      <c r="BJ9" s="60">
        <v>-9999</v>
      </c>
      <c r="BK9" s="60">
        <v>88</v>
      </c>
      <c r="BL9" s="60">
        <v>123</v>
      </c>
      <c r="BM9" s="60">
        <v>92</v>
      </c>
      <c r="BN9" s="60" t="s">
        <v>270</v>
      </c>
      <c r="BO9" s="60">
        <v>0</v>
      </c>
      <c r="BP9" s="60">
        <v>55</v>
      </c>
      <c r="BQ9" s="60" t="s">
        <v>504</v>
      </c>
      <c r="BR9" s="60" t="s">
        <v>548</v>
      </c>
      <c r="BS9" s="60">
        <v>4</v>
      </c>
      <c r="BT9" s="60" t="s">
        <v>549</v>
      </c>
      <c r="BU9" s="60">
        <v>49.7</v>
      </c>
      <c r="BV9" s="60">
        <v>210</v>
      </c>
      <c r="BW9" s="60" t="s">
        <v>264</v>
      </c>
      <c r="BX9" s="60">
        <v>-9999</v>
      </c>
      <c r="BY9" s="60">
        <v>233</v>
      </c>
      <c r="BZ9" s="60">
        <v>270</v>
      </c>
      <c r="CA9" s="60">
        <v>231</v>
      </c>
      <c r="CB9" s="60" t="s">
        <v>270</v>
      </c>
      <c r="CC9" s="60">
        <v>0</v>
      </c>
      <c r="CD9" s="60">
        <v>55</v>
      </c>
      <c r="CE9" s="60" t="s">
        <v>471</v>
      </c>
      <c r="CF9" s="60" t="s">
        <v>548</v>
      </c>
      <c r="CG9" s="60">
        <v>5</v>
      </c>
      <c r="CH9" s="60" t="s">
        <v>549</v>
      </c>
      <c r="CI9" s="60">
        <v>48.3</v>
      </c>
      <c r="CJ9" s="60">
        <v>622</v>
      </c>
      <c r="CK9" s="60" t="s">
        <v>264</v>
      </c>
      <c r="CL9" s="60">
        <v>-9999</v>
      </c>
      <c r="CM9" s="60">
        <v>542</v>
      </c>
      <c r="CN9" s="60">
        <v>631</v>
      </c>
      <c r="CO9" s="60">
        <v>542</v>
      </c>
      <c r="CP9" s="60" t="s">
        <v>270</v>
      </c>
      <c r="CQ9" s="60">
        <v>0</v>
      </c>
      <c r="CR9" s="60">
        <v>55</v>
      </c>
      <c r="CS9" s="60" t="s">
        <v>472</v>
      </c>
      <c r="CT9" s="60" t="s">
        <v>548</v>
      </c>
      <c r="CU9" s="60">
        <v>6</v>
      </c>
      <c r="CV9" s="60" t="s">
        <v>549</v>
      </c>
      <c r="CW9" s="60">
        <v>50.2</v>
      </c>
      <c r="CX9" s="60">
        <v>308</v>
      </c>
      <c r="CY9" s="60" t="s">
        <v>264</v>
      </c>
      <c r="CZ9" s="60">
        <v>-9999</v>
      </c>
      <c r="DA9" s="60">
        <v>638</v>
      </c>
      <c r="DB9" s="60">
        <v>724</v>
      </c>
      <c r="DC9" s="60">
        <v>629</v>
      </c>
      <c r="DD9" s="60" t="s">
        <v>270</v>
      </c>
      <c r="DE9" s="60">
        <v>0</v>
      </c>
      <c r="DF9" s="60">
        <v>55</v>
      </c>
      <c r="DG9" s="60" t="s">
        <v>473</v>
      </c>
      <c r="DH9" s="60" t="s">
        <v>548</v>
      </c>
      <c r="DI9" s="60">
        <v>7</v>
      </c>
      <c r="DJ9" s="60" t="s">
        <v>549</v>
      </c>
      <c r="DK9" s="60">
        <v>0</v>
      </c>
      <c r="DL9" s="60">
        <v>32</v>
      </c>
      <c r="DM9" s="60" t="s">
        <v>264</v>
      </c>
      <c r="DN9" s="60">
        <v>-9999</v>
      </c>
      <c r="DO9" s="60">
        <v>543</v>
      </c>
      <c r="DP9" s="60">
        <v>627</v>
      </c>
      <c r="DQ9" s="60">
        <v>538</v>
      </c>
      <c r="DR9" s="60" t="s">
        <v>270</v>
      </c>
      <c r="DS9" s="60">
        <v>0</v>
      </c>
      <c r="DT9" s="60">
        <v>55</v>
      </c>
      <c r="DU9" s="60" t="s">
        <v>474</v>
      </c>
      <c r="DV9" s="60" t="s">
        <v>548</v>
      </c>
      <c r="DW9" s="60">
        <v>8</v>
      </c>
      <c r="DX9" s="60" t="s">
        <v>549</v>
      </c>
      <c r="DY9" s="60">
        <v>49.5</v>
      </c>
      <c r="DZ9" s="60">
        <v>80</v>
      </c>
      <c r="EA9" s="60" t="s">
        <v>264</v>
      </c>
      <c r="EB9" s="60">
        <v>-9999</v>
      </c>
      <c r="EC9" s="60">
        <v>117</v>
      </c>
      <c r="ED9" s="60">
        <v>141</v>
      </c>
      <c r="EE9" s="60">
        <v>115</v>
      </c>
      <c r="EF9" s="60" t="s">
        <v>270</v>
      </c>
      <c r="EG9" s="60">
        <v>0</v>
      </c>
      <c r="EH9" s="60">
        <v>55</v>
      </c>
      <c r="EI9" s="60" t="s">
        <v>475</v>
      </c>
      <c r="EJ9" s="60" t="s">
        <v>548</v>
      </c>
      <c r="EK9" s="60">
        <v>9</v>
      </c>
      <c r="EL9" s="60" t="s">
        <v>549</v>
      </c>
      <c r="EM9" s="60">
        <v>0</v>
      </c>
      <c r="EN9" s="60">
        <v>9</v>
      </c>
      <c r="EO9" s="60" t="s">
        <v>264</v>
      </c>
      <c r="EP9" s="60">
        <v>-9999</v>
      </c>
      <c r="EQ9" s="60">
        <v>346</v>
      </c>
      <c r="ER9" s="60">
        <v>324</v>
      </c>
      <c r="ES9" s="60">
        <v>300</v>
      </c>
      <c r="ET9" s="60" t="s">
        <v>270</v>
      </c>
      <c r="EU9" s="60">
        <v>0</v>
      </c>
      <c r="EV9" s="60">
        <v>55</v>
      </c>
      <c r="EW9" s="60" t="s">
        <v>551</v>
      </c>
      <c r="EX9" s="60" t="s">
        <v>552</v>
      </c>
      <c r="EY9" s="60">
        <v>159</v>
      </c>
      <c r="EZ9" s="60">
        <v>160</v>
      </c>
      <c r="FA9" s="60">
        <v>161</v>
      </c>
      <c r="FB9" s="60" t="s">
        <v>270</v>
      </c>
      <c r="FC9" s="60" t="s">
        <v>553</v>
      </c>
      <c r="FD9" s="60" t="s">
        <v>552</v>
      </c>
      <c r="FE9" s="60">
        <v>287</v>
      </c>
      <c r="FF9" s="60">
        <v>286</v>
      </c>
      <c r="FG9" s="60">
        <v>285</v>
      </c>
      <c r="FH9" s="60" t="s">
        <v>270</v>
      </c>
      <c r="FI9" s="60" t="s">
        <v>554</v>
      </c>
      <c r="FJ9" s="60" t="s">
        <v>555</v>
      </c>
      <c r="FK9" s="60">
        <v>0</v>
      </c>
      <c r="FL9" s="60">
        <v>0</v>
      </c>
      <c r="FM9" s="60">
        <v>0</v>
      </c>
      <c r="FN9" s="60" t="s">
        <v>264</v>
      </c>
      <c r="FQ9" s="60" t="s">
        <v>556</v>
      </c>
      <c r="FR9" s="60" t="s">
        <v>555</v>
      </c>
      <c r="FS9" s="60">
        <v>0</v>
      </c>
      <c r="FT9" s="60">
        <v>0</v>
      </c>
      <c r="FU9" s="60">
        <v>0</v>
      </c>
      <c r="FV9" s="60" t="s">
        <v>264</v>
      </c>
      <c r="FY9" s="60" t="s">
        <v>557</v>
      </c>
      <c r="FZ9" s="60" t="s">
        <v>555</v>
      </c>
      <c r="GA9" s="60">
        <v>0</v>
      </c>
      <c r="GB9" s="60">
        <v>0</v>
      </c>
      <c r="GC9" s="60">
        <v>0</v>
      </c>
      <c r="GD9" s="60" t="s">
        <v>264</v>
      </c>
      <c r="GG9" s="60" t="s">
        <v>558</v>
      </c>
      <c r="GH9" s="60" t="s">
        <v>555</v>
      </c>
      <c r="GI9" s="60">
        <v>0</v>
      </c>
      <c r="GJ9" s="60">
        <v>0</v>
      </c>
      <c r="GK9" s="60">
        <v>0</v>
      </c>
      <c r="GL9" s="60" t="s">
        <v>264</v>
      </c>
      <c r="GO9" s="60" t="s">
        <v>559</v>
      </c>
      <c r="GP9" s="60" t="s">
        <v>555</v>
      </c>
      <c r="GQ9" s="60">
        <v>0</v>
      </c>
      <c r="GR9" s="60">
        <v>0</v>
      </c>
      <c r="GS9" s="60">
        <v>0</v>
      </c>
      <c r="GT9" s="60" t="s">
        <v>264</v>
      </c>
      <c r="GW9" s="60" t="s">
        <v>560</v>
      </c>
      <c r="GX9" s="60" t="s">
        <v>555</v>
      </c>
      <c r="GY9" s="60">
        <v>0</v>
      </c>
      <c r="GZ9" s="60">
        <v>0</v>
      </c>
      <c r="HA9" s="60">
        <v>0</v>
      </c>
      <c r="HB9" s="60" t="s">
        <v>264</v>
      </c>
      <c r="HE9" s="60" t="s">
        <v>561</v>
      </c>
      <c r="HF9" s="60" t="s">
        <v>555</v>
      </c>
      <c r="HG9" s="60">
        <v>0</v>
      </c>
      <c r="HH9" s="60">
        <v>0</v>
      </c>
      <c r="HI9" s="60">
        <v>0</v>
      </c>
      <c r="HJ9" s="60" t="s">
        <v>264</v>
      </c>
      <c r="HK9" s="60">
        <v>72.400000000000006</v>
      </c>
      <c r="HL9" s="60">
        <v>13.5</v>
      </c>
      <c r="HM9" s="60" t="s">
        <v>562</v>
      </c>
      <c r="HN9" s="60" t="s">
        <v>555</v>
      </c>
      <c r="HO9" s="60">
        <v>0</v>
      </c>
      <c r="HP9" s="60">
        <v>0</v>
      </c>
      <c r="HQ9" s="60">
        <v>0</v>
      </c>
      <c r="HR9" s="60" t="s">
        <v>264</v>
      </c>
      <c r="HU9" s="60" t="s">
        <v>563</v>
      </c>
      <c r="HV9" s="60" t="s">
        <v>555</v>
      </c>
      <c r="HW9" s="60">
        <v>0</v>
      </c>
      <c r="HX9" s="60">
        <v>0</v>
      </c>
      <c r="HY9" s="60">
        <v>0</v>
      </c>
      <c r="HZ9" s="60" t="s">
        <v>264</v>
      </c>
      <c r="IC9" s="60" t="s">
        <v>564</v>
      </c>
      <c r="ID9" s="60" t="s">
        <v>555</v>
      </c>
      <c r="IE9" s="60">
        <v>0</v>
      </c>
      <c r="IF9" s="60">
        <v>0</v>
      </c>
      <c r="IG9" s="60">
        <v>0</v>
      </c>
      <c r="IH9" s="60" t="s">
        <v>264</v>
      </c>
      <c r="IK9" s="60" t="s">
        <v>565</v>
      </c>
      <c r="IL9" s="60" t="s">
        <v>555</v>
      </c>
      <c r="IM9" s="60">
        <v>0</v>
      </c>
      <c r="IN9" s="60">
        <v>0</v>
      </c>
      <c r="IO9" s="60">
        <v>0</v>
      </c>
      <c r="IP9" s="60" t="s">
        <v>264</v>
      </c>
      <c r="IS9" s="60" t="s">
        <v>566</v>
      </c>
      <c r="IT9" s="60" t="s">
        <v>555</v>
      </c>
      <c r="IU9" s="60">
        <v>0</v>
      </c>
      <c r="IV9" s="60">
        <v>0</v>
      </c>
      <c r="IW9" s="60">
        <v>0</v>
      </c>
      <c r="IX9" s="60" t="s">
        <v>264</v>
      </c>
      <c r="JA9" s="60" t="s">
        <v>567</v>
      </c>
      <c r="JB9" s="60" t="s">
        <v>555</v>
      </c>
      <c r="JC9" s="60">
        <v>0</v>
      </c>
      <c r="JD9" s="60">
        <v>0</v>
      </c>
      <c r="JE9" s="60">
        <v>0</v>
      </c>
      <c r="JF9" s="60" t="s">
        <v>264</v>
      </c>
      <c r="JI9" s="60" t="s">
        <v>568</v>
      </c>
      <c r="JJ9" s="60" t="s">
        <v>555</v>
      </c>
      <c r="JK9" s="60">
        <v>0</v>
      </c>
      <c r="JL9" s="60">
        <v>0</v>
      </c>
      <c r="JM9" s="60">
        <v>0</v>
      </c>
      <c r="JN9" s="60" t="s">
        <v>264</v>
      </c>
      <c r="JQ9" s="60" t="s">
        <v>569</v>
      </c>
      <c r="JR9" s="60" t="s">
        <v>555</v>
      </c>
      <c r="JS9" s="60">
        <v>0</v>
      </c>
      <c r="JT9" s="60">
        <v>0</v>
      </c>
      <c r="JU9" s="60">
        <v>0</v>
      </c>
      <c r="JV9" s="60" t="s">
        <v>264</v>
      </c>
      <c r="JY9" s="60" t="s">
        <v>570</v>
      </c>
      <c r="JZ9" s="60" t="s">
        <v>555</v>
      </c>
      <c r="KA9" s="60">
        <v>0</v>
      </c>
      <c r="KB9" s="60">
        <v>0</v>
      </c>
      <c r="KC9" s="60">
        <v>0</v>
      </c>
      <c r="KD9" s="60" t="s">
        <v>264</v>
      </c>
      <c r="KG9" s="60" t="s">
        <v>571</v>
      </c>
      <c r="KH9" s="60" t="s">
        <v>555</v>
      </c>
      <c r="KI9" s="60">
        <v>0</v>
      </c>
      <c r="KJ9" s="60">
        <v>0</v>
      </c>
      <c r="KK9" s="60">
        <v>0</v>
      </c>
      <c r="KL9" s="60" t="s">
        <v>264</v>
      </c>
      <c r="KO9" s="60" t="s">
        <v>572</v>
      </c>
      <c r="KP9" s="60" t="s">
        <v>555</v>
      </c>
      <c r="KQ9" s="60">
        <v>0</v>
      </c>
      <c r="KR9" s="60">
        <v>0</v>
      </c>
      <c r="KS9" s="60">
        <v>0</v>
      </c>
      <c r="KT9" s="60" t="s">
        <v>264</v>
      </c>
      <c r="KW9" s="60" t="s">
        <v>573</v>
      </c>
      <c r="KX9" s="60" t="s">
        <v>555</v>
      </c>
      <c r="KY9" s="60">
        <v>0</v>
      </c>
      <c r="KZ9" s="60">
        <v>0</v>
      </c>
      <c r="LA9" s="60">
        <v>0</v>
      </c>
      <c r="LB9" s="60" t="s">
        <v>264</v>
      </c>
      <c r="LE9" s="60" t="s">
        <v>574</v>
      </c>
      <c r="LF9" s="60" t="s">
        <v>555</v>
      </c>
      <c r="LG9" s="60">
        <v>0</v>
      </c>
      <c r="LH9" s="60">
        <v>0</v>
      </c>
      <c r="LI9" s="60">
        <v>0</v>
      </c>
      <c r="LJ9" s="60" t="s">
        <v>264</v>
      </c>
      <c r="LM9" s="60" t="s">
        <v>575</v>
      </c>
      <c r="LN9" s="60" t="s">
        <v>555</v>
      </c>
      <c r="LO9" s="60">
        <v>0</v>
      </c>
      <c r="LP9" s="60">
        <v>0</v>
      </c>
      <c r="LQ9" s="60">
        <v>0</v>
      </c>
      <c r="LR9" s="60" t="s">
        <v>264</v>
      </c>
      <c r="LU9" s="60" t="s">
        <v>576</v>
      </c>
      <c r="LV9" s="60" t="s">
        <v>555</v>
      </c>
      <c r="LW9" s="60">
        <v>0</v>
      </c>
      <c r="LX9" s="60">
        <v>0</v>
      </c>
      <c r="LY9" s="60">
        <v>0</v>
      </c>
      <c r="LZ9" s="60" t="s">
        <v>264</v>
      </c>
      <c r="MC9" s="60" t="s">
        <v>577</v>
      </c>
      <c r="MD9" s="60" t="s">
        <v>555</v>
      </c>
      <c r="ME9" s="60">
        <v>0</v>
      </c>
      <c r="MF9" s="60">
        <v>0</v>
      </c>
      <c r="MG9" s="60">
        <v>0</v>
      </c>
      <c r="MH9" s="60" t="s">
        <v>264</v>
      </c>
      <c r="MK9" s="60" t="s">
        <v>578</v>
      </c>
      <c r="ML9" s="60" t="s">
        <v>555</v>
      </c>
      <c r="MM9" s="60">
        <v>0</v>
      </c>
      <c r="MN9" s="60">
        <v>0</v>
      </c>
      <c r="MO9" s="60">
        <v>0</v>
      </c>
      <c r="MP9" s="60" t="s">
        <v>264</v>
      </c>
      <c r="MS9" s="60" t="s">
        <v>579</v>
      </c>
      <c r="MT9" s="60" t="s">
        <v>555</v>
      </c>
      <c r="MU9" s="60">
        <v>0</v>
      </c>
      <c r="MV9" s="60">
        <v>0</v>
      </c>
      <c r="MW9" s="60">
        <v>0</v>
      </c>
      <c r="MX9" s="60" t="s">
        <v>264</v>
      </c>
      <c r="NA9" s="60" t="s">
        <v>580</v>
      </c>
      <c r="NB9" s="60" t="s">
        <v>555</v>
      </c>
      <c r="NC9" s="60">
        <v>0</v>
      </c>
      <c r="ND9" s="60">
        <v>0</v>
      </c>
      <c r="NE9" s="60">
        <v>0</v>
      </c>
      <c r="NF9" s="60" t="s">
        <v>264</v>
      </c>
      <c r="NI9" s="60">
        <v>40</v>
      </c>
      <c r="NJ9" s="60">
        <v>-10.1</v>
      </c>
      <c r="NP9" s="60" t="s">
        <v>581</v>
      </c>
    </row>
    <row r="10" spans="1:380" x14ac:dyDescent="0.2">
      <c r="A10" s="60" t="s">
        <v>517</v>
      </c>
      <c r="B10" s="60">
        <v>1</v>
      </c>
      <c r="C10" s="60" t="s">
        <v>597</v>
      </c>
      <c r="D10" s="60">
        <v>646950163</v>
      </c>
      <c r="E10" s="60">
        <v>12602</v>
      </c>
      <c r="F10" s="60" t="s">
        <v>542</v>
      </c>
      <c r="G10" s="60">
        <v>750211</v>
      </c>
      <c r="H10" s="60">
        <v>210066030</v>
      </c>
      <c r="I10" s="60" t="s">
        <v>543</v>
      </c>
      <c r="J10" s="61" t="s">
        <v>598</v>
      </c>
      <c r="K10" s="60" t="s">
        <v>545</v>
      </c>
      <c r="L10" s="60" t="s">
        <v>294</v>
      </c>
      <c r="M10" s="60" t="s">
        <v>546</v>
      </c>
      <c r="N10" s="60" t="s">
        <v>468</v>
      </c>
      <c r="O10" s="60" t="s">
        <v>547</v>
      </c>
      <c r="P10" s="60" t="s">
        <v>270</v>
      </c>
      <c r="Q10" s="60">
        <v>27.1</v>
      </c>
      <c r="R10" s="60">
        <v>236</v>
      </c>
      <c r="S10" s="60" t="s">
        <v>270</v>
      </c>
      <c r="T10" s="60">
        <v>-9999</v>
      </c>
      <c r="U10" s="60">
        <v>524</v>
      </c>
      <c r="V10" s="60">
        <v>541</v>
      </c>
      <c r="W10" s="60">
        <v>515</v>
      </c>
      <c r="X10" s="60" t="s">
        <v>270</v>
      </c>
      <c r="Y10" s="60">
        <v>0</v>
      </c>
      <c r="Z10" s="60">
        <v>55</v>
      </c>
      <c r="AA10" s="60" t="s">
        <v>469</v>
      </c>
      <c r="AB10" s="60" t="s">
        <v>548</v>
      </c>
      <c r="AC10" s="60">
        <v>1</v>
      </c>
      <c r="AD10" s="60" t="s">
        <v>549</v>
      </c>
      <c r="AE10" s="60">
        <v>0</v>
      </c>
      <c r="AF10" s="60">
        <v>45</v>
      </c>
      <c r="AG10" s="60" t="s">
        <v>264</v>
      </c>
      <c r="AH10" s="60">
        <v>-9999</v>
      </c>
      <c r="AI10" s="60">
        <v>416</v>
      </c>
      <c r="AJ10" s="60">
        <v>521</v>
      </c>
      <c r="AK10" s="60">
        <v>414</v>
      </c>
      <c r="AL10" s="60" t="s">
        <v>270</v>
      </c>
      <c r="AM10" s="60">
        <v>0</v>
      </c>
      <c r="AN10" s="60">
        <v>55</v>
      </c>
      <c r="AO10" s="60" t="s">
        <v>470</v>
      </c>
      <c r="AP10" s="60" t="s">
        <v>548</v>
      </c>
      <c r="AQ10" s="60">
        <v>2</v>
      </c>
      <c r="AR10" s="60" t="s">
        <v>549</v>
      </c>
      <c r="AS10" s="60">
        <v>0</v>
      </c>
      <c r="AT10" s="60">
        <v>37</v>
      </c>
      <c r="AU10" s="60" t="s">
        <v>264</v>
      </c>
      <c r="AV10" s="60">
        <v>-9999</v>
      </c>
      <c r="AW10" s="60">
        <v>385</v>
      </c>
      <c r="AX10" s="60">
        <v>404</v>
      </c>
      <c r="AY10" s="60">
        <v>383</v>
      </c>
      <c r="AZ10" s="60" t="s">
        <v>270</v>
      </c>
      <c r="BA10" s="60">
        <v>0</v>
      </c>
      <c r="BB10" s="60">
        <v>55</v>
      </c>
      <c r="BC10" s="60" t="s">
        <v>550</v>
      </c>
      <c r="BD10" s="60" t="s">
        <v>548</v>
      </c>
      <c r="BE10" s="60">
        <v>3</v>
      </c>
      <c r="BF10" s="60" t="s">
        <v>549</v>
      </c>
      <c r="BG10" s="60">
        <v>0</v>
      </c>
      <c r="BH10" s="60">
        <v>-13</v>
      </c>
      <c r="BI10" s="60" t="s">
        <v>264</v>
      </c>
      <c r="BJ10" s="60">
        <v>-9999</v>
      </c>
      <c r="BK10" s="60">
        <v>223</v>
      </c>
      <c r="BL10" s="60">
        <v>266</v>
      </c>
      <c r="BM10" s="60">
        <v>220</v>
      </c>
      <c r="BN10" s="60" t="s">
        <v>270</v>
      </c>
      <c r="BO10" s="60">
        <v>0</v>
      </c>
      <c r="BP10" s="60">
        <v>55</v>
      </c>
      <c r="BQ10" s="60" t="s">
        <v>504</v>
      </c>
      <c r="BR10" s="60" t="s">
        <v>548</v>
      </c>
      <c r="BS10" s="60">
        <v>4</v>
      </c>
      <c r="BT10" s="60" t="s">
        <v>549</v>
      </c>
      <c r="BU10" s="60">
        <v>50.7</v>
      </c>
      <c r="BV10" s="60">
        <v>123</v>
      </c>
      <c r="BW10" s="60" t="s">
        <v>264</v>
      </c>
      <c r="BX10" s="60">
        <v>-9999</v>
      </c>
      <c r="BY10" s="60">
        <v>197</v>
      </c>
      <c r="BZ10" s="60">
        <v>229</v>
      </c>
      <c r="CA10" s="60">
        <v>195</v>
      </c>
      <c r="CB10" s="60" t="s">
        <v>270</v>
      </c>
      <c r="CC10" s="60">
        <v>0</v>
      </c>
      <c r="CD10" s="60">
        <v>55</v>
      </c>
      <c r="CE10" s="60" t="s">
        <v>471</v>
      </c>
      <c r="CF10" s="60" t="s">
        <v>548</v>
      </c>
      <c r="CG10" s="60">
        <v>5</v>
      </c>
      <c r="CH10" s="60" t="s">
        <v>549</v>
      </c>
      <c r="CI10" s="60">
        <v>49</v>
      </c>
      <c r="CJ10" s="60">
        <v>378</v>
      </c>
      <c r="CK10" s="60" t="s">
        <v>264</v>
      </c>
      <c r="CL10" s="60">
        <v>-9999</v>
      </c>
      <c r="CM10" s="60">
        <v>447</v>
      </c>
      <c r="CN10" s="60">
        <v>519</v>
      </c>
      <c r="CO10" s="60">
        <v>446</v>
      </c>
      <c r="CP10" s="60" t="s">
        <v>270</v>
      </c>
      <c r="CQ10" s="60">
        <v>0</v>
      </c>
      <c r="CR10" s="60">
        <v>55</v>
      </c>
      <c r="CS10" s="60" t="s">
        <v>472</v>
      </c>
      <c r="CT10" s="60" t="s">
        <v>548</v>
      </c>
      <c r="CU10" s="60">
        <v>6</v>
      </c>
      <c r="CV10" s="60" t="s">
        <v>549</v>
      </c>
      <c r="CW10" s="60">
        <v>51.5</v>
      </c>
      <c r="CX10" s="60">
        <v>178</v>
      </c>
      <c r="CY10" s="60" t="s">
        <v>264</v>
      </c>
      <c r="CZ10" s="60">
        <v>-9999</v>
      </c>
      <c r="DA10" s="60">
        <v>583</v>
      </c>
      <c r="DB10" s="60">
        <v>664</v>
      </c>
      <c r="DC10" s="60">
        <v>574</v>
      </c>
      <c r="DD10" s="60" t="s">
        <v>270</v>
      </c>
      <c r="DE10" s="60">
        <v>0</v>
      </c>
      <c r="DF10" s="60">
        <v>55</v>
      </c>
      <c r="DG10" s="60" t="s">
        <v>473</v>
      </c>
      <c r="DH10" s="60" t="s">
        <v>548</v>
      </c>
      <c r="DI10" s="60">
        <v>7</v>
      </c>
      <c r="DJ10" s="60" t="s">
        <v>549</v>
      </c>
      <c r="DK10" s="60">
        <v>0</v>
      </c>
      <c r="DL10" s="60">
        <v>43</v>
      </c>
      <c r="DM10" s="60" t="s">
        <v>264</v>
      </c>
      <c r="DN10" s="60">
        <v>-9999</v>
      </c>
      <c r="DO10" s="60">
        <v>427</v>
      </c>
      <c r="DP10" s="60">
        <v>490</v>
      </c>
      <c r="DQ10" s="60">
        <v>424</v>
      </c>
      <c r="DR10" s="60" t="s">
        <v>270</v>
      </c>
      <c r="DS10" s="60">
        <v>0</v>
      </c>
      <c r="DT10" s="60">
        <v>55</v>
      </c>
      <c r="DU10" s="60" t="s">
        <v>474</v>
      </c>
      <c r="DV10" s="60" t="s">
        <v>548</v>
      </c>
      <c r="DW10" s="60">
        <v>8</v>
      </c>
      <c r="DX10" s="60" t="s">
        <v>549</v>
      </c>
      <c r="DY10" s="60">
        <v>51.1</v>
      </c>
      <c r="DZ10" s="60">
        <v>34</v>
      </c>
      <c r="EA10" s="60" t="s">
        <v>264</v>
      </c>
      <c r="EB10" s="60">
        <v>-9999</v>
      </c>
      <c r="EC10" s="60">
        <v>109</v>
      </c>
      <c r="ED10" s="60">
        <v>133</v>
      </c>
      <c r="EE10" s="60">
        <v>108</v>
      </c>
      <c r="EF10" s="60" t="s">
        <v>270</v>
      </c>
      <c r="EG10" s="60">
        <v>0</v>
      </c>
      <c r="EH10" s="60">
        <v>55</v>
      </c>
      <c r="EI10" s="60" t="s">
        <v>475</v>
      </c>
      <c r="EJ10" s="60" t="s">
        <v>548</v>
      </c>
      <c r="EK10" s="60">
        <v>9</v>
      </c>
      <c r="EL10" s="60" t="s">
        <v>549</v>
      </c>
      <c r="EM10" s="60">
        <v>0</v>
      </c>
      <c r="EN10" s="60">
        <v>-2</v>
      </c>
      <c r="EO10" s="60" t="s">
        <v>264</v>
      </c>
      <c r="EP10" s="60">
        <v>-9999</v>
      </c>
      <c r="EQ10" s="60">
        <v>268</v>
      </c>
      <c r="ER10" s="60">
        <v>243</v>
      </c>
      <c r="ES10" s="60">
        <v>228</v>
      </c>
      <c r="ET10" s="60" t="s">
        <v>270</v>
      </c>
      <c r="EU10" s="60">
        <v>0</v>
      </c>
      <c r="EV10" s="60">
        <v>55</v>
      </c>
      <c r="EW10" s="60" t="s">
        <v>551</v>
      </c>
      <c r="EX10" s="60" t="s">
        <v>552</v>
      </c>
      <c r="EY10" s="60">
        <v>125</v>
      </c>
      <c r="EZ10" s="60">
        <v>127</v>
      </c>
      <c r="FA10" s="60">
        <v>128</v>
      </c>
      <c r="FB10" s="60" t="s">
        <v>270</v>
      </c>
      <c r="FC10" s="60" t="s">
        <v>553</v>
      </c>
      <c r="FD10" s="60" t="s">
        <v>552</v>
      </c>
      <c r="FE10" s="60">
        <v>306</v>
      </c>
      <c r="FF10" s="60">
        <v>304</v>
      </c>
      <c r="FG10" s="60">
        <v>303</v>
      </c>
      <c r="FH10" s="60" t="s">
        <v>270</v>
      </c>
      <c r="FI10" s="60" t="s">
        <v>554</v>
      </c>
      <c r="FJ10" s="60" t="s">
        <v>555</v>
      </c>
      <c r="FK10" s="60">
        <v>0</v>
      </c>
      <c r="FL10" s="60">
        <v>0</v>
      </c>
      <c r="FM10" s="60">
        <v>0</v>
      </c>
      <c r="FN10" s="60" t="s">
        <v>264</v>
      </c>
      <c r="FQ10" s="60" t="s">
        <v>556</v>
      </c>
      <c r="FR10" s="60" t="s">
        <v>555</v>
      </c>
      <c r="FS10" s="60">
        <v>0</v>
      </c>
      <c r="FT10" s="60">
        <v>0</v>
      </c>
      <c r="FU10" s="60">
        <v>0</v>
      </c>
      <c r="FV10" s="60" t="s">
        <v>264</v>
      </c>
      <c r="FY10" s="60" t="s">
        <v>557</v>
      </c>
      <c r="FZ10" s="60" t="s">
        <v>555</v>
      </c>
      <c r="GA10" s="60">
        <v>0</v>
      </c>
      <c r="GB10" s="60">
        <v>0</v>
      </c>
      <c r="GC10" s="60">
        <v>0</v>
      </c>
      <c r="GD10" s="60" t="s">
        <v>264</v>
      </c>
      <c r="GG10" s="60" t="s">
        <v>558</v>
      </c>
      <c r="GH10" s="60" t="s">
        <v>555</v>
      </c>
      <c r="GI10" s="60">
        <v>0</v>
      </c>
      <c r="GJ10" s="60">
        <v>0</v>
      </c>
      <c r="GK10" s="60">
        <v>0</v>
      </c>
      <c r="GL10" s="60" t="s">
        <v>264</v>
      </c>
      <c r="GO10" s="60" t="s">
        <v>559</v>
      </c>
      <c r="GP10" s="60" t="s">
        <v>555</v>
      </c>
      <c r="GQ10" s="60">
        <v>0</v>
      </c>
      <c r="GR10" s="60">
        <v>0</v>
      </c>
      <c r="GS10" s="60">
        <v>0</v>
      </c>
      <c r="GT10" s="60" t="s">
        <v>264</v>
      </c>
      <c r="GW10" s="60" t="s">
        <v>560</v>
      </c>
      <c r="GX10" s="60" t="s">
        <v>555</v>
      </c>
      <c r="GY10" s="60">
        <v>0</v>
      </c>
      <c r="GZ10" s="60">
        <v>0</v>
      </c>
      <c r="HA10" s="60">
        <v>0</v>
      </c>
      <c r="HB10" s="60" t="s">
        <v>264</v>
      </c>
      <c r="HE10" s="60" t="s">
        <v>561</v>
      </c>
      <c r="HF10" s="60" t="s">
        <v>555</v>
      </c>
      <c r="HG10" s="60">
        <v>0</v>
      </c>
      <c r="HH10" s="60">
        <v>0</v>
      </c>
      <c r="HI10" s="60">
        <v>0</v>
      </c>
      <c r="HJ10" s="60" t="s">
        <v>264</v>
      </c>
      <c r="HM10" s="60" t="s">
        <v>562</v>
      </c>
      <c r="HN10" s="60" t="s">
        <v>555</v>
      </c>
      <c r="HO10" s="60">
        <v>0</v>
      </c>
      <c r="HP10" s="60">
        <v>0</v>
      </c>
      <c r="HQ10" s="60">
        <v>0</v>
      </c>
      <c r="HR10" s="60" t="s">
        <v>264</v>
      </c>
      <c r="HU10" s="60" t="s">
        <v>563</v>
      </c>
      <c r="HV10" s="60" t="s">
        <v>555</v>
      </c>
      <c r="HW10" s="60">
        <v>0</v>
      </c>
      <c r="HX10" s="60">
        <v>0</v>
      </c>
      <c r="HY10" s="60">
        <v>0</v>
      </c>
      <c r="HZ10" s="60" t="s">
        <v>264</v>
      </c>
      <c r="IC10" s="60" t="s">
        <v>564</v>
      </c>
      <c r="ID10" s="60" t="s">
        <v>555</v>
      </c>
      <c r="IE10" s="60">
        <v>0</v>
      </c>
      <c r="IF10" s="60">
        <v>0</v>
      </c>
      <c r="IG10" s="60">
        <v>0</v>
      </c>
      <c r="IH10" s="60" t="s">
        <v>264</v>
      </c>
      <c r="IK10" s="60" t="s">
        <v>565</v>
      </c>
      <c r="IL10" s="60" t="s">
        <v>555</v>
      </c>
      <c r="IM10" s="60">
        <v>0</v>
      </c>
      <c r="IN10" s="60">
        <v>0</v>
      </c>
      <c r="IO10" s="60">
        <v>0</v>
      </c>
      <c r="IP10" s="60" t="s">
        <v>264</v>
      </c>
      <c r="IS10" s="60" t="s">
        <v>566</v>
      </c>
      <c r="IT10" s="60" t="s">
        <v>555</v>
      </c>
      <c r="IU10" s="60">
        <v>0</v>
      </c>
      <c r="IV10" s="60">
        <v>0</v>
      </c>
      <c r="IW10" s="60">
        <v>0</v>
      </c>
      <c r="IX10" s="60" t="s">
        <v>264</v>
      </c>
      <c r="JA10" s="60" t="s">
        <v>567</v>
      </c>
      <c r="JB10" s="60" t="s">
        <v>555</v>
      </c>
      <c r="JC10" s="60">
        <v>0</v>
      </c>
      <c r="JD10" s="60">
        <v>0</v>
      </c>
      <c r="JE10" s="60">
        <v>0</v>
      </c>
      <c r="JF10" s="60" t="s">
        <v>264</v>
      </c>
      <c r="JI10" s="60" t="s">
        <v>568</v>
      </c>
      <c r="JJ10" s="60" t="s">
        <v>555</v>
      </c>
      <c r="JK10" s="60">
        <v>0</v>
      </c>
      <c r="JL10" s="60">
        <v>0</v>
      </c>
      <c r="JM10" s="60">
        <v>0</v>
      </c>
      <c r="JN10" s="60" t="s">
        <v>264</v>
      </c>
      <c r="JQ10" s="60" t="s">
        <v>569</v>
      </c>
      <c r="JR10" s="60" t="s">
        <v>555</v>
      </c>
      <c r="JS10" s="60">
        <v>0</v>
      </c>
      <c r="JT10" s="60">
        <v>0</v>
      </c>
      <c r="JU10" s="60">
        <v>0</v>
      </c>
      <c r="JV10" s="60" t="s">
        <v>264</v>
      </c>
      <c r="JY10" s="60" t="s">
        <v>570</v>
      </c>
      <c r="JZ10" s="60" t="s">
        <v>555</v>
      </c>
      <c r="KA10" s="60">
        <v>0</v>
      </c>
      <c r="KB10" s="60">
        <v>0</v>
      </c>
      <c r="KC10" s="60">
        <v>0</v>
      </c>
      <c r="KD10" s="60" t="s">
        <v>264</v>
      </c>
      <c r="KG10" s="60" t="s">
        <v>571</v>
      </c>
      <c r="KH10" s="60" t="s">
        <v>555</v>
      </c>
      <c r="KI10" s="60">
        <v>0</v>
      </c>
      <c r="KJ10" s="60">
        <v>0</v>
      </c>
      <c r="KK10" s="60">
        <v>0</v>
      </c>
      <c r="KL10" s="60" t="s">
        <v>264</v>
      </c>
      <c r="KO10" s="60" t="s">
        <v>572</v>
      </c>
      <c r="KP10" s="60" t="s">
        <v>555</v>
      </c>
      <c r="KQ10" s="60">
        <v>0</v>
      </c>
      <c r="KR10" s="60">
        <v>0</v>
      </c>
      <c r="KS10" s="60">
        <v>0</v>
      </c>
      <c r="KT10" s="60" t="s">
        <v>264</v>
      </c>
      <c r="KW10" s="60" t="s">
        <v>573</v>
      </c>
      <c r="KX10" s="60" t="s">
        <v>555</v>
      </c>
      <c r="KY10" s="60">
        <v>0</v>
      </c>
      <c r="KZ10" s="60">
        <v>0</v>
      </c>
      <c r="LA10" s="60">
        <v>0</v>
      </c>
      <c r="LB10" s="60" t="s">
        <v>264</v>
      </c>
      <c r="LE10" s="60" t="s">
        <v>574</v>
      </c>
      <c r="LF10" s="60" t="s">
        <v>555</v>
      </c>
      <c r="LG10" s="60">
        <v>0</v>
      </c>
      <c r="LH10" s="60">
        <v>0</v>
      </c>
      <c r="LI10" s="60">
        <v>0</v>
      </c>
      <c r="LJ10" s="60" t="s">
        <v>264</v>
      </c>
      <c r="LM10" s="60" t="s">
        <v>575</v>
      </c>
      <c r="LN10" s="60" t="s">
        <v>555</v>
      </c>
      <c r="LO10" s="60">
        <v>0</v>
      </c>
      <c r="LP10" s="60">
        <v>0</v>
      </c>
      <c r="LQ10" s="60">
        <v>0</v>
      </c>
      <c r="LR10" s="60" t="s">
        <v>264</v>
      </c>
      <c r="LU10" s="60" t="s">
        <v>576</v>
      </c>
      <c r="LV10" s="60" t="s">
        <v>555</v>
      </c>
      <c r="LW10" s="60">
        <v>0</v>
      </c>
      <c r="LX10" s="60">
        <v>0</v>
      </c>
      <c r="LY10" s="60">
        <v>0</v>
      </c>
      <c r="LZ10" s="60" t="s">
        <v>264</v>
      </c>
      <c r="MC10" s="60" t="s">
        <v>577</v>
      </c>
      <c r="MD10" s="60" t="s">
        <v>555</v>
      </c>
      <c r="ME10" s="60">
        <v>0</v>
      </c>
      <c r="MF10" s="60">
        <v>0</v>
      </c>
      <c r="MG10" s="60">
        <v>0</v>
      </c>
      <c r="MH10" s="60" t="s">
        <v>264</v>
      </c>
      <c r="MK10" s="60" t="s">
        <v>578</v>
      </c>
      <c r="ML10" s="60" t="s">
        <v>555</v>
      </c>
      <c r="MM10" s="60">
        <v>0</v>
      </c>
      <c r="MN10" s="60">
        <v>0</v>
      </c>
      <c r="MO10" s="60">
        <v>0</v>
      </c>
      <c r="MP10" s="60" t="s">
        <v>264</v>
      </c>
      <c r="MS10" s="60" t="s">
        <v>579</v>
      </c>
      <c r="MT10" s="60" t="s">
        <v>555</v>
      </c>
      <c r="MU10" s="60">
        <v>0</v>
      </c>
      <c r="MV10" s="60">
        <v>0</v>
      </c>
      <c r="MW10" s="60">
        <v>0</v>
      </c>
      <c r="MX10" s="60" t="s">
        <v>264</v>
      </c>
      <c r="NA10" s="60" t="s">
        <v>580</v>
      </c>
      <c r="NB10" s="60" t="s">
        <v>555</v>
      </c>
      <c r="NC10" s="60">
        <v>0</v>
      </c>
      <c r="ND10" s="60">
        <v>0</v>
      </c>
      <c r="NE10" s="60">
        <v>0</v>
      </c>
      <c r="NF10" s="60" t="s">
        <v>264</v>
      </c>
      <c r="NI10" s="60">
        <v>40</v>
      </c>
      <c r="NJ10" s="60">
        <v>-12</v>
      </c>
      <c r="NP10" s="60" t="s">
        <v>581</v>
      </c>
    </row>
    <row r="11" spans="1:380" x14ac:dyDescent="0.2">
      <c r="A11" s="60" t="s">
        <v>517</v>
      </c>
      <c r="B11" s="60">
        <v>1</v>
      </c>
      <c r="C11" s="60" t="s">
        <v>599</v>
      </c>
      <c r="D11" s="60">
        <v>646950167</v>
      </c>
      <c r="E11" s="60">
        <v>12602</v>
      </c>
      <c r="F11" s="60" t="s">
        <v>542</v>
      </c>
      <c r="G11" s="60">
        <v>750211</v>
      </c>
      <c r="H11" s="60">
        <v>914188</v>
      </c>
      <c r="I11" s="60" t="s">
        <v>543</v>
      </c>
      <c r="J11" s="61" t="s">
        <v>600</v>
      </c>
      <c r="K11" s="60" t="s">
        <v>545</v>
      </c>
      <c r="L11" s="60" t="s">
        <v>294</v>
      </c>
      <c r="M11" s="60" t="s">
        <v>546</v>
      </c>
      <c r="N11" s="60" t="s">
        <v>468</v>
      </c>
      <c r="O11" s="60" t="s">
        <v>547</v>
      </c>
      <c r="P11" s="60" t="s">
        <v>270</v>
      </c>
      <c r="Q11" s="60">
        <v>28.6</v>
      </c>
      <c r="R11" s="60">
        <v>220</v>
      </c>
      <c r="S11" s="60" t="s">
        <v>270</v>
      </c>
      <c r="T11" s="60">
        <v>-9999</v>
      </c>
      <c r="U11" s="60">
        <v>548</v>
      </c>
      <c r="V11" s="60">
        <v>567</v>
      </c>
      <c r="W11" s="60">
        <v>540</v>
      </c>
      <c r="X11" s="60" t="s">
        <v>270</v>
      </c>
      <c r="Y11" s="60">
        <v>0</v>
      </c>
      <c r="Z11" s="60">
        <v>55</v>
      </c>
      <c r="AA11" s="60" t="s">
        <v>469</v>
      </c>
      <c r="AB11" s="60" t="s">
        <v>548</v>
      </c>
      <c r="AC11" s="60">
        <v>1</v>
      </c>
      <c r="AD11" s="60" t="s">
        <v>549</v>
      </c>
      <c r="AE11" s="60">
        <v>0</v>
      </c>
      <c r="AF11" s="60">
        <v>24</v>
      </c>
      <c r="AG11" s="60" t="s">
        <v>264</v>
      </c>
      <c r="AH11" s="60">
        <v>-9999</v>
      </c>
      <c r="AI11" s="60">
        <v>437</v>
      </c>
      <c r="AJ11" s="60">
        <v>555</v>
      </c>
      <c r="AK11" s="60">
        <v>440</v>
      </c>
      <c r="AL11" s="60" t="s">
        <v>270</v>
      </c>
      <c r="AM11" s="60">
        <v>0</v>
      </c>
      <c r="AN11" s="60">
        <v>55</v>
      </c>
      <c r="AO11" s="60" t="s">
        <v>470</v>
      </c>
      <c r="AP11" s="60" t="s">
        <v>548</v>
      </c>
      <c r="AQ11" s="60">
        <v>2</v>
      </c>
      <c r="AR11" s="60" t="s">
        <v>549</v>
      </c>
      <c r="AS11" s="60">
        <v>0</v>
      </c>
      <c r="AT11" s="60">
        <v>30</v>
      </c>
      <c r="AU11" s="60" t="s">
        <v>264</v>
      </c>
      <c r="AV11" s="60">
        <v>-9999</v>
      </c>
      <c r="AW11" s="60">
        <v>391</v>
      </c>
      <c r="AX11" s="60">
        <v>411</v>
      </c>
      <c r="AY11" s="60">
        <v>391</v>
      </c>
      <c r="AZ11" s="60" t="s">
        <v>270</v>
      </c>
      <c r="BA11" s="60">
        <v>0</v>
      </c>
      <c r="BB11" s="60">
        <v>55</v>
      </c>
      <c r="BC11" s="60" t="s">
        <v>550</v>
      </c>
      <c r="BD11" s="60" t="s">
        <v>548</v>
      </c>
      <c r="BE11" s="60">
        <v>3</v>
      </c>
      <c r="BF11" s="60" t="s">
        <v>549</v>
      </c>
      <c r="BG11" s="60">
        <v>0</v>
      </c>
      <c r="BH11" s="60">
        <v>-2</v>
      </c>
      <c r="BI11" s="60" t="s">
        <v>264</v>
      </c>
      <c r="BJ11" s="60">
        <v>-9999</v>
      </c>
      <c r="BK11" s="60">
        <v>212</v>
      </c>
      <c r="BL11" s="60">
        <v>250</v>
      </c>
      <c r="BM11" s="60">
        <v>205</v>
      </c>
      <c r="BN11" s="60" t="s">
        <v>270</v>
      </c>
      <c r="BO11" s="60">
        <v>0</v>
      </c>
      <c r="BP11" s="60">
        <v>55</v>
      </c>
      <c r="BQ11" s="60" t="s">
        <v>504</v>
      </c>
      <c r="BR11" s="60" t="s">
        <v>548</v>
      </c>
      <c r="BS11" s="60">
        <v>4</v>
      </c>
      <c r="BT11" s="60" t="s">
        <v>549</v>
      </c>
      <c r="BU11" s="60">
        <v>52.2</v>
      </c>
      <c r="BV11" s="60">
        <v>92</v>
      </c>
      <c r="BW11" s="60" t="s">
        <v>264</v>
      </c>
      <c r="BX11" s="60">
        <v>-9999</v>
      </c>
      <c r="BY11" s="60">
        <v>220</v>
      </c>
      <c r="BZ11" s="60">
        <v>256</v>
      </c>
      <c r="CA11" s="60">
        <v>219</v>
      </c>
      <c r="CB11" s="60" t="s">
        <v>270</v>
      </c>
      <c r="CC11" s="60">
        <v>0</v>
      </c>
      <c r="CD11" s="60">
        <v>55</v>
      </c>
      <c r="CE11" s="60" t="s">
        <v>471</v>
      </c>
      <c r="CF11" s="60" t="s">
        <v>548</v>
      </c>
      <c r="CG11" s="60">
        <v>5</v>
      </c>
      <c r="CH11" s="60" t="s">
        <v>549</v>
      </c>
      <c r="CI11" s="60">
        <v>50.3</v>
      </c>
      <c r="CJ11" s="60">
        <v>256</v>
      </c>
      <c r="CK11" s="60" t="s">
        <v>264</v>
      </c>
      <c r="CL11" s="60">
        <v>-9999</v>
      </c>
      <c r="CM11" s="60">
        <v>477</v>
      </c>
      <c r="CN11" s="60">
        <v>552</v>
      </c>
      <c r="CO11" s="60">
        <v>475</v>
      </c>
      <c r="CP11" s="60" t="s">
        <v>270</v>
      </c>
      <c r="CQ11" s="60">
        <v>0</v>
      </c>
      <c r="CR11" s="60">
        <v>55</v>
      </c>
      <c r="CS11" s="60" t="s">
        <v>472</v>
      </c>
      <c r="CT11" s="60" t="s">
        <v>548</v>
      </c>
      <c r="CU11" s="60">
        <v>6</v>
      </c>
      <c r="CV11" s="60" t="s">
        <v>549</v>
      </c>
      <c r="CW11" s="60">
        <v>54.3</v>
      </c>
      <c r="CX11" s="60">
        <v>69</v>
      </c>
      <c r="CY11" s="60" t="s">
        <v>264</v>
      </c>
      <c r="CZ11" s="60">
        <v>-9999</v>
      </c>
      <c r="DA11" s="60">
        <v>786</v>
      </c>
      <c r="DB11" s="60">
        <v>892</v>
      </c>
      <c r="DC11" s="60">
        <v>774</v>
      </c>
      <c r="DD11" s="60" t="s">
        <v>270</v>
      </c>
      <c r="DE11" s="60">
        <v>0</v>
      </c>
      <c r="DF11" s="60">
        <v>55</v>
      </c>
      <c r="DG11" s="60" t="s">
        <v>473</v>
      </c>
      <c r="DH11" s="60" t="s">
        <v>548</v>
      </c>
      <c r="DI11" s="60">
        <v>7</v>
      </c>
      <c r="DJ11" s="60" t="s">
        <v>549</v>
      </c>
      <c r="DK11" s="60">
        <v>0</v>
      </c>
      <c r="DL11" s="60">
        <v>37</v>
      </c>
      <c r="DM11" s="60" t="s">
        <v>264</v>
      </c>
      <c r="DN11" s="60">
        <v>-9999</v>
      </c>
      <c r="DO11" s="60">
        <v>481</v>
      </c>
      <c r="DP11" s="60">
        <v>552</v>
      </c>
      <c r="DQ11" s="60">
        <v>478</v>
      </c>
      <c r="DR11" s="60" t="s">
        <v>270</v>
      </c>
      <c r="DS11" s="60">
        <v>0</v>
      </c>
      <c r="DT11" s="60">
        <v>55</v>
      </c>
      <c r="DU11" s="60" t="s">
        <v>474</v>
      </c>
      <c r="DV11" s="60" t="s">
        <v>548</v>
      </c>
      <c r="DW11" s="60">
        <v>8</v>
      </c>
      <c r="DX11" s="60" t="s">
        <v>549</v>
      </c>
      <c r="DY11" s="60">
        <v>0</v>
      </c>
      <c r="DZ11" s="60">
        <v>18</v>
      </c>
      <c r="EA11" s="60" t="s">
        <v>264</v>
      </c>
      <c r="EB11" s="60">
        <v>-9999</v>
      </c>
      <c r="EC11" s="60">
        <v>76</v>
      </c>
      <c r="ED11" s="60">
        <v>95</v>
      </c>
      <c r="EE11" s="60">
        <v>74</v>
      </c>
      <c r="EF11" s="60" t="s">
        <v>270</v>
      </c>
      <c r="EG11" s="60">
        <v>0</v>
      </c>
      <c r="EH11" s="60">
        <v>55</v>
      </c>
      <c r="EI11" s="60" t="s">
        <v>475</v>
      </c>
      <c r="EJ11" s="60" t="s">
        <v>548</v>
      </c>
      <c r="EK11" s="60">
        <v>9</v>
      </c>
      <c r="EL11" s="60" t="s">
        <v>549</v>
      </c>
      <c r="EM11" s="60">
        <v>0</v>
      </c>
      <c r="EN11" s="60">
        <v>11</v>
      </c>
      <c r="EO11" s="60" t="s">
        <v>264</v>
      </c>
      <c r="EP11" s="60">
        <v>-9999</v>
      </c>
      <c r="EQ11" s="60">
        <v>234</v>
      </c>
      <c r="ER11" s="60">
        <v>202</v>
      </c>
      <c r="ES11" s="60">
        <v>188</v>
      </c>
      <c r="ET11" s="60" t="s">
        <v>270</v>
      </c>
      <c r="EU11" s="60">
        <v>0</v>
      </c>
      <c r="EV11" s="60">
        <v>55</v>
      </c>
      <c r="EW11" s="60" t="s">
        <v>551</v>
      </c>
      <c r="EX11" s="60" t="s">
        <v>552</v>
      </c>
      <c r="EY11" s="60">
        <v>133</v>
      </c>
      <c r="EZ11" s="60">
        <v>133</v>
      </c>
      <c r="FA11" s="60">
        <v>134</v>
      </c>
      <c r="FB11" s="60" t="s">
        <v>270</v>
      </c>
      <c r="FC11" s="60" t="s">
        <v>553</v>
      </c>
      <c r="FD11" s="60" t="s">
        <v>552</v>
      </c>
      <c r="FE11" s="60">
        <v>286</v>
      </c>
      <c r="FF11" s="60">
        <v>285</v>
      </c>
      <c r="FG11" s="60">
        <v>284</v>
      </c>
      <c r="FH11" s="60" t="s">
        <v>270</v>
      </c>
      <c r="FI11" s="60" t="s">
        <v>554</v>
      </c>
      <c r="FJ11" s="60" t="s">
        <v>555</v>
      </c>
      <c r="FK11" s="60">
        <v>0</v>
      </c>
      <c r="FL11" s="60">
        <v>0</v>
      </c>
      <c r="FM11" s="60">
        <v>0</v>
      </c>
      <c r="FN11" s="60" t="s">
        <v>264</v>
      </c>
      <c r="FQ11" s="60" t="s">
        <v>556</v>
      </c>
      <c r="FR11" s="60" t="s">
        <v>555</v>
      </c>
      <c r="FS11" s="60">
        <v>0</v>
      </c>
      <c r="FT11" s="60">
        <v>0</v>
      </c>
      <c r="FU11" s="60">
        <v>0</v>
      </c>
      <c r="FV11" s="60" t="s">
        <v>264</v>
      </c>
      <c r="FY11" s="60" t="s">
        <v>557</v>
      </c>
      <c r="FZ11" s="60" t="s">
        <v>555</v>
      </c>
      <c r="GA11" s="60">
        <v>0</v>
      </c>
      <c r="GB11" s="60">
        <v>0</v>
      </c>
      <c r="GC11" s="60">
        <v>0</v>
      </c>
      <c r="GD11" s="60" t="s">
        <v>264</v>
      </c>
      <c r="GG11" s="60" t="s">
        <v>558</v>
      </c>
      <c r="GH11" s="60" t="s">
        <v>555</v>
      </c>
      <c r="GI11" s="60">
        <v>0</v>
      </c>
      <c r="GJ11" s="60">
        <v>0</v>
      </c>
      <c r="GK11" s="60">
        <v>0</v>
      </c>
      <c r="GL11" s="60" t="s">
        <v>264</v>
      </c>
      <c r="GO11" s="60" t="s">
        <v>559</v>
      </c>
      <c r="GP11" s="60" t="s">
        <v>555</v>
      </c>
      <c r="GQ11" s="60">
        <v>0</v>
      </c>
      <c r="GR11" s="60">
        <v>0</v>
      </c>
      <c r="GS11" s="60">
        <v>0</v>
      </c>
      <c r="GT11" s="60" t="s">
        <v>264</v>
      </c>
      <c r="GW11" s="60" t="s">
        <v>560</v>
      </c>
      <c r="GX11" s="60" t="s">
        <v>555</v>
      </c>
      <c r="GY11" s="60">
        <v>0</v>
      </c>
      <c r="GZ11" s="60">
        <v>0</v>
      </c>
      <c r="HA11" s="60">
        <v>0</v>
      </c>
      <c r="HB11" s="60" t="s">
        <v>264</v>
      </c>
      <c r="HE11" s="60" t="s">
        <v>561</v>
      </c>
      <c r="HF11" s="60" t="s">
        <v>555</v>
      </c>
      <c r="HG11" s="60">
        <v>0</v>
      </c>
      <c r="HH11" s="60">
        <v>0</v>
      </c>
      <c r="HI11" s="60">
        <v>0</v>
      </c>
      <c r="HJ11" s="60" t="s">
        <v>264</v>
      </c>
      <c r="HM11" s="60" t="s">
        <v>562</v>
      </c>
      <c r="HN11" s="60" t="s">
        <v>555</v>
      </c>
      <c r="HO11" s="60">
        <v>0</v>
      </c>
      <c r="HP11" s="60">
        <v>0</v>
      </c>
      <c r="HQ11" s="60">
        <v>0</v>
      </c>
      <c r="HR11" s="60" t="s">
        <v>264</v>
      </c>
      <c r="HU11" s="60" t="s">
        <v>563</v>
      </c>
      <c r="HV11" s="60" t="s">
        <v>555</v>
      </c>
      <c r="HW11" s="60">
        <v>0</v>
      </c>
      <c r="HX11" s="60">
        <v>0</v>
      </c>
      <c r="HY11" s="60">
        <v>0</v>
      </c>
      <c r="HZ11" s="60" t="s">
        <v>264</v>
      </c>
      <c r="IC11" s="60" t="s">
        <v>564</v>
      </c>
      <c r="ID11" s="60" t="s">
        <v>555</v>
      </c>
      <c r="IE11" s="60">
        <v>0</v>
      </c>
      <c r="IF11" s="60">
        <v>0</v>
      </c>
      <c r="IG11" s="60">
        <v>0</v>
      </c>
      <c r="IH11" s="60" t="s">
        <v>264</v>
      </c>
      <c r="IK11" s="60" t="s">
        <v>565</v>
      </c>
      <c r="IL11" s="60" t="s">
        <v>555</v>
      </c>
      <c r="IM11" s="60">
        <v>0</v>
      </c>
      <c r="IN11" s="60">
        <v>0</v>
      </c>
      <c r="IO11" s="60">
        <v>0</v>
      </c>
      <c r="IP11" s="60" t="s">
        <v>264</v>
      </c>
      <c r="IS11" s="60" t="s">
        <v>566</v>
      </c>
      <c r="IT11" s="60" t="s">
        <v>555</v>
      </c>
      <c r="IU11" s="60">
        <v>0</v>
      </c>
      <c r="IV11" s="60">
        <v>0</v>
      </c>
      <c r="IW11" s="60">
        <v>0</v>
      </c>
      <c r="IX11" s="60" t="s">
        <v>264</v>
      </c>
      <c r="JA11" s="60" t="s">
        <v>567</v>
      </c>
      <c r="JB11" s="60" t="s">
        <v>555</v>
      </c>
      <c r="JC11" s="60">
        <v>0</v>
      </c>
      <c r="JD11" s="60">
        <v>0</v>
      </c>
      <c r="JE11" s="60">
        <v>0</v>
      </c>
      <c r="JF11" s="60" t="s">
        <v>264</v>
      </c>
      <c r="JI11" s="60" t="s">
        <v>568</v>
      </c>
      <c r="JJ11" s="60" t="s">
        <v>555</v>
      </c>
      <c r="JK11" s="60">
        <v>0</v>
      </c>
      <c r="JL11" s="60">
        <v>0</v>
      </c>
      <c r="JM11" s="60">
        <v>0</v>
      </c>
      <c r="JN11" s="60" t="s">
        <v>264</v>
      </c>
      <c r="JQ11" s="60" t="s">
        <v>569</v>
      </c>
      <c r="JR11" s="60" t="s">
        <v>555</v>
      </c>
      <c r="JS11" s="60">
        <v>0</v>
      </c>
      <c r="JT11" s="60">
        <v>0</v>
      </c>
      <c r="JU11" s="60">
        <v>0</v>
      </c>
      <c r="JV11" s="60" t="s">
        <v>264</v>
      </c>
      <c r="JY11" s="60" t="s">
        <v>570</v>
      </c>
      <c r="JZ11" s="60" t="s">
        <v>555</v>
      </c>
      <c r="KA11" s="60">
        <v>0</v>
      </c>
      <c r="KB11" s="60">
        <v>0</v>
      </c>
      <c r="KC11" s="60">
        <v>0</v>
      </c>
      <c r="KD11" s="60" t="s">
        <v>264</v>
      </c>
      <c r="KG11" s="60" t="s">
        <v>571</v>
      </c>
      <c r="KH11" s="60" t="s">
        <v>555</v>
      </c>
      <c r="KI11" s="60">
        <v>0</v>
      </c>
      <c r="KJ11" s="60">
        <v>0</v>
      </c>
      <c r="KK11" s="60">
        <v>0</v>
      </c>
      <c r="KL11" s="60" t="s">
        <v>264</v>
      </c>
      <c r="KO11" s="60" t="s">
        <v>572</v>
      </c>
      <c r="KP11" s="60" t="s">
        <v>555</v>
      </c>
      <c r="KQ11" s="60">
        <v>0</v>
      </c>
      <c r="KR11" s="60">
        <v>0</v>
      </c>
      <c r="KS11" s="60">
        <v>0</v>
      </c>
      <c r="KT11" s="60" t="s">
        <v>264</v>
      </c>
      <c r="KW11" s="60" t="s">
        <v>573</v>
      </c>
      <c r="KX11" s="60" t="s">
        <v>555</v>
      </c>
      <c r="KY11" s="60">
        <v>0</v>
      </c>
      <c r="KZ11" s="60">
        <v>0</v>
      </c>
      <c r="LA11" s="60">
        <v>0</v>
      </c>
      <c r="LB11" s="60" t="s">
        <v>264</v>
      </c>
      <c r="LE11" s="60" t="s">
        <v>574</v>
      </c>
      <c r="LF11" s="60" t="s">
        <v>555</v>
      </c>
      <c r="LG11" s="60">
        <v>0</v>
      </c>
      <c r="LH11" s="60">
        <v>0</v>
      </c>
      <c r="LI11" s="60">
        <v>0</v>
      </c>
      <c r="LJ11" s="60" t="s">
        <v>264</v>
      </c>
      <c r="LM11" s="60" t="s">
        <v>575</v>
      </c>
      <c r="LN11" s="60" t="s">
        <v>555</v>
      </c>
      <c r="LO11" s="60">
        <v>0</v>
      </c>
      <c r="LP11" s="60">
        <v>0</v>
      </c>
      <c r="LQ11" s="60">
        <v>0</v>
      </c>
      <c r="LR11" s="60" t="s">
        <v>264</v>
      </c>
      <c r="LU11" s="60" t="s">
        <v>576</v>
      </c>
      <c r="LV11" s="60" t="s">
        <v>555</v>
      </c>
      <c r="LW11" s="60">
        <v>0</v>
      </c>
      <c r="LX11" s="60">
        <v>0</v>
      </c>
      <c r="LY11" s="60">
        <v>0</v>
      </c>
      <c r="LZ11" s="60" t="s">
        <v>264</v>
      </c>
      <c r="MC11" s="60" t="s">
        <v>577</v>
      </c>
      <c r="MD11" s="60" t="s">
        <v>555</v>
      </c>
      <c r="ME11" s="60">
        <v>0</v>
      </c>
      <c r="MF11" s="60">
        <v>0</v>
      </c>
      <c r="MG11" s="60">
        <v>0</v>
      </c>
      <c r="MH11" s="60" t="s">
        <v>264</v>
      </c>
      <c r="MK11" s="60" t="s">
        <v>578</v>
      </c>
      <c r="ML11" s="60" t="s">
        <v>555</v>
      </c>
      <c r="MM11" s="60">
        <v>0</v>
      </c>
      <c r="MN11" s="60">
        <v>0</v>
      </c>
      <c r="MO11" s="60">
        <v>0</v>
      </c>
      <c r="MP11" s="60" t="s">
        <v>264</v>
      </c>
      <c r="MS11" s="60" t="s">
        <v>579</v>
      </c>
      <c r="MT11" s="60" t="s">
        <v>555</v>
      </c>
      <c r="MU11" s="60">
        <v>0</v>
      </c>
      <c r="MV11" s="60">
        <v>0</v>
      </c>
      <c r="MW11" s="60">
        <v>0</v>
      </c>
      <c r="MX11" s="60" t="s">
        <v>264</v>
      </c>
      <c r="NA11" s="60" t="s">
        <v>580</v>
      </c>
      <c r="NB11" s="60" t="s">
        <v>555</v>
      </c>
      <c r="NC11" s="60">
        <v>0</v>
      </c>
      <c r="ND11" s="60">
        <v>0</v>
      </c>
      <c r="NE11" s="60">
        <v>0</v>
      </c>
      <c r="NF11" s="60" t="s">
        <v>264</v>
      </c>
      <c r="NI11" s="60">
        <v>40.1</v>
      </c>
      <c r="NJ11" s="60">
        <v>-8.6</v>
      </c>
      <c r="NP11" s="60" t="s">
        <v>581</v>
      </c>
    </row>
    <row r="12" spans="1:380" customFormat="1" x14ac:dyDescent="0.2">
      <c r="D12" s="39"/>
      <c r="J12" s="149"/>
    </row>
    <row r="13" spans="1:380" customFormat="1" x14ac:dyDescent="0.2">
      <c r="J13" s="149"/>
    </row>
    <row r="14" spans="1:380" customFormat="1" x14ac:dyDescent="0.2">
      <c r="J14" s="149"/>
    </row>
    <row r="15" spans="1:380" customFormat="1" x14ac:dyDescent="0.2">
      <c r="A15" s="167"/>
      <c r="B15" s="167"/>
      <c r="C15" s="167"/>
      <c r="D15" s="167"/>
      <c r="E15" s="167"/>
      <c r="F15" s="167"/>
      <c r="G15" s="167"/>
      <c r="H15" s="167"/>
      <c r="I15" s="167"/>
      <c r="J15" s="168"/>
      <c r="K15" s="167"/>
      <c r="L15" s="167"/>
      <c r="M15" s="167"/>
      <c r="N15" s="167"/>
      <c r="O15" s="167"/>
      <c r="P15" s="167"/>
      <c r="Q15" s="167"/>
      <c r="R15" s="167"/>
      <c r="S15" s="167"/>
      <c r="T15" s="167"/>
      <c r="U15" s="167"/>
      <c r="V15" s="167"/>
      <c r="W15" s="167"/>
      <c r="X15" s="167"/>
      <c r="Y15" s="167"/>
      <c r="Z15" s="167"/>
      <c r="AA15" s="167"/>
      <c r="AB15" s="167"/>
      <c r="AC15" s="167"/>
      <c r="AD15" s="167"/>
      <c r="AE15" s="167"/>
      <c r="AF15" s="167"/>
      <c r="AG15" s="167"/>
      <c r="AH15" s="167"/>
      <c r="AI15" s="167"/>
      <c r="AJ15" s="167"/>
      <c r="AK15" s="167"/>
      <c r="AL15" s="167"/>
      <c r="AM15" s="167"/>
      <c r="AN15" s="167"/>
      <c r="AO15" s="167"/>
      <c r="AP15" s="167"/>
      <c r="AQ15" s="167"/>
      <c r="AR15" s="167"/>
      <c r="AS15" s="167"/>
      <c r="AT15" s="167"/>
      <c r="AU15" s="167"/>
      <c r="AV15" s="167"/>
      <c r="AW15" s="167"/>
      <c r="AX15" s="167"/>
      <c r="AY15" s="167"/>
      <c r="AZ15" s="167"/>
      <c r="BA15" s="167"/>
      <c r="BB15" s="167"/>
      <c r="BC15" s="167"/>
      <c r="BD15" s="167"/>
      <c r="BE15" s="167"/>
      <c r="BF15" s="167"/>
      <c r="BG15" s="167"/>
      <c r="BH15" s="167"/>
      <c r="BI15" s="167"/>
      <c r="BJ15" s="167"/>
      <c r="BK15" s="167"/>
      <c r="BL15" s="167"/>
      <c r="BM15" s="167"/>
      <c r="BN15" s="167"/>
      <c r="BO15" s="167"/>
      <c r="BP15" s="167"/>
      <c r="BQ15" s="167"/>
      <c r="BR15" s="167"/>
      <c r="BS15" s="167"/>
      <c r="BT15" s="167"/>
      <c r="BU15" s="167"/>
      <c r="BV15" s="167"/>
      <c r="BW15" s="167"/>
      <c r="BX15" s="167"/>
      <c r="BY15" s="167"/>
      <c r="BZ15" s="167"/>
      <c r="CA15" s="167"/>
      <c r="CB15" s="167"/>
      <c r="CC15" s="167"/>
      <c r="CD15" s="167"/>
      <c r="CE15" s="167"/>
      <c r="CF15" s="167"/>
      <c r="CG15" s="167"/>
      <c r="CH15" s="167"/>
      <c r="CI15" s="167"/>
      <c r="CJ15" s="167"/>
      <c r="CK15" s="167"/>
      <c r="CL15" s="167"/>
    </row>
    <row r="16" spans="1:380" customFormat="1" x14ac:dyDescent="0.2">
      <c r="A16" s="167"/>
      <c r="B16" s="167"/>
      <c r="C16" s="167"/>
      <c r="D16" s="167"/>
      <c r="E16" s="167"/>
      <c r="F16" s="167"/>
      <c r="G16" s="167"/>
      <c r="H16" s="167"/>
      <c r="I16" s="167"/>
      <c r="J16" s="168"/>
      <c r="K16" s="167"/>
      <c r="L16" s="167"/>
      <c r="M16" s="167"/>
      <c r="N16" s="167"/>
      <c r="O16" s="167"/>
      <c r="P16" s="167"/>
      <c r="Q16" s="167"/>
      <c r="R16" s="167"/>
      <c r="S16" s="167"/>
      <c r="T16" s="167"/>
      <c r="U16" s="167"/>
      <c r="V16" s="167"/>
      <c r="W16" s="167"/>
      <c r="X16" s="167"/>
      <c r="Y16" s="167"/>
      <c r="Z16" s="167"/>
      <c r="AA16" s="167"/>
      <c r="AB16" s="167"/>
      <c r="AC16" s="167"/>
      <c r="AD16" s="167"/>
      <c r="AE16" s="167"/>
      <c r="AF16" s="167"/>
      <c r="AG16" s="167"/>
      <c r="AH16" s="167"/>
      <c r="AI16" s="167"/>
      <c r="AJ16" s="167"/>
      <c r="AK16" s="167"/>
      <c r="AL16" s="167"/>
      <c r="AM16" s="167"/>
      <c r="AN16" s="167"/>
      <c r="AO16" s="167"/>
      <c r="AP16" s="167"/>
      <c r="AQ16" s="167"/>
      <c r="AR16" s="167"/>
      <c r="AS16" s="167"/>
      <c r="AT16" s="167"/>
      <c r="AU16" s="167"/>
      <c r="AV16" s="167"/>
      <c r="AW16" s="167"/>
      <c r="AX16" s="167"/>
      <c r="AY16" s="167"/>
      <c r="AZ16" s="167"/>
      <c r="BA16" s="167"/>
      <c r="BB16" s="167"/>
      <c r="BC16" s="167"/>
      <c r="BD16" s="167"/>
      <c r="BE16" s="167"/>
      <c r="BF16" s="167"/>
      <c r="BG16" s="167"/>
      <c r="BH16" s="167"/>
      <c r="BI16" s="167"/>
      <c r="BJ16" s="167"/>
      <c r="BK16" s="167"/>
      <c r="BL16" s="167"/>
      <c r="BM16" s="167"/>
      <c r="BN16" s="167"/>
      <c r="BO16" s="167"/>
      <c r="BP16" s="167"/>
      <c r="BQ16" s="167"/>
      <c r="BR16" s="167"/>
      <c r="BS16" s="167"/>
      <c r="BT16" s="167"/>
      <c r="BU16" s="167"/>
      <c r="BV16" s="167"/>
      <c r="BW16" s="167"/>
      <c r="BX16" s="167"/>
      <c r="BY16" s="167"/>
      <c r="BZ16" s="167"/>
      <c r="CA16" s="167"/>
      <c r="CB16" s="167"/>
      <c r="CC16" s="167"/>
      <c r="CD16" s="167"/>
      <c r="CE16" s="167"/>
      <c r="CF16" s="167"/>
      <c r="CG16" s="167"/>
      <c r="CH16" s="167"/>
      <c r="CI16" s="167"/>
      <c r="CJ16" s="167"/>
      <c r="CK16" s="167"/>
      <c r="CL16" s="167"/>
    </row>
    <row r="17" spans="1:90" customFormat="1" x14ac:dyDescent="0.2">
      <c r="A17" s="167"/>
      <c r="B17" s="167"/>
      <c r="C17" s="167"/>
      <c r="D17" s="167"/>
      <c r="E17" s="167"/>
      <c r="F17" s="167"/>
      <c r="G17" s="167"/>
      <c r="H17" s="167"/>
      <c r="I17" s="167"/>
      <c r="J17" s="168"/>
      <c r="K17" s="167"/>
      <c r="L17" s="167"/>
      <c r="M17" s="167"/>
      <c r="N17" s="167"/>
      <c r="O17" s="167"/>
      <c r="P17" s="167"/>
      <c r="Q17" s="167"/>
      <c r="R17" s="167"/>
      <c r="S17" s="167"/>
      <c r="T17" s="167"/>
      <c r="U17" s="167"/>
      <c r="V17" s="167"/>
      <c r="W17" s="167"/>
      <c r="X17" s="167"/>
      <c r="Y17" s="167"/>
      <c r="Z17" s="167"/>
      <c r="AA17" s="167"/>
      <c r="AB17" s="167"/>
      <c r="AC17" s="167"/>
      <c r="AD17" s="167"/>
      <c r="AE17" s="167"/>
      <c r="AF17" s="167"/>
      <c r="AG17" s="167"/>
      <c r="AH17" s="167"/>
      <c r="AI17" s="167"/>
      <c r="AJ17" s="167"/>
      <c r="AK17" s="167"/>
      <c r="AL17" s="167"/>
      <c r="AM17" s="167"/>
      <c r="AN17" s="167"/>
      <c r="AO17" s="167"/>
      <c r="AP17" s="167"/>
      <c r="AQ17" s="167"/>
      <c r="AR17" s="167"/>
      <c r="AS17" s="167"/>
      <c r="AT17" s="167"/>
      <c r="AU17" s="167"/>
      <c r="AV17" s="167"/>
      <c r="AW17" s="167"/>
      <c r="AX17" s="167"/>
      <c r="AY17" s="167"/>
      <c r="AZ17" s="167"/>
      <c r="BA17" s="167"/>
      <c r="BB17" s="167"/>
      <c r="BC17" s="167"/>
      <c r="BD17" s="167"/>
      <c r="BE17" s="167"/>
      <c r="BF17" s="167"/>
      <c r="BG17" s="167"/>
      <c r="BH17" s="167"/>
      <c r="BI17" s="167"/>
      <c r="BJ17" s="167"/>
      <c r="BK17" s="167"/>
      <c r="BL17" s="167"/>
      <c r="BM17" s="167"/>
      <c r="BN17" s="167"/>
      <c r="BO17" s="167"/>
      <c r="BP17" s="167"/>
      <c r="BQ17" s="167"/>
      <c r="BR17" s="167"/>
      <c r="BS17" s="167"/>
      <c r="BT17" s="167"/>
      <c r="BU17" s="167"/>
      <c r="BV17" s="167"/>
      <c r="BW17" s="167"/>
      <c r="BX17" s="167"/>
      <c r="BY17" s="167"/>
      <c r="BZ17" s="167"/>
      <c r="CA17" s="167"/>
      <c r="CB17" s="167"/>
      <c r="CC17" s="167"/>
      <c r="CD17" s="167"/>
      <c r="CE17" s="167"/>
      <c r="CF17" s="167"/>
      <c r="CG17" s="167"/>
      <c r="CH17" s="167"/>
      <c r="CI17" s="167"/>
      <c r="CJ17" s="167"/>
      <c r="CK17" s="167"/>
      <c r="CL17" s="167"/>
    </row>
    <row r="18" spans="1:90" customFormat="1" x14ac:dyDescent="0.2">
      <c r="A18" s="167"/>
      <c r="B18" s="167"/>
      <c r="C18" s="167"/>
      <c r="D18" s="167"/>
      <c r="E18" s="167"/>
      <c r="F18" s="167"/>
      <c r="G18" s="167"/>
      <c r="H18" s="167"/>
      <c r="I18" s="167"/>
      <c r="J18" s="168"/>
      <c r="K18" s="167"/>
      <c r="L18" s="167"/>
      <c r="M18" s="167"/>
      <c r="N18" s="167"/>
      <c r="O18" s="167"/>
      <c r="P18" s="167"/>
      <c r="Q18" s="167"/>
      <c r="R18" s="167"/>
      <c r="S18" s="167"/>
      <c r="T18" s="167"/>
      <c r="U18" s="167"/>
      <c r="V18" s="167"/>
      <c r="W18" s="167"/>
      <c r="X18" s="167"/>
      <c r="Y18" s="167"/>
      <c r="Z18" s="167"/>
      <c r="AA18" s="167"/>
      <c r="AB18" s="167"/>
      <c r="AC18" s="167"/>
      <c r="AD18" s="167"/>
      <c r="AE18" s="167"/>
      <c r="AF18" s="167"/>
      <c r="AG18" s="167"/>
      <c r="AH18" s="167"/>
      <c r="AI18" s="167"/>
      <c r="AJ18" s="167"/>
      <c r="AK18" s="167"/>
      <c r="AL18" s="167"/>
      <c r="AM18" s="167"/>
      <c r="AN18" s="167"/>
      <c r="AO18" s="167"/>
      <c r="AP18" s="167"/>
      <c r="AQ18" s="167"/>
      <c r="AR18" s="167"/>
      <c r="AS18" s="167"/>
      <c r="AT18" s="167"/>
      <c r="AU18" s="167"/>
      <c r="AV18" s="167"/>
      <c r="AW18" s="167"/>
      <c r="AX18" s="167"/>
      <c r="AY18" s="167"/>
      <c r="AZ18" s="167"/>
      <c r="BA18" s="167"/>
      <c r="BB18" s="167"/>
      <c r="BC18" s="167"/>
      <c r="BD18" s="167"/>
      <c r="BE18" s="167"/>
      <c r="BF18" s="167"/>
      <c r="BG18" s="167"/>
      <c r="BH18" s="167"/>
      <c r="BI18" s="167"/>
      <c r="BJ18" s="167"/>
      <c r="BK18" s="167"/>
      <c r="BL18" s="167"/>
      <c r="BM18" s="167"/>
      <c r="BN18" s="167"/>
      <c r="BO18" s="167"/>
      <c r="BP18" s="167"/>
      <c r="BQ18" s="167"/>
      <c r="BR18" s="167"/>
      <c r="BS18" s="167"/>
      <c r="BT18" s="167"/>
      <c r="BU18" s="167"/>
      <c r="BV18" s="167"/>
      <c r="BW18" s="167"/>
      <c r="BX18" s="167"/>
      <c r="BY18" s="167"/>
      <c r="BZ18" s="167"/>
      <c r="CA18" s="167"/>
      <c r="CB18" s="167"/>
      <c r="CC18" s="167"/>
      <c r="CD18" s="167"/>
      <c r="CE18" s="167"/>
      <c r="CF18" s="167"/>
      <c r="CG18" s="167"/>
      <c r="CH18" s="167"/>
      <c r="CI18" s="167"/>
      <c r="CJ18" s="167"/>
      <c r="CK18" s="167"/>
      <c r="CL18" s="167"/>
    </row>
    <row r="19" spans="1:90" customFormat="1" x14ac:dyDescent="0.2">
      <c r="A19" s="167"/>
      <c r="B19" s="167"/>
      <c r="C19" s="167"/>
      <c r="D19" s="167"/>
      <c r="E19" s="167"/>
      <c r="F19" s="167"/>
      <c r="G19" s="167"/>
      <c r="H19" s="167"/>
      <c r="I19" s="167"/>
      <c r="J19" s="168"/>
      <c r="K19" s="167"/>
      <c r="L19" s="167"/>
      <c r="M19" s="167"/>
      <c r="N19" s="167"/>
      <c r="O19" s="167"/>
      <c r="P19" s="167"/>
      <c r="Q19" s="167"/>
      <c r="R19" s="167"/>
      <c r="S19" s="167"/>
      <c r="T19" s="167"/>
      <c r="U19" s="167"/>
      <c r="V19" s="167"/>
      <c r="W19" s="167"/>
      <c r="X19" s="167"/>
      <c r="Y19" s="167"/>
      <c r="Z19" s="167"/>
      <c r="AA19" s="167"/>
      <c r="AB19" s="167"/>
      <c r="AC19" s="167"/>
      <c r="AD19" s="167"/>
      <c r="AE19" s="167"/>
      <c r="AF19" s="167"/>
      <c r="AG19" s="167"/>
      <c r="AH19" s="167"/>
      <c r="AI19" s="167"/>
      <c r="AJ19" s="167"/>
      <c r="AK19" s="167"/>
      <c r="AL19" s="167"/>
      <c r="AM19" s="167"/>
      <c r="AN19" s="167"/>
      <c r="AO19" s="167"/>
      <c r="AP19" s="167"/>
      <c r="AQ19" s="167"/>
      <c r="AR19" s="167"/>
      <c r="AS19" s="167"/>
      <c r="AT19" s="167"/>
      <c r="AU19" s="167"/>
      <c r="AV19" s="167"/>
      <c r="AW19" s="167"/>
      <c r="AX19" s="167"/>
      <c r="AY19" s="167"/>
      <c r="AZ19" s="167"/>
      <c r="BA19" s="167"/>
      <c r="BB19" s="167"/>
      <c r="BC19" s="167"/>
      <c r="BD19" s="167"/>
      <c r="BE19" s="167"/>
      <c r="BF19" s="167"/>
      <c r="BG19" s="167"/>
      <c r="BH19" s="167"/>
      <c r="BI19" s="167"/>
      <c r="BJ19" s="167"/>
      <c r="BK19" s="167"/>
      <c r="BL19" s="167"/>
      <c r="BM19" s="167"/>
      <c r="BN19" s="167"/>
      <c r="BO19" s="167"/>
      <c r="BP19" s="167"/>
      <c r="BQ19" s="167"/>
      <c r="BR19" s="167"/>
      <c r="BS19" s="167"/>
      <c r="BT19" s="167"/>
      <c r="BU19" s="167"/>
      <c r="BV19" s="167"/>
      <c r="BW19" s="167"/>
      <c r="BX19" s="167"/>
      <c r="BY19" s="167"/>
      <c r="BZ19" s="167"/>
      <c r="CA19" s="167"/>
      <c r="CB19" s="167"/>
      <c r="CC19" s="167"/>
      <c r="CD19" s="167"/>
      <c r="CE19" s="167"/>
      <c r="CF19" s="167"/>
      <c r="CG19" s="167"/>
      <c r="CH19" s="167"/>
      <c r="CI19" s="167"/>
      <c r="CJ19" s="167"/>
      <c r="CK19" s="167"/>
      <c r="CL19" s="167"/>
    </row>
    <row r="20" spans="1:90" customFormat="1" x14ac:dyDescent="0.2">
      <c r="A20" s="167"/>
      <c r="B20" s="167"/>
      <c r="C20" s="167"/>
      <c r="D20" s="167"/>
      <c r="E20" s="167"/>
      <c r="F20" s="167"/>
      <c r="G20" s="167"/>
      <c r="H20" s="167"/>
      <c r="I20" s="167"/>
      <c r="J20" s="168"/>
      <c r="K20" s="167"/>
      <c r="L20" s="167"/>
      <c r="M20" s="167"/>
      <c r="N20" s="167"/>
      <c r="O20" s="167"/>
      <c r="P20" s="167"/>
      <c r="Q20" s="167"/>
      <c r="R20" s="167"/>
      <c r="S20" s="167"/>
      <c r="T20" s="167"/>
      <c r="U20" s="167"/>
      <c r="V20" s="167"/>
      <c r="W20" s="167"/>
      <c r="X20" s="167"/>
      <c r="Y20" s="167"/>
      <c r="Z20" s="167"/>
      <c r="AA20" s="167"/>
      <c r="AB20" s="167"/>
      <c r="AC20" s="167"/>
      <c r="AD20" s="167"/>
      <c r="AE20" s="167"/>
      <c r="AF20" s="167"/>
      <c r="AG20" s="167"/>
      <c r="AH20" s="167"/>
      <c r="AI20" s="167"/>
      <c r="AJ20" s="167"/>
      <c r="AK20" s="167"/>
      <c r="AL20" s="167"/>
      <c r="AM20" s="167"/>
      <c r="AN20" s="167"/>
      <c r="AO20" s="167"/>
      <c r="AP20" s="167"/>
      <c r="AQ20" s="167"/>
      <c r="AR20" s="167"/>
      <c r="AS20" s="167"/>
      <c r="AT20" s="167"/>
      <c r="AU20" s="167"/>
      <c r="AV20" s="167"/>
      <c r="AW20" s="167"/>
      <c r="AX20" s="167"/>
      <c r="AY20" s="167"/>
      <c r="AZ20" s="167"/>
      <c r="BA20" s="167"/>
      <c r="BB20" s="167"/>
      <c r="BC20" s="167"/>
      <c r="BD20" s="167"/>
      <c r="BE20" s="167"/>
      <c r="BF20" s="167"/>
      <c r="BG20" s="167"/>
      <c r="BH20" s="167"/>
      <c r="BI20" s="167"/>
      <c r="BJ20" s="167"/>
      <c r="BK20" s="167"/>
      <c r="BL20" s="167"/>
      <c r="BM20" s="167"/>
      <c r="BN20" s="167"/>
      <c r="BO20" s="167"/>
      <c r="BP20" s="167"/>
      <c r="BQ20" s="167"/>
      <c r="BR20" s="167"/>
      <c r="BS20" s="167"/>
      <c r="BT20" s="167"/>
      <c r="BU20" s="167"/>
      <c r="BV20" s="167"/>
      <c r="BW20" s="167"/>
      <c r="BX20" s="167"/>
      <c r="BY20" s="167"/>
      <c r="BZ20" s="167"/>
      <c r="CA20" s="167"/>
      <c r="CB20" s="167"/>
      <c r="CC20" s="167"/>
      <c r="CD20" s="167"/>
      <c r="CE20" s="167"/>
      <c r="CF20" s="167"/>
      <c r="CG20" s="167"/>
      <c r="CH20" s="167"/>
      <c r="CI20" s="167"/>
      <c r="CJ20" s="167"/>
      <c r="CK20" s="167"/>
      <c r="CL20" s="167"/>
    </row>
    <row r="21" spans="1:90" customFormat="1" x14ac:dyDescent="0.2"/>
    <row r="22" spans="1:90" customFormat="1" x14ac:dyDescent="0.2"/>
    <row r="23" spans="1:90" customFormat="1" x14ac:dyDescent="0.2"/>
    <row r="24" spans="1:90" customFormat="1" x14ac:dyDescent="0.2"/>
    <row r="25" spans="1:90" customFormat="1" x14ac:dyDescent="0.2"/>
    <row r="26" spans="1:90" customFormat="1" x14ac:dyDescent="0.2"/>
    <row r="27" spans="1:90" customFormat="1" x14ac:dyDescent="0.2"/>
    <row r="28" spans="1:90" customFormat="1" x14ac:dyDescent="0.2"/>
    <row r="29" spans="1:90" customFormat="1" x14ac:dyDescent="0.2"/>
    <row r="30" spans="1:90" customFormat="1" x14ac:dyDescent="0.2"/>
    <row r="31" spans="1:90" customFormat="1" x14ac:dyDescent="0.2"/>
    <row r="32" spans="1:90" customFormat="1" x14ac:dyDescent="0.2"/>
    <row r="33" customFormat="1" x14ac:dyDescent="0.2"/>
    <row r="34" customFormat="1" x14ac:dyDescent="0.2"/>
    <row r="35" customFormat="1" x14ac:dyDescent="0.2"/>
    <row r="36" customFormat="1" x14ac:dyDescent="0.2"/>
    <row r="37" customFormat="1" x14ac:dyDescent="0.2"/>
    <row r="38" customFormat="1" x14ac:dyDescent="0.2"/>
    <row r="39" customFormat="1" x14ac:dyDescent="0.2"/>
    <row r="40" customFormat="1" x14ac:dyDescent="0.2"/>
    <row r="41" customFormat="1" x14ac:dyDescent="0.2"/>
    <row r="42" customFormat="1" x14ac:dyDescent="0.2"/>
    <row r="43" customFormat="1" x14ac:dyDescent="0.2"/>
    <row r="44" customFormat="1" x14ac:dyDescent="0.2"/>
    <row r="45" customFormat="1" x14ac:dyDescent="0.2"/>
    <row r="46" customFormat="1" x14ac:dyDescent="0.2"/>
    <row r="47" customFormat="1" x14ac:dyDescent="0.2"/>
    <row r="48" customFormat="1" x14ac:dyDescent="0.2"/>
    <row r="49" customFormat="1" x14ac:dyDescent="0.2"/>
    <row r="50" customFormat="1" x14ac:dyDescent="0.2"/>
    <row r="51" customFormat="1" x14ac:dyDescent="0.2"/>
    <row r="52" customFormat="1" x14ac:dyDescent="0.2"/>
    <row r="53" customFormat="1" x14ac:dyDescent="0.2"/>
    <row r="54" customFormat="1" x14ac:dyDescent="0.2"/>
    <row r="55" customFormat="1" x14ac:dyDescent="0.2"/>
    <row r="56" customFormat="1" x14ac:dyDescent="0.2"/>
    <row r="57" customFormat="1" x14ac:dyDescent="0.2"/>
    <row r="58" customFormat="1" x14ac:dyDescent="0.2"/>
    <row r="59" customFormat="1" x14ac:dyDescent="0.2"/>
    <row r="60" customFormat="1" x14ac:dyDescent="0.2"/>
    <row r="61" customFormat="1" x14ac:dyDescent="0.2"/>
    <row r="62" customFormat="1" x14ac:dyDescent="0.2"/>
    <row r="63" customFormat="1" x14ac:dyDescent="0.2"/>
    <row r="64" customFormat="1" x14ac:dyDescent="0.2"/>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row r="77" customFormat="1" x14ac:dyDescent="0.2"/>
    <row r="78" customFormat="1" x14ac:dyDescent="0.2"/>
    <row r="79" customFormat="1" x14ac:dyDescent="0.2"/>
    <row r="80" customFormat="1" x14ac:dyDescent="0.2"/>
    <row r="81" customFormat="1" x14ac:dyDescent="0.2"/>
    <row r="82" customFormat="1" x14ac:dyDescent="0.2"/>
    <row r="83" customFormat="1" x14ac:dyDescent="0.2"/>
    <row r="84" customFormat="1" x14ac:dyDescent="0.2"/>
    <row r="85" customFormat="1" x14ac:dyDescent="0.2"/>
    <row r="86" customFormat="1" x14ac:dyDescent="0.2"/>
    <row r="87" customFormat="1" x14ac:dyDescent="0.2"/>
    <row r="88" customFormat="1" x14ac:dyDescent="0.2"/>
    <row r="89" customFormat="1" x14ac:dyDescent="0.2"/>
    <row r="90" customFormat="1" x14ac:dyDescent="0.2"/>
    <row r="91" customFormat="1" x14ac:dyDescent="0.2"/>
    <row r="92" customFormat="1" x14ac:dyDescent="0.2"/>
    <row r="93" customFormat="1" x14ac:dyDescent="0.2"/>
    <row r="94" customFormat="1" x14ac:dyDescent="0.2"/>
    <row r="95" customFormat="1" x14ac:dyDescent="0.2"/>
    <row r="96" customFormat="1" x14ac:dyDescent="0.2"/>
    <row r="97" customFormat="1" x14ac:dyDescent="0.2"/>
    <row r="98" customFormat="1" x14ac:dyDescent="0.2"/>
    <row r="99" customFormat="1" x14ac:dyDescent="0.2"/>
    <row r="100" customFormat="1" x14ac:dyDescent="0.2"/>
    <row r="101" customFormat="1" x14ac:dyDescent="0.2"/>
    <row r="102" customFormat="1" x14ac:dyDescent="0.2"/>
    <row r="103" customFormat="1" x14ac:dyDescent="0.2"/>
    <row r="104" customFormat="1" x14ac:dyDescent="0.2"/>
    <row r="105" customFormat="1" x14ac:dyDescent="0.2"/>
    <row r="106" customFormat="1" x14ac:dyDescent="0.2"/>
    <row r="107" customFormat="1" x14ac:dyDescent="0.2"/>
    <row r="108" customFormat="1" x14ac:dyDescent="0.2"/>
    <row r="109" customFormat="1" x14ac:dyDescent="0.2"/>
    <row r="110" customFormat="1" x14ac:dyDescent="0.2"/>
    <row r="111" customFormat="1" x14ac:dyDescent="0.2"/>
    <row r="112"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row r="267" customFormat="1" x14ac:dyDescent="0.2"/>
    <row r="268" customFormat="1" x14ac:dyDescent="0.2"/>
    <row r="269" customFormat="1" x14ac:dyDescent="0.2"/>
    <row r="270" customFormat="1" x14ac:dyDescent="0.2"/>
    <row r="271" customFormat="1" x14ac:dyDescent="0.2"/>
    <row r="272" customFormat="1" x14ac:dyDescent="0.2"/>
    <row r="273" customFormat="1" x14ac:dyDescent="0.2"/>
    <row r="274" customFormat="1" x14ac:dyDescent="0.2"/>
    <row r="275" customFormat="1" x14ac:dyDescent="0.2"/>
    <row r="276" customFormat="1" x14ac:dyDescent="0.2"/>
    <row r="277" customFormat="1" x14ac:dyDescent="0.2"/>
    <row r="278" customFormat="1" x14ac:dyDescent="0.2"/>
    <row r="279" customFormat="1" x14ac:dyDescent="0.2"/>
    <row r="280" customFormat="1" x14ac:dyDescent="0.2"/>
    <row r="281" customFormat="1" x14ac:dyDescent="0.2"/>
    <row r="282" customFormat="1" x14ac:dyDescent="0.2"/>
    <row r="283" customFormat="1" x14ac:dyDescent="0.2"/>
    <row r="284" customFormat="1" x14ac:dyDescent="0.2"/>
    <row r="285" customFormat="1" x14ac:dyDescent="0.2"/>
    <row r="286" customFormat="1" x14ac:dyDescent="0.2"/>
    <row r="287" customFormat="1" x14ac:dyDescent="0.2"/>
    <row r="288" customFormat="1" x14ac:dyDescent="0.2"/>
    <row r="289" customFormat="1" x14ac:dyDescent="0.2"/>
    <row r="290" customFormat="1" x14ac:dyDescent="0.2"/>
    <row r="291" customFormat="1" x14ac:dyDescent="0.2"/>
    <row r="292" customFormat="1" x14ac:dyDescent="0.2"/>
    <row r="293" customFormat="1" x14ac:dyDescent="0.2"/>
    <row r="294" customFormat="1" x14ac:dyDescent="0.2"/>
    <row r="295" customFormat="1" x14ac:dyDescent="0.2"/>
    <row r="296" customFormat="1" x14ac:dyDescent="0.2"/>
    <row r="297" customFormat="1" x14ac:dyDescent="0.2"/>
    <row r="298" customFormat="1" x14ac:dyDescent="0.2"/>
    <row r="299" customFormat="1" x14ac:dyDescent="0.2"/>
    <row r="300" customFormat="1" x14ac:dyDescent="0.2"/>
    <row r="301" customFormat="1" x14ac:dyDescent="0.2"/>
    <row r="302" customFormat="1" x14ac:dyDescent="0.2"/>
    <row r="303" customFormat="1" x14ac:dyDescent="0.2"/>
    <row r="304" customFormat="1" x14ac:dyDescent="0.2"/>
    <row r="305" customFormat="1" x14ac:dyDescent="0.2"/>
    <row r="306" customFormat="1" x14ac:dyDescent="0.2"/>
    <row r="307" customFormat="1" x14ac:dyDescent="0.2"/>
    <row r="308" customFormat="1" x14ac:dyDescent="0.2"/>
    <row r="309" customFormat="1" x14ac:dyDescent="0.2"/>
    <row r="310" customFormat="1" x14ac:dyDescent="0.2"/>
    <row r="311" customFormat="1" x14ac:dyDescent="0.2"/>
    <row r="312" customFormat="1" x14ac:dyDescent="0.2"/>
    <row r="313" customFormat="1" x14ac:dyDescent="0.2"/>
    <row r="314" customFormat="1" x14ac:dyDescent="0.2"/>
    <row r="315" customFormat="1" x14ac:dyDescent="0.2"/>
    <row r="316" customFormat="1" x14ac:dyDescent="0.2"/>
    <row r="317" customFormat="1" x14ac:dyDescent="0.2"/>
    <row r="318" customFormat="1" x14ac:dyDescent="0.2"/>
    <row r="319" customFormat="1" x14ac:dyDescent="0.2"/>
    <row r="320" customFormat="1" x14ac:dyDescent="0.2"/>
    <row r="321" customFormat="1" x14ac:dyDescent="0.2"/>
    <row r="322" customFormat="1" x14ac:dyDescent="0.2"/>
    <row r="323" customFormat="1" x14ac:dyDescent="0.2"/>
    <row r="324" customFormat="1" x14ac:dyDescent="0.2"/>
    <row r="325" customFormat="1" x14ac:dyDescent="0.2"/>
    <row r="326" customFormat="1" x14ac:dyDescent="0.2"/>
    <row r="327" customFormat="1" x14ac:dyDescent="0.2"/>
    <row r="328" customFormat="1" x14ac:dyDescent="0.2"/>
    <row r="329" customFormat="1" x14ac:dyDescent="0.2"/>
    <row r="330" customFormat="1" x14ac:dyDescent="0.2"/>
    <row r="331" customFormat="1" x14ac:dyDescent="0.2"/>
    <row r="332" customFormat="1" x14ac:dyDescent="0.2"/>
    <row r="333" customFormat="1" x14ac:dyDescent="0.2"/>
    <row r="334" customFormat="1" x14ac:dyDescent="0.2"/>
    <row r="335" customFormat="1" x14ac:dyDescent="0.2"/>
    <row r="336" customFormat="1" x14ac:dyDescent="0.2"/>
    <row r="337" customFormat="1" x14ac:dyDescent="0.2"/>
    <row r="338" customFormat="1" x14ac:dyDescent="0.2"/>
    <row r="339" customFormat="1" x14ac:dyDescent="0.2"/>
    <row r="340" customFormat="1" x14ac:dyDescent="0.2"/>
    <row r="341" customFormat="1" x14ac:dyDescent="0.2"/>
    <row r="342" customFormat="1" x14ac:dyDescent="0.2"/>
    <row r="343" customFormat="1" x14ac:dyDescent="0.2"/>
    <row r="344" customFormat="1" x14ac:dyDescent="0.2"/>
    <row r="345" customFormat="1" x14ac:dyDescent="0.2"/>
    <row r="346" customFormat="1" x14ac:dyDescent="0.2"/>
    <row r="347" customFormat="1" x14ac:dyDescent="0.2"/>
    <row r="348" customFormat="1" x14ac:dyDescent="0.2"/>
    <row r="349" customFormat="1" x14ac:dyDescent="0.2"/>
    <row r="350" customFormat="1" x14ac:dyDescent="0.2"/>
    <row r="351" customFormat="1" x14ac:dyDescent="0.2"/>
    <row r="352" customFormat="1" x14ac:dyDescent="0.2"/>
    <row r="353" customFormat="1" x14ac:dyDescent="0.2"/>
    <row r="354" customFormat="1" x14ac:dyDescent="0.2"/>
    <row r="355" customFormat="1" x14ac:dyDescent="0.2"/>
    <row r="356" customFormat="1" x14ac:dyDescent="0.2"/>
    <row r="357" customFormat="1" x14ac:dyDescent="0.2"/>
    <row r="358" customFormat="1" x14ac:dyDescent="0.2"/>
    <row r="359" customFormat="1" x14ac:dyDescent="0.2"/>
    <row r="360" customFormat="1" x14ac:dyDescent="0.2"/>
    <row r="361" customFormat="1" x14ac:dyDescent="0.2"/>
    <row r="362" customFormat="1" x14ac:dyDescent="0.2"/>
    <row r="363" customFormat="1" x14ac:dyDescent="0.2"/>
    <row r="364" customFormat="1" x14ac:dyDescent="0.2"/>
    <row r="365" customFormat="1" x14ac:dyDescent="0.2"/>
    <row r="366" customFormat="1" x14ac:dyDescent="0.2"/>
    <row r="367" customFormat="1" x14ac:dyDescent="0.2"/>
    <row r="368" customFormat="1" x14ac:dyDescent="0.2"/>
    <row r="369" customFormat="1" x14ac:dyDescent="0.2"/>
    <row r="370" customFormat="1" x14ac:dyDescent="0.2"/>
    <row r="371" customFormat="1" x14ac:dyDescent="0.2"/>
    <row r="372" customFormat="1" x14ac:dyDescent="0.2"/>
    <row r="373" customFormat="1" x14ac:dyDescent="0.2"/>
    <row r="374" customFormat="1" x14ac:dyDescent="0.2"/>
    <row r="375" customFormat="1" x14ac:dyDescent="0.2"/>
    <row r="376" customFormat="1" x14ac:dyDescent="0.2"/>
    <row r="377" customFormat="1" x14ac:dyDescent="0.2"/>
    <row r="378" customFormat="1" x14ac:dyDescent="0.2"/>
    <row r="379" customFormat="1" x14ac:dyDescent="0.2"/>
    <row r="380" customFormat="1" x14ac:dyDescent="0.2"/>
    <row r="381" customFormat="1" x14ac:dyDescent="0.2"/>
    <row r="382" customFormat="1" x14ac:dyDescent="0.2"/>
    <row r="383" customFormat="1" x14ac:dyDescent="0.2"/>
    <row r="384" customFormat="1" x14ac:dyDescent="0.2"/>
    <row r="385" customFormat="1" x14ac:dyDescent="0.2"/>
    <row r="386" customFormat="1" x14ac:dyDescent="0.2"/>
    <row r="387" customFormat="1" x14ac:dyDescent="0.2"/>
    <row r="388" customFormat="1" x14ac:dyDescent="0.2"/>
    <row r="389" customFormat="1" x14ac:dyDescent="0.2"/>
    <row r="390" customFormat="1" x14ac:dyDescent="0.2"/>
    <row r="391" customFormat="1" x14ac:dyDescent="0.2"/>
    <row r="392" customFormat="1" x14ac:dyDescent="0.2"/>
    <row r="393" customFormat="1" x14ac:dyDescent="0.2"/>
    <row r="394" customFormat="1" x14ac:dyDescent="0.2"/>
    <row r="395" customFormat="1" x14ac:dyDescent="0.2"/>
    <row r="396" customFormat="1" x14ac:dyDescent="0.2"/>
    <row r="397" customFormat="1" x14ac:dyDescent="0.2"/>
    <row r="398" customFormat="1" x14ac:dyDescent="0.2"/>
    <row r="399" customFormat="1" x14ac:dyDescent="0.2"/>
    <row r="400" customFormat="1" x14ac:dyDescent="0.2"/>
    <row r="401" customFormat="1" x14ac:dyDescent="0.2"/>
    <row r="402" customFormat="1" x14ac:dyDescent="0.2"/>
    <row r="403" customFormat="1" x14ac:dyDescent="0.2"/>
    <row r="404" customFormat="1" x14ac:dyDescent="0.2"/>
    <row r="405" customFormat="1" x14ac:dyDescent="0.2"/>
    <row r="406" customFormat="1" x14ac:dyDescent="0.2"/>
    <row r="407" customFormat="1" x14ac:dyDescent="0.2"/>
    <row r="408" customFormat="1" x14ac:dyDescent="0.2"/>
    <row r="409" customFormat="1" x14ac:dyDescent="0.2"/>
    <row r="410" customFormat="1" x14ac:dyDescent="0.2"/>
    <row r="411" customFormat="1" x14ac:dyDescent="0.2"/>
    <row r="412" customFormat="1" x14ac:dyDescent="0.2"/>
    <row r="413" customFormat="1" x14ac:dyDescent="0.2"/>
    <row r="414" customFormat="1" x14ac:dyDescent="0.2"/>
    <row r="415" customFormat="1" x14ac:dyDescent="0.2"/>
    <row r="416" customFormat="1" x14ac:dyDescent="0.2"/>
    <row r="417" customFormat="1" x14ac:dyDescent="0.2"/>
    <row r="418" customFormat="1" x14ac:dyDescent="0.2"/>
    <row r="419" customFormat="1" x14ac:dyDescent="0.2"/>
    <row r="420" customFormat="1" x14ac:dyDescent="0.2"/>
    <row r="421" customFormat="1" x14ac:dyDescent="0.2"/>
    <row r="422" customFormat="1" x14ac:dyDescent="0.2"/>
    <row r="423" customFormat="1" x14ac:dyDescent="0.2"/>
    <row r="424" customFormat="1" x14ac:dyDescent="0.2"/>
    <row r="425" customFormat="1" x14ac:dyDescent="0.2"/>
    <row r="426" customFormat="1" x14ac:dyDescent="0.2"/>
    <row r="427" customFormat="1" x14ac:dyDescent="0.2"/>
    <row r="428" customFormat="1" x14ac:dyDescent="0.2"/>
    <row r="429" customFormat="1" x14ac:dyDescent="0.2"/>
    <row r="430" customFormat="1" x14ac:dyDescent="0.2"/>
    <row r="431" customFormat="1" x14ac:dyDescent="0.2"/>
    <row r="432" customFormat="1" x14ac:dyDescent="0.2"/>
    <row r="433" customFormat="1" x14ac:dyDescent="0.2"/>
    <row r="434" customFormat="1" x14ac:dyDescent="0.2"/>
    <row r="435" customFormat="1" x14ac:dyDescent="0.2"/>
    <row r="436" customFormat="1" x14ac:dyDescent="0.2"/>
    <row r="437" customFormat="1" x14ac:dyDescent="0.2"/>
    <row r="438" customFormat="1" x14ac:dyDescent="0.2"/>
    <row r="439" customFormat="1" x14ac:dyDescent="0.2"/>
    <row r="440" customFormat="1" x14ac:dyDescent="0.2"/>
    <row r="441" customFormat="1" x14ac:dyDescent="0.2"/>
    <row r="442" customFormat="1" x14ac:dyDescent="0.2"/>
    <row r="443" customFormat="1" x14ac:dyDescent="0.2"/>
    <row r="444" customFormat="1" x14ac:dyDescent="0.2"/>
    <row r="445" customFormat="1" x14ac:dyDescent="0.2"/>
    <row r="446" customFormat="1" x14ac:dyDescent="0.2"/>
    <row r="447" customFormat="1" x14ac:dyDescent="0.2"/>
    <row r="448" customFormat="1" x14ac:dyDescent="0.2"/>
    <row r="449" customFormat="1" x14ac:dyDescent="0.2"/>
    <row r="450" customFormat="1" x14ac:dyDescent="0.2"/>
    <row r="451" customFormat="1" x14ac:dyDescent="0.2"/>
    <row r="452" customFormat="1" x14ac:dyDescent="0.2"/>
    <row r="453" customFormat="1" x14ac:dyDescent="0.2"/>
    <row r="454" customFormat="1" x14ac:dyDescent="0.2"/>
    <row r="455" customFormat="1" x14ac:dyDescent="0.2"/>
    <row r="456" customFormat="1" x14ac:dyDescent="0.2"/>
    <row r="457" customFormat="1" x14ac:dyDescent="0.2"/>
    <row r="458" customFormat="1" x14ac:dyDescent="0.2"/>
    <row r="459" customFormat="1" x14ac:dyDescent="0.2"/>
    <row r="460" customFormat="1" x14ac:dyDescent="0.2"/>
    <row r="461" customFormat="1" x14ac:dyDescent="0.2"/>
    <row r="462" customFormat="1" x14ac:dyDescent="0.2"/>
    <row r="463" customFormat="1" x14ac:dyDescent="0.2"/>
    <row r="464" customFormat="1" x14ac:dyDescent="0.2"/>
    <row r="465" customFormat="1" x14ac:dyDescent="0.2"/>
    <row r="466" customFormat="1" x14ac:dyDescent="0.2"/>
    <row r="467" customFormat="1" x14ac:dyDescent="0.2"/>
    <row r="468" customFormat="1" x14ac:dyDescent="0.2"/>
    <row r="469" customFormat="1" x14ac:dyDescent="0.2"/>
    <row r="470" customFormat="1" x14ac:dyDescent="0.2"/>
    <row r="471" customFormat="1" x14ac:dyDescent="0.2"/>
    <row r="472" customFormat="1" x14ac:dyDescent="0.2"/>
    <row r="473" customFormat="1" x14ac:dyDescent="0.2"/>
    <row r="474" customFormat="1" x14ac:dyDescent="0.2"/>
    <row r="475" customFormat="1" x14ac:dyDescent="0.2"/>
    <row r="476" customFormat="1" x14ac:dyDescent="0.2"/>
    <row r="477" customFormat="1" x14ac:dyDescent="0.2"/>
    <row r="478" customFormat="1" x14ac:dyDescent="0.2"/>
    <row r="479" customFormat="1" x14ac:dyDescent="0.2"/>
    <row r="480" customFormat="1" x14ac:dyDescent="0.2"/>
    <row r="481" customFormat="1" x14ac:dyDescent="0.2"/>
    <row r="482" customFormat="1" x14ac:dyDescent="0.2"/>
    <row r="483" customFormat="1" x14ac:dyDescent="0.2"/>
    <row r="484" customFormat="1" x14ac:dyDescent="0.2"/>
    <row r="485" customFormat="1" x14ac:dyDescent="0.2"/>
    <row r="486" customFormat="1" x14ac:dyDescent="0.2"/>
    <row r="487" customFormat="1" x14ac:dyDescent="0.2"/>
    <row r="488" customFormat="1" x14ac:dyDescent="0.2"/>
    <row r="489" customFormat="1" x14ac:dyDescent="0.2"/>
    <row r="490" customFormat="1" x14ac:dyDescent="0.2"/>
    <row r="491" customFormat="1" x14ac:dyDescent="0.2"/>
    <row r="492" customFormat="1" x14ac:dyDescent="0.2"/>
    <row r="493" customFormat="1" x14ac:dyDescent="0.2"/>
    <row r="494" customFormat="1" x14ac:dyDescent="0.2"/>
    <row r="495" customFormat="1" x14ac:dyDescent="0.2"/>
    <row r="496" customFormat="1" x14ac:dyDescent="0.2"/>
    <row r="497" customFormat="1" x14ac:dyDescent="0.2"/>
    <row r="498" customFormat="1" x14ac:dyDescent="0.2"/>
    <row r="499" customFormat="1" x14ac:dyDescent="0.2"/>
    <row r="500" customFormat="1" x14ac:dyDescent="0.2"/>
    <row r="501" customFormat="1" x14ac:dyDescent="0.2"/>
    <row r="502" customFormat="1" x14ac:dyDescent="0.2"/>
    <row r="503" customFormat="1" x14ac:dyDescent="0.2"/>
    <row r="504" customFormat="1" x14ac:dyDescent="0.2"/>
    <row r="505" customFormat="1" x14ac:dyDescent="0.2"/>
    <row r="506" customFormat="1" x14ac:dyDescent="0.2"/>
    <row r="507" customFormat="1" x14ac:dyDescent="0.2"/>
    <row r="508" customFormat="1" x14ac:dyDescent="0.2"/>
    <row r="509" customFormat="1" x14ac:dyDescent="0.2"/>
    <row r="510" customFormat="1" x14ac:dyDescent="0.2"/>
    <row r="511" customFormat="1" x14ac:dyDescent="0.2"/>
    <row r="512" customFormat="1" x14ac:dyDescent="0.2"/>
    <row r="513" customFormat="1" x14ac:dyDescent="0.2"/>
    <row r="514" customFormat="1" x14ac:dyDescent="0.2"/>
    <row r="515" customFormat="1" x14ac:dyDescent="0.2"/>
    <row r="516" customFormat="1" x14ac:dyDescent="0.2"/>
    <row r="517" customFormat="1" x14ac:dyDescent="0.2"/>
    <row r="518" customFormat="1" x14ac:dyDescent="0.2"/>
    <row r="519" customFormat="1" x14ac:dyDescent="0.2"/>
    <row r="520" customFormat="1" x14ac:dyDescent="0.2"/>
    <row r="521" customFormat="1" x14ac:dyDescent="0.2"/>
    <row r="522" customFormat="1" x14ac:dyDescent="0.2"/>
    <row r="523" customFormat="1" x14ac:dyDescent="0.2"/>
    <row r="524" customFormat="1" x14ac:dyDescent="0.2"/>
    <row r="525" customFormat="1" x14ac:dyDescent="0.2"/>
    <row r="526" customFormat="1" x14ac:dyDescent="0.2"/>
    <row r="527" customFormat="1" x14ac:dyDescent="0.2"/>
    <row r="528" customFormat="1" x14ac:dyDescent="0.2"/>
    <row r="529" customFormat="1" x14ac:dyDescent="0.2"/>
    <row r="530" customFormat="1" x14ac:dyDescent="0.2"/>
    <row r="531" customFormat="1" x14ac:dyDescent="0.2"/>
    <row r="532" customFormat="1" x14ac:dyDescent="0.2"/>
    <row r="533" customFormat="1" x14ac:dyDescent="0.2"/>
    <row r="534" customFormat="1" x14ac:dyDescent="0.2"/>
    <row r="535" customFormat="1" x14ac:dyDescent="0.2"/>
    <row r="536" customFormat="1" x14ac:dyDescent="0.2"/>
    <row r="537" customFormat="1" x14ac:dyDescent="0.2"/>
    <row r="538" customFormat="1" x14ac:dyDescent="0.2"/>
    <row r="539" customFormat="1" x14ac:dyDescent="0.2"/>
    <row r="540" customFormat="1" x14ac:dyDescent="0.2"/>
    <row r="541" customFormat="1" x14ac:dyDescent="0.2"/>
    <row r="542" customFormat="1" x14ac:dyDescent="0.2"/>
    <row r="543" customFormat="1" x14ac:dyDescent="0.2"/>
    <row r="544" customFormat="1" x14ac:dyDescent="0.2"/>
    <row r="545" customFormat="1" x14ac:dyDescent="0.2"/>
    <row r="546" customFormat="1" x14ac:dyDescent="0.2"/>
    <row r="547" customFormat="1" x14ac:dyDescent="0.2"/>
    <row r="548" customFormat="1" x14ac:dyDescent="0.2"/>
    <row r="549" customFormat="1" x14ac:dyDescent="0.2"/>
    <row r="550" customFormat="1" x14ac:dyDescent="0.2"/>
    <row r="551" customFormat="1" x14ac:dyDescent="0.2"/>
    <row r="552" customFormat="1" x14ac:dyDescent="0.2"/>
    <row r="553" customFormat="1" x14ac:dyDescent="0.2"/>
    <row r="554" customFormat="1" x14ac:dyDescent="0.2"/>
    <row r="555" customFormat="1" x14ac:dyDescent="0.2"/>
    <row r="556" customFormat="1" x14ac:dyDescent="0.2"/>
    <row r="557" customFormat="1" x14ac:dyDescent="0.2"/>
    <row r="558" customFormat="1" x14ac:dyDescent="0.2"/>
    <row r="559" customFormat="1" x14ac:dyDescent="0.2"/>
    <row r="560" customFormat="1" x14ac:dyDescent="0.2"/>
    <row r="561" customFormat="1" x14ac:dyDescent="0.2"/>
    <row r="562" customFormat="1" x14ac:dyDescent="0.2"/>
    <row r="563" customFormat="1" x14ac:dyDescent="0.2"/>
    <row r="564" customFormat="1" x14ac:dyDescent="0.2"/>
    <row r="565" customFormat="1" x14ac:dyDescent="0.2"/>
    <row r="566" customFormat="1" x14ac:dyDescent="0.2"/>
    <row r="567" customFormat="1" x14ac:dyDescent="0.2"/>
    <row r="568" customFormat="1" x14ac:dyDescent="0.2"/>
    <row r="569" customFormat="1" x14ac:dyDescent="0.2"/>
    <row r="570" customFormat="1" x14ac:dyDescent="0.2"/>
    <row r="571" customFormat="1" x14ac:dyDescent="0.2"/>
    <row r="572" customFormat="1" x14ac:dyDescent="0.2"/>
    <row r="573" customFormat="1" x14ac:dyDescent="0.2"/>
    <row r="574" customFormat="1" x14ac:dyDescent="0.2"/>
    <row r="575" customFormat="1" x14ac:dyDescent="0.2"/>
    <row r="576" customFormat="1" x14ac:dyDescent="0.2"/>
    <row r="577" customFormat="1" x14ac:dyDescent="0.2"/>
    <row r="578" customFormat="1" x14ac:dyDescent="0.2"/>
    <row r="579" customFormat="1" x14ac:dyDescent="0.2"/>
    <row r="580" customFormat="1" x14ac:dyDescent="0.2"/>
    <row r="581" customFormat="1" x14ac:dyDescent="0.2"/>
    <row r="582" customFormat="1" x14ac:dyDescent="0.2"/>
    <row r="583" customFormat="1" x14ac:dyDescent="0.2"/>
    <row r="584" customFormat="1" x14ac:dyDescent="0.2"/>
    <row r="585" customFormat="1" x14ac:dyDescent="0.2"/>
    <row r="586" customFormat="1" x14ac:dyDescent="0.2"/>
    <row r="587" customFormat="1" x14ac:dyDescent="0.2"/>
    <row r="588" customFormat="1" x14ac:dyDescent="0.2"/>
    <row r="589" customFormat="1" x14ac:dyDescent="0.2"/>
    <row r="590" customFormat="1" x14ac:dyDescent="0.2"/>
    <row r="591" customFormat="1" x14ac:dyDescent="0.2"/>
    <row r="592" customFormat="1" x14ac:dyDescent="0.2"/>
    <row r="593" customFormat="1" x14ac:dyDescent="0.2"/>
    <row r="594" customFormat="1" x14ac:dyDescent="0.2"/>
    <row r="595" customFormat="1" x14ac:dyDescent="0.2"/>
    <row r="596" customFormat="1" x14ac:dyDescent="0.2"/>
    <row r="597" customFormat="1" x14ac:dyDescent="0.2"/>
    <row r="598" customFormat="1" x14ac:dyDescent="0.2"/>
    <row r="599" customFormat="1" x14ac:dyDescent="0.2"/>
    <row r="600" customFormat="1" x14ac:dyDescent="0.2"/>
    <row r="601" customFormat="1" x14ac:dyDescent="0.2"/>
    <row r="602" customFormat="1" x14ac:dyDescent="0.2"/>
    <row r="603" customFormat="1" x14ac:dyDescent="0.2"/>
    <row r="604" customFormat="1" x14ac:dyDescent="0.2"/>
    <row r="605" customFormat="1" x14ac:dyDescent="0.2"/>
    <row r="606" customFormat="1" x14ac:dyDescent="0.2"/>
    <row r="607" customFormat="1" x14ac:dyDescent="0.2"/>
    <row r="608" customFormat="1" x14ac:dyDescent="0.2"/>
    <row r="609" customFormat="1" x14ac:dyDescent="0.2"/>
    <row r="610" customFormat="1" x14ac:dyDescent="0.2"/>
    <row r="611" customFormat="1" x14ac:dyDescent="0.2"/>
    <row r="612" customFormat="1" x14ac:dyDescent="0.2"/>
    <row r="613" customFormat="1" x14ac:dyDescent="0.2"/>
    <row r="614" customFormat="1" x14ac:dyDescent="0.2"/>
    <row r="615" customFormat="1" x14ac:dyDescent="0.2"/>
    <row r="616" customFormat="1" x14ac:dyDescent="0.2"/>
    <row r="617" customFormat="1" x14ac:dyDescent="0.2"/>
    <row r="618" customFormat="1" x14ac:dyDescent="0.2"/>
    <row r="619" customFormat="1" x14ac:dyDescent="0.2"/>
    <row r="620" customFormat="1" x14ac:dyDescent="0.2"/>
    <row r="621" customFormat="1" x14ac:dyDescent="0.2"/>
    <row r="622" customFormat="1" x14ac:dyDescent="0.2"/>
    <row r="623" customFormat="1" x14ac:dyDescent="0.2"/>
    <row r="624" customFormat="1" x14ac:dyDescent="0.2"/>
    <row r="625" customFormat="1" x14ac:dyDescent="0.2"/>
    <row r="626" customFormat="1" x14ac:dyDescent="0.2"/>
    <row r="627" customFormat="1" x14ac:dyDescent="0.2"/>
    <row r="628" customFormat="1" x14ac:dyDescent="0.2"/>
    <row r="629" customFormat="1" x14ac:dyDescent="0.2"/>
    <row r="630" customFormat="1" x14ac:dyDescent="0.2"/>
    <row r="631" customFormat="1" x14ac:dyDescent="0.2"/>
    <row r="632" customFormat="1" x14ac:dyDescent="0.2"/>
    <row r="633" customFormat="1" x14ac:dyDescent="0.2"/>
    <row r="634" customFormat="1" x14ac:dyDescent="0.2"/>
    <row r="635" customFormat="1" x14ac:dyDescent="0.2"/>
    <row r="636" customFormat="1" x14ac:dyDescent="0.2"/>
    <row r="637" customFormat="1" x14ac:dyDescent="0.2"/>
    <row r="638" customFormat="1" x14ac:dyDescent="0.2"/>
    <row r="639" customFormat="1" x14ac:dyDescent="0.2"/>
    <row r="640" customFormat="1" x14ac:dyDescent="0.2"/>
    <row r="641" customFormat="1" x14ac:dyDescent="0.2"/>
    <row r="642" customFormat="1" x14ac:dyDescent="0.2"/>
    <row r="643" customFormat="1" x14ac:dyDescent="0.2"/>
    <row r="644" customFormat="1" x14ac:dyDescent="0.2"/>
    <row r="645" customFormat="1" x14ac:dyDescent="0.2"/>
    <row r="646" customFormat="1" x14ac:dyDescent="0.2"/>
    <row r="647" customFormat="1" x14ac:dyDescent="0.2"/>
    <row r="648" customFormat="1" x14ac:dyDescent="0.2"/>
    <row r="649" customFormat="1" x14ac:dyDescent="0.2"/>
    <row r="650" customFormat="1" x14ac:dyDescent="0.2"/>
    <row r="651" customFormat="1" x14ac:dyDescent="0.2"/>
    <row r="652" customFormat="1" x14ac:dyDescent="0.2"/>
    <row r="653" customFormat="1" x14ac:dyDescent="0.2"/>
    <row r="654" customFormat="1" x14ac:dyDescent="0.2"/>
    <row r="655" customFormat="1" x14ac:dyDescent="0.2"/>
    <row r="656" customFormat="1" x14ac:dyDescent="0.2"/>
    <row r="657" customFormat="1" x14ac:dyDescent="0.2"/>
    <row r="658" customFormat="1" x14ac:dyDescent="0.2"/>
    <row r="659" customFormat="1" x14ac:dyDescent="0.2"/>
    <row r="660" customFormat="1" x14ac:dyDescent="0.2"/>
    <row r="661" customFormat="1" x14ac:dyDescent="0.2"/>
    <row r="662" customFormat="1" x14ac:dyDescent="0.2"/>
    <row r="663" customFormat="1" x14ac:dyDescent="0.2"/>
    <row r="664" customFormat="1" x14ac:dyDescent="0.2"/>
    <row r="665" customFormat="1" x14ac:dyDescent="0.2"/>
    <row r="666" customFormat="1" x14ac:dyDescent="0.2"/>
    <row r="667" customFormat="1" x14ac:dyDescent="0.2"/>
    <row r="668" customFormat="1" x14ac:dyDescent="0.2"/>
    <row r="669" customFormat="1" x14ac:dyDescent="0.2"/>
    <row r="670" customFormat="1" x14ac:dyDescent="0.2"/>
    <row r="671" customFormat="1" x14ac:dyDescent="0.2"/>
    <row r="672" customFormat="1" x14ac:dyDescent="0.2"/>
    <row r="673" customFormat="1" x14ac:dyDescent="0.2"/>
    <row r="674" customFormat="1" x14ac:dyDescent="0.2"/>
    <row r="675" customFormat="1" x14ac:dyDescent="0.2"/>
    <row r="676" customFormat="1" x14ac:dyDescent="0.2"/>
    <row r="677" customFormat="1" x14ac:dyDescent="0.2"/>
    <row r="678" customFormat="1" x14ac:dyDescent="0.2"/>
    <row r="679" customFormat="1" x14ac:dyDescent="0.2"/>
    <row r="680" customFormat="1" x14ac:dyDescent="0.2"/>
    <row r="681" customFormat="1" x14ac:dyDescent="0.2"/>
    <row r="682" customFormat="1" x14ac:dyDescent="0.2"/>
    <row r="683" customFormat="1" x14ac:dyDescent="0.2"/>
    <row r="684" customFormat="1" x14ac:dyDescent="0.2"/>
    <row r="685" customFormat="1" x14ac:dyDescent="0.2"/>
    <row r="686" customFormat="1" x14ac:dyDescent="0.2"/>
    <row r="687" customFormat="1" x14ac:dyDescent="0.2"/>
    <row r="688" customFormat="1" x14ac:dyDescent="0.2"/>
    <row r="689" customFormat="1" x14ac:dyDescent="0.2"/>
    <row r="690" customFormat="1" x14ac:dyDescent="0.2"/>
    <row r="691" customFormat="1" x14ac:dyDescent="0.2"/>
    <row r="692" customFormat="1" x14ac:dyDescent="0.2"/>
    <row r="693" customFormat="1" x14ac:dyDescent="0.2"/>
    <row r="694" customFormat="1" x14ac:dyDescent="0.2"/>
    <row r="695" customFormat="1" x14ac:dyDescent="0.2"/>
    <row r="696" customFormat="1" x14ac:dyDescent="0.2"/>
    <row r="697" customFormat="1" x14ac:dyDescent="0.2"/>
    <row r="698" customFormat="1" x14ac:dyDescent="0.2"/>
    <row r="699" customFormat="1" x14ac:dyDescent="0.2"/>
    <row r="700" customFormat="1" x14ac:dyDescent="0.2"/>
    <row r="701" customFormat="1" x14ac:dyDescent="0.2"/>
    <row r="702" customFormat="1" x14ac:dyDescent="0.2"/>
    <row r="703" customFormat="1" x14ac:dyDescent="0.2"/>
    <row r="704" customFormat="1" x14ac:dyDescent="0.2"/>
    <row r="705" customFormat="1" x14ac:dyDescent="0.2"/>
    <row r="706" customFormat="1" x14ac:dyDescent="0.2"/>
    <row r="707" customFormat="1" x14ac:dyDescent="0.2"/>
    <row r="708" customFormat="1" x14ac:dyDescent="0.2"/>
    <row r="709" customFormat="1" x14ac:dyDescent="0.2"/>
    <row r="710" customFormat="1" x14ac:dyDescent="0.2"/>
    <row r="711" customFormat="1" x14ac:dyDescent="0.2"/>
    <row r="712" customFormat="1" x14ac:dyDescent="0.2"/>
    <row r="713" customFormat="1" x14ac:dyDescent="0.2"/>
    <row r="714" customFormat="1" x14ac:dyDescent="0.2"/>
    <row r="715" customFormat="1" x14ac:dyDescent="0.2"/>
    <row r="716" customFormat="1" x14ac:dyDescent="0.2"/>
    <row r="717" customFormat="1" x14ac:dyDescent="0.2"/>
    <row r="718" customFormat="1" x14ac:dyDescent="0.2"/>
    <row r="719" customFormat="1" x14ac:dyDescent="0.2"/>
    <row r="720" customFormat="1" x14ac:dyDescent="0.2"/>
    <row r="721" customFormat="1" x14ac:dyDescent="0.2"/>
    <row r="722" customFormat="1" x14ac:dyDescent="0.2"/>
    <row r="723" customFormat="1" x14ac:dyDescent="0.2"/>
    <row r="724" customFormat="1" x14ac:dyDescent="0.2"/>
    <row r="725" customFormat="1" x14ac:dyDescent="0.2"/>
    <row r="726" customFormat="1" x14ac:dyDescent="0.2"/>
    <row r="727" customFormat="1" x14ac:dyDescent="0.2"/>
    <row r="728" customFormat="1" x14ac:dyDescent="0.2"/>
    <row r="729" customFormat="1" x14ac:dyDescent="0.2"/>
    <row r="730" customFormat="1" x14ac:dyDescent="0.2"/>
    <row r="731" customFormat="1" x14ac:dyDescent="0.2"/>
    <row r="732" customFormat="1" x14ac:dyDescent="0.2"/>
    <row r="733" customFormat="1" x14ac:dyDescent="0.2"/>
    <row r="734" customFormat="1" x14ac:dyDescent="0.2"/>
    <row r="735" customFormat="1" x14ac:dyDescent="0.2"/>
    <row r="736" customFormat="1" x14ac:dyDescent="0.2"/>
    <row r="737" customFormat="1" x14ac:dyDescent="0.2"/>
    <row r="738" customFormat="1" x14ac:dyDescent="0.2"/>
    <row r="739" customFormat="1" x14ac:dyDescent="0.2"/>
    <row r="740" customFormat="1" x14ac:dyDescent="0.2"/>
    <row r="741" customFormat="1" x14ac:dyDescent="0.2"/>
    <row r="742" customFormat="1" x14ac:dyDescent="0.2"/>
    <row r="743" customFormat="1" x14ac:dyDescent="0.2"/>
    <row r="744" customFormat="1" x14ac:dyDescent="0.2"/>
    <row r="745" customFormat="1" x14ac:dyDescent="0.2"/>
    <row r="746" customFormat="1" x14ac:dyDescent="0.2"/>
    <row r="747" customFormat="1" x14ac:dyDescent="0.2"/>
    <row r="748" customFormat="1" x14ac:dyDescent="0.2"/>
    <row r="749" customFormat="1" x14ac:dyDescent="0.2"/>
    <row r="750" customFormat="1" x14ac:dyDescent="0.2"/>
    <row r="751" customFormat="1" x14ac:dyDescent="0.2"/>
    <row r="752" customFormat="1" x14ac:dyDescent="0.2"/>
    <row r="753" customFormat="1" x14ac:dyDescent="0.2"/>
    <row r="754" customFormat="1" x14ac:dyDescent="0.2"/>
    <row r="755" customFormat="1" x14ac:dyDescent="0.2"/>
    <row r="756" customFormat="1" x14ac:dyDescent="0.2"/>
    <row r="757" customFormat="1" x14ac:dyDescent="0.2"/>
    <row r="758" customFormat="1" x14ac:dyDescent="0.2"/>
    <row r="759" customFormat="1" x14ac:dyDescent="0.2"/>
    <row r="760" customFormat="1" x14ac:dyDescent="0.2"/>
    <row r="761" customFormat="1" x14ac:dyDescent="0.2"/>
    <row r="762" customFormat="1" x14ac:dyDescent="0.2"/>
    <row r="763" customFormat="1" x14ac:dyDescent="0.2"/>
    <row r="764" customFormat="1" x14ac:dyDescent="0.2"/>
    <row r="765" customFormat="1" x14ac:dyDescent="0.2"/>
    <row r="766" customFormat="1" x14ac:dyDescent="0.2"/>
    <row r="767" customFormat="1" x14ac:dyDescent="0.2"/>
    <row r="768" customFormat="1" x14ac:dyDescent="0.2"/>
    <row r="769" customFormat="1" x14ac:dyDescent="0.2"/>
    <row r="770" customFormat="1" x14ac:dyDescent="0.2"/>
    <row r="771" customFormat="1" x14ac:dyDescent="0.2"/>
    <row r="772" customFormat="1" x14ac:dyDescent="0.2"/>
    <row r="773" customFormat="1" x14ac:dyDescent="0.2"/>
    <row r="774" customFormat="1" x14ac:dyDescent="0.2"/>
    <row r="775" customFormat="1" x14ac:dyDescent="0.2"/>
  </sheetData>
  <sheetProtection formatColumns="0" formatRows="0"/>
  <phoneticPr fontId="4" type="noConversion"/>
  <pageMargins left="0.5" right="0.5" top="1" bottom="1" header="0.25" footer="0.25"/>
  <pageSetup scale="58" orientation="landscape" r:id="rId1"/>
  <headerFooter alignWithMargins="0">
    <oddHeader>&amp;LPart No.:
Batch No(s).: 
Cartridge No. (LSP): &amp;C&amp;12Product QC Testing Worksheet-MTB/XDR&amp;RDocument Number: D37339 Attachment 1
Rev: M
Effective: 5/21/2026
p. &amp;P of &amp;N</oddHeader>
    <oddFooter>&amp;C User is responsible for using the current revision. The controlled current released revision of this document resides in the Agile PLM system.
Cepheid Confidential    Date Printed: &amp;D      &amp;T</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P203"/>
  <sheetViews>
    <sheetView zoomScaleNormal="100" workbookViewId="0"/>
  </sheetViews>
  <sheetFormatPr defaultColWidth="9.140625" defaultRowHeight="12.75" x14ac:dyDescent="0.2"/>
  <cols>
    <col min="1" max="1" width="25.42578125" style="60" bestFit="1" customWidth="1"/>
    <col min="2" max="2" width="7.85546875" style="60" bestFit="1" customWidth="1"/>
    <col min="3" max="3" width="14.42578125" style="60" bestFit="1" customWidth="1"/>
    <col min="4" max="4" width="10" style="60" bestFit="1" customWidth="1"/>
    <col min="5" max="5" width="12" style="60" bestFit="1" customWidth="1"/>
    <col min="6" max="6" width="16.140625" style="60" bestFit="1" customWidth="1"/>
    <col min="7" max="7" width="10.5703125" style="60" bestFit="1" customWidth="1"/>
    <col min="8" max="8" width="7.5703125" style="60" bestFit="1" customWidth="1"/>
    <col min="9" max="9" width="7.85546875" style="60" bestFit="1" customWidth="1"/>
    <col min="10" max="10" width="13.42578125" style="60" bestFit="1" customWidth="1"/>
    <col min="11" max="11" width="7.42578125" style="60" bestFit="1" customWidth="1"/>
    <col min="12" max="12" width="43.140625" style="60" customWidth="1"/>
    <col min="13" max="13" width="9.5703125" style="60" bestFit="1" customWidth="1"/>
    <col min="14" max="14" width="5.42578125" style="60" bestFit="1" customWidth="1"/>
    <col min="15" max="15" width="14.5703125" style="60" bestFit="1" customWidth="1"/>
    <col min="16" max="16" width="11.42578125" style="60" bestFit="1" customWidth="1"/>
    <col min="17" max="17" width="5" style="60" bestFit="1" customWidth="1"/>
    <col min="18" max="18" width="5.5703125" style="60" bestFit="1" customWidth="1"/>
    <col min="19" max="19" width="6.42578125" style="60" bestFit="1" customWidth="1"/>
    <col min="20" max="20" width="12.140625" style="60" bestFit="1" customWidth="1"/>
    <col min="21" max="23" width="8.140625" style="60" bestFit="1" customWidth="1"/>
    <col min="24" max="24" width="12.5703125" style="60" bestFit="1" customWidth="1"/>
    <col min="25" max="25" width="14.85546875" style="60" bestFit="1" customWidth="1"/>
    <col min="26" max="26" width="6" style="60" bestFit="1" customWidth="1"/>
    <col min="27" max="27" width="7.85546875" style="60" bestFit="1" customWidth="1"/>
    <col min="28" max="28" width="6.140625" style="60" bestFit="1" customWidth="1"/>
    <col min="29" max="29" width="6.85546875" style="60" bestFit="1" customWidth="1"/>
    <col min="30" max="30" width="11.42578125" style="60" bestFit="1" customWidth="1"/>
    <col min="31" max="31" width="2.42578125" style="60" bestFit="1" customWidth="1"/>
    <col min="32" max="32" width="5.5703125" style="60" bestFit="1" customWidth="1"/>
    <col min="33" max="33" width="6.42578125" style="60" bestFit="1" customWidth="1"/>
    <col min="34" max="34" width="12.140625" style="60" bestFit="1" customWidth="1"/>
    <col min="35" max="37" width="8.140625" style="60" bestFit="1" customWidth="1"/>
    <col min="38" max="38" width="12.5703125" style="60" bestFit="1" customWidth="1"/>
    <col min="39" max="39" width="14.85546875" style="60" bestFit="1" customWidth="1"/>
    <col min="40" max="40" width="6" style="60" bestFit="1" customWidth="1"/>
    <col min="41" max="41" width="7.85546875" style="60" bestFit="1" customWidth="1"/>
    <col min="42" max="42" width="6.140625" style="60" bestFit="1" customWidth="1"/>
    <col min="43" max="43" width="6.85546875" style="60" bestFit="1" customWidth="1"/>
    <col min="44" max="44" width="11.42578125" style="60" bestFit="1" customWidth="1"/>
    <col min="45" max="45" width="2.42578125" style="60" bestFit="1" customWidth="1"/>
    <col min="46" max="46" width="5.5703125" style="60" bestFit="1" customWidth="1"/>
    <col min="47" max="47" width="6.42578125" style="60" bestFit="1" customWidth="1"/>
    <col min="48" max="48" width="12.140625" style="60" bestFit="1" customWidth="1"/>
    <col min="49" max="51" width="8.140625" style="60" bestFit="1" customWidth="1"/>
    <col min="52" max="52" width="12.5703125" style="60" bestFit="1" customWidth="1"/>
    <col min="53" max="53" width="14.85546875" style="60" bestFit="1" customWidth="1"/>
    <col min="54" max="54" width="6" style="60" bestFit="1" customWidth="1"/>
    <col min="55" max="55" width="7.85546875" style="60" bestFit="1" customWidth="1"/>
    <col min="56" max="56" width="6.140625" style="60" bestFit="1" customWidth="1"/>
    <col min="57" max="57" width="6.85546875" style="60" bestFit="1" customWidth="1"/>
    <col min="58" max="58" width="11.42578125" style="60" bestFit="1" customWidth="1"/>
    <col min="59" max="59" width="5" style="60" bestFit="1" customWidth="1"/>
    <col min="60" max="60" width="5.5703125" style="60" bestFit="1" customWidth="1"/>
    <col min="61" max="61" width="6.42578125" style="60" bestFit="1" customWidth="1"/>
    <col min="62" max="62" width="12.140625" style="60" bestFit="1" customWidth="1"/>
    <col min="63" max="65" width="8.140625" style="60" bestFit="1" customWidth="1"/>
    <col min="66" max="66" width="12.5703125" style="60" bestFit="1" customWidth="1"/>
    <col min="67" max="67" width="14.85546875" style="60" bestFit="1" customWidth="1"/>
    <col min="68" max="68" width="6" style="60" bestFit="1" customWidth="1"/>
    <col min="69" max="69" width="7.85546875" style="60" bestFit="1" customWidth="1"/>
    <col min="70" max="70" width="6.140625" style="60" bestFit="1" customWidth="1"/>
    <col min="71" max="71" width="6.85546875" style="60" bestFit="1" customWidth="1"/>
    <col min="72" max="72" width="11.42578125" style="60" bestFit="1" customWidth="1"/>
    <col min="73" max="73" width="5" style="60" bestFit="1" customWidth="1"/>
    <col min="74" max="74" width="5.5703125" style="60" bestFit="1" customWidth="1"/>
    <col min="75" max="75" width="6.42578125" style="60" bestFit="1" customWidth="1"/>
    <col min="76" max="76" width="12.140625" style="60" bestFit="1" customWidth="1"/>
    <col min="77" max="79" width="8.140625" style="60" bestFit="1" customWidth="1"/>
    <col min="80" max="80" width="12.5703125" style="60" bestFit="1" customWidth="1"/>
    <col min="81" max="81" width="14.85546875" style="60" bestFit="1" customWidth="1"/>
    <col min="82" max="82" width="6" style="60" bestFit="1" customWidth="1"/>
    <col min="83" max="83" width="7.85546875" style="60" bestFit="1" customWidth="1"/>
    <col min="84" max="84" width="6.140625" style="60" bestFit="1" customWidth="1"/>
    <col min="85" max="85" width="6.85546875" style="60" bestFit="1" customWidth="1"/>
    <col min="86" max="86" width="11.42578125" style="60" bestFit="1" customWidth="1"/>
    <col min="87" max="87" width="5" style="60" bestFit="1" customWidth="1"/>
    <col min="88" max="88" width="5.5703125" style="60" bestFit="1" customWidth="1"/>
    <col min="89" max="89" width="6.42578125" style="60" bestFit="1" customWidth="1"/>
    <col min="90" max="90" width="12.140625" style="60" bestFit="1" customWidth="1"/>
    <col min="91" max="93" width="8.140625" style="60" bestFit="1" customWidth="1"/>
    <col min="94" max="94" width="12.5703125" style="60" bestFit="1" customWidth="1"/>
    <col min="95" max="95" width="14.85546875" style="60" bestFit="1" customWidth="1"/>
    <col min="96" max="96" width="6" style="60" bestFit="1" customWidth="1"/>
    <col min="97" max="97" width="7.85546875" style="60" bestFit="1" customWidth="1"/>
    <col min="98" max="98" width="6.140625" style="60" bestFit="1" customWidth="1"/>
    <col min="99" max="99" width="8.42578125" style="60" bestFit="1" customWidth="1"/>
    <col min="100" max="100" width="11.42578125" style="60" bestFit="1" customWidth="1"/>
    <col min="101" max="101" width="5" style="60" bestFit="1" customWidth="1"/>
    <col min="102" max="102" width="6.42578125" style="60" bestFit="1" customWidth="1"/>
    <col min="103" max="103" width="9.140625" style="60" bestFit="1" customWidth="1"/>
    <col min="104" max="104" width="5.5703125" style="60" bestFit="1" customWidth="1"/>
    <col min="105" max="107" width="8.140625" style="60" bestFit="1" customWidth="1"/>
    <col min="108" max="108" width="12.5703125" style="60" bestFit="1" customWidth="1"/>
    <col min="109" max="109" width="12" style="60" bestFit="1" customWidth="1"/>
    <col min="110" max="110" width="6.85546875" style="60" bestFit="1" customWidth="1"/>
    <col min="111" max="111" width="7.85546875" style="60" bestFit="1" customWidth="1"/>
    <col min="112" max="112" width="6.5703125" style="60" bestFit="1" customWidth="1"/>
    <col min="113" max="113" width="8.42578125" style="60" bestFit="1" customWidth="1"/>
    <col min="114" max="114" width="14.140625" style="60" bestFit="1" customWidth="1"/>
    <col min="115" max="115" width="5" style="60" bestFit="1" customWidth="1"/>
    <col min="116" max="116" width="6.42578125" style="60" bestFit="1" customWidth="1"/>
    <col min="117" max="117" width="9.140625" style="60" bestFit="1" customWidth="1"/>
    <col min="118" max="121" width="8.140625" style="60" bestFit="1" customWidth="1"/>
    <col min="122" max="122" width="12.5703125" style="60" bestFit="1" customWidth="1"/>
    <col min="123" max="123" width="14.85546875" style="60" bestFit="1" customWidth="1"/>
    <col min="124" max="124" width="6.85546875" style="60" bestFit="1" customWidth="1"/>
    <col min="125" max="125" width="7.85546875" style="60" bestFit="1" customWidth="1"/>
    <col min="126" max="126" width="6.5703125" style="60" bestFit="1" customWidth="1"/>
    <col min="127" max="127" width="8.42578125" style="60" bestFit="1" customWidth="1"/>
    <col min="128" max="128" width="11.42578125" style="60" bestFit="1" customWidth="1"/>
    <col min="129" max="129" width="5" style="60" bestFit="1" customWidth="1"/>
    <col min="130" max="130" width="6.42578125" style="60" bestFit="1" customWidth="1"/>
    <col min="131" max="131" width="9.140625" style="60" bestFit="1" customWidth="1"/>
    <col min="132" max="132" width="12.140625" style="60" bestFit="1" customWidth="1"/>
    <col min="133" max="134" width="9.5703125" style="60" bestFit="1" customWidth="1"/>
    <col min="135" max="135" width="8.140625" style="60" bestFit="1" customWidth="1"/>
    <col min="136" max="136" width="6.5703125" style="60" bestFit="1" customWidth="1"/>
    <col min="137" max="138" width="6.85546875" style="60" bestFit="1" customWidth="1"/>
    <col min="139" max="139" width="13.85546875" style="60" bestFit="1" customWidth="1"/>
    <col min="140" max="140" width="6.5703125" style="60" bestFit="1" customWidth="1"/>
    <col min="141" max="141" width="8.42578125" style="60" bestFit="1" customWidth="1"/>
    <col min="142" max="142" width="11.42578125" style="60" bestFit="1" customWidth="1"/>
    <col min="143" max="143" width="5" style="60" bestFit="1" customWidth="1"/>
    <col min="144" max="144" width="6.42578125" style="60" bestFit="1" customWidth="1"/>
    <col min="145" max="145" width="9.140625" style="60" bestFit="1" customWidth="1"/>
    <col min="146" max="146" width="14.5703125" style="60" bestFit="1" customWidth="1"/>
    <col min="147" max="149" width="9.5703125" style="60" bestFit="1" customWidth="1"/>
    <col min="150" max="150" width="6.5703125" style="60" bestFit="1" customWidth="1"/>
    <col min="151" max="152" width="6.85546875" style="60" bestFit="1" customWidth="1"/>
    <col min="153" max="153" width="7.85546875" style="60" bestFit="1" customWidth="1"/>
    <col min="154" max="154" width="6.5703125" style="60" bestFit="1" customWidth="1"/>
    <col min="155" max="157" width="9.5703125" style="60" bestFit="1" customWidth="1"/>
    <col min="158" max="158" width="6.5703125" style="60" bestFit="1" customWidth="1"/>
    <col min="159" max="159" width="7.85546875" style="60" bestFit="1" customWidth="1"/>
    <col min="160" max="160" width="6.5703125" style="60" bestFit="1" customWidth="1"/>
    <col min="161" max="161" width="8.140625" style="60" bestFit="1" customWidth="1"/>
    <col min="162" max="163" width="9.5703125" style="60" bestFit="1" customWidth="1"/>
    <col min="164" max="164" width="12.5703125" style="60" bestFit="1" customWidth="1"/>
    <col min="165" max="165" width="13.85546875" style="60" bestFit="1" customWidth="1"/>
    <col min="166" max="166" width="10.42578125" style="60" bestFit="1" customWidth="1"/>
    <col min="167" max="169" width="8.140625" style="60" bestFit="1" customWidth="1"/>
    <col min="170" max="171" width="12.5703125" style="60" bestFit="1" customWidth="1"/>
    <col min="172" max="172" width="10" style="60" bestFit="1" customWidth="1"/>
    <col min="173" max="173" width="13.85546875" style="60" bestFit="1" customWidth="1"/>
    <col min="174" max="174" width="10.42578125" style="60" bestFit="1" customWidth="1"/>
    <col min="175" max="177" width="8.140625" style="60" bestFit="1" customWidth="1"/>
    <col min="178" max="179" width="12.5703125" style="60" bestFit="1" customWidth="1"/>
    <col min="180" max="180" width="10" style="60" bestFit="1" customWidth="1"/>
    <col min="181" max="181" width="13.85546875" style="60" bestFit="1" customWidth="1"/>
    <col min="182" max="182" width="10.42578125" style="60" bestFit="1" customWidth="1"/>
    <col min="183" max="184" width="8.140625" style="60" bestFit="1" customWidth="1"/>
    <col min="185" max="185" width="9.5703125" style="60" bestFit="1" customWidth="1"/>
    <col min="186" max="187" width="12.5703125" style="60" bestFit="1" customWidth="1"/>
    <col min="188" max="188" width="10" style="60" bestFit="1" customWidth="1"/>
    <col min="189" max="189" width="9.42578125" style="60" bestFit="1" customWidth="1"/>
    <col min="190" max="190" width="10.42578125" style="60" bestFit="1" customWidth="1"/>
    <col min="191" max="193" width="8.140625" style="60" bestFit="1" customWidth="1"/>
    <col min="194" max="194" width="6.5703125" style="60" bestFit="1" customWidth="1"/>
    <col min="195" max="195" width="9.140625" style="60"/>
    <col min="196" max="196" width="6.85546875" style="60" bestFit="1" customWidth="1"/>
    <col min="197" max="197" width="10" style="60" bestFit="1" customWidth="1"/>
    <col min="198" max="198" width="10.42578125" style="60" bestFit="1" customWidth="1"/>
    <col min="199" max="201" width="8.140625" style="60" bestFit="1" customWidth="1"/>
    <col min="202" max="202" width="6.5703125" style="60" bestFit="1" customWidth="1"/>
    <col min="203" max="203" width="9.140625" style="60"/>
    <col min="204" max="204" width="6.85546875" style="60" bestFit="1" customWidth="1"/>
    <col min="205" max="205" width="10" style="60" bestFit="1" customWidth="1"/>
    <col min="206" max="206" width="10.42578125" style="60" bestFit="1" customWidth="1"/>
    <col min="207" max="209" width="8.140625" style="60" bestFit="1" customWidth="1"/>
    <col min="210" max="210" width="6.5703125" style="60" bestFit="1" customWidth="1"/>
    <col min="211" max="211" width="9.140625" style="60"/>
    <col min="212" max="212" width="6.85546875" style="60" bestFit="1" customWidth="1"/>
    <col min="213" max="213" width="10" style="60" bestFit="1" customWidth="1"/>
    <col min="214" max="214" width="10.42578125" style="60" bestFit="1" customWidth="1"/>
    <col min="215" max="217" width="8.140625" style="60" bestFit="1" customWidth="1"/>
    <col min="218" max="218" width="6.5703125" style="60" bestFit="1" customWidth="1"/>
    <col min="219" max="219" width="9.140625" style="60"/>
    <col min="220" max="220" width="6.85546875" style="60" bestFit="1" customWidth="1"/>
    <col min="221" max="221" width="10" style="60" bestFit="1" customWidth="1"/>
    <col min="222" max="222" width="10.42578125" style="60" bestFit="1" customWidth="1"/>
    <col min="223" max="225" width="8.140625" style="60" bestFit="1" customWidth="1"/>
    <col min="226" max="226" width="6.5703125" style="60" bestFit="1" customWidth="1"/>
    <col min="227" max="227" width="9.140625" style="60"/>
    <col min="228" max="228" width="6.85546875" style="60" bestFit="1" customWidth="1"/>
    <col min="229" max="229" width="7.85546875" style="60" bestFit="1" customWidth="1"/>
    <col min="230" max="230" width="10.42578125" style="60" bestFit="1" customWidth="1"/>
    <col min="231" max="233" width="8.140625" style="60" bestFit="1" customWidth="1"/>
    <col min="234" max="234" width="6.5703125" style="60" bestFit="1" customWidth="1"/>
    <col min="235" max="235" width="9.140625" style="60"/>
    <col min="236" max="236" width="6.85546875" style="60" bestFit="1" customWidth="1"/>
    <col min="237" max="237" width="7.85546875" style="60" bestFit="1" customWidth="1"/>
    <col min="238" max="238" width="10.42578125" style="60" bestFit="1" customWidth="1"/>
    <col min="239" max="241" width="8.140625" style="60" bestFit="1" customWidth="1"/>
    <col min="242" max="242" width="6.5703125" style="60" bestFit="1" customWidth="1"/>
    <col min="243" max="243" width="9.140625" style="60"/>
    <col min="244" max="244" width="6.85546875" style="60" bestFit="1" customWidth="1"/>
    <col min="245" max="245" width="12.5703125" style="60" bestFit="1" customWidth="1"/>
    <col min="246" max="246" width="10.42578125" style="60" bestFit="1" customWidth="1"/>
    <col min="247" max="249" width="8.140625" style="60" bestFit="1" customWidth="1"/>
    <col min="250" max="250" width="6.5703125" style="60" bestFit="1" customWidth="1"/>
    <col min="251" max="251" width="9.140625" style="60"/>
    <col min="252" max="252" width="6.85546875" style="60" bestFit="1" customWidth="1"/>
    <col min="253" max="253" width="12.85546875" style="60" bestFit="1" customWidth="1"/>
    <col min="254" max="254" width="10.42578125" style="60" bestFit="1" customWidth="1"/>
    <col min="255" max="257" width="8.140625" style="60" bestFit="1" customWidth="1"/>
    <col min="258" max="258" width="6.5703125" style="60" bestFit="1" customWidth="1"/>
    <col min="259" max="259" width="9.140625" style="60"/>
    <col min="260" max="260" width="6.85546875" style="60" bestFit="1" customWidth="1"/>
    <col min="261" max="261" width="13.85546875" style="60" bestFit="1" customWidth="1"/>
    <col min="262" max="262" width="10.42578125" style="60" bestFit="1" customWidth="1"/>
    <col min="263" max="265" width="8.140625" style="60" bestFit="1" customWidth="1"/>
    <col min="266" max="266" width="6.5703125" style="60" bestFit="1" customWidth="1"/>
    <col min="267" max="267" width="9.140625" style="60"/>
    <col min="268" max="268" width="6.85546875" style="60" bestFit="1" customWidth="1"/>
    <col min="269" max="269" width="13.42578125" style="60" bestFit="1" customWidth="1"/>
    <col min="270" max="270" width="10.42578125" style="60" bestFit="1" customWidth="1"/>
    <col min="271" max="273" width="8.140625" style="60" bestFit="1" customWidth="1"/>
    <col min="274" max="274" width="6.5703125" style="60" bestFit="1" customWidth="1"/>
    <col min="275" max="275" width="9.140625" style="60"/>
    <col min="276" max="276" width="6.85546875" style="60" bestFit="1" customWidth="1"/>
    <col min="277" max="277" width="15.140625" style="60" bestFit="1" customWidth="1"/>
    <col min="278" max="278" width="10.42578125" style="60" bestFit="1" customWidth="1"/>
    <col min="279" max="281" width="8.140625" style="60" bestFit="1" customWidth="1"/>
    <col min="282" max="282" width="6.5703125" style="60" bestFit="1" customWidth="1"/>
    <col min="283" max="283" width="9.140625" style="60"/>
    <col min="284" max="284" width="6.85546875" style="60" bestFit="1" customWidth="1"/>
    <col min="285" max="285" width="15.140625" style="60" bestFit="1" customWidth="1"/>
    <col min="286" max="286" width="10.42578125" style="60" bestFit="1" customWidth="1"/>
    <col min="287" max="289" width="8.140625" style="60" bestFit="1" customWidth="1"/>
    <col min="290" max="290" width="6.5703125" style="60" bestFit="1" customWidth="1"/>
    <col min="291" max="291" width="9.140625" style="60"/>
    <col min="292" max="292" width="6.85546875" style="60" bestFit="1" customWidth="1"/>
    <col min="293" max="293" width="15.140625" style="60" bestFit="1" customWidth="1"/>
    <col min="294" max="294" width="10.42578125" style="60" bestFit="1" customWidth="1"/>
    <col min="295" max="297" width="8.140625" style="60" bestFit="1" customWidth="1"/>
    <col min="298" max="298" width="6.5703125" style="60" bestFit="1" customWidth="1"/>
    <col min="299" max="299" width="9.140625" style="60"/>
    <col min="300" max="300" width="6.85546875" style="60" bestFit="1" customWidth="1"/>
    <col min="301" max="301" width="15.140625" style="60" bestFit="1" customWidth="1"/>
    <col min="302" max="302" width="10.42578125" style="60" bestFit="1" customWidth="1"/>
    <col min="303" max="305" width="8.140625" style="60" bestFit="1" customWidth="1"/>
    <col min="306" max="306" width="6.5703125" style="60" bestFit="1" customWidth="1"/>
    <col min="307" max="307" width="9.140625" style="60"/>
    <col min="308" max="308" width="6.85546875" style="60" bestFit="1" customWidth="1"/>
    <col min="309" max="309" width="15.140625" style="60" bestFit="1" customWidth="1"/>
    <col min="310" max="310" width="10.42578125" style="60" bestFit="1" customWidth="1"/>
    <col min="311" max="313" width="8.140625" style="60" bestFit="1" customWidth="1"/>
    <col min="314" max="314" width="6.5703125" style="60" bestFit="1" customWidth="1"/>
    <col min="315" max="315" width="9.140625" style="60"/>
    <col min="316" max="316" width="6.85546875" style="60" bestFit="1" customWidth="1"/>
    <col min="317" max="317" width="15.140625" style="60" bestFit="1" customWidth="1"/>
    <col min="318" max="318" width="10.42578125" style="60" bestFit="1" customWidth="1"/>
    <col min="319" max="321" width="8.140625" style="60" bestFit="1" customWidth="1"/>
    <col min="322" max="322" width="6.5703125" style="60" bestFit="1" customWidth="1"/>
    <col min="323" max="323" width="9.140625" style="60"/>
    <col min="324" max="324" width="6.85546875" style="60" bestFit="1" customWidth="1"/>
    <col min="325" max="325" width="15.140625" style="60" bestFit="1" customWidth="1"/>
    <col min="326" max="326" width="10.42578125" style="60" bestFit="1" customWidth="1"/>
    <col min="327" max="329" width="8.140625" style="60" bestFit="1" customWidth="1"/>
    <col min="330" max="330" width="6.5703125" style="60" bestFit="1" customWidth="1"/>
    <col min="331" max="331" width="9.140625" style="60"/>
    <col min="332" max="332" width="6.85546875" style="60" bestFit="1" customWidth="1"/>
    <col min="333" max="333" width="15.140625" style="60" bestFit="1" customWidth="1"/>
    <col min="334" max="334" width="10.42578125" style="60" bestFit="1" customWidth="1"/>
    <col min="335" max="337" width="8.140625" style="60" bestFit="1" customWidth="1"/>
    <col min="338" max="338" width="6.5703125" style="60" bestFit="1" customWidth="1"/>
    <col min="339" max="339" width="9.140625" style="60"/>
    <col min="340" max="340" width="6.85546875" style="60" bestFit="1" customWidth="1"/>
    <col min="341" max="341" width="13.85546875" style="60" bestFit="1" customWidth="1"/>
    <col min="342" max="342" width="10.42578125" style="60" bestFit="1" customWidth="1"/>
    <col min="343" max="345" width="8.140625" style="60" bestFit="1" customWidth="1"/>
    <col min="346" max="346" width="6.5703125" style="60" bestFit="1" customWidth="1"/>
    <col min="347" max="347" width="9.140625" style="60"/>
    <col min="348" max="348" width="6.85546875" style="60" bestFit="1" customWidth="1"/>
    <col min="349" max="349" width="11" style="60" bestFit="1" customWidth="1"/>
    <col min="350" max="350" width="10.42578125" style="60" bestFit="1" customWidth="1"/>
    <col min="351" max="353" width="8.140625" style="60" bestFit="1" customWidth="1"/>
    <col min="354" max="354" width="6.5703125" style="60" bestFit="1" customWidth="1"/>
    <col min="355" max="355" width="9.140625" style="60"/>
    <col min="356" max="356" width="6.85546875" style="60" bestFit="1" customWidth="1"/>
    <col min="357" max="357" width="12.5703125" style="60" bestFit="1" customWidth="1"/>
    <col min="358" max="358" width="10.42578125" style="60" bestFit="1" customWidth="1"/>
    <col min="359" max="361" width="8.140625" style="60" bestFit="1" customWidth="1"/>
    <col min="362" max="362" width="6.5703125" style="60" bestFit="1" customWidth="1"/>
    <col min="363" max="363" width="9.140625" style="60"/>
    <col min="364" max="364" width="6.85546875" style="60" bestFit="1" customWidth="1"/>
    <col min="365" max="365" width="12.5703125" style="60" bestFit="1" customWidth="1"/>
    <col min="366" max="366" width="10.42578125" style="60" bestFit="1" customWidth="1"/>
    <col min="367" max="369" width="8.140625" style="60" bestFit="1" customWidth="1"/>
    <col min="370" max="370" width="6.5703125" style="60" bestFit="1" customWidth="1"/>
    <col min="371" max="371" width="9.140625" style="60"/>
    <col min="372" max="372" width="6.85546875" style="60" bestFit="1" customWidth="1"/>
    <col min="373" max="374" width="8.85546875" style="60" bestFit="1" customWidth="1"/>
    <col min="375" max="375" width="14.140625" style="60" customWidth="1"/>
    <col min="376" max="376" width="7.42578125" style="60" bestFit="1" customWidth="1"/>
    <col min="377" max="379" width="8.5703125" style="60" bestFit="1" customWidth="1"/>
    <col min="380" max="380" width="14.5703125" style="60" bestFit="1" customWidth="1"/>
    <col min="381" max="16384" width="9.140625" style="60"/>
  </cols>
  <sheetData>
    <row r="1" spans="1:380" s="188" customFormat="1" ht="51" x14ac:dyDescent="0.2">
      <c r="A1" s="186" t="s">
        <v>98</v>
      </c>
      <c r="B1" s="186" t="s">
        <v>99</v>
      </c>
      <c r="C1" s="186" t="s">
        <v>100</v>
      </c>
      <c r="D1" s="186" t="s">
        <v>101</v>
      </c>
      <c r="E1" s="186" t="s">
        <v>102</v>
      </c>
      <c r="F1" s="186" t="s">
        <v>103</v>
      </c>
      <c r="G1" s="186" t="s">
        <v>104</v>
      </c>
      <c r="H1" s="186" t="s">
        <v>105</v>
      </c>
      <c r="I1" s="186" t="s">
        <v>106</v>
      </c>
      <c r="J1" s="186" t="s">
        <v>107</v>
      </c>
      <c r="K1" s="186" t="s">
        <v>108</v>
      </c>
      <c r="L1" s="186" t="s">
        <v>109</v>
      </c>
      <c r="M1" s="186" t="s">
        <v>110</v>
      </c>
      <c r="N1" s="186" t="s">
        <v>111</v>
      </c>
      <c r="O1" s="186" t="s">
        <v>112</v>
      </c>
      <c r="P1" s="186" t="s">
        <v>113</v>
      </c>
      <c r="Q1" s="186" t="s">
        <v>114</v>
      </c>
      <c r="R1" s="186" t="s">
        <v>115</v>
      </c>
      <c r="S1" s="186" t="s">
        <v>116</v>
      </c>
      <c r="T1" s="186" t="s">
        <v>117</v>
      </c>
      <c r="U1" s="186" t="s">
        <v>118</v>
      </c>
      <c r="V1" s="186" t="s">
        <v>119</v>
      </c>
      <c r="W1" s="186" t="s">
        <v>120</v>
      </c>
      <c r="X1" s="186" t="s">
        <v>121</v>
      </c>
      <c r="Y1" s="186" t="s">
        <v>122</v>
      </c>
      <c r="Z1" s="186" t="s">
        <v>123</v>
      </c>
      <c r="AA1" s="186" t="s">
        <v>110</v>
      </c>
      <c r="AB1" s="186" t="s">
        <v>111</v>
      </c>
      <c r="AC1" s="186" t="s">
        <v>112</v>
      </c>
      <c r="AD1" s="186" t="s">
        <v>113</v>
      </c>
      <c r="AE1" s="186" t="s">
        <v>114</v>
      </c>
      <c r="AF1" s="186" t="s">
        <v>115</v>
      </c>
      <c r="AG1" s="186" t="s">
        <v>116</v>
      </c>
      <c r="AH1" s="186" t="s">
        <v>117</v>
      </c>
      <c r="AI1" s="186" t="s">
        <v>118</v>
      </c>
      <c r="AJ1" s="186" t="s">
        <v>119</v>
      </c>
      <c r="AK1" s="186" t="s">
        <v>120</v>
      </c>
      <c r="AL1" s="186" t="s">
        <v>121</v>
      </c>
      <c r="AM1" s="186" t="s">
        <v>122</v>
      </c>
      <c r="AN1" s="186" t="s">
        <v>123</v>
      </c>
      <c r="AO1" s="186" t="s">
        <v>110</v>
      </c>
      <c r="AP1" s="186" t="s">
        <v>111</v>
      </c>
      <c r="AQ1" s="186" t="s">
        <v>112</v>
      </c>
      <c r="AR1" s="186" t="s">
        <v>113</v>
      </c>
      <c r="AS1" s="186" t="s">
        <v>114</v>
      </c>
      <c r="AT1" s="186" t="s">
        <v>115</v>
      </c>
      <c r="AU1" s="186" t="s">
        <v>116</v>
      </c>
      <c r="AV1" s="186" t="s">
        <v>117</v>
      </c>
      <c r="AW1" s="186" t="s">
        <v>118</v>
      </c>
      <c r="AX1" s="186" t="s">
        <v>119</v>
      </c>
      <c r="AY1" s="186" t="s">
        <v>120</v>
      </c>
      <c r="AZ1" s="186" t="s">
        <v>121</v>
      </c>
      <c r="BA1" s="186" t="s">
        <v>122</v>
      </c>
      <c r="BB1" s="186" t="s">
        <v>123</v>
      </c>
      <c r="BC1" s="186" t="s">
        <v>110</v>
      </c>
      <c r="BD1" s="186" t="s">
        <v>111</v>
      </c>
      <c r="BE1" s="186" t="s">
        <v>112</v>
      </c>
      <c r="BF1" s="186" t="s">
        <v>113</v>
      </c>
      <c r="BG1" s="186" t="s">
        <v>114</v>
      </c>
      <c r="BH1" s="186" t="s">
        <v>115</v>
      </c>
      <c r="BI1" s="186" t="s">
        <v>116</v>
      </c>
      <c r="BJ1" s="186" t="s">
        <v>117</v>
      </c>
      <c r="BK1" s="186" t="s">
        <v>118</v>
      </c>
      <c r="BL1" s="186" t="s">
        <v>119</v>
      </c>
      <c r="BM1" s="186" t="s">
        <v>120</v>
      </c>
      <c r="BN1" s="186" t="s">
        <v>121</v>
      </c>
      <c r="BO1" s="186" t="s">
        <v>122</v>
      </c>
      <c r="BP1" s="186" t="s">
        <v>123</v>
      </c>
      <c r="BQ1" s="186" t="s">
        <v>110</v>
      </c>
      <c r="BR1" s="186" t="s">
        <v>111</v>
      </c>
      <c r="BS1" s="186" t="s">
        <v>112</v>
      </c>
      <c r="BT1" s="187" t="s">
        <v>113</v>
      </c>
      <c r="BU1" s="187" t="s">
        <v>114</v>
      </c>
      <c r="BV1" s="187" t="s">
        <v>115</v>
      </c>
      <c r="BW1" s="187" t="s">
        <v>116</v>
      </c>
      <c r="BX1" s="187" t="s">
        <v>117</v>
      </c>
      <c r="BY1" s="187" t="s">
        <v>118</v>
      </c>
      <c r="BZ1" s="187" t="s">
        <v>119</v>
      </c>
      <c r="CA1" s="187" t="s">
        <v>120</v>
      </c>
      <c r="CB1" s="187" t="s">
        <v>121</v>
      </c>
      <c r="CC1" s="187" t="s">
        <v>122</v>
      </c>
      <c r="CD1" s="187" t="s">
        <v>123</v>
      </c>
      <c r="CE1" s="187" t="s">
        <v>110</v>
      </c>
      <c r="CF1" s="187" t="s">
        <v>111</v>
      </c>
      <c r="CG1" s="187" t="s">
        <v>112</v>
      </c>
      <c r="CH1" s="187" t="s">
        <v>113</v>
      </c>
      <c r="CI1" s="187" t="s">
        <v>114</v>
      </c>
      <c r="CJ1" s="187" t="s">
        <v>115</v>
      </c>
      <c r="CK1" s="187" t="s">
        <v>116</v>
      </c>
      <c r="CL1" s="187" t="s">
        <v>117</v>
      </c>
      <c r="CM1" s="187" t="s">
        <v>118</v>
      </c>
      <c r="CN1" s="187" t="s">
        <v>119</v>
      </c>
      <c r="CO1" s="187" t="s">
        <v>120</v>
      </c>
      <c r="CP1" s="187" t="s">
        <v>121</v>
      </c>
      <c r="CQ1" s="187" t="s">
        <v>122</v>
      </c>
      <c r="CR1" s="187" t="s">
        <v>123</v>
      </c>
      <c r="CS1" s="187" t="s">
        <v>110</v>
      </c>
      <c r="CT1" s="187" t="s">
        <v>111</v>
      </c>
      <c r="CU1" s="187" t="s">
        <v>112</v>
      </c>
      <c r="CV1" s="187" t="s">
        <v>113</v>
      </c>
      <c r="CW1" s="187" t="s">
        <v>114</v>
      </c>
      <c r="CX1" s="187" t="s">
        <v>115</v>
      </c>
      <c r="CY1" s="187" t="s">
        <v>116</v>
      </c>
      <c r="CZ1" s="187" t="s">
        <v>117</v>
      </c>
      <c r="DA1" s="187" t="s">
        <v>118</v>
      </c>
      <c r="DB1" s="187" t="s">
        <v>119</v>
      </c>
      <c r="DC1" s="187" t="s">
        <v>120</v>
      </c>
      <c r="DD1" s="187" t="s">
        <v>121</v>
      </c>
      <c r="DE1" s="187" t="s">
        <v>122</v>
      </c>
      <c r="DF1" s="187" t="s">
        <v>123</v>
      </c>
      <c r="DG1" s="187" t="s">
        <v>110</v>
      </c>
      <c r="DH1" s="187" t="s">
        <v>111</v>
      </c>
      <c r="DI1" s="187" t="s">
        <v>112</v>
      </c>
      <c r="DJ1" s="187" t="s">
        <v>113</v>
      </c>
      <c r="DK1" s="187" t="s">
        <v>114</v>
      </c>
      <c r="DL1" s="187" t="s">
        <v>115</v>
      </c>
      <c r="DM1" s="187" t="s">
        <v>116</v>
      </c>
      <c r="DN1" s="187" t="s">
        <v>117</v>
      </c>
      <c r="DO1" s="187" t="s">
        <v>118</v>
      </c>
      <c r="DP1" s="187" t="s">
        <v>119</v>
      </c>
      <c r="DQ1" s="187" t="s">
        <v>120</v>
      </c>
      <c r="DR1" s="187" t="s">
        <v>121</v>
      </c>
      <c r="DS1" s="187" t="s">
        <v>122</v>
      </c>
      <c r="DT1" s="187" t="s">
        <v>123</v>
      </c>
      <c r="DU1" s="187" t="s">
        <v>110</v>
      </c>
      <c r="DV1" s="187" t="s">
        <v>111</v>
      </c>
      <c r="DW1" s="187" t="s">
        <v>112</v>
      </c>
      <c r="DX1" s="187" t="s">
        <v>113</v>
      </c>
      <c r="DY1" s="187" t="s">
        <v>114</v>
      </c>
      <c r="DZ1" s="187" t="s">
        <v>115</v>
      </c>
      <c r="EA1" s="187" t="s">
        <v>116</v>
      </c>
      <c r="EB1" s="187" t="s">
        <v>117</v>
      </c>
      <c r="EC1" s="187" t="s">
        <v>118</v>
      </c>
      <c r="ED1" s="187" t="s">
        <v>119</v>
      </c>
      <c r="EE1" s="187" t="s">
        <v>120</v>
      </c>
      <c r="EF1" s="187" t="s">
        <v>121</v>
      </c>
      <c r="EG1" s="187" t="s">
        <v>122</v>
      </c>
      <c r="EH1" s="187" t="s">
        <v>123</v>
      </c>
      <c r="EI1" s="187" t="s">
        <v>110</v>
      </c>
      <c r="EJ1" s="187" t="s">
        <v>111</v>
      </c>
      <c r="EK1" s="187" t="s">
        <v>112</v>
      </c>
      <c r="EL1" s="187" t="s">
        <v>113</v>
      </c>
      <c r="EM1" s="187" t="s">
        <v>114</v>
      </c>
      <c r="EN1" s="187" t="s">
        <v>115</v>
      </c>
      <c r="EO1" s="187" t="s">
        <v>116</v>
      </c>
      <c r="EP1" s="187" t="s">
        <v>117</v>
      </c>
      <c r="EQ1" s="187" t="s">
        <v>118</v>
      </c>
      <c r="ER1" s="187" t="s">
        <v>119</v>
      </c>
      <c r="ES1" s="187" t="s">
        <v>120</v>
      </c>
      <c r="ET1" s="187" t="s">
        <v>121</v>
      </c>
      <c r="EU1" s="187" t="s">
        <v>122</v>
      </c>
      <c r="EV1" s="187" t="s">
        <v>123</v>
      </c>
      <c r="EW1" s="187" t="s">
        <v>110</v>
      </c>
      <c r="EX1" s="187" t="s">
        <v>111</v>
      </c>
      <c r="EY1" s="187" t="s">
        <v>118</v>
      </c>
      <c r="EZ1" s="187" t="s">
        <v>119</v>
      </c>
      <c r="FA1" s="187" t="s">
        <v>120</v>
      </c>
      <c r="FB1" s="187" t="s">
        <v>121</v>
      </c>
      <c r="FC1" s="187" t="s">
        <v>110</v>
      </c>
      <c r="FD1" s="187" t="s">
        <v>111</v>
      </c>
      <c r="FE1" s="187" t="s">
        <v>118</v>
      </c>
      <c r="FF1" s="187" t="s">
        <v>119</v>
      </c>
      <c r="FG1" s="187" t="s">
        <v>120</v>
      </c>
      <c r="FH1" s="187" t="s">
        <v>121</v>
      </c>
      <c r="FI1" s="187" t="s">
        <v>110</v>
      </c>
      <c r="FJ1" s="187" t="s">
        <v>111</v>
      </c>
      <c r="FK1" s="187" t="s">
        <v>118</v>
      </c>
      <c r="FL1" s="187" t="s">
        <v>119</v>
      </c>
      <c r="FM1" s="187" t="s">
        <v>120</v>
      </c>
      <c r="FN1" s="187" t="s">
        <v>121</v>
      </c>
      <c r="FO1" s="187" t="s">
        <v>298</v>
      </c>
      <c r="FP1" s="187" t="s">
        <v>299</v>
      </c>
      <c r="FQ1" s="187" t="s">
        <v>110</v>
      </c>
      <c r="FR1" s="187" t="s">
        <v>111</v>
      </c>
      <c r="FS1" s="187" t="s">
        <v>118</v>
      </c>
      <c r="FT1" s="187" t="s">
        <v>119</v>
      </c>
      <c r="FU1" s="187" t="s">
        <v>120</v>
      </c>
      <c r="FV1" s="187" t="s">
        <v>121</v>
      </c>
      <c r="FW1" s="187" t="s">
        <v>298</v>
      </c>
      <c r="FX1" s="187" t="s">
        <v>299</v>
      </c>
      <c r="FY1" s="187" t="s">
        <v>110</v>
      </c>
      <c r="FZ1" s="187" t="s">
        <v>111</v>
      </c>
      <c r="GA1" s="187" t="s">
        <v>118</v>
      </c>
      <c r="GB1" s="187" t="s">
        <v>119</v>
      </c>
      <c r="GC1" s="187" t="s">
        <v>120</v>
      </c>
      <c r="GD1" s="187" t="s">
        <v>121</v>
      </c>
      <c r="GE1" s="187" t="s">
        <v>298</v>
      </c>
      <c r="GF1" s="187" t="s">
        <v>299</v>
      </c>
      <c r="GG1" s="187" t="s">
        <v>110</v>
      </c>
      <c r="GH1" s="187" t="s">
        <v>111</v>
      </c>
      <c r="GI1" s="187" t="s">
        <v>118</v>
      </c>
      <c r="GJ1" s="187" t="s">
        <v>119</v>
      </c>
      <c r="GK1" s="187" t="s">
        <v>120</v>
      </c>
      <c r="GL1" s="187" t="s">
        <v>121</v>
      </c>
      <c r="GM1" s="187" t="s">
        <v>298</v>
      </c>
      <c r="GN1" s="187" t="s">
        <v>299</v>
      </c>
      <c r="GO1" s="187" t="s">
        <v>110</v>
      </c>
      <c r="GP1" s="187" t="s">
        <v>111</v>
      </c>
      <c r="GQ1" s="187" t="s">
        <v>118</v>
      </c>
      <c r="GR1" s="187" t="s">
        <v>119</v>
      </c>
      <c r="GS1" s="187" t="s">
        <v>120</v>
      </c>
      <c r="GT1" s="187" t="s">
        <v>121</v>
      </c>
      <c r="GU1" s="187" t="s">
        <v>298</v>
      </c>
      <c r="GV1" s="187" t="s">
        <v>299</v>
      </c>
      <c r="GW1" s="187" t="s">
        <v>110</v>
      </c>
      <c r="GX1" s="187" t="s">
        <v>111</v>
      </c>
      <c r="GY1" s="187" t="s">
        <v>118</v>
      </c>
      <c r="GZ1" s="187" t="s">
        <v>119</v>
      </c>
      <c r="HA1" s="187" t="s">
        <v>120</v>
      </c>
      <c r="HB1" s="187" t="s">
        <v>121</v>
      </c>
      <c r="HC1" s="187" t="s">
        <v>298</v>
      </c>
      <c r="HD1" s="187" t="s">
        <v>299</v>
      </c>
      <c r="HE1" s="187" t="s">
        <v>110</v>
      </c>
      <c r="HF1" s="187" t="s">
        <v>111</v>
      </c>
      <c r="HG1" s="187" t="s">
        <v>118</v>
      </c>
      <c r="HH1" s="187" t="s">
        <v>119</v>
      </c>
      <c r="HI1" s="187" t="s">
        <v>120</v>
      </c>
      <c r="HJ1" s="187" t="s">
        <v>121</v>
      </c>
      <c r="HK1" s="187" t="s">
        <v>298</v>
      </c>
      <c r="HL1" s="187" t="s">
        <v>299</v>
      </c>
      <c r="HM1" s="187" t="s">
        <v>110</v>
      </c>
      <c r="HN1" s="187" t="s">
        <v>111</v>
      </c>
      <c r="HO1" s="187" t="s">
        <v>118</v>
      </c>
      <c r="HP1" s="187" t="s">
        <v>119</v>
      </c>
      <c r="HQ1" s="187" t="s">
        <v>120</v>
      </c>
      <c r="HR1" s="187" t="s">
        <v>121</v>
      </c>
      <c r="HS1" s="187" t="s">
        <v>298</v>
      </c>
      <c r="HT1" s="187" t="s">
        <v>299</v>
      </c>
      <c r="HU1" s="187" t="s">
        <v>110</v>
      </c>
      <c r="HV1" s="187" t="s">
        <v>111</v>
      </c>
      <c r="HW1" s="187" t="s">
        <v>118</v>
      </c>
      <c r="HX1" s="187" t="s">
        <v>119</v>
      </c>
      <c r="HY1" s="187" t="s">
        <v>120</v>
      </c>
      <c r="HZ1" s="187" t="s">
        <v>121</v>
      </c>
      <c r="IA1" s="187" t="s">
        <v>298</v>
      </c>
      <c r="IB1" s="187" t="s">
        <v>299</v>
      </c>
      <c r="IC1" s="187" t="s">
        <v>110</v>
      </c>
      <c r="ID1" s="187" t="s">
        <v>111</v>
      </c>
      <c r="IE1" s="187" t="s">
        <v>118</v>
      </c>
      <c r="IF1" s="187" t="s">
        <v>119</v>
      </c>
      <c r="IG1" s="187" t="s">
        <v>120</v>
      </c>
      <c r="IH1" s="187" t="s">
        <v>121</v>
      </c>
      <c r="II1" s="187" t="s">
        <v>298</v>
      </c>
      <c r="IJ1" s="187" t="s">
        <v>299</v>
      </c>
      <c r="IK1" s="187" t="s">
        <v>110</v>
      </c>
      <c r="IL1" s="187" t="s">
        <v>111</v>
      </c>
      <c r="IM1" s="187" t="s">
        <v>118</v>
      </c>
      <c r="IN1" s="187" t="s">
        <v>119</v>
      </c>
      <c r="IO1" s="187" t="s">
        <v>120</v>
      </c>
      <c r="IP1" s="187" t="s">
        <v>121</v>
      </c>
      <c r="IQ1" s="187" t="s">
        <v>298</v>
      </c>
      <c r="IR1" s="187" t="s">
        <v>299</v>
      </c>
      <c r="IS1" s="187" t="s">
        <v>110</v>
      </c>
      <c r="IT1" s="187" t="s">
        <v>111</v>
      </c>
      <c r="IU1" s="187" t="s">
        <v>118</v>
      </c>
      <c r="IV1" s="187" t="s">
        <v>119</v>
      </c>
      <c r="IW1" s="187" t="s">
        <v>120</v>
      </c>
      <c r="IX1" s="187" t="s">
        <v>121</v>
      </c>
      <c r="IY1" s="187" t="s">
        <v>298</v>
      </c>
      <c r="IZ1" s="187" t="s">
        <v>299</v>
      </c>
      <c r="JA1" s="187" t="s">
        <v>110</v>
      </c>
      <c r="JB1" s="187" t="s">
        <v>111</v>
      </c>
      <c r="JC1" s="187" t="s">
        <v>118</v>
      </c>
      <c r="JD1" s="187" t="s">
        <v>119</v>
      </c>
      <c r="JE1" s="187" t="s">
        <v>120</v>
      </c>
      <c r="JF1" s="187" t="s">
        <v>121</v>
      </c>
      <c r="JG1" s="187" t="s">
        <v>298</v>
      </c>
      <c r="JH1" s="187" t="s">
        <v>299</v>
      </c>
      <c r="JI1" s="187" t="s">
        <v>110</v>
      </c>
      <c r="JJ1" s="187" t="s">
        <v>111</v>
      </c>
      <c r="JK1" s="187" t="s">
        <v>118</v>
      </c>
      <c r="JL1" s="187" t="s">
        <v>119</v>
      </c>
      <c r="JM1" s="187" t="s">
        <v>120</v>
      </c>
      <c r="JN1" s="187" t="s">
        <v>121</v>
      </c>
      <c r="JO1" s="187" t="s">
        <v>298</v>
      </c>
      <c r="JP1" s="187" t="s">
        <v>299</v>
      </c>
      <c r="JQ1" s="187" t="s">
        <v>110</v>
      </c>
      <c r="JR1" s="187" t="s">
        <v>111</v>
      </c>
      <c r="JS1" s="187" t="s">
        <v>118</v>
      </c>
      <c r="JT1" s="187" t="s">
        <v>119</v>
      </c>
      <c r="JU1" s="187" t="s">
        <v>120</v>
      </c>
      <c r="JV1" s="187" t="s">
        <v>121</v>
      </c>
      <c r="JW1" s="187" t="s">
        <v>298</v>
      </c>
      <c r="JX1" s="187" t="s">
        <v>299</v>
      </c>
      <c r="JY1" s="187" t="s">
        <v>110</v>
      </c>
      <c r="JZ1" s="187" t="s">
        <v>111</v>
      </c>
      <c r="KA1" s="187" t="s">
        <v>118</v>
      </c>
      <c r="KB1" s="187" t="s">
        <v>119</v>
      </c>
      <c r="KC1" s="187" t="s">
        <v>120</v>
      </c>
      <c r="KD1" s="187" t="s">
        <v>121</v>
      </c>
      <c r="KE1" s="187" t="s">
        <v>298</v>
      </c>
      <c r="KF1" s="187" t="s">
        <v>299</v>
      </c>
      <c r="KG1" s="187" t="s">
        <v>110</v>
      </c>
      <c r="KH1" s="187" t="s">
        <v>111</v>
      </c>
      <c r="KI1" s="187" t="s">
        <v>118</v>
      </c>
      <c r="KJ1" s="187" t="s">
        <v>119</v>
      </c>
      <c r="KK1" s="187" t="s">
        <v>120</v>
      </c>
      <c r="KL1" s="187" t="s">
        <v>121</v>
      </c>
      <c r="KM1" s="187" t="s">
        <v>298</v>
      </c>
      <c r="KN1" s="187" t="s">
        <v>299</v>
      </c>
      <c r="KO1" s="187" t="s">
        <v>110</v>
      </c>
      <c r="KP1" s="187" t="s">
        <v>111</v>
      </c>
      <c r="KQ1" s="187" t="s">
        <v>118</v>
      </c>
      <c r="KR1" s="187" t="s">
        <v>119</v>
      </c>
      <c r="KS1" s="187" t="s">
        <v>120</v>
      </c>
      <c r="KT1" s="187" t="s">
        <v>121</v>
      </c>
      <c r="KU1" s="187" t="s">
        <v>298</v>
      </c>
      <c r="KV1" s="187" t="s">
        <v>299</v>
      </c>
      <c r="KW1" s="187" t="s">
        <v>110</v>
      </c>
      <c r="KX1" s="187" t="s">
        <v>111</v>
      </c>
      <c r="KY1" s="187" t="s">
        <v>118</v>
      </c>
      <c r="KZ1" s="187" t="s">
        <v>119</v>
      </c>
      <c r="LA1" s="187" t="s">
        <v>120</v>
      </c>
      <c r="LB1" s="187" t="s">
        <v>121</v>
      </c>
      <c r="LC1" s="187" t="s">
        <v>298</v>
      </c>
      <c r="LD1" s="187" t="s">
        <v>299</v>
      </c>
      <c r="LE1" s="187" t="s">
        <v>110</v>
      </c>
      <c r="LF1" s="187" t="s">
        <v>111</v>
      </c>
      <c r="LG1" s="187" t="s">
        <v>118</v>
      </c>
      <c r="LH1" s="187" t="s">
        <v>119</v>
      </c>
      <c r="LI1" s="187" t="s">
        <v>120</v>
      </c>
      <c r="LJ1" s="187" t="s">
        <v>121</v>
      </c>
      <c r="LK1" s="187" t="s">
        <v>298</v>
      </c>
      <c r="LL1" s="187" t="s">
        <v>299</v>
      </c>
      <c r="LM1" s="187" t="s">
        <v>110</v>
      </c>
      <c r="LN1" s="187" t="s">
        <v>111</v>
      </c>
      <c r="LO1" s="187" t="s">
        <v>118</v>
      </c>
      <c r="LP1" s="187" t="s">
        <v>119</v>
      </c>
      <c r="LQ1" s="187" t="s">
        <v>120</v>
      </c>
      <c r="LR1" s="187" t="s">
        <v>121</v>
      </c>
      <c r="LS1" s="187" t="s">
        <v>298</v>
      </c>
      <c r="LT1" s="187" t="s">
        <v>299</v>
      </c>
      <c r="LU1" s="187" t="s">
        <v>110</v>
      </c>
      <c r="LV1" s="187" t="s">
        <v>111</v>
      </c>
      <c r="LW1" s="187" t="s">
        <v>118</v>
      </c>
      <c r="LX1" s="187" t="s">
        <v>119</v>
      </c>
      <c r="LY1" s="187" t="s">
        <v>120</v>
      </c>
      <c r="LZ1" s="187" t="s">
        <v>121</v>
      </c>
      <c r="MA1" s="187" t="s">
        <v>298</v>
      </c>
      <c r="MB1" s="187" t="s">
        <v>299</v>
      </c>
      <c r="MC1" s="187" t="s">
        <v>110</v>
      </c>
      <c r="MD1" s="187" t="s">
        <v>111</v>
      </c>
      <c r="ME1" s="187" t="s">
        <v>118</v>
      </c>
      <c r="MF1" s="187" t="s">
        <v>119</v>
      </c>
      <c r="MG1" s="187" t="s">
        <v>120</v>
      </c>
      <c r="MH1" s="187" t="s">
        <v>121</v>
      </c>
      <c r="MI1" s="187" t="s">
        <v>298</v>
      </c>
      <c r="MJ1" s="187" t="s">
        <v>299</v>
      </c>
      <c r="MK1" s="187" t="s">
        <v>110</v>
      </c>
      <c r="ML1" s="187" t="s">
        <v>111</v>
      </c>
      <c r="MM1" s="187" t="s">
        <v>118</v>
      </c>
      <c r="MN1" s="187" t="s">
        <v>119</v>
      </c>
      <c r="MO1" s="187" t="s">
        <v>120</v>
      </c>
      <c r="MP1" s="187" t="s">
        <v>121</v>
      </c>
      <c r="MQ1" s="187" t="s">
        <v>298</v>
      </c>
      <c r="MR1" s="187" t="s">
        <v>299</v>
      </c>
      <c r="MS1" s="187" t="s">
        <v>110</v>
      </c>
      <c r="MT1" s="187" t="s">
        <v>111</v>
      </c>
      <c r="MU1" s="187" t="s">
        <v>118</v>
      </c>
      <c r="MV1" s="187" t="s">
        <v>119</v>
      </c>
      <c r="MW1" s="187" t="s">
        <v>120</v>
      </c>
      <c r="MX1" s="187" t="s">
        <v>121</v>
      </c>
      <c r="MY1" s="187" t="s">
        <v>298</v>
      </c>
      <c r="MZ1" s="187" t="s">
        <v>299</v>
      </c>
      <c r="NA1" s="187" t="s">
        <v>110</v>
      </c>
      <c r="NB1" s="187" t="s">
        <v>111</v>
      </c>
      <c r="NC1" s="187" t="s">
        <v>118</v>
      </c>
      <c r="ND1" s="187" t="s">
        <v>119</v>
      </c>
      <c r="NE1" s="187" t="s">
        <v>120</v>
      </c>
      <c r="NF1" s="187" t="s">
        <v>121</v>
      </c>
      <c r="NG1" s="187" t="s">
        <v>298</v>
      </c>
      <c r="NH1" s="187" t="s">
        <v>299</v>
      </c>
      <c r="NI1" s="187" t="s">
        <v>124</v>
      </c>
      <c r="NJ1" s="187" t="s">
        <v>125</v>
      </c>
      <c r="NK1" s="187" t="s">
        <v>126</v>
      </c>
      <c r="NL1" s="187" t="s">
        <v>244</v>
      </c>
      <c r="NM1" s="187" t="s">
        <v>245</v>
      </c>
      <c r="NN1" s="187" t="s">
        <v>246</v>
      </c>
      <c r="NO1" s="187" t="s">
        <v>247</v>
      </c>
      <c r="NP1" s="187" t="s">
        <v>248</v>
      </c>
    </row>
    <row r="2" spans="1:380" customFormat="1" x14ac:dyDescent="0.2">
      <c r="A2" t="s">
        <v>517</v>
      </c>
      <c r="B2">
        <v>1</v>
      </c>
      <c r="C2" t="s">
        <v>601</v>
      </c>
      <c r="D2">
        <v>646950282</v>
      </c>
      <c r="E2">
        <v>12602</v>
      </c>
      <c r="F2" t="s">
        <v>542</v>
      </c>
      <c r="G2">
        <v>750212</v>
      </c>
      <c r="H2">
        <v>210067178</v>
      </c>
      <c r="I2" t="s">
        <v>543</v>
      </c>
      <c r="J2" t="s">
        <v>602</v>
      </c>
      <c r="K2" t="s">
        <v>545</v>
      </c>
      <c r="L2" t="s">
        <v>294</v>
      </c>
      <c r="M2" t="s">
        <v>546</v>
      </c>
      <c r="N2" t="s">
        <v>468</v>
      </c>
      <c r="O2" t="s">
        <v>547</v>
      </c>
      <c r="P2" t="s">
        <v>264</v>
      </c>
      <c r="Q2">
        <v>26.9</v>
      </c>
      <c r="R2">
        <v>268</v>
      </c>
      <c r="S2" t="s">
        <v>264</v>
      </c>
      <c r="T2">
        <v>-9999</v>
      </c>
      <c r="U2">
        <v>597</v>
      </c>
      <c r="V2">
        <v>617</v>
      </c>
      <c r="W2">
        <v>586</v>
      </c>
      <c r="X2" t="s">
        <v>270</v>
      </c>
      <c r="Y2">
        <v>0</v>
      </c>
      <c r="Z2">
        <v>55</v>
      </c>
      <c r="AA2" t="s">
        <v>469</v>
      </c>
      <c r="AB2" t="s">
        <v>548</v>
      </c>
      <c r="AC2">
        <v>1</v>
      </c>
      <c r="AD2" t="s">
        <v>549</v>
      </c>
      <c r="AE2">
        <v>0</v>
      </c>
      <c r="AF2">
        <v>34</v>
      </c>
      <c r="AG2" t="s">
        <v>264</v>
      </c>
      <c r="AH2">
        <v>-9999</v>
      </c>
      <c r="AI2">
        <v>496</v>
      </c>
      <c r="AJ2">
        <v>602</v>
      </c>
      <c r="AK2">
        <v>491</v>
      </c>
      <c r="AL2" t="s">
        <v>270</v>
      </c>
      <c r="AM2">
        <v>0</v>
      </c>
      <c r="AN2">
        <v>55</v>
      </c>
      <c r="AO2" t="s">
        <v>470</v>
      </c>
      <c r="AP2" t="s">
        <v>548</v>
      </c>
      <c r="AQ2">
        <v>2</v>
      </c>
      <c r="AR2" t="s">
        <v>549</v>
      </c>
      <c r="AS2">
        <v>54.4</v>
      </c>
      <c r="AT2">
        <v>51</v>
      </c>
      <c r="AU2" t="s">
        <v>264</v>
      </c>
      <c r="AV2">
        <v>-9999</v>
      </c>
      <c r="AW2">
        <v>357</v>
      </c>
      <c r="AX2">
        <v>375</v>
      </c>
      <c r="AY2">
        <v>354</v>
      </c>
      <c r="AZ2" t="s">
        <v>270</v>
      </c>
      <c r="BA2">
        <v>0</v>
      </c>
      <c r="BB2">
        <v>55</v>
      </c>
      <c r="BC2" t="s">
        <v>550</v>
      </c>
      <c r="BD2" t="s">
        <v>548</v>
      </c>
      <c r="BE2">
        <v>3</v>
      </c>
      <c r="BF2" t="s">
        <v>584</v>
      </c>
      <c r="BG2">
        <v>31.8</v>
      </c>
      <c r="BH2">
        <v>46</v>
      </c>
      <c r="BI2" t="s">
        <v>264</v>
      </c>
      <c r="BJ2">
        <v>-9999</v>
      </c>
      <c r="BK2">
        <v>49</v>
      </c>
      <c r="BL2">
        <v>72</v>
      </c>
      <c r="BM2">
        <v>54</v>
      </c>
      <c r="BN2" t="s">
        <v>270</v>
      </c>
      <c r="BO2">
        <v>0</v>
      </c>
      <c r="BP2">
        <v>55</v>
      </c>
      <c r="BQ2" t="s">
        <v>504</v>
      </c>
      <c r="BR2" t="s">
        <v>548</v>
      </c>
      <c r="BS2">
        <v>4</v>
      </c>
      <c r="BT2" t="s">
        <v>549</v>
      </c>
      <c r="BU2">
        <v>53.2</v>
      </c>
      <c r="BV2">
        <v>65</v>
      </c>
      <c r="BW2" t="s">
        <v>264</v>
      </c>
      <c r="BX2">
        <v>-9999</v>
      </c>
      <c r="BY2">
        <v>227</v>
      </c>
      <c r="BZ2">
        <v>263</v>
      </c>
      <c r="CA2">
        <v>226</v>
      </c>
      <c r="CB2" t="s">
        <v>270</v>
      </c>
      <c r="CC2">
        <v>0</v>
      </c>
      <c r="CD2">
        <v>55</v>
      </c>
      <c r="CE2" t="s">
        <v>471</v>
      </c>
      <c r="CF2" t="s">
        <v>548</v>
      </c>
      <c r="CG2">
        <v>5</v>
      </c>
      <c r="CH2" t="s">
        <v>549</v>
      </c>
      <c r="CI2">
        <v>52.5</v>
      </c>
      <c r="CJ2">
        <v>157</v>
      </c>
      <c r="CK2" t="s">
        <v>264</v>
      </c>
      <c r="CL2">
        <v>-9999</v>
      </c>
      <c r="CM2">
        <v>492</v>
      </c>
      <c r="CN2">
        <v>569</v>
      </c>
      <c r="CO2">
        <v>490</v>
      </c>
      <c r="CP2" t="s">
        <v>270</v>
      </c>
      <c r="CQ2">
        <v>0</v>
      </c>
      <c r="CR2">
        <v>55</v>
      </c>
      <c r="CS2" t="s">
        <v>472</v>
      </c>
      <c r="CT2" t="s">
        <v>548</v>
      </c>
      <c r="CU2">
        <v>6</v>
      </c>
      <c r="CV2" t="s">
        <v>549</v>
      </c>
      <c r="CW2">
        <v>54.6</v>
      </c>
      <c r="CX2">
        <v>59</v>
      </c>
      <c r="CY2" t="s">
        <v>264</v>
      </c>
      <c r="CZ2">
        <v>-9999</v>
      </c>
      <c r="DA2">
        <v>602</v>
      </c>
      <c r="DB2">
        <v>680</v>
      </c>
      <c r="DC2">
        <v>591</v>
      </c>
      <c r="DD2" t="s">
        <v>270</v>
      </c>
      <c r="DE2">
        <v>0</v>
      </c>
      <c r="DF2">
        <v>55</v>
      </c>
      <c r="DG2" t="s">
        <v>473</v>
      </c>
      <c r="DH2" t="s">
        <v>548</v>
      </c>
      <c r="DI2">
        <v>7</v>
      </c>
      <c r="DJ2" t="s">
        <v>549</v>
      </c>
      <c r="DK2">
        <v>0</v>
      </c>
      <c r="DL2">
        <v>12</v>
      </c>
      <c r="DM2" t="s">
        <v>264</v>
      </c>
      <c r="DN2">
        <v>-9999</v>
      </c>
      <c r="DO2">
        <v>548</v>
      </c>
      <c r="DP2">
        <v>632</v>
      </c>
      <c r="DQ2">
        <v>543</v>
      </c>
      <c r="DR2" t="s">
        <v>270</v>
      </c>
      <c r="DS2">
        <v>0</v>
      </c>
      <c r="DT2">
        <v>55</v>
      </c>
      <c r="DU2" t="s">
        <v>474</v>
      </c>
      <c r="DV2" t="s">
        <v>548</v>
      </c>
      <c r="DW2">
        <v>8</v>
      </c>
      <c r="DX2" t="s">
        <v>549</v>
      </c>
      <c r="DY2">
        <v>49.4</v>
      </c>
      <c r="DZ2">
        <v>74</v>
      </c>
      <c r="EA2" t="s">
        <v>264</v>
      </c>
      <c r="EB2">
        <v>-9999</v>
      </c>
      <c r="EC2">
        <v>81</v>
      </c>
      <c r="ED2">
        <v>99</v>
      </c>
      <c r="EE2">
        <v>79</v>
      </c>
      <c r="EF2" t="s">
        <v>270</v>
      </c>
      <c r="EG2">
        <v>0</v>
      </c>
      <c r="EH2">
        <v>55</v>
      </c>
      <c r="EI2" t="s">
        <v>475</v>
      </c>
      <c r="EJ2" t="s">
        <v>548</v>
      </c>
      <c r="EK2">
        <v>9</v>
      </c>
      <c r="EL2" t="s">
        <v>549</v>
      </c>
      <c r="EM2">
        <v>0</v>
      </c>
      <c r="EN2">
        <v>-9</v>
      </c>
      <c r="EO2" t="s">
        <v>264</v>
      </c>
      <c r="EP2">
        <v>-9999</v>
      </c>
      <c r="EQ2">
        <v>275</v>
      </c>
      <c r="ER2">
        <v>251</v>
      </c>
      <c r="ES2">
        <v>233</v>
      </c>
      <c r="ET2" t="s">
        <v>270</v>
      </c>
      <c r="EU2">
        <v>0</v>
      </c>
      <c r="EV2">
        <v>55</v>
      </c>
      <c r="EW2" t="s">
        <v>551</v>
      </c>
      <c r="EX2" t="s">
        <v>552</v>
      </c>
      <c r="EY2">
        <v>103</v>
      </c>
      <c r="EZ2">
        <v>102</v>
      </c>
      <c r="FA2">
        <v>103</v>
      </c>
      <c r="FB2" t="s">
        <v>270</v>
      </c>
      <c r="FC2" t="s">
        <v>553</v>
      </c>
      <c r="FD2" t="s">
        <v>552</v>
      </c>
      <c r="FE2">
        <v>287</v>
      </c>
      <c r="FF2">
        <v>285</v>
      </c>
      <c r="FG2">
        <v>284</v>
      </c>
      <c r="FH2" t="s">
        <v>270</v>
      </c>
      <c r="FI2" t="s">
        <v>554</v>
      </c>
      <c r="FJ2" t="s">
        <v>555</v>
      </c>
      <c r="FK2">
        <v>0</v>
      </c>
      <c r="FL2">
        <v>0</v>
      </c>
      <c r="FM2">
        <v>0</v>
      </c>
      <c r="FN2" t="s">
        <v>264</v>
      </c>
      <c r="FQ2" t="s">
        <v>556</v>
      </c>
      <c r="FR2" t="s">
        <v>555</v>
      </c>
      <c r="FS2">
        <v>0</v>
      </c>
      <c r="FT2">
        <v>0</v>
      </c>
      <c r="FU2">
        <v>0</v>
      </c>
      <c r="FV2" t="s">
        <v>264</v>
      </c>
      <c r="FY2" t="s">
        <v>557</v>
      </c>
      <c r="FZ2" t="s">
        <v>555</v>
      </c>
      <c r="GA2">
        <v>0</v>
      </c>
      <c r="GB2">
        <v>0</v>
      </c>
      <c r="GC2">
        <v>0</v>
      </c>
      <c r="GD2" t="s">
        <v>264</v>
      </c>
      <c r="GG2" t="s">
        <v>558</v>
      </c>
      <c r="GH2" t="s">
        <v>555</v>
      </c>
      <c r="GI2">
        <v>0</v>
      </c>
      <c r="GJ2">
        <v>0</v>
      </c>
      <c r="GK2">
        <v>0</v>
      </c>
      <c r="GL2" t="s">
        <v>264</v>
      </c>
      <c r="GO2" t="s">
        <v>559</v>
      </c>
      <c r="GP2" t="s">
        <v>555</v>
      </c>
      <c r="GQ2">
        <v>0</v>
      </c>
      <c r="GR2">
        <v>0</v>
      </c>
      <c r="GS2">
        <v>0</v>
      </c>
      <c r="GT2" t="s">
        <v>264</v>
      </c>
      <c r="GW2" t="s">
        <v>560</v>
      </c>
      <c r="GX2" t="s">
        <v>555</v>
      </c>
      <c r="GY2">
        <v>0</v>
      </c>
      <c r="GZ2">
        <v>0</v>
      </c>
      <c r="HA2">
        <v>0</v>
      </c>
      <c r="HB2" t="s">
        <v>264</v>
      </c>
      <c r="HE2" t="s">
        <v>561</v>
      </c>
      <c r="HF2" t="s">
        <v>555</v>
      </c>
      <c r="HG2">
        <v>0</v>
      </c>
      <c r="HH2">
        <v>0</v>
      </c>
      <c r="HI2">
        <v>0</v>
      </c>
      <c r="HJ2" t="s">
        <v>264</v>
      </c>
      <c r="HM2" t="s">
        <v>562</v>
      </c>
      <c r="HN2" t="s">
        <v>555</v>
      </c>
      <c r="HO2">
        <v>0</v>
      </c>
      <c r="HP2">
        <v>0</v>
      </c>
      <c r="HQ2">
        <v>0</v>
      </c>
      <c r="HR2" t="s">
        <v>264</v>
      </c>
      <c r="HU2" t="s">
        <v>563</v>
      </c>
      <c r="HV2" t="s">
        <v>555</v>
      </c>
      <c r="HW2">
        <v>0</v>
      </c>
      <c r="HX2">
        <v>0</v>
      </c>
      <c r="HY2">
        <v>0</v>
      </c>
      <c r="HZ2" t="s">
        <v>264</v>
      </c>
      <c r="IC2" t="s">
        <v>564</v>
      </c>
      <c r="ID2" t="s">
        <v>555</v>
      </c>
      <c r="IE2">
        <v>0</v>
      </c>
      <c r="IF2">
        <v>0</v>
      </c>
      <c r="IG2">
        <v>0</v>
      </c>
      <c r="IH2" t="s">
        <v>264</v>
      </c>
      <c r="IK2" t="s">
        <v>565</v>
      </c>
      <c r="IL2" t="s">
        <v>555</v>
      </c>
      <c r="IM2">
        <v>0</v>
      </c>
      <c r="IN2">
        <v>0</v>
      </c>
      <c r="IO2">
        <v>0</v>
      </c>
      <c r="IP2" t="s">
        <v>264</v>
      </c>
      <c r="IS2" t="s">
        <v>566</v>
      </c>
      <c r="IT2" t="s">
        <v>555</v>
      </c>
      <c r="IU2">
        <v>0</v>
      </c>
      <c r="IV2">
        <v>0</v>
      </c>
      <c r="IW2">
        <v>0</v>
      </c>
      <c r="IX2" t="s">
        <v>264</v>
      </c>
      <c r="JA2" t="s">
        <v>567</v>
      </c>
      <c r="JB2" t="s">
        <v>555</v>
      </c>
      <c r="JC2">
        <v>0</v>
      </c>
      <c r="JD2">
        <v>0</v>
      </c>
      <c r="JE2">
        <v>0</v>
      </c>
      <c r="JF2" t="s">
        <v>264</v>
      </c>
      <c r="JI2" t="s">
        <v>568</v>
      </c>
      <c r="JJ2" t="s">
        <v>555</v>
      </c>
      <c r="JK2">
        <v>0</v>
      </c>
      <c r="JL2">
        <v>0</v>
      </c>
      <c r="JM2">
        <v>0</v>
      </c>
      <c r="JN2" t="s">
        <v>264</v>
      </c>
      <c r="JQ2" t="s">
        <v>569</v>
      </c>
      <c r="JR2" t="s">
        <v>555</v>
      </c>
      <c r="JS2">
        <v>0</v>
      </c>
      <c r="JT2">
        <v>0</v>
      </c>
      <c r="JU2">
        <v>0</v>
      </c>
      <c r="JV2" t="s">
        <v>264</v>
      </c>
      <c r="JY2" t="s">
        <v>570</v>
      </c>
      <c r="JZ2" t="s">
        <v>555</v>
      </c>
      <c r="KA2">
        <v>0</v>
      </c>
      <c r="KB2">
        <v>0</v>
      </c>
      <c r="KC2">
        <v>0</v>
      </c>
      <c r="KD2" t="s">
        <v>264</v>
      </c>
      <c r="KG2" t="s">
        <v>571</v>
      </c>
      <c r="KH2" t="s">
        <v>555</v>
      </c>
      <c r="KI2">
        <v>0</v>
      </c>
      <c r="KJ2">
        <v>0</v>
      </c>
      <c r="KK2">
        <v>0</v>
      </c>
      <c r="KL2" t="s">
        <v>264</v>
      </c>
      <c r="KO2" t="s">
        <v>572</v>
      </c>
      <c r="KP2" t="s">
        <v>555</v>
      </c>
      <c r="KQ2">
        <v>0</v>
      </c>
      <c r="KR2">
        <v>0</v>
      </c>
      <c r="KS2">
        <v>0</v>
      </c>
      <c r="KT2" t="s">
        <v>264</v>
      </c>
      <c r="KW2" t="s">
        <v>573</v>
      </c>
      <c r="KX2" t="s">
        <v>555</v>
      </c>
      <c r="KY2">
        <v>0</v>
      </c>
      <c r="KZ2">
        <v>0</v>
      </c>
      <c r="LA2">
        <v>0</v>
      </c>
      <c r="LB2" t="s">
        <v>264</v>
      </c>
      <c r="LE2" t="s">
        <v>574</v>
      </c>
      <c r="LF2" t="s">
        <v>555</v>
      </c>
      <c r="LG2">
        <v>0</v>
      </c>
      <c r="LH2">
        <v>0</v>
      </c>
      <c r="LI2">
        <v>0</v>
      </c>
      <c r="LJ2" t="s">
        <v>264</v>
      </c>
      <c r="LM2" t="s">
        <v>575</v>
      </c>
      <c r="LN2" t="s">
        <v>555</v>
      </c>
      <c r="LO2">
        <v>0</v>
      </c>
      <c r="LP2">
        <v>0</v>
      </c>
      <c r="LQ2">
        <v>0</v>
      </c>
      <c r="LR2" t="s">
        <v>264</v>
      </c>
      <c r="LU2" t="s">
        <v>576</v>
      </c>
      <c r="LV2" t="s">
        <v>555</v>
      </c>
      <c r="LW2">
        <v>0</v>
      </c>
      <c r="LX2">
        <v>0</v>
      </c>
      <c r="LY2">
        <v>0</v>
      </c>
      <c r="LZ2" t="s">
        <v>264</v>
      </c>
      <c r="MC2" t="s">
        <v>577</v>
      </c>
      <c r="MD2" t="s">
        <v>555</v>
      </c>
      <c r="ME2">
        <v>0</v>
      </c>
      <c r="MF2">
        <v>0</v>
      </c>
      <c r="MG2">
        <v>0</v>
      </c>
      <c r="MH2" t="s">
        <v>264</v>
      </c>
      <c r="MK2" t="s">
        <v>578</v>
      </c>
      <c r="ML2" t="s">
        <v>555</v>
      </c>
      <c r="MM2">
        <v>0</v>
      </c>
      <c r="MN2">
        <v>0</v>
      </c>
      <c r="MO2">
        <v>0</v>
      </c>
      <c r="MP2" t="s">
        <v>264</v>
      </c>
      <c r="MS2" t="s">
        <v>579</v>
      </c>
      <c r="MT2" t="s">
        <v>555</v>
      </c>
      <c r="MU2">
        <v>0</v>
      </c>
      <c r="MV2">
        <v>0</v>
      </c>
      <c r="MW2">
        <v>0</v>
      </c>
      <c r="MX2" t="s">
        <v>264</v>
      </c>
      <c r="NA2" t="s">
        <v>580</v>
      </c>
      <c r="NB2" t="s">
        <v>555</v>
      </c>
      <c r="NC2">
        <v>0</v>
      </c>
      <c r="ND2">
        <v>0</v>
      </c>
      <c r="NE2">
        <v>0</v>
      </c>
      <c r="NF2" t="s">
        <v>264</v>
      </c>
      <c r="NI2">
        <v>40</v>
      </c>
      <c r="NJ2">
        <v>-6.5</v>
      </c>
      <c r="NP2" t="s">
        <v>581</v>
      </c>
    </row>
    <row r="3" spans="1:380" customFormat="1" x14ac:dyDescent="0.2">
      <c r="A3" t="s">
        <v>517</v>
      </c>
      <c r="B3">
        <v>1</v>
      </c>
      <c r="C3" t="s">
        <v>603</v>
      </c>
      <c r="D3">
        <v>646950216</v>
      </c>
      <c r="E3">
        <v>12602</v>
      </c>
      <c r="F3" t="s">
        <v>542</v>
      </c>
      <c r="G3">
        <v>750212</v>
      </c>
      <c r="H3">
        <v>210066178</v>
      </c>
      <c r="I3" t="s">
        <v>543</v>
      </c>
      <c r="J3" t="s">
        <v>604</v>
      </c>
      <c r="K3" t="s">
        <v>545</v>
      </c>
      <c r="L3" t="s">
        <v>294</v>
      </c>
      <c r="M3" t="s">
        <v>546</v>
      </c>
      <c r="N3" t="s">
        <v>468</v>
      </c>
      <c r="O3" t="s">
        <v>547</v>
      </c>
      <c r="P3" t="s">
        <v>264</v>
      </c>
      <c r="Q3">
        <v>28</v>
      </c>
      <c r="R3">
        <v>244</v>
      </c>
      <c r="S3" t="s">
        <v>264</v>
      </c>
      <c r="T3">
        <v>-9999</v>
      </c>
      <c r="U3">
        <v>669</v>
      </c>
      <c r="V3">
        <v>687</v>
      </c>
      <c r="W3">
        <v>657</v>
      </c>
      <c r="X3" t="s">
        <v>270</v>
      </c>
      <c r="Y3">
        <v>0</v>
      </c>
      <c r="Z3">
        <v>55</v>
      </c>
      <c r="AA3" t="s">
        <v>469</v>
      </c>
      <c r="AB3" t="s">
        <v>548</v>
      </c>
      <c r="AC3">
        <v>1</v>
      </c>
      <c r="AD3" t="s">
        <v>549</v>
      </c>
      <c r="AE3">
        <v>0</v>
      </c>
      <c r="AF3">
        <v>49</v>
      </c>
      <c r="AG3" t="s">
        <v>264</v>
      </c>
      <c r="AH3">
        <v>-9999</v>
      </c>
      <c r="AI3">
        <v>477</v>
      </c>
      <c r="AJ3">
        <v>589</v>
      </c>
      <c r="AK3">
        <v>477</v>
      </c>
      <c r="AL3" t="s">
        <v>270</v>
      </c>
      <c r="AM3">
        <v>0</v>
      </c>
      <c r="AN3">
        <v>55</v>
      </c>
      <c r="AO3" t="s">
        <v>470</v>
      </c>
      <c r="AP3" t="s">
        <v>548</v>
      </c>
      <c r="AQ3">
        <v>2</v>
      </c>
      <c r="AR3" t="s">
        <v>549</v>
      </c>
      <c r="AS3">
        <v>0</v>
      </c>
      <c r="AT3">
        <v>40</v>
      </c>
      <c r="AU3" t="s">
        <v>264</v>
      </c>
      <c r="AV3">
        <v>-9999</v>
      </c>
      <c r="AW3">
        <v>407</v>
      </c>
      <c r="AX3">
        <v>430</v>
      </c>
      <c r="AY3">
        <v>405</v>
      </c>
      <c r="AZ3" t="s">
        <v>270</v>
      </c>
      <c r="BA3">
        <v>0</v>
      </c>
      <c r="BB3">
        <v>55</v>
      </c>
      <c r="BC3" t="s">
        <v>550</v>
      </c>
      <c r="BD3" t="s">
        <v>548</v>
      </c>
      <c r="BE3">
        <v>3</v>
      </c>
      <c r="BF3" t="s">
        <v>549</v>
      </c>
      <c r="BG3">
        <v>0</v>
      </c>
      <c r="BH3">
        <v>-20</v>
      </c>
      <c r="BI3" t="s">
        <v>264</v>
      </c>
      <c r="BJ3">
        <v>-9999</v>
      </c>
      <c r="BK3">
        <v>211</v>
      </c>
      <c r="BL3">
        <v>257</v>
      </c>
      <c r="BM3">
        <v>207</v>
      </c>
      <c r="BN3" t="s">
        <v>270</v>
      </c>
      <c r="BO3">
        <v>0</v>
      </c>
      <c r="BP3">
        <v>55</v>
      </c>
      <c r="BQ3" t="s">
        <v>504</v>
      </c>
      <c r="BR3" t="s">
        <v>548</v>
      </c>
      <c r="BS3">
        <v>4</v>
      </c>
      <c r="BT3" t="s">
        <v>549</v>
      </c>
      <c r="BU3">
        <v>50.7</v>
      </c>
      <c r="BV3">
        <v>68</v>
      </c>
      <c r="BW3" t="s">
        <v>264</v>
      </c>
      <c r="BX3">
        <v>-9999</v>
      </c>
      <c r="BY3">
        <v>200</v>
      </c>
      <c r="BZ3">
        <v>232</v>
      </c>
      <c r="CA3">
        <v>198</v>
      </c>
      <c r="CB3" t="s">
        <v>270</v>
      </c>
      <c r="CC3">
        <v>0</v>
      </c>
      <c r="CD3">
        <v>55</v>
      </c>
      <c r="CE3" t="s">
        <v>471</v>
      </c>
      <c r="CF3" t="s">
        <v>548</v>
      </c>
      <c r="CG3">
        <v>5</v>
      </c>
      <c r="CH3" t="s">
        <v>549</v>
      </c>
      <c r="CI3">
        <v>53.2</v>
      </c>
      <c r="CJ3">
        <v>97</v>
      </c>
      <c r="CK3" t="s">
        <v>264</v>
      </c>
      <c r="CL3">
        <v>-9999</v>
      </c>
      <c r="CM3">
        <v>486</v>
      </c>
      <c r="CN3">
        <v>563</v>
      </c>
      <c r="CO3">
        <v>485</v>
      </c>
      <c r="CP3" t="s">
        <v>270</v>
      </c>
      <c r="CQ3">
        <v>0</v>
      </c>
      <c r="CR3">
        <v>55</v>
      </c>
      <c r="CS3" t="s">
        <v>472</v>
      </c>
      <c r="CT3" t="s">
        <v>548</v>
      </c>
      <c r="CU3">
        <v>6</v>
      </c>
      <c r="CV3" t="s">
        <v>549</v>
      </c>
      <c r="CW3">
        <v>54.5</v>
      </c>
      <c r="CX3">
        <v>61</v>
      </c>
      <c r="CY3" t="s">
        <v>264</v>
      </c>
      <c r="CZ3">
        <v>-9999</v>
      </c>
      <c r="DA3">
        <v>692</v>
      </c>
      <c r="DB3">
        <v>786</v>
      </c>
      <c r="DC3">
        <v>680</v>
      </c>
      <c r="DD3" t="s">
        <v>270</v>
      </c>
      <c r="DE3">
        <v>0</v>
      </c>
      <c r="DF3">
        <v>55</v>
      </c>
      <c r="DG3" t="s">
        <v>473</v>
      </c>
      <c r="DH3" t="s">
        <v>548</v>
      </c>
      <c r="DI3">
        <v>7</v>
      </c>
      <c r="DJ3" t="s">
        <v>549</v>
      </c>
      <c r="DK3">
        <v>0</v>
      </c>
      <c r="DL3">
        <v>35</v>
      </c>
      <c r="DM3" t="s">
        <v>264</v>
      </c>
      <c r="DN3">
        <v>-9999</v>
      </c>
      <c r="DO3">
        <v>502</v>
      </c>
      <c r="DP3">
        <v>577</v>
      </c>
      <c r="DQ3">
        <v>498</v>
      </c>
      <c r="DR3" t="s">
        <v>270</v>
      </c>
      <c r="DS3">
        <v>0</v>
      </c>
      <c r="DT3">
        <v>55</v>
      </c>
      <c r="DU3" t="s">
        <v>474</v>
      </c>
      <c r="DV3" t="s">
        <v>548</v>
      </c>
      <c r="DW3">
        <v>8</v>
      </c>
      <c r="DX3" t="s">
        <v>584</v>
      </c>
      <c r="DY3">
        <v>30.2</v>
      </c>
      <c r="DZ3">
        <v>422</v>
      </c>
      <c r="EA3" t="s">
        <v>264</v>
      </c>
      <c r="EB3">
        <v>-9999</v>
      </c>
      <c r="EC3">
        <v>114</v>
      </c>
      <c r="ED3">
        <v>139</v>
      </c>
      <c r="EE3">
        <v>112</v>
      </c>
      <c r="EF3" t="s">
        <v>270</v>
      </c>
      <c r="EG3">
        <v>0</v>
      </c>
      <c r="EH3">
        <v>55</v>
      </c>
      <c r="EI3" t="s">
        <v>475</v>
      </c>
      <c r="EJ3" t="s">
        <v>548</v>
      </c>
      <c r="EK3">
        <v>9</v>
      </c>
      <c r="EL3" t="s">
        <v>584</v>
      </c>
      <c r="EM3">
        <v>39.799999999999997</v>
      </c>
      <c r="EN3">
        <v>29</v>
      </c>
      <c r="EO3" t="s">
        <v>264</v>
      </c>
      <c r="EP3">
        <v>-9999</v>
      </c>
      <c r="EQ3">
        <v>294</v>
      </c>
      <c r="ER3">
        <v>268</v>
      </c>
      <c r="ES3">
        <v>254</v>
      </c>
      <c r="ET3" t="s">
        <v>270</v>
      </c>
      <c r="EU3">
        <v>0</v>
      </c>
      <c r="EV3">
        <v>55</v>
      </c>
      <c r="EW3" t="s">
        <v>551</v>
      </c>
      <c r="EX3" t="s">
        <v>552</v>
      </c>
      <c r="EY3">
        <v>129</v>
      </c>
      <c r="EZ3">
        <v>129</v>
      </c>
      <c r="FA3">
        <v>129</v>
      </c>
      <c r="FB3" t="s">
        <v>270</v>
      </c>
      <c r="FC3" t="s">
        <v>553</v>
      </c>
      <c r="FD3" t="s">
        <v>552</v>
      </c>
      <c r="FE3">
        <v>319</v>
      </c>
      <c r="FF3">
        <v>317</v>
      </c>
      <c r="FG3">
        <v>317</v>
      </c>
      <c r="FH3" t="s">
        <v>270</v>
      </c>
      <c r="FI3" t="s">
        <v>554</v>
      </c>
      <c r="FJ3" t="s">
        <v>555</v>
      </c>
      <c r="FK3">
        <v>0</v>
      </c>
      <c r="FL3">
        <v>0</v>
      </c>
      <c r="FM3">
        <v>0</v>
      </c>
      <c r="FN3" t="s">
        <v>264</v>
      </c>
      <c r="FQ3" t="s">
        <v>556</v>
      </c>
      <c r="FR3" t="s">
        <v>555</v>
      </c>
      <c r="FS3">
        <v>0</v>
      </c>
      <c r="FT3">
        <v>0</v>
      </c>
      <c r="FU3">
        <v>0</v>
      </c>
      <c r="FV3" t="s">
        <v>264</v>
      </c>
      <c r="FY3" t="s">
        <v>557</v>
      </c>
      <c r="FZ3" t="s">
        <v>555</v>
      </c>
      <c r="GA3">
        <v>0</v>
      </c>
      <c r="GB3">
        <v>0</v>
      </c>
      <c r="GC3">
        <v>0</v>
      </c>
      <c r="GD3" t="s">
        <v>264</v>
      </c>
      <c r="GG3" t="s">
        <v>558</v>
      </c>
      <c r="GH3" t="s">
        <v>555</v>
      </c>
      <c r="GI3">
        <v>0</v>
      </c>
      <c r="GJ3">
        <v>0</v>
      </c>
      <c r="GK3">
        <v>0</v>
      </c>
      <c r="GL3" t="s">
        <v>264</v>
      </c>
      <c r="GO3" t="s">
        <v>559</v>
      </c>
      <c r="GP3" t="s">
        <v>555</v>
      </c>
      <c r="GQ3">
        <v>0</v>
      </c>
      <c r="GR3">
        <v>0</v>
      </c>
      <c r="GS3">
        <v>0</v>
      </c>
      <c r="GT3" t="s">
        <v>264</v>
      </c>
      <c r="GW3" t="s">
        <v>560</v>
      </c>
      <c r="GX3" t="s">
        <v>555</v>
      </c>
      <c r="GY3">
        <v>0</v>
      </c>
      <c r="GZ3">
        <v>0</v>
      </c>
      <c r="HA3">
        <v>0</v>
      </c>
      <c r="HB3" t="s">
        <v>264</v>
      </c>
      <c r="HE3" t="s">
        <v>561</v>
      </c>
      <c r="HF3" t="s">
        <v>555</v>
      </c>
      <c r="HG3">
        <v>0</v>
      </c>
      <c r="HH3">
        <v>0</v>
      </c>
      <c r="HI3">
        <v>0</v>
      </c>
      <c r="HJ3" t="s">
        <v>264</v>
      </c>
      <c r="HM3" t="s">
        <v>562</v>
      </c>
      <c r="HN3" t="s">
        <v>555</v>
      </c>
      <c r="HO3">
        <v>0</v>
      </c>
      <c r="HP3">
        <v>0</v>
      </c>
      <c r="HQ3">
        <v>0</v>
      </c>
      <c r="HR3" t="s">
        <v>264</v>
      </c>
      <c r="HU3" t="s">
        <v>563</v>
      </c>
      <c r="HV3" t="s">
        <v>555</v>
      </c>
      <c r="HW3">
        <v>0</v>
      </c>
      <c r="HX3">
        <v>0</v>
      </c>
      <c r="HY3">
        <v>0</v>
      </c>
      <c r="HZ3" t="s">
        <v>264</v>
      </c>
      <c r="IA3">
        <v>75</v>
      </c>
      <c r="IB3">
        <v>169</v>
      </c>
      <c r="IC3" t="s">
        <v>564</v>
      </c>
      <c r="ID3" t="s">
        <v>555</v>
      </c>
      <c r="IE3">
        <v>0</v>
      </c>
      <c r="IF3">
        <v>0</v>
      </c>
      <c r="IG3">
        <v>0</v>
      </c>
      <c r="IH3" t="s">
        <v>264</v>
      </c>
      <c r="IK3" t="s">
        <v>565</v>
      </c>
      <c r="IL3" t="s">
        <v>555</v>
      </c>
      <c r="IM3">
        <v>0</v>
      </c>
      <c r="IN3">
        <v>0</v>
      </c>
      <c r="IO3">
        <v>0</v>
      </c>
      <c r="IP3" t="s">
        <v>264</v>
      </c>
      <c r="IS3" t="s">
        <v>566</v>
      </c>
      <c r="IT3" t="s">
        <v>555</v>
      </c>
      <c r="IU3">
        <v>0</v>
      </c>
      <c r="IV3">
        <v>0</v>
      </c>
      <c r="IW3">
        <v>0</v>
      </c>
      <c r="IX3" t="s">
        <v>264</v>
      </c>
      <c r="JA3" t="s">
        <v>567</v>
      </c>
      <c r="JB3" t="s">
        <v>555</v>
      </c>
      <c r="JC3">
        <v>0</v>
      </c>
      <c r="JD3">
        <v>0</v>
      </c>
      <c r="JE3">
        <v>0</v>
      </c>
      <c r="JF3" t="s">
        <v>264</v>
      </c>
      <c r="JI3" t="s">
        <v>568</v>
      </c>
      <c r="JJ3" t="s">
        <v>555</v>
      </c>
      <c r="JK3">
        <v>0</v>
      </c>
      <c r="JL3">
        <v>0</v>
      </c>
      <c r="JM3">
        <v>0</v>
      </c>
      <c r="JN3" t="s">
        <v>264</v>
      </c>
      <c r="JQ3" t="s">
        <v>569</v>
      </c>
      <c r="JR3" t="s">
        <v>555</v>
      </c>
      <c r="JS3">
        <v>0</v>
      </c>
      <c r="JT3">
        <v>0</v>
      </c>
      <c r="JU3">
        <v>0</v>
      </c>
      <c r="JV3" t="s">
        <v>264</v>
      </c>
      <c r="JY3" t="s">
        <v>570</v>
      </c>
      <c r="JZ3" t="s">
        <v>555</v>
      </c>
      <c r="KA3">
        <v>0</v>
      </c>
      <c r="KB3">
        <v>0</v>
      </c>
      <c r="KC3">
        <v>0</v>
      </c>
      <c r="KD3" t="s">
        <v>264</v>
      </c>
      <c r="KG3" t="s">
        <v>571</v>
      </c>
      <c r="KH3" t="s">
        <v>555</v>
      </c>
      <c r="KI3">
        <v>0</v>
      </c>
      <c r="KJ3">
        <v>0</v>
      </c>
      <c r="KK3">
        <v>0</v>
      </c>
      <c r="KL3" t="s">
        <v>264</v>
      </c>
      <c r="KO3" t="s">
        <v>572</v>
      </c>
      <c r="KP3" t="s">
        <v>555</v>
      </c>
      <c r="KQ3">
        <v>0</v>
      </c>
      <c r="KR3">
        <v>0</v>
      </c>
      <c r="KS3">
        <v>0</v>
      </c>
      <c r="KT3" t="s">
        <v>264</v>
      </c>
      <c r="KW3" t="s">
        <v>573</v>
      </c>
      <c r="KX3" t="s">
        <v>555</v>
      </c>
      <c r="KY3">
        <v>0</v>
      </c>
      <c r="KZ3">
        <v>0</v>
      </c>
      <c r="LA3">
        <v>0</v>
      </c>
      <c r="LB3" t="s">
        <v>264</v>
      </c>
      <c r="LE3" t="s">
        <v>574</v>
      </c>
      <c r="LF3" t="s">
        <v>555</v>
      </c>
      <c r="LG3">
        <v>0</v>
      </c>
      <c r="LH3">
        <v>0</v>
      </c>
      <c r="LI3">
        <v>0</v>
      </c>
      <c r="LJ3" t="s">
        <v>264</v>
      </c>
      <c r="LM3" t="s">
        <v>575</v>
      </c>
      <c r="LN3" t="s">
        <v>555</v>
      </c>
      <c r="LO3">
        <v>0</v>
      </c>
      <c r="LP3">
        <v>0</v>
      </c>
      <c r="LQ3">
        <v>0</v>
      </c>
      <c r="LR3" t="s">
        <v>264</v>
      </c>
      <c r="LU3" t="s">
        <v>576</v>
      </c>
      <c r="LV3" t="s">
        <v>555</v>
      </c>
      <c r="LW3">
        <v>0</v>
      </c>
      <c r="LX3">
        <v>0</v>
      </c>
      <c r="LY3">
        <v>0</v>
      </c>
      <c r="LZ3" t="s">
        <v>264</v>
      </c>
      <c r="MC3" t="s">
        <v>577</v>
      </c>
      <c r="MD3" t="s">
        <v>555</v>
      </c>
      <c r="ME3">
        <v>0</v>
      </c>
      <c r="MF3">
        <v>0</v>
      </c>
      <c r="MG3">
        <v>0</v>
      </c>
      <c r="MH3" t="s">
        <v>264</v>
      </c>
      <c r="MK3" t="s">
        <v>578</v>
      </c>
      <c r="ML3" t="s">
        <v>555</v>
      </c>
      <c r="MM3">
        <v>0</v>
      </c>
      <c r="MN3">
        <v>0</v>
      </c>
      <c r="MO3">
        <v>0</v>
      </c>
      <c r="MP3" t="s">
        <v>264</v>
      </c>
      <c r="MS3" t="s">
        <v>579</v>
      </c>
      <c r="MT3" t="s">
        <v>555</v>
      </c>
      <c r="MU3">
        <v>0</v>
      </c>
      <c r="MV3">
        <v>0</v>
      </c>
      <c r="MW3">
        <v>0</v>
      </c>
      <c r="MX3" t="s">
        <v>264</v>
      </c>
      <c r="NA3" t="s">
        <v>580</v>
      </c>
      <c r="NB3" t="s">
        <v>555</v>
      </c>
      <c r="NC3">
        <v>0</v>
      </c>
      <c r="ND3">
        <v>0</v>
      </c>
      <c r="NE3">
        <v>0</v>
      </c>
      <c r="NF3" t="s">
        <v>264</v>
      </c>
      <c r="NI3">
        <v>40</v>
      </c>
      <c r="NJ3">
        <v>-7</v>
      </c>
      <c r="NP3" t="s">
        <v>581</v>
      </c>
    </row>
    <row r="4" spans="1:380" customFormat="1" x14ac:dyDescent="0.2">
      <c r="A4" t="s">
        <v>517</v>
      </c>
      <c r="B4">
        <v>1</v>
      </c>
      <c r="C4" t="s">
        <v>605</v>
      </c>
      <c r="D4">
        <v>646950214</v>
      </c>
      <c r="E4">
        <v>12602</v>
      </c>
      <c r="F4" t="s">
        <v>542</v>
      </c>
      <c r="G4">
        <v>750212</v>
      </c>
      <c r="H4">
        <v>210066022</v>
      </c>
      <c r="I4" t="s">
        <v>543</v>
      </c>
      <c r="J4" t="s">
        <v>606</v>
      </c>
      <c r="K4" t="s">
        <v>545</v>
      </c>
      <c r="L4" t="s">
        <v>294</v>
      </c>
      <c r="M4" t="s">
        <v>546</v>
      </c>
      <c r="N4" t="s">
        <v>468</v>
      </c>
      <c r="O4" t="s">
        <v>547</v>
      </c>
      <c r="P4" t="s">
        <v>270</v>
      </c>
      <c r="Q4">
        <v>26.5</v>
      </c>
      <c r="R4">
        <v>264</v>
      </c>
      <c r="S4" t="s">
        <v>270</v>
      </c>
      <c r="T4">
        <v>-9999</v>
      </c>
      <c r="U4">
        <v>610</v>
      </c>
      <c r="V4">
        <v>630</v>
      </c>
      <c r="W4">
        <v>598</v>
      </c>
      <c r="X4" t="s">
        <v>270</v>
      </c>
      <c r="Y4">
        <v>0</v>
      </c>
      <c r="Z4">
        <v>55</v>
      </c>
      <c r="AA4" t="s">
        <v>469</v>
      </c>
      <c r="AB4" t="s">
        <v>548</v>
      </c>
      <c r="AC4">
        <v>1</v>
      </c>
      <c r="AD4" t="s">
        <v>549</v>
      </c>
      <c r="AE4">
        <v>0</v>
      </c>
      <c r="AF4">
        <v>39</v>
      </c>
      <c r="AG4" t="s">
        <v>264</v>
      </c>
      <c r="AH4">
        <v>-9999</v>
      </c>
      <c r="AI4">
        <v>462</v>
      </c>
      <c r="AJ4">
        <v>579</v>
      </c>
      <c r="AK4">
        <v>464</v>
      </c>
      <c r="AL4" t="s">
        <v>270</v>
      </c>
      <c r="AM4">
        <v>0</v>
      </c>
      <c r="AN4">
        <v>55</v>
      </c>
      <c r="AO4" t="s">
        <v>470</v>
      </c>
      <c r="AP4" t="s">
        <v>548</v>
      </c>
      <c r="AQ4">
        <v>2</v>
      </c>
      <c r="AR4" t="s">
        <v>549</v>
      </c>
      <c r="AS4">
        <v>54.6</v>
      </c>
      <c r="AT4">
        <v>49</v>
      </c>
      <c r="AU4" t="s">
        <v>264</v>
      </c>
      <c r="AV4">
        <v>-9999</v>
      </c>
      <c r="AW4">
        <v>324</v>
      </c>
      <c r="AX4">
        <v>340</v>
      </c>
      <c r="AY4">
        <v>322</v>
      </c>
      <c r="AZ4" t="s">
        <v>270</v>
      </c>
      <c r="BA4">
        <v>0</v>
      </c>
      <c r="BB4">
        <v>55</v>
      </c>
      <c r="BC4" t="s">
        <v>550</v>
      </c>
      <c r="BD4" t="s">
        <v>548</v>
      </c>
      <c r="BE4">
        <v>3</v>
      </c>
      <c r="BF4" t="s">
        <v>549</v>
      </c>
      <c r="BG4">
        <v>0</v>
      </c>
      <c r="BH4">
        <v>-4</v>
      </c>
      <c r="BI4" t="s">
        <v>264</v>
      </c>
      <c r="BJ4">
        <v>-9999</v>
      </c>
      <c r="BK4">
        <v>212</v>
      </c>
      <c r="BL4">
        <v>255</v>
      </c>
      <c r="BM4">
        <v>207</v>
      </c>
      <c r="BN4" t="s">
        <v>270</v>
      </c>
      <c r="BO4">
        <v>0</v>
      </c>
      <c r="BP4">
        <v>55</v>
      </c>
      <c r="BQ4" t="s">
        <v>504</v>
      </c>
      <c r="BR4" t="s">
        <v>548</v>
      </c>
      <c r="BS4">
        <v>4</v>
      </c>
      <c r="BT4" t="s">
        <v>549</v>
      </c>
      <c r="BU4">
        <v>52.1</v>
      </c>
      <c r="BV4">
        <v>99</v>
      </c>
      <c r="BW4" t="s">
        <v>264</v>
      </c>
      <c r="BX4">
        <v>-9999</v>
      </c>
      <c r="BY4">
        <v>202</v>
      </c>
      <c r="BZ4">
        <v>234</v>
      </c>
      <c r="CA4">
        <v>200</v>
      </c>
      <c r="CB4" t="s">
        <v>270</v>
      </c>
      <c r="CC4">
        <v>0</v>
      </c>
      <c r="CD4">
        <v>55</v>
      </c>
      <c r="CE4" t="s">
        <v>471</v>
      </c>
      <c r="CF4" t="s">
        <v>548</v>
      </c>
      <c r="CG4">
        <v>5</v>
      </c>
      <c r="CH4" t="s">
        <v>549</v>
      </c>
      <c r="CI4">
        <v>50.5</v>
      </c>
      <c r="CJ4">
        <v>256</v>
      </c>
      <c r="CK4" t="s">
        <v>264</v>
      </c>
      <c r="CL4">
        <v>-9999</v>
      </c>
      <c r="CM4">
        <v>491</v>
      </c>
      <c r="CN4">
        <v>573</v>
      </c>
      <c r="CO4">
        <v>489</v>
      </c>
      <c r="CP4" t="s">
        <v>270</v>
      </c>
      <c r="CQ4">
        <v>0</v>
      </c>
      <c r="CR4">
        <v>55</v>
      </c>
      <c r="CS4" t="s">
        <v>472</v>
      </c>
      <c r="CT4" t="s">
        <v>548</v>
      </c>
      <c r="CU4">
        <v>6</v>
      </c>
      <c r="CV4" t="s">
        <v>549</v>
      </c>
      <c r="CW4">
        <v>52.9</v>
      </c>
      <c r="CX4">
        <v>123</v>
      </c>
      <c r="CY4" t="s">
        <v>264</v>
      </c>
      <c r="CZ4">
        <v>-9999</v>
      </c>
      <c r="DA4">
        <v>694</v>
      </c>
      <c r="DB4">
        <v>789</v>
      </c>
      <c r="DC4">
        <v>684</v>
      </c>
      <c r="DD4" t="s">
        <v>270</v>
      </c>
      <c r="DE4">
        <v>0</v>
      </c>
      <c r="DF4">
        <v>55</v>
      </c>
      <c r="DG4" t="s">
        <v>473</v>
      </c>
      <c r="DH4" t="s">
        <v>548</v>
      </c>
      <c r="DI4">
        <v>7</v>
      </c>
      <c r="DJ4" t="s">
        <v>549</v>
      </c>
      <c r="DK4">
        <v>0</v>
      </c>
      <c r="DL4">
        <v>29</v>
      </c>
      <c r="DM4" t="s">
        <v>264</v>
      </c>
      <c r="DN4">
        <v>-9999</v>
      </c>
      <c r="DO4">
        <v>496</v>
      </c>
      <c r="DP4">
        <v>568</v>
      </c>
      <c r="DQ4">
        <v>492</v>
      </c>
      <c r="DR4" t="s">
        <v>270</v>
      </c>
      <c r="DS4">
        <v>0</v>
      </c>
      <c r="DT4">
        <v>55</v>
      </c>
      <c r="DU4" t="s">
        <v>474</v>
      </c>
      <c r="DV4" t="s">
        <v>548</v>
      </c>
      <c r="DW4">
        <v>8</v>
      </c>
      <c r="DX4" t="s">
        <v>549</v>
      </c>
      <c r="DY4">
        <v>50.6</v>
      </c>
      <c r="DZ4">
        <v>46</v>
      </c>
      <c r="EA4" t="s">
        <v>264</v>
      </c>
      <c r="EB4">
        <v>-9999</v>
      </c>
      <c r="EC4">
        <v>98</v>
      </c>
      <c r="ED4">
        <v>121</v>
      </c>
      <c r="EE4">
        <v>97</v>
      </c>
      <c r="EF4" t="s">
        <v>270</v>
      </c>
      <c r="EG4">
        <v>0</v>
      </c>
      <c r="EH4">
        <v>55</v>
      </c>
      <c r="EI4" t="s">
        <v>475</v>
      </c>
      <c r="EJ4" t="s">
        <v>548</v>
      </c>
      <c r="EK4">
        <v>9</v>
      </c>
      <c r="EL4" t="s">
        <v>549</v>
      </c>
      <c r="EM4">
        <v>0</v>
      </c>
      <c r="EN4">
        <v>-10</v>
      </c>
      <c r="EO4" t="s">
        <v>264</v>
      </c>
      <c r="EP4">
        <v>-9999</v>
      </c>
      <c r="EQ4">
        <v>255</v>
      </c>
      <c r="ER4">
        <v>228</v>
      </c>
      <c r="ES4">
        <v>214</v>
      </c>
      <c r="ET4" t="s">
        <v>270</v>
      </c>
      <c r="EU4">
        <v>0</v>
      </c>
      <c r="EV4">
        <v>55</v>
      </c>
      <c r="EW4" t="s">
        <v>551</v>
      </c>
      <c r="EX4" t="s">
        <v>552</v>
      </c>
      <c r="EY4">
        <v>142</v>
      </c>
      <c r="EZ4">
        <v>143</v>
      </c>
      <c r="FA4">
        <v>143</v>
      </c>
      <c r="FB4" t="s">
        <v>270</v>
      </c>
      <c r="FC4" t="s">
        <v>553</v>
      </c>
      <c r="FD4" t="s">
        <v>552</v>
      </c>
      <c r="FE4">
        <v>295</v>
      </c>
      <c r="FF4">
        <v>293</v>
      </c>
      <c r="FG4">
        <v>291</v>
      </c>
      <c r="FH4" t="s">
        <v>270</v>
      </c>
      <c r="FI4" t="s">
        <v>554</v>
      </c>
      <c r="FJ4" t="s">
        <v>555</v>
      </c>
      <c r="FK4">
        <v>0</v>
      </c>
      <c r="FL4">
        <v>0</v>
      </c>
      <c r="FM4">
        <v>0</v>
      </c>
      <c r="FN4" t="s">
        <v>264</v>
      </c>
      <c r="FQ4" t="s">
        <v>556</v>
      </c>
      <c r="FR4" t="s">
        <v>555</v>
      </c>
      <c r="FS4">
        <v>0</v>
      </c>
      <c r="FT4">
        <v>0</v>
      </c>
      <c r="FU4">
        <v>0</v>
      </c>
      <c r="FV4" t="s">
        <v>264</v>
      </c>
      <c r="FY4" t="s">
        <v>557</v>
      </c>
      <c r="FZ4" t="s">
        <v>555</v>
      </c>
      <c r="GA4">
        <v>0</v>
      </c>
      <c r="GB4">
        <v>0</v>
      </c>
      <c r="GC4">
        <v>0</v>
      </c>
      <c r="GD4" t="s">
        <v>264</v>
      </c>
      <c r="GG4" t="s">
        <v>558</v>
      </c>
      <c r="GH4" t="s">
        <v>555</v>
      </c>
      <c r="GI4">
        <v>0</v>
      </c>
      <c r="GJ4">
        <v>0</v>
      </c>
      <c r="GK4">
        <v>0</v>
      </c>
      <c r="GL4" t="s">
        <v>264</v>
      </c>
      <c r="GO4" t="s">
        <v>559</v>
      </c>
      <c r="GP4" t="s">
        <v>555</v>
      </c>
      <c r="GQ4">
        <v>0</v>
      </c>
      <c r="GR4">
        <v>0</v>
      </c>
      <c r="GS4">
        <v>0</v>
      </c>
      <c r="GT4" t="s">
        <v>264</v>
      </c>
      <c r="GW4" t="s">
        <v>560</v>
      </c>
      <c r="GX4" t="s">
        <v>555</v>
      </c>
      <c r="GY4">
        <v>0</v>
      </c>
      <c r="GZ4">
        <v>0</v>
      </c>
      <c r="HA4">
        <v>0</v>
      </c>
      <c r="HB4" t="s">
        <v>264</v>
      </c>
      <c r="HE4" t="s">
        <v>561</v>
      </c>
      <c r="HF4" t="s">
        <v>555</v>
      </c>
      <c r="HG4">
        <v>0</v>
      </c>
      <c r="HH4">
        <v>0</v>
      </c>
      <c r="HI4">
        <v>0</v>
      </c>
      <c r="HJ4" t="s">
        <v>264</v>
      </c>
      <c r="HM4" t="s">
        <v>562</v>
      </c>
      <c r="HN4" t="s">
        <v>555</v>
      </c>
      <c r="HO4">
        <v>0</v>
      </c>
      <c r="HP4">
        <v>0</v>
      </c>
      <c r="HQ4">
        <v>0</v>
      </c>
      <c r="HR4" t="s">
        <v>264</v>
      </c>
      <c r="HU4" t="s">
        <v>563</v>
      </c>
      <c r="HV4" t="s">
        <v>555</v>
      </c>
      <c r="HW4">
        <v>0</v>
      </c>
      <c r="HX4">
        <v>0</v>
      </c>
      <c r="HY4">
        <v>0</v>
      </c>
      <c r="HZ4" t="s">
        <v>264</v>
      </c>
      <c r="IC4" t="s">
        <v>564</v>
      </c>
      <c r="ID4" t="s">
        <v>555</v>
      </c>
      <c r="IE4">
        <v>0</v>
      </c>
      <c r="IF4">
        <v>0</v>
      </c>
      <c r="IG4">
        <v>0</v>
      </c>
      <c r="IH4" t="s">
        <v>264</v>
      </c>
      <c r="IK4" t="s">
        <v>565</v>
      </c>
      <c r="IL4" t="s">
        <v>555</v>
      </c>
      <c r="IM4">
        <v>0</v>
      </c>
      <c r="IN4">
        <v>0</v>
      </c>
      <c r="IO4">
        <v>0</v>
      </c>
      <c r="IP4" t="s">
        <v>264</v>
      </c>
      <c r="IS4" t="s">
        <v>566</v>
      </c>
      <c r="IT4" t="s">
        <v>555</v>
      </c>
      <c r="IU4">
        <v>0</v>
      </c>
      <c r="IV4">
        <v>0</v>
      </c>
      <c r="IW4">
        <v>0</v>
      </c>
      <c r="IX4" t="s">
        <v>264</v>
      </c>
      <c r="JA4" t="s">
        <v>567</v>
      </c>
      <c r="JB4" t="s">
        <v>555</v>
      </c>
      <c r="JC4">
        <v>0</v>
      </c>
      <c r="JD4">
        <v>0</v>
      </c>
      <c r="JE4">
        <v>0</v>
      </c>
      <c r="JF4" t="s">
        <v>264</v>
      </c>
      <c r="JI4" t="s">
        <v>568</v>
      </c>
      <c r="JJ4" t="s">
        <v>555</v>
      </c>
      <c r="JK4">
        <v>0</v>
      </c>
      <c r="JL4">
        <v>0</v>
      </c>
      <c r="JM4">
        <v>0</v>
      </c>
      <c r="JN4" t="s">
        <v>264</v>
      </c>
      <c r="JQ4" t="s">
        <v>569</v>
      </c>
      <c r="JR4" t="s">
        <v>555</v>
      </c>
      <c r="JS4">
        <v>0</v>
      </c>
      <c r="JT4">
        <v>0</v>
      </c>
      <c r="JU4">
        <v>0</v>
      </c>
      <c r="JV4" t="s">
        <v>264</v>
      </c>
      <c r="JY4" t="s">
        <v>570</v>
      </c>
      <c r="JZ4" t="s">
        <v>555</v>
      </c>
      <c r="KA4">
        <v>0</v>
      </c>
      <c r="KB4">
        <v>0</v>
      </c>
      <c r="KC4">
        <v>0</v>
      </c>
      <c r="KD4" t="s">
        <v>264</v>
      </c>
      <c r="KG4" t="s">
        <v>571</v>
      </c>
      <c r="KH4" t="s">
        <v>555</v>
      </c>
      <c r="KI4">
        <v>0</v>
      </c>
      <c r="KJ4">
        <v>0</v>
      </c>
      <c r="KK4">
        <v>0</v>
      </c>
      <c r="KL4" t="s">
        <v>264</v>
      </c>
      <c r="KO4" t="s">
        <v>572</v>
      </c>
      <c r="KP4" t="s">
        <v>555</v>
      </c>
      <c r="KQ4">
        <v>0</v>
      </c>
      <c r="KR4">
        <v>0</v>
      </c>
      <c r="KS4">
        <v>0</v>
      </c>
      <c r="KT4" t="s">
        <v>264</v>
      </c>
      <c r="KW4" t="s">
        <v>573</v>
      </c>
      <c r="KX4" t="s">
        <v>555</v>
      </c>
      <c r="KY4">
        <v>0</v>
      </c>
      <c r="KZ4">
        <v>0</v>
      </c>
      <c r="LA4">
        <v>0</v>
      </c>
      <c r="LB4" t="s">
        <v>264</v>
      </c>
      <c r="LE4" t="s">
        <v>574</v>
      </c>
      <c r="LF4" t="s">
        <v>555</v>
      </c>
      <c r="LG4">
        <v>0</v>
      </c>
      <c r="LH4">
        <v>0</v>
      </c>
      <c r="LI4">
        <v>0</v>
      </c>
      <c r="LJ4" t="s">
        <v>264</v>
      </c>
      <c r="LM4" t="s">
        <v>575</v>
      </c>
      <c r="LN4" t="s">
        <v>555</v>
      </c>
      <c r="LO4">
        <v>0</v>
      </c>
      <c r="LP4">
        <v>0</v>
      </c>
      <c r="LQ4">
        <v>0</v>
      </c>
      <c r="LR4" t="s">
        <v>264</v>
      </c>
      <c r="LU4" t="s">
        <v>576</v>
      </c>
      <c r="LV4" t="s">
        <v>555</v>
      </c>
      <c r="LW4">
        <v>0</v>
      </c>
      <c r="LX4">
        <v>0</v>
      </c>
      <c r="LY4">
        <v>0</v>
      </c>
      <c r="LZ4" t="s">
        <v>264</v>
      </c>
      <c r="MC4" t="s">
        <v>577</v>
      </c>
      <c r="MD4" t="s">
        <v>555</v>
      </c>
      <c r="ME4">
        <v>0</v>
      </c>
      <c r="MF4">
        <v>0</v>
      </c>
      <c r="MG4">
        <v>0</v>
      </c>
      <c r="MH4" t="s">
        <v>264</v>
      </c>
      <c r="MK4" t="s">
        <v>578</v>
      </c>
      <c r="ML4" t="s">
        <v>555</v>
      </c>
      <c r="MM4">
        <v>0</v>
      </c>
      <c r="MN4">
        <v>0</v>
      </c>
      <c r="MO4">
        <v>0</v>
      </c>
      <c r="MP4" t="s">
        <v>264</v>
      </c>
      <c r="MS4" t="s">
        <v>579</v>
      </c>
      <c r="MT4" t="s">
        <v>555</v>
      </c>
      <c r="MU4">
        <v>0</v>
      </c>
      <c r="MV4">
        <v>0</v>
      </c>
      <c r="MW4">
        <v>0</v>
      </c>
      <c r="MX4" t="s">
        <v>264</v>
      </c>
      <c r="NA4" t="s">
        <v>580</v>
      </c>
      <c r="NB4" t="s">
        <v>555</v>
      </c>
      <c r="NC4">
        <v>0</v>
      </c>
      <c r="ND4">
        <v>0</v>
      </c>
      <c r="NE4">
        <v>0</v>
      </c>
      <c r="NF4" t="s">
        <v>264</v>
      </c>
      <c r="NI4">
        <v>40.1</v>
      </c>
      <c r="NJ4">
        <v>-6</v>
      </c>
      <c r="NP4" t="s">
        <v>581</v>
      </c>
    </row>
    <row r="5" spans="1:380" customFormat="1" x14ac:dyDescent="0.2">
      <c r="A5" t="s">
        <v>517</v>
      </c>
      <c r="B5">
        <v>1</v>
      </c>
      <c r="C5" t="s">
        <v>607</v>
      </c>
      <c r="D5">
        <v>646950288</v>
      </c>
      <c r="E5">
        <v>12602</v>
      </c>
      <c r="F5" t="s">
        <v>542</v>
      </c>
      <c r="G5">
        <v>750212</v>
      </c>
      <c r="H5">
        <v>210045280</v>
      </c>
      <c r="I5" t="s">
        <v>543</v>
      </c>
      <c r="J5" t="s">
        <v>608</v>
      </c>
      <c r="K5" t="s">
        <v>545</v>
      </c>
      <c r="L5" t="s">
        <v>294</v>
      </c>
      <c r="M5" t="s">
        <v>546</v>
      </c>
      <c r="N5" t="s">
        <v>468</v>
      </c>
      <c r="O5" t="s">
        <v>547</v>
      </c>
      <c r="P5" t="s">
        <v>264</v>
      </c>
      <c r="Q5">
        <v>26.8</v>
      </c>
      <c r="R5">
        <v>249</v>
      </c>
      <c r="S5" t="s">
        <v>264</v>
      </c>
      <c r="T5">
        <v>-9999</v>
      </c>
      <c r="U5">
        <v>553</v>
      </c>
      <c r="V5">
        <v>571</v>
      </c>
      <c r="W5">
        <v>545</v>
      </c>
      <c r="X5" t="s">
        <v>270</v>
      </c>
      <c r="Y5">
        <v>0</v>
      </c>
      <c r="Z5">
        <v>55</v>
      </c>
      <c r="AA5" t="s">
        <v>469</v>
      </c>
      <c r="AB5" t="s">
        <v>548</v>
      </c>
      <c r="AC5">
        <v>1</v>
      </c>
      <c r="AD5" t="s">
        <v>549</v>
      </c>
      <c r="AE5">
        <v>0</v>
      </c>
      <c r="AF5">
        <v>9</v>
      </c>
      <c r="AG5" t="s">
        <v>264</v>
      </c>
      <c r="AH5">
        <v>-9999</v>
      </c>
      <c r="AI5">
        <v>474</v>
      </c>
      <c r="AJ5">
        <v>582</v>
      </c>
      <c r="AK5">
        <v>469</v>
      </c>
      <c r="AL5" t="s">
        <v>270</v>
      </c>
      <c r="AM5">
        <v>0</v>
      </c>
      <c r="AN5">
        <v>55</v>
      </c>
      <c r="AO5" t="s">
        <v>470</v>
      </c>
      <c r="AP5" t="s">
        <v>548</v>
      </c>
      <c r="AQ5">
        <v>2</v>
      </c>
      <c r="AR5" t="s">
        <v>549</v>
      </c>
      <c r="AS5">
        <v>0</v>
      </c>
      <c r="AT5">
        <v>27</v>
      </c>
      <c r="AU5" t="s">
        <v>264</v>
      </c>
      <c r="AV5">
        <v>-9999</v>
      </c>
      <c r="AW5">
        <v>387</v>
      </c>
      <c r="AX5">
        <v>408</v>
      </c>
      <c r="AY5">
        <v>387</v>
      </c>
      <c r="AZ5" t="s">
        <v>270</v>
      </c>
      <c r="BA5">
        <v>0</v>
      </c>
      <c r="BB5">
        <v>55</v>
      </c>
      <c r="BC5" t="s">
        <v>550</v>
      </c>
      <c r="BD5" t="s">
        <v>548</v>
      </c>
      <c r="BE5">
        <v>3</v>
      </c>
      <c r="BF5" t="s">
        <v>584</v>
      </c>
      <c r="BG5">
        <v>28.1</v>
      </c>
      <c r="BH5">
        <v>67</v>
      </c>
      <c r="BI5" t="s">
        <v>264</v>
      </c>
      <c r="BJ5">
        <v>-9999</v>
      </c>
      <c r="BK5">
        <v>62</v>
      </c>
      <c r="BL5">
        <v>92</v>
      </c>
      <c r="BM5">
        <v>66</v>
      </c>
      <c r="BN5" t="s">
        <v>270</v>
      </c>
      <c r="BO5">
        <v>0</v>
      </c>
      <c r="BP5">
        <v>55</v>
      </c>
      <c r="BQ5" t="s">
        <v>504</v>
      </c>
      <c r="BR5" t="s">
        <v>548</v>
      </c>
      <c r="BS5">
        <v>4</v>
      </c>
      <c r="BT5" t="s">
        <v>549</v>
      </c>
      <c r="BU5">
        <v>53.4</v>
      </c>
      <c r="BV5">
        <v>53</v>
      </c>
      <c r="BW5" t="s">
        <v>264</v>
      </c>
      <c r="BX5">
        <v>-9999</v>
      </c>
      <c r="BY5">
        <v>224</v>
      </c>
      <c r="BZ5">
        <v>259</v>
      </c>
      <c r="CA5">
        <v>222</v>
      </c>
      <c r="CB5" t="s">
        <v>270</v>
      </c>
      <c r="CC5">
        <v>0</v>
      </c>
      <c r="CD5">
        <v>55</v>
      </c>
      <c r="CE5" t="s">
        <v>471</v>
      </c>
      <c r="CF5" t="s">
        <v>548</v>
      </c>
      <c r="CG5">
        <v>5</v>
      </c>
      <c r="CH5" t="s">
        <v>549</v>
      </c>
      <c r="CI5">
        <v>52.5</v>
      </c>
      <c r="CJ5">
        <v>136</v>
      </c>
      <c r="CK5" t="s">
        <v>264</v>
      </c>
      <c r="CL5">
        <v>-9999</v>
      </c>
      <c r="CM5">
        <v>523</v>
      </c>
      <c r="CN5">
        <v>611</v>
      </c>
      <c r="CO5">
        <v>524</v>
      </c>
      <c r="CP5" t="s">
        <v>270</v>
      </c>
      <c r="CQ5">
        <v>0</v>
      </c>
      <c r="CR5">
        <v>55</v>
      </c>
      <c r="CS5" t="s">
        <v>472</v>
      </c>
      <c r="CT5" t="s">
        <v>548</v>
      </c>
      <c r="CU5">
        <v>6</v>
      </c>
      <c r="CV5" t="s">
        <v>549</v>
      </c>
      <c r="CW5">
        <v>53.9</v>
      </c>
      <c r="CX5">
        <v>83</v>
      </c>
      <c r="CY5" t="s">
        <v>264</v>
      </c>
      <c r="CZ5">
        <v>-9999</v>
      </c>
      <c r="DA5">
        <v>773</v>
      </c>
      <c r="DB5">
        <v>878</v>
      </c>
      <c r="DC5">
        <v>764</v>
      </c>
      <c r="DD5" t="s">
        <v>270</v>
      </c>
      <c r="DE5">
        <v>0</v>
      </c>
      <c r="DF5">
        <v>55</v>
      </c>
      <c r="DG5" t="s">
        <v>473</v>
      </c>
      <c r="DH5" t="s">
        <v>548</v>
      </c>
      <c r="DI5">
        <v>7</v>
      </c>
      <c r="DJ5" t="s">
        <v>549</v>
      </c>
      <c r="DK5">
        <v>0</v>
      </c>
      <c r="DL5">
        <v>23</v>
      </c>
      <c r="DM5" t="s">
        <v>264</v>
      </c>
      <c r="DN5">
        <v>-9999</v>
      </c>
      <c r="DO5">
        <v>541</v>
      </c>
      <c r="DP5">
        <v>620</v>
      </c>
      <c r="DQ5">
        <v>537</v>
      </c>
      <c r="DR5" t="s">
        <v>270</v>
      </c>
      <c r="DS5">
        <v>0</v>
      </c>
      <c r="DT5">
        <v>55</v>
      </c>
      <c r="DU5" t="s">
        <v>474</v>
      </c>
      <c r="DV5" t="s">
        <v>548</v>
      </c>
      <c r="DW5">
        <v>8</v>
      </c>
      <c r="DX5" t="s">
        <v>549</v>
      </c>
      <c r="DY5">
        <v>0</v>
      </c>
      <c r="DZ5">
        <v>19</v>
      </c>
      <c r="EA5" t="s">
        <v>264</v>
      </c>
      <c r="EB5">
        <v>-9999</v>
      </c>
      <c r="EC5">
        <v>95</v>
      </c>
      <c r="ED5">
        <v>117</v>
      </c>
      <c r="EE5">
        <v>93</v>
      </c>
      <c r="EF5" t="s">
        <v>270</v>
      </c>
      <c r="EG5">
        <v>0</v>
      </c>
      <c r="EH5">
        <v>55</v>
      </c>
      <c r="EI5" t="s">
        <v>475</v>
      </c>
      <c r="EJ5" t="s">
        <v>548</v>
      </c>
      <c r="EK5">
        <v>9</v>
      </c>
      <c r="EL5" t="s">
        <v>549</v>
      </c>
      <c r="EM5">
        <v>0</v>
      </c>
      <c r="EN5">
        <v>-10</v>
      </c>
      <c r="EO5" t="s">
        <v>264</v>
      </c>
      <c r="EP5">
        <v>-9999</v>
      </c>
      <c r="EQ5">
        <v>364</v>
      </c>
      <c r="ER5">
        <v>357</v>
      </c>
      <c r="ES5">
        <v>333</v>
      </c>
      <c r="ET5" t="s">
        <v>270</v>
      </c>
      <c r="EU5">
        <v>0</v>
      </c>
      <c r="EV5">
        <v>55</v>
      </c>
      <c r="EW5" t="s">
        <v>551</v>
      </c>
      <c r="EX5" t="s">
        <v>552</v>
      </c>
      <c r="EY5">
        <v>127</v>
      </c>
      <c r="EZ5">
        <v>128</v>
      </c>
      <c r="FA5">
        <v>128</v>
      </c>
      <c r="FB5" t="s">
        <v>270</v>
      </c>
      <c r="FC5" t="s">
        <v>553</v>
      </c>
      <c r="FD5" t="s">
        <v>552</v>
      </c>
      <c r="FE5">
        <v>305</v>
      </c>
      <c r="FF5">
        <v>304</v>
      </c>
      <c r="FG5">
        <v>303</v>
      </c>
      <c r="FH5" t="s">
        <v>270</v>
      </c>
      <c r="FI5" t="s">
        <v>554</v>
      </c>
      <c r="FJ5" t="s">
        <v>555</v>
      </c>
      <c r="FK5">
        <v>0</v>
      </c>
      <c r="FL5">
        <v>0</v>
      </c>
      <c r="FM5">
        <v>0</v>
      </c>
      <c r="FN5" t="s">
        <v>264</v>
      </c>
      <c r="FQ5" t="s">
        <v>556</v>
      </c>
      <c r="FR5" t="s">
        <v>555</v>
      </c>
      <c r="FS5">
        <v>0</v>
      </c>
      <c r="FT5">
        <v>0</v>
      </c>
      <c r="FU5">
        <v>0</v>
      </c>
      <c r="FV5" t="s">
        <v>264</v>
      </c>
      <c r="FY5" t="s">
        <v>557</v>
      </c>
      <c r="FZ5" t="s">
        <v>555</v>
      </c>
      <c r="GA5">
        <v>0</v>
      </c>
      <c r="GB5">
        <v>0</v>
      </c>
      <c r="GC5">
        <v>0</v>
      </c>
      <c r="GD5" t="s">
        <v>264</v>
      </c>
      <c r="GG5" t="s">
        <v>558</v>
      </c>
      <c r="GH5" t="s">
        <v>555</v>
      </c>
      <c r="GI5">
        <v>0</v>
      </c>
      <c r="GJ5">
        <v>0</v>
      </c>
      <c r="GK5">
        <v>0</v>
      </c>
      <c r="GL5" t="s">
        <v>264</v>
      </c>
      <c r="GO5" t="s">
        <v>559</v>
      </c>
      <c r="GP5" t="s">
        <v>555</v>
      </c>
      <c r="GQ5">
        <v>0</v>
      </c>
      <c r="GR5">
        <v>0</v>
      </c>
      <c r="GS5">
        <v>0</v>
      </c>
      <c r="GT5" t="s">
        <v>264</v>
      </c>
      <c r="GW5" t="s">
        <v>560</v>
      </c>
      <c r="GX5" t="s">
        <v>555</v>
      </c>
      <c r="GY5">
        <v>0</v>
      </c>
      <c r="GZ5">
        <v>0</v>
      </c>
      <c r="HA5">
        <v>0</v>
      </c>
      <c r="HB5" t="s">
        <v>264</v>
      </c>
      <c r="HE5" t="s">
        <v>561</v>
      </c>
      <c r="HF5" t="s">
        <v>555</v>
      </c>
      <c r="HG5">
        <v>0</v>
      </c>
      <c r="HH5">
        <v>0</v>
      </c>
      <c r="HI5">
        <v>0</v>
      </c>
      <c r="HJ5" t="s">
        <v>264</v>
      </c>
      <c r="HM5" t="s">
        <v>562</v>
      </c>
      <c r="HN5" t="s">
        <v>555</v>
      </c>
      <c r="HO5">
        <v>0</v>
      </c>
      <c r="HP5">
        <v>0</v>
      </c>
      <c r="HQ5">
        <v>0</v>
      </c>
      <c r="HR5" t="s">
        <v>264</v>
      </c>
      <c r="HU5" t="s">
        <v>563</v>
      </c>
      <c r="HV5" t="s">
        <v>555</v>
      </c>
      <c r="HW5">
        <v>0</v>
      </c>
      <c r="HX5">
        <v>0</v>
      </c>
      <c r="HY5">
        <v>0</v>
      </c>
      <c r="HZ5" t="s">
        <v>264</v>
      </c>
      <c r="IC5" t="s">
        <v>564</v>
      </c>
      <c r="ID5" t="s">
        <v>555</v>
      </c>
      <c r="IE5">
        <v>0</v>
      </c>
      <c r="IF5">
        <v>0</v>
      </c>
      <c r="IG5">
        <v>0</v>
      </c>
      <c r="IH5" t="s">
        <v>264</v>
      </c>
      <c r="IK5" t="s">
        <v>565</v>
      </c>
      <c r="IL5" t="s">
        <v>555</v>
      </c>
      <c r="IM5">
        <v>0</v>
      </c>
      <c r="IN5">
        <v>0</v>
      </c>
      <c r="IO5">
        <v>0</v>
      </c>
      <c r="IP5" t="s">
        <v>264</v>
      </c>
      <c r="IS5" t="s">
        <v>566</v>
      </c>
      <c r="IT5" t="s">
        <v>555</v>
      </c>
      <c r="IU5">
        <v>0</v>
      </c>
      <c r="IV5">
        <v>0</v>
      </c>
      <c r="IW5">
        <v>0</v>
      </c>
      <c r="IX5" t="s">
        <v>264</v>
      </c>
      <c r="JA5" t="s">
        <v>567</v>
      </c>
      <c r="JB5" t="s">
        <v>555</v>
      </c>
      <c r="JC5">
        <v>0</v>
      </c>
      <c r="JD5">
        <v>0</v>
      </c>
      <c r="JE5">
        <v>0</v>
      </c>
      <c r="JF5" t="s">
        <v>264</v>
      </c>
      <c r="JI5" t="s">
        <v>568</v>
      </c>
      <c r="JJ5" t="s">
        <v>555</v>
      </c>
      <c r="JK5">
        <v>0</v>
      </c>
      <c r="JL5">
        <v>0</v>
      </c>
      <c r="JM5">
        <v>0</v>
      </c>
      <c r="JN5" t="s">
        <v>264</v>
      </c>
      <c r="JQ5" t="s">
        <v>569</v>
      </c>
      <c r="JR5" t="s">
        <v>555</v>
      </c>
      <c r="JS5">
        <v>0</v>
      </c>
      <c r="JT5">
        <v>0</v>
      </c>
      <c r="JU5">
        <v>0</v>
      </c>
      <c r="JV5" t="s">
        <v>264</v>
      </c>
      <c r="JY5" t="s">
        <v>570</v>
      </c>
      <c r="JZ5" t="s">
        <v>555</v>
      </c>
      <c r="KA5">
        <v>0</v>
      </c>
      <c r="KB5">
        <v>0</v>
      </c>
      <c r="KC5">
        <v>0</v>
      </c>
      <c r="KD5" t="s">
        <v>264</v>
      </c>
      <c r="KG5" t="s">
        <v>571</v>
      </c>
      <c r="KH5" t="s">
        <v>555</v>
      </c>
      <c r="KI5">
        <v>0</v>
      </c>
      <c r="KJ5">
        <v>0</v>
      </c>
      <c r="KK5">
        <v>0</v>
      </c>
      <c r="KL5" t="s">
        <v>264</v>
      </c>
      <c r="KO5" t="s">
        <v>572</v>
      </c>
      <c r="KP5" t="s">
        <v>555</v>
      </c>
      <c r="KQ5">
        <v>0</v>
      </c>
      <c r="KR5">
        <v>0</v>
      </c>
      <c r="KS5">
        <v>0</v>
      </c>
      <c r="KT5" t="s">
        <v>264</v>
      </c>
      <c r="KW5" t="s">
        <v>573</v>
      </c>
      <c r="KX5" t="s">
        <v>555</v>
      </c>
      <c r="KY5">
        <v>0</v>
      </c>
      <c r="KZ5">
        <v>0</v>
      </c>
      <c r="LA5">
        <v>0</v>
      </c>
      <c r="LB5" t="s">
        <v>264</v>
      </c>
      <c r="LE5" t="s">
        <v>574</v>
      </c>
      <c r="LF5" t="s">
        <v>555</v>
      </c>
      <c r="LG5">
        <v>0</v>
      </c>
      <c r="LH5">
        <v>0</v>
      </c>
      <c r="LI5">
        <v>0</v>
      </c>
      <c r="LJ5" t="s">
        <v>264</v>
      </c>
      <c r="LM5" t="s">
        <v>575</v>
      </c>
      <c r="LN5" t="s">
        <v>555</v>
      </c>
      <c r="LO5">
        <v>0</v>
      </c>
      <c r="LP5">
        <v>0</v>
      </c>
      <c r="LQ5">
        <v>0</v>
      </c>
      <c r="LR5" t="s">
        <v>264</v>
      </c>
      <c r="LU5" t="s">
        <v>576</v>
      </c>
      <c r="LV5" t="s">
        <v>555</v>
      </c>
      <c r="LW5">
        <v>0</v>
      </c>
      <c r="LX5">
        <v>0</v>
      </c>
      <c r="LY5">
        <v>0</v>
      </c>
      <c r="LZ5" t="s">
        <v>264</v>
      </c>
      <c r="MC5" t="s">
        <v>577</v>
      </c>
      <c r="MD5" t="s">
        <v>555</v>
      </c>
      <c r="ME5">
        <v>0</v>
      </c>
      <c r="MF5">
        <v>0</v>
      </c>
      <c r="MG5">
        <v>0</v>
      </c>
      <c r="MH5" t="s">
        <v>264</v>
      </c>
      <c r="MK5" t="s">
        <v>578</v>
      </c>
      <c r="ML5" t="s">
        <v>555</v>
      </c>
      <c r="MM5">
        <v>0</v>
      </c>
      <c r="MN5">
        <v>0</v>
      </c>
      <c r="MO5">
        <v>0</v>
      </c>
      <c r="MP5" t="s">
        <v>264</v>
      </c>
      <c r="MS5" t="s">
        <v>579</v>
      </c>
      <c r="MT5" t="s">
        <v>555</v>
      </c>
      <c r="MU5">
        <v>0</v>
      </c>
      <c r="MV5">
        <v>0</v>
      </c>
      <c r="MW5">
        <v>0</v>
      </c>
      <c r="MX5" t="s">
        <v>264</v>
      </c>
      <c r="NA5" t="s">
        <v>580</v>
      </c>
      <c r="NB5" t="s">
        <v>555</v>
      </c>
      <c r="NC5">
        <v>0</v>
      </c>
      <c r="ND5">
        <v>0</v>
      </c>
      <c r="NE5">
        <v>0</v>
      </c>
      <c r="NF5" t="s">
        <v>264</v>
      </c>
      <c r="NI5">
        <v>40</v>
      </c>
      <c r="NJ5">
        <v>-9.6</v>
      </c>
      <c r="NP5" t="s">
        <v>581</v>
      </c>
    </row>
    <row r="6" spans="1:380" customFormat="1" x14ac:dyDescent="0.2">
      <c r="A6" t="s">
        <v>517</v>
      </c>
      <c r="B6">
        <v>1</v>
      </c>
      <c r="C6" t="s">
        <v>609</v>
      </c>
      <c r="D6">
        <v>646950276</v>
      </c>
      <c r="E6">
        <v>12602</v>
      </c>
      <c r="F6" t="s">
        <v>542</v>
      </c>
      <c r="G6">
        <v>750213</v>
      </c>
      <c r="H6">
        <v>606021</v>
      </c>
      <c r="I6" t="s">
        <v>543</v>
      </c>
      <c r="J6" t="s">
        <v>610</v>
      </c>
      <c r="K6" t="s">
        <v>545</v>
      </c>
      <c r="L6" t="s">
        <v>294</v>
      </c>
      <c r="M6" t="s">
        <v>546</v>
      </c>
      <c r="N6" t="s">
        <v>468</v>
      </c>
      <c r="O6" t="s">
        <v>547</v>
      </c>
      <c r="P6" t="s">
        <v>264</v>
      </c>
      <c r="Q6">
        <v>29</v>
      </c>
      <c r="R6">
        <v>240</v>
      </c>
      <c r="S6" t="s">
        <v>264</v>
      </c>
      <c r="T6">
        <v>-9999</v>
      </c>
      <c r="U6">
        <v>546</v>
      </c>
      <c r="V6">
        <v>563</v>
      </c>
      <c r="W6">
        <v>535</v>
      </c>
      <c r="X6" t="s">
        <v>270</v>
      </c>
      <c r="Y6">
        <v>0</v>
      </c>
      <c r="Z6">
        <v>55</v>
      </c>
      <c r="AA6" t="s">
        <v>469</v>
      </c>
      <c r="AB6" t="s">
        <v>548</v>
      </c>
      <c r="AC6">
        <v>1</v>
      </c>
      <c r="AD6" t="s">
        <v>549</v>
      </c>
      <c r="AE6">
        <v>0</v>
      </c>
      <c r="AF6">
        <v>13</v>
      </c>
      <c r="AG6" t="s">
        <v>264</v>
      </c>
      <c r="AH6">
        <v>-9999</v>
      </c>
      <c r="AI6">
        <v>466</v>
      </c>
      <c r="AJ6">
        <v>568</v>
      </c>
      <c r="AK6">
        <v>460</v>
      </c>
      <c r="AL6" t="s">
        <v>270</v>
      </c>
      <c r="AM6">
        <v>0</v>
      </c>
      <c r="AN6">
        <v>55</v>
      </c>
      <c r="AO6" t="s">
        <v>470</v>
      </c>
      <c r="AP6" t="s">
        <v>548</v>
      </c>
      <c r="AQ6">
        <v>2</v>
      </c>
      <c r="AR6" t="s">
        <v>549</v>
      </c>
      <c r="AS6">
        <v>0</v>
      </c>
      <c r="AT6">
        <v>20</v>
      </c>
      <c r="AU6" t="s">
        <v>264</v>
      </c>
      <c r="AV6">
        <v>-9999</v>
      </c>
      <c r="AW6">
        <v>347</v>
      </c>
      <c r="AX6">
        <v>368</v>
      </c>
      <c r="AY6">
        <v>346</v>
      </c>
      <c r="AZ6" t="s">
        <v>270</v>
      </c>
      <c r="BA6">
        <v>0</v>
      </c>
      <c r="BB6">
        <v>55</v>
      </c>
      <c r="BC6" t="s">
        <v>550</v>
      </c>
      <c r="BD6" t="s">
        <v>548</v>
      </c>
      <c r="BE6">
        <v>3</v>
      </c>
      <c r="BF6" t="s">
        <v>584</v>
      </c>
      <c r="BG6">
        <v>20.9</v>
      </c>
      <c r="BH6">
        <v>87</v>
      </c>
      <c r="BI6" t="s">
        <v>264</v>
      </c>
      <c r="BJ6">
        <v>-9999</v>
      </c>
      <c r="BK6">
        <v>48</v>
      </c>
      <c r="BL6">
        <v>76</v>
      </c>
      <c r="BM6">
        <v>54</v>
      </c>
      <c r="BN6" t="s">
        <v>270</v>
      </c>
      <c r="BO6">
        <v>0</v>
      </c>
      <c r="BP6">
        <v>55</v>
      </c>
      <c r="BQ6" t="s">
        <v>504</v>
      </c>
      <c r="BR6" t="s">
        <v>548</v>
      </c>
      <c r="BS6">
        <v>4</v>
      </c>
      <c r="BT6" t="s">
        <v>549</v>
      </c>
      <c r="BU6">
        <v>52.4</v>
      </c>
      <c r="BV6">
        <v>88</v>
      </c>
      <c r="BW6" t="s">
        <v>264</v>
      </c>
      <c r="BX6">
        <v>-9999</v>
      </c>
      <c r="BY6">
        <v>199</v>
      </c>
      <c r="BZ6">
        <v>231</v>
      </c>
      <c r="CA6">
        <v>198</v>
      </c>
      <c r="CB6" t="s">
        <v>270</v>
      </c>
      <c r="CC6">
        <v>0</v>
      </c>
      <c r="CD6">
        <v>55</v>
      </c>
      <c r="CE6" t="s">
        <v>471</v>
      </c>
      <c r="CF6" t="s">
        <v>548</v>
      </c>
      <c r="CG6">
        <v>5</v>
      </c>
      <c r="CH6" t="s">
        <v>549</v>
      </c>
      <c r="CI6">
        <v>50.8</v>
      </c>
      <c r="CJ6">
        <v>269</v>
      </c>
      <c r="CK6" t="s">
        <v>264</v>
      </c>
      <c r="CL6">
        <v>-9999</v>
      </c>
      <c r="CM6">
        <v>479</v>
      </c>
      <c r="CN6">
        <v>558</v>
      </c>
      <c r="CO6">
        <v>480</v>
      </c>
      <c r="CP6" t="s">
        <v>270</v>
      </c>
      <c r="CQ6">
        <v>0</v>
      </c>
      <c r="CR6">
        <v>55</v>
      </c>
      <c r="CS6" t="s">
        <v>472</v>
      </c>
      <c r="CT6" t="s">
        <v>548</v>
      </c>
      <c r="CU6">
        <v>6</v>
      </c>
      <c r="CV6" t="s">
        <v>549</v>
      </c>
      <c r="CW6">
        <v>51.8</v>
      </c>
      <c r="CX6">
        <v>163</v>
      </c>
      <c r="CY6" t="s">
        <v>264</v>
      </c>
      <c r="CZ6">
        <v>-9999</v>
      </c>
      <c r="DA6">
        <v>528</v>
      </c>
      <c r="DB6">
        <v>599</v>
      </c>
      <c r="DC6">
        <v>521</v>
      </c>
      <c r="DD6" t="s">
        <v>270</v>
      </c>
      <c r="DE6">
        <v>0</v>
      </c>
      <c r="DF6">
        <v>55</v>
      </c>
      <c r="DG6" t="s">
        <v>473</v>
      </c>
      <c r="DH6" t="s">
        <v>548</v>
      </c>
      <c r="DI6">
        <v>7</v>
      </c>
      <c r="DJ6" t="s">
        <v>549</v>
      </c>
      <c r="DK6">
        <v>0</v>
      </c>
      <c r="DL6">
        <v>43</v>
      </c>
      <c r="DM6" t="s">
        <v>264</v>
      </c>
      <c r="DN6">
        <v>-9999</v>
      </c>
      <c r="DO6">
        <v>508</v>
      </c>
      <c r="DP6">
        <v>582</v>
      </c>
      <c r="DQ6">
        <v>505</v>
      </c>
      <c r="DR6" t="s">
        <v>270</v>
      </c>
      <c r="DS6">
        <v>0</v>
      </c>
      <c r="DT6">
        <v>55</v>
      </c>
      <c r="DU6" t="s">
        <v>474</v>
      </c>
      <c r="DV6" t="s">
        <v>548</v>
      </c>
      <c r="DW6">
        <v>8</v>
      </c>
      <c r="DX6" t="s">
        <v>549</v>
      </c>
      <c r="DY6">
        <v>50.9</v>
      </c>
      <c r="DZ6">
        <v>34</v>
      </c>
      <c r="EA6" t="s">
        <v>264</v>
      </c>
      <c r="EB6">
        <v>-9999</v>
      </c>
      <c r="EC6">
        <v>82</v>
      </c>
      <c r="ED6">
        <v>102</v>
      </c>
      <c r="EE6">
        <v>81</v>
      </c>
      <c r="EF6" t="s">
        <v>270</v>
      </c>
      <c r="EG6">
        <v>0</v>
      </c>
      <c r="EH6">
        <v>55</v>
      </c>
      <c r="EI6" t="s">
        <v>475</v>
      </c>
      <c r="EJ6" t="s">
        <v>548</v>
      </c>
      <c r="EK6">
        <v>9</v>
      </c>
      <c r="EL6" t="s">
        <v>549</v>
      </c>
      <c r="EM6">
        <v>0</v>
      </c>
      <c r="EN6">
        <v>-2</v>
      </c>
      <c r="EO6" t="s">
        <v>264</v>
      </c>
      <c r="EP6">
        <v>-9999</v>
      </c>
      <c r="EQ6">
        <v>329</v>
      </c>
      <c r="ER6">
        <v>306</v>
      </c>
      <c r="ES6">
        <v>280</v>
      </c>
      <c r="ET6" t="s">
        <v>270</v>
      </c>
      <c r="EU6">
        <v>0</v>
      </c>
      <c r="EV6">
        <v>55</v>
      </c>
      <c r="EW6" t="s">
        <v>551</v>
      </c>
      <c r="EX6" t="s">
        <v>552</v>
      </c>
      <c r="EY6">
        <v>117</v>
      </c>
      <c r="EZ6">
        <v>117</v>
      </c>
      <c r="FA6">
        <v>117</v>
      </c>
      <c r="FB6" t="s">
        <v>270</v>
      </c>
      <c r="FC6" t="s">
        <v>553</v>
      </c>
      <c r="FD6" t="s">
        <v>552</v>
      </c>
      <c r="FE6">
        <v>257</v>
      </c>
      <c r="FF6">
        <v>256</v>
      </c>
      <c r="FG6">
        <v>255</v>
      </c>
      <c r="FH6" t="s">
        <v>270</v>
      </c>
      <c r="FI6" t="s">
        <v>554</v>
      </c>
      <c r="FJ6" t="s">
        <v>555</v>
      </c>
      <c r="FK6">
        <v>0</v>
      </c>
      <c r="FL6">
        <v>0</v>
      </c>
      <c r="FM6">
        <v>0</v>
      </c>
      <c r="FN6" t="s">
        <v>264</v>
      </c>
      <c r="FQ6" t="s">
        <v>556</v>
      </c>
      <c r="FR6" t="s">
        <v>555</v>
      </c>
      <c r="FS6">
        <v>0</v>
      </c>
      <c r="FT6">
        <v>0</v>
      </c>
      <c r="FU6">
        <v>0</v>
      </c>
      <c r="FV6" t="s">
        <v>264</v>
      </c>
      <c r="FY6" t="s">
        <v>557</v>
      </c>
      <c r="FZ6" t="s">
        <v>555</v>
      </c>
      <c r="GA6">
        <v>0</v>
      </c>
      <c r="GB6">
        <v>0</v>
      </c>
      <c r="GC6">
        <v>0</v>
      </c>
      <c r="GD6" t="s">
        <v>264</v>
      </c>
      <c r="GG6" t="s">
        <v>558</v>
      </c>
      <c r="GH6" t="s">
        <v>555</v>
      </c>
      <c r="GI6">
        <v>0</v>
      </c>
      <c r="GJ6">
        <v>0</v>
      </c>
      <c r="GK6">
        <v>0</v>
      </c>
      <c r="GL6" t="s">
        <v>264</v>
      </c>
      <c r="GO6" t="s">
        <v>559</v>
      </c>
      <c r="GP6" t="s">
        <v>555</v>
      </c>
      <c r="GQ6">
        <v>0</v>
      </c>
      <c r="GR6">
        <v>0</v>
      </c>
      <c r="GS6">
        <v>0</v>
      </c>
      <c r="GT6" t="s">
        <v>264</v>
      </c>
      <c r="GW6" t="s">
        <v>560</v>
      </c>
      <c r="GX6" t="s">
        <v>555</v>
      </c>
      <c r="GY6">
        <v>0</v>
      </c>
      <c r="GZ6">
        <v>0</v>
      </c>
      <c r="HA6">
        <v>0</v>
      </c>
      <c r="HB6" t="s">
        <v>264</v>
      </c>
      <c r="HE6" t="s">
        <v>561</v>
      </c>
      <c r="HF6" t="s">
        <v>555</v>
      </c>
      <c r="HG6">
        <v>0</v>
      </c>
      <c r="HH6">
        <v>0</v>
      </c>
      <c r="HI6">
        <v>0</v>
      </c>
      <c r="HJ6" t="s">
        <v>264</v>
      </c>
      <c r="HM6" t="s">
        <v>562</v>
      </c>
      <c r="HN6" t="s">
        <v>555</v>
      </c>
      <c r="HO6">
        <v>0</v>
      </c>
      <c r="HP6">
        <v>0</v>
      </c>
      <c r="HQ6">
        <v>0</v>
      </c>
      <c r="HR6" t="s">
        <v>264</v>
      </c>
      <c r="HU6" t="s">
        <v>563</v>
      </c>
      <c r="HV6" t="s">
        <v>555</v>
      </c>
      <c r="HW6">
        <v>0</v>
      </c>
      <c r="HX6">
        <v>0</v>
      </c>
      <c r="HY6">
        <v>0</v>
      </c>
      <c r="HZ6" t="s">
        <v>264</v>
      </c>
      <c r="IC6" t="s">
        <v>564</v>
      </c>
      <c r="ID6" t="s">
        <v>555</v>
      </c>
      <c r="IE6">
        <v>0</v>
      </c>
      <c r="IF6">
        <v>0</v>
      </c>
      <c r="IG6">
        <v>0</v>
      </c>
      <c r="IH6" t="s">
        <v>264</v>
      </c>
      <c r="IK6" t="s">
        <v>565</v>
      </c>
      <c r="IL6" t="s">
        <v>555</v>
      </c>
      <c r="IM6">
        <v>0</v>
      </c>
      <c r="IN6">
        <v>0</v>
      </c>
      <c r="IO6">
        <v>0</v>
      </c>
      <c r="IP6" t="s">
        <v>264</v>
      </c>
      <c r="IS6" t="s">
        <v>566</v>
      </c>
      <c r="IT6" t="s">
        <v>555</v>
      </c>
      <c r="IU6">
        <v>0</v>
      </c>
      <c r="IV6">
        <v>0</v>
      </c>
      <c r="IW6">
        <v>0</v>
      </c>
      <c r="IX6" t="s">
        <v>264</v>
      </c>
      <c r="JA6" t="s">
        <v>567</v>
      </c>
      <c r="JB6" t="s">
        <v>555</v>
      </c>
      <c r="JC6">
        <v>0</v>
      </c>
      <c r="JD6">
        <v>0</v>
      </c>
      <c r="JE6">
        <v>0</v>
      </c>
      <c r="JF6" t="s">
        <v>264</v>
      </c>
      <c r="JI6" t="s">
        <v>568</v>
      </c>
      <c r="JJ6" t="s">
        <v>555</v>
      </c>
      <c r="JK6">
        <v>0</v>
      </c>
      <c r="JL6">
        <v>0</v>
      </c>
      <c r="JM6">
        <v>0</v>
      </c>
      <c r="JN6" t="s">
        <v>264</v>
      </c>
      <c r="JQ6" t="s">
        <v>569</v>
      </c>
      <c r="JR6" t="s">
        <v>555</v>
      </c>
      <c r="JS6">
        <v>0</v>
      </c>
      <c r="JT6">
        <v>0</v>
      </c>
      <c r="JU6">
        <v>0</v>
      </c>
      <c r="JV6" t="s">
        <v>264</v>
      </c>
      <c r="JY6" t="s">
        <v>570</v>
      </c>
      <c r="JZ6" t="s">
        <v>555</v>
      </c>
      <c r="KA6">
        <v>0</v>
      </c>
      <c r="KB6">
        <v>0</v>
      </c>
      <c r="KC6">
        <v>0</v>
      </c>
      <c r="KD6" t="s">
        <v>264</v>
      </c>
      <c r="KG6" t="s">
        <v>571</v>
      </c>
      <c r="KH6" t="s">
        <v>555</v>
      </c>
      <c r="KI6">
        <v>0</v>
      </c>
      <c r="KJ6">
        <v>0</v>
      </c>
      <c r="KK6">
        <v>0</v>
      </c>
      <c r="KL6" t="s">
        <v>264</v>
      </c>
      <c r="KO6" t="s">
        <v>572</v>
      </c>
      <c r="KP6" t="s">
        <v>555</v>
      </c>
      <c r="KQ6">
        <v>0</v>
      </c>
      <c r="KR6">
        <v>0</v>
      </c>
      <c r="KS6">
        <v>0</v>
      </c>
      <c r="KT6" t="s">
        <v>264</v>
      </c>
      <c r="KW6" t="s">
        <v>573</v>
      </c>
      <c r="KX6" t="s">
        <v>555</v>
      </c>
      <c r="KY6">
        <v>0</v>
      </c>
      <c r="KZ6">
        <v>0</v>
      </c>
      <c r="LA6">
        <v>0</v>
      </c>
      <c r="LB6" t="s">
        <v>264</v>
      </c>
      <c r="LE6" t="s">
        <v>574</v>
      </c>
      <c r="LF6" t="s">
        <v>555</v>
      </c>
      <c r="LG6">
        <v>0</v>
      </c>
      <c r="LH6">
        <v>0</v>
      </c>
      <c r="LI6">
        <v>0</v>
      </c>
      <c r="LJ6" t="s">
        <v>264</v>
      </c>
      <c r="LM6" t="s">
        <v>575</v>
      </c>
      <c r="LN6" t="s">
        <v>555</v>
      </c>
      <c r="LO6">
        <v>0</v>
      </c>
      <c r="LP6">
        <v>0</v>
      </c>
      <c r="LQ6">
        <v>0</v>
      </c>
      <c r="LR6" t="s">
        <v>264</v>
      </c>
      <c r="LU6" t="s">
        <v>576</v>
      </c>
      <c r="LV6" t="s">
        <v>555</v>
      </c>
      <c r="LW6">
        <v>0</v>
      </c>
      <c r="LX6">
        <v>0</v>
      </c>
      <c r="LY6">
        <v>0</v>
      </c>
      <c r="LZ6" t="s">
        <v>264</v>
      </c>
      <c r="MC6" t="s">
        <v>577</v>
      </c>
      <c r="MD6" t="s">
        <v>555</v>
      </c>
      <c r="ME6">
        <v>0</v>
      </c>
      <c r="MF6">
        <v>0</v>
      </c>
      <c r="MG6">
        <v>0</v>
      </c>
      <c r="MH6" t="s">
        <v>264</v>
      </c>
      <c r="MK6" t="s">
        <v>578</v>
      </c>
      <c r="ML6" t="s">
        <v>555</v>
      </c>
      <c r="MM6">
        <v>0</v>
      </c>
      <c r="MN6">
        <v>0</v>
      </c>
      <c r="MO6">
        <v>0</v>
      </c>
      <c r="MP6" t="s">
        <v>264</v>
      </c>
      <c r="MS6" t="s">
        <v>579</v>
      </c>
      <c r="MT6" t="s">
        <v>555</v>
      </c>
      <c r="MU6">
        <v>0</v>
      </c>
      <c r="MV6">
        <v>0</v>
      </c>
      <c r="MW6">
        <v>0</v>
      </c>
      <c r="MX6" t="s">
        <v>264</v>
      </c>
      <c r="NA6" t="s">
        <v>580</v>
      </c>
      <c r="NB6" t="s">
        <v>555</v>
      </c>
      <c r="NC6">
        <v>0</v>
      </c>
      <c r="ND6">
        <v>0</v>
      </c>
      <c r="NE6">
        <v>0</v>
      </c>
      <c r="NF6" t="s">
        <v>264</v>
      </c>
      <c r="NI6">
        <v>40</v>
      </c>
      <c r="NJ6">
        <v>-7.9</v>
      </c>
      <c r="NP6" t="s">
        <v>581</v>
      </c>
    </row>
    <row r="7" spans="1:380" customFormat="1" x14ac:dyDescent="0.2">
      <c r="A7" t="s">
        <v>517</v>
      </c>
      <c r="B7">
        <v>1</v>
      </c>
      <c r="C7" t="s">
        <v>611</v>
      </c>
      <c r="D7">
        <v>646950277</v>
      </c>
      <c r="E7">
        <v>12602</v>
      </c>
      <c r="F7" t="s">
        <v>542</v>
      </c>
      <c r="G7">
        <v>750213</v>
      </c>
      <c r="H7">
        <v>688144</v>
      </c>
      <c r="I7" t="s">
        <v>543</v>
      </c>
      <c r="J7" t="s">
        <v>612</v>
      </c>
      <c r="K7" t="s">
        <v>545</v>
      </c>
      <c r="L7" t="s">
        <v>294</v>
      </c>
      <c r="M7" t="s">
        <v>546</v>
      </c>
      <c r="N7" t="s">
        <v>468</v>
      </c>
      <c r="O7" t="s">
        <v>547</v>
      </c>
      <c r="P7" t="s">
        <v>264</v>
      </c>
      <c r="Q7">
        <v>28.1</v>
      </c>
      <c r="R7">
        <v>240</v>
      </c>
      <c r="S7" t="s">
        <v>264</v>
      </c>
      <c r="T7">
        <v>-9999</v>
      </c>
      <c r="U7">
        <v>466</v>
      </c>
      <c r="V7">
        <v>488</v>
      </c>
      <c r="W7">
        <v>461</v>
      </c>
      <c r="X7" t="s">
        <v>270</v>
      </c>
      <c r="Y7">
        <v>0</v>
      </c>
      <c r="Z7">
        <v>55</v>
      </c>
      <c r="AA7" t="s">
        <v>469</v>
      </c>
      <c r="AB7" t="s">
        <v>548</v>
      </c>
      <c r="AC7">
        <v>1</v>
      </c>
      <c r="AD7" t="s">
        <v>549</v>
      </c>
      <c r="AE7">
        <v>0</v>
      </c>
      <c r="AF7">
        <v>1</v>
      </c>
      <c r="AG7" t="s">
        <v>264</v>
      </c>
      <c r="AH7">
        <v>-9999</v>
      </c>
      <c r="AI7">
        <v>310</v>
      </c>
      <c r="AJ7">
        <v>366</v>
      </c>
      <c r="AK7">
        <v>309</v>
      </c>
      <c r="AL7" t="s">
        <v>270</v>
      </c>
      <c r="AM7">
        <v>0</v>
      </c>
      <c r="AN7">
        <v>55</v>
      </c>
      <c r="AO7" t="s">
        <v>470</v>
      </c>
      <c r="AP7" t="s">
        <v>548</v>
      </c>
      <c r="AQ7">
        <v>2</v>
      </c>
      <c r="AR7" t="s">
        <v>549</v>
      </c>
      <c r="AS7">
        <v>0</v>
      </c>
      <c r="AT7">
        <v>28</v>
      </c>
      <c r="AU7" t="s">
        <v>264</v>
      </c>
      <c r="AV7">
        <v>-9999</v>
      </c>
      <c r="AW7">
        <v>311</v>
      </c>
      <c r="AX7">
        <v>326</v>
      </c>
      <c r="AY7">
        <v>311</v>
      </c>
      <c r="AZ7" t="s">
        <v>270</v>
      </c>
      <c r="BA7">
        <v>0</v>
      </c>
      <c r="BB7">
        <v>55</v>
      </c>
      <c r="BC7" t="s">
        <v>550</v>
      </c>
      <c r="BD7" t="s">
        <v>548</v>
      </c>
      <c r="BE7">
        <v>3</v>
      </c>
      <c r="BF7" t="s">
        <v>584</v>
      </c>
      <c r="BG7">
        <v>28.4</v>
      </c>
      <c r="BH7">
        <v>43</v>
      </c>
      <c r="BI7" t="s">
        <v>264</v>
      </c>
      <c r="BJ7">
        <v>-9999</v>
      </c>
      <c r="BK7">
        <v>71</v>
      </c>
      <c r="BL7">
        <v>93</v>
      </c>
      <c r="BM7">
        <v>71</v>
      </c>
      <c r="BN7" t="s">
        <v>270</v>
      </c>
      <c r="BO7">
        <v>0</v>
      </c>
      <c r="BP7">
        <v>55</v>
      </c>
      <c r="BQ7" t="s">
        <v>504</v>
      </c>
      <c r="BR7" t="s">
        <v>548</v>
      </c>
      <c r="BS7">
        <v>4</v>
      </c>
      <c r="BT7" t="s">
        <v>549</v>
      </c>
      <c r="BU7">
        <v>0</v>
      </c>
      <c r="BV7">
        <v>26</v>
      </c>
      <c r="BW7" t="s">
        <v>264</v>
      </c>
      <c r="BX7">
        <v>-9999</v>
      </c>
      <c r="BY7">
        <v>197</v>
      </c>
      <c r="BZ7">
        <v>227</v>
      </c>
      <c r="CA7">
        <v>196</v>
      </c>
      <c r="CB7" t="s">
        <v>270</v>
      </c>
      <c r="CC7">
        <v>0</v>
      </c>
      <c r="CD7">
        <v>55</v>
      </c>
      <c r="CE7" t="s">
        <v>471</v>
      </c>
      <c r="CF7" t="s">
        <v>548</v>
      </c>
      <c r="CG7">
        <v>5</v>
      </c>
      <c r="CH7" t="s">
        <v>549</v>
      </c>
      <c r="CI7">
        <v>52.3</v>
      </c>
      <c r="CJ7">
        <v>93</v>
      </c>
      <c r="CK7" t="s">
        <v>264</v>
      </c>
      <c r="CL7">
        <v>-9999</v>
      </c>
      <c r="CM7">
        <v>448</v>
      </c>
      <c r="CN7">
        <v>515</v>
      </c>
      <c r="CO7">
        <v>448</v>
      </c>
      <c r="CP7" t="s">
        <v>270</v>
      </c>
      <c r="CQ7">
        <v>0</v>
      </c>
      <c r="CR7">
        <v>55</v>
      </c>
      <c r="CS7" t="s">
        <v>472</v>
      </c>
      <c r="CT7" t="s">
        <v>548</v>
      </c>
      <c r="CU7">
        <v>6</v>
      </c>
      <c r="CV7" t="s">
        <v>549</v>
      </c>
      <c r="CW7">
        <v>0</v>
      </c>
      <c r="CX7">
        <v>-3</v>
      </c>
      <c r="CY7" t="s">
        <v>264</v>
      </c>
      <c r="CZ7">
        <v>-9999</v>
      </c>
      <c r="DA7">
        <v>624</v>
      </c>
      <c r="DB7">
        <v>706</v>
      </c>
      <c r="DC7">
        <v>619</v>
      </c>
      <c r="DD7" t="s">
        <v>270</v>
      </c>
      <c r="DE7">
        <v>0</v>
      </c>
      <c r="DF7">
        <v>55</v>
      </c>
      <c r="DG7" t="s">
        <v>473</v>
      </c>
      <c r="DH7" t="s">
        <v>548</v>
      </c>
      <c r="DI7">
        <v>7</v>
      </c>
      <c r="DJ7" t="s">
        <v>549</v>
      </c>
      <c r="DK7">
        <v>0</v>
      </c>
      <c r="DL7">
        <v>18</v>
      </c>
      <c r="DM7" t="s">
        <v>264</v>
      </c>
      <c r="DN7">
        <v>-9999</v>
      </c>
      <c r="DO7">
        <v>470</v>
      </c>
      <c r="DP7">
        <v>551</v>
      </c>
      <c r="DQ7">
        <v>466</v>
      </c>
      <c r="DR7" t="s">
        <v>270</v>
      </c>
      <c r="DS7">
        <v>0</v>
      </c>
      <c r="DT7">
        <v>55</v>
      </c>
      <c r="DU7" t="s">
        <v>474</v>
      </c>
      <c r="DV7" t="s">
        <v>548</v>
      </c>
      <c r="DW7">
        <v>8</v>
      </c>
      <c r="DX7" t="s">
        <v>549</v>
      </c>
      <c r="DY7">
        <v>50.4</v>
      </c>
      <c r="DZ7">
        <v>29</v>
      </c>
      <c r="EA7" t="s">
        <v>264</v>
      </c>
      <c r="EB7">
        <v>-9999</v>
      </c>
      <c r="EC7">
        <v>89</v>
      </c>
      <c r="ED7">
        <v>106</v>
      </c>
      <c r="EE7">
        <v>86</v>
      </c>
      <c r="EF7" t="s">
        <v>270</v>
      </c>
      <c r="EG7">
        <v>0</v>
      </c>
      <c r="EH7">
        <v>55</v>
      </c>
      <c r="EI7" t="s">
        <v>475</v>
      </c>
      <c r="EJ7" t="s">
        <v>548</v>
      </c>
      <c r="EK7">
        <v>9</v>
      </c>
      <c r="EL7" t="s">
        <v>549</v>
      </c>
      <c r="EM7">
        <v>0</v>
      </c>
      <c r="EN7">
        <v>3</v>
      </c>
      <c r="EO7" t="s">
        <v>264</v>
      </c>
      <c r="EP7">
        <v>-9999</v>
      </c>
      <c r="EQ7">
        <v>276</v>
      </c>
      <c r="ER7">
        <v>252</v>
      </c>
      <c r="ES7">
        <v>236</v>
      </c>
      <c r="ET7" t="s">
        <v>270</v>
      </c>
      <c r="EU7">
        <v>0</v>
      </c>
      <c r="EV7">
        <v>55</v>
      </c>
      <c r="EW7" t="s">
        <v>551</v>
      </c>
      <c r="EX7" t="s">
        <v>552</v>
      </c>
      <c r="EY7">
        <v>124</v>
      </c>
      <c r="EZ7">
        <v>125</v>
      </c>
      <c r="FA7">
        <v>125</v>
      </c>
      <c r="FB7" t="s">
        <v>270</v>
      </c>
      <c r="FC7" t="s">
        <v>553</v>
      </c>
      <c r="FD7" t="s">
        <v>552</v>
      </c>
      <c r="FE7">
        <v>265</v>
      </c>
      <c r="FF7">
        <v>264</v>
      </c>
      <c r="FG7">
        <v>263</v>
      </c>
      <c r="FH7" t="s">
        <v>270</v>
      </c>
      <c r="FI7" t="s">
        <v>554</v>
      </c>
      <c r="FJ7" t="s">
        <v>555</v>
      </c>
      <c r="FK7">
        <v>0</v>
      </c>
      <c r="FL7">
        <v>0</v>
      </c>
      <c r="FM7">
        <v>0</v>
      </c>
      <c r="FN7" t="s">
        <v>264</v>
      </c>
      <c r="FQ7" t="s">
        <v>556</v>
      </c>
      <c r="FR7" t="s">
        <v>555</v>
      </c>
      <c r="FS7">
        <v>0</v>
      </c>
      <c r="FT7">
        <v>0</v>
      </c>
      <c r="FU7">
        <v>0</v>
      </c>
      <c r="FV7" t="s">
        <v>264</v>
      </c>
      <c r="FY7" t="s">
        <v>557</v>
      </c>
      <c r="FZ7" t="s">
        <v>555</v>
      </c>
      <c r="GA7">
        <v>0</v>
      </c>
      <c r="GB7">
        <v>0</v>
      </c>
      <c r="GC7">
        <v>0</v>
      </c>
      <c r="GD7" t="s">
        <v>264</v>
      </c>
      <c r="GG7" t="s">
        <v>558</v>
      </c>
      <c r="GH7" t="s">
        <v>555</v>
      </c>
      <c r="GI7">
        <v>0</v>
      </c>
      <c r="GJ7">
        <v>0</v>
      </c>
      <c r="GK7">
        <v>0</v>
      </c>
      <c r="GL7" t="s">
        <v>264</v>
      </c>
      <c r="GO7" t="s">
        <v>559</v>
      </c>
      <c r="GP7" t="s">
        <v>555</v>
      </c>
      <c r="GQ7">
        <v>0</v>
      </c>
      <c r="GR7">
        <v>0</v>
      </c>
      <c r="GS7">
        <v>0</v>
      </c>
      <c r="GT7" t="s">
        <v>264</v>
      </c>
      <c r="GW7" t="s">
        <v>560</v>
      </c>
      <c r="GX7" t="s">
        <v>555</v>
      </c>
      <c r="GY7">
        <v>0</v>
      </c>
      <c r="GZ7">
        <v>0</v>
      </c>
      <c r="HA7">
        <v>0</v>
      </c>
      <c r="HB7" t="s">
        <v>264</v>
      </c>
      <c r="HE7" t="s">
        <v>561</v>
      </c>
      <c r="HF7" t="s">
        <v>555</v>
      </c>
      <c r="HG7">
        <v>0</v>
      </c>
      <c r="HH7">
        <v>0</v>
      </c>
      <c r="HI7">
        <v>0</v>
      </c>
      <c r="HJ7" t="s">
        <v>264</v>
      </c>
      <c r="HM7" t="s">
        <v>562</v>
      </c>
      <c r="HN7" t="s">
        <v>555</v>
      </c>
      <c r="HO7">
        <v>0</v>
      </c>
      <c r="HP7">
        <v>0</v>
      </c>
      <c r="HQ7">
        <v>0</v>
      </c>
      <c r="HR7" t="s">
        <v>264</v>
      </c>
      <c r="HU7" t="s">
        <v>563</v>
      </c>
      <c r="HV7" t="s">
        <v>555</v>
      </c>
      <c r="HW7">
        <v>0</v>
      </c>
      <c r="HX7">
        <v>0</v>
      </c>
      <c r="HY7">
        <v>0</v>
      </c>
      <c r="HZ7" t="s">
        <v>264</v>
      </c>
      <c r="IC7" t="s">
        <v>564</v>
      </c>
      <c r="ID7" t="s">
        <v>555</v>
      </c>
      <c r="IE7">
        <v>0</v>
      </c>
      <c r="IF7">
        <v>0</v>
      </c>
      <c r="IG7">
        <v>0</v>
      </c>
      <c r="IH7" t="s">
        <v>264</v>
      </c>
      <c r="IK7" t="s">
        <v>565</v>
      </c>
      <c r="IL7" t="s">
        <v>555</v>
      </c>
      <c r="IM7">
        <v>0</v>
      </c>
      <c r="IN7">
        <v>0</v>
      </c>
      <c r="IO7">
        <v>0</v>
      </c>
      <c r="IP7" t="s">
        <v>264</v>
      </c>
      <c r="IS7" t="s">
        <v>566</v>
      </c>
      <c r="IT7" t="s">
        <v>555</v>
      </c>
      <c r="IU7">
        <v>0</v>
      </c>
      <c r="IV7">
        <v>0</v>
      </c>
      <c r="IW7">
        <v>0</v>
      </c>
      <c r="IX7" t="s">
        <v>264</v>
      </c>
      <c r="JA7" t="s">
        <v>567</v>
      </c>
      <c r="JB7" t="s">
        <v>555</v>
      </c>
      <c r="JC7">
        <v>0</v>
      </c>
      <c r="JD7">
        <v>0</v>
      </c>
      <c r="JE7">
        <v>0</v>
      </c>
      <c r="JF7" t="s">
        <v>264</v>
      </c>
      <c r="JI7" t="s">
        <v>568</v>
      </c>
      <c r="JJ7" t="s">
        <v>555</v>
      </c>
      <c r="JK7">
        <v>0</v>
      </c>
      <c r="JL7">
        <v>0</v>
      </c>
      <c r="JM7">
        <v>0</v>
      </c>
      <c r="JN7" t="s">
        <v>264</v>
      </c>
      <c r="JQ7" t="s">
        <v>569</v>
      </c>
      <c r="JR7" t="s">
        <v>555</v>
      </c>
      <c r="JS7">
        <v>0</v>
      </c>
      <c r="JT7">
        <v>0</v>
      </c>
      <c r="JU7">
        <v>0</v>
      </c>
      <c r="JV7" t="s">
        <v>264</v>
      </c>
      <c r="JY7" t="s">
        <v>570</v>
      </c>
      <c r="JZ7" t="s">
        <v>555</v>
      </c>
      <c r="KA7">
        <v>0</v>
      </c>
      <c r="KB7">
        <v>0</v>
      </c>
      <c r="KC7">
        <v>0</v>
      </c>
      <c r="KD7" t="s">
        <v>264</v>
      </c>
      <c r="KG7" t="s">
        <v>571</v>
      </c>
      <c r="KH7" t="s">
        <v>555</v>
      </c>
      <c r="KI7">
        <v>0</v>
      </c>
      <c r="KJ7">
        <v>0</v>
      </c>
      <c r="KK7">
        <v>0</v>
      </c>
      <c r="KL7" t="s">
        <v>264</v>
      </c>
      <c r="KO7" t="s">
        <v>572</v>
      </c>
      <c r="KP7" t="s">
        <v>555</v>
      </c>
      <c r="KQ7">
        <v>0</v>
      </c>
      <c r="KR7">
        <v>0</v>
      </c>
      <c r="KS7">
        <v>0</v>
      </c>
      <c r="KT7" t="s">
        <v>264</v>
      </c>
      <c r="KW7" t="s">
        <v>573</v>
      </c>
      <c r="KX7" t="s">
        <v>555</v>
      </c>
      <c r="KY7">
        <v>0</v>
      </c>
      <c r="KZ7">
        <v>0</v>
      </c>
      <c r="LA7">
        <v>0</v>
      </c>
      <c r="LB7" t="s">
        <v>264</v>
      </c>
      <c r="LE7" t="s">
        <v>574</v>
      </c>
      <c r="LF7" t="s">
        <v>555</v>
      </c>
      <c r="LG7">
        <v>0</v>
      </c>
      <c r="LH7">
        <v>0</v>
      </c>
      <c r="LI7">
        <v>0</v>
      </c>
      <c r="LJ7" t="s">
        <v>264</v>
      </c>
      <c r="LM7" t="s">
        <v>575</v>
      </c>
      <c r="LN7" t="s">
        <v>555</v>
      </c>
      <c r="LO7">
        <v>0</v>
      </c>
      <c r="LP7">
        <v>0</v>
      </c>
      <c r="LQ7">
        <v>0</v>
      </c>
      <c r="LR7" t="s">
        <v>264</v>
      </c>
      <c r="LU7" t="s">
        <v>576</v>
      </c>
      <c r="LV7" t="s">
        <v>555</v>
      </c>
      <c r="LW7">
        <v>0</v>
      </c>
      <c r="LX7">
        <v>0</v>
      </c>
      <c r="LY7">
        <v>0</v>
      </c>
      <c r="LZ7" t="s">
        <v>264</v>
      </c>
      <c r="MC7" t="s">
        <v>577</v>
      </c>
      <c r="MD7" t="s">
        <v>555</v>
      </c>
      <c r="ME7">
        <v>0</v>
      </c>
      <c r="MF7">
        <v>0</v>
      </c>
      <c r="MG7">
        <v>0</v>
      </c>
      <c r="MH7" t="s">
        <v>264</v>
      </c>
      <c r="MK7" t="s">
        <v>578</v>
      </c>
      <c r="ML7" t="s">
        <v>555</v>
      </c>
      <c r="MM7">
        <v>0</v>
      </c>
      <c r="MN7">
        <v>0</v>
      </c>
      <c r="MO7">
        <v>0</v>
      </c>
      <c r="MP7" t="s">
        <v>264</v>
      </c>
      <c r="MS7" t="s">
        <v>579</v>
      </c>
      <c r="MT7" t="s">
        <v>555</v>
      </c>
      <c r="MU7">
        <v>0</v>
      </c>
      <c r="MV7">
        <v>0</v>
      </c>
      <c r="MW7">
        <v>0</v>
      </c>
      <c r="MX7" t="s">
        <v>264</v>
      </c>
      <c r="NA7" t="s">
        <v>580</v>
      </c>
      <c r="NB7" t="s">
        <v>555</v>
      </c>
      <c r="NC7">
        <v>0</v>
      </c>
      <c r="ND7">
        <v>0</v>
      </c>
      <c r="NE7">
        <v>0</v>
      </c>
      <c r="NF7" t="s">
        <v>264</v>
      </c>
      <c r="NI7">
        <v>40.200000000000003</v>
      </c>
      <c r="NJ7">
        <v>-7.5</v>
      </c>
      <c r="NP7" t="s">
        <v>581</v>
      </c>
    </row>
    <row r="8" spans="1:380" customFormat="1" x14ac:dyDescent="0.2">
      <c r="A8" t="s">
        <v>517</v>
      </c>
      <c r="B8">
        <v>1</v>
      </c>
      <c r="C8" t="s">
        <v>613</v>
      </c>
      <c r="D8">
        <v>646950215</v>
      </c>
      <c r="E8">
        <v>12602</v>
      </c>
      <c r="F8" t="s">
        <v>542</v>
      </c>
      <c r="G8">
        <v>750213</v>
      </c>
      <c r="H8">
        <v>650465</v>
      </c>
      <c r="I8" t="s">
        <v>543</v>
      </c>
      <c r="J8" t="s">
        <v>614</v>
      </c>
      <c r="K8" t="s">
        <v>545</v>
      </c>
      <c r="L8" t="s">
        <v>294</v>
      </c>
      <c r="M8" t="s">
        <v>546</v>
      </c>
      <c r="N8" t="s">
        <v>468</v>
      </c>
      <c r="O8" t="s">
        <v>547</v>
      </c>
      <c r="P8" t="s">
        <v>270</v>
      </c>
      <c r="Q8">
        <v>28.9</v>
      </c>
      <c r="R8">
        <v>203</v>
      </c>
      <c r="S8" t="s">
        <v>270</v>
      </c>
      <c r="T8">
        <v>-9999</v>
      </c>
      <c r="U8">
        <v>552</v>
      </c>
      <c r="V8">
        <v>571</v>
      </c>
      <c r="W8">
        <v>542</v>
      </c>
      <c r="X8" t="s">
        <v>270</v>
      </c>
      <c r="Y8">
        <v>0</v>
      </c>
      <c r="Z8">
        <v>55</v>
      </c>
      <c r="AA8" t="s">
        <v>469</v>
      </c>
      <c r="AB8" t="s">
        <v>548</v>
      </c>
      <c r="AC8">
        <v>1</v>
      </c>
      <c r="AD8" t="s">
        <v>549</v>
      </c>
      <c r="AE8">
        <v>0</v>
      </c>
      <c r="AF8">
        <v>10</v>
      </c>
      <c r="AG8" t="s">
        <v>264</v>
      </c>
      <c r="AH8">
        <v>-9999</v>
      </c>
      <c r="AI8">
        <v>445</v>
      </c>
      <c r="AJ8">
        <v>544</v>
      </c>
      <c r="AK8">
        <v>443</v>
      </c>
      <c r="AL8" t="s">
        <v>270</v>
      </c>
      <c r="AM8">
        <v>0</v>
      </c>
      <c r="AN8">
        <v>55</v>
      </c>
      <c r="AO8" t="s">
        <v>470</v>
      </c>
      <c r="AP8" t="s">
        <v>548</v>
      </c>
      <c r="AQ8">
        <v>2</v>
      </c>
      <c r="AR8" t="s">
        <v>549</v>
      </c>
      <c r="AS8">
        <v>54.6</v>
      </c>
      <c r="AT8">
        <v>46</v>
      </c>
      <c r="AU8" t="s">
        <v>264</v>
      </c>
      <c r="AV8">
        <v>-9999</v>
      </c>
      <c r="AW8">
        <v>444</v>
      </c>
      <c r="AX8">
        <v>469</v>
      </c>
      <c r="AY8">
        <v>442</v>
      </c>
      <c r="AZ8" t="s">
        <v>270</v>
      </c>
      <c r="BA8">
        <v>0</v>
      </c>
      <c r="BB8">
        <v>55</v>
      </c>
      <c r="BC8" t="s">
        <v>550</v>
      </c>
      <c r="BD8" t="s">
        <v>548</v>
      </c>
      <c r="BE8">
        <v>3</v>
      </c>
      <c r="BF8" t="s">
        <v>549</v>
      </c>
      <c r="BG8">
        <v>0</v>
      </c>
      <c r="BH8">
        <v>3</v>
      </c>
      <c r="BI8" t="s">
        <v>264</v>
      </c>
      <c r="BJ8">
        <v>-9999</v>
      </c>
      <c r="BK8">
        <v>130</v>
      </c>
      <c r="BL8">
        <v>167</v>
      </c>
      <c r="BM8">
        <v>128</v>
      </c>
      <c r="BN8" t="s">
        <v>270</v>
      </c>
      <c r="BO8">
        <v>0</v>
      </c>
      <c r="BP8">
        <v>55</v>
      </c>
      <c r="BQ8" t="s">
        <v>504</v>
      </c>
      <c r="BR8" t="s">
        <v>548</v>
      </c>
      <c r="BS8">
        <v>4</v>
      </c>
      <c r="BT8" t="s">
        <v>549</v>
      </c>
      <c r="BU8">
        <v>52.1</v>
      </c>
      <c r="BV8">
        <v>87</v>
      </c>
      <c r="BW8" t="s">
        <v>264</v>
      </c>
      <c r="BX8">
        <v>-9999</v>
      </c>
      <c r="BY8">
        <v>235</v>
      </c>
      <c r="BZ8">
        <v>272</v>
      </c>
      <c r="CA8">
        <v>233</v>
      </c>
      <c r="CB8" t="s">
        <v>270</v>
      </c>
      <c r="CC8">
        <v>0</v>
      </c>
      <c r="CD8">
        <v>55</v>
      </c>
      <c r="CE8" t="s">
        <v>471</v>
      </c>
      <c r="CF8" t="s">
        <v>548</v>
      </c>
      <c r="CG8">
        <v>5</v>
      </c>
      <c r="CH8" t="s">
        <v>549</v>
      </c>
      <c r="CI8">
        <v>51.8</v>
      </c>
      <c r="CJ8">
        <v>209</v>
      </c>
      <c r="CK8" t="s">
        <v>264</v>
      </c>
      <c r="CL8">
        <v>-9999</v>
      </c>
      <c r="CM8">
        <v>535</v>
      </c>
      <c r="CN8">
        <v>623</v>
      </c>
      <c r="CO8">
        <v>532</v>
      </c>
      <c r="CP8" t="s">
        <v>270</v>
      </c>
      <c r="CQ8">
        <v>0</v>
      </c>
      <c r="CR8">
        <v>55</v>
      </c>
      <c r="CS8" t="s">
        <v>472</v>
      </c>
      <c r="CT8" t="s">
        <v>548</v>
      </c>
      <c r="CU8">
        <v>6</v>
      </c>
      <c r="CV8" t="s">
        <v>549</v>
      </c>
      <c r="CW8">
        <v>53.1</v>
      </c>
      <c r="CX8">
        <v>113</v>
      </c>
      <c r="CY8" t="s">
        <v>264</v>
      </c>
      <c r="CZ8">
        <v>-9999</v>
      </c>
      <c r="DA8">
        <v>632</v>
      </c>
      <c r="DB8">
        <v>718</v>
      </c>
      <c r="DC8">
        <v>622</v>
      </c>
      <c r="DD8" t="s">
        <v>270</v>
      </c>
      <c r="DE8">
        <v>0</v>
      </c>
      <c r="DF8">
        <v>55</v>
      </c>
      <c r="DG8" t="s">
        <v>473</v>
      </c>
      <c r="DH8" t="s">
        <v>548</v>
      </c>
      <c r="DI8">
        <v>7</v>
      </c>
      <c r="DJ8" t="s">
        <v>549</v>
      </c>
      <c r="DK8">
        <v>0</v>
      </c>
      <c r="DL8">
        <v>13</v>
      </c>
      <c r="DM8" t="s">
        <v>264</v>
      </c>
      <c r="DN8">
        <v>-9999</v>
      </c>
      <c r="DO8">
        <v>593</v>
      </c>
      <c r="DP8">
        <v>683</v>
      </c>
      <c r="DQ8">
        <v>588</v>
      </c>
      <c r="DR8" t="s">
        <v>270</v>
      </c>
      <c r="DS8">
        <v>0</v>
      </c>
      <c r="DT8">
        <v>55</v>
      </c>
      <c r="DU8" t="s">
        <v>474</v>
      </c>
      <c r="DV8" t="s">
        <v>548</v>
      </c>
      <c r="DW8">
        <v>8</v>
      </c>
      <c r="DX8" t="s">
        <v>549</v>
      </c>
      <c r="DY8">
        <v>49.4</v>
      </c>
      <c r="DZ8">
        <v>48</v>
      </c>
      <c r="EA8" t="s">
        <v>264</v>
      </c>
      <c r="EB8">
        <v>-9999</v>
      </c>
      <c r="EC8">
        <v>137</v>
      </c>
      <c r="ED8">
        <v>164</v>
      </c>
      <c r="EE8">
        <v>135</v>
      </c>
      <c r="EF8" t="s">
        <v>270</v>
      </c>
      <c r="EG8">
        <v>0</v>
      </c>
      <c r="EH8">
        <v>55</v>
      </c>
      <c r="EI8" t="s">
        <v>475</v>
      </c>
      <c r="EJ8" t="s">
        <v>548</v>
      </c>
      <c r="EK8">
        <v>9</v>
      </c>
      <c r="EL8" t="s">
        <v>549</v>
      </c>
      <c r="EM8">
        <v>0</v>
      </c>
      <c r="EN8">
        <v>-2</v>
      </c>
      <c r="EO8" t="s">
        <v>264</v>
      </c>
      <c r="EP8">
        <v>-9999</v>
      </c>
      <c r="EQ8">
        <v>348</v>
      </c>
      <c r="ER8">
        <v>335</v>
      </c>
      <c r="ES8">
        <v>313</v>
      </c>
      <c r="ET8" t="s">
        <v>270</v>
      </c>
      <c r="EU8">
        <v>0</v>
      </c>
      <c r="EV8">
        <v>55</v>
      </c>
      <c r="EW8" t="s">
        <v>551</v>
      </c>
      <c r="EX8" t="s">
        <v>552</v>
      </c>
      <c r="EY8">
        <v>124</v>
      </c>
      <c r="EZ8">
        <v>125</v>
      </c>
      <c r="FA8">
        <v>125</v>
      </c>
      <c r="FB8" t="s">
        <v>270</v>
      </c>
      <c r="FC8" t="s">
        <v>553</v>
      </c>
      <c r="FD8" t="s">
        <v>552</v>
      </c>
      <c r="FE8">
        <v>341</v>
      </c>
      <c r="FF8">
        <v>340</v>
      </c>
      <c r="FG8">
        <v>338</v>
      </c>
      <c r="FH8" t="s">
        <v>270</v>
      </c>
      <c r="FI8" t="s">
        <v>554</v>
      </c>
      <c r="FJ8" t="s">
        <v>555</v>
      </c>
      <c r="FK8">
        <v>0</v>
      </c>
      <c r="FL8">
        <v>0</v>
      </c>
      <c r="FM8">
        <v>0</v>
      </c>
      <c r="FN8" t="s">
        <v>264</v>
      </c>
      <c r="FQ8" t="s">
        <v>556</v>
      </c>
      <c r="FR8" t="s">
        <v>555</v>
      </c>
      <c r="FS8">
        <v>0</v>
      </c>
      <c r="FT8">
        <v>0</v>
      </c>
      <c r="FU8">
        <v>0</v>
      </c>
      <c r="FV8" t="s">
        <v>264</v>
      </c>
      <c r="FY8" t="s">
        <v>557</v>
      </c>
      <c r="FZ8" t="s">
        <v>555</v>
      </c>
      <c r="GA8">
        <v>0</v>
      </c>
      <c r="GB8">
        <v>0</v>
      </c>
      <c r="GC8">
        <v>0</v>
      </c>
      <c r="GD8" t="s">
        <v>264</v>
      </c>
      <c r="GG8" t="s">
        <v>558</v>
      </c>
      <c r="GH8" t="s">
        <v>555</v>
      </c>
      <c r="GI8">
        <v>0</v>
      </c>
      <c r="GJ8">
        <v>0</v>
      </c>
      <c r="GK8">
        <v>0</v>
      </c>
      <c r="GL8" t="s">
        <v>264</v>
      </c>
      <c r="GO8" t="s">
        <v>559</v>
      </c>
      <c r="GP8" t="s">
        <v>555</v>
      </c>
      <c r="GQ8">
        <v>0</v>
      </c>
      <c r="GR8">
        <v>0</v>
      </c>
      <c r="GS8">
        <v>0</v>
      </c>
      <c r="GT8" t="s">
        <v>264</v>
      </c>
      <c r="GW8" t="s">
        <v>560</v>
      </c>
      <c r="GX8" t="s">
        <v>555</v>
      </c>
      <c r="GY8">
        <v>0</v>
      </c>
      <c r="GZ8">
        <v>0</v>
      </c>
      <c r="HA8">
        <v>0</v>
      </c>
      <c r="HB8" t="s">
        <v>264</v>
      </c>
      <c r="HE8" t="s">
        <v>561</v>
      </c>
      <c r="HF8" t="s">
        <v>555</v>
      </c>
      <c r="HG8">
        <v>0</v>
      </c>
      <c r="HH8">
        <v>0</v>
      </c>
      <c r="HI8">
        <v>0</v>
      </c>
      <c r="HJ8" t="s">
        <v>264</v>
      </c>
      <c r="HM8" t="s">
        <v>562</v>
      </c>
      <c r="HN8" t="s">
        <v>555</v>
      </c>
      <c r="HO8">
        <v>0</v>
      </c>
      <c r="HP8">
        <v>0</v>
      </c>
      <c r="HQ8">
        <v>0</v>
      </c>
      <c r="HR8" t="s">
        <v>264</v>
      </c>
      <c r="HU8" t="s">
        <v>563</v>
      </c>
      <c r="HV8" t="s">
        <v>555</v>
      </c>
      <c r="HW8">
        <v>0</v>
      </c>
      <c r="HX8">
        <v>0</v>
      </c>
      <c r="HY8">
        <v>0</v>
      </c>
      <c r="HZ8" t="s">
        <v>264</v>
      </c>
      <c r="IC8" t="s">
        <v>564</v>
      </c>
      <c r="ID8" t="s">
        <v>555</v>
      </c>
      <c r="IE8">
        <v>0</v>
      </c>
      <c r="IF8">
        <v>0</v>
      </c>
      <c r="IG8">
        <v>0</v>
      </c>
      <c r="IH8" t="s">
        <v>264</v>
      </c>
      <c r="IK8" t="s">
        <v>565</v>
      </c>
      <c r="IL8" t="s">
        <v>555</v>
      </c>
      <c r="IM8">
        <v>0</v>
      </c>
      <c r="IN8">
        <v>0</v>
      </c>
      <c r="IO8">
        <v>0</v>
      </c>
      <c r="IP8" t="s">
        <v>264</v>
      </c>
      <c r="IS8" t="s">
        <v>566</v>
      </c>
      <c r="IT8" t="s">
        <v>555</v>
      </c>
      <c r="IU8">
        <v>0</v>
      </c>
      <c r="IV8">
        <v>0</v>
      </c>
      <c r="IW8">
        <v>0</v>
      </c>
      <c r="IX8" t="s">
        <v>264</v>
      </c>
      <c r="JA8" t="s">
        <v>567</v>
      </c>
      <c r="JB8" t="s">
        <v>555</v>
      </c>
      <c r="JC8">
        <v>0</v>
      </c>
      <c r="JD8">
        <v>0</v>
      </c>
      <c r="JE8">
        <v>0</v>
      </c>
      <c r="JF8" t="s">
        <v>264</v>
      </c>
      <c r="JI8" t="s">
        <v>568</v>
      </c>
      <c r="JJ8" t="s">
        <v>555</v>
      </c>
      <c r="JK8">
        <v>0</v>
      </c>
      <c r="JL8">
        <v>0</v>
      </c>
      <c r="JM8">
        <v>0</v>
      </c>
      <c r="JN8" t="s">
        <v>264</v>
      </c>
      <c r="JQ8" t="s">
        <v>569</v>
      </c>
      <c r="JR8" t="s">
        <v>555</v>
      </c>
      <c r="JS8">
        <v>0</v>
      </c>
      <c r="JT8">
        <v>0</v>
      </c>
      <c r="JU8">
        <v>0</v>
      </c>
      <c r="JV8" t="s">
        <v>264</v>
      </c>
      <c r="JY8" t="s">
        <v>570</v>
      </c>
      <c r="JZ8" t="s">
        <v>555</v>
      </c>
      <c r="KA8">
        <v>0</v>
      </c>
      <c r="KB8">
        <v>0</v>
      </c>
      <c r="KC8">
        <v>0</v>
      </c>
      <c r="KD8" t="s">
        <v>264</v>
      </c>
      <c r="KG8" t="s">
        <v>571</v>
      </c>
      <c r="KH8" t="s">
        <v>555</v>
      </c>
      <c r="KI8">
        <v>0</v>
      </c>
      <c r="KJ8">
        <v>0</v>
      </c>
      <c r="KK8">
        <v>0</v>
      </c>
      <c r="KL8" t="s">
        <v>264</v>
      </c>
      <c r="KO8" t="s">
        <v>572</v>
      </c>
      <c r="KP8" t="s">
        <v>555</v>
      </c>
      <c r="KQ8">
        <v>0</v>
      </c>
      <c r="KR8">
        <v>0</v>
      </c>
      <c r="KS8">
        <v>0</v>
      </c>
      <c r="KT8" t="s">
        <v>264</v>
      </c>
      <c r="KW8" t="s">
        <v>573</v>
      </c>
      <c r="KX8" t="s">
        <v>555</v>
      </c>
      <c r="KY8">
        <v>0</v>
      </c>
      <c r="KZ8">
        <v>0</v>
      </c>
      <c r="LA8">
        <v>0</v>
      </c>
      <c r="LB8" t="s">
        <v>264</v>
      </c>
      <c r="LE8" t="s">
        <v>574</v>
      </c>
      <c r="LF8" t="s">
        <v>555</v>
      </c>
      <c r="LG8">
        <v>0</v>
      </c>
      <c r="LH8">
        <v>0</v>
      </c>
      <c r="LI8">
        <v>0</v>
      </c>
      <c r="LJ8" t="s">
        <v>264</v>
      </c>
      <c r="LM8" t="s">
        <v>575</v>
      </c>
      <c r="LN8" t="s">
        <v>555</v>
      </c>
      <c r="LO8">
        <v>0</v>
      </c>
      <c r="LP8">
        <v>0</v>
      </c>
      <c r="LQ8">
        <v>0</v>
      </c>
      <c r="LR8" t="s">
        <v>264</v>
      </c>
      <c r="LU8" t="s">
        <v>576</v>
      </c>
      <c r="LV8" t="s">
        <v>555</v>
      </c>
      <c r="LW8">
        <v>0</v>
      </c>
      <c r="LX8">
        <v>0</v>
      </c>
      <c r="LY8">
        <v>0</v>
      </c>
      <c r="LZ8" t="s">
        <v>264</v>
      </c>
      <c r="MC8" t="s">
        <v>577</v>
      </c>
      <c r="MD8" t="s">
        <v>555</v>
      </c>
      <c r="ME8">
        <v>0</v>
      </c>
      <c r="MF8">
        <v>0</v>
      </c>
      <c r="MG8">
        <v>0</v>
      </c>
      <c r="MH8" t="s">
        <v>264</v>
      </c>
      <c r="MK8" t="s">
        <v>578</v>
      </c>
      <c r="ML8" t="s">
        <v>555</v>
      </c>
      <c r="MM8">
        <v>0</v>
      </c>
      <c r="MN8">
        <v>0</v>
      </c>
      <c r="MO8">
        <v>0</v>
      </c>
      <c r="MP8" t="s">
        <v>264</v>
      </c>
      <c r="MS8" t="s">
        <v>579</v>
      </c>
      <c r="MT8" t="s">
        <v>555</v>
      </c>
      <c r="MU8">
        <v>0</v>
      </c>
      <c r="MV8">
        <v>0</v>
      </c>
      <c r="MW8">
        <v>0</v>
      </c>
      <c r="MX8" t="s">
        <v>264</v>
      </c>
      <c r="NA8" t="s">
        <v>580</v>
      </c>
      <c r="NB8" t="s">
        <v>555</v>
      </c>
      <c r="NC8">
        <v>0</v>
      </c>
      <c r="ND8">
        <v>0</v>
      </c>
      <c r="NE8">
        <v>0</v>
      </c>
      <c r="NF8" t="s">
        <v>264</v>
      </c>
      <c r="NI8">
        <v>40.1</v>
      </c>
      <c r="NJ8">
        <v>-9.1999999999999993</v>
      </c>
      <c r="NP8" t="s">
        <v>581</v>
      </c>
    </row>
    <row r="9" spans="1:380" customFormat="1" x14ac:dyDescent="0.2">
      <c r="A9" t="s">
        <v>517</v>
      </c>
      <c r="B9">
        <v>1</v>
      </c>
      <c r="C9" t="s">
        <v>615</v>
      </c>
      <c r="D9">
        <v>646950289</v>
      </c>
      <c r="E9">
        <v>12602</v>
      </c>
      <c r="F9" t="s">
        <v>542</v>
      </c>
      <c r="G9">
        <v>750213</v>
      </c>
      <c r="H9">
        <v>914168</v>
      </c>
      <c r="I9" t="s">
        <v>543</v>
      </c>
      <c r="J9" t="s">
        <v>616</v>
      </c>
      <c r="K9" t="s">
        <v>545</v>
      </c>
      <c r="L9" t="s">
        <v>294</v>
      </c>
      <c r="M9" t="s">
        <v>546</v>
      </c>
      <c r="N9" t="s">
        <v>468</v>
      </c>
      <c r="O9" t="s">
        <v>547</v>
      </c>
      <c r="P9" t="s">
        <v>270</v>
      </c>
      <c r="Q9">
        <v>26.2</v>
      </c>
      <c r="R9">
        <v>270</v>
      </c>
      <c r="S9" t="s">
        <v>270</v>
      </c>
      <c r="T9">
        <v>-9999</v>
      </c>
      <c r="U9">
        <v>498</v>
      </c>
      <c r="V9">
        <v>511</v>
      </c>
      <c r="W9">
        <v>486</v>
      </c>
      <c r="X9" t="s">
        <v>270</v>
      </c>
      <c r="Y9">
        <v>0</v>
      </c>
      <c r="Z9">
        <v>55</v>
      </c>
      <c r="AA9" t="s">
        <v>469</v>
      </c>
      <c r="AB9" t="s">
        <v>548</v>
      </c>
      <c r="AC9">
        <v>1</v>
      </c>
      <c r="AD9" t="s">
        <v>549</v>
      </c>
      <c r="AE9">
        <v>0</v>
      </c>
      <c r="AF9">
        <v>33</v>
      </c>
      <c r="AG9" t="s">
        <v>264</v>
      </c>
      <c r="AH9">
        <v>-9999</v>
      </c>
      <c r="AI9">
        <v>448</v>
      </c>
      <c r="AJ9">
        <v>560</v>
      </c>
      <c r="AK9">
        <v>445</v>
      </c>
      <c r="AL9" t="s">
        <v>270</v>
      </c>
      <c r="AM9">
        <v>0</v>
      </c>
      <c r="AN9">
        <v>55</v>
      </c>
      <c r="AO9" t="s">
        <v>470</v>
      </c>
      <c r="AP9" t="s">
        <v>548</v>
      </c>
      <c r="AQ9">
        <v>2</v>
      </c>
      <c r="AR9" t="s">
        <v>549</v>
      </c>
      <c r="AS9">
        <v>53.9</v>
      </c>
      <c r="AT9">
        <v>58</v>
      </c>
      <c r="AU9" t="s">
        <v>264</v>
      </c>
      <c r="AV9">
        <v>-9999</v>
      </c>
      <c r="AW9">
        <v>297</v>
      </c>
      <c r="AX9">
        <v>310</v>
      </c>
      <c r="AY9">
        <v>296</v>
      </c>
      <c r="AZ9" t="s">
        <v>270</v>
      </c>
      <c r="BA9">
        <v>0</v>
      </c>
      <c r="BB9">
        <v>55</v>
      </c>
      <c r="BC9" t="s">
        <v>550</v>
      </c>
      <c r="BD9" t="s">
        <v>548</v>
      </c>
      <c r="BE9">
        <v>3</v>
      </c>
      <c r="BF9" t="s">
        <v>549</v>
      </c>
      <c r="BG9">
        <v>0</v>
      </c>
      <c r="BH9">
        <v>8</v>
      </c>
      <c r="BI9" t="s">
        <v>264</v>
      </c>
      <c r="BJ9">
        <v>-9999</v>
      </c>
      <c r="BK9">
        <v>185</v>
      </c>
      <c r="BL9">
        <v>222</v>
      </c>
      <c r="BM9">
        <v>183</v>
      </c>
      <c r="BN9" t="s">
        <v>270</v>
      </c>
      <c r="BO9">
        <v>0</v>
      </c>
      <c r="BP9">
        <v>55</v>
      </c>
      <c r="BQ9" t="s">
        <v>504</v>
      </c>
      <c r="BR9" t="s">
        <v>548</v>
      </c>
      <c r="BS9">
        <v>4</v>
      </c>
      <c r="BT9" t="s">
        <v>549</v>
      </c>
      <c r="BU9">
        <v>0</v>
      </c>
      <c r="BV9">
        <v>23</v>
      </c>
      <c r="BW9" t="s">
        <v>264</v>
      </c>
      <c r="BX9">
        <v>-9999</v>
      </c>
      <c r="BY9">
        <v>180</v>
      </c>
      <c r="BZ9">
        <v>208</v>
      </c>
      <c r="CA9">
        <v>178</v>
      </c>
      <c r="CB9" t="s">
        <v>270</v>
      </c>
      <c r="CC9">
        <v>0</v>
      </c>
      <c r="CD9">
        <v>55</v>
      </c>
      <c r="CE9" t="s">
        <v>471</v>
      </c>
      <c r="CF9" t="s">
        <v>548</v>
      </c>
      <c r="CG9">
        <v>5</v>
      </c>
      <c r="CH9" t="s">
        <v>549</v>
      </c>
      <c r="CI9">
        <v>50.7</v>
      </c>
      <c r="CJ9">
        <v>119</v>
      </c>
      <c r="CK9" t="s">
        <v>264</v>
      </c>
      <c r="CL9">
        <v>-9999</v>
      </c>
      <c r="CM9">
        <v>448</v>
      </c>
      <c r="CN9">
        <v>518</v>
      </c>
      <c r="CO9">
        <v>445</v>
      </c>
      <c r="CP9" t="s">
        <v>270</v>
      </c>
      <c r="CQ9">
        <v>0</v>
      </c>
      <c r="CR9">
        <v>55</v>
      </c>
      <c r="CS9" t="s">
        <v>472</v>
      </c>
      <c r="CT9" t="s">
        <v>548</v>
      </c>
      <c r="CU9">
        <v>6</v>
      </c>
      <c r="CV9" t="s">
        <v>549</v>
      </c>
      <c r="CW9">
        <v>53.9</v>
      </c>
      <c r="CX9">
        <v>68</v>
      </c>
      <c r="CY9" t="s">
        <v>264</v>
      </c>
      <c r="CZ9">
        <v>-9999</v>
      </c>
      <c r="DA9">
        <v>581</v>
      </c>
      <c r="DB9">
        <v>657</v>
      </c>
      <c r="DC9">
        <v>568</v>
      </c>
      <c r="DD9" t="s">
        <v>270</v>
      </c>
      <c r="DE9">
        <v>0</v>
      </c>
      <c r="DF9">
        <v>55</v>
      </c>
      <c r="DG9" t="s">
        <v>473</v>
      </c>
      <c r="DH9" t="s">
        <v>548</v>
      </c>
      <c r="DI9">
        <v>7</v>
      </c>
      <c r="DJ9" t="s">
        <v>549</v>
      </c>
      <c r="DK9">
        <v>0</v>
      </c>
      <c r="DL9">
        <v>34</v>
      </c>
      <c r="DM9" t="s">
        <v>264</v>
      </c>
      <c r="DN9">
        <v>-9999</v>
      </c>
      <c r="DO9">
        <v>461</v>
      </c>
      <c r="DP9">
        <v>527</v>
      </c>
      <c r="DQ9">
        <v>456</v>
      </c>
      <c r="DR9" t="s">
        <v>270</v>
      </c>
      <c r="DS9">
        <v>0</v>
      </c>
      <c r="DT9">
        <v>55</v>
      </c>
      <c r="DU9" t="s">
        <v>474</v>
      </c>
      <c r="DV9" t="s">
        <v>548</v>
      </c>
      <c r="DW9">
        <v>8</v>
      </c>
      <c r="DX9" t="s">
        <v>549</v>
      </c>
      <c r="DY9">
        <v>49.4</v>
      </c>
      <c r="DZ9">
        <v>39</v>
      </c>
      <c r="EA9" t="s">
        <v>264</v>
      </c>
      <c r="EB9">
        <v>-9999</v>
      </c>
      <c r="EC9">
        <v>72</v>
      </c>
      <c r="ED9">
        <v>90</v>
      </c>
      <c r="EE9">
        <v>71</v>
      </c>
      <c r="EF9" t="s">
        <v>270</v>
      </c>
      <c r="EG9">
        <v>0</v>
      </c>
      <c r="EH9">
        <v>55</v>
      </c>
      <c r="EI9" t="s">
        <v>475</v>
      </c>
      <c r="EJ9" t="s">
        <v>548</v>
      </c>
      <c r="EK9">
        <v>9</v>
      </c>
      <c r="EL9" t="s">
        <v>549</v>
      </c>
      <c r="EM9">
        <v>0</v>
      </c>
      <c r="EN9">
        <v>4</v>
      </c>
      <c r="EO9" t="s">
        <v>264</v>
      </c>
      <c r="EP9">
        <v>-9999</v>
      </c>
      <c r="EQ9">
        <v>249</v>
      </c>
      <c r="ER9">
        <v>216</v>
      </c>
      <c r="ES9">
        <v>200</v>
      </c>
      <c r="ET9" t="s">
        <v>270</v>
      </c>
      <c r="EU9">
        <v>0</v>
      </c>
      <c r="EV9">
        <v>55</v>
      </c>
      <c r="EW9" t="s">
        <v>551</v>
      </c>
      <c r="EX9" t="s">
        <v>552</v>
      </c>
      <c r="EY9">
        <v>112</v>
      </c>
      <c r="EZ9">
        <v>112</v>
      </c>
      <c r="FA9">
        <v>112</v>
      </c>
      <c r="FB9" t="s">
        <v>270</v>
      </c>
      <c r="FC9" t="s">
        <v>553</v>
      </c>
      <c r="FD9" t="s">
        <v>552</v>
      </c>
      <c r="FE9">
        <v>303</v>
      </c>
      <c r="FF9">
        <v>302</v>
      </c>
      <c r="FG9">
        <v>301</v>
      </c>
      <c r="FH9" t="s">
        <v>270</v>
      </c>
      <c r="FI9" t="s">
        <v>554</v>
      </c>
      <c r="FJ9" t="s">
        <v>555</v>
      </c>
      <c r="FK9">
        <v>0</v>
      </c>
      <c r="FL9">
        <v>0</v>
      </c>
      <c r="FM9">
        <v>0</v>
      </c>
      <c r="FN9" t="s">
        <v>264</v>
      </c>
      <c r="FQ9" t="s">
        <v>556</v>
      </c>
      <c r="FR9" t="s">
        <v>555</v>
      </c>
      <c r="FS9">
        <v>0</v>
      </c>
      <c r="FT9">
        <v>0</v>
      </c>
      <c r="FU9">
        <v>0</v>
      </c>
      <c r="FV9" t="s">
        <v>264</v>
      </c>
      <c r="FY9" t="s">
        <v>557</v>
      </c>
      <c r="FZ9" t="s">
        <v>555</v>
      </c>
      <c r="GA9">
        <v>0</v>
      </c>
      <c r="GB9">
        <v>0</v>
      </c>
      <c r="GC9">
        <v>0</v>
      </c>
      <c r="GD9" t="s">
        <v>264</v>
      </c>
      <c r="GG9" t="s">
        <v>558</v>
      </c>
      <c r="GH9" t="s">
        <v>555</v>
      </c>
      <c r="GI9">
        <v>0</v>
      </c>
      <c r="GJ9">
        <v>0</v>
      </c>
      <c r="GK9">
        <v>0</v>
      </c>
      <c r="GL9" t="s">
        <v>264</v>
      </c>
      <c r="GO9" t="s">
        <v>559</v>
      </c>
      <c r="GP9" t="s">
        <v>555</v>
      </c>
      <c r="GQ9">
        <v>0</v>
      </c>
      <c r="GR9">
        <v>0</v>
      </c>
      <c r="GS9">
        <v>0</v>
      </c>
      <c r="GT9" t="s">
        <v>264</v>
      </c>
      <c r="GW9" t="s">
        <v>560</v>
      </c>
      <c r="GX9" t="s">
        <v>555</v>
      </c>
      <c r="GY9">
        <v>0</v>
      </c>
      <c r="GZ9">
        <v>0</v>
      </c>
      <c r="HA9">
        <v>0</v>
      </c>
      <c r="HB9" t="s">
        <v>264</v>
      </c>
      <c r="HE9" t="s">
        <v>561</v>
      </c>
      <c r="HF9" t="s">
        <v>555</v>
      </c>
      <c r="HG9">
        <v>0</v>
      </c>
      <c r="HH9">
        <v>0</v>
      </c>
      <c r="HI9">
        <v>0</v>
      </c>
      <c r="HJ9" t="s">
        <v>264</v>
      </c>
      <c r="HM9" t="s">
        <v>562</v>
      </c>
      <c r="HN9" t="s">
        <v>555</v>
      </c>
      <c r="HO9">
        <v>0</v>
      </c>
      <c r="HP9">
        <v>0</v>
      </c>
      <c r="HQ9">
        <v>0</v>
      </c>
      <c r="HR9" t="s">
        <v>264</v>
      </c>
      <c r="HU9" t="s">
        <v>563</v>
      </c>
      <c r="HV9" t="s">
        <v>555</v>
      </c>
      <c r="HW9">
        <v>0</v>
      </c>
      <c r="HX9">
        <v>0</v>
      </c>
      <c r="HY9">
        <v>0</v>
      </c>
      <c r="HZ9" t="s">
        <v>264</v>
      </c>
      <c r="IC9" t="s">
        <v>564</v>
      </c>
      <c r="ID9" t="s">
        <v>555</v>
      </c>
      <c r="IE9">
        <v>0</v>
      </c>
      <c r="IF9">
        <v>0</v>
      </c>
      <c r="IG9">
        <v>0</v>
      </c>
      <c r="IH9" t="s">
        <v>264</v>
      </c>
      <c r="IK9" t="s">
        <v>565</v>
      </c>
      <c r="IL9" t="s">
        <v>555</v>
      </c>
      <c r="IM9">
        <v>0</v>
      </c>
      <c r="IN9">
        <v>0</v>
      </c>
      <c r="IO9">
        <v>0</v>
      </c>
      <c r="IP9" t="s">
        <v>264</v>
      </c>
      <c r="IS9" t="s">
        <v>566</v>
      </c>
      <c r="IT9" t="s">
        <v>555</v>
      </c>
      <c r="IU9">
        <v>0</v>
      </c>
      <c r="IV9">
        <v>0</v>
      </c>
      <c r="IW9">
        <v>0</v>
      </c>
      <c r="IX9" t="s">
        <v>264</v>
      </c>
      <c r="JA9" t="s">
        <v>567</v>
      </c>
      <c r="JB9" t="s">
        <v>555</v>
      </c>
      <c r="JC9">
        <v>0</v>
      </c>
      <c r="JD9">
        <v>0</v>
      </c>
      <c r="JE9">
        <v>0</v>
      </c>
      <c r="JF9" t="s">
        <v>264</v>
      </c>
      <c r="JI9" t="s">
        <v>568</v>
      </c>
      <c r="JJ9" t="s">
        <v>555</v>
      </c>
      <c r="JK9">
        <v>0</v>
      </c>
      <c r="JL9">
        <v>0</v>
      </c>
      <c r="JM9">
        <v>0</v>
      </c>
      <c r="JN9" t="s">
        <v>264</v>
      </c>
      <c r="JQ9" t="s">
        <v>569</v>
      </c>
      <c r="JR9" t="s">
        <v>555</v>
      </c>
      <c r="JS9">
        <v>0</v>
      </c>
      <c r="JT9">
        <v>0</v>
      </c>
      <c r="JU9">
        <v>0</v>
      </c>
      <c r="JV9" t="s">
        <v>264</v>
      </c>
      <c r="JY9" t="s">
        <v>570</v>
      </c>
      <c r="JZ9" t="s">
        <v>555</v>
      </c>
      <c r="KA9">
        <v>0</v>
      </c>
      <c r="KB9">
        <v>0</v>
      </c>
      <c r="KC9">
        <v>0</v>
      </c>
      <c r="KD9" t="s">
        <v>264</v>
      </c>
      <c r="KG9" t="s">
        <v>571</v>
      </c>
      <c r="KH9" t="s">
        <v>555</v>
      </c>
      <c r="KI9">
        <v>0</v>
      </c>
      <c r="KJ9">
        <v>0</v>
      </c>
      <c r="KK9">
        <v>0</v>
      </c>
      <c r="KL9" t="s">
        <v>264</v>
      </c>
      <c r="KO9" t="s">
        <v>572</v>
      </c>
      <c r="KP9" t="s">
        <v>555</v>
      </c>
      <c r="KQ9">
        <v>0</v>
      </c>
      <c r="KR9">
        <v>0</v>
      </c>
      <c r="KS9">
        <v>0</v>
      </c>
      <c r="KT9" t="s">
        <v>264</v>
      </c>
      <c r="KW9" t="s">
        <v>573</v>
      </c>
      <c r="KX9" t="s">
        <v>555</v>
      </c>
      <c r="KY9">
        <v>0</v>
      </c>
      <c r="KZ9">
        <v>0</v>
      </c>
      <c r="LA9">
        <v>0</v>
      </c>
      <c r="LB9" t="s">
        <v>264</v>
      </c>
      <c r="LE9" t="s">
        <v>574</v>
      </c>
      <c r="LF9" t="s">
        <v>555</v>
      </c>
      <c r="LG9">
        <v>0</v>
      </c>
      <c r="LH9">
        <v>0</v>
      </c>
      <c r="LI9">
        <v>0</v>
      </c>
      <c r="LJ9" t="s">
        <v>264</v>
      </c>
      <c r="LM9" t="s">
        <v>575</v>
      </c>
      <c r="LN9" t="s">
        <v>555</v>
      </c>
      <c r="LO9">
        <v>0</v>
      </c>
      <c r="LP9">
        <v>0</v>
      </c>
      <c r="LQ9">
        <v>0</v>
      </c>
      <c r="LR9" t="s">
        <v>264</v>
      </c>
      <c r="LU9" t="s">
        <v>576</v>
      </c>
      <c r="LV9" t="s">
        <v>555</v>
      </c>
      <c r="LW9">
        <v>0</v>
      </c>
      <c r="LX9">
        <v>0</v>
      </c>
      <c r="LY9">
        <v>0</v>
      </c>
      <c r="LZ9" t="s">
        <v>264</v>
      </c>
      <c r="MC9" t="s">
        <v>577</v>
      </c>
      <c r="MD9" t="s">
        <v>555</v>
      </c>
      <c r="ME9">
        <v>0</v>
      </c>
      <c r="MF9">
        <v>0</v>
      </c>
      <c r="MG9">
        <v>0</v>
      </c>
      <c r="MH9" t="s">
        <v>264</v>
      </c>
      <c r="MK9" t="s">
        <v>578</v>
      </c>
      <c r="ML9" t="s">
        <v>555</v>
      </c>
      <c r="MM9">
        <v>0</v>
      </c>
      <c r="MN9">
        <v>0</v>
      </c>
      <c r="MO9">
        <v>0</v>
      </c>
      <c r="MP9" t="s">
        <v>264</v>
      </c>
      <c r="MS9" t="s">
        <v>579</v>
      </c>
      <c r="MT9" t="s">
        <v>555</v>
      </c>
      <c r="MU9">
        <v>0</v>
      </c>
      <c r="MV9">
        <v>0</v>
      </c>
      <c r="MW9">
        <v>0</v>
      </c>
      <c r="MX9" t="s">
        <v>264</v>
      </c>
      <c r="NA9" t="s">
        <v>580</v>
      </c>
      <c r="NB9" t="s">
        <v>555</v>
      </c>
      <c r="NC9">
        <v>0</v>
      </c>
      <c r="ND9">
        <v>0</v>
      </c>
      <c r="NE9">
        <v>0</v>
      </c>
      <c r="NF9" t="s">
        <v>264</v>
      </c>
      <c r="NI9">
        <v>40.1</v>
      </c>
      <c r="NJ9">
        <v>-10.6</v>
      </c>
      <c r="NP9" t="s">
        <v>581</v>
      </c>
    </row>
    <row r="10" spans="1:380" customFormat="1" x14ac:dyDescent="0.2">
      <c r="A10" t="s">
        <v>517</v>
      </c>
      <c r="B10">
        <v>1</v>
      </c>
      <c r="C10" t="s">
        <v>617</v>
      </c>
      <c r="D10">
        <v>646950217</v>
      </c>
      <c r="E10">
        <v>12602</v>
      </c>
      <c r="F10" t="s">
        <v>542</v>
      </c>
      <c r="G10">
        <v>750246</v>
      </c>
      <c r="H10">
        <v>898780</v>
      </c>
      <c r="I10" t="s">
        <v>543</v>
      </c>
      <c r="J10" t="s">
        <v>618</v>
      </c>
      <c r="K10" t="s">
        <v>545</v>
      </c>
      <c r="L10" t="s">
        <v>294</v>
      </c>
      <c r="M10" t="s">
        <v>546</v>
      </c>
      <c r="N10" t="s">
        <v>468</v>
      </c>
      <c r="O10" t="s">
        <v>547</v>
      </c>
      <c r="P10" t="s">
        <v>270</v>
      </c>
      <c r="Q10">
        <v>26.3</v>
      </c>
      <c r="R10">
        <v>210</v>
      </c>
      <c r="S10" t="s">
        <v>270</v>
      </c>
      <c r="T10">
        <v>-9999</v>
      </c>
      <c r="U10">
        <v>461</v>
      </c>
      <c r="V10">
        <v>478</v>
      </c>
      <c r="W10">
        <v>455</v>
      </c>
      <c r="X10" t="s">
        <v>270</v>
      </c>
      <c r="Y10">
        <v>0</v>
      </c>
      <c r="Z10">
        <v>55</v>
      </c>
      <c r="AA10" t="s">
        <v>469</v>
      </c>
      <c r="AB10" t="s">
        <v>548</v>
      </c>
      <c r="AC10">
        <v>1</v>
      </c>
      <c r="AD10" t="s">
        <v>549</v>
      </c>
      <c r="AE10">
        <v>0</v>
      </c>
      <c r="AF10">
        <v>31</v>
      </c>
      <c r="AG10" t="s">
        <v>264</v>
      </c>
      <c r="AH10">
        <v>-9999</v>
      </c>
      <c r="AI10">
        <v>440</v>
      </c>
      <c r="AJ10">
        <v>543</v>
      </c>
      <c r="AK10">
        <v>437</v>
      </c>
      <c r="AL10" t="s">
        <v>270</v>
      </c>
      <c r="AM10">
        <v>0</v>
      </c>
      <c r="AN10">
        <v>55</v>
      </c>
      <c r="AO10" t="s">
        <v>470</v>
      </c>
      <c r="AP10" t="s">
        <v>548</v>
      </c>
      <c r="AQ10">
        <v>2</v>
      </c>
      <c r="AR10" t="s">
        <v>549</v>
      </c>
      <c r="AS10">
        <v>0</v>
      </c>
      <c r="AT10">
        <v>-7</v>
      </c>
      <c r="AU10" t="s">
        <v>264</v>
      </c>
      <c r="AV10">
        <v>-9999</v>
      </c>
      <c r="AW10">
        <v>365</v>
      </c>
      <c r="AX10">
        <v>386</v>
      </c>
      <c r="AY10">
        <v>366</v>
      </c>
      <c r="AZ10" t="s">
        <v>270</v>
      </c>
      <c r="BA10">
        <v>0</v>
      </c>
      <c r="BB10">
        <v>55</v>
      </c>
      <c r="BC10" t="s">
        <v>550</v>
      </c>
      <c r="BD10" t="s">
        <v>548</v>
      </c>
      <c r="BE10">
        <v>3</v>
      </c>
      <c r="BF10" t="s">
        <v>549</v>
      </c>
      <c r="BG10">
        <v>0</v>
      </c>
      <c r="BH10">
        <v>15</v>
      </c>
      <c r="BI10" t="s">
        <v>264</v>
      </c>
      <c r="BJ10">
        <v>-9999</v>
      </c>
      <c r="BK10">
        <v>121</v>
      </c>
      <c r="BL10">
        <v>154</v>
      </c>
      <c r="BM10">
        <v>124</v>
      </c>
      <c r="BN10" t="s">
        <v>270</v>
      </c>
      <c r="BO10">
        <v>0</v>
      </c>
      <c r="BP10">
        <v>55</v>
      </c>
      <c r="BQ10" t="s">
        <v>504</v>
      </c>
      <c r="BR10" t="s">
        <v>548</v>
      </c>
      <c r="BS10">
        <v>4</v>
      </c>
      <c r="BT10" t="s">
        <v>549</v>
      </c>
      <c r="BU10">
        <v>53.8</v>
      </c>
      <c r="BV10">
        <v>51</v>
      </c>
      <c r="BW10" t="s">
        <v>264</v>
      </c>
      <c r="BX10">
        <v>-9999</v>
      </c>
      <c r="BY10">
        <v>187</v>
      </c>
      <c r="BZ10">
        <v>217</v>
      </c>
      <c r="CA10">
        <v>186</v>
      </c>
      <c r="CB10" t="s">
        <v>270</v>
      </c>
      <c r="CC10">
        <v>0</v>
      </c>
      <c r="CD10">
        <v>55</v>
      </c>
      <c r="CE10" t="s">
        <v>471</v>
      </c>
      <c r="CF10" t="s">
        <v>548</v>
      </c>
      <c r="CG10">
        <v>5</v>
      </c>
      <c r="CH10" t="s">
        <v>549</v>
      </c>
      <c r="CI10">
        <v>51.1</v>
      </c>
      <c r="CJ10">
        <v>174</v>
      </c>
      <c r="CK10" t="s">
        <v>264</v>
      </c>
      <c r="CL10">
        <v>-9999</v>
      </c>
      <c r="CM10">
        <v>426</v>
      </c>
      <c r="CN10">
        <v>498</v>
      </c>
      <c r="CO10">
        <v>426</v>
      </c>
      <c r="CP10" t="s">
        <v>270</v>
      </c>
      <c r="CQ10">
        <v>0</v>
      </c>
      <c r="CR10">
        <v>55</v>
      </c>
      <c r="CS10" t="s">
        <v>472</v>
      </c>
      <c r="CT10" t="s">
        <v>548</v>
      </c>
      <c r="CU10">
        <v>6</v>
      </c>
      <c r="CV10" t="s">
        <v>549</v>
      </c>
      <c r="CW10">
        <v>53.3</v>
      </c>
      <c r="CX10">
        <v>97</v>
      </c>
      <c r="CY10" t="s">
        <v>264</v>
      </c>
      <c r="CZ10">
        <v>-9999</v>
      </c>
      <c r="DA10">
        <v>626</v>
      </c>
      <c r="DB10">
        <v>713</v>
      </c>
      <c r="DC10">
        <v>619</v>
      </c>
      <c r="DD10" t="s">
        <v>270</v>
      </c>
      <c r="DE10">
        <v>0</v>
      </c>
      <c r="DF10">
        <v>55</v>
      </c>
      <c r="DG10" t="s">
        <v>473</v>
      </c>
      <c r="DH10" t="s">
        <v>548</v>
      </c>
      <c r="DI10">
        <v>7</v>
      </c>
      <c r="DJ10" t="s">
        <v>549</v>
      </c>
      <c r="DK10">
        <v>0</v>
      </c>
      <c r="DL10">
        <v>30</v>
      </c>
      <c r="DM10" t="s">
        <v>264</v>
      </c>
      <c r="DN10">
        <v>-9999</v>
      </c>
      <c r="DO10">
        <v>474</v>
      </c>
      <c r="DP10">
        <v>544</v>
      </c>
      <c r="DQ10">
        <v>473</v>
      </c>
      <c r="DR10" t="s">
        <v>270</v>
      </c>
      <c r="DS10">
        <v>0</v>
      </c>
      <c r="DT10">
        <v>55</v>
      </c>
      <c r="DU10" t="s">
        <v>474</v>
      </c>
      <c r="DV10" t="s">
        <v>548</v>
      </c>
      <c r="DW10">
        <v>8</v>
      </c>
      <c r="DX10" t="s">
        <v>549</v>
      </c>
      <c r="DY10">
        <v>50.3</v>
      </c>
      <c r="DZ10">
        <v>45</v>
      </c>
      <c r="EA10" t="s">
        <v>264</v>
      </c>
      <c r="EB10">
        <v>-9999</v>
      </c>
      <c r="EC10">
        <v>104</v>
      </c>
      <c r="ED10">
        <v>126</v>
      </c>
      <c r="EE10">
        <v>102</v>
      </c>
      <c r="EF10" t="s">
        <v>270</v>
      </c>
      <c r="EG10">
        <v>0</v>
      </c>
      <c r="EH10">
        <v>55</v>
      </c>
      <c r="EI10" t="s">
        <v>475</v>
      </c>
      <c r="EJ10" t="s">
        <v>548</v>
      </c>
      <c r="EK10">
        <v>9</v>
      </c>
      <c r="EL10" t="s">
        <v>549</v>
      </c>
      <c r="EM10">
        <v>0</v>
      </c>
      <c r="EN10">
        <v>-28</v>
      </c>
      <c r="EO10" t="s">
        <v>264</v>
      </c>
      <c r="EP10">
        <v>-9999</v>
      </c>
      <c r="EQ10">
        <v>287</v>
      </c>
      <c r="ER10">
        <v>258</v>
      </c>
      <c r="ES10">
        <v>238</v>
      </c>
      <c r="ET10" t="s">
        <v>270</v>
      </c>
      <c r="EU10">
        <v>0</v>
      </c>
      <c r="EV10">
        <v>55</v>
      </c>
      <c r="EW10" t="s">
        <v>551</v>
      </c>
      <c r="EX10" t="s">
        <v>552</v>
      </c>
      <c r="EY10">
        <v>137</v>
      </c>
      <c r="EZ10">
        <v>138</v>
      </c>
      <c r="FA10">
        <v>139</v>
      </c>
      <c r="FB10" t="s">
        <v>270</v>
      </c>
      <c r="FC10" t="s">
        <v>553</v>
      </c>
      <c r="FD10" t="s">
        <v>552</v>
      </c>
      <c r="FE10">
        <v>282</v>
      </c>
      <c r="FF10">
        <v>282</v>
      </c>
      <c r="FG10">
        <v>282</v>
      </c>
      <c r="FH10" t="s">
        <v>270</v>
      </c>
      <c r="FI10" t="s">
        <v>554</v>
      </c>
      <c r="FJ10" t="s">
        <v>555</v>
      </c>
      <c r="FK10">
        <v>0</v>
      </c>
      <c r="FL10">
        <v>0</v>
      </c>
      <c r="FM10">
        <v>0</v>
      </c>
      <c r="FN10" t="s">
        <v>264</v>
      </c>
      <c r="FQ10" t="s">
        <v>556</v>
      </c>
      <c r="FR10" t="s">
        <v>555</v>
      </c>
      <c r="FS10">
        <v>0</v>
      </c>
      <c r="FT10">
        <v>0</v>
      </c>
      <c r="FU10">
        <v>0</v>
      </c>
      <c r="FV10" t="s">
        <v>264</v>
      </c>
      <c r="FY10" t="s">
        <v>557</v>
      </c>
      <c r="FZ10" t="s">
        <v>555</v>
      </c>
      <c r="GA10">
        <v>0</v>
      </c>
      <c r="GB10">
        <v>0</v>
      </c>
      <c r="GC10">
        <v>0</v>
      </c>
      <c r="GD10" t="s">
        <v>264</v>
      </c>
      <c r="GG10" t="s">
        <v>558</v>
      </c>
      <c r="GH10" t="s">
        <v>555</v>
      </c>
      <c r="GI10">
        <v>0</v>
      </c>
      <c r="GJ10">
        <v>0</v>
      </c>
      <c r="GK10">
        <v>0</v>
      </c>
      <c r="GL10" t="s">
        <v>264</v>
      </c>
      <c r="GO10" t="s">
        <v>559</v>
      </c>
      <c r="GP10" t="s">
        <v>555</v>
      </c>
      <c r="GQ10">
        <v>0</v>
      </c>
      <c r="GR10">
        <v>0</v>
      </c>
      <c r="GS10">
        <v>0</v>
      </c>
      <c r="GT10" t="s">
        <v>264</v>
      </c>
      <c r="GW10" t="s">
        <v>560</v>
      </c>
      <c r="GX10" t="s">
        <v>555</v>
      </c>
      <c r="GY10">
        <v>0</v>
      </c>
      <c r="GZ10">
        <v>0</v>
      </c>
      <c r="HA10">
        <v>0</v>
      </c>
      <c r="HB10" t="s">
        <v>264</v>
      </c>
      <c r="HE10" t="s">
        <v>561</v>
      </c>
      <c r="HF10" t="s">
        <v>555</v>
      </c>
      <c r="HG10">
        <v>0</v>
      </c>
      <c r="HH10">
        <v>0</v>
      </c>
      <c r="HI10">
        <v>0</v>
      </c>
      <c r="HJ10" t="s">
        <v>264</v>
      </c>
      <c r="HM10" t="s">
        <v>562</v>
      </c>
      <c r="HN10" t="s">
        <v>555</v>
      </c>
      <c r="HO10">
        <v>0</v>
      </c>
      <c r="HP10">
        <v>0</v>
      </c>
      <c r="HQ10">
        <v>0</v>
      </c>
      <c r="HR10" t="s">
        <v>264</v>
      </c>
      <c r="HU10" t="s">
        <v>563</v>
      </c>
      <c r="HV10" t="s">
        <v>555</v>
      </c>
      <c r="HW10">
        <v>0</v>
      </c>
      <c r="HX10">
        <v>0</v>
      </c>
      <c r="HY10">
        <v>0</v>
      </c>
      <c r="HZ10" t="s">
        <v>264</v>
      </c>
      <c r="IC10" t="s">
        <v>564</v>
      </c>
      <c r="ID10" t="s">
        <v>555</v>
      </c>
      <c r="IE10">
        <v>0</v>
      </c>
      <c r="IF10">
        <v>0</v>
      </c>
      <c r="IG10">
        <v>0</v>
      </c>
      <c r="IH10" t="s">
        <v>264</v>
      </c>
      <c r="IK10" t="s">
        <v>565</v>
      </c>
      <c r="IL10" t="s">
        <v>555</v>
      </c>
      <c r="IM10">
        <v>0</v>
      </c>
      <c r="IN10">
        <v>0</v>
      </c>
      <c r="IO10">
        <v>0</v>
      </c>
      <c r="IP10" t="s">
        <v>264</v>
      </c>
      <c r="IS10" t="s">
        <v>566</v>
      </c>
      <c r="IT10" t="s">
        <v>555</v>
      </c>
      <c r="IU10">
        <v>0</v>
      </c>
      <c r="IV10">
        <v>0</v>
      </c>
      <c r="IW10">
        <v>0</v>
      </c>
      <c r="IX10" t="s">
        <v>264</v>
      </c>
      <c r="JA10" t="s">
        <v>567</v>
      </c>
      <c r="JB10" t="s">
        <v>555</v>
      </c>
      <c r="JC10">
        <v>0</v>
      </c>
      <c r="JD10">
        <v>0</v>
      </c>
      <c r="JE10">
        <v>0</v>
      </c>
      <c r="JF10" t="s">
        <v>264</v>
      </c>
      <c r="JI10" t="s">
        <v>568</v>
      </c>
      <c r="JJ10" t="s">
        <v>555</v>
      </c>
      <c r="JK10">
        <v>0</v>
      </c>
      <c r="JL10">
        <v>0</v>
      </c>
      <c r="JM10">
        <v>0</v>
      </c>
      <c r="JN10" t="s">
        <v>264</v>
      </c>
      <c r="JQ10" t="s">
        <v>569</v>
      </c>
      <c r="JR10" t="s">
        <v>555</v>
      </c>
      <c r="JS10">
        <v>0</v>
      </c>
      <c r="JT10">
        <v>0</v>
      </c>
      <c r="JU10">
        <v>0</v>
      </c>
      <c r="JV10" t="s">
        <v>264</v>
      </c>
      <c r="JY10" t="s">
        <v>570</v>
      </c>
      <c r="JZ10" t="s">
        <v>555</v>
      </c>
      <c r="KA10">
        <v>0</v>
      </c>
      <c r="KB10">
        <v>0</v>
      </c>
      <c r="KC10">
        <v>0</v>
      </c>
      <c r="KD10" t="s">
        <v>264</v>
      </c>
      <c r="KG10" t="s">
        <v>571</v>
      </c>
      <c r="KH10" t="s">
        <v>555</v>
      </c>
      <c r="KI10">
        <v>0</v>
      </c>
      <c r="KJ10">
        <v>0</v>
      </c>
      <c r="KK10">
        <v>0</v>
      </c>
      <c r="KL10" t="s">
        <v>264</v>
      </c>
      <c r="KO10" t="s">
        <v>572</v>
      </c>
      <c r="KP10" t="s">
        <v>555</v>
      </c>
      <c r="KQ10">
        <v>0</v>
      </c>
      <c r="KR10">
        <v>0</v>
      </c>
      <c r="KS10">
        <v>0</v>
      </c>
      <c r="KT10" t="s">
        <v>264</v>
      </c>
      <c r="KW10" t="s">
        <v>573</v>
      </c>
      <c r="KX10" t="s">
        <v>555</v>
      </c>
      <c r="KY10">
        <v>0</v>
      </c>
      <c r="KZ10">
        <v>0</v>
      </c>
      <c r="LA10">
        <v>0</v>
      </c>
      <c r="LB10" t="s">
        <v>264</v>
      </c>
      <c r="LE10" t="s">
        <v>574</v>
      </c>
      <c r="LF10" t="s">
        <v>555</v>
      </c>
      <c r="LG10">
        <v>0</v>
      </c>
      <c r="LH10">
        <v>0</v>
      </c>
      <c r="LI10">
        <v>0</v>
      </c>
      <c r="LJ10" t="s">
        <v>264</v>
      </c>
      <c r="LM10" t="s">
        <v>575</v>
      </c>
      <c r="LN10" t="s">
        <v>555</v>
      </c>
      <c r="LO10">
        <v>0</v>
      </c>
      <c r="LP10">
        <v>0</v>
      </c>
      <c r="LQ10">
        <v>0</v>
      </c>
      <c r="LR10" t="s">
        <v>264</v>
      </c>
      <c r="LU10" t="s">
        <v>576</v>
      </c>
      <c r="LV10" t="s">
        <v>555</v>
      </c>
      <c r="LW10">
        <v>0</v>
      </c>
      <c r="LX10">
        <v>0</v>
      </c>
      <c r="LY10">
        <v>0</v>
      </c>
      <c r="LZ10" t="s">
        <v>264</v>
      </c>
      <c r="MC10" t="s">
        <v>577</v>
      </c>
      <c r="MD10" t="s">
        <v>555</v>
      </c>
      <c r="ME10">
        <v>0</v>
      </c>
      <c r="MF10">
        <v>0</v>
      </c>
      <c r="MG10">
        <v>0</v>
      </c>
      <c r="MH10" t="s">
        <v>264</v>
      </c>
      <c r="MK10" t="s">
        <v>578</v>
      </c>
      <c r="ML10" t="s">
        <v>555</v>
      </c>
      <c r="MM10">
        <v>0</v>
      </c>
      <c r="MN10">
        <v>0</v>
      </c>
      <c r="MO10">
        <v>0</v>
      </c>
      <c r="MP10" t="s">
        <v>264</v>
      </c>
      <c r="MS10" t="s">
        <v>579</v>
      </c>
      <c r="MT10" t="s">
        <v>555</v>
      </c>
      <c r="MU10">
        <v>0</v>
      </c>
      <c r="MV10">
        <v>0</v>
      </c>
      <c r="MW10">
        <v>0</v>
      </c>
      <c r="MX10" t="s">
        <v>264</v>
      </c>
      <c r="NA10" t="s">
        <v>580</v>
      </c>
      <c r="NB10" t="s">
        <v>555</v>
      </c>
      <c r="NC10">
        <v>0</v>
      </c>
      <c r="ND10">
        <v>0</v>
      </c>
      <c r="NE10">
        <v>0</v>
      </c>
      <c r="NF10" t="s">
        <v>264</v>
      </c>
      <c r="NI10">
        <v>40.1</v>
      </c>
      <c r="NJ10">
        <v>-13.4</v>
      </c>
      <c r="NP10" t="s">
        <v>581</v>
      </c>
    </row>
    <row r="11" spans="1:380" customFormat="1" x14ac:dyDescent="0.2">
      <c r="A11" t="s">
        <v>517</v>
      </c>
      <c r="B11">
        <v>1</v>
      </c>
      <c r="C11" t="s">
        <v>619</v>
      </c>
      <c r="D11">
        <v>646950219</v>
      </c>
      <c r="E11">
        <v>12602</v>
      </c>
      <c r="F11" t="s">
        <v>542</v>
      </c>
      <c r="G11">
        <v>750246</v>
      </c>
      <c r="H11">
        <v>210117080</v>
      </c>
      <c r="I11" t="s">
        <v>543</v>
      </c>
      <c r="J11" t="s">
        <v>620</v>
      </c>
      <c r="K11" t="s">
        <v>545</v>
      </c>
      <c r="L11" t="s">
        <v>294</v>
      </c>
      <c r="M11" t="s">
        <v>546</v>
      </c>
      <c r="N11" t="s">
        <v>468</v>
      </c>
      <c r="O11" t="s">
        <v>547</v>
      </c>
      <c r="P11" t="s">
        <v>270</v>
      </c>
      <c r="Q11">
        <v>27.4</v>
      </c>
      <c r="R11">
        <v>280</v>
      </c>
      <c r="S11" t="s">
        <v>270</v>
      </c>
      <c r="T11">
        <v>-9999</v>
      </c>
      <c r="U11">
        <v>499</v>
      </c>
      <c r="V11">
        <v>515</v>
      </c>
      <c r="W11">
        <v>492</v>
      </c>
      <c r="X11" t="s">
        <v>270</v>
      </c>
      <c r="Y11">
        <v>0</v>
      </c>
      <c r="Z11">
        <v>55</v>
      </c>
      <c r="AA11" t="s">
        <v>469</v>
      </c>
      <c r="AB11" t="s">
        <v>548</v>
      </c>
      <c r="AC11">
        <v>1</v>
      </c>
      <c r="AD11" t="s">
        <v>549</v>
      </c>
      <c r="AE11">
        <v>0</v>
      </c>
      <c r="AF11">
        <v>34</v>
      </c>
      <c r="AG11" t="s">
        <v>264</v>
      </c>
      <c r="AH11">
        <v>-9999</v>
      </c>
      <c r="AI11">
        <v>407</v>
      </c>
      <c r="AJ11">
        <v>509</v>
      </c>
      <c r="AK11">
        <v>408</v>
      </c>
      <c r="AL11" t="s">
        <v>270</v>
      </c>
      <c r="AM11">
        <v>0</v>
      </c>
      <c r="AN11">
        <v>55</v>
      </c>
      <c r="AO11" t="s">
        <v>470</v>
      </c>
      <c r="AP11" t="s">
        <v>548</v>
      </c>
      <c r="AQ11">
        <v>2</v>
      </c>
      <c r="AR11" t="s">
        <v>549</v>
      </c>
      <c r="AS11">
        <v>0</v>
      </c>
      <c r="AT11">
        <v>32</v>
      </c>
      <c r="AU11" t="s">
        <v>264</v>
      </c>
      <c r="AV11">
        <v>-9999</v>
      </c>
      <c r="AW11">
        <v>371</v>
      </c>
      <c r="AX11">
        <v>391</v>
      </c>
      <c r="AY11">
        <v>370</v>
      </c>
      <c r="AZ11" t="s">
        <v>270</v>
      </c>
      <c r="BA11">
        <v>0</v>
      </c>
      <c r="BB11">
        <v>55</v>
      </c>
      <c r="BC11" t="s">
        <v>550</v>
      </c>
      <c r="BD11" t="s">
        <v>548</v>
      </c>
      <c r="BE11">
        <v>3</v>
      </c>
      <c r="BF11" t="s">
        <v>549</v>
      </c>
      <c r="BG11">
        <v>0</v>
      </c>
      <c r="BH11">
        <v>-4</v>
      </c>
      <c r="BI11" t="s">
        <v>264</v>
      </c>
      <c r="BJ11">
        <v>-9999</v>
      </c>
      <c r="BK11">
        <v>237</v>
      </c>
      <c r="BL11">
        <v>289</v>
      </c>
      <c r="BM11">
        <v>232</v>
      </c>
      <c r="BN11" t="s">
        <v>270</v>
      </c>
      <c r="BO11">
        <v>0</v>
      </c>
      <c r="BP11">
        <v>55</v>
      </c>
      <c r="BQ11" t="s">
        <v>504</v>
      </c>
      <c r="BR11" t="s">
        <v>548</v>
      </c>
      <c r="BS11">
        <v>4</v>
      </c>
      <c r="BT11" t="s">
        <v>549</v>
      </c>
      <c r="BU11">
        <v>52.2</v>
      </c>
      <c r="BV11">
        <v>90</v>
      </c>
      <c r="BW11" t="s">
        <v>264</v>
      </c>
      <c r="BX11">
        <v>-9999</v>
      </c>
      <c r="BY11">
        <v>202</v>
      </c>
      <c r="BZ11">
        <v>233</v>
      </c>
      <c r="CA11">
        <v>200</v>
      </c>
      <c r="CB11" t="s">
        <v>270</v>
      </c>
      <c r="CC11">
        <v>0</v>
      </c>
      <c r="CD11">
        <v>55</v>
      </c>
      <c r="CE11" t="s">
        <v>471</v>
      </c>
      <c r="CF11" t="s">
        <v>548</v>
      </c>
      <c r="CG11">
        <v>5</v>
      </c>
      <c r="CH11" t="s">
        <v>549</v>
      </c>
      <c r="CI11">
        <v>51</v>
      </c>
      <c r="CJ11">
        <v>209</v>
      </c>
      <c r="CK11" t="s">
        <v>264</v>
      </c>
      <c r="CL11">
        <v>-9999</v>
      </c>
      <c r="CM11">
        <v>485</v>
      </c>
      <c r="CN11">
        <v>567</v>
      </c>
      <c r="CO11">
        <v>484</v>
      </c>
      <c r="CP11" t="s">
        <v>270</v>
      </c>
      <c r="CQ11">
        <v>0</v>
      </c>
      <c r="CR11">
        <v>55</v>
      </c>
      <c r="CS11" t="s">
        <v>472</v>
      </c>
      <c r="CT11" t="s">
        <v>548</v>
      </c>
      <c r="CU11">
        <v>6</v>
      </c>
      <c r="CV11" t="s">
        <v>549</v>
      </c>
      <c r="CW11">
        <v>53.4</v>
      </c>
      <c r="CX11">
        <v>95</v>
      </c>
      <c r="CY11" t="s">
        <v>264</v>
      </c>
      <c r="CZ11">
        <v>-9999</v>
      </c>
      <c r="DA11">
        <v>760</v>
      </c>
      <c r="DB11">
        <v>859</v>
      </c>
      <c r="DC11">
        <v>746</v>
      </c>
      <c r="DD11" t="s">
        <v>270</v>
      </c>
      <c r="DE11">
        <v>0</v>
      </c>
      <c r="DF11">
        <v>55</v>
      </c>
      <c r="DG11" t="s">
        <v>473</v>
      </c>
      <c r="DH11" t="s">
        <v>548</v>
      </c>
      <c r="DI11">
        <v>7</v>
      </c>
      <c r="DJ11" t="s">
        <v>549</v>
      </c>
      <c r="DK11">
        <v>0</v>
      </c>
      <c r="DL11">
        <v>28</v>
      </c>
      <c r="DM11" t="s">
        <v>264</v>
      </c>
      <c r="DN11">
        <v>-9999</v>
      </c>
      <c r="DO11">
        <v>548</v>
      </c>
      <c r="DP11">
        <v>629</v>
      </c>
      <c r="DQ11">
        <v>544</v>
      </c>
      <c r="DR11" t="s">
        <v>270</v>
      </c>
      <c r="DS11">
        <v>0</v>
      </c>
      <c r="DT11">
        <v>55</v>
      </c>
      <c r="DU11" t="s">
        <v>474</v>
      </c>
      <c r="DV11" t="s">
        <v>548</v>
      </c>
      <c r="DW11">
        <v>8</v>
      </c>
      <c r="DX11" t="s">
        <v>549</v>
      </c>
      <c r="DY11">
        <v>49.3</v>
      </c>
      <c r="DZ11">
        <v>47</v>
      </c>
      <c r="EA11" t="s">
        <v>264</v>
      </c>
      <c r="EB11">
        <v>-9999</v>
      </c>
      <c r="EC11">
        <v>101</v>
      </c>
      <c r="ED11">
        <v>122</v>
      </c>
      <c r="EE11">
        <v>99</v>
      </c>
      <c r="EF11" t="s">
        <v>270</v>
      </c>
      <c r="EG11">
        <v>0</v>
      </c>
      <c r="EH11">
        <v>55</v>
      </c>
      <c r="EI11" t="s">
        <v>475</v>
      </c>
      <c r="EJ11" t="s">
        <v>548</v>
      </c>
      <c r="EK11">
        <v>9</v>
      </c>
      <c r="EL11" t="s">
        <v>549</v>
      </c>
      <c r="EM11">
        <v>54.4</v>
      </c>
      <c r="EN11">
        <v>22</v>
      </c>
      <c r="EO11" t="s">
        <v>264</v>
      </c>
      <c r="EP11">
        <v>-9999</v>
      </c>
      <c r="EQ11">
        <v>311</v>
      </c>
      <c r="ER11">
        <v>287</v>
      </c>
      <c r="ES11">
        <v>269</v>
      </c>
      <c r="ET11" t="s">
        <v>270</v>
      </c>
      <c r="EU11">
        <v>0</v>
      </c>
      <c r="EV11">
        <v>55</v>
      </c>
      <c r="EW11" t="s">
        <v>551</v>
      </c>
      <c r="EX11" t="s">
        <v>552</v>
      </c>
      <c r="EY11">
        <v>145</v>
      </c>
      <c r="EZ11">
        <v>146</v>
      </c>
      <c r="FA11">
        <v>146</v>
      </c>
      <c r="FB11" t="s">
        <v>270</v>
      </c>
      <c r="FC11" t="s">
        <v>553</v>
      </c>
      <c r="FD11" t="s">
        <v>552</v>
      </c>
      <c r="FE11">
        <v>305</v>
      </c>
      <c r="FF11">
        <v>303</v>
      </c>
      <c r="FG11">
        <v>303</v>
      </c>
      <c r="FH11" t="s">
        <v>270</v>
      </c>
      <c r="FI11" t="s">
        <v>554</v>
      </c>
      <c r="FJ11" t="s">
        <v>555</v>
      </c>
      <c r="FK11">
        <v>0</v>
      </c>
      <c r="FL11">
        <v>0</v>
      </c>
      <c r="FM11">
        <v>0</v>
      </c>
      <c r="FN11" t="s">
        <v>264</v>
      </c>
      <c r="FQ11" t="s">
        <v>556</v>
      </c>
      <c r="FR11" t="s">
        <v>555</v>
      </c>
      <c r="FS11">
        <v>0</v>
      </c>
      <c r="FT11">
        <v>0</v>
      </c>
      <c r="FU11">
        <v>0</v>
      </c>
      <c r="FV11" t="s">
        <v>264</v>
      </c>
      <c r="FY11" t="s">
        <v>557</v>
      </c>
      <c r="FZ11" t="s">
        <v>555</v>
      </c>
      <c r="GA11">
        <v>0</v>
      </c>
      <c r="GB11">
        <v>0</v>
      </c>
      <c r="GC11">
        <v>0</v>
      </c>
      <c r="GD11" t="s">
        <v>264</v>
      </c>
      <c r="GG11" t="s">
        <v>558</v>
      </c>
      <c r="GH11" t="s">
        <v>555</v>
      </c>
      <c r="GI11">
        <v>0</v>
      </c>
      <c r="GJ11">
        <v>0</v>
      </c>
      <c r="GK11">
        <v>0</v>
      </c>
      <c r="GL11" t="s">
        <v>264</v>
      </c>
      <c r="GO11" t="s">
        <v>559</v>
      </c>
      <c r="GP11" t="s">
        <v>555</v>
      </c>
      <c r="GQ11">
        <v>0</v>
      </c>
      <c r="GR11">
        <v>0</v>
      </c>
      <c r="GS11">
        <v>0</v>
      </c>
      <c r="GT11" t="s">
        <v>264</v>
      </c>
      <c r="GW11" t="s">
        <v>560</v>
      </c>
      <c r="GX11" t="s">
        <v>555</v>
      </c>
      <c r="GY11">
        <v>0</v>
      </c>
      <c r="GZ11">
        <v>0</v>
      </c>
      <c r="HA11">
        <v>0</v>
      </c>
      <c r="HB11" t="s">
        <v>264</v>
      </c>
      <c r="HE11" t="s">
        <v>561</v>
      </c>
      <c r="HF11" t="s">
        <v>555</v>
      </c>
      <c r="HG11">
        <v>0</v>
      </c>
      <c r="HH11">
        <v>0</v>
      </c>
      <c r="HI11">
        <v>0</v>
      </c>
      <c r="HJ11" t="s">
        <v>264</v>
      </c>
      <c r="HM11" t="s">
        <v>562</v>
      </c>
      <c r="HN11" t="s">
        <v>555</v>
      </c>
      <c r="HO11">
        <v>0</v>
      </c>
      <c r="HP11">
        <v>0</v>
      </c>
      <c r="HQ11">
        <v>0</v>
      </c>
      <c r="HR11" t="s">
        <v>264</v>
      </c>
      <c r="HU11" t="s">
        <v>563</v>
      </c>
      <c r="HV11" t="s">
        <v>555</v>
      </c>
      <c r="HW11">
        <v>0</v>
      </c>
      <c r="HX11">
        <v>0</v>
      </c>
      <c r="HY11">
        <v>0</v>
      </c>
      <c r="HZ11" t="s">
        <v>264</v>
      </c>
      <c r="IC11" t="s">
        <v>564</v>
      </c>
      <c r="ID11" t="s">
        <v>555</v>
      </c>
      <c r="IE11">
        <v>0</v>
      </c>
      <c r="IF11">
        <v>0</v>
      </c>
      <c r="IG11">
        <v>0</v>
      </c>
      <c r="IH11" t="s">
        <v>264</v>
      </c>
      <c r="IK11" t="s">
        <v>565</v>
      </c>
      <c r="IL11" t="s">
        <v>555</v>
      </c>
      <c r="IM11">
        <v>0</v>
      </c>
      <c r="IN11">
        <v>0</v>
      </c>
      <c r="IO11">
        <v>0</v>
      </c>
      <c r="IP11" t="s">
        <v>264</v>
      </c>
      <c r="IS11" t="s">
        <v>566</v>
      </c>
      <c r="IT11" t="s">
        <v>555</v>
      </c>
      <c r="IU11">
        <v>0</v>
      </c>
      <c r="IV11">
        <v>0</v>
      </c>
      <c r="IW11">
        <v>0</v>
      </c>
      <c r="IX11" t="s">
        <v>264</v>
      </c>
      <c r="JA11" t="s">
        <v>567</v>
      </c>
      <c r="JB11" t="s">
        <v>555</v>
      </c>
      <c r="JC11">
        <v>0</v>
      </c>
      <c r="JD11">
        <v>0</v>
      </c>
      <c r="JE11">
        <v>0</v>
      </c>
      <c r="JF11" t="s">
        <v>264</v>
      </c>
      <c r="JI11" t="s">
        <v>568</v>
      </c>
      <c r="JJ11" t="s">
        <v>555</v>
      </c>
      <c r="JK11">
        <v>0</v>
      </c>
      <c r="JL11">
        <v>0</v>
      </c>
      <c r="JM11">
        <v>0</v>
      </c>
      <c r="JN11" t="s">
        <v>264</v>
      </c>
      <c r="JQ11" t="s">
        <v>569</v>
      </c>
      <c r="JR11" t="s">
        <v>555</v>
      </c>
      <c r="JS11">
        <v>0</v>
      </c>
      <c r="JT11">
        <v>0</v>
      </c>
      <c r="JU11">
        <v>0</v>
      </c>
      <c r="JV11" t="s">
        <v>264</v>
      </c>
      <c r="JY11" t="s">
        <v>570</v>
      </c>
      <c r="JZ11" t="s">
        <v>555</v>
      </c>
      <c r="KA11">
        <v>0</v>
      </c>
      <c r="KB11">
        <v>0</v>
      </c>
      <c r="KC11">
        <v>0</v>
      </c>
      <c r="KD11" t="s">
        <v>264</v>
      </c>
      <c r="KG11" t="s">
        <v>571</v>
      </c>
      <c r="KH11" t="s">
        <v>555</v>
      </c>
      <c r="KI11">
        <v>0</v>
      </c>
      <c r="KJ11">
        <v>0</v>
      </c>
      <c r="KK11">
        <v>0</v>
      </c>
      <c r="KL11" t="s">
        <v>264</v>
      </c>
      <c r="KO11" t="s">
        <v>572</v>
      </c>
      <c r="KP11" t="s">
        <v>555</v>
      </c>
      <c r="KQ11">
        <v>0</v>
      </c>
      <c r="KR11">
        <v>0</v>
      </c>
      <c r="KS11">
        <v>0</v>
      </c>
      <c r="KT11" t="s">
        <v>264</v>
      </c>
      <c r="KW11" t="s">
        <v>573</v>
      </c>
      <c r="KX11" t="s">
        <v>555</v>
      </c>
      <c r="KY11">
        <v>0</v>
      </c>
      <c r="KZ11">
        <v>0</v>
      </c>
      <c r="LA11">
        <v>0</v>
      </c>
      <c r="LB11" t="s">
        <v>264</v>
      </c>
      <c r="LE11" t="s">
        <v>574</v>
      </c>
      <c r="LF11" t="s">
        <v>555</v>
      </c>
      <c r="LG11">
        <v>0</v>
      </c>
      <c r="LH11">
        <v>0</v>
      </c>
      <c r="LI11">
        <v>0</v>
      </c>
      <c r="LJ11" t="s">
        <v>264</v>
      </c>
      <c r="LM11" t="s">
        <v>575</v>
      </c>
      <c r="LN11" t="s">
        <v>555</v>
      </c>
      <c r="LO11">
        <v>0</v>
      </c>
      <c r="LP11">
        <v>0</v>
      </c>
      <c r="LQ11">
        <v>0</v>
      </c>
      <c r="LR11" t="s">
        <v>264</v>
      </c>
      <c r="LU11" t="s">
        <v>576</v>
      </c>
      <c r="LV11" t="s">
        <v>555</v>
      </c>
      <c r="LW11">
        <v>0</v>
      </c>
      <c r="LX11">
        <v>0</v>
      </c>
      <c r="LY11">
        <v>0</v>
      </c>
      <c r="LZ11" t="s">
        <v>264</v>
      </c>
      <c r="MC11" t="s">
        <v>577</v>
      </c>
      <c r="MD11" t="s">
        <v>555</v>
      </c>
      <c r="ME11">
        <v>0</v>
      </c>
      <c r="MF11">
        <v>0</v>
      </c>
      <c r="MG11">
        <v>0</v>
      </c>
      <c r="MH11" t="s">
        <v>264</v>
      </c>
      <c r="MK11" t="s">
        <v>578</v>
      </c>
      <c r="ML11" t="s">
        <v>555</v>
      </c>
      <c r="MM11">
        <v>0</v>
      </c>
      <c r="MN11">
        <v>0</v>
      </c>
      <c r="MO11">
        <v>0</v>
      </c>
      <c r="MP11" t="s">
        <v>264</v>
      </c>
      <c r="MS11" t="s">
        <v>579</v>
      </c>
      <c r="MT11" t="s">
        <v>555</v>
      </c>
      <c r="MU11">
        <v>0</v>
      </c>
      <c r="MV11">
        <v>0</v>
      </c>
      <c r="MW11">
        <v>0</v>
      </c>
      <c r="MX11" t="s">
        <v>264</v>
      </c>
      <c r="NA11" t="s">
        <v>580</v>
      </c>
      <c r="NB11" t="s">
        <v>555</v>
      </c>
      <c r="NC11">
        <v>0</v>
      </c>
      <c r="ND11">
        <v>0</v>
      </c>
      <c r="NE11">
        <v>0</v>
      </c>
      <c r="NF11" t="s">
        <v>264</v>
      </c>
      <c r="NI11">
        <v>40.1</v>
      </c>
      <c r="NJ11">
        <v>-9</v>
      </c>
      <c r="NP11" t="s">
        <v>581</v>
      </c>
    </row>
    <row r="12" spans="1:380" customFormat="1" x14ac:dyDescent="0.2">
      <c r="A12" t="s">
        <v>517</v>
      </c>
      <c r="B12">
        <v>1</v>
      </c>
      <c r="C12" t="s">
        <v>621</v>
      </c>
      <c r="D12">
        <v>646950998</v>
      </c>
      <c r="E12">
        <v>12602</v>
      </c>
      <c r="F12" t="s">
        <v>542</v>
      </c>
      <c r="G12">
        <v>847922</v>
      </c>
      <c r="H12">
        <v>210022915</v>
      </c>
      <c r="I12" t="s">
        <v>622</v>
      </c>
      <c r="J12" t="s">
        <v>623</v>
      </c>
      <c r="K12" t="s">
        <v>545</v>
      </c>
      <c r="L12" t="s">
        <v>294</v>
      </c>
      <c r="M12" t="s">
        <v>546</v>
      </c>
      <c r="N12" t="s">
        <v>468</v>
      </c>
      <c r="O12" t="s">
        <v>547</v>
      </c>
      <c r="P12" t="s">
        <v>270</v>
      </c>
      <c r="Q12">
        <v>27.4</v>
      </c>
      <c r="R12">
        <v>223</v>
      </c>
      <c r="S12" t="s">
        <v>270</v>
      </c>
      <c r="T12">
        <v>-9999</v>
      </c>
      <c r="U12">
        <v>539</v>
      </c>
      <c r="V12">
        <v>556</v>
      </c>
      <c r="W12">
        <v>531</v>
      </c>
      <c r="X12" t="s">
        <v>270</v>
      </c>
      <c r="Y12">
        <v>0</v>
      </c>
      <c r="Z12">
        <v>55</v>
      </c>
      <c r="AA12" t="s">
        <v>469</v>
      </c>
      <c r="AB12" t="s">
        <v>548</v>
      </c>
      <c r="AC12">
        <v>1</v>
      </c>
      <c r="AD12" t="s">
        <v>549</v>
      </c>
      <c r="AE12">
        <v>0</v>
      </c>
      <c r="AF12">
        <v>25</v>
      </c>
      <c r="AG12" t="s">
        <v>264</v>
      </c>
      <c r="AH12">
        <v>-9999</v>
      </c>
      <c r="AI12">
        <v>435</v>
      </c>
      <c r="AJ12">
        <v>543</v>
      </c>
      <c r="AK12">
        <v>435</v>
      </c>
      <c r="AL12" t="s">
        <v>270</v>
      </c>
      <c r="AM12">
        <v>0</v>
      </c>
      <c r="AN12">
        <v>55</v>
      </c>
      <c r="AO12" t="s">
        <v>470</v>
      </c>
      <c r="AP12" t="s">
        <v>548</v>
      </c>
      <c r="AQ12">
        <v>2</v>
      </c>
      <c r="AR12" t="s">
        <v>549</v>
      </c>
      <c r="AS12">
        <v>0</v>
      </c>
      <c r="AT12">
        <v>24</v>
      </c>
      <c r="AU12" t="s">
        <v>264</v>
      </c>
      <c r="AV12">
        <v>-9999</v>
      </c>
      <c r="AW12">
        <v>403</v>
      </c>
      <c r="AX12">
        <v>425</v>
      </c>
      <c r="AY12">
        <v>402</v>
      </c>
      <c r="AZ12" t="s">
        <v>270</v>
      </c>
      <c r="BA12">
        <v>0</v>
      </c>
      <c r="BB12">
        <v>55</v>
      </c>
      <c r="BC12" t="s">
        <v>550</v>
      </c>
      <c r="BD12" t="s">
        <v>548</v>
      </c>
      <c r="BE12">
        <v>3</v>
      </c>
      <c r="BF12" t="s">
        <v>549</v>
      </c>
      <c r="BG12">
        <v>0</v>
      </c>
      <c r="BH12">
        <v>-4</v>
      </c>
      <c r="BI12" t="s">
        <v>264</v>
      </c>
      <c r="BJ12">
        <v>-9999</v>
      </c>
      <c r="BK12">
        <v>217</v>
      </c>
      <c r="BL12">
        <v>268</v>
      </c>
      <c r="BM12">
        <v>213</v>
      </c>
      <c r="BN12" t="s">
        <v>270</v>
      </c>
      <c r="BO12">
        <v>0</v>
      </c>
      <c r="BP12">
        <v>55</v>
      </c>
      <c r="BQ12" t="s">
        <v>504</v>
      </c>
      <c r="BR12" t="s">
        <v>548</v>
      </c>
      <c r="BS12">
        <v>4</v>
      </c>
      <c r="BT12" t="s">
        <v>549</v>
      </c>
      <c r="BU12">
        <v>52.4</v>
      </c>
      <c r="BV12">
        <v>77</v>
      </c>
      <c r="BW12" t="s">
        <v>264</v>
      </c>
      <c r="BX12">
        <v>-9999</v>
      </c>
      <c r="BY12">
        <v>223</v>
      </c>
      <c r="BZ12">
        <v>257</v>
      </c>
      <c r="CA12">
        <v>220</v>
      </c>
      <c r="CB12" t="s">
        <v>270</v>
      </c>
      <c r="CC12">
        <v>0</v>
      </c>
      <c r="CD12">
        <v>55</v>
      </c>
      <c r="CE12" t="s">
        <v>471</v>
      </c>
      <c r="CF12" t="s">
        <v>548</v>
      </c>
      <c r="CG12">
        <v>5</v>
      </c>
      <c r="CH12" t="s">
        <v>549</v>
      </c>
      <c r="CI12">
        <v>51.2</v>
      </c>
      <c r="CJ12">
        <v>192</v>
      </c>
      <c r="CK12" t="s">
        <v>264</v>
      </c>
      <c r="CL12">
        <v>-9999</v>
      </c>
      <c r="CM12">
        <v>493</v>
      </c>
      <c r="CN12">
        <v>577</v>
      </c>
      <c r="CO12">
        <v>491</v>
      </c>
      <c r="CP12" t="s">
        <v>270</v>
      </c>
      <c r="CQ12">
        <v>0</v>
      </c>
      <c r="CR12">
        <v>55</v>
      </c>
      <c r="CS12" t="s">
        <v>472</v>
      </c>
      <c r="CT12" t="s">
        <v>548</v>
      </c>
      <c r="CU12">
        <v>6</v>
      </c>
      <c r="CV12" t="s">
        <v>549</v>
      </c>
      <c r="CW12">
        <v>54.3</v>
      </c>
      <c r="CX12">
        <v>70</v>
      </c>
      <c r="CY12" t="s">
        <v>264</v>
      </c>
      <c r="CZ12">
        <v>-9999</v>
      </c>
      <c r="DA12">
        <v>711</v>
      </c>
      <c r="DB12">
        <v>806</v>
      </c>
      <c r="DC12">
        <v>698</v>
      </c>
      <c r="DD12" t="s">
        <v>270</v>
      </c>
      <c r="DE12">
        <v>0</v>
      </c>
      <c r="DF12">
        <v>55</v>
      </c>
      <c r="DG12" t="s">
        <v>473</v>
      </c>
      <c r="DH12" t="s">
        <v>548</v>
      </c>
      <c r="DI12">
        <v>7</v>
      </c>
      <c r="DJ12" t="s">
        <v>549</v>
      </c>
      <c r="DK12">
        <v>0</v>
      </c>
      <c r="DL12">
        <v>29</v>
      </c>
      <c r="DM12" t="s">
        <v>264</v>
      </c>
      <c r="DN12">
        <v>-9999</v>
      </c>
      <c r="DO12">
        <v>545</v>
      </c>
      <c r="DP12">
        <v>621</v>
      </c>
      <c r="DQ12">
        <v>541</v>
      </c>
      <c r="DR12" t="s">
        <v>270</v>
      </c>
      <c r="DS12">
        <v>0</v>
      </c>
      <c r="DT12">
        <v>55</v>
      </c>
      <c r="DU12" t="s">
        <v>474</v>
      </c>
      <c r="DV12" t="s">
        <v>548</v>
      </c>
      <c r="DW12">
        <v>8</v>
      </c>
      <c r="DX12" t="s">
        <v>549</v>
      </c>
      <c r="DY12">
        <v>0</v>
      </c>
      <c r="DZ12">
        <v>7</v>
      </c>
      <c r="EA12" t="s">
        <v>264</v>
      </c>
      <c r="EB12">
        <v>-9999</v>
      </c>
      <c r="EC12">
        <v>87</v>
      </c>
      <c r="ED12">
        <v>109</v>
      </c>
      <c r="EE12">
        <v>85</v>
      </c>
      <c r="EF12" t="s">
        <v>270</v>
      </c>
      <c r="EG12">
        <v>0</v>
      </c>
      <c r="EH12">
        <v>55</v>
      </c>
      <c r="EI12" t="s">
        <v>475</v>
      </c>
      <c r="EJ12" t="s">
        <v>548</v>
      </c>
      <c r="EK12">
        <v>9</v>
      </c>
      <c r="EL12" t="s">
        <v>549</v>
      </c>
      <c r="EM12">
        <v>0</v>
      </c>
      <c r="EN12">
        <v>17</v>
      </c>
      <c r="EO12" t="s">
        <v>264</v>
      </c>
      <c r="EP12">
        <v>-9999</v>
      </c>
      <c r="EQ12">
        <v>319</v>
      </c>
      <c r="ER12">
        <v>297</v>
      </c>
      <c r="ES12">
        <v>277</v>
      </c>
      <c r="ET12" t="s">
        <v>270</v>
      </c>
      <c r="EU12">
        <v>0</v>
      </c>
      <c r="EV12">
        <v>55</v>
      </c>
      <c r="EW12" t="s">
        <v>551</v>
      </c>
      <c r="EX12" t="s">
        <v>552</v>
      </c>
      <c r="EY12">
        <v>150</v>
      </c>
      <c r="EZ12">
        <v>150</v>
      </c>
      <c r="FA12">
        <v>151</v>
      </c>
      <c r="FB12" t="s">
        <v>270</v>
      </c>
      <c r="FC12" t="s">
        <v>553</v>
      </c>
      <c r="FD12" t="s">
        <v>552</v>
      </c>
      <c r="FE12">
        <v>313</v>
      </c>
      <c r="FF12">
        <v>312</v>
      </c>
      <c r="FG12">
        <v>311</v>
      </c>
      <c r="FH12" t="s">
        <v>270</v>
      </c>
      <c r="FI12" t="s">
        <v>554</v>
      </c>
      <c r="FJ12" t="s">
        <v>555</v>
      </c>
      <c r="FK12">
        <v>0</v>
      </c>
      <c r="FL12">
        <v>0</v>
      </c>
      <c r="FM12">
        <v>0</v>
      </c>
      <c r="FN12" t="s">
        <v>264</v>
      </c>
      <c r="FQ12" t="s">
        <v>556</v>
      </c>
      <c r="FR12" t="s">
        <v>555</v>
      </c>
      <c r="FS12">
        <v>0</v>
      </c>
      <c r="FT12">
        <v>0</v>
      </c>
      <c r="FU12">
        <v>0</v>
      </c>
      <c r="FV12" t="s">
        <v>264</v>
      </c>
      <c r="FY12" t="s">
        <v>557</v>
      </c>
      <c r="FZ12" t="s">
        <v>555</v>
      </c>
      <c r="GA12">
        <v>0</v>
      </c>
      <c r="GB12">
        <v>0</v>
      </c>
      <c r="GC12">
        <v>0</v>
      </c>
      <c r="GD12" t="s">
        <v>264</v>
      </c>
      <c r="GG12" t="s">
        <v>558</v>
      </c>
      <c r="GH12" t="s">
        <v>555</v>
      </c>
      <c r="GI12">
        <v>0</v>
      </c>
      <c r="GJ12">
        <v>0</v>
      </c>
      <c r="GK12">
        <v>0</v>
      </c>
      <c r="GL12" t="s">
        <v>264</v>
      </c>
      <c r="GO12" t="s">
        <v>559</v>
      </c>
      <c r="GP12" t="s">
        <v>555</v>
      </c>
      <c r="GQ12">
        <v>0</v>
      </c>
      <c r="GR12">
        <v>0</v>
      </c>
      <c r="GS12">
        <v>0</v>
      </c>
      <c r="GT12" t="s">
        <v>264</v>
      </c>
      <c r="GW12" t="s">
        <v>560</v>
      </c>
      <c r="GX12" t="s">
        <v>555</v>
      </c>
      <c r="GY12">
        <v>0</v>
      </c>
      <c r="GZ12">
        <v>0</v>
      </c>
      <c r="HA12">
        <v>0</v>
      </c>
      <c r="HB12" t="s">
        <v>264</v>
      </c>
      <c r="HE12" t="s">
        <v>561</v>
      </c>
      <c r="HF12" t="s">
        <v>555</v>
      </c>
      <c r="HG12">
        <v>0</v>
      </c>
      <c r="HH12">
        <v>0</v>
      </c>
      <c r="HI12">
        <v>0</v>
      </c>
      <c r="HJ12" t="s">
        <v>264</v>
      </c>
      <c r="HM12" t="s">
        <v>562</v>
      </c>
      <c r="HN12" t="s">
        <v>555</v>
      </c>
      <c r="HO12">
        <v>0</v>
      </c>
      <c r="HP12">
        <v>0</v>
      </c>
      <c r="HQ12">
        <v>0</v>
      </c>
      <c r="HR12" t="s">
        <v>264</v>
      </c>
      <c r="HU12" t="s">
        <v>563</v>
      </c>
      <c r="HV12" t="s">
        <v>555</v>
      </c>
      <c r="HW12">
        <v>0</v>
      </c>
      <c r="HX12">
        <v>0</v>
      </c>
      <c r="HY12">
        <v>0</v>
      </c>
      <c r="HZ12" t="s">
        <v>264</v>
      </c>
      <c r="IC12" t="s">
        <v>564</v>
      </c>
      <c r="ID12" t="s">
        <v>555</v>
      </c>
      <c r="IE12">
        <v>0</v>
      </c>
      <c r="IF12">
        <v>0</v>
      </c>
      <c r="IG12">
        <v>0</v>
      </c>
      <c r="IH12" t="s">
        <v>264</v>
      </c>
      <c r="IK12" t="s">
        <v>565</v>
      </c>
      <c r="IL12" t="s">
        <v>555</v>
      </c>
      <c r="IM12">
        <v>0</v>
      </c>
      <c r="IN12">
        <v>0</v>
      </c>
      <c r="IO12">
        <v>0</v>
      </c>
      <c r="IP12" t="s">
        <v>264</v>
      </c>
      <c r="IS12" t="s">
        <v>566</v>
      </c>
      <c r="IT12" t="s">
        <v>555</v>
      </c>
      <c r="IU12">
        <v>0</v>
      </c>
      <c r="IV12">
        <v>0</v>
      </c>
      <c r="IW12">
        <v>0</v>
      </c>
      <c r="IX12" t="s">
        <v>264</v>
      </c>
      <c r="JA12" t="s">
        <v>567</v>
      </c>
      <c r="JB12" t="s">
        <v>555</v>
      </c>
      <c r="JC12">
        <v>0</v>
      </c>
      <c r="JD12">
        <v>0</v>
      </c>
      <c r="JE12">
        <v>0</v>
      </c>
      <c r="JF12" t="s">
        <v>264</v>
      </c>
      <c r="JI12" t="s">
        <v>568</v>
      </c>
      <c r="JJ12" t="s">
        <v>555</v>
      </c>
      <c r="JK12">
        <v>0</v>
      </c>
      <c r="JL12">
        <v>0</v>
      </c>
      <c r="JM12">
        <v>0</v>
      </c>
      <c r="JN12" t="s">
        <v>264</v>
      </c>
      <c r="JQ12" t="s">
        <v>569</v>
      </c>
      <c r="JR12" t="s">
        <v>555</v>
      </c>
      <c r="JS12">
        <v>0</v>
      </c>
      <c r="JT12">
        <v>0</v>
      </c>
      <c r="JU12">
        <v>0</v>
      </c>
      <c r="JV12" t="s">
        <v>264</v>
      </c>
      <c r="JY12" t="s">
        <v>570</v>
      </c>
      <c r="JZ12" t="s">
        <v>555</v>
      </c>
      <c r="KA12">
        <v>0</v>
      </c>
      <c r="KB12">
        <v>0</v>
      </c>
      <c r="KC12">
        <v>0</v>
      </c>
      <c r="KD12" t="s">
        <v>264</v>
      </c>
      <c r="KG12" t="s">
        <v>571</v>
      </c>
      <c r="KH12" t="s">
        <v>555</v>
      </c>
      <c r="KI12">
        <v>0</v>
      </c>
      <c r="KJ12">
        <v>0</v>
      </c>
      <c r="KK12">
        <v>0</v>
      </c>
      <c r="KL12" t="s">
        <v>264</v>
      </c>
      <c r="KO12" t="s">
        <v>572</v>
      </c>
      <c r="KP12" t="s">
        <v>555</v>
      </c>
      <c r="KQ12">
        <v>0</v>
      </c>
      <c r="KR12">
        <v>0</v>
      </c>
      <c r="KS12">
        <v>0</v>
      </c>
      <c r="KT12" t="s">
        <v>264</v>
      </c>
      <c r="KW12" t="s">
        <v>573</v>
      </c>
      <c r="KX12" t="s">
        <v>555</v>
      </c>
      <c r="KY12">
        <v>0</v>
      </c>
      <c r="KZ12">
        <v>0</v>
      </c>
      <c r="LA12">
        <v>0</v>
      </c>
      <c r="LB12" t="s">
        <v>264</v>
      </c>
      <c r="LE12" t="s">
        <v>574</v>
      </c>
      <c r="LF12" t="s">
        <v>555</v>
      </c>
      <c r="LG12">
        <v>0</v>
      </c>
      <c r="LH12">
        <v>0</v>
      </c>
      <c r="LI12">
        <v>0</v>
      </c>
      <c r="LJ12" t="s">
        <v>264</v>
      </c>
      <c r="LM12" t="s">
        <v>575</v>
      </c>
      <c r="LN12" t="s">
        <v>555</v>
      </c>
      <c r="LO12">
        <v>0</v>
      </c>
      <c r="LP12">
        <v>0</v>
      </c>
      <c r="LQ12">
        <v>0</v>
      </c>
      <c r="LR12" t="s">
        <v>264</v>
      </c>
      <c r="LU12" t="s">
        <v>576</v>
      </c>
      <c r="LV12" t="s">
        <v>555</v>
      </c>
      <c r="LW12">
        <v>0</v>
      </c>
      <c r="LX12">
        <v>0</v>
      </c>
      <c r="LY12">
        <v>0</v>
      </c>
      <c r="LZ12" t="s">
        <v>264</v>
      </c>
      <c r="MC12" t="s">
        <v>577</v>
      </c>
      <c r="MD12" t="s">
        <v>555</v>
      </c>
      <c r="ME12">
        <v>0</v>
      </c>
      <c r="MF12">
        <v>0</v>
      </c>
      <c r="MG12">
        <v>0</v>
      </c>
      <c r="MH12" t="s">
        <v>264</v>
      </c>
      <c r="MK12" t="s">
        <v>578</v>
      </c>
      <c r="ML12" t="s">
        <v>555</v>
      </c>
      <c r="MM12">
        <v>0</v>
      </c>
      <c r="MN12">
        <v>0</v>
      </c>
      <c r="MO12">
        <v>0</v>
      </c>
      <c r="MP12" t="s">
        <v>264</v>
      </c>
      <c r="MS12" t="s">
        <v>579</v>
      </c>
      <c r="MT12" t="s">
        <v>555</v>
      </c>
      <c r="MU12">
        <v>0</v>
      </c>
      <c r="MV12">
        <v>0</v>
      </c>
      <c r="MW12">
        <v>0</v>
      </c>
      <c r="MX12" t="s">
        <v>264</v>
      </c>
      <c r="NA12" t="s">
        <v>580</v>
      </c>
      <c r="NB12" t="s">
        <v>555</v>
      </c>
      <c r="NC12">
        <v>0</v>
      </c>
      <c r="ND12">
        <v>0</v>
      </c>
      <c r="NE12">
        <v>0</v>
      </c>
      <c r="NF12" t="s">
        <v>264</v>
      </c>
      <c r="NI12">
        <v>40</v>
      </c>
      <c r="NJ12">
        <v>-9</v>
      </c>
      <c r="NP12" t="s">
        <v>624</v>
      </c>
    </row>
    <row r="13" spans="1:380" customFormat="1" x14ac:dyDescent="0.2">
      <c r="A13" t="s">
        <v>517</v>
      </c>
      <c r="B13">
        <v>1</v>
      </c>
      <c r="C13" t="s">
        <v>625</v>
      </c>
      <c r="D13">
        <v>646951978</v>
      </c>
      <c r="E13">
        <v>12602</v>
      </c>
      <c r="F13" t="s">
        <v>542</v>
      </c>
      <c r="G13">
        <v>847922</v>
      </c>
      <c r="H13">
        <v>210021775</v>
      </c>
      <c r="I13" t="s">
        <v>622</v>
      </c>
      <c r="J13" t="s">
        <v>626</v>
      </c>
      <c r="K13" t="s">
        <v>545</v>
      </c>
      <c r="L13" t="s">
        <v>294</v>
      </c>
      <c r="M13" t="s">
        <v>546</v>
      </c>
      <c r="N13" t="s">
        <v>468</v>
      </c>
      <c r="O13" t="s">
        <v>547</v>
      </c>
      <c r="P13" t="s">
        <v>264</v>
      </c>
      <c r="Q13">
        <v>27.4</v>
      </c>
      <c r="R13">
        <v>237</v>
      </c>
      <c r="S13" t="s">
        <v>264</v>
      </c>
      <c r="T13">
        <v>-9999</v>
      </c>
      <c r="U13">
        <v>524</v>
      </c>
      <c r="V13">
        <v>539</v>
      </c>
      <c r="W13">
        <v>516</v>
      </c>
      <c r="X13" t="s">
        <v>270</v>
      </c>
      <c r="Y13">
        <v>0</v>
      </c>
      <c r="Z13">
        <v>55</v>
      </c>
      <c r="AA13" t="s">
        <v>469</v>
      </c>
      <c r="AB13" t="s">
        <v>548</v>
      </c>
      <c r="AC13">
        <v>1</v>
      </c>
      <c r="AD13" t="s">
        <v>549</v>
      </c>
      <c r="AE13">
        <v>0</v>
      </c>
      <c r="AF13">
        <v>6</v>
      </c>
      <c r="AG13" t="s">
        <v>264</v>
      </c>
      <c r="AH13">
        <v>-9999</v>
      </c>
      <c r="AI13">
        <v>538</v>
      </c>
      <c r="AJ13">
        <v>664</v>
      </c>
      <c r="AK13">
        <v>534</v>
      </c>
      <c r="AL13" t="s">
        <v>270</v>
      </c>
      <c r="AM13">
        <v>0</v>
      </c>
      <c r="AN13">
        <v>55</v>
      </c>
      <c r="AO13" t="s">
        <v>470</v>
      </c>
      <c r="AP13" t="s">
        <v>548</v>
      </c>
      <c r="AQ13">
        <v>2</v>
      </c>
      <c r="AR13" t="s">
        <v>549</v>
      </c>
      <c r="AS13">
        <v>0</v>
      </c>
      <c r="AT13">
        <v>33</v>
      </c>
      <c r="AU13" t="s">
        <v>264</v>
      </c>
      <c r="AV13">
        <v>-9999</v>
      </c>
      <c r="AW13">
        <v>369</v>
      </c>
      <c r="AX13">
        <v>388</v>
      </c>
      <c r="AY13">
        <v>368</v>
      </c>
      <c r="AZ13" t="s">
        <v>270</v>
      </c>
      <c r="BA13">
        <v>0</v>
      </c>
      <c r="BB13">
        <v>55</v>
      </c>
      <c r="BC13" t="s">
        <v>550</v>
      </c>
      <c r="BD13" t="s">
        <v>548</v>
      </c>
      <c r="BE13">
        <v>3</v>
      </c>
      <c r="BF13" t="s">
        <v>584</v>
      </c>
      <c r="BG13">
        <v>18.399999999999999</v>
      </c>
      <c r="BH13">
        <v>121</v>
      </c>
      <c r="BI13" t="s">
        <v>264</v>
      </c>
      <c r="BJ13">
        <v>-9999</v>
      </c>
      <c r="BK13">
        <v>46</v>
      </c>
      <c r="BL13">
        <v>73</v>
      </c>
      <c r="BM13">
        <v>50</v>
      </c>
      <c r="BN13" t="s">
        <v>270</v>
      </c>
      <c r="BO13">
        <v>0</v>
      </c>
      <c r="BP13">
        <v>55</v>
      </c>
      <c r="BQ13" t="s">
        <v>504</v>
      </c>
      <c r="BR13" t="s">
        <v>548</v>
      </c>
      <c r="BS13">
        <v>4</v>
      </c>
      <c r="BT13" t="s">
        <v>549</v>
      </c>
      <c r="BU13">
        <v>52.6</v>
      </c>
      <c r="BV13">
        <v>92</v>
      </c>
      <c r="BW13" t="s">
        <v>264</v>
      </c>
      <c r="BX13">
        <v>-9999</v>
      </c>
      <c r="BY13">
        <v>244</v>
      </c>
      <c r="BZ13">
        <v>282</v>
      </c>
      <c r="CA13">
        <v>242</v>
      </c>
      <c r="CB13" t="s">
        <v>270</v>
      </c>
      <c r="CC13">
        <v>0</v>
      </c>
      <c r="CD13">
        <v>55</v>
      </c>
      <c r="CE13" t="s">
        <v>471</v>
      </c>
      <c r="CF13" t="s">
        <v>548</v>
      </c>
      <c r="CG13">
        <v>5</v>
      </c>
      <c r="CH13" t="s">
        <v>549</v>
      </c>
      <c r="CI13">
        <v>51.9</v>
      </c>
      <c r="CJ13">
        <v>238</v>
      </c>
      <c r="CK13" t="s">
        <v>264</v>
      </c>
      <c r="CL13">
        <v>-9999</v>
      </c>
      <c r="CM13">
        <v>497</v>
      </c>
      <c r="CN13">
        <v>584</v>
      </c>
      <c r="CO13">
        <v>498</v>
      </c>
      <c r="CP13" t="s">
        <v>270</v>
      </c>
      <c r="CQ13">
        <v>0</v>
      </c>
      <c r="CR13">
        <v>55</v>
      </c>
      <c r="CS13" t="s">
        <v>472</v>
      </c>
      <c r="CT13" t="s">
        <v>548</v>
      </c>
      <c r="CU13">
        <v>6</v>
      </c>
      <c r="CV13" t="s">
        <v>549</v>
      </c>
      <c r="CW13">
        <v>52.7</v>
      </c>
      <c r="CX13">
        <v>134</v>
      </c>
      <c r="CY13" t="s">
        <v>264</v>
      </c>
      <c r="CZ13">
        <v>-9999</v>
      </c>
      <c r="DA13">
        <v>579</v>
      </c>
      <c r="DB13">
        <v>655</v>
      </c>
      <c r="DC13">
        <v>570</v>
      </c>
      <c r="DD13" t="s">
        <v>270</v>
      </c>
      <c r="DE13">
        <v>0</v>
      </c>
      <c r="DF13">
        <v>55</v>
      </c>
      <c r="DG13" t="s">
        <v>473</v>
      </c>
      <c r="DH13" t="s">
        <v>548</v>
      </c>
      <c r="DI13">
        <v>7</v>
      </c>
      <c r="DJ13" t="s">
        <v>549</v>
      </c>
      <c r="DK13">
        <v>0</v>
      </c>
      <c r="DL13">
        <v>31</v>
      </c>
      <c r="DM13" t="s">
        <v>264</v>
      </c>
      <c r="DN13">
        <v>-9999</v>
      </c>
      <c r="DO13">
        <v>640</v>
      </c>
      <c r="DP13">
        <v>731</v>
      </c>
      <c r="DQ13">
        <v>638</v>
      </c>
      <c r="DR13" t="s">
        <v>270</v>
      </c>
      <c r="DS13">
        <v>0</v>
      </c>
      <c r="DT13">
        <v>55</v>
      </c>
      <c r="DU13" t="s">
        <v>474</v>
      </c>
      <c r="DV13" t="s">
        <v>548</v>
      </c>
      <c r="DW13">
        <v>8</v>
      </c>
      <c r="DX13" t="s">
        <v>549</v>
      </c>
      <c r="DY13">
        <v>50.6</v>
      </c>
      <c r="DZ13">
        <v>38</v>
      </c>
      <c r="EA13" t="s">
        <v>264</v>
      </c>
      <c r="EB13">
        <v>-9999</v>
      </c>
      <c r="EC13">
        <v>113</v>
      </c>
      <c r="ED13">
        <v>137</v>
      </c>
      <c r="EE13">
        <v>111</v>
      </c>
      <c r="EF13" t="s">
        <v>270</v>
      </c>
      <c r="EG13">
        <v>0</v>
      </c>
      <c r="EH13">
        <v>55</v>
      </c>
      <c r="EI13" t="s">
        <v>475</v>
      </c>
      <c r="EJ13" t="s">
        <v>548</v>
      </c>
      <c r="EK13">
        <v>9</v>
      </c>
      <c r="EL13" t="s">
        <v>549</v>
      </c>
      <c r="EM13">
        <v>0</v>
      </c>
      <c r="EN13">
        <v>7</v>
      </c>
      <c r="EO13" t="s">
        <v>264</v>
      </c>
      <c r="EP13">
        <v>-9999</v>
      </c>
      <c r="EQ13">
        <v>358</v>
      </c>
      <c r="ER13">
        <v>351</v>
      </c>
      <c r="ES13">
        <v>324</v>
      </c>
      <c r="ET13" t="s">
        <v>270</v>
      </c>
      <c r="EU13">
        <v>0</v>
      </c>
      <c r="EV13">
        <v>55</v>
      </c>
      <c r="EW13" t="s">
        <v>551</v>
      </c>
      <c r="EX13" t="s">
        <v>552</v>
      </c>
      <c r="EY13">
        <v>142</v>
      </c>
      <c r="EZ13">
        <v>143</v>
      </c>
      <c r="FA13">
        <v>142</v>
      </c>
      <c r="FB13" t="s">
        <v>270</v>
      </c>
      <c r="FC13" t="s">
        <v>553</v>
      </c>
      <c r="FD13" t="s">
        <v>552</v>
      </c>
      <c r="FE13">
        <v>303</v>
      </c>
      <c r="FF13">
        <v>302</v>
      </c>
      <c r="FG13">
        <v>301</v>
      </c>
      <c r="FH13" t="s">
        <v>270</v>
      </c>
      <c r="FI13" t="s">
        <v>554</v>
      </c>
      <c r="FJ13" t="s">
        <v>555</v>
      </c>
      <c r="FK13">
        <v>0</v>
      </c>
      <c r="FL13">
        <v>0</v>
      </c>
      <c r="FM13">
        <v>0</v>
      </c>
      <c r="FN13" t="s">
        <v>264</v>
      </c>
      <c r="FQ13" t="s">
        <v>556</v>
      </c>
      <c r="FR13" t="s">
        <v>555</v>
      </c>
      <c r="FS13">
        <v>0</v>
      </c>
      <c r="FT13">
        <v>0</v>
      </c>
      <c r="FU13">
        <v>0</v>
      </c>
      <c r="FV13" t="s">
        <v>264</v>
      </c>
      <c r="FY13" t="s">
        <v>557</v>
      </c>
      <c r="FZ13" t="s">
        <v>555</v>
      </c>
      <c r="GA13">
        <v>0</v>
      </c>
      <c r="GB13">
        <v>0</v>
      </c>
      <c r="GC13">
        <v>0</v>
      </c>
      <c r="GD13" t="s">
        <v>264</v>
      </c>
      <c r="GG13" t="s">
        <v>558</v>
      </c>
      <c r="GH13" t="s">
        <v>555</v>
      </c>
      <c r="GI13">
        <v>0</v>
      </c>
      <c r="GJ13">
        <v>0</v>
      </c>
      <c r="GK13">
        <v>0</v>
      </c>
      <c r="GL13" t="s">
        <v>264</v>
      </c>
      <c r="GO13" t="s">
        <v>559</v>
      </c>
      <c r="GP13" t="s">
        <v>555</v>
      </c>
      <c r="GQ13">
        <v>0</v>
      </c>
      <c r="GR13">
        <v>0</v>
      </c>
      <c r="GS13">
        <v>0</v>
      </c>
      <c r="GT13" t="s">
        <v>264</v>
      </c>
      <c r="GW13" t="s">
        <v>560</v>
      </c>
      <c r="GX13" t="s">
        <v>555</v>
      </c>
      <c r="GY13">
        <v>0</v>
      </c>
      <c r="GZ13">
        <v>0</v>
      </c>
      <c r="HA13">
        <v>0</v>
      </c>
      <c r="HB13" t="s">
        <v>264</v>
      </c>
      <c r="HE13" t="s">
        <v>561</v>
      </c>
      <c r="HF13" t="s">
        <v>555</v>
      </c>
      <c r="HG13">
        <v>0</v>
      </c>
      <c r="HH13">
        <v>0</v>
      </c>
      <c r="HI13">
        <v>0</v>
      </c>
      <c r="HJ13" t="s">
        <v>264</v>
      </c>
      <c r="HM13" t="s">
        <v>562</v>
      </c>
      <c r="HN13" t="s">
        <v>555</v>
      </c>
      <c r="HO13">
        <v>0</v>
      </c>
      <c r="HP13">
        <v>0</v>
      </c>
      <c r="HQ13">
        <v>0</v>
      </c>
      <c r="HR13" t="s">
        <v>264</v>
      </c>
      <c r="HU13" t="s">
        <v>563</v>
      </c>
      <c r="HV13" t="s">
        <v>555</v>
      </c>
      <c r="HW13">
        <v>0</v>
      </c>
      <c r="HX13">
        <v>0</v>
      </c>
      <c r="HY13">
        <v>0</v>
      </c>
      <c r="HZ13" t="s">
        <v>264</v>
      </c>
      <c r="IC13" t="s">
        <v>564</v>
      </c>
      <c r="ID13" t="s">
        <v>555</v>
      </c>
      <c r="IE13">
        <v>0</v>
      </c>
      <c r="IF13">
        <v>0</v>
      </c>
      <c r="IG13">
        <v>0</v>
      </c>
      <c r="IH13" t="s">
        <v>264</v>
      </c>
      <c r="IK13" t="s">
        <v>565</v>
      </c>
      <c r="IL13" t="s">
        <v>555</v>
      </c>
      <c r="IM13">
        <v>0</v>
      </c>
      <c r="IN13">
        <v>0</v>
      </c>
      <c r="IO13">
        <v>0</v>
      </c>
      <c r="IP13" t="s">
        <v>264</v>
      </c>
      <c r="IS13" t="s">
        <v>566</v>
      </c>
      <c r="IT13" t="s">
        <v>555</v>
      </c>
      <c r="IU13">
        <v>0</v>
      </c>
      <c r="IV13">
        <v>0</v>
      </c>
      <c r="IW13">
        <v>0</v>
      </c>
      <c r="IX13" t="s">
        <v>264</v>
      </c>
      <c r="JA13" t="s">
        <v>567</v>
      </c>
      <c r="JB13" t="s">
        <v>555</v>
      </c>
      <c r="JC13">
        <v>0</v>
      </c>
      <c r="JD13">
        <v>0</v>
      </c>
      <c r="JE13">
        <v>0</v>
      </c>
      <c r="JF13" t="s">
        <v>264</v>
      </c>
      <c r="JI13" t="s">
        <v>568</v>
      </c>
      <c r="JJ13" t="s">
        <v>555</v>
      </c>
      <c r="JK13">
        <v>0</v>
      </c>
      <c r="JL13">
        <v>0</v>
      </c>
      <c r="JM13">
        <v>0</v>
      </c>
      <c r="JN13" t="s">
        <v>264</v>
      </c>
      <c r="JQ13" t="s">
        <v>569</v>
      </c>
      <c r="JR13" t="s">
        <v>555</v>
      </c>
      <c r="JS13">
        <v>0</v>
      </c>
      <c r="JT13">
        <v>0</v>
      </c>
      <c r="JU13">
        <v>0</v>
      </c>
      <c r="JV13" t="s">
        <v>264</v>
      </c>
      <c r="JY13" t="s">
        <v>570</v>
      </c>
      <c r="JZ13" t="s">
        <v>555</v>
      </c>
      <c r="KA13">
        <v>0</v>
      </c>
      <c r="KB13">
        <v>0</v>
      </c>
      <c r="KC13">
        <v>0</v>
      </c>
      <c r="KD13" t="s">
        <v>264</v>
      </c>
      <c r="KG13" t="s">
        <v>571</v>
      </c>
      <c r="KH13" t="s">
        <v>555</v>
      </c>
      <c r="KI13">
        <v>0</v>
      </c>
      <c r="KJ13">
        <v>0</v>
      </c>
      <c r="KK13">
        <v>0</v>
      </c>
      <c r="KL13" t="s">
        <v>264</v>
      </c>
      <c r="KO13" t="s">
        <v>572</v>
      </c>
      <c r="KP13" t="s">
        <v>555</v>
      </c>
      <c r="KQ13">
        <v>0</v>
      </c>
      <c r="KR13">
        <v>0</v>
      </c>
      <c r="KS13">
        <v>0</v>
      </c>
      <c r="KT13" t="s">
        <v>264</v>
      </c>
      <c r="KW13" t="s">
        <v>573</v>
      </c>
      <c r="KX13" t="s">
        <v>555</v>
      </c>
      <c r="KY13">
        <v>0</v>
      </c>
      <c r="KZ13">
        <v>0</v>
      </c>
      <c r="LA13">
        <v>0</v>
      </c>
      <c r="LB13" t="s">
        <v>264</v>
      </c>
      <c r="LE13" t="s">
        <v>574</v>
      </c>
      <c r="LF13" t="s">
        <v>555</v>
      </c>
      <c r="LG13">
        <v>0</v>
      </c>
      <c r="LH13">
        <v>0</v>
      </c>
      <c r="LI13">
        <v>0</v>
      </c>
      <c r="LJ13" t="s">
        <v>264</v>
      </c>
      <c r="LM13" t="s">
        <v>575</v>
      </c>
      <c r="LN13" t="s">
        <v>555</v>
      </c>
      <c r="LO13">
        <v>0</v>
      </c>
      <c r="LP13">
        <v>0</v>
      </c>
      <c r="LQ13">
        <v>0</v>
      </c>
      <c r="LR13" t="s">
        <v>264</v>
      </c>
      <c r="LU13" t="s">
        <v>576</v>
      </c>
      <c r="LV13" t="s">
        <v>555</v>
      </c>
      <c r="LW13">
        <v>0</v>
      </c>
      <c r="LX13">
        <v>0</v>
      </c>
      <c r="LY13">
        <v>0</v>
      </c>
      <c r="LZ13" t="s">
        <v>264</v>
      </c>
      <c r="MC13" t="s">
        <v>577</v>
      </c>
      <c r="MD13" t="s">
        <v>555</v>
      </c>
      <c r="ME13">
        <v>0</v>
      </c>
      <c r="MF13">
        <v>0</v>
      </c>
      <c r="MG13">
        <v>0</v>
      </c>
      <c r="MH13" t="s">
        <v>264</v>
      </c>
      <c r="MK13" t="s">
        <v>578</v>
      </c>
      <c r="ML13" t="s">
        <v>555</v>
      </c>
      <c r="MM13">
        <v>0</v>
      </c>
      <c r="MN13">
        <v>0</v>
      </c>
      <c r="MO13">
        <v>0</v>
      </c>
      <c r="MP13" t="s">
        <v>264</v>
      </c>
      <c r="MS13" t="s">
        <v>579</v>
      </c>
      <c r="MT13" t="s">
        <v>555</v>
      </c>
      <c r="MU13">
        <v>0</v>
      </c>
      <c r="MV13">
        <v>0</v>
      </c>
      <c r="MW13">
        <v>0</v>
      </c>
      <c r="MX13" t="s">
        <v>264</v>
      </c>
      <c r="NA13" t="s">
        <v>580</v>
      </c>
      <c r="NB13" t="s">
        <v>555</v>
      </c>
      <c r="NC13">
        <v>0</v>
      </c>
      <c r="ND13">
        <v>0</v>
      </c>
      <c r="NE13">
        <v>0</v>
      </c>
      <c r="NF13" t="s">
        <v>264</v>
      </c>
      <c r="NI13">
        <v>40</v>
      </c>
      <c r="NJ13">
        <v>-9.5</v>
      </c>
      <c r="NP13" t="s">
        <v>624</v>
      </c>
    </row>
    <row r="14" spans="1:380" customFormat="1" x14ac:dyDescent="0.2">
      <c r="A14" t="s">
        <v>517</v>
      </c>
      <c r="B14">
        <v>1</v>
      </c>
      <c r="C14" t="s">
        <v>627</v>
      </c>
      <c r="D14">
        <v>646950584</v>
      </c>
      <c r="E14">
        <v>12602</v>
      </c>
      <c r="F14" t="s">
        <v>542</v>
      </c>
      <c r="G14">
        <v>847922</v>
      </c>
      <c r="H14">
        <v>220009331</v>
      </c>
      <c r="I14" t="s">
        <v>622</v>
      </c>
      <c r="J14" t="s">
        <v>628</v>
      </c>
      <c r="K14" t="s">
        <v>545</v>
      </c>
      <c r="L14" t="s">
        <v>294</v>
      </c>
      <c r="M14" t="s">
        <v>546</v>
      </c>
      <c r="N14" t="s">
        <v>468</v>
      </c>
      <c r="O14" t="s">
        <v>547</v>
      </c>
      <c r="P14" t="s">
        <v>264</v>
      </c>
      <c r="Q14">
        <v>25.8</v>
      </c>
      <c r="R14">
        <v>229</v>
      </c>
      <c r="S14" t="s">
        <v>264</v>
      </c>
      <c r="T14">
        <v>-9999</v>
      </c>
      <c r="U14">
        <v>490</v>
      </c>
      <c r="V14">
        <v>503</v>
      </c>
      <c r="W14">
        <v>483</v>
      </c>
      <c r="X14" t="s">
        <v>270</v>
      </c>
      <c r="Y14">
        <v>0</v>
      </c>
      <c r="Z14">
        <v>55</v>
      </c>
      <c r="AA14" t="s">
        <v>469</v>
      </c>
      <c r="AB14" t="s">
        <v>548</v>
      </c>
      <c r="AC14">
        <v>1</v>
      </c>
      <c r="AD14" t="s">
        <v>549</v>
      </c>
      <c r="AE14">
        <v>0</v>
      </c>
      <c r="AF14">
        <v>19</v>
      </c>
      <c r="AG14" t="s">
        <v>264</v>
      </c>
      <c r="AH14">
        <v>-9999</v>
      </c>
      <c r="AI14">
        <v>499</v>
      </c>
      <c r="AJ14">
        <v>619</v>
      </c>
      <c r="AK14">
        <v>495</v>
      </c>
      <c r="AL14" t="s">
        <v>270</v>
      </c>
      <c r="AM14">
        <v>0</v>
      </c>
      <c r="AN14">
        <v>55</v>
      </c>
      <c r="AO14" t="s">
        <v>470</v>
      </c>
      <c r="AP14" t="s">
        <v>548</v>
      </c>
      <c r="AQ14">
        <v>2</v>
      </c>
      <c r="AR14" t="s">
        <v>549</v>
      </c>
      <c r="AS14">
        <v>53.5</v>
      </c>
      <c r="AT14">
        <v>63</v>
      </c>
      <c r="AU14" t="s">
        <v>264</v>
      </c>
      <c r="AV14">
        <v>-9999</v>
      </c>
      <c r="AW14">
        <v>312</v>
      </c>
      <c r="AX14">
        <v>324</v>
      </c>
      <c r="AY14">
        <v>310</v>
      </c>
      <c r="AZ14" t="s">
        <v>270</v>
      </c>
      <c r="BA14">
        <v>0</v>
      </c>
      <c r="BB14">
        <v>55</v>
      </c>
      <c r="BC14" t="s">
        <v>550</v>
      </c>
      <c r="BD14" t="s">
        <v>548</v>
      </c>
      <c r="BE14">
        <v>3</v>
      </c>
      <c r="BF14" t="s">
        <v>584</v>
      </c>
      <c r="BG14">
        <v>17</v>
      </c>
      <c r="BH14">
        <v>131</v>
      </c>
      <c r="BI14" t="s">
        <v>264</v>
      </c>
      <c r="BJ14">
        <v>-9999</v>
      </c>
      <c r="BK14">
        <v>22</v>
      </c>
      <c r="BL14">
        <v>42</v>
      </c>
      <c r="BM14">
        <v>25</v>
      </c>
      <c r="BN14" t="s">
        <v>270</v>
      </c>
      <c r="BO14">
        <v>0</v>
      </c>
      <c r="BP14">
        <v>55</v>
      </c>
      <c r="BQ14" t="s">
        <v>504</v>
      </c>
      <c r="BR14" t="s">
        <v>548</v>
      </c>
      <c r="BS14">
        <v>4</v>
      </c>
      <c r="BT14" t="s">
        <v>549</v>
      </c>
      <c r="BU14">
        <v>50.1</v>
      </c>
      <c r="BV14">
        <v>108</v>
      </c>
      <c r="BW14" t="s">
        <v>264</v>
      </c>
      <c r="BX14">
        <v>-9999</v>
      </c>
      <c r="BY14">
        <v>201</v>
      </c>
      <c r="BZ14">
        <v>233</v>
      </c>
      <c r="CA14">
        <v>200</v>
      </c>
      <c r="CB14" t="s">
        <v>270</v>
      </c>
      <c r="CC14">
        <v>0</v>
      </c>
      <c r="CD14">
        <v>55</v>
      </c>
      <c r="CE14" t="s">
        <v>471</v>
      </c>
      <c r="CF14" t="s">
        <v>548</v>
      </c>
      <c r="CG14">
        <v>5</v>
      </c>
      <c r="CH14" t="s">
        <v>549</v>
      </c>
      <c r="CI14">
        <v>51.3</v>
      </c>
      <c r="CJ14">
        <v>285</v>
      </c>
      <c r="CK14" t="s">
        <v>264</v>
      </c>
      <c r="CL14">
        <v>-9999</v>
      </c>
      <c r="CM14">
        <v>401</v>
      </c>
      <c r="CN14">
        <v>469</v>
      </c>
      <c r="CO14">
        <v>400</v>
      </c>
      <c r="CP14" t="s">
        <v>270</v>
      </c>
      <c r="CQ14">
        <v>0</v>
      </c>
      <c r="CR14">
        <v>55</v>
      </c>
      <c r="CS14" t="s">
        <v>472</v>
      </c>
      <c r="CT14" t="s">
        <v>548</v>
      </c>
      <c r="CU14">
        <v>6</v>
      </c>
      <c r="CV14" t="s">
        <v>549</v>
      </c>
      <c r="CW14">
        <v>51.1</v>
      </c>
      <c r="CX14">
        <v>194</v>
      </c>
      <c r="CY14" t="s">
        <v>264</v>
      </c>
      <c r="CZ14">
        <v>-9999</v>
      </c>
      <c r="DA14">
        <v>539</v>
      </c>
      <c r="DB14">
        <v>607</v>
      </c>
      <c r="DC14">
        <v>527</v>
      </c>
      <c r="DD14" t="s">
        <v>270</v>
      </c>
      <c r="DE14">
        <v>0</v>
      </c>
      <c r="DF14">
        <v>55</v>
      </c>
      <c r="DG14" t="s">
        <v>473</v>
      </c>
      <c r="DH14" t="s">
        <v>548</v>
      </c>
      <c r="DI14">
        <v>7</v>
      </c>
      <c r="DJ14" t="s">
        <v>549</v>
      </c>
      <c r="DK14">
        <v>0</v>
      </c>
      <c r="DL14">
        <v>37</v>
      </c>
      <c r="DM14" t="s">
        <v>264</v>
      </c>
      <c r="DN14">
        <v>-9999</v>
      </c>
      <c r="DO14">
        <v>560</v>
      </c>
      <c r="DP14">
        <v>635</v>
      </c>
      <c r="DQ14">
        <v>555</v>
      </c>
      <c r="DR14" t="s">
        <v>270</v>
      </c>
      <c r="DS14">
        <v>0</v>
      </c>
      <c r="DT14">
        <v>55</v>
      </c>
      <c r="DU14" t="s">
        <v>474</v>
      </c>
      <c r="DV14" t="s">
        <v>548</v>
      </c>
      <c r="DW14">
        <v>8</v>
      </c>
      <c r="DX14" t="s">
        <v>584</v>
      </c>
      <c r="DY14">
        <v>30.7</v>
      </c>
      <c r="DZ14">
        <v>502</v>
      </c>
      <c r="EA14" t="s">
        <v>264</v>
      </c>
      <c r="EB14">
        <v>-9999</v>
      </c>
      <c r="EC14">
        <v>73</v>
      </c>
      <c r="ED14">
        <v>89</v>
      </c>
      <c r="EE14">
        <v>72</v>
      </c>
      <c r="EF14" t="s">
        <v>270</v>
      </c>
      <c r="EG14">
        <v>0</v>
      </c>
      <c r="EH14">
        <v>55</v>
      </c>
      <c r="EI14" t="s">
        <v>475</v>
      </c>
      <c r="EJ14" t="s">
        <v>548</v>
      </c>
      <c r="EK14">
        <v>9</v>
      </c>
      <c r="EL14" t="s">
        <v>549</v>
      </c>
      <c r="EM14">
        <v>54.3</v>
      </c>
      <c r="EN14">
        <v>23</v>
      </c>
      <c r="EO14" t="s">
        <v>264</v>
      </c>
      <c r="EP14">
        <v>-9999</v>
      </c>
      <c r="EQ14">
        <v>277</v>
      </c>
      <c r="ER14">
        <v>263</v>
      </c>
      <c r="ES14">
        <v>244</v>
      </c>
      <c r="ET14" t="s">
        <v>270</v>
      </c>
      <c r="EU14">
        <v>0</v>
      </c>
      <c r="EV14">
        <v>55</v>
      </c>
      <c r="EW14" t="s">
        <v>551</v>
      </c>
      <c r="EX14" t="s">
        <v>552</v>
      </c>
      <c r="EY14">
        <v>130</v>
      </c>
      <c r="EZ14">
        <v>131</v>
      </c>
      <c r="FA14">
        <v>131</v>
      </c>
      <c r="FB14" t="s">
        <v>270</v>
      </c>
      <c r="FC14" t="s">
        <v>553</v>
      </c>
      <c r="FD14" t="s">
        <v>552</v>
      </c>
      <c r="FE14">
        <v>311</v>
      </c>
      <c r="FF14">
        <v>310</v>
      </c>
      <c r="FG14">
        <v>308</v>
      </c>
      <c r="FH14" t="s">
        <v>270</v>
      </c>
      <c r="FI14" t="s">
        <v>554</v>
      </c>
      <c r="FJ14" t="s">
        <v>555</v>
      </c>
      <c r="FK14">
        <v>0</v>
      </c>
      <c r="FL14">
        <v>0</v>
      </c>
      <c r="FM14">
        <v>0</v>
      </c>
      <c r="FN14" t="s">
        <v>264</v>
      </c>
      <c r="FQ14" t="s">
        <v>556</v>
      </c>
      <c r="FR14" t="s">
        <v>555</v>
      </c>
      <c r="FS14">
        <v>0</v>
      </c>
      <c r="FT14">
        <v>0</v>
      </c>
      <c r="FU14">
        <v>0</v>
      </c>
      <c r="FV14" t="s">
        <v>264</v>
      </c>
      <c r="FY14" t="s">
        <v>557</v>
      </c>
      <c r="FZ14" t="s">
        <v>555</v>
      </c>
      <c r="GA14">
        <v>0</v>
      </c>
      <c r="GB14">
        <v>0</v>
      </c>
      <c r="GC14">
        <v>0</v>
      </c>
      <c r="GD14" t="s">
        <v>264</v>
      </c>
      <c r="GG14" t="s">
        <v>558</v>
      </c>
      <c r="GH14" t="s">
        <v>555</v>
      </c>
      <c r="GI14">
        <v>0</v>
      </c>
      <c r="GJ14">
        <v>0</v>
      </c>
      <c r="GK14">
        <v>0</v>
      </c>
      <c r="GL14" t="s">
        <v>264</v>
      </c>
      <c r="GO14" t="s">
        <v>559</v>
      </c>
      <c r="GP14" t="s">
        <v>555</v>
      </c>
      <c r="GQ14">
        <v>0</v>
      </c>
      <c r="GR14">
        <v>0</v>
      </c>
      <c r="GS14">
        <v>0</v>
      </c>
      <c r="GT14" t="s">
        <v>264</v>
      </c>
      <c r="GW14" t="s">
        <v>560</v>
      </c>
      <c r="GX14" t="s">
        <v>555</v>
      </c>
      <c r="GY14">
        <v>0</v>
      </c>
      <c r="GZ14">
        <v>0</v>
      </c>
      <c r="HA14">
        <v>0</v>
      </c>
      <c r="HB14" t="s">
        <v>264</v>
      </c>
      <c r="HE14" t="s">
        <v>561</v>
      </c>
      <c r="HF14" t="s">
        <v>555</v>
      </c>
      <c r="HG14">
        <v>0</v>
      </c>
      <c r="HH14">
        <v>0</v>
      </c>
      <c r="HI14">
        <v>0</v>
      </c>
      <c r="HJ14" t="s">
        <v>264</v>
      </c>
      <c r="HM14" t="s">
        <v>562</v>
      </c>
      <c r="HN14" t="s">
        <v>555</v>
      </c>
      <c r="HO14">
        <v>0</v>
      </c>
      <c r="HP14">
        <v>0</v>
      </c>
      <c r="HQ14">
        <v>0</v>
      </c>
      <c r="HR14" t="s">
        <v>264</v>
      </c>
      <c r="HU14" t="s">
        <v>563</v>
      </c>
      <c r="HV14" t="s">
        <v>555</v>
      </c>
      <c r="HW14">
        <v>0</v>
      </c>
      <c r="HX14">
        <v>0</v>
      </c>
      <c r="HY14">
        <v>0</v>
      </c>
      <c r="HZ14" t="s">
        <v>264</v>
      </c>
      <c r="IA14">
        <v>74.7</v>
      </c>
      <c r="IB14">
        <v>158.80000000000001</v>
      </c>
      <c r="IC14" t="s">
        <v>564</v>
      </c>
      <c r="ID14" t="s">
        <v>555</v>
      </c>
      <c r="IE14">
        <v>0</v>
      </c>
      <c r="IF14">
        <v>0</v>
      </c>
      <c r="IG14">
        <v>0</v>
      </c>
      <c r="IH14" t="s">
        <v>264</v>
      </c>
      <c r="IK14" t="s">
        <v>565</v>
      </c>
      <c r="IL14" t="s">
        <v>555</v>
      </c>
      <c r="IM14">
        <v>0</v>
      </c>
      <c r="IN14">
        <v>0</v>
      </c>
      <c r="IO14">
        <v>0</v>
      </c>
      <c r="IP14" t="s">
        <v>264</v>
      </c>
      <c r="IS14" t="s">
        <v>566</v>
      </c>
      <c r="IT14" t="s">
        <v>555</v>
      </c>
      <c r="IU14">
        <v>0</v>
      </c>
      <c r="IV14">
        <v>0</v>
      </c>
      <c r="IW14">
        <v>0</v>
      </c>
      <c r="IX14" t="s">
        <v>264</v>
      </c>
      <c r="JA14" t="s">
        <v>567</v>
      </c>
      <c r="JB14" t="s">
        <v>555</v>
      </c>
      <c r="JC14">
        <v>0</v>
      </c>
      <c r="JD14">
        <v>0</v>
      </c>
      <c r="JE14">
        <v>0</v>
      </c>
      <c r="JF14" t="s">
        <v>264</v>
      </c>
      <c r="JI14" t="s">
        <v>568</v>
      </c>
      <c r="JJ14" t="s">
        <v>555</v>
      </c>
      <c r="JK14">
        <v>0</v>
      </c>
      <c r="JL14">
        <v>0</v>
      </c>
      <c r="JM14">
        <v>0</v>
      </c>
      <c r="JN14" t="s">
        <v>264</v>
      </c>
      <c r="JQ14" t="s">
        <v>569</v>
      </c>
      <c r="JR14" t="s">
        <v>555</v>
      </c>
      <c r="JS14">
        <v>0</v>
      </c>
      <c r="JT14">
        <v>0</v>
      </c>
      <c r="JU14">
        <v>0</v>
      </c>
      <c r="JV14" t="s">
        <v>264</v>
      </c>
      <c r="JY14" t="s">
        <v>570</v>
      </c>
      <c r="JZ14" t="s">
        <v>555</v>
      </c>
      <c r="KA14">
        <v>0</v>
      </c>
      <c r="KB14">
        <v>0</v>
      </c>
      <c r="KC14">
        <v>0</v>
      </c>
      <c r="KD14" t="s">
        <v>264</v>
      </c>
      <c r="KG14" t="s">
        <v>571</v>
      </c>
      <c r="KH14" t="s">
        <v>555</v>
      </c>
      <c r="KI14">
        <v>0</v>
      </c>
      <c r="KJ14">
        <v>0</v>
      </c>
      <c r="KK14">
        <v>0</v>
      </c>
      <c r="KL14" t="s">
        <v>264</v>
      </c>
      <c r="KO14" t="s">
        <v>572</v>
      </c>
      <c r="KP14" t="s">
        <v>555</v>
      </c>
      <c r="KQ14">
        <v>0</v>
      </c>
      <c r="KR14">
        <v>0</v>
      </c>
      <c r="KS14">
        <v>0</v>
      </c>
      <c r="KT14" t="s">
        <v>264</v>
      </c>
      <c r="KW14" t="s">
        <v>573</v>
      </c>
      <c r="KX14" t="s">
        <v>555</v>
      </c>
      <c r="KY14">
        <v>0</v>
      </c>
      <c r="KZ14">
        <v>0</v>
      </c>
      <c r="LA14">
        <v>0</v>
      </c>
      <c r="LB14" t="s">
        <v>264</v>
      </c>
      <c r="LE14" t="s">
        <v>574</v>
      </c>
      <c r="LF14" t="s">
        <v>555</v>
      </c>
      <c r="LG14">
        <v>0</v>
      </c>
      <c r="LH14">
        <v>0</v>
      </c>
      <c r="LI14">
        <v>0</v>
      </c>
      <c r="LJ14" t="s">
        <v>264</v>
      </c>
      <c r="LM14" t="s">
        <v>575</v>
      </c>
      <c r="LN14" t="s">
        <v>555</v>
      </c>
      <c r="LO14">
        <v>0</v>
      </c>
      <c r="LP14">
        <v>0</v>
      </c>
      <c r="LQ14">
        <v>0</v>
      </c>
      <c r="LR14" t="s">
        <v>264</v>
      </c>
      <c r="LU14" t="s">
        <v>576</v>
      </c>
      <c r="LV14" t="s">
        <v>555</v>
      </c>
      <c r="LW14">
        <v>0</v>
      </c>
      <c r="LX14">
        <v>0</v>
      </c>
      <c r="LY14">
        <v>0</v>
      </c>
      <c r="LZ14" t="s">
        <v>264</v>
      </c>
      <c r="MC14" t="s">
        <v>577</v>
      </c>
      <c r="MD14" t="s">
        <v>555</v>
      </c>
      <c r="ME14">
        <v>0</v>
      </c>
      <c r="MF14">
        <v>0</v>
      </c>
      <c r="MG14">
        <v>0</v>
      </c>
      <c r="MH14" t="s">
        <v>264</v>
      </c>
      <c r="MK14" t="s">
        <v>578</v>
      </c>
      <c r="ML14" t="s">
        <v>555</v>
      </c>
      <c r="MM14">
        <v>0</v>
      </c>
      <c r="MN14">
        <v>0</v>
      </c>
      <c r="MO14">
        <v>0</v>
      </c>
      <c r="MP14" t="s">
        <v>264</v>
      </c>
      <c r="MS14" t="s">
        <v>579</v>
      </c>
      <c r="MT14" t="s">
        <v>555</v>
      </c>
      <c r="MU14">
        <v>0</v>
      </c>
      <c r="MV14">
        <v>0</v>
      </c>
      <c r="MW14">
        <v>0</v>
      </c>
      <c r="MX14" t="s">
        <v>264</v>
      </c>
      <c r="NA14" t="s">
        <v>580</v>
      </c>
      <c r="NB14" t="s">
        <v>555</v>
      </c>
      <c r="NC14">
        <v>0</v>
      </c>
      <c r="ND14">
        <v>0</v>
      </c>
      <c r="NE14">
        <v>0</v>
      </c>
      <c r="NF14" t="s">
        <v>264</v>
      </c>
      <c r="NI14">
        <v>40.1</v>
      </c>
      <c r="NJ14">
        <v>-7.3</v>
      </c>
      <c r="NP14" t="s">
        <v>624</v>
      </c>
    </row>
    <row r="15" spans="1:380" customFormat="1" x14ac:dyDescent="0.2">
      <c r="A15" t="s">
        <v>517</v>
      </c>
      <c r="B15">
        <v>1</v>
      </c>
      <c r="C15" t="s">
        <v>629</v>
      </c>
      <c r="D15">
        <v>646950686</v>
      </c>
      <c r="E15">
        <v>12602</v>
      </c>
      <c r="F15" t="s">
        <v>542</v>
      </c>
      <c r="G15">
        <v>847922</v>
      </c>
      <c r="H15">
        <v>210021773</v>
      </c>
      <c r="I15" t="s">
        <v>622</v>
      </c>
      <c r="J15" t="s">
        <v>630</v>
      </c>
      <c r="K15" t="s">
        <v>545</v>
      </c>
      <c r="L15" t="s">
        <v>294</v>
      </c>
      <c r="M15" t="s">
        <v>546</v>
      </c>
      <c r="N15" t="s">
        <v>468</v>
      </c>
      <c r="O15" t="s">
        <v>547</v>
      </c>
      <c r="P15" t="s">
        <v>270</v>
      </c>
      <c r="Q15">
        <v>26.1</v>
      </c>
      <c r="R15">
        <v>215</v>
      </c>
      <c r="S15" t="s">
        <v>270</v>
      </c>
      <c r="T15">
        <v>-9999</v>
      </c>
      <c r="U15">
        <v>627</v>
      </c>
      <c r="V15">
        <v>647</v>
      </c>
      <c r="W15">
        <v>619</v>
      </c>
      <c r="X15" t="s">
        <v>270</v>
      </c>
      <c r="Y15">
        <v>0</v>
      </c>
      <c r="Z15">
        <v>55</v>
      </c>
      <c r="AA15" t="s">
        <v>469</v>
      </c>
      <c r="AB15" t="s">
        <v>548</v>
      </c>
      <c r="AC15">
        <v>1</v>
      </c>
      <c r="AD15" t="s">
        <v>549</v>
      </c>
      <c r="AE15">
        <v>0</v>
      </c>
      <c r="AF15">
        <v>57</v>
      </c>
      <c r="AG15" t="s">
        <v>264</v>
      </c>
      <c r="AH15">
        <v>-9999</v>
      </c>
      <c r="AI15">
        <v>425</v>
      </c>
      <c r="AJ15">
        <v>545</v>
      </c>
      <c r="AK15">
        <v>428</v>
      </c>
      <c r="AL15" t="s">
        <v>270</v>
      </c>
      <c r="AM15">
        <v>0</v>
      </c>
      <c r="AN15">
        <v>55</v>
      </c>
      <c r="AO15" t="s">
        <v>470</v>
      </c>
      <c r="AP15" t="s">
        <v>548</v>
      </c>
      <c r="AQ15">
        <v>2</v>
      </c>
      <c r="AR15" t="s">
        <v>549</v>
      </c>
      <c r="AS15">
        <v>54.1</v>
      </c>
      <c r="AT15">
        <v>56</v>
      </c>
      <c r="AU15" t="s">
        <v>264</v>
      </c>
      <c r="AV15">
        <v>-9999</v>
      </c>
      <c r="AW15">
        <v>386</v>
      </c>
      <c r="AX15">
        <v>407</v>
      </c>
      <c r="AY15">
        <v>384</v>
      </c>
      <c r="AZ15" t="s">
        <v>270</v>
      </c>
      <c r="BA15">
        <v>0</v>
      </c>
      <c r="BB15">
        <v>55</v>
      </c>
      <c r="BC15" t="s">
        <v>550</v>
      </c>
      <c r="BD15" t="s">
        <v>548</v>
      </c>
      <c r="BE15">
        <v>3</v>
      </c>
      <c r="BF15" t="s">
        <v>549</v>
      </c>
      <c r="BG15">
        <v>0</v>
      </c>
      <c r="BH15">
        <v>-3</v>
      </c>
      <c r="BI15" t="s">
        <v>264</v>
      </c>
      <c r="BJ15">
        <v>-9999</v>
      </c>
      <c r="BK15">
        <v>319</v>
      </c>
      <c r="BL15">
        <v>376</v>
      </c>
      <c r="BM15">
        <v>311</v>
      </c>
      <c r="BN15" t="s">
        <v>270</v>
      </c>
      <c r="BO15">
        <v>0</v>
      </c>
      <c r="BP15">
        <v>55</v>
      </c>
      <c r="BQ15" t="s">
        <v>504</v>
      </c>
      <c r="BR15" t="s">
        <v>548</v>
      </c>
      <c r="BS15">
        <v>4</v>
      </c>
      <c r="BT15" t="s">
        <v>549</v>
      </c>
      <c r="BU15">
        <v>52.3</v>
      </c>
      <c r="BV15">
        <v>67</v>
      </c>
      <c r="BW15" t="s">
        <v>264</v>
      </c>
      <c r="BX15">
        <v>-9999</v>
      </c>
      <c r="BY15">
        <v>202</v>
      </c>
      <c r="BZ15">
        <v>232</v>
      </c>
      <c r="CA15">
        <v>200</v>
      </c>
      <c r="CB15" t="s">
        <v>270</v>
      </c>
      <c r="CC15">
        <v>0</v>
      </c>
      <c r="CD15">
        <v>55</v>
      </c>
      <c r="CE15" t="s">
        <v>471</v>
      </c>
      <c r="CF15" t="s">
        <v>548</v>
      </c>
      <c r="CG15">
        <v>5</v>
      </c>
      <c r="CH15" t="s">
        <v>549</v>
      </c>
      <c r="CI15">
        <v>51</v>
      </c>
      <c r="CJ15">
        <v>170</v>
      </c>
      <c r="CK15" t="s">
        <v>264</v>
      </c>
      <c r="CL15">
        <v>-9999</v>
      </c>
      <c r="CM15">
        <v>479</v>
      </c>
      <c r="CN15">
        <v>560</v>
      </c>
      <c r="CO15">
        <v>479</v>
      </c>
      <c r="CP15" t="s">
        <v>270</v>
      </c>
      <c r="CQ15">
        <v>0</v>
      </c>
      <c r="CR15">
        <v>55</v>
      </c>
      <c r="CS15" t="s">
        <v>472</v>
      </c>
      <c r="CT15" t="s">
        <v>548</v>
      </c>
      <c r="CU15">
        <v>6</v>
      </c>
      <c r="CV15" t="s">
        <v>549</v>
      </c>
      <c r="CW15">
        <v>54.4</v>
      </c>
      <c r="CX15">
        <v>63</v>
      </c>
      <c r="CY15" t="s">
        <v>264</v>
      </c>
      <c r="CZ15">
        <v>-9999</v>
      </c>
      <c r="DA15">
        <v>734</v>
      </c>
      <c r="DB15">
        <v>832</v>
      </c>
      <c r="DC15">
        <v>723</v>
      </c>
      <c r="DD15" t="s">
        <v>270</v>
      </c>
      <c r="DE15">
        <v>0</v>
      </c>
      <c r="DF15">
        <v>55</v>
      </c>
      <c r="DG15" t="s">
        <v>473</v>
      </c>
      <c r="DH15" t="s">
        <v>548</v>
      </c>
      <c r="DI15">
        <v>7</v>
      </c>
      <c r="DJ15" t="s">
        <v>549</v>
      </c>
      <c r="DK15">
        <v>0</v>
      </c>
      <c r="DL15">
        <v>43</v>
      </c>
      <c r="DM15" t="s">
        <v>264</v>
      </c>
      <c r="DN15">
        <v>-9999</v>
      </c>
      <c r="DO15">
        <v>520</v>
      </c>
      <c r="DP15">
        <v>594</v>
      </c>
      <c r="DQ15">
        <v>518</v>
      </c>
      <c r="DR15" t="s">
        <v>270</v>
      </c>
      <c r="DS15">
        <v>0</v>
      </c>
      <c r="DT15">
        <v>55</v>
      </c>
      <c r="DU15" t="s">
        <v>474</v>
      </c>
      <c r="DV15" t="s">
        <v>548</v>
      </c>
      <c r="DW15">
        <v>8</v>
      </c>
      <c r="DX15" t="s">
        <v>549</v>
      </c>
      <c r="DY15">
        <v>50.8</v>
      </c>
      <c r="DZ15">
        <v>30</v>
      </c>
      <c r="EA15" t="s">
        <v>264</v>
      </c>
      <c r="EB15">
        <v>-9999</v>
      </c>
      <c r="EC15">
        <v>117</v>
      </c>
      <c r="ED15">
        <v>143</v>
      </c>
      <c r="EE15">
        <v>116</v>
      </c>
      <c r="EF15" t="s">
        <v>270</v>
      </c>
      <c r="EG15">
        <v>0</v>
      </c>
      <c r="EH15">
        <v>55</v>
      </c>
      <c r="EI15" t="s">
        <v>475</v>
      </c>
      <c r="EJ15" t="s">
        <v>548</v>
      </c>
      <c r="EK15">
        <v>9</v>
      </c>
      <c r="EL15" t="s">
        <v>549</v>
      </c>
      <c r="EM15">
        <v>0</v>
      </c>
      <c r="EN15">
        <v>-5</v>
      </c>
      <c r="EO15" t="s">
        <v>264</v>
      </c>
      <c r="EP15">
        <v>-9999</v>
      </c>
      <c r="EQ15">
        <v>284</v>
      </c>
      <c r="ER15">
        <v>263</v>
      </c>
      <c r="ES15">
        <v>249</v>
      </c>
      <c r="ET15" t="s">
        <v>270</v>
      </c>
      <c r="EU15">
        <v>0</v>
      </c>
      <c r="EV15">
        <v>55</v>
      </c>
      <c r="EW15" t="s">
        <v>551</v>
      </c>
      <c r="EX15" t="s">
        <v>552</v>
      </c>
      <c r="EY15">
        <v>160</v>
      </c>
      <c r="EZ15">
        <v>161</v>
      </c>
      <c r="FA15">
        <v>160</v>
      </c>
      <c r="FB15" t="s">
        <v>270</v>
      </c>
      <c r="FC15" t="s">
        <v>553</v>
      </c>
      <c r="FD15" t="s">
        <v>552</v>
      </c>
      <c r="FE15">
        <v>332</v>
      </c>
      <c r="FF15">
        <v>331</v>
      </c>
      <c r="FG15">
        <v>329</v>
      </c>
      <c r="FH15" t="s">
        <v>270</v>
      </c>
      <c r="FI15" t="s">
        <v>554</v>
      </c>
      <c r="FJ15" t="s">
        <v>555</v>
      </c>
      <c r="FK15">
        <v>0</v>
      </c>
      <c r="FL15">
        <v>0</v>
      </c>
      <c r="FM15">
        <v>0</v>
      </c>
      <c r="FN15" t="s">
        <v>264</v>
      </c>
      <c r="FQ15" t="s">
        <v>556</v>
      </c>
      <c r="FR15" t="s">
        <v>555</v>
      </c>
      <c r="FS15">
        <v>0</v>
      </c>
      <c r="FT15">
        <v>0</v>
      </c>
      <c r="FU15">
        <v>0</v>
      </c>
      <c r="FV15" t="s">
        <v>264</v>
      </c>
      <c r="FY15" t="s">
        <v>557</v>
      </c>
      <c r="FZ15" t="s">
        <v>555</v>
      </c>
      <c r="GA15">
        <v>0</v>
      </c>
      <c r="GB15">
        <v>0</v>
      </c>
      <c r="GC15">
        <v>0</v>
      </c>
      <c r="GD15" t="s">
        <v>264</v>
      </c>
      <c r="GG15" t="s">
        <v>558</v>
      </c>
      <c r="GH15" t="s">
        <v>555</v>
      </c>
      <c r="GI15">
        <v>0</v>
      </c>
      <c r="GJ15">
        <v>0</v>
      </c>
      <c r="GK15">
        <v>0</v>
      </c>
      <c r="GL15" t="s">
        <v>264</v>
      </c>
      <c r="GO15" t="s">
        <v>559</v>
      </c>
      <c r="GP15" t="s">
        <v>555</v>
      </c>
      <c r="GQ15">
        <v>0</v>
      </c>
      <c r="GR15">
        <v>0</v>
      </c>
      <c r="GS15">
        <v>0</v>
      </c>
      <c r="GT15" t="s">
        <v>264</v>
      </c>
      <c r="GW15" t="s">
        <v>560</v>
      </c>
      <c r="GX15" t="s">
        <v>555</v>
      </c>
      <c r="GY15">
        <v>0</v>
      </c>
      <c r="GZ15">
        <v>0</v>
      </c>
      <c r="HA15">
        <v>0</v>
      </c>
      <c r="HB15" t="s">
        <v>264</v>
      </c>
      <c r="HE15" t="s">
        <v>561</v>
      </c>
      <c r="HF15" t="s">
        <v>555</v>
      </c>
      <c r="HG15">
        <v>0</v>
      </c>
      <c r="HH15">
        <v>0</v>
      </c>
      <c r="HI15">
        <v>0</v>
      </c>
      <c r="HJ15" t="s">
        <v>264</v>
      </c>
      <c r="HM15" t="s">
        <v>562</v>
      </c>
      <c r="HN15" t="s">
        <v>555</v>
      </c>
      <c r="HO15">
        <v>0</v>
      </c>
      <c r="HP15">
        <v>0</v>
      </c>
      <c r="HQ15">
        <v>0</v>
      </c>
      <c r="HR15" t="s">
        <v>264</v>
      </c>
      <c r="HU15" t="s">
        <v>563</v>
      </c>
      <c r="HV15" t="s">
        <v>555</v>
      </c>
      <c r="HW15">
        <v>0</v>
      </c>
      <c r="HX15">
        <v>0</v>
      </c>
      <c r="HY15">
        <v>0</v>
      </c>
      <c r="HZ15" t="s">
        <v>264</v>
      </c>
      <c r="IC15" t="s">
        <v>564</v>
      </c>
      <c r="ID15" t="s">
        <v>555</v>
      </c>
      <c r="IE15">
        <v>0</v>
      </c>
      <c r="IF15">
        <v>0</v>
      </c>
      <c r="IG15">
        <v>0</v>
      </c>
      <c r="IH15" t="s">
        <v>264</v>
      </c>
      <c r="IK15" t="s">
        <v>565</v>
      </c>
      <c r="IL15" t="s">
        <v>555</v>
      </c>
      <c r="IM15">
        <v>0</v>
      </c>
      <c r="IN15">
        <v>0</v>
      </c>
      <c r="IO15">
        <v>0</v>
      </c>
      <c r="IP15" t="s">
        <v>264</v>
      </c>
      <c r="IS15" t="s">
        <v>566</v>
      </c>
      <c r="IT15" t="s">
        <v>555</v>
      </c>
      <c r="IU15">
        <v>0</v>
      </c>
      <c r="IV15">
        <v>0</v>
      </c>
      <c r="IW15">
        <v>0</v>
      </c>
      <c r="IX15" t="s">
        <v>264</v>
      </c>
      <c r="JA15" t="s">
        <v>567</v>
      </c>
      <c r="JB15" t="s">
        <v>555</v>
      </c>
      <c r="JC15">
        <v>0</v>
      </c>
      <c r="JD15">
        <v>0</v>
      </c>
      <c r="JE15">
        <v>0</v>
      </c>
      <c r="JF15" t="s">
        <v>264</v>
      </c>
      <c r="JI15" t="s">
        <v>568</v>
      </c>
      <c r="JJ15" t="s">
        <v>555</v>
      </c>
      <c r="JK15">
        <v>0</v>
      </c>
      <c r="JL15">
        <v>0</v>
      </c>
      <c r="JM15">
        <v>0</v>
      </c>
      <c r="JN15" t="s">
        <v>264</v>
      </c>
      <c r="JQ15" t="s">
        <v>569</v>
      </c>
      <c r="JR15" t="s">
        <v>555</v>
      </c>
      <c r="JS15">
        <v>0</v>
      </c>
      <c r="JT15">
        <v>0</v>
      </c>
      <c r="JU15">
        <v>0</v>
      </c>
      <c r="JV15" t="s">
        <v>264</v>
      </c>
      <c r="JY15" t="s">
        <v>570</v>
      </c>
      <c r="JZ15" t="s">
        <v>555</v>
      </c>
      <c r="KA15">
        <v>0</v>
      </c>
      <c r="KB15">
        <v>0</v>
      </c>
      <c r="KC15">
        <v>0</v>
      </c>
      <c r="KD15" t="s">
        <v>264</v>
      </c>
      <c r="KG15" t="s">
        <v>571</v>
      </c>
      <c r="KH15" t="s">
        <v>555</v>
      </c>
      <c r="KI15">
        <v>0</v>
      </c>
      <c r="KJ15">
        <v>0</v>
      </c>
      <c r="KK15">
        <v>0</v>
      </c>
      <c r="KL15" t="s">
        <v>264</v>
      </c>
      <c r="KO15" t="s">
        <v>572</v>
      </c>
      <c r="KP15" t="s">
        <v>555</v>
      </c>
      <c r="KQ15">
        <v>0</v>
      </c>
      <c r="KR15">
        <v>0</v>
      </c>
      <c r="KS15">
        <v>0</v>
      </c>
      <c r="KT15" t="s">
        <v>264</v>
      </c>
      <c r="KW15" t="s">
        <v>573</v>
      </c>
      <c r="KX15" t="s">
        <v>555</v>
      </c>
      <c r="KY15">
        <v>0</v>
      </c>
      <c r="KZ15">
        <v>0</v>
      </c>
      <c r="LA15">
        <v>0</v>
      </c>
      <c r="LB15" t="s">
        <v>264</v>
      </c>
      <c r="LE15" t="s">
        <v>574</v>
      </c>
      <c r="LF15" t="s">
        <v>555</v>
      </c>
      <c r="LG15">
        <v>0</v>
      </c>
      <c r="LH15">
        <v>0</v>
      </c>
      <c r="LI15">
        <v>0</v>
      </c>
      <c r="LJ15" t="s">
        <v>264</v>
      </c>
      <c r="LM15" t="s">
        <v>575</v>
      </c>
      <c r="LN15" t="s">
        <v>555</v>
      </c>
      <c r="LO15">
        <v>0</v>
      </c>
      <c r="LP15">
        <v>0</v>
      </c>
      <c r="LQ15">
        <v>0</v>
      </c>
      <c r="LR15" t="s">
        <v>264</v>
      </c>
      <c r="LU15" t="s">
        <v>576</v>
      </c>
      <c r="LV15" t="s">
        <v>555</v>
      </c>
      <c r="LW15">
        <v>0</v>
      </c>
      <c r="LX15">
        <v>0</v>
      </c>
      <c r="LY15">
        <v>0</v>
      </c>
      <c r="LZ15" t="s">
        <v>264</v>
      </c>
      <c r="MC15" t="s">
        <v>577</v>
      </c>
      <c r="MD15" t="s">
        <v>555</v>
      </c>
      <c r="ME15">
        <v>0</v>
      </c>
      <c r="MF15">
        <v>0</v>
      </c>
      <c r="MG15">
        <v>0</v>
      </c>
      <c r="MH15" t="s">
        <v>264</v>
      </c>
      <c r="MK15" t="s">
        <v>578</v>
      </c>
      <c r="ML15" t="s">
        <v>555</v>
      </c>
      <c r="MM15">
        <v>0</v>
      </c>
      <c r="MN15">
        <v>0</v>
      </c>
      <c r="MO15">
        <v>0</v>
      </c>
      <c r="MP15" t="s">
        <v>264</v>
      </c>
      <c r="MS15" t="s">
        <v>579</v>
      </c>
      <c r="MT15" t="s">
        <v>555</v>
      </c>
      <c r="MU15">
        <v>0</v>
      </c>
      <c r="MV15">
        <v>0</v>
      </c>
      <c r="MW15">
        <v>0</v>
      </c>
      <c r="MX15" t="s">
        <v>264</v>
      </c>
      <c r="NA15" t="s">
        <v>580</v>
      </c>
      <c r="NB15" t="s">
        <v>555</v>
      </c>
      <c r="NC15">
        <v>0</v>
      </c>
      <c r="ND15">
        <v>0</v>
      </c>
      <c r="NE15">
        <v>0</v>
      </c>
      <c r="NF15" t="s">
        <v>264</v>
      </c>
      <c r="NI15">
        <v>40</v>
      </c>
      <c r="NJ15">
        <v>-9.3000000000000007</v>
      </c>
      <c r="NP15" t="s">
        <v>624</v>
      </c>
    </row>
    <row r="16" spans="1:380" customFormat="1" x14ac:dyDescent="0.2">
      <c r="A16" t="s">
        <v>517</v>
      </c>
      <c r="B16">
        <v>1</v>
      </c>
      <c r="C16" t="s">
        <v>631</v>
      </c>
      <c r="D16">
        <v>646951494</v>
      </c>
      <c r="E16">
        <v>12602</v>
      </c>
      <c r="F16" t="s">
        <v>542</v>
      </c>
      <c r="G16">
        <v>847922</v>
      </c>
      <c r="H16">
        <v>210048089</v>
      </c>
      <c r="I16" t="s">
        <v>622</v>
      </c>
      <c r="J16" t="s">
        <v>632</v>
      </c>
      <c r="K16" t="s">
        <v>545</v>
      </c>
      <c r="L16" t="s">
        <v>294</v>
      </c>
      <c r="M16" t="s">
        <v>546</v>
      </c>
      <c r="N16" t="s">
        <v>468</v>
      </c>
      <c r="O16" t="s">
        <v>547</v>
      </c>
      <c r="P16" t="s">
        <v>264</v>
      </c>
      <c r="Q16">
        <v>26.8</v>
      </c>
      <c r="R16">
        <v>219</v>
      </c>
      <c r="S16" t="s">
        <v>264</v>
      </c>
      <c r="T16">
        <v>-9999</v>
      </c>
      <c r="U16">
        <v>527</v>
      </c>
      <c r="V16">
        <v>544</v>
      </c>
      <c r="W16">
        <v>520</v>
      </c>
      <c r="X16" t="s">
        <v>270</v>
      </c>
      <c r="Y16">
        <v>0</v>
      </c>
      <c r="Z16">
        <v>55</v>
      </c>
      <c r="AA16" t="s">
        <v>469</v>
      </c>
      <c r="AB16" t="s">
        <v>548</v>
      </c>
      <c r="AC16">
        <v>1</v>
      </c>
      <c r="AD16" t="s">
        <v>549</v>
      </c>
      <c r="AE16">
        <v>0</v>
      </c>
      <c r="AF16">
        <v>-7</v>
      </c>
      <c r="AG16" t="s">
        <v>264</v>
      </c>
      <c r="AH16">
        <v>-9999</v>
      </c>
      <c r="AI16">
        <v>470</v>
      </c>
      <c r="AJ16">
        <v>558</v>
      </c>
      <c r="AK16">
        <v>458</v>
      </c>
      <c r="AL16" t="s">
        <v>270</v>
      </c>
      <c r="AM16">
        <v>0</v>
      </c>
      <c r="AN16">
        <v>55</v>
      </c>
      <c r="AO16" t="s">
        <v>470</v>
      </c>
      <c r="AP16" t="s">
        <v>548</v>
      </c>
      <c r="AQ16">
        <v>2</v>
      </c>
      <c r="AR16" t="s">
        <v>549</v>
      </c>
      <c r="AS16">
        <v>0</v>
      </c>
      <c r="AT16">
        <v>35</v>
      </c>
      <c r="AU16" t="s">
        <v>264</v>
      </c>
      <c r="AV16">
        <v>-9999</v>
      </c>
      <c r="AW16">
        <v>410</v>
      </c>
      <c r="AX16">
        <v>432</v>
      </c>
      <c r="AY16">
        <v>405</v>
      </c>
      <c r="AZ16" t="s">
        <v>270</v>
      </c>
      <c r="BA16">
        <v>0</v>
      </c>
      <c r="BB16">
        <v>55</v>
      </c>
      <c r="BC16" t="s">
        <v>550</v>
      </c>
      <c r="BD16" t="s">
        <v>548</v>
      </c>
      <c r="BE16">
        <v>3</v>
      </c>
      <c r="BF16" t="s">
        <v>584</v>
      </c>
      <c r="BG16">
        <v>17.100000000000001</v>
      </c>
      <c r="BH16">
        <v>495</v>
      </c>
      <c r="BI16" t="s">
        <v>264</v>
      </c>
      <c r="BJ16">
        <v>-9999</v>
      </c>
      <c r="BK16">
        <v>-6</v>
      </c>
      <c r="BL16">
        <v>21</v>
      </c>
      <c r="BM16">
        <v>6</v>
      </c>
      <c r="BN16" t="s">
        <v>270</v>
      </c>
      <c r="BO16">
        <v>0</v>
      </c>
      <c r="BP16">
        <v>55</v>
      </c>
      <c r="BQ16" t="s">
        <v>504</v>
      </c>
      <c r="BR16" t="s">
        <v>548</v>
      </c>
      <c r="BS16">
        <v>4</v>
      </c>
      <c r="BT16" t="s">
        <v>549</v>
      </c>
      <c r="BU16">
        <v>53</v>
      </c>
      <c r="BV16">
        <v>59</v>
      </c>
      <c r="BW16" t="s">
        <v>264</v>
      </c>
      <c r="BX16">
        <v>-9999</v>
      </c>
      <c r="BY16">
        <v>162</v>
      </c>
      <c r="BZ16">
        <v>186</v>
      </c>
      <c r="CA16">
        <v>160</v>
      </c>
      <c r="CB16" t="s">
        <v>270</v>
      </c>
      <c r="CC16">
        <v>0</v>
      </c>
      <c r="CD16">
        <v>55</v>
      </c>
      <c r="CE16" t="s">
        <v>471</v>
      </c>
      <c r="CF16" t="s">
        <v>548</v>
      </c>
      <c r="CG16">
        <v>5</v>
      </c>
      <c r="CH16" t="s">
        <v>549</v>
      </c>
      <c r="CI16">
        <v>54.6</v>
      </c>
      <c r="CJ16">
        <v>60</v>
      </c>
      <c r="CK16" t="s">
        <v>264</v>
      </c>
      <c r="CL16">
        <v>-9999</v>
      </c>
      <c r="CM16">
        <v>470</v>
      </c>
      <c r="CN16">
        <v>549</v>
      </c>
      <c r="CO16">
        <v>469</v>
      </c>
      <c r="CP16" t="s">
        <v>270</v>
      </c>
      <c r="CQ16">
        <v>0</v>
      </c>
      <c r="CR16">
        <v>55</v>
      </c>
      <c r="CS16" t="s">
        <v>472</v>
      </c>
      <c r="CT16" t="s">
        <v>548</v>
      </c>
      <c r="CU16">
        <v>6</v>
      </c>
      <c r="CV16" t="s">
        <v>549</v>
      </c>
      <c r="CW16">
        <v>0</v>
      </c>
      <c r="CX16">
        <v>4</v>
      </c>
      <c r="CY16" t="s">
        <v>264</v>
      </c>
      <c r="CZ16">
        <v>-9999</v>
      </c>
      <c r="DA16">
        <v>673</v>
      </c>
      <c r="DB16">
        <v>762</v>
      </c>
      <c r="DC16">
        <v>661</v>
      </c>
      <c r="DD16" t="s">
        <v>270</v>
      </c>
      <c r="DE16">
        <v>0</v>
      </c>
      <c r="DF16">
        <v>55</v>
      </c>
      <c r="DG16" t="s">
        <v>473</v>
      </c>
      <c r="DH16" t="s">
        <v>548</v>
      </c>
      <c r="DI16">
        <v>7</v>
      </c>
      <c r="DJ16" t="s">
        <v>549</v>
      </c>
      <c r="DK16">
        <v>48.6</v>
      </c>
      <c r="DL16">
        <v>67</v>
      </c>
      <c r="DM16" t="s">
        <v>264</v>
      </c>
      <c r="DN16">
        <v>-9999</v>
      </c>
      <c r="DO16">
        <v>452</v>
      </c>
      <c r="DP16">
        <v>514</v>
      </c>
      <c r="DQ16">
        <v>448</v>
      </c>
      <c r="DR16" t="s">
        <v>270</v>
      </c>
      <c r="DS16">
        <v>0</v>
      </c>
      <c r="DT16">
        <v>55</v>
      </c>
      <c r="DU16" t="s">
        <v>474</v>
      </c>
      <c r="DV16" t="s">
        <v>548</v>
      </c>
      <c r="DW16">
        <v>8</v>
      </c>
      <c r="DX16" t="s">
        <v>549</v>
      </c>
      <c r="DY16">
        <v>48</v>
      </c>
      <c r="DZ16">
        <v>41</v>
      </c>
      <c r="EA16" t="s">
        <v>264</v>
      </c>
      <c r="EB16">
        <v>-9999</v>
      </c>
      <c r="EC16">
        <v>101</v>
      </c>
      <c r="ED16">
        <v>121</v>
      </c>
      <c r="EE16">
        <v>98</v>
      </c>
      <c r="EF16" t="s">
        <v>270</v>
      </c>
      <c r="EG16">
        <v>0</v>
      </c>
      <c r="EH16">
        <v>55</v>
      </c>
      <c r="EI16" t="s">
        <v>475</v>
      </c>
      <c r="EJ16" t="s">
        <v>548</v>
      </c>
      <c r="EK16">
        <v>9</v>
      </c>
      <c r="EL16" t="s">
        <v>549</v>
      </c>
      <c r="EM16">
        <v>0</v>
      </c>
      <c r="EN16">
        <v>-23</v>
      </c>
      <c r="EO16" t="s">
        <v>264</v>
      </c>
      <c r="EP16">
        <v>-9999</v>
      </c>
      <c r="EQ16">
        <v>363</v>
      </c>
      <c r="ER16">
        <v>347</v>
      </c>
      <c r="ES16">
        <v>314</v>
      </c>
      <c r="ET16" t="s">
        <v>270</v>
      </c>
      <c r="EU16">
        <v>0</v>
      </c>
      <c r="EV16">
        <v>55</v>
      </c>
      <c r="EW16" t="s">
        <v>551</v>
      </c>
      <c r="EX16" t="s">
        <v>552</v>
      </c>
      <c r="EY16">
        <v>147</v>
      </c>
      <c r="EZ16">
        <v>148</v>
      </c>
      <c r="FA16">
        <v>149</v>
      </c>
      <c r="FB16" t="s">
        <v>270</v>
      </c>
      <c r="FC16" t="s">
        <v>553</v>
      </c>
      <c r="FD16" t="s">
        <v>552</v>
      </c>
      <c r="FE16">
        <v>308</v>
      </c>
      <c r="FF16">
        <v>306</v>
      </c>
      <c r="FG16">
        <v>305</v>
      </c>
      <c r="FH16" t="s">
        <v>270</v>
      </c>
      <c r="FI16" t="s">
        <v>554</v>
      </c>
      <c r="FJ16" t="s">
        <v>555</v>
      </c>
      <c r="FK16">
        <v>0</v>
      </c>
      <c r="FL16">
        <v>0</v>
      </c>
      <c r="FM16">
        <v>0</v>
      </c>
      <c r="FN16" t="s">
        <v>264</v>
      </c>
      <c r="FQ16" t="s">
        <v>556</v>
      </c>
      <c r="FR16" t="s">
        <v>555</v>
      </c>
      <c r="FS16">
        <v>0</v>
      </c>
      <c r="FT16">
        <v>0</v>
      </c>
      <c r="FU16">
        <v>0</v>
      </c>
      <c r="FV16" t="s">
        <v>264</v>
      </c>
      <c r="FY16" t="s">
        <v>557</v>
      </c>
      <c r="FZ16" t="s">
        <v>555</v>
      </c>
      <c r="GA16">
        <v>0</v>
      </c>
      <c r="GB16">
        <v>0</v>
      </c>
      <c r="GC16">
        <v>0</v>
      </c>
      <c r="GD16" t="s">
        <v>264</v>
      </c>
      <c r="GG16" t="s">
        <v>558</v>
      </c>
      <c r="GH16" t="s">
        <v>555</v>
      </c>
      <c r="GI16">
        <v>0</v>
      </c>
      <c r="GJ16">
        <v>0</v>
      </c>
      <c r="GK16">
        <v>0</v>
      </c>
      <c r="GL16" t="s">
        <v>264</v>
      </c>
      <c r="GO16" t="s">
        <v>559</v>
      </c>
      <c r="GP16" t="s">
        <v>555</v>
      </c>
      <c r="GQ16">
        <v>0</v>
      </c>
      <c r="GR16">
        <v>0</v>
      </c>
      <c r="GS16">
        <v>0</v>
      </c>
      <c r="GT16" t="s">
        <v>264</v>
      </c>
      <c r="GW16" t="s">
        <v>560</v>
      </c>
      <c r="GX16" t="s">
        <v>555</v>
      </c>
      <c r="GY16">
        <v>0</v>
      </c>
      <c r="GZ16">
        <v>0</v>
      </c>
      <c r="HA16">
        <v>0</v>
      </c>
      <c r="HB16" t="s">
        <v>264</v>
      </c>
      <c r="HE16" t="s">
        <v>561</v>
      </c>
      <c r="HF16" t="s">
        <v>555</v>
      </c>
      <c r="HG16">
        <v>0</v>
      </c>
      <c r="HH16">
        <v>0</v>
      </c>
      <c r="HI16">
        <v>0</v>
      </c>
      <c r="HJ16" t="s">
        <v>264</v>
      </c>
      <c r="HM16" t="s">
        <v>562</v>
      </c>
      <c r="HN16" t="s">
        <v>555</v>
      </c>
      <c r="HO16">
        <v>0</v>
      </c>
      <c r="HP16">
        <v>0</v>
      </c>
      <c r="HQ16">
        <v>0</v>
      </c>
      <c r="HR16" t="s">
        <v>264</v>
      </c>
      <c r="HU16" t="s">
        <v>563</v>
      </c>
      <c r="HV16" t="s">
        <v>555</v>
      </c>
      <c r="HW16">
        <v>0</v>
      </c>
      <c r="HX16">
        <v>0</v>
      </c>
      <c r="HY16">
        <v>0</v>
      </c>
      <c r="HZ16" t="s">
        <v>264</v>
      </c>
      <c r="IC16" t="s">
        <v>564</v>
      </c>
      <c r="ID16" t="s">
        <v>555</v>
      </c>
      <c r="IE16">
        <v>0</v>
      </c>
      <c r="IF16">
        <v>0</v>
      </c>
      <c r="IG16">
        <v>0</v>
      </c>
      <c r="IH16" t="s">
        <v>264</v>
      </c>
      <c r="IK16" t="s">
        <v>565</v>
      </c>
      <c r="IL16" t="s">
        <v>555</v>
      </c>
      <c r="IM16">
        <v>0</v>
      </c>
      <c r="IN16">
        <v>0</v>
      </c>
      <c r="IO16">
        <v>0</v>
      </c>
      <c r="IP16" t="s">
        <v>264</v>
      </c>
      <c r="IS16" t="s">
        <v>566</v>
      </c>
      <c r="IT16" t="s">
        <v>555</v>
      </c>
      <c r="IU16">
        <v>0</v>
      </c>
      <c r="IV16">
        <v>0</v>
      </c>
      <c r="IW16">
        <v>0</v>
      </c>
      <c r="IX16" t="s">
        <v>264</v>
      </c>
      <c r="JA16" t="s">
        <v>567</v>
      </c>
      <c r="JB16" t="s">
        <v>555</v>
      </c>
      <c r="JC16">
        <v>0</v>
      </c>
      <c r="JD16">
        <v>0</v>
      </c>
      <c r="JE16">
        <v>0</v>
      </c>
      <c r="JF16" t="s">
        <v>264</v>
      </c>
      <c r="JI16" t="s">
        <v>568</v>
      </c>
      <c r="JJ16" t="s">
        <v>555</v>
      </c>
      <c r="JK16">
        <v>0</v>
      </c>
      <c r="JL16">
        <v>0</v>
      </c>
      <c r="JM16">
        <v>0</v>
      </c>
      <c r="JN16" t="s">
        <v>264</v>
      </c>
      <c r="JQ16" t="s">
        <v>569</v>
      </c>
      <c r="JR16" t="s">
        <v>555</v>
      </c>
      <c r="JS16">
        <v>0</v>
      </c>
      <c r="JT16">
        <v>0</v>
      </c>
      <c r="JU16">
        <v>0</v>
      </c>
      <c r="JV16" t="s">
        <v>264</v>
      </c>
      <c r="JY16" t="s">
        <v>570</v>
      </c>
      <c r="JZ16" t="s">
        <v>555</v>
      </c>
      <c r="KA16">
        <v>0</v>
      </c>
      <c r="KB16">
        <v>0</v>
      </c>
      <c r="KC16">
        <v>0</v>
      </c>
      <c r="KD16" t="s">
        <v>264</v>
      </c>
      <c r="KG16" t="s">
        <v>571</v>
      </c>
      <c r="KH16" t="s">
        <v>555</v>
      </c>
      <c r="KI16">
        <v>0</v>
      </c>
      <c r="KJ16">
        <v>0</v>
      </c>
      <c r="KK16">
        <v>0</v>
      </c>
      <c r="KL16" t="s">
        <v>264</v>
      </c>
      <c r="KO16" t="s">
        <v>572</v>
      </c>
      <c r="KP16" t="s">
        <v>555</v>
      </c>
      <c r="KQ16">
        <v>0</v>
      </c>
      <c r="KR16">
        <v>0</v>
      </c>
      <c r="KS16">
        <v>0</v>
      </c>
      <c r="KT16" t="s">
        <v>264</v>
      </c>
      <c r="KW16" t="s">
        <v>573</v>
      </c>
      <c r="KX16" t="s">
        <v>555</v>
      </c>
      <c r="KY16">
        <v>0</v>
      </c>
      <c r="KZ16">
        <v>0</v>
      </c>
      <c r="LA16">
        <v>0</v>
      </c>
      <c r="LB16" t="s">
        <v>264</v>
      </c>
      <c r="LE16" t="s">
        <v>574</v>
      </c>
      <c r="LF16" t="s">
        <v>555</v>
      </c>
      <c r="LG16">
        <v>0</v>
      </c>
      <c r="LH16">
        <v>0</v>
      </c>
      <c r="LI16">
        <v>0</v>
      </c>
      <c r="LJ16" t="s">
        <v>264</v>
      </c>
      <c r="LM16" t="s">
        <v>575</v>
      </c>
      <c r="LN16" t="s">
        <v>555</v>
      </c>
      <c r="LO16">
        <v>0</v>
      </c>
      <c r="LP16">
        <v>0</v>
      </c>
      <c r="LQ16">
        <v>0</v>
      </c>
      <c r="LR16" t="s">
        <v>264</v>
      </c>
      <c r="LU16" t="s">
        <v>576</v>
      </c>
      <c r="LV16" t="s">
        <v>555</v>
      </c>
      <c r="LW16">
        <v>0</v>
      </c>
      <c r="LX16">
        <v>0</v>
      </c>
      <c r="LY16">
        <v>0</v>
      </c>
      <c r="LZ16" t="s">
        <v>264</v>
      </c>
      <c r="MC16" t="s">
        <v>577</v>
      </c>
      <c r="MD16" t="s">
        <v>555</v>
      </c>
      <c r="ME16">
        <v>0</v>
      </c>
      <c r="MF16">
        <v>0</v>
      </c>
      <c r="MG16">
        <v>0</v>
      </c>
      <c r="MH16" t="s">
        <v>264</v>
      </c>
      <c r="MK16" t="s">
        <v>578</v>
      </c>
      <c r="ML16" t="s">
        <v>555</v>
      </c>
      <c r="MM16">
        <v>0</v>
      </c>
      <c r="MN16">
        <v>0</v>
      </c>
      <c r="MO16">
        <v>0</v>
      </c>
      <c r="MP16" t="s">
        <v>264</v>
      </c>
      <c r="MS16" t="s">
        <v>579</v>
      </c>
      <c r="MT16" t="s">
        <v>555</v>
      </c>
      <c r="MU16">
        <v>0</v>
      </c>
      <c r="MV16">
        <v>0</v>
      </c>
      <c r="MW16">
        <v>0</v>
      </c>
      <c r="MX16" t="s">
        <v>264</v>
      </c>
      <c r="NA16" t="s">
        <v>580</v>
      </c>
      <c r="NB16" t="s">
        <v>555</v>
      </c>
      <c r="NC16">
        <v>0</v>
      </c>
      <c r="ND16">
        <v>0</v>
      </c>
      <c r="NE16">
        <v>0</v>
      </c>
      <c r="NF16" t="s">
        <v>264</v>
      </c>
      <c r="NI16">
        <v>40</v>
      </c>
      <c r="NJ16">
        <v>-9.1999999999999993</v>
      </c>
      <c r="NP16" t="s">
        <v>624</v>
      </c>
    </row>
    <row r="17" spans="1:380" customFormat="1" x14ac:dyDescent="0.2">
      <c r="A17" t="s">
        <v>517</v>
      </c>
      <c r="B17">
        <v>1</v>
      </c>
      <c r="C17" t="s">
        <v>633</v>
      </c>
      <c r="D17">
        <v>646951357</v>
      </c>
      <c r="E17">
        <v>12602</v>
      </c>
      <c r="F17" t="s">
        <v>542</v>
      </c>
      <c r="G17">
        <v>847922</v>
      </c>
      <c r="H17">
        <v>656173</v>
      </c>
      <c r="I17" t="s">
        <v>622</v>
      </c>
      <c r="J17" t="s">
        <v>634</v>
      </c>
      <c r="K17" t="s">
        <v>545</v>
      </c>
      <c r="L17" t="s">
        <v>294</v>
      </c>
      <c r="M17" t="s">
        <v>546</v>
      </c>
      <c r="N17" t="s">
        <v>468</v>
      </c>
      <c r="O17" t="s">
        <v>547</v>
      </c>
      <c r="P17" t="s">
        <v>270</v>
      </c>
      <c r="Q17">
        <v>27.2</v>
      </c>
      <c r="R17">
        <v>229</v>
      </c>
      <c r="S17" t="s">
        <v>270</v>
      </c>
      <c r="T17">
        <v>-9999</v>
      </c>
      <c r="U17">
        <v>525</v>
      </c>
      <c r="V17">
        <v>538</v>
      </c>
      <c r="W17">
        <v>513</v>
      </c>
      <c r="X17" t="s">
        <v>270</v>
      </c>
      <c r="Y17">
        <v>0</v>
      </c>
      <c r="Z17">
        <v>55</v>
      </c>
      <c r="AA17" t="s">
        <v>469</v>
      </c>
      <c r="AB17" t="s">
        <v>548</v>
      </c>
      <c r="AC17">
        <v>1</v>
      </c>
      <c r="AD17" t="s">
        <v>549</v>
      </c>
      <c r="AE17">
        <v>0</v>
      </c>
      <c r="AF17">
        <v>0</v>
      </c>
      <c r="AG17" t="s">
        <v>264</v>
      </c>
      <c r="AH17">
        <v>-9999</v>
      </c>
      <c r="AI17">
        <v>479</v>
      </c>
      <c r="AJ17">
        <v>597</v>
      </c>
      <c r="AK17">
        <v>476</v>
      </c>
      <c r="AL17" t="s">
        <v>270</v>
      </c>
      <c r="AM17">
        <v>0</v>
      </c>
      <c r="AN17">
        <v>55</v>
      </c>
      <c r="AO17" t="s">
        <v>470</v>
      </c>
      <c r="AP17" t="s">
        <v>548</v>
      </c>
      <c r="AQ17">
        <v>2</v>
      </c>
      <c r="AR17" t="s">
        <v>549</v>
      </c>
      <c r="AS17">
        <v>0</v>
      </c>
      <c r="AT17">
        <v>28</v>
      </c>
      <c r="AU17" t="s">
        <v>264</v>
      </c>
      <c r="AV17">
        <v>-9999</v>
      </c>
      <c r="AW17">
        <v>305</v>
      </c>
      <c r="AX17">
        <v>319</v>
      </c>
      <c r="AY17">
        <v>303</v>
      </c>
      <c r="AZ17" t="s">
        <v>270</v>
      </c>
      <c r="BA17">
        <v>0</v>
      </c>
      <c r="BB17">
        <v>55</v>
      </c>
      <c r="BC17" t="s">
        <v>550</v>
      </c>
      <c r="BD17" t="s">
        <v>548</v>
      </c>
      <c r="BE17">
        <v>3</v>
      </c>
      <c r="BF17" t="s">
        <v>549</v>
      </c>
      <c r="BG17">
        <v>0</v>
      </c>
      <c r="BH17">
        <v>8</v>
      </c>
      <c r="BI17" t="s">
        <v>264</v>
      </c>
      <c r="BJ17">
        <v>-9999</v>
      </c>
      <c r="BK17">
        <v>157</v>
      </c>
      <c r="BL17">
        <v>196</v>
      </c>
      <c r="BM17">
        <v>157</v>
      </c>
      <c r="BN17" t="s">
        <v>270</v>
      </c>
      <c r="BO17">
        <v>0</v>
      </c>
      <c r="BP17">
        <v>55</v>
      </c>
      <c r="BQ17" t="s">
        <v>504</v>
      </c>
      <c r="BR17" t="s">
        <v>548</v>
      </c>
      <c r="BS17">
        <v>4</v>
      </c>
      <c r="BT17" t="s">
        <v>549</v>
      </c>
      <c r="BU17">
        <v>52.8</v>
      </c>
      <c r="BV17">
        <v>84</v>
      </c>
      <c r="BW17" t="s">
        <v>264</v>
      </c>
      <c r="BX17">
        <v>-9999</v>
      </c>
      <c r="BY17">
        <v>189</v>
      </c>
      <c r="BZ17">
        <v>217</v>
      </c>
      <c r="CA17">
        <v>187</v>
      </c>
      <c r="CB17" t="s">
        <v>270</v>
      </c>
      <c r="CC17">
        <v>0</v>
      </c>
      <c r="CD17">
        <v>55</v>
      </c>
      <c r="CE17" t="s">
        <v>471</v>
      </c>
      <c r="CF17" t="s">
        <v>548</v>
      </c>
      <c r="CG17">
        <v>5</v>
      </c>
      <c r="CH17" t="s">
        <v>549</v>
      </c>
      <c r="CI17">
        <v>52.4</v>
      </c>
      <c r="CJ17">
        <v>187</v>
      </c>
      <c r="CK17" t="s">
        <v>264</v>
      </c>
      <c r="CL17">
        <v>-9999</v>
      </c>
      <c r="CM17">
        <v>451</v>
      </c>
      <c r="CN17">
        <v>524</v>
      </c>
      <c r="CO17">
        <v>449</v>
      </c>
      <c r="CP17" t="s">
        <v>270</v>
      </c>
      <c r="CQ17">
        <v>0</v>
      </c>
      <c r="CR17">
        <v>55</v>
      </c>
      <c r="CS17" t="s">
        <v>472</v>
      </c>
      <c r="CT17" t="s">
        <v>548</v>
      </c>
      <c r="CU17">
        <v>6</v>
      </c>
      <c r="CV17" t="s">
        <v>549</v>
      </c>
      <c r="CW17">
        <v>53.5</v>
      </c>
      <c r="CX17">
        <v>100</v>
      </c>
      <c r="CY17" t="s">
        <v>264</v>
      </c>
      <c r="CZ17">
        <v>-9999</v>
      </c>
      <c r="DA17">
        <v>605</v>
      </c>
      <c r="DB17">
        <v>682</v>
      </c>
      <c r="DC17">
        <v>591</v>
      </c>
      <c r="DD17" t="s">
        <v>270</v>
      </c>
      <c r="DE17">
        <v>0</v>
      </c>
      <c r="DF17">
        <v>55</v>
      </c>
      <c r="DG17" t="s">
        <v>473</v>
      </c>
      <c r="DH17" t="s">
        <v>548</v>
      </c>
      <c r="DI17">
        <v>7</v>
      </c>
      <c r="DJ17" t="s">
        <v>549</v>
      </c>
      <c r="DK17">
        <v>0</v>
      </c>
      <c r="DL17">
        <v>18</v>
      </c>
      <c r="DM17" t="s">
        <v>264</v>
      </c>
      <c r="DN17">
        <v>-9999</v>
      </c>
      <c r="DO17">
        <v>530</v>
      </c>
      <c r="DP17">
        <v>604</v>
      </c>
      <c r="DQ17">
        <v>525</v>
      </c>
      <c r="DR17" t="s">
        <v>270</v>
      </c>
      <c r="DS17">
        <v>0</v>
      </c>
      <c r="DT17">
        <v>55</v>
      </c>
      <c r="DU17" t="s">
        <v>474</v>
      </c>
      <c r="DV17" t="s">
        <v>548</v>
      </c>
      <c r="DW17">
        <v>8</v>
      </c>
      <c r="DX17" t="s">
        <v>549</v>
      </c>
      <c r="DY17">
        <v>50.1</v>
      </c>
      <c r="DZ17">
        <v>48</v>
      </c>
      <c r="EA17" t="s">
        <v>264</v>
      </c>
      <c r="EB17">
        <v>-9999</v>
      </c>
      <c r="EC17">
        <v>88</v>
      </c>
      <c r="ED17">
        <v>108</v>
      </c>
      <c r="EE17">
        <v>86</v>
      </c>
      <c r="EF17" t="s">
        <v>270</v>
      </c>
      <c r="EG17">
        <v>0</v>
      </c>
      <c r="EH17">
        <v>55</v>
      </c>
      <c r="EI17" t="s">
        <v>475</v>
      </c>
      <c r="EJ17" t="s">
        <v>548</v>
      </c>
      <c r="EK17">
        <v>9</v>
      </c>
      <c r="EL17" t="s">
        <v>549</v>
      </c>
      <c r="EM17">
        <v>0</v>
      </c>
      <c r="EN17">
        <v>-8</v>
      </c>
      <c r="EO17" t="s">
        <v>264</v>
      </c>
      <c r="EP17">
        <v>-9999</v>
      </c>
      <c r="EQ17">
        <v>269</v>
      </c>
      <c r="ER17">
        <v>253</v>
      </c>
      <c r="ES17">
        <v>236</v>
      </c>
      <c r="ET17" t="s">
        <v>270</v>
      </c>
      <c r="EU17">
        <v>0</v>
      </c>
      <c r="EV17">
        <v>55</v>
      </c>
      <c r="EW17" t="s">
        <v>551</v>
      </c>
      <c r="EX17" t="s">
        <v>552</v>
      </c>
      <c r="EY17">
        <v>133</v>
      </c>
      <c r="EZ17">
        <v>132</v>
      </c>
      <c r="FA17">
        <v>133</v>
      </c>
      <c r="FB17" t="s">
        <v>270</v>
      </c>
      <c r="FC17" t="s">
        <v>553</v>
      </c>
      <c r="FD17" t="s">
        <v>552</v>
      </c>
      <c r="FE17">
        <v>266</v>
      </c>
      <c r="FF17">
        <v>265</v>
      </c>
      <c r="FG17">
        <v>264</v>
      </c>
      <c r="FH17" t="s">
        <v>270</v>
      </c>
      <c r="FI17" t="s">
        <v>554</v>
      </c>
      <c r="FJ17" t="s">
        <v>555</v>
      </c>
      <c r="FK17">
        <v>0</v>
      </c>
      <c r="FL17">
        <v>0</v>
      </c>
      <c r="FM17">
        <v>0</v>
      </c>
      <c r="FN17" t="s">
        <v>264</v>
      </c>
      <c r="FQ17" t="s">
        <v>556</v>
      </c>
      <c r="FR17" t="s">
        <v>555</v>
      </c>
      <c r="FS17">
        <v>0</v>
      </c>
      <c r="FT17">
        <v>0</v>
      </c>
      <c r="FU17">
        <v>0</v>
      </c>
      <c r="FV17" t="s">
        <v>264</v>
      </c>
      <c r="FY17" t="s">
        <v>557</v>
      </c>
      <c r="FZ17" t="s">
        <v>555</v>
      </c>
      <c r="GA17">
        <v>0</v>
      </c>
      <c r="GB17">
        <v>0</v>
      </c>
      <c r="GC17">
        <v>0</v>
      </c>
      <c r="GD17" t="s">
        <v>264</v>
      </c>
      <c r="GG17" t="s">
        <v>558</v>
      </c>
      <c r="GH17" t="s">
        <v>555</v>
      </c>
      <c r="GI17">
        <v>0</v>
      </c>
      <c r="GJ17">
        <v>0</v>
      </c>
      <c r="GK17">
        <v>0</v>
      </c>
      <c r="GL17" t="s">
        <v>264</v>
      </c>
      <c r="GO17" t="s">
        <v>559</v>
      </c>
      <c r="GP17" t="s">
        <v>555</v>
      </c>
      <c r="GQ17">
        <v>0</v>
      </c>
      <c r="GR17">
        <v>0</v>
      </c>
      <c r="GS17">
        <v>0</v>
      </c>
      <c r="GT17" t="s">
        <v>264</v>
      </c>
      <c r="GW17" t="s">
        <v>560</v>
      </c>
      <c r="GX17" t="s">
        <v>555</v>
      </c>
      <c r="GY17">
        <v>0</v>
      </c>
      <c r="GZ17">
        <v>0</v>
      </c>
      <c r="HA17">
        <v>0</v>
      </c>
      <c r="HB17" t="s">
        <v>264</v>
      </c>
      <c r="HE17" t="s">
        <v>561</v>
      </c>
      <c r="HF17" t="s">
        <v>555</v>
      </c>
      <c r="HG17">
        <v>0</v>
      </c>
      <c r="HH17">
        <v>0</v>
      </c>
      <c r="HI17">
        <v>0</v>
      </c>
      <c r="HJ17" t="s">
        <v>264</v>
      </c>
      <c r="HM17" t="s">
        <v>562</v>
      </c>
      <c r="HN17" t="s">
        <v>555</v>
      </c>
      <c r="HO17">
        <v>0</v>
      </c>
      <c r="HP17">
        <v>0</v>
      </c>
      <c r="HQ17">
        <v>0</v>
      </c>
      <c r="HR17" t="s">
        <v>264</v>
      </c>
      <c r="HU17" t="s">
        <v>563</v>
      </c>
      <c r="HV17" t="s">
        <v>555</v>
      </c>
      <c r="HW17">
        <v>0</v>
      </c>
      <c r="HX17">
        <v>0</v>
      </c>
      <c r="HY17">
        <v>0</v>
      </c>
      <c r="HZ17" t="s">
        <v>264</v>
      </c>
      <c r="IC17" t="s">
        <v>564</v>
      </c>
      <c r="ID17" t="s">
        <v>555</v>
      </c>
      <c r="IE17">
        <v>0</v>
      </c>
      <c r="IF17">
        <v>0</v>
      </c>
      <c r="IG17">
        <v>0</v>
      </c>
      <c r="IH17" t="s">
        <v>264</v>
      </c>
      <c r="IK17" t="s">
        <v>565</v>
      </c>
      <c r="IL17" t="s">
        <v>555</v>
      </c>
      <c r="IM17">
        <v>0</v>
      </c>
      <c r="IN17">
        <v>0</v>
      </c>
      <c r="IO17">
        <v>0</v>
      </c>
      <c r="IP17" t="s">
        <v>264</v>
      </c>
      <c r="IS17" t="s">
        <v>566</v>
      </c>
      <c r="IT17" t="s">
        <v>555</v>
      </c>
      <c r="IU17">
        <v>0</v>
      </c>
      <c r="IV17">
        <v>0</v>
      </c>
      <c r="IW17">
        <v>0</v>
      </c>
      <c r="IX17" t="s">
        <v>264</v>
      </c>
      <c r="JA17" t="s">
        <v>567</v>
      </c>
      <c r="JB17" t="s">
        <v>555</v>
      </c>
      <c r="JC17">
        <v>0</v>
      </c>
      <c r="JD17">
        <v>0</v>
      </c>
      <c r="JE17">
        <v>0</v>
      </c>
      <c r="JF17" t="s">
        <v>264</v>
      </c>
      <c r="JI17" t="s">
        <v>568</v>
      </c>
      <c r="JJ17" t="s">
        <v>555</v>
      </c>
      <c r="JK17">
        <v>0</v>
      </c>
      <c r="JL17">
        <v>0</v>
      </c>
      <c r="JM17">
        <v>0</v>
      </c>
      <c r="JN17" t="s">
        <v>264</v>
      </c>
      <c r="JQ17" t="s">
        <v>569</v>
      </c>
      <c r="JR17" t="s">
        <v>555</v>
      </c>
      <c r="JS17">
        <v>0</v>
      </c>
      <c r="JT17">
        <v>0</v>
      </c>
      <c r="JU17">
        <v>0</v>
      </c>
      <c r="JV17" t="s">
        <v>264</v>
      </c>
      <c r="JY17" t="s">
        <v>570</v>
      </c>
      <c r="JZ17" t="s">
        <v>555</v>
      </c>
      <c r="KA17">
        <v>0</v>
      </c>
      <c r="KB17">
        <v>0</v>
      </c>
      <c r="KC17">
        <v>0</v>
      </c>
      <c r="KD17" t="s">
        <v>264</v>
      </c>
      <c r="KG17" t="s">
        <v>571</v>
      </c>
      <c r="KH17" t="s">
        <v>555</v>
      </c>
      <c r="KI17">
        <v>0</v>
      </c>
      <c r="KJ17">
        <v>0</v>
      </c>
      <c r="KK17">
        <v>0</v>
      </c>
      <c r="KL17" t="s">
        <v>264</v>
      </c>
      <c r="KO17" t="s">
        <v>572</v>
      </c>
      <c r="KP17" t="s">
        <v>555</v>
      </c>
      <c r="KQ17">
        <v>0</v>
      </c>
      <c r="KR17">
        <v>0</v>
      </c>
      <c r="KS17">
        <v>0</v>
      </c>
      <c r="KT17" t="s">
        <v>264</v>
      </c>
      <c r="KW17" t="s">
        <v>573</v>
      </c>
      <c r="KX17" t="s">
        <v>555</v>
      </c>
      <c r="KY17">
        <v>0</v>
      </c>
      <c r="KZ17">
        <v>0</v>
      </c>
      <c r="LA17">
        <v>0</v>
      </c>
      <c r="LB17" t="s">
        <v>264</v>
      </c>
      <c r="LE17" t="s">
        <v>574</v>
      </c>
      <c r="LF17" t="s">
        <v>555</v>
      </c>
      <c r="LG17">
        <v>0</v>
      </c>
      <c r="LH17">
        <v>0</v>
      </c>
      <c r="LI17">
        <v>0</v>
      </c>
      <c r="LJ17" t="s">
        <v>264</v>
      </c>
      <c r="LM17" t="s">
        <v>575</v>
      </c>
      <c r="LN17" t="s">
        <v>555</v>
      </c>
      <c r="LO17">
        <v>0</v>
      </c>
      <c r="LP17">
        <v>0</v>
      </c>
      <c r="LQ17">
        <v>0</v>
      </c>
      <c r="LR17" t="s">
        <v>264</v>
      </c>
      <c r="LU17" t="s">
        <v>576</v>
      </c>
      <c r="LV17" t="s">
        <v>555</v>
      </c>
      <c r="LW17">
        <v>0</v>
      </c>
      <c r="LX17">
        <v>0</v>
      </c>
      <c r="LY17">
        <v>0</v>
      </c>
      <c r="LZ17" t="s">
        <v>264</v>
      </c>
      <c r="MC17" t="s">
        <v>577</v>
      </c>
      <c r="MD17" t="s">
        <v>555</v>
      </c>
      <c r="ME17">
        <v>0</v>
      </c>
      <c r="MF17">
        <v>0</v>
      </c>
      <c r="MG17">
        <v>0</v>
      </c>
      <c r="MH17" t="s">
        <v>264</v>
      </c>
      <c r="MK17" t="s">
        <v>578</v>
      </c>
      <c r="ML17" t="s">
        <v>555</v>
      </c>
      <c r="MM17">
        <v>0</v>
      </c>
      <c r="MN17">
        <v>0</v>
      </c>
      <c r="MO17">
        <v>0</v>
      </c>
      <c r="MP17" t="s">
        <v>264</v>
      </c>
      <c r="MS17" t="s">
        <v>579</v>
      </c>
      <c r="MT17" t="s">
        <v>555</v>
      </c>
      <c r="MU17">
        <v>0</v>
      </c>
      <c r="MV17">
        <v>0</v>
      </c>
      <c r="MW17">
        <v>0</v>
      </c>
      <c r="MX17" t="s">
        <v>264</v>
      </c>
      <c r="NA17" t="s">
        <v>580</v>
      </c>
      <c r="NB17" t="s">
        <v>555</v>
      </c>
      <c r="NC17">
        <v>0</v>
      </c>
      <c r="ND17">
        <v>0</v>
      </c>
      <c r="NE17">
        <v>0</v>
      </c>
      <c r="NF17" t="s">
        <v>264</v>
      </c>
      <c r="NI17">
        <v>40</v>
      </c>
      <c r="NJ17">
        <v>-8.4</v>
      </c>
      <c r="NP17" t="s">
        <v>624</v>
      </c>
    </row>
    <row r="18" spans="1:380" customFormat="1" x14ac:dyDescent="0.2">
      <c r="A18" t="s">
        <v>517</v>
      </c>
      <c r="B18">
        <v>1</v>
      </c>
      <c r="C18" t="s">
        <v>635</v>
      </c>
      <c r="D18">
        <v>646950999</v>
      </c>
      <c r="E18">
        <v>12602</v>
      </c>
      <c r="F18" t="s">
        <v>542</v>
      </c>
      <c r="G18">
        <v>847922</v>
      </c>
      <c r="H18">
        <v>210002966</v>
      </c>
      <c r="I18" t="s">
        <v>622</v>
      </c>
      <c r="J18" t="s">
        <v>636</v>
      </c>
      <c r="K18" t="s">
        <v>545</v>
      </c>
      <c r="L18" t="s">
        <v>294</v>
      </c>
      <c r="M18" t="s">
        <v>546</v>
      </c>
      <c r="N18" t="s">
        <v>468</v>
      </c>
      <c r="O18" t="s">
        <v>547</v>
      </c>
      <c r="P18" t="s">
        <v>270</v>
      </c>
      <c r="Q18">
        <v>27.6</v>
      </c>
      <c r="R18">
        <v>218</v>
      </c>
      <c r="S18" t="s">
        <v>270</v>
      </c>
      <c r="T18">
        <v>-9999</v>
      </c>
      <c r="U18">
        <v>644</v>
      </c>
      <c r="V18">
        <v>665</v>
      </c>
      <c r="W18">
        <v>634</v>
      </c>
      <c r="X18" t="s">
        <v>270</v>
      </c>
      <c r="Y18">
        <v>0</v>
      </c>
      <c r="Z18">
        <v>55</v>
      </c>
      <c r="AA18" t="s">
        <v>469</v>
      </c>
      <c r="AB18" t="s">
        <v>548</v>
      </c>
      <c r="AC18">
        <v>1</v>
      </c>
      <c r="AD18" t="s">
        <v>549</v>
      </c>
      <c r="AE18">
        <v>0</v>
      </c>
      <c r="AF18">
        <v>53</v>
      </c>
      <c r="AG18" t="s">
        <v>264</v>
      </c>
      <c r="AH18">
        <v>-9999</v>
      </c>
      <c r="AI18">
        <v>459</v>
      </c>
      <c r="AJ18">
        <v>577</v>
      </c>
      <c r="AK18">
        <v>462</v>
      </c>
      <c r="AL18" t="s">
        <v>270</v>
      </c>
      <c r="AM18">
        <v>0</v>
      </c>
      <c r="AN18">
        <v>55</v>
      </c>
      <c r="AO18" t="s">
        <v>470</v>
      </c>
      <c r="AP18" t="s">
        <v>548</v>
      </c>
      <c r="AQ18">
        <v>2</v>
      </c>
      <c r="AR18" t="s">
        <v>549</v>
      </c>
      <c r="AS18">
        <v>54.3</v>
      </c>
      <c r="AT18">
        <v>52</v>
      </c>
      <c r="AU18" t="s">
        <v>264</v>
      </c>
      <c r="AV18">
        <v>-9999</v>
      </c>
      <c r="AW18">
        <v>343</v>
      </c>
      <c r="AX18">
        <v>361</v>
      </c>
      <c r="AY18">
        <v>342</v>
      </c>
      <c r="AZ18" t="s">
        <v>270</v>
      </c>
      <c r="BA18">
        <v>0</v>
      </c>
      <c r="BB18">
        <v>55</v>
      </c>
      <c r="BC18" t="s">
        <v>550</v>
      </c>
      <c r="BD18" t="s">
        <v>548</v>
      </c>
      <c r="BE18">
        <v>3</v>
      </c>
      <c r="BF18" t="s">
        <v>549</v>
      </c>
      <c r="BG18">
        <v>0</v>
      </c>
      <c r="BH18">
        <v>-6</v>
      </c>
      <c r="BI18" t="s">
        <v>264</v>
      </c>
      <c r="BJ18">
        <v>-9999</v>
      </c>
      <c r="BK18">
        <v>276</v>
      </c>
      <c r="BL18">
        <v>332</v>
      </c>
      <c r="BM18">
        <v>270</v>
      </c>
      <c r="BN18" t="s">
        <v>270</v>
      </c>
      <c r="BO18">
        <v>0</v>
      </c>
      <c r="BP18">
        <v>55</v>
      </c>
      <c r="BQ18" t="s">
        <v>504</v>
      </c>
      <c r="BR18" t="s">
        <v>548</v>
      </c>
      <c r="BS18">
        <v>4</v>
      </c>
      <c r="BT18" t="s">
        <v>549</v>
      </c>
      <c r="BU18">
        <v>52.1</v>
      </c>
      <c r="BV18">
        <v>95</v>
      </c>
      <c r="BW18" t="s">
        <v>264</v>
      </c>
      <c r="BX18">
        <v>-9999</v>
      </c>
      <c r="BY18">
        <v>213</v>
      </c>
      <c r="BZ18">
        <v>246</v>
      </c>
      <c r="CA18">
        <v>211</v>
      </c>
      <c r="CB18" t="s">
        <v>270</v>
      </c>
      <c r="CC18">
        <v>0</v>
      </c>
      <c r="CD18">
        <v>55</v>
      </c>
      <c r="CE18" t="s">
        <v>471</v>
      </c>
      <c r="CF18" t="s">
        <v>548</v>
      </c>
      <c r="CG18">
        <v>5</v>
      </c>
      <c r="CH18" t="s">
        <v>549</v>
      </c>
      <c r="CI18">
        <v>49.6</v>
      </c>
      <c r="CJ18">
        <v>247</v>
      </c>
      <c r="CK18" t="s">
        <v>264</v>
      </c>
      <c r="CL18">
        <v>-9999</v>
      </c>
      <c r="CM18">
        <v>453</v>
      </c>
      <c r="CN18">
        <v>530</v>
      </c>
      <c r="CO18">
        <v>453</v>
      </c>
      <c r="CP18" t="s">
        <v>270</v>
      </c>
      <c r="CQ18">
        <v>0</v>
      </c>
      <c r="CR18">
        <v>55</v>
      </c>
      <c r="CS18" t="s">
        <v>472</v>
      </c>
      <c r="CT18" t="s">
        <v>548</v>
      </c>
      <c r="CU18">
        <v>6</v>
      </c>
      <c r="CV18" t="s">
        <v>549</v>
      </c>
      <c r="CW18">
        <v>52.8</v>
      </c>
      <c r="CX18">
        <v>122</v>
      </c>
      <c r="CY18" t="s">
        <v>264</v>
      </c>
      <c r="CZ18">
        <v>-9999</v>
      </c>
      <c r="DA18">
        <v>642</v>
      </c>
      <c r="DB18">
        <v>728</v>
      </c>
      <c r="DC18">
        <v>634</v>
      </c>
      <c r="DD18" t="s">
        <v>270</v>
      </c>
      <c r="DE18">
        <v>0</v>
      </c>
      <c r="DF18">
        <v>55</v>
      </c>
      <c r="DG18" t="s">
        <v>473</v>
      </c>
      <c r="DH18" t="s">
        <v>548</v>
      </c>
      <c r="DI18">
        <v>7</v>
      </c>
      <c r="DJ18" t="s">
        <v>549</v>
      </c>
      <c r="DK18">
        <v>0</v>
      </c>
      <c r="DL18">
        <v>36</v>
      </c>
      <c r="DM18" t="s">
        <v>264</v>
      </c>
      <c r="DN18">
        <v>-9999</v>
      </c>
      <c r="DO18">
        <v>521</v>
      </c>
      <c r="DP18">
        <v>597</v>
      </c>
      <c r="DQ18">
        <v>519</v>
      </c>
      <c r="DR18" t="s">
        <v>270</v>
      </c>
      <c r="DS18">
        <v>0</v>
      </c>
      <c r="DT18">
        <v>55</v>
      </c>
      <c r="DU18" t="s">
        <v>474</v>
      </c>
      <c r="DV18" t="s">
        <v>548</v>
      </c>
      <c r="DW18">
        <v>8</v>
      </c>
      <c r="DX18" t="s">
        <v>549</v>
      </c>
      <c r="DY18">
        <v>51</v>
      </c>
      <c r="DZ18">
        <v>35</v>
      </c>
      <c r="EA18" t="s">
        <v>264</v>
      </c>
      <c r="EB18">
        <v>-9999</v>
      </c>
      <c r="EC18">
        <v>98</v>
      </c>
      <c r="ED18">
        <v>119</v>
      </c>
      <c r="EE18">
        <v>96</v>
      </c>
      <c r="EF18" t="s">
        <v>270</v>
      </c>
      <c r="EG18">
        <v>0</v>
      </c>
      <c r="EH18">
        <v>55</v>
      </c>
      <c r="EI18" t="s">
        <v>475</v>
      </c>
      <c r="EJ18" t="s">
        <v>548</v>
      </c>
      <c r="EK18">
        <v>9</v>
      </c>
      <c r="EL18" t="s">
        <v>549</v>
      </c>
      <c r="EM18">
        <v>0</v>
      </c>
      <c r="EN18">
        <v>8</v>
      </c>
      <c r="EO18" t="s">
        <v>264</v>
      </c>
      <c r="EP18">
        <v>-9999</v>
      </c>
      <c r="EQ18">
        <v>306</v>
      </c>
      <c r="ER18">
        <v>273</v>
      </c>
      <c r="ES18">
        <v>254</v>
      </c>
      <c r="ET18" t="s">
        <v>270</v>
      </c>
      <c r="EU18">
        <v>0</v>
      </c>
      <c r="EV18">
        <v>55</v>
      </c>
      <c r="EW18" t="s">
        <v>551</v>
      </c>
      <c r="EX18" t="s">
        <v>552</v>
      </c>
      <c r="EY18">
        <v>159</v>
      </c>
      <c r="EZ18">
        <v>159</v>
      </c>
      <c r="FA18">
        <v>159</v>
      </c>
      <c r="FB18" t="s">
        <v>270</v>
      </c>
      <c r="FC18" t="s">
        <v>553</v>
      </c>
      <c r="FD18" t="s">
        <v>552</v>
      </c>
      <c r="FE18">
        <v>295</v>
      </c>
      <c r="FF18">
        <v>294</v>
      </c>
      <c r="FG18">
        <v>293</v>
      </c>
      <c r="FH18" t="s">
        <v>270</v>
      </c>
      <c r="FI18" t="s">
        <v>554</v>
      </c>
      <c r="FJ18" t="s">
        <v>555</v>
      </c>
      <c r="FK18">
        <v>0</v>
      </c>
      <c r="FL18">
        <v>0</v>
      </c>
      <c r="FM18">
        <v>0</v>
      </c>
      <c r="FN18" t="s">
        <v>264</v>
      </c>
      <c r="FQ18" t="s">
        <v>556</v>
      </c>
      <c r="FR18" t="s">
        <v>555</v>
      </c>
      <c r="FS18">
        <v>0</v>
      </c>
      <c r="FT18">
        <v>0</v>
      </c>
      <c r="FU18">
        <v>0</v>
      </c>
      <c r="FV18" t="s">
        <v>264</v>
      </c>
      <c r="FY18" t="s">
        <v>557</v>
      </c>
      <c r="FZ18" t="s">
        <v>555</v>
      </c>
      <c r="GA18">
        <v>0</v>
      </c>
      <c r="GB18">
        <v>0</v>
      </c>
      <c r="GC18">
        <v>0</v>
      </c>
      <c r="GD18" t="s">
        <v>264</v>
      </c>
      <c r="GG18" t="s">
        <v>558</v>
      </c>
      <c r="GH18" t="s">
        <v>555</v>
      </c>
      <c r="GI18">
        <v>0</v>
      </c>
      <c r="GJ18">
        <v>0</v>
      </c>
      <c r="GK18">
        <v>0</v>
      </c>
      <c r="GL18" t="s">
        <v>264</v>
      </c>
      <c r="GO18" t="s">
        <v>559</v>
      </c>
      <c r="GP18" t="s">
        <v>555</v>
      </c>
      <c r="GQ18">
        <v>0</v>
      </c>
      <c r="GR18">
        <v>0</v>
      </c>
      <c r="GS18">
        <v>0</v>
      </c>
      <c r="GT18" t="s">
        <v>264</v>
      </c>
      <c r="GW18" t="s">
        <v>560</v>
      </c>
      <c r="GX18" t="s">
        <v>555</v>
      </c>
      <c r="GY18">
        <v>0</v>
      </c>
      <c r="GZ18">
        <v>0</v>
      </c>
      <c r="HA18">
        <v>0</v>
      </c>
      <c r="HB18" t="s">
        <v>264</v>
      </c>
      <c r="HE18" t="s">
        <v>561</v>
      </c>
      <c r="HF18" t="s">
        <v>555</v>
      </c>
      <c r="HG18">
        <v>0</v>
      </c>
      <c r="HH18">
        <v>0</v>
      </c>
      <c r="HI18">
        <v>0</v>
      </c>
      <c r="HJ18" t="s">
        <v>264</v>
      </c>
      <c r="HM18" t="s">
        <v>562</v>
      </c>
      <c r="HN18" t="s">
        <v>555</v>
      </c>
      <c r="HO18">
        <v>0</v>
      </c>
      <c r="HP18">
        <v>0</v>
      </c>
      <c r="HQ18">
        <v>0</v>
      </c>
      <c r="HR18" t="s">
        <v>264</v>
      </c>
      <c r="HU18" t="s">
        <v>563</v>
      </c>
      <c r="HV18" t="s">
        <v>555</v>
      </c>
      <c r="HW18">
        <v>0</v>
      </c>
      <c r="HX18">
        <v>0</v>
      </c>
      <c r="HY18">
        <v>0</v>
      </c>
      <c r="HZ18" t="s">
        <v>264</v>
      </c>
      <c r="IC18" t="s">
        <v>564</v>
      </c>
      <c r="ID18" t="s">
        <v>555</v>
      </c>
      <c r="IE18">
        <v>0</v>
      </c>
      <c r="IF18">
        <v>0</v>
      </c>
      <c r="IG18">
        <v>0</v>
      </c>
      <c r="IH18" t="s">
        <v>264</v>
      </c>
      <c r="IK18" t="s">
        <v>565</v>
      </c>
      <c r="IL18" t="s">
        <v>555</v>
      </c>
      <c r="IM18">
        <v>0</v>
      </c>
      <c r="IN18">
        <v>0</v>
      </c>
      <c r="IO18">
        <v>0</v>
      </c>
      <c r="IP18" t="s">
        <v>264</v>
      </c>
      <c r="IS18" t="s">
        <v>566</v>
      </c>
      <c r="IT18" t="s">
        <v>555</v>
      </c>
      <c r="IU18">
        <v>0</v>
      </c>
      <c r="IV18">
        <v>0</v>
      </c>
      <c r="IW18">
        <v>0</v>
      </c>
      <c r="IX18" t="s">
        <v>264</v>
      </c>
      <c r="JA18" t="s">
        <v>567</v>
      </c>
      <c r="JB18" t="s">
        <v>555</v>
      </c>
      <c r="JC18">
        <v>0</v>
      </c>
      <c r="JD18">
        <v>0</v>
      </c>
      <c r="JE18">
        <v>0</v>
      </c>
      <c r="JF18" t="s">
        <v>264</v>
      </c>
      <c r="JI18" t="s">
        <v>568</v>
      </c>
      <c r="JJ18" t="s">
        <v>555</v>
      </c>
      <c r="JK18">
        <v>0</v>
      </c>
      <c r="JL18">
        <v>0</v>
      </c>
      <c r="JM18">
        <v>0</v>
      </c>
      <c r="JN18" t="s">
        <v>264</v>
      </c>
      <c r="JQ18" t="s">
        <v>569</v>
      </c>
      <c r="JR18" t="s">
        <v>555</v>
      </c>
      <c r="JS18">
        <v>0</v>
      </c>
      <c r="JT18">
        <v>0</v>
      </c>
      <c r="JU18">
        <v>0</v>
      </c>
      <c r="JV18" t="s">
        <v>264</v>
      </c>
      <c r="JY18" t="s">
        <v>570</v>
      </c>
      <c r="JZ18" t="s">
        <v>555</v>
      </c>
      <c r="KA18">
        <v>0</v>
      </c>
      <c r="KB18">
        <v>0</v>
      </c>
      <c r="KC18">
        <v>0</v>
      </c>
      <c r="KD18" t="s">
        <v>264</v>
      </c>
      <c r="KG18" t="s">
        <v>571</v>
      </c>
      <c r="KH18" t="s">
        <v>555</v>
      </c>
      <c r="KI18">
        <v>0</v>
      </c>
      <c r="KJ18">
        <v>0</v>
      </c>
      <c r="KK18">
        <v>0</v>
      </c>
      <c r="KL18" t="s">
        <v>264</v>
      </c>
      <c r="KO18" t="s">
        <v>572</v>
      </c>
      <c r="KP18" t="s">
        <v>555</v>
      </c>
      <c r="KQ18">
        <v>0</v>
      </c>
      <c r="KR18">
        <v>0</v>
      </c>
      <c r="KS18">
        <v>0</v>
      </c>
      <c r="KT18" t="s">
        <v>264</v>
      </c>
      <c r="KW18" t="s">
        <v>573</v>
      </c>
      <c r="KX18" t="s">
        <v>555</v>
      </c>
      <c r="KY18">
        <v>0</v>
      </c>
      <c r="KZ18">
        <v>0</v>
      </c>
      <c r="LA18">
        <v>0</v>
      </c>
      <c r="LB18" t="s">
        <v>264</v>
      </c>
      <c r="LE18" t="s">
        <v>574</v>
      </c>
      <c r="LF18" t="s">
        <v>555</v>
      </c>
      <c r="LG18">
        <v>0</v>
      </c>
      <c r="LH18">
        <v>0</v>
      </c>
      <c r="LI18">
        <v>0</v>
      </c>
      <c r="LJ18" t="s">
        <v>264</v>
      </c>
      <c r="LM18" t="s">
        <v>575</v>
      </c>
      <c r="LN18" t="s">
        <v>555</v>
      </c>
      <c r="LO18">
        <v>0</v>
      </c>
      <c r="LP18">
        <v>0</v>
      </c>
      <c r="LQ18">
        <v>0</v>
      </c>
      <c r="LR18" t="s">
        <v>264</v>
      </c>
      <c r="LU18" t="s">
        <v>576</v>
      </c>
      <c r="LV18" t="s">
        <v>555</v>
      </c>
      <c r="LW18">
        <v>0</v>
      </c>
      <c r="LX18">
        <v>0</v>
      </c>
      <c r="LY18">
        <v>0</v>
      </c>
      <c r="LZ18" t="s">
        <v>264</v>
      </c>
      <c r="MC18" t="s">
        <v>577</v>
      </c>
      <c r="MD18" t="s">
        <v>555</v>
      </c>
      <c r="ME18">
        <v>0</v>
      </c>
      <c r="MF18">
        <v>0</v>
      </c>
      <c r="MG18">
        <v>0</v>
      </c>
      <c r="MH18" t="s">
        <v>264</v>
      </c>
      <c r="MK18" t="s">
        <v>578</v>
      </c>
      <c r="ML18" t="s">
        <v>555</v>
      </c>
      <c r="MM18">
        <v>0</v>
      </c>
      <c r="MN18">
        <v>0</v>
      </c>
      <c r="MO18">
        <v>0</v>
      </c>
      <c r="MP18" t="s">
        <v>264</v>
      </c>
      <c r="MS18" t="s">
        <v>579</v>
      </c>
      <c r="MT18" t="s">
        <v>555</v>
      </c>
      <c r="MU18">
        <v>0</v>
      </c>
      <c r="MV18">
        <v>0</v>
      </c>
      <c r="MW18">
        <v>0</v>
      </c>
      <c r="MX18" t="s">
        <v>264</v>
      </c>
      <c r="NA18" t="s">
        <v>580</v>
      </c>
      <c r="NB18" t="s">
        <v>555</v>
      </c>
      <c r="NC18">
        <v>0</v>
      </c>
      <c r="ND18">
        <v>0</v>
      </c>
      <c r="NE18">
        <v>0</v>
      </c>
      <c r="NF18" t="s">
        <v>264</v>
      </c>
      <c r="NI18">
        <v>40.1</v>
      </c>
      <c r="NJ18">
        <v>-7.4</v>
      </c>
      <c r="NP18" t="s">
        <v>624</v>
      </c>
    </row>
    <row r="19" spans="1:380" customFormat="1" x14ac:dyDescent="0.2">
      <c r="A19" t="s">
        <v>517</v>
      </c>
      <c r="B19">
        <v>1</v>
      </c>
      <c r="C19" t="s">
        <v>637</v>
      </c>
      <c r="D19">
        <v>646950587</v>
      </c>
      <c r="E19">
        <v>12602</v>
      </c>
      <c r="F19" t="s">
        <v>542</v>
      </c>
      <c r="G19">
        <v>847922</v>
      </c>
      <c r="H19">
        <v>220008785</v>
      </c>
      <c r="I19" t="s">
        <v>622</v>
      </c>
      <c r="J19" t="s">
        <v>638</v>
      </c>
      <c r="K19" t="s">
        <v>545</v>
      </c>
      <c r="L19" t="s">
        <v>294</v>
      </c>
      <c r="M19" t="s">
        <v>546</v>
      </c>
      <c r="N19" t="s">
        <v>468</v>
      </c>
      <c r="O19" t="s">
        <v>547</v>
      </c>
      <c r="P19" t="s">
        <v>270</v>
      </c>
      <c r="Q19">
        <v>27.1</v>
      </c>
      <c r="R19">
        <v>219</v>
      </c>
      <c r="S19" t="s">
        <v>270</v>
      </c>
      <c r="T19">
        <v>-9999</v>
      </c>
      <c r="U19">
        <v>572</v>
      </c>
      <c r="V19">
        <v>590</v>
      </c>
      <c r="W19">
        <v>560</v>
      </c>
      <c r="X19" t="s">
        <v>270</v>
      </c>
      <c r="Y19">
        <v>0</v>
      </c>
      <c r="Z19">
        <v>55</v>
      </c>
      <c r="AA19" t="s">
        <v>469</v>
      </c>
      <c r="AB19" t="s">
        <v>548</v>
      </c>
      <c r="AC19">
        <v>1</v>
      </c>
      <c r="AD19" t="s">
        <v>549</v>
      </c>
      <c r="AE19">
        <v>0</v>
      </c>
      <c r="AF19">
        <v>27</v>
      </c>
      <c r="AG19" t="s">
        <v>264</v>
      </c>
      <c r="AH19">
        <v>-9999</v>
      </c>
      <c r="AI19">
        <v>460</v>
      </c>
      <c r="AJ19">
        <v>567</v>
      </c>
      <c r="AK19">
        <v>458</v>
      </c>
      <c r="AL19" t="s">
        <v>270</v>
      </c>
      <c r="AM19">
        <v>0</v>
      </c>
      <c r="AN19">
        <v>55</v>
      </c>
      <c r="AO19" t="s">
        <v>470</v>
      </c>
      <c r="AP19" t="s">
        <v>548</v>
      </c>
      <c r="AQ19">
        <v>2</v>
      </c>
      <c r="AR19" t="s">
        <v>549</v>
      </c>
      <c r="AS19">
        <v>54.6</v>
      </c>
      <c r="AT19">
        <v>46</v>
      </c>
      <c r="AU19" t="s">
        <v>264</v>
      </c>
      <c r="AV19">
        <v>-9999</v>
      </c>
      <c r="AW19">
        <v>355</v>
      </c>
      <c r="AX19">
        <v>373</v>
      </c>
      <c r="AY19">
        <v>353</v>
      </c>
      <c r="AZ19" t="s">
        <v>270</v>
      </c>
      <c r="BA19">
        <v>0</v>
      </c>
      <c r="BB19">
        <v>55</v>
      </c>
      <c r="BC19" t="s">
        <v>550</v>
      </c>
      <c r="BD19" t="s">
        <v>548</v>
      </c>
      <c r="BE19">
        <v>3</v>
      </c>
      <c r="BF19" t="s">
        <v>549</v>
      </c>
      <c r="BG19">
        <v>0</v>
      </c>
      <c r="BH19">
        <v>-3</v>
      </c>
      <c r="BI19" t="s">
        <v>264</v>
      </c>
      <c r="BJ19">
        <v>-9999</v>
      </c>
      <c r="BK19">
        <v>168</v>
      </c>
      <c r="BL19">
        <v>210</v>
      </c>
      <c r="BM19">
        <v>166</v>
      </c>
      <c r="BN19" t="s">
        <v>270</v>
      </c>
      <c r="BO19">
        <v>0</v>
      </c>
      <c r="BP19">
        <v>55</v>
      </c>
      <c r="BQ19" t="s">
        <v>504</v>
      </c>
      <c r="BR19" t="s">
        <v>548</v>
      </c>
      <c r="BS19">
        <v>4</v>
      </c>
      <c r="BT19" t="s">
        <v>549</v>
      </c>
      <c r="BU19">
        <v>52.2</v>
      </c>
      <c r="BV19">
        <v>84</v>
      </c>
      <c r="BW19" t="s">
        <v>264</v>
      </c>
      <c r="BX19">
        <v>-9999</v>
      </c>
      <c r="BY19">
        <v>198</v>
      </c>
      <c r="BZ19">
        <v>229</v>
      </c>
      <c r="CA19">
        <v>196</v>
      </c>
      <c r="CB19" t="s">
        <v>270</v>
      </c>
      <c r="CC19">
        <v>0</v>
      </c>
      <c r="CD19">
        <v>55</v>
      </c>
      <c r="CE19" t="s">
        <v>471</v>
      </c>
      <c r="CF19" t="s">
        <v>548</v>
      </c>
      <c r="CG19">
        <v>5</v>
      </c>
      <c r="CH19" t="s">
        <v>549</v>
      </c>
      <c r="CI19">
        <v>52</v>
      </c>
      <c r="CJ19">
        <v>172</v>
      </c>
      <c r="CK19" t="s">
        <v>264</v>
      </c>
      <c r="CL19">
        <v>-9999</v>
      </c>
      <c r="CM19">
        <v>468</v>
      </c>
      <c r="CN19">
        <v>547</v>
      </c>
      <c r="CO19">
        <v>467</v>
      </c>
      <c r="CP19" t="s">
        <v>270</v>
      </c>
      <c r="CQ19">
        <v>0</v>
      </c>
      <c r="CR19">
        <v>55</v>
      </c>
      <c r="CS19" t="s">
        <v>472</v>
      </c>
      <c r="CT19" t="s">
        <v>548</v>
      </c>
      <c r="CU19">
        <v>6</v>
      </c>
      <c r="CV19" t="s">
        <v>549</v>
      </c>
      <c r="CW19">
        <v>53.7</v>
      </c>
      <c r="CX19">
        <v>85</v>
      </c>
      <c r="CY19" t="s">
        <v>264</v>
      </c>
      <c r="CZ19">
        <v>-9999</v>
      </c>
      <c r="DA19">
        <v>603</v>
      </c>
      <c r="DB19">
        <v>685</v>
      </c>
      <c r="DC19">
        <v>592</v>
      </c>
      <c r="DD19" t="s">
        <v>270</v>
      </c>
      <c r="DE19">
        <v>0</v>
      </c>
      <c r="DF19">
        <v>55</v>
      </c>
      <c r="DG19" t="s">
        <v>473</v>
      </c>
      <c r="DH19" t="s">
        <v>548</v>
      </c>
      <c r="DI19">
        <v>7</v>
      </c>
      <c r="DJ19" t="s">
        <v>549</v>
      </c>
      <c r="DK19">
        <v>0</v>
      </c>
      <c r="DL19">
        <v>41</v>
      </c>
      <c r="DM19" t="s">
        <v>264</v>
      </c>
      <c r="DN19">
        <v>-9999</v>
      </c>
      <c r="DO19">
        <v>507</v>
      </c>
      <c r="DP19">
        <v>580</v>
      </c>
      <c r="DQ19">
        <v>503</v>
      </c>
      <c r="DR19" t="s">
        <v>270</v>
      </c>
      <c r="DS19">
        <v>0</v>
      </c>
      <c r="DT19">
        <v>55</v>
      </c>
      <c r="DU19" t="s">
        <v>474</v>
      </c>
      <c r="DV19" t="s">
        <v>548</v>
      </c>
      <c r="DW19">
        <v>8</v>
      </c>
      <c r="DX19" t="s">
        <v>549</v>
      </c>
      <c r="DY19">
        <v>49.4</v>
      </c>
      <c r="DZ19">
        <v>35</v>
      </c>
      <c r="EA19" t="s">
        <v>264</v>
      </c>
      <c r="EB19">
        <v>-9999</v>
      </c>
      <c r="EC19">
        <v>103</v>
      </c>
      <c r="ED19">
        <v>125</v>
      </c>
      <c r="EE19">
        <v>101</v>
      </c>
      <c r="EF19" t="s">
        <v>270</v>
      </c>
      <c r="EG19">
        <v>0</v>
      </c>
      <c r="EH19">
        <v>55</v>
      </c>
      <c r="EI19" t="s">
        <v>475</v>
      </c>
      <c r="EJ19" t="s">
        <v>548</v>
      </c>
      <c r="EK19">
        <v>9</v>
      </c>
      <c r="EL19" t="s">
        <v>549</v>
      </c>
      <c r="EM19">
        <v>0</v>
      </c>
      <c r="EN19">
        <v>15</v>
      </c>
      <c r="EO19" t="s">
        <v>264</v>
      </c>
      <c r="EP19">
        <v>-9999</v>
      </c>
      <c r="EQ19">
        <v>280</v>
      </c>
      <c r="ER19">
        <v>267</v>
      </c>
      <c r="ES19">
        <v>251</v>
      </c>
      <c r="ET19" t="s">
        <v>270</v>
      </c>
      <c r="EU19">
        <v>0</v>
      </c>
      <c r="EV19">
        <v>55</v>
      </c>
      <c r="EW19" t="s">
        <v>551</v>
      </c>
      <c r="EX19" t="s">
        <v>552</v>
      </c>
      <c r="EY19">
        <v>131</v>
      </c>
      <c r="EZ19">
        <v>131</v>
      </c>
      <c r="FA19">
        <v>132</v>
      </c>
      <c r="FB19" t="s">
        <v>270</v>
      </c>
      <c r="FC19" t="s">
        <v>553</v>
      </c>
      <c r="FD19" t="s">
        <v>552</v>
      </c>
      <c r="FE19">
        <v>274</v>
      </c>
      <c r="FF19">
        <v>272</v>
      </c>
      <c r="FG19">
        <v>271</v>
      </c>
      <c r="FH19" t="s">
        <v>270</v>
      </c>
      <c r="FI19" t="s">
        <v>554</v>
      </c>
      <c r="FJ19" t="s">
        <v>555</v>
      </c>
      <c r="FK19">
        <v>0</v>
      </c>
      <c r="FL19">
        <v>0</v>
      </c>
      <c r="FM19">
        <v>0</v>
      </c>
      <c r="FN19" t="s">
        <v>264</v>
      </c>
      <c r="FQ19" t="s">
        <v>556</v>
      </c>
      <c r="FR19" t="s">
        <v>555</v>
      </c>
      <c r="FS19">
        <v>0</v>
      </c>
      <c r="FT19">
        <v>0</v>
      </c>
      <c r="FU19">
        <v>0</v>
      </c>
      <c r="FV19" t="s">
        <v>264</v>
      </c>
      <c r="FY19" t="s">
        <v>557</v>
      </c>
      <c r="FZ19" t="s">
        <v>555</v>
      </c>
      <c r="GA19">
        <v>0</v>
      </c>
      <c r="GB19">
        <v>0</v>
      </c>
      <c r="GC19">
        <v>0</v>
      </c>
      <c r="GD19" t="s">
        <v>264</v>
      </c>
      <c r="GG19" t="s">
        <v>558</v>
      </c>
      <c r="GH19" t="s">
        <v>555</v>
      </c>
      <c r="GI19">
        <v>0</v>
      </c>
      <c r="GJ19">
        <v>0</v>
      </c>
      <c r="GK19">
        <v>0</v>
      </c>
      <c r="GL19" t="s">
        <v>264</v>
      </c>
      <c r="GO19" t="s">
        <v>559</v>
      </c>
      <c r="GP19" t="s">
        <v>555</v>
      </c>
      <c r="GQ19">
        <v>0</v>
      </c>
      <c r="GR19">
        <v>0</v>
      </c>
      <c r="GS19">
        <v>0</v>
      </c>
      <c r="GT19" t="s">
        <v>264</v>
      </c>
      <c r="GW19" t="s">
        <v>560</v>
      </c>
      <c r="GX19" t="s">
        <v>555</v>
      </c>
      <c r="GY19">
        <v>0</v>
      </c>
      <c r="GZ19">
        <v>0</v>
      </c>
      <c r="HA19">
        <v>0</v>
      </c>
      <c r="HB19" t="s">
        <v>264</v>
      </c>
      <c r="HE19" t="s">
        <v>561</v>
      </c>
      <c r="HF19" t="s">
        <v>555</v>
      </c>
      <c r="HG19">
        <v>0</v>
      </c>
      <c r="HH19">
        <v>0</v>
      </c>
      <c r="HI19">
        <v>0</v>
      </c>
      <c r="HJ19" t="s">
        <v>264</v>
      </c>
      <c r="HM19" t="s">
        <v>562</v>
      </c>
      <c r="HN19" t="s">
        <v>555</v>
      </c>
      <c r="HO19">
        <v>0</v>
      </c>
      <c r="HP19">
        <v>0</v>
      </c>
      <c r="HQ19">
        <v>0</v>
      </c>
      <c r="HR19" t="s">
        <v>264</v>
      </c>
      <c r="HU19" t="s">
        <v>563</v>
      </c>
      <c r="HV19" t="s">
        <v>555</v>
      </c>
      <c r="HW19">
        <v>0</v>
      </c>
      <c r="HX19">
        <v>0</v>
      </c>
      <c r="HY19">
        <v>0</v>
      </c>
      <c r="HZ19" t="s">
        <v>264</v>
      </c>
      <c r="IC19" t="s">
        <v>564</v>
      </c>
      <c r="ID19" t="s">
        <v>555</v>
      </c>
      <c r="IE19">
        <v>0</v>
      </c>
      <c r="IF19">
        <v>0</v>
      </c>
      <c r="IG19">
        <v>0</v>
      </c>
      <c r="IH19" t="s">
        <v>264</v>
      </c>
      <c r="IK19" t="s">
        <v>565</v>
      </c>
      <c r="IL19" t="s">
        <v>555</v>
      </c>
      <c r="IM19">
        <v>0</v>
      </c>
      <c r="IN19">
        <v>0</v>
      </c>
      <c r="IO19">
        <v>0</v>
      </c>
      <c r="IP19" t="s">
        <v>264</v>
      </c>
      <c r="IS19" t="s">
        <v>566</v>
      </c>
      <c r="IT19" t="s">
        <v>555</v>
      </c>
      <c r="IU19">
        <v>0</v>
      </c>
      <c r="IV19">
        <v>0</v>
      </c>
      <c r="IW19">
        <v>0</v>
      </c>
      <c r="IX19" t="s">
        <v>264</v>
      </c>
      <c r="JA19" t="s">
        <v>567</v>
      </c>
      <c r="JB19" t="s">
        <v>555</v>
      </c>
      <c r="JC19">
        <v>0</v>
      </c>
      <c r="JD19">
        <v>0</v>
      </c>
      <c r="JE19">
        <v>0</v>
      </c>
      <c r="JF19" t="s">
        <v>264</v>
      </c>
      <c r="JI19" t="s">
        <v>568</v>
      </c>
      <c r="JJ19" t="s">
        <v>555</v>
      </c>
      <c r="JK19">
        <v>0</v>
      </c>
      <c r="JL19">
        <v>0</v>
      </c>
      <c r="JM19">
        <v>0</v>
      </c>
      <c r="JN19" t="s">
        <v>264</v>
      </c>
      <c r="JQ19" t="s">
        <v>569</v>
      </c>
      <c r="JR19" t="s">
        <v>555</v>
      </c>
      <c r="JS19">
        <v>0</v>
      </c>
      <c r="JT19">
        <v>0</v>
      </c>
      <c r="JU19">
        <v>0</v>
      </c>
      <c r="JV19" t="s">
        <v>264</v>
      </c>
      <c r="JY19" t="s">
        <v>570</v>
      </c>
      <c r="JZ19" t="s">
        <v>555</v>
      </c>
      <c r="KA19">
        <v>0</v>
      </c>
      <c r="KB19">
        <v>0</v>
      </c>
      <c r="KC19">
        <v>0</v>
      </c>
      <c r="KD19" t="s">
        <v>264</v>
      </c>
      <c r="KG19" t="s">
        <v>571</v>
      </c>
      <c r="KH19" t="s">
        <v>555</v>
      </c>
      <c r="KI19">
        <v>0</v>
      </c>
      <c r="KJ19">
        <v>0</v>
      </c>
      <c r="KK19">
        <v>0</v>
      </c>
      <c r="KL19" t="s">
        <v>264</v>
      </c>
      <c r="KO19" t="s">
        <v>572</v>
      </c>
      <c r="KP19" t="s">
        <v>555</v>
      </c>
      <c r="KQ19">
        <v>0</v>
      </c>
      <c r="KR19">
        <v>0</v>
      </c>
      <c r="KS19">
        <v>0</v>
      </c>
      <c r="KT19" t="s">
        <v>264</v>
      </c>
      <c r="KW19" t="s">
        <v>573</v>
      </c>
      <c r="KX19" t="s">
        <v>555</v>
      </c>
      <c r="KY19">
        <v>0</v>
      </c>
      <c r="KZ19">
        <v>0</v>
      </c>
      <c r="LA19">
        <v>0</v>
      </c>
      <c r="LB19" t="s">
        <v>264</v>
      </c>
      <c r="LE19" t="s">
        <v>574</v>
      </c>
      <c r="LF19" t="s">
        <v>555</v>
      </c>
      <c r="LG19">
        <v>0</v>
      </c>
      <c r="LH19">
        <v>0</v>
      </c>
      <c r="LI19">
        <v>0</v>
      </c>
      <c r="LJ19" t="s">
        <v>264</v>
      </c>
      <c r="LM19" t="s">
        <v>575</v>
      </c>
      <c r="LN19" t="s">
        <v>555</v>
      </c>
      <c r="LO19">
        <v>0</v>
      </c>
      <c r="LP19">
        <v>0</v>
      </c>
      <c r="LQ19">
        <v>0</v>
      </c>
      <c r="LR19" t="s">
        <v>264</v>
      </c>
      <c r="LU19" t="s">
        <v>576</v>
      </c>
      <c r="LV19" t="s">
        <v>555</v>
      </c>
      <c r="LW19">
        <v>0</v>
      </c>
      <c r="LX19">
        <v>0</v>
      </c>
      <c r="LY19">
        <v>0</v>
      </c>
      <c r="LZ19" t="s">
        <v>264</v>
      </c>
      <c r="MC19" t="s">
        <v>577</v>
      </c>
      <c r="MD19" t="s">
        <v>555</v>
      </c>
      <c r="ME19">
        <v>0</v>
      </c>
      <c r="MF19">
        <v>0</v>
      </c>
      <c r="MG19">
        <v>0</v>
      </c>
      <c r="MH19" t="s">
        <v>264</v>
      </c>
      <c r="MK19" t="s">
        <v>578</v>
      </c>
      <c r="ML19" t="s">
        <v>555</v>
      </c>
      <c r="MM19">
        <v>0</v>
      </c>
      <c r="MN19">
        <v>0</v>
      </c>
      <c r="MO19">
        <v>0</v>
      </c>
      <c r="MP19" t="s">
        <v>264</v>
      </c>
      <c r="MS19" t="s">
        <v>579</v>
      </c>
      <c r="MT19" t="s">
        <v>555</v>
      </c>
      <c r="MU19">
        <v>0</v>
      </c>
      <c r="MV19">
        <v>0</v>
      </c>
      <c r="MW19">
        <v>0</v>
      </c>
      <c r="MX19" t="s">
        <v>264</v>
      </c>
      <c r="NA19" t="s">
        <v>580</v>
      </c>
      <c r="NB19" t="s">
        <v>555</v>
      </c>
      <c r="NC19">
        <v>0</v>
      </c>
      <c r="ND19">
        <v>0</v>
      </c>
      <c r="NE19">
        <v>0</v>
      </c>
      <c r="NF19" t="s">
        <v>264</v>
      </c>
      <c r="NI19">
        <v>40.1</v>
      </c>
      <c r="NJ19">
        <v>-12.3</v>
      </c>
      <c r="NP19" t="s">
        <v>624</v>
      </c>
    </row>
    <row r="20" spans="1:380" customFormat="1" x14ac:dyDescent="0.2">
      <c r="A20" t="s">
        <v>517</v>
      </c>
      <c r="B20">
        <v>1</v>
      </c>
      <c r="C20" t="s">
        <v>639</v>
      </c>
      <c r="D20">
        <v>646951827</v>
      </c>
      <c r="E20">
        <v>12602</v>
      </c>
      <c r="F20" t="s">
        <v>542</v>
      </c>
      <c r="G20">
        <v>847922</v>
      </c>
      <c r="H20">
        <v>210088121</v>
      </c>
      <c r="I20" t="s">
        <v>622</v>
      </c>
      <c r="J20" t="s">
        <v>640</v>
      </c>
      <c r="K20" t="s">
        <v>545</v>
      </c>
      <c r="L20" t="s">
        <v>294</v>
      </c>
      <c r="M20" t="s">
        <v>546</v>
      </c>
      <c r="N20" t="s">
        <v>468</v>
      </c>
      <c r="O20" t="s">
        <v>547</v>
      </c>
      <c r="P20" t="s">
        <v>270</v>
      </c>
      <c r="Q20">
        <v>26.2</v>
      </c>
      <c r="R20">
        <v>266</v>
      </c>
      <c r="S20" t="s">
        <v>270</v>
      </c>
      <c r="T20">
        <v>-9999</v>
      </c>
      <c r="U20">
        <v>642</v>
      </c>
      <c r="V20">
        <v>663</v>
      </c>
      <c r="W20">
        <v>632</v>
      </c>
      <c r="X20" t="s">
        <v>270</v>
      </c>
      <c r="Y20">
        <v>0</v>
      </c>
      <c r="Z20">
        <v>55</v>
      </c>
      <c r="AA20" t="s">
        <v>469</v>
      </c>
      <c r="AB20" t="s">
        <v>548</v>
      </c>
      <c r="AC20">
        <v>1</v>
      </c>
      <c r="AD20" t="s">
        <v>549</v>
      </c>
      <c r="AE20">
        <v>0</v>
      </c>
      <c r="AF20">
        <v>31</v>
      </c>
      <c r="AG20" t="s">
        <v>264</v>
      </c>
      <c r="AH20">
        <v>-9999</v>
      </c>
      <c r="AI20">
        <v>448</v>
      </c>
      <c r="AJ20">
        <v>554</v>
      </c>
      <c r="AK20">
        <v>446</v>
      </c>
      <c r="AL20" t="s">
        <v>270</v>
      </c>
      <c r="AM20">
        <v>0</v>
      </c>
      <c r="AN20">
        <v>55</v>
      </c>
      <c r="AO20" t="s">
        <v>470</v>
      </c>
      <c r="AP20" t="s">
        <v>548</v>
      </c>
      <c r="AQ20">
        <v>2</v>
      </c>
      <c r="AR20" t="s">
        <v>549</v>
      </c>
      <c r="AS20">
        <v>0</v>
      </c>
      <c r="AT20">
        <v>37</v>
      </c>
      <c r="AU20" t="s">
        <v>264</v>
      </c>
      <c r="AV20">
        <v>-9999</v>
      </c>
      <c r="AW20">
        <v>334</v>
      </c>
      <c r="AX20">
        <v>352</v>
      </c>
      <c r="AY20">
        <v>332</v>
      </c>
      <c r="AZ20" t="s">
        <v>270</v>
      </c>
      <c r="BA20">
        <v>0</v>
      </c>
      <c r="BB20">
        <v>55</v>
      </c>
      <c r="BC20" t="s">
        <v>550</v>
      </c>
      <c r="BD20" t="s">
        <v>548</v>
      </c>
      <c r="BE20">
        <v>3</v>
      </c>
      <c r="BF20" t="s">
        <v>549</v>
      </c>
      <c r="BG20">
        <v>0</v>
      </c>
      <c r="BH20">
        <v>-6</v>
      </c>
      <c r="BI20" t="s">
        <v>264</v>
      </c>
      <c r="BJ20">
        <v>-9999</v>
      </c>
      <c r="BK20">
        <v>145</v>
      </c>
      <c r="BL20">
        <v>185</v>
      </c>
      <c r="BM20">
        <v>146</v>
      </c>
      <c r="BN20" t="s">
        <v>270</v>
      </c>
      <c r="BO20">
        <v>0</v>
      </c>
      <c r="BP20">
        <v>55</v>
      </c>
      <c r="BQ20" t="s">
        <v>504</v>
      </c>
      <c r="BR20" t="s">
        <v>548</v>
      </c>
      <c r="BS20">
        <v>4</v>
      </c>
      <c r="BT20" t="s">
        <v>549</v>
      </c>
      <c r="BU20">
        <v>51.6</v>
      </c>
      <c r="BV20">
        <v>116</v>
      </c>
      <c r="BW20" t="s">
        <v>264</v>
      </c>
      <c r="BX20">
        <v>-9999</v>
      </c>
      <c r="BY20">
        <v>191</v>
      </c>
      <c r="BZ20">
        <v>221</v>
      </c>
      <c r="CA20">
        <v>189</v>
      </c>
      <c r="CB20" t="s">
        <v>270</v>
      </c>
      <c r="CC20">
        <v>0</v>
      </c>
      <c r="CD20">
        <v>55</v>
      </c>
      <c r="CE20" t="s">
        <v>471</v>
      </c>
      <c r="CF20" t="s">
        <v>548</v>
      </c>
      <c r="CG20">
        <v>5</v>
      </c>
      <c r="CH20" t="s">
        <v>549</v>
      </c>
      <c r="CI20">
        <v>51.4</v>
      </c>
      <c r="CJ20">
        <v>240</v>
      </c>
      <c r="CK20" t="s">
        <v>264</v>
      </c>
      <c r="CL20">
        <v>-9999</v>
      </c>
      <c r="CM20">
        <v>498</v>
      </c>
      <c r="CN20">
        <v>582</v>
      </c>
      <c r="CO20">
        <v>497</v>
      </c>
      <c r="CP20" t="s">
        <v>270</v>
      </c>
      <c r="CQ20">
        <v>0</v>
      </c>
      <c r="CR20">
        <v>55</v>
      </c>
      <c r="CS20" t="s">
        <v>472</v>
      </c>
      <c r="CT20" t="s">
        <v>548</v>
      </c>
      <c r="CU20">
        <v>6</v>
      </c>
      <c r="CV20" t="s">
        <v>549</v>
      </c>
      <c r="CW20">
        <v>53.8</v>
      </c>
      <c r="CX20">
        <v>82</v>
      </c>
      <c r="CY20" t="s">
        <v>264</v>
      </c>
      <c r="CZ20">
        <v>-9999</v>
      </c>
      <c r="DA20">
        <v>610</v>
      </c>
      <c r="DB20">
        <v>690</v>
      </c>
      <c r="DC20">
        <v>598</v>
      </c>
      <c r="DD20" t="s">
        <v>270</v>
      </c>
      <c r="DE20">
        <v>0</v>
      </c>
      <c r="DF20">
        <v>55</v>
      </c>
      <c r="DG20" t="s">
        <v>473</v>
      </c>
      <c r="DH20" t="s">
        <v>548</v>
      </c>
      <c r="DI20">
        <v>7</v>
      </c>
      <c r="DJ20" t="s">
        <v>549</v>
      </c>
      <c r="DK20">
        <v>0</v>
      </c>
      <c r="DL20">
        <v>36</v>
      </c>
      <c r="DM20" t="s">
        <v>264</v>
      </c>
      <c r="DN20">
        <v>-9999</v>
      </c>
      <c r="DO20">
        <v>543</v>
      </c>
      <c r="DP20">
        <v>622</v>
      </c>
      <c r="DQ20">
        <v>539</v>
      </c>
      <c r="DR20" t="s">
        <v>270</v>
      </c>
      <c r="DS20">
        <v>0</v>
      </c>
      <c r="DT20">
        <v>55</v>
      </c>
      <c r="DU20" t="s">
        <v>474</v>
      </c>
      <c r="DV20" t="s">
        <v>548</v>
      </c>
      <c r="DW20">
        <v>8</v>
      </c>
      <c r="DX20" t="s">
        <v>549</v>
      </c>
      <c r="DY20">
        <v>49.3</v>
      </c>
      <c r="DZ20">
        <v>45</v>
      </c>
      <c r="EA20" t="s">
        <v>264</v>
      </c>
      <c r="EB20">
        <v>-9999</v>
      </c>
      <c r="EC20">
        <v>81</v>
      </c>
      <c r="ED20">
        <v>99</v>
      </c>
      <c r="EE20">
        <v>79</v>
      </c>
      <c r="EF20" t="s">
        <v>270</v>
      </c>
      <c r="EG20">
        <v>0</v>
      </c>
      <c r="EH20">
        <v>55</v>
      </c>
      <c r="EI20" t="s">
        <v>475</v>
      </c>
      <c r="EJ20" t="s">
        <v>548</v>
      </c>
      <c r="EK20">
        <v>9</v>
      </c>
      <c r="EL20" t="s">
        <v>549</v>
      </c>
      <c r="EM20">
        <v>0</v>
      </c>
      <c r="EN20">
        <v>14</v>
      </c>
      <c r="EO20" t="s">
        <v>264</v>
      </c>
      <c r="EP20">
        <v>-9999</v>
      </c>
      <c r="EQ20">
        <v>293</v>
      </c>
      <c r="ER20">
        <v>276</v>
      </c>
      <c r="ES20">
        <v>255</v>
      </c>
      <c r="ET20" t="s">
        <v>270</v>
      </c>
      <c r="EU20">
        <v>0</v>
      </c>
      <c r="EV20">
        <v>55</v>
      </c>
      <c r="EW20" t="s">
        <v>551</v>
      </c>
      <c r="EX20" t="s">
        <v>552</v>
      </c>
      <c r="EY20">
        <v>123</v>
      </c>
      <c r="EZ20">
        <v>124</v>
      </c>
      <c r="FA20">
        <v>124</v>
      </c>
      <c r="FB20" t="s">
        <v>270</v>
      </c>
      <c r="FC20" t="s">
        <v>553</v>
      </c>
      <c r="FD20" t="s">
        <v>552</v>
      </c>
      <c r="FE20">
        <v>256</v>
      </c>
      <c r="FF20">
        <v>255</v>
      </c>
      <c r="FG20">
        <v>254</v>
      </c>
      <c r="FH20" t="s">
        <v>270</v>
      </c>
      <c r="FI20" t="s">
        <v>554</v>
      </c>
      <c r="FJ20" t="s">
        <v>555</v>
      </c>
      <c r="FK20">
        <v>0</v>
      </c>
      <c r="FL20">
        <v>0</v>
      </c>
      <c r="FM20">
        <v>0</v>
      </c>
      <c r="FN20" t="s">
        <v>264</v>
      </c>
      <c r="FQ20" t="s">
        <v>556</v>
      </c>
      <c r="FR20" t="s">
        <v>555</v>
      </c>
      <c r="FS20">
        <v>0</v>
      </c>
      <c r="FT20">
        <v>0</v>
      </c>
      <c r="FU20">
        <v>0</v>
      </c>
      <c r="FV20" t="s">
        <v>264</v>
      </c>
      <c r="FY20" t="s">
        <v>557</v>
      </c>
      <c r="FZ20" t="s">
        <v>555</v>
      </c>
      <c r="GA20">
        <v>0</v>
      </c>
      <c r="GB20">
        <v>0</v>
      </c>
      <c r="GC20">
        <v>0</v>
      </c>
      <c r="GD20" t="s">
        <v>264</v>
      </c>
      <c r="GG20" t="s">
        <v>558</v>
      </c>
      <c r="GH20" t="s">
        <v>555</v>
      </c>
      <c r="GI20">
        <v>0</v>
      </c>
      <c r="GJ20">
        <v>0</v>
      </c>
      <c r="GK20">
        <v>0</v>
      </c>
      <c r="GL20" t="s">
        <v>264</v>
      </c>
      <c r="GO20" t="s">
        <v>559</v>
      </c>
      <c r="GP20" t="s">
        <v>555</v>
      </c>
      <c r="GQ20">
        <v>0</v>
      </c>
      <c r="GR20">
        <v>0</v>
      </c>
      <c r="GS20">
        <v>0</v>
      </c>
      <c r="GT20" t="s">
        <v>264</v>
      </c>
      <c r="GW20" t="s">
        <v>560</v>
      </c>
      <c r="GX20" t="s">
        <v>555</v>
      </c>
      <c r="GY20">
        <v>0</v>
      </c>
      <c r="GZ20">
        <v>0</v>
      </c>
      <c r="HA20">
        <v>0</v>
      </c>
      <c r="HB20" t="s">
        <v>264</v>
      </c>
      <c r="HE20" t="s">
        <v>561</v>
      </c>
      <c r="HF20" t="s">
        <v>555</v>
      </c>
      <c r="HG20">
        <v>0</v>
      </c>
      <c r="HH20">
        <v>0</v>
      </c>
      <c r="HI20">
        <v>0</v>
      </c>
      <c r="HJ20" t="s">
        <v>264</v>
      </c>
      <c r="HM20" t="s">
        <v>562</v>
      </c>
      <c r="HN20" t="s">
        <v>555</v>
      </c>
      <c r="HO20">
        <v>0</v>
      </c>
      <c r="HP20">
        <v>0</v>
      </c>
      <c r="HQ20">
        <v>0</v>
      </c>
      <c r="HR20" t="s">
        <v>264</v>
      </c>
      <c r="HU20" t="s">
        <v>563</v>
      </c>
      <c r="HV20" t="s">
        <v>555</v>
      </c>
      <c r="HW20">
        <v>0</v>
      </c>
      <c r="HX20">
        <v>0</v>
      </c>
      <c r="HY20">
        <v>0</v>
      </c>
      <c r="HZ20" t="s">
        <v>264</v>
      </c>
      <c r="IC20" t="s">
        <v>564</v>
      </c>
      <c r="ID20" t="s">
        <v>555</v>
      </c>
      <c r="IE20">
        <v>0</v>
      </c>
      <c r="IF20">
        <v>0</v>
      </c>
      <c r="IG20">
        <v>0</v>
      </c>
      <c r="IH20" t="s">
        <v>264</v>
      </c>
      <c r="IK20" t="s">
        <v>565</v>
      </c>
      <c r="IL20" t="s">
        <v>555</v>
      </c>
      <c r="IM20">
        <v>0</v>
      </c>
      <c r="IN20">
        <v>0</v>
      </c>
      <c r="IO20">
        <v>0</v>
      </c>
      <c r="IP20" t="s">
        <v>264</v>
      </c>
      <c r="IS20" t="s">
        <v>566</v>
      </c>
      <c r="IT20" t="s">
        <v>555</v>
      </c>
      <c r="IU20">
        <v>0</v>
      </c>
      <c r="IV20">
        <v>0</v>
      </c>
      <c r="IW20">
        <v>0</v>
      </c>
      <c r="IX20" t="s">
        <v>264</v>
      </c>
      <c r="JA20" t="s">
        <v>567</v>
      </c>
      <c r="JB20" t="s">
        <v>555</v>
      </c>
      <c r="JC20">
        <v>0</v>
      </c>
      <c r="JD20">
        <v>0</v>
      </c>
      <c r="JE20">
        <v>0</v>
      </c>
      <c r="JF20" t="s">
        <v>264</v>
      </c>
      <c r="JI20" t="s">
        <v>568</v>
      </c>
      <c r="JJ20" t="s">
        <v>555</v>
      </c>
      <c r="JK20">
        <v>0</v>
      </c>
      <c r="JL20">
        <v>0</v>
      </c>
      <c r="JM20">
        <v>0</v>
      </c>
      <c r="JN20" t="s">
        <v>264</v>
      </c>
      <c r="JQ20" t="s">
        <v>569</v>
      </c>
      <c r="JR20" t="s">
        <v>555</v>
      </c>
      <c r="JS20">
        <v>0</v>
      </c>
      <c r="JT20">
        <v>0</v>
      </c>
      <c r="JU20">
        <v>0</v>
      </c>
      <c r="JV20" t="s">
        <v>264</v>
      </c>
      <c r="JY20" t="s">
        <v>570</v>
      </c>
      <c r="JZ20" t="s">
        <v>555</v>
      </c>
      <c r="KA20">
        <v>0</v>
      </c>
      <c r="KB20">
        <v>0</v>
      </c>
      <c r="KC20">
        <v>0</v>
      </c>
      <c r="KD20" t="s">
        <v>264</v>
      </c>
      <c r="KG20" t="s">
        <v>571</v>
      </c>
      <c r="KH20" t="s">
        <v>555</v>
      </c>
      <c r="KI20">
        <v>0</v>
      </c>
      <c r="KJ20">
        <v>0</v>
      </c>
      <c r="KK20">
        <v>0</v>
      </c>
      <c r="KL20" t="s">
        <v>264</v>
      </c>
      <c r="KO20" t="s">
        <v>572</v>
      </c>
      <c r="KP20" t="s">
        <v>555</v>
      </c>
      <c r="KQ20">
        <v>0</v>
      </c>
      <c r="KR20">
        <v>0</v>
      </c>
      <c r="KS20">
        <v>0</v>
      </c>
      <c r="KT20" t="s">
        <v>264</v>
      </c>
      <c r="KW20" t="s">
        <v>573</v>
      </c>
      <c r="KX20" t="s">
        <v>555</v>
      </c>
      <c r="KY20">
        <v>0</v>
      </c>
      <c r="KZ20">
        <v>0</v>
      </c>
      <c r="LA20">
        <v>0</v>
      </c>
      <c r="LB20" t="s">
        <v>264</v>
      </c>
      <c r="LE20" t="s">
        <v>574</v>
      </c>
      <c r="LF20" t="s">
        <v>555</v>
      </c>
      <c r="LG20">
        <v>0</v>
      </c>
      <c r="LH20">
        <v>0</v>
      </c>
      <c r="LI20">
        <v>0</v>
      </c>
      <c r="LJ20" t="s">
        <v>264</v>
      </c>
      <c r="LM20" t="s">
        <v>575</v>
      </c>
      <c r="LN20" t="s">
        <v>555</v>
      </c>
      <c r="LO20">
        <v>0</v>
      </c>
      <c r="LP20">
        <v>0</v>
      </c>
      <c r="LQ20">
        <v>0</v>
      </c>
      <c r="LR20" t="s">
        <v>264</v>
      </c>
      <c r="LU20" t="s">
        <v>576</v>
      </c>
      <c r="LV20" t="s">
        <v>555</v>
      </c>
      <c r="LW20">
        <v>0</v>
      </c>
      <c r="LX20">
        <v>0</v>
      </c>
      <c r="LY20">
        <v>0</v>
      </c>
      <c r="LZ20" t="s">
        <v>264</v>
      </c>
      <c r="MC20" t="s">
        <v>577</v>
      </c>
      <c r="MD20" t="s">
        <v>555</v>
      </c>
      <c r="ME20">
        <v>0</v>
      </c>
      <c r="MF20">
        <v>0</v>
      </c>
      <c r="MG20">
        <v>0</v>
      </c>
      <c r="MH20" t="s">
        <v>264</v>
      </c>
      <c r="MK20" t="s">
        <v>578</v>
      </c>
      <c r="ML20" t="s">
        <v>555</v>
      </c>
      <c r="MM20">
        <v>0</v>
      </c>
      <c r="MN20">
        <v>0</v>
      </c>
      <c r="MO20">
        <v>0</v>
      </c>
      <c r="MP20" t="s">
        <v>264</v>
      </c>
      <c r="MS20" t="s">
        <v>579</v>
      </c>
      <c r="MT20" t="s">
        <v>555</v>
      </c>
      <c r="MU20">
        <v>0</v>
      </c>
      <c r="MV20">
        <v>0</v>
      </c>
      <c r="MW20">
        <v>0</v>
      </c>
      <c r="MX20" t="s">
        <v>264</v>
      </c>
      <c r="NA20" t="s">
        <v>580</v>
      </c>
      <c r="NB20" t="s">
        <v>555</v>
      </c>
      <c r="NC20">
        <v>0</v>
      </c>
      <c r="ND20">
        <v>0</v>
      </c>
      <c r="NE20">
        <v>0</v>
      </c>
      <c r="NF20" t="s">
        <v>264</v>
      </c>
      <c r="NI20">
        <v>40.1</v>
      </c>
      <c r="NJ20">
        <v>-8.1999999999999993</v>
      </c>
      <c r="NP20" t="s">
        <v>624</v>
      </c>
    </row>
    <row r="21" spans="1:380" customFormat="1" x14ac:dyDescent="0.2">
      <c r="A21" t="s">
        <v>517</v>
      </c>
      <c r="B21">
        <v>1</v>
      </c>
      <c r="C21" t="s">
        <v>641</v>
      </c>
      <c r="D21">
        <v>646950703</v>
      </c>
      <c r="E21">
        <v>12602</v>
      </c>
      <c r="F21" t="s">
        <v>542</v>
      </c>
      <c r="G21">
        <v>847922</v>
      </c>
      <c r="H21">
        <v>210007859</v>
      </c>
      <c r="I21" t="s">
        <v>622</v>
      </c>
      <c r="J21" t="s">
        <v>642</v>
      </c>
      <c r="K21" t="s">
        <v>545</v>
      </c>
      <c r="L21" t="s">
        <v>294</v>
      </c>
      <c r="M21" t="s">
        <v>546</v>
      </c>
      <c r="N21" t="s">
        <v>468</v>
      </c>
      <c r="O21" t="s">
        <v>547</v>
      </c>
      <c r="P21" t="s">
        <v>270</v>
      </c>
      <c r="Q21">
        <v>26.3</v>
      </c>
      <c r="R21">
        <v>227</v>
      </c>
      <c r="S21" t="s">
        <v>270</v>
      </c>
      <c r="T21">
        <v>-9999</v>
      </c>
      <c r="U21">
        <v>678</v>
      </c>
      <c r="V21">
        <v>700</v>
      </c>
      <c r="W21">
        <v>668</v>
      </c>
      <c r="X21" t="s">
        <v>270</v>
      </c>
      <c r="Y21">
        <v>0</v>
      </c>
      <c r="Z21">
        <v>55</v>
      </c>
      <c r="AA21" t="s">
        <v>469</v>
      </c>
      <c r="AB21" t="s">
        <v>548</v>
      </c>
      <c r="AC21">
        <v>1</v>
      </c>
      <c r="AD21" t="s">
        <v>549</v>
      </c>
      <c r="AE21">
        <v>0</v>
      </c>
      <c r="AF21">
        <v>29</v>
      </c>
      <c r="AG21" t="s">
        <v>264</v>
      </c>
      <c r="AH21">
        <v>-9999</v>
      </c>
      <c r="AI21">
        <v>445</v>
      </c>
      <c r="AJ21">
        <v>549</v>
      </c>
      <c r="AK21">
        <v>441</v>
      </c>
      <c r="AL21" t="s">
        <v>270</v>
      </c>
      <c r="AM21">
        <v>0</v>
      </c>
      <c r="AN21">
        <v>55</v>
      </c>
      <c r="AO21" t="s">
        <v>470</v>
      </c>
      <c r="AP21" t="s">
        <v>548</v>
      </c>
      <c r="AQ21">
        <v>2</v>
      </c>
      <c r="AR21" t="s">
        <v>549</v>
      </c>
      <c r="AS21">
        <v>53.3</v>
      </c>
      <c r="AT21">
        <v>70</v>
      </c>
      <c r="AU21" t="s">
        <v>264</v>
      </c>
      <c r="AV21">
        <v>-9999</v>
      </c>
      <c r="AW21">
        <v>445</v>
      </c>
      <c r="AX21">
        <v>469</v>
      </c>
      <c r="AY21">
        <v>441</v>
      </c>
      <c r="AZ21" t="s">
        <v>270</v>
      </c>
      <c r="BA21">
        <v>0</v>
      </c>
      <c r="BB21">
        <v>55</v>
      </c>
      <c r="BC21" t="s">
        <v>550</v>
      </c>
      <c r="BD21" t="s">
        <v>548</v>
      </c>
      <c r="BE21">
        <v>3</v>
      </c>
      <c r="BF21" t="s">
        <v>549</v>
      </c>
      <c r="BG21">
        <v>0</v>
      </c>
      <c r="BH21">
        <v>-8</v>
      </c>
      <c r="BI21" t="s">
        <v>264</v>
      </c>
      <c r="BJ21">
        <v>-9999</v>
      </c>
      <c r="BK21">
        <v>205</v>
      </c>
      <c r="BL21">
        <v>253</v>
      </c>
      <c r="BM21">
        <v>205</v>
      </c>
      <c r="BN21" t="s">
        <v>270</v>
      </c>
      <c r="BO21">
        <v>0</v>
      </c>
      <c r="BP21">
        <v>55</v>
      </c>
      <c r="BQ21" t="s">
        <v>504</v>
      </c>
      <c r="BR21" t="s">
        <v>548</v>
      </c>
      <c r="BS21">
        <v>4</v>
      </c>
      <c r="BT21" t="s">
        <v>549</v>
      </c>
      <c r="BU21">
        <v>52.6</v>
      </c>
      <c r="BV21">
        <v>61</v>
      </c>
      <c r="BW21" t="s">
        <v>264</v>
      </c>
      <c r="BX21">
        <v>-9999</v>
      </c>
      <c r="BY21">
        <v>216</v>
      </c>
      <c r="BZ21">
        <v>250</v>
      </c>
      <c r="CA21">
        <v>214</v>
      </c>
      <c r="CB21" t="s">
        <v>270</v>
      </c>
      <c r="CC21">
        <v>0</v>
      </c>
      <c r="CD21">
        <v>55</v>
      </c>
      <c r="CE21" t="s">
        <v>471</v>
      </c>
      <c r="CF21" t="s">
        <v>548</v>
      </c>
      <c r="CG21">
        <v>5</v>
      </c>
      <c r="CH21" t="s">
        <v>549</v>
      </c>
      <c r="CI21">
        <v>51.5</v>
      </c>
      <c r="CJ21">
        <v>158</v>
      </c>
      <c r="CK21" t="s">
        <v>264</v>
      </c>
      <c r="CL21">
        <v>-9999</v>
      </c>
      <c r="CM21">
        <v>495</v>
      </c>
      <c r="CN21">
        <v>580</v>
      </c>
      <c r="CO21">
        <v>494</v>
      </c>
      <c r="CP21" t="s">
        <v>270</v>
      </c>
      <c r="CQ21">
        <v>0</v>
      </c>
      <c r="CR21">
        <v>55</v>
      </c>
      <c r="CS21" t="s">
        <v>472</v>
      </c>
      <c r="CT21" t="s">
        <v>548</v>
      </c>
      <c r="CU21">
        <v>6</v>
      </c>
      <c r="CV21" t="s">
        <v>549</v>
      </c>
      <c r="CW21">
        <v>0</v>
      </c>
      <c r="CX21">
        <v>40</v>
      </c>
      <c r="CY21" t="s">
        <v>264</v>
      </c>
      <c r="CZ21">
        <v>-9999</v>
      </c>
      <c r="DA21">
        <v>772</v>
      </c>
      <c r="DB21">
        <v>876</v>
      </c>
      <c r="DC21">
        <v>758</v>
      </c>
      <c r="DD21" t="s">
        <v>270</v>
      </c>
      <c r="DE21">
        <v>0</v>
      </c>
      <c r="DF21">
        <v>55</v>
      </c>
      <c r="DG21" t="s">
        <v>473</v>
      </c>
      <c r="DH21" t="s">
        <v>548</v>
      </c>
      <c r="DI21">
        <v>7</v>
      </c>
      <c r="DJ21" t="s">
        <v>549</v>
      </c>
      <c r="DK21">
        <v>0</v>
      </c>
      <c r="DL21">
        <v>19</v>
      </c>
      <c r="DM21" t="s">
        <v>264</v>
      </c>
      <c r="DN21">
        <v>-9999</v>
      </c>
      <c r="DO21">
        <v>532</v>
      </c>
      <c r="DP21">
        <v>610</v>
      </c>
      <c r="DQ21">
        <v>527</v>
      </c>
      <c r="DR21" t="s">
        <v>270</v>
      </c>
      <c r="DS21">
        <v>0</v>
      </c>
      <c r="DT21">
        <v>55</v>
      </c>
      <c r="DU21" t="s">
        <v>474</v>
      </c>
      <c r="DV21" t="s">
        <v>548</v>
      </c>
      <c r="DW21">
        <v>8</v>
      </c>
      <c r="DX21" t="s">
        <v>549</v>
      </c>
      <c r="DY21">
        <v>50.6</v>
      </c>
      <c r="DZ21">
        <v>34</v>
      </c>
      <c r="EA21" t="s">
        <v>264</v>
      </c>
      <c r="EB21">
        <v>-9999</v>
      </c>
      <c r="EC21">
        <v>119</v>
      </c>
      <c r="ED21">
        <v>143</v>
      </c>
      <c r="EE21">
        <v>117</v>
      </c>
      <c r="EF21" t="s">
        <v>270</v>
      </c>
      <c r="EG21">
        <v>0</v>
      </c>
      <c r="EH21">
        <v>55</v>
      </c>
      <c r="EI21" t="s">
        <v>475</v>
      </c>
      <c r="EJ21" t="s">
        <v>548</v>
      </c>
      <c r="EK21">
        <v>9</v>
      </c>
      <c r="EL21" t="s">
        <v>549</v>
      </c>
      <c r="EM21">
        <v>0</v>
      </c>
      <c r="EN21">
        <v>16</v>
      </c>
      <c r="EO21" t="s">
        <v>264</v>
      </c>
      <c r="EP21">
        <v>-9999</v>
      </c>
      <c r="EQ21">
        <v>345</v>
      </c>
      <c r="ER21">
        <v>328</v>
      </c>
      <c r="ES21">
        <v>305</v>
      </c>
      <c r="ET21" t="s">
        <v>270</v>
      </c>
      <c r="EU21">
        <v>0</v>
      </c>
      <c r="EV21">
        <v>55</v>
      </c>
      <c r="EW21" t="s">
        <v>551</v>
      </c>
      <c r="EX21" t="s">
        <v>552</v>
      </c>
      <c r="EY21">
        <v>147</v>
      </c>
      <c r="EZ21">
        <v>148</v>
      </c>
      <c r="FA21">
        <v>148</v>
      </c>
      <c r="FB21" t="s">
        <v>270</v>
      </c>
      <c r="FC21" t="s">
        <v>553</v>
      </c>
      <c r="FD21" t="s">
        <v>552</v>
      </c>
      <c r="FE21">
        <v>331</v>
      </c>
      <c r="FF21">
        <v>330</v>
      </c>
      <c r="FG21">
        <v>329</v>
      </c>
      <c r="FH21" t="s">
        <v>270</v>
      </c>
      <c r="FI21" t="s">
        <v>554</v>
      </c>
      <c r="FJ21" t="s">
        <v>555</v>
      </c>
      <c r="FK21">
        <v>0</v>
      </c>
      <c r="FL21">
        <v>0</v>
      </c>
      <c r="FM21">
        <v>0</v>
      </c>
      <c r="FN21" t="s">
        <v>264</v>
      </c>
      <c r="FQ21" t="s">
        <v>556</v>
      </c>
      <c r="FR21" t="s">
        <v>555</v>
      </c>
      <c r="FS21">
        <v>0</v>
      </c>
      <c r="FT21">
        <v>0</v>
      </c>
      <c r="FU21">
        <v>0</v>
      </c>
      <c r="FV21" t="s">
        <v>264</v>
      </c>
      <c r="FY21" t="s">
        <v>557</v>
      </c>
      <c r="FZ21" t="s">
        <v>555</v>
      </c>
      <c r="GA21">
        <v>0</v>
      </c>
      <c r="GB21">
        <v>0</v>
      </c>
      <c r="GC21">
        <v>0</v>
      </c>
      <c r="GD21" t="s">
        <v>264</v>
      </c>
      <c r="GG21" t="s">
        <v>558</v>
      </c>
      <c r="GH21" t="s">
        <v>555</v>
      </c>
      <c r="GI21">
        <v>0</v>
      </c>
      <c r="GJ21">
        <v>0</v>
      </c>
      <c r="GK21">
        <v>0</v>
      </c>
      <c r="GL21" t="s">
        <v>264</v>
      </c>
      <c r="GO21" t="s">
        <v>559</v>
      </c>
      <c r="GP21" t="s">
        <v>555</v>
      </c>
      <c r="GQ21">
        <v>0</v>
      </c>
      <c r="GR21">
        <v>0</v>
      </c>
      <c r="GS21">
        <v>0</v>
      </c>
      <c r="GT21" t="s">
        <v>264</v>
      </c>
      <c r="GW21" t="s">
        <v>560</v>
      </c>
      <c r="GX21" t="s">
        <v>555</v>
      </c>
      <c r="GY21">
        <v>0</v>
      </c>
      <c r="GZ21">
        <v>0</v>
      </c>
      <c r="HA21">
        <v>0</v>
      </c>
      <c r="HB21" t="s">
        <v>264</v>
      </c>
      <c r="HE21" t="s">
        <v>561</v>
      </c>
      <c r="HF21" t="s">
        <v>555</v>
      </c>
      <c r="HG21">
        <v>0</v>
      </c>
      <c r="HH21">
        <v>0</v>
      </c>
      <c r="HI21">
        <v>0</v>
      </c>
      <c r="HJ21" t="s">
        <v>264</v>
      </c>
      <c r="HM21" t="s">
        <v>562</v>
      </c>
      <c r="HN21" t="s">
        <v>555</v>
      </c>
      <c r="HO21">
        <v>0</v>
      </c>
      <c r="HP21">
        <v>0</v>
      </c>
      <c r="HQ21">
        <v>0</v>
      </c>
      <c r="HR21" t="s">
        <v>264</v>
      </c>
      <c r="HU21" t="s">
        <v>563</v>
      </c>
      <c r="HV21" t="s">
        <v>555</v>
      </c>
      <c r="HW21">
        <v>0</v>
      </c>
      <c r="HX21">
        <v>0</v>
      </c>
      <c r="HY21">
        <v>0</v>
      </c>
      <c r="HZ21" t="s">
        <v>264</v>
      </c>
      <c r="IC21" t="s">
        <v>564</v>
      </c>
      <c r="ID21" t="s">
        <v>555</v>
      </c>
      <c r="IE21">
        <v>0</v>
      </c>
      <c r="IF21">
        <v>0</v>
      </c>
      <c r="IG21">
        <v>0</v>
      </c>
      <c r="IH21" t="s">
        <v>264</v>
      </c>
      <c r="IK21" t="s">
        <v>565</v>
      </c>
      <c r="IL21" t="s">
        <v>555</v>
      </c>
      <c r="IM21">
        <v>0</v>
      </c>
      <c r="IN21">
        <v>0</v>
      </c>
      <c r="IO21">
        <v>0</v>
      </c>
      <c r="IP21" t="s">
        <v>264</v>
      </c>
      <c r="IS21" t="s">
        <v>566</v>
      </c>
      <c r="IT21" t="s">
        <v>555</v>
      </c>
      <c r="IU21">
        <v>0</v>
      </c>
      <c r="IV21">
        <v>0</v>
      </c>
      <c r="IW21">
        <v>0</v>
      </c>
      <c r="IX21" t="s">
        <v>264</v>
      </c>
      <c r="JA21" t="s">
        <v>567</v>
      </c>
      <c r="JB21" t="s">
        <v>555</v>
      </c>
      <c r="JC21">
        <v>0</v>
      </c>
      <c r="JD21">
        <v>0</v>
      </c>
      <c r="JE21">
        <v>0</v>
      </c>
      <c r="JF21" t="s">
        <v>264</v>
      </c>
      <c r="JI21" t="s">
        <v>568</v>
      </c>
      <c r="JJ21" t="s">
        <v>555</v>
      </c>
      <c r="JK21">
        <v>0</v>
      </c>
      <c r="JL21">
        <v>0</v>
      </c>
      <c r="JM21">
        <v>0</v>
      </c>
      <c r="JN21" t="s">
        <v>264</v>
      </c>
      <c r="JQ21" t="s">
        <v>569</v>
      </c>
      <c r="JR21" t="s">
        <v>555</v>
      </c>
      <c r="JS21">
        <v>0</v>
      </c>
      <c r="JT21">
        <v>0</v>
      </c>
      <c r="JU21">
        <v>0</v>
      </c>
      <c r="JV21" t="s">
        <v>264</v>
      </c>
      <c r="JY21" t="s">
        <v>570</v>
      </c>
      <c r="JZ21" t="s">
        <v>555</v>
      </c>
      <c r="KA21">
        <v>0</v>
      </c>
      <c r="KB21">
        <v>0</v>
      </c>
      <c r="KC21">
        <v>0</v>
      </c>
      <c r="KD21" t="s">
        <v>264</v>
      </c>
      <c r="KG21" t="s">
        <v>571</v>
      </c>
      <c r="KH21" t="s">
        <v>555</v>
      </c>
      <c r="KI21">
        <v>0</v>
      </c>
      <c r="KJ21">
        <v>0</v>
      </c>
      <c r="KK21">
        <v>0</v>
      </c>
      <c r="KL21" t="s">
        <v>264</v>
      </c>
      <c r="KO21" t="s">
        <v>572</v>
      </c>
      <c r="KP21" t="s">
        <v>555</v>
      </c>
      <c r="KQ21">
        <v>0</v>
      </c>
      <c r="KR21">
        <v>0</v>
      </c>
      <c r="KS21">
        <v>0</v>
      </c>
      <c r="KT21" t="s">
        <v>264</v>
      </c>
      <c r="KW21" t="s">
        <v>573</v>
      </c>
      <c r="KX21" t="s">
        <v>555</v>
      </c>
      <c r="KY21">
        <v>0</v>
      </c>
      <c r="KZ21">
        <v>0</v>
      </c>
      <c r="LA21">
        <v>0</v>
      </c>
      <c r="LB21" t="s">
        <v>264</v>
      </c>
      <c r="LE21" t="s">
        <v>574</v>
      </c>
      <c r="LF21" t="s">
        <v>555</v>
      </c>
      <c r="LG21">
        <v>0</v>
      </c>
      <c r="LH21">
        <v>0</v>
      </c>
      <c r="LI21">
        <v>0</v>
      </c>
      <c r="LJ21" t="s">
        <v>264</v>
      </c>
      <c r="LM21" t="s">
        <v>575</v>
      </c>
      <c r="LN21" t="s">
        <v>555</v>
      </c>
      <c r="LO21">
        <v>0</v>
      </c>
      <c r="LP21">
        <v>0</v>
      </c>
      <c r="LQ21">
        <v>0</v>
      </c>
      <c r="LR21" t="s">
        <v>264</v>
      </c>
      <c r="LU21" t="s">
        <v>576</v>
      </c>
      <c r="LV21" t="s">
        <v>555</v>
      </c>
      <c r="LW21">
        <v>0</v>
      </c>
      <c r="LX21">
        <v>0</v>
      </c>
      <c r="LY21">
        <v>0</v>
      </c>
      <c r="LZ21" t="s">
        <v>264</v>
      </c>
      <c r="MC21" t="s">
        <v>577</v>
      </c>
      <c r="MD21" t="s">
        <v>555</v>
      </c>
      <c r="ME21">
        <v>0</v>
      </c>
      <c r="MF21">
        <v>0</v>
      </c>
      <c r="MG21">
        <v>0</v>
      </c>
      <c r="MH21" t="s">
        <v>264</v>
      </c>
      <c r="MK21" t="s">
        <v>578</v>
      </c>
      <c r="ML21" t="s">
        <v>555</v>
      </c>
      <c r="MM21">
        <v>0</v>
      </c>
      <c r="MN21">
        <v>0</v>
      </c>
      <c r="MO21">
        <v>0</v>
      </c>
      <c r="MP21" t="s">
        <v>264</v>
      </c>
      <c r="MS21" t="s">
        <v>579</v>
      </c>
      <c r="MT21" t="s">
        <v>555</v>
      </c>
      <c r="MU21">
        <v>0</v>
      </c>
      <c r="MV21">
        <v>0</v>
      </c>
      <c r="MW21">
        <v>0</v>
      </c>
      <c r="MX21" t="s">
        <v>264</v>
      </c>
      <c r="NA21" t="s">
        <v>580</v>
      </c>
      <c r="NB21" t="s">
        <v>555</v>
      </c>
      <c r="NC21">
        <v>0</v>
      </c>
      <c r="ND21">
        <v>0</v>
      </c>
      <c r="NE21">
        <v>0</v>
      </c>
      <c r="NF21" t="s">
        <v>264</v>
      </c>
      <c r="NI21">
        <v>40</v>
      </c>
      <c r="NJ21">
        <v>-9.1</v>
      </c>
      <c r="NP21" t="s">
        <v>624</v>
      </c>
    </row>
    <row r="22" spans="1:380" customFormat="1" x14ac:dyDescent="0.2">
      <c r="A22" t="s">
        <v>517</v>
      </c>
      <c r="B22">
        <v>1</v>
      </c>
      <c r="C22" t="s">
        <v>643</v>
      </c>
      <c r="D22">
        <v>646957646</v>
      </c>
      <c r="E22">
        <v>12602</v>
      </c>
      <c r="F22" t="s">
        <v>542</v>
      </c>
      <c r="G22">
        <v>847922</v>
      </c>
      <c r="H22">
        <v>804342</v>
      </c>
      <c r="I22" t="s">
        <v>622</v>
      </c>
      <c r="J22" t="s">
        <v>644</v>
      </c>
      <c r="K22" t="s">
        <v>545</v>
      </c>
      <c r="L22" t="s">
        <v>294</v>
      </c>
      <c r="M22" t="s">
        <v>546</v>
      </c>
      <c r="N22" t="s">
        <v>468</v>
      </c>
      <c r="O22" t="s">
        <v>547</v>
      </c>
      <c r="P22" t="s">
        <v>270</v>
      </c>
      <c r="Q22">
        <v>27.5</v>
      </c>
      <c r="R22">
        <v>235</v>
      </c>
      <c r="S22" t="s">
        <v>270</v>
      </c>
      <c r="T22">
        <v>-9999</v>
      </c>
      <c r="U22">
        <v>641</v>
      </c>
      <c r="V22">
        <v>660</v>
      </c>
      <c r="W22">
        <v>630</v>
      </c>
      <c r="X22" t="s">
        <v>270</v>
      </c>
      <c r="Y22">
        <v>0</v>
      </c>
      <c r="Z22">
        <v>55</v>
      </c>
      <c r="AA22" t="s">
        <v>469</v>
      </c>
      <c r="AB22" t="s">
        <v>548</v>
      </c>
      <c r="AC22">
        <v>1</v>
      </c>
      <c r="AD22" t="s">
        <v>549</v>
      </c>
      <c r="AE22">
        <v>0</v>
      </c>
      <c r="AF22">
        <v>48</v>
      </c>
      <c r="AG22" t="s">
        <v>264</v>
      </c>
      <c r="AH22">
        <v>-9999</v>
      </c>
      <c r="AI22">
        <v>462</v>
      </c>
      <c r="AJ22">
        <v>578</v>
      </c>
      <c r="AK22">
        <v>463</v>
      </c>
      <c r="AL22" t="s">
        <v>270</v>
      </c>
      <c r="AM22">
        <v>0</v>
      </c>
      <c r="AN22">
        <v>55</v>
      </c>
      <c r="AO22" t="s">
        <v>470</v>
      </c>
      <c r="AP22" t="s">
        <v>548</v>
      </c>
      <c r="AQ22">
        <v>2</v>
      </c>
      <c r="AR22" t="s">
        <v>549</v>
      </c>
      <c r="AS22">
        <v>54.6</v>
      </c>
      <c r="AT22">
        <v>44</v>
      </c>
      <c r="AU22" t="s">
        <v>264</v>
      </c>
      <c r="AV22">
        <v>-9999</v>
      </c>
      <c r="AW22">
        <v>382</v>
      </c>
      <c r="AX22">
        <v>402</v>
      </c>
      <c r="AY22">
        <v>380</v>
      </c>
      <c r="AZ22" t="s">
        <v>270</v>
      </c>
      <c r="BA22">
        <v>0</v>
      </c>
      <c r="BB22">
        <v>55</v>
      </c>
      <c r="BC22" t="s">
        <v>550</v>
      </c>
      <c r="BD22" t="s">
        <v>548</v>
      </c>
      <c r="BE22">
        <v>3</v>
      </c>
      <c r="BF22" t="s">
        <v>549</v>
      </c>
      <c r="BG22">
        <v>0</v>
      </c>
      <c r="BH22">
        <v>-15</v>
      </c>
      <c r="BI22" t="s">
        <v>264</v>
      </c>
      <c r="BJ22">
        <v>-9999</v>
      </c>
      <c r="BK22">
        <v>223</v>
      </c>
      <c r="BL22">
        <v>271</v>
      </c>
      <c r="BM22">
        <v>219</v>
      </c>
      <c r="BN22" t="s">
        <v>270</v>
      </c>
      <c r="BO22">
        <v>0</v>
      </c>
      <c r="BP22">
        <v>55</v>
      </c>
      <c r="BQ22" t="s">
        <v>504</v>
      </c>
      <c r="BR22" t="s">
        <v>548</v>
      </c>
      <c r="BS22">
        <v>4</v>
      </c>
      <c r="BT22" t="s">
        <v>549</v>
      </c>
      <c r="BU22">
        <v>51.6</v>
      </c>
      <c r="BV22">
        <v>97</v>
      </c>
      <c r="BW22" t="s">
        <v>264</v>
      </c>
      <c r="BX22">
        <v>-9999</v>
      </c>
      <c r="BY22">
        <v>216</v>
      </c>
      <c r="BZ22">
        <v>250</v>
      </c>
      <c r="CA22">
        <v>215</v>
      </c>
      <c r="CB22" t="s">
        <v>270</v>
      </c>
      <c r="CC22">
        <v>0</v>
      </c>
      <c r="CD22">
        <v>55</v>
      </c>
      <c r="CE22" t="s">
        <v>471</v>
      </c>
      <c r="CF22" t="s">
        <v>548</v>
      </c>
      <c r="CG22">
        <v>5</v>
      </c>
      <c r="CH22" t="s">
        <v>549</v>
      </c>
      <c r="CI22">
        <v>50.7</v>
      </c>
      <c r="CJ22">
        <v>249</v>
      </c>
      <c r="CK22" t="s">
        <v>264</v>
      </c>
      <c r="CL22">
        <v>-9999</v>
      </c>
      <c r="CM22">
        <v>473</v>
      </c>
      <c r="CN22">
        <v>554</v>
      </c>
      <c r="CO22">
        <v>474</v>
      </c>
      <c r="CP22" t="s">
        <v>270</v>
      </c>
      <c r="CQ22">
        <v>0</v>
      </c>
      <c r="CR22">
        <v>55</v>
      </c>
      <c r="CS22" t="s">
        <v>472</v>
      </c>
      <c r="CT22" t="s">
        <v>548</v>
      </c>
      <c r="CU22">
        <v>6</v>
      </c>
      <c r="CV22" t="s">
        <v>549</v>
      </c>
      <c r="CW22">
        <v>52.7</v>
      </c>
      <c r="CX22">
        <v>117</v>
      </c>
      <c r="CY22" t="s">
        <v>264</v>
      </c>
      <c r="CZ22">
        <v>-9999</v>
      </c>
      <c r="DA22">
        <v>670</v>
      </c>
      <c r="DB22">
        <v>760</v>
      </c>
      <c r="DC22">
        <v>659</v>
      </c>
      <c r="DD22" t="s">
        <v>270</v>
      </c>
      <c r="DE22">
        <v>0</v>
      </c>
      <c r="DF22">
        <v>55</v>
      </c>
      <c r="DG22" t="s">
        <v>473</v>
      </c>
      <c r="DH22" t="s">
        <v>548</v>
      </c>
      <c r="DI22">
        <v>7</v>
      </c>
      <c r="DJ22" t="s">
        <v>549</v>
      </c>
      <c r="DK22">
        <v>0</v>
      </c>
      <c r="DL22">
        <v>41</v>
      </c>
      <c r="DM22" t="s">
        <v>264</v>
      </c>
      <c r="DN22">
        <v>-9999</v>
      </c>
      <c r="DO22">
        <v>533</v>
      </c>
      <c r="DP22">
        <v>608</v>
      </c>
      <c r="DQ22">
        <v>531</v>
      </c>
      <c r="DR22" t="s">
        <v>270</v>
      </c>
      <c r="DS22">
        <v>0</v>
      </c>
      <c r="DT22">
        <v>55</v>
      </c>
      <c r="DU22" t="s">
        <v>474</v>
      </c>
      <c r="DV22" t="s">
        <v>548</v>
      </c>
      <c r="DW22">
        <v>8</v>
      </c>
      <c r="DX22" t="s">
        <v>549</v>
      </c>
      <c r="DY22">
        <v>51.1</v>
      </c>
      <c r="DZ22">
        <v>28</v>
      </c>
      <c r="EA22" t="s">
        <v>264</v>
      </c>
      <c r="EB22">
        <v>-9999</v>
      </c>
      <c r="EC22">
        <v>115</v>
      </c>
      <c r="ED22">
        <v>141</v>
      </c>
      <c r="EE22">
        <v>113</v>
      </c>
      <c r="EF22" t="s">
        <v>270</v>
      </c>
      <c r="EG22">
        <v>0</v>
      </c>
      <c r="EH22">
        <v>55</v>
      </c>
      <c r="EI22" t="s">
        <v>475</v>
      </c>
      <c r="EJ22" t="s">
        <v>548</v>
      </c>
      <c r="EK22">
        <v>9</v>
      </c>
      <c r="EL22" t="s">
        <v>549</v>
      </c>
      <c r="EM22">
        <v>53.4</v>
      </c>
      <c r="EN22">
        <v>24</v>
      </c>
      <c r="EO22" t="s">
        <v>264</v>
      </c>
      <c r="EP22">
        <v>-9999</v>
      </c>
      <c r="EQ22">
        <v>317</v>
      </c>
      <c r="ER22">
        <v>302</v>
      </c>
      <c r="ES22">
        <v>281</v>
      </c>
      <c r="ET22" t="s">
        <v>270</v>
      </c>
      <c r="EU22">
        <v>0</v>
      </c>
      <c r="EV22">
        <v>55</v>
      </c>
      <c r="EW22" t="s">
        <v>551</v>
      </c>
      <c r="EX22" t="s">
        <v>552</v>
      </c>
      <c r="EY22">
        <v>128</v>
      </c>
      <c r="EZ22">
        <v>129</v>
      </c>
      <c r="FA22">
        <v>129</v>
      </c>
      <c r="FB22" t="s">
        <v>270</v>
      </c>
      <c r="FC22" t="s">
        <v>553</v>
      </c>
      <c r="FD22" t="s">
        <v>552</v>
      </c>
      <c r="FE22">
        <v>263</v>
      </c>
      <c r="FF22">
        <v>262</v>
      </c>
      <c r="FG22">
        <v>261</v>
      </c>
      <c r="FH22" t="s">
        <v>270</v>
      </c>
      <c r="FI22" t="s">
        <v>554</v>
      </c>
      <c r="FJ22" t="s">
        <v>555</v>
      </c>
      <c r="FK22">
        <v>0</v>
      </c>
      <c r="FL22">
        <v>0</v>
      </c>
      <c r="FM22">
        <v>0</v>
      </c>
      <c r="FN22" t="s">
        <v>264</v>
      </c>
      <c r="FQ22" t="s">
        <v>556</v>
      </c>
      <c r="FR22" t="s">
        <v>555</v>
      </c>
      <c r="FS22">
        <v>0</v>
      </c>
      <c r="FT22">
        <v>0</v>
      </c>
      <c r="FU22">
        <v>0</v>
      </c>
      <c r="FV22" t="s">
        <v>264</v>
      </c>
      <c r="FY22" t="s">
        <v>557</v>
      </c>
      <c r="FZ22" t="s">
        <v>555</v>
      </c>
      <c r="GA22">
        <v>0</v>
      </c>
      <c r="GB22">
        <v>0</v>
      </c>
      <c r="GC22">
        <v>0</v>
      </c>
      <c r="GD22" t="s">
        <v>264</v>
      </c>
      <c r="GG22" t="s">
        <v>558</v>
      </c>
      <c r="GH22" t="s">
        <v>555</v>
      </c>
      <c r="GI22">
        <v>0</v>
      </c>
      <c r="GJ22">
        <v>0</v>
      </c>
      <c r="GK22">
        <v>0</v>
      </c>
      <c r="GL22" t="s">
        <v>264</v>
      </c>
      <c r="GO22" t="s">
        <v>559</v>
      </c>
      <c r="GP22" t="s">
        <v>555</v>
      </c>
      <c r="GQ22">
        <v>0</v>
      </c>
      <c r="GR22">
        <v>0</v>
      </c>
      <c r="GS22">
        <v>0</v>
      </c>
      <c r="GT22" t="s">
        <v>264</v>
      </c>
      <c r="GW22" t="s">
        <v>560</v>
      </c>
      <c r="GX22" t="s">
        <v>555</v>
      </c>
      <c r="GY22">
        <v>0</v>
      </c>
      <c r="GZ22">
        <v>0</v>
      </c>
      <c r="HA22">
        <v>0</v>
      </c>
      <c r="HB22" t="s">
        <v>264</v>
      </c>
      <c r="HE22" t="s">
        <v>561</v>
      </c>
      <c r="HF22" t="s">
        <v>555</v>
      </c>
      <c r="HG22">
        <v>0</v>
      </c>
      <c r="HH22">
        <v>0</v>
      </c>
      <c r="HI22">
        <v>0</v>
      </c>
      <c r="HJ22" t="s">
        <v>264</v>
      </c>
      <c r="HM22" t="s">
        <v>562</v>
      </c>
      <c r="HN22" t="s">
        <v>555</v>
      </c>
      <c r="HO22">
        <v>0</v>
      </c>
      <c r="HP22">
        <v>0</v>
      </c>
      <c r="HQ22">
        <v>0</v>
      </c>
      <c r="HR22" t="s">
        <v>264</v>
      </c>
      <c r="HU22" t="s">
        <v>563</v>
      </c>
      <c r="HV22" t="s">
        <v>555</v>
      </c>
      <c r="HW22">
        <v>0</v>
      </c>
      <c r="HX22">
        <v>0</v>
      </c>
      <c r="HY22">
        <v>0</v>
      </c>
      <c r="HZ22" t="s">
        <v>264</v>
      </c>
      <c r="IC22" t="s">
        <v>564</v>
      </c>
      <c r="ID22" t="s">
        <v>555</v>
      </c>
      <c r="IE22">
        <v>0</v>
      </c>
      <c r="IF22">
        <v>0</v>
      </c>
      <c r="IG22">
        <v>0</v>
      </c>
      <c r="IH22" t="s">
        <v>264</v>
      </c>
      <c r="IK22" t="s">
        <v>565</v>
      </c>
      <c r="IL22" t="s">
        <v>555</v>
      </c>
      <c r="IM22">
        <v>0</v>
      </c>
      <c r="IN22">
        <v>0</v>
      </c>
      <c r="IO22">
        <v>0</v>
      </c>
      <c r="IP22" t="s">
        <v>264</v>
      </c>
      <c r="IS22" t="s">
        <v>566</v>
      </c>
      <c r="IT22" t="s">
        <v>555</v>
      </c>
      <c r="IU22">
        <v>0</v>
      </c>
      <c r="IV22">
        <v>0</v>
      </c>
      <c r="IW22">
        <v>0</v>
      </c>
      <c r="IX22" t="s">
        <v>264</v>
      </c>
      <c r="JA22" t="s">
        <v>567</v>
      </c>
      <c r="JB22" t="s">
        <v>555</v>
      </c>
      <c r="JC22">
        <v>0</v>
      </c>
      <c r="JD22">
        <v>0</v>
      </c>
      <c r="JE22">
        <v>0</v>
      </c>
      <c r="JF22" t="s">
        <v>264</v>
      </c>
      <c r="JI22" t="s">
        <v>568</v>
      </c>
      <c r="JJ22" t="s">
        <v>555</v>
      </c>
      <c r="JK22">
        <v>0</v>
      </c>
      <c r="JL22">
        <v>0</v>
      </c>
      <c r="JM22">
        <v>0</v>
      </c>
      <c r="JN22" t="s">
        <v>264</v>
      </c>
      <c r="JQ22" t="s">
        <v>569</v>
      </c>
      <c r="JR22" t="s">
        <v>555</v>
      </c>
      <c r="JS22">
        <v>0</v>
      </c>
      <c r="JT22">
        <v>0</v>
      </c>
      <c r="JU22">
        <v>0</v>
      </c>
      <c r="JV22" t="s">
        <v>264</v>
      </c>
      <c r="JY22" t="s">
        <v>570</v>
      </c>
      <c r="JZ22" t="s">
        <v>555</v>
      </c>
      <c r="KA22">
        <v>0</v>
      </c>
      <c r="KB22">
        <v>0</v>
      </c>
      <c r="KC22">
        <v>0</v>
      </c>
      <c r="KD22" t="s">
        <v>264</v>
      </c>
      <c r="KG22" t="s">
        <v>571</v>
      </c>
      <c r="KH22" t="s">
        <v>555</v>
      </c>
      <c r="KI22">
        <v>0</v>
      </c>
      <c r="KJ22">
        <v>0</v>
      </c>
      <c r="KK22">
        <v>0</v>
      </c>
      <c r="KL22" t="s">
        <v>264</v>
      </c>
      <c r="KO22" t="s">
        <v>572</v>
      </c>
      <c r="KP22" t="s">
        <v>555</v>
      </c>
      <c r="KQ22">
        <v>0</v>
      </c>
      <c r="KR22">
        <v>0</v>
      </c>
      <c r="KS22">
        <v>0</v>
      </c>
      <c r="KT22" t="s">
        <v>264</v>
      </c>
      <c r="KW22" t="s">
        <v>573</v>
      </c>
      <c r="KX22" t="s">
        <v>555</v>
      </c>
      <c r="KY22">
        <v>0</v>
      </c>
      <c r="KZ22">
        <v>0</v>
      </c>
      <c r="LA22">
        <v>0</v>
      </c>
      <c r="LB22" t="s">
        <v>264</v>
      </c>
      <c r="LE22" t="s">
        <v>574</v>
      </c>
      <c r="LF22" t="s">
        <v>555</v>
      </c>
      <c r="LG22">
        <v>0</v>
      </c>
      <c r="LH22">
        <v>0</v>
      </c>
      <c r="LI22">
        <v>0</v>
      </c>
      <c r="LJ22" t="s">
        <v>264</v>
      </c>
      <c r="LM22" t="s">
        <v>575</v>
      </c>
      <c r="LN22" t="s">
        <v>555</v>
      </c>
      <c r="LO22">
        <v>0</v>
      </c>
      <c r="LP22">
        <v>0</v>
      </c>
      <c r="LQ22">
        <v>0</v>
      </c>
      <c r="LR22" t="s">
        <v>264</v>
      </c>
      <c r="LU22" t="s">
        <v>576</v>
      </c>
      <c r="LV22" t="s">
        <v>555</v>
      </c>
      <c r="LW22">
        <v>0</v>
      </c>
      <c r="LX22">
        <v>0</v>
      </c>
      <c r="LY22">
        <v>0</v>
      </c>
      <c r="LZ22" t="s">
        <v>264</v>
      </c>
      <c r="MC22" t="s">
        <v>577</v>
      </c>
      <c r="MD22" t="s">
        <v>555</v>
      </c>
      <c r="ME22">
        <v>0</v>
      </c>
      <c r="MF22">
        <v>0</v>
      </c>
      <c r="MG22">
        <v>0</v>
      </c>
      <c r="MH22" t="s">
        <v>264</v>
      </c>
      <c r="MK22" t="s">
        <v>578</v>
      </c>
      <c r="ML22" t="s">
        <v>555</v>
      </c>
      <c r="MM22">
        <v>0</v>
      </c>
      <c r="MN22">
        <v>0</v>
      </c>
      <c r="MO22">
        <v>0</v>
      </c>
      <c r="MP22" t="s">
        <v>264</v>
      </c>
      <c r="MS22" t="s">
        <v>579</v>
      </c>
      <c r="MT22" t="s">
        <v>555</v>
      </c>
      <c r="MU22">
        <v>0</v>
      </c>
      <c r="MV22">
        <v>0</v>
      </c>
      <c r="MW22">
        <v>0</v>
      </c>
      <c r="MX22" t="s">
        <v>264</v>
      </c>
      <c r="NA22" t="s">
        <v>580</v>
      </c>
      <c r="NB22" t="s">
        <v>555</v>
      </c>
      <c r="NC22">
        <v>0</v>
      </c>
      <c r="ND22">
        <v>0</v>
      </c>
      <c r="NE22">
        <v>0</v>
      </c>
      <c r="NF22" t="s">
        <v>264</v>
      </c>
      <c r="NI22">
        <v>40</v>
      </c>
      <c r="NJ22">
        <v>-9.6999999999999993</v>
      </c>
      <c r="NP22" t="s">
        <v>624</v>
      </c>
    </row>
    <row r="23" spans="1:380" customFormat="1" x14ac:dyDescent="0.2">
      <c r="A23" t="s">
        <v>517</v>
      </c>
      <c r="B23">
        <v>1</v>
      </c>
      <c r="C23" t="s">
        <v>645</v>
      </c>
      <c r="D23">
        <v>646957468</v>
      </c>
      <c r="E23">
        <v>12602</v>
      </c>
      <c r="F23" t="s">
        <v>542</v>
      </c>
      <c r="G23">
        <v>847922</v>
      </c>
      <c r="H23">
        <v>648423</v>
      </c>
      <c r="I23" t="s">
        <v>622</v>
      </c>
      <c r="J23" t="s">
        <v>646</v>
      </c>
      <c r="K23" t="s">
        <v>545</v>
      </c>
      <c r="L23" t="s">
        <v>294</v>
      </c>
      <c r="M23" t="s">
        <v>546</v>
      </c>
      <c r="N23" t="s">
        <v>468</v>
      </c>
      <c r="O23" t="s">
        <v>547</v>
      </c>
      <c r="P23" t="s">
        <v>270</v>
      </c>
      <c r="Q23">
        <v>25.5</v>
      </c>
      <c r="R23">
        <v>273</v>
      </c>
      <c r="S23" t="s">
        <v>270</v>
      </c>
      <c r="T23">
        <v>-9999</v>
      </c>
      <c r="U23">
        <v>506</v>
      </c>
      <c r="V23">
        <v>520</v>
      </c>
      <c r="W23">
        <v>498</v>
      </c>
      <c r="X23" t="s">
        <v>270</v>
      </c>
      <c r="Y23">
        <v>0</v>
      </c>
      <c r="Z23">
        <v>55</v>
      </c>
      <c r="AA23" t="s">
        <v>469</v>
      </c>
      <c r="AB23" t="s">
        <v>548</v>
      </c>
      <c r="AC23">
        <v>1</v>
      </c>
      <c r="AD23" t="s">
        <v>549</v>
      </c>
      <c r="AE23">
        <v>0</v>
      </c>
      <c r="AF23">
        <v>31</v>
      </c>
      <c r="AG23" t="s">
        <v>264</v>
      </c>
      <c r="AH23">
        <v>-9999</v>
      </c>
      <c r="AI23">
        <v>548</v>
      </c>
      <c r="AJ23">
        <v>676</v>
      </c>
      <c r="AK23">
        <v>544</v>
      </c>
      <c r="AL23" t="s">
        <v>270</v>
      </c>
      <c r="AM23">
        <v>0</v>
      </c>
      <c r="AN23">
        <v>55</v>
      </c>
      <c r="AO23" t="s">
        <v>470</v>
      </c>
      <c r="AP23" t="s">
        <v>548</v>
      </c>
      <c r="AQ23">
        <v>2</v>
      </c>
      <c r="AR23" t="s">
        <v>549</v>
      </c>
      <c r="AS23">
        <v>0</v>
      </c>
      <c r="AT23">
        <v>32</v>
      </c>
      <c r="AU23" t="s">
        <v>264</v>
      </c>
      <c r="AV23">
        <v>-9999</v>
      </c>
      <c r="AW23">
        <v>320</v>
      </c>
      <c r="AX23">
        <v>334</v>
      </c>
      <c r="AY23">
        <v>317</v>
      </c>
      <c r="AZ23" t="s">
        <v>270</v>
      </c>
      <c r="BA23">
        <v>0</v>
      </c>
      <c r="BB23">
        <v>55</v>
      </c>
      <c r="BC23" t="s">
        <v>550</v>
      </c>
      <c r="BD23" t="s">
        <v>548</v>
      </c>
      <c r="BE23">
        <v>3</v>
      </c>
      <c r="BF23" t="s">
        <v>549</v>
      </c>
      <c r="BG23">
        <v>47.8</v>
      </c>
      <c r="BH23">
        <v>16</v>
      </c>
      <c r="BI23" t="s">
        <v>264</v>
      </c>
      <c r="BJ23">
        <v>-9999</v>
      </c>
      <c r="BK23">
        <v>99</v>
      </c>
      <c r="BL23">
        <v>135</v>
      </c>
      <c r="BM23">
        <v>100</v>
      </c>
      <c r="BN23" t="s">
        <v>270</v>
      </c>
      <c r="BO23">
        <v>0</v>
      </c>
      <c r="BP23">
        <v>55</v>
      </c>
      <c r="BQ23" t="s">
        <v>504</v>
      </c>
      <c r="BR23" t="s">
        <v>548</v>
      </c>
      <c r="BS23">
        <v>4</v>
      </c>
      <c r="BT23" t="s">
        <v>549</v>
      </c>
      <c r="BU23">
        <v>52.1</v>
      </c>
      <c r="BV23">
        <v>75</v>
      </c>
      <c r="BW23" t="s">
        <v>264</v>
      </c>
      <c r="BX23">
        <v>-9999</v>
      </c>
      <c r="BY23">
        <v>210</v>
      </c>
      <c r="BZ23">
        <v>242</v>
      </c>
      <c r="CA23">
        <v>208</v>
      </c>
      <c r="CB23" t="s">
        <v>270</v>
      </c>
      <c r="CC23">
        <v>0</v>
      </c>
      <c r="CD23">
        <v>55</v>
      </c>
      <c r="CE23" t="s">
        <v>471</v>
      </c>
      <c r="CF23" t="s">
        <v>548</v>
      </c>
      <c r="CG23">
        <v>5</v>
      </c>
      <c r="CH23" t="s">
        <v>549</v>
      </c>
      <c r="CI23">
        <v>51.2</v>
      </c>
      <c r="CJ23">
        <v>168</v>
      </c>
      <c r="CK23" t="s">
        <v>264</v>
      </c>
      <c r="CL23">
        <v>-9999</v>
      </c>
      <c r="CM23">
        <v>510</v>
      </c>
      <c r="CN23">
        <v>602</v>
      </c>
      <c r="CO23">
        <v>510</v>
      </c>
      <c r="CP23" t="s">
        <v>270</v>
      </c>
      <c r="CQ23">
        <v>0</v>
      </c>
      <c r="CR23">
        <v>55</v>
      </c>
      <c r="CS23" t="s">
        <v>472</v>
      </c>
      <c r="CT23" t="s">
        <v>548</v>
      </c>
      <c r="CU23">
        <v>6</v>
      </c>
      <c r="CV23" t="s">
        <v>549</v>
      </c>
      <c r="CW23">
        <v>52.9</v>
      </c>
      <c r="CX23">
        <v>110</v>
      </c>
      <c r="CY23" t="s">
        <v>264</v>
      </c>
      <c r="CZ23">
        <v>-9999</v>
      </c>
      <c r="DA23">
        <v>596</v>
      </c>
      <c r="DB23">
        <v>676</v>
      </c>
      <c r="DC23">
        <v>585</v>
      </c>
      <c r="DD23" t="s">
        <v>270</v>
      </c>
      <c r="DE23">
        <v>0</v>
      </c>
      <c r="DF23">
        <v>55</v>
      </c>
      <c r="DG23" t="s">
        <v>473</v>
      </c>
      <c r="DH23" t="s">
        <v>548</v>
      </c>
      <c r="DI23">
        <v>7</v>
      </c>
      <c r="DJ23" t="s">
        <v>549</v>
      </c>
      <c r="DK23">
        <v>0</v>
      </c>
      <c r="DL23">
        <v>41</v>
      </c>
      <c r="DM23" t="s">
        <v>264</v>
      </c>
      <c r="DN23">
        <v>-9999</v>
      </c>
      <c r="DO23">
        <v>601</v>
      </c>
      <c r="DP23">
        <v>681</v>
      </c>
      <c r="DQ23">
        <v>595</v>
      </c>
      <c r="DR23" t="s">
        <v>270</v>
      </c>
      <c r="DS23">
        <v>0</v>
      </c>
      <c r="DT23">
        <v>55</v>
      </c>
      <c r="DU23" t="s">
        <v>474</v>
      </c>
      <c r="DV23" t="s">
        <v>548</v>
      </c>
      <c r="DW23">
        <v>8</v>
      </c>
      <c r="DX23" t="s">
        <v>549</v>
      </c>
      <c r="DY23">
        <v>42.2</v>
      </c>
      <c r="DZ23">
        <v>35</v>
      </c>
      <c r="EA23" t="s">
        <v>264</v>
      </c>
      <c r="EB23">
        <v>-9999</v>
      </c>
      <c r="EC23">
        <v>104</v>
      </c>
      <c r="ED23">
        <v>128</v>
      </c>
      <c r="EE23">
        <v>102</v>
      </c>
      <c r="EF23" t="s">
        <v>270</v>
      </c>
      <c r="EG23">
        <v>0</v>
      </c>
      <c r="EH23">
        <v>55</v>
      </c>
      <c r="EI23" t="s">
        <v>475</v>
      </c>
      <c r="EJ23" t="s">
        <v>548</v>
      </c>
      <c r="EK23">
        <v>9</v>
      </c>
      <c r="EL23" t="s">
        <v>549</v>
      </c>
      <c r="EM23">
        <v>0</v>
      </c>
      <c r="EN23">
        <v>6</v>
      </c>
      <c r="EO23" t="s">
        <v>264</v>
      </c>
      <c r="EP23">
        <v>-9999</v>
      </c>
      <c r="EQ23">
        <v>338</v>
      </c>
      <c r="ER23">
        <v>315</v>
      </c>
      <c r="ES23">
        <v>290</v>
      </c>
      <c r="ET23" t="s">
        <v>270</v>
      </c>
      <c r="EU23">
        <v>0</v>
      </c>
      <c r="EV23">
        <v>55</v>
      </c>
      <c r="EW23" t="s">
        <v>551</v>
      </c>
      <c r="EX23" t="s">
        <v>552</v>
      </c>
      <c r="EY23">
        <v>132</v>
      </c>
      <c r="EZ23">
        <v>133</v>
      </c>
      <c r="FA23">
        <v>134</v>
      </c>
      <c r="FB23" t="s">
        <v>270</v>
      </c>
      <c r="FC23" t="s">
        <v>553</v>
      </c>
      <c r="FD23" t="s">
        <v>552</v>
      </c>
      <c r="FE23">
        <v>245</v>
      </c>
      <c r="FF23">
        <v>244</v>
      </c>
      <c r="FG23">
        <v>243</v>
      </c>
      <c r="FH23" t="s">
        <v>270</v>
      </c>
      <c r="FI23" t="s">
        <v>554</v>
      </c>
      <c r="FJ23" t="s">
        <v>555</v>
      </c>
      <c r="FK23">
        <v>0</v>
      </c>
      <c r="FL23">
        <v>0</v>
      </c>
      <c r="FM23">
        <v>0</v>
      </c>
      <c r="FN23" t="s">
        <v>264</v>
      </c>
      <c r="FQ23" t="s">
        <v>556</v>
      </c>
      <c r="FR23" t="s">
        <v>555</v>
      </c>
      <c r="FS23">
        <v>0</v>
      </c>
      <c r="FT23">
        <v>0</v>
      </c>
      <c r="FU23">
        <v>0</v>
      </c>
      <c r="FV23" t="s">
        <v>264</v>
      </c>
      <c r="FY23" t="s">
        <v>557</v>
      </c>
      <c r="FZ23" t="s">
        <v>555</v>
      </c>
      <c r="GA23">
        <v>0</v>
      </c>
      <c r="GB23">
        <v>0</v>
      </c>
      <c r="GC23">
        <v>0</v>
      </c>
      <c r="GD23" t="s">
        <v>264</v>
      </c>
      <c r="GG23" t="s">
        <v>558</v>
      </c>
      <c r="GH23" t="s">
        <v>555</v>
      </c>
      <c r="GI23">
        <v>0</v>
      </c>
      <c r="GJ23">
        <v>0</v>
      </c>
      <c r="GK23">
        <v>0</v>
      </c>
      <c r="GL23" t="s">
        <v>264</v>
      </c>
      <c r="GO23" t="s">
        <v>559</v>
      </c>
      <c r="GP23" t="s">
        <v>555</v>
      </c>
      <c r="GQ23">
        <v>0</v>
      </c>
      <c r="GR23">
        <v>0</v>
      </c>
      <c r="GS23">
        <v>0</v>
      </c>
      <c r="GT23" t="s">
        <v>264</v>
      </c>
      <c r="GW23" t="s">
        <v>560</v>
      </c>
      <c r="GX23" t="s">
        <v>555</v>
      </c>
      <c r="GY23">
        <v>0</v>
      </c>
      <c r="GZ23">
        <v>0</v>
      </c>
      <c r="HA23">
        <v>0</v>
      </c>
      <c r="HB23" t="s">
        <v>264</v>
      </c>
      <c r="HE23" t="s">
        <v>561</v>
      </c>
      <c r="HF23" t="s">
        <v>555</v>
      </c>
      <c r="HG23">
        <v>0</v>
      </c>
      <c r="HH23">
        <v>0</v>
      </c>
      <c r="HI23">
        <v>0</v>
      </c>
      <c r="HJ23" t="s">
        <v>264</v>
      </c>
      <c r="HM23" t="s">
        <v>562</v>
      </c>
      <c r="HN23" t="s">
        <v>555</v>
      </c>
      <c r="HO23">
        <v>0</v>
      </c>
      <c r="HP23">
        <v>0</v>
      </c>
      <c r="HQ23">
        <v>0</v>
      </c>
      <c r="HR23" t="s">
        <v>264</v>
      </c>
      <c r="HU23" t="s">
        <v>563</v>
      </c>
      <c r="HV23" t="s">
        <v>555</v>
      </c>
      <c r="HW23">
        <v>0</v>
      </c>
      <c r="HX23">
        <v>0</v>
      </c>
      <c r="HY23">
        <v>0</v>
      </c>
      <c r="HZ23" t="s">
        <v>264</v>
      </c>
      <c r="IC23" t="s">
        <v>564</v>
      </c>
      <c r="ID23" t="s">
        <v>555</v>
      </c>
      <c r="IE23">
        <v>0</v>
      </c>
      <c r="IF23">
        <v>0</v>
      </c>
      <c r="IG23">
        <v>0</v>
      </c>
      <c r="IH23" t="s">
        <v>264</v>
      </c>
      <c r="IK23" t="s">
        <v>565</v>
      </c>
      <c r="IL23" t="s">
        <v>555</v>
      </c>
      <c r="IM23">
        <v>0</v>
      </c>
      <c r="IN23">
        <v>0</v>
      </c>
      <c r="IO23">
        <v>0</v>
      </c>
      <c r="IP23" t="s">
        <v>264</v>
      </c>
      <c r="IS23" t="s">
        <v>566</v>
      </c>
      <c r="IT23" t="s">
        <v>555</v>
      </c>
      <c r="IU23">
        <v>0</v>
      </c>
      <c r="IV23">
        <v>0</v>
      </c>
      <c r="IW23">
        <v>0</v>
      </c>
      <c r="IX23" t="s">
        <v>264</v>
      </c>
      <c r="JA23" t="s">
        <v>567</v>
      </c>
      <c r="JB23" t="s">
        <v>555</v>
      </c>
      <c r="JC23">
        <v>0</v>
      </c>
      <c r="JD23">
        <v>0</v>
      </c>
      <c r="JE23">
        <v>0</v>
      </c>
      <c r="JF23" t="s">
        <v>264</v>
      </c>
      <c r="JI23" t="s">
        <v>568</v>
      </c>
      <c r="JJ23" t="s">
        <v>555</v>
      </c>
      <c r="JK23">
        <v>0</v>
      </c>
      <c r="JL23">
        <v>0</v>
      </c>
      <c r="JM23">
        <v>0</v>
      </c>
      <c r="JN23" t="s">
        <v>264</v>
      </c>
      <c r="JQ23" t="s">
        <v>569</v>
      </c>
      <c r="JR23" t="s">
        <v>555</v>
      </c>
      <c r="JS23">
        <v>0</v>
      </c>
      <c r="JT23">
        <v>0</v>
      </c>
      <c r="JU23">
        <v>0</v>
      </c>
      <c r="JV23" t="s">
        <v>264</v>
      </c>
      <c r="JY23" t="s">
        <v>570</v>
      </c>
      <c r="JZ23" t="s">
        <v>555</v>
      </c>
      <c r="KA23">
        <v>0</v>
      </c>
      <c r="KB23">
        <v>0</v>
      </c>
      <c r="KC23">
        <v>0</v>
      </c>
      <c r="KD23" t="s">
        <v>264</v>
      </c>
      <c r="KG23" t="s">
        <v>571</v>
      </c>
      <c r="KH23" t="s">
        <v>555</v>
      </c>
      <c r="KI23">
        <v>0</v>
      </c>
      <c r="KJ23">
        <v>0</v>
      </c>
      <c r="KK23">
        <v>0</v>
      </c>
      <c r="KL23" t="s">
        <v>264</v>
      </c>
      <c r="KO23" t="s">
        <v>572</v>
      </c>
      <c r="KP23" t="s">
        <v>555</v>
      </c>
      <c r="KQ23">
        <v>0</v>
      </c>
      <c r="KR23">
        <v>0</v>
      </c>
      <c r="KS23">
        <v>0</v>
      </c>
      <c r="KT23" t="s">
        <v>264</v>
      </c>
      <c r="KW23" t="s">
        <v>573</v>
      </c>
      <c r="KX23" t="s">
        <v>555</v>
      </c>
      <c r="KY23">
        <v>0</v>
      </c>
      <c r="KZ23">
        <v>0</v>
      </c>
      <c r="LA23">
        <v>0</v>
      </c>
      <c r="LB23" t="s">
        <v>264</v>
      </c>
      <c r="LE23" t="s">
        <v>574</v>
      </c>
      <c r="LF23" t="s">
        <v>555</v>
      </c>
      <c r="LG23">
        <v>0</v>
      </c>
      <c r="LH23">
        <v>0</v>
      </c>
      <c r="LI23">
        <v>0</v>
      </c>
      <c r="LJ23" t="s">
        <v>264</v>
      </c>
      <c r="LM23" t="s">
        <v>575</v>
      </c>
      <c r="LN23" t="s">
        <v>555</v>
      </c>
      <c r="LO23">
        <v>0</v>
      </c>
      <c r="LP23">
        <v>0</v>
      </c>
      <c r="LQ23">
        <v>0</v>
      </c>
      <c r="LR23" t="s">
        <v>264</v>
      </c>
      <c r="LU23" t="s">
        <v>576</v>
      </c>
      <c r="LV23" t="s">
        <v>555</v>
      </c>
      <c r="LW23">
        <v>0</v>
      </c>
      <c r="LX23">
        <v>0</v>
      </c>
      <c r="LY23">
        <v>0</v>
      </c>
      <c r="LZ23" t="s">
        <v>264</v>
      </c>
      <c r="MC23" t="s">
        <v>577</v>
      </c>
      <c r="MD23" t="s">
        <v>555</v>
      </c>
      <c r="ME23">
        <v>0</v>
      </c>
      <c r="MF23">
        <v>0</v>
      </c>
      <c r="MG23">
        <v>0</v>
      </c>
      <c r="MH23" t="s">
        <v>264</v>
      </c>
      <c r="MK23" t="s">
        <v>578</v>
      </c>
      <c r="ML23" t="s">
        <v>555</v>
      </c>
      <c r="MM23">
        <v>0</v>
      </c>
      <c r="MN23">
        <v>0</v>
      </c>
      <c r="MO23">
        <v>0</v>
      </c>
      <c r="MP23" t="s">
        <v>264</v>
      </c>
      <c r="MS23" t="s">
        <v>579</v>
      </c>
      <c r="MT23" t="s">
        <v>555</v>
      </c>
      <c r="MU23">
        <v>0</v>
      </c>
      <c r="MV23">
        <v>0</v>
      </c>
      <c r="MW23">
        <v>0</v>
      </c>
      <c r="MX23" t="s">
        <v>264</v>
      </c>
      <c r="NA23" t="s">
        <v>580</v>
      </c>
      <c r="NB23" t="s">
        <v>555</v>
      </c>
      <c r="NC23">
        <v>0</v>
      </c>
      <c r="ND23">
        <v>0</v>
      </c>
      <c r="NE23">
        <v>0</v>
      </c>
      <c r="NF23" t="s">
        <v>264</v>
      </c>
      <c r="NI23">
        <v>40</v>
      </c>
      <c r="NJ23">
        <v>-10</v>
      </c>
      <c r="NP23" t="s">
        <v>624</v>
      </c>
    </row>
    <row r="24" spans="1:380" customFormat="1" x14ac:dyDescent="0.2">
      <c r="A24" t="s">
        <v>517</v>
      </c>
      <c r="B24">
        <v>1</v>
      </c>
      <c r="C24" t="s">
        <v>647</v>
      </c>
      <c r="D24">
        <v>646957368</v>
      </c>
      <c r="E24">
        <v>12602</v>
      </c>
      <c r="F24" t="s">
        <v>542</v>
      </c>
      <c r="G24">
        <v>847922</v>
      </c>
      <c r="H24">
        <v>210055321</v>
      </c>
      <c r="I24" t="s">
        <v>622</v>
      </c>
      <c r="J24" t="s">
        <v>648</v>
      </c>
      <c r="K24" t="s">
        <v>545</v>
      </c>
      <c r="L24" t="s">
        <v>294</v>
      </c>
      <c r="M24" t="s">
        <v>546</v>
      </c>
      <c r="N24" t="s">
        <v>468</v>
      </c>
      <c r="O24" t="s">
        <v>547</v>
      </c>
      <c r="P24" t="s">
        <v>264</v>
      </c>
      <c r="Q24">
        <v>25.8</v>
      </c>
      <c r="R24">
        <v>227</v>
      </c>
      <c r="S24" t="s">
        <v>264</v>
      </c>
      <c r="T24">
        <v>-9999</v>
      </c>
      <c r="U24">
        <v>582</v>
      </c>
      <c r="V24">
        <v>602</v>
      </c>
      <c r="W24">
        <v>573</v>
      </c>
      <c r="X24" t="s">
        <v>270</v>
      </c>
      <c r="Y24">
        <v>0</v>
      </c>
      <c r="Z24">
        <v>55</v>
      </c>
      <c r="AA24" t="s">
        <v>469</v>
      </c>
      <c r="AB24" t="s">
        <v>548</v>
      </c>
      <c r="AC24">
        <v>1</v>
      </c>
      <c r="AD24" t="s">
        <v>549</v>
      </c>
      <c r="AE24">
        <v>0</v>
      </c>
      <c r="AF24">
        <v>41</v>
      </c>
      <c r="AG24" t="s">
        <v>264</v>
      </c>
      <c r="AH24">
        <v>-9999</v>
      </c>
      <c r="AI24">
        <v>472</v>
      </c>
      <c r="AJ24">
        <v>581</v>
      </c>
      <c r="AK24">
        <v>469</v>
      </c>
      <c r="AL24" t="s">
        <v>270</v>
      </c>
      <c r="AM24">
        <v>0</v>
      </c>
      <c r="AN24">
        <v>55</v>
      </c>
      <c r="AO24" t="s">
        <v>470</v>
      </c>
      <c r="AP24" t="s">
        <v>548</v>
      </c>
      <c r="AQ24">
        <v>2</v>
      </c>
      <c r="AR24" t="s">
        <v>549</v>
      </c>
      <c r="AS24">
        <v>54</v>
      </c>
      <c r="AT24">
        <v>56</v>
      </c>
      <c r="AU24" t="s">
        <v>264</v>
      </c>
      <c r="AV24">
        <v>-9999</v>
      </c>
      <c r="AW24">
        <v>364</v>
      </c>
      <c r="AX24">
        <v>382</v>
      </c>
      <c r="AY24">
        <v>362</v>
      </c>
      <c r="AZ24" t="s">
        <v>270</v>
      </c>
      <c r="BA24">
        <v>0</v>
      </c>
      <c r="BB24">
        <v>55</v>
      </c>
      <c r="BC24" t="s">
        <v>550</v>
      </c>
      <c r="BD24" t="s">
        <v>548</v>
      </c>
      <c r="BE24">
        <v>3</v>
      </c>
      <c r="BF24" t="s">
        <v>549</v>
      </c>
      <c r="BG24">
        <v>0</v>
      </c>
      <c r="BH24">
        <v>-5</v>
      </c>
      <c r="BI24" t="s">
        <v>264</v>
      </c>
      <c r="BJ24">
        <v>-9999</v>
      </c>
      <c r="BK24">
        <v>135</v>
      </c>
      <c r="BL24">
        <v>175</v>
      </c>
      <c r="BM24">
        <v>138</v>
      </c>
      <c r="BN24" t="s">
        <v>270</v>
      </c>
      <c r="BO24">
        <v>0</v>
      </c>
      <c r="BP24">
        <v>55</v>
      </c>
      <c r="BQ24" t="s">
        <v>504</v>
      </c>
      <c r="BR24" t="s">
        <v>548</v>
      </c>
      <c r="BS24">
        <v>4</v>
      </c>
      <c r="BT24" t="s">
        <v>549</v>
      </c>
      <c r="BU24">
        <v>52.2</v>
      </c>
      <c r="BV24">
        <v>84</v>
      </c>
      <c r="BW24" t="s">
        <v>264</v>
      </c>
      <c r="BX24">
        <v>-9999</v>
      </c>
      <c r="BY24">
        <v>193</v>
      </c>
      <c r="BZ24">
        <v>224</v>
      </c>
      <c r="CA24">
        <v>191</v>
      </c>
      <c r="CB24" t="s">
        <v>270</v>
      </c>
      <c r="CC24">
        <v>0</v>
      </c>
      <c r="CD24">
        <v>55</v>
      </c>
      <c r="CE24" t="s">
        <v>471</v>
      </c>
      <c r="CF24" t="s">
        <v>548</v>
      </c>
      <c r="CG24">
        <v>5</v>
      </c>
      <c r="CH24" t="s">
        <v>549</v>
      </c>
      <c r="CI24">
        <v>51.2</v>
      </c>
      <c r="CJ24">
        <v>185</v>
      </c>
      <c r="CK24" t="s">
        <v>264</v>
      </c>
      <c r="CL24">
        <v>-9999</v>
      </c>
      <c r="CM24">
        <v>504</v>
      </c>
      <c r="CN24">
        <v>592</v>
      </c>
      <c r="CO24">
        <v>505</v>
      </c>
      <c r="CP24" t="s">
        <v>270</v>
      </c>
      <c r="CQ24">
        <v>0</v>
      </c>
      <c r="CR24">
        <v>55</v>
      </c>
      <c r="CS24" t="s">
        <v>472</v>
      </c>
      <c r="CT24" t="s">
        <v>548</v>
      </c>
      <c r="CU24">
        <v>6</v>
      </c>
      <c r="CV24" t="s">
        <v>549</v>
      </c>
      <c r="CW24">
        <v>52.6</v>
      </c>
      <c r="CX24">
        <v>119</v>
      </c>
      <c r="CY24" t="s">
        <v>264</v>
      </c>
      <c r="CZ24">
        <v>-9999</v>
      </c>
      <c r="DA24">
        <v>650</v>
      </c>
      <c r="DB24">
        <v>742</v>
      </c>
      <c r="DC24">
        <v>643</v>
      </c>
      <c r="DD24" t="s">
        <v>270</v>
      </c>
      <c r="DE24">
        <v>0</v>
      </c>
      <c r="DF24">
        <v>55</v>
      </c>
      <c r="DG24" t="s">
        <v>473</v>
      </c>
      <c r="DH24" t="s">
        <v>548</v>
      </c>
      <c r="DI24">
        <v>7</v>
      </c>
      <c r="DJ24" t="s">
        <v>549</v>
      </c>
      <c r="DK24">
        <v>0</v>
      </c>
      <c r="DL24">
        <v>36</v>
      </c>
      <c r="DM24" t="s">
        <v>264</v>
      </c>
      <c r="DN24">
        <v>-9999</v>
      </c>
      <c r="DO24">
        <v>538</v>
      </c>
      <c r="DP24">
        <v>616</v>
      </c>
      <c r="DQ24">
        <v>534</v>
      </c>
      <c r="DR24" t="s">
        <v>270</v>
      </c>
      <c r="DS24">
        <v>0</v>
      </c>
      <c r="DT24">
        <v>55</v>
      </c>
      <c r="DU24" t="s">
        <v>474</v>
      </c>
      <c r="DV24" t="s">
        <v>548</v>
      </c>
      <c r="DW24">
        <v>8</v>
      </c>
      <c r="DX24" t="s">
        <v>584</v>
      </c>
      <c r="DY24">
        <v>30.6</v>
      </c>
      <c r="DZ24">
        <v>402</v>
      </c>
      <c r="EA24" t="s">
        <v>264</v>
      </c>
      <c r="EB24">
        <v>-9999</v>
      </c>
      <c r="EC24">
        <v>111</v>
      </c>
      <c r="ED24">
        <v>134</v>
      </c>
      <c r="EE24">
        <v>110</v>
      </c>
      <c r="EF24" t="s">
        <v>270</v>
      </c>
      <c r="EG24">
        <v>0</v>
      </c>
      <c r="EH24">
        <v>55</v>
      </c>
      <c r="EI24" t="s">
        <v>475</v>
      </c>
      <c r="EJ24" t="s">
        <v>548</v>
      </c>
      <c r="EK24">
        <v>9</v>
      </c>
      <c r="EL24" t="s">
        <v>549</v>
      </c>
      <c r="EM24">
        <v>0</v>
      </c>
      <c r="EN24">
        <v>15</v>
      </c>
      <c r="EO24" t="s">
        <v>264</v>
      </c>
      <c r="EP24">
        <v>-9999</v>
      </c>
      <c r="EQ24">
        <v>348</v>
      </c>
      <c r="ER24">
        <v>332</v>
      </c>
      <c r="ES24">
        <v>308</v>
      </c>
      <c r="ET24" t="s">
        <v>270</v>
      </c>
      <c r="EU24">
        <v>0</v>
      </c>
      <c r="EV24">
        <v>55</v>
      </c>
      <c r="EW24" t="s">
        <v>551</v>
      </c>
      <c r="EX24" t="s">
        <v>552</v>
      </c>
      <c r="EY24">
        <v>133</v>
      </c>
      <c r="EZ24">
        <v>133</v>
      </c>
      <c r="FA24">
        <v>134</v>
      </c>
      <c r="FB24" t="s">
        <v>270</v>
      </c>
      <c r="FC24" t="s">
        <v>553</v>
      </c>
      <c r="FD24" t="s">
        <v>552</v>
      </c>
      <c r="FE24">
        <v>308</v>
      </c>
      <c r="FF24">
        <v>307</v>
      </c>
      <c r="FG24">
        <v>306</v>
      </c>
      <c r="FH24" t="s">
        <v>270</v>
      </c>
      <c r="FI24" t="s">
        <v>554</v>
      </c>
      <c r="FJ24" t="s">
        <v>555</v>
      </c>
      <c r="FK24">
        <v>0</v>
      </c>
      <c r="FL24">
        <v>0</v>
      </c>
      <c r="FM24">
        <v>0</v>
      </c>
      <c r="FN24" t="s">
        <v>264</v>
      </c>
      <c r="FQ24" t="s">
        <v>556</v>
      </c>
      <c r="FR24" t="s">
        <v>555</v>
      </c>
      <c r="FS24">
        <v>0</v>
      </c>
      <c r="FT24">
        <v>0</v>
      </c>
      <c r="FU24">
        <v>0</v>
      </c>
      <c r="FV24" t="s">
        <v>264</v>
      </c>
      <c r="FY24" t="s">
        <v>557</v>
      </c>
      <c r="FZ24" t="s">
        <v>555</v>
      </c>
      <c r="GA24">
        <v>0</v>
      </c>
      <c r="GB24">
        <v>0</v>
      </c>
      <c r="GC24">
        <v>0</v>
      </c>
      <c r="GD24" t="s">
        <v>264</v>
      </c>
      <c r="GG24" t="s">
        <v>558</v>
      </c>
      <c r="GH24" t="s">
        <v>555</v>
      </c>
      <c r="GI24">
        <v>0</v>
      </c>
      <c r="GJ24">
        <v>0</v>
      </c>
      <c r="GK24">
        <v>0</v>
      </c>
      <c r="GL24" t="s">
        <v>264</v>
      </c>
      <c r="GO24" t="s">
        <v>559</v>
      </c>
      <c r="GP24" t="s">
        <v>555</v>
      </c>
      <c r="GQ24">
        <v>0</v>
      </c>
      <c r="GR24">
        <v>0</v>
      </c>
      <c r="GS24">
        <v>0</v>
      </c>
      <c r="GT24" t="s">
        <v>264</v>
      </c>
      <c r="GW24" t="s">
        <v>560</v>
      </c>
      <c r="GX24" t="s">
        <v>555</v>
      </c>
      <c r="GY24">
        <v>0</v>
      </c>
      <c r="GZ24">
        <v>0</v>
      </c>
      <c r="HA24">
        <v>0</v>
      </c>
      <c r="HB24" t="s">
        <v>264</v>
      </c>
      <c r="HE24" t="s">
        <v>561</v>
      </c>
      <c r="HF24" t="s">
        <v>555</v>
      </c>
      <c r="HG24">
        <v>0</v>
      </c>
      <c r="HH24">
        <v>0</v>
      </c>
      <c r="HI24">
        <v>0</v>
      </c>
      <c r="HJ24" t="s">
        <v>264</v>
      </c>
      <c r="HM24" t="s">
        <v>562</v>
      </c>
      <c r="HN24" t="s">
        <v>555</v>
      </c>
      <c r="HO24">
        <v>0</v>
      </c>
      <c r="HP24">
        <v>0</v>
      </c>
      <c r="HQ24">
        <v>0</v>
      </c>
      <c r="HR24" t="s">
        <v>264</v>
      </c>
      <c r="HU24" t="s">
        <v>563</v>
      </c>
      <c r="HV24" t="s">
        <v>555</v>
      </c>
      <c r="HW24">
        <v>0</v>
      </c>
      <c r="HX24">
        <v>0</v>
      </c>
      <c r="HY24">
        <v>0</v>
      </c>
      <c r="HZ24" t="s">
        <v>264</v>
      </c>
      <c r="IA24">
        <v>74.8</v>
      </c>
      <c r="IB24">
        <v>168.9</v>
      </c>
      <c r="IC24" t="s">
        <v>564</v>
      </c>
      <c r="ID24" t="s">
        <v>555</v>
      </c>
      <c r="IE24">
        <v>0</v>
      </c>
      <c r="IF24">
        <v>0</v>
      </c>
      <c r="IG24">
        <v>0</v>
      </c>
      <c r="IH24" t="s">
        <v>264</v>
      </c>
      <c r="IK24" t="s">
        <v>565</v>
      </c>
      <c r="IL24" t="s">
        <v>555</v>
      </c>
      <c r="IM24">
        <v>0</v>
      </c>
      <c r="IN24">
        <v>0</v>
      </c>
      <c r="IO24">
        <v>0</v>
      </c>
      <c r="IP24" t="s">
        <v>264</v>
      </c>
      <c r="IS24" t="s">
        <v>566</v>
      </c>
      <c r="IT24" t="s">
        <v>555</v>
      </c>
      <c r="IU24">
        <v>0</v>
      </c>
      <c r="IV24">
        <v>0</v>
      </c>
      <c r="IW24">
        <v>0</v>
      </c>
      <c r="IX24" t="s">
        <v>264</v>
      </c>
      <c r="JA24" t="s">
        <v>567</v>
      </c>
      <c r="JB24" t="s">
        <v>555</v>
      </c>
      <c r="JC24">
        <v>0</v>
      </c>
      <c r="JD24">
        <v>0</v>
      </c>
      <c r="JE24">
        <v>0</v>
      </c>
      <c r="JF24" t="s">
        <v>264</v>
      </c>
      <c r="JI24" t="s">
        <v>568</v>
      </c>
      <c r="JJ24" t="s">
        <v>555</v>
      </c>
      <c r="JK24">
        <v>0</v>
      </c>
      <c r="JL24">
        <v>0</v>
      </c>
      <c r="JM24">
        <v>0</v>
      </c>
      <c r="JN24" t="s">
        <v>264</v>
      </c>
      <c r="JQ24" t="s">
        <v>569</v>
      </c>
      <c r="JR24" t="s">
        <v>555</v>
      </c>
      <c r="JS24">
        <v>0</v>
      </c>
      <c r="JT24">
        <v>0</v>
      </c>
      <c r="JU24">
        <v>0</v>
      </c>
      <c r="JV24" t="s">
        <v>264</v>
      </c>
      <c r="JY24" t="s">
        <v>570</v>
      </c>
      <c r="JZ24" t="s">
        <v>555</v>
      </c>
      <c r="KA24">
        <v>0</v>
      </c>
      <c r="KB24">
        <v>0</v>
      </c>
      <c r="KC24">
        <v>0</v>
      </c>
      <c r="KD24" t="s">
        <v>264</v>
      </c>
      <c r="KG24" t="s">
        <v>571</v>
      </c>
      <c r="KH24" t="s">
        <v>555</v>
      </c>
      <c r="KI24">
        <v>0</v>
      </c>
      <c r="KJ24">
        <v>0</v>
      </c>
      <c r="KK24">
        <v>0</v>
      </c>
      <c r="KL24" t="s">
        <v>264</v>
      </c>
      <c r="KO24" t="s">
        <v>572</v>
      </c>
      <c r="KP24" t="s">
        <v>555</v>
      </c>
      <c r="KQ24">
        <v>0</v>
      </c>
      <c r="KR24">
        <v>0</v>
      </c>
      <c r="KS24">
        <v>0</v>
      </c>
      <c r="KT24" t="s">
        <v>264</v>
      </c>
      <c r="KW24" t="s">
        <v>573</v>
      </c>
      <c r="KX24" t="s">
        <v>555</v>
      </c>
      <c r="KY24">
        <v>0</v>
      </c>
      <c r="KZ24">
        <v>0</v>
      </c>
      <c r="LA24">
        <v>0</v>
      </c>
      <c r="LB24" t="s">
        <v>264</v>
      </c>
      <c r="LE24" t="s">
        <v>574</v>
      </c>
      <c r="LF24" t="s">
        <v>555</v>
      </c>
      <c r="LG24">
        <v>0</v>
      </c>
      <c r="LH24">
        <v>0</v>
      </c>
      <c r="LI24">
        <v>0</v>
      </c>
      <c r="LJ24" t="s">
        <v>264</v>
      </c>
      <c r="LM24" t="s">
        <v>575</v>
      </c>
      <c r="LN24" t="s">
        <v>555</v>
      </c>
      <c r="LO24">
        <v>0</v>
      </c>
      <c r="LP24">
        <v>0</v>
      </c>
      <c r="LQ24">
        <v>0</v>
      </c>
      <c r="LR24" t="s">
        <v>264</v>
      </c>
      <c r="LU24" t="s">
        <v>576</v>
      </c>
      <c r="LV24" t="s">
        <v>555</v>
      </c>
      <c r="LW24">
        <v>0</v>
      </c>
      <c r="LX24">
        <v>0</v>
      </c>
      <c r="LY24">
        <v>0</v>
      </c>
      <c r="LZ24" t="s">
        <v>264</v>
      </c>
      <c r="MC24" t="s">
        <v>577</v>
      </c>
      <c r="MD24" t="s">
        <v>555</v>
      </c>
      <c r="ME24">
        <v>0</v>
      </c>
      <c r="MF24">
        <v>0</v>
      </c>
      <c r="MG24">
        <v>0</v>
      </c>
      <c r="MH24" t="s">
        <v>264</v>
      </c>
      <c r="MK24" t="s">
        <v>578</v>
      </c>
      <c r="ML24" t="s">
        <v>555</v>
      </c>
      <c r="MM24">
        <v>0</v>
      </c>
      <c r="MN24">
        <v>0</v>
      </c>
      <c r="MO24">
        <v>0</v>
      </c>
      <c r="MP24" t="s">
        <v>264</v>
      </c>
      <c r="MS24" t="s">
        <v>579</v>
      </c>
      <c r="MT24" t="s">
        <v>555</v>
      </c>
      <c r="MU24">
        <v>0</v>
      </c>
      <c r="MV24">
        <v>0</v>
      </c>
      <c r="MW24">
        <v>0</v>
      </c>
      <c r="MX24" t="s">
        <v>264</v>
      </c>
      <c r="NA24" t="s">
        <v>580</v>
      </c>
      <c r="NB24" t="s">
        <v>555</v>
      </c>
      <c r="NC24">
        <v>0</v>
      </c>
      <c r="ND24">
        <v>0</v>
      </c>
      <c r="NE24">
        <v>0</v>
      </c>
      <c r="NF24" t="s">
        <v>264</v>
      </c>
      <c r="NI24">
        <v>40.1</v>
      </c>
      <c r="NJ24">
        <v>-6.4</v>
      </c>
      <c r="NP24" t="s">
        <v>624</v>
      </c>
    </row>
    <row r="25" spans="1:380" customFormat="1" x14ac:dyDescent="0.2">
      <c r="A25" t="s">
        <v>517</v>
      </c>
      <c r="B25">
        <v>1</v>
      </c>
      <c r="C25" t="s">
        <v>649</v>
      </c>
      <c r="D25">
        <v>646957154</v>
      </c>
      <c r="E25">
        <v>12602</v>
      </c>
      <c r="F25" t="s">
        <v>542</v>
      </c>
      <c r="G25">
        <v>847922</v>
      </c>
      <c r="H25">
        <v>210075588</v>
      </c>
      <c r="I25" t="s">
        <v>622</v>
      </c>
      <c r="J25" t="s">
        <v>650</v>
      </c>
      <c r="K25" t="s">
        <v>545</v>
      </c>
      <c r="L25" t="s">
        <v>294</v>
      </c>
      <c r="M25" t="s">
        <v>546</v>
      </c>
      <c r="N25" t="s">
        <v>468</v>
      </c>
      <c r="O25" t="s">
        <v>547</v>
      </c>
      <c r="P25" t="s">
        <v>270</v>
      </c>
      <c r="Q25">
        <v>28.7</v>
      </c>
      <c r="R25">
        <v>211</v>
      </c>
      <c r="S25" t="s">
        <v>270</v>
      </c>
      <c r="T25">
        <v>-9999</v>
      </c>
      <c r="U25">
        <v>613</v>
      </c>
      <c r="V25">
        <v>635</v>
      </c>
      <c r="W25">
        <v>602</v>
      </c>
      <c r="X25" t="s">
        <v>270</v>
      </c>
      <c r="Y25">
        <v>0</v>
      </c>
      <c r="Z25">
        <v>55</v>
      </c>
      <c r="AA25" t="s">
        <v>469</v>
      </c>
      <c r="AB25" t="s">
        <v>548</v>
      </c>
      <c r="AC25">
        <v>1</v>
      </c>
      <c r="AD25" t="s">
        <v>549</v>
      </c>
      <c r="AE25">
        <v>0</v>
      </c>
      <c r="AF25">
        <v>4</v>
      </c>
      <c r="AG25" t="s">
        <v>264</v>
      </c>
      <c r="AH25">
        <v>-9999</v>
      </c>
      <c r="AI25">
        <v>363</v>
      </c>
      <c r="AJ25">
        <v>437</v>
      </c>
      <c r="AK25">
        <v>359</v>
      </c>
      <c r="AL25" t="s">
        <v>270</v>
      </c>
      <c r="AM25">
        <v>0</v>
      </c>
      <c r="AN25">
        <v>55</v>
      </c>
      <c r="AO25" t="s">
        <v>470</v>
      </c>
      <c r="AP25" t="s">
        <v>548</v>
      </c>
      <c r="AQ25">
        <v>2</v>
      </c>
      <c r="AR25" t="s">
        <v>549</v>
      </c>
      <c r="AS25">
        <v>54.2</v>
      </c>
      <c r="AT25">
        <v>50</v>
      </c>
      <c r="AU25" t="s">
        <v>264</v>
      </c>
      <c r="AV25">
        <v>-9999</v>
      </c>
      <c r="AW25">
        <v>432</v>
      </c>
      <c r="AX25">
        <v>457</v>
      </c>
      <c r="AY25">
        <v>430</v>
      </c>
      <c r="AZ25" t="s">
        <v>270</v>
      </c>
      <c r="BA25">
        <v>0</v>
      </c>
      <c r="BB25">
        <v>55</v>
      </c>
      <c r="BC25" t="s">
        <v>550</v>
      </c>
      <c r="BD25" t="s">
        <v>548</v>
      </c>
      <c r="BE25">
        <v>3</v>
      </c>
      <c r="BF25" t="s">
        <v>549</v>
      </c>
      <c r="BG25">
        <v>49.4</v>
      </c>
      <c r="BH25">
        <v>19</v>
      </c>
      <c r="BI25" t="s">
        <v>264</v>
      </c>
      <c r="BJ25">
        <v>-9999</v>
      </c>
      <c r="BK25">
        <v>121</v>
      </c>
      <c r="BL25">
        <v>156</v>
      </c>
      <c r="BM25">
        <v>122</v>
      </c>
      <c r="BN25" t="s">
        <v>270</v>
      </c>
      <c r="BO25">
        <v>0</v>
      </c>
      <c r="BP25">
        <v>55</v>
      </c>
      <c r="BQ25" t="s">
        <v>504</v>
      </c>
      <c r="BR25" t="s">
        <v>548</v>
      </c>
      <c r="BS25">
        <v>4</v>
      </c>
      <c r="BT25" t="s">
        <v>549</v>
      </c>
      <c r="BU25">
        <v>54.6</v>
      </c>
      <c r="BV25">
        <v>32</v>
      </c>
      <c r="BW25" t="s">
        <v>264</v>
      </c>
      <c r="BX25">
        <v>-9999</v>
      </c>
      <c r="BY25">
        <v>186</v>
      </c>
      <c r="BZ25">
        <v>215</v>
      </c>
      <c r="CA25">
        <v>184</v>
      </c>
      <c r="CB25" t="s">
        <v>270</v>
      </c>
      <c r="CC25">
        <v>0</v>
      </c>
      <c r="CD25">
        <v>55</v>
      </c>
      <c r="CE25" t="s">
        <v>471</v>
      </c>
      <c r="CF25" t="s">
        <v>548</v>
      </c>
      <c r="CG25">
        <v>5</v>
      </c>
      <c r="CH25" t="s">
        <v>549</v>
      </c>
      <c r="CI25">
        <v>0</v>
      </c>
      <c r="CJ25">
        <v>50</v>
      </c>
      <c r="CK25" t="s">
        <v>264</v>
      </c>
      <c r="CL25">
        <v>-9999</v>
      </c>
      <c r="CM25">
        <v>435</v>
      </c>
      <c r="CN25">
        <v>502</v>
      </c>
      <c r="CO25">
        <v>434</v>
      </c>
      <c r="CP25" t="s">
        <v>270</v>
      </c>
      <c r="CQ25">
        <v>0</v>
      </c>
      <c r="CR25">
        <v>55</v>
      </c>
      <c r="CS25" t="s">
        <v>472</v>
      </c>
      <c r="CT25" t="s">
        <v>548</v>
      </c>
      <c r="CU25">
        <v>6</v>
      </c>
      <c r="CV25" t="s">
        <v>549</v>
      </c>
      <c r="CW25">
        <v>0</v>
      </c>
      <c r="CX25">
        <v>1</v>
      </c>
      <c r="CY25" t="s">
        <v>264</v>
      </c>
      <c r="CZ25">
        <v>-9999</v>
      </c>
      <c r="DA25">
        <v>613</v>
      </c>
      <c r="DB25">
        <v>692</v>
      </c>
      <c r="DC25">
        <v>602</v>
      </c>
      <c r="DD25" t="s">
        <v>270</v>
      </c>
      <c r="DE25">
        <v>0</v>
      </c>
      <c r="DF25">
        <v>55</v>
      </c>
      <c r="DG25" t="s">
        <v>473</v>
      </c>
      <c r="DH25" t="s">
        <v>548</v>
      </c>
      <c r="DI25">
        <v>7</v>
      </c>
      <c r="DJ25" t="s">
        <v>549</v>
      </c>
      <c r="DK25">
        <v>0</v>
      </c>
      <c r="DL25">
        <v>28</v>
      </c>
      <c r="DM25" t="s">
        <v>264</v>
      </c>
      <c r="DN25">
        <v>-9999</v>
      </c>
      <c r="DO25">
        <v>438</v>
      </c>
      <c r="DP25">
        <v>505</v>
      </c>
      <c r="DQ25">
        <v>433</v>
      </c>
      <c r="DR25" t="s">
        <v>270</v>
      </c>
      <c r="DS25">
        <v>0</v>
      </c>
      <c r="DT25">
        <v>55</v>
      </c>
      <c r="DU25" t="s">
        <v>474</v>
      </c>
      <c r="DV25" t="s">
        <v>548</v>
      </c>
      <c r="DW25">
        <v>8</v>
      </c>
      <c r="DX25" t="s">
        <v>549</v>
      </c>
      <c r="DY25">
        <v>0</v>
      </c>
      <c r="DZ25">
        <v>13</v>
      </c>
      <c r="EA25" t="s">
        <v>264</v>
      </c>
      <c r="EB25">
        <v>-9999</v>
      </c>
      <c r="EC25">
        <v>104</v>
      </c>
      <c r="ED25">
        <v>124</v>
      </c>
      <c r="EE25">
        <v>102</v>
      </c>
      <c r="EF25" t="s">
        <v>270</v>
      </c>
      <c r="EG25">
        <v>0</v>
      </c>
      <c r="EH25">
        <v>55</v>
      </c>
      <c r="EI25" t="s">
        <v>475</v>
      </c>
      <c r="EJ25" t="s">
        <v>548</v>
      </c>
      <c r="EK25">
        <v>9</v>
      </c>
      <c r="EL25" t="s">
        <v>549</v>
      </c>
      <c r="EM25">
        <v>0</v>
      </c>
      <c r="EN25">
        <v>-18</v>
      </c>
      <c r="EO25" t="s">
        <v>264</v>
      </c>
      <c r="EP25">
        <v>-9999</v>
      </c>
      <c r="EQ25">
        <v>329</v>
      </c>
      <c r="ER25">
        <v>318</v>
      </c>
      <c r="ES25">
        <v>296</v>
      </c>
      <c r="ET25" t="s">
        <v>270</v>
      </c>
      <c r="EU25">
        <v>0</v>
      </c>
      <c r="EV25">
        <v>55</v>
      </c>
      <c r="EW25" t="s">
        <v>551</v>
      </c>
      <c r="EX25" t="s">
        <v>552</v>
      </c>
      <c r="EY25">
        <v>124</v>
      </c>
      <c r="EZ25">
        <v>124</v>
      </c>
      <c r="FA25">
        <v>124</v>
      </c>
      <c r="FB25" t="s">
        <v>270</v>
      </c>
      <c r="FC25" t="s">
        <v>553</v>
      </c>
      <c r="FD25" t="s">
        <v>552</v>
      </c>
      <c r="FE25">
        <v>309</v>
      </c>
      <c r="FF25">
        <v>307</v>
      </c>
      <c r="FG25">
        <v>306</v>
      </c>
      <c r="FH25" t="s">
        <v>270</v>
      </c>
      <c r="FI25" t="s">
        <v>554</v>
      </c>
      <c r="FJ25" t="s">
        <v>555</v>
      </c>
      <c r="FK25">
        <v>0</v>
      </c>
      <c r="FL25">
        <v>0</v>
      </c>
      <c r="FM25">
        <v>0</v>
      </c>
      <c r="FN25" t="s">
        <v>264</v>
      </c>
      <c r="FQ25" t="s">
        <v>556</v>
      </c>
      <c r="FR25" t="s">
        <v>555</v>
      </c>
      <c r="FS25">
        <v>0</v>
      </c>
      <c r="FT25">
        <v>0</v>
      </c>
      <c r="FU25">
        <v>0</v>
      </c>
      <c r="FV25" t="s">
        <v>264</v>
      </c>
      <c r="FY25" t="s">
        <v>557</v>
      </c>
      <c r="FZ25" t="s">
        <v>555</v>
      </c>
      <c r="GA25">
        <v>0</v>
      </c>
      <c r="GB25">
        <v>0</v>
      </c>
      <c r="GC25">
        <v>0</v>
      </c>
      <c r="GD25" t="s">
        <v>264</v>
      </c>
      <c r="GG25" t="s">
        <v>558</v>
      </c>
      <c r="GH25" t="s">
        <v>555</v>
      </c>
      <c r="GI25">
        <v>0</v>
      </c>
      <c r="GJ25">
        <v>0</v>
      </c>
      <c r="GK25">
        <v>0</v>
      </c>
      <c r="GL25" t="s">
        <v>264</v>
      </c>
      <c r="GO25" t="s">
        <v>559</v>
      </c>
      <c r="GP25" t="s">
        <v>555</v>
      </c>
      <c r="GQ25">
        <v>0</v>
      </c>
      <c r="GR25">
        <v>0</v>
      </c>
      <c r="GS25">
        <v>0</v>
      </c>
      <c r="GT25" t="s">
        <v>264</v>
      </c>
      <c r="GW25" t="s">
        <v>560</v>
      </c>
      <c r="GX25" t="s">
        <v>555</v>
      </c>
      <c r="GY25">
        <v>0</v>
      </c>
      <c r="GZ25">
        <v>0</v>
      </c>
      <c r="HA25">
        <v>0</v>
      </c>
      <c r="HB25" t="s">
        <v>264</v>
      </c>
      <c r="HE25" t="s">
        <v>561</v>
      </c>
      <c r="HF25" t="s">
        <v>555</v>
      </c>
      <c r="HG25">
        <v>0</v>
      </c>
      <c r="HH25">
        <v>0</v>
      </c>
      <c r="HI25">
        <v>0</v>
      </c>
      <c r="HJ25" t="s">
        <v>264</v>
      </c>
      <c r="HM25" t="s">
        <v>562</v>
      </c>
      <c r="HN25" t="s">
        <v>555</v>
      </c>
      <c r="HO25">
        <v>0</v>
      </c>
      <c r="HP25">
        <v>0</v>
      </c>
      <c r="HQ25">
        <v>0</v>
      </c>
      <c r="HR25" t="s">
        <v>264</v>
      </c>
      <c r="HU25" t="s">
        <v>563</v>
      </c>
      <c r="HV25" t="s">
        <v>555</v>
      </c>
      <c r="HW25">
        <v>0</v>
      </c>
      <c r="HX25">
        <v>0</v>
      </c>
      <c r="HY25">
        <v>0</v>
      </c>
      <c r="HZ25" t="s">
        <v>264</v>
      </c>
      <c r="IC25" t="s">
        <v>564</v>
      </c>
      <c r="ID25" t="s">
        <v>555</v>
      </c>
      <c r="IE25">
        <v>0</v>
      </c>
      <c r="IF25">
        <v>0</v>
      </c>
      <c r="IG25">
        <v>0</v>
      </c>
      <c r="IH25" t="s">
        <v>264</v>
      </c>
      <c r="IK25" t="s">
        <v>565</v>
      </c>
      <c r="IL25" t="s">
        <v>555</v>
      </c>
      <c r="IM25">
        <v>0</v>
      </c>
      <c r="IN25">
        <v>0</v>
      </c>
      <c r="IO25">
        <v>0</v>
      </c>
      <c r="IP25" t="s">
        <v>264</v>
      </c>
      <c r="IS25" t="s">
        <v>566</v>
      </c>
      <c r="IT25" t="s">
        <v>555</v>
      </c>
      <c r="IU25">
        <v>0</v>
      </c>
      <c r="IV25">
        <v>0</v>
      </c>
      <c r="IW25">
        <v>0</v>
      </c>
      <c r="IX25" t="s">
        <v>264</v>
      </c>
      <c r="JA25" t="s">
        <v>567</v>
      </c>
      <c r="JB25" t="s">
        <v>555</v>
      </c>
      <c r="JC25">
        <v>0</v>
      </c>
      <c r="JD25">
        <v>0</v>
      </c>
      <c r="JE25">
        <v>0</v>
      </c>
      <c r="JF25" t="s">
        <v>264</v>
      </c>
      <c r="JI25" t="s">
        <v>568</v>
      </c>
      <c r="JJ25" t="s">
        <v>555</v>
      </c>
      <c r="JK25">
        <v>0</v>
      </c>
      <c r="JL25">
        <v>0</v>
      </c>
      <c r="JM25">
        <v>0</v>
      </c>
      <c r="JN25" t="s">
        <v>264</v>
      </c>
      <c r="JQ25" t="s">
        <v>569</v>
      </c>
      <c r="JR25" t="s">
        <v>555</v>
      </c>
      <c r="JS25">
        <v>0</v>
      </c>
      <c r="JT25">
        <v>0</v>
      </c>
      <c r="JU25">
        <v>0</v>
      </c>
      <c r="JV25" t="s">
        <v>264</v>
      </c>
      <c r="JY25" t="s">
        <v>570</v>
      </c>
      <c r="JZ25" t="s">
        <v>555</v>
      </c>
      <c r="KA25">
        <v>0</v>
      </c>
      <c r="KB25">
        <v>0</v>
      </c>
      <c r="KC25">
        <v>0</v>
      </c>
      <c r="KD25" t="s">
        <v>264</v>
      </c>
      <c r="KG25" t="s">
        <v>571</v>
      </c>
      <c r="KH25" t="s">
        <v>555</v>
      </c>
      <c r="KI25">
        <v>0</v>
      </c>
      <c r="KJ25">
        <v>0</v>
      </c>
      <c r="KK25">
        <v>0</v>
      </c>
      <c r="KL25" t="s">
        <v>264</v>
      </c>
      <c r="KO25" t="s">
        <v>572</v>
      </c>
      <c r="KP25" t="s">
        <v>555</v>
      </c>
      <c r="KQ25">
        <v>0</v>
      </c>
      <c r="KR25">
        <v>0</v>
      </c>
      <c r="KS25">
        <v>0</v>
      </c>
      <c r="KT25" t="s">
        <v>264</v>
      </c>
      <c r="KW25" t="s">
        <v>573</v>
      </c>
      <c r="KX25" t="s">
        <v>555</v>
      </c>
      <c r="KY25">
        <v>0</v>
      </c>
      <c r="KZ25">
        <v>0</v>
      </c>
      <c r="LA25">
        <v>0</v>
      </c>
      <c r="LB25" t="s">
        <v>264</v>
      </c>
      <c r="LE25" t="s">
        <v>574</v>
      </c>
      <c r="LF25" t="s">
        <v>555</v>
      </c>
      <c r="LG25">
        <v>0</v>
      </c>
      <c r="LH25">
        <v>0</v>
      </c>
      <c r="LI25">
        <v>0</v>
      </c>
      <c r="LJ25" t="s">
        <v>264</v>
      </c>
      <c r="LM25" t="s">
        <v>575</v>
      </c>
      <c r="LN25" t="s">
        <v>555</v>
      </c>
      <c r="LO25">
        <v>0</v>
      </c>
      <c r="LP25">
        <v>0</v>
      </c>
      <c r="LQ25">
        <v>0</v>
      </c>
      <c r="LR25" t="s">
        <v>264</v>
      </c>
      <c r="LU25" t="s">
        <v>576</v>
      </c>
      <c r="LV25" t="s">
        <v>555</v>
      </c>
      <c r="LW25">
        <v>0</v>
      </c>
      <c r="LX25">
        <v>0</v>
      </c>
      <c r="LY25">
        <v>0</v>
      </c>
      <c r="LZ25" t="s">
        <v>264</v>
      </c>
      <c r="MC25" t="s">
        <v>577</v>
      </c>
      <c r="MD25" t="s">
        <v>555</v>
      </c>
      <c r="ME25">
        <v>0</v>
      </c>
      <c r="MF25">
        <v>0</v>
      </c>
      <c r="MG25">
        <v>0</v>
      </c>
      <c r="MH25" t="s">
        <v>264</v>
      </c>
      <c r="MK25" t="s">
        <v>578</v>
      </c>
      <c r="ML25" t="s">
        <v>555</v>
      </c>
      <c r="MM25">
        <v>0</v>
      </c>
      <c r="MN25">
        <v>0</v>
      </c>
      <c r="MO25">
        <v>0</v>
      </c>
      <c r="MP25" t="s">
        <v>264</v>
      </c>
      <c r="MS25" t="s">
        <v>579</v>
      </c>
      <c r="MT25" t="s">
        <v>555</v>
      </c>
      <c r="MU25">
        <v>0</v>
      </c>
      <c r="MV25">
        <v>0</v>
      </c>
      <c r="MW25">
        <v>0</v>
      </c>
      <c r="MX25" t="s">
        <v>264</v>
      </c>
      <c r="NA25" t="s">
        <v>580</v>
      </c>
      <c r="NB25" t="s">
        <v>555</v>
      </c>
      <c r="NC25">
        <v>0</v>
      </c>
      <c r="ND25">
        <v>0</v>
      </c>
      <c r="NE25">
        <v>0</v>
      </c>
      <c r="NF25" t="s">
        <v>264</v>
      </c>
      <c r="NI25">
        <v>40.1</v>
      </c>
      <c r="NJ25">
        <v>-13.4</v>
      </c>
      <c r="NP25" t="s">
        <v>624</v>
      </c>
    </row>
    <row r="26" spans="1:380" customFormat="1" x14ac:dyDescent="0.2">
      <c r="A26" t="s">
        <v>517</v>
      </c>
      <c r="B26">
        <v>1</v>
      </c>
      <c r="C26" t="s">
        <v>651</v>
      </c>
      <c r="D26">
        <v>646952298</v>
      </c>
      <c r="E26">
        <v>12602</v>
      </c>
      <c r="F26" t="s">
        <v>542</v>
      </c>
      <c r="G26">
        <v>847922</v>
      </c>
      <c r="H26">
        <v>210069388</v>
      </c>
      <c r="I26" t="s">
        <v>622</v>
      </c>
      <c r="J26" t="s">
        <v>652</v>
      </c>
      <c r="K26" t="s">
        <v>545</v>
      </c>
      <c r="L26" t="s">
        <v>294</v>
      </c>
      <c r="M26" t="s">
        <v>546</v>
      </c>
      <c r="N26" t="s">
        <v>468</v>
      </c>
      <c r="O26" t="s">
        <v>547</v>
      </c>
      <c r="P26" t="s">
        <v>270</v>
      </c>
      <c r="Q26">
        <v>27.1</v>
      </c>
      <c r="R26">
        <v>260</v>
      </c>
      <c r="S26" t="s">
        <v>270</v>
      </c>
      <c r="T26">
        <v>-9999</v>
      </c>
      <c r="U26">
        <v>673</v>
      </c>
      <c r="V26">
        <v>695</v>
      </c>
      <c r="W26">
        <v>662</v>
      </c>
      <c r="X26" t="s">
        <v>270</v>
      </c>
      <c r="Y26">
        <v>0</v>
      </c>
      <c r="Z26">
        <v>55</v>
      </c>
      <c r="AA26" t="s">
        <v>469</v>
      </c>
      <c r="AB26" t="s">
        <v>548</v>
      </c>
      <c r="AC26">
        <v>1</v>
      </c>
      <c r="AD26" t="s">
        <v>549</v>
      </c>
      <c r="AE26">
        <v>0</v>
      </c>
      <c r="AF26">
        <v>31</v>
      </c>
      <c r="AG26" t="s">
        <v>264</v>
      </c>
      <c r="AH26">
        <v>-9999</v>
      </c>
      <c r="AI26">
        <v>444</v>
      </c>
      <c r="AJ26">
        <v>558</v>
      </c>
      <c r="AK26">
        <v>445</v>
      </c>
      <c r="AL26" t="s">
        <v>270</v>
      </c>
      <c r="AM26">
        <v>0</v>
      </c>
      <c r="AN26">
        <v>55</v>
      </c>
      <c r="AO26" t="s">
        <v>470</v>
      </c>
      <c r="AP26" t="s">
        <v>548</v>
      </c>
      <c r="AQ26">
        <v>2</v>
      </c>
      <c r="AR26" t="s">
        <v>549</v>
      </c>
      <c r="AS26">
        <v>53.8</v>
      </c>
      <c r="AT26">
        <v>62</v>
      </c>
      <c r="AU26" t="s">
        <v>264</v>
      </c>
      <c r="AV26">
        <v>-9999</v>
      </c>
      <c r="AW26">
        <v>378</v>
      </c>
      <c r="AX26">
        <v>399</v>
      </c>
      <c r="AY26">
        <v>377</v>
      </c>
      <c r="AZ26" t="s">
        <v>270</v>
      </c>
      <c r="BA26">
        <v>0</v>
      </c>
      <c r="BB26">
        <v>55</v>
      </c>
      <c r="BC26" t="s">
        <v>550</v>
      </c>
      <c r="BD26" t="s">
        <v>548</v>
      </c>
      <c r="BE26">
        <v>3</v>
      </c>
      <c r="BF26" t="s">
        <v>549</v>
      </c>
      <c r="BG26">
        <v>0</v>
      </c>
      <c r="BH26">
        <v>0</v>
      </c>
      <c r="BI26" t="s">
        <v>264</v>
      </c>
      <c r="BJ26">
        <v>-9999</v>
      </c>
      <c r="BK26">
        <v>249</v>
      </c>
      <c r="BL26">
        <v>299</v>
      </c>
      <c r="BM26">
        <v>246</v>
      </c>
      <c r="BN26" t="s">
        <v>270</v>
      </c>
      <c r="BO26">
        <v>0</v>
      </c>
      <c r="BP26">
        <v>55</v>
      </c>
      <c r="BQ26" t="s">
        <v>504</v>
      </c>
      <c r="BR26" t="s">
        <v>548</v>
      </c>
      <c r="BS26">
        <v>4</v>
      </c>
      <c r="BT26" t="s">
        <v>549</v>
      </c>
      <c r="BU26">
        <v>52</v>
      </c>
      <c r="BV26">
        <v>92</v>
      </c>
      <c r="BW26" t="s">
        <v>264</v>
      </c>
      <c r="BX26">
        <v>-9999</v>
      </c>
      <c r="BY26">
        <v>253</v>
      </c>
      <c r="BZ26">
        <v>292</v>
      </c>
      <c r="CA26">
        <v>251</v>
      </c>
      <c r="CB26" t="s">
        <v>270</v>
      </c>
      <c r="CC26">
        <v>0</v>
      </c>
      <c r="CD26">
        <v>55</v>
      </c>
      <c r="CE26" t="s">
        <v>471</v>
      </c>
      <c r="CF26" t="s">
        <v>548</v>
      </c>
      <c r="CG26">
        <v>5</v>
      </c>
      <c r="CH26" t="s">
        <v>549</v>
      </c>
      <c r="CI26">
        <v>50.9</v>
      </c>
      <c r="CJ26">
        <v>198</v>
      </c>
      <c r="CK26" t="s">
        <v>264</v>
      </c>
      <c r="CL26">
        <v>-9999</v>
      </c>
      <c r="CM26">
        <v>481</v>
      </c>
      <c r="CN26">
        <v>564</v>
      </c>
      <c r="CO26">
        <v>480</v>
      </c>
      <c r="CP26" t="s">
        <v>270</v>
      </c>
      <c r="CQ26">
        <v>0</v>
      </c>
      <c r="CR26">
        <v>55</v>
      </c>
      <c r="CS26" t="s">
        <v>472</v>
      </c>
      <c r="CT26" t="s">
        <v>548</v>
      </c>
      <c r="CU26">
        <v>6</v>
      </c>
      <c r="CV26" t="s">
        <v>549</v>
      </c>
      <c r="CW26">
        <v>53.7</v>
      </c>
      <c r="CX26">
        <v>79</v>
      </c>
      <c r="CY26" t="s">
        <v>264</v>
      </c>
      <c r="CZ26">
        <v>-9999</v>
      </c>
      <c r="DA26">
        <v>661</v>
      </c>
      <c r="DB26">
        <v>750</v>
      </c>
      <c r="DC26">
        <v>650</v>
      </c>
      <c r="DD26" t="s">
        <v>270</v>
      </c>
      <c r="DE26">
        <v>0</v>
      </c>
      <c r="DF26">
        <v>55</v>
      </c>
      <c r="DG26" t="s">
        <v>473</v>
      </c>
      <c r="DH26" t="s">
        <v>548</v>
      </c>
      <c r="DI26">
        <v>7</v>
      </c>
      <c r="DJ26" t="s">
        <v>549</v>
      </c>
      <c r="DK26">
        <v>0</v>
      </c>
      <c r="DL26">
        <v>27</v>
      </c>
      <c r="DM26" t="s">
        <v>264</v>
      </c>
      <c r="DN26">
        <v>-9999</v>
      </c>
      <c r="DO26">
        <v>544</v>
      </c>
      <c r="DP26">
        <v>623</v>
      </c>
      <c r="DQ26">
        <v>539</v>
      </c>
      <c r="DR26" t="s">
        <v>270</v>
      </c>
      <c r="DS26">
        <v>0</v>
      </c>
      <c r="DT26">
        <v>55</v>
      </c>
      <c r="DU26" t="s">
        <v>474</v>
      </c>
      <c r="DV26" t="s">
        <v>548</v>
      </c>
      <c r="DW26">
        <v>8</v>
      </c>
      <c r="DX26" t="s">
        <v>549</v>
      </c>
      <c r="DY26">
        <v>50.5</v>
      </c>
      <c r="DZ26">
        <v>37</v>
      </c>
      <c r="EA26" t="s">
        <v>264</v>
      </c>
      <c r="EB26">
        <v>-9999</v>
      </c>
      <c r="EC26">
        <v>104</v>
      </c>
      <c r="ED26">
        <v>126</v>
      </c>
      <c r="EE26">
        <v>103</v>
      </c>
      <c r="EF26" t="s">
        <v>270</v>
      </c>
      <c r="EG26">
        <v>0</v>
      </c>
      <c r="EH26">
        <v>55</v>
      </c>
      <c r="EI26" t="s">
        <v>475</v>
      </c>
      <c r="EJ26" t="s">
        <v>548</v>
      </c>
      <c r="EK26">
        <v>9</v>
      </c>
      <c r="EL26" t="s">
        <v>549</v>
      </c>
      <c r="EM26">
        <v>0</v>
      </c>
      <c r="EN26">
        <v>2</v>
      </c>
      <c r="EO26" t="s">
        <v>264</v>
      </c>
      <c r="EP26">
        <v>-9999</v>
      </c>
      <c r="EQ26">
        <v>272</v>
      </c>
      <c r="ER26">
        <v>245</v>
      </c>
      <c r="ES26">
        <v>228</v>
      </c>
      <c r="ET26" t="s">
        <v>270</v>
      </c>
      <c r="EU26">
        <v>0</v>
      </c>
      <c r="EV26">
        <v>55</v>
      </c>
      <c r="EW26" t="s">
        <v>551</v>
      </c>
      <c r="EX26" t="s">
        <v>552</v>
      </c>
      <c r="EY26">
        <v>159</v>
      </c>
      <c r="EZ26">
        <v>159</v>
      </c>
      <c r="FA26">
        <v>159</v>
      </c>
      <c r="FB26" t="s">
        <v>270</v>
      </c>
      <c r="FC26" t="s">
        <v>553</v>
      </c>
      <c r="FD26" t="s">
        <v>552</v>
      </c>
      <c r="FE26">
        <v>271</v>
      </c>
      <c r="FF26">
        <v>269</v>
      </c>
      <c r="FG26">
        <v>269</v>
      </c>
      <c r="FH26" t="s">
        <v>270</v>
      </c>
      <c r="FI26" t="s">
        <v>554</v>
      </c>
      <c r="FJ26" t="s">
        <v>555</v>
      </c>
      <c r="FK26">
        <v>0</v>
      </c>
      <c r="FL26">
        <v>0</v>
      </c>
      <c r="FM26">
        <v>0</v>
      </c>
      <c r="FN26" t="s">
        <v>264</v>
      </c>
      <c r="FQ26" t="s">
        <v>556</v>
      </c>
      <c r="FR26" t="s">
        <v>555</v>
      </c>
      <c r="FS26">
        <v>0</v>
      </c>
      <c r="FT26">
        <v>0</v>
      </c>
      <c r="FU26">
        <v>0</v>
      </c>
      <c r="FV26" t="s">
        <v>264</v>
      </c>
      <c r="FY26" t="s">
        <v>557</v>
      </c>
      <c r="FZ26" t="s">
        <v>555</v>
      </c>
      <c r="GA26">
        <v>0</v>
      </c>
      <c r="GB26">
        <v>0</v>
      </c>
      <c r="GC26">
        <v>0</v>
      </c>
      <c r="GD26" t="s">
        <v>264</v>
      </c>
      <c r="GG26" t="s">
        <v>558</v>
      </c>
      <c r="GH26" t="s">
        <v>555</v>
      </c>
      <c r="GI26">
        <v>0</v>
      </c>
      <c r="GJ26">
        <v>0</v>
      </c>
      <c r="GK26">
        <v>0</v>
      </c>
      <c r="GL26" t="s">
        <v>264</v>
      </c>
      <c r="GO26" t="s">
        <v>559</v>
      </c>
      <c r="GP26" t="s">
        <v>555</v>
      </c>
      <c r="GQ26">
        <v>0</v>
      </c>
      <c r="GR26">
        <v>0</v>
      </c>
      <c r="GS26">
        <v>0</v>
      </c>
      <c r="GT26" t="s">
        <v>264</v>
      </c>
      <c r="GW26" t="s">
        <v>560</v>
      </c>
      <c r="GX26" t="s">
        <v>555</v>
      </c>
      <c r="GY26">
        <v>0</v>
      </c>
      <c r="GZ26">
        <v>0</v>
      </c>
      <c r="HA26">
        <v>0</v>
      </c>
      <c r="HB26" t="s">
        <v>264</v>
      </c>
      <c r="HE26" t="s">
        <v>561</v>
      </c>
      <c r="HF26" t="s">
        <v>555</v>
      </c>
      <c r="HG26">
        <v>0</v>
      </c>
      <c r="HH26">
        <v>0</v>
      </c>
      <c r="HI26">
        <v>0</v>
      </c>
      <c r="HJ26" t="s">
        <v>264</v>
      </c>
      <c r="HM26" t="s">
        <v>562</v>
      </c>
      <c r="HN26" t="s">
        <v>555</v>
      </c>
      <c r="HO26">
        <v>0</v>
      </c>
      <c r="HP26">
        <v>0</v>
      </c>
      <c r="HQ26">
        <v>0</v>
      </c>
      <c r="HR26" t="s">
        <v>264</v>
      </c>
      <c r="HU26" t="s">
        <v>563</v>
      </c>
      <c r="HV26" t="s">
        <v>555</v>
      </c>
      <c r="HW26">
        <v>0</v>
      </c>
      <c r="HX26">
        <v>0</v>
      </c>
      <c r="HY26">
        <v>0</v>
      </c>
      <c r="HZ26" t="s">
        <v>264</v>
      </c>
      <c r="IC26" t="s">
        <v>564</v>
      </c>
      <c r="ID26" t="s">
        <v>555</v>
      </c>
      <c r="IE26">
        <v>0</v>
      </c>
      <c r="IF26">
        <v>0</v>
      </c>
      <c r="IG26">
        <v>0</v>
      </c>
      <c r="IH26" t="s">
        <v>264</v>
      </c>
      <c r="IK26" t="s">
        <v>565</v>
      </c>
      <c r="IL26" t="s">
        <v>555</v>
      </c>
      <c r="IM26">
        <v>0</v>
      </c>
      <c r="IN26">
        <v>0</v>
      </c>
      <c r="IO26">
        <v>0</v>
      </c>
      <c r="IP26" t="s">
        <v>264</v>
      </c>
      <c r="IS26" t="s">
        <v>566</v>
      </c>
      <c r="IT26" t="s">
        <v>555</v>
      </c>
      <c r="IU26">
        <v>0</v>
      </c>
      <c r="IV26">
        <v>0</v>
      </c>
      <c r="IW26">
        <v>0</v>
      </c>
      <c r="IX26" t="s">
        <v>264</v>
      </c>
      <c r="JA26" t="s">
        <v>567</v>
      </c>
      <c r="JB26" t="s">
        <v>555</v>
      </c>
      <c r="JC26">
        <v>0</v>
      </c>
      <c r="JD26">
        <v>0</v>
      </c>
      <c r="JE26">
        <v>0</v>
      </c>
      <c r="JF26" t="s">
        <v>264</v>
      </c>
      <c r="JI26" t="s">
        <v>568</v>
      </c>
      <c r="JJ26" t="s">
        <v>555</v>
      </c>
      <c r="JK26">
        <v>0</v>
      </c>
      <c r="JL26">
        <v>0</v>
      </c>
      <c r="JM26">
        <v>0</v>
      </c>
      <c r="JN26" t="s">
        <v>264</v>
      </c>
      <c r="JQ26" t="s">
        <v>569</v>
      </c>
      <c r="JR26" t="s">
        <v>555</v>
      </c>
      <c r="JS26">
        <v>0</v>
      </c>
      <c r="JT26">
        <v>0</v>
      </c>
      <c r="JU26">
        <v>0</v>
      </c>
      <c r="JV26" t="s">
        <v>264</v>
      </c>
      <c r="JY26" t="s">
        <v>570</v>
      </c>
      <c r="JZ26" t="s">
        <v>555</v>
      </c>
      <c r="KA26">
        <v>0</v>
      </c>
      <c r="KB26">
        <v>0</v>
      </c>
      <c r="KC26">
        <v>0</v>
      </c>
      <c r="KD26" t="s">
        <v>264</v>
      </c>
      <c r="KG26" t="s">
        <v>571</v>
      </c>
      <c r="KH26" t="s">
        <v>555</v>
      </c>
      <c r="KI26">
        <v>0</v>
      </c>
      <c r="KJ26">
        <v>0</v>
      </c>
      <c r="KK26">
        <v>0</v>
      </c>
      <c r="KL26" t="s">
        <v>264</v>
      </c>
      <c r="KO26" t="s">
        <v>572</v>
      </c>
      <c r="KP26" t="s">
        <v>555</v>
      </c>
      <c r="KQ26">
        <v>0</v>
      </c>
      <c r="KR26">
        <v>0</v>
      </c>
      <c r="KS26">
        <v>0</v>
      </c>
      <c r="KT26" t="s">
        <v>264</v>
      </c>
      <c r="KW26" t="s">
        <v>573</v>
      </c>
      <c r="KX26" t="s">
        <v>555</v>
      </c>
      <c r="KY26">
        <v>0</v>
      </c>
      <c r="KZ26">
        <v>0</v>
      </c>
      <c r="LA26">
        <v>0</v>
      </c>
      <c r="LB26" t="s">
        <v>264</v>
      </c>
      <c r="LE26" t="s">
        <v>574</v>
      </c>
      <c r="LF26" t="s">
        <v>555</v>
      </c>
      <c r="LG26">
        <v>0</v>
      </c>
      <c r="LH26">
        <v>0</v>
      </c>
      <c r="LI26">
        <v>0</v>
      </c>
      <c r="LJ26" t="s">
        <v>264</v>
      </c>
      <c r="LM26" t="s">
        <v>575</v>
      </c>
      <c r="LN26" t="s">
        <v>555</v>
      </c>
      <c r="LO26">
        <v>0</v>
      </c>
      <c r="LP26">
        <v>0</v>
      </c>
      <c r="LQ26">
        <v>0</v>
      </c>
      <c r="LR26" t="s">
        <v>264</v>
      </c>
      <c r="LU26" t="s">
        <v>576</v>
      </c>
      <c r="LV26" t="s">
        <v>555</v>
      </c>
      <c r="LW26">
        <v>0</v>
      </c>
      <c r="LX26">
        <v>0</v>
      </c>
      <c r="LY26">
        <v>0</v>
      </c>
      <c r="LZ26" t="s">
        <v>264</v>
      </c>
      <c r="MC26" t="s">
        <v>577</v>
      </c>
      <c r="MD26" t="s">
        <v>555</v>
      </c>
      <c r="ME26">
        <v>0</v>
      </c>
      <c r="MF26">
        <v>0</v>
      </c>
      <c r="MG26">
        <v>0</v>
      </c>
      <c r="MH26" t="s">
        <v>264</v>
      </c>
      <c r="MK26" t="s">
        <v>578</v>
      </c>
      <c r="ML26" t="s">
        <v>555</v>
      </c>
      <c r="MM26">
        <v>0</v>
      </c>
      <c r="MN26">
        <v>0</v>
      </c>
      <c r="MO26">
        <v>0</v>
      </c>
      <c r="MP26" t="s">
        <v>264</v>
      </c>
      <c r="MS26" t="s">
        <v>579</v>
      </c>
      <c r="MT26" t="s">
        <v>555</v>
      </c>
      <c r="MU26">
        <v>0</v>
      </c>
      <c r="MV26">
        <v>0</v>
      </c>
      <c r="MW26">
        <v>0</v>
      </c>
      <c r="MX26" t="s">
        <v>264</v>
      </c>
      <c r="NA26" t="s">
        <v>580</v>
      </c>
      <c r="NB26" t="s">
        <v>555</v>
      </c>
      <c r="NC26">
        <v>0</v>
      </c>
      <c r="ND26">
        <v>0</v>
      </c>
      <c r="NE26">
        <v>0</v>
      </c>
      <c r="NF26" t="s">
        <v>264</v>
      </c>
      <c r="NI26">
        <v>40</v>
      </c>
      <c r="NJ26">
        <v>-9.6</v>
      </c>
      <c r="NP26" t="s">
        <v>624</v>
      </c>
    </row>
    <row r="27" spans="1:380" customFormat="1" x14ac:dyDescent="0.2">
      <c r="A27" t="s">
        <v>517</v>
      </c>
      <c r="B27">
        <v>1</v>
      </c>
      <c r="C27" t="s">
        <v>653</v>
      </c>
      <c r="D27">
        <v>646957469</v>
      </c>
      <c r="E27">
        <v>12602</v>
      </c>
      <c r="F27" t="s">
        <v>542</v>
      </c>
      <c r="G27">
        <v>847922</v>
      </c>
      <c r="H27">
        <v>210047644</v>
      </c>
      <c r="I27" t="s">
        <v>622</v>
      </c>
      <c r="J27" t="s">
        <v>654</v>
      </c>
      <c r="K27" t="s">
        <v>545</v>
      </c>
      <c r="L27" t="s">
        <v>294</v>
      </c>
      <c r="M27" t="s">
        <v>546</v>
      </c>
      <c r="N27" t="s">
        <v>468</v>
      </c>
      <c r="O27" t="s">
        <v>547</v>
      </c>
      <c r="P27" t="s">
        <v>270</v>
      </c>
      <c r="Q27">
        <v>26.5</v>
      </c>
      <c r="R27">
        <v>261</v>
      </c>
      <c r="S27" t="s">
        <v>270</v>
      </c>
      <c r="T27">
        <v>-9999</v>
      </c>
      <c r="U27">
        <v>597</v>
      </c>
      <c r="V27">
        <v>617</v>
      </c>
      <c r="W27">
        <v>585</v>
      </c>
      <c r="X27" t="s">
        <v>270</v>
      </c>
      <c r="Y27">
        <v>0</v>
      </c>
      <c r="Z27">
        <v>55</v>
      </c>
      <c r="AA27" t="s">
        <v>469</v>
      </c>
      <c r="AB27" t="s">
        <v>548</v>
      </c>
      <c r="AC27">
        <v>1</v>
      </c>
      <c r="AD27" t="s">
        <v>549</v>
      </c>
      <c r="AE27">
        <v>0</v>
      </c>
      <c r="AF27">
        <v>23</v>
      </c>
      <c r="AG27" t="s">
        <v>264</v>
      </c>
      <c r="AH27">
        <v>-9999</v>
      </c>
      <c r="AI27">
        <v>487</v>
      </c>
      <c r="AJ27">
        <v>595</v>
      </c>
      <c r="AK27">
        <v>485</v>
      </c>
      <c r="AL27" t="s">
        <v>270</v>
      </c>
      <c r="AM27">
        <v>0</v>
      </c>
      <c r="AN27">
        <v>55</v>
      </c>
      <c r="AO27" t="s">
        <v>470</v>
      </c>
      <c r="AP27" t="s">
        <v>548</v>
      </c>
      <c r="AQ27">
        <v>2</v>
      </c>
      <c r="AR27" t="s">
        <v>549</v>
      </c>
      <c r="AS27">
        <v>54.7</v>
      </c>
      <c r="AT27">
        <v>44</v>
      </c>
      <c r="AU27" t="s">
        <v>264</v>
      </c>
      <c r="AV27">
        <v>-9999</v>
      </c>
      <c r="AW27">
        <v>383</v>
      </c>
      <c r="AX27">
        <v>404</v>
      </c>
      <c r="AY27">
        <v>382</v>
      </c>
      <c r="AZ27" t="s">
        <v>270</v>
      </c>
      <c r="BA27">
        <v>0</v>
      </c>
      <c r="BB27">
        <v>55</v>
      </c>
      <c r="BC27" t="s">
        <v>550</v>
      </c>
      <c r="BD27" t="s">
        <v>548</v>
      </c>
      <c r="BE27">
        <v>3</v>
      </c>
      <c r="BF27" t="s">
        <v>549</v>
      </c>
      <c r="BG27">
        <v>0</v>
      </c>
      <c r="BH27">
        <v>-7</v>
      </c>
      <c r="BI27" t="s">
        <v>264</v>
      </c>
      <c r="BJ27">
        <v>-9999</v>
      </c>
      <c r="BK27">
        <v>146</v>
      </c>
      <c r="BL27">
        <v>188</v>
      </c>
      <c r="BM27">
        <v>147</v>
      </c>
      <c r="BN27" t="s">
        <v>270</v>
      </c>
      <c r="BO27">
        <v>0</v>
      </c>
      <c r="BP27">
        <v>55</v>
      </c>
      <c r="BQ27" t="s">
        <v>504</v>
      </c>
      <c r="BR27" t="s">
        <v>548</v>
      </c>
      <c r="BS27">
        <v>4</v>
      </c>
      <c r="BT27" t="s">
        <v>549</v>
      </c>
      <c r="BU27">
        <v>51.2</v>
      </c>
      <c r="BV27">
        <v>121</v>
      </c>
      <c r="BW27" t="s">
        <v>264</v>
      </c>
      <c r="BX27">
        <v>-9999</v>
      </c>
      <c r="BY27">
        <v>214</v>
      </c>
      <c r="BZ27">
        <v>247</v>
      </c>
      <c r="CA27">
        <v>212</v>
      </c>
      <c r="CB27" t="s">
        <v>270</v>
      </c>
      <c r="CC27">
        <v>0</v>
      </c>
      <c r="CD27">
        <v>55</v>
      </c>
      <c r="CE27" t="s">
        <v>471</v>
      </c>
      <c r="CF27" t="s">
        <v>548</v>
      </c>
      <c r="CG27">
        <v>5</v>
      </c>
      <c r="CH27" t="s">
        <v>549</v>
      </c>
      <c r="CI27">
        <v>50.6</v>
      </c>
      <c r="CJ27">
        <v>320</v>
      </c>
      <c r="CK27" t="s">
        <v>264</v>
      </c>
      <c r="CL27">
        <v>-9999</v>
      </c>
      <c r="CM27">
        <v>530</v>
      </c>
      <c r="CN27">
        <v>619</v>
      </c>
      <c r="CO27">
        <v>532</v>
      </c>
      <c r="CP27" t="s">
        <v>270</v>
      </c>
      <c r="CQ27">
        <v>0</v>
      </c>
      <c r="CR27">
        <v>55</v>
      </c>
      <c r="CS27" t="s">
        <v>472</v>
      </c>
      <c r="CT27" t="s">
        <v>548</v>
      </c>
      <c r="CU27">
        <v>6</v>
      </c>
      <c r="CV27" t="s">
        <v>549</v>
      </c>
      <c r="CW27">
        <v>52.4</v>
      </c>
      <c r="CX27">
        <v>136</v>
      </c>
      <c r="CY27" t="s">
        <v>264</v>
      </c>
      <c r="CZ27">
        <v>-9999</v>
      </c>
      <c r="DA27">
        <v>636</v>
      </c>
      <c r="DB27">
        <v>724</v>
      </c>
      <c r="DC27">
        <v>628</v>
      </c>
      <c r="DD27" t="s">
        <v>270</v>
      </c>
      <c r="DE27">
        <v>0</v>
      </c>
      <c r="DF27">
        <v>55</v>
      </c>
      <c r="DG27" t="s">
        <v>473</v>
      </c>
      <c r="DH27" t="s">
        <v>548</v>
      </c>
      <c r="DI27">
        <v>7</v>
      </c>
      <c r="DJ27" t="s">
        <v>549</v>
      </c>
      <c r="DK27">
        <v>0</v>
      </c>
      <c r="DL27">
        <v>30</v>
      </c>
      <c r="DM27" t="s">
        <v>264</v>
      </c>
      <c r="DN27">
        <v>-9999</v>
      </c>
      <c r="DO27">
        <v>561</v>
      </c>
      <c r="DP27">
        <v>647</v>
      </c>
      <c r="DQ27">
        <v>557</v>
      </c>
      <c r="DR27" t="s">
        <v>270</v>
      </c>
      <c r="DS27">
        <v>0</v>
      </c>
      <c r="DT27">
        <v>55</v>
      </c>
      <c r="DU27" t="s">
        <v>474</v>
      </c>
      <c r="DV27" t="s">
        <v>548</v>
      </c>
      <c r="DW27">
        <v>8</v>
      </c>
      <c r="DX27" t="s">
        <v>549</v>
      </c>
      <c r="DY27">
        <v>50.7</v>
      </c>
      <c r="DZ27">
        <v>38</v>
      </c>
      <c r="EA27" t="s">
        <v>264</v>
      </c>
      <c r="EB27">
        <v>-9999</v>
      </c>
      <c r="EC27">
        <v>102</v>
      </c>
      <c r="ED27">
        <v>124</v>
      </c>
      <c r="EE27">
        <v>100</v>
      </c>
      <c r="EF27" t="s">
        <v>270</v>
      </c>
      <c r="EG27">
        <v>0</v>
      </c>
      <c r="EH27">
        <v>55</v>
      </c>
      <c r="EI27" t="s">
        <v>475</v>
      </c>
      <c r="EJ27" t="s">
        <v>548</v>
      </c>
      <c r="EK27">
        <v>9</v>
      </c>
      <c r="EL27" t="s">
        <v>549</v>
      </c>
      <c r="EM27">
        <v>0</v>
      </c>
      <c r="EN27">
        <v>15</v>
      </c>
      <c r="EO27" t="s">
        <v>264</v>
      </c>
      <c r="EP27">
        <v>-9999</v>
      </c>
      <c r="EQ27">
        <v>367</v>
      </c>
      <c r="ER27">
        <v>352</v>
      </c>
      <c r="ES27">
        <v>326</v>
      </c>
      <c r="ET27" t="s">
        <v>270</v>
      </c>
      <c r="EU27">
        <v>0</v>
      </c>
      <c r="EV27">
        <v>55</v>
      </c>
      <c r="EW27" t="s">
        <v>551</v>
      </c>
      <c r="EX27" t="s">
        <v>552</v>
      </c>
      <c r="EY27">
        <v>138</v>
      </c>
      <c r="EZ27">
        <v>139</v>
      </c>
      <c r="FA27">
        <v>139</v>
      </c>
      <c r="FB27" t="s">
        <v>270</v>
      </c>
      <c r="FC27" t="s">
        <v>553</v>
      </c>
      <c r="FD27" t="s">
        <v>552</v>
      </c>
      <c r="FE27">
        <v>285</v>
      </c>
      <c r="FF27">
        <v>284</v>
      </c>
      <c r="FG27">
        <v>283</v>
      </c>
      <c r="FH27" t="s">
        <v>270</v>
      </c>
      <c r="FI27" t="s">
        <v>554</v>
      </c>
      <c r="FJ27" t="s">
        <v>555</v>
      </c>
      <c r="FK27">
        <v>0</v>
      </c>
      <c r="FL27">
        <v>0</v>
      </c>
      <c r="FM27">
        <v>0</v>
      </c>
      <c r="FN27" t="s">
        <v>264</v>
      </c>
      <c r="FQ27" t="s">
        <v>556</v>
      </c>
      <c r="FR27" t="s">
        <v>555</v>
      </c>
      <c r="FS27">
        <v>0</v>
      </c>
      <c r="FT27">
        <v>0</v>
      </c>
      <c r="FU27">
        <v>0</v>
      </c>
      <c r="FV27" t="s">
        <v>264</v>
      </c>
      <c r="FY27" t="s">
        <v>557</v>
      </c>
      <c r="FZ27" t="s">
        <v>555</v>
      </c>
      <c r="GA27">
        <v>0</v>
      </c>
      <c r="GB27">
        <v>0</v>
      </c>
      <c r="GC27">
        <v>0</v>
      </c>
      <c r="GD27" t="s">
        <v>264</v>
      </c>
      <c r="GG27" t="s">
        <v>558</v>
      </c>
      <c r="GH27" t="s">
        <v>555</v>
      </c>
      <c r="GI27">
        <v>0</v>
      </c>
      <c r="GJ27">
        <v>0</v>
      </c>
      <c r="GK27">
        <v>0</v>
      </c>
      <c r="GL27" t="s">
        <v>264</v>
      </c>
      <c r="GO27" t="s">
        <v>559</v>
      </c>
      <c r="GP27" t="s">
        <v>555</v>
      </c>
      <c r="GQ27">
        <v>0</v>
      </c>
      <c r="GR27">
        <v>0</v>
      </c>
      <c r="GS27">
        <v>0</v>
      </c>
      <c r="GT27" t="s">
        <v>264</v>
      </c>
      <c r="GW27" t="s">
        <v>560</v>
      </c>
      <c r="GX27" t="s">
        <v>555</v>
      </c>
      <c r="GY27">
        <v>0</v>
      </c>
      <c r="GZ27">
        <v>0</v>
      </c>
      <c r="HA27">
        <v>0</v>
      </c>
      <c r="HB27" t="s">
        <v>264</v>
      </c>
      <c r="HE27" t="s">
        <v>561</v>
      </c>
      <c r="HF27" t="s">
        <v>555</v>
      </c>
      <c r="HG27">
        <v>0</v>
      </c>
      <c r="HH27">
        <v>0</v>
      </c>
      <c r="HI27">
        <v>0</v>
      </c>
      <c r="HJ27" t="s">
        <v>264</v>
      </c>
      <c r="HM27" t="s">
        <v>562</v>
      </c>
      <c r="HN27" t="s">
        <v>555</v>
      </c>
      <c r="HO27">
        <v>0</v>
      </c>
      <c r="HP27">
        <v>0</v>
      </c>
      <c r="HQ27">
        <v>0</v>
      </c>
      <c r="HR27" t="s">
        <v>264</v>
      </c>
      <c r="HU27" t="s">
        <v>563</v>
      </c>
      <c r="HV27" t="s">
        <v>555</v>
      </c>
      <c r="HW27">
        <v>0</v>
      </c>
      <c r="HX27">
        <v>0</v>
      </c>
      <c r="HY27">
        <v>0</v>
      </c>
      <c r="HZ27" t="s">
        <v>264</v>
      </c>
      <c r="IC27" t="s">
        <v>564</v>
      </c>
      <c r="ID27" t="s">
        <v>555</v>
      </c>
      <c r="IE27">
        <v>0</v>
      </c>
      <c r="IF27">
        <v>0</v>
      </c>
      <c r="IG27">
        <v>0</v>
      </c>
      <c r="IH27" t="s">
        <v>264</v>
      </c>
      <c r="IK27" t="s">
        <v>565</v>
      </c>
      <c r="IL27" t="s">
        <v>555</v>
      </c>
      <c r="IM27">
        <v>0</v>
      </c>
      <c r="IN27">
        <v>0</v>
      </c>
      <c r="IO27">
        <v>0</v>
      </c>
      <c r="IP27" t="s">
        <v>264</v>
      </c>
      <c r="IS27" t="s">
        <v>566</v>
      </c>
      <c r="IT27" t="s">
        <v>555</v>
      </c>
      <c r="IU27">
        <v>0</v>
      </c>
      <c r="IV27">
        <v>0</v>
      </c>
      <c r="IW27">
        <v>0</v>
      </c>
      <c r="IX27" t="s">
        <v>264</v>
      </c>
      <c r="JA27" t="s">
        <v>567</v>
      </c>
      <c r="JB27" t="s">
        <v>555</v>
      </c>
      <c r="JC27">
        <v>0</v>
      </c>
      <c r="JD27">
        <v>0</v>
      </c>
      <c r="JE27">
        <v>0</v>
      </c>
      <c r="JF27" t="s">
        <v>264</v>
      </c>
      <c r="JI27" t="s">
        <v>568</v>
      </c>
      <c r="JJ27" t="s">
        <v>555</v>
      </c>
      <c r="JK27">
        <v>0</v>
      </c>
      <c r="JL27">
        <v>0</v>
      </c>
      <c r="JM27">
        <v>0</v>
      </c>
      <c r="JN27" t="s">
        <v>264</v>
      </c>
      <c r="JQ27" t="s">
        <v>569</v>
      </c>
      <c r="JR27" t="s">
        <v>555</v>
      </c>
      <c r="JS27">
        <v>0</v>
      </c>
      <c r="JT27">
        <v>0</v>
      </c>
      <c r="JU27">
        <v>0</v>
      </c>
      <c r="JV27" t="s">
        <v>264</v>
      </c>
      <c r="JY27" t="s">
        <v>570</v>
      </c>
      <c r="JZ27" t="s">
        <v>555</v>
      </c>
      <c r="KA27">
        <v>0</v>
      </c>
      <c r="KB27">
        <v>0</v>
      </c>
      <c r="KC27">
        <v>0</v>
      </c>
      <c r="KD27" t="s">
        <v>264</v>
      </c>
      <c r="KG27" t="s">
        <v>571</v>
      </c>
      <c r="KH27" t="s">
        <v>555</v>
      </c>
      <c r="KI27">
        <v>0</v>
      </c>
      <c r="KJ27">
        <v>0</v>
      </c>
      <c r="KK27">
        <v>0</v>
      </c>
      <c r="KL27" t="s">
        <v>264</v>
      </c>
      <c r="KO27" t="s">
        <v>572</v>
      </c>
      <c r="KP27" t="s">
        <v>555</v>
      </c>
      <c r="KQ27">
        <v>0</v>
      </c>
      <c r="KR27">
        <v>0</v>
      </c>
      <c r="KS27">
        <v>0</v>
      </c>
      <c r="KT27" t="s">
        <v>264</v>
      </c>
      <c r="KW27" t="s">
        <v>573</v>
      </c>
      <c r="KX27" t="s">
        <v>555</v>
      </c>
      <c r="KY27">
        <v>0</v>
      </c>
      <c r="KZ27">
        <v>0</v>
      </c>
      <c r="LA27">
        <v>0</v>
      </c>
      <c r="LB27" t="s">
        <v>264</v>
      </c>
      <c r="LE27" t="s">
        <v>574</v>
      </c>
      <c r="LF27" t="s">
        <v>555</v>
      </c>
      <c r="LG27">
        <v>0</v>
      </c>
      <c r="LH27">
        <v>0</v>
      </c>
      <c r="LI27">
        <v>0</v>
      </c>
      <c r="LJ27" t="s">
        <v>264</v>
      </c>
      <c r="LM27" t="s">
        <v>575</v>
      </c>
      <c r="LN27" t="s">
        <v>555</v>
      </c>
      <c r="LO27">
        <v>0</v>
      </c>
      <c r="LP27">
        <v>0</v>
      </c>
      <c r="LQ27">
        <v>0</v>
      </c>
      <c r="LR27" t="s">
        <v>264</v>
      </c>
      <c r="LU27" t="s">
        <v>576</v>
      </c>
      <c r="LV27" t="s">
        <v>555</v>
      </c>
      <c r="LW27">
        <v>0</v>
      </c>
      <c r="LX27">
        <v>0</v>
      </c>
      <c r="LY27">
        <v>0</v>
      </c>
      <c r="LZ27" t="s">
        <v>264</v>
      </c>
      <c r="MC27" t="s">
        <v>577</v>
      </c>
      <c r="MD27" t="s">
        <v>555</v>
      </c>
      <c r="ME27">
        <v>0</v>
      </c>
      <c r="MF27">
        <v>0</v>
      </c>
      <c r="MG27">
        <v>0</v>
      </c>
      <c r="MH27" t="s">
        <v>264</v>
      </c>
      <c r="MK27" t="s">
        <v>578</v>
      </c>
      <c r="ML27" t="s">
        <v>555</v>
      </c>
      <c r="MM27">
        <v>0</v>
      </c>
      <c r="MN27">
        <v>0</v>
      </c>
      <c r="MO27">
        <v>0</v>
      </c>
      <c r="MP27" t="s">
        <v>264</v>
      </c>
      <c r="MS27" t="s">
        <v>579</v>
      </c>
      <c r="MT27" t="s">
        <v>555</v>
      </c>
      <c r="MU27">
        <v>0</v>
      </c>
      <c r="MV27">
        <v>0</v>
      </c>
      <c r="MW27">
        <v>0</v>
      </c>
      <c r="MX27" t="s">
        <v>264</v>
      </c>
      <c r="NA27" t="s">
        <v>580</v>
      </c>
      <c r="NB27" t="s">
        <v>555</v>
      </c>
      <c r="NC27">
        <v>0</v>
      </c>
      <c r="ND27">
        <v>0</v>
      </c>
      <c r="NE27">
        <v>0</v>
      </c>
      <c r="NF27" t="s">
        <v>264</v>
      </c>
      <c r="NI27">
        <v>40.1</v>
      </c>
      <c r="NJ27">
        <v>-5.6</v>
      </c>
      <c r="NP27" t="s">
        <v>624</v>
      </c>
    </row>
    <row r="28" spans="1:380" customFormat="1" x14ac:dyDescent="0.2">
      <c r="A28" t="s">
        <v>517</v>
      </c>
      <c r="B28">
        <v>1</v>
      </c>
      <c r="C28" t="s">
        <v>655</v>
      </c>
      <c r="D28">
        <v>646957649</v>
      </c>
      <c r="E28">
        <v>12602</v>
      </c>
      <c r="F28" t="s">
        <v>542</v>
      </c>
      <c r="G28">
        <v>847922</v>
      </c>
      <c r="H28">
        <v>210117996</v>
      </c>
      <c r="I28" t="s">
        <v>622</v>
      </c>
      <c r="J28" t="s">
        <v>656</v>
      </c>
      <c r="K28" t="s">
        <v>545</v>
      </c>
      <c r="L28" t="s">
        <v>294</v>
      </c>
      <c r="M28" t="s">
        <v>546</v>
      </c>
      <c r="N28" t="s">
        <v>468</v>
      </c>
      <c r="O28" t="s">
        <v>547</v>
      </c>
      <c r="P28" t="s">
        <v>270</v>
      </c>
      <c r="Q28">
        <v>27.9</v>
      </c>
      <c r="R28">
        <v>226</v>
      </c>
      <c r="S28" t="s">
        <v>270</v>
      </c>
      <c r="T28">
        <v>-9999</v>
      </c>
      <c r="U28">
        <v>764</v>
      </c>
      <c r="V28">
        <v>786</v>
      </c>
      <c r="W28">
        <v>751</v>
      </c>
      <c r="X28" t="s">
        <v>270</v>
      </c>
      <c r="Y28">
        <v>0</v>
      </c>
      <c r="Z28">
        <v>55</v>
      </c>
      <c r="AA28" t="s">
        <v>469</v>
      </c>
      <c r="AB28" t="s">
        <v>548</v>
      </c>
      <c r="AC28">
        <v>1</v>
      </c>
      <c r="AD28" t="s">
        <v>549</v>
      </c>
      <c r="AE28">
        <v>0</v>
      </c>
      <c r="AF28">
        <v>34</v>
      </c>
      <c r="AG28" t="s">
        <v>264</v>
      </c>
      <c r="AH28">
        <v>-9999</v>
      </c>
      <c r="AI28">
        <v>489</v>
      </c>
      <c r="AJ28">
        <v>623</v>
      </c>
      <c r="AK28">
        <v>491</v>
      </c>
      <c r="AL28" t="s">
        <v>270</v>
      </c>
      <c r="AM28">
        <v>0</v>
      </c>
      <c r="AN28">
        <v>55</v>
      </c>
      <c r="AO28" t="s">
        <v>470</v>
      </c>
      <c r="AP28" t="s">
        <v>548</v>
      </c>
      <c r="AQ28">
        <v>2</v>
      </c>
      <c r="AR28" t="s">
        <v>549</v>
      </c>
      <c r="AS28">
        <v>54.1</v>
      </c>
      <c r="AT28">
        <v>56</v>
      </c>
      <c r="AU28" t="s">
        <v>264</v>
      </c>
      <c r="AV28">
        <v>-9999</v>
      </c>
      <c r="AW28">
        <v>460</v>
      </c>
      <c r="AX28">
        <v>488</v>
      </c>
      <c r="AY28">
        <v>460</v>
      </c>
      <c r="AZ28" t="s">
        <v>270</v>
      </c>
      <c r="BA28">
        <v>0</v>
      </c>
      <c r="BB28">
        <v>55</v>
      </c>
      <c r="BC28" t="s">
        <v>550</v>
      </c>
      <c r="BD28" t="s">
        <v>548</v>
      </c>
      <c r="BE28">
        <v>3</v>
      </c>
      <c r="BF28" t="s">
        <v>549</v>
      </c>
      <c r="BG28">
        <v>0</v>
      </c>
      <c r="BH28">
        <v>-2</v>
      </c>
      <c r="BI28" t="s">
        <v>264</v>
      </c>
      <c r="BJ28">
        <v>-9999</v>
      </c>
      <c r="BK28">
        <v>257</v>
      </c>
      <c r="BL28">
        <v>308</v>
      </c>
      <c r="BM28">
        <v>254</v>
      </c>
      <c r="BN28" t="s">
        <v>270</v>
      </c>
      <c r="BO28">
        <v>0</v>
      </c>
      <c r="BP28">
        <v>55</v>
      </c>
      <c r="BQ28" t="s">
        <v>504</v>
      </c>
      <c r="BR28" t="s">
        <v>548</v>
      </c>
      <c r="BS28">
        <v>4</v>
      </c>
      <c r="BT28" t="s">
        <v>549</v>
      </c>
      <c r="BU28">
        <v>0</v>
      </c>
      <c r="BV28">
        <v>30</v>
      </c>
      <c r="BW28" t="s">
        <v>264</v>
      </c>
      <c r="BX28">
        <v>-9999</v>
      </c>
      <c r="BY28">
        <v>267</v>
      </c>
      <c r="BZ28">
        <v>310</v>
      </c>
      <c r="CA28">
        <v>266</v>
      </c>
      <c r="CB28" t="s">
        <v>270</v>
      </c>
      <c r="CC28">
        <v>0</v>
      </c>
      <c r="CD28">
        <v>55</v>
      </c>
      <c r="CE28" t="s">
        <v>471</v>
      </c>
      <c r="CF28" t="s">
        <v>548</v>
      </c>
      <c r="CG28">
        <v>5</v>
      </c>
      <c r="CH28" t="s">
        <v>549</v>
      </c>
      <c r="CI28">
        <v>51.6</v>
      </c>
      <c r="CJ28">
        <v>135</v>
      </c>
      <c r="CK28" t="s">
        <v>264</v>
      </c>
      <c r="CL28">
        <v>-9999</v>
      </c>
      <c r="CM28">
        <v>505</v>
      </c>
      <c r="CN28">
        <v>593</v>
      </c>
      <c r="CO28">
        <v>505</v>
      </c>
      <c r="CP28" t="s">
        <v>270</v>
      </c>
      <c r="CQ28">
        <v>0</v>
      </c>
      <c r="CR28">
        <v>55</v>
      </c>
      <c r="CS28" t="s">
        <v>472</v>
      </c>
      <c r="CT28" t="s">
        <v>548</v>
      </c>
      <c r="CU28">
        <v>6</v>
      </c>
      <c r="CV28" t="s">
        <v>549</v>
      </c>
      <c r="CW28">
        <v>0</v>
      </c>
      <c r="CX28">
        <v>42</v>
      </c>
      <c r="CY28" t="s">
        <v>264</v>
      </c>
      <c r="CZ28">
        <v>-9999</v>
      </c>
      <c r="DA28">
        <v>787</v>
      </c>
      <c r="DB28">
        <v>901</v>
      </c>
      <c r="DC28">
        <v>777</v>
      </c>
      <c r="DD28" t="s">
        <v>270</v>
      </c>
      <c r="DE28">
        <v>0</v>
      </c>
      <c r="DF28">
        <v>55</v>
      </c>
      <c r="DG28" t="s">
        <v>473</v>
      </c>
      <c r="DH28" t="s">
        <v>548</v>
      </c>
      <c r="DI28">
        <v>7</v>
      </c>
      <c r="DJ28" t="s">
        <v>549</v>
      </c>
      <c r="DK28">
        <v>0</v>
      </c>
      <c r="DL28">
        <v>21</v>
      </c>
      <c r="DM28" t="s">
        <v>264</v>
      </c>
      <c r="DN28">
        <v>-9999</v>
      </c>
      <c r="DO28">
        <v>562</v>
      </c>
      <c r="DP28">
        <v>639</v>
      </c>
      <c r="DQ28">
        <v>560</v>
      </c>
      <c r="DR28" t="s">
        <v>270</v>
      </c>
      <c r="DS28">
        <v>0</v>
      </c>
      <c r="DT28">
        <v>55</v>
      </c>
      <c r="DU28" t="s">
        <v>474</v>
      </c>
      <c r="DV28" t="s">
        <v>548</v>
      </c>
      <c r="DW28">
        <v>8</v>
      </c>
      <c r="DX28" t="s">
        <v>549</v>
      </c>
      <c r="DY28">
        <v>53.2</v>
      </c>
      <c r="DZ28">
        <v>24</v>
      </c>
      <c r="EA28" t="s">
        <v>264</v>
      </c>
      <c r="EB28">
        <v>-9999</v>
      </c>
      <c r="EC28">
        <v>112</v>
      </c>
      <c r="ED28">
        <v>139</v>
      </c>
      <c r="EE28">
        <v>110</v>
      </c>
      <c r="EF28" t="s">
        <v>270</v>
      </c>
      <c r="EG28">
        <v>0</v>
      </c>
      <c r="EH28">
        <v>55</v>
      </c>
      <c r="EI28" t="s">
        <v>475</v>
      </c>
      <c r="EJ28" t="s">
        <v>548</v>
      </c>
      <c r="EK28">
        <v>9</v>
      </c>
      <c r="EL28" t="s">
        <v>549</v>
      </c>
      <c r="EM28">
        <v>0</v>
      </c>
      <c r="EN28">
        <v>12</v>
      </c>
      <c r="EO28" t="s">
        <v>264</v>
      </c>
      <c r="EP28">
        <v>-9999</v>
      </c>
      <c r="EQ28">
        <v>284</v>
      </c>
      <c r="ER28">
        <v>265</v>
      </c>
      <c r="ES28">
        <v>248</v>
      </c>
      <c r="ET28" t="s">
        <v>270</v>
      </c>
      <c r="EU28">
        <v>0</v>
      </c>
      <c r="EV28">
        <v>55</v>
      </c>
      <c r="EW28" t="s">
        <v>551</v>
      </c>
      <c r="EX28" t="s">
        <v>552</v>
      </c>
      <c r="EY28">
        <v>142</v>
      </c>
      <c r="EZ28">
        <v>143</v>
      </c>
      <c r="FA28">
        <v>143</v>
      </c>
      <c r="FB28" t="s">
        <v>270</v>
      </c>
      <c r="FC28" t="s">
        <v>553</v>
      </c>
      <c r="FD28" t="s">
        <v>552</v>
      </c>
      <c r="FE28">
        <v>352</v>
      </c>
      <c r="FF28">
        <v>351</v>
      </c>
      <c r="FG28">
        <v>350</v>
      </c>
      <c r="FH28" t="s">
        <v>270</v>
      </c>
      <c r="FI28" t="s">
        <v>554</v>
      </c>
      <c r="FJ28" t="s">
        <v>555</v>
      </c>
      <c r="FK28">
        <v>0</v>
      </c>
      <c r="FL28">
        <v>0</v>
      </c>
      <c r="FM28">
        <v>0</v>
      </c>
      <c r="FN28" t="s">
        <v>264</v>
      </c>
      <c r="FQ28" t="s">
        <v>556</v>
      </c>
      <c r="FR28" t="s">
        <v>555</v>
      </c>
      <c r="FS28">
        <v>0</v>
      </c>
      <c r="FT28">
        <v>0</v>
      </c>
      <c r="FU28">
        <v>0</v>
      </c>
      <c r="FV28" t="s">
        <v>264</v>
      </c>
      <c r="FY28" t="s">
        <v>557</v>
      </c>
      <c r="FZ28" t="s">
        <v>555</v>
      </c>
      <c r="GA28">
        <v>0</v>
      </c>
      <c r="GB28">
        <v>0</v>
      </c>
      <c r="GC28">
        <v>0</v>
      </c>
      <c r="GD28" t="s">
        <v>264</v>
      </c>
      <c r="GG28" t="s">
        <v>558</v>
      </c>
      <c r="GH28" t="s">
        <v>555</v>
      </c>
      <c r="GI28">
        <v>0</v>
      </c>
      <c r="GJ28">
        <v>0</v>
      </c>
      <c r="GK28">
        <v>0</v>
      </c>
      <c r="GL28" t="s">
        <v>264</v>
      </c>
      <c r="GO28" t="s">
        <v>559</v>
      </c>
      <c r="GP28" t="s">
        <v>555</v>
      </c>
      <c r="GQ28">
        <v>0</v>
      </c>
      <c r="GR28">
        <v>0</v>
      </c>
      <c r="GS28">
        <v>0</v>
      </c>
      <c r="GT28" t="s">
        <v>264</v>
      </c>
      <c r="GW28" t="s">
        <v>560</v>
      </c>
      <c r="GX28" t="s">
        <v>555</v>
      </c>
      <c r="GY28">
        <v>0</v>
      </c>
      <c r="GZ28">
        <v>0</v>
      </c>
      <c r="HA28">
        <v>0</v>
      </c>
      <c r="HB28" t="s">
        <v>264</v>
      </c>
      <c r="HE28" t="s">
        <v>561</v>
      </c>
      <c r="HF28" t="s">
        <v>555</v>
      </c>
      <c r="HG28">
        <v>0</v>
      </c>
      <c r="HH28">
        <v>0</v>
      </c>
      <c r="HI28">
        <v>0</v>
      </c>
      <c r="HJ28" t="s">
        <v>264</v>
      </c>
      <c r="HM28" t="s">
        <v>562</v>
      </c>
      <c r="HN28" t="s">
        <v>555</v>
      </c>
      <c r="HO28">
        <v>0</v>
      </c>
      <c r="HP28">
        <v>0</v>
      </c>
      <c r="HQ28">
        <v>0</v>
      </c>
      <c r="HR28" t="s">
        <v>264</v>
      </c>
      <c r="HU28" t="s">
        <v>563</v>
      </c>
      <c r="HV28" t="s">
        <v>555</v>
      </c>
      <c r="HW28">
        <v>0</v>
      </c>
      <c r="HX28">
        <v>0</v>
      </c>
      <c r="HY28">
        <v>0</v>
      </c>
      <c r="HZ28" t="s">
        <v>264</v>
      </c>
      <c r="IC28" t="s">
        <v>564</v>
      </c>
      <c r="ID28" t="s">
        <v>555</v>
      </c>
      <c r="IE28">
        <v>0</v>
      </c>
      <c r="IF28">
        <v>0</v>
      </c>
      <c r="IG28">
        <v>0</v>
      </c>
      <c r="IH28" t="s">
        <v>264</v>
      </c>
      <c r="IK28" t="s">
        <v>565</v>
      </c>
      <c r="IL28" t="s">
        <v>555</v>
      </c>
      <c r="IM28">
        <v>0</v>
      </c>
      <c r="IN28">
        <v>0</v>
      </c>
      <c r="IO28">
        <v>0</v>
      </c>
      <c r="IP28" t="s">
        <v>264</v>
      </c>
      <c r="IS28" t="s">
        <v>566</v>
      </c>
      <c r="IT28" t="s">
        <v>555</v>
      </c>
      <c r="IU28">
        <v>0</v>
      </c>
      <c r="IV28">
        <v>0</v>
      </c>
      <c r="IW28">
        <v>0</v>
      </c>
      <c r="IX28" t="s">
        <v>264</v>
      </c>
      <c r="JA28" t="s">
        <v>567</v>
      </c>
      <c r="JB28" t="s">
        <v>555</v>
      </c>
      <c r="JC28">
        <v>0</v>
      </c>
      <c r="JD28">
        <v>0</v>
      </c>
      <c r="JE28">
        <v>0</v>
      </c>
      <c r="JF28" t="s">
        <v>264</v>
      </c>
      <c r="JI28" t="s">
        <v>568</v>
      </c>
      <c r="JJ28" t="s">
        <v>555</v>
      </c>
      <c r="JK28">
        <v>0</v>
      </c>
      <c r="JL28">
        <v>0</v>
      </c>
      <c r="JM28">
        <v>0</v>
      </c>
      <c r="JN28" t="s">
        <v>264</v>
      </c>
      <c r="JQ28" t="s">
        <v>569</v>
      </c>
      <c r="JR28" t="s">
        <v>555</v>
      </c>
      <c r="JS28">
        <v>0</v>
      </c>
      <c r="JT28">
        <v>0</v>
      </c>
      <c r="JU28">
        <v>0</v>
      </c>
      <c r="JV28" t="s">
        <v>264</v>
      </c>
      <c r="JY28" t="s">
        <v>570</v>
      </c>
      <c r="JZ28" t="s">
        <v>555</v>
      </c>
      <c r="KA28">
        <v>0</v>
      </c>
      <c r="KB28">
        <v>0</v>
      </c>
      <c r="KC28">
        <v>0</v>
      </c>
      <c r="KD28" t="s">
        <v>264</v>
      </c>
      <c r="KG28" t="s">
        <v>571</v>
      </c>
      <c r="KH28" t="s">
        <v>555</v>
      </c>
      <c r="KI28">
        <v>0</v>
      </c>
      <c r="KJ28">
        <v>0</v>
      </c>
      <c r="KK28">
        <v>0</v>
      </c>
      <c r="KL28" t="s">
        <v>264</v>
      </c>
      <c r="KO28" t="s">
        <v>572</v>
      </c>
      <c r="KP28" t="s">
        <v>555</v>
      </c>
      <c r="KQ28">
        <v>0</v>
      </c>
      <c r="KR28">
        <v>0</v>
      </c>
      <c r="KS28">
        <v>0</v>
      </c>
      <c r="KT28" t="s">
        <v>264</v>
      </c>
      <c r="KW28" t="s">
        <v>573</v>
      </c>
      <c r="KX28" t="s">
        <v>555</v>
      </c>
      <c r="KY28">
        <v>0</v>
      </c>
      <c r="KZ28">
        <v>0</v>
      </c>
      <c r="LA28">
        <v>0</v>
      </c>
      <c r="LB28" t="s">
        <v>264</v>
      </c>
      <c r="LE28" t="s">
        <v>574</v>
      </c>
      <c r="LF28" t="s">
        <v>555</v>
      </c>
      <c r="LG28">
        <v>0</v>
      </c>
      <c r="LH28">
        <v>0</v>
      </c>
      <c r="LI28">
        <v>0</v>
      </c>
      <c r="LJ28" t="s">
        <v>264</v>
      </c>
      <c r="LM28" t="s">
        <v>575</v>
      </c>
      <c r="LN28" t="s">
        <v>555</v>
      </c>
      <c r="LO28">
        <v>0</v>
      </c>
      <c r="LP28">
        <v>0</v>
      </c>
      <c r="LQ28">
        <v>0</v>
      </c>
      <c r="LR28" t="s">
        <v>264</v>
      </c>
      <c r="LU28" t="s">
        <v>576</v>
      </c>
      <c r="LV28" t="s">
        <v>555</v>
      </c>
      <c r="LW28">
        <v>0</v>
      </c>
      <c r="LX28">
        <v>0</v>
      </c>
      <c r="LY28">
        <v>0</v>
      </c>
      <c r="LZ28" t="s">
        <v>264</v>
      </c>
      <c r="MC28" t="s">
        <v>577</v>
      </c>
      <c r="MD28" t="s">
        <v>555</v>
      </c>
      <c r="ME28">
        <v>0</v>
      </c>
      <c r="MF28">
        <v>0</v>
      </c>
      <c r="MG28">
        <v>0</v>
      </c>
      <c r="MH28" t="s">
        <v>264</v>
      </c>
      <c r="MK28" t="s">
        <v>578</v>
      </c>
      <c r="ML28" t="s">
        <v>555</v>
      </c>
      <c r="MM28">
        <v>0</v>
      </c>
      <c r="MN28">
        <v>0</v>
      </c>
      <c r="MO28">
        <v>0</v>
      </c>
      <c r="MP28" t="s">
        <v>264</v>
      </c>
      <c r="MS28" t="s">
        <v>579</v>
      </c>
      <c r="MT28" t="s">
        <v>555</v>
      </c>
      <c r="MU28">
        <v>0</v>
      </c>
      <c r="MV28">
        <v>0</v>
      </c>
      <c r="MW28">
        <v>0</v>
      </c>
      <c r="MX28" t="s">
        <v>264</v>
      </c>
      <c r="NA28" t="s">
        <v>580</v>
      </c>
      <c r="NB28" t="s">
        <v>555</v>
      </c>
      <c r="NC28">
        <v>0</v>
      </c>
      <c r="ND28">
        <v>0</v>
      </c>
      <c r="NE28">
        <v>0</v>
      </c>
      <c r="NF28" t="s">
        <v>264</v>
      </c>
      <c r="NI28">
        <v>40</v>
      </c>
      <c r="NJ28">
        <v>-10.1</v>
      </c>
      <c r="NP28" t="s">
        <v>624</v>
      </c>
    </row>
    <row r="29" spans="1:380" customFormat="1" x14ac:dyDescent="0.2">
      <c r="A29" t="s">
        <v>517</v>
      </c>
      <c r="B29">
        <v>1</v>
      </c>
      <c r="C29" t="s">
        <v>657</v>
      </c>
      <c r="D29">
        <v>646957157</v>
      </c>
      <c r="E29">
        <v>12602</v>
      </c>
      <c r="F29" t="s">
        <v>542</v>
      </c>
      <c r="G29">
        <v>847922</v>
      </c>
      <c r="H29">
        <v>210016957</v>
      </c>
      <c r="I29" t="s">
        <v>622</v>
      </c>
      <c r="J29" t="s">
        <v>658</v>
      </c>
      <c r="K29" t="s">
        <v>545</v>
      </c>
      <c r="L29" t="s">
        <v>294</v>
      </c>
      <c r="M29" t="s">
        <v>546</v>
      </c>
      <c r="N29" t="s">
        <v>468</v>
      </c>
      <c r="O29" t="s">
        <v>547</v>
      </c>
      <c r="P29" t="s">
        <v>264</v>
      </c>
      <c r="Q29">
        <v>27.1</v>
      </c>
      <c r="R29">
        <v>270</v>
      </c>
      <c r="S29" t="s">
        <v>264</v>
      </c>
      <c r="T29">
        <v>-9999</v>
      </c>
      <c r="U29">
        <v>597</v>
      </c>
      <c r="V29">
        <v>620</v>
      </c>
      <c r="W29">
        <v>589</v>
      </c>
      <c r="X29" t="s">
        <v>270</v>
      </c>
      <c r="Y29">
        <v>0</v>
      </c>
      <c r="Z29">
        <v>55</v>
      </c>
      <c r="AA29" t="s">
        <v>469</v>
      </c>
      <c r="AB29" t="s">
        <v>548</v>
      </c>
      <c r="AC29">
        <v>1</v>
      </c>
      <c r="AD29" t="s">
        <v>549</v>
      </c>
      <c r="AE29">
        <v>0</v>
      </c>
      <c r="AF29">
        <v>18</v>
      </c>
      <c r="AG29" t="s">
        <v>264</v>
      </c>
      <c r="AH29">
        <v>-9999</v>
      </c>
      <c r="AI29">
        <v>551</v>
      </c>
      <c r="AJ29">
        <v>661</v>
      </c>
      <c r="AK29">
        <v>543</v>
      </c>
      <c r="AL29" t="s">
        <v>270</v>
      </c>
      <c r="AM29">
        <v>0</v>
      </c>
      <c r="AN29">
        <v>55</v>
      </c>
      <c r="AO29" t="s">
        <v>470</v>
      </c>
      <c r="AP29" t="s">
        <v>548</v>
      </c>
      <c r="AQ29">
        <v>2</v>
      </c>
      <c r="AR29" t="s">
        <v>549</v>
      </c>
      <c r="AS29">
        <v>54.7</v>
      </c>
      <c r="AT29">
        <v>43</v>
      </c>
      <c r="AU29" t="s">
        <v>264</v>
      </c>
      <c r="AV29">
        <v>-9999</v>
      </c>
      <c r="AW29">
        <v>356</v>
      </c>
      <c r="AX29">
        <v>376</v>
      </c>
      <c r="AY29">
        <v>356</v>
      </c>
      <c r="AZ29" t="s">
        <v>270</v>
      </c>
      <c r="BA29">
        <v>0</v>
      </c>
      <c r="BB29">
        <v>55</v>
      </c>
      <c r="BC29" t="s">
        <v>550</v>
      </c>
      <c r="BD29" t="s">
        <v>548</v>
      </c>
      <c r="BE29">
        <v>3</v>
      </c>
      <c r="BF29" t="s">
        <v>584</v>
      </c>
      <c r="BG29">
        <v>19.399999999999999</v>
      </c>
      <c r="BH29">
        <v>-8</v>
      </c>
      <c r="BI29" t="s">
        <v>264</v>
      </c>
      <c r="BJ29">
        <v>-9999</v>
      </c>
      <c r="BK29">
        <v>5</v>
      </c>
      <c r="BL29">
        <v>33</v>
      </c>
      <c r="BM29">
        <v>14</v>
      </c>
      <c r="BN29" t="s">
        <v>270</v>
      </c>
      <c r="BO29">
        <v>0</v>
      </c>
      <c r="BP29">
        <v>55</v>
      </c>
      <c r="BQ29" t="s">
        <v>504</v>
      </c>
      <c r="BR29" t="s">
        <v>548</v>
      </c>
      <c r="BS29">
        <v>4</v>
      </c>
      <c r="BT29" t="s">
        <v>549</v>
      </c>
      <c r="BU29">
        <v>52.2</v>
      </c>
      <c r="BV29">
        <v>75</v>
      </c>
      <c r="BW29" t="s">
        <v>264</v>
      </c>
      <c r="BX29">
        <v>-9999</v>
      </c>
      <c r="BY29">
        <v>212</v>
      </c>
      <c r="BZ29">
        <v>247</v>
      </c>
      <c r="CA29">
        <v>211</v>
      </c>
      <c r="CB29" t="s">
        <v>270</v>
      </c>
      <c r="CC29">
        <v>0</v>
      </c>
      <c r="CD29">
        <v>55</v>
      </c>
      <c r="CE29" t="s">
        <v>471</v>
      </c>
      <c r="CF29" t="s">
        <v>548</v>
      </c>
      <c r="CG29">
        <v>5</v>
      </c>
      <c r="CH29" t="s">
        <v>549</v>
      </c>
      <c r="CI29">
        <v>52</v>
      </c>
      <c r="CJ29">
        <v>148</v>
      </c>
      <c r="CK29" t="s">
        <v>264</v>
      </c>
      <c r="CL29">
        <v>-9999</v>
      </c>
      <c r="CM29">
        <v>490</v>
      </c>
      <c r="CN29">
        <v>572</v>
      </c>
      <c r="CO29">
        <v>491</v>
      </c>
      <c r="CP29" t="s">
        <v>270</v>
      </c>
      <c r="CQ29">
        <v>0</v>
      </c>
      <c r="CR29">
        <v>55</v>
      </c>
      <c r="CS29" t="s">
        <v>472</v>
      </c>
      <c r="CT29" t="s">
        <v>548</v>
      </c>
      <c r="CU29">
        <v>6</v>
      </c>
      <c r="CV29" t="s">
        <v>549</v>
      </c>
      <c r="CW29">
        <v>53.5</v>
      </c>
      <c r="CX29">
        <v>85</v>
      </c>
      <c r="CY29" t="s">
        <v>264</v>
      </c>
      <c r="CZ29">
        <v>-9999</v>
      </c>
      <c r="DA29">
        <v>581</v>
      </c>
      <c r="DB29">
        <v>661</v>
      </c>
      <c r="DC29">
        <v>573</v>
      </c>
      <c r="DD29" t="s">
        <v>270</v>
      </c>
      <c r="DE29">
        <v>0</v>
      </c>
      <c r="DF29">
        <v>55</v>
      </c>
      <c r="DG29" t="s">
        <v>473</v>
      </c>
      <c r="DH29" t="s">
        <v>548</v>
      </c>
      <c r="DI29">
        <v>7</v>
      </c>
      <c r="DJ29" t="s">
        <v>549</v>
      </c>
      <c r="DK29">
        <v>0</v>
      </c>
      <c r="DL29">
        <v>35</v>
      </c>
      <c r="DM29" t="s">
        <v>264</v>
      </c>
      <c r="DN29">
        <v>-9999</v>
      </c>
      <c r="DO29">
        <v>568</v>
      </c>
      <c r="DP29">
        <v>656</v>
      </c>
      <c r="DQ29">
        <v>563</v>
      </c>
      <c r="DR29" t="s">
        <v>270</v>
      </c>
      <c r="DS29">
        <v>0</v>
      </c>
      <c r="DT29">
        <v>55</v>
      </c>
      <c r="DU29" t="s">
        <v>474</v>
      </c>
      <c r="DV29" t="s">
        <v>548</v>
      </c>
      <c r="DW29">
        <v>8</v>
      </c>
      <c r="DX29" t="s">
        <v>549</v>
      </c>
      <c r="DY29">
        <v>54.1</v>
      </c>
      <c r="DZ29">
        <v>21</v>
      </c>
      <c r="EA29" t="s">
        <v>264</v>
      </c>
      <c r="EB29">
        <v>-9999</v>
      </c>
      <c r="EC29">
        <v>100</v>
      </c>
      <c r="ED29">
        <v>121</v>
      </c>
      <c r="EE29">
        <v>98</v>
      </c>
      <c r="EF29" t="s">
        <v>270</v>
      </c>
      <c r="EG29">
        <v>0</v>
      </c>
      <c r="EH29">
        <v>55</v>
      </c>
      <c r="EI29" t="s">
        <v>475</v>
      </c>
      <c r="EJ29" t="s">
        <v>548</v>
      </c>
      <c r="EK29">
        <v>9</v>
      </c>
      <c r="EL29" t="s">
        <v>549</v>
      </c>
      <c r="EM29">
        <v>0</v>
      </c>
      <c r="EN29">
        <v>8</v>
      </c>
      <c r="EO29" t="s">
        <v>264</v>
      </c>
      <c r="EP29">
        <v>-9999</v>
      </c>
      <c r="EQ29">
        <v>407</v>
      </c>
      <c r="ER29">
        <v>389</v>
      </c>
      <c r="ES29">
        <v>355</v>
      </c>
      <c r="ET29" t="s">
        <v>270</v>
      </c>
      <c r="EU29">
        <v>0</v>
      </c>
      <c r="EV29">
        <v>55</v>
      </c>
      <c r="EW29" t="s">
        <v>551</v>
      </c>
      <c r="EX29" t="s">
        <v>552</v>
      </c>
      <c r="EY29">
        <v>122</v>
      </c>
      <c r="EZ29">
        <v>123</v>
      </c>
      <c r="FA29">
        <v>124</v>
      </c>
      <c r="FB29" t="s">
        <v>270</v>
      </c>
      <c r="FC29" t="s">
        <v>553</v>
      </c>
      <c r="FD29" t="s">
        <v>552</v>
      </c>
      <c r="FE29">
        <v>265</v>
      </c>
      <c r="FF29">
        <v>264</v>
      </c>
      <c r="FG29">
        <v>263</v>
      </c>
      <c r="FH29" t="s">
        <v>270</v>
      </c>
      <c r="FI29" t="s">
        <v>554</v>
      </c>
      <c r="FJ29" t="s">
        <v>555</v>
      </c>
      <c r="FK29">
        <v>0</v>
      </c>
      <c r="FL29">
        <v>0</v>
      </c>
      <c r="FM29">
        <v>0</v>
      </c>
      <c r="FN29" t="s">
        <v>264</v>
      </c>
      <c r="FQ29" t="s">
        <v>556</v>
      </c>
      <c r="FR29" t="s">
        <v>555</v>
      </c>
      <c r="FS29">
        <v>0</v>
      </c>
      <c r="FT29">
        <v>0</v>
      </c>
      <c r="FU29">
        <v>0</v>
      </c>
      <c r="FV29" t="s">
        <v>264</v>
      </c>
      <c r="FY29" t="s">
        <v>557</v>
      </c>
      <c r="FZ29" t="s">
        <v>555</v>
      </c>
      <c r="GA29">
        <v>0</v>
      </c>
      <c r="GB29">
        <v>0</v>
      </c>
      <c r="GC29">
        <v>0</v>
      </c>
      <c r="GD29" t="s">
        <v>264</v>
      </c>
      <c r="GG29" t="s">
        <v>558</v>
      </c>
      <c r="GH29" t="s">
        <v>555</v>
      </c>
      <c r="GI29">
        <v>0</v>
      </c>
      <c r="GJ29">
        <v>0</v>
      </c>
      <c r="GK29">
        <v>0</v>
      </c>
      <c r="GL29" t="s">
        <v>264</v>
      </c>
      <c r="GO29" t="s">
        <v>559</v>
      </c>
      <c r="GP29" t="s">
        <v>555</v>
      </c>
      <c r="GQ29">
        <v>0</v>
      </c>
      <c r="GR29">
        <v>0</v>
      </c>
      <c r="GS29">
        <v>0</v>
      </c>
      <c r="GT29" t="s">
        <v>264</v>
      </c>
      <c r="GW29" t="s">
        <v>560</v>
      </c>
      <c r="GX29" t="s">
        <v>555</v>
      </c>
      <c r="GY29">
        <v>0</v>
      </c>
      <c r="GZ29">
        <v>0</v>
      </c>
      <c r="HA29">
        <v>0</v>
      </c>
      <c r="HB29" t="s">
        <v>264</v>
      </c>
      <c r="HE29" t="s">
        <v>561</v>
      </c>
      <c r="HF29" t="s">
        <v>555</v>
      </c>
      <c r="HG29">
        <v>0</v>
      </c>
      <c r="HH29">
        <v>0</v>
      </c>
      <c r="HI29">
        <v>0</v>
      </c>
      <c r="HJ29" t="s">
        <v>264</v>
      </c>
      <c r="HM29" t="s">
        <v>562</v>
      </c>
      <c r="HN29" t="s">
        <v>555</v>
      </c>
      <c r="HO29">
        <v>0</v>
      </c>
      <c r="HP29">
        <v>0</v>
      </c>
      <c r="HQ29">
        <v>0</v>
      </c>
      <c r="HR29" t="s">
        <v>264</v>
      </c>
      <c r="HU29" t="s">
        <v>563</v>
      </c>
      <c r="HV29" t="s">
        <v>555</v>
      </c>
      <c r="HW29">
        <v>0</v>
      </c>
      <c r="HX29">
        <v>0</v>
      </c>
      <c r="HY29">
        <v>0</v>
      </c>
      <c r="HZ29" t="s">
        <v>264</v>
      </c>
      <c r="IC29" t="s">
        <v>564</v>
      </c>
      <c r="ID29" t="s">
        <v>555</v>
      </c>
      <c r="IE29">
        <v>0</v>
      </c>
      <c r="IF29">
        <v>0</v>
      </c>
      <c r="IG29">
        <v>0</v>
      </c>
      <c r="IH29" t="s">
        <v>264</v>
      </c>
      <c r="IK29" t="s">
        <v>565</v>
      </c>
      <c r="IL29" t="s">
        <v>555</v>
      </c>
      <c r="IM29">
        <v>0</v>
      </c>
      <c r="IN29">
        <v>0</v>
      </c>
      <c r="IO29">
        <v>0</v>
      </c>
      <c r="IP29" t="s">
        <v>264</v>
      </c>
      <c r="IS29" t="s">
        <v>566</v>
      </c>
      <c r="IT29" t="s">
        <v>555</v>
      </c>
      <c r="IU29">
        <v>0</v>
      </c>
      <c r="IV29">
        <v>0</v>
      </c>
      <c r="IW29">
        <v>0</v>
      </c>
      <c r="IX29" t="s">
        <v>264</v>
      </c>
      <c r="JA29" t="s">
        <v>567</v>
      </c>
      <c r="JB29" t="s">
        <v>555</v>
      </c>
      <c r="JC29">
        <v>0</v>
      </c>
      <c r="JD29">
        <v>0</v>
      </c>
      <c r="JE29">
        <v>0</v>
      </c>
      <c r="JF29" t="s">
        <v>264</v>
      </c>
      <c r="JI29" t="s">
        <v>568</v>
      </c>
      <c r="JJ29" t="s">
        <v>555</v>
      </c>
      <c r="JK29">
        <v>0</v>
      </c>
      <c r="JL29">
        <v>0</v>
      </c>
      <c r="JM29">
        <v>0</v>
      </c>
      <c r="JN29" t="s">
        <v>264</v>
      </c>
      <c r="JQ29" t="s">
        <v>569</v>
      </c>
      <c r="JR29" t="s">
        <v>555</v>
      </c>
      <c r="JS29">
        <v>0</v>
      </c>
      <c r="JT29">
        <v>0</v>
      </c>
      <c r="JU29">
        <v>0</v>
      </c>
      <c r="JV29" t="s">
        <v>264</v>
      </c>
      <c r="JY29" t="s">
        <v>570</v>
      </c>
      <c r="JZ29" t="s">
        <v>555</v>
      </c>
      <c r="KA29">
        <v>0</v>
      </c>
      <c r="KB29">
        <v>0</v>
      </c>
      <c r="KC29">
        <v>0</v>
      </c>
      <c r="KD29" t="s">
        <v>264</v>
      </c>
      <c r="KG29" t="s">
        <v>571</v>
      </c>
      <c r="KH29" t="s">
        <v>555</v>
      </c>
      <c r="KI29">
        <v>0</v>
      </c>
      <c r="KJ29">
        <v>0</v>
      </c>
      <c r="KK29">
        <v>0</v>
      </c>
      <c r="KL29" t="s">
        <v>264</v>
      </c>
      <c r="KO29" t="s">
        <v>572</v>
      </c>
      <c r="KP29" t="s">
        <v>555</v>
      </c>
      <c r="KQ29">
        <v>0</v>
      </c>
      <c r="KR29">
        <v>0</v>
      </c>
      <c r="KS29">
        <v>0</v>
      </c>
      <c r="KT29" t="s">
        <v>264</v>
      </c>
      <c r="KW29" t="s">
        <v>573</v>
      </c>
      <c r="KX29" t="s">
        <v>555</v>
      </c>
      <c r="KY29">
        <v>0</v>
      </c>
      <c r="KZ29">
        <v>0</v>
      </c>
      <c r="LA29">
        <v>0</v>
      </c>
      <c r="LB29" t="s">
        <v>264</v>
      </c>
      <c r="LE29" t="s">
        <v>574</v>
      </c>
      <c r="LF29" t="s">
        <v>555</v>
      </c>
      <c r="LG29">
        <v>0</v>
      </c>
      <c r="LH29">
        <v>0</v>
      </c>
      <c r="LI29">
        <v>0</v>
      </c>
      <c r="LJ29" t="s">
        <v>264</v>
      </c>
      <c r="LM29" t="s">
        <v>575</v>
      </c>
      <c r="LN29" t="s">
        <v>555</v>
      </c>
      <c r="LO29">
        <v>0</v>
      </c>
      <c r="LP29">
        <v>0</v>
      </c>
      <c r="LQ29">
        <v>0</v>
      </c>
      <c r="LR29" t="s">
        <v>264</v>
      </c>
      <c r="LU29" t="s">
        <v>576</v>
      </c>
      <c r="LV29" t="s">
        <v>555</v>
      </c>
      <c r="LW29">
        <v>0</v>
      </c>
      <c r="LX29">
        <v>0</v>
      </c>
      <c r="LY29">
        <v>0</v>
      </c>
      <c r="LZ29" t="s">
        <v>264</v>
      </c>
      <c r="MC29" t="s">
        <v>577</v>
      </c>
      <c r="MD29" t="s">
        <v>555</v>
      </c>
      <c r="ME29">
        <v>0</v>
      </c>
      <c r="MF29">
        <v>0</v>
      </c>
      <c r="MG29">
        <v>0</v>
      </c>
      <c r="MH29" t="s">
        <v>264</v>
      </c>
      <c r="MK29" t="s">
        <v>578</v>
      </c>
      <c r="ML29" t="s">
        <v>555</v>
      </c>
      <c r="MM29">
        <v>0</v>
      </c>
      <c r="MN29">
        <v>0</v>
      </c>
      <c r="MO29">
        <v>0</v>
      </c>
      <c r="MP29" t="s">
        <v>264</v>
      </c>
      <c r="MS29" t="s">
        <v>579</v>
      </c>
      <c r="MT29" t="s">
        <v>555</v>
      </c>
      <c r="MU29">
        <v>0</v>
      </c>
      <c r="MV29">
        <v>0</v>
      </c>
      <c r="MW29">
        <v>0</v>
      </c>
      <c r="MX29" t="s">
        <v>264</v>
      </c>
      <c r="NA29" t="s">
        <v>580</v>
      </c>
      <c r="NB29" t="s">
        <v>555</v>
      </c>
      <c r="NC29">
        <v>0</v>
      </c>
      <c r="ND29">
        <v>0</v>
      </c>
      <c r="NE29">
        <v>0</v>
      </c>
      <c r="NF29" t="s">
        <v>264</v>
      </c>
      <c r="NI29">
        <v>40</v>
      </c>
      <c r="NJ29">
        <v>-10.5</v>
      </c>
      <c r="NP29" t="s">
        <v>624</v>
      </c>
    </row>
    <row r="30" spans="1:380" customFormat="1" x14ac:dyDescent="0.2">
      <c r="A30" t="s">
        <v>517</v>
      </c>
      <c r="B30">
        <v>1</v>
      </c>
      <c r="C30" t="s">
        <v>659</v>
      </c>
      <c r="D30">
        <v>646952299</v>
      </c>
      <c r="E30">
        <v>12602</v>
      </c>
      <c r="F30" t="s">
        <v>542</v>
      </c>
      <c r="G30">
        <v>847922</v>
      </c>
      <c r="H30">
        <v>906912</v>
      </c>
      <c r="I30" t="s">
        <v>622</v>
      </c>
      <c r="J30" t="s">
        <v>660</v>
      </c>
      <c r="K30" t="s">
        <v>545</v>
      </c>
      <c r="L30" t="s">
        <v>294</v>
      </c>
      <c r="M30" t="s">
        <v>546</v>
      </c>
      <c r="N30" t="s">
        <v>468</v>
      </c>
      <c r="O30" t="s">
        <v>547</v>
      </c>
      <c r="P30" t="s">
        <v>270</v>
      </c>
      <c r="Q30">
        <v>29</v>
      </c>
      <c r="R30">
        <v>228</v>
      </c>
      <c r="S30" t="s">
        <v>270</v>
      </c>
      <c r="T30">
        <v>-9999</v>
      </c>
      <c r="U30">
        <v>695</v>
      </c>
      <c r="V30">
        <v>716</v>
      </c>
      <c r="W30">
        <v>681</v>
      </c>
      <c r="X30" t="s">
        <v>270</v>
      </c>
      <c r="Y30">
        <v>0</v>
      </c>
      <c r="Z30">
        <v>55</v>
      </c>
      <c r="AA30" t="s">
        <v>469</v>
      </c>
      <c r="AB30" t="s">
        <v>548</v>
      </c>
      <c r="AC30">
        <v>1</v>
      </c>
      <c r="AD30" t="s">
        <v>549</v>
      </c>
      <c r="AE30">
        <v>0</v>
      </c>
      <c r="AF30">
        <v>25</v>
      </c>
      <c r="AG30" t="s">
        <v>264</v>
      </c>
      <c r="AH30">
        <v>-9999</v>
      </c>
      <c r="AI30">
        <v>478</v>
      </c>
      <c r="AJ30">
        <v>588</v>
      </c>
      <c r="AK30">
        <v>473</v>
      </c>
      <c r="AL30" t="s">
        <v>270</v>
      </c>
      <c r="AM30">
        <v>0</v>
      </c>
      <c r="AN30">
        <v>55</v>
      </c>
      <c r="AO30" t="s">
        <v>470</v>
      </c>
      <c r="AP30" t="s">
        <v>548</v>
      </c>
      <c r="AQ30">
        <v>2</v>
      </c>
      <c r="AR30" t="s">
        <v>549</v>
      </c>
      <c r="AS30">
        <v>53.7</v>
      </c>
      <c r="AT30">
        <v>60</v>
      </c>
      <c r="AU30" t="s">
        <v>264</v>
      </c>
      <c r="AV30">
        <v>-9999</v>
      </c>
      <c r="AW30">
        <v>421</v>
      </c>
      <c r="AX30">
        <v>446</v>
      </c>
      <c r="AY30">
        <v>418</v>
      </c>
      <c r="AZ30" t="s">
        <v>270</v>
      </c>
      <c r="BA30">
        <v>0</v>
      </c>
      <c r="BB30">
        <v>55</v>
      </c>
      <c r="BC30" t="s">
        <v>550</v>
      </c>
      <c r="BD30" t="s">
        <v>548</v>
      </c>
      <c r="BE30">
        <v>3</v>
      </c>
      <c r="BF30" t="s">
        <v>549</v>
      </c>
      <c r="BG30">
        <v>0</v>
      </c>
      <c r="BH30">
        <v>8</v>
      </c>
      <c r="BI30" t="s">
        <v>264</v>
      </c>
      <c r="BJ30">
        <v>-9999</v>
      </c>
      <c r="BK30">
        <v>191</v>
      </c>
      <c r="BL30">
        <v>242</v>
      </c>
      <c r="BM30">
        <v>193</v>
      </c>
      <c r="BN30" t="s">
        <v>270</v>
      </c>
      <c r="BO30">
        <v>0</v>
      </c>
      <c r="BP30">
        <v>55</v>
      </c>
      <c r="BQ30" t="s">
        <v>504</v>
      </c>
      <c r="BR30" t="s">
        <v>548</v>
      </c>
      <c r="BS30">
        <v>4</v>
      </c>
      <c r="BT30" t="s">
        <v>549</v>
      </c>
      <c r="BU30">
        <v>53.6</v>
      </c>
      <c r="BV30">
        <v>42</v>
      </c>
      <c r="BW30" t="s">
        <v>264</v>
      </c>
      <c r="BX30">
        <v>-9999</v>
      </c>
      <c r="BY30">
        <v>247</v>
      </c>
      <c r="BZ30">
        <v>285</v>
      </c>
      <c r="CA30">
        <v>245</v>
      </c>
      <c r="CB30" t="s">
        <v>270</v>
      </c>
      <c r="CC30">
        <v>0</v>
      </c>
      <c r="CD30">
        <v>55</v>
      </c>
      <c r="CE30" t="s">
        <v>471</v>
      </c>
      <c r="CF30" t="s">
        <v>548</v>
      </c>
      <c r="CG30">
        <v>5</v>
      </c>
      <c r="CH30" t="s">
        <v>549</v>
      </c>
      <c r="CI30">
        <v>52.3</v>
      </c>
      <c r="CJ30">
        <v>95</v>
      </c>
      <c r="CK30" t="s">
        <v>264</v>
      </c>
      <c r="CL30">
        <v>-9999</v>
      </c>
      <c r="CM30">
        <v>586</v>
      </c>
      <c r="CN30">
        <v>685</v>
      </c>
      <c r="CO30">
        <v>582</v>
      </c>
      <c r="CP30" t="s">
        <v>270</v>
      </c>
      <c r="CQ30">
        <v>0</v>
      </c>
      <c r="CR30">
        <v>55</v>
      </c>
      <c r="CS30" t="s">
        <v>472</v>
      </c>
      <c r="CT30" t="s">
        <v>548</v>
      </c>
      <c r="CU30">
        <v>6</v>
      </c>
      <c r="CV30" t="s">
        <v>549</v>
      </c>
      <c r="CW30">
        <v>55</v>
      </c>
      <c r="CX30">
        <v>50</v>
      </c>
      <c r="CY30" t="s">
        <v>264</v>
      </c>
      <c r="CZ30">
        <v>-9999</v>
      </c>
      <c r="DA30">
        <v>755</v>
      </c>
      <c r="DB30">
        <v>860</v>
      </c>
      <c r="DC30">
        <v>743</v>
      </c>
      <c r="DD30" t="s">
        <v>270</v>
      </c>
      <c r="DE30">
        <v>0</v>
      </c>
      <c r="DF30">
        <v>55</v>
      </c>
      <c r="DG30" t="s">
        <v>473</v>
      </c>
      <c r="DH30" t="s">
        <v>548</v>
      </c>
      <c r="DI30">
        <v>7</v>
      </c>
      <c r="DJ30" t="s">
        <v>549</v>
      </c>
      <c r="DK30">
        <v>0</v>
      </c>
      <c r="DL30">
        <v>27</v>
      </c>
      <c r="DM30" t="s">
        <v>264</v>
      </c>
      <c r="DN30">
        <v>-9999</v>
      </c>
      <c r="DO30">
        <v>513</v>
      </c>
      <c r="DP30">
        <v>583</v>
      </c>
      <c r="DQ30">
        <v>508</v>
      </c>
      <c r="DR30" t="s">
        <v>270</v>
      </c>
      <c r="DS30">
        <v>0</v>
      </c>
      <c r="DT30">
        <v>55</v>
      </c>
      <c r="DU30" t="s">
        <v>474</v>
      </c>
      <c r="DV30" t="s">
        <v>548</v>
      </c>
      <c r="DW30">
        <v>8</v>
      </c>
      <c r="DX30" t="s">
        <v>549</v>
      </c>
      <c r="DY30">
        <v>0</v>
      </c>
      <c r="DZ30">
        <v>13</v>
      </c>
      <c r="EA30" t="s">
        <v>264</v>
      </c>
      <c r="EB30">
        <v>-9999</v>
      </c>
      <c r="EC30">
        <v>121</v>
      </c>
      <c r="ED30">
        <v>147</v>
      </c>
      <c r="EE30">
        <v>119</v>
      </c>
      <c r="EF30" t="s">
        <v>270</v>
      </c>
      <c r="EG30">
        <v>0</v>
      </c>
      <c r="EH30">
        <v>55</v>
      </c>
      <c r="EI30" t="s">
        <v>475</v>
      </c>
      <c r="EJ30" t="s">
        <v>548</v>
      </c>
      <c r="EK30">
        <v>9</v>
      </c>
      <c r="EL30" t="s">
        <v>549</v>
      </c>
      <c r="EM30">
        <v>0</v>
      </c>
      <c r="EN30">
        <v>-9</v>
      </c>
      <c r="EO30" t="s">
        <v>264</v>
      </c>
      <c r="EP30">
        <v>-9999</v>
      </c>
      <c r="EQ30">
        <v>419</v>
      </c>
      <c r="ER30">
        <v>394</v>
      </c>
      <c r="ES30">
        <v>358</v>
      </c>
      <c r="ET30" t="s">
        <v>270</v>
      </c>
      <c r="EU30">
        <v>0</v>
      </c>
      <c r="EV30">
        <v>55</v>
      </c>
      <c r="EW30" t="s">
        <v>551</v>
      </c>
      <c r="EX30" t="s">
        <v>552</v>
      </c>
      <c r="EY30">
        <v>141</v>
      </c>
      <c r="EZ30">
        <v>141</v>
      </c>
      <c r="FA30">
        <v>141</v>
      </c>
      <c r="FB30" t="s">
        <v>270</v>
      </c>
      <c r="FC30" t="s">
        <v>553</v>
      </c>
      <c r="FD30" t="s">
        <v>552</v>
      </c>
      <c r="FE30">
        <v>275</v>
      </c>
      <c r="FF30">
        <v>273</v>
      </c>
      <c r="FG30">
        <v>272</v>
      </c>
      <c r="FH30" t="s">
        <v>270</v>
      </c>
      <c r="FI30" t="s">
        <v>554</v>
      </c>
      <c r="FJ30" t="s">
        <v>555</v>
      </c>
      <c r="FK30">
        <v>0</v>
      </c>
      <c r="FL30">
        <v>0</v>
      </c>
      <c r="FM30">
        <v>0</v>
      </c>
      <c r="FN30" t="s">
        <v>264</v>
      </c>
      <c r="FQ30" t="s">
        <v>556</v>
      </c>
      <c r="FR30" t="s">
        <v>555</v>
      </c>
      <c r="FS30">
        <v>0</v>
      </c>
      <c r="FT30">
        <v>0</v>
      </c>
      <c r="FU30">
        <v>0</v>
      </c>
      <c r="FV30" t="s">
        <v>264</v>
      </c>
      <c r="FY30" t="s">
        <v>557</v>
      </c>
      <c r="FZ30" t="s">
        <v>555</v>
      </c>
      <c r="GA30">
        <v>0</v>
      </c>
      <c r="GB30">
        <v>0</v>
      </c>
      <c r="GC30">
        <v>0</v>
      </c>
      <c r="GD30" t="s">
        <v>264</v>
      </c>
      <c r="GG30" t="s">
        <v>558</v>
      </c>
      <c r="GH30" t="s">
        <v>555</v>
      </c>
      <c r="GI30">
        <v>0</v>
      </c>
      <c r="GJ30">
        <v>0</v>
      </c>
      <c r="GK30">
        <v>0</v>
      </c>
      <c r="GL30" t="s">
        <v>264</v>
      </c>
      <c r="GO30" t="s">
        <v>559</v>
      </c>
      <c r="GP30" t="s">
        <v>555</v>
      </c>
      <c r="GQ30">
        <v>0</v>
      </c>
      <c r="GR30">
        <v>0</v>
      </c>
      <c r="GS30">
        <v>0</v>
      </c>
      <c r="GT30" t="s">
        <v>264</v>
      </c>
      <c r="GW30" t="s">
        <v>560</v>
      </c>
      <c r="GX30" t="s">
        <v>555</v>
      </c>
      <c r="GY30">
        <v>0</v>
      </c>
      <c r="GZ30">
        <v>0</v>
      </c>
      <c r="HA30">
        <v>0</v>
      </c>
      <c r="HB30" t="s">
        <v>264</v>
      </c>
      <c r="HE30" t="s">
        <v>561</v>
      </c>
      <c r="HF30" t="s">
        <v>555</v>
      </c>
      <c r="HG30">
        <v>0</v>
      </c>
      <c r="HH30">
        <v>0</v>
      </c>
      <c r="HI30">
        <v>0</v>
      </c>
      <c r="HJ30" t="s">
        <v>264</v>
      </c>
      <c r="HM30" t="s">
        <v>562</v>
      </c>
      <c r="HN30" t="s">
        <v>555</v>
      </c>
      <c r="HO30">
        <v>0</v>
      </c>
      <c r="HP30">
        <v>0</v>
      </c>
      <c r="HQ30">
        <v>0</v>
      </c>
      <c r="HR30" t="s">
        <v>264</v>
      </c>
      <c r="HU30" t="s">
        <v>563</v>
      </c>
      <c r="HV30" t="s">
        <v>555</v>
      </c>
      <c r="HW30">
        <v>0</v>
      </c>
      <c r="HX30">
        <v>0</v>
      </c>
      <c r="HY30">
        <v>0</v>
      </c>
      <c r="HZ30" t="s">
        <v>264</v>
      </c>
      <c r="IC30" t="s">
        <v>564</v>
      </c>
      <c r="ID30" t="s">
        <v>555</v>
      </c>
      <c r="IE30">
        <v>0</v>
      </c>
      <c r="IF30">
        <v>0</v>
      </c>
      <c r="IG30">
        <v>0</v>
      </c>
      <c r="IH30" t="s">
        <v>264</v>
      </c>
      <c r="IK30" t="s">
        <v>565</v>
      </c>
      <c r="IL30" t="s">
        <v>555</v>
      </c>
      <c r="IM30">
        <v>0</v>
      </c>
      <c r="IN30">
        <v>0</v>
      </c>
      <c r="IO30">
        <v>0</v>
      </c>
      <c r="IP30" t="s">
        <v>264</v>
      </c>
      <c r="IS30" t="s">
        <v>566</v>
      </c>
      <c r="IT30" t="s">
        <v>555</v>
      </c>
      <c r="IU30">
        <v>0</v>
      </c>
      <c r="IV30">
        <v>0</v>
      </c>
      <c r="IW30">
        <v>0</v>
      </c>
      <c r="IX30" t="s">
        <v>264</v>
      </c>
      <c r="JA30" t="s">
        <v>567</v>
      </c>
      <c r="JB30" t="s">
        <v>555</v>
      </c>
      <c r="JC30">
        <v>0</v>
      </c>
      <c r="JD30">
        <v>0</v>
      </c>
      <c r="JE30">
        <v>0</v>
      </c>
      <c r="JF30" t="s">
        <v>264</v>
      </c>
      <c r="JI30" t="s">
        <v>568</v>
      </c>
      <c r="JJ30" t="s">
        <v>555</v>
      </c>
      <c r="JK30">
        <v>0</v>
      </c>
      <c r="JL30">
        <v>0</v>
      </c>
      <c r="JM30">
        <v>0</v>
      </c>
      <c r="JN30" t="s">
        <v>264</v>
      </c>
      <c r="JQ30" t="s">
        <v>569</v>
      </c>
      <c r="JR30" t="s">
        <v>555</v>
      </c>
      <c r="JS30">
        <v>0</v>
      </c>
      <c r="JT30">
        <v>0</v>
      </c>
      <c r="JU30">
        <v>0</v>
      </c>
      <c r="JV30" t="s">
        <v>264</v>
      </c>
      <c r="JY30" t="s">
        <v>570</v>
      </c>
      <c r="JZ30" t="s">
        <v>555</v>
      </c>
      <c r="KA30">
        <v>0</v>
      </c>
      <c r="KB30">
        <v>0</v>
      </c>
      <c r="KC30">
        <v>0</v>
      </c>
      <c r="KD30" t="s">
        <v>264</v>
      </c>
      <c r="KG30" t="s">
        <v>571</v>
      </c>
      <c r="KH30" t="s">
        <v>555</v>
      </c>
      <c r="KI30">
        <v>0</v>
      </c>
      <c r="KJ30">
        <v>0</v>
      </c>
      <c r="KK30">
        <v>0</v>
      </c>
      <c r="KL30" t="s">
        <v>264</v>
      </c>
      <c r="KO30" t="s">
        <v>572</v>
      </c>
      <c r="KP30" t="s">
        <v>555</v>
      </c>
      <c r="KQ30">
        <v>0</v>
      </c>
      <c r="KR30">
        <v>0</v>
      </c>
      <c r="KS30">
        <v>0</v>
      </c>
      <c r="KT30" t="s">
        <v>264</v>
      </c>
      <c r="KW30" t="s">
        <v>573</v>
      </c>
      <c r="KX30" t="s">
        <v>555</v>
      </c>
      <c r="KY30">
        <v>0</v>
      </c>
      <c r="KZ30">
        <v>0</v>
      </c>
      <c r="LA30">
        <v>0</v>
      </c>
      <c r="LB30" t="s">
        <v>264</v>
      </c>
      <c r="LE30" t="s">
        <v>574</v>
      </c>
      <c r="LF30" t="s">
        <v>555</v>
      </c>
      <c r="LG30">
        <v>0</v>
      </c>
      <c r="LH30">
        <v>0</v>
      </c>
      <c r="LI30">
        <v>0</v>
      </c>
      <c r="LJ30" t="s">
        <v>264</v>
      </c>
      <c r="LM30" t="s">
        <v>575</v>
      </c>
      <c r="LN30" t="s">
        <v>555</v>
      </c>
      <c r="LO30">
        <v>0</v>
      </c>
      <c r="LP30">
        <v>0</v>
      </c>
      <c r="LQ30">
        <v>0</v>
      </c>
      <c r="LR30" t="s">
        <v>264</v>
      </c>
      <c r="LU30" t="s">
        <v>576</v>
      </c>
      <c r="LV30" t="s">
        <v>555</v>
      </c>
      <c r="LW30">
        <v>0</v>
      </c>
      <c r="LX30">
        <v>0</v>
      </c>
      <c r="LY30">
        <v>0</v>
      </c>
      <c r="LZ30" t="s">
        <v>264</v>
      </c>
      <c r="MC30" t="s">
        <v>577</v>
      </c>
      <c r="MD30" t="s">
        <v>555</v>
      </c>
      <c r="ME30">
        <v>0</v>
      </c>
      <c r="MF30">
        <v>0</v>
      </c>
      <c r="MG30">
        <v>0</v>
      </c>
      <c r="MH30" t="s">
        <v>264</v>
      </c>
      <c r="MK30" t="s">
        <v>578</v>
      </c>
      <c r="ML30" t="s">
        <v>555</v>
      </c>
      <c r="MM30">
        <v>0</v>
      </c>
      <c r="MN30">
        <v>0</v>
      </c>
      <c r="MO30">
        <v>0</v>
      </c>
      <c r="MP30" t="s">
        <v>264</v>
      </c>
      <c r="MS30" t="s">
        <v>579</v>
      </c>
      <c r="MT30" t="s">
        <v>555</v>
      </c>
      <c r="MU30">
        <v>0</v>
      </c>
      <c r="MV30">
        <v>0</v>
      </c>
      <c r="MW30">
        <v>0</v>
      </c>
      <c r="MX30" t="s">
        <v>264</v>
      </c>
      <c r="NA30" t="s">
        <v>580</v>
      </c>
      <c r="NB30" t="s">
        <v>555</v>
      </c>
      <c r="NC30">
        <v>0</v>
      </c>
      <c r="ND30">
        <v>0</v>
      </c>
      <c r="NE30">
        <v>0</v>
      </c>
      <c r="NF30" t="s">
        <v>264</v>
      </c>
      <c r="NI30">
        <v>40</v>
      </c>
      <c r="NJ30">
        <v>-8.6999999999999993</v>
      </c>
      <c r="NP30" t="s">
        <v>624</v>
      </c>
    </row>
    <row r="31" spans="1:380" customFormat="1" x14ac:dyDescent="0.2">
      <c r="A31" t="s">
        <v>517</v>
      </c>
      <c r="B31">
        <v>1</v>
      </c>
      <c r="C31" t="s">
        <v>661</v>
      </c>
      <c r="D31">
        <v>646957371</v>
      </c>
      <c r="E31">
        <v>12602</v>
      </c>
      <c r="F31" t="s">
        <v>542</v>
      </c>
      <c r="G31">
        <v>847922</v>
      </c>
      <c r="H31">
        <v>210013996</v>
      </c>
      <c r="I31" t="s">
        <v>622</v>
      </c>
      <c r="J31" t="s">
        <v>662</v>
      </c>
      <c r="K31" t="s">
        <v>545</v>
      </c>
      <c r="L31" t="s">
        <v>294</v>
      </c>
      <c r="M31" t="s">
        <v>546</v>
      </c>
      <c r="N31" t="s">
        <v>468</v>
      </c>
      <c r="O31" t="s">
        <v>547</v>
      </c>
      <c r="P31" t="s">
        <v>270</v>
      </c>
      <c r="Q31">
        <v>27.5</v>
      </c>
      <c r="R31">
        <v>227</v>
      </c>
      <c r="S31" t="s">
        <v>270</v>
      </c>
      <c r="T31">
        <v>-9999</v>
      </c>
      <c r="U31">
        <v>595</v>
      </c>
      <c r="V31">
        <v>613</v>
      </c>
      <c r="W31">
        <v>585</v>
      </c>
      <c r="X31" t="s">
        <v>270</v>
      </c>
      <c r="Y31">
        <v>0</v>
      </c>
      <c r="Z31">
        <v>55</v>
      </c>
      <c r="AA31" t="s">
        <v>469</v>
      </c>
      <c r="AB31" t="s">
        <v>548</v>
      </c>
      <c r="AC31">
        <v>1</v>
      </c>
      <c r="AD31" t="s">
        <v>549</v>
      </c>
      <c r="AE31">
        <v>0</v>
      </c>
      <c r="AF31">
        <v>44</v>
      </c>
      <c r="AG31" t="s">
        <v>264</v>
      </c>
      <c r="AH31">
        <v>-9999</v>
      </c>
      <c r="AI31">
        <v>484</v>
      </c>
      <c r="AJ31">
        <v>600</v>
      </c>
      <c r="AK31">
        <v>481</v>
      </c>
      <c r="AL31" t="s">
        <v>270</v>
      </c>
      <c r="AM31">
        <v>0</v>
      </c>
      <c r="AN31">
        <v>55</v>
      </c>
      <c r="AO31" t="s">
        <v>470</v>
      </c>
      <c r="AP31" t="s">
        <v>548</v>
      </c>
      <c r="AQ31">
        <v>2</v>
      </c>
      <c r="AR31" t="s">
        <v>549</v>
      </c>
      <c r="AS31">
        <v>54.2</v>
      </c>
      <c r="AT31">
        <v>53</v>
      </c>
      <c r="AU31" t="s">
        <v>264</v>
      </c>
      <c r="AV31">
        <v>-9999</v>
      </c>
      <c r="AW31">
        <v>395</v>
      </c>
      <c r="AX31">
        <v>417</v>
      </c>
      <c r="AY31">
        <v>394</v>
      </c>
      <c r="AZ31" t="s">
        <v>270</v>
      </c>
      <c r="BA31">
        <v>0</v>
      </c>
      <c r="BB31">
        <v>55</v>
      </c>
      <c r="BC31" t="s">
        <v>550</v>
      </c>
      <c r="BD31" t="s">
        <v>548</v>
      </c>
      <c r="BE31">
        <v>3</v>
      </c>
      <c r="BF31" t="s">
        <v>549</v>
      </c>
      <c r="BG31">
        <v>0</v>
      </c>
      <c r="BH31">
        <v>-17</v>
      </c>
      <c r="BI31" t="s">
        <v>264</v>
      </c>
      <c r="BJ31">
        <v>-9999</v>
      </c>
      <c r="BK31">
        <v>200</v>
      </c>
      <c r="BL31">
        <v>245</v>
      </c>
      <c r="BM31">
        <v>200</v>
      </c>
      <c r="BN31" t="s">
        <v>270</v>
      </c>
      <c r="BO31">
        <v>0</v>
      </c>
      <c r="BP31">
        <v>55</v>
      </c>
      <c r="BQ31" t="s">
        <v>504</v>
      </c>
      <c r="BR31" t="s">
        <v>548</v>
      </c>
      <c r="BS31">
        <v>4</v>
      </c>
      <c r="BT31" t="s">
        <v>549</v>
      </c>
      <c r="BU31">
        <v>52.5</v>
      </c>
      <c r="BV31">
        <v>77</v>
      </c>
      <c r="BW31" t="s">
        <v>264</v>
      </c>
      <c r="BX31">
        <v>-9999</v>
      </c>
      <c r="BY31">
        <v>194</v>
      </c>
      <c r="BZ31">
        <v>223</v>
      </c>
      <c r="CA31">
        <v>192</v>
      </c>
      <c r="CB31" t="s">
        <v>270</v>
      </c>
      <c r="CC31">
        <v>0</v>
      </c>
      <c r="CD31">
        <v>55</v>
      </c>
      <c r="CE31" t="s">
        <v>471</v>
      </c>
      <c r="CF31" t="s">
        <v>548</v>
      </c>
      <c r="CG31">
        <v>5</v>
      </c>
      <c r="CH31" t="s">
        <v>549</v>
      </c>
      <c r="CI31">
        <v>51.8</v>
      </c>
      <c r="CJ31">
        <v>171</v>
      </c>
      <c r="CK31" t="s">
        <v>264</v>
      </c>
      <c r="CL31">
        <v>-9999</v>
      </c>
      <c r="CM31">
        <v>453</v>
      </c>
      <c r="CN31">
        <v>527</v>
      </c>
      <c r="CO31">
        <v>452</v>
      </c>
      <c r="CP31" t="s">
        <v>270</v>
      </c>
      <c r="CQ31">
        <v>0</v>
      </c>
      <c r="CR31">
        <v>55</v>
      </c>
      <c r="CS31" t="s">
        <v>472</v>
      </c>
      <c r="CT31" t="s">
        <v>548</v>
      </c>
      <c r="CU31">
        <v>6</v>
      </c>
      <c r="CV31" t="s">
        <v>549</v>
      </c>
      <c r="CW31">
        <v>54</v>
      </c>
      <c r="CX31">
        <v>77</v>
      </c>
      <c r="CY31" t="s">
        <v>264</v>
      </c>
      <c r="CZ31">
        <v>-9999</v>
      </c>
      <c r="DA31">
        <v>631</v>
      </c>
      <c r="DB31">
        <v>716</v>
      </c>
      <c r="DC31">
        <v>621</v>
      </c>
      <c r="DD31" t="s">
        <v>270</v>
      </c>
      <c r="DE31">
        <v>0</v>
      </c>
      <c r="DF31">
        <v>55</v>
      </c>
      <c r="DG31" t="s">
        <v>473</v>
      </c>
      <c r="DH31" t="s">
        <v>548</v>
      </c>
      <c r="DI31">
        <v>7</v>
      </c>
      <c r="DJ31" t="s">
        <v>549</v>
      </c>
      <c r="DK31">
        <v>0</v>
      </c>
      <c r="DL31">
        <v>41</v>
      </c>
      <c r="DM31" t="s">
        <v>264</v>
      </c>
      <c r="DN31">
        <v>-9999</v>
      </c>
      <c r="DO31">
        <v>520</v>
      </c>
      <c r="DP31">
        <v>595</v>
      </c>
      <c r="DQ31">
        <v>517</v>
      </c>
      <c r="DR31" t="s">
        <v>270</v>
      </c>
      <c r="DS31">
        <v>0</v>
      </c>
      <c r="DT31">
        <v>55</v>
      </c>
      <c r="DU31" t="s">
        <v>474</v>
      </c>
      <c r="DV31" t="s">
        <v>548</v>
      </c>
      <c r="DW31">
        <v>8</v>
      </c>
      <c r="DX31" t="s">
        <v>549</v>
      </c>
      <c r="DY31">
        <v>50.2</v>
      </c>
      <c r="DZ31">
        <v>48</v>
      </c>
      <c r="EA31" t="s">
        <v>264</v>
      </c>
      <c r="EB31">
        <v>-9999</v>
      </c>
      <c r="EC31">
        <v>89</v>
      </c>
      <c r="ED31">
        <v>112</v>
      </c>
      <c r="EE31">
        <v>87</v>
      </c>
      <c r="EF31" t="s">
        <v>270</v>
      </c>
      <c r="EG31">
        <v>0</v>
      </c>
      <c r="EH31">
        <v>55</v>
      </c>
      <c r="EI31" t="s">
        <v>475</v>
      </c>
      <c r="EJ31" t="s">
        <v>548</v>
      </c>
      <c r="EK31">
        <v>9</v>
      </c>
      <c r="EL31" t="s">
        <v>549</v>
      </c>
      <c r="EM31">
        <v>52.9</v>
      </c>
      <c r="EN31">
        <v>28</v>
      </c>
      <c r="EO31" t="s">
        <v>264</v>
      </c>
      <c r="EP31">
        <v>-9999</v>
      </c>
      <c r="EQ31">
        <v>302</v>
      </c>
      <c r="ER31">
        <v>278</v>
      </c>
      <c r="ES31">
        <v>257</v>
      </c>
      <c r="ET31" t="s">
        <v>270</v>
      </c>
      <c r="EU31">
        <v>0</v>
      </c>
      <c r="EV31">
        <v>55</v>
      </c>
      <c r="EW31" t="s">
        <v>551</v>
      </c>
      <c r="EX31" t="s">
        <v>552</v>
      </c>
      <c r="EY31">
        <v>116</v>
      </c>
      <c r="EZ31">
        <v>116</v>
      </c>
      <c r="FA31">
        <v>116</v>
      </c>
      <c r="FB31" t="s">
        <v>270</v>
      </c>
      <c r="FC31" t="s">
        <v>553</v>
      </c>
      <c r="FD31" t="s">
        <v>552</v>
      </c>
      <c r="FE31">
        <v>328</v>
      </c>
      <c r="FF31">
        <v>327</v>
      </c>
      <c r="FG31">
        <v>326</v>
      </c>
      <c r="FH31" t="s">
        <v>270</v>
      </c>
      <c r="FI31" t="s">
        <v>554</v>
      </c>
      <c r="FJ31" t="s">
        <v>555</v>
      </c>
      <c r="FK31">
        <v>0</v>
      </c>
      <c r="FL31">
        <v>0</v>
      </c>
      <c r="FM31">
        <v>0</v>
      </c>
      <c r="FN31" t="s">
        <v>264</v>
      </c>
      <c r="FQ31" t="s">
        <v>556</v>
      </c>
      <c r="FR31" t="s">
        <v>555</v>
      </c>
      <c r="FS31">
        <v>0</v>
      </c>
      <c r="FT31">
        <v>0</v>
      </c>
      <c r="FU31">
        <v>0</v>
      </c>
      <c r="FV31" t="s">
        <v>264</v>
      </c>
      <c r="FY31" t="s">
        <v>557</v>
      </c>
      <c r="FZ31" t="s">
        <v>555</v>
      </c>
      <c r="GA31">
        <v>0</v>
      </c>
      <c r="GB31">
        <v>0</v>
      </c>
      <c r="GC31">
        <v>0</v>
      </c>
      <c r="GD31" t="s">
        <v>264</v>
      </c>
      <c r="GG31" t="s">
        <v>558</v>
      </c>
      <c r="GH31" t="s">
        <v>555</v>
      </c>
      <c r="GI31">
        <v>0</v>
      </c>
      <c r="GJ31">
        <v>0</v>
      </c>
      <c r="GK31">
        <v>0</v>
      </c>
      <c r="GL31" t="s">
        <v>264</v>
      </c>
      <c r="GO31" t="s">
        <v>559</v>
      </c>
      <c r="GP31" t="s">
        <v>555</v>
      </c>
      <c r="GQ31">
        <v>0</v>
      </c>
      <c r="GR31">
        <v>0</v>
      </c>
      <c r="GS31">
        <v>0</v>
      </c>
      <c r="GT31" t="s">
        <v>264</v>
      </c>
      <c r="GW31" t="s">
        <v>560</v>
      </c>
      <c r="GX31" t="s">
        <v>555</v>
      </c>
      <c r="GY31">
        <v>0</v>
      </c>
      <c r="GZ31">
        <v>0</v>
      </c>
      <c r="HA31">
        <v>0</v>
      </c>
      <c r="HB31" t="s">
        <v>264</v>
      </c>
      <c r="HE31" t="s">
        <v>561</v>
      </c>
      <c r="HF31" t="s">
        <v>555</v>
      </c>
      <c r="HG31">
        <v>0</v>
      </c>
      <c r="HH31">
        <v>0</v>
      </c>
      <c r="HI31">
        <v>0</v>
      </c>
      <c r="HJ31" t="s">
        <v>264</v>
      </c>
      <c r="HM31" t="s">
        <v>562</v>
      </c>
      <c r="HN31" t="s">
        <v>555</v>
      </c>
      <c r="HO31">
        <v>0</v>
      </c>
      <c r="HP31">
        <v>0</v>
      </c>
      <c r="HQ31">
        <v>0</v>
      </c>
      <c r="HR31" t="s">
        <v>264</v>
      </c>
      <c r="HU31" t="s">
        <v>563</v>
      </c>
      <c r="HV31" t="s">
        <v>555</v>
      </c>
      <c r="HW31">
        <v>0</v>
      </c>
      <c r="HX31">
        <v>0</v>
      </c>
      <c r="HY31">
        <v>0</v>
      </c>
      <c r="HZ31" t="s">
        <v>264</v>
      </c>
      <c r="IC31" t="s">
        <v>564</v>
      </c>
      <c r="ID31" t="s">
        <v>555</v>
      </c>
      <c r="IE31">
        <v>0</v>
      </c>
      <c r="IF31">
        <v>0</v>
      </c>
      <c r="IG31">
        <v>0</v>
      </c>
      <c r="IH31" t="s">
        <v>264</v>
      </c>
      <c r="IK31" t="s">
        <v>565</v>
      </c>
      <c r="IL31" t="s">
        <v>555</v>
      </c>
      <c r="IM31">
        <v>0</v>
      </c>
      <c r="IN31">
        <v>0</v>
      </c>
      <c r="IO31">
        <v>0</v>
      </c>
      <c r="IP31" t="s">
        <v>264</v>
      </c>
      <c r="IS31" t="s">
        <v>566</v>
      </c>
      <c r="IT31" t="s">
        <v>555</v>
      </c>
      <c r="IU31">
        <v>0</v>
      </c>
      <c r="IV31">
        <v>0</v>
      </c>
      <c r="IW31">
        <v>0</v>
      </c>
      <c r="IX31" t="s">
        <v>264</v>
      </c>
      <c r="JA31" t="s">
        <v>567</v>
      </c>
      <c r="JB31" t="s">
        <v>555</v>
      </c>
      <c r="JC31">
        <v>0</v>
      </c>
      <c r="JD31">
        <v>0</v>
      </c>
      <c r="JE31">
        <v>0</v>
      </c>
      <c r="JF31" t="s">
        <v>264</v>
      </c>
      <c r="JI31" t="s">
        <v>568</v>
      </c>
      <c r="JJ31" t="s">
        <v>555</v>
      </c>
      <c r="JK31">
        <v>0</v>
      </c>
      <c r="JL31">
        <v>0</v>
      </c>
      <c r="JM31">
        <v>0</v>
      </c>
      <c r="JN31" t="s">
        <v>264</v>
      </c>
      <c r="JQ31" t="s">
        <v>569</v>
      </c>
      <c r="JR31" t="s">
        <v>555</v>
      </c>
      <c r="JS31">
        <v>0</v>
      </c>
      <c r="JT31">
        <v>0</v>
      </c>
      <c r="JU31">
        <v>0</v>
      </c>
      <c r="JV31" t="s">
        <v>264</v>
      </c>
      <c r="JY31" t="s">
        <v>570</v>
      </c>
      <c r="JZ31" t="s">
        <v>555</v>
      </c>
      <c r="KA31">
        <v>0</v>
      </c>
      <c r="KB31">
        <v>0</v>
      </c>
      <c r="KC31">
        <v>0</v>
      </c>
      <c r="KD31" t="s">
        <v>264</v>
      </c>
      <c r="KG31" t="s">
        <v>571</v>
      </c>
      <c r="KH31" t="s">
        <v>555</v>
      </c>
      <c r="KI31">
        <v>0</v>
      </c>
      <c r="KJ31">
        <v>0</v>
      </c>
      <c r="KK31">
        <v>0</v>
      </c>
      <c r="KL31" t="s">
        <v>264</v>
      </c>
      <c r="KO31" t="s">
        <v>572</v>
      </c>
      <c r="KP31" t="s">
        <v>555</v>
      </c>
      <c r="KQ31">
        <v>0</v>
      </c>
      <c r="KR31">
        <v>0</v>
      </c>
      <c r="KS31">
        <v>0</v>
      </c>
      <c r="KT31" t="s">
        <v>264</v>
      </c>
      <c r="KW31" t="s">
        <v>573</v>
      </c>
      <c r="KX31" t="s">
        <v>555</v>
      </c>
      <c r="KY31">
        <v>0</v>
      </c>
      <c r="KZ31">
        <v>0</v>
      </c>
      <c r="LA31">
        <v>0</v>
      </c>
      <c r="LB31" t="s">
        <v>264</v>
      </c>
      <c r="LE31" t="s">
        <v>574</v>
      </c>
      <c r="LF31" t="s">
        <v>555</v>
      </c>
      <c r="LG31">
        <v>0</v>
      </c>
      <c r="LH31">
        <v>0</v>
      </c>
      <c r="LI31">
        <v>0</v>
      </c>
      <c r="LJ31" t="s">
        <v>264</v>
      </c>
      <c r="LM31" t="s">
        <v>575</v>
      </c>
      <c r="LN31" t="s">
        <v>555</v>
      </c>
      <c r="LO31">
        <v>0</v>
      </c>
      <c r="LP31">
        <v>0</v>
      </c>
      <c r="LQ31">
        <v>0</v>
      </c>
      <c r="LR31" t="s">
        <v>264</v>
      </c>
      <c r="LU31" t="s">
        <v>576</v>
      </c>
      <c r="LV31" t="s">
        <v>555</v>
      </c>
      <c r="LW31">
        <v>0</v>
      </c>
      <c r="LX31">
        <v>0</v>
      </c>
      <c r="LY31">
        <v>0</v>
      </c>
      <c r="LZ31" t="s">
        <v>264</v>
      </c>
      <c r="MC31" t="s">
        <v>577</v>
      </c>
      <c r="MD31" t="s">
        <v>555</v>
      </c>
      <c r="ME31">
        <v>0</v>
      </c>
      <c r="MF31">
        <v>0</v>
      </c>
      <c r="MG31">
        <v>0</v>
      </c>
      <c r="MH31" t="s">
        <v>264</v>
      </c>
      <c r="MK31" t="s">
        <v>578</v>
      </c>
      <c r="ML31" t="s">
        <v>555</v>
      </c>
      <c r="MM31">
        <v>0</v>
      </c>
      <c r="MN31">
        <v>0</v>
      </c>
      <c r="MO31">
        <v>0</v>
      </c>
      <c r="MP31" t="s">
        <v>264</v>
      </c>
      <c r="MS31" t="s">
        <v>579</v>
      </c>
      <c r="MT31" t="s">
        <v>555</v>
      </c>
      <c r="MU31">
        <v>0</v>
      </c>
      <c r="MV31">
        <v>0</v>
      </c>
      <c r="MW31">
        <v>0</v>
      </c>
      <c r="MX31" t="s">
        <v>264</v>
      </c>
      <c r="NA31" t="s">
        <v>580</v>
      </c>
      <c r="NB31" t="s">
        <v>555</v>
      </c>
      <c r="NC31">
        <v>0</v>
      </c>
      <c r="ND31">
        <v>0</v>
      </c>
      <c r="NE31">
        <v>0</v>
      </c>
      <c r="NF31" t="s">
        <v>264</v>
      </c>
      <c r="NI31">
        <v>40.1</v>
      </c>
      <c r="NJ31">
        <v>-7.3</v>
      </c>
      <c r="NP31" t="s">
        <v>624</v>
      </c>
    </row>
    <row r="32" spans="1:380" customFormat="1" x14ac:dyDescent="0.2">
      <c r="A32" t="s">
        <v>517</v>
      </c>
      <c r="B32">
        <v>1</v>
      </c>
      <c r="C32" t="s">
        <v>663</v>
      </c>
      <c r="D32">
        <v>646959370</v>
      </c>
      <c r="E32">
        <v>12602</v>
      </c>
      <c r="F32" t="s">
        <v>542</v>
      </c>
      <c r="G32">
        <v>847922</v>
      </c>
      <c r="H32">
        <v>210021812</v>
      </c>
      <c r="I32" t="s">
        <v>622</v>
      </c>
      <c r="J32" t="s">
        <v>664</v>
      </c>
      <c r="K32" t="s">
        <v>545</v>
      </c>
      <c r="L32" t="s">
        <v>294</v>
      </c>
      <c r="M32" t="s">
        <v>546</v>
      </c>
      <c r="N32" t="s">
        <v>468</v>
      </c>
      <c r="O32" t="s">
        <v>547</v>
      </c>
      <c r="P32" t="s">
        <v>264</v>
      </c>
      <c r="Q32">
        <v>26.6</v>
      </c>
      <c r="R32">
        <v>217</v>
      </c>
      <c r="S32" t="s">
        <v>264</v>
      </c>
      <c r="T32">
        <v>-9999</v>
      </c>
      <c r="U32">
        <v>567</v>
      </c>
      <c r="V32">
        <v>583</v>
      </c>
      <c r="W32">
        <v>557</v>
      </c>
      <c r="X32" t="s">
        <v>270</v>
      </c>
      <c r="Y32">
        <v>0</v>
      </c>
      <c r="Z32">
        <v>55</v>
      </c>
      <c r="AA32" t="s">
        <v>469</v>
      </c>
      <c r="AB32" t="s">
        <v>548</v>
      </c>
      <c r="AC32">
        <v>1</v>
      </c>
      <c r="AD32" t="s">
        <v>549</v>
      </c>
      <c r="AE32">
        <v>0</v>
      </c>
      <c r="AF32">
        <v>31</v>
      </c>
      <c r="AG32" t="s">
        <v>264</v>
      </c>
      <c r="AH32">
        <v>-9999</v>
      </c>
      <c r="AI32">
        <v>386</v>
      </c>
      <c r="AJ32">
        <v>495</v>
      </c>
      <c r="AK32">
        <v>390</v>
      </c>
      <c r="AL32" t="s">
        <v>270</v>
      </c>
      <c r="AM32">
        <v>0</v>
      </c>
      <c r="AN32">
        <v>55</v>
      </c>
      <c r="AO32" t="s">
        <v>470</v>
      </c>
      <c r="AP32" t="s">
        <v>548</v>
      </c>
      <c r="AQ32">
        <v>2</v>
      </c>
      <c r="AR32" t="s">
        <v>549</v>
      </c>
      <c r="AS32">
        <v>0</v>
      </c>
      <c r="AT32">
        <v>38</v>
      </c>
      <c r="AU32" t="s">
        <v>264</v>
      </c>
      <c r="AV32">
        <v>-9999</v>
      </c>
      <c r="AW32">
        <v>366</v>
      </c>
      <c r="AX32">
        <v>381</v>
      </c>
      <c r="AY32">
        <v>363</v>
      </c>
      <c r="AZ32" t="s">
        <v>270</v>
      </c>
      <c r="BA32">
        <v>0</v>
      </c>
      <c r="BB32">
        <v>55</v>
      </c>
      <c r="BC32" t="s">
        <v>550</v>
      </c>
      <c r="BD32" t="s">
        <v>548</v>
      </c>
      <c r="BE32">
        <v>3</v>
      </c>
      <c r="BF32" t="s">
        <v>549</v>
      </c>
      <c r="BG32">
        <v>0</v>
      </c>
      <c r="BH32">
        <v>-24</v>
      </c>
      <c r="BI32" t="s">
        <v>264</v>
      </c>
      <c r="BJ32">
        <v>-9999</v>
      </c>
      <c r="BK32">
        <v>336</v>
      </c>
      <c r="BL32">
        <v>396</v>
      </c>
      <c r="BM32">
        <v>328</v>
      </c>
      <c r="BN32" t="s">
        <v>270</v>
      </c>
      <c r="BO32">
        <v>0</v>
      </c>
      <c r="BP32">
        <v>55</v>
      </c>
      <c r="BQ32" t="s">
        <v>504</v>
      </c>
      <c r="BR32" t="s">
        <v>548</v>
      </c>
      <c r="BS32">
        <v>4</v>
      </c>
      <c r="BT32" t="s">
        <v>549</v>
      </c>
      <c r="BU32">
        <v>52.1</v>
      </c>
      <c r="BV32">
        <v>83</v>
      </c>
      <c r="BW32" t="s">
        <v>264</v>
      </c>
      <c r="BX32">
        <v>-9999</v>
      </c>
      <c r="BY32">
        <v>223</v>
      </c>
      <c r="BZ32">
        <v>257</v>
      </c>
      <c r="CA32">
        <v>221</v>
      </c>
      <c r="CB32" t="s">
        <v>270</v>
      </c>
      <c r="CC32">
        <v>0</v>
      </c>
      <c r="CD32">
        <v>55</v>
      </c>
      <c r="CE32" t="s">
        <v>471</v>
      </c>
      <c r="CF32" t="s">
        <v>548</v>
      </c>
      <c r="CG32">
        <v>5</v>
      </c>
      <c r="CH32" t="s">
        <v>549</v>
      </c>
      <c r="CI32">
        <v>50.6</v>
      </c>
      <c r="CJ32">
        <v>251</v>
      </c>
      <c r="CK32" t="s">
        <v>264</v>
      </c>
      <c r="CL32">
        <v>-9999</v>
      </c>
      <c r="CM32">
        <v>462</v>
      </c>
      <c r="CN32">
        <v>539</v>
      </c>
      <c r="CO32">
        <v>459</v>
      </c>
      <c r="CP32" t="s">
        <v>270</v>
      </c>
      <c r="CQ32">
        <v>0</v>
      </c>
      <c r="CR32">
        <v>55</v>
      </c>
      <c r="CS32" t="s">
        <v>472</v>
      </c>
      <c r="CT32" t="s">
        <v>548</v>
      </c>
      <c r="CU32">
        <v>6</v>
      </c>
      <c r="CV32" t="s">
        <v>549</v>
      </c>
      <c r="CW32">
        <v>52.4</v>
      </c>
      <c r="CX32">
        <v>121</v>
      </c>
      <c r="CY32" t="s">
        <v>264</v>
      </c>
      <c r="CZ32">
        <v>-9999</v>
      </c>
      <c r="DA32">
        <v>591</v>
      </c>
      <c r="DB32">
        <v>670</v>
      </c>
      <c r="DC32">
        <v>580</v>
      </c>
      <c r="DD32" t="s">
        <v>270</v>
      </c>
      <c r="DE32">
        <v>0</v>
      </c>
      <c r="DF32">
        <v>55</v>
      </c>
      <c r="DG32" t="s">
        <v>473</v>
      </c>
      <c r="DH32" t="s">
        <v>548</v>
      </c>
      <c r="DI32">
        <v>7</v>
      </c>
      <c r="DJ32" t="s">
        <v>549</v>
      </c>
      <c r="DK32">
        <v>0</v>
      </c>
      <c r="DL32">
        <v>50</v>
      </c>
      <c r="DM32" t="s">
        <v>264</v>
      </c>
      <c r="DN32">
        <v>-9999</v>
      </c>
      <c r="DO32">
        <v>505</v>
      </c>
      <c r="DP32">
        <v>575</v>
      </c>
      <c r="DQ32">
        <v>503</v>
      </c>
      <c r="DR32" t="s">
        <v>270</v>
      </c>
      <c r="DS32">
        <v>0</v>
      </c>
      <c r="DT32">
        <v>55</v>
      </c>
      <c r="DU32" t="s">
        <v>474</v>
      </c>
      <c r="DV32" t="s">
        <v>548</v>
      </c>
      <c r="DW32">
        <v>8</v>
      </c>
      <c r="DX32" t="s">
        <v>549</v>
      </c>
      <c r="DY32">
        <v>49</v>
      </c>
      <c r="DZ32">
        <v>46</v>
      </c>
      <c r="EA32" t="s">
        <v>264</v>
      </c>
      <c r="EB32">
        <v>-9999</v>
      </c>
      <c r="EC32">
        <v>93</v>
      </c>
      <c r="ED32">
        <v>115</v>
      </c>
      <c r="EE32">
        <v>91</v>
      </c>
      <c r="EF32" t="s">
        <v>270</v>
      </c>
      <c r="EG32">
        <v>0</v>
      </c>
      <c r="EH32">
        <v>55</v>
      </c>
      <c r="EI32" t="s">
        <v>475</v>
      </c>
      <c r="EJ32" t="s">
        <v>548</v>
      </c>
      <c r="EK32">
        <v>9</v>
      </c>
      <c r="EL32" t="s">
        <v>584</v>
      </c>
      <c r="EM32">
        <v>35.700000000000003</v>
      </c>
      <c r="EN32">
        <v>57</v>
      </c>
      <c r="EO32" t="s">
        <v>264</v>
      </c>
      <c r="EP32">
        <v>-9999</v>
      </c>
      <c r="EQ32">
        <v>226</v>
      </c>
      <c r="ER32">
        <v>199</v>
      </c>
      <c r="ES32">
        <v>188</v>
      </c>
      <c r="ET32" t="s">
        <v>270</v>
      </c>
      <c r="EU32">
        <v>0</v>
      </c>
      <c r="EV32">
        <v>55</v>
      </c>
      <c r="EW32" t="s">
        <v>551</v>
      </c>
      <c r="EX32" t="s">
        <v>552</v>
      </c>
      <c r="EY32">
        <v>137</v>
      </c>
      <c r="EZ32">
        <v>138</v>
      </c>
      <c r="FA32">
        <v>138</v>
      </c>
      <c r="FB32" t="s">
        <v>270</v>
      </c>
      <c r="FC32" t="s">
        <v>553</v>
      </c>
      <c r="FD32" t="s">
        <v>552</v>
      </c>
      <c r="FE32">
        <v>297</v>
      </c>
      <c r="FF32">
        <v>295</v>
      </c>
      <c r="FG32">
        <v>294</v>
      </c>
      <c r="FH32" t="s">
        <v>270</v>
      </c>
      <c r="FI32" t="s">
        <v>554</v>
      </c>
      <c r="FJ32" t="s">
        <v>555</v>
      </c>
      <c r="FK32">
        <v>0</v>
      </c>
      <c r="FL32">
        <v>0</v>
      </c>
      <c r="FM32">
        <v>0</v>
      </c>
      <c r="FN32" t="s">
        <v>264</v>
      </c>
      <c r="FQ32" t="s">
        <v>556</v>
      </c>
      <c r="FR32" t="s">
        <v>555</v>
      </c>
      <c r="FS32">
        <v>0</v>
      </c>
      <c r="FT32">
        <v>0</v>
      </c>
      <c r="FU32">
        <v>0</v>
      </c>
      <c r="FV32" t="s">
        <v>264</v>
      </c>
      <c r="FY32" t="s">
        <v>557</v>
      </c>
      <c r="FZ32" t="s">
        <v>555</v>
      </c>
      <c r="GA32">
        <v>0</v>
      </c>
      <c r="GB32">
        <v>0</v>
      </c>
      <c r="GC32">
        <v>0</v>
      </c>
      <c r="GD32" t="s">
        <v>264</v>
      </c>
      <c r="GG32" t="s">
        <v>558</v>
      </c>
      <c r="GH32" t="s">
        <v>555</v>
      </c>
      <c r="GI32">
        <v>0</v>
      </c>
      <c r="GJ32">
        <v>0</v>
      </c>
      <c r="GK32">
        <v>0</v>
      </c>
      <c r="GL32" t="s">
        <v>264</v>
      </c>
      <c r="GO32" t="s">
        <v>559</v>
      </c>
      <c r="GP32" t="s">
        <v>555</v>
      </c>
      <c r="GQ32">
        <v>0</v>
      </c>
      <c r="GR32">
        <v>0</v>
      </c>
      <c r="GS32">
        <v>0</v>
      </c>
      <c r="GT32" t="s">
        <v>264</v>
      </c>
      <c r="GW32" t="s">
        <v>560</v>
      </c>
      <c r="GX32" t="s">
        <v>555</v>
      </c>
      <c r="GY32">
        <v>0</v>
      </c>
      <c r="GZ32">
        <v>0</v>
      </c>
      <c r="HA32">
        <v>0</v>
      </c>
      <c r="HB32" t="s">
        <v>264</v>
      </c>
      <c r="HE32" t="s">
        <v>561</v>
      </c>
      <c r="HF32" t="s">
        <v>555</v>
      </c>
      <c r="HG32">
        <v>0</v>
      </c>
      <c r="HH32">
        <v>0</v>
      </c>
      <c r="HI32">
        <v>0</v>
      </c>
      <c r="HJ32" t="s">
        <v>264</v>
      </c>
      <c r="HM32" t="s">
        <v>562</v>
      </c>
      <c r="HN32" t="s">
        <v>555</v>
      </c>
      <c r="HO32">
        <v>0</v>
      </c>
      <c r="HP32">
        <v>0</v>
      </c>
      <c r="HQ32">
        <v>0</v>
      </c>
      <c r="HR32" t="s">
        <v>264</v>
      </c>
      <c r="HU32" t="s">
        <v>563</v>
      </c>
      <c r="HV32" t="s">
        <v>555</v>
      </c>
      <c r="HW32">
        <v>0</v>
      </c>
      <c r="HX32">
        <v>0</v>
      </c>
      <c r="HY32">
        <v>0</v>
      </c>
      <c r="HZ32" t="s">
        <v>264</v>
      </c>
      <c r="IC32" t="s">
        <v>564</v>
      </c>
      <c r="ID32" t="s">
        <v>555</v>
      </c>
      <c r="IE32">
        <v>0</v>
      </c>
      <c r="IF32">
        <v>0</v>
      </c>
      <c r="IG32">
        <v>0</v>
      </c>
      <c r="IH32" t="s">
        <v>264</v>
      </c>
      <c r="IK32" t="s">
        <v>565</v>
      </c>
      <c r="IL32" t="s">
        <v>555</v>
      </c>
      <c r="IM32">
        <v>0</v>
      </c>
      <c r="IN32">
        <v>0</v>
      </c>
      <c r="IO32">
        <v>0</v>
      </c>
      <c r="IP32" t="s">
        <v>264</v>
      </c>
      <c r="IS32" t="s">
        <v>566</v>
      </c>
      <c r="IT32" t="s">
        <v>555</v>
      </c>
      <c r="IU32">
        <v>0</v>
      </c>
      <c r="IV32">
        <v>0</v>
      </c>
      <c r="IW32">
        <v>0</v>
      </c>
      <c r="IX32" t="s">
        <v>264</v>
      </c>
      <c r="JA32" t="s">
        <v>567</v>
      </c>
      <c r="JB32" t="s">
        <v>555</v>
      </c>
      <c r="JC32">
        <v>0</v>
      </c>
      <c r="JD32">
        <v>0</v>
      </c>
      <c r="JE32">
        <v>0</v>
      </c>
      <c r="JF32" t="s">
        <v>264</v>
      </c>
      <c r="JI32" t="s">
        <v>568</v>
      </c>
      <c r="JJ32" t="s">
        <v>555</v>
      </c>
      <c r="JK32">
        <v>0</v>
      </c>
      <c r="JL32">
        <v>0</v>
      </c>
      <c r="JM32">
        <v>0</v>
      </c>
      <c r="JN32" t="s">
        <v>264</v>
      </c>
      <c r="JQ32" t="s">
        <v>569</v>
      </c>
      <c r="JR32" t="s">
        <v>555</v>
      </c>
      <c r="JS32">
        <v>0</v>
      </c>
      <c r="JT32">
        <v>0</v>
      </c>
      <c r="JU32">
        <v>0</v>
      </c>
      <c r="JV32" t="s">
        <v>264</v>
      </c>
      <c r="JY32" t="s">
        <v>570</v>
      </c>
      <c r="JZ32" t="s">
        <v>555</v>
      </c>
      <c r="KA32">
        <v>0</v>
      </c>
      <c r="KB32">
        <v>0</v>
      </c>
      <c r="KC32">
        <v>0</v>
      </c>
      <c r="KD32" t="s">
        <v>264</v>
      </c>
      <c r="KG32" t="s">
        <v>571</v>
      </c>
      <c r="KH32" t="s">
        <v>555</v>
      </c>
      <c r="KI32">
        <v>0</v>
      </c>
      <c r="KJ32">
        <v>0</v>
      </c>
      <c r="KK32">
        <v>0</v>
      </c>
      <c r="KL32" t="s">
        <v>264</v>
      </c>
      <c r="KO32" t="s">
        <v>572</v>
      </c>
      <c r="KP32" t="s">
        <v>555</v>
      </c>
      <c r="KQ32">
        <v>0</v>
      </c>
      <c r="KR32">
        <v>0</v>
      </c>
      <c r="KS32">
        <v>0</v>
      </c>
      <c r="KT32" t="s">
        <v>264</v>
      </c>
      <c r="KW32" t="s">
        <v>573</v>
      </c>
      <c r="KX32" t="s">
        <v>555</v>
      </c>
      <c r="KY32">
        <v>0</v>
      </c>
      <c r="KZ32">
        <v>0</v>
      </c>
      <c r="LA32">
        <v>0</v>
      </c>
      <c r="LB32" t="s">
        <v>264</v>
      </c>
      <c r="LE32" t="s">
        <v>574</v>
      </c>
      <c r="LF32" t="s">
        <v>555</v>
      </c>
      <c r="LG32">
        <v>0</v>
      </c>
      <c r="LH32">
        <v>0</v>
      </c>
      <c r="LI32">
        <v>0</v>
      </c>
      <c r="LJ32" t="s">
        <v>264</v>
      </c>
      <c r="LM32" t="s">
        <v>575</v>
      </c>
      <c r="LN32" t="s">
        <v>555</v>
      </c>
      <c r="LO32">
        <v>0</v>
      </c>
      <c r="LP32">
        <v>0</v>
      </c>
      <c r="LQ32">
        <v>0</v>
      </c>
      <c r="LR32" t="s">
        <v>264</v>
      </c>
      <c r="LU32" t="s">
        <v>576</v>
      </c>
      <c r="LV32" t="s">
        <v>555</v>
      </c>
      <c r="LW32">
        <v>0</v>
      </c>
      <c r="LX32">
        <v>0</v>
      </c>
      <c r="LY32">
        <v>0</v>
      </c>
      <c r="LZ32" t="s">
        <v>264</v>
      </c>
      <c r="MC32" t="s">
        <v>577</v>
      </c>
      <c r="MD32" t="s">
        <v>555</v>
      </c>
      <c r="ME32">
        <v>0</v>
      </c>
      <c r="MF32">
        <v>0</v>
      </c>
      <c r="MG32">
        <v>0</v>
      </c>
      <c r="MH32" t="s">
        <v>264</v>
      </c>
      <c r="MK32" t="s">
        <v>578</v>
      </c>
      <c r="ML32" t="s">
        <v>555</v>
      </c>
      <c r="MM32">
        <v>0</v>
      </c>
      <c r="MN32">
        <v>0</v>
      </c>
      <c r="MO32">
        <v>0</v>
      </c>
      <c r="MP32" t="s">
        <v>264</v>
      </c>
      <c r="MS32" t="s">
        <v>579</v>
      </c>
      <c r="MT32" t="s">
        <v>555</v>
      </c>
      <c r="MU32">
        <v>0</v>
      </c>
      <c r="MV32">
        <v>0</v>
      </c>
      <c r="MW32">
        <v>0</v>
      </c>
      <c r="MX32" t="s">
        <v>264</v>
      </c>
      <c r="NA32" t="s">
        <v>580</v>
      </c>
      <c r="NB32" t="s">
        <v>555</v>
      </c>
      <c r="NC32">
        <v>0</v>
      </c>
      <c r="ND32">
        <v>0</v>
      </c>
      <c r="NE32">
        <v>0</v>
      </c>
      <c r="NF32" t="s">
        <v>264</v>
      </c>
      <c r="NI32">
        <v>40</v>
      </c>
      <c r="NJ32">
        <v>-9</v>
      </c>
      <c r="NP32" t="s">
        <v>624</v>
      </c>
    </row>
    <row r="33" spans="1:380" customFormat="1" x14ac:dyDescent="0.2">
      <c r="A33" t="s">
        <v>517</v>
      </c>
      <c r="B33">
        <v>1</v>
      </c>
      <c r="C33" t="s">
        <v>665</v>
      </c>
      <c r="D33">
        <v>646958974</v>
      </c>
      <c r="E33">
        <v>12602</v>
      </c>
      <c r="F33" t="s">
        <v>542</v>
      </c>
      <c r="G33">
        <v>847922</v>
      </c>
      <c r="H33">
        <v>210017455</v>
      </c>
      <c r="I33" t="s">
        <v>622</v>
      </c>
      <c r="J33" t="s">
        <v>666</v>
      </c>
      <c r="K33" t="s">
        <v>545</v>
      </c>
      <c r="L33" t="s">
        <v>294</v>
      </c>
      <c r="M33" t="s">
        <v>546</v>
      </c>
      <c r="N33" t="s">
        <v>468</v>
      </c>
      <c r="O33" t="s">
        <v>547</v>
      </c>
      <c r="P33" t="s">
        <v>270</v>
      </c>
      <c r="Q33">
        <v>29.7</v>
      </c>
      <c r="R33">
        <v>195</v>
      </c>
      <c r="S33" t="s">
        <v>270</v>
      </c>
      <c r="T33">
        <v>-9999</v>
      </c>
      <c r="U33">
        <v>688</v>
      </c>
      <c r="V33">
        <v>712</v>
      </c>
      <c r="W33">
        <v>678</v>
      </c>
      <c r="X33" t="s">
        <v>270</v>
      </c>
      <c r="Y33">
        <v>0</v>
      </c>
      <c r="Z33">
        <v>55</v>
      </c>
      <c r="AA33" t="s">
        <v>469</v>
      </c>
      <c r="AB33" t="s">
        <v>548</v>
      </c>
      <c r="AC33">
        <v>1</v>
      </c>
      <c r="AD33" t="s">
        <v>549</v>
      </c>
      <c r="AE33">
        <v>0</v>
      </c>
      <c r="AF33">
        <v>29</v>
      </c>
      <c r="AG33" t="s">
        <v>264</v>
      </c>
      <c r="AH33">
        <v>-9999</v>
      </c>
      <c r="AI33">
        <v>435</v>
      </c>
      <c r="AJ33">
        <v>552</v>
      </c>
      <c r="AK33">
        <v>437</v>
      </c>
      <c r="AL33" t="s">
        <v>270</v>
      </c>
      <c r="AM33">
        <v>0</v>
      </c>
      <c r="AN33">
        <v>55</v>
      </c>
      <c r="AO33" t="s">
        <v>470</v>
      </c>
      <c r="AP33" t="s">
        <v>548</v>
      </c>
      <c r="AQ33">
        <v>2</v>
      </c>
      <c r="AR33" t="s">
        <v>549</v>
      </c>
      <c r="AS33">
        <v>0</v>
      </c>
      <c r="AT33">
        <v>29</v>
      </c>
      <c r="AU33" t="s">
        <v>264</v>
      </c>
      <c r="AV33">
        <v>-9999</v>
      </c>
      <c r="AW33">
        <v>409</v>
      </c>
      <c r="AX33">
        <v>433</v>
      </c>
      <c r="AY33">
        <v>407</v>
      </c>
      <c r="AZ33" t="s">
        <v>270</v>
      </c>
      <c r="BA33">
        <v>0</v>
      </c>
      <c r="BB33">
        <v>55</v>
      </c>
      <c r="BC33" t="s">
        <v>550</v>
      </c>
      <c r="BD33" t="s">
        <v>548</v>
      </c>
      <c r="BE33">
        <v>3</v>
      </c>
      <c r="BF33" t="s">
        <v>549</v>
      </c>
      <c r="BG33">
        <v>0</v>
      </c>
      <c r="BH33">
        <v>10</v>
      </c>
      <c r="BI33" t="s">
        <v>264</v>
      </c>
      <c r="BJ33">
        <v>-9999</v>
      </c>
      <c r="BK33">
        <v>225</v>
      </c>
      <c r="BL33">
        <v>269</v>
      </c>
      <c r="BM33">
        <v>220</v>
      </c>
      <c r="BN33" t="s">
        <v>270</v>
      </c>
      <c r="BO33">
        <v>0</v>
      </c>
      <c r="BP33">
        <v>55</v>
      </c>
      <c r="BQ33" t="s">
        <v>504</v>
      </c>
      <c r="BR33" t="s">
        <v>548</v>
      </c>
      <c r="BS33">
        <v>4</v>
      </c>
      <c r="BT33" t="s">
        <v>549</v>
      </c>
      <c r="BU33">
        <v>54</v>
      </c>
      <c r="BV33">
        <v>46</v>
      </c>
      <c r="BW33" t="s">
        <v>264</v>
      </c>
      <c r="BX33">
        <v>-9999</v>
      </c>
      <c r="BY33">
        <v>227</v>
      </c>
      <c r="BZ33">
        <v>263</v>
      </c>
      <c r="CA33">
        <v>226</v>
      </c>
      <c r="CB33" t="s">
        <v>270</v>
      </c>
      <c r="CC33">
        <v>0</v>
      </c>
      <c r="CD33">
        <v>55</v>
      </c>
      <c r="CE33" t="s">
        <v>471</v>
      </c>
      <c r="CF33" t="s">
        <v>548</v>
      </c>
      <c r="CG33">
        <v>5</v>
      </c>
      <c r="CH33" t="s">
        <v>549</v>
      </c>
      <c r="CI33">
        <v>51.7</v>
      </c>
      <c r="CJ33">
        <v>169</v>
      </c>
      <c r="CK33" t="s">
        <v>264</v>
      </c>
      <c r="CL33">
        <v>-9999</v>
      </c>
      <c r="CM33">
        <v>400</v>
      </c>
      <c r="CN33">
        <v>468</v>
      </c>
      <c r="CO33">
        <v>400</v>
      </c>
      <c r="CP33" t="s">
        <v>270</v>
      </c>
      <c r="CQ33">
        <v>0</v>
      </c>
      <c r="CR33">
        <v>55</v>
      </c>
      <c r="CS33" t="s">
        <v>472</v>
      </c>
      <c r="CT33" t="s">
        <v>548</v>
      </c>
      <c r="CU33">
        <v>6</v>
      </c>
      <c r="CV33" t="s">
        <v>549</v>
      </c>
      <c r="CW33">
        <v>54.8</v>
      </c>
      <c r="CX33">
        <v>55</v>
      </c>
      <c r="CY33" t="s">
        <v>264</v>
      </c>
      <c r="CZ33">
        <v>-9999</v>
      </c>
      <c r="DA33">
        <v>709</v>
      </c>
      <c r="DB33">
        <v>807</v>
      </c>
      <c r="DC33">
        <v>699</v>
      </c>
      <c r="DD33" t="s">
        <v>270</v>
      </c>
      <c r="DE33">
        <v>0</v>
      </c>
      <c r="DF33">
        <v>55</v>
      </c>
      <c r="DG33" t="s">
        <v>473</v>
      </c>
      <c r="DH33" t="s">
        <v>548</v>
      </c>
      <c r="DI33">
        <v>7</v>
      </c>
      <c r="DJ33" t="s">
        <v>549</v>
      </c>
      <c r="DK33">
        <v>0</v>
      </c>
      <c r="DL33">
        <v>25</v>
      </c>
      <c r="DM33" t="s">
        <v>264</v>
      </c>
      <c r="DN33">
        <v>-9999</v>
      </c>
      <c r="DO33">
        <v>530</v>
      </c>
      <c r="DP33">
        <v>605</v>
      </c>
      <c r="DQ33">
        <v>527</v>
      </c>
      <c r="DR33" t="s">
        <v>270</v>
      </c>
      <c r="DS33">
        <v>0</v>
      </c>
      <c r="DT33">
        <v>55</v>
      </c>
      <c r="DU33" t="s">
        <v>474</v>
      </c>
      <c r="DV33" t="s">
        <v>548</v>
      </c>
      <c r="DW33">
        <v>8</v>
      </c>
      <c r="DX33" t="s">
        <v>549</v>
      </c>
      <c r="DY33">
        <v>46.9</v>
      </c>
      <c r="DZ33">
        <v>37</v>
      </c>
      <c r="EA33" t="s">
        <v>264</v>
      </c>
      <c r="EB33">
        <v>-9999</v>
      </c>
      <c r="EC33">
        <v>108</v>
      </c>
      <c r="ED33">
        <v>131</v>
      </c>
      <c r="EE33">
        <v>106</v>
      </c>
      <c r="EF33" t="s">
        <v>270</v>
      </c>
      <c r="EG33">
        <v>0</v>
      </c>
      <c r="EH33">
        <v>55</v>
      </c>
      <c r="EI33" t="s">
        <v>475</v>
      </c>
      <c r="EJ33" t="s">
        <v>548</v>
      </c>
      <c r="EK33">
        <v>9</v>
      </c>
      <c r="EL33" t="s">
        <v>549</v>
      </c>
      <c r="EM33">
        <v>0</v>
      </c>
      <c r="EN33">
        <v>-19</v>
      </c>
      <c r="EO33" t="s">
        <v>264</v>
      </c>
      <c r="EP33">
        <v>-9999</v>
      </c>
      <c r="EQ33">
        <v>244</v>
      </c>
      <c r="ER33">
        <v>218</v>
      </c>
      <c r="ES33">
        <v>206</v>
      </c>
      <c r="ET33" t="s">
        <v>270</v>
      </c>
      <c r="EU33">
        <v>0</v>
      </c>
      <c r="EV33">
        <v>55</v>
      </c>
      <c r="EW33" t="s">
        <v>551</v>
      </c>
      <c r="EX33" t="s">
        <v>552</v>
      </c>
      <c r="EY33">
        <v>142</v>
      </c>
      <c r="EZ33">
        <v>143</v>
      </c>
      <c r="FA33">
        <v>143</v>
      </c>
      <c r="FB33" t="s">
        <v>270</v>
      </c>
      <c r="FC33" t="s">
        <v>553</v>
      </c>
      <c r="FD33" t="s">
        <v>552</v>
      </c>
      <c r="FE33">
        <v>274</v>
      </c>
      <c r="FF33">
        <v>274</v>
      </c>
      <c r="FG33">
        <v>273</v>
      </c>
      <c r="FH33" t="s">
        <v>270</v>
      </c>
      <c r="FI33" t="s">
        <v>554</v>
      </c>
      <c r="FJ33" t="s">
        <v>555</v>
      </c>
      <c r="FK33">
        <v>0</v>
      </c>
      <c r="FL33">
        <v>0</v>
      </c>
      <c r="FM33">
        <v>0</v>
      </c>
      <c r="FN33" t="s">
        <v>264</v>
      </c>
      <c r="FQ33" t="s">
        <v>556</v>
      </c>
      <c r="FR33" t="s">
        <v>555</v>
      </c>
      <c r="FS33">
        <v>0</v>
      </c>
      <c r="FT33">
        <v>0</v>
      </c>
      <c r="FU33">
        <v>0</v>
      </c>
      <c r="FV33" t="s">
        <v>264</v>
      </c>
      <c r="FY33" t="s">
        <v>557</v>
      </c>
      <c r="FZ33" t="s">
        <v>555</v>
      </c>
      <c r="GA33">
        <v>0</v>
      </c>
      <c r="GB33">
        <v>0</v>
      </c>
      <c r="GC33">
        <v>0</v>
      </c>
      <c r="GD33" t="s">
        <v>264</v>
      </c>
      <c r="GG33" t="s">
        <v>558</v>
      </c>
      <c r="GH33" t="s">
        <v>555</v>
      </c>
      <c r="GI33">
        <v>0</v>
      </c>
      <c r="GJ33">
        <v>0</v>
      </c>
      <c r="GK33">
        <v>0</v>
      </c>
      <c r="GL33" t="s">
        <v>264</v>
      </c>
      <c r="GO33" t="s">
        <v>559</v>
      </c>
      <c r="GP33" t="s">
        <v>555</v>
      </c>
      <c r="GQ33">
        <v>0</v>
      </c>
      <c r="GR33">
        <v>0</v>
      </c>
      <c r="GS33">
        <v>0</v>
      </c>
      <c r="GT33" t="s">
        <v>264</v>
      </c>
      <c r="GW33" t="s">
        <v>560</v>
      </c>
      <c r="GX33" t="s">
        <v>555</v>
      </c>
      <c r="GY33">
        <v>0</v>
      </c>
      <c r="GZ33">
        <v>0</v>
      </c>
      <c r="HA33">
        <v>0</v>
      </c>
      <c r="HB33" t="s">
        <v>264</v>
      </c>
      <c r="HE33" t="s">
        <v>561</v>
      </c>
      <c r="HF33" t="s">
        <v>555</v>
      </c>
      <c r="HG33">
        <v>0</v>
      </c>
      <c r="HH33">
        <v>0</v>
      </c>
      <c r="HI33">
        <v>0</v>
      </c>
      <c r="HJ33" t="s">
        <v>264</v>
      </c>
      <c r="HM33" t="s">
        <v>562</v>
      </c>
      <c r="HN33" t="s">
        <v>555</v>
      </c>
      <c r="HO33">
        <v>0</v>
      </c>
      <c r="HP33">
        <v>0</v>
      </c>
      <c r="HQ33">
        <v>0</v>
      </c>
      <c r="HR33" t="s">
        <v>264</v>
      </c>
      <c r="HU33" t="s">
        <v>563</v>
      </c>
      <c r="HV33" t="s">
        <v>555</v>
      </c>
      <c r="HW33">
        <v>0</v>
      </c>
      <c r="HX33">
        <v>0</v>
      </c>
      <c r="HY33">
        <v>0</v>
      </c>
      <c r="HZ33" t="s">
        <v>264</v>
      </c>
      <c r="IC33" t="s">
        <v>564</v>
      </c>
      <c r="ID33" t="s">
        <v>555</v>
      </c>
      <c r="IE33">
        <v>0</v>
      </c>
      <c r="IF33">
        <v>0</v>
      </c>
      <c r="IG33">
        <v>0</v>
      </c>
      <c r="IH33" t="s">
        <v>264</v>
      </c>
      <c r="IK33" t="s">
        <v>565</v>
      </c>
      <c r="IL33" t="s">
        <v>555</v>
      </c>
      <c r="IM33">
        <v>0</v>
      </c>
      <c r="IN33">
        <v>0</v>
      </c>
      <c r="IO33">
        <v>0</v>
      </c>
      <c r="IP33" t="s">
        <v>264</v>
      </c>
      <c r="IS33" t="s">
        <v>566</v>
      </c>
      <c r="IT33" t="s">
        <v>555</v>
      </c>
      <c r="IU33">
        <v>0</v>
      </c>
      <c r="IV33">
        <v>0</v>
      </c>
      <c r="IW33">
        <v>0</v>
      </c>
      <c r="IX33" t="s">
        <v>264</v>
      </c>
      <c r="JA33" t="s">
        <v>567</v>
      </c>
      <c r="JB33" t="s">
        <v>555</v>
      </c>
      <c r="JC33">
        <v>0</v>
      </c>
      <c r="JD33">
        <v>0</v>
      </c>
      <c r="JE33">
        <v>0</v>
      </c>
      <c r="JF33" t="s">
        <v>264</v>
      </c>
      <c r="JI33" t="s">
        <v>568</v>
      </c>
      <c r="JJ33" t="s">
        <v>555</v>
      </c>
      <c r="JK33">
        <v>0</v>
      </c>
      <c r="JL33">
        <v>0</v>
      </c>
      <c r="JM33">
        <v>0</v>
      </c>
      <c r="JN33" t="s">
        <v>264</v>
      </c>
      <c r="JQ33" t="s">
        <v>569</v>
      </c>
      <c r="JR33" t="s">
        <v>555</v>
      </c>
      <c r="JS33">
        <v>0</v>
      </c>
      <c r="JT33">
        <v>0</v>
      </c>
      <c r="JU33">
        <v>0</v>
      </c>
      <c r="JV33" t="s">
        <v>264</v>
      </c>
      <c r="JY33" t="s">
        <v>570</v>
      </c>
      <c r="JZ33" t="s">
        <v>555</v>
      </c>
      <c r="KA33">
        <v>0</v>
      </c>
      <c r="KB33">
        <v>0</v>
      </c>
      <c r="KC33">
        <v>0</v>
      </c>
      <c r="KD33" t="s">
        <v>264</v>
      </c>
      <c r="KG33" t="s">
        <v>571</v>
      </c>
      <c r="KH33" t="s">
        <v>555</v>
      </c>
      <c r="KI33">
        <v>0</v>
      </c>
      <c r="KJ33">
        <v>0</v>
      </c>
      <c r="KK33">
        <v>0</v>
      </c>
      <c r="KL33" t="s">
        <v>264</v>
      </c>
      <c r="KO33" t="s">
        <v>572</v>
      </c>
      <c r="KP33" t="s">
        <v>555</v>
      </c>
      <c r="KQ33">
        <v>0</v>
      </c>
      <c r="KR33">
        <v>0</v>
      </c>
      <c r="KS33">
        <v>0</v>
      </c>
      <c r="KT33" t="s">
        <v>264</v>
      </c>
      <c r="KW33" t="s">
        <v>573</v>
      </c>
      <c r="KX33" t="s">
        <v>555</v>
      </c>
      <c r="KY33">
        <v>0</v>
      </c>
      <c r="KZ33">
        <v>0</v>
      </c>
      <c r="LA33">
        <v>0</v>
      </c>
      <c r="LB33" t="s">
        <v>264</v>
      </c>
      <c r="LE33" t="s">
        <v>574</v>
      </c>
      <c r="LF33" t="s">
        <v>555</v>
      </c>
      <c r="LG33">
        <v>0</v>
      </c>
      <c r="LH33">
        <v>0</v>
      </c>
      <c r="LI33">
        <v>0</v>
      </c>
      <c r="LJ33" t="s">
        <v>264</v>
      </c>
      <c r="LM33" t="s">
        <v>575</v>
      </c>
      <c r="LN33" t="s">
        <v>555</v>
      </c>
      <c r="LO33">
        <v>0</v>
      </c>
      <c r="LP33">
        <v>0</v>
      </c>
      <c r="LQ33">
        <v>0</v>
      </c>
      <c r="LR33" t="s">
        <v>264</v>
      </c>
      <c r="LU33" t="s">
        <v>576</v>
      </c>
      <c r="LV33" t="s">
        <v>555</v>
      </c>
      <c r="LW33">
        <v>0</v>
      </c>
      <c r="LX33">
        <v>0</v>
      </c>
      <c r="LY33">
        <v>0</v>
      </c>
      <c r="LZ33" t="s">
        <v>264</v>
      </c>
      <c r="MC33" t="s">
        <v>577</v>
      </c>
      <c r="MD33" t="s">
        <v>555</v>
      </c>
      <c r="ME33">
        <v>0</v>
      </c>
      <c r="MF33">
        <v>0</v>
      </c>
      <c r="MG33">
        <v>0</v>
      </c>
      <c r="MH33" t="s">
        <v>264</v>
      </c>
      <c r="MK33" t="s">
        <v>578</v>
      </c>
      <c r="ML33" t="s">
        <v>555</v>
      </c>
      <c r="MM33">
        <v>0</v>
      </c>
      <c r="MN33">
        <v>0</v>
      </c>
      <c r="MO33">
        <v>0</v>
      </c>
      <c r="MP33" t="s">
        <v>264</v>
      </c>
      <c r="MS33" t="s">
        <v>579</v>
      </c>
      <c r="MT33" t="s">
        <v>555</v>
      </c>
      <c r="MU33">
        <v>0</v>
      </c>
      <c r="MV33">
        <v>0</v>
      </c>
      <c r="MW33">
        <v>0</v>
      </c>
      <c r="MX33" t="s">
        <v>264</v>
      </c>
      <c r="NA33" t="s">
        <v>580</v>
      </c>
      <c r="NB33" t="s">
        <v>555</v>
      </c>
      <c r="NC33">
        <v>0</v>
      </c>
      <c r="ND33">
        <v>0</v>
      </c>
      <c r="NE33">
        <v>0</v>
      </c>
      <c r="NF33" t="s">
        <v>264</v>
      </c>
      <c r="NI33">
        <v>40.1</v>
      </c>
      <c r="NJ33">
        <v>-9.1</v>
      </c>
      <c r="NP33" t="s">
        <v>624</v>
      </c>
    </row>
    <row r="34" spans="1:380" customFormat="1" x14ac:dyDescent="0.2">
      <c r="A34" t="s">
        <v>517</v>
      </c>
      <c r="B34">
        <v>1</v>
      </c>
      <c r="C34" t="s">
        <v>667</v>
      </c>
      <c r="D34">
        <v>646959138</v>
      </c>
      <c r="E34">
        <v>12602</v>
      </c>
      <c r="F34" t="s">
        <v>542</v>
      </c>
      <c r="G34">
        <v>847922</v>
      </c>
      <c r="H34">
        <v>210032479</v>
      </c>
      <c r="I34" t="s">
        <v>622</v>
      </c>
      <c r="J34" t="s">
        <v>668</v>
      </c>
      <c r="K34" t="s">
        <v>545</v>
      </c>
      <c r="L34" t="s">
        <v>294</v>
      </c>
      <c r="M34" t="s">
        <v>546</v>
      </c>
      <c r="N34" t="s">
        <v>468</v>
      </c>
      <c r="O34" t="s">
        <v>547</v>
      </c>
      <c r="P34" t="s">
        <v>264</v>
      </c>
      <c r="Q34">
        <v>27.5</v>
      </c>
      <c r="R34">
        <v>239</v>
      </c>
      <c r="S34" t="s">
        <v>264</v>
      </c>
      <c r="T34">
        <v>-9999</v>
      </c>
      <c r="U34">
        <v>606</v>
      </c>
      <c r="V34">
        <v>625</v>
      </c>
      <c r="W34">
        <v>593</v>
      </c>
      <c r="X34" t="s">
        <v>270</v>
      </c>
      <c r="Y34">
        <v>0</v>
      </c>
      <c r="Z34">
        <v>55</v>
      </c>
      <c r="AA34" t="s">
        <v>469</v>
      </c>
      <c r="AB34" t="s">
        <v>548</v>
      </c>
      <c r="AC34">
        <v>1</v>
      </c>
      <c r="AD34" t="s">
        <v>549</v>
      </c>
      <c r="AE34">
        <v>0</v>
      </c>
      <c r="AF34">
        <v>10</v>
      </c>
      <c r="AG34" t="s">
        <v>264</v>
      </c>
      <c r="AH34">
        <v>-9999</v>
      </c>
      <c r="AI34">
        <v>592</v>
      </c>
      <c r="AJ34">
        <v>722</v>
      </c>
      <c r="AK34">
        <v>584</v>
      </c>
      <c r="AL34" t="s">
        <v>270</v>
      </c>
      <c r="AM34">
        <v>0</v>
      </c>
      <c r="AN34">
        <v>55</v>
      </c>
      <c r="AO34" t="s">
        <v>470</v>
      </c>
      <c r="AP34" t="s">
        <v>548</v>
      </c>
      <c r="AQ34">
        <v>2</v>
      </c>
      <c r="AR34" t="s">
        <v>549</v>
      </c>
      <c r="AS34">
        <v>0</v>
      </c>
      <c r="AT34">
        <v>18</v>
      </c>
      <c r="AU34" t="s">
        <v>264</v>
      </c>
      <c r="AV34">
        <v>-9999</v>
      </c>
      <c r="AW34">
        <v>338</v>
      </c>
      <c r="AX34">
        <v>353</v>
      </c>
      <c r="AY34">
        <v>336</v>
      </c>
      <c r="AZ34" t="s">
        <v>270</v>
      </c>
      <c r="BA34">
        <v>0</v>
      </c>
      <c r="BB34">
        <v>55</v>
      </c>
      <c r="BC34" t="s">
        <v>550</v>
      </c>
      <c r="BD34" t="s">
        <v>548</v>
      </c>
      <c r="BE34">
        <v>3</v>
      </c>
      <c r="BF34" t="s">
        <v>584</v>
      </c>
      <c r="BG34">
        <v>20.8</v>
      </c>
      <c r="BH34">
        <v>50</v>
      </c>
      <c r="BI34" t="s">
        <v>264</v>
      </c>
      <c r="BJ34">
        <v>-9999</v>
      </c>
      <c r="BK34">
        <v>43</v>
      </c>
      <c r="BL34">
        <v>70</v>
      </c>
      <c r="BM34">
        <v>50</v>
      </c>
      <c r="BN34" t="s">
        <v>270</v>
      </c>
      <c r="BO34">
        <v>0</v>
      </c>
      <c r="BP34">
        <v>55</v>
      </c>
      <c r="BQ34" t="s">
        <v>504</v>
      </c>
      <c r="BR34" t="s">
        <v>548</v>
      </c>
      <c r="BS34">
        <v>4</v>
      </c>
      <c r="BT34" t="s">
        <v>549</v>
      </c>
      <c r="BU34">
        <v>52.1</v>
      </c>
      <c r="BV34">
        <v>72</v>
      </c>
      <c r="BW34" t="s">
        <v>264</v>
      </c>
      <c r="BX34">
        <v>-9999</v>
      </c>
      <c r="BY34">
        <v>226</v>
      </c>
      <c r="BZ34">
        <v>261</v>
      </c>
      <c r="CA34">
        <v>224</v>
      </c>
      <c r="CB34" t="s">
        <v>270</v>
      </c>
      <c r="CC34">
        <v>0</v>
      </c>
      <c r="CD34">
        <v>55</v>
      </c>
      <c r="CE34" t="s">
        <v>471</v>
      </c>
      <c r="CF34" t="s">
        <v>548</v>
      </c>
      <c r="CG34">
        <v>5</v>
      </c>
      <c r="CH34" t="s">
        <v>549</v>
      </c>
      <c r="CI34">
        <v>52.5</v>
      </c>
      <c r="CJ34">
        <v>122</v>
      </c>
      <c r="CK34" t="s">
        <v>264</v>
      </c>
      <c r="CL34">
        <v>-9999</v>
      </c>
      <c r="CM34">
        <v>575</v>
      </c>
      <c r="CN34">
        <v>671</v>
      </c>
      <c r="CO34">
        <v>574</v>
      </c>
      <c r="CP34" t="s">
        <v>270</v>
      </c>
      <c r="CQ34">
        <v>0</v>
      </c>
      <c r="CR34">
        <v>55</v>
      </c>
      <c r="CS34" t="s">
        <v>472</v>
      </c>
      <c r="CT34" t="s">
        <v>548</v>
      </c>
      <c r="CU34">
        <v>6</v>
      </c>
      <c r="CV34" t="s">
        <v>549</v>
      </c>
      <c r="CW34">
        <v>54</v>
      </c>
      <c r="CX34">
        <v>78</v>
      </c>
      <c r="CY34" t="s">
        <v>264</v>
      </c>
      <c r="CZ34">
        <v>-9999</v>
      </c>
      <c r="DA34">
        <v>682</v>
      </c>
      <c r="DB34">
        <v>775</v>
      </c>
      <c r="DC34">
        <v>673</v>
      </c>
      <c r="DD34" t="s">
        <v>270</v>
      </c>
      <c r="DE34">
        <v>0</v>
      </c>
      <c r="DF34">
        <v>55</v>
      </c>
      <c r="DG34" t="s">
        <v>473</v>
      </c>
      <c r="DH34" t="s">
        <v>548</v>
      </c>
      <c r="DI34">
        <v>7</v>
      </c>
      <c r="DJ34" t="s">
        <v>549</v>
      </c>
      <c r="DK34">
        <v>0</v>
      </c>
      <c r="DL34">
        <v>38</v>
      </c>
      <c r="DM34" t="s">
        <v>264</v>
      </c>
      <c r="DN34">
        <v>-9999</v>
      </c>
      <c r="DO34">
        <v>558</v>
      </c>
      <c r="DP34">
        <v>638</v>
      </c>
      <c r="DQ34">
        <v>553</v>
      </c>
      <c r="DR34" t="s">
        <v>270</v>
      </c>
      <c r="DS34">
        <v>0</v>
      </c>
      <c r="DT34">
        <v>55</v>
      </c>
      <c r="DU34" t="s">
        <v>474</v>
      </c>
      <c r="DV34" t="s">
        <v>548</v>
      </c>
      <c r="DW34">
        <v>8</v>
      </c>
      <c r="DX34" t="s">
        <v>584</v>
      </c>
      <c r="DY34">
        <v>31</v>
      </c>
      <c r="DZ34">
        <v>526</v>
      </c>
      <c r="EA34" t="s">
        <v>264</v>
      </c>
      <c r="EB34">
        <v>-9999</v>
      </c>
      <c r="EC34">
        <v>84</v>
      </c>
      <c r="ED34">
        <v>105</v>
      </c>
      <c r="EE34">
        <v>83</v>
      </c>
      <c r="EF34" t="s">
        <v>270</v>
      </c>
      <c r="EG34">
        <v>0</v>
      </c>
      <c r="EH34">
        <v>55</v>
      </c>
      <c r="EI34" t="s">
        <v>475</v>
      </c>
      <c r="EJ34" t="s">
        <v>548</v>
      </c>
      <c r="EK34">
        <v>9</v>
      </c>
      <c r="EL34" t="s">
        <v>549</v>
      </c>
      <c r="EM34">
        <v>0</v>
      </c>
      <c r="EN34">
        <v>13</v>
      </c>
      <c r="EO34" t="s">
        <v>264</v>
      </c>
      <c r="EP34">
        <v>-9999</v>
      </c>
      <c r="EQ34">
        <v>307</v>
      </c>
      <c r="ER34">
        <v>282</v>
      </c>
      <c r="ES34">
        <v>261</v>
      </c>
      <c r="ET34" t="s">
        <v>270</v>
      </c>
      <c r="EU34">
        <v>0</v>
      </c>
      <c r="EV34">
        <v>55</v>
      </c>
      <c r="EW34" t="s">
        <v>551</v>
      </c>
      <c r="EX34" t="s">
        <v>552</v>
      </c>
      <c r="EY34">
        <v>140</v>
      </c>
      <c r="EZ34">
        <v>140</v>
      </c>
      <c r="FA34">
        <v>140</v>
      </c>
      <c r="FB34" t="s">
        <v>270</v>
      </c>
      <c r="FC34" t="s">
        <v>553</v>
      </c>
      <c r="FD34" t="s">
        <v>552</v>
      </c>
      <c r="FE34">
        <v>279</v>
      </c>
      <c r="FF34">
        <v>277</v>
      </c>
      <c r="FG34">
        <v>276</v>
      </c>
      <c r="FH34" t="s">
        <v>270</v>
      </c>
      <c r="FI34" t="s">
        <v>554</v>
      </c>
      <c r="FJ34" t="s">
        <v>555</v>
      </c>
      <c r="FK34">
        <v>0</v>
      </c>
      <c r="FL34">
        <v>0</v>
      </c>
      <c r="FM34">
        <v>0</v>
      </c>
      <c r="FN34" t="s">
        <v>264</v>
      </c>
      <c r="FQ34" t="s">
        <v>556</v>
      </c>
      <c r="FR34" t="s">
        <v>555</v>
      </c>
      <c r="FS34">
        <v>0</v>
      </c>
      <c r="FT34">
        <v>0</v>
      </c>
      <c r="FU34">
        <v>0</v>
      </c>
      <c r="FV34" t="s">
        <v>264</v>
      </c>
      <c r="FY34" t="s">
        <v>557</v>
      </c>
      <c r="FZ34" t="s">
        <v>555</v>
      </c>
      <c r="GA34">
        <v>0</v>
      </c>
      <c r="GB34">
        <v>0</v>
      </c>
      <c r="GC34">
        <v>0</v>
      </c>
      <c r="GD34" t="s">
        <v>264</v>
      </c>
      <c r="GG34" t="s">
        <v>558</v>
      </c>
      <c r="GH34" t="s">
        <v>555</v>
      </c>
      <c r="GI34">
        <v>0</v>
      </c>
      <c r="GJ34">
        <v>0</v>
      </c>
      <c r="GK34">
        <v>0</v>
      </c>
      <c r="GL34" t="s">
        <v>264</v>
      </c>
      <c r="GO34" t="s">
        <v>559</v>
      </c>
      <c r="GP34" t="s">
        <v>555</v>
      </c>
      <c r="GQ34">
        <v>0</v>
      </c>
      <c r="GR34">
        <v>0</v>
      </c>
      <c r="GS34">
        <v>0</v>
      </c>
      <c r="GT34" t="s">
        <v>264</v>
      </c>
      <c r="GW34" t="s">
        <v>560</v>
      </c>
      <c r="GX34" t="s">
        <v>555</v>
      </c>
      <c r="GY34">
        <v>0</v>
      </c>
      <c r="GZ34">
        <v>0</v>
      </c>
      <c r="HA34">
        <v>0</v>
      </c>
      <c r="HB34" t="s">
        <v>264</v>
      </c>
      <c r="HE34" t="s">
        <v>561</v>
      </c>
      <c r="HF34" t="s">
        <v>555</v>
      </c>
      <c r="HG34">
        <v>0</v>
      </c>
      <c r="HH34">
        <v>0</v>
      </c>
      <c r="HI34">
        <v>0</v>
      </c>
      <c r="HJ34" t="s">
        <v>264</v>
      </c>
      <c r="HM34" t="s">
        <v>562</v>
      </c>
      <c r="HN34" t="s">
        <v>555</v>
      </c>
      <c r="HO34">
        <v>0</v>
      </c>
      <c r="HP34">
        <v>0</v>
      </c>
      <c r="HQ34">
        <v>0</v>
      </c>
      <c r="HR34" t="s">
        <v>264</v>
      </c>
      <c r="HU34" t="s">
        <v>563</v>
      </c>
      <c r="HV34" t="s">
        <v>555</v>
      </c>
      <c r="HW34">
        <v>0</v>
      </c>
      <c r="HX34">
        <v>0</v>
      </c>
      <c r="HY34">
        <v>0</v>
      </c>
      <c r="HZ34" t="s">
        <v>264</v>
      </c>
      <c r="IA34">
        <v>74.8</v>
      </c>
      <c r="IB34">
        <v>175.8</v>
      </c>
      <c r="IC34" t="s">
        <v>564</v>
      </c>
      <c r="ID34" t="s">
        <v>555</v>
      </c>
      <c r="IE34">
        <v>0</v>
      </c>
      <c r="IF34">
        <v>0</v>
      </c>
      <c r="IG34">
        <v>0</v>
      </c>
      <c r="IH34" t="s">
        <v>264</v>
      </c>
      <c r="IK34" t="s">
        <v>565</v>
      </c>
      <c r="IL34" t="s">
        <v>555</v>
      </c>
      <c r="IM34">
        <v>0</v>
      </c>
      <c r="IN34">
        <v>0</v>
      </c>
      <c r="IO34">
        <v>0</v>
      </c>
      <c r="IP34" t="s">
        <v>264</v>
      </c>
      <c r="IS34" t="s">
        <v>566</v>
      </c>
      <c r="IT34" t="s">
        <v>555</v>
      </c>
      <c r="IU34">
        <v>0</v>
      </c>
      <c r="IV34">
        <v>0</v>
      </c>
      <c r="IW34">
        <v>0</v>
      </c>
      <c r="IX34" t="s">
        <v>264</v>
      </c>
      <c r="JA34" t="s">
        <v>567</v>
      </c>
      <c r="JB34" t="s">
        <v>555</v>
      </c>
      <c r="JC34">
        <v>0</v>
      </c>
      <c r="JD34">
        <v>0</v>
      </c>
      <c r="JE34">
        <v>0</v>
      </c>
      <c r="JF34" t="s">
        <v>264</v>
      </c>
      <c r="JI34" t="s">
        <v>568</v>
      </c>
      <c r="JJ34" t="s">
        <v>555</v>
      </c>
      <c r="JK34">
        <v>0</v>
      </c>
      <c r="JL34">
        <v>0</v>
      </c>
      <c r="JM34">
        <v>0</v>
      </c>
      <c r="JN34" t="s">
        <v>264</v>
      </c>
      <c r="JQ34" t="s">
        <v>569</v>
      </c>
      <c r="JR34" t="s">
        <v>555</v>
      </c>
      <c r="JS34">
        <v>0</v>
      </c>
      <c r="JT34">
        <v>0</v>
      </c>
      <c r="JU34">
        <v>0</v>
      </c>
      <c r="JV34" t="s">
        <v>264</v>
      </c>
      <c r="JY34" t="s">
        <v>570</v>
      </c>
      <c r="JZ34" t="s">
        <v>555</v>
      </c>
      <c r="KA34">
        <v>0</v>
      </c>
      <c r="KB34">
        <v>0</v>
      </c>
      <c r="KC34">
        <v>0</v>
      </c>
      <c r="KD34" t="s">
        <v>264</v>
      </c>
      <c r="KG34" t="s">
        <v>571</v>
      </c>
      <c r="KH34" t="s">
        <v>555</v>
      </c>
      <c r="KI34">
        <v>0</v>
      </c>
      <c r="KJ34">
        <v>0</v>
      </c>
      <c r="KK34">
        <v>0</v>
      </c>
      <c r="KL34" t="s">
        <v>264</v>
      </c>
      <c r="KO34" t="s">
        <v>572</v>
      </c>
      <c r="KP34" t="s">
        <v>555</v>
      </c>
      <c r="KQ34">
        <v>0</v>
      </c>
      <c r="KR34">
        <v>0</v>
      </c>
      <c r="KS34">
        <v>0</v>
      </c>
      <c r="KT34" t="s">
        <v>264</v>
      </c>
      <c r="KW34" t="s">
        <v>573</v>
      </c>
      <c r="KX34" t="s">
        <v>555</v>
      </c>
      <c r="KY34">
        <v>0</v>
      </c>
      <c r="KZ34">
        <v>0</v>
      </c>
      <c r="LA34">
        <v>0</v>
      </c>
      <c r="LB34" t="s">
        <v>264</v>
      </c>
      <c r="LE34" t="s">
        <v>574</v>
      </c>
      <c r="LF34" t="s">
        <v>555</v>
      </c>
      <c r="LG34">
        <v>0</v>
      </c>
      <c r="LH34">
        <v>0</v>
      </c>
      <c r="LI34">
        <v>0</v>
      </c>
      <c r="LJ34" t="s">
        <v>264</v>
      </c>
      <c r="LM34" t="s">
        <v>575</v>
      </c>
      <c r="LN34" t="s">
        <v>555</v>
      </c>
      <c r="LO34">
        <v>0</v>
      </c>
      <c r="LP34">
        <v>0</v>
      </c>
      <c r="LQ34">
        <v>0</v>
      </c>
      <c r="LR34" t="s">
        <v>264</v>
      </c>
      <c r="LU34" t="s">
        <v>576</v>
      </c>
      <c r="LV34" t="s">
        <v>555</v>
      </c>
      <c r="LW34">
        <v>0</v>
      </c>
      <c r="LX34">
        <v>0</v>
      </c>
      <c r="LY34">
        <v>0</v>
      </c>
      <c r="LZ34" t="s">
        <v>264</v>
      </c>
      <c r="MC34" t="s">
        <v>577</v>
      </c>
      <c r="MD34" t="s">
        <v>555</v>
      </c>
      <c r="ME34">
        <v>0</v>
      </c>
      <c r="MF34">
        <v>0</v>
      </c>
      <c r="MG34">
        <v>0</v>
      </c>
      <c r="MH34" t="s">
        <v>264</v>
      </c>
      <c r="MK34" t="s">
        <v>578</v>
      </c>
      <c r="ML34" t="s">
        <v>555</v>
      </c>
      <c r="MM34">
        <v>0</v>
      </c>
      <c r="MN34">
        <v>0</v>
      </c>
      <c r="MO34">
        <v>0</v>
      </c>
      <c r="MP34" t="s">
        <v>264</v>
      </c>
      <c r="MS34" t="s">
        <v>579</v>
      </c>
      <c r="MT34" t="s">
        <v>555</v>
      </c>
      <c r="MU34">
        <v>0</v>
      </c>
      <c r="MV34">
        <v>0</v>
      </c>
      <c r="MW34">
        <v>0</v>
      </c>
      <c r="MX34" t="s">
        <v>264</v>
      </c>
      <c r="NA34" t="s">
        <v>580</v>
      </c>
      <c r="NB34" t="s">
        <v>555</v>
      </c>
      <c r="NC34">
        <v>0</v>
      </c>
      <c r="ND34">
        <v>0</v>
      </c>
      <c r="NE34">
        <v>0</v>
      </c>
      <c r="NF34" t="s">
        <v>264</v>
      </c>
      <c r="NI34">
        <v>40</v>
      </c>
      <c r="NJ34">
        <v>-6.9</v>
      </c>
      <c r="NP34" t="s">
        <v>624</v>
      </c>
    </row>
    <row r="35" spans="1:380" customFormat="1" x14ac:dyDescent="0.2">
      <c r="A35" t="s">
        <v>517</v>
      </c>
      <c r="B35">
        <v>1</v>
      </c>
      <c r="C35" t="s">
        <v>669</v>
      </c>
      <c r="D35">
        <v>646958548</v>
      </c>
      <c r="E35">
        <v>12602</v>
      </c>
      <c r="F35" t="s">
        <v>542</v>
      </c>
      <c r="G35">
        <v>847922</v>
      </c>
      <c r="H35">
        <v>210021812</v>
      </c>
      <c r="I35" t="s">
        <v>622</v>
      </c>
      <c r="J35" t="s">
        <v>670</v>
      </c>
      <c r="K35" t="s">
        <v>545</v>
      </c>
      <c r="L35" t="s">
        <v>294</v>
      </c>
      <c r="M35" t="s">
        <v>546</v>
      </c>
      <c r="N35" t="s">
        <v>468</v>
      </c>
      <c r="O35" t="s">
        <v>547</v>
      </c>
      <c r="P35" t="s">
        <v>264</v>
      </c>
      <c r="Q35">
        <v>27.4</v>
      </c>
      <c r="R35">
        <v>218</v>
      </c>
      <c r="S35" t="s">
        <v>264</v>
      </c>
      <c r="T35">
        <v>-9999</v>
      </c>
      <c r="U35">
        <v>580</v>
      </c>
      <c r="V35">
        <v>596</v>
      </c>
      <c r="W35">
        <v>570</v>
      </c>
      <c r="X35" t="s">
        <v>270</v>
      </c>
      <c r="Y35">
        <v>0</v>
      </c>
      <c r="Z35">
        <v>55</v>
      </c>
      <c r="AA35" t="s">
        <v>469</v>
      </c>
      <c r="AB35" t="s">
        <v>548</v>
      </c>
      <c r="AC35">
        <v>1</v>
      </c>
      <c r="AD35" t="s">
        <v>549</v>
      </c>
      <c r="AE35">
        <v>0</v>
      </c>
      <c r="AF35">
        <v>43</v>
      </c>
      <c r="AG35" t="s">
        <v>264</v>
      </c>
      <c r="AH35">
        <v>-9999</v>
      </c>
      <c r="AI35">
        <v>397</v>
      </c>
      <c r="AJ35">
        <v>510</v>
      </c>
      <c r="AK35">
        <v>400</v>
      </c>
      <c r="AL35" t="s">
        <v>270</v>
      </c>
      <c r="AM35">
        <v>0</v>
      </c>
      <c r="AN35">
        <v>55</v>
      </c>
      <c r="AO35" t="s">
        <v>470</v>
      </c>
      <c r="AP35" t="s">
        <v>548</v>
      </c>
      <c r="AQ35">
        <v>2</v>
      </c>
      <c r="AR35" t="s">
        <v>549</v>
      </c>
      <c r="AS35">
        <v>0</v>
      </c>
      <c r="AT35">
        <v>8</v>
      </c>
      <c r="AU35" t="s">
        <v>264</v>
      </c>
      <c r="AV35">
        <v>-9999</v>
      </c>
      <c r="AW35">
        <v>373</v>
      </c>
      <c r="AX35">
        <v>388</v>
      </c>
      <c r="AY35">
        <v>370</v>
      </c>
      <c r="AZ35" t="s">
        <v>270</v>
      </c>
      <c r="BA35">
        <v>0</v>
      </c>
      <c r="BB35">
        <v>55</v>
      </c>
      <c r="BC35" t="s">
        <v>550</v>
      </c>
      <c r="BD35" t="s">
        <v>548</v>
      </c>
      <c r="BE35">
        <v>3</v>
      </c>
      <c r="BF35" t="s">
        <v>549</v>
      </c>
      <c r="BG35">
        <v>0</v>
      </c>
      <c r="BH35">
        <v>-24</v>
      </c>
      <c r="BI35" t="s">
        <v>264</v>
      </c>
      <c r="BJ35">
        <v>-9999</v>
      </c>
      <c r="BK35">
        <v>340</v>
      </c>
      <c r="BL35">
        <v>399</v>
      </c>
      <c r="BM35">
        <v>330</v>
      </c>
      <c r="BN35" t="s">
        <v>270</v>
      </c>
      <c r="BO35">
        <v>0</v>
      </c>
      <c r="BP35">
        <v>55</v>
      </c>
      <c r="BQ35" t="s">
        <v>504</v>
      </c>
      <c r="BR35" t="s">
        <v>548</v>
      </c>
      <c r="BS35">
        <v>4</v>
      </c>
      <c r="BT35" t="s">
        <v>549</v>
      </c>
      <c r="BU35">
        <v>53.4</v>
      </c>
      <c r="BV35">
        <v>59</v>
      </c>
      <c r="BW35" t="s">
        <v>264</v>
      </c>
      <c r="BX35">
        <v>-9999</v>
      </c>
      <c r="BY35">
        <v>228</v>
      </c>
      <c r="BZ35">
        <v>263</v>
      </c>
      <c r="CA35">
        <v>226</v>
      </c>
      <c r="CB35" t="s">
        <v>270</v>
      </c>
      <c r="CC35">
        <v>0</v>
      </c>
      <c r="CD35">
        <v>55</v>
      </c>
      <c r="CE35" t="s">
        <v>471</v>
      </c>
      <c r="CF35" t="s">
        <v>548</v>
      </c>
      <c r="CG35">
        <v>5</v>
      </c>
      <c r="CH35" t="s">
        <v>549</v>
      </c>
      <c r="CI35">
        <v>52.2</v>
      </c>
      <c r="CJ35">
        <v>145</v>
      </c>
      <c r="CK35" t="s">
        <v>264</v>
      </c>
      <c r="CL35">
        <v>-9999</v>
      </c>
      <c r="CM35">
        <v>456</v>
      </c>
      <c r="CN35">
        <v>535</v>
      </c>
      <c r="CO35">
        <v>455</v>
      </c>
      <c r="CP35" t="s">
        <v>270</v>
      </c>
      <c r="CQ35">
        <v>0</v>
      </c>
      <c r="CR35">
        <v>55</v>
      </c>
      <c r="CS35" t="s">
        <v>472</v>
      </c>
      <c r="CT35" t="s">
        <v>548</v>
      </c>
      <c r="CU35">
        <v>6</v>
      </c>
      <c r="CV35" t="s">
        <v>549</v>
      </c>
      <c r="CW35">
        <v>53.4</v>
      </c>
      <c r="CX35">
        <v>88</v>
      </c>
      <c r="CY35" t="s">
        <v>264</v>
      </c>
      <c r="CZ35">
        <v>-9999</v>
      </c>
      <c r="DA35">
        <v>591</v>
      </c>
      <c r="DB35">
        <v>669</v>
      </c>
      <c r="DC35">
        <v>580</v>
      </c>
      <c r="DD35" t="s">
        <v>270</v>
      </c>
      <c r="DE35">
        <v>0</v>
      </c>
      <c r="DF35">
        <v>55</v>
      </c>
      <c r="DG35" t="s">
        <v>473</v>
      </c>
      <c r="DH35" t="s">
        <v>548</v>
      </c>
      <c r="DI35">
        <v>7</v>
      </c>
      <c r="DJ35" t="s">
        <v>549</v>
      </c>
      <c r="DK35">
        <v>0</v>
      </c>
      <c r="DL35">
        <v>46</v>
      </c>
      <c r="DM35" t="s">
        <v>264</v>
      </c>
      <c r="DN35">
        <v>-9999</v>
      </c>
      <c r="DO35">
        <v>514</v>
      </c>
      <c r="DP35">
        <v>584</v>
      </c>
      <c r="DQ35">
        <v>512</v>
      </c>
      <c r="DR35" t="s">
        <v>270</v>
      </c>
      <c r="DS35">
        <v>0</v>
      </c>
      <c r="DT35">
        <v>55</v>
      </c>
      <c r="DU35" t="s">
        <v>474</v>
      </c>
      <c r="DV35" t="s">
        <v>548</v>
      </c>
      <c r="DW35">
        <v>8</v>
      </c>
      <c r="DX35" t="s">
        <v>549</v>
      </c>
      <c r="DY35">
        <v>50.6</v>
      </c>
      <c r="DZ35">
        <v>31</v>
      </c>
      <c r="EA35" t="s">
        <v>264</v>
      </c>
      <c r="EB35">
        <v>-9999</v>
      </c>
      <c r="EC35">
        <v>95</v>
      </c>
      <c r="ED35">
        <v>117</v>
      </c>
      <c r="EE35">
        <v>93</v>
      </c>
      <c r="EF35" t="s">
        <v>270</v>
      </c>
      <c r="EG35">
        <v>0</v>
      </c>
      <c r="EH35">
        <v>55</v>
      </c>
      <c r="EI35" t="s">
        <v>475</v>
      </c>
      <c r="EJ35" t="s">
        <v>548</v>
      </c>
      <c r="EK35">
        <v>9</v>
      </c>
      <c r="EL35" t="s">
        <v>584</v>
      </c>
      <c r="EM35">
        <v>39.6</v>
      </c>
      <c r="EN35">
        <v>42</v>
      </c>
      <c r="EO35" t="s">
        <v>264</v>
      </c>
      <c r="EP35">
        <v>-9999</v>
      </c>
      <c r="EQ35">
        <v>232</v>
      </c>
      <c r="ER35">
        <v>206</v>
      </c>
      <c r="ES35">
        <v>194</v>
      </c>
      <c r="ET35" t="s">
        <v>270</v>
      </c>
      <c r="EU35">
        <v>0</v>
      </c>
      <c r="EV35">
        <v>55</v>
      </c>
      <c r="EW35" t="s">
        <v>551</v>
      </c>
      <c r="EX35" t="s">
        <v>552</v>
      </c>
      <c r="EY35">
        <v>152</v>
      </c>
      <c r="EZ35">
        <v>153</v>
      </c>
      <c r="FA35">
        <v>153</v>
      </c>
      <c r="FB35" t="s">
        <v>270</v>
      </c>
      <c r="FC35" t="s">
        <v>553</v>
      </c>
      <c r="FD35" t="s">
        <v>552</v>
      </c>
      <c r="FE35">
        <v>275</v>
      </c>
      <c r="FF35">
        <v>273</v>
      </c>
      <c r="FG35">
        <v>272</v>
      </c>
      <c r="FH35" t="s">
        <v>270</v>
      </c>
      <c r="FI35" t="s">
        <v>554</v>
      </c>
      <c r="FJ35" t="s">
        <v>555</v>
      </c>
      <c r="FK35">
        <v>0</v>
      </c>
      <c r="FL35">
        <v>0</v>
      </c>
      <c r="FM35">
        <v>0</v>
      </c>
      <c r="FN35" t="s">
        <v>264</v>
      </c>
      <c r="FQ35" t="s">
        <v>556</v>
      </c>
      <c r="FR35" t="s">
        <v>555</v>
      </c>
      <c r="FS35">
        <v>0</v>
      </c>
      <c r="FT35">
        <v>0</v>
      </c>
      <c r="FU35">
        <v>0</v>
      </c>
      <c r="FV35" t="s">
        <v>264</v>
      </c>
      <c r="FY35" t="s">
        <v>557</v>
      </c>
      <c r="FZ35" t="s">
        <v>555</v>
      </c>
      <c r="GA35">
        <v>0</v>
      </c>
      <c r="GB35">
        <v>0</v>
      </c>
      <c r="GC35">
        <v>0</v>
      </c>
      <c r="GD35" t="s">
        <v>264</v>
      </c>
      <c r="GG35" t="s">
        <v>558</v>
      </c>
      <c r="GH35" t="s">
        <v>555</v>
      </c>
      <c r="GI35">
        <v>0</v>
      </c>
      <c r="GJ35">
        <v>0</v>
      </c>
      <c r="GK35">
        <v>0</v>
      </c>
      <c r="GL35" t="s">
        <v>264</v>
      </c>
      <c r="GO35" t="s">
        <v>559</v>
      </c>
      <c r="GP35" t="s">
        <v>555</v>
      </c>
      <c r="GQ35">
        <v>0</v>
      </c>
      <c r="GR35">
        <v>0</v>
      </c>
      <c r="GS35">
        <v>0</v>
      </c>
      <c r="GT35" t="s">
        <v>264</v>
      </c>
      <c r="GW35" t="s">
        <v>560</v>
      </c>
      <c r="GX35" t="s">
        <v>555</v>
      </c>
      <c r="GY35">
        <v>0</v>
      </c>
      <c r="GZ35">
        <v>0</v>
      </c>
      <c r="HA35">
        <v>0</v>
      </c>
      <c r="HB35" t="s">
        <v>264</v>
      </c>
      <c r="HE35" t="s">
        <v>561</v>
      </c>
      <c r="HF35" t="s">
        <v>555</v>
      </c>
      <c r="HG35">
        <v>0</v>
      </c>
      <c r="HH35">
        <v>0</v>
      </c>
      <c r="HI35">
        <v>0</v>
      </c>
      <c r="HJ35" t="s">
        <v>264</v>
      </c>
      <c r="HM35" t="s">
        <v>562</v>
      </c>
      <c r="HN35" t="s">
        <v>555</v>
      </c>
      <c r="HO35">
        <v>0</v>
      </c>
      <c r="HP35">
        <v>0</v>
      </c>
      <c r="HQ35">
        <v>0</v>
      </c>
      <c r="HR35" t="s">
        <v>264</v>
      </c>
      <c r="HU35" t="s">
        <v>563</v>
      </c>
      <c r="HV35" t="s">
        <v>555</v>
      </c>
      <c r="HW35">
        <v>0</v>
      </c>
      <c r="HX35">
        <v>0</v>
      </c>
      <c r="HY35">
        <v>0</v>
      </c>
      <c r="HZ35" t="s">
        <v>264</v>
      </c>
      <c r="IC35" t="s">
        <v>564</v>
      </c>
      <c r="ID35" t="s">
        <v>555</v>
      </c>
      <c r="IE35">
        <v>0</v>
      </c>
      <c r="IF35">
        <v>0</v>
      </c>
      <c r="IG35">
        <v>0</v>
      </c>
      <c r="IH35" t="s">
        <v>264</v>
      </c>
      <c r="IK35" t="s">
        <v>565</v>
      </c>
      <c r="IL35" t="s">
        <v>555</v>
      </c>
      <c r="IM35">
        <v>0</v>
      </c>
      <c r="IN35">
        <v>0</v>
      </c>
      <c r="IO35">
        <v>0</v>
      </c>
      <c r="IP35" t="s">
        <v>264</v>
      </c>
      <c r="IS35" t="s">
        <v>566</v>
      </c>
      <c r="IT35" t="s">
        <v>555</v>
      </c>
      <c r="IU35">
        <v>0</v>
      </c>
      <c r="IV35">
        <v>0</v>
      </c>
      <c r="IW35">
        <v>0</v>
      </c>
      <c r="IX35" t="s">
        <v>264</v>
      </c>
      <c r="JA35" t="s">
        <v>567</v>
      </c>
      <c r="JB35" t="s">
        <v>555</v>
      </c>
      <c r="JC35">
        <v>0</v>
      </c>
      <c r="JD35">
        <v>0</v>
      </c>
      <c r="JE35">
        <v>0</v>
      </c>
      <c r="JF35" t="s">
        <v>264</v>
      </c>
      <c r="JI35" t="s">
        <v>568</v>
      </c>
      <c r="JJ35" t="s">
        <v>555</v>
      </c>
      <c r="JK35">
        <v>0</v>
      </c>
      <c r="JL35">
        <v>0</v>
      </c>
      <c r="JM35">
        <v>0</v>
      </c>
      <c r="JN35" t="s">
        <v>264</v>
      </c>
      <c r="JQ35" t="s">
        <v>569</v>
      </c>
      <c r="JR35" t="s">
        <v>555</v>
      </c>
      <c r="JS35">
        <v>0</v>
      </c>
      <c r="JT35">
        <v>0</v>
      </c>
      <c r="JU35">
        <v>0</v>
      </c>
      <c r="JV35" t="s">
        <v>264</v>
      </c>
      <c r="JY35" t="s">
        <v>570</v>
      </c>
      <c r="JZ35" t="s">
        <v>555</v>
      </c>
      <c r="KA35">
        <v>0</v>
      </c>
      <c r="KB35">
        <v>0</v>
      </c>
      <c r="KC35">
        <v>0</v>
      </c>
      <c r="KD35" t="s">
        <v>264</v>
      </c>
      <c r="KG35" t="s">
        <v>571</v>
      </c>
      <c r="KH35" t="s">
        <v>555</v>
      </c>
      <c r="KI35">
        <v>0</v>
      </c>
      <c r="KJ35">
        <v>0</v>
      </c>
      <c r="KK35">
        <v>0</v>
      </c>
      <c r="KL35" t="s">
        <v>264</v>
      </c>
      <c r="KO35" t="s">
        <v>572</v>
      </c>
      <c r="KP35" t="s">
        <v>555</v>
      </c>
      <c r="KQ35">
        <v>0</v>
      </c>
      <c r="KR35">
        <v>0</v>
      </c>
      <c r="KS35">
        <v>0</v>
      </c>
      <c r="KT35" t="s">
        <v>264</v>
      </c>
      <c r="KW35" t="s">
        <v>573</v>
      </c>
      <c r="KX35" t="s">
        <v>555</v>
      </c>
      <c r="KY35">
        <v>0</v>
      </c>
      <c r="KZ35">
        <v>0</v>
      </c>
      <c r="LA35">
        <v>0</v>
      </c>
      <c r="LB35" t="s">
        <v>264</v>
      </c>
      <c r="LE35" t="s">
        <v>574</v>
      </c>
      <c r="LF35" t="s">
        <v>555</v>
      </c>
      <c r="LG35">
        <v>0</v>
      </c>
      <c r="LH35">
        <v>0</v>
      </c>
      <c r="LI35">
        <v>0</v>
      </c>
      <c r="LJ35" t="s">
        <v>264</v>
      </c>
      <c r="LM35" t="s">
        <v>575</v>
      </c>
      <c r="LN35" t="s">
        <v>555</v>
      </c>
      <c r="LO35">
        <v>0</v>
      </c>
      <c r="LP35">
        <v>0</v>
      </c>
      <c r="LQ35">
        <v>0</v>
      </c>
      <c r="LR35" t="s">
        <v>264</v>
      </c>
      <c r="LU35" t="s">
        <v>576</v>
      </c>
      <c r="LV35" t="s">
        <v>555</v>
      </c>
      <c r="LW35">
        <v>0</v>
      </c>
      <c r="LX35">
        <v>0</v>
      </c>
      <c r="LY35">
        <v>0</v>
      </c>
      <c r="LZ35" t="s">
        <v>264</v>
      </c>
      <c r="MC35" t="s">
        <v>577</v>
      </c>
      <c r="MD35" t="s">
        <v>555</v>
      </c>
      <c r="ME35">
        <v>0</v>
      </c>
      <c r="MF35">
        <v>0</v>
      </c>
      <c r="MG35">
        <v>0</v>
      </c>
      <c r="MH35" t="s">
        <v>264</v>
      </c>
      <c r="MK35" t="s">
        <v>578</v>
      </c>
      <c r="ML35" t="s">
        <v>555</v>
      </c>
      <c r="MM35">
        <v>0</v>
      </c>
      <c r="MN35">
        <v>0</v>
      </c>
      <c r="MO35">
        <v>0</v>
      </c>
      <c r="MP35" t="s">
        <v>264</v>
      </c>
      <c r="MS35" t="s">
        <v>579</v>
      </c>
      <c r="MT35" t="s">
        <v>555</v>
      </c>
      <c r="MU35">
        <v>0</v>
      </c>
      <c r="MV35">
        <v>0</v>
      </c>
      <c r="MW35">
        <v>0</v>
      </c>
      <c r="MX35" t="s">
        <v>264</v>
      </c>
      <c r="NA35" t="s">
        <v>580</v>
      </c>
      <c r="NB35" t="s">
        <v>555</v>
      </c>
      <c r="NC35">
        <v>0</v>
      </c>
      <c r="ND35">
        <v>0</v>
      </c>
      <c r="NE35">
        <v>0</v>
      </c>
      <c r="NF35" t="s">
        <v>264</v>
      </c>
      <c r="NI35">
        <v>40</v>
      </c>
      <c r="NJ35">
        <v>-6.5</v>
      </c>
      <c r="NP35" t="s">
        <v>624</v>
      </c>
    </row>
    <row r="36" spans="1:380" customFormat="1" x14ac:dyDescent="0.2">
      <c r="A36" t="s">
        <v>517</v>
      </c>
      <c r="B36">
        <v>1</v>
      </c>
      <c r="C36" t="s">
        <v>671</v>
      </c>
      <c r="D36">
        <v>646958810</v>
      </c>
      <c r="E36">
        <v>12602</v>
      </c>
      <c r="F36" t="s">
        <v>542</v>
      </c>
      <c r="G36">
        <v>847922</v>
      </c>
      <c r="H36">
        <v>210021802</v>
      </c>
      <c r="I36" t="s">
        <v>622</v>
      </c>
      <c r="J36" t="s">
        <v>672</v>
      </c>
      <c r="K36" t="s">
        <v>545</v>
      </c>
      <c r="L36" t="s">
        <v>294</v>
      </c>
      <c r="M36" t="s">
        <v>546</v>
      </c>
      <c r="N36" t="s">
        <v>468</v>
      </c>
      <c r="O36" t="s">
        <v>547</v>
      </c>
      <c r="P36" t="s">
        <v>264</v>
      </c>
      <c r="Q36">
        <v>25</v>
      </c>
      <c r="R36">
        <v>245</v>
      </c>
      <c r="S36" t="s">
        <v>264</v>
      </c>
      <c r="T36">
        <v>-9999</v>
      </c>
      <c r="U36">
        <v>591</v>
      </c>
      <c r="V36">
        <v>609</v>
      </c>
      <c r="W36">
        <v>581</v>
      </c>
      <c r="X36" t="s">
        <v>270</v>
      </c>
      <c r="Y36">
        <v>0</v>
      </c>
      <c r="Z36">
        <v>55</v>
      </c>
      <c r="AA36" t="s">
        <v>469</v>
      </c>
      <c r="AB36" t="s">
        <v>548</v>
      </c>
      <c r="AC36">
        <v>1</v>
      </c>
      <c r="AD36" t="s">
        <v>549</v>
      </c>
      <c r="AE36">
        <v>0</v>
      </c>
      <c r="AF36">
        <v>29</v>
      </c>
      <c r="AG36" t="s">
        <v>264</v>
      </c>
      <c r="AH36">
        <v>-9999</v>
      </c>
      <c r="AI36">
        <v>498</v>
      </c>
      <c r="AJ36">
        <v>609</v>
      </c>
      <c r="AK36">
        <v>489</v>
      </c>
      <c r="AL36" t="s">
        <v>270</v>
      </c>
      <c r="AM36">
        <v>0</v>
      </c>
      <c r="AN36">
        <v>55</v>
      </c>
      <c r="AO36" t="s">
        <v>470</v>
      </c>
      <c r="AP36" t="s">
        <v>548</v>
      </c>
      <c r="AQ36">
        <v>2</v>
      </c>
      <c r="AR36" t="s">
        <v>549</v>
      </c>
      <c r="AS36">
        <v>54.6</v>
      </c>
      <c r="AT36">
        <v>45</v>
      </c>
      <c r="AU36" t="s">
        <v>264</v>
      </c>
      <c r="AV36">
        <v>-9999</v>
      </c>
      <c r="AW36">
        <v>416</v>
      </c>
      <c r="AX36">
        <v>439</v>
      </c>
      <c r="AY36">
        <v>414</v>
      </c>
      <c r="AZ36" t="s">
        <v>270</v>
      </c>
      <c r="BA36">
        <v>0</v>
      </c>
      <c r="BB36">
        <v>55</v>
      </c>
      <c r="BC36" t="s">
        <v>550</v>
      </c>
      <c r="BD36" t="s">
        <v>548</v>
      </c>
      <c r="BE36">
        <v>3</v>
      </c>
      <c r="BF36" t="s">
        <v>584</v>
      </c>
      <c r="BG36">
        <v>27.2</v>
      </c>
      <c r="BH36">
        <v>46</v>
      </c>
      <c r="BI36" t="s">
        <v>264</v>
      </c>
      <c r="BJ36">
        <v>-9999</v>
      </c>
      <c r="BK36">
        <v>63</v>
      </c>
      <c r="BL36">
        <v>96</v>
      </c>
      <c r="BM36">
        <v>73</v>
      </c>
      <c r="BN36" t="s">
        <v>270</v>
      </c>
      <c r="BO36">
        <v>0</v>
      </c>
      <c r="BP36">
        <v>55</v>
      </c>
      <c r="BQ36" t="s">
        <v>504</v>
      </c>
      <c r="BR36" t="s">
        <v>548</v>
      </c>
      <c r="BS36">
        <v>4</v>
      </c>
      <c r="BT36" t="s">
        <v>549</v>
      </c>
      <c r="BU36">
        <v>52.1</v>
      </c>
      <c r="BV36">
        <v>77</v>
      </c>
      <c r="BW36" t="s">
        <v>264</v>
      </c>
      <c r="BX36">
        <v>-9999</v>
      </c>
      <c r="BY36">
        <v>188</v>
      </c>
      <c r="BZ36">
        <v>217</v>
      </c>
      <c r="CA36">
        <v>185</v>
      </c>
      <c r="CB36" t="s">
        <v>270</v>
      </c>
      <c r="CC36">
        <v>0</v>
      </c>
      <c r="CD36">
        <v>55</v>
      </c>
      <c r="CE36" t="s">
        <v>471</v>
      </c>
      <c r="CF36" t="s">
        <v>548</v>
      </c>
      <c r="CG36">
        <v>5</v>
      </c>
      <c r="CH36" t="s">
        <v>549</v>
      </c>
      <c r="CI36">
        <v>50.9</v>
      </c>
      <c r="CJ36">
        <v>197</v>
      </c>
      <c r="CK36" t="s">
        <v>264</v>
      </c>
      <c r="CL36">
        <v>-9999</v>
      </c>
      <c r="CM36">
        <v>506</v>
      </c>
      <c r="CN36">
        <v>594</v>
      </c>
      <c r="CO36">
        <v>507</v>
      </c>
      <c r="CP36" t="s">
        <v>270</v>
      </c>
      <c r="CQ36">
        <v>0</v>
      </c>
      <c r="CR36">
        <v>55</v>
      </c>
      <c r="CS36" t="s">
        <v>472</v>
      </c>
      <c r="CT36" t="s">
        <v>548</v>
      </c>
      <c r="CU36">
        <v>6</v>
      </c>
      <c r="CV36" t="s">
        <v>549</v>
      </c>
      <c r="CW36">
        <v>53</v>
      </c>
      <c r="CX36">
        <v>98</v>
      </c>
      <c r="CY36" t="s">
        <v>264</v>
      </c>
      <c r="CZ36">
        <v>-9999</v>
      </c>
      <c r="DA36">
        <v>573</v>
      </c>
      <c r="DB36">
        <v>649</v>
      </c>
      <c r="DC36">
        <v>561</v>
      </c>
      <c r="DD36" t="s">
        <v>270</v>
      </c>
      <c r="DE36">
        <v>0</v>
      </c>
      <c r="DF36">
        <v>55</v>
      </c>
      <c r="DG36" t="s">
        <v>473</v>
      </c>
      <c r="DH36" t="s">
        <v>548</v>
      </c>
      <c r="DI36">
        <v>7</v>
      </c>
      <c r="DJ36" t="s">
        <v>549</v>
      </c>
      <c r="DK36">
        <v>0</v>
      </c>
      <c r="DL36">
        <v>42</v>
      </c>
      <c r="DM36" t="s">
        <v>264</v>
      </c>
      <c r="DN36">
        <v>-9999</v>
      </c>
      <c r="DO36">
        <v>518</v>
      </c>
      <c r="DP36">
        <v>590</v>
      </c>
      <c r="DQ36">
        <v>512</v>
      </c>
      <c r="DR36" t="s">
        <v>270</v>
      </c>
      <c r="DS36">
        <v>0</v>
      </c>
      <c r="DT36">
        <v>55</v>
      </c>
      <c r="DU36" t="s">
        <v>474</v>
      </c>
      <c r="DV36" t="s">
        <v>548</v>
      </c>
      <c r="DW36">
        <v>8</v>
      </c>
      <c r="DX36" t="s">
        <v>549</v>
      </c>
      <c r="DY36">
        <v>0</v>
      </c>
      <c r="DZ36">
        <v>19</v>
      </c>
      <c r="EA36" t="s">
        <v>264</v>
      </c>
      <c r="EB36">
        <v>-9999</v>
      </c>
      <c r="EC36">
        <v>104</v>
      </c>
      <c r="ED36">
        <v>126</v>
      </c>
      <c r="EE36">
        <v>102</v>
      </c>
      <c r="EF36" t="s">
        <v>270</v>
      </c>
      <c r="EG36">
        <v>0</v>
      </c>
      <c r="EH36">
        <v>55</v>
      </c>
      <c r="EI36" t="s">
        <v>475</v>
      </c>
      <c r="EJ36" t="s">
        <v>548</v>
      </c>
      <c r="EK36">
        <v>9</v>
      </c>
      <c r="EL36" t="s">
        <v>549</v>
      </c>
      <c r="EM36">
        <v>0</v>
      </c>
      <c r="EN36">
        <v>-6</v>
      </c>
      <c r="EO36" t="s">
        <v>264</v>
      </c>
      <c r="EP36">
        <v>-9999</v>
      </c>
      <c r="EQ36">
        <v>391</v>
      </c>
      <c r="ER36">
        <v>375</v>
      </c>
      <c r="ES36">
        <v>343</v>
      </c>
      <c r="ET36" t="s">
        <v>270</v>
      </c>
      <c r="EU36">
        <v>0</v>
      </c>
      <c r="EV36">
        <v>55</v>
      </c>
      <c r="EW36" t="s">
        <v>551</v>
      </c>
      <c r="EX36" t="s">
        <v>552</v>
      </c>
      <c r="EY36">
        <v>120</v>
      </c>
      <c r="EZ36">
        <v>120</v>
      </c>
      <c r="FA36">
        <v>120</v>
      </c>
      <c r="FB36" t="s">
        <v>270</v>
      </c>
      <c r="FC36" t="s">
        <v>553</v>
      </c>
      <c r="FD36" t="s">
        <v>552</v>
      </c>
      <c r="FE36">
        <v>364</v>
      </c>
      <c r="FF36">
        <v>362</v>
      </c>
      <c r="FG36">
        <v>361</v>
      </c>
      <c r="FH36" t="s">
        <v>270</v>
      </c>
      <c r="FI36" t="s">
        <v>554</v>
      </c>
      <c r="FJ36" t="s">
        <v>555</v>
      </c>
      <c r="FK36">
        <v>0</v>
      </c>
      <c r="FL36">
        <v>0</v>
      </c>
      <c r="FM36">
        <v>0</v>
      </c>
      <c r="FN36" t="s">
        <v>264</v>
      </c>
      <c r="FQ36" t="s">
        <v>556</v>
      </c>
      <c r="FR36" t="s">
        <v>555</v>
      </c>
      <c r="FS36">
        <v>0</v>
      </c>
      <c r="FT36">
        <v>0</v>
      </c>
      <c r="FU36">
        <v>0</v>
      </c>
      <c r="FV36" t="s">
        <v>264</v>
      </c>
      <c r="FY36" t="s">
        <v>557</v>
      </c>
      <c r="FZ36" t="s">
        <v>555</v>
      </c>
      <c r="GA36">
        <v>0</v>
      </c>
      <c r="GB36">
        <v>0</v>
      </c>
      <c r="GC36">
        <v>0</v>
      </c>
      <c r="GD36" t="s">
        <v>264</v>
      </c>
      <c r="GG36" t="s">
        <v>558</v>
      </c>
      <c r="GH36" t="s">
        <v>555</v>
      </c>
      <c r="GI36">
        <v>0</v>
      </c>
      <c r="GJ36">
        <v>0</v>
      </c>
      <c r="GK36">
        <v>0</v>
      </c>
      <c r="GL36" t="s">
        <v>264</v>
      </c>
      <c r="GO36" t="s">
        <v>559</v>
      </c>
      <c r="GP36" t="s">
        <v>555</v>
      </c>
      <c r="GQ36">
        <v>0</v>
      </c>
      <c r="GR36">
        <v>0</v>
      </c>
      <c r="GS36">
        <v>0</v>
      </c>
      <c r="GT36" t="s">
        <v>264</v>
      </c>
      <c r="GW36" t="s">
        <v>560</v>
      </c>
      <c r="GX36" t="s">
        <v>555</v>
      </c>
      <c r="GY36">
        <v>0</v>
      </c>
      <c r="GZ36">
        <v>0</v>
      </c>
      <c r="HA36">
        <v>0</v>
      </c>
      <c r="HB36" t="s">
        <v>264</v>
      </c>
      <c r="HE36" t="s">
        <v>561</v>
      </c>
      <c r="HF36" t="s">
        <v>555</v>
      </c>
      <c r="HG36">
        <v>0</v>
      </c>
      <c r="HH36">
        <v>0</v>
      </c>
      <c r="HI36">
        <v>0</v>
      </c>
      <c r="HJ36" t="s">
        <v>264</v>
      </c>
      <c r="HM36" t="s">
        <v>562</v>
      </c>
      <c r="HN36" t="s">
        <v>555</v>
      </c>
      <c r="HO36">
        <v>0</v>
      </c>
      <c r="HP36">
        <v>0</v>
      </c>
      <c r="HQ36">
        <v>0</v>
      </c>
      <c r="HR36" t="s">
        <v>264</v>
      </c>
      <c r="HU36" t="s">
        <v>563</v>
      </c>
      <c r="HV36" t="s">
        <v>555</v>
      </c>
      <c r="HW36">
        <v>0</v>
      </c>
      <c r="HX36">
        <v>0</v>
      </c>
      <c r="HY36">
        <v>0</v>
      </c>
      <c r="HZ36" t="s">
        <v>264</v>
      </c>
      <c r="IC36" t="s">
        <v>564</v>
      </c>
      <c r="ID36" t="s">
        <v>555</v>
      </c>
      <c r="IE36">
        <v>0</v>
      </c>
      <c r="IF36">
        <v>0</v>
      </c>
      <c r="IG36">
        <v>0</v>
      </c>
      <c r="IH36" t="s">
        <v>264</v>
      </c>
      <c r="IK36" t="s">
        <v>565</v>
      </c>
      <c r="IL36" t="s">
        <v>555</v>
      </c>
      <c r="IM36">
        <v>0</v>
      </c>
      <c r="IN36">
        <v>0</v>
      </c>
      <c r="IO36">
        <v>0</v>
      </c>
      <c r="IP36" t="s">
        <v>264</v>
      </c>
      <c r="IS36" t="s">
        <v>566</v>
      </c>
      <c r="IT36" t="s">
        <v>555</v>
      </c>
      <c r="IU36">
        <v>0</v>
      </c>
      <c r="IV36">
        <v>0</v>
      </c>
      <c r="IW36">
        <v>0</v>
      </c>
      <c r="IX36" t="s">
        <v>264</v>
      </c>
      <c r="JA36" t="s">
        <v>567</v>
      </c>
      <c r="JB36" t="s">
        <v>555</v>
      </c>
      <c r="JC36">
        <v>0</v>
      </c>
      <c r="JD36">
        <v>0</v>
      </c>
      <c r="JE36">
        <v>0</v>
      </c>
      <c r="JF36" t="s">
        <v>264</v>
      </c>
      <c r="JI36" t="s">
        <v>568</v>
      </c>
      <c r="JJ36" t="s">
        <v>555</v>
      </c>
      <c r="JK36">
        <v>0</v>
      </c>
      <c r="JL36">
        <v>0</v>
      </c>
      <c r="JM36">
        <v>0</v>
      </c>
      <c r="JN36" t="s">
        <v>264</v>
      </c>
      <c r="JQ36" t="s">
        <v>569</v>
      </c>
      <c r="JR36" t="s">
        <v>555</v>
      </c>
      <c r="JS36">
        <v>0</v>
      </c>
      <c r="JT36">
        <v>0</v>
      </c>
      <c r="JU36">
        <v>0</v>
      </c>
      <c r="JV36" t="s">
        <v>264</v>
      </c>
      <c r="JY36" t="s">
        <v>570</v>
      </c>
      <c r="JZ36" t="s">
        <v>555</v>
      </c>
      <c r="KA36">
        <v>0</v>
      </c>
      <c r="KB36">
        <v>0</v>
      </c>
      <c r="KC36">
        <v>0</v>
      </c>
      <c r="KD36" t="s">
        <v>264</v>
      </c>
      <c r="KG36" t="s">
        <v>571</v>
      </c>
      <c r="KH36" t="s">
        <v>555</v>
      </c>
      <c r="KI36">
        <v>0</v>
      </c>
      <c r="KJ36">
        <v>0</v>
      </c>
      <c r="KK36">
        <v>0</v>
      </c>
      <c r="KL36" t="s">
        <v>264</v>
      </c>
      <c r="KO36" t="s">
        <v>572</v>
      </c>
      <c r="KP36" t="s">
        <v>555</v>
      </c>
      <c r="KQ36">
        <v>0</v>
      </c>
      <c r="KR36">
        <v>0</v>
      </c>
      <c r="KS36">
        <v>0</v>
      </c>
      <c r="KT36" t="s">
        <v>264</v>
      </c>
      <c r="KW36" t="s">
        <v>573</v>
      </c>
      <c r="KX36" t="s">
        <v>555</v>
      </c>
      <c r="KY36">
        <v>0</v>
      </c>
      <c r="KZ36">
        <v>0</v>
      </c>
      <c r="LA36">
        <v>0</v>
      </c>
      <c r="LB36" t="s">
        <v>264</v>
      </c>
      <c r="LE36" t="s">
        <v>574</v>
      </c>
      <c r="LF36" t="s">
        <v>555</v>
      </c>
      <c r="LG36">
        <v>0</v>
      </c>
      <c r="LH36">
        <v>0</v>
      </c>
      <c r="LI36">
        <v>0</v>
      </c>
      <c r="LJ36" t="s">
        <v>264</v>
      </c>
      <c r="LM36" t="s">
        <v>575</v>
      </c>
      <c r="LN36" t="s">
        <v>555</v>
      </c>
      <c r="LO36">
        <v>0</v>
      </c>
      <c r="LP36">
        <v>0</v>
      </c>
      <c r="LQ36">
        <v>0</v>
      </c>
      <c r="LR36" t="s">
        <v>264</v>
      </c>
      <c r="LU36" t="s">
        <v>576</v>
      </c>
      <c r="LV36" t="s">
        <v>555</v>
      </c>
      <c r="LW36">
        <v>0</v>
      </c>
      <c r="LX36">
        <v>0</v>
      </c>
      <c r="LY36">
        <v>0</v>
      </c>
      <c r="LZ36" t="s">
        <v>264</v>
      </c>
      <c r="MC36" t="s">
        <v>577</v>
      </c>
      <c r="MD36" t="s">
        <v>555</v>
      </c>
      <c r="ME36">
        <v>0</v>
      </c>
      <c r="MF36">
        <v>0</v>
      </c>
      <c r="MG36">
        <v>0</v>
      </c>
      <c r="MH36" t="s">
        <v>264</v>
      </c>
      <c r="MK36" t="s">
        <v>578</v>
      </c>
      <c r="ML36" t="s">
        <v>555</v>
      </c>
      <c r="MM36">
        <v>0</v>
      </c>
      <c r="MN36">
        <v>0</v>
      </c>
      <c r="MO36">
        <v>0</v>
      </c>
      <c r="MP36" t="s">
        <v>264</v>
      </c>
      <c r="MS36" t="s">
        <v>579</v>
      </c>
      <c r="MT36" t="s">
        <v>555</v>
      </c>
      <c r="MU36">
        <v>0</v>
      </c>
      <c r="MV36">
        <v>0</v>
      </c>
      <c r="MW36">
        <v>0</v>
      </c>
      <c r="MX36" t="s">
        <v>264</v>
      </c>
      <c r="NA36" t="s">
        <v>580</v>
      </c>
      <c r="NB36" t="s">
        <v>555</v>
      </c>
      <c r="NC36">
        <v>0</v>
      </c>
      <c r="ND36">
        <v>0</v>
      </c>
      <c r="NE36">
        <v>0</v>
      </c>
      <c r="NF36" t="s">
        <v>264</v>
      </c>
      <c r="NI36">
        <v>40</v>
      </c>
      <c r="NJ36">
        <v>-8.4</v>
      </c>
      <c r="NP36" t="s">
        <v>624</v>
      </c>
    </row>
    <row r="37" spans="1:380" customFormat="1" x14ac:dyDescent="0.2">
      <c r="A37" t="s">
        <v>517</v>
      </c>
      <c r="B37">
        <v>1</v>
      </c>
      <c r="C37" t="s">
        <v>673</v>
      </c>
      <c r="D37">
        <v>646958551</v>
      </c>
      <c r="E37">
        <v>12602</v>
      </c>
      <c r="F37" t="s">
        <v>542</v>
      </c>
      <c r="G37">
        <v>847922</v>
      </c>
      <c r="H37">
        <v>210078516</v>
      </c>
      <c r="I37" t="s">
        <v>622</v>
      </c>
      <c r="J37" t="s">
        <v>674</v>
      </c>
      <c r="K37" t="s">
        <v>545</v>
      </c>
      <c r="L37" t="s">
        <v>294</v>
      </c>
      <c r="M37" t="s">
        <v>546</v>
      </c>
      <c r="N37" t="s">
        <v>468</v>
      </c>
      <c r="O37" t="s">
        <v>547</v>
      </c>
      <c r="P37" t="s">
        <v>270</v>
      </c>
      <c r="Q37">
        <v>26.2</v>
      </c>
      <c r="R37">
        <v>244</v>
      </c>
      <c r="S37" t="s">
        <v>270</v>
      </c>
      <c r="T37">
        <v>-9999</v>
      </c>
      <c r="U37">
        <v>607</v>
      </c>
      <c r="V37">
        <v>627</v>
      </c>
      <c r="W37">
        <v>599</v>
      </c>
      <c r="X37" t="s">
        <v>270</v>
      </c>
      <c r="Y37">
        <v>0</v>
      </c>
      <c r="Z37">
        <v>55</v>
      </c>
      <c r="AA37" t="s">
        <v>469</v>
      </c>
      <c r="AB37" t="s">
        <v>548</v>
      </c>
      <c r="AC37">
        <v>1</v>
      </c>
      <c r="AD37" t="s">
        <v>549</v>
      </c>
      <c r="AE37">
        <v>0</v>
      </c>
      <c r="AF37">
        <v>36</v>
      </c>
      <c r="AG37" t="s">
        <v>264</v>
      </c>
      <c r="AH37">
        <v>-9999</v>
      </c>
      <c r="AI37">
        <v>471</v>
      </c>
      <c r="AJ37">
        <v>584</v>
      </c>
      <c r="AK37">
        <v>470</v>
      </c>
      <c r="AL37" t="s">
        <v>270</v>
      </c>
      <c r="AM37">
        <v>0</v>
      </c>
      <c r="AN37">
        <v>55</v>
      </c>
      <c r="AO37" t="s">
        <v>470</v>
      </c>
      <c r="AP37" t="s">
        <v>548</v>
      </c>
      <c r="AQ37">
        <v>2</v>
      </c>
      <c r="AR37" t="s">
        <v>549</v>
      </c>
      <c r="AS37">
        <v>0</v>
      </c>
      <c r="AT37">
        <v>6</v>
      </c>
      <c r="AU37" t="s">
        <v>264</v>
      </c>
      <c r="AV37">
        <v>-9999</v>
      </c>
      <c r="AW37">
        <v>368</v>
      </c>
      <c r="AX37">
        <v>388</v>
      </c>
      <c r="AY37">
        <v>367</v>
      </c>
      <c r="AZ37" t="s">
        <v>270</v>
      </c>
      <c r="BA37">
        <v>0</v>
      </c>
      <c r="BB37">
        <v>55</v>
      </c>
      <c r="BC37" t="s">
        <v>550</v>
      </c>
      <c r="BD37" t="s">
        <v>548</v>
      </c>
      <c r="BE37">
        <v>3</v>
      </c>
      <c r="BF37" t="s">
        <v>549</v>
      </c>
      <c r="BG37">
        <v>0</v>
      </c>
      <c r="BH37">
        <v>-23</v>
      </c>
      <c r="BI37" t="s">
        <v>264</v>
      </c>
      <c r="BJ37">
        <v>-9999</v>
      </c>
      <c r="BK37">
        <v>137</v>
      </c>
      <c r="BL37">
        <v>175</v>
      </c>
      <c r="BM37">
        <v>138</v>
      </c>
      <c r="BN37" t="s">
        <v>270</v>
      </c>
      <c r="BO37">
        <v>0</v>
      </c>
      <c r="BP37">
        <v>55</v>
      </c>
      <c r="BQ37" t="s">
        <v>504</v>
      </c>
      <c r="BR37" t="s">
        <v>548</v>
      </c>
      <c r="BS37">
        <v>4</v>
      </c>
      <c r="BT37" t="s">
        <v>549</v>
      </c>
      <c r="BU37">
        <v>50.7</v>
      </c>
      <c r="BV37">
        <v>144</v>
      </c>
      <c r="BW37" t="s">
        <v>264</v>
      </c>
      <c r="BX37">
        <v>-9999</v>
      </c>
      <c r="BY37">
        <v>212</v>
      </c>
      <c r="BZ37">
        <v>245</v>
      </c>
      <c r="CA37">
        <v>210</v>
      </c>
      <c r="CB37" t="s">
        <v>270</v>
      </c>
      <c r="CC37">
        <v>0</v>
      </c>
      <c r="CD37">
        <v>55</v>
      </c>
      <c r="CE37" t="s">
        <v>471</v>
      </c>
      <c r="CF37" t="s">
        <v>548</v>
      </c>
      <c r="CG37">
        <v>5</v>
      </c>
      <c r="CH37" t="s">
        <v>549</v>
      </c>
      <c r="CI37">
        <v>49</v>
      </c>
      <c r="CJ37">
        <v>458</v>
      </c>
      <c r="CK37" t="s">
        <v>264</v>
      </c>
      <c r="CL37">
        <v>-9999</v>
      </c>
      <c r="CM37">
        <v>502</v>
      </c>
      <c r="CN37">
        <v>590</v>
      </c>
      <c r="CO37">
        <v>501</v>
      </c>
      <c r="CP37" t="s">
        <v>270</v>
      </c>
      <c r="CQ37">
        <v>0</v>
      </c>
      <c r="CR37">
        <v>55</v>
      </c>
      <c r="CS37" t="s">
        <v>472</v>
      </c>
      <c r="CT37" t="s">
        <v>548</v>
      </c>
      <c r="CU37">
        <v>6</v>
      </c>
      <c r="CV37" t="s">
        <v>549</v>
      </c>
      <c r="CW37">
        <v>50</v>
      </c>
      <c r="CX37">
        <v>241</v>
      </c>
      <c r="CY37" t="s">
        <v>264</v>
      </c>
      <c r="CZ37">
        <v>-9999</v>
      </c>
      <c r="DA37">
        <v>630</v>
      </c>
      <c r="DB37">
        <v>716</v>
      </c>
      <c r="DC37">
        <v>622</v>
      </c>
      <c r="DD37" t="s">
        <v>270</v>
      </c>
      <c r="DE37">
        <v>0</v>
      </c>
      <c r="DF37">
        <v>55</v>
      </c>
      <c r="DG37" t="s">
        <v>473</v>
      </c>
      <c r="DH37" t="s">
        <v>548</v>
      </c>
      <c r="DI37">
        <v>7</v>
      </c>
      <c r="DJ37" t="s">
        <v>549</v>
      </c>
      <c r="DK37">
        <v>0</v>
      </c>
      <c r="DL37">
        <v>42</v>
      </c>
      <c r="DM37" t="s">
        <v>264</v>
      </c>
      <c r="DN37">
        <v>-9999</v>
      </c>
      <c r="DO37">
        <v>545</v>
      </c>
      <c r="DP37">
        <v>623</v>
      </c>
      <c r="DQ37">
        <v>543</v>
      </c>
      <c r="DR37" t="s">
        <v>270</v>
      </c>
      <c r="DS37">
        <v>0</v>
      </c>
      <c r="DT37">
        <v>55</v>
      </c>
      <c r="DU37" t="s">
        <v>474</v>
      </c>
      <c r="DV37" t="s">
        <v>548</v>
      </c>
      <c r="DW37">
        <v>8</v>
      </c>
      <c r="DX37" t="s">
        <v>549</v>
      </c>
      <c r="DY37">
        <v>50.4</v>
      </c>
      <c r="DZ37">
        <v>35</v>
      </c>
      <c r="EA37" t="s">
        <v>264</v>
      </c>
      <c r="EB37">
        <v>-9999</v>
      </c>
      <c r="EC37">
        <v>101</v>
      </c>
      <c r="ED37">
        <v>122</v>
      </c>
      <c r="EE37">
        <v>100</v>
      </c>
      <c r="EF37" t="s">
        <v>270</v>
      </c>
      <c r="EG37">
        <v>0</v>
      </c>
      <c r="EH37">
        <v>55</v>
      </c>
      <c r="EI37" t="s">
        <v>475</v>
      </c>
      <c r="EJ37" t="s">
        <v>548</v>
      </c>
      <c r="EK37">
        <v>9</v>
      </c>
      <c r="EL37" t="s">
        <v>549</v>
      </c>
      <c r="EM37">
        <v>0</v>
      </c>
      <c r="EN37">
        <v>8</v>
      </c>
      <c r="EO37" t="s">
        <v>264</v>
      </c>
      <c r="EP37">
        <v>-9999</v>
      </c>
      <c r="EQ37">
        <v>338</v>
      </c>
      <c r="ER37">
        <v>324</v>
      </c>
      <c r="ES37">
        <v>302</v>
      </c>
      <c r="ET37" t="s">
        <v>270</v>
      </c>
      <c r="EU37">
        <v>0</v>
      </c>
      <c r="EV37">
        <v>55</v>
      </c>
      <c r="EW37" t="s">
        <v>551</v>
      </c>
      <c r="EX37" t="s">
        <v>552</v>
      </c>
      <c r="EY37">
        <v>148</v>
      </c>
      <c r="EZ37">
        <v>149</v>
      </c>
      <c r="FA37">
        <v>150</v>
      </c>
      <c r="FB37" t="s">
        <v>270</v>
      </c>
      <c r="FC37" t="s">
        <v>553</v>
      </c>
      <c r="FD37" t="s">
        <v>552</v>
      </c>
      <c r="FE37">
        <v>277</v>
      </c>
      <c r="FF37">
        <v>276</v>
      </c>
      <c r="FG37">
        <v>276</v>
      </c>
      <c r="FH37" t="s">
        <v>270</v>
      </c>
      <c r="FI37" t="s">
        <v>554</v>
      </c>
      <c r="FJ37" t="s">
        <v>555</v>
      </c>
      <c r="FK37">
        <v>0</v>
      </c>
      <c r="FL37">
        <v>0</v>
      </c>
      <c r="FM37">
        <v>0</v>
      </c>
      <c r="FN37" t="s">
        <v>264</v>
      </c>
      <c r="FQ37" t="s">
        <v>556</v>
      </c>
      <c r="FR37" t="s">
        <v>555</v>
      </c>
      <c r="FS37">
        <v>0</v>
      </c>
      <c r="FT37">
        <v>0</v>
      </c>
      <c r="FU37">
        <v>0</v>
      </c>
      <c r="FV37" t="s">
        <v>264</v>
      </c>
      <c r="FY37" t="s">
        <v>557</v>
      </c>
      <c r="FZ37" t="s">
        <v>555</v>
      </c>
      <c r="GA37">
        <v>0</v>
      </c>
      <c r="GB37">
        <v>0</v>
      </c>
      <c r="GC37">
        <v>0</v>
      </c>
      <c r="GD37" t="s">
        <v>264</v>
      </c>
      <c r="GG37" t="s">
        <v>558</v>
      </c>
      <c r="GH37" t="s">
        <v>555</v>
      </c>
      <c r="GI37">
        <v>0</v>
      </c>
      <c r="GJ37">
        <v>0</v>
      </c>
      <c r="GK37">
        <v>0</v>
      </c>
      <c r="GL37" t="s">
        <v>264</v>
      </c>
      <c r="GO37" t="s">
        <v>559</v>
      </c>
      <c r="GP37" t="s">
        <v>555</v>
      </c>
      <c r="GQ37">
        <v>0</v>
      </c>
      <c r="GR37">
        <v>0</v>
      </c>
      <c r="GS37">
        <v>0</v>
      </c>
      <c r="GT37" t="s">
        <v>264</v>
      </c>
      <c r="GW37" t="s">
        <v>560</v>
      </c>
      <c r="GX37" t="s">
        <v>555</v>
      </c>
      <c r="GY37">
        <v>0</v>
      </c>
      <c r="GZ37">
        <v>0</v>
      </c>
      <c r="HA37">
        <v>0</v>
      </c>
      <c r="HB37" t="s">
        <v>264</v>
      </c>
      <c r="HE37" t="s">
        <v>561</v>
      </c>
      <c r="HF37" t="s">
        <v>555</v>
      </c>
      <c r="HG37">
        <v>0</v>
      </c>
      <c r="HH37">
        <v>0</v>
      </c>
      <c r="HI37">
        <v>0</v>
      </c>
      <c r="HJ37" t="s">
        <v>264</v>
      </c>
      <c r="HM37" t="s">
        <v>562</v>
      </c>
      <c r="HN37" t="s">
        <v>555</v>
      </c>
      <c r="HO37">
        <v>0</v>
      </c>
      <c r="HP37">
        <v>0</v>
      </c>
      <c r="HQ37">
        <v>0</v>
      </c>
      <c r="HR37" t="s">
        <v>264</v>
      </c>
      <c r="HU37" t="s">
        <v>563</v>
      </c>
      <c r="HV37" t="s">
        <v>555</v>
      </c>
      <c r="HW37">
        <v>0</v>
      </c>
      <c r="HX37">
        <v>0</v>
      </c>
      <c r="HY37">
        <v>0</v>
      </c>
      <c r="HZ37" t="s">
        <v>264</v>
      </c>
      <c r="IC37" t="s">
        <v>564</v>
      </c>
      <c r="ID37" t="s">
        <v>555</v>
      </c>
      <c r="IE37">
        <v>0</v>
      </c>
      <c r="IF37">
        <v>0</v>
      </c>
      <c r="IG37">
        <v>0</v>
      </c>
      <c r="IH37" t="s">
        <v>264</v>
      </c>
      <c r="IK37" t="s">
        <v>565</v>
      </c>
      <c r="IL37" t="s">
        <v>555</v>
      </c>
      <c r="IM37">
        <v>0</v>
      </c>
      <c r="IN37">
        <v>0</v>
      </c>
      <c r="IO37">
        <v>0</v>
      </c>
      <c r="IP37" t="s">
        <v>264</v>
      </c>
      <c r="IS37" t="s">
        <v>566</v>
      </c>
      <c r="IT37" t="s">
        <v>555</v>
      </c>
      <c r="IU37">
        <v>0</v>
      </c>
      <c r="IV37">
        <v>0</v>
      </c>
      <c r="IW37">
        <v>0</v>
      </c>
      <c r="IX37" t="s">
        <v>264</v>
      </c>
      <c r="JA37" t="s">
        <v>567</v>
      </c>
      <c r="JB37" t="s">
        <v>555</v>
      </c>
      <c r="JC37">
        <v>0</v>
      </c>
      <c r="JD37">
        <v>0</v>
      </c>
      <c r="JE37">
        <v>0</v>
      </c>
      <c r="JF37" t="s">
        <v>264</v>
      </c>
      <c r="JI37" t="s">
        <v>568</v>
      </c>
      <c r="JJ37" t="s">
        <v>555</v>
      </c>
      <c r="JK37">
        <v>0</v>
      </c>
      <c r="JL37">
        <v>0</v>
      </c>
      <c r="JM37">
        <v>0</v>
      </c>
      <c r="JN37" t="s">
        <v>264</v>
      </c>
      <c r="JQ37" t="s">
        <v>569</v>
      </c>
      <c r="JR37" t="s">
        <v>555</v>
      </c>
      <c r="JS37">
        <v>0</v>
      </c>
      <c r="JT37">
        <v>0</v>
      </c>
      <c r="JU37">
        <v>0</v>
      </c>
      <c r="JV37" t="s">
        <v>264</v>
      </c>
      <c r="JY37" t="s">
        <v>570</v>
      </c>
      <c r="JZ37" t="s">
        <v>555</v>
      </c>
      <c r="KA37">
        <v>0</v>
      </c>
      <c r="KB37">
        <v>0</v>
      </c>
      <c r="KC37">
        <v>0</v>
      </c>
      <c r="KD37" t="s">
        <v>264</v>
      </c>
      <c r="KG37" t="s">
        <v>571</v>
      </c>
      <c r="KH37" t="s">
        <v>555</v>
      </c>
      <c r="KI37">
        <v>0</v>
      </c>
      <c r="KJ37">
        <v>0</v>
      </c>
      <c r="KK37">
        <v>0</v>
      </c>
      <c r="KL37" t="s">
        <v>264</v>
      </c>
      <c r="KO37" t="s">
        <v>572</v>
      </c>
      <c r="KP37" t="s">
        <v>555</v>
      </c>
      <c r="KQ37">
        <v>0</v>
      </c>
      <c r="KR37">
        <v>0</v>
      </c>
      <c r="KS37">
        <v>0</v>
      </c>
      <c r="KT37" t="s">
        <v>264</v>
      </c>
      <c r="KW37" t="s">
        <v>573</v>
      </c>
      <c r="KX37" t="s">
        <v>555</v>
      </c>
      <c r="KY37">
        <v>0</v>
      </c>
      <c r="KZ37">
        <v>0</v>
      </c>
      <c r="LA37">
        <v>0</v>
      </c>
      <c r="LB37" t="s">
        <v>264</v>
      </c>
      <c r="LE37" t="s">
        <v>574</v>
      </c>
      <c r="LF37" t="s">
        <v>555</v>
      </c>
      <c r="LG37">
        <v>0</v>
      </c>
      <c r="LH37">
        <v>0</v>
      </c>
      <c r="LI37">
        <v>0</v>
      </c>
      <c r="LJ37" t="s">
        <v>264</v>
      </c>
      <c r="LM37" t="s">
        <v>575</v>
      </c>
      <c r="LN37" t="s">
        <v>555</v>
      </c>
      <c r="LO37">
        <v>0</v>
      </c>
      <c r="LP37">
        <v>0</v>
      </c>
      <c r="LQ37">
        <v>0</v>
      </c>
      <c r="LR37" t="s">
        <v>264</v>
      </c>
      <c r="LU37" t="s">
        <v>576</v>
      </c>
      <c r="LV37" t="s">
        <v>555</v>
      </c>
      <c r="LW37">
        <v>0</v>
      </c>
      <c r="LX37">
        <v>0</v>
      </c>
      <c r="LY37">
        <v>0</v>
      </c>
      <c r="LZ37" t="s">
        <v>264</v>
      </c>
      <c r="MC37" t="s">
        <v>577</v>
      </c>
      <c r="MD37" t="s">
        <v>555</v>
      </c>
      <c r="ME37">
        <v>0</v>
      </c>
      <c r="MF37">
        <v>0</v>
      </c>
      <c r="MG37">
        <v>0</v>
      </c>
      <c r="MH37" t="s">
        <v>264</v>
      </c>
      <c r="MK37" t="s">
        <v>578</v>
      </c>
      <c r="ML37" t="s">
        <v>555</v>
      </c>
      <c r="MM37">
        <v>0</v>
      </c>
      <c r="MN37">
        <v>0</v>
      </c>
      <c r="MO37">
        <v>0</v>
      </c>
      <c r="MP37" t="s">
        <v>264</v>
      </c>
      <c r="MS37" t="s">
        <v>579</v>
      </c>
      <c r="MT37" t="s">
        <v>555</v>
      </c>
      <c r="MU37">
        <v>0</v>
      </c>
      <c r="MV37">
        <v>0</v>
      </c>
      <c r="MW37">
        <v>0</v>
      </c>
      <c r="MX37" t="s">
        <v>264</v>
      </c>
      <c r="NA37" t="s">
        <v>580</v>
      </c>
      <c r="NB37" t="s">
        <v>555</v>
      </c>
      <c r="NC37">
        <v>0</v>
      </c>
      <c r="ND37">
        <v>0</v>
      </c>
      <c r="NE37">
        <v>0</v>
      </c>
      <c r="NF37" t="s">
        <v>264</v>
      </c>
      <c r="NI37">
        <v>40</v>
      </c>
      <c r="NJ37">
        <v>-7.1</v>
      </c>
      <c r="NP37" t="s">
        <v>624</v>
      </c>
    </row>
    <row r="38" spans="1:380" customFormat="1" x14ac:dyDescent="0.2">
      <c r="A38" t="s">
        <v>517</v>
      </c>
      <c r="B38">
        <v>1</v>
      </c>
      <c r="C38" t="s">
        <v>675</v>
      </c>
      <c r="D38">
        <v>646958975</v>
      </c>
      <c r="E38">
        <v>12602</v>
      </c>
      <c r="F38" t="s">
        <v>542</v>
      </c>
      <c r="G38">
        <v>847922</v>
      </c>
      <c r="H38">
        <v>210066921</v>
      </c>
      <c r="I38" t="s">
        <v>622</v>
      </c>
      <c r="J38" t="s">
        <v>676</v>
      </c>
      <c r="K38" t="s">
        <v>545</v>
      </c>
      <c r="L38" t="s">
        <v>294</v>
      </c>
      <c r="M38" t="s">
        <v>546</v>
      </c>
      <c r="N38" t="s">
        <v>468</v>
      </c>
      <c r="O38" t="s">
        <v>547</v>
      </c>
      <c r="P38" t="s">
        <v>270</v>
      </c>
      <c r="Q38">
        <v>27</v>
      </c>
      <c r="R38">
        <v>205</v>
      </c>
      <c r="S38" t="s">
        <v>270</v>
      </c>
      <c r="T38">
        <v>-9999</v>
      </c>
      <c r="U38">
        <v>712</v>
      </c>
      <c r="V38">
        <v>735</v>
      </c>
      <c r="W38">
        <v>702</v>
      </c>
      <c r="X38" t="s">
        <v>270</v>
      </c>
      <c r="Y38">
        <v>0</v>
      </c>
      <c r="Z38">
        <v>55</v>
      </c>
      <c r="AA38" t="s">
        <v>469</v>
      </c>
      <c r="AB38" t="s">
        <v>548</v>
      </c>
      <c r="AC38">
        <v>1</v>
      </c>
      <c r="AD38" t="s">
        <v>549</v>
      </c>
      <c r="AE38">
        <v>0</v>
      </c>
      <c r="AF38">
        <v>44</v>
      </c>
      <c r="AG38" t="s">
        <v>264</v>
      </c>
      <c r="AH38">
        <v>-9999</v>
      </c>
      <c r="AI38">
        <v>418</v>
      </c>
      <c r="AJ38">
        <v>532</v>
      </c>
      <c r="AK38">
        <v>420</v>
      </c>
      <c r="AL38" t="s">
        <v>270</v>
      </c>
      <c r="AM38">
        <v>0</v>
      </c>
      <c r="AN38">
        <v>55</v>
      </c>
      <c r="AO38" t="s">
        <v>470</v>
      </c>
      <c r="AP38" t="s">
        <v>548</v>
      </c>
      <c r="AQ38">
        <v>2</v>
      </c>
      <c r="AR38" t="s">
        <v>549</v>
      </c>
      <c r="AS38">
        <v>54.7</v>
      </c>
      <c r="AT38">
        <v>45</v>
      </c>
      <c r="AU38" t="s">
        <v>264</v>
      </c>
      <c r="AV38">
        <v>-9999</v>
      </c>
      <c r="AW38">
        <v>405</v>
      </c>
      <c r="AX38">
        <v>426</v>
      </c>
      <c r="AY38">
        <v>403</v>
      </c>
      <c r="AZ38" t="s">
        <v>270</v>
      </c>
      <c r="BA38">
        <v>0</v>
      </c>
      <c r="BB38">
        <v>55</v>
      </c>
      <c r="BC38" t="s">
        <v>550</v>
      </c>
      <c r="BD38" t="s">
        <v>548</v>
      </c>
      <c r="BE38">
        <v>3</v>
      </c>
      <c r="BF38" t="s">
        <v>549</v>
      </c>
      <c r="BG38">
        <v>0</v>
      </c>
      <c r="BH38">
        <v>-5</v>
      </c>
      <c r="BI38" t="s">
        <v>264</v>
      </c>
      <c r="BJ38">
        <v>-9999</v>
      </c>
      <c r="BK38">
        <v>273</v>
      </c>
      <c r="BL38">
        <v>327</v>
      </c>
      <c r="BM38">
        <v>269</v>
      </c>
      <c r="BN38" t="s">
        <v>270</v>
      </c>
      <c r="BO38">
        <v>0</v>
      </c>
      <c r="BP38">
        <v>55</v>
      </c>
      <c r="BQ38" t="s">
        <v>504</v>
      </c>
      <c r="BR38" t="s">
        <v>548</v>
      </c>
      <c r="BS38">
        <v>4</v>
      </c>
      <c r="BT38" t="s">
        <v>549</v>
      </c>
      <c r="BU38">
        <v>51.8</v>
      </c>
      <c r="BV38">
        <v>86</v>
      </c>
      <c r="BW38" t="s">
        <v>264</v>
      </c>
      <c r="BX38">
        <v>-9999</v>
      </c>
      <c r="BY38">
        <v>213</v>
      </c>
      <c r="BZ38">
        <v>246</v>
      </c>
      <c r="CA38">
        <v>211</v>
      </c>
      <c r="CB38" t="s">
        <v>270</v>
      </c>
      <c r="CC38">
        <v>0</v>
      </c>
      <c r="CD38">
        <v>55</v>
      </c>
      <c r="CE38" t="s">
        <v>471</v>
      </c>
      <c r="CF38" t="s">
        <v>548</v>
      </c>
      <c r="CG38">
        <v>5</v>
      </c>
      <c r="CH38" t="s">
        <v>549</v>
      </c>
      <c r="CI38">
        <v>51.7</v>
      </c>
      <c r="CJ38">
        <v>179</v>
      </c>
      <c r="CK38" t="s">
        <v>264</v>
      </c>
      <c r="CL38">
        <v>-9999</v>
      </c>
      <c r="CM38">
        <v>498</v>
      </c>
      <c r="CN38">
        <v>581</v>
      </c>
      <c r="CO38">
        <v>498</v>
      </c>
      <c r="CP38" t="s">
        <v>270</v>
      </c>
      <c r="CQ38">
        <v>0</v>
      </c>
      <c r="CR38">
        <v>55</v>
      </c>
      <c r="CS38" t="s">
        <v>472</v>
      </c>
      <c r="CT38" t="s">
        <v>548</v>
      </c>
      <c r="CU38">
        <v>6</v>
      </c>
      <c r="CV38" t="s">
        <v>549</v>
      </c>
      <c r="CW38">
        <v>53.9</v>
      </c>
      <c r="CX38">
        <v>80</v>
      </c>
      <c r="CY38" t="s">
        <v>264</v>
      </c>
      <c r="CZ38">
        <v>-9999</v>
      </c>
      <c r="DA38">
        <v>743</v>
      </c>
      <c r="DB38">
        <v>841</v>
      </c>
      <c r="DC38">
        <v>732</v>
      </c>
      <c r="DD38" t="s">
        <v>270</v>
      </c>
      <c r="DE38">
        <v>0</v>
      </c>
      <c r="DF38">
        <v>55</v>
      </c>
      <c r="DG38" t="s">
        <v>473</v>
      </c>
      <c r="DH38" t="s">
        <v>548</v>
      </c>
      <c r="DI38">
        <v>7</v>
      </c>
      <c r="DJ38" t="s">
        <v>549</v>
      </c>
      <c r="DK38">
        <v>53</v>
      </c>
      <c r="DL38">
        <v>55</v>
      </c>
      <c r="DM38" t="s">
        <v>264</v>
      </c>
      <c r="DN38">
        <v>-9999</v>
      </c>
      <c r="DO38">
        <v>529</v>
      </c>
      <c r="DP38">
        <v>602</v>
      </c>
      <c r="DQ38">
        <v>527</v>
      </c>
      <c r="DR38" t="s">
        <v>270</v>
      </c>
      <c r="DS38">
        <v>0</v>
      </c>
      <c r="DT38">
        <v>55</v>
      </c>
      <c r="DU38" t="s">
        <v>474</v>
      </c>
      <c r="DV38" t="s">
        <v>548</v>
      </c>
      <c r="DW38">
        <v>8</v>
      </c>
      <c r="DX38" t="s">
        <v>549</v>
      </c>
      <c r="DY38">
        <v>0</v>
      </c>
      <c r="DZ38">
        <v>4</v>
      </c>
      <c r="EA38" t="s">
        <v>264</v>
      </c>
      <c r="EB38">
        <v>-9999</v>
      </c>
      <c r="EC38">
        <v>117</v>
      </c>
      <c r="ED38">
        <v>143</v>
      </c>
      <c r="EE38">
        <v>115</v>
      </c>
      <c r="EF38" t="s">
        <v>270</v>
      </c>
      <c r="EG38">
        <v>0</v>
      </c>
      <c r="EH38">
        <v>55</v>
      </c>
      <c r="EI38" t="s">
        <v>475</v>
      </c>
      <c r="EJ38" t="s">
        <v>548</v>
      </c>
      <c r="EK38">
        <v>9</v>
      </c>
      <c r="EL38" t="s">
        <v>549</v>
      </c>
      <c r="EM38">
        <v>0</v>
      </c>
      <c r="EN38">
        <v>16</v>
      </c>
      <c r="EO38" t="s">
        <v>264</v>
      </c>
      <c r="EP38">
        <v>-9999</v>
      </c>
      <c r="EQ38">
        <v>294</v>
      </c>
      <c r="ER38">
        <v>275</v>
      </c>
      <c r="ES38">
        <v>256</v>
      </c>
      <c r="ET38" t="s">
        <v>270</v>
      </c>
      <c r="EU38">
        <v>0</v>
      </c>
      <c r="EV38">
        <v>55</v>
      </c>
      <c r="EW38" t="s">
        <v>551</v>
      </c>
      <c r="EX38" t="s">
        <v>552</v>
      </c>
      <c r="EY38">
        <v>159</v>
      </c>
      <c r="EZ38">
        <v>160</v>
      </c>
      <c r="FA38">
        <v>160</v>
      </c>
      <c r="FB38" t="s">
        <v>270</v>
      </c>
      <c r="FC38" t="s">
        <v>553</v>
      </c>
      <c r="FD38" t="s">
        <v>552</v>
      </c>
      <c r="FE38">
        <v>322</v>
      </c>
      <c r="FF38">
        <v>321</v>
      </c>
      <c r="FG38">
        <v>320</v>
      </c>
      <c r="FH38" t="s">
        <v>270</v>
      </c>
      <c r="FI38" t="s">
        <v>554</v>
      </c>
      <c r="FJ38" t="s">
        <v>555</v>
      </c>
      <c r="FK38">
        <v>0</v>
      </c>
      <c r="FL38">
        <v>0</v>
      </c>
      <c r="FM38">
        <v>0</v>
      </c>
      <c r="FN38" t="s">
        <v>264</v>
      </c>
      <c r="FQ38" t="s">
        <v>556</v>
      </c>
      <c r="FR38" t="s">
        <v>555</v>
      </c>
      <c r="FS38">
        <v>0</v>
      </c>
      <c r="FT38">
        <v>0</v>
      </c>
      <c r="FU38">
        <v>0</v>
      </c>
      <c r="FV38" t="s">
        <v>264</v>
      </c>
      <c r="FY38" t="s">
        <v>557</v>
      </c>
      <c r="FZ38" t="s">
        <v>555</v>
      </c>
      <c r="GA38">
        <v>0</v>
      </c>
      <c r="GB38">
        <v>0</v>
      </c>
      <c r="GC38">
        <v>0</v>
      </c>
      <c r="GD38" t="s">
        <v>264</v>
      </c>
      <c r="GG38" t="s">
        <v>558</v>
      </c>
      <c r="GH38" t="s">
        <v>555</v>
      </c>
      <c r="GI38">
        <v>0</v>
      </c>
      <c r="GJ38">
        <v>0</v>
      </c>
      <c r="GK38">
        <v>0</v>
      </c>
      <c r="GL38" t="s">
        <v>264</v>
      </c>
      <c r="GO38" t="s">
        <v>559</v>
      </c>
      <c r="GP38" t="s">
        <v>555</v>
      </c>
      <c r="GQ38">
        <v>0</v>
      </c>
      <c r="GR38">
        <v>0</v>
      </c>
      <c r="GS38">
        <v>0</v>
      </c>
      <c r="GT38" t="s">
        <v>264</v>
      </c>
      <c r="GW38" t="s">
        <v>560</v>
      </c>
      <c r="GX38" t="s">
        <v>555</v>
      </c>
      <c r="GY38">
        <v>0</v>
      </c>
      <c r="GZ38">
        <v>0</v>
      </c>
      <c r="HA38">
        <v>0</v>
      </c>
      <c r="HB38" t="s">
        <v>264</v>
      </c>
      <c r="HE38" t="s">
        <v>561</v>
      </c>
      <c r="HF38" t="s">
        <v>555</v>
      </c>
      <c r="HG38">
        <v>0</v>
      </c>
      <c r="HH38">
        <v>0</v>
      </c>
      <c r="HI38">
        <v>0</v>
      </c>
      <c r="HJ38" t="s">
        <v>264</v>
      </c>
      <c r="HM38" t="s">
        <v>562</v>
      </c>
      <c r="HN38" t="s">
        <v>555</v>
      </c>
      <c r="HO38">
        <v>0</v>
      </c>
      <c r="HP38">
        <v>0</v>
      </c>
      <c r="HQ38">
        <v>0</v>
      </c>
      <c r="HR38" t="s">
        <v>264</v>
      </c>
      <c r="HU38" t="s">
        <v>563</v>
      </c>
      <c r="HV38" t="s">
        <v>555</v>
      </c>
      <c r="HW38">
        <v>0</v>
      </c>
      <c r="HX38">
        <v>0</v>
      </c>
      <c r="HY38">
        <v>0</v>
      </c>
      <c r="HZ38" t="s">
        <v>264</v>
      </c>
      <c r="IC38" t="s">
        <v>564</v>
      </c>
      <c r="ID38" t="s">
        <v>555</v>
      </c>
      <c r="IE38">
        <v>0</v>
      </c>
      <c r="IF38">
        <v>0</v>
      </c>
      <c r="IG38">
        <v>0</v>
      </c>
      <c r="IH38" t="s">
        <v>264</v>
      </c>
      <c r="IK38" t="s">
        <v>565</v>
      </c>
      <c r="IL38" t="s">
        <v>555</v>
      </c>
      <c r="IM38">
        <v>0</v>
      </c>
      <c r="IN38">
        <v>0</v>
      </c>
      <c r="IO38">
        <v>0</v>
      </c>
      <c r="IP38" t="s">
        <v>264</v>
      </c>
      <c r="IS38" t="s">
        <v>566</v>
      </c>
      <c r="IT38" t="s">
        <v>555</v>
      </c>
      <c r="IU38">
        <v>0</v>
      </c>
      <c r="IV38">
        <v>0</v>
      </c>
      <c r="IW38">
        <v>0</v>
      </c>
      <c r="IX38" t="s">
        <v>264</v>
      </c>
      <c r="JA38" t="s">
        <v>567</v>
      </c>
      <c r="JB38" t="s">
        <v>555</v>
      </c>
      <c r="JC38">
        <v>0</v>
      </c>
      <c r="JD38">
        <v>0</v>
      </c>
      <c r="JE38">
        <v>0</v>
      </c>
      <c r="JF38" t="s">
        <v>264</v>
      </c>
      <c r="JI38" t="s">
        <v>568</v>
      </c>
      <c r="JJ38" t="s">
        <v>555</v>
      </c>
      <c r="JK38">
        <v>0</v>
      </c>
      <c r="JL38">
        <v>0</v>
      </c>
      <c r="JM38">
        <v>0</v>
      </c>
      <c r="JN38" t="s">
        <v>264</v>
      </c>
      <c r="JQ38" t="s">
        <v>569</v>
      </c>
      <c r="JR38" t="s">
        <v>555</v>
      </c>
      <c r="JS38">
        <v>0</v>
      </c>
      <c r="JT38">
        <v>0</v>
      </c>
      <c r="JU38">
        <v>0</v>
      </c>
      <c r="JV38" t="s">
        <v>264</v>
      </c>
      <c r="JY38" t="s">
        <v>570</v>
      </c>
      <c r="JZ38" t="s">
        <v>555</v>
      </c>
      <c r="KA38">
        <v>0</v>
      </c>
      <c r="KB38">
        <v>0</v>
      </c>
      <c r="KC38">
        <v>0</v>
      </c>
      <c r="KD38" t="s">
        <v>264</v>
      </c>
      <c r="KG38" t="s">
        <v>571</v>
      </c>
      <c r="KH38" t="s">
        <v>555</v>
      </c>
      <c r="KI38">
        <v>0</v>
      </c>
      <c r="KJ38">
        <v>0</v>
      </c>
      <c r="KK38">
        <v>0</v>
      </c>
      <c r="KL38" t="s">
        <v>264</v>
      </c>
      <c r="KO38" t="s">
        <v>572</v>
      </c>
      <c r="KP38" t="s">
        <v>555</v>
      </c>
      <c r="KQ38">
        <v>0</v>
      </c>
      <c r="KR38">
        <v>0</v>
      </c>
      <c r="KS38">
        <v>0</v>
      </c>
      <c r="KT38" t="s">
        <v>264</v>
      </c>
      <c r="KW38" t="s">
        <v>573</v>
      </c>
      <c r="KX38" t="s">
        <v>555</v>
      </c>
      <c r="KY38">
        <v>0</v>
      </c>
      <c r="KZ38">
        <v>0</v>
      </c>
      <c r="LA38">
        <v>0</v>
      </c>
      <c r="LB38" t="s">
        <v>264</v>
      </c>
      <c r="LE38" t="s">
        <v>574</v>
      </c>
      <c r="LF38" t="s">
        <v>555</v>
      </c>
      <c r="LG38">
        <v>0</v>
      </c>
      <c r="LH38">
        <v>0</v>
      </c>
      <c r="LI38">
        <v>0</v>
      </c>
      <c r="LJ38" t="s">
        <v>264</v>
      </c>
      <c r="LM38" t="s">
        <v>575</v>
      </c>
      <c r="LN38" t="s">
        <v>555</v>
      </c>
      <c r="LO38">
        <v>0</v>
      </c>
      <c r="LP38">
        <v>0</v>
      </c>
      <c r="LQ38">
        <v>0</v>
      </c>
      <c r="LR38" t="s">
        <v>264</v>
      </c>
      <c r="LU38" t="s">
        <v>576</v>
      </c>
      <c r="LV38" t="s">
        <v>555</v>
      </c>
      <c r="LW38">
        <v>0</v>
      </c>
      <c r="LX38">
        <v>0</v>
      </c>
      <c r="LY38">
        <v>0</v>
      </c>
      <c r="LZ38" t="s">
        <v>264</v>
      </c>
      <c r="MC38" t="s">
        <v>577</v>
      </c>
      <c r="MD38" t="s">
        <v>555</v>
      </c>
      <c r="ME38">
        <v>0</v>
      </c>
      <c r="MF38">
        <v>0</v>
      </c>
      <c r="MG38">
        <v>0</v>
      </c>
      <c r="MH38" t="s">
        <v>264</v>
      </c>
      <c r="MK38" t="s">
        <v>578</v>
      </c>
      <c r="ML38" t="s">
        <v>555</v>
      </c>
      <c r="MM38">
        <v>0</v>
      </c>
      <c r="MN38">
        <v>0</v>
      </c>
      <c r="MO38">
        <v>0</v>
      </c>
      <c r="MP38" t="s">
        <v>264</v>
      </c>
      <c r="MS38" t="s">
        <v>579</v>
      </c>
      <c r="MT38" t="s">
        <v>555</v>
      </c>
      <c r="MU38">
        <v>0</v>
      </c>
      <c r="MV38">
        <v>0</v>
      </c>
      <c r="MW38">
        <v>0</v>
      </c>
      <c r="MX38" t="s">
        <v>264</v>
      </c>
      <c r="NA38" t="s">
        <v>580</v>
      </c>
      <c r="NB38" t="s">
        <v>555</v>
      </c>
      <c r="NC38">
        <v>0</v>
      </c>
      <c r="ND38">
        <v>0</v>
      </c>
      <c r="NE38">
        <v>0</v>
      </c>
      <c r="NF38" t="s">
        <v>264</v>
      </c>
      <c r="NI38">
        <v>40</v>
      </c>
      <c r="NJ38">
        <v>-8.4</v>
      </c>
      <c r="NP38" t="s">
        <v>624</v>
      </c>
    </row>
    <row r="39" spans="1:380" customFormat="1" x14ac:dyDescent="0.2">
      <c r="A39" t="s">
        <v>517</v>
      </c>
      <c r="B39">
        <v>1</v>
      </c>
      <c r="C39" t="s">
        <v>677</v>
      </c>
      <c r="D39">
        <v>646958811</v>
      </c>
      <c r="E39">
        <v>12602</v>
      </c>
      <c r="F39" t="s">
        <v>542</v>
      </c>
      <c r="G39">
        <v>847922</v>
      </c>
      <c r="H39">
        <v>210069957</v>
      </c>
      <c r="I39" t="s">
        <v>622</v>
      </c>
      <c r="J39" t="s">
        <v>678</v>
      </c>
      <c r="K39" t="s">
        <v>545</v>
      </c>
      <c r="L39" t="s">
        <v>294</v>
      </c>
      <c r="M39" t="s">
        <v>546</v>
      </c>
      <c r="N39" t="s">
        <v>468</v>
      </c>
      <c r="O39" t="s">
        <v>547</v>
      </c>
      <c r="P39" t="s">
        <v>270</v>
      </c>
      <c r="Q39">
        <v>26.7</v>
      </c>
      <c r="R39">
        <v>255</v>
      </c>
      <c r="S39" t="s">
        <v>270</v>
      </c>
      <c r="T39">
        <v>-9999</v>
      </c>
      <c r="U39">
        <v>647</v>
      </c>
      <c r="V39">
        <v>668</v>
      </c>
      <c r="W39">
        <v>635</v>
      </c>
      <c r="X39" t="s">
        <v>270</v>
      </c>
      <c r="Y39">
        <v>0</v>
      </c>
      <c r="Z39">
        <v>55</v>
      </c>
      <c r="AA39" t="s">
        <v>469</v>
      </c>
      <c r="AB39" t="s">
        <v>548</v>
      </c>
      <c r="AC39">
        <v>1</v>
      </c>
      <c r="AD39" t="s">
        <v>549</v>
      </c>
      <c r="AE39">
        <v>0</v>
      </c>
      <c r="AF39">
        <v>32</v>
      </c>
      <c r="AG39" t="s">
        <v>264</v>
      </c>
      <c r="AH39">
        <v>-9999</v>
      </c>
      <c r="AI39">
        <v>487</v>
      </c>
      <c r="AJ39">
        <v>610</v>
      </c>
      <c r="AK39">
        <v>486</v>
      </c>
      <c r="AL39" t="s">
        <v>270</v>
      </c>
      <c r="AM39">
        <v>0</v>
      </c>
      <c r="AN39">
        <v>55</v>
      </c>
      <c r="AO39" t="s">
        <v>470</v>
      </c>
      <c r="AP39" t="s">
        <v>548</v>
      </c>
      <c r="AQ39">
        <v>2</v>
      </c>
      <c r="AR39" t="s">
        <v>549</v>
      </c>
      <c r="AS39">
        <v>0</v>
      </c>
      <c r="AT39">
        <v>33</v>
      </c>
      <c r="AU39" t="s">
        <v>264</v>
      </c>
      <c r="AV39">
        <v>-9999</v>
      </c>
      <c r="AW39">
        <v>432</v>
      </c>
      <c r="AX39">
        <v>456</v>
      </c>
      <c r="AY39">
        <v>430</v>
      </c>
      <c r="AZ39" t="s">
        <v>270</v>
      </c>
      <c r="BA39">
        <v>0</v>
      </c>
      <c r="BB39">
        <v>55</v>
      </c>
      <c r="BC39" t="s">
        <v>550</v>
      </c>
      <c r="BD39" t="s">
        <v>548</v>
      </c>
      <c r="BE39">
        <v>3</v>
      </c>
      <c r="BF39" t="s">
        <v>549</v>
      </c>
      <c r="BG39">
        <v>0</v>
      </c>
      <c r="BH39">
        <v>-14</v>
      </c>
      <c r="BI39" t="s">
        <v>264</v>
      </c>
      <c r="BJ39">
        <v>-9999</v>
      </c>
      <c r="BK39">
        <v>260</v>
      </c>
      <c r="BL39">
        <v>312</v>
      </c>
      <c r="BM39">
        <v>255</v>
      </c>
      <c r="BN39" t="s">
        <v>270</v>
      </c>
      <c r="BO39">
        <v>0</v>
      </c>
      <c r="BP39">
        <v>55</v>
      </c>
      <c r="BQ39" t="s">
        <v>504</v>
      </c>
      <c r="BR39" t="s">
        <v>548</v>
      </c>
      <c r="BS39">
        <v>4</v>
      </c>
      <c r="BT39" t="s">
        <v>549</v>
      </c>
      <c r="BU39">
        <v>51.9</v>
      </c>
      <c r="BV39">
        <v>123</v>
      </c>
      <c r="BW39" t="s">
        <v>264</v>
      </c>
      <c r="BX39">
        <v>-9999</v>
      </c>
      <c r="BY39">
        <v>219</v>
      </c>
      <c r="BZ39">
        <v>253</v>
      </c>
      <c r="CA39">
        <v>217</v>
      </c>
      <c r="CB39" t="s">
        <v>270</v>
      </c>
      <c r="CC39">
        <v>0</v>
      </c>
      <c r="CD39">
        <v>55</v>
      </c>
      <c r="CE39" t="s">
        <v>471</v>
      </c>
      <c r="CF39" t="s">
        <v>548</v>
      </c>
      <c r="CG39">
        <v>5</v>
      </c>
      <c r="CH39" t="s">
        <v>549</v>
      </c>
      <c r="CI39">
        <v>50.6</v>
      </c>
      <c r="CJ39">
        <v>368</v>
      </c>
      <c r="CK39" t="s">
        <v>264</v>
      </c>
      <c r="CL39">
        <v>-9999</v>
      </c>
      <c r="CM39">
        <v>536</v>
      </c>
      <c r="CN39">
        <v>623</v>
      </c>
      <c r="CO39">
        <v>534</v>
      </c>
      <c r="CP39" t="s">
        <v>270</v>
      </c>
      <c r="CQ39">
        <v>0</v>
      </c>
      <c r="CR39">
        <v>55</v>
      </c>
      <c r="CS39" t="s">
        <v>472</v>
      </c>
      <c r="CT39" t="s">
        <v>548</v>
      </c>
      <c r="CU39">
        <v>6</v>
      </c>
      <c r="CV39" t="s">
        <v>549</v>
      </c>
      <c r="CW39">
        <v>52.6</v>
      </c>
      <c r="CX39">
        <v>161</v>
      </c>
      <c r="CY39" t="s">
        <v>264</v>
      </c>
      <c r="CZ39">
        <v>-9999</v>
      </c>
      <c r="DA39">
        <v>800</v>
      </c>
      <c r="DB39">
        <v>906</v>
      </c>
      <c r="DC39">
        <v>786</v>
      </c>
      <c r="DD39" t="s">
        <v>270</v>
      </c>
      <c r="DE39">
        <v>0</v>
      </c>
      <c r="DF39">
        <v>55</v>
      </c>
      <c r="DG39" t="s">
        <v>473</v>
      </c>
      <c r="DH39" t="s">
        <v>548</v>
      </c>
      <c r="DI39">
        <v>7</v>
      </c>
      <c r="DJ39" t="s">
        <v>549</v>
      </c>
      <c r="DK39">
        <v>0</v>
      </c>
      <c r="DL39">
        <v>32</v>
      </c>
      <c r="DM39" t="s">
        <v>264</v>
      </c>
      <c r="DN39">
        <v>-9999</v>
      </c>
      <c r="DO39">
        <v>624</v>
      </c>
      <c r="DP39">
        <v>717</v>
      </c>
      <c r="DQ39">
        <v>619</v>
      </c>
      <c r="DR39" t="s">
        <v>270</v>
      </c>
      <c r="DS39">
        <v>0</v>
      </c>
      <c r="DT39">
        <v>55</v>
      </c>
      <c r="DU39" t="s">
        <v>474</v>
      </c>
      <c r="DV39" t="s">
        <v>548</v>
      </c>
      <c r="DW39">
        <v>8</v>
      </c>
      <c r="DX39" t="s">
        <v>549</v>
      </c>
      <c r="DY39">
        <v>50.9</v>
      </c>
      <c r="DZ39">
        <v>46</v>
      </c>
      <c r="EA39" t="s">
        <v>264</v>
      </c>
      <c r="EB39">
        <v>-9999</v>
      </c>
      <c r="EC39">
        <v>125</v>
      </c>
      <c r="ED39">
        <v>151</v>
      </c>
      <c r="EE39">
        <v>123</v>
      </c>
      <c r="EF39" t="s">
        <v>270</v>
      </c>
      <c r="EG39">
        <v>0</v>
      </c>
      <c r="EH39">
        <v>55</v>
      </c>
      <c r="EI39" t="s">
        <v>475</v>
      </c>
      <c r="EJ39" t="s">
        <v>548</v>
      </c>
      <c r="EK39">
        <v>9</v>
      </c>
      <c r="EL39" t="s">
        <v>549</v>
      </c>
      <c r="EM39">
        <v>54.6</v>
      </c>
      <c r="EN39">
        <v>22</v>
      </c>
      <c r="EO39" t="s">
        <v>264</v>
      </c>
      <c r="EP39">
        <v>-9999</v>
      </c>
      <c r="EQ39">
        <v>306</v>
      </c>
      <c r="ER39">
        <v>272</v>
      </c>
      <c r="ES39">
        <v>255</v>
      </c>
      <c r="ET39" t="s">
        <v>270</v>
      </c>
      <c r="EU39">
        <v>0</v>
      </c>
      <c r="EV39">
        <v>55</v>
      </c>
      <c r="EW39" t="s">
        <v>551</v>
      </c>
      <c r="EX39" t="s">
        <v>552</v>
      </c>
      <c r="EY39">
        <v>152</v>
      </c>
      <c r="EZ39">
        <v>153</v>
      </c>
      <c r="FA39">
        <v>153</v>
      </c>
      <c r="FB39" t="s">
        <v>270</v>
      </c>
      <c r="FC39" t="s">
        <v>553</v>
      </c>
      <c r="FD39" t="s">
        <v>552</v>
      </c>
      <c r="FE39">
        <v>334</v>
      </c>
      <c r="FF39">
        <v>333</v>
      </c>
      <c r="FG39">
        <v>332</v>
      </c>
      <c r="FH39" t="s">
        <v>270</v>
      </c>
      <c r="FI39" t="s">
        <v>554</v>
      </c>
      <c r="FJ39" t="s">
        <v>555</v>
      </c>
      <c r="FK39">
        <v>0</v>
      </c>
      <c r="FL39">
        <v>0</v>
      </c>
      <c r="FM39">
        <v>0</v>
      </c>
      <c r="FN39" t="s">
        <v>264</v>
      </c>
      <c r="FQ39" t="s">
        <v>556</v>
      </c>
      <c r="FR39" t="s">
        <v>555</v>
      </c>
      <c r="FS39">
        <v>0</v>
      </c>
      <c r="FT39">
        <v>0</v>
      </c>
      <c r="FU39">
        <v>0</v>
      </c>
      <c r="FV39" t="s">
        <v>264</v>
      </c>
      <c r="FY39" t="s">
        <v>557</v>
      </c>
      <c r="FZ39" t="s">
        <v>555</v>
      </c>
      <c r="GA39">
        <v>0</v>
      </c>
      <c r="GB39">
        <v>0</v>
      </c>
      <c r="GC39">
        <v>0</v>
      </c>
      <c r="GD39" t="s">
        <v>264</v>
      </c>
      <c r="GG39" t="s">
        <v>558</v>
      </c>
      <c r="GH39" t="s">
        <v>555</v>
      </c>
      <c r="GI39">
        <v>0</v>
      </c>
      <c r="GJ39">
        <v>0</v>
      </c>
      <c r="GK39">
        <v>0</v>
      </c>
      <c r="GL39" t="s">
        <v>264</v>
      </c>
      <c r="GO39" t="s">
        <v>559</v>
      </c>
      <c r="GP39" t="s">
        <v>555</v>
      </c>
      <c r="GQ39">
        <v>0</v>
      </c>
      <c r="GR39">
        <v>0</v>
      </c>
      <c r="GS39">
        <v>0</v>
      </c>
      <c r="GT39" t="s">
        <v>264</v>
      </c>
      <c r="GW39" t="s">
        <v>560</v>
      </c>
      <c r="GX39" t="s">
        <v>555</v>
      </c>
      <c r="GY39">
        <v>0</v>
      </c>
      <c r="GZ39">
        <v>0</v>
      </c>
      <c r="HA39">
        <v>0</v>
      </c>
      <c r="HB39" t="s">
        <v>264</v>
      </c>
      <c r="HE39" t="s">
        <v>561</v>
      </c>
      <c r="HF39" t="s">
        <v>555</v>
      </c>
      <c r="HG39">
        <v>0</v>
      </c>
      <c r="HH39">
        <v>0</v>
      </c>
      <c r="HI39">
        <v>0</v>
      </c>
      <c r="HJ39" t="s">
        <v>264</v>
      </c>
      <c r="HM39" t="s">
        <v>562</v>
      </c>
      <c r="HN39" t="s">
        <v>555</v>
      </c>
      <c r="HO39">
        <v>0</v>
      </c>
      <c r="HP39">
        <v>0</v>
      </c>
      <c r="HQ39">
        <v>0</v>
      </c>
      <c r="HR39" t="s">
        <v>264</v>
      </c>
      <c r="HU39" t="s">
        <v>563</v>
      </c>
      <c r="HV39" t="s">
        <v>555</v>
      </c>
      <c r="HW39">
        <v>0</v>
      </c>
      <c r="HX39">
        <v>0</v>
      </c>
      <c r="HY39">
        <v>0</v>
      </c>
      <c r="HZ39" t="s">
        <v>264</v>
      </c>
      <c r="IC39" t="s">
        <v>564</v>
      </c>
      <c r="ID39" t="s">
        <v>555</v>
      </c>
      <c r="IE39">
        <v>0</v>
      </c>
      <c r="IF39">
        <v>0</v>
      </c>
      <c r="IG39">
        <v>0</v>
      </c>
      <c r="IH39" t="s">
        <v>264</v>
      </c>
      <c r="IK39" t="s">
        <v>565</v>
      </c>
      <c r="IL39" t="s">
        <v>555</v>
      </c>
      <c r="IM39">
        <v>0</v>
      </c>
      <c r="IN39">
        <v>0</v>
      </c>
      <c r="IO39">
        <v>0</v>
      </c>
      <c r="IP39" t="s">
        <v>264</v>
      </c>
      <c r="IS39" t="s">
        <v>566</v>
      </c>
      <c r="IT39" t="s">
        <v>555</v>
      </c>
      <c r="IU39">
        <v>0</v>
      </c>
      <c r="IV39">
        <v>0</v>
      </c>
      <c r="IW39">
        <v>0</v>
      </c>
      <c r="IX39" t="s">
        <v>264</v>
      </c>
      <c r="JA39" t="s">
        <v>567</v>
      </c>
      <c r="JB39" t="s">
        <v>555</v>
      </c>
      <c r="JC39">
        <v>0</v>
      </c>
      <c r="JD39">
        <v>0</v>
      </c>
      <c r="JE39">
        <v>0</v>
      </c>
      <c r="JF39" t="s">
        <v>264</v>
      </c>
      <c r="JI39" t="s">
        <v>568</v>
      </c>
      <c r="JJ39" t="s">
        <v>555</v>
      </c>
      <c r="JK39">
        <v>0</v>
      </c>
      <c r="JL39">
        <v>0</v>
      </c>
      <c r="JM39">
        <v>0</v>
      </c>
      <c r="JN39" t="s">
        <v>264</v>
      </c>
      <c r="JQ39" t="s">
        <v>569</v>
      </c>
      <c r="JR39" t="s">
        <v>555</v>
      </c>
      <c r="JS39">
        <v>0</v>
      </c>
      <c r="JT39">
        <v>0</v>
      </c>
      <c r="JU39">
        <v>0</v>
      </c>
      <c r="JV39" t="s">
        <v>264</v>
      </c>
      <c r="JY39" t="s">
        <v>570</v>
      </c>
      <c r="JZ39" t="s">
        <v>555</v>
      </c>
      <c r="KA39">
        <v>0</v>
      </c>
      <c r="KB39">
        <v>0</v>
      </c>
      <c r="KC39">
        <v>0</v>
      </c>
      <c r="KD39" t="s">
        <v>264</v>
      </c>
      <c r="KG39" t="s">
        <v>571</v>
      </c>
      <c r="KH39" t="s">
        <v>555</v>
      </c>
      <c r="KI39">
        <v>0</v>
      </c>
      <c r="KJ39">
        <v>0</v>
      </c>
      <c r="KK39">
        <v>0</v>
      </c>
      <c r="KL39" t="s">
        <v>264</v>
      </c>
      <c r="KO39" t="s">
        <v>572</v>
      </c>
      <c r="KP39" t="s">
        <v>555</v>
      </c>
      <c r="KQ39">
        <v>0</v>
      </c>
      <c r="KR39">
        <v>0</v>
      </c>
      <c r="KS39">
        <v>0</v>
      </c>
      <c r="KT39" t="s">
        <v>264</v>
      </c>
      <c r="KW39" t="s">
        <v>573</v>
      </c>
      <c r="KX39" t="s">
        <v>555</v>
      </c>
      <c r="KY39">
        <v>0</v>
      </c>
      <c r="KZ39">
        <v>0</v>
      </c>
      <c r="LA39">
        <v>0</v>
      </c>
      <c r="LB39" t="s">
        <v>264</v>
      </c>
      <c r="LE39" t="s">
        <v>574</v>
      </c>
      <c r="LF39" t="s">
        <v>555</v>
      </c>
      <c r="LG39">
        <v>0</v>
      </c>
      <c r="LH39">
        <v>0</v>
      </c>
      <c r="LI39">
        <v>0</v>
      </c>
      <c r="LJ39" t="s">
        <v>264</v>
      </c>
      <c r="LM39" t="s">
        <v>575</v>
      </c>
      <c r="LN39" t="s">
        <v>555</v>
      </c>
      <c r="LO39">
        <v>0</v>
      </c>
      <c r="LP39">
        <v>0</v>
      </c>
      <c r="LQ39">
        <v>0</v>
      </c>
      <c r="LR39" t="s">
        <v>264</v>
      </c>
      <c r="LU39" t="s">
        <v>576</v>
      </c>
      <c r="LV39" t="s">
        <v>555</v>
      </c>
      <c r="LW39">
        <v>0</v>
      </c>
      <c r="LX39">
        <v>0</v>
      </c>
      <c r="LY39">
        <v>0</v>
      </c>
      <c r="LZ39" t="s">
        <v>264</v>
      </c>
      <c r="MC39" t="s">
        <v>577</v>
      </c>
      <c r="MD39" t="s">
        <v>555</v>
      </c>
      <c r="ME39">
        <v>0</v>
      </c>
      <c r="MF39">
        <v>0</v>
      </c>
      <c r="MG39">
        <v>0</v>
      </c>
      <c r="MH39" t="s">
        <v>264</v>
      </c>
      <c r="MK39" t="s">
        <v>578</v>
      </c>
      <c r="ML39" t="s">
        <v>555</v>
      </c>
      <c r="MM39">
        <v>0</v>
      </c>
      <c r="MN39">
        <v>0</v>
      </c>
      <c r="MO39">
        <v>0</v>
      </c>
      <c r="MP39" t="s">
        <v>264</v>
      </c>
      <c r="MS39" t="s">
        <v>579</v>
      </c>
      <c r="MT39" t="s">
        <v>555</v>
      </c>
      <c r="MU39">
        <v>0</v>
      </c>
      <c r="MV39">
        <v>0</v>
      </c>
      <c r="MW39">
        <v>0</v>
      </c>
      <c r="MX39" t="s">
        <v>264</v>
      </c>
      <c r="NA39" t="s">
        <v>580</v>
      </c>
      <c r="NB39" t="s">
        <v>555</v>
      </c>
      <c r="NC39">
        <v>0</v>
      </c>
      <c r="ND39">
        <v>0</v>
      </c>
      <c r="NE39">
        <v>0</v>
      </c>
      <c r="NF39" t="s">
        <v>264</v>
      </c>
      <c r="NI39">
        <v>40</v>
      </c>
      <c r="NJ39">
        <v>-7.5</v>
      </c>
      <c r="NP39" t="s">
        <v>624</v>
      </c>
    </row>
    <row r="40" spans="1:380" customFormat="1" x14ac:dyDescent="0.2">
      <c r="A40" t="s">
        <v>517</v>
      </c>
      <c r="B40">
        <v>1</v>
      </c>
      <c r="C40" t="s">
        <v>679</v>
      </c>
      <c r="D40">
        <v>646958693</v>
      </c>
      <c r="E40">
        <v>12602</v>
      </c>
      <c r="F40" t="s">
        <v>542</v>
      </c>
      <c r="G40">
        <v>847922</v>
      </c>
      <c r="H40">
        <v>210077020</v>
      </c>
      <c r="I40" t="s">
        <v>622</v>
      </c>
      <c r="J40" t="s">
        <v>680</v>
      </c>
      <c r="K40" t="s">
        <v>545</v>
      </c>
      <c r="L40" t="s">
        <v>294</v>
      </c>
      <c r="M40" t="s">
        <v>546</v>
      </c>
      <c r="N40" t="s">
        <v>468</v>
      </c>
      <c r="O40" t="s">
        <v>547</v>
      </c>
      <c r="P40" t="s">
        <v>270</v>
      </c>
      <c r="Q40">
        <v>27.6</v>
      </c>
      <c r="R40">
        <v>267</v>
      </c>
      <c r="S40" t="s">
        <v>270</v>
      </c>
      <c r="T40">
        <v>-9999</v>
      </c>
      <c r="U40">
        <v>611</v>
      </c>
      <c r="V40">
        <v>630</v>
      </c>
      <c r="W40">
        <v>600</v>
      </c>
      <c r="X40" t="s">
        <v>270</v>
      </c>
      <c r="Y40">
        <v>0</v>
      </c>
      <c r="Z40">
        <v>55</v>
      </c>
      <c r="AA40" t="s">
        <v>469</v>
      </c>
      <c r="AB40" t="s">
        <v>548</v>
      </c>
      <c r="AC40">
        <v>1</v>
      </c>
      <c r="AD40" t="s">
        <v>549</v>
      </c>
      <c r="AE40">
        <v>0</v>
      </c>
      <c r="AF40">
        <v>15</v>
      </c>
      <c r="AG40" t="s">
        <v>264</v>
      </c>
      <c r="AH40">
        <v>-9999</v>
      </c>
      <c r="AI40">
        <v>487</v>
      </c>
      <c r="AJ40">
        <v>600</v>
      </c>
      <c r="AK40">
        <v>482</v>
      </c>
      <c r="AL40" t="s">
        <v>270</v>
      </c>
      <c r="AM40">
        <v>0</v>
      </c>
      <c r="AN40">
        <v>55</v>
      </c>
      <c r="AO40" t="s">
        <v>470</v>
      </c>
      <c r="AP40" t="s">
        <v>548</v>
      </c>
      <c r="AQ40">
        <v>2</v>
      </c>
      <c r="AR40" t="s">
        <v>549</v>
      </c>
      <c r="AS40">
        <v>0</v>
      </c>
      <c r="AT40">
        <v>17</v>
      </c>
      <c r="AU40" t="s">
        <v>264</v>
      </c>
      <c r="AV40">
        <v>-9999</v>
      </c>
      <c r="AW40">
        <v>369</v>
      </c>
      <c r="AX40">
        <v>388</v>
      </c>
      <c r="AY40">
        <v>368</v>
      </c>
      <c r="AZ40" t="s">
        <v>270</v>
      </c>
      <c r="BA40">
        <v>0</v>
      </c>
      <c r="BB40">
        <v>55</v>
      </c>
      <c r="BC40" t="s">
        <v>550</v>
      </c>
      <c r="BD40" t="s">
        <v>548</v>
      </c>
      <c r="BE40">
        <v>3</v>
      </c>
      <c r="BF40" t="s">
        <v>549</v>
      </c>
      <c r="BG40">
        <v>40.700000000000003</v>
      </c>
      <c r="BH40">
        <v>14</v>
      </c>
      <c r="BI40" t="s">
        <v>264</v>
      </c>
      <c r="BJ40">
        <v>-9999</v>
      </c>
      <c r="BK40">
        <v>106</v>
      </c>
      <c r="BL40">
        <v>140</v>
      </c>
      <c r="BM40">
        <v>109</v>
      </c>
      <c r="BN40" t="s">
        <v>270</v>
      </c>
      <c r="BO40">
        <v>0</v>
      </c>
      <c r="BP40">
        <v>55</v>
      </c>
      <c r="BQ40" t="s">
        <v>504</v>
      </c>
      <c r="BR40" t="s">
        <v>548</v>
      </c>
      <c r="BS40">
        <v>4</v>
      </c>
      <c r="BT40" t="s">
        <v>549</v>
      </c>
      <c r="BU40">
        <v>51.5</v>
      </c>
      <c r="BV40">
        <v>132</v>
      </c>
      <c r="BW40" t="s">
        <v>264</v>
      </c>
      <c r="BX40">
        <v>-9999</v>
      </c>
      <c r="BY40">
        <v>211</v>
      </c>
      <c r="BZ40">
        <v>243</v>
      </c>
      <c r="CA40">
        <v>208</v>
      </c>
      <c r="CB40" t="s">
        <v>270</v>
      </c>
      <c r="CC40">
        <v>0</v>
      </c>
      <c r="CD40">
        <v>55</v>
      </c>
      <c r="CE40" t="s">
        <v>471</v>
      </c>
      <c r="CF40" t="s">
        <v>548</v>
      </c>
      <c r="CG40">
        <v>5</v>
      </c>
      <c r="CH40" t="s">
        <v>549</v>
      </c>
      <c r="CI40">
        <v>50.2</v>
      </c>
      <c r="CJ40">
        <v>362</v>
      </c>
      <c r="CK40" t="s">
        <v>264</v>
      </c>
      <c r="CL40">
        <v>-9999</v>
      </c>
      <c r="CM40">
        <v>525</v>
      </c>
      <c r="CN40">
        <v>614</v>
      </c>
      <c r="CO40">
        <v>523</v>
      </c>
      <c r="CP40" t="s">
        <v>270</v>
      </c>
      <c r="CQ40">
        <v>0</v>
      </c>
      <c r="CR40">
        <v>55</v>
      </c>
      <c r="CS40" t="s">
        <v>472</v>
      </c>
      <c r="CT40" t="s">
        <v>548</v>
      </c>
      <c r="CU40">
        <v>6</v>
      </c>
      <c r="CV40" t="s">
        <v>549</v>
      </c>
      <c r="CW40">
        <v>51.8</v>
      </c>
      <c r="CX40">
        <v>177</v>
      </c>
      <c r="CY40" t="s">
        <v>264</v>
      </c>
      <c r="CZ40">
        <v>-9999</v>
      </c>
      <c r="DA40">
        <v>706</v>
      </c>
      <c r="DB40">
        <v>802</v>
      </c>
      <c r="DC40">
        <v>693</v>
      </c>
      <c r="DD40" t="s">
        <v>270</v>
      </c>
      <c r="DE40">
        <v>0</v>
      </c>
      <c r="DF40">
        <v>55</v>
      </c>
      <c r="DG40" t="s">
        <v>473</v>
      </c>
      <c r="DH40" t="s">
        <v>548</v>
      </c>
      <c r="DI40">
        <v>7</v>
      </c>
      <c r="DJ40" t="s">
        <v>549</v>
      </c>
      <c r="DK40">
        <v>0</v>
      </c>
      <c r="DL40">
        <v>31</v>
      </c>
      <c r="DM40" t="s">
        <v>264</v>
      </c>
      <c r="DN40">
        <v>-9999</v>
      </c>
      <c r="DO40">
        <v>541</v>
      </c>
      <c r="DP40">
        <v>620</v>
      </c>
      <c r="DQ40">
        <v>535</v>
      </c>
      <c r="DR40" t="s">
        <v>270</v>
      </c>
      <c r="DS40">
        <v>0</v>
      </c>
      <c r="DT40">
        <v>55</v>
      </c>
      <c r="DU40" t="s">
        <v>474</v>
      </c>
      <c r="DV40" t="s">
        <v>548</v>
      </c>
      <c r="DW40">
        <v>8</v>
      </c>
      <c r="DX40" t="s">
        <v>549</v>
      </c>
      <c r="DY40">
        <v>50.2</v>
      </c>
      <c r="DZ40">
        <v>35</v>
      </c>
      <c r="EA40" t="s">
        <v>264</v>
      </c>
      <c r="EB40">
        <v>-9999</v>
      </c>
      <c r="EC40">
        <v>108</v>
      </c>
      <c r="ED40">
        <v>131</v>
      </c>
      <c r="EE40">
        <v>107</v>
      </c>
      <c r="EF40" t="s">
        <v>270</v>
      </c>
      <c r="EG40">
        <v>0</v>
      </c>
      <c r="EH40">
        <v>55</v>
      </c>
      <c r="EI40" t="s">
        <v>475</v>
      </c>
      <c r="EJ40" t="s">
        <v>548</v>
      </c>
      <c r="EK40">
        <v>9</v>
      </c>
      <c r="EL40" t="s">
        <v>549</v>
      </c>
      <c r="EM40">
        <v>0</v>
      </c>
      <c r="EN40">
        <v>7</v>
      </c>
      <c r="EO40" t="s">
        <v>264</v>
      </c>
      <c r="EP40">
        <v>-9999</v>
      </c>
      <c r="EQ40">
        <v>333</v>
      </c>
      <c r="ER40">
        <v>312</v>
      </c>
      <c r="ES40">
        <v>289</v>
      </c>
      <c r="ET40" t="s">
        <v>270</v>
      </c>
      <c r="EU40">
        <v>0</v>
      </c>
      <c r="EV40">
        <v>55</v>
      </c>
      <c r="EW40" t="s">
        <v>551</v>
      </c>
      <c r="EX40" t="s">
        <v>552</v>
      </c>
      <c r="EY40">
        <v>124</v>
      </c>
      <c r="EZ40">
        <v>124</v>
      </c>
      <c r="FA40">
        <v>125</v>
      </c>
      <c r="FB40" t="s">
        <v>270</v>
      </c>
      <c r="FC40" t="s">
        <v>553</v>
      </c>
      <c r="FD40" t="s">
        <v>552</v>
      </c>
      <c r="FE40">
        <v>283</v>
      </c>
      <c r="FF40">
        <v>281</v>
      </c>
      <c r="FG40">
        <v>280</v>
      </c>
      <c r="FH40" t="s">
        <v>270</v>
      </c>
      <c r="FI40" t="s">
        <v>554</v>
      </c>
      <c r="FJ40" t="s">
        <v>555</v>
      </c>
      <c r="FK40">
        <v>0</v>
      </c>
      <c r="FL40">
        <v>0</v>
      </c>
      <c r="FM40">
        <v>0</v>
      </c>
      <c r="FN40" t="s">
        <v>264</v>
      </c>
      <c r="FQ40" t="s">
        <v>556</v>
      </c>
      <c r="FR40" t="s">
        <v>555</v>
      </c>
      <c r="FS40">
        <v>0</v>
      </c>
      <c r="FT40">
        <v>0</v>
      </c>
      <c r="FU40">
        <v>0</v>
      </c>
      <c r="FV40" t="s">
        <v>264</v>
      </c>
      <c r="FY40" t="s">
        <v>557</v>
      </c>
      <c r="FZ40" t="s">
        <v>555</v>
      </c>
      <c r="GA40">
        <v>0</v>
      </c>
      <c r="GB40">
        <v>0</v>
      </c>
      <c r="GC40">
        <v>0</v>
      </c>
      <c r="GD40" t="s">
        <v>264</v>
      </c>
      <c r="GG40" t="s">
        <v>558</v>
      </c>
      <c r="GH40" t="s">
        <v>555</v>
      </c>
      <c r="GI40">
        <v>0</v>
      </c>
      <c r="GJ40">
        <v>0</v>
      </c>
      <c r="GK40">
        <v>0</v>
      </c>
      <c r="GL40" t="s">
        <v>264</v>
      </c>
      <c r="GO40" t="s">
        <v>559</v>
      </c>
      <c r="GP40" t="s">
        <v>555</v>
      </c>
      <c r="GQ40">
        <v>0</v>
      </c>
      <c r="GR40">
        <v>0</v>
      </c>
      <c r="GS40">
        <v>0</v>
      </c>
      <c r="GT40" t="s">
        <v>264</v>
      </c>
      <c r="GW40" t="s">
        <v>560</v>
      </c>
      <c r="GX40" t="s">
        <v>555</v>
      </c>
      <c r="GY40">
        <v>0</v>
      </c>
      <c r="GZ40">
        <v>0</v>
      </c>
      <c r="HA40">
        <v>0</v>
      </c>
      <c r="HB40" t="s">
        <v>264</v>
      </c>
      <c r="HE40" t="s">
        <v>561</v>
      </c>
      <c r="HF40" t="s">
        <v>555</v>
      </c>
      <c r="HG40">
        <v>0</v>
      </c>
      <c r="HH40">
        <v>0</v>
      </c>
      <c r="HI40">
        <v>0</v>
      </c>
      <c r="HJ40" t="s">
        <v>264</v>
      </c>
      <c r="HK40">
        <v>72.2</v>
      </c>
      <c r="HL40">
        <v>11.6</v>
      </c>
      <c r="HM40" t="s">
        <v>562</v>
      </c>
      <c r="HN40" t="s">
        <v>555</v>
      </c>
      <c r="HO40">
        <v>0</v>
      </c>
      <c r="HP40">
        <v>0</v>
      </c>
      <c r="HQ40">
        <v>0</v>
      </c>
      <c r="HR40" t="s">
        <v>264</v>
      </c>
      <c r="HU40" t="s">
        <v>563</v>
      </c>
      <c r="HV40" t="s">
        <v>555</v>
      </c>
      <c r="HW40">
        <v>0</v>
      </c>
      <c r="HX40">
        <v>0</v>
      </c>
      <c r="HY40">
        <v>0</v>
      </c>
      <c r="HZ40" t="s">
        <v>264</v>
      </c>
      <c r="IC40" t="s">
        <v>564</v>
      </c>
      <c r="ID40" t="s">
        <v>555</v>
      </c>
      <c r="IE40">
        <v>0</v>
      </c>
      <c r="IF40">
        <v>0</v>
      </c>
      <c r="IG40">
        <v>0</v>
      </c>
      <c r="IH40" t="s">
        <v>264</v>
      </c>
      <c r="IK40" t="s">
        <v>565</v>
      </c>
      <c r="IL40" t="s">
        <v>555</v>
      </c>
      <c r="IM40">
        <v>0</v>
      </c>
      <c r="IN40">
        <v>0</v>
      </c>
      <c r="IO40">
        <v>0</v>
      </c>
      <c r="IP40" t="s">
        <v>264</v>
      </c>
      <c r="IS40" t="s">
        <v>566</v>
      </c>
      <c r="IT40" t="s">
        <v>555</v>
      </c>
      <c r="IU40">
        <v>0</v>
      </c>
      <c r="IV40">
        <v>0</v>
      </c>
      <c r="IW40">
        <v>0</v>
      </c>
      <c r="IX40" t="s">
        <v>264</v>
      </c>
      <c r="JA40" t="s">
        <v>567</v>
      </c>
      <c r="JB40" t="s">
        <v>555</v>
      </c>
      <c r="JC40">
        <v>0</v>
      </c>
      <c r="JD40">
        <v>0</v>
      </c>
      <c r="JE40">
        <v>0</v>
      </c>
      <c r="JF40" t="s">
        <v>264</v>
      </c>
      <c r="JI40" t="s">
        <v>568</v>
      </c>
      <c r="JJ40" t="s">
        <v>555</v>
      </c>
      <c r="JK40">
        <v>0</v>
      </c>
      <c r="JL40">
        <v>0</v>
      </c>
      <c r="JM40">
        <v>0</v>
      </c>
      <c r="JN40" t="s">
        <v>264</v>
      </c>
      <c r="JQ40" t="s">
        <v>569</v>
      </c>
      <c r="JR40" t="s">
        <v>555</v>
      </c>
      <c r="JS40">
        <v>0</v>
      </c>
      <c r="JT40">
        <v>0</v>
      </c>
      <c r="JU40">
        <v>0</v>
      </c>
      <c r="JV40" t="s">
        <v>264</v>
      </c>
      <c r="JY40" t="s">
        <v>570</v>
      </c>
      <c r="JZ40" t="s">
        <v>555</v>
      </c>
      <c r="KA40">
        <v>0</v>
      </c>
      <c r="KB40">
        <v>0</v>
      </c>
      <c r="KC40">
        <v>0</v>
      </c>
      <c r="KD40" t="s">
        <v>264</v>
      </c>
      <c r="KG40" t="s">
        <v>571</v>
      </c>
      <c r="KH40" t="s">
        <v>555</v>
      </c>
      <c r="KI40">
        <v>0</v>
      </c>
      <c r="KJ40">
        <v>0</v>
      </c>
      <c r="KK40">
        <v>0</v>
      </c>
      <c r="KL40" t="s">
        <v>264</v>
      </c>
      <c r="KO40" t="s">
        <v>572</v>
      </c>
      <c r="KP40" t="s">
        <v>555</v>
      </c>
      <c r="KQ40">
        <v>0</v>
      </c>
      <c r="KR40">
        <v>0</v>
      </c>
      <c r="KS40">
        <v>0</v>
      </c>
      <c r="KT40" t="s">
        <v>264</v>
      </c>
      <c r="KW40" t="s">
        <v>573</v>
      </c>
      <c r="KX40" t="s">
        <v>555</v>
      </c>
      <c r="KY40">
        <v>0</v>
      </c>
      <c r="KZ40">
        <v>0</v>
      </c>
      <c r="LA40">
        <v>0</v>
      </c>
      <c r="LB40" t="s">
        <v>264</v>
      </c>
      <c r="LE40" t="s">
        <v>574</v>
      </c>
      <c r="LF40" t="s">
        <v>555</v>
      </c>
      <c r="LG40">
        <v>0</v>
      </c>
      <c r="LH40">
        <v>0</v>
      </c>
      <c r="LI40">
        <v>0</v>
      </c>
      <c r="LJ40" t="s">
        <v>264</v>
      </c>
      <c r="LM40" t="s">
        <v>575</v>
      </c>
      <c r="LN40" t="s">
        <v>555</v>
      </c>
      <c r="LO40">
        <v>0</v>
      </c>
      <c r="LP40">
        <v>0</v>
      </c>
      <c r="LQ40">
        <v>0</v>
      </c>
      <c r="LR40" t="s">
        <v>264</v>
      </c>
      <c r="LU40" t="s">
        <v>576</v>
      </c>
      <c r="LV40" t="s">
        <v>555</v>
      </c>
      <c r="LW40">
        <v>0</v>
      </c>
      <c r="LX40">
        <v>0</v>
      </c>
      <c r="LY40">
        <v>0</v>
      </c>
      <c r="LZ40" t="s">
        <v>264</v>
      </c>
      <c r="MC40" t="s">
        <v>577</v>
      </c>
      <c r="MD40" t="s">
        <v>555</v>
      </c>
      <c r="ME40">
        <v>0</v>
      </c>
      <c r="MF40">
        <v>0</v>
      </c>
      <c r="MG40">
        <v>0</v>
      </c>
      <c r="MH40" t="s">
        <v>264</v>
      </c>
      <c r="MK40" t="s">
        <v>578</v>
      </c>
      <c r="ML40" t="s">
        <v>555</v>
      </c>
      <c r="MM40">
        <v>0</v>
      </c>
      <c r="MN40">
        <v>0</v>
      </c>
      <c r="MO40">
        <v>0</v>
      </c>
      <c r="MP40" t="s">
        <v>264</v>
      </c>
      <c r="MS40" t="s">
        <v>579</v>
      </c>
      <c r="MT40" t="s">
        <v>555</v>
      </c>
      <c r="MU40">
        <v>0</v>
      </c>
      <c r="MV40">
        <v>0</v>
      </c>
      <c r="MW40">
        <v>0</v>
      </c>
      <c r="MX40" t="s">
        <v>264</v>
      </c>
      <c r="NA40" t="s">
        <v>580</v>
      </c>
      <c r="NB40" t="s">
        <v>555</v>
      </c>
      <c r="NC40">
        <v>0</v>
      </c>
      <c r="ND40">
        <v>0</v>
      </c>
      <c r="NE40">
        <v>0</v>
      </c>
      <c r="NF40" t="s">
        <v>264</v>
      </c>
      <c r="NI40">
        <v>40.1</v>
      </c>
      <c r="NJ40">
        <v>-12.1</v>
      </c>
      <c r="NP40" t="s">
        <v>624</v>
      </c>
    </row>
    <row r="41" spans="1:380" customFormat="1" x14ac:dyDescent="0.2">
      <c r="A41" t="s">
        <v>517</v>
      </c>
      <c r="B41">
        <v>1</v>
      </c>
      <c r="C41" t="s">
        <v>681</v>
      </c>
      <c r="D41">
        <v>646959139</v>
      </c>
      <c r="E41">
        <v>12602</v>
      </c>
      <c r="F41" t="s">
        <v>542</v>
      </c>
      <c r="G41">
        <v>847922</v>
      </c>
      <c r="H41">
        <v>210075953</v>
      </c>
      <c r="I41" t="s">
        <v>622</v>
      </c>
      <c r="J41" t="s">
        <v>682</v>
      </c>
      <c r="K41" t="s">
        <v>545</v>
      </c>
      <c r="L41" t="s">
        <v>294</v>
      </c>
      <c r="M41" t="s">
        <v>546</v>
      </c>
      <c r="N41" t="s">
        <v>468</v>
      </c>
      <c r="O41" t="s">
        <v>547</v>
      </c>
      <c r="P41" t="s">
        <v>264</v>
      </c>
      <c r="Q41">
        <v>26</v>
      </c>
      <c r="R41">
        <v>264</v>
      </c>
      <c r="S41" t="s">
        <v>264</v>
      </c>
      <c r="T41">
        <v>-9999</v>
      </c>
      <c r="U41">
        <v>499</v>
      </c>
      <c r="V41">
        <v>517</v>
      </c>
      <c r="W41">
        <v>490</v>
      </c>
      <c r="X41" t="s">
        <v>270</v>
      </c>
      <c r="Y41">
        <v>0</v>
      </c>
      <c r="Z41">
        <v>55</v>
      </c>
      <c r="AA41" t="s">
        <v>469</v>
      </c>
      <c r="AB41" t="s">
        <v>548</v>
      </c>
      <c r="AC41">
        <v>1</v>
      </c>
      <c r="AD41" t="s">
        <v>549</v>
      </c>
      <c r="AE41">
        <v>0</v>
      </c>
      <c r="AF41">
        <v>9</v>
      </c>
      <c r="AG41" t="s">
        <v>264</v>
      </c>
      <c r="AH41">
        <v>-9999</v>
      </c>
      <c r="AI41">
        <v>400</v>
      </c>
      <c r="AJ41">
        <v>490</v>
      </c>
      <c r="AK41">
        <v>398</v>
      </c>
      <c r="AL41" t="s">
        <v>270</v>
      </c>
      <c r="AM41">
        <v>0</v>
      </c>
      <c r="AN41">
        <v>55</v>
      </c>
      <c r="AO41" t="s">
        <v>470</v>
      </c>
      <c r="AP41" t="s">
        <v>548</v>
      </c>
      <c r="AQ41">
        <v>2</v>
      </c>
      <c r="AR41" t="s">
        <v>549</v>
      </c>
      <c r="AS41">
        <v>0</v>
      </c>
      <c r="AT41">
        <v>10</v>
      </c>
      <c r="AU41" t="s">
        <v>264</v>
      </c>
      <c r="AV41">
        <v>-9999</v>
      </c>
      <c r="AW41">
        <v>276</v>
      </c>
      <c r="AX41">
        <v>288</v>
      </c>
      <c r="AY41">
        <v>275</v>
      </c>
      <c r="AZ41" t="s">
        <v>270</v>
      </c>
      <c r="BA41">
        <v>0</v>
      </c>
      <c r="BB41">
        <v>55</v>
      </c>
      <c r="BC41" t="s">
        <v>550</v>
      </c>
      <c r="BD41" t="s">
        <v>548</v>
      </c>
      <c r="BE41">
        <v>3</v>
      </c>
      <c r="BF41" t="s">
        <v>584</v>
      </c>
      <c r="BG41">
        <v>27.7</v>
      </c>
      <c r="BH41">
        <v>32</v>
      </c>
      <c r="BI41" t="s">
        <v>264</v>
      </c>
      <c r="BJ41">
        <v>-9999</v>
      </c>
      <c r="BK41">
        <v>68</v>
      </c>
      <c r="BL41">
        <v>88</v>
      </c>
      <c r="BM41">
        <v>68</v>
      </c>
      <c r="BN41" t="s">
        <v>270</v>
      </c>
      <c r="BO41">
        <v>0</v>
      </c>
      <c r="BP41">
        <v>55</v>
      </c>
      <c r="BQ41" t="s">
        <v>504</v>
      </c>
      <c r="BR41" t="s">
        <v>548</v>
      </c>
      <c r="BS41">
        <v>4</v>
      </c>
      <c r="BT41" t="s">
        <v>549</v>
      </c>
      <c r="BU41">
        <v>52.3</v>
      </c>
      <c r="BV41">
        <v>81</v>
      </c>
      <c r="BW41" t="s">
        <v>264</v>
      </c>
      <c r="BX41">
        <v>-9999</v>
      </c>
      <c r="BY41">
        <v>154</v>
      </c>
      <c r="BZ41">
        <v>178</v>
      </c>
      <c r="CA41">
        <v>152</v>
      </c>
      <c r="CB41" t="s">
        <v>270</v>
      </c>
      <c r="CC41">
        <v>0</v>
      </c>
      <c r="CD41">
        <v>55</v>
      </c>
      <c r="CE41" t="s">
        <v>471</v>
      </c>
      <c r="CF41" t="s">
        <v>548</v>
      </c>
      <c r="CG41">
        <v>5</v>
      </c>
      <c r="CH41" t="s">
        <v>549</v>
      </c>
      <c r="CI41">
        <v>51.6</v>
      </c>
      <c r="CJ41">
        <v>170</v>
      </c>
      <c r="CK41" t="s">
        <v>264</v>
      </c>
      <c r="CL41">
        <v>-9999</v>
      </c>
      <c r="CM41">
        <v>333</v>
      </c>
      <c r="CN41">
        <v>384</v>
      </c>
      <c r="CO41">
        <v>331</v>
      </c>
      <c r="CP41" t="s">
        <v>270</v>
      </c>
      <c r="CQ41">
        <v>0</v>
      </c>
      <c r="CR41">
        <v>55</v>
      </c>
      <c r="CS41" t="s">
        <v>472</v>
      </c>
      <c r="CT41" t="s">
        <v>548</v>
      </c>
      <c r="CU41">
        <v>6</v>
      </c>
      <c r="CV41" t="s">
        <v>549</v>
      </c>
      <c r="CW41">
        <v>54.5</v>
      </c>
      <c r="CX41">
        <v>63</v>
      </c>
      <c r="CY41" t="s">
        <v>264</v>
      </c>
      <c r="CZ41">
        <v>-9999</v>
      </c>
      <c r="DA41">
        <v>523</v>
      </c>
      <c r="DB41">
        <v>589</v>
      </c>
      <c r="DC41">
        <v>513</v>
      </c>
      <c r="DD41" t="s">
        <v>270</v>
      </c>
      <c r="DE41">
        <v>0</v>
      </c>
      <c r="DF41">
        <v>55</v>
      </c>
      <c r="DG41" t="s">
        <v>473</v>
      </c>
      <c r="DH41" t="s">
        <v>548</v>
      </c>
      <c r="DI41">
        <v>7</v>
      </c>
      <c r="DJ41" t="s">
        <v>549</v>
      </c>
      <c r="DK41">
        <v>0</v>
      </c>
      <c r="DL41">
        <v>23</v>
      </c>
      <c r="DM41" t="s">
        <v>264</v>
      </c>
      <c r="DN41">
        <v>-9999</v>
      </c>
      <c r="DO41">
        <v>566</v>
      </c>
      <c r="DP41">
        <v>657</v>
      </c>
      <c r="DQ41">
        <v>561</v>
      </c>
      <c r="DR41" t="s">
        <v>270</v>
      </c>
      <c r="DS41">
        <v>0</v>
      </c>
      <c r="DT41">
        <v>55</v>
      </c>
      <c r="DU41" t="s">
        <v>474</v>
      </c>
      <c r="DV41" t="s">
        <v>548</v>
      </c>
      <c r="DW41">
        <v>8</v>
      </c>
      <c r="DX41" t="s">
        <v>549</v>
      </c>
      <c r="DY41">
        <v>51.5</v>
      </c>
      <c r="DZ41">
        <v>29</v>
      </c>
      <c r="EA41" t="s">
        <v>264</v>
      </c>
      <c r="EB41">
        <v>-9999</v>
      </c>
      <c r="EC41">
        <v>89</v>
      </c>
      <c r="ED41">
        <v>105</v>
      </c>
      <c r="EE41">
        <v>87</v>
      </c>
      <c r="EF41" t="s">
        <v>270</v>
      </c>
      <c r="EG41">
        <v>0</v>
      </c>
      <c r="EH41">
        <v>55</v>
      </c>
      <c r="EI41" t="s">
        <v>475</v>
      </c>
      <c r="EJ41" t="s">
        <v>548</v>
      </c>
      <c r="EK41">
        <v>9</v>
      </c>
      <c r="EL41" t="s">
        <v>549</v>
      </c>
      <c r="EM41">
        <v>0</v>
      </c>
      <c r="EN41">
        <v>-5</v>
      </c>
      <c r="EO41" t="s">
        <v>264</v>
      </c>
      <c r="EP41">
        <v>-9999</v>
      </c>
      <c r="EQ41">
        <v>201</v>
      </c>
      <c r="ER41">
        <v>184</v>
      </c>
      <c r="ES41">
        <v>175</v>
      </c>
      <c r="ET41" t="s">
        <v>270</v>
      </c>
      <c r="EU41">
        <v>0</v>
      </c>
      <c r="EV41">
        <v>55</v>
      </c>
      <c r="EW41" t="s">
        <v>551</v>
      </c>
      <c r="EX41" t="s">
        <v>552</v>
      </c>
      <c r="EY41">
        <v>149</v>
      </c>
      <c r="EZ41">
        <v>150</v>
      </c>
      <c r="FA41">
        <v>150</v>
      </c>
      <c r="FB41" t="s">
        <v>270</v>
      </c>
      <c r="FC41" t="s">
        <v>553</v>
      </c>
      <c r="FD41" t="s">
        <v>552</v>
      </c>
      <c r="FE41">
        <v>346</v>
      </c>
      <c r="FF41">
        <v>345</v>
      </c>
      <c r="FG41">
        <v>345</v>
      </c>
      <c r="FH41" t="s">
        <v>270</v>
      </c>
      <c r="FI41" t="s">
        <v>554</v>
      </c>
      <c r="FJ41" t="s">
        <v>555</v>
      </c>
      <c r="FK41">
        <v>0</v>
      </c>
      <c r="FL41">
        <v>0</v>
      </c>
      <c r="FM41">
        <v>0</v>
      </c>
      <c r="FN41" t="s">
        <v>264</v>
      </c>
      <c r="FQ41" t="s">
        <v>556</v>
      </c>
      <c r="FR41" t="s">
        <v>555</v>
      </c>
      <c r="FS41">
        <v>0</v>
      </c>
      <c r="FT41">
        <v>0</v>
      </c>
      <c r="FU41">
        <v>0</v>
      </c>
      <c r="FV41" t="s">
        <v>264</v>
      </c>
      <c r="FY41" t="s">
        <v>557</v>
      </c>
      <c r="FZ41" t="s">
        <v>555</v>
      </c>
      <c r="GA41">
        <v>0</v>
      </c>
      <c r="GB41">
        <v>0</v>
      </c>
      <c r="GC41">
        <v>0</v>
      </c>
      <c r="GD41" t="s">
        <v>264</v>
      </c>
      <c r="GG41" t="s">
        <v>558</v>
      </c>
      <c r="GH41" t="s">
        <v>555</v>
      </c>
      <c r="GI41">
        <v>0</v>
      </c>
      <c r="GJ41">
        <v>0</v>
      </c>
      <c r="GK41">
        <v>0</v>
      </c>
      <c r="GL41" t="s">
        <v>264</v>
      </c>
      <c r="GO41" t="s">
        <v>559</v>
      </c>
      <c r="GP41" t="s">
        <v>555</v>
      </c>
      <c r="GQ41">
        <v>0</v>
      </c>
      <c r="GR41">
        <v>0</v>
      </c>
      <c r="GS41">
        <v>0</v>
      </c>
      <c r="GT41" t="s">
        <v>264</v>
      </c>
      <c r="GW41" t="s">
        <v>560</v>
      </c>
      <c r="GX41" t="s">
        <v>555</v>
      </c>
      <c r="GY41">
        <v>0</v>
      </c>
      <c r="GZ41">
        <v>0</v>
      </c>
      <c r="HA41">
        <v>0</v>
      </c>
      <c r="HB41" t="s">
        <v>264</v>
      </c>
      <c r="HE41" t="s">
        <v>561</v>
      </c>
      <c r="HF41" t="s">
        <v>555</v>
      </c>
      <c r="HG41">
        <v>0</v>
      </c>
      <c r="HH41">
        <v>0</v>
      </c>
      <c r="HI41">
        <v>0</v>
      </c>
      <c r="HJ41" t="s">
        <v>264</v>
      </c>
      <c r="HM41" t="s">
        <v>562</v>
      </c>
      <c r="HN41" t="s">
        <v>555</v>
      </c>
      <c r="HO41">
        <v>0</v>
      </c>
      <c r="HP41">
        <v>0</v>
      </c>
      <c r="HQ41">
        <v>0</v>
      </c>
      <c r="HR41" t="s">
        <v>264</v>
      </c>
      <c r="HU41" t="s">
        <v>563</v>
      </c>
      <c r="HV41" t="s">
        <v>555</v>
      </c>
      <c r="HW41">
        <v>0</v>
      </c>
      <c r="HX41">
        <v>0</v>
      </c>
      <c r="HY41">
        <v>0</v>
      </c>
      <c r="HZ41" t="s">
        <v>264</v>
      </c>
      <c r="IC41" t="s">
        <v>564</v>
      </c>
      <c r="ID41" t="s">
        <v>555</v>
      </c>
      <c r="IE41">
        <v>0</v>
      </c>
      <c r="IF41">
        <v>0</v>
      </c>
      <c r="IG41">
        <v>0</v>
      </c>
      <c r="IH41" t="s">
        <v>264</v>
      </c>
      <c r="IK41" t="s">
        <v>565</v>
      </c>
      <c r="IL41" t="s">
        <v>555</v>
      </c>
      <c r="IM41">
        <v>0</v>
      </c>
      <c r="IN41">
        <v>0</v>
      </c>
      <c r="IO41">
        <v>0</v>
      </c>
      <c r="IP41" t="s">
        <v>264</v>
      </c>
      <c r="IS41" t="s">
        <v>566</v>
      </c>
      <c r="IT41" t="s">
        <v>555</v>
      </c>
      <c r="IU41">
        <v>0</v>
      </c>
      <c r="IV41">
        <v>0</v>
      </c>
      <c r="IW41">
        <v>0</v>
      </c>
      <c r="IX41" t="s">
        <v>264</v>
      </c>
      <c r="JA41" t="s">
        <v>567</v>
      </c>
      <c r="JB41" t="s">
        <v>555</v>
      </c>
      <c r="JC41">
        <v>0</v>
      </c>
      <c r="JD41">
        <v>0</v>
      </c>
      <c r="JE41">
        <v>0</v>
      </c>
      <c r="JF41" t="s">
        <v>264</v>
      </c>
      <c r="JI41" t="s">
        <v>568</v>
      </c>
      <c r="JJ41" t="s">
        <v>555</v>
      </c>
      <c r="JK41">
        <v>0</v>
      </c>
      <c r="JL41">
        <v>0</v>
      </c>
      <c r="JM41">
        <v>0</v>
      </c>
      <c r="JN41" t="s">
        <v>264</v>
      </c>
      <c r="JQ41" t="s">
        <v>569</v>
      </c>
      <c r="JR41" t="s">
        <v>555</v>
      </c>
      <c r="JS41">
        <v>0</v>
      </c>
      <c r="JT41">
        <v>0</v>
      </c>
      <c r="JU41">
        <v>0</v>
      </c>
      <c r="JV41" t="s">
        <v>264</v>
      </c>
      <c r="JY41" t="s">
        <v>570</v>
      </c>
      <c r="JZ41" t="s">
        <v>555</v>
      </c>
      <c r="KA41">
        <v>0</v>
      </c>
      <c r="KB41">
        <v>0</v>
      </c>
      <c r="KC41">
        <v>0</v>
      </c>
      <c r="KD41" t="s">
        <v>264</v>
      </c>
      <c r="KG41" t="s">
        <v>571</v>
      </c>
      <c r="KH41" t="s">
        <v>555</v>
      </c>
      <c r="KI41">
        <v>0</v>
      </c>
      <c r="KJ41">
        <v>0</v>
      </c>
      <c r="KK41">
        <v>0</v>
      </c>
      <c r="KL41" t="s">
        <v>264</v>
      </c>
      <c r="KO41" t="s">
        <v>572</v>
      </c>
      <c r="KP41" t="s">
        <v>555</v>
      </c>
      <c r="KQ41">
        <v>0</v>
      </c>
      <c r="KR41">
        <v>0</v>
      </c>
      <c r="KS41">
        <v>0</v>
      </c>
      <c r="KT41" t="s">
        <v>264</v>
      </c>
      <c r="KW41" t="s">
        <v>573</v>
      </c>
      <c r="KX41" t="s">
        <v>555</v>
      </c>
      <c r="KY41">
        <v>0</v>
      </c>
      <c r="KZ41">
        <v>0</v>
      </c>
      <c r="LA41">
        <v>0</v>
      </c>
      <c r="LB41" t="s">
        <v>264</v>
      </c>
      <c r="LE41" t="s">
        <v>574</v>
      </c>
      <c r="LF41" t="s">
        <v>555</v>
      </c>
      <c r="LG41">
        <v>0</v>
      </c>
      <c r="LH41">
        <v>0</v>
      </c>
      <c r="LI41">
        <v>0</v>
      </c>
      <c r="LJ41" t="s">
        <v>264</v>
      </c>
      <c r="LM41" t="s">
        <v>575</v>
      </c>
      <c r="LN41" t="s">
        <v>555</v>
      </c>
      <c r="LO41">
        <v>0</v>
      </c>
      <c r="LP41">
        <v>0</v>
      </c>
      <c r="LQ41">
        <v>0</v>
      </c>
      <c r="LR41" t="s">
        <v>264</v>
      </c>
      <c r="LU41" t="s">
        <v>576</v>
      </c>
      <c r="LV41" t="s">
        <v>555</v>
      </c>
      <c r="LW41">
        <v>0</v>
      </c>
      <c r="LX41">
        <v>0</v>
      </c>
      <c r="LY41">
        <v>0</v>
      </c>
      <c r="LZ41" t="s">
        <v>264</v>
      </c>
      <c r="MC41" t="s">
        <v>577</v>
      </c>
      <c r="MD41" t="s">
        <v>555</v>
      </c>
      <c r="ME41">
        <v>0</v>
      </c>
      <c r="MF41">
        <v>0</v>
      </c>
      <c r="MG41">
        <v>0</v>
      </c>
      <c r="MH41" t="s">
        <v>264</v>
      </c>
      <c r="MK41" t="s">
        <v>578</v>
      </c>
      <c r="ML41" t="s">
        <v>555</v>
      </c>
      <c r="MM41">
        <v>0</v>
      </c>
      <c r="MN41">
        <v>0</v>
      </c>
      <c r="MO41">
        <v>0</v>
      </c>
      <c r="MP41" t="s">
        <v>264</v>
      </c>
      <c r="MS41" t="s">
        <v>579</v>
      </c>
      <c r="MT41" t="s">
        <v>555</v>
      </c>
      <c r="MU41">
        <v>0</v>
      </c>
      <c r="MV41">
        <v>0</v>
      </c>
      <c r="MW41">
        <v>0</v>
      </c>
      <c r="MX41" t="s">
        <v>264</v>
      </c>
      <c r="NA41" t="s">
        <v>580</v>
      </c>
      <c r="NB41" t="s">
        <v>555</v>
      </c>
      <c r="NC41">
        <v>0</v>
      </c>
      <c r="ND41">
        <v>0</v>
      </c>
      <c r="NE41">
        <v>0</v>
      </c>
      <c r="NF41" t="s">
        <v>264</v>
      </c>
      <c r="NI41">
        <v>40.1</v>
      </c>
      <c r="NJ41">
        <v>-15.5</v>
      </c>
      <c r="NP41" t="s">
        <v>624</v>
      </c>
    </row>
    <row r="42" spans="1:380" customFormat="1" x14ac:dyDescent="0.2">
      <c r="A42" t="s">
        <v>517</v>
      </c>
      <c r="B42">
        <v>1</v>
      </c>
      <c r="C42" t="s">
        <v>683</v>
      </c>
      <c r="D42">
        <v>646960754</v>
      </c>
      <c r="E42">
        <v>12602</v>
      </c>
      <c r="F42" t="s">
        <v>542</v>
      </c>
      <c r="G42">
        <v>847922</v>
      </c>
      <c r="H42">
        <v>210055321</v>
      </c>
      <c r="I42" t="s">
        <v>622</v>
      </c>
      <c r="J42" t="s">
        <v>684</v>
      </c>
      <c r="K42" t="s">
        <v>545</v>
      </c>
      <c r="L42" t="s">
        <v>294</v>
      </c>
      <c r="M42" t="s">
        <v>546</v>
      </c>
      <c r="N42" t="s">
        <v>468</v>
      </c>
      <c r="O42" t="s">
        <v>547</v>
      </c>
      <c r="P42" t="s">
        <v>270</v>
      </c>
      <c r="Q42">
        <v>27</v>
      </c>
      <c r="R42">
        <v>256</v>
      </c>
      <c r="S42" t="s">
        <v>270</v>
      </c>
      <c r="T42">
        <v>-9999</v>
      </c>
      <c r="U42">
        <v>600</v>
      </c>
      <c r="V42">
        <v>621</v>
      </c>
      <c r="W42">
        <v>594</v>
      </c>
      <c r="X42" t="s">
        <v>270</v>
      </c>
      <c r="Y42">
        <v>0</v>
      </c>
      <c r="Z42">
        <v>55</v>
      </c>
      <c r="AA42" t="s">
        <v>469</v>
      </c>
      <c r="AB42" t="s">
        <v>548</v>
      </c>
      <c r="AC42">
        <v>1</v>
      </c>
      <c r="AD42" t="s">
        <v>549</v>
      </c>
      <c r="AE42">
        <v>0</v>
      </c>
      <c r="AF42">
        <v>31</v>
      </c>
      <c r="AG42" t="s">
        <v>264</v>
      </c>
      <c r="AH42">
        <v>-9999</v>
      </c>
      <c r="AI42">
        <v>488</v>
      </c>
      <c r="AJ42">
        <v>597</v>
      </c>
      <c r="AK42">
        <v>484</v>
      </c>
      <c r="AL42" t="s">
        <v>270</v>
      </c>
      <c r="AM42">
        <v>0</v>
      </c>
      <c r="AN42">
        <v>55</v>
      </c>
      <c r="AO42" t="s">
        <v>470</v>
      </c>
      <c r="AP42" t="s">
        <v>548</v>
      </c>
      <c r="AQ42">
        <v>2</v>
      </c>
      <c r="AR42" t="s">
        <v>549</v>
      </c>
      <c r="AS42">
        <v>54.6</v>
      </c>
      <c r="AT42">
        <v>45</v>
      </c>
      <c r="AU42" t="s">
        <v>264</v>
      </c>
      <c r="AV42">
        <v>-9999</v>
      </c>
      <c r="AW42">
        <v>348</v>
      </c>
      <c r="AX42">
        <v>366</v>
      </c>
      <c r="AY42">
        <v>347</v>
      </c>
      <c r="AZ42" t="s">
        <v>270</v>
      </c>
      <c r="BA42">
        <v>0</v>
      </c>
      <c r="BB42">
        <v>55</v>
      </c>
      <c r="BC42" t="s">
        <v>550</v>
      </c>
      <c r="BD42" t="s">
        <v>548</v>
      </c>
      <c r="BE42">
        <v>3</v>
      </c>
      <c r="BF42" t="s">
        <v>549</v>
      </c>
      <c r="BG42">
        <v>0</v>
      </c>
      <c r="BH42">
        <v>9</v>
      </c>
      <c r="BI42" t="s">
        <v>264</v>
      </c>
      <c r="BJ42">
        <v>-9999</v>
      </c>
      <c r="BK42">
        <v>131</v>
      </c>
      <c r="BL42">
        <v>172</v>
      </c>
      <c r="BM42">
        <v>133</v>
      </c>
      <c r="BN42" t="s">
        <v>270</v>
      </c>
      <c r="BO42">
        <v>0</v>
      </c>
      <c r="BP42">
        <v>55</v>
      </c>
      <c r="BQ42" t="s">
        <v>504</v>
      </c>
      <c r="BR42" t="s">
        <v>548</v>
      </c>
      <c r="BS42">
        <v>4</v>
      </c>
      <c r="BT42" t="s">
        <v>549</v>
      </c>
      <c r="BU42">
        <v>52.3</v>
      </c>
      <c r="BV42">
        <v>83</v>
      </c>
      <c r="BW42" t="s">
        <v>264</v>
      </c>
      <c r="BX42">
        <v>-9999</v>
      </c>
      <c r="BY42">
        <v>189</v>
      </c>
      <c r="BZ42">
        <v>220</v>
      </c>
      <c r="CA42">
        <v>189</v>
      </c>
      <c r="CB42" t="s">
        <v>270</v>
      </c>
      <c r="CC42">
        <v>0</v>
      </c>
      <c r="CD42">
        <v>55</v>
      </c>
      <c r="CE42" t="s">
        <v>471</v>
      </c>
      <c r="CF42" t="s">
        <v>548</v>
      </c>
      <c r="CG42">
        <v>5</v>
      </c>
      <c r="CH42" t="s">
        <v>549</v>
      </c>
      <c r="CI42">
        <v>51</v>
      </c>
      <c r="CJ42">
        <v>221</v>
      </c>
      <c r="CK42" t="s">
        <v>264</v>
      </c>
      <c r="CL42">
        <v>-9999</v>
      </c>
      <c r="CM42">
        <v>520</v>
      </c>
      <c r="CN42">
        <v>613</v>
      </c>
      <c r="CO42">
        <v>521</v>
      </c>
      <c r="CP42" t="s">
        <v>270</v>
      </c>
      <c r="CQ42">
        <v>0</v>
      </c>
      <c r="CR42">
        <v>55</v>
      </c>
      <c r="CS42" t="s">
        <v>472</v>
      </c>
      <c r="CT42" t="s">
        <v>548</v>
      </c>
      <c r="CU42">
        <v>6</v>
      </c>
      <c r="CV42" t="s">
        <v>549</v>
      </c>
      <c r="CW42">
        <v>53.3</v>
      </c>
      <c r="CX42">
        <v>94</v>
      </c>
      <c r="CY42" t="s">
        <v>264</v>
      </c>
      <c r="CZ42">
        <v>-9999</v>
      </c>
      <c r="DA42">
        <v>708</v>
      </c>
      <c r="DB42">
        <v>807</v>
      </c>
      <c r="DC42">
        <v>700</v>
      </c>
      <c r="DD42" t="s">
        <v>270</v>
      </c>
      <c r="DE42">
        <v>0</v>
      </c>
      <c r="DF42">
        <v>55</v>
      </c>
      <c r="DG42" t="s">
        <v>473</v>
      </c>
      <c r="DH42" t="s">
        <v>548</v>
      </c>
      <c r="DI42">
        <v>7</v>
      </c>
      <c r="DJ42" t="s">
        <v>549</v>
      </c>
      <c r="DK42">
        <v>0</v>
      </c>
      <c r="DL42">
        <v>32</v>
      </c>
      <c r="DM42" t="s">
        <v>264</v>
      </c>
      <c r="DN42">
        <v>-9999</v>
      </c>
      <c r="DO42">
        <v>557</v>
      </c>
      <c r="DP42">
        <v>640</v>
      </c>
      <c r="DQ42">
        <v>554</v>
      </c>
      <c r="DR42" t="s">
        <v>270</v>
      </c>
      <c r="DS42">
        <v>0</v>
      </c>
      <c r="DT42">
        <v>55</v>
      </c>
      <c r="DU42" t="s">
        <v>474</v>
      </c>
      <c r="DV42" t="s">
        <v>548</v>
      </c>
      <c r="DW42">
        <v>8</v>
      </c>
      <c r="DX42" t="s">
        <v>549</v>
      </c>
      <c r="DY42">
        <v>50.5</v>
      </c>
      <c r="DZ42">
        <v>41</v>
      </c>
      <c r="EA42" t="s">
        <v>264</v>
      </c>
      <c r="EB42">
        <v>-9999</v>
      </c>
      <c r="EC42">
        <v>110</v>
      </c>
      <c r="ED42">
        <v>132</v>
      </c>
      <c r="EE42">
        <v>109</v>
      </c>
      <c r="EF42" t="s">
        <v>270</v>
      </c>
      <c r="EG42">
        <v>0</v>
      </c>
      <c r="EH42">
        <v>55</v>
      </c>
      <c r="EI42" t="s">
        <v>475</v>
      </c>
      <c r="EJ42" t="s">
        <v>548</v>
      </c>
      <c r="EK42">
        <v>9</v>
      </c>
      <c r="EL42" t="s">
        <v>549</v>
      </c>
      <c r="EM42">
        <v>0</v>
      </c>
      <c r="EN42">
        <v>7</v>
      </c>
      <c r="EO42" t="s">
        <v>264</v>
      </c>
      <c r="EP42">
        <v>-9999</v>
      </c>
      <c r="EQ42">
        <v>356</v>
      </c>
      <c r="ER42">
        <v>338</v>
      </c>
      <c r="ES42">
        <v>314</v>
      </c>
      <c r="ET42" t="s">
        <v>270</v>
      </c>
      <c r="EU42">
        <v>0</v>
      </c>
      <c r="EV42">
        <v>55</v>
      </c>
      <c r="EW42" t="s">
        <v>551</v>
      </c>
      <c r="EX42" t="s">
        <v>552</v>
      </c>
      <c r="EY42">
        <v>116</v>
      </c>
      <c r="EZ42">
        <v>116</v>
      </c>
      <c r="FA42">
        <v>117</v>
      </c>
      <c r="FB42" t="s">
        <v>270</v>
      </c>
      <c r="FC42" t="s">
        <v>553</v>
      </c>
      <c r="FD42" t="s">
        <v>552</v>
      </c>
      <c r="FE42">
        <v>267</v>
      </c>
      <c r="FF42">
        <v>266</v>
      </c>
      <c r="FG42">
        <v>264</v>
      </c>
      <c r="FH42" t="s">
        <v>270</v>
      </c>
      <c r="FI42" t="s">
        <v>554</v>
      </c>
      <c r="FJ42" t="s">
        <v>555</v>
      </c>
      <c r="FK42">
        <v>0</v>
      </c>
      <c r="FL42">
        <v>0</v>
      </c>
      <c r="FM42">
        <v>0</v>
      </c>
      <c r="FN42" t="s">
        <v>264</v>
      </c>
      <c r="FQ42" t="s">
        <v>556</v>
      </c>
      <c r="FR42" t="s">
        <v>555</v>
      </c>
      <c r="FS42">
        <v>0</v>
      </c>
      <c r="FT42">
        <v>0</v>
      </c>
      <c r="FU42">
        <v>0</v>
      </c>
      <c r="FV42" t="s">
        <v>264</v>
      </c>
      <c r="FY42" t="s">
        <v>557</v>
      </c>
      <c r="FZ42" t="s">
        <v>555</v>
      </c>
      <c r="GA42">
        <v>0</v>
      </c>
      <c r="GB42">
        <v>0</v>
      </c>
      <c r="GC42">
        <v>0</v>
      </c>
      <c r="GD42" t="s">
        <v>264</v>
      </c>
      <c r="GG42" t="s">
        <v>558</v>
      </c>
      <c r="GH42" t="s">
        <v>555</v>
      </c>
      <c r="GI42">
        <v>0</v>
      </c>
      <c r="GJ42">
        <v>0</v>
      </c>
      <c r="GK42">
        <v>0</v>
      </c>
      <c r="GL42" t="s">
        <v>264</v>
      </c>
      <c r="GO42" t="s">
        <v>559</v>
      </c>
      <c r="GP42" t="s">
        <v>555</v>
      </c>
      <c r="GQ42">
        <v>0</v>
      </c>
      <c r="GR42">
        <v>0</v>
      </c>
      <c r="GS42">
        <v>0</v>
      </c>
      <c r="GT42" t="s">
        <v>264</v>
      </c>
      <c r="GW42" t="s">
        <v>560</v>
      </c>
      <c r="GX42" t="s">
        <v>555</v>
      </c>
      <c r="GY42">
        <v>0</v>
      </c>
      <c r="GZ42">
        <v>0</v>
      </c>
      <c r="HA42">
        <v>0</v>
      </c>
      <c r="HB42" t="s">
        <v>264</v>
      </c>
      <c r="HE42" t="s">
        <v>561</v>
      </c>
      <c r="HF42" t="s">
        <v>555</v>
      </c>
      <c r="HG42">
        <v>0</v>
      </c>
      <c r="HH42">
        <v>0</v>
      </c>
      <c r="HI42">
        <v>0</v>
      </c>
      <c r="HJ42" t="s">
        <v>264</v>
      </c>
      <c r="HM42" t="s">
        <v>562</v>
      </c>
      <c r="HN42" t="s">
        <v>555</v>
      </c>
      <c r="HO42">
        <v>0</v>
      </c>
      <c r="HP42">
        <v>0</v>
      </c>
      <c r="HQ42">
        <v>0</v>
      </c>
      <c r="HR42" t="s">
        <v>264</v>
      </c>
      <c r="HU42" t="s">
        <v>563</v>
      </c>
      <c r="HV42" t="s">
        <v>555</v>
      </c>
      <c r="HW42">
        <v>0</v>
      </c>
      <c r="HX42">
        <v>0</v>
      </c>
      <c r="HY42">
        <v>0</v>
      </c>
      <c r="HZ42" t="s">
        <v>264</v>
      </c>
      <c r="IC42" t="s">
        <v>564</v>
      </c>
      <c r="ID42" t="s">
        <v>555</v>
      </c>
      <c r="IE42">
        <v>0</v>
      </c>
      <c r="IF42">
        <v>0</v>
      </c>
      <c r="IG42">
        <v>0</v>
      </c>
      <c r="IH42" t="s">
        <v>264</v>
      </c>
      <c r="IK42" t="s">
        <v>565</v>
      </c>
      <c r="IL42" t="s">
        <v>555</v>
      </c>
      <c r="IM42">
        <v>0</v>
      </c>
      <c r="IN42">
        <v>0</v>
      </c>
      <c r="IO42">
        <v>0</v>
      </c>
      <c r="IP42" t="s">
        <v>264</v>
      </c>
      <c r="IS42" t="s">
        <v>566</v>
      </c>
      <c r="IT42" t="s">
        <v>555</v>
      </c>
      <c r="IU42">
        <v>0</v>
      </c>
      <c r="IV42">
        <v>0</v>
      </c>
      <c r="IW42">
        <v>0</v>
      </c>
      <c r="IX42" t="s">
        <v>264</v>
      </c>
      <c r="JA42" t="s">
        <v>567</v>
      </c>
      <c r="JB42" t="s">
        <v>555</v>
      </c>
      <c r="JC42">
        <v>0</v>
      </c>
      <c r="JD42">
        <v>0</v>
      </c>
      <c r="JE42">
        <v>0</v>
      </c>
      <c r="JF42" t="s">
        <v>264</v>
      </c>
      <c r="JI42" t="s">
        <v>568</v>
      </c>
      <c r="JJ42" t="s">
        <v>555</v>
      </c>
      <c r="JK42">
        <v>0</v>
      </c>
      <c r="JL42">
        <v>0</v>
      </c>
      <c r="JM42">
        <v>0</v>
      </c>
      <c r="JN42" t="s">
        <v>264</v>
      </c>
      <c r="JQ42" t="s">
        <v>569</v>
      </c>
      <c r="JR42" t="s">
        <v>555</v>
      </c>
      <c r="JS42">
        <v>0</v>
      </c>
      <c r="JT42">
        <v>0</v>
      </c>
      <c r="JU42">
        <v>0</v>
      </c>
      <c r="JV42" t="s">
        <v>264</v>
      </c>
      <c r="JY42" t="s">
        <v>570</v>
      </c>
      <c r="JZ42" t="s">
        <v>555</v>
      </c>
      <c r="KA42">
        <v>0</v>
      </c>
      <c r="KB42">
        <v>0</v>
      </c>
      <c r="KC42">
        <v>0</v>
      </c>
      <c r="KD42" t="s">
        <v>264</v>
      </c>
      <c r="KG42" t="s">
        <v>571</v>
      </c>
      <c r="KH42" t="s">
        <v>555</v>
      </c>
      <c r="KI42">
        <v>0</v>
      </c>
      <c r="KJ42">
        <v>0</v>
      </c>
      <c r="KK42">
        <v>0</v>
      </c>
      <c r="KL42" t="s">
        <v>264</v>
      </c>
      <c r="KO42" t="s">
        <v>572</v>
      </c>
      <c r="KP42" t="s">
        <v>555</v>
      </c>
      <c r="KQ42">
        <v>0</v>
      </c>
      <c r="KR42">
        <v>0</v>
      </c>
      <c r="KS42">
        <v>0</v>
      </c>
      <c r="KT42" t="s">
        <v>264</v>
      </c>
      <c r="KW42" t="s">
        <v>573</v>
      </c>
      <c r="KX42" t="s">
        <v>555</v>
      </c>
      <c r="KY42">
        <v>0</v>
      </c>
      <c r="KZ42">
        <v>0</v>
      </c>
      <c r="LA42">
        <v>0</v>
      </c>
      <c r="LB42" t="s">
        <v>264</v>
      </c>
      <c r="LE42" t="s">
        <v>574</v>
      </c>
      <c r="LF42" t="s">
        <v>555</v>
      </c>
      <c r="LG42">
        <v>0</v>
      </c>
      <c r="LH42">
        <v>0</v>
      </c>
      <c r="LI42">
        <v>0</v>
      </c>
      <c r="LJ42" t="s">
        <v>264</v>
      </c>
      <c r="LM42" t="s">
        <v>575</v>
      </c>
      <c r="LN42" t="s">
        <v>555</v>
      </c>
      <c r="LO42">
        <v>0</v>
      </c>
      <c r="LP42">
        <v>0</v>
      </c>
      <c r="LQ42">
        <v>0</v>
      </c>
      <c r="LR42" t="s">
        <v>264</v>
      </c>
      <c r="LU42" t="s">
        <v>576</v>
      </c>
      <c r="LV42" t="s">
        <v>555</v>
      </c>
      <c r="LW42">
        <v>0</v>
      </c>
      <c r="LX42">
        <v>0</v>
      </c>
      <c r="LY42">
        <v>0</v>
      </c>
      <c r="LZ42" t="s">
        <v>264</v>
      </c>
      <c r="MC42" t="s">
        <v>577</v>
      </c>
      <c r="MD42" t="s">
        <v>555</v>
      </c>
      <c r="ME42">
        <v>0</v>
      </c>
      <c r="MF42">
        <v>0</v>
      </c>
      <c r="MG42">
        <v>0</v>
      </c>
      <c r="MH42" t="s">
        <v>264</v>
      </c>
      <c r="MK42" t="s">
        <v>578</v>
      </c>
      <c r="ML42" t="s">
        <v>555</v>
      </c>
      <c r="MM42">
        <v>0</v>
      </c>
      <c r="MN42">
        <v>0</v>
      </c>
      <c r="MO42">
        <v>0</v>
      </c>
      <c r="MP42" t="s">
        <v>264</v>
      </c>
      <c r="MS42" t="s">
        <v>579</v>
      </c>
      <c r="MT42" t="s">
        <v>555</v>
      </c>
      <c r="MU42">
        <v>0</v>
      </c>
      <c r="MV42">
        <v>0</v>
      </c>
      <c r="MW42">
        <v>0</v>
      </c>
      <c r="MX42" t="s">
        <v>264</v>
      </c>
      <c r="NA42" t="s">
        <v>580</v>
      </c>
      <c r="NB42" t="s">
        <v>555</v>
      </c>
      <c r="NC42">
        <v>0</v>
      </c>
      <c r="ND42">
        <v>0</v>
      </c>
      <c r="NE42">
        <v>0</v>
      </c>
      <c r="NF42" t="s">
        <v>264</v>
      </c>
      <c r="NI42">
        <v>40.1</v>
      </c>
      <c r="NJ42">
        <v>-9.6999999999999993</v>
      </c>
      <c r="NP42" t="s">
        <v>624</v>
      </c>
    </row>
    <row r="43" spans="1:380" customFormat="1" x14ac:dyDescent="0.2">
      <c r="A43" t="s">
        <v>517</v>
      </c>
      <c r="B43">
        <v>1</v>
      </c>
      <c r="C43" t="s">
        <v>685</v>
      </c>
      <c r="D43">
        <v>646960482</v>
      </c>
      <c r="E43">
        <v>12602</v>
      </c>
      <c r="F43" t="s">
        <v>542</v>
      </c>
      <c r="G43">
        <v>847922</v>
      </c>
      <c r="H43">
        <v>210075588</v>
      </c>
      <c r="I43" t="s">
        <v>622</v>
      </c>
      <c r="J43" t="s">
        <v>686</v>
      </c>
      <c r="K43" t="s">
        <v>545</v>
      </c>
      <c r="L43" t="s">
        <v>294</v>
      </c>
      <c r="M43" t="s">
        <v>546</v>
      </c>
      <c r="N43" t="s">
        <v>468</v>
      </c>
      <c r="O43" t="s">
        <v>547</v>
      </c>
      <c r="P43" t="s">
        <v>270</v>
      </c>
      <c r="Q43">
        <v>29.2</v>
      </c>
      <c r="R43">
        <v>214</v>
      </c>
      <c r="S43" t="s">
        <v>270</v>
      </c>
      <c r="T43">
        <v>-9999</v>
      </c>
      <c r="U43">
        <v>772</v>
      </c>
      <c r="V43">
        <v>800</v>
      </c>
      <c r="W43">
        <v>761</v>
      </c>
      <c r="X43" t="s">
        <v>270</v>
      </c>
      <c r="Y43">
        <v>0</v>
      </c>
      <c r="Z43">
        <v>55</v>
      </c>
      <c r="AA43" t="s">
        <v>469</v>
      </c>
      <c r="AB43" t="s">
        <v>548</v>
      </c>
      <c r="AC43">
        <v>1</v>
      </c>
      <c r="AD43" t="s">
        <v>549</v>
      </c>
      <c r="AE43">
        <v>0</v>
      </c>
      <c r="AF43">
        <v>26</v>
      </c>
      <c r="AG43" t="s">
        <v>264</v>
      </c>
      <c r="AH43">
        <v>-9999</v>
      </c>
      <c r="AI43">
        <v>485</v>
      </c>
      <c r="AJ43">
        <v>592</v>
      </c>
      <c r="AK43">
        <v>480</v>
      </c>
      <c r="AL43" t="s">
        <v>270</v>
      </c>
      <c r="AM43">
        <v>0</v>
      </c>
      <c r="AN43">
        <v>55</v>
      </c>
      <c r="AO43" t="s">
        <v>470</v>
      </c>
      <c r="AP43" t="s">
        <v>548</v>
      </c>
      <c r="AQ43">
        <v>2</v>
      </c>
      <c r="AR43" t="s">
        <v>549</v>
      </c>
      <c r="AS43">
        <v>54.4</v>
      </c>
      <c r="AT43">
        <v>49</v>
      </c>
      <c r="AU43" t="s">
        <v>264</v>
      </c>
      <c r="AV43">
        <v>-9999</v>
      </c>
      <c r="AW43">
        <v>492</v>
      </c>
      <c r="AX43">
        <v>524</v>
      </c>
      <c r="AY43">
        <v>489</v>
      </c>
      <c r="AZ43" t="s">
        <v>270</v>
      </c>
      <c r="BA43">
        <v>0</v>
      </c>
      <c r="BB43">
        <v>55</v>
      </c>
      <c r="BC43" t="s">
        <v>550</v>
      </c>
      <c r="BD43" t="s">
        <v>548</v>
      </c>
      <c r="BE43">
        <v>3</v>
      </c>
      <c r="BF43" t="s">
        <v>549</v>
      </c>
      <c r="BG43">
        <v>0</v>
      </c>
      <c r="BH43">
        <v>-6</v>
      </c>
      <c r="BI43" t="s">
        <v>264</v>
      </c>
      <c r="BJ43">
        <v>-9999</v>
      </c>
      <c r="BK43">
        <v>138</v>
      </c>
      <c r="BL43">
        <v>181</v>
      </c>
      <c r="BM43">
        <v>140</v>
      </c>
      <c r="BN43" t="s">
        <v>270</v>
      </c>
      <c r="BO43">
        <v>0</v>
      </c>
      <c r="BP43">
        <v>55</v>
      </c>
      <c r="BQ43" t="s">
        <v>504</v>
      </c>
      <c r="BR43" t="s">
        <v>548</v>
      </c>
      <c r="BS43">
        <v>4</v>
      </c>
      <c r="BT43" t="s">
        <v>549</v>
      </c>
      <c r="BU43">
        <v>53</v>
      </c>
      <c r="BV43">
        <v>59</v>
      </c>
      <c r="BW43" t="s">
        <v>264</v>
      </c>
      <c r="BX43">
        <v>-9999</v>
      </c>
      <c r="BY43">
        <v>215</v>
      </c>
      <c r="BZ43">
        <v>248</v>
      </c>
      <c r="CA43">
        <v>213</v>
      </c>
      <c r="CB43" t="s">
        <v>270</v>
      </c>
      <c r="CC43">
        <v>0</v>
      </c>
      <c r="CD43">
        <v>55</v>
      </c>
      <c r="CE43" t="s">
        <v>471</v>
      </c>
      <c r="CF43" t="s">
        <v>548</v>
      </c>
      <c r="CG43">
        <v>5</v>
      </c>
      <c r="CH43" t="s">
        <v>549</v>
      </c>
      <c r="CI43">
        <v>51.5</v>
      </c>
      <c r="CJ43">
        <v>204</v>
      </c>
      <c r="CK43" t="s">
        <v>264</v>
      </c>
      <c r="CL43">
        <v>-9999</v>
      </c>
      <c r="CM43">
        <v>501</v>
      </c>
      <c r="CN43">
        <v>587</v>
      </c>
      <c r="CO43">
        <v>501</v>
      </c>
      <c r="CP43" t="s">
        <v>270</v>
      </c>
      <c r="CQ43">
        <v>0</v>
      </c>
      <c r="CR43">
        <v>55</v>
      </c>
      <c r="CS43" t="s">
        <v>472</v>
      </c>
      <c r="CT43" t="s">
        <v>548</v>
      </c>
      <c r="CU43">
        <v>6</v>
      </c>
      <c r="CV43" t="s">
        <v>549</v>
      </c>
      <c r="CW43">
        <v>54.2</v>
      </c>
      <c r="CX43">
        <v>70</v>
      </c>
      <c r="CY43" t="s">
        <v>264</v>
      </c>
      <c r="CZ43">
        <v>-9999</v>
      </c>
      <c r="DA43">
        <v>785</v>
      </c>
      <c r="DB43">
        <v>891</v>
      </c>
      <c r="DC43">
        <v>772</v>
      </c>
      <c r="DD43" t="s">
        <v>270</v>
      </c>
      <c r="DE43">
        <v>0</v>
      </c>
      <c r="DF43">
        <v>55</v>
      </c>
      <c r="DG43" t="s">
        <v>473</v>
      </c>
      <c r="DH43" t="s">
        <v>548</v>
      </c>
      <c r="DI43">
        <v>7</v>
      </c>
      <c r="DJ43" t="s">
        <v>549</v>
      </c>
      <c r="DK43">
        <v>0</v>
      </c>
      <c r="DL43">
        <v>22</v>
      </c>
      <c r="DM43" t="s">
        <v>264</v>
      </c>
      <c r="DN43">
        <v>-9999</v>
      </c>
      <c r="DO43">
        <v>508</v>
      </c>
      <c r="DP43">
        <v>584</v>
      </c>
      <c r="DQ43">
        <v>504</v>
      </c>
      <c r="DR43" t="s">
        <v>270</v>
      </c>
      <c r="DS43">
        <v>0</v>
      </c>
      <c r="DT43">
        <v>55</v>
      </c>
      <c r="DU43" t="s">
        <v>474</v>
      </c>
      <c r="DV43" t="s">
        <v>548</v>
      </c>
      <c r="DW43">
        <v>8</v>
      </c>
      <c r="DX43" t="s">
        <v>549</v>
      </c>
      <c r="DY43">
        <v>50.1</v>
      </c>
      <c r="DZ43">
        <v>44</v>
      </c>
      <c r="EA43" t="s">
        <v>264</v>
      </c>
      <c r="EB43">
        <v>-9999</v>
      </c>
      <c r="EC43">
        <v>117</v>
      </c>
      <c r="ED43">
        <v>140</v>
      </c>
      <c r="EE43">
        <v>114</v>
      </c>
      <c r="EF43" t="s">
        <v>270</v>
      </c>
      <c r="EG43">
        <v>0</v>
      </c>
      <c r="EH43">
        <v>55</v>
      </c>
      <c r="EI43" t="s">
        <v>475</v>
      </c>
      <c r="EJ43" t="s">
        <v>548</v>
      </c>
      <c r="EK43">
        <v>9</v>
      </c>
      <c r="EL43" t="s">
        <v>549</v>
      </c>
      <c r="EM43">
        <v>0</v>
      </c>
      <c r="EN43">
        <v>16</v>
      </c>
      <c r="EO43" t="s">
        <v>264</v>
      </c>
      <c r="EP43">
        <v>-9999</v>
      </c>
      <c r="EQ43">
        <v>401</v>
      </c>
      <c r="ER43">
        <v>391</v>
      </c>
      <c r="ES43">
        <v>362</v>
      </c>
      <c r="ET43" t="s">
        <v>270</v>
      </c>
      <c r="EU43">
        <v>0</v>
      </c>
      <c r="EV43">
        <v>55</v>
      </c>
      <c r="EW43" t="s">
        <v>551</v>
      </c>
      <c r="EX43" t="s">
        <v>552</v>
      </c>
      <c r="EY43">
        <v>150</v>
      </c>
      <c r="EZ43">
        <v>151</v>
      </c>
      <c r="FA43">
        <v>151</v>
      </c>
      <c r="FB43" t="s">
        <v>270</v>
      </c>
      <c r="FC43" t="s">
        <v>553</v>
      </c>
      <c r="FD43" t="s">
        <v>552</v>
      </c>
      <c r="FE43">
        <v>274</v>
      </c>
      <c r="FF43">
        <v>272</v>
      </c>
      <c r="FG43">
        <v>271</v>
      </c>
      <c r="FH43" t="s">
        <v>270</v>
      </c>
      <c r="FI43" t="s">
        <v>554</v>
      </c>
      <c r="FJ43" t="s">
        <v>555</v>
      </c>
      <c r="FK43">
        <v>0</v>
      </c>
      <c r="FL43">
        <v>0</v>
      </c>
      <c r="FM43">
        <v>0</v>
      </c>
      <c r="FN43" t="s">
        <v>264</v>
      </c>
      <c r="FQ43" t="s">
        <v>556</v>
      </c>
      <c r="FR43" t="s">
        <v>555</v>
      </c>
      <c r="FS43">
        <v>0</v>
      </c>
      <c r="FT43">
        <v>0</v>
      </c>
      <c r="FU43">
        <v>0</v>
      </c>
      <c r="FV43" t="s">
        <v>264</v>
      </c>
      <c r="FY43" t="s">
        <v>557</v>
      </c>
      <c r="FZ43" t="s">
        <v>555</v>
      </c>
      <c r="GA43">
        <v>0</v>
      </c>
      <c r="GB43">
        <v>0</v>
      </c>
      <c r="GC43">
        <v>0</v>
      </c>
      <c r="GD43" t="s">
        <v>264</v>
      </c>
      <c r="GG43" t="s">
        <v>558</v>
      </c>
      <c r="GH43" t="s">
        <v>555</v>
      </c>
      <c r="GI43">
        <v>0</v>
      </c>
      <c r="GJ43">
        <v>0</v>
      </c>
      <c r="GK43">
        <v>0</v>
      </c>
      <c r="GL43" t="s">
        <v>264</v>
      </c>
      <c r="GO43" t="s">
        <v>559</v>
      </c>
      <c r="GP43" t="s">
        <v>555</v>
      </c>
      <c r="GQ43">
        <v>0</v>
      </c>
      <c r="GR43">
        <v>0</v>
      </c>
      <c r="GS43">
        <v>0</v>
      </c>
      <c r="GT43" t="s">
        <v>264</v>
      </c>
      <c r="GW43" t="s">
        <v>560</v>
      </c>
      <c r="GX43" t="s">
        <v>555</v>
      </c>
      <c r="GY43">
        <v>0</v>
      </c>
      <c r="GZ43">
        <v>0</v>
      </c>
      <c r="HA43">
        <v>0</v>
      </c>
      <c r="HB43" t="s">
        <v>264</v>
      </c>
      <c r="HE43" t="s">
        <v>561</v>
      </c>
      <c r="HF43" t="s">
        <v>555</v>
      </c>
      <c r="HG43">
        <v>0</v>
      </c>
      <c r="HH43">
        <v>0</v>
      </c>
      <c r="HI43">
        <v>0</v>
      </c>
      <c r="HJ43" t="s">
        <v>264</v>
      </c>
      <c r="HM43" t="s">
        <v>562</v>
      </c>
      <c r="HN43" t="s">
        <v>555</v>
      </c>
      <c r="HO43">
        <v>0</v>
      </c>
      <c r="HP43">
        <v>0</v>
      </c>
      <c r="HQ43">
        <v>0</v>
      </c>
      <c r="HR43" t="s">
        <v>264</v>
      </c>
      <c r="HU43" t="s">
        <v>563</v>
      </c>
      <c r="HV43" t="s">
        <v>555</v>
      </c>
      <c r="HW43">
        <v>0</v>
      </c>
      <c r="HX43">
        <v>0</v>
      </c>
      <c r="HY43">
        <v>0</v>
      </c>
      <c r="HZ43" t="s">
        <v>264</v>
      </c>
      <c r="IC43" t="s">
        <v>564</v>
      </c>
      <c r="ID43" t="s">
        <v>555</v>
      </c>
      <c r="IE43">
        <v>0</v>
      </c>
      <c r="IF43">
        <v>0</v>
      </c>
      <c r="IG43">
        <v>0</v>
      </c>
      <c r="IH43" t="s">
        <v>264</v>
      </c>
      <c r="IK43" t="s">
        <v>565</v>
      </c>
      <c r="IL43" t="s">
        <v>555</v>
      </c>
      <c r="IM43">
        <v>0</v>
      </c>
      <c r="IN43">
        <v>0</v>
      </c>
      <c r="IO43">
        <v>0</v>
      </c>
      <c r="IP43" t="s">
        <v>264</v>
      </c>
      <c r="IS43" t="s">
        <v>566</v>
      </c>
      <c r="IT43" t="s">
        <v>555</v>
      </c>
      <c r="IU43">
        <v>0</v>
      </c>
      <c r="IV43">
        <v>0</v>
      </c>
      <c r="IW43">
        <v>0</v>
      </c>
      <c r="IX43" t="s">
        <v>264</v>
      </c>
      <c r="JA43" t="s">
        <v>567</v>
      </c>
      <c r="JB43" t="s">
        <v>555</v>
      </c>
      <c r="JC43">
        <v>0</v>
      </c>
      <c r="JD43">
        <v>0</v>
      </c>
      <c r="JE43">
        <v>0</v>
      </c>
      <c r="JF43" t="s">
        <v>264</v>
      </c>
      <c r="JI43" t="s">
        <v>568</v>
      </c>
      <c r="JJ43" t="s">
        <v>555</v>
      </c>
      <c r="JK43">
        <v>0</v>
      </c>
      <c r="JL43">
        <v>0</v>
      </c>
      <c r="JM43">
        <v>0</v>
      </c>
      <c r="JN43" t="s">
        <v>264</v>
      </c>
      <c r="JQ43" t="s">
        <v>569</v>
      </c>
      <c r="JR43" t="s">
        <v>555</v>
      </c>
      <c r="JS43">
        <v>0</v>
      </c>
      <c r="JT43">
        <v>0</v>
      </c>
      <c r="JU43">
        <v>0</v>
      </c>
      <c r="JV43" t="s">
        <v>264</v>
      </c>
      <c r="JY43" t="s">
        <v>570</v>
      </c>
      <c r="JZ43" t="s">
        <v>555</v>
      </c>
      <c r="KA43">
        <v>0</v>
      </c>
      <c r="KB43">
        <v>0</v>
      </c>
      <c r="KC43">
        <v>0</v>
      </c>
      <c r="KD43" t="s">
        <v>264</v>
      </c>
      <c r="KG43" t="s">
        <v>571</v>
      </c>
      <c r="KH43" t="s">
        <v>555</v>
      </c>
      <c r="KI43">
        <v>0</v>
      </c>
      <c r="KJ43">
        <v>0</v>
      </c>
      <c r="KK43">
        <v>0</v>
      </c>
      <c r="KL43" t="s">
        <v>264</v>
      </c>
      <c r="KO43" t="s">
        <v>572</v>
      </c>
      <c r="KP43" t="s">
        <v>555</v>
      </c>
      <c r="KQ43">
        <v>0</v>
      </c>
      <c r="KR43">
        <v>0</v>
      </c>
      <c r="KS43">
        <v>0</v>
      </c>
      <c r="KT43" t="s">
        <v>264</v>
      </c>
      <c r="KW43" t="s">
        <v>573</v>
      </c>
      <c r="KX43" t="s">
        <v>555</v>
      </c>
      <c r="KY43">
        <v>0</v>
      </c>
      <c r="KZ43">
        <v>0</v>
      </c>
      <c r="LA43">
        <v>0</v>
      </c>
      <c r="LB43" t="s">
        <v>264</v>
      </c>
      <c r="LE43" t="s">
        <v>574</v>
      </c>
      <c r="LF43" t="s">
        <v>555</v>
      </c>
      <c r="LG43">
        <v>0</v>
      </c>
      <c r="LH43">
        <v>0</v>
      </c>
      <c r="LI43">
        <v>0</v>
      </c>
      <c r="LJ43" t="s">
        <v>264</v>
      </c>
      <c r="LM43" t="s">
        <v>575</v>
      </c>
      <c r="LN43" t="s">
        <v>555</v>
      </c>
      <c r="LO43">
        <v>0</v>
      </c>
      <c r="LP43">
        <v>0</v>
      </c>
      <c r="LQ43">
        <v>0</v>
      </c>
      <c r="LR43" t="s">
        <v>264</v>
      </c>
      <c r="LU43" t="s">
        <v>576</v>
      </c>
      <c r="LV43" t="s">
        <v>555</v>
      </c>
      <c r="LW43">
        <v>0</v>
      </c>
      <c r="LX43">
        <v>0</v>
      </c>
      <c r="LY43">
        <v>0</v>
      </c>
      <c r="LZ43" t="s">
        <v>264</v>
      </c>
      <c r="MC43" t="s">
        <v>577</v>
      </c>
      <c r="MD43" t="s">
        <v>555</v>
      </c>
      <c r="ME43">
        <v>0</v>
      </c>
      <c r="MF43">
        <v>0</v>
      </c>
      <c r="MG43">
        <v>0</v>
      </c>
      <c r="MH43" t="s">
        <v>264</v>
      </c>
      <c r="MK43" t="s">
        <v>578</v>
      </c>
      <c r="ML43" t="s">
        <v>555</v>
      </c>
      <c r="MM43">
        <v>0</v>
      </c>
      <c r="MN43">
        <v>0</v>
      </c>
      <c r="MO43">
        <v>0</v>
      </c>
      <c r="MP43" t="s">
        <v>264</v>
      </c>
      <c r="MS43" t="s">
        <v>579</v>
      </c>
      <c r="MT43" t="s">
        <v>555</v>
      </c>
      <c r="MU43">
        <v>0</v>
      </c>
      <c r="MV43">
        <v>0</v>
      </c>
      <c r="MW43">
        <v>0</v>
      </c>
      <c r="MX43" t="s">
        <v>264</v>
      </c>
      <c r="NA43" t="s">
        <v>580</v>
      </c>
      <c r="NB43" t="s">
        <v>555</v>
      </c>
      <c r="NC43">
        <v>0</v>
      </c>
      <c r="ND43">
        <v>0</v>
      </c>
      <c r="NE43">
        <v>0</v>
      </c>
      <c r="NF43" t="s">
        <v>264</v>
      </c>
      <c r="NI43">
        <v>40.1</v>
      </c>
      <c r="NJ43">
        <v>-9.3000000000000007</v>
      </c>
      <c r="NP43" t="s">
        <v>624</v>
      </c>
    </row>
    <row r="44" spans="1:380" customFormat="1" x14ac:dyDescent="0.2">
      <c r="A44" t="s">
        <v>517</v>
      </c>
      <c r="B44">
        <v>1</v>
      </c>
      <c r="C44" t="s">
        <v>687</v>
      </c>
      <c r="D44">
        <v>646961818</v>
      </c>
      <c r="E44">
        <v>12602</v>
      </c>
      <c r="F44" t="s">
        <v>542</v>
      </c>
      <c r="G44">
        <v>847922</v>
      </c>
      <c r="H44">
        <v>210069388</v>
      </c>
      <c r="I44" t="s">
        <v>622</v>
      </c>
      <c r="J44" t="s">
        <v>688</v>
      </c>
      <c r="K44" t="s">
        <v>545</v>
      </c>
      <c r="L44" t="s">
        <v>294</v>
      </c>
      <c r="M44" t="s">
        <v>546</v>
      </c>
      <c r="N44" t="s">
        <v>468</v>
      </c>
      <c r="O44" t="s">
        <v>547</v>
      </c>
      <c r="P44" t="s">
        <v>270</v>
      </c>
      <c r="Q44">
        <v>26.9</v>
      </c>
      <c r="R44">
        <v>245</v>
      </c>
      <c r="S44" t="s">
        <v>270</v>
      </c>
      <c r="T44">
        <v>-9999</v>
      </c>
      <c r="U44">
        <v>643</v>
      </c>
      <c r="V44">
        <v>664</v>
      </c>
      <c r="W44">
        <v>635</v>
      </c>
      <c r="X44" t="s">
        <v>270</v>
      </c>
      <c r="Y44">
        <v>0</v>
      </c>
      <c r="Z44">
        <v>55</v>
      </c>
      <c r="AA44" t="s">
        <v>469</v>
      </c>
      <c r="AB44" t="s">
        <v>548</v>
      </c>
      <c r="AC44">
        <v>1</v>
      </c>
      <c r="AD44" t="s">
        <v>549</v>
      </c>
      <c r="AE44">
        <v>0</v>
      </c>
      <c r="AF44">
        <v>46</v>
      </c>
      <c r="AG44" t="s">
        <v>264</v>
      </c>
      <c r="AH44">
        <v>-9999</v>
      </c>
      <c r="AI44">
        <v>442</v>
      </c>
      <c r="AJ44">
        <v>560</v>
      </c>
      <c r="AK44">
        <v>444</v>
      </c>
      <c r="AL44" t="s">
        <v>270</v>
      </c>
      <c r="AM44">
        <v>0</v>
      </c>
      <c r="AN44">
        <v>55</v>
      </c>
      <c r="AO44" t="s">
        <v>470</v>
      </c>
      <c r="AP44" t="s">
        <v>548</v>
      </c>
      <c r="AQ44">
        <v>2</v>
      </c>
      <c r="AR44" t="s">
        <v>549</v>
      </c>
      <c r="AS44">
        <v>55</v>
      </c>
      <c r="AT44">
        <v>40</v>
      </c>
      <c r="AU44" t="s">
        <v>264</v>
      </c>
      <c r="AV44">
        <v>-9999</v>
      </c>
      <c r="AW44">
        <v>388</v>
      </c>
      <c r="AX44">
        <v>411</v>
      </c>
      <c r="AY44">
        <v>387</v>
      </c>
      <c r="AZ44" t="s">
        <v>270</v>
      </c>
      <c r="BA44">
        <v>0</v>
      </c>
      <c r="BB44">
        <v>55</v>
      </c>
      <c r="BC44" t="s">
        <v>550</v>
      </c>
      <c r="BD44" t="s">
        <v>548</v>
      </c>
      <c r="BE44">
        <v>3</v>
      </c>
      <c r="BF44" t="s">
        <v>549</v>
      </c>
      <c r="BG44">
        <v>0</v>
      </c>
      <c r="BH44">
        <v>-19</v>
      </c>
      <c r="BI44" t="s">
        <v>264</v>
      </c>
      <c r="BJ44">
        <v>-9999</v>
      </c>
      <c r="BK44">
        <v>252</v>
      </c>
      <c r="BL44">
        <v>303</v>
      </c>
      <c r="BM44">
        <v>248</v>
      </c>
      <c r="BN44" t="s">
        <v>270</v>
      </c>
      <c r="BO44">
        <v>0</v>
      </c>
      <c r="BP44">
        <v>55</v>
      </c>
      <c r="BQ44" t="s">
        <v>504</v>
      </c>
      <c r="BR44" t="s">
        <v>548</v>
      </c>
      <c r="BS44">
        <v>4</v>
      </c>
      <c r="BT44" t="s">
        <v>549</v>
      </c>
      <c r="BU44">
        <v>53.3</v>
      </c>
      <c r="BV44">
        <v>56</v>
      </c>
      <c r="BW44" t="s">
        <v>264</v>
      </c>
      <c r="BX44">
        <v>-9999</v>
      </c>
      <c r="BY44">
        <v>257</v>
      </c>
      <c r="BZ44">
        <v>296</v>
      </c>
      <c r="CA44">
        <v>255</v>
      </c>
      <c r="CB44" t="s">
        <v>270</v>
      </c>
      <c r="CC44">
        <v>0</v>
      </c>
      <c r="CD44">
        <v>55</v>
      </c>
      <c r="CE44" t="s">
        <v>471</v>
      </c>
      <c r="CF44" t="s">
        <v>548</v>
      </c>
      <c r="CG44">
        <v>5</v>
      </c>
      <c r="CH44" t="s">
        <v>549</v>
      </c>
      <c r="CI44">
        <v>51.4</v>
      </c>
      <c r="CJ44">
        <v>189</v>
      </c>
      <c r="CK44" t="s">
        <v>264</v>
      </c>
      <c r="CL44">
        <v>-9999</v>
      </c>
      <c r="CM44">
        <v>469</v>
      </c>
      <c r="CN44">
        <v>550</v>
      </c>
      <c r="CO44">
        <v>468</v>
      </c>
      <c r="CP44" t="s">
        <v>270</v>
      </c>
      <c r="CQ44">
        <v>0</v>
      </c>
      <c r="CR44">
        <v>55</v>
      </c>
      <c r="CS44" t="s">
        <v>472</v>
      </c>
      <c r="CT44" t="s">
        <v>548</v>
      </c>
      <c r="CU44">
        <v>6</v>
      </c>
      <c r="CV44" t="s">
        <v>549</v>
      </c>
      <c r="CW44">
        <v>53.8</v>
      </c>
      <c r="CX44">
        <v>85</v>
      </c>
      <c r="CY44" t="s">
        <v>264</v>
      </c>
      <c r="CZ44">
        <v>-9999</v>
      </c>
      <c r="DA44">
        <v>636</v>
      </c>
      <c r="DB44">
        <v>723</v>
      </c>
      <c r="DC44">
        <v>625</v>
      </c>
      <c r="DD44" t="s">
        <v>270</v>
      </c>
      <c r="DE44">
        <v>0</v>
      </c>
      <c r="DF44">
        <v>55</v>
      </c>
      <c r="DG44" t="s">
        <v>473</v>
      </c>
      <c r="DH44" t="s">
        <v>548</v>
      </c>
      <c r="DI44">
        <v>7</v>
      </c>
      <c r="DJ44" t="s">
        <v>549</v>
      </c>
      <c r="DK44">
        <v>0</v>
      </c>
      <c r="DL44">
        <v>27</v>
      </c>
      <c r="DM44" t="s">
        <v>264</v>
      </c>
      <c r="DN44">
        <v>-9999</v>
      </c>
      <c r="DO44">
        <v>516</v>
      </c>
      <c r="DP44">
        <v>587</v>
      </c>
      <c r="DQ44">
        <v>512</v>
      </c>
      <c r="DR44" t="s">
        <v>270</v>
      </c>
      <c r="DS44">
        <v>0</v>
      </c>
      <c r="DT44">
        <v>55</v>
      </c>
      <c r="DU44" t="s">
        <v>474</v>
      </c>
      <c r="DV44" t="s">
        <v>548</v>
      </c>
      <c r="DW44">
        <v>8</v>
      </c>
      <c r="DX44" t="s">
        <v>549</v>
      </c>
      <c r="DY44">
        <v>50.5</v>
      </c>
      <c r="DZ44">
        <v>44</v>
      </c>
      <c r="EA44" t="s">
        <v>264</v>
      </c>
      <c r="EB44">
        <v>-9999</v>
      </c>
      <c r="EC44">
        <v>105</v>
      </c>
      <c r="ED44">
        <v>128</v>
      </c>
      <c r="EE44">
        <v>104</v>
      </c>
      <c r="EF44" t="s">
        <v>270</v>
      </c>
      <c r="EG44">
        <v>0</v>
      </c>
      <c r="EH44">
        <v>55</v>
      </c>
      <c r="EI44" t="s">
        <v>475</v>
      </c>
      <c r="EJ44" t="s">
        <v>548</v>
      </c>
      <c r="EK44">
        <v>9</v>
      </c>
      <c r="EL44" t="s">
        <v>549</v>
      </c>
      <c r="EM44">
        <v>51.4</v>
      </c>
      <c r="EN44">
        <v>34</v>
      </c>
      <c r="EO44" t="s">
        <v>264</v>
      </c>
      <c r="EP44">
        <v>-9999</v>
      </c>
      <c r="EQ44">
        <v>259</v>
      </c>
      <c r="ER44">
        <v>232</v>
      </c>
      <c r="ES44">
        <v>218</v>
      </c>
      <c r="ET44" t="s">
        <v>270</v>
      </c>
      <c r="EU44">
        <v>0</v>
      </c>
      <c r="EV44">
        <v>55</v>
      </c>
      <c r="EW44" t="s">
        <v>551</v>
      </c>
      <c r="EX44" t="s">
        <v>552</v>
      </c>
      <c r="EY44">
        <v>149</v>
      </c>
      <c r="EZ44">
        <v>149</v>
      </c>
      <c r="FA44">
        <v>149</v>
      </c>
      <c r="FB44" t="s">
        <v>270</v>
      </c>
      <c r="FC44" t="s">
        <v>553</v>
      </c>
      <c r="FD44" t="s">
        <v>552</v>
      </c>
      <c r="FE44">
        <v>282</v>
      </c>
      <c r="FF44">
        <v>281</v>
      </c>
      <c r="FG44">
        <v>281</v>
      </c>
      <c r="FH44" t="s">
        <v>270</v>
      </c>
      <c r="FI44" t="s">
        <v>554</v>
      </c>
      <c r="FJ44" t="s">
        <v>555</v>
      </c>
      <c r="FK44">
        <v>0</v>
      </c>
      <c r="FL44">
        <v>0</v>
      </c>
      <c r="FM44">
        <v>0</v>
      </c>
      <c r="FN44" t="s">
        <v>264</v>
      </c>
      <c r="FQ44" t="s">
        <v>556</v>
      </c>
      <c r="FR44" t="s">
        <v>555</v>
      </c>
      <c r="FS44">
        <v>0</v>
      </c>
      <c r="FT44">
        <v>0</v>
      </c>
      <c r="FU44">
        <v>0</v>
      </c>
      <c r="FV44" t="s">
        <v>264</v>
      </c>
      <c r="FY44" t="s">
        <v>557</v>
      </c>
      <c r="FZ44" t="s">
        <v>555</v>
      </c>
      <c r="GA44">
        <v>0</v>
      </c>
      <c r="GB44">
        <v>0</v>
      </c>
      <c r="GC44">
        <v>0</v>
      </c>
      <c r="GD44" t="s">
        <v>264</v>
      </c>
      <c r="GG44" t="s">
        <v>558</v>
      </c>
      <c r="GH44" t="s">
        <v>555</v>
      </c>
      <c r="GI44">
        <v>0</v>
      </c>
      <c r="GJ44">
        <v>0</v>
      </c>
      <c r="GK44">
        <v>0</v>
      </c>
      <c r="GL44" t="s">
        <v>264</v>
      </c>
      <c r="GO44" t="s">
        <v>559</v>
      </c>
      <c r="GP44" t="s">
        <v>555</v>
      </c>
      <c r="GQ44">
        <v>0</v>
      </c>
      <c r="GR44">
        <v>0</v>
      </c>
      <c r="GS44">
        <v>0</v>
      </c>
      <c r="GT44" t="s">
        <v>264</v>
      </c>
      <c r="GW44" t="s">
        <v>560</v>
      </c>
      <c r="GX44" t="s">
        <v>555</v>
      </c>
      <c r="GY44">
        <v>0</v>
      </c>
      <c r="GZ44">
        <v>0</v>
      </c>
      <c r="HA44">
        <v>0</v>
      </c>
      <c r="HB44" t="s">
        <v>264</v>
      </c>
      <c r="HE44" t="s">
        <v>561</v>
      </c>
      <c r="HF44" t="s">
        <v>555</v>
      </c>
      <c r="HG44">
        <v>0</v>
      </c>
      <c r="HH44">
        <v>0</v>
      </c>
      <c r="HI44">
        <v>0</v>
      </c>
      <c r="HJ44" t="s">
        <v>264</v>
      </c>
      <c r="HM44" t="s">
        <v>562</v>
      </c>
      <c r="HN44" t="s">
        <v>555</v>
      </c>
      <c r="HO44">
        <v>0</v>
      </c>
      <c r="HP44">
        <v>0</v>
      </c>
      <c r="HQ44">
        <v>0</v>
      </c>
      <c r="HR44" t="s">
        <v>264</v>
      </c>
      <c r="HU44" t="s">
        <v>563</v>
      </c>
      <c r="HV44" t="s">
        <v>555</v>
      </c>
      <c r="HW44">
        <v>0</v>
      </c>
      <c r="HX44">
        <v>0</v>
      </c>
      <c r="HY44">
        <v>0</v>
      </c>
      <c r="HZ44" t="s">
        <v>264</v>
      </c>
      <c r="IC44" t="s">
        <v>564</v>
      </c>
      <c r="ID44" t="s">
        <v>555</v>
      </c>
      <c r="IE44">
        <v>0</v>
      </c>
      <c r="IF44">
        <v>0</v>
      </c>
      <c r="IG44">
        <v>0</v>
      </c>
      <c r="IH44" t="s">
        <v>264</v>
      </c>
      <c r="IK44" t="s">
        <v>565</v>
      </c>
      <c r="IL44" t="s">
        <v>555</v>
      </c>
      <c r="IM44">
        <v>0</v>
      </c>
      <c r="IN44">
        <v>0</v>
      </c>
      <c r="IO44">
        <v>0</v>
      </c>
      <c r="IP44" t="s">
        <v>264</v>
      </c>
      <c r="IS44" t="s">
        <v>566</v>
      </c>
      <c r="IT44" t="s">
        <v>555</v>
      </c>
      <c r="IU44">
        <v>0</v>
      </c>
      <c r="IV44">
        <v>0</v>
      </c>
      <c r="IW44">
        <v>0</v>
      </c>
      <c r="IX44" t="s">
        <v>264</v>
      </c>
      <c r="JA44" t="s">
        <v>567</v>
      </c>
      <c r="JB44" t="s">
        <v>555</v>
      </c>
      <c r="JC44">
        <v>0</v>
      </c>
      <c r="JD44">
        <v>0</v>
      </c>
      <c r="JE44">
        <v>0</v>
      </c>
      <c r="JF44" t="s">
        <v>264</v>
      </c>
      <c r="JI44" t="s">
        <v>568</v>
      </c>
      <c r="JJ44" t="s">
        <v>555</v>
      </c>
      <c r="JK44">
        <v>0</v>
      </c>
      <c r="JL44">
        <v>0</v>
      </c>
      <c r="JM44">
        <v>0</v>
      </c>
      <c r="JN44" t="s">
        <v>264</v>
      </c>
      <c r="JQ44" t="s">
        <v>569</v>
      </c>
      <c r="JR44" t="s">
        <v>555</v>
      </c>
      <c r="JS44">
        <v>0</v>
      </c>
      <c r="JT44">
        <v>0</v>
      </c>
      <c r="JU44">
        <v>0</v>
      </c>
      <c r="JV44" t="s">
        <v>264</v>
      </c>
      <c r="JY44" t="s">
        <v>570</v>
      </c>
      <c r="JZ44" t="s">
        <v>555</v>
      </c>
      <c r="KA44">
        <v>0</v>
      </c>
      <c r="KB44">
        <v>0</v>
      </c>
      <c r="KC44">
        <v>0</v>
      </c>
      <c r="KD44" t="s">
        <v>264</v>
      </c>
      <c r="KG44" t="s">
        <v>571</v>
      </c>
      <c r="KH44" t="s">
        <v>555</v>
      </c>
      <c r="KI44">
        <v>0</v>
      </c>
      <c r="KJ44">
        <v>0</v>
      </c>
      <c r="KK44">
        <v>0</v>
      </c>
      <c r="KL44" t="s">
        <v>264</v>
      </c>
      <c r="KO44" t="s">
        <v>572</v>
      </c>
      <c r="KP44" t="s">
        <v>555</v>
      </c>
      <c r="KQ44">
        <v>0</v>
      </c>
      <c r="KR44">
        <v>0</v>
      </c>
      <c r="KS44">
        <v>0</v>
      </c>
      <c r="KT44" t="s">
        <v>264</v>
      </c>
      <c r="KW44" t="s">
        <v>573</v>
      </c>
      <c r="KX44" t="s">
        <v>555</v>
      </c>
      <c r="KY44">
        <v>0</v>
      </c>
      <c r="KZ44">
        <v>0</v>
      </c>
      <c r="LA44">
        <v>0</v>
      </c>
      <c r="LB44" t="s">
        <v>264</v>
      </c>
      <c r="LE44" t="s">
        <v>574</v>
      </c>
      <c r="LF44" t="s">
        <v>555</v>
      </c>
      <c r="LG44">
        <v>0</v>
      </c>
      <c r="LH44">
        <v>0</v>
      </c>
      <c r="LI44">
        <v>0</v>
      </c>
      <c r="LJ44" t="s">
        <v>264</v>
      </c>
      <c r="LM44" t="s">
        <v>575</v>
      </c>
      <c r="LN44" t="s">
        <v>555</v>
      </c>
      <c r="LO44">
        <v>0</v>
      </c>
      <c r="LP44">
        <v>0</v>
      </c>
      <c r="LQ44">
        <v>0</v>
      </c>
      <c r="LR44" t="s">
        <v>264</v>
      </c>
      <c r="LU44" t="s">
        <v>576</v>
      </c>
      <c r="LV44" t="s">
        <v>555</v>
      </c>
      <c r="LW44">
        <v>0</v>
      </c>
      <c r="LX44">
        <v>0</v>
      </c>
      <c r="LY44">
        <v>0</v>
      </c>
      <c r="LZ44" t="s">
        <v>264</v>
      </c>
      <c r="MC44" t="s">
        <v>577</v>
      </c>
      <c r="MD44" t="s">
        <v>555</v>
      </c>
      <c r="ME44">
        <v>0</v>
      </c>
      <c r="MF44">
        <v>0</v>
      </c>
      <c r="MG44">
        <v>0</v>
      </c>
      <c r="MH44" t="s">
        <v>264</v>
      </c>
      <c r="MK44" t="s">
        <v>578</v>
      </c>
      <c r="ML44" t="s">
        <v>555</v>
      </c>
      <c r="MM44">
        <v>0</v>
      </c>
      <c r="MN44">
        <v>0</v>
      </c>
      <c r="MO44">
        <v>0</v>
      </c>
      <c r="MP44" t="s">
        <v>264</v>
      </c>
      <c r="MS44" t="s">
        <v>579</v>
      </c>
      <c r="MT44" t="s">
        <v>555</v>
      </c>
      <c r="MU44">
        <v>0</v>
      </c>
      <c r="MV44">
        <v>0</v>
      </c>
      <c r="MW44">
        <v>0</v>
      </c>
      <c r="MX44" t="s">
        <v>264</v>
      </c>
      <c r="NA44" t="s">
        <v>580</v>
      </c>
      <c r="NB44" t="s">
        <v>555</v>
      </c>
      <c r="NC44">
        <v>0</v>
      </c>
      <c r="ND44">
        <v>0</v>
      </c>
      <c r="NE44">
        <v>0</v>
      </c>
      <c r="NF44" t="s">
        <v>264</v>
      </c>
      <c r="NI44">
        <v>40</v>
      </c>
      <c r="NJ44">
        <v>-7.6</v>
      </c>
      <c r="NP44" t="s">
        <v>624</v>
      </c>
    </row>
    <row r="45" spans="1:380" customFormat="1" x14ac:dyDescent="0.2">
      <c r="A45" t="s">
        <v>517</v>
      </c>
      <c r="B45">
        <v>1</v>
      </c>
      <c r="C45" t="s">
        <v>689</v>
      </c>
      <c r="D45">
        <v>646961382</v>
      </c>
      <c r="E45">
        <v>12602</v>
      </c>
      <c r="F45" t="s">
        <v>542</v>
      </c>
      <c r="G45">
        <v>847922</v>
      </c>
      <c r="H45">
        <v>210047644</v>
      </c>
      <c r="I45" t="s">
        <v>622</v>
      </c>
      <c r="J45" t="s">
        <v>690</v>
      </c>
      <c r="K45" t="s">
        <v>545</v>
      </c>
      <c r="L45" t="s">
        <v>294</v>
      </c>
      <c r="M45" t="s">
        <v>546</v>
      </c>
      <c r="N45" t="s">
        <v>468</v>
      </c>
      <c r="O45" t="s">
        <v>547</v>
      </c>
      <c r="P45" t="s">
        <v>270</v>
      </c>
      <c r="Q45">
        <v>26.1</v>
      </c>
      <c r="R45">
        <v>263</v>
      </c>
      <c r="S45" t="s">
        <v>270</v>
      </c>
      <c r="T45">
        <v>-9999</v>
      </c>
      <c r="U45">
        <v>566</v>
      </c>
      <c r="V45">
        <v>586</v>
      </c>
      <c r="W45">
        <v>556</v>
      </c>
      <c r="X45" t="s">
        <v>270</v>
      </c>
      <c r="Y45">
        <v>0</v>
      </c>
      <c r="Z45">
        <v>55</v>
      </c>
      <c r="AA45" t="s">
        <v>469</v>
      </c>
      <c r="AB45" t="s">
        <v>548</v>
      </c>
      <c r="AC45">
        <v>1</v>
      </c>
      <c r="AD45" t="s">
        <v>549</v>
      </c>
      <c r="AE45">
        <v>0</v>
      </c>
      <c r="AF45">
        <v>19</v>
      </c>
      <c r="AG45" t="s">
        <v>264</v>
      </c>
      <c r="AH45">
        <v>-9999</v>
      </c>
      <c r="AI45">
        <v>489</v>
      </c>
      <c r="AJ45">
        <v>598</v>
      </c>
      <c r="AK45">
        <v>487</v>
      </c>
      <c r="AL45" t="s">
        <v>270</v>
      </c>
      <c r="AM45">
        <v>0</v>
      </c>
      <c r="AN45">
        <v>55</v>
      </c>
      <c r="AO45" t="s">
        <v>470</v>
      </c>
      <c r="AP45" t="s">
        <v>548</v>
      </c>
      <c r="AQ45">
        <v>2</v>
      </c>
      <c r="AR45" t="s">
        <v>549</v>
      </c>
      <c r="AS45">
        <v>0</v>
      </c>
      <c r="AT45">
        <v>33</v>
      </c>
      <c r="AU45" t="s">
        <v>264</v>
      </c>
      <c r="AV45">
        <v>-9999</v>
      </c>
      <c r="AW45">
        <v>378</v>
      </c>
      <c r="AX45">
        <v>401</v>
      </c>
      <c r="AY45">
        <v>378</v>
      </c>
      <c r="AZ45" t="s">
        <v>270</v>
      </c>
      <c r="BA45">
        <v>0</v>
      </c>
      <c r="BB45">
        <v>55</v>
      </c>
      <c r="BC45" t="s">
        <v>550</v>
      </c>
      <c r="BD45" t="s">
        <v>548</v>
      </c>
      <c r="BE45">
        <v>3</v>
      </c>
      <c r="BF45" t="s">
        <v>549</v>
      </c>
      <c r="BG45">
        <v>0</v>
      </c>
      <c r="BH45">
        <v>4</v>
      </c>
      <c r="BI45" t="s">
        <v>264</v>
      </c>
      <c r="BJ45">
        <v>-9999</v>
      </c>
      <c r="BK45">
        <v>145</v>
      </c>
      <c r="BL45">
        <v>187</v>
      </c>
      <c r="BM45">
        <v>146</v>
      </c>
      <c r="BN45" t="s">
        <v>270</v>
      </c>
      <c r="BO45">
        <v>0</v>
      </c>
      <c r="BP45">
        <v>55</v>
      </c>
      <c r="BQ45" t="s">
        <v>504</v>
      </c>
      <c r="BR45" t="s">
        <v>548</v>
      </c>
      <c r="BS45">
        <v>4</v>
      </c>
      <c r="BT45" t="s">
        <v>549</v>
      </c>
      <c r="BU45">
        <v>52.6</v>
      </c>
      <c r="BV45">
        <v>65</v>
      </c>
      <c r="BW45" t="s">
        <v>264</v>
      </c>
      <c r="BX45">
        <v>-9999</v>
      </c>
      <c r="BY45">
        <v>211</v>
      </c>
      <c r="BZ45">
        <v>244</v>
      </c>
      <c r="CA45">
        <v>210</v>
      </c>
      <c r="CB45" t="s">
        <v>270</v>
      </c>
      <c r="CC45">
        <v>0</v>
      </c>
      <c r="CD45">
        <v>55</v>
      </c>
      <c r="CE45" t="s">
        <v>471</v>
      </c>
      <c r="CF45" t="s">
        <v>548</v>
      </c>
      <c r="CG45">
        <v>5</v>
      </c>
      <c r="CH45" t="s">
        <v>549</v>
      </c>
      <c r="CI45">
        <v>52.3</v>
      </c>
      <c r="CJ45">
        <v>157</v>
      </c>
      <c r="CK45" t="s">
        <v>264</v>
      </c>
      <c r="CL45">
        <v>-9999</v>
      </c>
      <c r="CM45">
        <v>512</v>
      </c>
      <c r="CN45">
        <v>597</v>
      </c>
      <c r="CO45">
        <v>513</v>
      </c>
      <c r="CP45" t="s">
        <v>270</v>
      </c>
      <c r="CQ45">
        <v>0</v>
      </c>
      <c r="CR45">
        <v>55</v>
      </c>
      <c r="CS45" t="s">
        <v>472</v>
      </c>
      <c r="CT45" t="s">
        <v>548</v>
      </c>
      <c r="CU45">
        <v>6</v>
      </c>
      <c r="CV45" t="s">
        <v>549</v>
      </c>
      <c r="CW45">
        <v>54.8</v>
      </c>
      <c r="CX45">
        <v>54</v>
      </c>
      <c r="CY45" t="s">
        <v>264</v>
      </c>
      <c r="CZ45">
        <v>-9999</v>
      </c>
      <c r="DA45">
        <v>600</v>
      </c>
      <c r="DB45">
        <v>681</v>
      </c>
      <c r="DC45">
        <v>591</v>
      </c>
      <c r="DD45" t="s">
        <v>270</v>
      </c>
      <c r="DE45">
        <v>0</v>
      </c>
      <c r="DF45">
        <v>55</v>
      </c>
      <c r="DG45" t="s">
        <v>473</v>
      </c>
      <c r="DH45" t="s">
        <v>548</v>
      </c>
      <c r="DI45">
        <v>7</v>
      </c>
      <c r="DJ45" t="s">
        <v>549</v>
      </c>
      <c r="DK45">
        <v>0</v>
      </c>
      <c r="DL45">
        <v>31</v>
      </c>
      <c r="DM45" t="s">
        <v>264</v>
      </c>
      <c r="DN45">
        <v>-9999</v>
      </c>
      <c r="DO45">
        <v>551</v>
      </c>
      <c r="DP45">
        <v>635</v>
      </c>
      <c r="DQ45">
        <v>549</v>
      </c>
      <c r="DR45" t="s">
        <v>270</v>
      </c>
      <c r="DS45">
        <v>0</v>
      </c>
      <c r="DT45">
        <v>55</v>
      </c>
      <c r="DU45" t="s">
        <v>474</v>
      </c>
      <c r="DV45" t="s">
        <v>548</v>
      </c>
      <c r="DW45">
        <v>8</v>
      </c>
      <c r="DX45" t="s">
        <v>549</v>
      </c>
      <c r="DY45">
        <v>50</v>
      </c>
      <c r="DZ45">
        <v>47</v>
      </c>
      <c r="EA45" t="s">
        <v>264</v>
      </c>
      <c r="EB45">
        <v>-9999</v>
      </c>
      <c r="EC45">
        <v>103</v>
      </c>
      <c r="ED45">
        <v>125</v>
      </c>
      <c r="EE45">
        <v>101</v>
      </c>
      <c r="EF45" t="s">
        <v>270</v>
      </c>
      <c r="EG45">
        <v>0</v>
      </c>
      <c r="EH45">
        <v>55</v>
      </c>
      <c r="EI45" t="s">
        <v>475</v>
      </c>
      <c r="EJ45" t="s">
        <v>548</v>
      </c>
      <c r="EK45">
        <v>9</v>
      </c>
      <c r="EL45" t="s">
        <v>549</v>
      </c>
      <c r="EM45">
        <v>0</v>
      </c>
      <c r="EN45">
        <v>6</v>
      </c>
      <c r="EO45" t="s">
        <v>264</v>
      </c>
      <c r="EP45">
        <v>-9999</v>
      </c>
      <c r="EQ45">
        <v>351</v>
      </c>
      <c r="ER45">
        <v>338</v>
      </c>
      <c r="ES45">
        <v>314</v>
      </c>
      <c r="ET45" t="s">
        <v>270</v>
      </c>
      <c r="EU45">
        <v>0</v>
      </c>
      <c r="EV45">
        <v>55</v>
      </c>
      <c r="EW45" t="s">
        <v>551</v>
      </c>
      <c r="EX45" t="s">
        <v>552</v>
      </c>
      <c r="EY45">
        <v>130</v>
      </c>
      <c r="EZ45">
        <v>131</v>
      </c>
      <c r="FA45">
        <v>131</v>
      </c>
      <c r="FB45" t="s">
        <v>270</v>
      </c>
      <c r="FC45" t="s">
        <v>553</v>
      </c>
      <c r="FD45" t="s">
        <v>552</v>
      </c>
      <c r="FE45">
        <v>339</v>
      </c>
      <c r="FF45">
        <v>337</v>
      </c>
      <c r="FG45">
        <v>337</v>
      </c>
      <c r="FH45" t="s">
        <v>270</v>
      </c>
      <c r="FI45" t="s">
        <v>554</v>
      </c>
      <c r="FJ45" t="s">
        <v>555</v>
      </c>
      <c r="FK45">
        <v>0</v>
      </c>
      <c r="FL45">
        <v>0</v>
      </c>
      <c r="FM45">
        <v>0</v>
      </c>
      <c r="FN45" t="s">
        <v>264</v>
      </c>
      <c r="FQ45" t="s">
        <v>556</v>
      </c>
      <c r="FR45" t="s">
        <v>555</v>
      </c>
      <c r="FS45">
        <v>0</v>
      </c>
      <c r="FT45">
        <v>0</v>
      </c>
      <c r="FU45">
        <v>0</v>
      </c>
      <c r="FV45" t="s">
        <v>264</v>
      </c>
      <c r="FY45" t="s">
        <v>557</v>
      </c>
      <c r="FZ45" t="s">
        <v>555</v>
      </c>
      <c r="GA45">
        <v>0</v>
      </c>
      <c r="GB45">
        <v>0</v>
      </c>
      <c r="GC45">
        <v>0</v>
      </c>
      <c r="GD45" t="s">
        <v>264</v>
      </c>
      <c r="GG45" t="s">
        <v>558</v>
      </c>
      <c r="GH45" t="s">
        <v>555</v>
      </c>
      <c r="GI45">
        <v>0</v>
      </c>
      <c r="GJ45">
        <v>0</v>
      </c>
      <c r="GK45">
        <v>0</v>
      </c>
      <c r="GL45" t="s">
        <v>264</v>
      </c>
      <c r="GO45" t="s">
        <v>559</v>
      </c>
      <c r="GP45" t="s">
        <v>555</v>
      </c>
      <c r="GQ45">
        <v>0</v>
      </c>
      <c r="GR45">
        <v>0</v>
      </c>
      <c r="GS45">
        <v>0</v>
      </c>
      <c r="GT45" t="s">
        <v>264</v>
      </c>
      <c r="GW45" t="s">
        <v>560</v>
      </c>
      <c r="GX45" t="s">
        <v>555</v>
      </c>
      <c r="GY45">
        <v>0</v>
      </c>
      <c r="GZ45">
        <v>0</v>
      </c>
      <c r="HA45">
        <v>0</v>
      </c>
      <c r="HB45" t="s">
        <v>264</v>
      </c>
      <c r="HE45" t="s">
        <v>561</v>
      </c>
      <c r="HF45" t="s">
        <v>555</v>
      </c>
      <c r="HG45">
        <v>0</v>
      </c>
      <c r="HH45">
        <v>0</v>
      </c>
      <c r="HI45">
        <v>0</v>
      </c>
      <c r="HJ45" t="s">
        <v>264</v>
      </c>
      <c r="HM45" t="s">
        <v>562</v>
      </c>
      <c r="HN45" t="s">
        <v>555</v>
      </c>
      <c r="HO45">
        <v>0</v>
      </c>
      <c r="HP45">
        <v>0</v>
      </c>
      <c r="HQ45">
        <v>0</v>
      </c>
      <c r="HR45" t="s">
        <v>264</v>
      </c>
      <c r="HU45" t="s">
        <v>563</v>
      </c>
      <c r="HV45" t="s">
        <v>555</v>
      </c>
      <c r="HW45">
        <v>0</v>
      </c>
      <c r="HX45">
        <v>0</v>
      </c>
      <c r="HY45">
        <v>0</v>
      </c>
      <c r="HZ45" t="s">
        <v>264</v>
      </c>
      <c r="IC45" t="s">
        <v>564</v>
      </c>
      <c r="ID45" t="s">
        <v>555</v>
      </c>
      <c r="IE45">
        <v>0</v>
      </c>
      <c r="IF45">
        <v>0</v>
      </c>
      <c r="IG45">
        <v>0</v>
      </c>
      <c r="IH45" t="s">
        <v>264</v>
      </c>
      <c r="IK45" t="s">
        <v>565</v>
      </c>
      <c r="IL45" t="s">
        <v>555</v>
      </c>
      <c r="IM45">
        <v>0</v>
      </c>
      <c r="IN45">
        <v>0</v>
      </c>
      <c r="IO45">
        <v>0</v>
      </c>
      <c r="IP45" t="s">
        <v>264</v>
      </c>
      <c r="IS45" t="s">
        <v>566</v>
      </c>
      <c r="IT45" t="s">
        <v>555</v>
      </c>
      <c r="IU45">
        <v>0</v>
      </c>
      <c r="IV45">
        <v>0</v>
      </c>
      <c r="IW45">
        <v>0</v>
      </c>
      <c r="IX45" t="s">
        <v>264</v>
      </c>
      <c r="JA45" t="s">
        <v>567</v>
      </c>
      <c r="JB45" t="s">
        <v>555</v>
      </c>
      <c r="JC45">
        <v>0</v>
      </c>
      <c r="JD45">
        <v>0</v>
      </c>
      <c r="JE45">
        <v>0</v>
      </c>
      <c r="JF45" t="s">
        <v>264</v>
      </c>
      <c r="JI45" t="s">
        <v>568</v>
      </c>
      <c r="JJ45" t="s">
        <v>555</v>
      </c>
      <c r="JK45">
        <v>0</v>
      </c>
      <c r="JL45">
        <v>0</v>
      </c>
      <c r="JM45">
        <v>0</v>
      </c>
      <c r="JN45" t="s">
        <v>264</v>
      </c>
      <c r="JQ45" t="s">
        <v>569</v>
      </c>
      <c r="JR45" t="s">
        <v>555</v>
      </c>
      <c r="JS45">
        <v>0</v>
      </c>
      <c r="JT45">
        <v>0</v>
      </c>
      <c r="JU45">
        <v>0</v>
      </c>
      <c r="JV45" t="s">
        <v>264</v>
      </c>
      <c r="JY45" t="s">
        <v>570</v>
      </c>
      <c r="JZ45" t="s">
        <v>555</v>
      </c>
      <c r="KA45">
        <v>0</v>
      </c>
      <c r="KB45">
        <v>0</v>
      </c>
      <c r="KC45">
        <v>0</v>
      </c>
      <c r="KD45" t="s">
        <v>264</v>
      </c>
      <c r="KG45" t="s">
        <v>571</v>
      </c>
      <c r="KH45" t="s">
        <v>555</v>
      </c>
      <c r="KI45">
        <v>0</v>
      </c>
      <c r="KJ45">
        <v>0</v>
      </c>
      <c r="KK45">
        <v>0</v>
      </c>
      <c r="KL45" t="s">
        <v>264</v>
      </c>
      <c r="KO45" t="s">
        <v>572</v>
      </c>
      <c r="KP45" t="s">
        <v>555</v>
      </c>
      <c r="KQ45">
        <v>0</v>
      </c>
      <c r="KR45">
        <v>0</v>
      </c>
      <c r="KS45">
        <v>0</v>
      </c>
      <c r="KT45" t="s">
        <v>264</v>
      </c>
      <c r="KW45" t="s">
        <v>573</v>
      </c>
      <c r="KX45" t="s">
        <v>555</v>
      </c>
      <c r="KY45">
        <v>0</v>
      </c>
      <c r="KZ45">
        <v>0</v>
      </c>
      <c r="LA45">
        <v>0</v>
      </c>
      <c r="LB45" t="s">
        <v>264</v>
      </c>
      <c r="LE45" t="s">
        <v>574</v>
      </c>
      <c r="LF45" t="s">
        <v>555</v>
      </c>
      <c r="LG45">
        <v>0</v>
      </c>
      <c r="LH45">
        <v>0</v>
      </c>
      <c r="LI45">
        <v>0</v>
      </c>
      <c r="LJ45" t="s">
        <v>264</v>
      </c>
      <c r="LM45" t="s">
        <v>575</v>
      </c>
      <c r="LN45" t="s">
        <v>555</v>
      </c>
      <c r="LO45">
        <v>0</v>
      </c>
      <c r="LP45">
        <v>0</v>
      </c>
      <c r="LQ45">
        <v>0</v>
      </c>
      <c r="LR45" t="s">
        <v>264</v>
      </c>
      <c r="LU45" t="s">
        <v>576</v>
      </c>
      <c r="LV45" t="s">
        <v>555</v>
      </c>
      <c r="LW45">
        <v>0</v>
      </c>
      <c r="LX45">
        <v>0</v>
      </c>
      <c r="LY45">
        <v>0</v>
      </c>
      <c r="LZ45" t="s">
        <v>264</v>
      </c>
      <c r="MC45" t="s">
        <v>577</v>
      </c>
      <c r="MD45" t="s">
        <v>555</v>
      </c>
      <c r="ME45">
        <v>0</v>
      </c>
      <c r="MF45">
        <v>0</v>
      </c>
      <c r="MG45">
        <v>0</v>
      </c>
      <c r="MH45" t="s">
        <v>264</v>
      </c>
      <c r="MK45" t="s">
        <v>578</v>
      </c>
      <c r="ML45" t="s">
        <v>555</v>
      </c>
      <c r="MM45">
        <v>0</v>
      </c>
      <c r="MN45">
        <v>0</v>
      </c>
      <c r="MO45">
        <v>0</v>
      </c>
      <c r="MP45" t="s">
        <v>264</v>
      </c>
      <c r="MS45" t="s">
        <v>579</v>
      </c>
      <c r="MT45" t="s">
        <v>555</v>
      </c>
      <c r="MU45">
        <v>0</v>
      </c>
      <c r="MV45">
        <v>0</v>
      </c>
      <c r="MW45">
        <v>0</v>
      </c>
      <c r="MX45" t="s">
        <v>264</v>
      </c>
      <c r="NA45" t="s">
        <v>580</v>
      </c>
      <c r="NB45" t="s">
        <v>555</v>
      </c>
      <c r="NC45">
        <v>0</v>
      </c>
      <c r="ND45">
        <v>0</v>
      </c>
      <c r="NE45">
        <v>0</v>
      </c>
      <c r="NF45" t="s">
        <v>264</v>
      </c>
      <c r="NI45">
        <v>40.1</v>
      </c>
      <c r="NJ45">
        <v>-9</v>
      </c>
      <c r="NP45" t="s">
        <v>624</v>
      </c>
    </row>
    <row r="46" spans="1:380" customFormat="1" x14ac:dyDescent="0.2">
      <c r="A46" t="s">
        <v>517</v>
      </c>
      <c r="B46">
        <v>1</v>
      </c>
      <c r="C46" t="s">
        <v>691</v>
      </c>
      <c r="D46">
        <v>646961064</v>
      </c>
      <c r="E46">
        <v>12602</v>
      </c>
      <c r="F46" t="s">
        <v>542</v>
      </c>
      <c r="G46">
        <v>847922</v>
      </c>
      <c r="H46">
        <v>210117996</v>
      </c>
      <c r="I46" t="s">
        <v>622</v>
      </c>
      <c r="J46" t="s">
        <v>692</v>
      </c>
      <c r="K46" t="s">
        <v>545</v>
      </c>
      <c r="L46" t="s">
        <v>294</v>
      </c>
      <c r="M46" t="s">
        <v>546</v>
      </c>
      <c r="N46" t="s">
        <v>468</v>
      </c>
      <c r="O46" t="s">
        <v>547</v>
      </c>
      <c r="P46" t="s">
        <v>270</v>
      </c>
      <c r="Q46">
        <v>27.7</v>
      </c>
      <c r="R46">
        <v>278</v>
      </c>
      <c r="S46" t="s">
        <v>270</v>
      </c>
      <c r="T46">
        <v>-9999</v>
      </c>
      <c r="U46">
        <v>695</v>
      </c>
      <c r="V46">
        <v>720</v>
      </c>
      <c r="W46">
        <v>682</v>
      </c>
      <c r="X46" t="s">
        <v>270</v>
      </c>
      <c r="Y46">
        <v>0</v>
      </c>
      <c r="Z46">
        <v>55</v>
      </c>
      <c r="AA46" t="s">
        <v>469</v>
      </c>
      <c r="AB46" t="s">
        <v>548</v>
      </c>
      <c r="AC46">
        <v>1</v>
      </c>
      <c r="AD46" t="s">
        <v>549</v>
      </c>
      <c r="AE46">
        <v>0</v>
      </c>
      <c r="AF46">
        <v>40</v>
      </c>
      <c r="AG46" t="s">
        <v>264</v>
      </c>
      <c r="AH46">
        <v>-9999</v>
      </c>
      <c r="AI46">
        <v>450</v>
      </c>
      <c r="AJ46">
        <v>558</v>
      </c>
      <c r="AK46">
        <v>451</v>
      </c>
      <c r="AL46" t="s">
        <v>270</v>
      </c>
      <c r="AM46">
        <v>0</v>
      </c>
      <c r="AN46">
        <v>55</v>
      </c>
      <c r="AO46" t="s">
        <v>470</v>
      </c>
      <c r="AP46" t="s">
        <v>548</v>
      </c>
      <c r="AQ46">
        <v>2</v>
      </c>
      <c r="AR46" t="s">
        <v>549</v>
      </c>
      <c r="AS46">
        <v>0</v>
      </c>
      <c r="AT46">
        <v>31</v>
      </c>
      <c r="AU46" t="s">
        <v>264</v>
      </c>
      <c r="AV46">
        <v>-9999</v>
      </c>
      <c r="AW46">
        <v>385</v>
      </c>
      <c r="AX46">
        <v>405</v>
      </c>
      <c r="AY46">
        <v>384</v>
      </c>
      <c r="AZ46" t="s">
        <v>270</v>
      </c>
      <c r="BA46">
        <v>0</v>
      </c>
      <c r="BB46">
        <v>55</v>
      </c>
      <c r="BC46" t="s">
        <v>550</v>
      </c>
      <c r="BD46" t="s">
        <v>548</v>
      </c>
      <c r="BE46">
        <v>3</v>
      </c>
      <c r="BF46" t="s">
        <v>549</v>
      </c>
      <c r="BG46">
        <v>0</v>
      </c>
      <c r="BH46">
        <v>-11</v>
      </c>
      <c r="BI46" t="s">
        <v>264</v>
      </c>
      <c r="BJ46">
        <v>-9999</v>
      </c>
      <c r="BK46">
        <v>237</v>
      </c>
      <c r="BL46">
        <v>286</v>
      </c>
      <c r="BM46">
        <v>233</v>
      </c>
      <c r="BN46" t="s">
        <v>270</v>
      </c>
      <c r="BO46">
        <v>0</v>
      </c>
      <c r="BP46">
        <v>55</v>
      </c>
      <c r="BQ46" t="s">
        <v>504</v>
      </c>
      <c r="BR46" t="s">
        <v>548</v>
      </c>
      <c r="BS46">
        <v>4</v>
      </c>
      <c r="BT46" t="s">
        <v>549</v>
      </c>
      <c r="BU46">
        <v>51.2</v>
      </c>
      <c r="BV46">
        <v>137</v>
      </c>
      <c r="BW46" t="s">
        <v>264</v>
      </c>
      <c r="BX46">
        <v>-9999</v>
      </c>
      <c r="BY46">
        <v>226</v>
      </c>
      <c r="BZ46">
        <v>262</v>
      </c>
      <c r="CA46">
        <v>224</v>
      </c>
      <c r="CB46" t="s">
        <v>270</v>
      </c>
      <c r="CC46">
        <v>0</v>
      </c>
      <c r="CD46">
        <v>55</v>
      </c>
      <c r="CE46" t="s">
        <v>471</v>
      </c>
      <c r="CF46" t="s">
        <v>548</v>
      </c>
      <c r="CG46">
        <v>5</v>
      </c>
      <c r="CH46" t="s">
        <v>549</v>
      </c>
      <c r="CI46">
        <v>49.7</v>
      </c>
      <c r="CJ46">
        <v>340</v>
      </c>
      <c r="CK46" t="s">
        <v>264</v>
      </c>
      <c r="CL46">
        <v>-9999</v>
      </c>
      <c r="CM46">
        <v>485</v>
      </c>
      <c r="CN46">
        <v>567</v>
      </c>
      <c r="CO46">
        <v>484</v>
      </c>
      <c r="CP46" t="s">
        <v>270</v>
      </c>
      <c r="CQ46">
        <v>0</v>
      </c>
      <c r="CR46">
        <v>55</v>
      </c>
      <c r="CS46" t="s">
        <v>472</v>
      </c>
      <c r="CT46" t="s">
        <v>548</v>
      </c>
      <c r="CU46">
        <v>6</v>
      </c>
      <c r="CV46" t="s">
        <v>549</v>
      </c>
      <c r="CW46">
        <v>52.2</v>
      </c>
      <c r="CX46">
        <v>157</v>
      </c>
      <c r="CY46" t="s">
        <v>264</v>
      </c>
      <c r="CZ46">
        <v>-9999</v>
      </c>
      <c r="DA46">
        <v>737</v>
      </c>
      <c r="DB46">
        <v>839</v>
      </c>
      <c r="DC46">
        <v>725</v>
      </c>
      <c r="DD46" t="s">
        <v>270</v>
      </c>
      <c r="DE46">
        <v>0</v>
      </c>
      <c r="DF46">
        <v>55</v>
      </c>
      <c r="DG46" t="s">
        <v>473</v>
      </c>
      <c r="DH46" t="s">
        <v>548</v>
      </c>
      <c r="DI46">
        <v>7</v>
      </c>
      <c r="DJ46" t="s">
        <v>549</v>
      </c>
      <c r="DK46">
        <v>0</v>
      </c>
      <c r="DL46">
        <v>34</v>
      </c>
      <c r="DM46" t="s">
        <v>264</v>
      </c>
      <c r="DN46">
        <v>-9999</v>
      </c>
      <c r="DO46">
        <v>587</v>
      </c>
      <c r="DP46">
        <v>679</v>
      </c>
      <c r="DQ46">
        <v>582</v>
      </c>
      <c r="DR46" t="s">
        <v>270</v>
      </c>
      <c r="DS46">
        <v>0</v>
      </c>
      <c r="DT46">
        <v>55</v>
      </c>
      <c r="DU46" t="s">
        <v>474</v>
      </c>
      <c r="DV46" t="s">
        <v>548</v>
      </c>
      <c r="DW46">
        <v>8</v>
      </c>
      <c r="DX46" t="s">
        <v>549</v>
      </c>
      <c r="DY46">
        <v>50.7</v>
      </c>
      <c r="DZ46">
        <v>45</v>
      </c>
      <c r="EA46" t="s">
        <v>264</v>
      </c>
      <c r="EB46">
        <v>-9999</v>
      </c>
      <c r="EC46">
        <v>108</v>
      </c>
      <c r="ED46">
        <v>130</v>
      </c>
      <c r="EE46">
        <v>106</v>
      </c>
      <c r="EF46" t="s">
        <v>270</v>
      </c>
      <c r="EG46">
        <v>0</v>
      </c>
      <c r="EH46">
        <v>55</v>
      </c>
      <c r="EI46" t="s">
        <v>475</v>
      </c>
      <c r="EJ46" t="s">
        <v>548</v>
      </c>
      <c r="EK46">
        <v>9</v>
      </c>
      <c r="EL46" t="s">
        <v>549</v>
      </c>
      <c r="EM46">
        <v>0</v>
      </c>
      <c r="EN46">
        <v>17</v>
      </c>
      <c r="EO46" t="s">
        <v>264</v>
      </c>
      <c r="EP46">
        <v>-9999</v>
      </c>
      <c r="EQ46">
        <v>275</v>
      </c>
      <c r="ER46">
        <v>253</v>
      </c>
      <c r="ES46">
        <v>239</v>
      </c>
      <c r="ET46" t="s">
        <v>270</v>
      </c>
      <c r="EU46">
        <v>0</v>
      </c>
      <c r="EV46">
        <v>55</v>
      </c>
      <c r="EW46" t="s">
        <v>551</v>
      </c>
      <c r="EX46" t="s">
        <v>552</v>
      </c>
      <c r="EY46">
        <v>151</v>
      </c>
      <c r="EZ46">
        <v>152</v>
      </c>
      <c r="FA46">
        <v>152</v>
      </c>
      <c r="FB46" t="s">
        <v>270</v>
      </c>
      <c r="FC46" t="s">
        <v>553</v>
      </c>
      <c r="FD46" t="s">
        <v>552</v>
      </c>
      <c r="FE46">
        <v>263</v>
      </c>
      <c r="FF46">
        <v>262</v>
      </c>
      <c r="FG46">
        <v>261</v>
      </c>
      <c r="FH46" t="s">
        <v>270</v>
      </c>
      <c r="FI46" t="s">
        <v>554</v>
      </c>
      <c r="FJ46" t="s">
        <v>555</v>
      </c>
      <c r="FK46">
        <v>0</v>
      </c>
      <c r="FL46">
        <v>0</v>
      </c>
      <c r="FM46">
        <v>0</v>
      </c>
      <c r="FN46" t="s">
        <v>264</v>
      </c>
      <c r="FQ46" t="s">
        <v>556</v>
      </c>
      <c r="FR46" t="s">
        <v>555</v>
      </c>
      <c r="FS46">
        <v>0</v>
      </c>
      <c r="FT46">
        <v>0</v>
      </c>
      <c r="FU46">
        <v>0</v>
      </c>
      <c r="FV46" t="s">
        <v>264</v>
      </c>
      <c r="FY46" t="s">
        <v>557</v>
      </c>
      <c r="FZ46" t="s">
        <v>555</v>
      </c>
      <c r="GA46">
        <v>0</v>
      </c>
      <c r="GB46">
        <v>0</v>
      </c>
      <c r="GC46">
        <v>0</v>
      </c>
      <c r="GD46" t="s">
        <v>264</v>
      </c>
      <c r="GG46" t="s">
        <v>558</v>
      </c>
      <c r="GH46" t="s">
        <v>555</v>
      </c>
      <c r="GI46">
        <v>0</v>
      </c>
      <c r="GJ46">
        <v>0</v>
      </c>
      <c r="GK46">
        <v>0</v>
      </c>
      <c r="GL46" t="s">
        <v>264</v>
      </c>
      <c r="GO46" t="s">
        <v>559</v>
      </c>
      <c r="GP46" t="s">
        <v>555</v>
      </c>
      <c r="GQ46">
        <v>0</v>
      </c>
      <c r="GR46">
        <v>0</v>
      </c>
      <c r="GS46">
        <v>0</v>
      </c>
      <c r="GT46" t="s">
        <v>264</v>
      </c>
      <c r="GW46" t="s">
        <v>560</v>
      </c>
      <c r="GX46" t="s">
        <v>555</v>
      </c>
      <c r="GY46">
        <v>0</v>
      </c>
      <c r="GZ46">
        <v>0</v>
      </c>
      <c r="HA46">
        <v>0</v>
      </c>
      <c r="HB46" t="s">
        <v>264</v>
      </c>
      <c r="HE46" t="s">
        <v>561</v>
      </c>
      <c r="HF46" t="s">
        <v>555</v>
      </c>
      <c r="HG46">
        <v>0</v>
      </c>
      <c r="HH46">
        <v>0</v>
      </c>
      <c r="HI46">
        <v>0</v>
      </c>
      <c r="HJ46" t="s">
        <v>264</v>
      </c>
      <c r="HM46" t="s">
        <v>562</v>
      </c>
      <c r="HN46" t="s">
        <v>555</v>
      </c>
      <c r="HO46">
        <v>0</v>
      </c>
      <c r="HP46">
        <v>0</v>
      </c>
      <c r="HQ46">
        <v>0</v>
      </c>
      <c r="HR46" t="s">
        <v>264</v>
      </c>
      <c r="HU46" t="s">
        <v>563</v>
      </c>
      <c r="HV46" t="s">
        <v>555</v>
      </c>
      <c r="HW46">
        <v>0</v>
      </c>
      <c r="HX46">
        <v>0</v>
      </c>
      <c r="HY46">
        <v>0</v>
      </c>
      <c r="HZ46" t="s">
        <v>264</v>
      </c>
      <c r="IC46" t="s">
        <v>564</v>
      </c>
      <c r="ID46" t="s">
        <v>555</v>
      </c>
      <c r="IE46">
        <v>0</v>
      </c>
      <c r="IF46">
        <v>0</v>
      </c>
      <c r="IG46">
        <v>0</v>
      </c>
      <c r="IH46" t="s">
        <v>264</v>
      </c>
      <c r="IK46" t="s">
        <v>565</v>
      </c>
      <c r="IL46" t="s">
        <v>555</v>
      </c>
      <c r="IM46">
        <v>0</v>
      </c>
      <c r="IN46">
        <v>0</v>
      </c>
      <c r="IO46">
        <v>0</v>
      </c>
      <c r="IP46" t="s">
        <v>264</v>
      </c>
      <c r="IS46" t="s">
        <v>566</v>
      </c>
      <c r="IT46" t="s">
        <v>555</v>
      </c>
      <c r="IU46">
        <v>0</v>
      </c>
      <c r="IV46">
        <v>0</v>
      </c>
      <c r="IW46">
        <v>0</v>
      </c>
      <c r="IX46" t="s">
        <v>264</v>
      </c>
      <c r="JA46" t="s">
        <v>567</v>
      </c>
      <c r="JB46" t="s">
        <v>555</v>
      </c>
      <c r="JC46">
        <v>0</v>
      </c>
      <c r="JD46">
        <v>0</v>
      </c>
      <c r="JE46">
        <v>0</v>
      </c>
      <c r="JF46" t="s">
        <v>264</v>
      </c>
      <c r="JI46" t="s">
        <v>568</v>
      </c>
      <c r="JJ46" t="s">
        <v>555</v>
      </c>
      <c r="JK46">
        <v>0</v>
      </c>
      <c r="JL46">
        <v>0</v>
      </c>
      <c r="JM46">
        <v>0</v>
      </c>
      <c r="JN46" t="s">
        <v>264</v>
      </c>
      <c r="JQ46" t="s">
        <v>569</v>
      </c>
      <c r="JR46" t="s">
        <v>555</v>
      </c>
      <c r="JS46">
        <v>0</v>
      </c>
      <c r="JT46">
        <v>0</v>
      </c>
      <c r="JU46">
        <v>0</v>
      </c>
      <c r="JV46" t="s">
        <v>264</v>
      </c>
      <c r="JY46" t="s">
        <v>570</v>
      </c>
      <c r="JZ46" t="s">
        <v>555</v>
      </c>
      <c r="KA46">
        <v>0</v>
      </c>
      <c r="KB46">
        <v>0</v>
      </c>
      <c r="KC46">
        <v>0</v>
      </c>
      <c r="KD46" t="s">
        <v>264</v>
      </c>
      <c r="KG46" t="s">
        <v>571</v>
      </c>
      <c r="KH46" t="s">
        <v>555</v>
      </c>
      <c r="KI46">
        <v>0</v>
      </c>
      <c r="KJ46">
        <v>0</v>
      </c>
      <c r="KK46">
        <v>0</v>
      </c>
      <c r="KL46" t="s">
        <v>264</v>
      </c>
      <c r="KO46" t="s">
        <v>572</v>
      </c>
      <c r="KP46" t="s">
        <v>555</v>
      </c>
      <c r="KQ46">
        <v>0</v>
      </c>
      <c r="KR46">
        <v>0</v>
      </c>
      <c r="KS46">
        <v>0</v>
      </c>
      <c r="KT46" t="s">
        <v>264</v>
      </c>
      <c r="KW46" t="s">
        <v>573</v>
      </c>
      <c r="KX46" t="s">
        <v>555</v>
      </c>
      <c r="KY46">
        <v>0</v>
      </c>
      <c r="KZ46">
        <v>0</v>
      </c>
      <c r="LA46">
        <v>0</v>
      </c>
      <c r="LB46" t="s">
        <v>264</v>
      </c>
      <c r="LE46" t="s">
        <v>574</v>
      </c>
      <c r="LF46" t="s">
        <v>555</v>
      </c>
      <c r="LG46">
        <v>0</v>
      </c>
      <c r="LH46">
        <v>0</v>
      </c>
      <c r="LI46">
        <v>0</v>
      </c>
      <c r="LJ46" t="s">
        <v>264</v>
      </c>
      <c r="LM46" t="s">
        <v>575</v>
      </c>
      <c r="LN46" t="s">
        <v>555</v>
      </c>
      <c r="LO46">
        <v>0</v>
      </c>
      <c r="LP46">
        <v>0</v>
      </c>
      <c r="LQ46">
        <v>0</v>
      </c>
      <c r="LR46" t="s">
        <v>264</v>
      </c>
      <c r="LU46" t="s">
        <v>576</v>
      </c>
      <c r="LV46" t="s">
        <v>555</v>
      </c>
      <c r="LW46">
        <v>0</v>
      </c>
      <c r="LX46">
        <v>0</v>
      </c>
      <c r="LY46">
        <v>0</v>
      </c>
      <c r="LZ46" t="s">
        <v>264</v>
      </c>
      <c r="MC46" t="s">
        <v>577</v>
      </c>
      <c r="MD46" t="s">
        <v>555</v>
      </c>
      <c r="ME46">
        <v>0</v>
      </c>
      <c r="MF46">
        <v>0</v>
      </c>
      <c r="MG46">
        <v>0</v>
      </c>
      <c r="MH46" t="s">
        <v>264</v>
      </c>
      <c r="MK46" t="s">
        <v>578</v>
      </c>
      <c r="ML46" t="s">
        <v>555</v>
      </c>
      <c r="MM46">
        <v>0</v>
      </c>
      <c r="MN46">
        <v>0</v>
      </c>
      <c r="MO46">
        <v>0</v>
      </c>
      <c r="MP46" t="s">
        <v>264</v>
      </c>
      <c r="MS46" t="s">
        <v>579</v>
      </c>
      <c r="MT46" t="s">
        <v>555</v>
      </c>
      <c r="MU46">
        <v>0</v>
      </c>
      <c r="MV46">
        <v>0</v>
      </c>
      <c r="MW46">
        <v>0</v>
      </c>
      <c r="MX46" t="s">
        <v>264</v>
      </c>
      <c r="NA46" t="s">
        <v>580</v>
      </c>
      <c r="NB46" t="s">
        <v>555</v>
      </c>
      <c r="NC46">
        <v>0</v>
      </c>
      <c r="ND46">
        <v>0</v>
      </c>
      <c r="NE46">
        <v>0</v>
      </c>
      <c r="NF46" t="s">
        <v>264</v>
      </c>
      <c r="NI46">
        <v>41.1</v>
      </c>
      <c r="NJ46">
        <v>-27.3</v>
      </c>
      <c r="NP46" t="s">
        <v>624</v>
      </c>
    </row>
    <row r="47" spans="1:380" customFormat="1" x14ac:dyDescent="0.2">
      <c r="A47" t="s">
        <v>517</v>
      </c>
      <c r="B47">
        <v>1</v>
      </c>
      <c r="C47" t="s">
        <v>693</v>
      </c>
      <c r="D47">
        <v>646960755</v>
      </c>
      <c r="E47">
        <v>12602</v>
      </c>
      <c r="F47" t="s">
        <v>542</v>
      </c>
      <c r="G47">
        <v>847922</v>
      </c>
      <c r="H47">
        <v>210016957</v>
      </c>
      <c r="I47" t="s">
        <v>622</v>
      </c>
      <c r="J47" t="s">
        <v>694</v>
      </c>
      <c r="K47" t="s">
        <v>545</v>
      </c>
      <c r="L47" t="s">
        <v>294</v>
      </c>
      <c r="M47" t="s">
        <v>546</v>
      </c>
      <c r="N47" t="s">
        <v>468</v>
      </c>
      <c r="O47" t="s">
        <v>547</v>
      </c>
      <c r="P47" t="s">
        <v>264</v>
      </c>
      <c r="Q47">
        <v>27.4</v>
      </c>
      <c r="R47">
        <v>262</v>
      </c>
      <c r="S47" t="s">
        <v>264</v>
      </c>
      <c r="T47">
        <v>-9999</v>
      </c>
      <c r="U47">
        <v>560</v>
      </c>
      <c r="V47">
        <v>582</v>
      </c>
      <c r="W47">
        <v>553</v>
      </c>
      <c r="X47" t="s">
        <v>270</v>
      </c>
      <c r="Y47">
        <v>0</v>
      </c>
      <c r="Z47">
        <v>55</v>
      </c>
      <c r="AA47" t="s">
        <v>469</v>
      </c>
      <c r="AB47" t="s">
        <v>548</v>
      </c>
      <c r="AC47">
        <v>1</v>
      </c>
      <c r="AD47" t="s">
        <v>549</v>
      </c>
      <c r="AE47">
        <v>0</v>
      </c>
      <c r="AF47">
        <v>25</v>
      </c>
      <c r="AG47" t="s">
        <v>264</v>
      </c>
      <c r="AH47">
        <v>-9999</v>
      </c>
      <c r="AI47">
        <v>535</v>
      </c>
      <c r="AJ47">
        <v>644</v>
      </c>
      <c r="AK47">
        <v>526</v>
      </c>
      <c r="AL47" t="s">
        <v>270</v>
      </c>
      <c r="AM47">
        <v>0</v>
      </c>
      <c r="AN47">
        <v>55</v>
      </c>
      <c r="AO47" t="s">
        <v>470</v>
      </c>
      <c r="AP47" t="s">
        <v>548</v>
      </c>
      <c r="AQ47">
        <v>2</v>
      </c>
      <c r="AR47" t="s">
        <v>549</v>
      </c>
      <c r="AS47">
        <v>54.7</v>
      </c>
      <c r="AT47">
        <v>44</v>
      </c>
      <c r="AU47" t="s">
        <v>264</v>
      </c>
      <c r="AV47">
        <v>-9999</v>
      </c>
      <c r="AW47">
        <v>344</v>
      </c>
      <c r="AX47">
        <v>364</v>
      </c>
      <c r="AY47">
        <v>344</v>
      </c>
      <c r="AZ47" t="s">
        <v>270</v>
      </c>
      <c r="BA47">
        <v>0</v>
      </c>
      <c r="BB47">
        <v>55</v>
      </c>
      <c r="BC47" t="s">
        <v>550</v>
      </c>
      <c r="BD47" t="s">
        <v>548</v>
      </c>
      <c r="BE47">
        <v>3</v>
      </c>
      <c r="BF47" t="s">
        <v>584</v>
      </c>
      <c r="BG47">
        <v>17</v>
      </c>
      <c r="BH47">
        <v>7</v>
      </c>
      <c r="BI47" t="s">
        <v>264</v>
      </c>
      <c r="BJ47">
        <v>-9999</v>
      </c>
      <c r="BK47">
        <v>0</v>
      </c>
      <c r="BL47">
        <v>26</v>
      </c>
      <c r="BM47">
        <v>9</v>
      </c>
      <c r="BN47" t="s">
        <v>270</v>
      </c>
      <c r="BO47">
        <v>0</v>
      </c>
      <c r="BP47">
        <v>55</v>
      </c>
      <c r="BQ47" t="s">
        <v>504</v>
      </c>
      <c r="BR47" t="s">
        <v>548</v>
      </c>
      <c r="BS47">
        <v>4</v>
      </c>
      <c r="BT47" t="s">
        <v>549</v>
      </c>
      <c r="BU47">
        <v>52.1</v>
      </c>
      <c r="BV47">
        <v>80</v>
      </c>
      <c r="BW47" t="s">
        <v>264</v>
      </c>
      <c r="BX47">
        <v>-9999</v>
      </c>
      <c r="BY47">
        <v>202</v>
      </c>
      <c r="BZ47">
        <v>234</v>
      </c>
      <c r="CA47">
        <v>200</v>
      </c>
      <c r="CB47" t="s">
        <v>270</v>
      </c>
      <c r="CC47">
        <v>0</v>
      </c>
      <c r="CD47">
        <v>55</v>
      </c>
      <c r="CE47" t="s">
        <v>471</v>
      </c>
      <c r="CF47" t="s">
        <v>548</v>
      </c>
      <c r="CG47">
        <v>5</v>
      </c>
      <c r="CH47" t="s">
        <v>549</v>
      </c>
      <c r="CI47">
        <v>52.2</v>
      </c>
      <c r="CJ47">
        <v>163</v>
      </c>
      <c r="CK47" t="s">
        <v>264</v>
      </c>
      <c r="CL47">
        <v>-9999</v>
      </c>
      <c r="CM47">
        <v>469</v>
      </c>
      <c r="CN47">
        <v>550</v>
      </c>
      <c r="CO47">
        <v>471</v>
      </c>
      <c r="CP47" t="s">
        <v>270</v>
      </c>
      <c r="CQ47">
        <v>0</v>
      </c>
      <c r="CR47">
        <v>55</v>
      </c>
      <c r="CS47" t="s">
        <v>472</v>
      </c>
      <c r="CT47" t="s">
        <v>548</v>
      </c>
      <c r="CU47">
        <v>6</v>
      </c>
      <c r="CV47" t="s">
        <v>549</v>
      </c>
      <c r="CW47">
        <v>53.6</v>
      </c>
      <c r="CX47">
        <v>86</v>
      </c>
      <c r="CY47" t="s">
        <v>264</v>
      </c>
      <c r="CZ47">
        <v>-9999</v>
      </c>
      <c r="DA47">
        <v>555</v>
      </c>
      <c r="DB47">
        <v>630</v>
      </c>
      <c r="DC47">
        <v>547</v>
      </c>
      <c r="DD47" t="s">
        <v>270</v>
      </c>
      <c r="DE47">
        <v>0</v>
      </c>
      <c r="DF47">
        <v>55</v>
      </c>
      <c r="DG47" t="s">
        <v>473</v>
      </c>
      <c r="DH47" t="s">
        <v>548</v>
      </c>
      <c r="DI47">
        <v>7</v>
      </c>
      <c r="DJ47" t="s">
        <v>549</v>
      </c>
      <c r="DK47">
        <v>0</v>
      </c>
      <c r="DL47">
        <v>32</v>
      </c>
      <c r="DM47" t="s">
        <v>264</v>
      </c>
      <c r="DN47">
        <v>-9999</v>
      </c>
      <c r="DO47">
        <v>563</v>
      </c>
      <c r="DP47">
        <v>647</v>
      </c>
      <c r="DQ47">
        <v>557</v>
      </c>
      <c r="DR47" t="s">
        <v>270</v>
      </c>
      <c r="DS47">
        <v>0</v>
      </c>
      <c r="DT47">
        <v>55</v>
      </c>
      <c r="DU47" t="s">
        <v>474</v>
      </c>
      <c r="DV47" t="s">
        <v>548</v>
      </c>
      <c r="DW47">
        <v>8</v>
      </c>
      <c r="DX47" t="s">
        <v>584</v>
      </c>
      <c r="DY47">
        <v>32.200000000000003</v>
      </c>
      <c r="DZ47">
        <v>444</v>
      </c>
      <c r="EA47" t="s">
        <v>264</v>
      </c>
      <c r="EB47">
        <v>-9999</v>
      </c>
      <c r="EC47">
        <v>94</v>
      </c>
      <c r="ED47">
        <v>115</v>
      </c>
      <c r="EE47">
        <v>93</v>
      </c>
      <c r="EF47" t="s">
        <v>270</v>
      </c>
      <c r="EG47">
        <v>0</v>
      </c>
      <c r="EH47">
        <v>55</v>
      </c>
      <c r="EI47" t="s">
        <v>475</v>
      </c>
      <c r="EJ47" t="s">
        <v>548</v>
      </c>
      <c r="EK47">
        <v>9</v>
      </c>
      <c r="EL47" t="s">
        <v>549</v>
      </c>
      <c r="EM47">
        <v>52.2</v>
      </c>
      <c r="EN47">
        <v>24</v>
      </c>
      <c r="EO47" t="s">
        <v>264</v>
      </c>
      <c r="EP47">
        <v>-9999</v>
      </c>
      <c r="EQ47">
        <v>387</v>
      </c>
      <c r="ER47">
        <v>372</v>
      </c>
      <c r="ES47">
        <v>337</v>
      </c>
      <c r="ET47" t="s">
        <v>270</v>
      </c>
      <c r="EU47">
        <v>0</v>
      </c>
      <c r="EV47">
        <v>55</v>
      </c>
      <c r="EW47" t="s">
        <v>551</v>
      </c>
      <c r="EX47" t="s">
        <v>552</v>
      </c>
      <c r="EY47">
        <v>118</v>
      </c>
      <c r="EZ47">
        <v>119</v>
      </c>
      <c r="FA47">
        <v>119</v>
      </c>
      <c r="FB47" t="s">
        <v>270</v>
      </c>
      <c r="FC47" t="s">
        <v>553</v>
      </c>
      <c r="FD47" t="s">
        <v>552</v>
      </c>
      <c r="FE47">
        <v>279</v>
      </c>
      <c r="FF47">
        <v>277</v>
      </c>
      <c r="FG47">
        <v>277</v>
      </c>
      <c r="FH47" t="s">
        <v>270</v>
      </c>
      <c r="FI47" t="s">
        <v>554</v>
      </c>
      <c r="FJ47" t="s">
        <v>555</v>
      </c>
      <c r="FK47">
        <v>0</v>
      </c>
      <c r="FL47">
        <v>0</v>
      </c>
      <c r="FM47">
        <v>0</v>
      </c>
      <c r="FN47" t="s">
        <v>264</v>
      </c>
      <c r="FQ47" t="s">
        <v>556</v>
      </c>
      <c r="FR47" t="s">
        <v>555</v>
      </c>
      <c r="FS47">
        <v>0</v>
      </c>
      <c r="FT47">
        <v>0</v>
      </c>
      <c r="FU47">
        <v>0</v>
      </c>
      <c r="FV47" t="s">
        <v>264</v>
      </c>
      <c r="FY47" t="s">
        <v>557</v>
      </c>
      <c r="FZ47" t="s">
        <v>555</v>
      </c>
      <c r="GA47">
        <v>0</v>
      </c>
      <c r="GB47">
        <v>0</v>
      </c>
      <c r="GC47">
        <v>0</v>
      </c>
      <c r="GD47" t="s">
        <v>264</v>
      </c>
      <c r="GG47" t="s">
        <v>558</v>
      </c>
      <c r="GH47" t="s">
        <v>555</v>
      </c>
      <c r="GI47">
        <v>0</v>
      </c>
      <c r="GJ47">
        <v>0</v>
      </c>
      <c r="GK47">
        <v>0</v>
      </c>
      <c r="GL47" t="s">
        <v>264</v>
      </c>
      <c r="GO47" t="s">
        <v>559</v>
      </c>
      <c r="GP47" t="s">
        <v>555</v>
      </c>
      <c r="GQ47">
        <v>0</v>
      </c>
      <c r="GR47">
        <v>0</v>
      </c>
      <c r="GS47">
        <v>0</v>
      </c>
      <c r="GT47" t="s">
        <v>264</v>
      </c>
      <c r="GW47" t="s">
        <v>560</v>
      </c>
      <c r="GX47" t="s">
        <v>555</v>
      </c>
      <c r="GY47">
        <v>0</v>
      </c>
      <c r="GZ47">
        <v>0</v>
      </c>
      <c r="HA47">
        <v>0</v>
      </c>
      <c r="HB47" t="s">
        <v>264</v>
      </c>
      <c r="HE47" t="s">
        <v>561</v>
      </c>
      <c r="HF47" t="s">
        <v>555</v>
      </c>
      <c r="HG47">
        <v>0</v>
      </c>
      <c r="HH47">
        <v>0</v>
      </c>
      <c r="HI47">
        <v>0</v>
      </c>
      <c r="HJ47" t="s">
        <v>264</v>
      </c>
      <c r="HM47" t="s">
        <v>562</v>
      </c>
      <c r="HN47" t="s">
        <v>555</v>
      </c>
      <c r="HO47">
        <v>0</v>
      </c>
      <c r="HP47">
        <v>0</v>
      </c>
      <c r="HQ47">
        <v>0</v>
      </c>
      <c r="HR47" t="s">
        <v>264</v>
      </c>
      <c r="HU47" t="s">
        <v>563</v>
      </c>
      <c r="HV47" t="s">
        <v>555</v>
      </c>
      <c r="HW47">
        <v>0</v>
      </c>
      <c r="HX47">
        <v>0</v>
      </c>
      <c r="HY47">
        <v>0</v>
      </c>
      <c r="HZ47" t="s">
        <v>264</v>
      </c>
      <c r="IA47">
        <v>75</v>
      </c>
      <c r="IB47">
        <v>154.69999999999999</v>
      </c>
      <c r="IC47" t="s">
        <v>564</v>
      </c>
      <c r="ID47" t="s">
        <v>555</v>
      </c>
      <c r="IE47">
        <v>0</v>
      </c>
      <c r="IF47">
        <v>0</v>
      </c>
      <c r="IG47">
        <v>0</v>
      </c>
      <c r="IH47" t="s">
        <v>264</v>
      </c>
      <c r="IK47" t="s">
        <v>565</v>
      </c>
      <c r="IL47" t="s">
        <v>555</v>
      </c>
      <c r="IM47">
        <v>0</v>
      </c>
      <c r="IN47">
        <v>0</v>
      </c>
      <c r="IO47">
        <v>0</v>
      </c>
      <c r="IP47" t="s">
        <v>264</v>
      </c>
      <c r="IS47" t="s">
        <v>566</v>
      </c>
      <c r="IT47" t="s">
        <v>555</v>
      </c>
      <c r="IU47">
        <v>0</v>
      </c>
      <c r="IV47">
        <v>0</v>
      </c>
      <c r="IW47">
        <v>0</v>
      </c>
      <c r="IX47" t="s">
        <v>264</v>
      </c>
      <c r="JA47" t="s">
        <v>567</v>
      </c>
      <c r="JB47" t="s">
        <v>555</v>
      </c>
      <c r="JC47">
        <v>0</v>
      </c>
      <c r="JD47">
        <v>0</v>
      </c>
      <c r="JE47">
        <v>0</v>
      </c>
      <c r="JF47" t="s">
        <v>264</v>
      </c>
      <c r="JI47" t="s">
        <v>568</v>
      </c>
      <c r="JJ47" t="s">
        <v>555</v>
      </c>
      <c r="JK47">
        <v>0</v>
      </c>
      <c r="JL47">
        <v>0</v>
      </c>
      <c r="JM47">
        <v>0</v>
      </c>
      <c r="JN47" t="s">
        <v>264</v>
      </c>
      <c r="JQ47" t="s">
        <v>569</v>
      </c>
      <c r="JR47" t="s">
        <v>555</v>
      </c>
      <c r="JS47">
        <v>0</v>
      </c>
      <c r="JT47">
        <v>0</v>
      </c>
      <c r="JU47">
        <v>0</v>
      </c>
      <c r="JV47" t="s">
        <v>264</v>
      </c>
      <c r="JY47" t="s">
        <v>570</v>
      </c>
      <c r="JZ47" t="s">
        <v>555</v>
      </c>
      <c r="KA47">
        <v>0</v>
      </c>
      <c r="KB47">
        <v>0</v>
      </c>
      <c r="KC47">
        <v>0</v>
      </c>
      <c r="KD47" t="s">
        <v>264</v>
      </c>
      <c r="KG47" t="s">
        <v>571</v>
      </c>
      <c r="KH47" t="s">
        <v>555</v>
      </c>
      <c r="KI47">
        <v>0</v>
      </c>
      <c r="KJ47">
        <v>0</v>
      </c>
      <c r="KK47">
        <v>0</v>
      </c>
      <c r="KL47" t="s">
        <v>264</v>
      </c>
      <c r="KO47" t="s">
        <v>572</v>
      </c>
      <c r="KP47" t="s">
        <v>555</v>
      </c>
      <c r="KQ47">
        <v>0</v>
      </c>
      <c r="KR47">
        <v>0</v>
      </c>
      <c r="KS47">
        <v>0</v>
      </c>
      <c r="KT47" t="s">
        <v>264</v>
      </c>
      <c r="KW47" t="s">
        <v>573</v>
      </c>
      <c r="KX47" t="s">
        <v>555</v>
      </c>
      <c r="KY47">
        <v>0</v>
      </c>
      <c r="KZ47">
        <v>0</v>
      </c>
      <c r="LA47">
        <v>0</v>
      </c>
      <c r="LB47" t="s">
        <v>264</v>
      </c>
      <c r="LE47" t="s">
        <v>574</v>
      </c>
      <c r="LF47" t="s">
        <v>555</v>
      </c>
      <c r="LG47">
        <v>0</v>
      </c>
      <c r="LH47">
        <v>0</v>
      </c>
      <c r="LI47">
        <v>0</v>
      </c>
      <c r="LJ47" t="s">
        <v>264</v>
      </c>
      <c r="LM47" t="s">
        <v>575</v>
      </c>
      <c r="LN47" t="s">
        <v>555</v>
      </c>
      <c r="LO47">
        <v>0</v>
      </c>
      <c r="LP47">
        <v>0</v>
      </c>
      <c r="LQ47">
        <v>0</v>
      </c>
      <c r="LR47" t="s">
        <v>264</v>
      </c>
      <c r="LU47" t="s">
        <v>576</v>
      </c>
      <c r="LV47" t="s">
        <v>555</v>
      </c>
      <c r="LW47">
        <v>0</v>
      </c>
      <c r="LX47">
        <v>0</v>
      </c>
      <c r="LY47">
        <v>0</v>
      </c>
      <c r="LZ47" t="s">
        <v>264</v>
      </c>
      <c r="MC47" t="s">
        <v>577</v>
      </c>
      <c r="MD47" t="s">
        <v>555</v>
      </c>
      <c r="ME47">
        <v>0</v>
      </c>
      <c r="MF47">
        <v>0</v>
      </c>
      <c r="MG47">
        <v>0</v>
      </c>
      <c r="MH47" t="s">
        <v>264</v>
      </c>
      <c r="MK47" t="s">
        <v>578</v>
      </c>
      <c r="ML47" t="s">
        <v>555</v>
      </c>
      <c r="MM47">
        <v>0</v>
      </c>
      <c r="MN47">
        <v>0</v>
      </c>
      <c r="MO47">
        <v>0</v>
      </c>
      <c r="MP47" t="s">
        <v>264</v>
      </c>
      <c r="MS47" t="s">
        <v>579</v>
      </c>
      <c r="MT47" t="s">
        <v>555</v>
      </c>
      <c r="MU47">
        <v>0</v>
      </c>
      <c r="MV47">
        <v>0</v>
      </c>
      <c r="MW47">
        <v>0</v>
      </c>
      <c r="MX47" t="s">
        <v>264</v>
      </c>
      <c r="NA47" t="s">
        <v>580</v>
      </c>
      <c r="NB47" t="s">
        <v>555</v>
      </c>
      <c r="NC47">
        <v>0</v>
      </c>
      <c r="ND47">
        <v>0</v>
      </c>
      <c r="NE47">
        <v>0</v>
      </c>
      <c r="NF47" t="s">
        <v>264</v>
      </c>
      <c r="NI47">
        <v>40</v>
      </c>
      <c r="NJ47">
        <v>-7.3</v>
      </c>
      <c r="NP47" t="s">
        <v>624</v>
      </c>
    </row>
    <row r="48" spans="1:380" customFormat="1" x14ac:dyDescent="0.2">
      <c r="A48" t="s">
        <v>517</v>
      </c>
      <c r="B48">
        <v>1</v>
      </c>
      <c r="C48" t="s">
        <v>695</v>
      </c>
      <c r="D48">
        <v>646961931</v>
      </c>
      <c r="E48">
        <v>12602</v>
      </c>
      <c r="F48" t="s">
        <v>542</v>
      </c>
      <c r="G48">
        <v>847922</v>
      </c>
      <c r="H48">
        <v>906912</v>
      </c>
      <c r="I48" t="s">
        <v>622</v>
      </c>
      <c r="J48" t="s">
        <v>696</v>
      </c>
      <c r="K48" t="s">
        <v>545</v>
      </c>
      <c r="L48" t="s">
        <v>294</v>
      </c>
      <c r="M48" t="s">
        <v>546</v>
      </c>
      <c r="N48" t="s">
        <v>468</v>
      </c>
      <c r="O48" t="s">
        <v>547</v>
      </c>
      <c r="P48" t="s">
        <v>270</v>
      </c>
      <c r="Q48">
        <v>29.7</v>
      </c>
      <c r="R48">
        <v>233</v>
      </c>
      <c r="S48" t="s">
        <v>270</v>
      </c>
      <c r="T48">
        <v>-9999</v>
      </c>
      <c r="U48">
        <v>624</v>
      </c>
      <c r="V48">
        <v>644</v>
      </c>
      <c r="W48">
        <v>613</v>
      </c>
      <c r="X48" t="s">
        <v>270</v>
      </c>
      <c r="Y48">
        <v>0</v>
      </c>
      <c r="Z48">
        <v>55</v>
      </c>
      <c r="AA48" t="s">
        <v>469</v>
      </c>
      <c r="AB48" t="s">
        <v>548</v>
      </c>
      <c r="AC48">
        <v>1</v>
      </c>
      <c r="AD48" t="s">
        <v>549</v>
      </c>
      <c r="AE48">
        <v>0</v>
      </c>
      <c r="AF48">
        <v>36</v>
      </c>
      <c r="AG48" t="s">
        <v>264</v>
      </c>
      <c r="AH48">
        <v>-9999</v>
      </c>
      <c r="AI48">
        <v>487</v>
      </c>
      <c r="AJ48">
        <v>603</v>
      </c>
      <c r="AK48">
        <v>483</v>
      </c>
      <c r="AL48" t="s">
        <v>270</v>
      </c>
      <c r="AM48">
        <v>0</v>
      </c>
      <c r="AN48">
        <v>55</v>
      </c>
      <c r="AO48" t="s">
        <v>470</v>
      </c>
      <c r="AP48" t="s">
        <v>548</v>
      </c>
      <c r="AQ48">
        <v>2</v>
      </c>
      <c r="AR48" t="s">
        <v>549</v>
      </c>
      <c r="AS48">
        <v>54.6</v>
      </c>
      <c r="AT48">
        <v>49</v>
      </c>
      <c r="AU48" t="s">
        <v>264</v>
      </c>
      <c r="AV48">
        <v>-9999</v>
      </c>
      <c r="AW48">
        <v>365</v>
      </c>
      <c r="AX48">
        <v>386</v>
      </c>
      <c r="AY48">
        <v>363</v>
      </c>
      <c r="AZ48" t="s">
        <v>270</v>
      </c>
      <c r="BA48">
        <v>0</v>
      </c>
      <c r="BB48">
        <v>55</v>
      </c>
      <c r="BC48" t="s">
        <v>550</v>
      </c>
      <c r="BD48" t="s">
        <v>548</v>
      </c>
      <c r="BE48">
        <v>3</v>
      </c>
      <c r="BF48" t="s">
        <v>549</v>
      </c>
      <c r="BG48">
        <v>0</v>
      </c>
      <c r="BH48">
        <v>-9</v>
      </c>
      <c r="BI48" t="s">
        <v>264</v>
      </c>
      <c r="BJ48">
        <v>-9999</v>
      </c>
      <c r="BK48">
        <v>190</v>
      </c>
      <c r="BL48">
        <v>238</v>
      </c>
      <c r="BM48">
        <v>190</v>
      </c>
      <c r="BN48" t="s">
        <v>270</v>
      </c>
      <c r="BO48">
        <v>0</v>
      </c>
      <c r="BP48">
        <v>55</v>
      </c>
      <c r="BQ48" t="s">
        <v>504</v>
      </c>
      <c r="BR48" t="s">
        <v>548</v>
      </c>
      <c r="BS48">
        <v>4</v>
      </c>
      <c r="BT48" t="s">
        <v>549</v>
      </c>
      <c r="BU48">
        <v>52.6</v>
      </c>
      <c r="BV48">
        <v>81</v>
      </c>
      <c r="BW48" t="s">
        <v>264</v>
      </c>
      <c r="BX48">
        <v>-9999</v>
      </c>
      <c r="BY48">
        <v>215</v>
      </c>
      <c r="BZ48">
        <v>248</v>
      </c>
      <c r="CA48">
        <v>212</v>
      </c>
      <c r="CB48" t="s">
        <v>270</v>
      </c>
      <c r="CC48">
        <v>0</v>
      </c>
      <c r="CD48">
        <v>55</v>
      </c>
      <c r="CE48" t="s">
        <v>471</v>
      </c>
      <c r="CF48" t="s">
        <v>548</v>
      </c>
      <c r="CG48">
        <v>5</v>
      </c>
      <c r="CH48" t="s">
        <v>549</v>
      </c>
      <c r="CI48">
        <v>51.3</v>
      </c>
      <c r="CJ48">
        <v>235</v>
      </c>
      <c r="CK48" t="s">
        <v>264</v>
      </c>
      <c r="CL48">
        <v>-9999</v>
      </c>
      <c r="CM48">
        <v>517</v>
      </c>
      <c r="CN48">
        <v>604</v>
      </c>
      <c r="CO48">
        <v>515</v>
      </c>
      <c r="CP48" t="s">
        <v>270</v>
      </c>
      <c r="CQ48">
        <v>0</v>
      </c>
      <c r="CR48">
        <v>55</v>
      </c>
      <c r="CS48" t="s">
        <v>472</v>
      </c>
      <c r="CT48" t="s">
        <v>548</v>
      </c>
      <c r="CU48">
        <v>6</v>
      </c>
      <c r="CV48" t="s">
        <v>549</v>
      </c>
      <c r="CW48">
        <v>53.5</v>
      </c>
      <c r="CX48">
        <v>90</v>
      </c>
      <c r="CY48" t="s">
        <v>264</v>
      </c>
      <c r="CZ48">
        <v>-9999</v>
      </c>
      <c r="DA48">
        <v>675</v>
      </c>
      <c r="DB48">
        <v>765</v>
      </c>
      <c r="DC48">
        <v>663</v>
      </c>
      <c r="DD48" t="s">
        <v>270</v>
      </c>
      <c r="DE48">
        <v>0</v>
      </c>
      <c r="DF48">
        <v>55</v>
      </c>
      <c r="DG48" t="s">
        <v>473</v>
      </c>
      <c r="DH48" t="s">
        <v>548</v>
      </c>
      <c r="DI48">
        <v>7</v>
      </c>
      <c r="DJ48" t="s">
        <v>549</v>
      </c>
      <c r="DK48">
        <v>0</v>
      </c>
      <c r="DL48">
        <v>24</v>
      </c>
      <c r="DM48" t="s">
        <v>264</v>
      </c>
      <c r="DN48">
        <v>-9999</v>
      </c>
      <c r="DO48">
        <v>551</v>
      </c>
      <c r="DP48">
        <v>629</v>
      </c>
      <c r="DQ48">
        <v>547</v>
      </c>
      <c r="DR48" t="s">
        <v>270</v>
      </c>
      <c r="DS48">
        <v>0</v>
      </c>
      <c r="DT48">
        <v>55</v>
      </c>
      <c r="DU48" t="s">
        <v>474</v>
      </c>
      <c r="DV48" t="s">
        <v>548</v>
      </c>
      <c r="DW48">
        <v>8</v>
      </c>
      <c r="DX48" t="s">
        <v>549</v>
      </c>
      <c r="DY48">
        <v>51.4</v>
      </c>
      <c r="DZ48">
        <v>32</v>
      </c>
      <c r="EA48" t="s">
        <v>264</v>
      </c>
      <c r="EB48">
        <v>-9999</v>
      </c>
      <c r="EC48">
        <v>105</v>
      </c>
      <c r="ED48">
        <v>128</v>
      </c>
      <c r="EE48">
        <v>104</v>
      </c>
      <c r="EF48" t="s">
        <v>270</v>
      </c>
      <c r="EG48">
        <v>0</v>
      </c>
      <c r="EH48">
        <v>55</v>
      </c>
      <c r="EI48" t="s">
        <v>475</v>
      </c>
      <c r="EJ48" t="s">
        <v>548</v>
      </c>
      <c r="EK48">
        <v>9</v>
      </c>
      <c r="EL48" t="s">
        <v>549</v>
      </c>
      <c r="EM48">
        <v>0</v>
      </c>
      <c r="EN48">
        <v>15</v>
      </c>
      <c r="EO48" t="s">
        <v>264</v>
      </c>
      <c r="EP48">
        <v>-9999</v>
      </c>
      <c r="EQ48">
        <v>353</v>
      </c>
      <c r="ER48">
        <v>329</v>
      </c>
      <c r="ES48">
        <v>303</v>
      </c>
      <c r="ET48" t="s">
        <v>270</v>
      </c>
      <c r="EU48">
        <v>0</v>
      </c>
      <c r="EV48">
        <v>55</v>
      </c>
      <c r="EW48" t="s">
        <v>551</v>
      </c>
      <c r="EX48" t="s">
        <v>552</v>
      </c>
      <c r="EY48">
        <v>157</v>
      </c>
      <c r="EZ48">
        <v>157</v>
      </c>
      <c r="FA48">
        <v>157</v>
      </c>
      <c r="FB48" t="s">
        <v>270</v>
      </c>
      <c r="FC48" t="s">
        <v>553</v>
      </c>
      <c r="FD48" t="s">
        <v>552</v>
      </c>
      <c r="FE48">
        <v>241</v>
      </c>
      <c r="FF48">
        <v>240</v>
      </c>
      <c r="FG48">
        <v>239</v>
      </c>
      <c r="FH48" t="s">
        <v>270</v>
      </c>
      <c r="FI48" t="s">
        <v>554</v>
      </c>
      <c r="FJ48" t="s">
        <v>555</v>
      </c>
      <c r="FK48">
        <v>0</v>
      </c>
      <c r="FL48">
        <v>0</v>
      </c>
      <c r="FM48">
        <v>0</v>
      </c>
      <c r="FN48" t="s">
        <v>264</v>
      </c>
      <c r="FQ48" t="s">
        <v>556</v>
      </c>
      <c r="FR48" t="s">
        <v>555</v>
      </c>
      <c r="FS48">
        <v>0</v>
      </c>
      <c r="FT48">
        <v>0</v>
      </c>
      <c r="FU48">
        <v>0</v>
      </c>
      <c r="FV48" t="s">
        <v>264</v>
      </c>
      <c r="FY48" t="s">
        <v>557</v>
      </c>
      <c r="FZ48" t="s">
        <v>555</v>
      </c>
      <c r="GA48">
        <v>0</v>
      </c>
      <c r="GB48">
        <v>0</v>
      </c>
      <c r="GC48">
        <v>0</v>
      </c>
      <c r="GD48" t="s">
        <v>264</v>
      </c>
      <c r="GG48" t="s">
        <v>558</v>
      </c>
      <c r="GH48" t="s">
        <v>555</v>
      </c>
      <c r="GI48">
        <v>0</v>
      </c>
      <c r="GJ48">
        <v>0</v>
      </c>
      <c r="GK48">
        <v>0</v>
      </c>
      <c r="GL48" t="s">
        <v>264</v>
      </c>
      <c r="GO48" t="s">
        <v>559</v>
      </c>
      <c r="GP48" t="s">
        <v>555</v>
      </c>
      <c r="GQ48">
        <v>0</v>
      </c>
      <c r="GR48">
        <v>0</v>
      </c>
      <c r="GS48">
        <v>0</v>
      </c>
      <c r="GT48" t="s">
        <v>264</v>
      </c>
      <c r="GW48" t="s">
        <v>560</v>
      </c>
      <c r="GX48" t="s">
        <v>555</v>
      </c>
      <c r="GY48">
        <v>0</v>
      </c>
      <c r="GZ48">
        <v>0</v>
      </c>
      <c r="HA48">
        <v>0</v>
      </c>
      <c r="HB48" t="s">
        <v>264</v>
      </c>
      <c r="HE48" t="s">
        <v>561</v>
      </c>
      <c r="HF48" t="s">
        <v>555</v>
      </c>
      <c r="HG48">
        <v>0</v>
      </c>
      <c r="HH48">
        <v>0</v>
      </c>
      <c r="HI48">
        <v>0</v>
      </c>
      <c r="HJ48" t="s">
        <v>264</v>
      </c>
      <c r="HM48" t="s">
        <v>562</v>
      </c>
      <c r="HN48" t="s">
        <v>555</v>
      </c>
      <c r="HO48">
        <v>0</v>
      </c>
      <c r="HP48">
        <v>0</v>
      </c>
      <c r="HQ48">
        <v>0</v>
      </c>
      <c r="HR48" t="s">
        <v>264</v>
      </c>
      <c r="HU48" t="s">
        <v>563</v>
      </c>
      <c r="HV48" t="s">
        <v>555</v>
      </c>
      <c r="HW48">
        <v>0</v>
      </c>
      <c r="HX48">
        <v>0</v>
      </c>
      <c r="HY48">
        <v>0</v>
      </c>
      <c r="HZ48" t="s">
        <v>264</v>
      </c>
      <c r="IC48" t="s">
        <v>564</v>
      </c>
      <c r="ID48" t="s">
        <v>555</v>
      </c>
      <c r="IE48">
        <v>0</v>
      </c>
      <c r="IF48">
        <v>0</v>
      </c>
      <c r="IG48">
        <v>0</v>
      </c>
      <c r="IH48" t="s">
        <v>264</v>
      </c>
      <c r="IK48" t="s">
        <v>565</v>
      </c>
      <c r="IL48" t="s">
        <v>555</v>
      </c>
      <c r="IM48">
        <v>0</v>
      </c>
      <c r="IN48">
        <v>0</v>
      </c>
      <c r="IO48">
        <v>0</v>
      </c>
      <c r="IP48" t="s">
        <v>264</v>
      </c>
      <c r="IS48" t="s">
        <v>566</v>
      </c>
      <c r="IT48" t="s">
        <v>555</v>
      </c>
      <c r="IU48">
        <v>0</v>
      </c>
      <c r="IV48">
        <v>0</v>
      </c>
      <c r="IW48">
        <v>0</v>
      </c>
      <c r="IX48" t="s">
        <v>264</v>
      </c>
      <c r="JA48" t="s">
        <v>567</v>
      </c>
      <c r="JB48" t="s">
        <v>555</v>
      </c>
      <c r="JC48">
        <v>0</v>
      </c>
      <c r="JD48">
        <v>0</v>
      </c>
      <c r="JE48">
        <v>0</v>
      </c>
      <c r="JF48" t="s">
        <v>264</v>
      </c>
      <c r="JI48" t="s">
        <v>568</v>
      </c>
      <c r="JJ48" t="s">
        <v>555</v>
      </c>
      <c r="JK48">
        <v>0</v>
      </c>
      <c r="JL48">
        <v>0</v>
      </c>
      <c r="JM48">
        <v>0</v>
      </c>
      <c r="JN48" t="s">
        <v>264</v>
      </c>
      <c r="JQ48" t="s">
        <v>569</v>
      </c>
      <c r="JR48" t="s">
        <v>555</v>
      </c>
      <c r="JS48">
        <v>0</v>
      </c>
      <c r="JT48">
        <v>0</v>
      </c>
      <c r="JU48">
        <v>0</v>
      </c>
      <c r="JV48" t="s">
        <v>264</v>
      </c>
      <c r="JY48" t="s">
        <v>570</v>
      </c>
      <c r="JZ48" t="s">
        <v>555</v>
      </c>
      <c r="KA48">
        <v>0</v>
      </c>
      <c r="KB48">
        <v>0</v>
      </c>
      <c r="KC48">
        <v>0</v>
      </c>
      <c r="KD48" t="s">
        <v>264</v>
      </c>
      <c r="KG48" t="s">
        <v>571</v>
      </c>
      <c r="KH48" t="s">
        <v>555</v>
      </c>
      <c r="KI48">
        <v>0</v>
      </c>
      <c r="KJ48">
        <v>0</v>
      </c>
      <c r="KK48">
        <v>0</v>
      </c>
      <c r="KL48" t="s">
        <v>264</v>
      </c>
      <c r="KO48" t="s">
        <v>572</v>
      </c>
      <c r="KP48" t="s">
        <v>555</v>
      </c>
      <c r="KQ48">
        <v>0</v>
      </c>
      <c r="KR48">
        <v>0</v>
      </c>
      <c r="KS48">
        <v>0</v>
      </c>
      <c r="KT48" t="s">
        <v>264</v>
      </c>
      <c r="KW48" t="s">
        <v>573</v>
      </c>
      <c r="KX48" t="s">
        <v>555</v>
      </c>
      <c r="KY48">
        <v>0</v>
      </c>
      <c r="KZ48">
        <v>0</v>
      </c>
      <c r="LA48">
        <v>0</v>
      </c>
      <c r="LB48" t="s">
        <v>264</v>
      </c>
      <c r="LE48" t="s">
        <v>574</v>
      </c>
      <c r="LF48" t="s">
        <v>555</v>
      </c>
      <c r="LG48">
        <v>0</v>
      </c>
      <c r="LH48">
        <v>0</v>
      </c>
      <c r="LI48">
        <v>0</v>
      </c>
      <c r="LJ48" t="s">
        <v>264</v>
      </c>
      <c r="LM48" t="s">
        <v>575</v>
      </c>
      <c r="LN48" t="s">
        <v>555</v>
      </c>
      <c r="LO48">
        <v>0</v>
      </c>
      <c r="LP48">
        <v>0</v>
      </c>
      <c r="LQ48">
        <v>0</v>
      </c>
      <c r="LR48" t="s">
        <v>264</v>
      </c>
      <c r="LU48" t="s">
        <v>576</v>
      </c>
      <c r="LV48" t="s">
        <v>555</v>
      </c>
      <c r="LW48">
        <v>0</v>
      </c>
      <c r="LX48">
        <v>0</v>
      </c>
      <c r="LY48">
        <v>0</v>
      </c>
      <c r="LZ48" t="s">
        <v>264</v>
      </c>
      <c r="MC48" t="s">
        <v>577</v>
      </c>
      <c r="MD48" t="s">
        <v>555</v>
      </c>
      <c r="ME48">
        <v>0</v>
      </c>
      <c r="MF48">
        <v>0</v>
      </c>
      <c r="MG48">
        <v>0</v>
      </c>
      <c r="MH48" t="s">
        <v>264</v>
      </c>
      <c r="MK48" t="s">
        <v>578</v>
      </c>
      <c r="ML48" t="s">
        <v>555</v>
      </c>
      <c r="MM48">
        <v>0</v>
      </c>
      <c r="MN48">
        <v>0</v>
      </c>
      <c r="MO48">
        <v>0</v>
      </c>
      <c r="MP48" t="s">
        <v>264</v>
      </c>
      <c r="MS48" t="s">
        <v>579</v>
      </c>
      <c r="MT48" t="s">
        <v>555</v>
      </c>
      <c r="MU48">
        <v>0</v>
      </c>
      <c r="MV48">
        <v>0</v>
      </c>
      <c r="MW48">
        <v>0</v>
      </c>
      <c r="MX48" t="s">
        <v>264</v>
      </c>
      <c r="NA48" t="s">
        <v>580</v>
      </c>
      <c r="NB48" t="s">
        <v>555</v>
      </c>
      <c r="NC48">
        <v>0</v>
      </c>
      <c r="ND48">
        <v>0</v>
      </c>
      <c r="NE48">
        <v>0</v>
      </c>
      <c r="NF48" t="s">
        <v>264</v>
      </c>
      <c r="NI48">
        <v>40</v>
      </c>
      <c r="NJ48">
        <v>-10.8</v>
      </c>
      <c r="NP48" t="s">
        <v>624</v>
      </c>
    </row>
    <row r="49" spans="1:380" customFormat="1" x14ac:dyDescent="0.2">
      <c r="A49" t="s">
        <v>517</v>
      </c>
      <c r="B49">
        <v>1</v>
      </c>
      <c r="C49" t="s">
        <v>697</v>
      </c>
      <c r="D49">
        <v>646961383</v>
      </c>
      <c r="E49">
        <v>12602</v>
      </c>
      <c r="F49" t="s">
        <v>542</v>
      </c>
      <c r="G49">
        <v>847922</v>
      </c>
      <c r="H49">
        <v>210013996</v>
      </c>
      <c r="I49" t="s">
        <v>622</v>
      </c>
      <c r="J49" t="s">
        <v>698</v>
      </c>
      <c r="K49" t="s">
        <v>545</v>
      </c>
      <c r="L49" t="s">
        <v>294</v>
      </c>
      <c r="M49" t="s">
        <v>546</v>
      </c>
      <c r="N49" t="s">
        <v>468</v>
      </c>
      <c r="O49" t="s">
        <v>547</v>
      </c>
      <c r="P49" t="s">
        <v>270</v>
      </c>
      <c r="Q49">
        <v>26.8</v>
      </c>
      <c r="R49">
        <v>239</v>
      </c>
      <c r="S49" t="s">
        <v>270</v>
      </c>
      <c r="T49">
        <v>-9999</v>
      </c>
      <c r="U49">
        <v>599</v>
      </c>
      <c r="V49">
        <v>617</v>
      </c>
      <c r="W49">
        <v>590</v>
      </c>
      <c r="X49" t="s">
        <v>270</v>
      </c>
      <c r="Y49">
        <v>0</v>
      </c>
      <c r="Z49">
        <v>55</v>
      </c>
      <c r="AA49" t="s">
        <v>469</v>
      </c>
      <c r="AB49" t="s">
        <v>548</v>
      </c>
      <c r="AC49">
        <v>1</v>
      </c>
      <c r="AD49" t="s">
        <v>549</v>
      </c>
      <c r="AE49">
        <v>0</v>
      </c>
      <c r="AF49">
        <v>50</v>
      </c>
      <c r="AG49" t="s">
        <v>264</v>
      </c>
      <c r="AH49">
        <v>-9999</v>
      </c>
      <c r="AI49">
        <v>482</v>
      </c>
      <c r="AJ49">
        <v>599</v>
      </c>
      <c r="AK49">
        <v>481</v>
      </c>
      <c r="AL49" t="s">
        <v>270</v>
      </c>
      <c r="AM49">
        <v>0</v>
      </c>
      <c r="AN49">
        <v>55</v>
      </c>
      <c r="AO49" t="s">
        <v>470</v>
      </c>
      <c r="AP49" t="s">
        <v>548</v>
      </c>
      <c r="AQ49">
        <v>2</v>
      </c>
      <c r="AR49" t="s">
        <v>549</v>
      </c>
      <c r="AS49">
        <v>0</v>
      </c>
      <c r="AT49">
        <v>34</v>
      </c>
      <c r="AU49" t="s">
        <v>264</v>
      </c>
      <c r="AV49">
        <v>-9999</v>
      </c>
      <c r="AW49">
        <v>401</v>
      </c>
      <c r="AX49">
        <v>422</v>
      </c>
      <c r="AY49">
        <v>399</v>
      </c>
      <c r="AZ49" t="s">
        <v>270</v>
      </c>
      <c r="BA49">
        <v>0</v>
      </c>
      <c r="BB49">
        <v>55</v>
      </c>
      <c r="BC49" t="s">
        <v>550</v>
      </c>
      <c r="BD49" t="s">
        <v>548</v>
      </c>
      <c r="BE49">
        <v>3</v>
      </c>
      <c r="BF49" t="s">
        <v>549</v>
      </c>
      <c r="BG49">
        <v>0</v>
      </c>
      <c r="BH49">
        <v>-29</v>
      </c>
      <c r="BI49" t="s">
        <v>264</v>
      </c>
      <c r="BJ49">
        <v>-9999</v>
      </c>
      <c r="BK49">
        <v>212</v>
      </c>
      <c r="BL49">
        <v>259</v>
      </c>
      <c r="BM49">
        <v>209</v>
      </c>
      <c r="BN49" t="s">
        <v>270</v>
      </c>
      <c r="BO49">
        <v>0</v>
      </c>
      <c r="BP49">
        <v>55</v>
      </c>
      <c r="BQ49" t="s">
        <v>504</v>
      </c>
      <c r="BR49" t="s">
        <v>548</v>
      </c>
      <c r="BS49">
        <v>4</v>
      </c>
      <c r="BT49" t="s">
        <v>549</v>
      </c>
      <c r="BU49">
        <v>52</v>
      </c>
      <c r="BV49">
        <v>94</v>
      </c>
      <c r="BW49" t="s">
        <v>264</v>
      </c>
      <c r="BX49">
        <v>-9999</v>
      </c>
      <c r="BY49">
        <v>199</v>
      </c>
      <c r="BZ49">
        <v>229</v>
      </c>
      <c r="CA49">
        <v>198</v>
      </c>
      <c r="CB49" t="s">
        <v>270</v>
      </c>
      <c r="CC49">
        <v>0</v>
      </c>
      <c r="CD49">
        <v>55</v>
      </c>
      <c r="CE49" t="s">
        <v>471</v>
      </c>
      <c r="CF49" t="s">
        <v>548</v>
      </c>
      <c r="CG49">
        <v>5</v>
      </c>
      <c r="CH49" t="s">
        <v>549</v>
      </c>
      <c r="CI49">
        <v>51.1</v>
      </c>
      <c r="CJ49">
        <v>237</v>
      </c>
      <c r="CK49" t="s">
        <v>264</v>
      </c>
      <c r="CL49">
        <v>-9999</v>
      </c>
      <c r="CM49">
        <v>457</v>
      </c>
      <c r="CN49">
        <v>533</v>
      </c>
      <c r="CO49">
        <v>458</v>
      </c>
      <c r="CP49" t="s">
        <v>270</v>
      </c>
      <c r="CQ49">
        <v>0</v>
      </c>
      <c r="CR49">
        <v>55</v>
      </c>
      <c r="CS49" t="s">
        <v>472</v>
      </c>
      <c r="CT49" t="s">
        <v>548</v>
      </c>
      <c r="CU49">
        <v>6</v>
      </c>
      <c r="CV49" t="s">
        <v>549</v>
      </c>
      <c r="CW49">
        <v>52.3</v>
      </c>
      <c r="CX49">
        <v>146</v>
      </c>
      <c r="CY49" t="s">
        <v>264</v>
      </c>
      <c r="CZ49">
        <v>-9999</v>
      </c>
      <c r="DA49">
        <v>660</v>
      </c>
      <c r="DB49">
        <v>749</v>
      </c>
      <c r="DC49">
        <v>650</v>
      </c>
      <c r="DD49" t="s">
        <v>270</v>
      </c>
      <c r="DE49">
        <v>0</v>
      </c>
      <c r="DF49">
        <v>55</v>
      </c>
      <c r="DG49" t="s">
        <v>473</v>
      </c>
      <c r="DH49" t="s">
        <v>548</v>
      </c>
      <c r="DI49">
        <v>7</v>
      </c>
      <c r="DJ49" t="s">
        <v>549</v>
      </c>
      <c r="DK49">
        <v>0</v>
      </c>
      <c r="DL49">
        <v>34</v>
      </c>
      <c r="DM49" t="s">
        <v>264</v>
      </c>
      <c r="DN49">
        <v>-9999</v>
      </c>
      <c r="DO49">
        <v>539</v>
      </c>
      <c r="DP49">
        <v>617</v>
      </c>
      <c r="DQ49">
        <v>536</v>
      </c>
      <c r="DR49" t="s">
        <v>270</v>
      </c>
      <c r="DS49">
        <v>0</v>
      </c>
      <c r="DT49">
        <v>55</v>
      </c>
      <c r="DU49" t="s">
        <v>474</v>
      </c>
      <c r="DV49" t="s">
        <v>548</v>
      </c>
      <c r="DW49">
        <v>8</v>
      </c>
      <c r="DX49" t="s">
        <v>549</v>
      </c>
      <c r="DY49">
        <v>42.9</v>
      </c>
      <c r="DZ49">
        <v>235</v>
      </c>
      <c r="EA49" t="s">
        <v>264</v>
      </c>
      <c r="EB49">
        <v>-9999</v>
      </c>
      <c r="EC49">
        <v>99</v>
      </c>
      <c r="ED49">
        <v>122</v>
      </c>
      <c r="EE49">
        <v>96</v>
      </c>
      <c r="EF49" t="s">
        <v>270</v>
      </c>
      <c r="EG49">
        <v>0</v>
      </c>
      <c r="EH49">
        <v>55</v>
      </c>
      <c r="EI49" t="s">
        <v>475</v>
      </c>
      <c r="EJ49" t="s">
        <v>548</v>
      </c>
      <c r="EK49">
        <v>9</v>
      </c>
      <c r="EL49" t="s">
        <v>549</v>
      </c>
      <c r="EM49">
        <v>46.4</v>
      </c>
      <c r="EN49">
        <v>49</v>
      </c>
      <c r="EO49" t="s">
        <v>264</v>
      </c>
      <c r="EP49">
        <v>-9999</v>
      </c>
      <c r="EQ49">
        <v>320</v>
      </c>
      <c r="ER49">
        <v>295</v>
      </c>
      <c r="ES49">
        <v>273</v>
      </c>
      <c r="ET49" t="s">
        <v>270</v>
      </c>
      <c r="EU49">
        <v>0</v>
      </c>
      <c r="EV49">
        <v>55</v>
      </c>
      <c r="EW49" t="s">
        <v>551</v>
      </c>
      <c r="EX49" t="s">
        <v>552</v>
      </c>
      <c r="EY49">
        <v>121</v>
      </c>
      <c r="EZ49">
        <v>121</v>
      </c>
      <c r="FA49">
        <v>122</v>
      </c>
      <c r="FB49" t="s">
        <v>270</v>
      </c>
      <c r="FC49" t="s">
        <v>553</v>
      </c>
      <c r="FD49" t="s">
        <v>552</v>
      </c>
      <c r="FE49">
        <v>326</v>
      </c>
      <c r="FF49">
        <v>325</v>
      </c>
      <c r="FG49">
        <v>324</v>
      </c>
      <c r="FH49" t="s">
        <v>270</v>
      </c>
      <c r="FI49" t="s">
        <v>554</v>
      </c>
      <c r="FJ49" t="s">
        <v>555</v>
      </c>
      <c r="FK49">
        <v>0</v>
      </c>
      <c r="FL49">
        <v>0</v>
      </c>
      <c r="FM49">
        <v>0</v>
      </c>
      <c r="FN49" t="s">
        <v>264</v>
      </c>
      <c r="FQ49" t="s">
        <v>556</v>
      </c>
      <c r="FR49" t="s">
        <v>555</v>
      </c>
      <c r="FS49">
        <v>0</v>
      </c>
      <c r="FT49">
        <v>0</v>
      </c>
      <c r="FU49">
        <v>0</v>
      </c>
      <c r="FV49" t="s">
        <v>264</v>
      </c>
      <c r="FY49" t="s">
        <v>557</v>
      </c>
      <c r="FZ49" t="s">
        <v>555</v>
      </c>
      <c r="GA49">
        <v>0</v>
      </c>
      <c r="GB49">
        <v>0</v>
      </c>
      <c r="GC49">
        <v>0</v>
      </c>
      <c r="GD49" t="s">
        <v>264</v>
      </c>
      <c r="GG49" t="s">
        <v>558</v>
      </c>
      <c r="GH49" t="s">
        <v>555</v>
      </c>
      <c r="GI49">
        <v>0</v>
      </c>
      <c r="GJ49">
        <v>0</v>
      </c>
      <c r="GK49">
        <v>0</v>
      </c>
      <c r="GL49" t="s">
        <v>264</v>
      </c>
      <c r="GO49" t="s">
        <v>559</v>
      </c>
      <c r="GP49" t="s">
        <v>555</v>
      </c>
      <c r="GQ49">
        <v>0</v>
      </c>
      <c r="GR49">
        <v>0</v>
      </c>
      <c r="GS49">
        <v>0</v>
      </c>
      <c r="GT49" t="s">
        <v>264</v>
      </c>
      <c r="GW49" t="s">
        <v>560</v>
      </c>
      <c r="GX49" t="s">
        <v>555</v>
      </c>
      <c r="GY49">
        <v>0</v>
      </c>
      <c r="GZ49">
        <v>0</v>
      </c>
      <c r="HA49">
        <v>0</v>
      </c>
      <c r="HB49" t="s">
        <v>264</v>
      </c>
      <c r="HE49" t="s">
        <v>561</v>
      </c>
      <c r="HF49" t="s">
        <v>555</v>
      </c>
      <c r="HG49">
        <v>0</v>
      </c>
      <c r="HH49">
        <v>0</v>
      </c>
      <c r="HI49">
        <v>0</v>
      </c>
      <c r="HJ49" t="s">
        <v>264</v>
      </c>
      <c r="HM49" t="s">
        <v>562</v>
      </c>
      <c r="HN49" t="s">
        <v>555</v>
      </c>
      <c r="HO49">
        <v>0</v>
      </c>
      <c r="HP49">
        <v>0</v>
      </c>
      <c r="HQ49">
        <v>0</v>
      </c>
      <c r="HR49" t="s">
        <v>264</v>
      </c>
      <c r="HU49" t="s">
        <v>563</v>
      </c>
      <c r="HV49" t="s">
        <v>555</v>
      </c>
      <c r="HW49">
        <v>0</v>
      </c>
      <c r="HX49">
        <v>0</v>
      </c>
      <c r="HY49">
        <v>0</v>
      </c>
      <c r="HZ49" t="s">
        <v>264</v>
      </c>
      <c r="IA49">
        <v>74.8</v>
      </c>
      <c r="IB49">
        <v>49.4</v>
      </c>
      <c r="IC49" t="s">
        <v>564</v>
      </c>
      <c r="ID49" t="s">
        <v>555</v>
      </c>
      <c r="IE49">
        <v>0</v>
      </c>
      <c r="IF49">
        <v>0</v>
      </c>
      <c r="IG49">
        <v>0</v>
      </c>
      <c r="IH49" t="s">
        <v>264</v>
      </c>
      <c r="IK49" t="s">
        <v>565</v>
      </c>
      <c r="IL49" t="s">
        <v>555</v>
      </c>
      <c r="IM49">
        <v>0</v>
      </c>
      <c r="IN49">
        <v>0</v>
      </c>
      <c r="IO49">
        <v>0</v>
      </c>
      <c r="IP49" t="s">
        <v>264</v>
      </c>
      <c r="IS49" t="s">
        <v>566</v>
      </c>
      <c r="IT49" t="s">
        <v>555</v>
      </c>
      <c r="IU49">
        <v>0</v>
      </c>
      <c r="IV49">
        <v>0</v>
      </c>
      <c r="IW49">
        <v>0</v>
      </c>
      <c r="IX49" t="s">
        <v>264</v>
      </c>
      <c r="JA49" t="s">
        <v>567</v>
      </c>
      <c r="JB49" t="s">
        <v>555</v>
      </c>
      <c r="JC49">
        <v>0</v>
      </c>
      <c r="JD49">
        <v>0</v>
      </c>
      <c r="JE49">
        <v>0</v>
      </c>
      <c r="JF49" t="s">
        <v>264</v>
      </c>
      <c r="JI49" t="s">
        <v>568</v>
      </c>
      <c r="JJ49" t="s">
        <v>555</v>
      </c>
      <c r="JK49">
        <v>0</v>
      </c>
      <c r="JL49">
        <v>0</v>
      </c>
      <c r="JM49">
        <v>0</v>
      </c>
      <c r="JN49" t="s">
        <v>264</v>
      </c>
      <c r="JQ49" t="s">
        <v>569</v>
      </c>
      <c r="JR49" t="s">
        <v>555</v>
      </c>
      <c r="JS49">
        <v>0</v>
      </c>
      <c r="JT49">
        <v>0</v>
      </c>
      <c r="JU49">
        <v>0</v>
      </c>
      <c r="JV49" t="s">
        <v>264</v>
      </c>
      <c r="JY49" t="s">
        <v>570</v>
      </c>
      <c r="JZ49" t="s">
        <v>555</v>
      </c>
      <c r="KA49">
        <v>0</v>
      </c>
      <c r="KB49">
        <v>0</v>
      </c>
      <c r="KC49">
        <v>0</v>
      </c>
      <c r="KD49" t="s">
        <v>264</v>
      </c>
      <c r="KG49" t="s">
        <v>571</v>
      </c>
      <c r="KH49" t="s">
        <v>555</v>
      </c>
      <c r="KI49">
        <v>0</v>
      </c>
      <c r="KJ49">
        <v>0</v>
      </c>
      <c r="KK49">
        <v>0</v>
      </c>
      <c r="KL49" t="s">
        <v>264</v>
      </c>
      <c r="KO49" t="s">
        <v>572</v>
      </c>
      <c r="KP49" t="s">
        <v>555</v>
      </c>
      <c r="KQ49">
        <v>0</v>
      </c>
      <c r="KR49">
        <v>0</v>
      </c>
      <c r="KS49">
        <v>0</v>
      </c>
      <c r="KT49" t="s">
        <v>264</v>
      </c>
      <c r="KW49" t="s">
        <v>573</v>
      </c>
      <c r="KX49" t="s">
        <v>555</v>
      </c>
      <c r="KY49">
        <v>0</v>
      </c>
      <c r="KZ49">
        <v>0</v>
      </c>
      <c r="LA49">
        <v>0</v>
      </c>
      <c r="LB49" t="s">
        <v>264</v>
      </c>
      <c r="LE49" t="s">
        <v>574</v>
      </c>
      <c r="LF49" t="s">
        <v>555</v>
      </c>
      <c r="LG49">
        <v>0</v>
      </c>
      <c r="LH49">
        <v>0</v>
      </c>
      <c r="LI49">
        <v>0</v>
      </c>
      <c r="LJ49" t="s">
        <v>264</v>
      </c>
      <c r="LM49" t="s">
        <v>575</v>
      </c>
      <c r="LN49" t="s">
        <v>555</v>
      </c>
      <c r="LO49">
        <v>0</v>
      </c>
      <c r="LP49">
        <v>0</v>
      </c>
      <c r="LQ49">
        <v>0</v>
      </c>
      <c r="LR49" t="s">
        <v>264</v>
      </c>
      <c r="LU49" t="s">
        <v>576</v>
      </c>
      <c r="LV49" t="s">
        <v>555</v>
      </c>
      <c r="LW49">
        <v>0</v>
      </c>
      <c r="LX49">
        <v>0</v>
      </c>
      <c r="LY49">
        <v>0</v>
      </c>
      <c r="LZ49" t="s">
        <v>264</v>
      </c>
      <c r="MC49" t="s">
        <v>577</v>
      </c>
      <c r="MD49" t="s">
        <v>555</v>
      </c>
      <c r="ME49">
        <v>0</v>
      </c>
      <c r="MF49">
        <v>0</v>
      </c>
      <c r="MG49">
        <v>0</v>
      </c>
      <c r="MH49" t="s">
        <v>264</v>
      </c>
      <c r="MK49" t="s">
        <v>578</v>
      </c>
      <c r="ML49" t="s">
        <v>555</v>
      </c>
      <c r="MM49">
        <v>0</v>
      </c>
      <c r="MN49">
        <v>0</v>
      </c>
      <c r="MO49">
        <v>0</v>
      </c>
      <c r="MP49" t="s">
        <v>264</v>
      </c>
      <c r="MS49" t="s">
        <v>579</v>
      </c>
      <c r="MT49" t="s">
        <v>555</v>
      </c>
      <c r="MU49">
        <v>0</v>
      </c>
      <c r="MV49">
        <v>0</v>
      </c>
      <c r="MW49">
        <v>0</v>
      </c>
      <c r="MX49" t="s">
        <v>264</v>
      </c>
      <c r="NA49" t="s">
        <v>580</v>
      </c>
      <c r="NB49" t="s">
        <v>555</v>
      </c>
      <c r="NC49">
        <v>0</v>
      </c>
      <c r="ND49">
        <v>0</v>
      </c>
      <c r="NE49">
        <v>0</v>
      </c>
      <c r="NF49" t="s">
        <v>264</v>
      </c>
      <c r="NI49">
        <v>40.1</v>
      </c>
      <c r="NJ49">
        <v>-7.4</v>
      </c>
      <c r="NP49" t="s">
        <v>624</v>
      </c>
    </row>
    <row r="50" spans="1:380" customFormat="1" x14ac:dyDescent="0.2">
      <c r="A50" t="s">
        <v>517</v>
      </c>
      <c r="B50">
        <v>1</v>
      </c>
      <c r="C50" t="s">
        <v>699</v>
      </c>
      <c r="D50">
        <v>646960483</v>
      </c>
      <c r="E50">
        <v>12602</v>
      </c>
      <c r="F50" t="s">
        <v>542</v>
      </c>
      <c r="G50">
        <v>847922</v>
      </c>
      <c r="H50">
        <v>914486</v>
      </c>
      <c r="I50" t="s">
        <v>622</v>
      </c>
      <c r="J50" t="s">
        <v>700</v>
      </c>
      <c r="K50" t="s">
        <v>545</v>
      </c>
      <c r="L50" t="s">
        <v>294</v>
      </c>
      <c r="M50" t="s">
        <v>546</v>
      </c>
      <c r="N50" t="s">
        <v>468</v>
      </c>
      <c r="O50" t="s">
        <v>547</v>
      </c>
      <c r="P50" t="s">
        <v>270</v>
      </c>
      <c r="Q50">
        <v>26.5</v>
      </c>
      <c r="R50">
        <v>267</v>
      </c>
      <c r="S50" t="s">
        <v>270</v>
      </c>
      <c r="T50">
        <v>-9999</v>
      </c>
      <c r="U50">
        <v>600</v>
      </c>
      <c r="V50">
        <v>618</v>
      </c>
      <c r="W50">
        <v>588</v>
      </c>
      <c r="X50" t="s">
        <v>270</v>
      </c>
      <c r="Y50">
        <v>0</v>
      </c>
      <c r="Z50">
        <v>55</v>
      </c>
      <c r="AA50" t="s">
        <v>469</v>
      </c>
      <c r="AB50" t="s">
        <v>548</v>
      </c>
      <c r="AC50">
        <v>1</v>
      </c>
      <c r="AD50" t="s">
        <v>549</v>
      </c>
      <c r="AE50">
        <v>0</v>
      </c>
      <c r="AF50">
        <v>46</v>
      </c>
      <c r="AG50" t="s">
        <v>264</v>
      </c>
      <c r="AH50">
        <v>-9999</v>
      </c>
      <c r="AI50">
        <v>461</v>
      </c>
      <c r="AJ50">
        <v>579</v>
      </c>
      <c r="AK50">
        <v>462</v>
      </c>
      <c r="AL50" t="s">
        <v>270</v>
      </c>
      <c r="AM50">
        <v>0</v>
      </c>
      <c r="AN50">
        <v>55</v>
      </c>
      <c r="AO50" t="s">
        <v>470</v>
      </c>
      <c r="AP50" t="s">
        <v>548</v>
      </c>
      <c r="AQ50">
        <v>2</v>
      </c>
      <c r="AR50" t="s">
        <v>549</v>
      </c>
      <c r="AS50">
        <v>0</v>
      </c>
      <c r="AT50">
        <v>38</v>
      </c>
      <c r="AU50" t="s">
        <v>264</v>
      </c>
      <c r="AV50">
        <v>-9999</v>
      </c>
      <c r="AW50">
        <v>341</v>
      </c>
      <c r="AX50">
        <v>357</v>
      </c>
      <c r="AY50">
        <v>339</v>
      </c>
      <c r="AZ50" t="s">
        <v>270</v>
      </c>
      <c r="BA50">
        <v>0</v>
      </c>
      <c r="BB50">
        <v>55</v>
      </c>
      <c r="BC50" t="s">
        <v>550</v>
      </c>
      <c r="BD50" t="s">
        <v>548</v>
      </c>
      <c r="BE50">
        <v>3</v>
      </c>
      <c r="BF50" t="s">
        <v>549</v>
      </c>
      <c r="BG50">
        <v>0</v>
      </c>
      <c r="BH50">
        <v>1</v>
      </c>
      <c r="BI50" t="s">
        <v>264</v>
      </c>
      <c r="BJ50">
        <v>-9999</v>
      </c>
      <c r="BK50">
        <v>244</v>
      </c>
      <c r="BL50">
        <v>293</v>
      </c>
      <c r="BM50">
        <v>239</v>
      </c>
      <c r="BN50" t="s">
        <v>270</v>
      </c>
      <c r="BO50">
        <v>0</v>
      </c>
      <c r="BP50">
        <v>55</v>
      </c>
      <c r="BQ50" t="s">
        <v>504</v>
      </c>
      <c r="BR50" t="s">
        <v>548</v>
      </c>
      <c r="BS50">
        <v>4</v>
      </c>
      <c r="BT50" t="s">
        <v>549</v>
      </c>
      <c r="BU50">
        <v>53.4</v>
      </c>
      <c r="BV50">
        <v>49</v>
      </c>
      <c r="BW50" t="s">
        <v>264</v>
      </c>
      <c r="BX50">
        <v>-9999</v>
      </c>
      <c r="BY50">
        <v>202</v>
      </c>
      <c r="BZ50">
        <v>234</v>
      </c>
      <c r="CA50">
        <v>200</v>
      </c>
      <c r="CB50" t="s">
        <v>270</v>
      </c>
      <c r="CC50">
        <v>0</v>
      </c>
      <c r="CD50">
        <v>55</v>
      </c>
      <c r="CE50" t="s">
        <v>471</v>
      </c>
      <c r="CF50" t="s">
        <v>548</v>
      </c>
      <c r="CG50">
        <v>5</v>
      </c>
      <c r="CH50" t="s">
        <v>549</v>
      </c>
      <c r="CI50">
        <v>44.2</v>
      </c>
      <c r="CJ50">
        <v>201</v>
      </c>
      <c r="CK50" t="s">
        <v>264</v>
      </c>
      <c r="CL50">
        <v>-9999</v>
      </c>
      <c r="CM50">
        <v>411</v>
      </c>
      <c r="CN50">
        <v>482</v>
      </c>
      <c r="CO50">
        <v>409</v>
      </c>
      <c r="CP50" t="s">
        <v>270</v>
      </c>
      <c r="CQ50">
        <v>0</v>
      </c>
      <c r="CR50">
        <v>55</v>
      </c>
      <c r="CS50" t="s">
        <v>472</v>
      </c>
      <c r="CT50" t="s">
        <v>548</v>
      </c>
      <c r="CU50">
        <v>6</v>
      </c>
      <c r="CV50" t="s">
        <v>549</v>
      </c>
      <c r="CW50">
        <v>53.7</v>
      </c>
      <c r="CX50">
        <v>77</v>
      </c>
      <c r="CY50" t="s">
        <v>264</v>
      </c>
      <c r="CZ50">
        <v>-9999</v>
      </c>
      <c r="DA50">
        <v>634</v>
      </c>
      <c r="DB50">
        <v>719</v>
      </c>
      <c r="DC50">
        <v>624</v>
      </c>
      <c r="DD50" t="s">
        <v>270</v>
      </c>
      <c r="DE50">
        <v>0</v>
      </c>
      <c r="DF50">
        <v>55</v>
      </c>
      <c r="DG50" t="s">
        <v>473</v>
      </c>
      <c r="DH50" t="s">
        <v>548</v>
      </c>
      <c r="DI50">
        <v>7</v>
      </c>
      <c r="DJ50" t="s">
        <v>549</v>
      </c>
      <c r="DK50">
        <v>0</v>
      </c>
      <c r="DL50">
        <v>43</v>
      </c>
      <c r="DM50" t="s">
        <v>264</v>
      </c>
      <c r="DN50">
        <v>-9999</v>
      </c>
      <c r="DO50">
        <v>539</v>
      </c>
      <c r="DP50">
        <v>615</v>
      </c>
      <c r="DQ50">
        <v>535</v>
      </c>
      <c r="DR50" t="s">
        <v>270</v>
      </c>
      <c r="DS50">
        <v>0</v>
      </c>
      <c r="DT50">
        <v>55</v>
      </c>
      <c r="DU50" t="s">
        <v>474</v>
      </c>
      <c r="DV50" t="s">
        <v>548</v>
      </c>
      <c r="DW50">
        <v>8</v>
      </c>
      <c r="DX50" t="s">
        <v>549</v>
      </c>
      <c r="DY50">
        <v>52.8</v>
      </c>
      <c r="DZ50">
        <v>21</v>
      </c>
      <c r="EA50" t="s">
        <v>264</v>
      </c>
      <c r="EB50">
        <v>-9999</v>
      </c>
      <c r="EC50">
        <v>101</v>
      </c>
      <c r="ED50">
        <v>121</v>
      </c>
      <c r="EE50">
        <v>99</v>
      </c>
      <c r="EF50" t="s">
        <v>270</v>
      </c>
      <c r="EG50">
        <v>0</v>
      </c>
      <c r="EH50">
        <v>55</v>
      </c>
      <c r="EI50" t="s">
        <v>475</v>
      </c>
      <c r="EJ50" t="s">
        <v>548</v>
      </c>
      <c r="EK50">
        <v>9</v>
      </c>
      <c r="EL50" t="s">
        <v>549</v>
      </c>
      <c r="EM50">
        <v>52.1</v>
      </c>
      <c r="EN50">
        <v>26</v>
      </c>
      <c r="EO50" t="s">
        <v>264</v>
      </c>
      <c r="EP50">
        <v>-9999</v>
      </c>
      <c r="EQ50">
        <v>247</v>
      </c>
      <c r="ER50">
        <v>224</v>
      </c>
      <c r="ES50">
        <v>211</v>
      </c>
      <c r="ET50" t="s">
        <v>270</v>
      </c>
      <c r="EU50">
        <v>0</v>
      </c>
      <c r="EV50">
        <v>55</v>
      </c>
      <c r="EW50" t="s">
        <v>551</v>
      </c>
      <c r="EX50" t="s">
        <v>552</v>
      </c>
      <c r="EY50">
        <v>157</v>
      </c>
      <c r="EZ50">
        <v>157</v>
      </c>
      <c r="FA50">
        <v>157</v>
      </c>
      <c r="FB50" t="s">
        <v>270</v>
      </c>
      <c r="FC50" t="s">
        <v>553</v>
      </c>
      <c r="FD50" t="s">
        <v>552</v>
      </c>
      <c r="FE50">
        <v>254</v>
      </c>
      <c r="FF50">
        <v>253</v>
      </c>
      <c r="FG50">
        <v>251</v>
      </c>
      <c r="FH50" t="s">
        <v>270</v>
      </c>
      <c r="FI50" t="s">
        <v>554</v>
      </c>
      <c r="FJ50" t="s">
        <v>555</v>
      </c>
      <c r="FK50">
        <v>0</v>
      </c>
      <c r="FL50">
        <v>0</v>
      </c>
      <c r="FM50">
        <v>0</v>
      </c>
      <c r="FN50" t="s">
        <v>264</v>
      </c>
      <c r="FQ50" t="s">
        <v>556</v>
      </c>
      <c r="FR50" t="s">
        <v>555</v>
      </c>
      <c r="FS50">
        <v>0</v>
      </c>
      <c r="FT50">
        <v>0</v>
      </c>
      <c r="FU50">
        <v>0</v>
      </c>
      <c r="FV50" t="s">
        <v>264</v>
      </c>
      <c r="FY50" t="s">
        <v>557</v>
      </c>
      <c r="FZ50" t="s">
        <v>555</v>
      </c>
      <c r="GA50">
        <v>0</v>
      </c>
      <c r="GB50">
        <v>0</v>
      </c>
      <c r="GC50">
        <v>0</v>
      </c>
      <c r="GD50" t="s">
        <v>264</v>
      </c>
      <c r="GG50" t="s">
        <v>558</v>
      </c>
      <c r="GH50" t="s">
        <v>555</v>
      </c>
      <c r="GI50">
        <v>0</v>
      </c>
      <c r="GJ50">
        <v>0</v>
      </c>
      <c r="GK50">
        <v>0</v>
      </c>
      <c r="GL50" t="s">
        <v>264</v>
      </c>
      <c r="GO50" t="s">
        <v>559</v>
      </c>
      <c r="GP50" t="s">
        <v>555</v>
      </c>
      <c r="GQ50">
        <v>0</v>
      </c>
      <c r="GR50">
        <v>0</v>
      </c>
      <c r="GS50">
        <v>0</v>
      </c>
      <c r="GT50" t="s">
        <v>264</v>
      </c>
      <c r="GW50" t="s">
        <v>560</v>
      </c>
      <c r="GX50" t="s">
        <v>555</v>
      </c>
      <c r="GY50">
        <v>0</v>
      </c>
      <c r="GZ50">
        <v>0</v>
      </c>
      <c r="HA50">
        <v>0</v>
      </c>
      <c r="HB50" t="s">
        <v>264</v>
      </c>
      <c r="HE50" t="s">
        <v>561</v>
      </c>
      <c r="HF50" t="s">
        <v>555</v>
      </c>
      <c r="HG50">
        <v>0</v>
      </c>
      <c r="HH50">
        <v>0</v>
      </c>
      <c r="HI50">
        <v>0</v>
      </c>
      <c r="HJ50" t="s">
        <v>264</v>
      </c>
      <c r="HM50" t="s">
        <v>562</v>
      </c>
      <c r="HN50" t="s">
        <v>555</v>
      </c>
      <c r="HO50">
        <v>0</v>
      </c>
      <c r="HP50">
        <v>0</v>
      </c>
      <c r="HQ50">
        <v>0</v>
      </c>
      <c r="HR50" t="s">
        <v>264</v>
      </c>
      <c r="HU50" t="s">
        <v>563</v>
      </c>
      <c r="HV50" t="s">
        <v>555</v>
      </c>
      <c r="HW50">
        <v>0</v>
      </c>
      <c r="HX50">
        <v>0</v>
      </c>
      <c r="HY50">
        <v>0</v>
      </c>
      <c r="HZ50" t="s">
        <v>264</v>
      </c>
      <c r="IC50" t="s">
        <v>564</v>
      </c>
      <c r="ID50" t="s">
        <v>555</v>
      </c>
      <c r="IE50">
        <v>0</v>
      </c>
      <c r="IF50">
        <v>0</v>
      </c>
      <c r="IG50">
        <v>0</v>
      </c>
      <c r="IH50" t="s">
        <v>264</v>
      </c>
      <c r="IK50" t="s">
        <v>565</v>
      </c>
      <c r="IL50" t="s">
        <v>555</v>
      </c>
      <c r="IM50">
        <v>0</v>
      </c>
      <c r="IN50">
        <v>0</v>
      </c>
      <c r="IO50">
        <v>0</v>
      </c>
      <c r="IP50" t="s">
        <v>264</v>
      </c>
      <c r="IS50" t="s">
        <v>566</v>
      </c>
      <c r="IT50" t="s">
        <v>555</v>
      </c>
      <c r="IU50">
        <v>0</v>
      </c>
      <c r="IV50">
        <v>0</v>
      </c>
      <c r="IW50">
        <v>0</v>
      </c>
      <c r="IX50" t="s">
        <v>264</v>
      </c>
      <c r="JA50" t="s">
        <v>567</v>
      </c>
      <c r="JB50" t="s">
        <v>555</v>
      </c>
      <c r="JC50">
        <v>0</v>
      </c>
      <c r="JD50">
        <v>0</v>
      </c>
      <c r="JE50">
        <v>0</v>
      </c>
      <c r="JF50" t="s">
        <v>264</v>
      </c>
      <c r="JI50" t="s">
        <v>568</v>
      </c>
      <c r="JJ50" t="s">
        <v>555</v>
      </c>
      <c r="JK50">
        <v>0</v>
      </c>
      <c r="JL50">
        <v>0</v>
      </c>
      <c r="JM50">
        <v>0</v>
      </c>
      <c r="JN50" t="s">
        <v>264</v>
      </c>
      <c r="JQ50" t="s">
        <v>569</v>
      </c>
      <c r="JR50" t="s">
        <v>555</v>
      </c>
      <c r="JS50">
        <v>0</v>
      </c>
      <c r="JT50">
        <v>0</v>
      </c>
      <c r="JU50">
        <v>0</v>
      </c>
      <c r="JV50" t="s">
        <v>264</v>
      </c>
      <c r="JY50" t="s">
        <v>570</v>
      </c>
      <c r="JZ50" t="s">
        <v>555</v>
      </c>
      <c r="KA50">
        <v>0</v>
      </c>
      <c r="KB50">
        <v>0</v>
      </c>
      <c r="KC50">
        <v>0</v>
      </c>
      <c r="KD50" t="s">
        <v>264</v>
      </c>
      <c r="KG50" t="s">
        <v>571</v>
      </c>
      <c r="KH50" t="s">
        <v>555</v>
      </c>
      <c r="KI50">
        <v>0</v>
      </c>
      <c r="KJ50">
        <v>0</v>
      </c>
      <c r="KK50">
        <v>0</v>
      </c>
      <c r="KL50" t="s">
        <v>264</v>
      </c>
      <c r="KO50" t="s">
        <v>572</v>
      </c>
      <c r="KP50" t="s">
        <v>555</v>
      </c>
      <c r="KQ50">
        <v>0</v>
      </c>
      <c r="KR50">
        <v>0</v>
      </c>
      <c r="KS50">
        <v>0</v>
      </c>
      <c r="KT50" t="s">
        <v>264</v>
      </c>
      <c r="KW50" t="s">
        <v>573</v>
      </c>
      <c r="KX50" t="s">
        <v>555</v>
      </c>
      <c r="KY50">
        <v>0</v>
      </c>
      <c r="KZ50">
        <v>0</v>
      </c>
      <c r="LA50">
        <v>0</v>
      </c>
      <c r="LB50" t="s">
        <v>264</v>
      </c>
      <c r="LE50" t="s">
        <v>574</v>
      </c>
      <c r="LF50" t="s">
        <v>555</v>
      </c>
      <c r="LG50">
        <v>0</v>
      </c>
      <c r="LH50">
        <v>0</v>
      </c>
      <c r="LI50">
        <v>0</v>
      </c>
      <c r="LJ50" t="s">
        <v>264</v>
      </c>
      <c r="LM50" t="s">
        <v>575</v>
      </c>
      <c r="LN50" t="s">
        <v>555</v>
      </c>
      <c r="LO50">
        <v>0</v>
      </c>
      <c r="LP50">
        <v>0</v>
      </c>
      <c r="LQ50">
        <v>0</v>
      </c>
      <c r="LR50" t="s">
        <v>264</v>
      </c>
      <c r="LU50" t="s">
        <v>576</v>
      </c>
      <c r="LV50" t="s">
        <v>555</v>
      </c>
      <c r="LW50">
        <v>0</v>
      </c>
      <c r="LX50">
        <v>0</v>
      </c>
      <c r="LY50">
        <v>0</v>
      </c>
      <c r="LZ50" t="s">
        <v>264</v>
      </c>
      <c r="MC50" t="s">
        <v>577</v>
      </c>
      <c r="MD50" t="s">
        <v>555</v>
      </c>
      <c r="ME50">
        <v>0</v>
      </c>
      <c r="MF50">
        <v>0</v>
      </c>
      <c r="MG50">
        <v>0</v>
      </c>
      <c r="MH50" t="s">
        <v>264</v>
      </c>
      <c r="MK50" t="s">
        <v>578</v>
      </c>
      <c r="ML50" t="s">
        <v>555</v>
      </c>
      <c r="MM50">
        <v>0</v>
      </c>
      <c r="MN50">
        <v>0</v>
      </c>
      <c r="MO50">
        <v>0</v>
      </c>
      <c r="MP50" t="s">
        <v>264</v>
      </c>
      <c r="MS50" t="s">
        <v>579</v>
      </c>
      <c r="MT50" t="s">
        <v>555</v>
      </c>
      <c r="MU50">
        <v>0</v>
      </c>
      <c r="MV50">
        <v>0</v>
      </c>
      <c r="MW50">
        <v>0</v>
      </c>
      <c r="MX50" t="s">
        <v>264</v>
      </c>
      <c r="NA50" t="s">
        <v>580</v>
      </c>
      <c r="NB50" t="s">
        <v>555</v>
      </c>
      <c r="NC50">
        <v>0</v>
      </c>
      <c r="ND50">
        <v>0</v>
      </c>
      <c r="NE50">
        <v>0</v>
      </c>
      <c r="NF50" t="s">
        <v>264</v>
      </c>
      <c r="NI50">
        <v>40</v>
      </c>
      <c r="NJ50">
        <v>-5.8</v>
      </c>
      <c r="NP50" t="s">
        <v>624</v>
      </c>
    </row>
    <row r="51" spans="1:380" customFormat="1" x14ac:dyDescent="0.2">
      <c r="A51" t="s">
        <v>517</v>
      </c>
      <c r="B51">
        <v>1</v>
      </c>
      <c r="C51" t="s">
        <v>701</v>
      </c>
      <c r="D51">
        <v>646961067</v>
      </c>
      <c r="E51">
        <v>12602</v>
      </c>
      <c r="F51" t="s">
        <v>542</v>
      </c>
      <c r="G51">
        <v>847922</v>
      </c>
      <c r="H51">
        <v>210078488</v>
      </c>
      <c r="I51" t="s">
        <v>622</v>
      </c>
      <c r="J51" t="s">
        <v>702</v>
      </c>
      <c r="K51" t="s">
        <v>545</v>
      </c>
      <c r="L51" t="s">
        <v>294</v>
      </c>
      <c r="M51" t="s">
        <v>546</v>
      </c>
      <c r="N51" t="s">
        <v>468</v>
      </c>
      <c r="O51" t="s">
        <v>547</v>
      </c>
      <c r="P51" t="s">
        <v>264</v>
      </c>
      <c r="Q51">
        <v>28.3</v>
      </c>
      <c r="R51">
        <v>225</v>
      </c>
      <c r="S51" t="s">
        <v>264</v>
      </c>
      <c r="T51">
        <v>-9999</v>
      </c>
      <c r="U51">
        <v>549</v>
      </c>
      <c r="V51">
        <v>569</v>
      </c>
      <c r="W51">
        <v>540</v>
      </c>
      <c r="X51" t="s">
        <v>270</v>
      </c>
      <c r="Y51">
        <v>0</v>
      </c>
      <c r="Z51">
        <v>55</v>
      </c>
      <c r="AA51" t="s">
        <v>469</v>
      </c>
      <c r="AB51" t="s">
        <v>548</v>
      </c>
      <c r="AC51">
        <v>1</v>
      </c>
      <c r="AD51" t="s">
        <v>549</v>
      </c>
      <c r="AE51">
        <v>0</v>
      </c>
      <c r="AF51">
        <v>15</v>
      </c>
      <c r="AG51" t="s">
        <v>264</v>
      </c>
      <c r="AH51">
        <v>-9999</v>
      </c>
      <c r="AI51">
        <v>453</v>
      </c>
      <c r="AJ51">
        <v>549</v>
      </c>
      <c r="AK51">
        <v>447</v>
      </c>
      <c r="AL51" t="s">
        <v>270</v>
      </c>
      <c r="AM51">
        <v>0</v>
      </c>
      <c r="AN51">
        <v>55</v>
      </c>
      <c r="AO51" t="s">
        <v>470</v>
      </c>
      <c r="AP51" t="s">
        <v>548</v>
      </c>
      <c r="AQ51">
        <v>2</v>
      </c>
      <c r="AR51" t="s">
        <v>549</v>
      </c>
      <c r="AS51">
        <v>0</v>
      </c>
      <c r="AT51">
        <v>8</v>
      </c>
      <c r="AU51" t="s">
        <v>264</v>
      </c>
      <c r="AV51">
        <v>-9999</v>
      </c>
      <c r="AW51">
        <v>379</v>
      </c>
      <c r="AX51">
        <v>399</v>
      </c>
      <c r="AY51">
        <v>377</v>
      </c>
      <c r="AZ51" t="s">
        <v>270</v>
      </c>
      <c r="BA51">
        <v>0</v>
      </c>
      <c r="BB51">
        <v>55</v>
      </c>
      <c r="BC51" t="s">
        <v>550</v>
      </c>
      <c r="BD51" t="s">
        <v>548</v>
      </c>
      <c r="BE51">
        <v>3</v>
      </c>
      <c r="BF51" t="s">
        <v>584</v>
      </c>
      <c r="BG51">
        <v>25.3</v>
      </c>
      <c r="BH51">
        <v>48</v>
      </c>
      <c r="BI51" t="s">
        <v>264</v>
      </c>
      <c r="BJ51">
        <v>-9999</v>
      </c>
      <c r="BK51">
        <v>55</v>
      </c>
      <c r="BL51">
        <v>85</v>
      </c>
      <c r="BM51">
        <v>60</v>
      </c>
      <c r="BN51" t="s">
        <v>270</v>
      </c>
      <c r="BO51">
        <v>0</v>
      </c>
      <c r="BP51">
        <v>55</v>
      </c>
      <c r="BQ51" t="s">
        <v>504</v>
      </c>
      <c r="BR51" t="s">
        <v>548</v>
      </c>
      <c r="BS51">
        <v>4</v>
      </c>
      <c r="BT51" t="s">
        <v>549</v>
      </c>
      <c r="BU51">
        <v>51.8</v>
      </c>
      <c r="BV51">
        <v>96</v>
      </c>
      <c r="BW51" t="s">
        <v>264</v>
      </c>
      <c r="BX51">
        <v>-9999</v>
      </c>
      <c r="BY51">
        <v>188</v>
      </c>
      <c r="BZ51">
        <v>217</v>
      </c>
      <c r="CA51">
        <v>186</v>
      </c>
      <c r="CB51" t="s">
        <v>270</v>
      </c>
      <c r="CC51">
        <v>0</v>
      </c>
      <c r="CD51">
        <v>55</v>
      </c>
      <c r="CE51" t="s">
        <v>471</v>
      </c>
      <c r="CF51" t="s">
        <v>548</v>
      </c>
      <c r="CG51">
        <v>5</v>
      </c>
      <c r="CH51" t="s">
        <v>549</v>
      </c>
      <c r="CI51">
        <v>51</v>
      </c>
      <c r="CJ51">
        <v>229</v>
      </c>
      <c r="CK51" t="s">
        <v>264</v>
      </c>
      <c r="CL51">
        <v>-9999</v>
      </c>
      <c r="CM51">
        <v>513</v>
      </c>
      <c r="CN51">
        <v>600</v>
      </c>
      <c r="CO51">
        <v>513</v>
      </c>
      <c r="CP51" t="s">
        <v>270</v>
      </c>
      <c r="CQ51">
        <v>0</v>
      </c>
      <c r="CR51">
        <v>55</v>
      </c>
      <c r="CS51" t="s">
        <v>472</v>
      </c>
      <c r="CT51" t="s">
        <v>548</v>
      </c>
      <c r="CU51">
        <v>6</v>
      </c>
      <c r="CV51" t="s">
        <v>549</v>
      </c>
      <c r="CW51">
        <v>53.8</v>
      </c>
      <c r="CX51">
        <v>79</v>
      </c>
      <c r="CY51" t="s">
        <v>264</v>
      </c>
      <c r="CZ51">
        <v>-9999</v>
      </c>
      <c r="DA51">
        <v>712</v>
      </c>
      <c r="DB51">
        <v>809</v>
      </c>
      <c r="DC51">
        <v>701</v>
      </c>
      <c r="DD51" t="s">
        <v>270</v>
      </c>
      <c r="DE51">
        <v>0</v>
      </c>
      <c r="DF51">
        <v>55</v>
      </c>
      <c r="DG51" t="s">
        <v>473</v>
      </c>
      <c r="DH51" t="s">
        <v>548</v>
      </c>
      <c r="DI51">
        <v>7</v>
      </c>
      <c r="DJ51" t="s">
        <v>549</v>
      </c>
      <c r="DK51">
        <v>0</v>
      </c>
      <c r="DL51">
        <v>29</v>
      </c>
      <c r="DM51" t="s">
        <v>264</v>
      </c>
      <c r="DN51">
        <v>-9999</v>
      </c>
      <c r="DO51">
        <v>547</v>
      </c>
      <c r="DP51">
        <v>627</v>
      </c>
      <c r="DQ51">
        <v>541</v>
      </c>
      <c r="DR51" t="s">
        <v>270</v>
      </c>
      <c r="DS51">
        <v>0</v>
      </c>
      <c r="DT51">
        <v>55</v>
      </c>
      <c r="DU51" t="s">
        <v>474</v>
      </c>
      <c r="DV51" t="s">
        <v>548</v>
      </c>
      <c r="DW51">
        <v>8</v>
      </c>
      <c r="DX51" t="s">
        <v>549</v>
      </c>
      <c r="DY51">
        <v>0</v>
      </c>
      <c r="DZ51">
        <v>3</v>
      </c>
      <c r="EA51" t="s">
        <v>264</v>
      </c>
      <c r="EB51">
        <v>-9999</v>
      </c>
      <c r="EC51">
        <v>95</v>
      </c>
      <c r="ED51">
        <v>115</v>
      </c>
      <c r="EE51">
        <v>93</v>
      </c>
      <c r="EF51" t="s">
        <v>270</v>
      </c>
      <c r="EG51">
        <v>0</v>
      </c>
      <c r="EH51">
        <v>55</v>
      </c>
      <c r="EI51" t="s">
        <v>475</v>
      </c>
      <c r="EJ51" t="s">
        <v>548</v>
      </c>
      <c r="EK51">
        <v>9</v>
      </c>
      <c r="EL51" t="s">
        <v>549</v>
      </c>
      <c r="EM51">
        <v>0</v>
      </c>
      <c r="EN51">
        <v>-3</v>
      </c>
      <c r="EO51" t="s">
        <v>264</v>
      </c>
      <c r="EP51">
        <v>-9999</v>
      </c>
      <c r="EQ51">
        <v>348</v>
      </c>
      <c r="ER51">
        <v>333</v>
      </c>
      <c r="ES51">
        <v>306</v>
      </c>
      <c r="ET51" t="s">
        <v>270</v>
      </c>
      <c r="EU51">
        <v>0</v>
      </c>
      <c r="EV51">
        <v>55</v>
      </c>
      <c r="EW51" t="s">
        <v>551</v>
      </c>
      <c r="EX51" t="s">
        <v>552</v>
      </c>
      <c r="EY51">
        <v>122</v>
      </c>
      <c r="EZ51">
        <v>122</v>
      </c>
      <c r="FA51">
        <v>122</v>
      </c>
      <c r="FB51" t="s">
        <v>270</v>
      </c>
      <c r="FC51" t="s">
        <v>553</v>
      </c>
      <c r="FD51" t="s">
        <v>552</v>
      </c>
      <c r="FE51">
        <v>298</v>
      </c>
      <c r="FF51">
        <v>297</v>
      </c>
      <c r="FG51">
        <v>297</v>
      </c>
      <c r="FH51" t="s">
        <v>270</v>
      </c>
      <c r="FI51" t="s">
        <v>554</v>
      </c>
      <c r="FJ51" t="s">
        <v>555</v>
      </c>
      <c r="FK51">
        <v>0</v>
      </c>
      <c r="FL51">
        <v>0</v>
      </c>
      <c r="FM51">
        <v>0</v>
      </c>
      <c r="FN51" t="s">
        <v>264</v>
      </c>
      <c r="FQ51" t="s">
        <v>556</v>
      </c>
      <c r="FR51" t="s">
        <v>555</v>
      </c>
      <c r="FS51">
        <v>0</v>
      </c>
      <c r="FT51">
        <v>0</v>
      </c>
      <c r="FU51">
        <v>0</v>
      </c>
      <c r="FV51" t="s">
        <v>264</v>
      </c>
      <c r="FY51" t="s">
        <v>557</v>
      </c>
      <c r="FZ51" t="s">
        <v>555</v>
      </c>
      <c r="GA51">
        <v>0</v>
      </c>
      <c r="GB51">
        <v>0</v>
      </c>
      <c r="GC51">
        <v>0</v>
      </c>
      <c r="GD51" t="s">
        <v>264</v>
      </c>
      <c r="GG51" t="s">
        <v>558</v>
      </c>
      <c r="GH51" t="s">
        <v>555</v>
      </c>
      <c r="GI51">
        <v>0</v>
      </c>
      <c r="GJ51">
        <v>0</v>
      </c>
      <c r="GK51">
        <v>0</v>
      </c>
      <c r="GL51" t="s">
        <v>264</v>
      </c>
      <c r="GO51" t="s">
        <v>559</v>
      </c>
      <c r="GP51" t="s">
        <v>555</v>
      </c>
      <c r="GQ51">
        <v>0</v>
      </c>
      <c r="GR51">
        <v>0</v>
      </c>
      <c r="GS51">
        <v>0</v>
      </c>
      <c r="GT51" t="s">
        <v>264</v>
      </c>
      <c r="GW51" t="s">
        <v>560</v>
      </c>
      <c r="GX51" t="s">
        <v>555</v>
      </c>
      <c r="GY51">
        <v>0</v>
      </c>
      <c r="GZ51">
        <v>0</v>
      </c>
      <c r="HA51">
        <v>0</v>
      </c>
      <c r="HB51" t="s">
        <v>264</v>
      </c>
      <c r="HE51" t="s">
        <v>561</v>
      </c>
      <c r="HF51" t="s">
        <v>555</v>
      </c>
      <c r="HG51">
        <v>0</v>
      </c>
      <c r="HH51">
        <v>0</v>
      </c>
      <c r="HI51">
        <v>0</v>
      </c>
      <c r="HJ51" t="s">
        <v>264</v>
      </c>
      <c r="HM51" t="s">
        <v>562</v>
      </c>
      <c r="HN51" t="s">
        <v>555</v>
      </c>
      <c r="HO51">
        <v>0</v>
      </c>
      <c r="HP51">
        <v>0</v>
      </c>
      <c r="HQ51">
        <v>0</v>
      </c>
      <c r="HR51" t="s">
        <v>264</v>
      </c>
      <c r="HU51" t="s">
        <v>563</v>
      </c>
      <c r="HV51" t="s">
        <v>555</v>
      </c>
      <c r="HW51">
        <v>0</v>
      </c>
      <c r="HX51">
        <v>0</v>
      </c>
      <c r="HY51">
        <v>0</v>
      </c>
      <c r="HZ51" t="s">
        <v>264</v>
      </c>
      <c r="IC51" t="s">
        <v>564</v>
      </c>
      <c r="ID51" t="s">
        <v>555</v>
      </c>
      <c r="IE51">
        <v>0</v>
      </c>
      <c r="IF51">
        <v>0</v>
      </c>
      <c r="IG51">
        <v>0</v>
      </c>
      <c r="IH51" t="s">
        <v>264</v>
      </c>
      <c r="IK51" t="s">
        <v>565</v>
      </c>
      <c r="IL51" t="s">
        <v>555</v>
      </c>
      <c r="IM51">
        <v>0</v>
      </c>
      <c r="IN51">
        <v>0</v>
      </c>
      <c r="IO51">
        <v>0</v>
      </c>
      <c r="IP51" t="s">
        <v>264</v>
      </c>
      <c r="IS51" t="s">
        <v>566</v>
      </c>
      <c r="IT51" t="s">
        <v>555</v>
      </c>
      <c r="IU51">
        <v>0</v>
      </c>
      <c r="IV51">
        <v>0</v>
      </c>
      <c r="IW51">
        <v>0</v>
      </c>
      <c r="IX51" t="s">
        <v>264</v>
      </c>
      <c r="JA51" t="s">
        <v>567</v>
      </c>
      <c r="JB51" t="s">
        <v>555</v>
      </c>
      <c r="JC51">
        <v>0</v>
      </c>
      <c r="JD51">
        <v>0</v>
      </c>
      <c r="JE51">
        <v>0</v>
      </c>
      <c r="JF51" t="s">
        <v>264</v>
      </c>
      <c r="JI51" t="s">
        <v>568</v>
      </c>
      <c r="JJ51" t="s">
        <v>555</v>
      </c>
      <c r="JK51">
        <v>0</v>
      </c>
      <c r="JL51">
        <v>0</v>
      </c>
      <c r="JM51">
        <v>0</v>
      </c>
      <c r="JN51" t="s">
        <v>264</v>
      </c>
      <c r="JQ51" t="s">
        <v>569</v>
      </c>
      <c r="JR51" t="s">
        <v>555</v>
      </c>
      <c r="JS51">
        <v>0</v>
      </c>
      <c r="JT51">
        <v>0</v>
      </c>
      <c r="JU51">
        <v>0</v>
      </c>
      <c r="JV51" t="s">
        <v>264</v>
      </c>
      <c r="JY51" t="s">
        <v>570</v>
      </c>
      <c r="JZ51" t="s">
        <v>555</v>
      </c>
      <c r="KA51">
        <v>0</v>
      </c>
      <c r="KB51">
        <v>0</v>
      </c>
      <c r="KC51">
        <v>0</v>
      </c>
      <c r="KD51" t="s">
        <v>264</v>
      </c>
      <c r="KG51" t="s">
        <v>571</v>
      </c>
      <c r="KH51" t="s">
        <v>555</v>
      </c>
      <c r="KI51">
        <v>0</v>
      </c>
      <c r="KJ51">
        <v>0</v>
      </c>
      <c r="KK51">
        <v>0</v>
      </c>
      <c r="KL51" t="s">
        <v>264</v>
      </c>
      <c r="KO51" t="s">
        <v>572</v>
      </c>
      <c r="KP51" t="s">
        <v>555</v>
      </c>
      <c r="KQ51">
        <v>0</v>
      </c>
      <c r="KR51">
        <v>0</v>
      </c>
      <c r="KS51">
        <v>0</v>
      </c>
      <c r="KT51" t="s">
        <v>264</v>
      </c>
      <c r="KW51" t="s">
        <v>573</v>
      </c>
      <c r="KX51" t="s">
        <v>555</v>
      </c>
      <c r="KY51">
        <v>0</v>
      </c>
      <c r="KZ51">
        <v>0</v>
      </c>
      <c r="LA51">
        <v>0</v>
      </c>
      <c r="LB51" t="s">
        <v>264</v>
      </c>
      <c r="LE51" t="s">
        <v>574</v>
      </c>
      <c r="LF51" t="s">
        <v>555</v>
      </c>
      <c r="LG51">
        <v>0</v>
      </c>
      <c r="LH51">
        <v>0</v>
      </c>
      <c r="LI51">
        <v>0</v>
      </c>
      <c r="LJ51" t="s">
        <v>264</v>
      </c>
      <c r="LM51" t="s">
        <v>575</v>
      </c>
      <c r="LN51" t="s">
        <v>555</v>
      </c>
      <c r="LO51">
        <v>0</v>
      </c>
      <c r="LP51">
        <v>0</v>
      </c>
      <c r="LQ51">
        <v>0</v>
      </c>
      <c r="LR51" t="s">
        <v>264</v>
      </c>
      <c r="LU51" t="s">
        <v>576</v>
      </c>
      <c r="LV51" t="s">
        <v>555</v>
      </c>
      <c r="LW51">
        <v>0</v>
      </c>
      <c r="LX51">
        <v>0</v>
      </c>
      <c r="LY51">
        <v>0</v>
      </c>
      <c r="LZ51" t="s">
        <v>264</v>
      </c>
      <c r="MC51" t="s">
        <v>577</v>
      </c>
      <c r="MD51" t="s">
        <v>555</v>
      </c>
      <c r="ME51">
        <v>0</v>
      </c>
      <c r="MF51">
        <v>0</v>
      </c>
      <c r="MG51">
        <v>0</v>
      </c>
      <c r="MH51" t="s">
        <v>264</v>
      </c>
      <c r="MK51" t="s">
        <v>578</v>
      </c>
      <c r="ML51" t="s">
        <v>555</v>
      </c>
      <c r="MM51">
        <v>0</v>
      </c>
      <c r="MN51">
        <v>0</v>
      </c>
      <c r="MO51">
        <v>0</v>
      </c>
      <c r="MP51" t="s">
        <v>264</v>
      </c>
      <c r="MS51" t="s">
        <v>579</v>
      </c>
      <c r="MT51" t="s">
        <v>555</v>
      </c>
      <c r="MU51">
        <v>0</v>
      </c>
      <c r="MV51">
        <v>0</v>
      </c>
      <c r="MW51">
        <v>0</v>
      </c>
      <c r="MX51" t="s">
        <v>264</v>
      </c>
      <c r="NA51" t="s">
        <v>580</v>
      </c>
      <c r="NB51" t="s">
        <v>555</v>
      </c>
      <c r="NC51">
        <v>0</v>
      </c>
      <c r="ND51">
        <v>0</v>
      </c>
      <c r="NE51">
        <v>0</v>
      </c>
      <c r="NF51" t="s">
        <v>264</v>
      </c>
      <c r="NI51">
        <v>40.1</v>
      </c>
      <c r="NJ51">
        <v>-11.5</v>
      </c>
      <c r="NP51" t="s">
        <v>624</v>
      </c>
    </row>
    <row r="52" spans="1:380" customFormat="1" x14ac:dyDescent="0.2">
      <c r="A52" t="s">
        <v>517</v>
      </c>
      <c r="B52">
        <v>1</v>
      </c>
      <c r="C52" t="s">
        <v>703</v>
      </c>
      <c r="D52">
        <v>646962482</v>
      </c>
      <c r="E52">
        <v>12602</v>
      </c>
      <c r="F52" t="s">
        <v>542</v>
      </c>
      <c r="G52">
        <v>847922</v>
      </c>
      <c r="H52">
        <v>210021802</v>
      </c>
      <c r="I52" t="s">
        <v>622</v>
      </c>
      <c r="J52" t="s">
        <v>704</v>
      </c>
      <c r="K52" t="s">
        <v>545</v>
      </c>
      <c r="L52" t="s">
        <v>294</v>
      </c>
      <c r="M52" t="s">
        <v>546</v>
      </c>
      <c r="N52" t="s">
        <v>468</v>
      </c>
      <c r="O52" t="s">
        <v>547</v>
      </c>
      <c r="P52" t="s">
        <v>270</v>
      </c>
      <c r="Q52">
        <v>27.7</v>
      </c>
      <c r="R52">
        <v>272</v>
      </c>
      <c r="S52" t="s">
        <v>270</v>
      </c>
      <c r="T52">
        <v>-9999</v>
      </c>
      <c r="U52">
        <v>673</v>
      </c>
      <c r="V52">
        <v>693</v>
      </c>
      <c r="W52">
        <v>661</v>
      </c>
      <c r="X52" t="s">
        <v>270</v>
      </c>
      <c r="Y52">
        <v>0</v>
      </c>
      <c r="Z52">
        <v>55</v>
      </c>
      <c r="AA52" t="s">
        <v>469</v>
      </c>
      <c r="AB52" t="s">
        <v>548</v>
      </c>
      <c r="AC52">
        <v>1</v>
      </c>
      <c r="AD52" t="s">
        <v>549</v>
      </c>
      <c r="AE52">
        <v>0</v>
      </c>
      <c r="AF52">
        <v>31</v>
      </c>
      <c r="AG52" t="s">
        <v>264</v>
      </c>
      <c r="AH52">
        <v>-9999</v>
      </c>
      <c r="AI52">
        <v>547</v>
      </c>
      <c r="AJ52">
        <v>670</v>
      </c>
      <c r="AK52">
        <v>540</v>
      </c>
      <c r="AL52" t="s">
        <v>270</v>
      </c>
      <c r="AM52">
        <v>0</v>
      </c>
      <c r="AN52">
        <v>55</v>
      </c>
      <c r="AO52" t="s">
        <v>470</v>
      </c>
      <c r="AP52" t="s">
        <v>548</v>
      </c>
      <c r="AQ52">
        <v>2</v>
      </c>
      <c r="AR52" t="s">
        <v>549</v>
      </c>
      <c r="AS52">
        <v>54.3</v>
      </c>
      <c r="AT52">
        <v>51</v>
      </c>
      <c r="AU52" t="s">
        <v>264</v>
      </c>
      <c r="AV52">
        <v>-9999</v>
      </c>
      <c r="AW52">
        <v>437</v>
      </c>
      <c r="AX52">
        <v>464</v>
      </c>
      <c r="AY52">
        <v>434</v>
      </c>
      <c r="AZ52" t="s">
        <v>270</v>
      </c>
      <c r="BA52">
        <v>0</v>
      </c>
      <c r="BB52">
        <v>55</v>
      </c>
      <c r="BC52" t="s">
        <v>550</v>
      </c>
      <c r="BD52" t="s">
        <v>548</v>
      </c>
      <c r="BE52">
        <v>3</v>
      </c>
      <c r="BF52" t="s">
        <v>549</v>
      </c>
      <c r="BG52">
        <v>0</v>
      </c>
      <c r="BH52">
        <v>3</v>
      </c>
      <c r="BI52" t="s">
        <v>264</v>
      </c>
      <c r="BJ52">
        <v>-9999</v>
      </c>
      <c r="BK52">
        <v>112</v>
      </c>
      <c r="BL52">
        <v>155</v>
      </c>
      <c r="BM52">
        <v>117</v>
      </c>
      <c r="BN52" t="s">
        <v>270</v>
      </c>
      <c r="BO52">
        <v>0</v>
      </c>
      <c r="BP52">
        <v>55</v>
      </c>
      <c r="BQ52" t="s">
        <v>504</v>
      </c>
      <c r="BR52" t="s">
        <v>548</v>
      </c>
      <c r="BS52">
        <v>4</v>
      </c>
      <c r="BT52" t="s">
        <v>549</v>
      </c>
      <c r="BU52">
        <v>51.4</v>
      </c>
      <c r="BV52">
        <v>131</v>
      </c>
      <c r="BW52" t="s">
        <v>264</v>
      </c>
      <c r="BX52">
        <v>-9999</v>
      </c>
      <c r="BY52">
        <v>210</v>
      </c>
      <c r="BZ52">
        <v>242</v>
      </c>
      <c r="CA52">
        <v>208</v>
      </c>
      <c r="CB52" t="s">
        <v>270</v>
      </c>
      <c r="CC52">
        <v>0</v>
      </c>
      <c r="CD52">
        <v>55</v>
      </c>
      <c r="CE52" t="s">
        <v>471</v>
      </c>
      <c r="CF52" t="s">
        <v>548</v>
      </c>
      <c r="CG52">
        <v>5</v>
      </c>
      <c r="CH52" t="s">
        <v>549</v>
      </c>
      <c r="CI52">
        <v>50.5</v>
      </c>
      <c r="CJ52">
        <v>269</v>
      </c>
      <c r="CK52" t="s">
        <v>264</v>
      </c>
      <c r="CL52">
        <v>-9999</v>
      </c>
      <c r="CM52">
        <v>542</v>
      </c>
      <c r="CN52">
        <v>636</v>
      </c>
      <c r="CO52">
        <v>542</v>
      </c>
      <c r="CP52" t="s">
        <v>270</v>
      </c>
      <c r="CQ52">
        <v>0</v>
      </c>
      <c r="CR52">
        <v>55</v>
      </c>
      <c r="CS52" t="s">
        <v>472</v>
      </c>
      <c r="CT52" t="s">
        <v>548</v>
      </c>
      <c r="CU52">
        <v>6</v>
      </c>
      <c r="CV52" t="s">
        <v>549</v>
      </c>
      <c r="CW52">
        <v>52.7</v>
      </c>
      <c r="CX52">
        <v>117</v>
      </c>
      <c r="CY52" t="s">
        <v>264</v>
      </c>
      <c r="CZ52">
        <v>-9999</v>
      </c>
      <c r="DA52">
        <v>674</v>
      </c>
      <c r="DB52">
        <v>765</v>
      </c>
      <c r="DC52">
        <v>662</v>
      </c>
      <c r="DD52" t="s">
        <v>270</v>
      </c>
      <c r="DE52">
        <v>0</v>
      </c>
      <c r="DF52">
        <v>55</v>
      </c>
      <c r="DG52" t="s">
        <v>473</v>
      </c>
      <c r="DH52" t="s">
        <v>548</v>
      </c>
      <c r="DI52">
        <v>7</v>
      </c>
      <c r="DJ52" t="s">
        <v>549</v>
      </c>
      <c r="DK52">
        <v>0</v>
      </c>
      <c r="DL52">
        <v>33</v>
      </c>
      <c r="DM52" t="s">
        <v>264</v>
      </c>
      <c r="DN52">
        <v>-9999</v>
      </c>
      <c r="DO52">
        <v>560</v>
      </c>
      <c r="DP52">
        <v>639</v>
      </c>
      <c r="DQ52">
        <v>555</v>
      </c>
      <c r="DR52" t="s">
        <v>270</v>
      </c>
      <c r="DS52">
        <v>0</v>
      </c>
      <c r="DT52">
        <v>55</v>
      </c>
      <c r="DU52" t="s">
        <v>474</v>
      </c>
      <c r="DV52" t="s">
        <v>548</v>
      </c>
      <c r="DW52">
        <v>8</v>
      </c>
      <c r="DX52" t="s">
        <v>549</v>
      </c>
      <c r="DY52">
        <v>51.3</v>
      </c>
      <c r="DZ52">
        <v>35</v>
      </c>
      <c r="EA52" t="s">
        <v>264</v>
      </c>
      <c r="EB52">
        <v>-9999</v>
      </c>
      <c r="EC52">
        <v>122</v>
      </c>
      <c r="ED52">
        <v>149</v>
      </c>
      <c r="EE52">
        <v>120</v>
      </c>
      <c r="EF52" t="s">
        <v>270</v>
      </c>
      <c r="EG52">
        <v>0</v>
      </c>
      <c r="EH52">
        <v>55</v>
      </c>
      <c r="EI52" t="s">
        <v>475</v>
      </c>
      <c r="EJ52" t="s">
        <v>548</v>
      </c>
      <c r="EK52">
        <v>9</v>
      </c>
      <c r="EL52" t="s">
        <v>549</v>
      </c>
      <c r="EM52">
        <v>0</v>
      </c>
      <c r="EN52">
        <v>8</v>
      </c>
      <c r="EO52" t="s">
        <v>264</v>
      </c>
      <c r="EP52">
        <v>-9999</v>
      </c>
      <c r="EQ52">
        <v>424</v>
      </c>
      <c r="ER52">
        <v>407</v>
      </c>
      <c r="ES52">
        <v>374</v>
      </c>
      <c r="ET52" t="s">
        <v>270</v>
      </c>
      <c r="EU52">
        <v>0</v>
      </c>
      <c r="EV52">
        <v>55</v>
      </c>
      <c r="EW52" t="s">
        <v>551</v>
      </c>
      <c r="EX52" t="s">
        <v>552</v>
      </c>
      <c r="EY52">
        <v>140</v>
      </c>
      <c r="EZ52">
        <v>141</v>
      </c>
      <c r="FA52">
        <v>141</v>
      </c>
      <c r="FB52" t="s">
        <v>270</v>
      </c>
      <c r="FC52" t="s">
        <v>553</v>
      </c>
      <c r="FD52" t="s">
        <v>552</v>
      </c>
      <c r="FE52">
        <v>278</v>
      </c>
      <c r="FF52">
        <v>277</v>
      </c>
      <c r="FG52">
        <v>275</v>
      </c>
      <c r="FH52" t="s">
        <v>270</v>
      </c>
      <c r="FI52" t="s">
        <v>554</v>
      </c>
      <c r="FJ52" t="s">
        <v>555</v>
      </c>
      <c r="FK52">
        <v>0</v>
      </c>
      <c r="FL52">
        <v>0</v>
      </c>
      <c r="FM52">
        <v>0</v>
      </c>
      <c r="FN52" t="s">
        <v>264</v>
      </c>
      <c r="FQ52" t="s">
        <v>556</v>
      </c>
      <c r="FR52" t="s">
        <v>555</v>
      </c>
      <c r="FS52">
        <v>0</v>
      </c>
      <c r="FT52">
        <v>0</v>
      </c>
      <c r="FU52">
        <v>0</v>
      </c>
      <c r="FV52" t="s">
        <v>264</v>
      </c>
      <c r="FY52" t="s">
        <v>557</v>
      </c>
      <c r="FZ52" t="s">
        <v>555</v>
      </c>
      <c r="GA52">
        <v>0</v>
      </c>
      <c r="GB52">
        <v>0</v>
      </c>
      <c r="GC52">
        <v>0</v>
      </c>
      <c r="GD52" t="s">
        <v>264</v>
      </c>
      <c r="GG52" t="s">
        <v>558</v>
      </c>
      <c r="GH52" t="s">
        <v>555</v>
      </c>
      <c r="GI52">
        <v>0</v>
      </c>
      <c r="GJ52">
        <v>0</v>
      </c>
      <c r="GK52">
        <v>0</v>
      </c>
      <c r="GL52" t="s">
        <v>264</v>
      </c>
      <c r="GO52" t="s">
        <v>559</v>
      </c>
      <c r="GP52" t="s">
        <v>555</v>
      </c>
      <c r="GQ52">
        <v>0</v>
      </c>
      <c r="GR52">
        <v>0</v>
      </c>
      <c r="GS52">
        <v>0</v>
      </c>
      <c r="GT52" t="s">
        <v>264</v>
      </c>
      <c r="GW52" t="s">
        <v>560</v>
      </c>
      <c r="GX52" t="s">
        <v>555</v>
      </c>
      <c r="GY52">
        <v>0</v>
      </c>
      <c r="GZ52">
        <v>0</v>
      </c>
      <c r="HA52">
        <v>0</v>
      </c>
      <c r="HB52" t="s">
        <v>264</v>
      </c>
      <c r="HE52" t="s">
        <v>561</v>
      </c>
      <c r="HF52" t="s">
        <v>555</v>
      </c>
      <c r="HG52">
        <v>0</v>
      </c>
      <c r="HH52">
        <v>0</v>
      </c>
      <c r="HI52">
        <v>0</v>
      </c>
      <c r="HJ52" t="s">
        <v>264</v>
      </c>
      <c r="HM52" t="s">
        <v>562</v>
      </c>
      <c r="HN52" t="s">
        <v>555</v>
      </c>
      <c r="HO52">
        <v>0</v>
      </c>
      <c r="HP52">
        <v>0</v>
      </c>
      <c r="HQ52">
        <v>0</v>
      </c>
      <c r="HR52" t="s">
        <v>264</v>
      </c>
      <c r="HU52" t="s">
        <v>563</v>
      </c>
      <c r="HV52" t="s">
        <v>555</v>
      </c>
      <c r="HW52">
        <v>0</v>
      </c>
      <c r="HX52">
        <v>0</v>
      </c>
      <c r="HY52">
        <v>0</v>
      </c>
      <c r="HZ52" t="s">
        <v>264</v>
      </c>
      <c r="IC52" t="s">
        <v>564</v>
      </c>
      <c r="ID52" t="s">
        <v>555</v>
      </c>
      <c r="IE52">
        <v>0</v>
      </c>
      <c r="IF52">
        <v>0</v>
      </c>
      <c r="IG52">
        <v>0</v>
      </c>
      <c r="IH52" t="s">
        <v>264</v>
      </c>
      <c r="IK52" t="s">
        <v>565</v>
      </c>
      <c r="IL52" t="s">
        <v>555</v>
      </c>
      <c r="IM52">
        <v>0</v>
      </c>
      <c r="IN52">
        <v>0</v>
      </c>
      <c r="IO52">
        <v>0</v>
      </c>
      <c r="IP52" t="s">
        <v>264</v>
      </c>
      <c r="IS52" t="s">
        <v>566</v>
      </c>
      <c r="IT52" t="s">
        <v>555</v>
      </c>
      <c r="IU52">
        <v>0</v>
      </c>
      <c r="IV52">
        <v>0</v>
      </c>
      <c r="IW52">
        <v>0</v>
      </c>
      <c r="IX52" t="s">
        <v>264</v>
      </c>
      <c r="JA52" t="s">
        <v>567</v>
      </c>
      <c r="JB52" t="s">
        <v>555</v>
      </c>
      <c r="JC52">
        <v>0</v>
      </c>
      <c r="JD52">
        <v>0</v>
      </c>
      <c r="JE52">
        <v>0</v>
      </c>
      <c r="JF52" t="s">
        <v>264</v>
      </c>
      <c r="JI52" t="s">
        <v>568</v>
      </c>
      <c r="JJ52" t="s">
        <v>555</v>
      </c>
      <c r="JK52">
        <v>0</v>
      </c>
      <c r="JL52">
        <v>0</v>
      </c>
      <c r="JM52">
        <v>0</v>
      </c>
      <c r="JN52" t="s">
        <v>264</v>
      </c>
      <c r="JQ52" t="s">
        <v>569</v>
      </c>
      <c r="JR52" t="s">
        <v>555</v>
      </c>
      <c r="JS52">
        <v>0</v>
      </c>
      <c r="JT52">
        <v>0</v>
      </c>
      <c r="JU52">
        <v>0</v>
      </c>
      <c r="JV52" t="s">
        <v>264</v>
      </c>
      <c r="JY52" t="s">
        <v>570</v>
      </c>
      <c r="JZ52" t="s">
        <v>555</v>
      </c>
      <c r="KA52">
        <v>0</v>
      </c>
      <c r="KB52">
        <v>0</v>
      </c>
      <c r="KC52">
        <v>0</v>
      </c>
      <c r="KD52" t="s">
        <v>264</v>
      </c>
      <c r="KG52" t="s">
        <v>571</v>
      </c>
      <c r="KH52" t="s">
        <v>555</v>
      </c>
      <c r="KI52">
        <v>0</v>
      </c>
      <c r="KJ52">
        <v>0</v>
      </c>
      <c r="KK52">
        <v>0</v>
      </c>
      <c r="KL52" t="s">
        <v>264</v>
      </c>
      <c r="KO52" t="s">
        <v>572</v>
      </c>
      <c r="KP52" t="s">
        <v>555</v>
      </c>
      <c r="KQ52">
        <v>0</v>
      </c>
      <c r="KR52">
        <v>0</v>
      </c>
      <c r="KS52">
        <v>0</v>
      </c>
      <c r="KT52" t="s">
        <v>264</v>
      </c>
      <c r="KW52" t="s">
        <v>573</v>
      </c>
      <c r="KX52" t="s">
        <v>555</v>
      </c>
      <c r="KY52">
        <v>0</v>
      </c>
      <c r="KZ52">
        <v>0</v>
      </c>
      <c r="LA52">
        <v>0</v>
      </c>
      <c r="LB52" t="s">
        <v>264</v>
      </c>
      <c r="LE52" t="s">
        <v>574</v>
      </c>
      <c r="LF52" t="s">
        <v>555</v>
      </c>
      <c r="LG52">
        <v>0</v>
      </c>
      <c r="LH52">
        <v>0</v>
      </c>
      <c r="LI52">
        <v>0</v>
      </c>
      <c r="LJ52" t="s">
        <v>264</v>
      </c>
      <c r="LM52" t="s">
        <v>575</v>
      </c>
      <c r="LN52" t="s">
        <v>555</v>
      </c>
      <c r="LO52">
        <v>0</v>
      </c>
      <c r="LP52">
        <v>0</v>
      </c>
      <c r="LQ52">
        <v>0</v>
      </c>
      <c r="LR52" t="s">
        <v>264</v>
      </c>
      <c r="LU52" t="s">
        <v>576</v>
      </c>
      <c r="LV52" t="s">
        <v>555</v>
      </c>
      <c r="LW52">
        <v>0</v>
      </c>
      <c r="LX52">
        <v>0</v>
      </c>
      <c r="LY52">
        <v>0</v>
      </c>
      <c r="LZ52" t="s">
        <v>264</v>
      </c>
      <c r="MC52" t="s">
        <v>577</v>
      </c>
      <c r="MD52" t="s">
        <v>555</v>
      </c>
      <c r="ME52">
        <v>0</v>
      </c>
      <c r="MF52">
        <v>0</v>
      </c>
      <c r="MG52">
        <v>0</v>
      </c>
      <c r="MH52" t="s">
        <v>264</v>
      </c>
      <c r="MK52" t="s">
        <v>578</v>
      </c>
      <c r="ML52" t="s">
        <v>555</v>
      </c>
      <c r="MM52">
        <v>0</v>
      </c>
      <c r="MN52">
        <v>0</v>
      </c>
      <c r="MO52">
        <v>0</v>
      </c>
      <c r="MP52" t="s">
        <v>264</v>
      </c>
      <c r="MS52" t="s">
        <v>579</v>
      </c>
      <c r="MT52" t="s">
        <v>555</v>
      </c>
      <c r="MU52">
        <v>0</v>
      </c>
      <c r="MV52">
        <v>0</v>
      </c>
      <c r="MW52">
        <v>0</v>
      </c>
      <c r="MX52" t="s">
        <v>264</v>
      </c>
      <c r="NA52" t="s">
        <v>580</v>
      </c>
      <c r="NB52" t="s">
        <v>555</v>
      </c>
      <c r="NC52">
        <v>0</v>
      </c>
      <c r="ND52">
        <v>0</v>
      </c>
      <c r="NE52">
        <v>0</v>
      </c>
      <c r="NF52" t="s">
        <v>264</v>
      </c>
      <c r="NI52">
        <v>40</v>
      </c>
      <c r="NJ52">
        <v>-12.4</v>
      </c>
      <c r="NP52" t="s">
        <v>624</v>
      </c>
    </row>
    <row r="53" spans="1:380" customFormat="1" x14ac:dyDescent="0.2">
      <c r="A53" t="s">
        <v>517</v>
      </c>
      <c r="B53">
        <v>1</v>
      </c>
      <c r="C53" t="s">
        <v>705</v>
      </c>
      <c r="D53">
        <v>646962702</v>
      </c>
      <c r="E53">
        <v>12602</v>
      </c>
      <c r="F53" t="s">
        <v>542</v>
      </c>
      <c r="G53">
        <v>847922</v>
      </c>
      <c r="H53">
        <v>210078516</v>
      </c>
      <c r="I53" t="s">
        <v>622</v>
      </c>
      <c r="J53" t="s">
        <v>706</v>
      </c>
      <c r="K53" t="s">
        <v>545</v>
      </c>
      <c r="L53" t="s">
        <v>294</v>
      </c>
      <c r="M53" t="s">
        <v>546</v>
      </c>
      <c r="N53" t="s">
        <v>468</v>
      </c>
      <c r="O53" t="s">
        <v>547</v>
      </c>
      <c r="P53" t="s">
        <v>270</v>
      </c>
      <c r="Q53">
        <v>29.4</v>
      </c>
      <c r="R53">
        <v>240</v>
      </c>
      <c r="S53" t="s">
        <v>270</v>
      </c>
      <c r="T53">
        <v>-9999</v>
      </c>
      <c r="U53">
        <v>628</v>
      </c>
      <c r="V53">
        <v>648</v>
      </c>
      <c r="W53">
        <v>619</v>
      </c>
      <c r="X53" t="s">
        <v>270</v>
      </c>
      <c r="Y53">
        <v>0</v>
      </c>
      <c r="Z53">
        <v>55</v>
      </c>
      <c r="AA53" t="s">
        <v>469</v>
      </c>
      <c r="AB53" t="s">
        <v>548</v>
      </c>
      <c r="AC53">
        <v>1</v>
      </c>
      <c r="AD53" t="s">
        <v>549</v>
      </c>
      <c r="AE53">
        <v>0</v>
      </c>
      <c r="AF53">
        <v>42</v>
      </c>
      <c r="AG53" t="s">
        <v>264</v>
      </c>
      <c r="AH53">
        <v>-9999</v>
      </c>
      <c r="AI53">
        <v>449</v>
      </c>
      <c r="AJ53">
        <v>557</v>
      </c>
      <c r="AK53">
        <v>448</v>
      </c>
      <c r="AL53" t="s">
        <v>270</v>
      </c>
      <c r="AM53">
        <v>0</v>
      </c>
      <c r="AN53">
        <v>55</v>
      </c>
      <c r="AO53" t="s">
        <v>470</v>
      </c>
      <c r="AP53" t="s">
        <v>548</v>
      </c>
      <c r="AQ53">
        <v>2</v>
      </c>
      <c r="AR53" t="s">
        <v>549</v>
      </c>
      <c r="AS53">
        <v>0</v>
      </c>
      <c r="AT53">
        <v>25</v>
      </c>
      <c r="AU53" t="s">
        <v>264</v>
      </c>
      <c r="AV53">
        <v>-9999</v>
      </c>
      <c r="AW53">
        <v>365</v>
      </c>
      <c r="AX53">
        <v>385</v>
      </c>
      <c r="AY53">
        <v>362</v>
      </c>
      <c r="AZ53" t="s">
        <v>270</v>
      </c>
      <c r="BA53">
        <v>0</v>
      </c>
      <c r="BB53">
        <v>55</v>
      </c>
      <c r="BC53" t="s">
        <v>550</v>
      </c>
      <c r="BD53" t="s">
        <v>548</v>
      </c>
      <c r="BE53">
        <v>3</v>
      </c>
      <c r="BF53" t="s">
        <v>549</v>
      </c>
      <c r="BG53">
        <v>0</v>
      </c>
      <c r="BH53">
        <v>-4</v>
      </c>
      <c r="BI53" t="s">
        <v>264</v>
      </c>
      <c r="BJ53">
        <v>-9999</v>
      </c>
      <c r="BK53">
        <v>142</v>
      </c>
      <c r="BL53">
        <v>184</v>
      </c>
      <c r="BM53">
        <v>143</v>
      </c>
      <c r="BN53" t="s">
        <v>270</v>
      </c>
      <c r="BO53">
        <v>0</v>
      </c>
      <c r="BP53">
        <v>55</v>
      </c>
      <c r="BQ53" t="s">
        <v>504</v>
      </c>
      <c r="BR53" t="s">
        <v>548</v>
      </c>
      <c r="BS53">
        <v>4</v>
      </c>
      <c r="BT53" t="s">
        <v>549</v>
      </c>
      <c r="BU53">
        <v>52.4</v>
      </c>
      <c r="BV53">
        <v>77</v>
      </c>
      <c r="BW53" t="s">
        <v>264</v>
      </c>
      <c r="BX53">
        <v>-9999</v>
      </c>
      <c r="BY53">
        <v>205</v>
      </c>
      <c r="BZ53">
        <v>235</v>
      </c>
      <c r="CA53">
        <v>203</v>
      </c>
      <c r="CB53" t="s">
        <v>270</v>
      </c>
      <c r="CC53">
        <v>0</v>
      </c>
      <c r="CD53">
        <v>55</v>
      </c>
      <c r="CE53" t="s">
        <v>471</v>
      </c>
      <c r="CF53" t="s">
        <v>548</v>
      </c>
      <c r="CG53">
        <v>5</v>
      </c>
      <c r="CH53" t="s">
        <v>549</v>
      </c>
      <c r="CI53">
        <v>50.5</v>
      </c>
      <c r="CJ53">
        <v>219</v>
      </c>
      <c r="CK53" t="s">
        <v>264</v>
      </c>
      <c r="CL53">
        <v>-9999</v>
      </c>
      <c r="CM53">
        <v>497</v>
      </c>
      <c r="CN53">
        <v>585</v>
      </c>
      <c r="CO53">
        <v>496</v>
      </c>
      <c r="CP53" t="s">
        <v>270</v>
      </c>
      <c r="CQ53">
        <v>0</v>
      </c>
      <c r="CR53">
        <v>55</v>
      </c>
      <c r="CS53" t="s">
        <v>472</v>
      </c>
      <c r="CT53" t="s">
        <v>548</v>
      </c>
      <c r="CU53">
        <v>6</v>
      </c>
      <c r="CV53" t="s">
        <v>549</v>
      </c>
      <c r="CW53">
        <v>50.7</v>
      </c>
      <c r="CX53">
        <v>154</v>
      </c>
      <c r="CY53" t="s">
        <v>264</v>
      </c>
      <c r="CZ53">
        <v>-9999</v>
      </c>
      <c r="DA53">
        <v>596</v>
      </c>
      <c r="DB53">
        <v>676</v>
      </c>
      <c r="DC53">
        <v>588</v>
      </c>
      <c r="DD53" t="s">
        <v>270</v>
      </c>
      <c r="DE53">
        <v>0</v>
      </c>
      <c r="DF53">
        <v>55</v>
      </c>
      <c r="DG53" t="s">
        <v>473</v>
      </c>
      <c r="DH53" t="s">
        <v>548</v>
      </c>
      <c r="DI53">
        <v>7</v>
      </c>
      <c r="DJ53" t="s">
        <v>549</v>
      </c>
      <c r="DK53">
        <v>0</v>
      </c>
      <c r="DL53">
        <v>44</v>
      </c>
      <c r="DM53" t="s">
        <v>264</v>
      </c>
      <c r="DN53">
        <v>-9999</v>
      </c>
      <c r="DO53">
        <v>526</v>
      </c>
      <c r="DP53">
        <v>601</v>
      </c>
      <c r="DQ53">
        <v>525</v>
      </c>
      <c r="DR53" t="s">
        <v>270</v>
      </c>
      <c r="DS53">
        <v>0</v>
      </c>
      <c r="DT53">
        <v>55</v>
      </c>
      <c r="DU53" t="s">
        <v>474</v>
      </c>
      <c r="DV53" t="s">
        <v>548</v>
      </c>
      <c r="DW53">
        <v>8</v>
      </c>
      <c r="DX53" t="s">
        <v>549</v>
      </c>
      <c r="DY53">
        <v>53.7</v>
      </c>
      <c r="DZ53">
        <v>22</v>
      </c>
      <c r="EA53" t="s">
        <v>264</v>
      </c>
      <c r="EB53">
        <v>-9999</v>
      </c>
      <c r="EC53">
        <v>108</v>
      </c>
      <c r="ED53">
        <v>130</v>
      </c>
      <c r="EE53">
        <v>106</v>
      </c>
      <c r="EF53" t="s">
        <v>270</v>
      </c>
      <c r="EG53">
        <v>0</v>
      </c>
      <c r="EH53">
        <v>55</v>
      </c>
      <c r="EI53" t="s">
        <v>475</v>
      </c>
      <c r="EJ53" t="s">
        <v>548</v>
      </c>
      <c r="EK53">
        <v>9</v>
      </c>
      <c r="EL53" t="s">
        <v>549</v>
      </c>
      <c r="EM53">
        <v>0</v>
      </c>
      <c r="EN53">
        <v>-8</v>
      </c>
      <c r="EO53" t="s">
        <v>264</v>
      </c>
      <c r="EP53">
        <v>-9999</v>
      </c>
      <c r="EQ53">
        <v>350</v>
      </c>
      <c r="ER53">
        <v>336</v>
      </c>
      <c r="ES53">
        <v>314</v>
      </c>
      <c r="ET53" t="s">
        <v>270</v>
      </c>
      <c r="EU53">
        <v>0</v>
      </c>
      <c r="EV53">
        <v>55</v>
      </c>
      <c r="EW53" t="s">
        <v>551</v>
      </c>
      <c r="EX53" t="s">
        <v>552</v>
      </c>
      <c r="EY53">
        <v>139</v>
      </c>
      <c r="EZ53">
        <v>139</v>
      </c>
      <c r="FA53">
        <v>139</v>
      </c>
      <c r="FB53" t="s">
        <v>270</v>
      </c>
      <c r="FC53" t="s">
        <v>553</v>
      </c>
      <c r="FD53" t="s">
        <v>552</v>
      </c>
      <c r="FE53">
        <v>230</v>
      </c>
      <c r="FF53">
        <v>229</v>
      </c>
      <c r="FG53">
        <v>228</v>
      </c>
      <c r="FH53" t="s">
        <v>270</v>
      </c>
      <c r="FI53" t="s">
        <v>554</v>
      </c>
      <c r="FJ53" t="s">
        <v>555</v>
      </c>
      <c r="FK53">
        <v>0</v>
      </c>
      <c r="FL53">
        <v>0</v>
      </c>
      <c r="FM53">
        <v>0</v>
      </c>
      <c r="FN53" t="s">
        <v>264</v>
      </c>
      <c r="FQ53" t="s">
        <v>556</v>
      </c>
      <c r="FR53" t="s">
        <v>555</v>
      </c>
      <c r="FS53">
        <v>0</v>
      </c>
      <c r="FT53">
        <v>0</v>
      </c>
      <c r="FU53">
        <v>0</v>
      </c>
      <c r="FV53" t="s">
        <v>264</v>
      </c>
      <c r="FY53" t="s">
        <v>557</v>
      </c>
      <c r="FZ53" t="s">
        <v>555</v>
      </c>
      <c r="GA53">
        <v>0</v>
      </c>
      <c r="GB53">
        <v>0</v>
      </c>
      <c r="GC53">
        <v>0</v>
      </c>
      <c r="GD53" t="s">
        <v>264</v>
      </c>
      <c r="GG53" t="s">
        <v>558</v>
      </c>
      <c r="GH53" t="s">
        <v>555</v>
      </c>
      <c r="GI53">
        <v>0</v>
      </c>
      <c r="GJ53">
        <v>0</v>
      </c>
      <c r="GK53">
        <v>0</v>
      </c>
      <c r="GL53" t="s">
        <v>264</v>
      </c>
      <c r="GO53" t="s">
        <v>559</v>
      </c>
      <c r="GP53" t="s">
        <v>555</v>
      </c>
      <c r="GQ53">
        <v>0</v>
      </c>
      <c r="GR53">
        <v>0</v>
      </c>
      <c r="GS53">
        <v>0</v>
      </c>
      <c r="GT53" t="s">
        <v>264</v>
      </c>
      <c r="GW53" t="s">
        <v>560</v>
      </c>
      <c r="GX53" t="s">
        <v>555</v>
      </c>
      <c r="GY53">
        <v>0</v>
      </c>
      <c r="GZ53">
        <v>0</v>
      </c>
      <c r="HA53">
        <v>0</v>
      </c>
      <c r="HB53" t="s">
        <v>264</v>
      </c>
      <c r="HE53" t="s">
        <v>561</v>
      </c>
      <c r="HF53" t="s">
        <v>555</v>
      </c>
      <c r="HG53">
        <v>0</v>
      </c>
      <c r="HH53">
        <v>0</v>
      </c>
      <c r="HI53">
        <v>0</v>
      </c>
      <c r="HJ53" t="s">
        <v>264</v>
      </c>
      <c r="HM53" t="s">
        <v>562</v>
      </c>
      <c r="HN53" t="s">
        <v>555</v>
      </c>
      <c r="HO53">
        <v>0</v>
      </c>
      <c r="HP53">
        <v>0</v>
      </c>
      <c r="HQ53">
        <v>0</v>
      </c>
      <c r="HR53" t="s">
        <v>264</v>
      </c>
      <c r="HU53" t="s">
        <v>563</v>
      </c>
      <c r="HV53" t="s">
        <v>555</v>
      </c>
      <c r="HW53">
        <v>0</v>
      </c>
      <c r="HX53">
        <v>0</v>
      </c>
      <c r="HY53">
        <v>0</v>
      </c>
      <c r="HZ53" t="s">
        <v>264</v>
      </c>
      <c r="IC53" t="s">
        <v>564</v>
      </c>
      <c r="ID53" t="s">
        <v>555</v>
      </c>
      <c r="IE53">
        <v>0</v>
      </c>
      <c r="IF53">
        <v>0</v>
      </c>
      <c r="IG53">
        <v>0</v>
      </c>
      <c r="IH53" t="s">
        <v>264</v>
      </c>
      <c r="IK53" t="s">
        <v>565</v>
      </c>
      <c r="IL53" t="s">
        <v>555</v>
      </c>
      <c r="IM53">
        <v>0</v>
      </c>
      <c r="IN53">
        <v>0</v>
      </c>
      <c r="IO53">
        <v>0</v>
      </c>
      <c r="IP53" t="s">
        <v>264</v>
      </c>
      <c r="IS53" t="s">
        <v>566</v>
      </c>
      <c r="IT53" t="s">
        <v>555</v>
      </c>
      <c r="IU53">
        <v>0</v>
      </c>
      <c r="IV53">
        <v>0</v>
      </c>
      <c r="IW53">
        <v>0</v>
      </c>
      <c r="IX53" t="s">
        <v>264</v>
      </c>
      <c r="JA53" t="s">
        <v>567</v>
      </c>
      <c r="JB53" t="s">
        <v>555</v>
      </c>
      <c r="JC53">
        <v>0</v>
      </c>
      <c r="JD53">
        <v>0</v>
      </c>
      <c r="JE53">
        <v>0</v>
      </c>
      <c r="JF53" t="s">
        <v>264</v>
      </c>
      <c r="JI53" t="s">
        <v>568</v>
      </c>
      <c r="JJ53" t="s">
        <v>555</v>
      </c>
      <c r="JK53">
        <v>0</v>
      </c>
      <c r="JL53">
        <v>0</v>
      </c>
      <c r="JM53">
        <v>0</v>
      </c>
      <c r="JN53" t="s">
        <v>264</v>
      </c>
      <c r="JQ53" t="s">
        <v>569</v>
      </c>
      <c r="JR53" t="s">
        <v>555</v>
      </c>
      <c r="JS53">
        <v>0</v>
      </c>
      <c r="JT53">
        <v>0</v>
      </c>
      <c r="JU53">
        <v>0</v>
      </c>
      <c r="JV53" t="s">
        <v>264</v>
      </c>
      <c r="JY53" t="s">
        <v>570</v>
      </c>
      <c r="JZ53" t="s">
        <v>555</v>
      </c>
      <c r="KA53">
        <v>0</v>
      </c>
      <c r="KB53">
        <v>0</v>
      </c>
      <c r="KC53">
        <v>0</v>
      </c>
      <c r="KD53" t="s">
        <v>264</v>
      </c>
      <c r="KG53" t="s">
        <v>571</v>
      </c>
      <c r="KH53" t="s">
        <v>555</v>
      </c>
      <c r="KI53">
        <v>0</v>
      </c>
      <c r="KJ53">
        <v>0</v>
      </c>
      <c r="KK53">
        <v>0</v>
      </c>
      <c r="KL53" t="s">
        <v>264</v>
      </c>
      <c r="KO53" t="s">
        <v>572</v>
      </c>
      <c r="KP53" t="s">
        <v>555</v>
      </c>
      <c r="KQ53">
        <v>0</v>
      </c>
      <c r="KR53">
        <v>0</v>
      </c>
      <c r="KS53">
        <v>0</v>
      </c>
      <c r="KT53" t="s">
        <v>264</v>
      </c>
      <c r="KW53" t="s">
        <v>573</v>
      </c>
      <c r="KX53" t="s">
        <v>555</v>
      </c>
      <c r="KY53">
        <v>0</v>
      </c>
      <c r="KZ53">
        <v>0</v>
      </c>
      <c r="LA53">
        <v>0</v>
      </c>
      <c r="LB53" t="s">
        <v>264</v>
      </c>
      <c r="LE53" t="s">
        <v>574</v>
      </c>
      <c r="LF53" t="s">
        <v>555</v>
      </c>
      <c r="LG53">
        <v>0</v>
      </c>
      <c r="LH53">
        <v>0</v>
      </c>
      <c r="LI53">
        <v>0</v>
      </c>
      <c r="LJ53" t="s">
        <v>264</v>
      </c>
      <c r="LM53" t="s">
        <v>575</v>
      </c>
      <c r="LN53" t="s">
        <v>555</v>
      </c>
      <c r="LO53">
        <v>0</v>
      </c>
      <c r="LP53">
        <v>0</v>
      </c>
      <c r="LQ53">
        <v>0</v>
      </c>
      <c r="LR53" t="s">
        <v>264</v>
      </c>
      <c r="LU53" t="s">
        <v>576</v>
      </c>
      <c r="LV53" t="s">
        <v>555</v>
      </c>
      <c r="LW53">
        <v>0</v>
      </c>
      <c r="LX53">
        <v>0</v>
      </c>
      <c r="LY53">
        <v>0</v>
      </c>
      <c r="LZ53" t="s">
        <v>264</v>
      </c>
      <c r="MC53" t="s">
        <v>577</v>
      </c>
      <c r="MD53" t="s">
        <v>555</v>
      </c>
      <c r="ME53">
        <v>0</v>
      </c>
      <c r="MF53">
        <v>0</v>
      </c>
      <c r="MG53">
        <v>0</v>
      </c>
      <c r="MH53" t="s">
        <v>264</v>
      </c>
      <c r="MK53" t="s">
        <v>578</v>
      </c>
      <c r="ML53" t="s">
        <v>555</v>
      </c>
      <c r="MM53">
        <v>0</v>
      </c>
      <c r="MN53">
        <v>0</v>
      </c>
      <c r="MO53">
        <v>0</v>
      </c>
      <c r="MP53" t="s">
        <v>264</v>
      </c>
      <c r="MS53" t="s">
        <v>579</v>
      </c>
      <c r="MT53" t="s">
        <v>555</v>
      </c>
      <c r="MU53">
        <v>0</v>
      </c>
      <c r="MV53">
        <v>0</v>
      </c>
      <c r="MW53">
        <v>0</v>
      </c>
      <c r="MX53" t="s">
        <v>264</v>
      </c>
      <c r="NA53" t="s">
        <v>580</v>
      </c>
      <c r="NB53" t="s">
        <v>555</v>
      </c>
      <c r="NC53">
        <v>0</v>
      </c>
      <c r="ND53">
        <v>0</v>
      </c>
      <c r="NE53">
        <v>0</v>
      </c>
      <c r="NF53" t="s">
        <v>264</v>
      </c>
      <c r="NI53">
        <v>40</v>
      </c>
      <c r="NJ53">
        <v>-8.5</v>
      </c>
      <c r="NP53" t="s">
        <v>624</v>
      </c>
    </row>
    <row r="54" spans="1:380" customFormat="1" x14ac:dyDescent="0.2">
      <c r="A54" t="s">
        <v>517</v>
      </c>
      <c r="B54">
        <v>1</v>
      </c>
      <c r="C54" t="s">
        <v>707</v>
      </c>
      <c r="D54">
        <v>646962234</v>
      </c>
      <c r="E54">
        <v>12602</v>
      </c>
      <c r="F54" t="s">
        <v>542</v>
      </c>
      <c r="G54">
        <v>847922</v>
      </c>
      <c r="H54">
        <v>210066921</v>
      </c>
      <c r="I54" t="s">
        <v>622</v>
      </c>
      <c r="J54" t="s">
        <v>708</v>
      </c>
      <c r="K54" t="s">
        <v>545</v>
      </c>
      <c r="L54" t="s">
        <v>294</v>
      </c>
      <c r="M54" t="s">
        <v>546</v>
      </c>
      <c r="N54" t="s">
        <v>468</v>
      </c>
      <c r="O54" t="s">
        <v>547</v>
      </c>
      <c r="P54" t="s">
        <v>270</v>
      </c>
      <c r="Q54">
        <v>29.7</v>
      </c>
      <c r="R54">
        <v>242</v>
      </c>
      <c r="S54" t="s">
        <v>270</v>
      </c>
      <c r="T54">
        <v>-9999</v>
      </c>
      <c r="U54">
        <v>781</v>
      </c>
      <c r="V54">
        <v>808</v>
      </c>
      <c r="W54">
        <v>770</v>
      </c>
      <c r="X54" t="s">
        <v>270</v>
      </c>
      <c r="Y54">
        <v>0</v>
      </c>
      <c r="Z54">
        <v>55</v>
      </c>
      <c r="AA54" t="s">
        <v>469</v>
      </c>
      <c r="AB54" t="s">
        <v>548</v>
      </c>
      <c r="AC54">
        <v>1</v>
      </c>
      <c r="AD54" t="s">
        <v>549</v>
      </c>
      <c r="AE54">
        <v>0</v>
      </c>
      <c r="AF54">
        <v>31</v>
      </c>
      <c r="AG54" t="s">
        <v>264</v>
      </c>
      <c r="AH54">
        <v>-9999</v>
      </c>
      <c r="AI54">
        <v>441</v>
      </c>
      <c r="AJ54">
        <v>552</v>
      </c>
      <c r="AK54">
        <v>441</v>
      </c>
      <c r="AL54" t="s">
        <v>270</v>
      </c>
      <c r="AM54">
        <v>0</v>
      </c>
      <c r="AN54">
        <v>55</v>
      </c>
      <c r="AO54" t="s">
        <v>470</v>
      </c>
      <c r="AP54" t="s">
        <v>548</v>
      </c>
      <c r="AQ54">
        <v>2</v>
      </c>
      <c r="AR54" t="s">
        <v>549</v>
      </c>
      <c r="AS54">
        <v>54.6</v>
      </c>
      <c r="AT54">
        <v>46</v>
      </c>
      <c r="AU54" t="s">
        <v>264</v>
      </c>
      <c r="AV54">
        <v>-9999</v>
      </c>
      <c r="AW54">
        <v>457</v>
      </c>
      <c r="AX54">
        <v>487</v>
      </c>
      <c r="AY54">
        <v>455</v>
      </c>
      <c r="AZ54" t="s">
        <v>270</v>
      </c>
      <c r="BA54">
        <v>0</v>
      </c>
      <c r="BB54">
        <v>55</v>
      </c>
      <c r="BC54" t="s">
        <v>550</v>
      </c>
      <c r="BD54" t="s">
        <v>548</v>
      </c>
      <c r="BE54">
        <v>3</v>
      </c>
      <c r="BF54" t="s">
        <v>549</v>
      </c>
      <c r="BG54">
        <v>0</v>
      </c>
      <c r="BH54">
        <v>2</v>
      </c>
      <c r="BI54" t="s">
        <v>264</v>
      </c>
      <c r="BJ54">
        <v>-9999</v>
      </c>
      <c r="BK54">
        <v>290</v>
      </c>
      <c r="BL54">
        <v>354</v>
      </c>
      <c r="BM54">
        <v>288</v>
      </c>
      <c r="BN54" t="s">
        <v>270</v>
      </c>
      <c r="BO54">
        <v>0</v>
      </c>
      <c r="BP54">
        <v>55</v>
      </c>
      <c r="BQ54" t="s">
        <v>504</v>
      </c>
      <c r="BR54" t="s">
        <v>548</v>
      </c>
      <c r="BS54">
        <v>4</v>
      </c>
      <c r="BT54" t="s">
        <v>549</v>
      </c>
      <c r="BU54">
        <v>54.3</v>
      </c>
      <c r="BV54">
        <v>37</v>
      </c>
      <c r="BW54" t="s">
        <v>264</v>
      </c>
      <c r="BX54">
        <v>-9999</v>
      </c>
      <c r="BY54">
        <v>258</v>
      </c>
      <c r="BZ54">
        <v>297</v>
      </c>
      <c r="CA54">
        <v>255</v>
      </c>
      <c r="CB54" t="s">
        <v>270</v>
      </c>
      <c r="CC54">
        <v>0</v>
      </c>
      <c r="CD54">
        <v>55</v>
      </c>
      <c r="CE54" t="s">
        <v>471</v>
      </c>
      <c r="CF54" t="s">
        <v>548</v>
      </c>
      <c r="CG54">
        <v>5</v>
      </c>
      <c r="CH54" t="s">
        <v>549</v>
      </c>
      <c r="CI54">
        <v>52.4</v>
      </c>
      <c r="CJ54">
        <v>111</v>
      </c>
      <c r="CK54" t="s">
        <v>264</v>
      </c>
      <c r="CL54">
        <v>-9999</v>
      </c>
      <c r="CM54">
        <v>579</v>
      </c>
      <c r="CN54">
        <v>678</v>
      </c>
      <c r="CO54">
        <v>578</v>
      </c>
      <c r="CP54" t="s">
        <v>270</v>
      </c>
      <c r="CQ54">
        <v>0</v>
      </c>
      <c r="CR54">
        <v>55</v>
      </c>
      <c r="CS54" t="s">
        <v>472</v>
      </c>
      <c r="CT54" t="s">
        <v>548</v>
      </c>
      <c r="CU54">
        <v>6</v>
      </c>
      <c r="CV54" t="s">
        <v>549</v>
      </c>
      <c r="CW54">
        <v>0</v>
      </c>
      <c r="CX54">
        <v>33</v>
      </c>
      <c r="CY54" t="s">
        <v>264</v>
      </c>
      <c r="CZ54">
        <v>-9999</v>
      </c>
      <c r="DA54">
        <v>904</v>
      </c>
      <c r="DB54">
        <v>1026</v>
      </c>
      <c r="DC54">
        <v>889</v>
      </c>
      <c r="DD54" t="s">
        <v>270</v>
      </c>
      <c r="DE54">
        <v>0</v>
      </c>
      <c r="DF54">
        <v>55</v>
      </c>
      <c r="DG54" t="s">
        <v>473</v>
      </c>
      <c r="DH54" t="s">
        <v>548</v>
      </c>
      <c r="DI54">
        <v>7</v>
      </c>
      <c r="DJ54" t="s">
        <v>549</v>
      </c>
      <c r="DK54">
        <v>0</v>
      </c>
      <c r="DL54">
        <v>28</v>
      </c>
      <c r="DM54" t="s">
        <v>264</v>
      </c>
      <c r="DN54">
        <v>-9999</v>
      </c>
      <c r="DO54">
        <v>590</v>
      </c>
      <c r="DP54">
        <v>674</v>
      </c>
      <c r="DQ54">
        <v>586</v>
      </c>
      <c r="DR54" t="s">
        <v>270</v>
      </c>
      <c r="DS54">
        <v>0</v>
      </c>
      <c r="DT54">
        <v>55</v>
      </c>
      <c r="DU54" t="s">
        <v>474</v>
      </c>
      <c r="DV54" t="s">
        <v>548</v>
      </c>
      <c r="DW54">
        <v>8</v>
      </c>
      <c r="DX54" t="s">
        <v>549</v>
      </c>
      <c r="DY54">
        <v>53.5</v>
      </c>
      <c r="DZ54">
        <v>22</v>
      </c>
      <c r="EA54" t="s">
        <v>264</v>
      </c>
      <c r="EB54">
        <v>-9999</v>
      </c>
      <c r="EC54">
        <v>129</v>
      </c>
      <c r="ED54">
        <v>157</v>
      </c>
      <c r="EE54">
        <v>127</v>
      </c>
      <c r="EF54" t="s">
        <v>270</v>
      </c>
      <c r="EG54">
        <v>0</v>
      </c>
      <c r="EH54">
        <v>55</v>
      </c>
      <c r="EI54" t="s">
        <v>475</v>
      </c>
      <c r="EJ54" t="s">
        <v>548</v>
      </c>
      <c r="EK54">
        <v>9</v>
      </c>
      <c r="EL54" t="s">
        <v>549</v>
      </c>
      <c r="EM54">
        <v>0</v>
      </c>
      <c r="EN54">
        <v>2</v>
      </c>
      <c r="EO54" t="s">
        <v>264</v>
      </c>
      <c r="EP54">
        <v>-9999</v>
      </c>
      <c r="EQ54">
        <v>378</v>
      </c>
      <c r="ER54">
        <v>359</v>
      </c>
      <c r="ES54">
        <v>334</v>
      </c>
      <c r="ET54" t="s">
        <v>270</v>
      </c>
      <c r="EU54">
        <v>0</v>
      </c>
      <c r="EV54">
        <v>55</v>
      </c>
      <c r="EW54" t="s">
        <v>551</v>
      </c>
      <c r="EX54" t="s">
        <v>552</v>
      </c>
      <c r="EY54">
        <v>176</v>
      </c>
      <c r="EZ54">
        <v>176</v>
      </c>
      <c r="FA54">
        <v>177</v>
      </c>
      <c r="FB54" t="s">
        <v>270</v>
      </c>
      <c r="FC54" t="s">
        <v>553</v>
      </c>
      <c r="FD54" t="s">
        <v>552</v>
      </c>
      <c r="FE54">
        <v>305</v>
      </c>
      <c r="FF54">
        <v>303</v>
      </c>
      <c r="FG54">
        <v>303</v>
      </c>
      <c r="FH54" t="s">
        <v>270</v>
      </c>
      <c r="FI54" t="s">
        <v>554</v>
      </c>
      <c r="FJ54" t="s">
        <v>555</v>
      </c>
      <c r="FK54">
        <v>0</v>
      </c>
      <c r="FL54">
        <v>0</v>
      </c>
      <c r="FM54">
        <v>0</v>
      </c>
      <c r="FN54" t="s">
        <v>264</v>
      </c>
      <c r="FQ54" t="s">
        <v>556</v>
      </c>
      <c r="FR54" t="s">
        <v>555</v>
      </c>
      <c r="FS54">
        <v>0</v>
      </c>
      <c r="FT54">
        <v>0</v>
      </c>
      <c r="FU54">
        <v>0</v>
      </c>
      <c r="FV54" t="s">
        <v>264</v>
      </c>
      <c r="FY54" t="s">
        <v>557</v>
      </c>
      <c r="FZ54" t="s">
        <v>555</v>
      </c>
      <c r="GA54">
        <v>0</v>
      </c>
      <c r="GB54">
        <v>0</v>
      </c>
      <c r="GC54">
        <v>0</v>
      </c>
      <c r="GD54" t="s">
        <v>264</v>
      </c>
      <c r="GG54" t="s">
        <v>558</v>
      </c>
      <c r="GH54" t="s">
        <v>555</v>
      </c>
      <c r="GI54">
        <v>0</v>
      </c>
      <c r="GJ54">
        <v>0</v>
      </c>
      <c r="GK54">
        <v>0</v>
      </c>
      <c r="GL54" t="s">
        <v>264</v>
      </c>
      <c r="GO54" t="s">
        <v>559</v>
      </c>
      <c r="GP54" t="s">
        <v>555</v>
      </c>
      <c r="GQ54">
        <v>0</v>
      </c>
      <c r="GR54">
        <v>0</v>
      </c>
      <c r="GS54">
        <v>0</v>
      </c>
      <c r="GT54" t="s">
        <v>264</v>
      </c>
      <c r="GW54" t="s">
        <v>560</v>
      </c>
      <c r="GX54" t="s">
        <v>555</v>
      </c>
      <c r="GY54">
        <v>0</v>
      </c>
      <c r="GZ54">
        <v>0</v>
      </c>
      <c r="HA54">
        <v>0</v>
      </c>
      <c r="HB54" t="s">
        <v>264</v>
      </c>
      <c r="HE54" t="s">
        <v>561</v>
      </c>
      <c r="HF54" t="s">
        <v>555</v>
      </c>
      <c r="HG54">
        <v>0</v>
      </c>
      <c r="HH54">
        <v>0</v>
      </c>
      <c r="HI54">
        <v>0</v>
      </c>
      <c r="HJ54" t="s">
        <v>264</v>
      </c>
      <c r="HM54" t="s">
        <v>562</v>
      </c>
      <c r="HN54" t="s">
        <v>555</v>
      </c>
      <c r="HO54">
        <v>0</v>
      </c>
      <c r="HP54">
        <v>0</v>
      </c>
      <c r="HQ54">
        <v>0</v>
      </c>
      <c r="HR54" t="s">
        <v>264</v>
      </c>
      <c r="HU54" t="s">
        <v>563</v>
      </c>
      <c r="HV54" t="s">
        <v>555</v>
      </c>
      <c r="HW54">
        <v>0</v>
      </c>
      <c r="HX54">
        <v>0</v>
      </c>
      <c r="HY54">
        <v>0</v>
      </c>
      <c r="HZ54" t="s">
        <v>264</v>
      </c>
      <c r="IC54" t="s">
        <v>564</v>
      </c>
      <c r="ID54" t="s">
        <v>555</v>
      </c>
      <c r="IE54">
        <v>0</v>
      </c>
      <c r="IF54">
        <v>0</v>
      </c>
      <c r="IG54">
        <v>0</v>
      </c>
      <c r="IH54" t="s">
        <v>264</v>
      </c>
      <c r="IK54" t="s">
        <v>565</v>
      </c>
      <c r="IL54" t="s">
        <v>555</v>
      </c>
      <c r="IM54">
        <v>0</v>
      </c>
      <c r="IN54">
        <v>0</v>
      </c>
      <c r="IO54">
        <v>0</v>
      </c>
      <c r="IP54" t="s">
        <v>264</v>
      </c>
      <c r="IS54" t="s">
        <v>566</v>
      </c>
      <c r="IT54" t="s">
        <v>555</v>
      </c>
      <c r="IU54">
        <v>0</v>
      </c>
      <c r="IV54">
        <v>0</v>
      </c>
      <c r="IW54">
        <v>0</v>
      </c>
      <c r="IX54" t="s">
        <v>264</v>
      </c>
      <c r="JA54" t="s">
        <v>567</v>
      </c>
      <c r="JB54" t="s">
        <v>555</v>
      </c>
      <c r="JC54">
        <v>0</v>
      </c>
      <c r="JD54">
        <v>0</v>
      </c>
      <c r="JE54">
        <v>0</v>
      </c>
      <c r="JF54" t="s">
        <v>264</v>
      </c>
      <c r="JI54" t="s">
        <v>568</v>
      </c>
      <c r="JJ54" t="s">
        <v>555</v>
      </c>
      <c r="JK54">
        <v>0</v>
      </c>
      <c r="JL54">
        <v>0</v>
      </c>
      <c r="JM54">
        <v>0</v>
      </c>
      <c r="JN54" t="s">
        <v>264</v>
      </c>
      <c r="JQ54" t="s">
        <v>569</v>
      </c>
      <c r="JR54" t="s">
        <v>555</v>
      </c>
      <c r="JS54">
        <v>0</v>
      </c>
      <c r="JT54">
        <v>0</v>
      </c>
      <c r="JU54">
        <v>0</v>
      </c>
      <c r="JV54" t="s">
        <v>264</v>
      </c>
      <c r="JY54" t="s">
        <v>570</v>
      </c>
      <c r="JZ54" t="s">
        <v>555</v>
      </c>
      <c r="KA54">
        <v>0</v>
      </c>
      <c r="KB54">
        <v>0</v>
      </c>
      <c r="KC54">
        <v>0</v>
      </c>
      <c r="KD54" t="s">
        <v>264</v>
      </c>
      <c r="KG54" t="s">
        <v>571</v>
      </c>
      <c r="KH54" t="s">
        <v>555</v>
      </c>
      <c r="KI54">
        <v>0</v>
      </c>
      <c r="KJ54">
        <v>0</v>
      </c>
      <c r="KK54">
        <v>0</v>
      </c>
      <c r="KL54" t="s">
        <v>264</v>
      </c>
      <c r="KO54" t="s">
        <v>572</v>
      </c>
      <c r="KP54" t="s">
        <v>555</v>
      </c>
      <c r="KQ54">
        <v>0</v>
      </c>
      <c r="KR54">
        <v>0</v>
      </c>
      <c r="KS54">
        <v>0</v>
      </c>
      <c r="KT54" t="s">
        <v>264</v>
      </c>
      <c r="KW54" t="s">
        <v>573</v>
      </c>
      <c r="KX54" t="s">
        <v>555</v>
      </c>
      <c r="KY54">
        <v>0</v>
      </c>
      <c r="KZ54">
        <v>0</v>
      </c>
      <c r="LA54">
        <v>0</v>
      </c>
      <c r="LB54" t="s">
        <v>264</v>
      </c>
      <c r="LE54" t="s">
        <v>574</v>
      </c>
      <c r="LF54" t="s">
        <v>555</v>
      </c>
      <c r="LG54">
        <v>0</v>
      </c>
      <c r="LH54">
        <v>0</v>
      </c>
      <c r="LI54">
        <v>0</v>
      </c>
      <c r="LJ54" t="s">
        <v>264</v>
      </c>
      <c r="LM54" t="s">
        <v>575</v>
      </c>
      <c r="LN54" t="s">
        <v>555</v>
      </c>
      <c r="LO54">
        <v>0</v>
      </c>
      <c r="LP54">
        <v>0</v>
      </c>
      <c r="LQ54">
        <v>0</v>
      </c>
      <c r="LR54" t="s">
        <v>264</v>
      </c>
      <c r="LU54" t="s">
        <v>576</v>
      </c>
      <c r="LV54" t="s">
        <v>555</v>
      </c>
      <c r="LW54">
        <v>0</v>
      </c>
      <c r="LX54">
        <v>0</v>
      </c>
      <c r="LY54">
        <v>0</v>
      </c>
      <c r="LZ54" t="s">
        <v>264</v>
      </c>
      <c r="MC54" t="s">
        <v>577</v>
      </c>
      <c r="MD54" t="s">
        <v>555</v>
      </c>
      <c r="ME54">
        <v>0</v>
      </c>
      <c r="MF54">
        <v>0</v>
      </c>
      <c r="MG54">
        <v>0</v>
      </c>
      <c r="MH54" t="s">
        <v>264</v>
      </c>
      <c r="MK54" t="s">
        <v>578</v>
      </c>
      <c r="ML54" t="s">
        <v>555</v>
      </c>
      <c r="MM54">
        <v>0</v>
      </c>
      <c r="MN54">
        <v>0</v>
      </c>
      <c r="MO54">
        <v>0</v>
      </c>
      <c r="MP54" t="s">
        <v>264</v>
      </c>
      <c r="MS54" t="s">
        <v>579</v>
      </c>
      <c r="MT54" t="s">
        <v>555</v>
      </c>
      <c r="MU54">
        <v>0</v>
      </c>
      <c r="MV54">
        <v>0</v>
      </c>
      <c r="MW54">
        <v>0</v>
      </c>
      <c r="MX54" t="s">
        <v>264</v>
      </c>
      <c r="NA54" t="s">
        <v>580</v>
      </c>
      <c r="NB54" t="s">
        <v>555</v>
      </c>
      <c r="NC54">
        <v>0</v>
      </c>
      <c r="ND54">
        <v>0</v>
      </c>
      <c r="NE54">
        <v>0</v>
      </c>
      <c r="NF54" t="s">
        <v>264</v>
      </c>
      <c r="NI54">
        <v>40</v>
      </c>
      <c r="NJ54">
        <v>-8.6999999999999993</v>
      </c>
      <c r="NP54" t="s">
        <v>624</v>
      </c>
    </row>
    <row r="55" spans="1:380" customFormat="1" x14ac:dyDescent="0.2">
      <c r="A55" t="s">
        <v>517</v>
      </c>
      <c r="B55">
        <v>1</v>
      </c>
      <c r="C55" t="s">
        <v>709</v>
      </c>
      <c r="D55">
        <v>646962066</v>
      </c>
      <c r="E55">
        <v>12602</v>
      </c>
      <c r="F55" t="s">
        <v>542</v>
      </c>
      <c r="G55">
        <v>847922</v>
      </c>
      <c r="H55">
        <v>210069957</v>
      </c>
      <c r="I55" t="s">
        <v>622</v>
      </c>
      <c r="J55" t="s">
        <v>710</v>
      </c>
      <c r="K55" t="s">
        <v>545</v>
      </c>
      <c r="L55" t="s">
        <v>294</v>
      </c>
      <c r="M55" t="s">
        <v>546</v>
      </c>
      <c r="N55" t="s">
        <v>468</v>
      </c>
      <c r="O55" t="s">
        <v>547</v>
      </c>
      <c r="P55" t="s">
        <v>270</v>
      </c>
      <c r="Q55">
        <v>26.6</v>
      </c>
      <c r="R55">
        <v>236</v>
      </c>
      <c r="S55" t="s">
        <v>270</v>
      </c>
      <c r="T55">
        <v>-9999</v>
      </c>
      <c r="U55">
        <v>654</v>
      </c>
      <c r="V55">
        <v>677</v>
      </c>
      <c r="W55">
        <v>645</v>
      </c>
      <c r="X55" t="s">
        <v>270</v>
      </c>
      <c r="Y55">
        <v>0</v>
      </c>
      <c r="Z55">
        <v>55</v>
      </c>
      <c r="AA55" t="s">
        <v>469</v>
      </c>
      <c r="AB55" t="s">
        <v>548</v>
      </c>
      <c r="AC55">
        <v>1</v>
      </c>
      <c r="AD55" t="s">
        <v>549</v>
      </c>
      <c r="AE55">
        <v>0</v>
      </c>
      <c r="AF55">
        <v>32</v>
      </c>
      <c r="AG55" t="s">
        <v>264</v>
      </c>
      <c r="AH55">
        <v>-9999</v>
      </c>
      <c r="AI55">
        <v>490</v>
      </c>
      <c r="AJ55">
        <v>618</v>
      </c>
      <c r="AK55">
        <v>491</v>
      </c>
      <c r="AL55" t="s">
        <v>270</v>
      </c>
      <c r="AM55">
        <v>0</v>
      </c>
      <c r="AN55">
        <v>55</v>
      </c>
      <c r="AO55" t="s">
        <v>470</v>
      </c>
      <c r="AP55" t="s">
        <v>548</v>
      </c>
      <c r="AQ55">
        <v>2</v>
      </c>
      <c r="AR55" t="s">
        <v>549</v>
      </c>
      <c r="AS55">
        <v>0</v>
      </c>
      <c r="AT55">
        <v>34</v>
      </c>
      <c r="AU55" t="s">
        <v>264</v>
      </c>
      <c r="AV55">
        <v>-9999</v>
      </c>
      <c r="AW55">
        <v>439</v>
      </c>
      <c r="AX55">
        <v>465</v>
      </c>
      <c r="AY55">
        <v>438</v>
      </c>
      <c r="AZ55" t="s">
        <v>270</v>
      </c>
      <c r="BA55">
        <v>0</v>
      </c>
      <c r="BB55">
        <v>55</v>
      </c>
      <c r="BC55" t="s">
        <v>550</v>
      </c>
      <c r="BD55" t="s">
        <v>548</v>
      </c>
      <c r="BE55">
        <v>3</v>
      </c>
      <c r="BF55" t="s">
        <v>549</v>
      </c>
      <c r="BG55">
        <v>0</v>
      </c>
      <c r="BH55">
        <v>1</v>
      </c>
      <c r="BI55" t="s">
        <v>264</v>
      </c>
      <c r="BJ55">
        <v>-9999</v>
      </c>
      <c r="BK55">
        <v>248</v>
      </c>
      <c r="BL55">
        <v>298</v>
      </c>
      <c r="BM55">
        <v>243</v>
      </c>
      <c r="BN55" t="s">
        <v>270</v>
      </c>
      <c r="BO55">
        <v>0</v>
      </c>
      <c r="BP55">
        <v>55</v>
      </c>
      <c r="BQ55" t="s">
        <v>504</v>
      </c>
      <c r="BR55" t="s">
        <v>548</v>
      </c>
      <c r="BS55">
        <v>4</v>
      </c>
      <c r="BT55" t="s">
        <v>549</v>
      </c>
      <c r="BU55">
        <v>52.1</v>
      </c>
      <c r="BV55">
        <v>100</v>
      </c>
      <c r="BW55" t="s">
        <v>264</v>
      </c>
      <c r="BX55">
        <v>-9999</v>
      </c>
      <c r="BY55">
        <v>221</v>
      </c>
      <c r="BZ55">
        <v>256</v>
      </c>
      <c r="CA55">
        <v>221</v>
      </c>
      <c r="CB55" t="s">
        <v>270</v>
      </c>
      <c r="CC55">
        <v>0</v>
      </c>
      <c r="CD55">
        <v>55</v>
      </c>
      <c r="CE55" t="s">
        <v>471</v>
      </c>
      <c r="CF55" t="s">
        <v>548</v>
      </c>
      <c r="CG55">
        <v>5</v>
      </c>
      <c r="CH55" t="s">
        <v>549</v>
      </c>
      <c r="CI55">
        <v>51.3</v>
      </c>
      <c r="CJ55">
        <v>220</v>
      </c>
      <c r="CK55" t="s">
        <v>264</v>
      </c>
      <c r="CL55">
        <v>-9999</v>
      </c>
      <c r="CM55">
        <v>532</v>
      </c>
      <c r="CN55">
        <v>621</v>
      </c>
      <c r="CO55">
        <v>532</v>
      </c>
      <c r="CP55" t="s">
        <v>270</v>
      </c>
      <c r="CQ55">
        <v>0</v>
      </c>
      <c r="CR55">
        <v>55</v>
      </c>
      <c r="CS55" t="s">
        <v>472</v>
      </c>
      <c r="CT55" t="s">
        <v>548</v>
      </c>
      <c r="CU55">
        <v>6</v>
      </c>
      <c r="CV55" t="s">
        <v>549</v>
      </c>
      <c r="CW55">
        <v>53.9</v>
      </c>
      <c r="CX55">
        <v>80</v>
      </c>
      <c r="CY55" t="s">
        <v>264</v>
      </c>
      <c r="CZ55">
        <v>-9999</v>
      </c>
      <c r="DA55">
        <v>811</v>
      </c>
      <c r="DB55">
        <v>924</v>
      </c>
      <c r="DC55">
        <v>800</v>
      </c>
      <c r="DD55" t="s">
        <v>270</v>
      </c>
      <c r="DE55">
        <v>0</v>
      </c>
      <c r="DF55">
        <v>55</v>
      </c>
      <c r="DG55" t="s">
        <v>473</v>
      </c>
      <c r="DH55" t="s">
        <v>548</v>
      </c>
      <c r="DI55">
        <v>7</v>
      </c>
      <c r="DJ55" t="s">
        <v>549</v>
      </c>
      <c r="DK55">
        <v>0</v>
      </c>
      <c r="DL55">
        <v>37</v>
      </c>
      <c r="DM55" t="s">
        <v>264</v>
      </c>
      <c r="DN55">
        <v>-9999</v>
      </c>
      <c r="DO55">
        <v>599</v>
      </c>
      <c r="DP55">
        <v>687</v>
      </c>
      <c r="DQ55">
        <v>596</v>
      </c>
      <c r="DR55" t="s">
        <v>270</v>
      </c>
      <c r="DS55">
        <v>0</v>
      </c>
      <c r="DT55">
        <v>55</v>
      </c>
      <c r="DU55" t="s">
        <v>474</v>
      </c>
      <c r="DV55" t="s">
        <v>548</v>
      </c>
      <c r="DW55">
        <v>8</v>
      </c>
      <c r="DX55" t="s">
        <v>549</v>
      </c>
      <c r="DY55">
        <v>0</v>
      </c>
      <c r="DZ55">
        <v>18</v>
      </c>
      <c r="EA55" t="s">
        <v>264</v>
      </c>
      <c r="EB55">
        <v>-9999</v>
      </c>
      <c r="EC55">
        <v>129</v>
      </c>
      <c r="ED55">
        <v>157</v>
      </c>
      <c r="EE55">
        <v>128</v>
      </c>
      <c r="EF55" t="s">
        <v>270</v>
      </c>
      <c r="EG55">
        <v>0</v>
      </c>
      <c r="EH55">
        <v>55</v>
      </c>
      <c r="EI55" t="s">
        <v>475</v>
      </c>
      <c r="EJ55" t="s">
        <v>548</v>
      </c>
      <c r="EK55">
        <v>9</v>
      </c>
      <c r="EL55" t="s">
        <v>549</v>
      </c>
      <c r="EM55">
        <v>0</v>
      </c>
      <c r="EN55">
        <v>3</v>
      </c>
      <c r="EO55" t="s">
        <v>264</v>
      </c>
      <c r="EP55">
        <v>-9999</v>
      </c>
      <c r="EQ55">
        <v>312</v>
      </c>
      <c r="ER55">
        <v>280</v>
      </c>
      <c r="ES55">
        <v>261</v>
      </c>
      <c r="ET55" t="s">
        <v>270</v>
      </c>
      <c r="EU55">
        <v>0</v>
      </c>
      <c r="EV55">
        <v>55</v>
      </c>
      <c r="EW55" t="s">
        <v>551</v>
      </c>
      <c r="EX55" t="s">
        <v>552</v>
      </c>
      <c r="EY55">
        <v>152</v>
      </c>
      <c r="EZ55">
        <v>153</v>
      </c>
      <c r="FA55">
        <v>152</v>
      </c>
      <c r="FB55" t="s">
        <v>270</v>
      </c>
      <c r="FC55" t="s">
        <v>553</v>
      </c>
      <c r="FD55" t="s">
        <v>552</v>
      </c>
      <c r="FE55">
        <v>330</v>
      </c>
      <c r="FF55">
        <v>328</v>
      </c>
      <c r="FG55">
        <v>328</v>
      </c>
      <c r="FH55" t="s">
        <v>270</v>
      </c>
      <c r="FI55" t="s">
        <v>554</v>
      </c>
      <c r="FJ55" t="s">
        <v>555</v>
      </c>
      <c r="FK55">
        <v>0</v>
      </c>
      <c r="FL55">
        <v>0</v>
      </c>
      <c r="FM55">
        <v>0</v>
      </c>
      <c r="FN55" t="s">
        <v>264</v>
      </c>
      <c r="FQ55" t="s">
        <v>556</v>
      </c>
      <c r="FR55" t="s">
        <v>555</v>
      </c>
      <c r="FS55">
        <v>0</v>
      </c>
      <c r="FT55">
        <v>0</v>
      </c>
      <c r="FU55">
        <v>0</v>
      </c>
      <c r="FV55" t="s">
        <v>264</v>
      </c>
      <c r="FY55" t="s">
        <v>557</v>
      </c>
      <c r="FZ55" t="s">
        <v>555</v>
      </c>
      <c r="GA55">
        <v>0</v>
      </c>
      <c r="GB55">
        <v>0</v>
      </c>
      <c r="GC55">
        <v>0</v>
      </c>
      <c r="GD55" t="s">
        <v>264</v>
      </c>
      <c r="GG55" t="s">
        <v>558</v>
      </c>
      <c r="GH55" t="s">
        <v>555</v>
      </c>
      <c r="GI55">
        <v>0</v>
      </c>
      <c r="GJ55">
        <v>0</v>
      </c>
      <c r="GK55">
        <v>0</v>
      </c>
      <c r="GL55" t="s">
        <v>264</v>
      </c>
      <c r="GO55" t="s">
        <v>559</v>
      </c>
      <c r="GP55" t="s">
        <v>555</v>
      </c>
      <c r="GQ55">
        <v>0</v>
      </c>
      <c r="GR55">
        <v>0</v>
      </c>
      <c r="GS55">
        <v>0</v>
      </c>
      <c r="GT55" t="s">
        <v>264</v>
      </c>
      <c r="GW55" t="s">
        <v>560</v>
      </c>
      <c r="GX55" t="s">
        <v>555</v>
      </c>
      <c r="GY55">
        <v>0</v>
      </c>
      <c r="GZ55">
        <v>0</v>
      </c>
      <c r="HA55">
        <v>0</v>
      </c>
      <c r="HB55" t="s">
        <v>264</v>
      </c>
      <c r="HE55" t="s">
        <v>561</v>
      </c>
      <c r="HF55" t="s">
        <v>555</v>
      </c>
      <c r="HG55">
        <v>0</v>
      </c>
      <c r="HH55">
        <v>0</v>
      </c>
      <c r="HI55">
        <v>0</v>
      </c>
      <c r="HJ55" t="s">
        <v>264</v>
      </c>
      <c r="HM55" t="s">
        <v>562</v>
      </c>
      <c r="HN55" t="s">
        <v>555</v>
      </c>
      <c r="HO55">
        <v>0</v>
      </c>
      <c r="HP55">
        <v>0</v>
      </c>
      <c r="HQ55">
        <v>0</v>
      </c>
      <c r="HR55" t="s">
        <v>264</v>
      </c>
      <c r="HU55" t="s">
        <v>563</v>
      </c>
      <c r="HV55" t="s">
        <v>555</v>
      </c>
      <c r="HW55">
        <v>0</v>
      </c>
      <c r="HX55">
        <v>0</v>
      </c>
      <c r="HY55">
        <v>0</v>
      </c>
      <c r="HZ55" t="s">
        <v>264</v>
      </c>
      <c r="IC55" t="s">
        <v>564</v>
      </c>
      <c r="ID55" t="s">
        <v>555</v>
      </c>
      <c r="IE55">
        <v>0</v>
      </c>
      <c r="IF55">
        <v>0</v>
      </c>
      <c r="IG55">
        <v>0</v>
      </c>
      <c r="IH55" t="s">
        <v>264</v>
      </c>
      <c r="IK55" t="s">
        <v>565</v>
      </c>
      <c r="IL55" t="s">
        <v>555</v>
      </c>
      <c r="IM55">
        <v>0</v>
      </c>
      <c r="IN55">
        <v>0</v>
      </c>
      <c r="IO55">
        <v>0</v>
      </c>
      <c r="IP55" t="s">
        <v>264</v>
      </c>
      <c r="IS55" t="s">
        <v>566</v>
      </c>
      <c r="IT55" t="s">
        <v>555</v>
      </c>
      <c r="IU55">
        <v>0</v>
      </c>
      <c r="IV55">
        <v>0</v>
      </c>
      <c r="IW55">
        <v>0</v>
      </c>
      <c r="IX55" t="s">
        <v>264</v>
      </c>
      <c r="JA55" t="s">
        <v>567</v>
      </c>
      <c r="JB55" t="s">
        <v>555</v>
      </c>
      <c r="JC55">
        <v>0</v>
      </c>
      <c r="JD55">
        <v>0</v>
      </c>
      <c r="JE55">
        <v>0</v>
      </c>
      <c r="JF55" t="s">
        <v>264</v>
      </c>
      <c r="JI55" t="s">
        <v>568</v>
      </c>
      <c r="JJ55" t="s">
        <v>555</v>
      </c>
      <c r="JK55">
        <v>0</v>
      </c>
      <c r="JL55">
        <v>0</v>
      </c>
      <c r="JM55">
        <v>0</v>
      </c>
      <c r="JN55" t="s">
        <v>264</v>
      </c>
      <c r="JQ55" t="s">
        <v>569</v>
      </c>
      <c r="JR55" t="s">
        <v>555</v>
      </c>
      <c r="JS55">
        <v>0</v>
      </c>
      <c r="JT55">
        <v>0</v>
      </c>
      <c r="JU55">
        <v>0</v>
      </c>
      <c r="JV55" t="s">
        <v>264</v>
      </c>
      <c r="JY55" t="s">
        <v>570</v>
      </c>
      <c r="JZ55" t="s">
        <v>555</v>
      </c>
      <c r="KA55">
        <v>0</v>
      </c>
      <c r="KB55">
        <v>0</v>
      </c>
      <c r="KC55">
        <v>0</v>
      </c>
      <c r="KD55" t="s">
        <v>264</v>
      </c>
      <c r="KG55" t="s">
        <v>571</v>
      </c>
      <c r="KH55" t="s">
        <v>555</v>
      </c>
      <c r="KI55">
        <v>0</v>
      </c>
      <c r="KJ55">
        <v>0</v>
      </c>
      <c r="KK55">
        <v>0</v>
      </c>
      <c r="KL55" t="s">
        <v>264</v>
      </c>
      <c r="KO55" t="s">
        <v>572</v>
      </c>
      <c r="KP55" t="s">
        <v>555</v>
      </c>
      <c r="KQ55">
        <v>0</v>
      </c>
      <c r="KR55">
        <v>0</v>
      </c>
      <c r="KS55">
        <v>0</v>
      </c>
      <c r="KT55" t="s">
        <v>264</v>
      </c>
      <c r="KW55" t="s">
        <v>573</v>
      </c>
      <c r="KX55" t="s">
        <v>555</v>
      </c>
      <c r="KY55">
        <v>0</v>
      </c>
      <c r="KZ55">
        <v>0</v>
      </c>
      <c r="LA55">
        <v>0</v>
      </c>
      <c r="LB55" t="s">
        <v>264</v>
      </c>
      <c r="LE55" t="s">
        <v>574</v>
      </c>
      <c r="LF55" t="s">
        <v>555</v>
      </c>
      <c r="LG55">
        <v>0</v>
      </c>
      <c r="LH55">
        <v>0</v>
      </c>
      <c r="LI55">
        <v>0</v>
      </c>
      <c r="LJ55" t="s">
        <v>264</v>
      </c>
      <c r="LM55" t="s">
        <v>575</v>
      </c>
      <c r="LN55" t="s">
        <v>555</v>
      </c>
      <c r="LO55">
        <v>0</v>
      </c>
      <c r="LP55">
        <v>0</v>
      </c>
      <c r="LQ55">
        <v>0</v>
      </c>
      <c r="LR55" t="s">
        <v>264</v>
      </c>
      <c r="LU55" t="s">
        <v>576</v>
      </c>
      <c r="LV55" t="s">
        <v>555</v>
      </c>
      <c r="LW55">
        <v>0</v>
      </c>
      <c r="LX55">
        <v>0</v>
      </c>
      <c r="LY55">
        <v>0</v>
      </c>
      <c r="LZ55" t="s">
        <v>264</v>
      </c>
      <c r="MC55" t="s">
        <v>577</v>
      </c>
      <c r="MD55" t="s">
        <v>555</v>
      </c>
      <c r="ME55">
        <v>0</v>
      </c>
      <c r="MF55">
        <v>0</v>
      </c>
      <c r="MG55">
        <v>0</v>
      </c>
      <c r="MH55" t="s">
        <v>264</v>
      </c>
      <c r="MK55" t="s">
        <v>578</v>
      </c>
      <c r="ML55" t="s">
        <v>555</v>
      </c>
      <c r="MM55">
        <v>0</v>
      </c>
      <c r="MN55">
        <v>0</v>
      </c>
      <c r="MO55">
        <v>0</v>
      </c>
      <c r="MP55" t="s">
        <v>264</v>
      </c>
      <c r="MS55" t="s">
        <v>579</v>
      </c>
      <c r="MT55" t="s">
        <v>555</v>
      </c>
      <c r="MU55">
        <v>0</v>
      </c>
      <c r="MV55">
        <v>0</v>
      </c>
      <c r="MW55">
        <v>0</v>
      </c>
      <c r="MX55" t="s">
        <v>264</v>
      </c>
      <c r="NA55" t="s">
        <v>580</v>
      </c>
      <c r="NB55" t="s">
        <v>555</v>
      </c>
      <c r="NC55">
        <v>0</v>
      </c>
      <c r="ND55">
        <v>0</v>
      </c>
      <c r="NE55">
        <v>0</v>
      </c>
      <c r="NF55" t="s">
        <v>264</v>
      </c>
      <c r="NI55">
        <v>40</v>
      </c>
      <c r="NJ55">
        <v>-7.9</v>
      </c>
      <c r="NP55" t="s">
        <v>624</v>
      </c>
    </row>
    <row r="56" spans="1:380" customFormat="1" x14ac:dyDescent="0.2">
      <c r="A56" t="s">
        <v>517</v>
      </c>
      <c r="B56">
        <v>1</v>
      </c>
      <c r="C56" t="s">
        <v>711</v>
      </c>
      <c r="D56">
        <v>646962324</v>
      </c>
      <c r="E56">
        <v>12602</v>
      </c>
      <c r="F56" t="s">
        <v>542</v>
      </c>
      <c r="G56">
        <v>847922</v>
      </c>
      <c r="H56">
        <v>210077020</v>
      </c>
      <c r="I56" t="s">
        <v>622</v>
      </c>
      <c r="J56" t="s">
        <v>712</v>
      </c>
      <c r="K56" t="s">
        <v>545</v>
      </c>
      <c r="L56" t="s">
        <v>294</v>
      </c>
      <c r="M56" t="s">
        <v>546</v>
      </c>
      <c r="N56" t="s">
        <v>468</v>
      </c>
      <c r="O56" t="s">
        <v>547</v>
      </c>
      <c r="P56" t="s">
        <v>270</v>
      </c>
      <c r="Q56">
        <v>29.2</v>
      </c>
      <c r="R56">
        <v>248</v>
      </c>
      <c r="S56" t="s">
        <v>270</v>
      </c>
      <c r="T56">
        <v>-9999</v>
      </c>
      <c r="U56">
        <v>648</v>
      </c>
      <c r="V56">
        <v>669</v>
      </c>
      <c r="W56">
        <v>637</v>
      </c>
      <c r="X56" t="s">
        <v>270</v>
      </c>
      <c r="Y56">
        <v>0</v>
      </c>
      <c r="Z56">
        <v>55</v>
      </c>
      <c r="AA56" t="s">
        <v>469</v>
      </c>
      <c r="AB56" t="s">
        <v>548</v>
      </c>
      <c r="AC56">
        <v>1</v>
      </c>
      <c r="AD56" t="s">
        <v>549</v>
      </c>
      <c r="AE56">
        <v>0</v>
      </c>
      <c r="AF56">
        <v>24</v>
      </c>
      <c r="AG56" t="s">
        <v>264</v>
      </c>
      <c r="AH56">
        <v>-9999</v>
      </c>
      <c r="AI56">
        <v>509</v>
      </c>
      <c r="AJ56">
        <v>628</v>
      </c>
      <c r="AK56">
        <v>504</v>
      </c>
      <c r="AL56" t="s">
        <v>270</v>
      </c>
      <c r="AM56">
        <v>0</v>
      </c>
      <c r="AN56">
        <v>55</v>
      </c>
      <c r="AO56" t="s">
        <v>470</v>
      </c>
      <c r="AP56" t="s">
        <v>548</v>
      </c>
      <c r="AQ56">
        <v>2</v>
      </c>
      <c r="AR56" t="s">
        <v>549</v>
      </c>
      <c r="AS56">
        <v>54.3</v>
      </c>
      <c r="AT56">
        <v>51</v>
      </c>
      <c r="AU56" t="s">
        <v>264</v>
      </c>
      <c r="AV56">
        <v>-9999</v>
      </c>
      <c r="AW56">
        <v>384</v>
      </c>
      <c r="AX56">
        <v>404</v>
      </c>
      <c r="AY56">
        <v>383</v>
      </c>
      <c r="AZ56" t="s">
        <v>270</v>
      </c>
      <c r="BA56">
        <v>0</v>
      </c>
      <c r="BB56">
        <v>55</v>
      </c>
      <c r="BC56" t="s">
        <v>550</v>
      </c>
      <c r="BD56" t="s">
        <v>548</v>
      </c>
      <c r="BE56">
        <v>3</v>
      </c>
      <c r="BF56" t="s">
        <v>549</v>
      </c>
      <c r="BG56">
        <v>0</v>
      </c>
      <c r="BH56">
        <v>10</v>
      </c>
      <c r="BI56" t="s">
        <v>264</v>
      </c>
      <c r="BJ56">
        <v>-9999</v>
      </c>
      <c r="BK56">
        <v>116</v>
      </c>
      <c r="BL56">
        <v>150</v>
      </c>
      <c r="BM56">
        <v>119</v>
      </c>
      <c r="BN56" t="s">
        <v>270</v>
      </c>
      <c r="BO56">
        <v>0</v>
      </c>
      <c r="BP56">
        <v>55</v>
      </c>
      <c r="BQ56" t="s">
        <v>504</v>
      </c>
      <c r="BR56" t="s">
        <v>548</v>
      </c>
      <c r="BS56">
        <v>4</v>
      </c>
      <c r="BT56" t="s">
        <v>549</v>
      </c>
      <c r="BU56">
        <v>52.1</v>
      </c>
      <c r="BV56">
        <v>89</v>
      </c>
      <c r="BW56" t="s">
        <v>264</v>
      </c>
      <c r="BX56">
        <v>-9999</v>
      </c>
      <c r="BY56">
        <v>221</v>
      </c>
      <c r="BZ56">
        <v>255</v>
      </c>
      <c r="CA56">
        <v>219</v>
      </c>
      <c r="CB56" t="s">
        <v>270</v>
      </c>
      <c r="CC56">
        <v>0</v>
      </c>
      <c r="CD56">
        <v>55</v>
      </c>
      <c r="CE56" t="s">
        <v>471</v>
      </c>
      <c r="CF56" t="s">
        <v>548</v>
      </c>
      <c r="CG56">
        <v>5</v>
      </c>
      <c r="CH56" t="s">
        <v>549</v>
      </c>
      <c r="CI56">
        <v>51.2</v>
      </c>
      <c r="CJ56">
        <v>199</v>
      </c>
      <c r="CK56" t="s">
        <v>264</v>
      </c>
      <c r="CL56">
        <v>-9999</v>
      </c>
      <c r="CM56">
        <v>545</v>
      </c>
      <c r="CN56">
        <v>638</v>
      </c>
      <c r="CO56">
        <v>545</v>
      </c>
      <c r="CP56" t="s">
        <v>270</v>
      </c>
      <c r="CQ56">
        <v>0</v>
      </c>
      <c r="CR56">
        <v>55</v>
      </c>
      <c r="CS56" t="s">
        <v>472</v>
      </c>
      <c r="CT56" t="s">
        <v>548</v>
      </c>
      <c r="CU56">
        <v>6</v>
      </c>
      <c r="CV56" t="s">
        <v>549</v>
      </c>
      <c r="CW56">
        <v>52.7</v>
      </c>
      <c r="CX56">
        <v>113</v>
      </c>
      <c r="CY56" t="s">
        <v>264</v>
      </c>
      <c r="CZ56">
        <v>-9999</v>
      </c>
      <c r="DA56">
        <v>722</v>
      </c>
      <c r="DB56">
        <v>819</v>
      </c>
      <c r="DC56">
        <v>710</v>
      </c>
      <c r="DD56" t="s">
        <v>270</v>
      </c>
      <c r="DE56">
        <v>0</v>
      </c>
      <c r="DF56">
        <v>55</v>
      </c>
      <c r="DG56" t="s">
        <v>473</v>
      </c>
      <c r="DH56" t="s">
        <v>548</v>
      </c>
      <c r="DI56">
        <v>7</v>
      </c>
      <c r="DJ56" t="s">
        <v>549</v>
      </c>
      <c r="DK56">
        <v>0</v>
      </c>
      <c r="DL56">
        <v>35</v>
      </c>
      <c r="DM56" t="s">
        <v>264</v>
      </c>
      <c r="DN56">
        <v>-9999</v>
      </c>
      <c r="DO56">
        <v>544</v>
      </c>
      <c r="DP56">
        <v>623</v>
      </c>
      <c r="DQ56">
        <v>540</v>
      </c>
      <c r="DR56" t="s">
        <v>270</v>
      </c>
      <c r="DS56">
        <v>0</v>
      </c>
      <c r="DT56">
        <v>55</v>
      </c>
      <c r="DU56" t="s">
        <v>474</v>
      </c>
      <c r="DV56" t="s">
        <v>548</v>
      </c>
      <c r="DW56">
        <v>8</v>
      </c>
      <c r="DX56" t="s">
        <v>549</v>
      </c>
      <c r="DY56">
        <v>51</v>
      </c>
      <c r="DZ56">
        <v>29</v>
      </c>
      <c r="EA56" t="s">
        <v>264</v>
      </c>
      <c r="EB56">
        <v>-9999</v>
      </c>
      <c r="EC56">
        <v>116</v>
      </c>
      <c r="ED56">
        <v>141</v>
      </c>
      <c r="EE56">
        <v>114</v>
      </c>
      <c r="EF56" t="s">
        <v>270</v>
      </c>
      <c r="EG56">
        <v>0</v>
      </c>
      <c r="EH56">
        <v>55</v>
      </c>
      <c r="EI56" t="s">
        <v>475</v>
      </c>
      <c r="EJ56" t="s">
        <v>548</v>
      </c>
      <c r="EK56">
        <v>9</v>
      </c>
      <c r="EL56" t="s">
        <v>549</v>
      </c>
      <c r="EM56">
        <v>0</v>
      </c>
      <c r="EN56">
        <v>-4</v>
      </c>
      <c r="EO56" t="s">
        <v>264</v>
      </c>
      <c r="EP56">
        <v>-9999</v>
      </c>
      <c r="EQ56">
        <v>342</v>
      </c>
      <c r="ER56">
        <v>320</v>
      </c>
      <c r="ES56">
        <v>296</v>
      </c>
      <c r="ET56" t="s">
        <v>270</v>
      </c>
      <c r="EU56">
        <v>0</v>
      </c>
      <c r="EV56">
        <v>55</v>
      </c>
      <c r="EW56" t="s">
        <v>551</v>
      </c>
      <c r="EX56" t="s">
        <v>552</v>
      </c>
      <c r="EY56">
        <v>151</v>
      </c>
      <c r="EZ56">
        <v>152</v>
      </c>
      <c r="FA56">
        <v>152</v>
      </c>
      <c r="FB56" t="s">
        <v>270</v>
      </c>
      <c r="FC56" t="s">
        <v>553</v>
      </c>
      <c r="FD56" t="s">
        <v>552</v>
      </c>
      <c r="FE56">
        <v>258</v>
      </c>
      <c r="FF56">
        <v>256</v>
      </c>
      <c r="FG56">
        <v>256</v>
      </c>
      <c r="FH56" t="s">
        <v>270</v>
      </c>
      <c r="FI56" t="s">
        <v>554</v>
      </c>
      <c r="FJ56" t="s">
        <v>555</v>
      </c>
      <c r="FK56">
        <v>0</v>
      </c>
      <c r="FL56">
        <v>0</v>
      </c>
      <c r="FM56">
        <v>0</v>
      </c>
      <c r="FN56" t="s">
        <v>264</v>
      </c>
      <c r="FQ56" t="s">
        <v>556</v>
      </c>
      <c r="FR56" t="s">
        <v>555</v>
      </c>
      <c r="FS56">
        <v>0</v>
      </c>
      <c r="FT56">
        <v>0</v>
      </c>
      <c r="FU56">
        <v>0</v>
      </c>
      <c r="FV56" t="s">
        <v>264</v>
      </c>
      <c r="FY56" t="s">
        <v>557</v>
      </c>
      <c r="FZ56" t="s">
        <v>555</v>
      </c>
      <c r="GA56">
        <v>0</v>
      </c>
      <c r="GB56">
        <v>0</v>
      </c>
      <c r="GC56">
        <v>0</v>
      </c>
      <c r="GD56" t="s">
        <v>264</v>
      </c>
      <c r="GG56" t="s">
        <v>558</v>
      </c>
      <c r="GH56" t="s">
        <v>555</v>
      </c>
      <c r="GI56">
        <v>0</v>
      </c>
      <c r="GJ56">
        <v>0</v>
      </c>
      <c r="GK56">
        <v>0</v>
      </c>
      <c r="GL56" t="s">
        <v>264</v>
      </c>
      <c r="GO56" t="s">
        <v>559</v>
      </c>
      <c r="GP56" t="s">
        <v>555</v>
      </c>
      <c r="GQ56">
        <v>0</v>
      </c>
      <c r="GR56">
        <v>0</v>
      </c>
      <c r="GS56">
        <v>0</v>
      </c>
      <c r="GT56" t="s">
        <v>264</v>
      </c>
      <c r="GW56" t="s">
        <v>560</v>
      </c>
      <c r="GX56" t="s">
        <v>555</v>
      </c>
      <c r="GY56">
        <v>0</v>
      </c>
      <c r="GZ56">
        <v>0</v>
      </c>
      <c r="HA56">
        <v>0</v>
      </c>
      <c r="HB56" t="s">
        <v>264</v>
      </c>
      <c r="HE56" t="s">
        <v>561</v>
      </c>
      <c r="HF56" t="s">
        <v>555</v>
      </c>
      <c r="HG56">
        <v>0</v>
      </c>
      <c r="HH56">
        <v>0</v>
      </c>
      <c r="HI56">
        <v>0</v>
      </c>
      <c r="HJ56" t="s">
        <v>264</v>
      </c>
      <c r="HM56" t="s">
        <v>562</v>
      </c>
      <c r="HN56" t="s">
        <v>555</v>
      </c>
      <c r="HO56">
        <v>0</v>
      </c>
      <c r="HP56">
        <v>0</v>
      </c>
      <c r="HQ56">
        <v>0</v>
      </c>
      <c r="HR56" t="s">
        <v>264</v>
      </c>
      <c r="HU56" t="s">
        <v>563</v>
      </c>
      <c r="HV56" t="s">
        <v>555</v>
      </c>
      <c r="HW56">
        <v>0</v>
      </c>
      <c r="HX56">
        <v>0</v>
      </c>
      <c r="HY56">
        <v>0</v>
      </c>
      <c r="HZ56" t="s">
        <v>264</v>
      </c>
      <c r="IC56" t="s">
        <v>564</v>
      </c>
      <c r="ID56" t="s">
        <v>555</v>
      </c>
      <c r="IE56">
        <v>0</v>
      </c>
      <c r="IF56">
        <v>0</v>
      </c>
      <c r="IG56">
        <v>0</v>
      </c>
      <c r="IH56" t="s">
        <v>264</v>
      </c>
      <c r="IK56" t="s">
        <v>565</v>
      </c>
      <c r="IL56" t="s">
        <v>555</v>
      </c>
      <c r="IM56">
        <v>0</v>
      </c>
      <c r="IN56">
        <v>0</v>
      </c>
      <c r="IO56">
        <v>0</v>
      </c>
      <c r="IP56" t="s">
        <v>264</v>
      </c>
      <c r="IS56" t="s">
        <v>566</v>
      </c>
      <c r="IT56" t="s">
        <v>555</v>
      </c>
      <c r="IU56">
        <v>0</v>
      </c>
      <c r="IV56">
        <v>0</v>
      </c>
      <c r="IW56">
        <v>0</v>
      </c>
      <c r="IX56" t="s">
        <v>264</v>
      </c>
      <c r="JA56" t="s">
        <v>567</v>
      </c>
      <c r="JB56" t="s">
        <v>555</v>
      </c>
      <c r="JC56">
        <v>0</v>
      </c>
      <c r="JD56">
        <v>0</v>
      </c>
      <c r="JE56">
        <v>0</v>
      </c>
      <c r="JF56" t="s">
        <v>264</v>
      </c>
      <c r="JI56" t="s">
        <v>568</v>
      </c>
      <c r="JJ56" t="s">
        <v>555</v>
      </c>
      <c r="JK56">
        <v>0</v>
      </c>
      <c r="JL56">
        <v>0</v>
      </c>
      <c r="JM56">
        <v>0</v>
      </c>
      <c r="JN56" t="s">
        <v>264</v>
      </c>
      <c r="JQ56" t="s">
        <v>569</v>
      </c>
      <c r="JR56" t="s">
        <v>555</v>
      </c>
      <c r="JS56">
        <v>0</v>
      </c>
      <c r="JT56">
        <v>0</v>
      </c>
      <c r="JU56">
        <v>0</v>
      </c>
      <c r="JV56" t="s">
        <v>264</v>
      </c>
      <c r="JY56" t="s">
        <v>570</v>
      </c>
      <c r="JZ56" t="s">
        <v>555</v>
      </c>
      <c r="KA56">
        <v>0</v>
      </c>
      <c r="KB56">
        <v>0</v>
      </c>
      <c r="KC56">
        <v>0</v>
      </c>
      <c r="KD56" t="s">
        <v>264</v>
      </c>
      <c r="KG56" t="s">
        <v>571</v>
      </c>
      <c r="KH56" t="s">
        <v>555</v>
      </c>
      <c r="KI56">
        <v>0</v>
      </c>
      <c r="KJ56">
        <v>0</v>
      </c>
      <c r="KK56">
        <v>0</v>
      </c>
      <c r="KL56" t="s">
        <v>264</v>
      </c>
      <c r="KO56" t="s">
        <v>572</v>
      </c>
      <c r="KP56" t="s">
        <v>555</v>
      </c>
      <c r="KQ56">
        <v>0</v>
      </c>
      <c r="KR56">
        <v>0</v>
      </c>
      <c r="KS56">
        <v>0</v>
      </c>
      <c r="KT56" t="s">
        <v>264</v>
      </c>
      <c r="KW56" t="s">
        <v>573</v>
      </c>
      <c r="KX56" t="s">
        <v>555</v>
      </c>
      <c r="KY56">
        <v>0</v>
      </c>
      <c r="KZ56">
        <v>0</v>
      </c>
      <c r="LA56">
        <v>0</v>
      </c>
      <c r="LB56" t="s">
        <v>264</v>
      </c>
      <c r="LE56" t="s">
        <v>574</v>
      </c>
      <c r="LF56" t="s">
        <v>555</v>
      </c>
      <c r="LG56">
        <v>0</v>
      </c>
      <c r="LH56">
        <v>0</v>
      </c>
      <c r="LI56">
        <v>0</v>
      </c>
      <c r="LJ56" t="s">
        <v>264</v>
      </c>
      <c r="LM56" t="s">
        <v>575</v>
      </c>
      <c r="LN56" t="s">
        <v>555</v>
      </c>
      <c r="LO56">
        <v>0</v>
      </c>
      <c r="LP56">
        <v>0</v>
      </c>
      <c r="LQ56">
        <v>0</v>
      </c>
      <c r="LR56" t="s">
        <v>264</v>
      </c>
      <c r="LU56" t="s">
        <v>576</v>
      </c>
      <c r="LV56" t="s">
        <v>555</v>
      </c>
      <c r="LW56">
        <v>0</v>
      </c>
      <c r="LX56">
        <v>0</v>
      </c>
      <c r="LY56">
        <v>0</v>
      </c>
      <c r="LZ56" t="s">
        <v>264</v>
      </c>
      <c r="MC56" t="s">
        <v>577</v>
      </c>
      <c r="MD56" t="s">
        <v>555</v>
      </c>
      <c r="ME56">
        <v>0</v>
      </c>
      <c r="MF56">
        <v>0</v>
      </c>
      <c r="MG56">
        <v>0</v>
      </c>
      <c r="MH56" t="s">
        <v>264</v>
      </c>
      <c r="MK56" t="s">
        <v>578</v>
      </c>
      <c r="ML56" t="s">
        <v>555</v>
      </c>
      <c r="MM56">
        <v>0</v>
      </c>
      <c r="MN56">
        <v>0</v>
      </c>
      <c r="MO56">
        <v>0</v>
      </c>
      <c r="MP56" t="s">
        <v>264</v>
      </c>
      <c r="MS56" t="s">
        <v>579</v>
      </c>
      <c r="MT56" t="s">
        <v>555</v>
      </c>
      <c r="MU56">
        <v>0</v>
      </c>
      <c r="MV56">
        <v>0</v>
      </c>
      <c r="MW56">
        <v>0</v>
      </c>
      <c r="MX56" t="s">
        <v>264</v>
      </c>
      <c r="NA56" t="s">
        <v>580</v>
      </c>
      <c r="NB56" t="s">
        <v>555</v>
      </c>
      <c r="NC56">
        <v>0</v>
      </c>
      <c r="ND56">
        <v>0</v>
      </c>
      <c r="NE56">
        <v>0</v>
      </c>
      <c r="NF56" t="s">
        <v>264</v>
      </c>
      <c r="NI56">
        <v>40.1</v>
      </c>
      <c r="NJ56">
        <v>-9.6</v>
      </c>
      <c r="NP56" t="s">
        <v>624</v>
      </c>
    </row>
    <row r="57" spans="1:380" customFormat="1" x14ac:dyDescent="0.2">
      <c r="A57" t="s">
        <v>517</v>
      </c>
      <c r="B57">
        <v>1</v>
      </c>
      <c r="C57" t="s">
        <v>713</v>
      </c>
      <c r="D57">
        <v>646962237</v>
      </c>
      <c r="E57">
        <v>12602</v>
      </c>
      <c r="F57" t="s">
        <v>542</v>
      </c>
      <c r="G57">
        <v>847922</v>
      </c>
      <c r="H57">
        <v>210075953</v>
      </c>
      <c r="I57" t="s">
        <v>622</v>
      </c>
      <c r="J57" t="s">
        <v>714</v>
      </c>
      <c r="K57" t="s">
        <v>545</v>
      </c>
      <c r="L57" t="s">
        <v>294</v>
      </c>
      <c r="M57" t="s">
        <v>546</v>
      </c>
      <c r="N57" t="s">
        <v>468</v>
      </c>
      <c r="O57" t="s">
        <v>547</v>
      </c>
      <c r="P57" t="s">
        <v>264</v>
      </c>
      <c r="Q57">
        <v>29.9</v>
      </c>
      <c r="R57">
        <v>213</v>
      </c>
      <c r="S57" t="s">
        <v>264</v>
      </c>
      <c r="T57">
        <v>-9999</v>
      </c>
      <c r="U57">
        <v>849</v>
      </c>
      <c r="V57">
        <v>879</v>
      </c>
      <c r="W57">
        <v>838</v>
      </c>
      <c r="X57" t="s">
        <v>270</v>
      </c>
      <c r="Y57">
        <v>0</v>
      </c>
      <c r="Z57">
        <v>55</v>
      </c>
      <c r="AA57" t="s">
        <v>469</v>
      </c>
      <c r="AB57" t="s">
        <v>548</v>
      </c>
      <c r="AC57">
        <v>1</v>
      </c>
      <c r="AD57" t="s">
        <v>549</v>
      </c>
      <c r="AE57">
        <v>0</v>
      </c>
      <c r="AF57">
        <v>28</v>
      </c>
      <c r="AG57" t="s">
        <v>264</v>
      </c>
      <c r="AH57">
        <v>-9999</v>
      </c>
      <c r="AI57">
        <v>530</v>
      </c>
      <c r="AJ57">
        <v>658</v>
      </c>
      <c r="AK57">
        <v>527</v>
      </c>
      <c r="AL57" t="s">
        <v>270</v>
      </c>
      <c r="AM57">
        <v>0</v>
      </c>
      <c r="AN57">
        <v>55</v>
      </c>
      <c r="AO57" t="s">
        <v>470</v>
      </c>
      <c r="AP57" t="s">
        <v>548</v>
      </c>
      <c r="AQ57">
        <v>2</v>
      </c>
      <c r="AR57" t="s">
        <v>549</v>
      </c>
      <c r="AS57">
        <v>0</v>
      </c>
      <c r="AT57">
        <v>22</v>
      </c>
      <c r="AU57" t="s">
        <v>264</v>
      </c>
      <c r="AV57">
        <v>-9999</v>
      </c>
      <c r="AW57">
        <v>424</v>
      </c>
      <c r="AX57">
        <v>446</v>
      </c>
      <c r="AY57">
        <v>422</v>
      </c>
      <c r="AZ57" t="s">
        <v>270</v>
      </c>
      <c r="BA57">
        <v>0</v>
      </c>
      <c r="BB57">
        <v>55</v>
      </c>
      <c r="BC57" t="s">
        <v>550</v>
      </c>
      <c r="BD57" t="s">
        <v>548</v>
      </c>
      <c r="BE57">
        <v>3</v>
      </c>
      <c r="BF57" t="s">
        <v>584</v>
      </c>
      <c r="BG57">
        <v>38.9</v>
      </c>
      <c r="BH57">
        <v>12</v>
      </c>
      <c r="BI57" t="s">
        <v>264</v>
      </c>
      <c r="BJ57">
        <v>-9999</v>
      </c>
      <c r="BK57">
        <v>125</v>
      </c>
      <c r="BL57">
        <v>163</v>
      </c>
      <c r="BM57">
        <v>127</v>
      </c>
      <c r="BN57" t="s">
        <v>270</v>
      </c>
      <c r="BO57">
        <v>0</v>
      </c>
      <c r="BP57">
        <v>55</v>
      </c>
      <c r="BQ57" t="s">
        <v>504</v>
      </c>
      <c r="BR57" t="s">
        <v>548</v>
      </c>
      <c r="BS57">
        <v>4</v>
      </c>
      <c r="BT57" t="s">
        <v>549</v>
      </c>
      <c r="BU57">
        <v>52.8</v>
      </c>
      <c r="BV57">
        <v>70</v>
      </c>
      <c r="BW57" t="s">
        <v>264</v>
      </c>
      <c r="BX57">
        <v>-9999</v>
      </c>
      <c r="BY57">
        <v>252</v>
      </c>
      <c r="BZ57">
        <v>292</v>
      </c>
      <c r="CA57">
        <v>250</v>
      </c>
      <c r="CB57" t="s">
        <v>270</v>
      </c>
      <c r="CC57">
        <v>0</v>
      </c>
      <c r="CD57">
        <v>55</v>
      </c>
      <c r="CE57" t="s">
        <v>471</v>
      </c>
      <c r="CF57" t="s">
        <v>548</v>
      </c>
      <c r="CG57">
        <v>5</v>
      </c>
      <c r="CH57" t="s">
        <v>549</v>
      </c>
      <c r="CI57">
        <v>51.8</v>
      </c>
      <c r="CJ57">
        <v>198</v>
      </c>
      <c r="CK57" t="s">
        <v>264</v>
      </c>
      <c r="CL57">
        <v>-9999</v>
      </c>
      <c r="CM57">
        <v>498</v>
      </c>
      <c r="CN57">
        <v>585</v>
      </c>
      <c r="CO57">
        <v>499</v>
      </c>
      <c r="CP57" t="s">
        <v>270</v>
      </c>
      <c r="CQ57">
        <v>0</v>
      </c>
      <c r="CR57">
        <v>55</v>
      </c>
      <c r="CS57" t="s">
        <v>472</v>
      </c>
      <c r="CT57" t="s">
        <v>548</v>
      </c>
      <c r="CU57">
        <v>6</v>
      </c>
      <c r="CV57" t="s">
        <v>549</v>
      </c>
      <c r="CW57">
        <v>54</v>
      </c>
      <c r="CX57">
        <v>80</v>
      </c>
      <c r="CY57" t="s">
        <v>264</v>
      </c>
      <c r="CZ57">
        <v>-9999</v>
      </c>
      <c r="DA57">
        <v>847</v>
      </c>
      <c r="DB57">
        <v>963</v>
      </c>
      <c r="DC57">
        <v>837</v>
      </c>
      <c r="DD57" t="s">
        <v>270</v>
      </c>
      <c r="DE57">
        <v>0</v>
      </c>
      <c r="DF57">
        <v>55</v>
      </c>
      <c r="DG57" t="s">
        <v>473</v>
      </c>
      <c r="DH57" t="s">
        <v>548</v>
      </c>
      <c r="DI57">
        <v>7</v>
      </c>
      <c r="DJ57" t="s">
        <v>549</v>
      </c>
      <c r="DK57">
        <v>0</v>
      </c>
      <c r="DL57">
        <v>30</v>
      </c>
      <c r="DM57" t="s">
        <v>264</v>
      </c>
      <c r="DN57">
        <v>-9999</v>
      </c>
      <c r="DO57">
        <v>627</v>
      </c>
      <c r="DP57">
        <v>717</v>
      </c>
      <c r="DQ57">
        <v>624</v>
      </c>
      <c r="DR57" t="s">
        <v>270</v>
      </c>
      <c r="DS57">
        <v>0</v>
      </c>
      <c r="DT57">
        <v>55</v>
      </c>
      <c r="DU57" t="s">
        <v>474</v>
      </c>
      <c r="DV57" t="s">
        <v>548</v>
      </c>
      <c r="DW57">
        <v>8</v>
      </c>
      <c r="DX57" t="s">
        <v>549</v>
      </c>
      <c r="DY57">
        <v>50.1</v>
      </c>
      <c r="DZ57">
        <v>49</v>
      </c>
      <c r="EA57" t="s">
        <v>264</v>
      </c>
      <c r="EB57">
        <v>-9999</v>
      </c>
      <c r="EC57">
        <v>144</v>
      </c>
      <c r="ED57">
        <v>172</v>
      </c>
      <c r="EE57">
        <v>141</v>
      </c>
      <c r="EF57" t="s">
        <v>270</v>
      </c>
      <c r="EG57">
        <v>0</v>
      </c>
      <c r="EH57">
        <v>55</v>
      </c>
      <c r="EI57" t="s">
        <v>475</v>
      </c>
      <c r="EJ57" t="s">
        <v>548</v>
      </c>
      <c r="EK57">
        <v>9</v>
      </c>
      <c r="EL57" t="s">
        <v>549</v>
      </c>
      <c r="EM57">
        <v>0</v>
      </c>
      <c r="EN57">
        <v>20</v>
      </c>
      <c r="EO57" t="s">
        <v>264</v>
      </c>
      <c r="EP57">
        <v>-9999</v>
      </c>
      <c r="EQ57">
        <v>336</v>
      </c>
      <c r="ER57">
        <v>316</v>
      </c>
      <c r="ES57">
        <v>295</v>
      </c>
      <c r="ET57" t="s">
        <v>270</v>
      </c>
      <c r="EU57">
        <v>0</v>
      </c>
      <c r="EV57">
        <v>55</v>
      </c>
      <c r="EW57" t="s">
        <v>551</v>
      </c>
      <c r="EX57" t="s">
        <v>552</v>
      </c>
      <c r="EY57">
        <v>166</v>
      </c>
      <c r="EZ57">
        <v>166</v>
      </c>
      <c r="FA57">
        <v>166</v>
      </c>
      <c r="FB57" t="s">
        <v>270</v>
      </c>
      <c r="FC57" t="s">
        <v>553</v>
      </c>
      <c r="FD57" t="s">
        <v>552</v>
      </c>
      <c r="FE57">
        <v>289</v>
      </c>
      <c r="FF57">
        <v>288</v>
      </c>
      <c r="FG57">
        <v>287</v>
      </c>
      <c r="FH57" t="s">
        <v>270</v>
      </c>
      <c r="FI57" t="s">
        <v>554</v>
      </c>
      <c r="FJ57" t="s">
        <v>555</v>
      </c>
      <c r="FK57">
        <v>0</v>
      </c>
      <c r="FL57">
        <v>0</v>
      </c>
      <c r="FM57">
        <v>0</v>
      </c>
      <c r="FN57" t="s">
        <v>264</v>
      </c>
      <c r="FQ57" t="s">
        <v>556</v>
      </c>
      <c r="FR57" t="s">
        <v>555</v>
      </c>
      <c r="FS57">
        <v>0</v>
      </c>
      <c r="FT57">
        <v>0</v>
      </c>
      <c r="FU57">
        <v>0</v>
      </c>
      <c r="FV57" t="s">
        <v>264</v>
      </c>
      <c r="FY57" t="s">
        <v>557</v>
      </c>
      <c r="FZ57" t="s">
        <v>555</v>
      </c>
      <c r="GA57">
        <v>0</v>
      </c>
      <c r="GB57">
        <v>0</v>
      </c>
      <c r="GC57">
        <v>0</v>
      </c>
      <c r="GD57" t="s">
        <v>264</v>
      </c>
      <c r="GG57" t="s">
        <v>558</v>
      </c>
      <c r="GH57" t="s">
        <v>555</v>
      </c>
      <c r="GI57">
        <v>0</v>
      </c>
      <c r="GJ57">
        <v>0</v>
      </c>
      <c r="GK57">
        <v>0</v>
      </c>
      <c r="GL57" t="s">
        <v>264</v>
      </c>
      <c r="GO57" t="s">
        <v>559</v>
      </c>
      <c r="GP57" t="s">
        <v>555</v>
      </c>
      <c r="GQ57">
        <v>0</v>
      </c>
      <c r="GR57">
        <v>0</v>
      </c>
      <c r="GS57">
        <v>0</v>
      </c>
      <c r="GT57" t="s">
        <v>264</v>
      </c>
      <c r="GW57" t="s">
        <v>560</v>
      </c>
      <c r="GX57" t="s">
        <v>555</v>
      </c>
      <c r="GY57">
        <v>0</v>
      </c>
      <c r="GZ57">
        <v>0</v>
      </c>
      <c r="HA57">
        <v>0</v>
      </c>
      <c r="HB57" t="s">
        <v>264</v>
      </c>
      <c r="HE57" t="s">
        <v>561</v>
      </c>
      <c r="HF57" t="s">
        <v>555</v>
      </c>
      <c r="HG57">
        <v>0</v>
      </c>
      <c r="HH57">
        <v>0</v>
      </c>
      <c r="HI57">
        <v>0</v>
      </c>
      <c r="HJ57" t="s">
        <v>264</v>
      </c>
      <c r="HM57" t="s">
        <v>562</v>
      </c>
      <c r="HN57" t="s">
        <v>555</v>
      </c>
      <c r="HO57">
        <v>0</v>
      </c>
      <c r="HP57">
        <v>0</v>
      </c>
      <c r="HQ57">
        <v>0</v>
      </c>
      <c r="HR57" t="s">
        <v>264</v>
      </c>
      <c r="HU57" t="s">
        <v>563</v>
      </c>
      <c r="HV57" t="s">
        <v>555</v>
      </c>
      <c r="HW57">
        <v>0</v>
      </c>
      <c r="HX57">
        <v>0</v>
      </c>
      <c r="HY57">
        <v>0</v>
      </c>
      <c r="HZ57" t="s">
        <v>264</v>
      </c>
      <c r="IC57" t="s">
        <v>564</v>
      </c>
      <c r="ID57" t="s">
        <v>555</v>
      </c>
      <c r="IE57">
        <v>0</v>
      </c>
      <c r="IF57">
        <v>0</v>
      </c>
      <c r="IG57">
        <v>0</v>
      </c>
      <c r="IH57" t="s">
        <v>264</v>
      </c>
      <c r="IK57" t="s">
        <v>565</v>
      </c>
      <c r="IL57" t="s">
        <v>555</v>
      </c>
      <c r="IM57">
        <v>0</v>
      </c>
      <c r="IN57">
        <v>0</v>
      </c>
      <c r="IO57">
        <v>0</v>
      </c>
      <c r="IP57" t="s">
        <v>264</v>
      </c>
      <c r="IS57" t="s">
        <v>566</v>
      </c>
      <c r="IT57" t="s">
        <v>555</v>
      </c>
      <c r="IU57">
        <v>0</v>
      </c>
      <c r="IV57">
        <v>0</v>
      </c>
      <c r="IW57">
        <v>0</v>
      </c>
      <c r="IX57" t="s">
        <v>264</v>
      </c>
      <c r="JA57" t="s">
        <v>567</v>
      </c>
      <c r="JB57" t="s">
        <v>555</v>
      </c>
      <c r="JC57">
        <v>0</v>
      </c>
      <c r="JD57">
        <v>0</v>
      </c>
      <c r="JE57">
        <v>0</v>
      </c>
      <c r="JF57" t="s">
        <v>264</v>
      </c>
      <c r="JI57" t="s">
        <v>568</v>
      </c>
      <c r="JJ57" t="s">
        <v>555</v>
      </c>
      <c r="JK57">
        <v>0</v>
      </c>
      <c r="JL57">
        <v>0</v>
      </c>
      <c r="JM57">
        <v>0</v>
      </c>
      <c r="JN57" t="s">
        <v>264</v>
      </c>
      <c r="JQ57" t="s">
        <v>569</v>
      </c>
      <c r="JR57" t="s">
        <v>555</v>
      </c>
      <c r="JS57">
        <v>0</v>
      </c>
      <c r="JT57">
        <v>0</v>
      </c>
      <c r="JU57">
        <v>0</v>
      </c>
      <c r="JV57" t="s">
        <v>264</v>
      </c>
      <c r="JY57" t="s">
        <v>570</v>
      </c>
      <c r="JZ57" t="s">
        <v>555</v>
      </c>
      <c r="KA57">
        <v>0</v>
      </c>
      <c r="KB57">
        <v>0</v>
      </c>
      <c r="KC57">
        <v>0</v>
      </c>
      <c r="KD57" t="s">
        <v>264</v>
      </c>
      <c r="KG57" t="s">
        <v>571</v>
      </c>
      <c r="KH57" t="s">
        <v>555</v>
      </c>
      <c r="KI57">
        <v>0</v>
      </c>
      <c r="KJ57">
        <v>0</v>
      </c>
      <c r="KK57">
        <v>0</v>
      </c>
      <c r="KL57" t="s">
        <v>264</v>
      </c>
      <c r="KO57" t="s">
        <v>572</v>
      </c>
      <c r="KP57" t="s">
        <v>555</v>
      </c>
      <c r="KQ57">
        <v>0</v>
      </c>
      <c r="KR57">
        <v>0</v>
      </c>
      <c r="KS57">
        <v>0</v>
      </c>
      <c r="KT57" t="s">
        <v>264</v>
      </c>
      <c r="KW57" t="s">
        <v>573</v>
      </c>
      <c r="KX57" t="s">
        <v>555</v>
      </c>
      <c r="KY57">
        <v>0</v>
      </c>
      <c r="KZ57">
        <v>0</v>
      </c>
      <c r="LA57">
        <v>0</v>
      </c>
      <c r="LB57" t="s">
        <v>264</v>
      </c>
      <c r="LE57" t="s">
        <v>574</v>
      </c>
      <c r="LF57" t="s">
        <v>555</v>
      </c>
      <c r="LG57">
        <v>0</v>
      </c>
      <c r="LH57">
        <v>0</v>
      </c>
      <c r="LI57">
        <v>0</v>
      </c>
      <c r="LJ57" t="s">
        <v>264</v>
      </c>
      <c r="LM57" t="s">
        <v>575</v>
      </c>
      <c r="LN57" t="s">
        <v>555</v>
      </c>
      <c r="LO57">
        <v>0</v>
      </c>
      <c r="LP57">
        <v>0</v>
      </c>
      <c r="LQ57">
        <v>0</v>
      </c>
      <c r="LR57" t="s">
        <v>264</v>
      </c>
      <c r="LU57" t="s">
        <v>576</v>
      </c>
      <c r="LV57" t="s">
        <v>555</v>
      </c>
      <c r="LW57">
        <v>0</v>
      </c>
      <c r="LX57">
        <v>0</v>
      </c>
      <c r="LY57">
        <v>0</v>
      </c>
      <c r="LZ57" t="s">
        <v>264</v>
      </c>
      <c r="MC57" t="s">
        <v>577</v>
      </c>
      <c r="MD57" t="s">
        <v>555</v>
      </c>
      <c r="ME57">
        <v>0</v>
      </c>
      <c r="MF57">
        <v>0</v>
      </c>
      <c r="MG57">
        <v>0</v>
      </c>
      <c r="MH57" t="s">
        <v>264</v>
      </c>
      <c r="MK57" t="s">
        <v>578</v>
      </c>
      <c r="ML57" t="s">
        <v>555</v>
      </c>
      <c r="MM57">
        <v>0</v>
      </c>
      <c r="MN57">
        <v>0</v>
      </c>
      <c r="MO57">
        <v>0</v>
      </c>
      <c r="MP57" t="s">
        <v>264</v>
      </c>
      <c r="MS57" t="s">
        <v>579</v>
      </c>
      <c r="MT57" t="s">
        <v>555</v>
      </c>
      <c r="MU57">
        <v>0</v>
      </c>
      <c r="MV57">
        <v>0</v>
      </c>
      <c r="MW57">
        <v>0</v>
      </c>
      <c r="MX57" t="s">
        <v>264</v>
      </c>
      <c r="NA57" t="s">
        <v>580</v>
      </c>
      <c r="NB57" t="s">
        <v>555</v>
      </c>
      <c r="NC57">
        <v>0</v>
      </c>
      <c r="ND57">
        <v>0</v>
      </c>
      <c r="NE57">
        <v>0</v>
      </c>
      <c r="NF57" t="s">
        <v>264</v>
      </c>
      <c r="NI57">
        <v>40.1</v>
      </c>
      <c r="NJ57">
        <v>-11.7</v>
      </c>
      <c r="NP57" t="s">
        <v>624</v>
      </c>
    </row>
    <row r="58" spans="1:380" customFormat="1" x14ac:dyDescent="0.2">
      <c r="A58" t="s">
        <v>517</v>
      </c>
      <c r="B58">
        <v>1</v>
      </c>
      <c r="C58" t="s">
        <v>715</v>
      </c>
      <c r="D58">
        <v>646962069</v>
      </c>
      <c r="E58">
        <v>12602</v>
      </c>
      <c r="F58" t="s">
        <v>542</v>
      </c>
      <c r="G58">
        <v>847922</v>
      </c>
      <c r="H58">
        <v>210069654</v>
      </c>
      <c r="I58" t="s">
        <v>622</v>
      </c>
      <c r="J58" t="s">
        <v>716</v>
      </c>
      <c r="K58" t="s">
        <v>545</v>
      </c>
      <c r="L58" t="s">
        <v>294</v>
      </c>
      <c r="M58" t="s">
        <v>546</v>
      </c>
      <c r="N58" t="s">
        <v>468</v>
      </c>
      <c r="O58" t="s">
        <v>547</v>
      </c>
      <c r="P58" t="s">
        <v>264</v>
      </c>
      <c r="Q58">
        <v>27.2</v>
      </c>
      <c r="R58">
        <v>268</v>
      </c>
      <c r="S58" t="s">
        <v>264</v>
      </c>
      <c r="T58">
        <v>-9999</v>
      </c>
      <c r="U58">
        <v>756</v>
      </c>
      <c r="V58">
        <v>779</v>
      </c>
      <c r="W58">
        <v>740</v>
      </c>
      <c r="X58" t="s">
        <v>270</v>
      </c>
      <c r="Y58">
        <v>0</v>
      </c>
      <c r="Z58">
        <v>55</v>
      </c>
      <c r="AA58" t="s">
        <v>469</v>
      </c>
      <c r="AB58" t="s">
        <v>548</v>
      </c>
      <c r="AC58">
        <v>1</v>
      </c>
      <c r="AD58" t="s">
        <v>549</v>
      </c>
      <c r="AE58">
        <v>0</v>
      </c>
      <c r="AF58">
        <v>18</v>
      </c>
      <c r="AG58" t="s">
        <v>264</v>
      </c>
      <c r="AH58">
        <v>-9999</v>
      </c>
      <c r="AI58">
        <v>567</v>
      </c>
      <c r="AJ58">
        <v>694</v>
      </c>
      <c r="AK58">
        <v>562</v>
      </c>
      <c r="AL58" t="s">
        <v>270</v>
      </c>
      <c r="AM58">
        <v>0</v>
      </c>
      <c r="AN58">
        <v>55</v>
      </c>
      <c r="AO58" t="s">
        <v>470</v>
      </c>
      <c r="AP58" t="s">
        <v>548</v>
      </c>
      <c r="AQ58">
        <v>2</v>
      </c>
      <c r="AR58" t="s">
        <v>549</v>
      </c>
      <c r="AS58">
        <v>54.2</v>
      </c>
      <c r="AT58">
        <v>52</v>
      </c>
      <c r="AU58" t="s">
        <v>264</v>
      </c>
      <c r="AV58">
        <v>-9999</v>
      </c>
      <c r="AW58">
        <v>436</v>
      </c>
      <c r="AX58">
        <v>462</v>
      </c>
      <c r="AY58">
        <v>436</v>
      </c>
      <c r="AZ58" t="s">
        <v>270</v>
      </c>
      <c r="BA58">
        <v>0</v>
      </c>
      <c r="BB58">
        <v>55</v>
      </c>
      <c r="BC58" t="s">
        <v>550</v>
      </c>
      <c r="BD58" t="s">
        <v>548</v>
      </c>
      <c r="BE58">
        <v>3</v>
      </c>
      <c r="BF58" t="s">
        <v>584</v>
      </c>
      <c r="BG58">
        <v>29.6</v>
      </c>
      <c r="BH58">
        <v>29</v>
      </c>
      <c r="BI58" t="s">
        <v>264</v>
      </c>
      <c r="BJ58">
        <v>-9999</v>
      </c>
      <c r="BK58">
        <v>91</v>
      </c>
      <c r="BL58">
        <v>124</v>
      </c>
      <c r="BM58">
        <v>94</v>
      </c>
      <c r="BN58" t="s">
        <v>270</v>
      </c>
      <c r="BO58">
        <v>0</v>
      </c>
      <c r="BP58">
        <v>55</v>
      </c>
      <c r="BQ58" t="s">
        <v>504</v>
      </c>
      <c r="BR58" t="s">
        <v>548</v>
      </c>
      <c r="BS58">
        <v>4</v>
      </c>
      <c r="BT58" t="s">
        <v>549</v>
      </c>
      <c r="BU58">
        <v>53</v>
      </c>
      <c r="BV58">
        <v>55</v>
      </c>
      <c r="BW58" t="s">
        <v>264</v>
      </c>
      <c r="BX58">
        <v>-9999</v>
      </c>
      <c r="BY58">
        <v>279</v>
      </c>
      <c r="BZ58">
        <v>322</v>
      </c>
      <c r="CA58">
        <v>276</v>
      </c>
      <c r="CB58" t="s">
        <v>270</v>
      </c>
      <c r="CC58">
        <v>0</v>
      </c>
      <c r="CD58">
        <v>55</v>
      </c>
      <c r="CE58" t="s">
        <v>471</v>
      </c>
      <c r="CF58" t="s">
        <v>548</v>
      </c>
      <c r="CG58">
        <v>5</v>
      </c>
      <c r="CH58" t="s">
        <v>549</v>
      </c>
      <c r="CI58">
        <v>51.5</v>
      </c>
      <c r="CJ58">
        <v>159</v>
      </c>
      <c r="CK58" t="s">
        <v>264</v>
      </c>
      <c r="CL58">
        <v>-9999</v>
      </c>
      <c r="CM58">
        <v>534</v>
      </c>
      <c r="CN58">
        <v>625</v>
      </c>
      <c r="CO58">
        <v>534</v>
      </c>
      <c r="CP58" t="s">
        <v>270</v>
      </c>
      <c r="CQ58">
        <v>0</v>
      </c>
      <c r="CR58">
        <v>55</v>
      </c>
      <c r="CS58" t="s">
        <v>472</v>
      </c>
      <c r="CT58" t="s">
        <v>548</v>
      </c>
      <c r="CU58">
        <v>6</v>
      </c>
      <c r="CV58" t="s">
        <v>549</v>
      </c>
      <c r="CW58">
        <v>53.3</v>
      </c>
      <c r="CX58">
        <v>92</v>
      </c>
      <c r="CY58" t="s">
        <v>264</v>
      </c>
      <c r="CZ58">
        <v>-9999</v>
      </c>
      <c r="DA58">
        <v>698</v>
      </c>
      <c r="DB58">
        <v>789</v>
      </c>
      <c r="DC58">
        <v>687</v>
      </c>
      <c r="DD58" t="s">
        <v>270</v>
      </c>
      <c r="DE58">
        <v>0</v>
      </c>
      <c r="DF58">
        <v>55</v>
      </c>
      <c r="DG58" t="s">
        <v>473</v>
      </c>
      <c r="DH58" t="s">
        <v>548</v>
      </c>
      <c r="DI58">
        <v>7</v>
      </c>
      <c r="DJ58" t="s">
        <v>549</v>
      </c>
      <c r="DK58">
        <v>0</v>
      </c>
      <c r="DL58">
        <v>32</v>
      </c>
      <c r="DM58" t="s">
        <v>264</v>
      </c>
      <c r="DN58">
        <v>-9999</v>
      </c>
      <c r="DO58">
        <v>613</v>
      </c>
      <c r="DP58">
        <v>702</v>
      </c>
      <c r="DQ58">
        <v>609</v>
      </c>
      <c r="DR58" t="s">
        <v>270</v>
      </c>
      <c r="DS58">
        <v>0</v>
      </c>
      <c r="DT58">
        <v>55</v>
      </c>
      <c r="DU58" t="s">
        <v>474</v>
      </c>
      <c r="DV58" t="s">
        <v>548</v>
      </c>
      <c r="DW58">
        <v>8</v>
      </c>
      <c r="DX58" t="s">
        <v>549</v>
      </c>
      <c r="DY58">
        <v>50.8</v>
      </c>
      <c r="DZ58">
        <v>33</v>
      </c>
      <c r="EA58" t="s">
        <v>264</v>
      </c>
      <c r="EB58">
        <v>-9999</v>
      </c>
      <c r="EC58">
        <v>113</v>
      </c>
      <c r="ED58">
        <v>137</v>
      </c>
      <c r="EE58">
        <v>112</v>
      </c>
      <c r="EF58" t="s">
        <v>270</v>
      </c>
      <c r="EG58">
        <v>0</v>
      </c>
      <c r="EH58">
        <v>55</v>
      </c>
      <c r="EI58" t="s">
        <v>475</v>
      </c>
      <c r="EJ58" t="s">
        <v>548</v>
      </c>
      <c r="EK58">
        <v>9</v>
      </c>
      <c r="EL58" t="s">
        <v>549</v>
      </c>
      <c r="EM58">
        <v>0</v>
      </c>
      <c r="EN58">
        <v>0</v>
      </c>
      <c r="EO58" t="s">
        <v>264</v>
      </c>
      <c r="EP58">
        <v>-9999</v>
      </c>
      <c r="EQ58">
        <v>351</v>
      </c>
      <c r="ER58">
        <v>327</v>
      </c>
      <c r="ES58">
        <v>302</v>
      </c>
      <c r="ET58" t="s">
        <v>270</v>
      </c>
      <c r="EU58">
        <v>0</v>
      </c>
      <c r="EV58">
        <v>55</v>
      </c>
      <c r="EW58" t="s">
        <v>551</v>
      </c>
      <c r="EX58" t="s">
        <v>552</v>
      </c>
      <c r="EY58">
        <v>141</v>
      </c>
      <c r="EZ58">
        <v>141</v>
      </c>
      <c r="FA58">
        <v>142</v>
      </c>
      <c r="FB58" t="s">
        <v>270</v>
      </c>
      <c r="FC58" t="s">
        <v>553</v>
      </c>
      <c r="FD58" t="s">
        <v>552</v>
      </c>
      <c r="FE58">
        <v>328</v>
      </c>
      <c r="FF58">
        <v>327</v>
      </c>
      <c r="FG58">
        <v>326</v>
      </c>
      <c r="FH58" t="s">
        <v>270</v>
      </c>
      <c r="FI58" t="s">
        <v>554</v>
      </c>
      <c r="FJ58" t="s">
        <v>555</v>
      </c>
      <c r="FK58">
        <v>0</v>
      </c>
      <c r="FL58">
        <v>0</v>
      </c>
      <c r="FM58">
        <v>0</v>
      </c>
      <c r="FN58" t="s">
        <v>264</v>
      </c>
      <c r="FQ58" t="s">
        <v>556</v>
      </c>
      <c r="FR58" t="s">
        <v>555</v>
      </c>
      <c r="FS58">
        <v>0</v>
      </c>
      <c r="FT58">
        <v>0</v>
      </c>
      <c r="FU58">
        <v>0</v>
      </c>
      <c r="FV58" t="s">
        <v>264</v>
      </c>
      <c r="FY58" t="s">
        <v>557</v>
      </c>
      <c r="FZ58" t="s">
        <v>555</v>
      </c>
      <c r="GA58">
        <v>0</v>
      </c>
      <c r="GB58">
        <v>0</v>
      </c>
      <c r="GC58">
        <v>0</v>
      </c>
      <c r="GD58" t="s">
        <v>264</v>
      </c>
      <c r="GG58" t="s">
        <v>558</v>
      </c>
      <c r="GH58" t="s">
        <v>555</v>
      </c>
      <c r="GI58">
        <v>0</v>
      </c>
      <c r="GJ58">
        <v>0</v>
      </c>
      <c r="GK58">
        <v>0</v>
      </c>
      <c r="GL58" t="s">
        <v>264</v>
      </c>
      <c r="GO58" t="s">
        <v>559</v>
      </c>
      <c r="GP58" t="s">
        <v>555</v>
      </c>
      <c r="GQ58">
        <v>0</v>
      </c>
      <c r="GR58">
        <v>0</v>
      </c>
      <c r="GS58">
        <v>0</v>
      </c>
      <c r="GT58" t="s">
        <v>264</v>
      </c>
      <c r="GW58" t="s">
        <v>560</v>
      </c>
      <c r="GX58" t="s">
        <v>555</v>
      </c>
      <c r="GY58">
        <v>0</v>
      </c>
      <c r="GZ58">
        <v>0</v>
      </c>
      <c r="HA58">
        <v>0</v>
      </c>
      <c r="HB58" t="s">
        <v>264</v>
      </c>
      <c r="HE58" t="s">
        <v>561</v>
      </c>
      <c r="HF58" t="s">
        <v>555</v>
      </c>
      <c r="HG58">
        <v>0</v>
      </c>
      <c r="HH58">
        <v>0</v>
      </c>
      <c r="HI58">
        <v>0</v>
      </c>
      <c r="HJ58" t="s">
        <v>264</v>
      </c>
      <c r="HM58" t="s">
        <v>562</v>
      </c>
      <c r="HN58" t="s">
        <v>555</v>
      </c>
      <c r="HO58">
        <v>0</v>
      </c>
      <c r="HP58">
        <v>0</v>
      </c>
      <c r="HQ58">
        <v>0</v>
      </c>
      <c r="HR58" t="s">
        <v>264</v>
      </c>
      <c r="HU58" t="s">
        <v>563</v>
      </c>
      <c r="HV58" t="s">
        <v>555</v>
      </c>
      <c r="HW58">
        <v>0</v>
      </c>
      <c r="HX58">
        <v>0</v>
      </c>
      <c r="HY58">
        <v>0</v>
      </c>
      <c r="HZ58" t="s">
        <v>264</v>
      </c>
      <c r="IC58" t="s">
        <v>564</v>
      </c>
      <c r="ID58" t="s">
        <v>555</v>
      </c>
      <c r="IE58">
        <v>0</v>
      </c>
      <c r="IF58">
        <v>0</v>
      </c>
      <c r="IG58">
        <v>0</v>
      </c>
      <c r="IH58" t="s">
        <v>264</v>
      </c>
      <c r="IK58" t="s">
        <v>565</v>
      </c>
      <c r="IL58" t="s">
        <v>555</v>
      </c>
      <c r="IM58">
        <v>0</v>
      </c>
      <c r="IN58">
        <v>0</v>
      </c>
      <c r="IO58">
        <v>0</v>
      </c>
      <c r="IP58" t="s">
        <v>264</v>
      </c>
      <c r="IS58" t="s">
        <v>566</v>
      </c>
      <c r="IT58" t="s">
        <v>555</v>
      </c>
      <c r="IU58">
        <v>0</v>
      </c>
      <c r="IV58">
        <v>0</v>
      </c>
      <c r="IW58">
        <v>0</v>
      </c>
      <c r="IX58" t="s">
        <v>264</v>
      </c>
      <c r="JA58" t="s">
        <v>567</v>
      </c>
      <c r="JB58" t="s">
        <v>555</v>
      </c>
      <c r="JC58">
        <v>0</v>
      </c>
      <c r="JD58">
        <v>0</v>
      </c>
      <c r="JE58">
        <v>0</v>
      </c>
      <c r="JF58" t="s">
        <v>264</v>
      </c>
      <c r="JI58" t="s">
        <v>568</v>
      </c>
      <c r="JJ58" t="s">
        <v>555</v>
      </c>
      <c r="JK58">
        <v>0</v>
      </c>
      <c r="JL58">
        <v>0</v>
      </c>
      <c r="JM58">
        <v>0</v>
      </c>
      <c r="JN58" t="s">
        <v>264</v>
      </c>
      <c r="JQ58" t="s">
        <v>569</v>
      </c>
      <c r="JR58" t="s">
        <v>555</v>
      </c>
      <c r="JS58">
        <v>0</v>
      </c>
      <c r="JT58">
        <v>0</v>
      </c>
      <c r="JU58">
        <v>0</v>
      </c>
      <c r="JV58" t="s">
        <v>264</v>
      </c>
      <c r="JY58" t="s">
        <v>570</v>
      </c>
      <c r="JZ58" t="s">
        <v>555</v>
      </c>
      <c r="KA58">
        <v>0</v>
      </c>
      <c r="KB58">
        <v>0</v>
      </c>
      <c r="KC58">
        <v>0</v>
      </c>
      <c r="KD58" t="s">
        <v>264</v>
      </c>
      <c r="KG58" t="s">
        <v>571</v>
      </c>
      <c r="KH58" t="s">
        <v>555</v>
      </c>
      <c r="KI58">
        <v>0</v>
      </c>
      <c r="KJ58">
        <v>0</v>
      </c>
      <c r="KK58">
        <v>0</v>
      </c>
      <c r="KL58" t="s">
        <v>264</v>
      </c>
      <c r="KO58" t="s">
        <v>572</v>
      </c>
      <c r="KP58" t="s">
        <v>555</v>
      </c>
      <c r="KQ58">
        <v>0</v>
      </c>
      <c r="KR58">
        <v>0</v>
      </c>
      <c r="KS58">
        <v>0</v>
      </c>
      <c r="KT58" t="s">
        <v>264</v>
      </c>
      <c r="KW58" t="s">
        <v>573</v>
      </c>
      <c r="KX58" t="s">
        <v>555</v>
      </c>
      <c r="KY58">
        <v>0</v>
      </c>
      <c r="KZ58">
        <v>0</v>
      </c>
      <c r="LA58">
        <v>0</v>
      </c>
      <c r="LB58" t="s">
        <v>264</v>
      </c>
      <c r="LE58" t="s">
        <v>574</v>
      </c>
      <c r="LF58" t="s">
        <v>555</v>
      </c>
      <c r="LG58">
        <v>0</v>
      </c>
      <c r="LH58">
        <v>0</v>
      </c>
      <c r="LI58">
        <v>0</v>
      </c>
      <c r="LJ58" t="s">
        <v>264</v>
      </c>
      <c r="LM58" t="s">
        <v>575</v>
      </c>
      <c r="LN58" t="s">
        <v>555</v>
      </c>
      <c r="LO58">
        <v>0</v>
      </c>
      <c r="LP58">
        <v>0</v>
      </c>
      <c r="LQ58">
        <v>0</v>
      </c>
      <c r="LR58" t="s">
        <v>264</v>
      </c>
      <c r="LU58" t="s">
        <v>576</v>
      </c>
      <c r="LV58" t="s">
        <v>555</v>
      </c>
      <c r="LW58">
        <v>0</v>
      </c>
      <c r="LX58">
        <v>0</v>
      </c>
      <c r="LY58">
        <v>0</v>
      </c>
      <c r="LZ58" t="s">
        <v>264</v>
      </c>
      <c r="MC58" t="s">
        <v>577</v>
      </c>
      <c r="MD58" t="s">
        <v>555</v>
      </c>
      <c r="ME58">
        <v>0</v>
      </c>
      <c r="MF58">
        <v>0</v>
      </c>
      <c r="MG58">
        <v>0</v>
      </c>
      <c r="MH58" t="s">
        <v>264</v>
      </c>
      <c r="MK58" t="s">
        <v>578</v>
      </c>
      <c r="ML58" t="s">
        <v>555</v>
      </c>
      <c r="MM58">
        <v>0</v>
      </c>
      <c r="MN58">
        <v>0</v>
      </c>
      <c r="MO58">
        <v>0</v>
      </c>
      <c r="MP58" t="s">
        <v>264</v>
      </c>
      <c r="MS58" t="s">
        <v>579</v>
      </c>
      <c r="MT58" t="s">
        <v>555</v>
      </c>
      <c r="MU58">
        <v>0</v>
      </c>
      <c r="MV58">
        <v>0</v>
      </c>
      <c r="MW58">
        <v>0</v>
      </c>
      <c r="MX58" t="s">
        <v>264</v>
      </c>
      <c r="NA58" t="s">
        <v>580</v>
      </c>
      <c r="NB58" t="s">
        <v>555</v>
      </c>
      <c r="NC58">
        <v>0</v>
      </c>
      <c r="ND58">
        <v>0</v>
      </c>
      <c r="NE58">
        <v>0</v>
      </c>
      <c r="NF58" t="s">
        <v>264</v>
      </c>
      <c r="NI58">
        <v>40.1</v>
      </c>
      <c r="NJ58">
        <v>-10.7</v>
      </c>
      <c r="NP58" t="s">
        <v>624</v>
      </c>
    </row>
    <row r="59" spans="1:380" customFormat="1" x14ac:dyDescent="0.2">
      <c r="A59" t="s">
        <v>517</v>
      </c>
      <c r="B59">
        <v>1</v>
      </c>
      <c r="C59" t="s">
        <v>717</v>
      </c>
      <c r="D59">
        <v>646962483</v>
      </c>
      <c r="E59">
        <v>12602</v>
      </c>
      <c r="F59" t="s">
        <v>542</v>
      </c>
      <c r="G59">
        <v>847922</v>
      </c>
      <c r="H59">
        <v>210011202</v>
      </c>
      <c r="I59" t="s">
        <v>622</v>
      </c>
      <c r="J59" t="s">
        <v>718</v>
      </c>
      <c r="K59" t="s">
        <v>545</v>
      </c>
      <c r="L59" t="s">
        <v>294</v>
      </c>
      <c r="M59" t="s">
        <v>546</v>
      </c>
      <c r="N59" t="s">
        <v>468</v>
      </c>
      <c r="O59" t="s">
        <v>547</v>
      </c>
      <c r="P59" t="s">
        <v>264</v>
      </c>
      <c r="Q59">
        <v>28.1</v>
      </c>
      <c r="R59">
        <v>254</v>
      </c>
      <c r="S59" t="s">
        <v>264</v>
      </c>
      <c r="T59">
        <v>-9999</v>
      </c>
      <c r="U59">
        <v>639</v>
      </c>
      <c r="V59">
        <v>663</v>
      </c>
      <c r="W59">
        <v>632</v>
      </c>
      <c r="X59" t="s">
        <v>270</v>
      </c>
      <c r="Y59">
        <v>0</v>
      </c>
      <c r="Z59">
        <v>55</v>
      </c>
      <c r="AA59" t="s">
        <v>469</v>
      </c>
      <c r="AB59" t="s">
        <v>548</v>
      </c>
      <c r="AC59">
        <v>1</v>
      </c>
      <c r="AD59" t="s">
        <v>549</v>
      </c>
      <c r="AE59">
        <v>0</v>
      </c>
      <c r="AF59">
        <v>40</v>
      </c>
      <c r="AG59" t="s">
        <v>264</v>
      </c>
      <c r="AH59">
        <v>-9999</v>
      </c>
      <c r="AI59">
        <v>512</v>
      </c>
      <c r="AJ59">
        <v>628</v>
      </c>
      <c r="AK59">
        <v>508</v>
      </c>
      <c r="AL59" t="s">
        <v>270</v>
      </c>
      <c r="AM59">
        <v>0</v>
      </c>
      <c r="AN59">
        <v>55</v>
      </c>
      <c r="AO59" t="s">
        <v>470</v>
      </c>
      <c r="AP59" t="s">
        <v>548</v>
      </c>
      <c r="AQ59">
        <v>2</v>
      </c>
      <c r="AR59" t="s">
        <v>549</v>
      </c>
      <c r="AS59">
        <v>0</v>
      </c>
      <c r="AT59">
        <v>22</v>
      </c>
      <c r="AU59" t="s">
        <v>264</v>
      </c>
      <c r="AV59">
        <v>-9999</v>
      </c>
      <c r="AW59">
        <v>411</v>
      </c>
      <c r="AX59">
        <v>434</v>
      </c>
      <c r="AY59">
        <v>410</v>
      </c>
      <c r="AZ59" t="s">
        <v>270</v>
      </c>
      <c r="BA59">
        <v>0</v>
      </c>
      <c r="BB59">
        <v>55</v>
      </c>
      <c r="BC59" t="s">
        <v>550</v>
      </c>
      <c r="BD59" t="s">
        <v>548</v>
      </c>
      <c r="BE59">
        <v>3</v>
      </c>
      <c r="BF59" t="s">
        <v>584</v>
      </c>
      <c r="BG59">
        <v>31.7</v>
      </c>
      <c r="BH59">
        <v>26</v>
      </c>
      <c r="BI59" t="s">
        <v>264</v>
      </c>
      <c r="BJ59">
        <v>-9999</v>
      </c>
      <c r="BK59">
        <v>177</v>
      </c>
      <c r="BL59">
        <v>230</v>
      </c>
      <c r="BM59">
        <v>182</v>
      </c>
      <c r="BN59" t="s">
        <v>270</v>
      </c>
      <c r="BO59">
        <v>0</v>
      </c>
      <c r="BP59">
        <v>55</v>
      </c>
      <c r="BQ59" t="s">
        <v>504</v>
      </c>
      <c r="BR59" t="s">
        <v>548</v>
      </c>
      <c r="BS59">
        <v>4</v>
      </c>
      <c r="BT59" t="s">
        <v>549</v>
      </c>
      <c r="BU59">
        <v>51.7</v>
      </c>
      <c r="BV59">
        <v>84</v>
      </c>
      <c r="BW59" t="s">
        <v>264</v>
      </c>
      <c r="BX59">
        <v>-9999</v>
      </c>
      <c r="BY59">
        <v>233</v>
      </c>
      <c r="BZ59">
        <v>271</v>
      </c>
      <c r="CA59">
        <v>232</v>
      </c>
      <c r="CB59" t="s">
        <v>270</v>
      </c>
      <c r="CC59">
        <v>0</v>
      </c>
      <c r="CD59">
        <v>55</v>
      </c>
      <c r="CE59" t="s">
        <v>471</v>
      </c>
      <c r="CF59" t="s">
        <v>548</v>
      </c>
      <c r="CG59">
        <v>5</v>
      </c>
      <c r="CH59" t="s">
        <v>549</v>
      </c>
      <c r="CI59">
        <v>51.7</v>
      </c>
      <c r="CJ59">
        <v>148</v>
      </c>
      <c r="CK59" t="s">
        <v>264</v>
      </c>
      <c r="CL59">
        <v>-9999</v>
      </c>
      <c r="CM59">
        <v>552</v>
      </c>
      <c r="CN59">
        <v>648</v>
      </c>
      <c r="CO59">
        <v>554</v>
      </c>
      <c r="CP59" t="s">
        <v>270</v>
      </c>
      <c r="CQ59">
        <v>0</v>
      </c>
      <c r="CR59">
        <v>55</v>
      </c>
      <c r="CS59" t="s">
        <v>472</v>
      </c>
      <c r="CT59" t="s">
        <v>548</v>
      </c>
      <c r="CU59">
        <v>6</v>
      </c>
      <c r="CV59" t="s">
        <v>549</v>
      </c>
      <c r="CW59">
        <v>53.8</v>
      </c>
      <c r="CX59">
        <v>74</v>
      </c>
      <c r="CY59" t="s">
        <v>264</v>
      </c>
      <c r="CZ59">
        <v>-9999</v>
      </c>
      <c r="DA59">
        <v>746</v>
      </c>
      <c r="DB59">
        <v>852</v>
      </c>
      <c r="DC59">
        <v>737</v>
      </c>
      <c r="DD59" t="s">
        <v>270</v>
      </c>
      <c r="DE59">
        <v>0</v>
      </c>
      <c r="DF59">
        <v>55</v>
      </c>
      <c r="DG59" t="s">
        <v>473</v>
      </c>
      <c r="DH59" t="s">
        <v>548</v>
      </c>
      <c r="DI59">
        <v>7</v>
      </c>
      <c r="DJ59" t="s">
        <v>549</v>
      </c>
      <c r="DK59">
        <v>0</v>
      </c>
      <c r="DL59">
        <v>29</v>
      </c>
      <c r="DM59" t="s">
        <v>264</v>
      </c>
      <c r="DN59">
        <v>-9999</v>
      </c>
      <c r="DO59">
        <v>605</v>
      </c>
      <c r="DP59">
        <v>697</v>
      </c>
      <c r="DQ59">
        <v>602</v>
      </c>
      <c r="DR59" t="s">
        <v>270</v>
      </c>
      <c r="DS59">
        <v>0</v>
      </c>
      <c r="DT59">
        <v>55</v>
      </c>
      <c r="DU59" t="s">
        <v>474</v>
      </c>
      <c r="DV59" t="s">
        <v>548</v>
      </c>
      <c r="DW59">
        <v>8</v>
      </c>
      <c r="DX59" t="s">
        <v>549</v>
      </c>
      <c r="DY59">
        <v>52.1</v>
      </c>
      <c r="DZ59">
        <v>26</v>
      </c>
      <c r="EA59" t="s">
        <v>264</v>
      </c>
      <c r="EB59">
        <v>-9999</v>
      </c>
      <c r="EC59">
        <v>124</v>
      </c>
      <c r="ED59">
        <v>150</v>
      </c>
      <c r="EE59">
        <v>123</v>
      </c>
      <c r="EF59" t="s">
        <v>270</v>
      </c>
      <c r="EG59">
        <v>0</v>
      </c>
      <c r="EH59">
        <v>55</v>
      </c>
      <c r="EI59" t="s">
        <v>475</v>
      </c>
      <c r="EJ59" t="s">
        <v>548</v>
      </c>
      <c r="EK59">
        <v>9</v>
      </c>
      <c r="EL59" t="s">
        <v>549</v>
      </c>
      <c r="EM59">
        <v>0</v>
      </c>
      <c r="EN59">
        <v>-5</v>
      </c>
      <c r="EO59" t="s">
        <v>264</v>
      </c>
      <c r="EP59">
        <v>-9999</v>
      </c>
      <c r="EQ59">
        <v>431</v>
      </c>
      <c r="ER59">
        <v>402</v>
      </c>
      <c r="ES59">
        <v>367</v>
      </c>
      <c r="ET59" t="s">
        <v>270</v>
      </c>
      <c r="EU59">
        <v>0</v>
      </c>
      <c r="EV59">
        <v>55</v>
      </c>
      <c r="EW59" t="s">
        <v>551</v>
      </c>
      <c r="EX59" t="s">
        <v>552</v>
      </c>
      <c r="EY59">
        <v>165</v>
      </c>
      <c r="EZ59">
        <v>165</v>
      </c>
      <c r="FA59">
        <v>166</v>
      </c>
      <c r="FB59" t="s">
        <v>270</v>
      </c>
      <c r="FC59" t="s">
        <v>553</v>
      </c>
      <c r="FD59" t="s">
        <v>552</v>
      </c>
      <c r="FE59">
        <v>288</v>
      </c>
      <c r="FF59">
        <v>287</v>
      </c>
      <c r="FG59">
        <v>286</v>
      </c>
      <c r="FH59" t="s">
        <v>270</v>
      </c>
      <c r="FI59" t="s">
        <v>554</v>
      </c>
      <c r="FJ59" t="s">
        <v>555</v>
      </c>
      <c r="FK59">
        <v>0</v>
      </c>
      <c r="FL59">
        <v>0</v>
      </c>
      <c r="FM59">
        <v>0</v>
      </c>
      <c r="FN59" t="s">
        <v>264</v>
      </c>
      <c r="FQ59" t="s">
        <v>556</v>
      </c>
      <c r="FR59" t="s">
        <v>555</v>
      </c>
      <c r="FS59">
        <v>0</v>
      </c>
      <c r="FT59">
        <v>0</v>
      </c>
      <c r="FU59">
        <v>0</v>
      </c>
      <c r="FV59" t="s">
        <v>264</v>
      </c>
      <c r="FY59" t="s">
        <v>557</v>
      </c>
      <c r="FZ59" t="s">
        <v>555</v>
      </c>
      <c r="GA59">
        <v>0</v>
      </c>
      <c r="GB59">
        <v>0</v>
      </c>
      <c r="GC59">
        <v>0</v>
      </c>
      <c r="GD59" t="s">
        <v>264</v>
      </c>
      <c r="GG59" t="s">
        <v>558</v>
      </c>
      <c r="GH59" t="s">
        <v>555</v>
      </c>
      <c r="GI59">
        <v>0</v>
      </c>
      <c r="GJ59">
        <v>0</v>
      </c>
      <c r="GK59">
        <v>0</v>
      </c>
      <c r="GL59" t="s">
        <v>264</v>
      </c>
      <c r="GO59" t="s">
        <v>559</v>
      </c>
      <c r="GP59" t="s">
        <v>555</v>
      </c>
      <c r="GQ59">
        <v>0</v>
      </c>
      <c r="GR59">
        <v>0</v>
      </c>
      <c r="GS59">
        <v>0</v>
      </c>
      <c r="GT59" t="s">
        <v>264</v>
      </c>
      <c r="GW59" t="s">
        <v>560</v>
      </c>
      <c r="GX59" t="s">
        <v>555</v>
      </c>
      <c r="GY59">
        <v>0</v>
      </c>
      <c r="GZ59">
        <v>0</v>
      </c>
      <c r="HA59">
        <v>0</v>
      </c>
      <c r="HB59" t="s">
        <v>264</v>
      </c>
      <c r="HE59" t="s">
        <v>561</v>
      </c>
      <c r="HF59" t="s">
        <v>555</v>
      </c>
      <c r="HG59">
        <v>0</v>
      </c>
      <c r="HH59">
        <v>0</v>
      </c>
      <c r="HI59">
        <v>0</v>
      </c>
      <c r="HJ59" t="s">
        <v>264</v>
      </c>
      <c r="HM59" t="s">
        <v>562</v>
      </c>
      <c r="HN59" t="s">
        <v>555</v>
      </c>
      <c r="HO59">
        <v>0</v>
      </c>
      <c r="HP59">
        <v>0</v>
      </c>
      <c r="HQ59">
        <v>0</v>
      </c>
      <c r="HR59" t="s">
        <v>264</v>
      </c>
      <c r="HU59" t="s">
        <v>563</v>
      </c>
      <c r="HV59" t="s">
        <v>555</v>
      </c>
      <c r="HW59">
        <v>0</v>
      </c>
      <c r="HX59">
        <v>0</v>
      </c>
      <c r="HY59">
        <v>0</v>
      </c>
      <c r="HZ59" t="s">
        <v>264</v>
      </c>
      <c r="IC59" t="s">
        <v>564</v>
      </c>
      <c r="ID59" t="s">
        <v>555</v>
      </c>
      <c r="IE59">
        <v>0</v>
      </c>
      <c r="IF59">
        <v>0</v>
      </c>
      <c r="IG59">
        <v>0</v>
      </c>
      <c r="IH59" t="s">
        <v>264</v>
      </c>
      <c r="IK59" t="s">
        <v>565</v>
      </c>
      <c r="IL59" t="s">
        <v>555</v>
      </c>
      <c r="IM59">
        <v>0</v>
      </c>
      <c r="IN59">
        <v>0</v>
      </c>
      <c r="IO59">
        <v>0</v>
      </c>
      <c r="IP59" t="s">
        <v>264</v>
      </c>
      <c r="IS59" t="s">
        <v>566</v>
      </c>
      <c r="IT59" t="s">
        <v>555</v>
      </c>
      <c r="IU59">
        <v>0</v>
      </c>
      <c r="IV59">
        <v>0</v>
      </c>
      <c r="IW59">
        <v>0</v>
      </c>
      <c r="IX59" t="s">
        <v>264</v>
      </c>
      <c r="JA59" t="s">
        <v>567</v>
      </c>
      <c r="JB59" t="s">
        <v>555</v>
      </c>
      <c r="JC59">
        <v>0</v>
      </c>
      <c r="JD59">
        <v>0</v>
      </c>
      <c r="JE59">
        <v>0</v>
      </c>
      <c r="JF59" t="s">
        <v>264</v>
      </c>
      <c r="JI59" t="s">
        <v>568</v>
      </c>
      <c r="JJ59" t="s">
        <v>555</v>
      </c>
      <c r="JK59">
        <v>0</v>
      </c>
      <c r="JL59">
        <v>0</v>
      </c>
      <c r="JM59">
        <v>0</v>
      </c>
      <c r="JN59" t="s">
        <v>264</v>
      </c>
      <c r="JQ59" t="s">
        <v>569</v>
      </c>
      <c r="JR59" t="s">
        <v>555</v>
      </c>
      <c r="JS59">
        <v>0</v>
      </c>
      <c r="JT59">
        <v>0</v>
      </c>
      <c r="JU59">
        <v>0</v>
      </c>
      <c r="JV59" t="s">
        <v>264</v>
      </c>
      <c r="JY59" t="s">
        <v>570</v>
      </c>
      <c r="JZ59" t="s">
        <v>555</v>
      </c>
      <c r="KA59">
        <v>0</v>
      </c>
      <c r="KB59">
        <v>0</v>
      </c>
      <c r="KC59">
        <v>0</v>
      </c>
      <c r="KD59" t="s">
        <v>264</v>
      </c>
      <c r="KG59" t="s">
        <v>571</v>
      </c>
      <c r="KH59" t="s">
        <v>555</v>
      </c>
      <c r="KI59">
        <v>0</v>
      </c>
      <c r="KJ59">
        <v>0</v>
      </c>
      <c r="KK59">
        <v>0</v>
      </c>
      <c r="KL59" t="s">
        <v>264</v>
      </c>
      <c r="KO59" t="s">
        <v>572</v>
      </c>
      <c r="KP59" t="s">
        <v>555</v>
      </c>
      <c r="KQ59">
        <v>0</v>
      </c>
      <c r="KR59">
        <v>0</v>
      </c>
      <c r="KS59">
        <v>0</v>
      </c>
      <c r="KT59" t="s">
        <v>264</v>
      </c>
      <c r="KW59" t="s">
        <v>573</v>
      </c>
      <c r="KX59" t="s">
        <v>555</v>
      </c>
      <c r="KY59">
        <v>0</v>
      </c>
      <c r="KZ59">
        <v>0</v>
      </c>
      <c r="LA59">
        <v>0</v>
      </c>
      <c r="LB59" t="s">
        <v>264</v>
      </c>
      <c r="LE59" t="s">
        <v>574</v>
      </c>
      <c r="LF59" t="s">
        <v>555</v>
      </c>
      <c r="LG59">
        <v>0</v>
      </c>
      <c r="LH59">
        <v>0</v>
      </c>
      <c r="LI59">
        <v>0</v>
      </c>
      <c r="LJ59" t="s">
        <v>264</v>
      </c>
      <c r="LM59" t="s">
        <v>575</v>
      </c>
      <c r="LN59" t="s">
        <v>555</v>
      </c>
      <c r="LO59">
        <v>0</v>
      </c>
      <c r="LP59">
        <v>0</v>
      </c>
      <c r="LQ59">
        <v>0</v>
      </c>
      <c r="LR59" t="s">
        <v>264</v>
      </c>
      <c r="LU59" t="s">
        <v>576</v>
      </c>
      <c r="LV59" t="s">
        <v>555</v>
      </c>
      <c r="LW59">
        <v>0</v>
      </c>
      <c r="LX59">
        <v>0</v>
      </c>
      <c r="LY59">
        <v>0</v>
      </c>
      <c r="LZ59" t="s">
        <v>264</v>
      </c>
      <c r="MC59" t="s">
        <v>577</v>
      </c>
      <c r="MD59" t="s">
        <v>555</v>
      </c>
      <c r="ME59">
        <v>0</v>
      </c>
      <c r="MF59">
        <v>0</v>
      </c>
      <c r="MG59">
        <v>0</v>
      </c>
      <c r="MH59" t="s">
        <v>264</v>
      </c>
      <c r="MK59" t="s">
        <v>578</v>
      </c>
      <c r="ML59" t="s">
        <v>555</v>
      </c>
      <c r="MM59">
        <v>0</v>
      </c>
      <c r="MN59">
        <v>0</v>
      </c>
      <c r="MO59">
        <v>0</v>
      </c>
      <c r="MP59" t="s">
        <v>264</v>
      </c>
      <c r="MS59" t="s">
        <v>579</v>
      </c>
      <c r="MT59" t="s">
        <v>555</v>
      </c>
      <c r="MU59">
        <v>0</v>
      </c>
      <c r="MV59">
        <v>0</v>
      </c>
      <c r="MW59">
        <v>0</v>
      </c>
      <c r="MX59" t="s">
        <v>264</v>
      </c>
      <c r="NA59" t="s">
        <v>580</v>
      </c>
      <c r="NB59" t="s">
        <v>555</v>
      </c>
      <c r="NC59">
        <v>0</v>
      </c>
      <c r="ND59">
        <v>0</v>
      </c>
      <c r="NE59">
        <v>0</v>
      </c>
      <c r="NF59" t="s">
        <v>264</v>
      </c>
      <c r="NI59">
        <v>40</v>
      </c>
      <c r="NJ59">
        <v>-9.1999999999999993</v>
      </c>
      <c r="NP59" t="s">
        <v>624</v>
      </c>
    </row>
    <row r="60" spans="1:380" customFormat="1" x14ac:dyDescent="0.2">
      <c r="A60" t="s">
        <v>517</v>
      </c>
      <c r="B60">
        <v>1</v>
      </c>
      <c r="C60" t="s">
        <v>719</v>
      </c>
      <c r="D60">
        <v>646962705</v>
      </c>
      <c r="E60">
        <v>12602</v>
      </c>
      <c r="F60" t="s">
        <v>542</v>
      </c>
      <c r="G60">
        <v>847922</v>
      </c>
      <c r="H60">
        <v>210022915</v>
      </c>
      <c r="I60" t="s">
        <v>622</v>
      </c>
      <c r="J60" t="s">
        <v>720</v>
      </c>
      <c r="K60" t="s">
        <v>545</v>
      </c>
      <c r="L60" t="s">
        <v>294</v>
      </c>
      <c r="M60" t="s">
        <v>546</v>
      </c>
      <c r="N60" t="s">
        <v>468</v>
      </c>
      <c r="O60" t="s">
        <v>547</v>
      </c>
      <c r="P60" t="s">
        <v>270</v>
      </c>
      <c r="Q60">
        <v>28.1</v>
      </c>
      <c r="R60">
        <v>218</v>
      </c>
      <c r="S60" t="s">
        <v>270</v>
      </c>
      <c r="T60">
        <v>-9999</v>
      </c>
      <c r="U60">
        <v>593</v>
      </c>
      <c r="V60">
        <v>613</v>
      </c>
      <c r="W60">
        <v>586</v>
      </c>
      <c r="X60" t="s">
        <v>270</v>
      </c>
      <c r="Y60">
        <v>0</v>
      </c>
      <c r="Z60">
        <v>55</v>
      </c>
      <c r="AA60" t="s">
        <v>469</v>
      </c>
      <c r="AB60" t="s">
        <v>548</v>
      </c>
      <c r="AC60">
        <v>1</v>
      </c>
      <c r="AD60" t="s">
        <v>549</v>
      </c>
      <c r="AE60">
        <v>0</v>
      </c>
      <c r="AF60">
        <v>26</v>
      </c>
      <c r="AG60" t="s">
        <v>264</v>
      </c>
      <c r="AH60">
        <v>-9999</v>
      </c>
      <c r="AI60">
        <v>456</v>
      </c>
      <c r="AJ60">
        <v>571</v>
      </c>
      <c r="AK60">
        <v>457</v>
      </c>
      <c r="AL60" t="s">
        <v>270</v>
      </c>
      <c r="AM60">
        <v>0</v>
      </c>
      <c r="AN60">
        <v>55</v>
      </c>
      <c r="AO60" t="s">
        <v>470</v>
      </c>
      <c r="AP60" t="s">
        <v>548</v>
      </c>
      <c r="AQ60">
        <v>2</v>
      </c>
      <c r="AR60" t="s">
        <v>549</v>
      </c>
      <c r="AS60">
        <v>0</v>
      </c>
      <c r="AT60">
        <v>9</v>
      </c>
      <c r="AU60" t="s">
        <v>264</v>
      </c>
      <c r="AV60">
        <v>-9999</v>
      </c>
      <c r="AW60">
        <v>421</v>
      </c>
      <c r="AX60">
        <v>444</v>
      </c>
      <c r="AY60">
        <v>419</v>
      </c>
      <c r="AZ60" t="s">
        <v>270</v>
      </c>
      <c r="BA60">
        <v>0</v>
      </c>
      <c r="BB60">
        <v>55</v>
      </c>
      <c r="BC60" t="s">
        <v>550</v>
      </c>
      <c r="BD60" t="s">
        <v>548</v>
      </c>
      <c r="BE60">
        <v>3</v>
      </c>
      <c r="BF60" t="s">
        <v>549</v>
      </c>
      <c r="BG60">
        <v>0</v>
      </c>
      <c r="BH60">
        <v>-4</v>
      </c>
      <c r="BI60" t="s">
        <v>264</v>
      </c>
      <c r="BJ60">
        <v>-9999</v>
      </c>
      <c r="BK60">
        <v>240</v>
      </c>
      <c r="BL60">
        <v>293</v>
      </c>
      <c r="BM60">
        <v>236</v>
      </c>
      <c r="BN60" t="s">
        <v>270</v>
      </c>
      <c r="BO60">
        <v>0</v>
      </c>
      <c r="BP60">
        <v>55</v>
      </c>
      <c r="BQ60" t="s">
        <v>504</v>
      </c>
      <c r="BR60" t="s">
        <v>548</v>
      </c>
      <c r="BS60">
        <v>4</v>
      </c>
      <c r="BT60" t="s">
        <v>549</v>
      </c>
      <c r="BU60">
        <v>52.8</v>
      </c>
      <c r="BV60">
        <v>65</v>
      </c>
      <c r="BW60" t="s">
        <v>264</v>
      </c>
      <c r="BX60">
        <v>-9999</v>
      </c>
      <c r="BY60">
        <v>238</v>
      </c>
      <c r="BZ60">
        <v>275</v>
      </c>
      <c r="CA60">
        <v>236</v>
      </c>
      <c r="CB60" t="s">
        <v>270</v>
      </c>
      <c r="CC60">
        <v>0</v>
      </c>
      <c r="CD60">
        <v>55</v>
      </c>
      <c r="CE60" t="s">
        <v>471</v>
      </c>
      <c r="CF60" t="s">
        <v>548</v>
      </c>
      <c r="CG60">
        <v>5</v>
      </c>
      <c r="CH60" t="s">
        <v>549</v>
      </c>
      <c r="CI60">
        <v>51.4</v>
      </c>
      <c r="CJ60">
        <v>180</v>
      </c>
      <c r="CK60" t="s">
        <v>264</v>
      </c>
      <c r="CL60">
        <v>-9999</v>
      </c>
      <c r="CM60">
        <v>533</v>
      </c>
      <c r="CN60">
        <v>625</v>
      </c>
      <c r="CO60">
        <v>532</v>
      </c>
      <c r="CP60" t="s">
        <v>270</v>
      </c>
      <c r="CQ60">
        <v>0</v>
      </c>
      <c r="CR60">
        <v>55</v>
      </c>
      <c r="CS60" t="s">
        <v>472</v>
      </c>
      <c r="CT60" t="s">
        <v>548</v>
      </c>
      <c r="CU60">
        <v>6</v>
      </c>
      <c r="CV60" t="s">
        <v>549</v>
      </c>
      <c r="CW60">
        <v>0</v>
      </c>
      <c r="CX60">
        <v>39</v>
      </c>
      <c r="CY60" t="s">
        <v>264</v>
      </c>
      <c r="CZ60">
        <v>-9999</v>
      </c>
      <c r="DA60">
        <v>781</v>
      </c>
      <c r="DB60">
        <v>885</v>
      </c>
      <c r="DC60">
        <v>769</v>
      </c>
      <c r="DD60" t="s">
        <v>270</v>
      </c>
      <c r="DE60">
        <v>0</v>
      </c>
      <c r="DF60">
        <v>55</v>
      </c>
      <c r="DG60" t="s">
        <v>473</v>
      </c>
      <c r="DH60" t="s">
        <v>548</v>
      </c>
      <c r="DI60">
        <v>7</v>
      </c>
      <c r="DJ60" t="s">
        <v>549</v>
      </c>
      <c r="DK60">
        <v>0</v>
      </c>
      <c r="DL60">
        <v>32</v>
      </c>
      <c r="DM60" t="s">
        <v>264</v>
      </c>
      <c r="DN60">
        <v>-9999</v>
      </c>
      <c r="DO60">
        <v>561</v>
      </c>
      <c r="DP60">
        <v>641</v>
      </c>
      <c r="DQ60">
        <v>557</v>
      </c>
      <c r="DR60" t="s">
        <v>270</v>
      </c>
      <c r="DS60">
        <v>0</v>
      </c>
      <c r="DT60">
        <v>55</v>
      </c>
      <c r="DU60" t="s">
        <v>474</v>
      </c>
      <c r="DV60" t="s">
        <v>548</v>
      </c>
      <c r="DW60">
        <v>8</v>
      </c>
      <c r="DX60" t="s">
        <v>549</v>
      </c>
      <c r="DY60">
        <v>53.3</v>
      </c>
      <c r="DZ60">
        <v>22</v>
      </c>
      <c r="EA60" t="s">
        <v>264</v>
      </c>
      <c r="EB60">
        <v>-9999</v>
      </c>
      <c r="EC60">
        <v>100</v>
      </c>
      <c r="ED60">
        <v>125</v>
      </c>
      <c r="EE60">
        <v>99</v>
      </c>
      <c r="EF60" t="s">
        <v>270</v>
      </c>
      <c r="EG60">
        <v>0</v>
      </c>
      <c r="EH60">
        <v>55</v>
      </c>
      <c r="EI60" t="s">
        <v>475</v>
      </c>
      <c r="EJ60" t="s">
        <v>548</v>
      </c>
      <c r="EK60">
        <v>9</v>
      </c>
      <c r="EL60" t="s">
        <v>549</v>
      </c>
      <c r="EM60">
        <v>0</v>
      </c>
      <c r="EN60">
        <v>10</v>
      </c>
      <c r="EO60" t="s">
        <v>264</v>
      </c>
      <c r="EP60">
        <v>-9999</v>
      </c>
      <c r="EQ60">
        <v>338</v>
      </c>
      <c r="ER60">
        <v>314</v>
      </c>
      <c r="ES60">
        <v>294</v>
      </c>
      <c r="ET60" t="s">
        <v>270</v>
      </c>
      <c r="EU60">
        <v>0</v>
      </c>
      <c r="EV60">
        <v>55</v>
      </c>
      <c r="EW60" t="s">
        <v>551</v>
      </c>
      <c r="EX60" t="s">
        <v>552</v>
      </c>
      <c r="EY60">
        <v>161</v>
      </c>
      <c r="EZ60">
        <v>161</v>
      </c>
      <c r="FA60">
        <v>162</v>
      </c>
      <c r="FB60" t="s">
        <v>270</v>
      </c>
      <c r="FC60" t="s">
        <v>553</v>
      </c>
      <c r="FD60" t="s">
        <v>552</v>
      </c>
      <c r="FE60">
        <v>330</v>
      </c>
      <c r="FF60">
        <v>328</v>
      </c>
      <c r="FG60">
        <v>327</v>
      </c>
      <c r="FH60" t="s">
        <v>270</v>
      </c>
      <c r="FI60" t="s">
        <v>554</v>
      </c>
      <c r="FJ60" t="s">
        <v>555</v>
      </c>
      <c r="FK60">
        <v>0</v>
      </c>
      <c r="FL60">
        <v>0</v>
      </c>
      <c r="FM60">
        <v>0</v>
      </c>
      <c r="FN60" t="s">
        <v>264</v>
      </c>
      <c r="FQ60" t="s">
        <v>556</v>
      </c>
      <c r="FR60" t="s">
        <v>555</v>
      </c>
      <c r="FS60">
        <v>0</v>
      </c>
      <c r="FT60">
        <v>0</v>
      </c>
      <c r="FU60">
        <v>0</v>
      </c>
      <c r="FV60" t="s">
        <v>264</v>
      </c>
      <c r="FY60" t="s">
        <v>557</v>
      </c>
      <c r="FZ60" t="s">
        <v>555</v>
      </c>
      <c r="GA60">
        <v>0</v>
      </c>
      <c r="GB60">
        <v>0</v>
      </c>
      <c r="GC60">
        <v>0</v>
      </c>
      <c r="GD60" t="s">
        <v>264</v>
      </c>
      <c r="GG60" t="s">
        <v>558</v>
      </c>
      <c r="GH60" t="s">
        <v>555</v>
      </c>
      <c r="GI60">
        <v>0</v>
      </c>
      <c r="GJ60">
        <v>0</v>
      </c>
      <c r="GK60">
        <v>0</v>
      </c>
      <c r="GL60" t="s">
        <v>264</v>
      </c>
      <c r="GO60" t="s">
        <v>559</v>
      </c>
      <c r="GP60" t="s">
        <v>555</v>
      </c>
      <c r="GQ60">
        <v>0</v>
      </c>
      <c r="GR60">
        <v>0</v>
      </c>
      <c r="GS60">
        <v>0</v>
      </c>
      <c r="GT60" t="s">
        <v>264</v>
      </c>
      <c r="GW60" t="s">
        <v>560</v>
      </c>
      <c r="GX60" t="s">
        <v>555</v>
      </c>
      <c r="GY60">
        <v>0</v>
      </c>
      <c r="GZ60">
        <v>0</v>
      </c>
      <c r="HA60">
        <v>0</v>
      </c>
      <c r="HB60" t="s">
        <v>264</v>
      </c>
      <c r="HE60" t="s">
        <v>561</v>
      </c>
      <c r="HF60" t="s">
        <v>555</v>
      </c>
      <c r="HG60">
        <v>0</v>
      </c>
      <c r="HH60">
        <v>0</v>
      </c>
      <c r="HI60">
        <v>0</v>
      </c>
      <c r="HJ60" t="s">
        <v>264</v>
      </c>
      <c r="HM60" t="s">
        <v>562</v>
      </c>
      <c r="HN60" t="s">
        <v>555</v>
      </c>
      <c r="HO60">
        <v>0</v>
      </c>
      <c r="HP60">
        <v>0</v>
      </c>
      <c r="HQ60">
        <v>0</v>
      </c>
      <c r="HR60" t="s">
        <v>264</v>
      </c>
      <c r="HU60" t="s">
        <v>563</v>
      </c>
      <c r="HV60" t="s">
        <v>555</v>
      </c>
      <c r="HW60">
        <v>0</v>
      </c>
      <c r="HX60">
        <v>0</v>
      </c>
      <c r="HY60">
        <v>0</v>
      </c>
      <c r="HZ60" t="s">
        <v>264</v>
      </c>
      <c r="IC60" t="s">
        <v>564</v>
      </c>
      <c r="ID60" t="s">
        <v>555</v>
      </c>
      <c r="IE60">
        <v>0</v>
      </c>
      <c r="IF60">
        <v>0</v>
      </c>
      <c r="IG60">
        <v>0</v>
      </c>
      <c r="IH60" t="s">
        <v>264</v>
      </c>
      <c r="IK60" t="s">
        <v>565</v>
      </c>
      <c r="IL60" t="s">
        <v>555</v>
      </c>
      <c r="IM60">
        <v>0</v>
      </c>
      <c r="IN60">
        <v>0</v>
      </c>
      <c r="IO60">
        <v>0</v>
      </c>
      <c r="IP60" t="s">
        <v>264</v>
      </c>
      <c r="IS60" t="s">
        <v>566</v>
      </c>
      <c r="IT60" t="s">
        <v>555</v>
      </c>
      <c r="IU60">
        <v>0</v>
      </c>
      <c r="IV60">
        <v>0</v>
      </c>
      <c r="IW60">
        <v>0</v>
      </c>
      <c r="IX60" t="s">
        <v>264</v>
      </c>
      <c r="JA60" t="s">
        <v>567</v>
      </c>
      <c r="JB60" t="s">
        <v>555</v>
      </c>
      <c r="JC60">
        <v>0</v>
      </c>
      <c r="JD60">
        <v>0</v>
      </c>
      <c r="JE60">
        <v>0</v>
      </c>
      <c r="JF60" t="s">
        <v>264</v>
      </c>
      <c r="JI60" t="s">
        <v>568</v>
      </c>
      <c r="JJ60" t="s">
        <v>555</v>
      </c>
      <c r="JK60">
        <v>0</v>
      </c>
      <c r="JL60">
        <v>0</v>
      </c>
      <c r="JM60">
        <v>0</v>
      </c>
      <c r="JN60" t="s">
        <v>264</v>
      </c>
      <c r="JQ60" t="s">
        <v>569</v>
      </c>
      <c r="JR60" t="s">
        <v>555</v>
      </c>
      <c r="JS60">
        <v>0</v>
      </c>
      <c r="JT60">
        <v>0</v>
      </c>
      <c r="JU60">
        <v>0</v>
      </c>
      <c r="JV60" t="s">
        <v>264</v>
      </c>
      <c r="JY60" t="s">
        <v>570</v>
      </c>
      <c r="JZ60" t="s">
        <v>555</v>
      </c>
      <c r="KA60">
        <v>0</v>
      </c>
      <c r="KB60">
        <v>0</v>
      </c>
      <c r="KC60">
        <v>0</v>
      </c>
      <c r="KD60" t="s">
        <v>264</v>
      </c>
      <c r="KG60" t="s">
        <v>571</v>
      </c>
      <c r="KH60" t="s">
        <v>555</v>
      </c>
      <c r="KI60">
        <v>0</v>
      </c>
      <c r="KJ60">
        <v>0</v>
      </c>
      <c r="KK60">
        <v>0</v>
      </c>
      <c r="KL60" t="s">
        <v>264</v>
      </c>
      <c r="KO60" t="s">
        <v>572</v>
      </c>
      <c r="KP60" t="s">
        <v>555</v>
      </c>
      <c r="KQ60">
        <v>0</v>
      </c>
      <c r="KR60">
        <v>0</v>
      </c>
      <c r="KS60">
        <v>0</v>
      </c>
      <c r="KT60" t="s">
        <v>264</v>
      </c>
      <c r="KW60" t="s">
        <v>573</v>
      </c>
      <c r="KX60" t="s">
        <v>555</v>
      </c>
      <c r="KY60">
        <v>0</v>
      </c>
      <c r="KZ60">
        <v>0</v>
      </c>
      <c r="LA60">
        <v>0</v>
      </c>
      <c r="LB60" t="s">
        <v>264</v>
      </c>
      <c r="LE60" t="s">
        <v>574</v>
      </c>
      <c r="LF60" t="s">
        <v>555</v>
      </c>
      <c r="LG60">
        <v>0</v>
      </c>
      <c r="LH60">
        <v>0</v>
      </c>
      <c r="LI60">
        <v>0</v>
      </c>
      <c r="LJ60" t="s">
        <v>264</v>
      </c>
      <c r="LM60" t="s">
        <v>575</v>
      </c>
      <c r="LN60" t="s">
        <v>555</v>
      </c>
      <c r="LO60">
        <v>0</v>
      </c>
      <c r="LP60">
        <v>0</v>
      </c>
      <c r="LQ60">
        <v>0</v>
      </c>
      <c r="LR60" t="s">
        <v>264</v>
      </c>
      <c r="LU60" t="s">
        <v>576</v>
      </c>
      <c r="LV60" t="s">
        <v>555</v>
      </c>
      <c r="LW60">
        <v>0</v>
      </c>
      <c r="LX60">
        <v>0</v>
      </c>
      <c r="LY60">
        <v>0</v>
      </c>
      <c r="LZ60" t="s">
        <v>264</v>
      </c>
      <c r="MC60" t="s">
        <v>577</v>
      </c>
      <c r="MD60" t="s">
        <v>555</v>
      </c>
      <c r="ME60">
        <v>0</v>
      </c>
      <c r="MF60">
        <v>0</v>
      </c>
      <c r="MG60">
        <v>0</v>
      </c>
      <c r="MH60" t="s">
        <v>264</v>
      </c>
      <c r="MK60" t="s">
        <v>578</v>
      </c>
      <c r="ML60" t="s">
        <v>555</v>
      </c>
      <c r="MM60">
        <v>0</v>
      </c>
      <c r="MN60">
        <v>0</v>
      </c>
      <c r="MO60">
        <v>0</v>
      </c>
      <c r="MP60" t="s">
        <v>264</v>
      </c>
      <c r="MS60" t="s">
        <v>579</v>
      </c>
      <c r="MT60" t="s">
        <v>555</v>
      </c>
      <c r="MU60">
        <v>0</v>
      </c>
      <c r="MV60">
        <v>0</v>
      </c>
      <c r="MW60">
        <v>0</v>
      </c>
      <c r="MX60" t="s">
        <v>264</v>
      </c>
      <c r="NA60" t="s">
        <v>580</v>
      </c>
      <c r="NB60" t="s">
        <v>555</v>
      </c>
      <c r="NC60">
        <v>0</v>
      </c>
      <c r="ND60">
        <v>0</v>
      </c>
      <c r="NE60">
        <v>0</v>
      </c>
      <c r="NF60" t="s">
        <v>264</v>
      </c>
      <c r="NI60">
        <v>40</v>
      </c>
      <c r="NJ60">
        <v>-7.4</v>
      </c>
      <c r="NP60" t="s">
        <v>624</v>
      </c>
    </row>
    <row r="61" spans="1:380" customFormat="1" x14ac:dyDescent="0.2">
      <c r="A61" t="s">
        <v>517</v>
      </c>
      <c r="B61">
        <v>1</v>
      </c>
      <c r="C61" t="s">
        <v>721</v>
      </c>
      <c r="D61">
        <v>646962325</v>
      </c>
      <c r="E61">
        <v>12602</v>
      </c>
      <c r="F61" t="s">
        <v>542</v>
      </c>
      <c r="G61">
        <v>847922</v>
      </c>
      <c r="H61">
        <v>210021775</v>
      </c>
      <c r="I61" t="s">
        <v>622</v>
      </c>
      <c r="J61" t="s">
        <v>722</v>
      </c>
      <c r="K61" t="s">
        <v>545</v>
      </c>
      <c r="L61" t="s">
        <v>294</v>
      </c>
      <c r="M61" t="s">
        <v>546</v>
      </c>
      <c r="N61" t="s">
        <v>468</v>
      </c>
      <c r="O61" t="s">
        <v>547</v>
      </c>
      <c r="P61" t="s">
        <v>264</v>
      </c>
      <c r="Q61">
        <v>28.9</v>
      </c>
      <c r="R61">
        <v>254</v>
      </c>
      <c r="S61" t="s">
        <v>264</v>
      </c>
      <c r="T61">
        <v>-9999</v>
      </c>
      <c r="U61">
        <v>555</v>
      </c>
      <c r="V61">
        <v>571</v>
      </c>
      <c r="W61">
        <v>546</v>
      </c>
      <c r="X61" t="s">
        <v>270</v>
      </c>
      <c r="Y61">
        <v>0</v>
      </c>
      <c r="Z61">
        <v>55</v>
      </c>
      <c r="AA61" t="s">
        <v>469</v>
      </c>
      <c r="AB61" t="s">
        <v>548</v>
      </c>
      <c r="AC61">
        <v>1</v>
      </c>
      <c r="AD61" t="s">
        <v>549</v>
      </c>
      <c r="AE61">
        <v>0</v>
      </c>
      <c r="AF61">
        <v>16</v>
      </c>
      <c r="AG61" t="s">
        <v>264</v>
      </c>
      <c r="AH61">
        <v>-9999</v>
      </c>
      <c r="AI61">
        <v>549</v>
      </c>
      <c r="AJ61">
        <v>673</v>
      </c>
      <c r="AK61">
        <v>546</v>
      </c>
      <c r="AL61" t="s">
        <v>270</v>
      </c>
      <c r="AM61">
        <v>0</v>
      </c>
      <c r="AN61">
        <v>55</v>
      </c>
      <c r="AO61" t="s">
        <v>470</v>
      </c>
      <c r="AP61" t="s">
        <v>548</v>
      </c>
      <c r="AQ61">
        <v>2</v>
      </c>
      <c r="AR61" t="s">
        <v>549</v>
      </c>
      <c r="AS61">
        <v>54.2</v>
      </c>
      <c r="AT61">
        <v>59</v>
      </c>
      <c r="AU61" t="s">
        <v>264</v>
      </c>
      <c r="AV61">
        <v>-9999</v>
      </c>
      <c r="AW61">
        <v>372</v>
      </c>
      <c r="AX61">
        <v>391</v>
      </c>
      <c r="AY61">
        <v>370</v>
      </c>
      <c r="AZ61" t="s">
        <v>270</v>
      </c>
      <c r="BA61">
        <v>0</v>
      </c>
      <c r="BB61">
        <v>55</v>
      </c>
      <c r="BC61" t="s">
        <v>550</v>
      </c>
      <c r="BD61" t="s">
        <v>548</v>
      </c>
      <c r="BE61">
        <v>3</v>
      </c>
      <c r="BF61" t="s">
        <v>584</v>
      </c>
      <c r="BG61">
        <v>19.7</v>
      </c>
      <c r="BH61">
        <v>78</v>
      </c>
      <c r="BI61" t="s">
        <v>264</v>
      </c>
      <c r="BJ61">
        <v>-9999</v>
      </c>
      <c r="BK61">
        <v>61</v>
      </c>
      <c r="BL61">
        <v>92</v>
      </c>
      <c r="BM61">
        <v>62</v>
      </c>
      <c r="BN61" t="s">
        <v>270</v>
      </c>
      <c r="BO61">
        <v>0</v>
      </c>
      <c r="BP61">
        <v>55</v>
      </c>
      <c r="BQ61" t="s">
        <v>504</v>
      </c>
      <c r="BR61" t="s">
        <v>548</v>
      </c>
      <c r="BS61">
        <v>4</v>
      </c>
      <c r="BT61" t="s">
        <v>549</v>
      </c>
      <c r="BU61">
        <v>52.1</v>
      </c>
      <c r="BV61">
        <v>126</v>
      </c>
      <c r="BW61" t="s">
        <v>264</v>
      </c>
      <c r="BX61">
        <v>-9999</v>
      </c>
      <c r="BY61">
        <v>257</v>
      </c>
      <c r="BZ61">
        <v>297</v>
      </c>
      <c r="CA61">
        <v>255</v>
      </c>
      <c r="CB61" t="s">
        <v>270</v>
      </c>
      <c r="CC61">
        <v>0</v>
      </c>
      <c r="CD61">
        <v>55</v>
      </c>
      <c r="CE61" t="s">
        <v>471</v>
      </c>
      <c r="CF61" t="s">
        <v>548</v>
      </c>
      <c r="CG61">
        <v>5</v>
      </c>
      <c r="CH61" t="s">
        <v>549</v>
      </c>
      <c r="CI61">
        <v>51.1</v>
      </c>
      <c r="CJ61">
        <v>288</v>
      </c>
      <c r="CK61" t="s">
        <v>264</v>
      </c>
      <c r="CL61">
        <v>-9999</v>
      </c>
      <c r="CM61">
        <v>518</v>
      </c>
      <c r="CN61">
        <v>607</v>
      </c>
      <c r="CO61">
        <v>517</v>
      </c>
      <c r="CP61" t="s">
        <v>270</v>
      </c>
      <c r="CQ61">
        <v>0</v>
      </c>
      <c r="CR61">
        <v>55</v>
      </c>
      <c r="CS61" t="s">
        <v>472</v>
      </c>
      <c r="CT61" t="s">
        <v>548</v>
      </c>
      <c r="CU61">
        <v>6</v>
      </c>
      <c r="CV61" t="s">
        <v>549</v>
      </c>
      <c r="CW61">
        <v>52.2</v>
      </c>
      <c r="CX61">
        <v>170</v>
      </c>
      <c r="CY61" t="s">
        <v>264</v>
      </c>
      <c r="CZ61">
        <v>-9999</v>
      </c>
      <c r="DA61">
        <v>640</v>
      </c>
      <c r="DB61">
        <v>726</v>
      </c>
      <c r="DC61">
        <v>630</v>
      </c>
      <c r="DD61" t="s">
        <v>270</v>
      </c>
      <c r="DE61">
        <v>0</v>
      </c>
      <c r="DF61">
        <v>55</v>
      </c>
      <c r="DG61" t="s">
        <v>473</v>
      </c>
      <c r="DH61" t="s">
        <v>548</v>
      </c>
      <c r="DI61">
        <v>7</v>
      </c>
      <c r="DJ61" t="s">
        <v>549</v>
      </c>
      <c r="DK61">
        <v>0</v>
      </c>
      <c r="DL61">
        <v>28</v>
      </c>
      <c r="DM61" t="s">
        <v>264</v>
      </c>
      <c r="DN61">
        <v>-9999</v>
      </c>
      <c r="DO61">
        <v>667</v>
      </c>
      <c r="DP61">
        <v>765</v>
      </c>
      <c r="DQ61">
        <v>663</v>
      </c>
      <c r="DR61" t="s">
        <v>270</v>
      </c>
      <c r="DS61">
        <v>0</v>
      </c>
      <c r="DT61">
        <v>55</v>
      </c>
      <c r="DU61" t="s">
        <v>474</v>
      </c>
      <c r="DV61" t="s">
        <v>548</v>
      </c>
      <c r="DW61">
        <v>8</v>
      </c>
      <c r="DX61" t="s">
        <v>549</v>
      </c>
      <c r="DY61">
        <v>50.3</v>
      </c>
      <c r="DZ61">
        <v>59</v>
      </c>
      <c r="EA61" t="s">
        <v>264</v>
      </c>
      <c r="EB61">
        <v>-9999</v>
      </c>
      <c r="EC61">
        <v>115</v>
      </c>
      <c r="ED61">
        <v>139</v>
      </c>
      <c r="EE61">
        <v>113</v>
      </c>
      <c r="EF61" t="s">
        <v>270</v>
      </c>
      <c r="EG61">
        <v>0</v>
      </c>
      <c r="EH61">
        <v>55</v>
      </c>
      <c r="EI61" t="s">
        <v>475</v>
      </c>
      <c r="EJ61" t="s">
        <v>548</v>
      </c>
      <c r="EK61">
        <v>9</v>
      </c>
      <c r="EL61" t="s">
        <v>549</v>
      </c>
      <c r="EM61">
        <v>0</v>
      </c>
      <c r="EN61">
        <v>15</v>
      </c>
      <c r="EO61" t="s">
        <v>264</v>
      </c>
      <c r="EP61">
        <v>-9999</v>
      </c>
      <c r="EQ61">
        <v>377</v>
      </c>
      <c r="ER61">
        <v>369</v>
      </c>
      <c r="ES61">
        <v>342</v>
      </c>
      <c r="ET61" t="s">
        <v>270</v>
      </c>
      <c r="EU61">
        <v>0</v>
      </c>
      <c r="EV61">
        <v>55</v>
      </c>
      <c r="EW61" t="s">
        <v>551</v>
      </c>
      <c r="EX61" t="s">
        <v>552</v>
      </c>
      <c r="EY61">
        <v>165</v>
      </c>
      <c r="EZ61">
        <v>166</v>
      </c>
      <c r="FA61">
        <v>166</v>
      </c>
      <c r="FB61" t="s">
        <v>270</v>
      </c>
      <c r="FC61" t="s">
        <v>553</v>
      </c>
      <c r="FD61" t="s">
        <v>552</v>
      </c>
      <c r="FE61">
        <v>250</v>
      </c>
      <c r="FF61">
        <v>248</v>
      </c>
      <c r="FG61">
        <v>248</v>
      </c>
      <c r="FH61" t="s">
        <v>270</v>
      </c>
      <c r="FI61" t="s">
        <v>554</v>
      </c>
      <c r="FJ61" t="s">
        <v>555</v>
      </c>
      <c r="FK61">
        <v>0</v>
      </c>
      <c r="FL61">
        <v>0</v>
      </c>
      <c r="FM61">
        <v>0</v>
      </c>
      <c r="FN61" t="s">
        <v>264</v>
      </c>
      <c r="FQ61" t="s">
        <v>556</v>
      </c>
      <c r="FR61" t="s">
        <v>555</v>
      </c>
      <c r="FS61">
        <v>0</v>
      </c>
      <c r="FT61">
        <v>0</v>
      </c>
      <c r="FU61">
        <v>0</v>
      </c>
      <c r="FV61" t="s">
        <v>264</v>
      </c>
      <c r="FY61" t="s">
        <v>557</v>
      </c>
      <c r="FZ61" t="s">
        <v>555</v>
      </c>
      <c r="GA61">
        <v>0</v>
      </c>
      <c r="GB61">
        <v>0</v>
      </c>
      <c r="GC61">
        <v>0</v>
      </c>
      <c r="GD61" t="s">
        <v>264</v>
      </c>
      <c r="GG61" t="s">
        <v>558</v>
      </c>
      <c r="GH61" t="s">
        <v>555</v>
      </c>
      <c r="GI61">
        <v>0</v>
      </c>
      <c r="GJ61">
        <v>0</v>
      </c>
      <c r="GK61">
        <v>0</v>
      </c>
      <c r="GL61" t="s">
        <v>264</v>
      </c>
      <c r="GO61" t="s">
        <v>559</v>
      </c>
      <c r="GP61" t="s">
        <v>555</v>
      </c>
      <c r="GQ61">
        <v>0</v>
      </c>
      <c r="GR61">
        <v>0</v>
      </c>
      <c r="GS61">
        <v>0</v>
      </c>
      <c r="GT61" t="s">
        <v>264</v>
      </c>
      <c r="GW61" t="s">
        <v>560</v>
      </c>
      <c r="GX61" t="s">
        <v>555</v>
      </c>
      <c r="GY61">
        <v>0</v>
      </c>
      <c r="GZ61">
        <v>0</v>
      </c>
      <c r="HA61">
        <v>0</v>
      </c>
      <c r="HB61" t="s">
        <v>264</v>
      </c>
      <c r="HE61" t="s">
        <v>561</v>
      </c>
      <c r="HF61" t="s">
        <v>555</v>
      </c>
      <c r="HG61">
        <v>0</v>
      </c>
      <c r="HH61">
        <v>0</v>
      </c>
      <c r="HI61">
        <v>0</v>
      </c>
      <c r="HJ61" t="s">
        <v>264</v>
      </c>
      <c r="HM61" t="s">
        <v>562</v>
      </c>
      <c r="HN61" t="s">
        <v>555</v>
      </c>
      <c r="HO61">
        <v>0</v>
      </c>
      <c r="HP61">
        <v>0</v>
      </c>
      <c r="HQ61">
        <v>0</v>
      </c>
      <c r="HR61" t="s">
        <v>264</v>
      </c>
      <c r="HU61" t="s">
        <v>563</v>
      </c>
      <c r="HV61" t="s">
        <v>555</v>
      </c>
      <c r="HW61">
        <v>0</v>
      </c>
      <c r="HX61">
        <v>0</v>
      </c>
      <c r="HY61">
        <v>0</v>
      </c>
      <c r="HZ61" t="s">
        <v>264</v>
      </c>
      <c r="IC61" t="s">
        <v>564</v>
      </c>
      <c r="ID61" t="s">
        <v>555</v>
      </c>
      <c r="IE61">
        <v>0</v>
      </c>
      <c r="IF61">
        <v>0</v>
      </c>
      <c r="IG61">
        <v>0</v>
      </c>
      <c r="IH61" t="s">
        <v>264</v>
      </c>
      <c r="IK61" t="s">
        <v>565</v>
      </c>
      <c r="IL61" t="s">
        <v>555</v>
      </c>
      <c r="IM61">
        <v>0</v>
      </c>
      <c r="IN61">
        <v>0</v>
      </c>
      <c r="IO61">
        <v>0</v>
      </c>
      <c r="IP61" t="s">
        <v>264</v>
      </c>
      <c r="IS61" t="s">
        <v>566</v>
      </c>
      <c r="IT61" t="s">
        <v>555</v>
      </c>
      <c r="IU61">
        <v>0</v>
      </c>
      <c r="IV61">
        <v>0</v>
      </c>
      <c r="IW61">
        <v>0</v>
      </c>
      <c r="IX61" t="s">
        <v>264</v>
      </c>
      <c r="JA61" t="s">
        <v>567</v>
      </c>
      <c r="JB61" t="s">
        <v>555</v>
      </c>
      <c r="JC61">
        <v>0</v>
      </c>
      <c r="JD61">
        <v>0</v>
      </c>
      <c r="JE61">
        <v>0</v>
      </c>
      <c r="JF61" t="s">
        <v>264</v>
      </c>
      <c r="JI61" t="s">
        <v>568</v>
      </c>
      <c r="JJ61" t="s">
        <v>555</v>
      </c>
      <c r="JK61">
        <v>0</v>
      </c>
      <c r="JL61">
        <v>0</v>
      </c>
      <c r="JM61">
        <v>0</v>
      </c>
      <c r="JN61" t="s">
        <v>264</v>
      </c>
      <c r="JQ61" t="s">
        <v>569</v>
      </c>
      <c r="JR61" t="s">
        <v>555</v>
      </c>
      <c r="JS61">
        <v>0</v>
      </c>
      <c r="JT61">
        <v>0</v>
      </c>
      <c r="JU61">
        <v>0</v>
      </c>
      <c r="JV61" t="s">
        <v>264</v>
      </c>
      <c r="JY61" t="s">
        <v>570</v>
      </c>
      <c r="JZ61" t="s">
        <v>555</v>
      </c>
      <c r="KA61">
        <v>0</v>
      </c>
      <c r="KB61">
        <v>0</v>
      </c>
      <c r="KC61">
        <v>0</v>
      </c>
      <c r="KD61" t="s">
        <v>264</v>
      </c>
      <c r="KG61" t="s">
        <v>571</v>
      </c>
      <c r="KH61" t="s">
        <v>555</v>
      </c>
      <c r="KI61">
        <v>0</v>
      </c>
      <c r="KJ61">
        <v>0</v>
      </c>
      <c r="KK61">
        <v>0</v>
      </c>
      <c r="KL61" t="s">
        <v>264</v>
      </c>
      <c r="KO61" t="s">
        <v>572</v>
      </c>
      <c r="KP61" t="s">
        <v>555</v>
      </c>
      <c r="KQ61">
        <v>0</v>
      </c>
      <c r="KR61">
        <v>0</v>
      </c>
      <c r="KS61">
        <v>0</v>
      </c>
      <c r="KT61" t="s">
        <v>264</v>
      </c>
      <c r="KW61" t="s">
        <v>573</v>
      </c>
      <c r="KX61" t="s">
        <v>555</v>
      </c>
      <c r="KY61">
        <v>0</v>
      </c>
      <c r="KZ61">
        <v>0</v>
      </c>
      <c r="LA61">
        <v>0</v>
      </c>
      <c r="LB61" t="s">
        <v>264</v>
      </c>
      <c r="LE61" t="s">
        <v>574</v>
      </c>
      <c r="LF61" t="s">
        <v>555</v>
      </c>
      <c r="LG61">
        <v>0</v>
      </c>
      <c r="LH61">
        <v>0</v>
      </c>
      <c r="LI61">
        <v>0</v>
      </c>
      <c r="LJ61" t="s">
        <v>264</v>
      </c>
      <c r="LM61" t="s">
        <v>575</v>
      </c>
      <c r="LN61" t="s">
        <v>555</v>
      </c>
      <c r="LO61">
        <v>0</v>
      </c>
      <c r="LP61">
        <v>0</v>
      </c>
      <c r="LQ61">
        <v>0</v>
      </c>
      <c r="LR61" t="s">
        <v>264</v>
      </c>
      <c r="LU61" t="s">
        <v>576</v>
      </c>
      <c r="LV61" t="s">
        <v>555</v>
      </c>
      <c r="LW61">
        <v>0</v>
      </c>
      <c r="LX61">
        <v>0</v>
      </c>
      <c r="LY61">
        <v>0</v>
      </c>
      <c r="LZ61" t="s">
        <v>264</v>
      </c>
      <c r="MC61" t="s">
        <v>577</v>
      </c>
      <c r="MD61" t="s">
        <v>555</v>
      </c>
      <c r="ME61">
        <v>0</v>
      </c>
      <c r="MF61">
        <v>0</v>
      </c>
      <c r="MG61">
        <v>0</v>
      </c>
      <c r="MH61" t="s">
        <v>264</v>
      </c>
      <c r="MK61" t="s">
        <v>578</v>
      </c>
      <c r="ML61" t="s">
        <v>555</v>
      </c>
      <c r="MM61">
        <v>0</v>
      </c>
      <c r="MN61">
        <v>0</v>
      </c>
      <c r="MO61">
        <v>0</v>
      </c>
      <c r="MP61" t="s">
        <v>264</v>
      </c>
      <c r="MS61" t="s">
        <v>579</v>
      </c>
      <c r="MT61" t="s">
        <v>555</v>
      </c>
      <c r="MU61">
        <v>0</v>
      </c>
      <c r="MV61">
        <v>0</v>
      </c>
      <c r="MW61">
        <v>0</v>
      </c>
      <c r="MX61" t="s">
        <v>264</v>
      </c>
      <c r="NA61" t="s">
        <v>580</v>
      </c>
      <c r="NB61" t="s">
        <v>555</v>
      </c>
      <c r="NC61">
        <v>0</v>
      </c>
      <c r="ND61">
        <v>0</v>
      </c>
      <c r="NE61">
        <v>0</v>
      </c>
      <c r="NF61" t="s">
        <v>264</v>
      </c>
      <c r="NI61">
        <v>40</v>
      </c>
      <c r="NJ61">
        <v>-4.7</v>
      </c>
      <c r="NP61" t="s">
        <v>624</v>
      </c>
    </row>
    <row r="62" spans="1:380" customFormat="1" x14ac:dyDescent="0.2">
      <c r="A62" t="s">
        <v>517</v>
      </c>
      <c r="B62">
        <v>1</v>
      </c>
      <c r="C62" t="s">
        <v>723</v>
      </c>
      <c r="D62">
        <v>646965228</v>
      </c>
      <c r="E62">
        <v>12602</v>
      </c>
      <c r="F62" t="s">
        <v>542</v>
      </c>
      <c r="G62">
        <v>847922</v>
      </c>
      <c r="H62">
        <v>210017455</v>
      </c>
      <c r="I62" t="s">
        <v>622</v>
      </c>
      <c r="J62" t="s">
        <v>724</v>
      </c>
      <c r="K62" t="s">
        <v>545</v>
      </c>
      <c r="L62" t="s">
        <v>294</v>
      </c>
      <c r="M62" t="s">
        <v>546</v>
      </c>
      <c r="N62" t="s">
        <v>468</v>
      </c>
      <c r="O62" t="s">
        <v>547</v>
      </c>
      <c r="P62" t="s">
        <v>270</v>
      </c>
      <c r="Q62">
        <v>27.3</v>
      </c>
      <c r="R62">
        <v>255</v>
      </c>
      <c r="S62" t="s">
        <v>270</v>
      </c>
      <c r="T62">
        <v>-9999</v>
      </c>
      <c r="U62">
        <v>785</v>
      </c>
      <c r="V62">
        <v>811</v>
      </c>
      <c r="W62">
        <v>772</v>
      </c>
      <c r="X62" t="s">
        <v>270</v>
      </c>
      <c r="Y62">
        <v>0</v>
      </c>
      <c r="Z62">
        <v>55</v>
      </c>
      <c r="AA62" t="s">
        <v>469</v>
      </c>
      <c r="AB62" t="s">
        <v>548</v>
      </c>
      <c r="AC62">
        <v>1</v>
      </c>
      <c r="AD62" t="s">
        <v>549</v>
      </c>
      <c r="AE62">
        <v>0</v>
      </c>
      <c r="AF62">
        <v>31</v>
      </c>
      <c r="AG62" t="s">
        <v>264</v>
      </c>
      <c r="AH62">
        <v>-9999</v>
      </c>
      <c r="AI62">
        <v>445</v>
      </c>
      <c r="AJ62">
        <v>561</v>
      </c>
      <c r="AK62">
        <v>448</v>
      </c>
      <c r="AL62" t="s">
        <v>270</v>
      </c>
      <c r="AM62">
        <v>0</v>
      </c>
      <c r="AN62">
        <v>55</v>
      </c>
      <c r="AO62" t="s">
        <v>470</v>
      </c>
      <c r="AP62" t="s">
        <v>548</v>
      </c>
      <c r="AQ62">
        <v>2</v>
      </c>
      <c r="AR62" t="s">
        <v>549</v>
      </c>
      <c r="AS62">
        <v>54.4</v>
      </c>
      <c r="AT62">
        <v>50</v>
      </c>
      <c r="AU62" t="s">
        <v>264</v>
      </c>
      <c r="AV62">
        <v>-9999</v>
      </c>
      <c r="AW62">
        <v>445</v>
      </c>
      <c r="AX62">
        <v>471</v>
      </c>
      <c r="AY62">
        <v>444</v>
      </c>
      <c r="AZ62" t="s">
        <v>270</v>
      </c>
      <c r="BA62">
        <v>0</v>
      </c>
      <c r="BB62">
        <v>55</v>
      </c>
      <c r="BC62" t="s">
        <v>550</v>
      </c>
      <c r="BD62" t="s">
        <v>548</v>
      </c>
      <c r="BE62">
        <v>3</v>
      </c>
      <c r="BF62" t="s">
        <v>549</v>
      </c>
      <c r="BG62">
        <v>0</v>
      </c>
      <c r="BH62">
        <v>1</v>
      </c>
      <c r="BI62" t="s">
        <v>264</v>
      </c>
      <c r="BJ62">
        <v>-9999</v>
      </c>
      <c r="BK62">
        <v>270</v>
      </c>
      <c r="BL62">
        <v>322</v>
      </c>
      <c r="BM62">
        <v>262</v>
      </c>
      <c r="BN62" t="s">
        <v>270</v>
      </c>
      <c r="BO62">
        <v>0</v>
      </c>
      <c r="BP62">
        <v>55</v>
      </c>
      <c r="BQ62" t="s">
        <v>504</v>
      </c>
      <c r="BR62" t="s">
        <v>548</v>
      </c>
      <c r="BS62">
        <v>4</v>
      </c>
      <c r="BT62" t="s">
        <v>549</v>
      </c>
      <c r="BU62">
        <v>53.4</v>
      </c>
      <c r="BV62">
        <v>51</v>
      </c>
      <c r="BW62" t="s">
        <v>264</v>
      </c>
      <c r="BX62">
        <v>-9999</v>
      </c>
      <c r="BY62">
        <v>258</v>
      </c>
      <c r="BZ62">
        <v>300</v>
      </c>
      <c r="CA62">
        <v>256</v>
      </c>
      <c r="CB62" t="s">
        <v>270</v>
      </c>
      <c r="CC62">
        <v>0</v>
      </c>
      <c r="CD62">
        <v>55</v>
      </c>
      <c r="CE62" t="s">
        <v>471</v>
      </c>
      <c r="CF62" t="s">
        <v>548</v>
      </c>
      <c r="CG62">
        <v>5</v>
      </c>
      <c r="CH62" t="s">
        <v>549</v>
      </c>
      <c r="CI62">
        <v>51.1</v>
      </c>
      <c r="CJ62">
        <v>186</v>
      </c>
      <c r="CK62" t="s">
        <v>264</v>
      </c>
      <c r="CL62">
        <v>-9999</v>
      </c>
      <c r="CM62">
        <v>467</v>
      </c>
      <c r="CN62">
        <v>545</v>
      </c>
      <c r="CO62">
        <v>465</v>
      </c>
      <c r="CP62" t="s">
        <v>270</v>
      </c>
      <c r="CQ62">
        <v>0</v>
      </c>
      <c r="CR62">
        <v>55</v>
      </c>
      <c r="CS62" t="s">
        <v>472</v>
      </c>
      <c r="CT62" t="s">
        <v>548</v>
      </c>
      <c r="CU62">
        <v>6</v>
      </c>
      <c r="CV62" t="s">
        <v>549</v>
      </c>
      <c r="CW62">
        <v>53.8</v>
      </c>
      <c r="CX62">
        <v>78</v>
      </c>
      <c r="CY62" t="s">
        <v>264</v>
      </c>
      <c r="CZ62">
        <v>-9999</v>
      </c>
      <c r="DA62">
        <v>816</v>
      </c>
      <c r="DB62">
        <v>926</v>
      </c>
      <c r="DC62">
        <v>803</v>
      </c>
      <c r="DD62" t="s">
        <v>270</v>
      </c>
      <c r="DE62">
        <v>0</v>
      </c>
      <c r="DF62">
        <v>55</v>
      </c>
      <c r="DG62" t="s">
        <v>473</v>
      </c>
      <c r="DH62" t="s">
        <v>548</v>
      </c>
      <c r="DI62">
        <v>7</v>
      </c>
      <c r="DJ62" t="s">
        <v>549</v>
      </c>
      <c r="DK62">
        <v>0</v>
      </c>
      <c r="DL62">
        <v>30</v>
      </c>
      <c r="DM62" t="s">
        <v>264</v>
      </c>
      <c r="DN62">
        <v>-9999</v>
      </c>
      <c r="DO62">
        <v>579</v>
      </c>
      <c r="DP62">
        <v>665</v>
      </c>
      <c r="DQ62">
        <v>575</v>
      </c>
      <c r="DR62" t="s">
        <v>270</v>
      </c>
      <c r="DS62">
        <v>0</v>
      </c>
      <c r="DT62">
        <v>55</v>
      </c>
      <c r="DU62" t="s">
        <v>474</v>
      </c>
      <c r="DV62" t="s">
        <v>548</v>
      </c>
      <c r="DW62">
        <v>8</v>
      </c>
      <c r="DX62" t="s">
        <v>549</v>
      </c>
      <c r="DY62">
        <v>50.2</v>
      </c>
      <c r="DZ62">
        <v>35</v>
      </c>
      <c r="EA62" t="s">
        <v>264</v>
      </c>
      <c r="EB62">
        <v>-9999</v>
      </c>
      <c r="EC62">
        <v>116</v>
      </c>
      <c r="ED62">
        <v>140</v>
      </c>
      <c r="EE62">
        <v>115</v>
      </c>
      <c r="EF62" t="s">
        <v>270</v>
      </c>
      <c r="EG62">
        <v>0</v>
      </c>
      <c r="EH62">
        <v>55</v>
      </c>
      <c r="EI62" t="s">
        <v>475</v>
      </c>
      <c r="EJ62" t="s">
        <v>548</v>
      </c>
      <c r="EK62">
        <v>9</v>
      </c>
      <c r="EL62" t="s">
        <v>549</v>
      </c>
      <c r="EM62">
        <v>0</v>
      </c>
      <c r="EN62">
        <v>7</v>
      </c>
      <c r="EO62" t="s">
        <v>264</v>
      </c>
      <c r="EP62">
        <v>-9999</v>
      </c>
      <c r="EQ62">
        <v>287</v>
      </c>
      <c r="ER62">
        <v>257</v>
      </c>
      <c r="ES62">
        <v>243</v>
      </c>
      <c r="ET62" t="s">
        <v>270</v>
      </c>
      <c r="EU62">
        <v>0</v>
      </c>
      <c r="EV62">
        <v>55</v>
      </c>
      <c r="EW62" t="s">
        <v>551</v>
      </c>
      <c r="EX62" t="s">
        <v>552</v>
      </c>
      <c r="EY62">
        <v>145</v>
      </c>
      <c r="EZ62">
        <v>145</v>
      </c>
      <c r="FA62">
        <v>146</v>
      </c>
      <c r="FB62" t="s">
        <v>270</v>
      </c>
      <c r="FC62" t="s">
        <v>553</v>
      </c>
      <c r="FD62" t="s">
        <v>552</v>
      </c>
      <c r="FE62">
        <v>339</v>
      </c>
      <c r="FF62">
        <v>338</v>
      </c>
      <c r="FG62">
        <v>337</v>
      </c>
      <c r="FH62" t="s">
        <v>270</v>
      </c>
      <c r="FI62" t="s">
        <v>554</v>
      </c>
      <c r="FJ62" t="s">
        <v>555</v>
      </c>
      <c r="FK62">
        <v>0</v>
      </c>
      <c r="FL62">
        <v>0</v>
      </c>
      <c r="FM62">
        <v>0</v>
      </c>
      <c r="FN62" t="s">
        <v>264</v>
      </c>
      <c r="FQ62" t="s">
        <v>556</v>
      </c>
      <c r="FR62" t="s">
        <v>555</v>
      </c>
      <c r="FS62">
        <v>0</v>
      </c>
      <c r="FT62">
        <v>0</v>
      </c>
      <c r="FU62">
        <v>0</v>
      </c>
      <c r="FV62" t="s">
        <v>264</v>
      </c>
      <c r="FY62" t="s">
        <v>557</v>
      </c>
      <c r="FZ62" t="s">
        <v>555</v>
      </c>
      <c r="GA62">
        <v>0</v>
      </c>
      <c r="GB62">
        <v>0</v>
      </c>
      <c r="GC62">
        <v>0</v>
      </c>
      <c r="GD62" t="s">
        <v>264</v>
      </c>
      <c r="GG62" t="s">
        <v>558</v>
      </c>
      <c r="GH62" t="s">
        <v>555</v>
      </c>
      <c r="GI62">
        <v>0</v>
      </c>
      <c r="GJ62">
        <v>0</v>
      </c>
      <c r="GK62">
        <v>0</v>
      </c>
      <c r="GL62" t="s">
        <v>264</v>
      </c>
      <c r="GO62" t="s">
        <v>559</v>
      </c>
      <c r="GP62" t="s">
        <v>555</v>
      </c>
      <c r="GQ62">
        <v>0</v>
      </c>
      <c r="GR62">
        <v>0</v>
      </c>
      <c r="GS62">
        <v>0</v>
      </c>
      <c r="GT62" t="s">
        <v>264</v>
      </c>
      <c r="GW62" t="s">
        <v>560</v>
      </c>
      <c r="GX62" t="s">
        <v>555</v>
      </c>
      <c r="GY62">
        <v>0</v>
      </c>
      <c r="GZ62">
        <v>0</v>
      </c>
      <c r="HA62">
        <v>0</v>
      </c>
      <c r="HB62" t="s">
        <v>264</v>
      </c>
      <c r="HE62" t="s">
        <v>561</v>
      </c>
      <c r="HF62" t="s">
        <v>555</v>
      </c>
      <c r="HG62">
        <v>0</v>
      </c>
      <c r="HH62">
        <v>0</v>
      </c>
      <c r="HI62">
        <v>0</v>
      </c>
      <c r="HJ62" t="s">
        <v>264</v>
      </c>
      <c r="HM62" t="s">
        <v>562</v>
      </c>
      <c r="HN62" t="s">
        <v>555</v>
      </c>
      <c r="HO62">
        <v>0</v>
      </c>
      <c r="HP62">
        <v>0</v>
      </c>
      <c r="HQ62">
        <v>0</v>
      </c>
      <c r="HR62" t="s">
        <v>264</v>
      </c>
      <c r="HU62" t="s">
        <v>563</v>
      </c>
      <c r="HV62" t="s">
        <v>555</v>
      </c>
      <c r="HW62">
        <v>0</v>
      </c>
      <c r="HX62">
        <v>0</v>
      </c>
      <c r="HY62">
        <v>0</v>
      </c>
      <c r="HZ62" t="s">
        <v>264</v>
      </c>
      <c r="IC62" t="s">
        <v>564</v>
      </c>
      <c r="ID62" t="s">
        <v>555</v>
      </c>
      <c r="IE62">
        <v>0</v>
      </c>
      <c r="IF62">
        <v>0</v>
      </c>
      <c r="IG62">
        <v>0</v>
      </c>
      <c r="IH62" t="s">
        <v>264</v>
      </c>
      <c r="IK62" t="s">
        <v>565</v>
      </c>
      <c r="IL62" t="s">
        <v>555</v>
      </c>
      <c r="IM62">
        <v>0</v>
      </c>
      <c r="IN62">
        <v>0</v>
      </c>
      <c r="IO62">
        <v>0</v>
      </c>
      <c r="IP62" t="s">
        <v>264</v>
      </c>
      <c r="IS62" t="s">
        <v>566</v>
      </c>
      <c r="IT62" t="s">
        <v>555</v>
      </c>
      <c r="IU62">
        <v>0</v>
      </c>
      <c r="IV62">
        <v>0</v>
      </c>
      <c r="IW62">
        <v>0</v>
      </c>
      <c r="IX62" t="s">
        <v>264</v>
      </c>
      <c r="JA62" t="s">
        <v>567</v>
      </c>
      <c r="JB62" t="s">
        <v>555</v>
      </c>
      <c r="JC62">
        <v>0</v>
      </c>
      <c r="JD62">
        <v>0</v>
      </c>
      <c r="JE62">
        <v>0</v>
      </c>
      <c r="JF62" t="s">
        <v>264</v>
      </c>
      <c r="JI62" t="s">
        <v>568</v>
      </c>
      <c r="JJ62" t="s">
        <v>555</v>
      </c>
      <c r="JK62">
        <v>0</v>
      </c>
      <c r="JL62">
        <v>0</v>
      </c>
      <c r="JM62">
        <v>0</v>
      </c>
      <c r="JN62" t="s">
        <v>264</v>
      </c>
      <c r="JQ62" t="s">
        <v>569</v>
      </c>
      <c r="JR62" t="s">
        <v>555</v>
      </c>
      <c r="JS62">
        <v>0</v>
      </c>
      <c r="JT62">
        <v>0</v>
      </c>
      <c r="JU62">
        <v>0</v>
      </c>
      <c r="JV62" t="s">
        <v>264</v>
      </c>
      <c r="JY62" t="s">
        <v>570</v>
      </c>
      <c r="JZ62" t="s">
        <v>555</v>
      </c>
      <c r="KA62">
        <v>0</v>
      </c>
      <c r="KB62">
        <v>0</v>
      </c>
      <c r="KC62">
        <v>0</v>
      </c>
      <c r="KD62" t="s">
        <v>264</v>
      </c>
      <c r="KG62" t="s">
        <v>571</v>
      </c>
      <c r="KH62" t="s">
        <v>555</v>
      </c>
      <c r="KI62">
        <v>0</v>
      </c>
      <c r="KJ62">
        <v>0</v>
      </c>
      <c r="KK62">
        <v>0</v>
      </c>
      <c r="KL62" t="s">
        <v>264</v>
      </c>
      <c r="KO62" t="s">
        <v>572</v>
      </c>
      <c r="KP62" t="s">
        <v>555</v>
      </c>
      <c r="KQ62">
        <v>0</v>
      </c>
      <c r="KR62">
        <v>0</v>
      </c>
      <c r="KS62">
        <v>0</v>
      </c>
      <c r="KT62" t="s">
        <v>264</v>
      </c>
      <c r="KW62" t="s">
        <v>573</v>
      </c>
      <c r="KX62" t="s">
        <v>555</v>
      </c>
      <c r="KY62">
        <v>0</v>
      </c>
      <c r="KZ62">
        <v>0</v>
      </c>
      <c r="LA62">
        <v>0</v>
      </c>
      <c r="LB62" t="s">
        <v>264</v>
      </c>
      <c r="LE62" t="s">
        <v>574</v>
      </c>
      <c r="LF62" t="s">
        <v>555</v>
      </c>
      <c r="LG62">
        <v>0</v>
      </c>
      <c r="LH62">
        <v>0</v>
      </c>
      <c r="LI62">
        <v>0</v>
      </c>
      <c r="LJ62" t="s">
        <v>264</v>
      </c>
      <c r="LM62" t="s">
        <v>575</v>
      </c>
      <c r="LN62" t="s">
        <v>555</v>
      </c>
      <c r="LO62">
        <v>0</v>
      </c>
      <c r="LP62">
        <v>0</v>
      </c>
      <c r="LQ62">
        <v>0</v>
      </c>
      <c r="LR62" t="s">
        <v>264</v>
      </c>
      <c r="LU62" t="s">
        <v>576</v>
      </c>
      <c r="LV62" t="s">
        <v>555</v>
      </c>
      <c r="LW62">
        <v>0</v>
      </c>
      <c r="LX62">
        <v>0</v>
      </c>
      <c r="LY62">
        <v>0</v>
      </c>
      <c r="LZ62" t="s">
        <v>264</v>
      </c>
      <c r="MC62" t="s">
        <v>577</v>
      </c>
      <c r="MD62" t="s">
        <v>555</v>
      </c>
      <c r="ME62">
        <v>0</v>
      </c>
      <c r="MF62">
        <v>0</v>
      </c>
      <c r="MG62">
        <v>0</v>
      </c>
      <c r="MH62" t="s">
        <v>264</v>
      </c>
      <c r="MK62" t="s">
        <v>578</v>
      </c>
      <c r="ML62" t="s">
        <v>555</v>
      </c>
      <c r="MM62">
        <v>0</v>
      </c>
      <c r="MN62">
        <v>0</v>
      </c>
      <c r="MO62">
        <v>0</v>
      </c>
      <c r="MP62" t="s">
        <v>264</v>
      </c>
      <c r="MS62" t="s">
        <v>579</v>
      </c>
      <c r="MT62" t="s">
        <v>555</v>
      </c>
      <c r="MU62">
        <v>0</v>
      </c>
      <c r="MV62">
        <v>0</v>
      </c>
      <c r="MW62">
        <v>0</v>
      </c>
      <c r="MX62" t="s">
        <v>264</v>
      </c>
      <c r="NA62" t="s">
        <v>580</v>
      </c>
      <c r="NB62" t="s">
        <v>555</v>
      </c>
      <c r="NC62">
        <v>0</v>
      </c>
      <c r="ND62">
        <v>0</v>
      </c>
      <c r="NE62">
        <v>0</v>
      </c>
      <c r="NF62" t="s">
        <v>264</v>
      </c>
      <c r="NI62">
        <v>40.1</v>
      </c>
      <c r="NJ62">
        <v>-9.6999999999999993</v>
      </c>
      <c r="NP62" t="s">
        <v>624</v>
      </c>
    </row>
    <row r="63" spans="1:380" customFormat="1" x14ac:dyDescent="0.2">
      <c r="A63" t="s">
        <v>517</v>
      </c>
      <c r="B63">
        <v>1</v>
      </c>
      <c r="C63" t="s">
        <v>725</v>
      </c>
      <c r="D63">
        <v>646964744</v>
      </c>
      <c r="E63">
        <v>12602</v>
      </c>
      <c r="F63" t="s">
        <v>542</v>
      </c>
      <c r="G63">
        <v>847922</v>
      </c>
      <c r="H63">
        <v>210032479</v>
      </c>
      <c r="I63" t="s">
        <v>622</v>
      </c>
      <c r="J63" t="s">
        <v>726</v>
      </c>
      <c r="K63" t="s">
        <v>545</v>
      </c>
      <c r="L63" t="s">
        <v>294</v>
      </c>
      <c r="M63" t="s">
        <v>546</v>
      </c>
      <c r="N63" t="s">
        <v>468</v>
      </c>
      <c r="O63" t="s">
        <v>547</v>
      </c>
      <c r="P63" t="s">
        <v>264</v>
      </c>
      <c r="Q63">
        <v>29.5</v>
      </c>
      <c r="R63">
        <v>254</v>
      </c>
      <c r="S63" t="s">
        <v>264</v>
      </c>
      <c r="T63">
        <v>-9999</v>
      </c>
      <c r="U63">
        <v>659</v>
      </c>
      <c r="V63">
        <v>678</v>
      </c>
      <c r="W63">
        <v>644</v>
      </c>
      <c r="X63" t="s">
        <v>270</v>
      </c>
      <c r="Y63">
        <v>0</v>
      </c>
      <c r="Z63">
        <v>55</v>
      </c>
      <c r="AA63" t="s">
        <v>469</v>
      </c>
      <c r="AB63" t="s">
        <v>548</v>
      </c>
      <c r="AC63">
        <v>1</v>
      </c>
      <c r="AD63" t="s">
        <v>549</v>
      </c>
      <c r="AE63">
        <v>0</v>
      </c>
      <c r="AF63">
        <v>10</v>
      </c>
      <c r="AG63" t="s">
        <v>264</v>
      </c>
      <c r="AH63">
        <v>-9999</v>
      </c>
      <c r="AI63">
        <v>603</v>
      </c>
      <c r="AJ63">
        <v>733</v>
      </c>
      <c r="AK63">
        <v>596</v>
      </c>
      <c r="AL63" t="s">
        <v>270</v>
      </c>
      <c r="AM63">
        <v>0</v>
      </c>
      <c r="AN63">
        <v>55</v>
      </c>
      <c r="AO63" t="s">
        <v>470</v>
      </c>
      <c r="AP63" t="s">
        <v>548</v>
      </c>
      <c r="AQ63">
        <v>2</v>
      </c>
      <c r="AR63" t="s">
        <v>549</v>
      </c>
      <c r="AS63">
        <v>54.5</v>
      </c>
      <c r="AT63">
        <v>49</v>
      </c>
      <c r="AU63" t="s">
        <v>264</v>
      </c>
      <c r="AV63">
        <v>-9999</v>
      </c>
      <c r="AW63">
        <v>352</v>
      </c>
      <c r="AX63">
        <v>370</v>
      </c>
      <c r="AY63">
        <v>350</v>
      </c>
      <c r="AZ63" t="s">
        <v>270</v>
      </c>
      <c r="BA63">
        <v>0</v>
      </c>
      <c r="BB63">
        <v>55</v>
      </c>
      <c r="BC63" t="s">
        <v>550</v>
      </c>
      <c r="BD63" t="s">
        <v>548</v>
      </c>
      <c r="BE63">
        <v>3</v>
      </c>
      <c r="BF63" t="s">
        <v>584</v>
      </c>
      <c r="BG63">
        <v>21.7</v>
      </c>
      <c r="BH63">
        <v>70</v>
      </c>
      <c r="BI63" t="s">
        <v>264</v>
      </c>
      <c r="BJ63">
        <v>-9999</v>
      </c>
      <c r="BK63">
        <v>61</v>
      </c>
      <c r="BL63">
        <v>92</v>
      </c>
      <c r="BM63">
        <v>66</v>
      </c>
      <c r="BN63" t="s">
        <v>270</v>
      </c>
      <c r="BO63">
        <v>0</v>
      </c>
      <c r="BP63">
        <v>55</v>
      </c>
      <c r="BQ63" t="s">
        <v>504</v>
      </c>
      <c r="BR63" t="s">
        <v>548</v>
      </c>
      <c r="BS63">
        <v>4</v>
      </c>
      <c r="BT63" t="s">
        <v>549</v>
      </c>
      <c r="BU63">
        <v>52.3</v>
      </c>
      <c r="BV63">
        <v>86</v>
      </c>
      <c r="BW63" t="s">
        <v>264</v>
      </c>
      <c r="BX63">
        <v>-9999</v>
      </c>
      <c r="BY63">
        <v>244</v>
      </c>
      <c r="BZ63">
        <v>282</v>
      </c>
      <c r="CA63">
        <v>242</v>
      </c>
      <c r="CB63" t="s">
        <v>270</v>
      </c>
      <c r="CC63">
        <v>0</v>
      </c>
      <c r="CD63">
        <v>55</v>
      </c>
      <c r="CE63" t="s">
        <v>471</v>
      </c>
      <c r="CF63" t="s">
        <v>548</v>
      </c>
      <c r="CG63">
        <v>5</v>
      </c>
      <c r="CH63" t="s">
        <v>549</v>
      </c>
      <c r="CI63">
        <v>51.9</v>
      </c>
      <c r="CJ63">
        <v>173</v>
      </c>
      <c r="CK63" t="s">
        <v>264</v>
      </c>
      <c r="CL63">
        <v>-9999</v>
      </c>
      <c r="CM63">
        <v>628</v>
      </c>
      <c r="CN63">
        <v>734</v>
      </c>
      <c r="CO63">
        <v>627</v>
      </c>
      <c r="CP63" t="s">
        <v>270</v>
      </c>
      <c r="CQ63">
        <v>0</v>
      </c>
      <c r="CR63">
        <v>55</v>
      </c>
      <c r="CS63" t="s">
        <v>472</v>
      </c>
      <c r="CT63" t="s">
        <v>548</v>
      </c>
      <c r="CU63">
        <v>6</v>
      </c>
      <c r="CV63" t="s">
        <v>549</v>
      </c>
      <c r="CW63">
        <v>53.6</v>
      </c>
      <c r="CX63">
        <v>88</v>
      </c>
      <c r="CY63" t="s">
        <v>264</v>
      </c>
      <c r="CZ63">
        <v>-9999</v>
      </c>
      <c r="DA63">
        <v>742</v>
      </c>
      <c r="DB63">
        <v>841</v>
      </c>
      <c r="DC63">
        <v>729</v>
      </c>
      <c r="DD63" t="s">
        <v>270</v>
      </c>
      <c r="DE63">
        <v>0</v>
      </c>
      <c r="DF63">
        <v>55</v>
      </c>
      <c r="DG63" t="s">
        <v>473</v>
      </c>
      <c r="DH63" t="s">
        <v>548</v>
      </c>
      <c r="DI63">
        <v>7</v>
      </c>
      <c r="DJ63" t="s">
        <v>549</v>
      </c>
      <c r="DK63">
        <v>0</v>
      </c>
      <c r="DL63">
        <v>31</v>
      </c>
      <c r="DM63" t="s">
        <v>264</v>
      </c>
      <c r="DN63">
        <v>-9999</v>
      </c>
      <c r="DO63">
        <v>588</v>
      </c>
      <c r="DP63">
        <v>673</v>
      </c>
      <c r="DQ63">
        <v>583</v>
      </c>
      <c r="DR63" t="s">
        <v>270</v>
      </c>
      <c r="DS63">
        <v>0</v>
      </c>
      <c r="DT63">
        <v>55</v>
      </c>
      <c r="DU63" t="s">
        <v>474</v>
      </c>
      <c r="DV63" t="s">
        <v>548</v>
      </c>
      <c r="DW63">
        <v>8</v>
      </c>
      <c r="DX63" t="s">
        <v>549</v>
      </c>
      <c r="DY63">
        <v>50.4</v>
      </c>
      <c r="DZ63">
        <v>37</v>
      </c>
      <c r="EA63" t="s">
        <v>264</v>
      </c>
      <c r="EB63">
        <v>-9999</v>
      </c>
      <c r="EC63">
        <v>91</v>
      </c>
      <c r="ED63">
        <v>113</v>
      </c>
      <c r="EE63">
        <v>89</v>
      </c>
      <c r="EF63" t="s">
        <v>270</v>
      </c>
      <c r="EG63">
        <v>0</v>
      </c>
      <c r="EH63">
        <v>55</v>
      </c>
      <c r="EI63" t="s">
        <v>475</v>
      </c>
      <c r="EJ63" t="s">
        <v>548</v>
      </c>
      <c r="EK63">
        <v>9</v>
      </c>
      <c r="EL63" t="s">
        <v>549</v>
      </c>
      <c r="EM63">
        <v>0</v>
      </c>
      <c r="EN63">
        <v>3</v>
      </c>
      <c r="EO63" t="s">
        <v>264</v>
      </c>
      <c r="EP63">
        <v>-9999</v>
      </c>
      <c r="EQ63">
        <v>353</v>
      </c>
      <c r="ER63">
        <v>328</v>
      </c>
      <c r="ES63">
        <v>302</v>
      </c>
      <c r="ET63" t="s">
        <v>270</v>
      </c>
      <c r="EU63">
        <v>0</v>
      </c>
      <c r="EV63">
        <v>55</v>
      </c>
      <c r="EW63" t="s">
        <v>551</v>
      </c>
      <c r="EX63" t="s">
        <v>552</v>
      </c>
      <c r="EY63">
        <v>148</v>
      </c>
      <c r="EZ63">
        <v>148</v>
      </c>
      <c r="FA63">
        <v>149</v>
      </c>
      <c r="FB63" t="s">
        <v>270</v>
      </c>
      <c r="FC63" t="s">
        <v>553</v>
      </c>
      <c r="FD63" t="s">
        <v>552</v>
      </c>
      <c r="FE63">
        <v>230</v>
      </c>
      <c r="FF63">
        <v>228</v>
      </c>
      <c r="FG63">
        <v>227</v>
      </c>
      <c r="FH63" t="s">
        <v>270</v>
      </c>
      <c r="FI63" t="s">
        <v>554</v>
      </c>
      <c r="FJ63" t="s">
        <v>555</v>
      </c>
      <c r="FK63">
        <v>0</v>
      </c>
      <c r="FL63">
        <v>0</v>
      </c>
      <c r="FM63">
        <v>0</v>
      </c>
      <c r="FN63" t="s">
        <v>264</v>
      </c>
      <c r="FQ63" t="s">
        <v>556</v>
      </c>
      <c r="FR63" t="s">
        <v>555</v>
      </c>
      <c r="FS63">
        <v>0</v>
      </c>
      <c r="FT63">
        <v>0</v>
      </c>
      <c r="FU63">
        <v>0</v>
      </c>
      <c r="FV63" t="s">
        <v>264</v>
      </c>
      <c r="FY63" t="s">
        <v>557</v>
      </c>
      <c r="FZ63" t="s">
        <v>555</v>
      </c>
      <c r="GA63">
        <v>0</v>
      </c>
      <c r="GB63">
        <v>0</v>
      </c>
      <c r="GC63">
        <v>0</v>
      </c>
      <c r="GD63" t="s">
        <v>264</v>
      </c>
      <c r="GG63" t="s">
        <v>558</v>
      </c>
      <c r="GH63" t="s">
        <v>555</v>
      </c>
      <c r="GI63">
        <v>0</v>
      </c>
      <c r="GJ63">
        <v>0</v>
      </c>
      <c r="GK63">
        <v>0</v>
      </c>
      <c r="GL63" t="s">
        <v>264</v>
      </c>
      <c r="GO63" t="s">
        <v>559</v>
      </c>
      <c r="GP63" t="s">
        <v>555</v>
      </c>
      <c r="GQ63">
        <v>0</v>
      </c>
      <c r="GR63">
        <v>0</v>
      </c>
      <c r="GS63">
        <v>0</v>
      </c>
      <c r="GT63" t="s">
        <v>264</v>
      </c>
      <c r="GW63" t="s">
        <v>560</v>
      </c>
      <c r="GX63" t="s">
        <v>555</v>
      </c>
      <c r="GY63">
        <v>0</v>
      </c>
      <c r="GZ63">
        <v>0</v>
      </c>
      <c r="HA63">
        <v>0</v>
      </c>
      <c r="HB63" t="s">
        <v>264</v>
      </c>
      <c r="HE63" t="s">
        <v>561</v>
      </c>
      <c r="HF63" t="s">
        <v>555</v>
      </c>
      <c r="HG63">
        <v>0</v>
      </c>
      <c r="HH63">
        <v>0</v>
      </c>
      <c r="HI63">
        <v>0</v>
      </c>
      <c r="HJ63" t="s">
        <v>264</v>
      </c>
      <c r="HM63" t="s">
        <v>562</v>
      </c>
      <c r="HN63" t="s">
        <v>555</v>
      </c>
      <c r="HO63">
        <v>0</v>
      </c>
      <c r="HP63">
        <v>0</v>
      </c>
      <c r="HQ63">
        <v>0</v>
      </c>
      <c r="HR63" t="s">
        <v>264</v>
      </c>
      <c r="HU63" t="s">
        <v>563</v>
      </c>
      <c r="HV63" t="s">
        <v>555</v>
      </c>
      <c r="HW63">
        <v>0</v>
      </c>
      <c r="HX63">
        <v>0</v>
      </c>
      <c r="HY63">
        <v>0</v>
      </c>
      <c r="HZ63" t="s">
        <v>264</v>
      </c>
      <c r="IC63" t="s">
        <v>564</v>
      </c>
      <c r="ID63" t="s">
        <v>555</v>
      </c>
      <c r="IE63">
        <v>0</v>
      </c>
      <c r="IF63">
        <v>0</v>
      </c>
      <c r="IG63">
        <v>0</v>
      </c>
      <c r="IH63" t="s">
        <v>264</v>
      </c>
      <c r="IK63" t="s">
        <v>565</v>
      </c>
      <c r="IL63" t="s">
        <v>555</v>
      </c>
      <c r="IM63">
        <v>0</v>
      </c>
      <c r="IN63">
        <v>0</v>
      </c>
      <c r="IO63">
        <v>0</v>
      </c>
      <c r="IP63" t="s">
        <v>264</v>
      </c>
      <c r="IS63" t="s">
        <v>566</v>
      </c>
      <c r="IT63" t="s">
        <v>555</v>
      </c>
      <c r="IU63">
        <v>0</v>
      </c>
      <c r="IV63">
        <v>0</v>
      </c>
      <c r="IW63">
        <v>0</v>
      </c>
      <c r="IX63" t="s">
        <v>264</v>
      </c>
      <c r="JA63" t="s">
        <v>567</v>
      </c>
      <c r="JB63" t="s">
        <v>555</v>
      </c>
      <c r="JC63">
        <v>0</v>
      </c>
      <c r="JD63">
        <v>0</v>
      </c>
      <c r="JE63">
        <v>0</v>
      </c>
      <c r="JF63" t="s">
        <v>264</v>
      </c>
      <c r="JI63" t="s">
        <v>568</v>
      </c>
      <c r="JJ63" t="s">
        <v>555</v>
      </c>
      <c r="JK63">
        <v>0</v>
      </c>
      <c r="JL63">
        <v>0</v>
      </c>
      <c r="JM63">
        <v>0</v>
      </c>
      <c r="JN63" t="s">
        <v>264</v>
      </c>
      <c r="JQ63" t="s">
        <v>569</v>
      </c>
      <c r="JR63" t="s">
        <v>555</v>
      </c>
      <c r="JS63">
        <v>0</v>
      </c>
      <c r="JT63">
        <v>0</v>
      </c>
      <c r="JU63">
        <v>0</v>
      </c>
      <c r="JV63" t="s">
        <v>264</v>
      </c>
      <c r="JY63" t="s">
        <v>570</v>
      </c>
      <c r="JZ63" t="s">
        <v>555</v>
      </c>
      <c r="KA63">
        <v>0</v>
      </c>
      <c r="KB63">
        <v>0</v>
      </c>
      <c r="KC63">
        <v>0</v>
      </c>
      <c r="KD63" t="s">
        <v>264</v>
      </c>
      <c r="KG63" t="s">
        <v>571</v>
      </c>
      <c r="KH63" t="s">
        <v>555</v>
      </c>
      <c r="KI63">
        <v>0</v>
      </c>
      <c r="KJ63">
        <v>0</v>
      </c>
      <c r="KK63">
        <v>0</v>
      </c>
      <c r="KL63" t="s">
        <v>264</v>
      </c>
      <c r="KO63" t="s">
        <v>572</v>
      </c>
      <c r="KP63" t="s">
        <v>555</v>
      </c>
      <c r="KQ63">
        <v>0</v>
      </c>
      <c r="KR63">
        <v>0</v>
      </c>
      <c r="KS63">
        <v>0</v>
      </c>
      <c r="KT63" t="s">
        <v>264</v>
      </c>
      <c r="KW63" t="s">
        <v>573</v>
      </c>
      <c r="KX63" t="s">
        <v>555</v>
      </c>
      <c r="KY63">
        <v>0</v>
      </c>
      <c r="KZ63">
        <v>0</v>
      </c>
      <c r="LA63">
        <v>0</v>
      </c>
      <c r="LB63" t="s">
        <v>264</v>
      </c>
      <c r="LE63" t="s">
        <v>574</v>
      </c>
      <c r="LF63" t="s">
        <v>555</v>
      </c>
      <c r="LG63">
        <v>0</v>
      </c>
      <c r="LH63">
        <v>0</v>
      </c>
      <c r="LI63">
        <v>0</v>
      </c>
      <c r="LJ63" t="s">
        <v>264</v>
      </c>
      <c r="LM63" t="s">
        <v>575</v>
      </c>
      <c r="LN63" t="s">
        <v>555</v>
      </c>
      <c r="LO63">
        <v>0</v>
      </c>
      <c r="LP63">
        <v>0</v>
      </c>
      <c r="LQ63">
        <v>0</v>
      </c>
      <c r="LR63" t="s">
        <v>264</v>
      </c>
      <c r="LU63" t="s">
        <v>576</v>
      </c>
      <c r="LV63" t="s">
        <v>555</v>
      </c>
      <c r="LW63">
        <v>0</v>
      </c>
      <c r="LX63">
        <v>0</v>
      </c>
      <c r="LY63">
        <v>0</v>
      </c>
      <c r="LZ63" t="s">
        <v>264</v>
      </c>
      <c r="MC63" t="s">
        <v>577</v>
      </c>
      <c r="MD63" t="s">
        <v>555</v>
      </c>
      <c r="ME63">
        <v>0</v>
      </c>
      <c r="MF63">
        <v>0</v>
      </c>
      <c r="MG63">
        <v>0</v>
      </c>
      <c r="MH63" t="s">
        <v>264</v>
      </c>
      <c r="MK63" t="s">
        <v>578</v>
      </c>
      <c r="ML63" t="s">
        <v>555</v>
      </c>
      <c r="MM63">
        <v>0</v>
      </c>
      <c r="MN63">
        <v>0</v>
      </c>
      <c r="MO63">
        <v>0</v>
      </c>
      <c r="MP63" t="s">
        <v>264</v>
      </c>
      <c r="MS63" t="s">
        <v>579</v>
      </c>
      <c r="MT63" t="s">
        <v>555</v>
      </c>
      <c r="MU63">
        <v>0</v>
      </c>
      <c r="MV63">
        <v>0</v>
      </c>
      <c r="MW63">
        <v>0</v>
      </c>
      <c r="MX63" t="s">
        <v>264</v>
      </c>
      <c r="NA63" t="s">
        <v>580</v>
      </c>
      <c r="NB63" t="s">
        <v>555</v>
      </c>
      <c r="NC63">
        <v>0</v>
      </c>
      <c r="ND63">
        <v>0</v>
      </c>
      <c r="NE63">
        <v>0</v>
      </c>
      <c r="NF63" t="s">
        <v>264</v>
      </c>
      <c r="NI63">
        <v>40</v>
      </c>
      <c r="NJ63">
        <v>-12.4</v>
      </c>
      <c r="NP63" t="s">
        <v>624</v>
      </c>
    </row>
    <row r="64" spans="1:380" customFormat="1" x14ac:dyDescent="0.2">
      <c r="A64" t="s">
        <v>517</v>
      </c>
      <c r="B64">
        <v>1</v>
      </c>
      <c r="C64" t="s">
        <v>727</v>
      </c>
      <c r="D64">
        <v>646965496</v>
      </c>
      <c r="E64">
        <v>12602</v>
      </c>
      <c r="F64" t="s">
        <v>542</v>
      </c>
      <c r="G64">
        <v>847922</v>
      </c>
      <c r="H64">
        <v>210021812</v>
      </c>
      <c r="I64" t="s">
        <v>622</v>
      </c>
      <c r="J64" t="s">
        <v>728</v>
      </c>
      <c r="K64" t="s">
        <v>545</v>
      </c>
      <c r="L64" t="s">
        <v>294</v>
      </c>
      <c r="M64" t="s">
        <v>546</v>
      </c>
      <c r="N64" t="s">
        <v>468</v>
      </c>
      <c r="O64" t="s">
        <v>547</v>
      </c>
      <c r="P64" t="s">
        <v>264</v>
      </c>
      <c r="Q64">
        <v>28.7</v>
      </c>
      <c r="R64">
        <v>220</v>
      </c>
      <c r="S64" t="s">
        <v>264</v>
      </c>
      <c r="T64">
        <v>-9999</v>
      </c>
      <c r="U64">
        <v>621</v>
      </c>
      <c r="V64">
        <v>639</v>
      </c>
      <c r="W64">
        <v>611</v>
      </c>
      <c r="X64" t="s">
        <v>270</v>
      </c>
      <c r="Y64">
        <v>0</v>
      </c>
      <c r="Z64">
        <v>55</v>
      </c>
      <c r="AA64" t="s">
        <v>469</v>
      </c>
      <c r="AB64" t="s">
        <v>548</v>
      </c>
      <c r="AC64">
        <v>1</v>
      </c>
      <c r="AD64" t="s">
        <v>549</v>
      </c>
      <c r="AE64">
        <v>0</v>
      </c>
      <c r="AF64">
        <v>45</v>
      </c>
      <c r="AG64" t="s">
        <v>264</v>
      </c>
      <c r="AH64">
        <v>-9999</v>
      </c>
      <c r="AI64">
        <v>423</v>
      </c>
      <c r="AJ64">
        <v>544</v>
      </c>
      <c r="AK64">
        <v>428</v>
      </c>
      <c r="AL64" t="s">
        <v>270</v>
      </c>
      <c r="AM64">
        <v>0</v>
      </c>
      <c r="AN64">
        <v>55</v>
      </c>
      <c r="AO64" t="s">
        <v>470</v>
      </c>
      <c r="AP64" t="s">
        <v>548</v>
      </c>
      <c r="AQ64">
        <v>2</v>
      </c>
      <c r="AR64" t="s">
        <v>549</v>
      </c>
      <c r="AS64">
        <v>54.5</v>
      </c>
      <c r="AT64">
        <v>45</v>
      </c>
      <c r="AU64" t="s">
        <v>264</v>
      </c>
      <c r="AV64">
        <v>-9999</v>
      </c>
      <c r="AW64">
        <v>355</v>
      </c>
      <c r="AX64">
        <v>370</v>
      </c>
      <c r="AY64">
        <v>353</v>
      </c>
      <c r="AZ64" t="s">
        <v>270</v>
      </c>
      <c r="BA64">
        <v>0</v>
      </c>
      <c r="BB64">
        <v>55</v>
      </c>
      <c r="BC64" t="s">
        <v>550</v>
      </c>
      <c r="BD64" t="s">
        <v>548</v>
      </c>
      <c r="BE64">
        <v>3</v>
      </c>
      <c r="BF64" t="s">
        <v>549</v>
      </c>
      <c r="BG64">
        <v>0</v>
      </c>
      <c r="BH64">
        <v>-22</v>
      </c>
      <c r="BI64" t="s">
        <v>264</v>
      </c>
      <c r="BJ64">
        <v>-9999</v>
      </c>
      <c r="BK64">
        <v>372</v>
      </c>
      <c r="BL64">
        <v>439</v>
      </c>
      <c r="BM64">
        <v>362</v>
      </c>
      <c r="BN64" t="s">
        <v>270</v>
      </c>
      <c r="BO64">
        <v>0</v>
      </c>
      <c r="BP64">
        <v>55</v>
      </c>
      <c r="BQ64" t="s">
        <v>504</v>
      </c>
      <c r="BR64" t="s">
        <v>548</v>
      </c>
      <c r="BS64">
        <v>4</v>
      </c>
      <c r="BT64" t="s">
        <v>549</v>
      </c>
      <c r="BU64">
        <v>54.3</v>
      </c>
      <c r="BV64">
        <v>38</v>
      </c>
      <c r="BW64" t="s">
        <v>264</v>
      </c>
      <c r="BX64">
        <v>-9999</v>
      </c>
      <c r="BY64">
        <v>232</v>
      </c>
      <c r="BZ64">
        <v>268</v>
      </c>
      <c r="CA64">
        <v>230</v>
      </c>
      <c r="CB64" t="s">
        <v>270</v>
      </c>
      <c r="CC64">
        <v>0</v>
      </c>
      <c r="CD64">
        <v>55</v>
      </c>
      <c r="CE64" t="s">
        <v>471</v>
      </c>
      <c r="CF64" t="s">
        <v>548</v>
      </c>
      <c r="CG64">
        <v>5</v>
      </c>
      <c r="CH64" t="s">
        <v>549</v>
      </c>
      <c r="CI64">
        <v>53.3</v>
      </c>
      <c r="CJ64">
        <v>87</v>
      </c>
      <c r="CK64" t="s">
        <v>264</v>
      </c>
      <c r="CL64">
        <v>-9999</v>
      </c>
      <c r="CM64">
        <v>487</v>
      </c>
      <c r="CN64">
        <v>573</v>
      </c>
      <c r="CO64">
        <v>485</v>
      </c>
      <c r="CP64" t="s">
        <v>270</v>
      </c>
      <c r="CQ64">
        <v>0</v>
      </c>
      <c r="CR64">
        <v>55</v>
      </c>
      <c r="CS64" t="s">
        <v>472</v>
      </c>
      <c r="CT64" t="s">
        <v>548</v>
      </c>
      <c r="CU64">
        <v>6</v>
      </c>
      <c r="CV64" t="s">
        <v>549</v>
      </c>
      <c r="CW64">
        <v>0</v>
      </c>
      <c r="CX64">
        <v>32</v>
      </c>
      <c r="CY64" t="s">
        <v>264</v>
      </c>
      <c r="CZ64">
        <v>-9999</v>
      </c>
      <c r="DA64">
        <v>658</v>
      </c>
      <c r="DB64">
        <v>749</v>
      </c>
      <c r="DC64">
        <v>648</v>
      </c>
      <c r="DD64" t="s">
        <v>270</v>
      </c>
      <c r="DE64">
        <v>0</v>
      </c>
      <c r="DF64">
        <v>55</v>
      </c>
      <c r="DG64" t="s">
        <v>473</v>
      </c>
      <c r="DH64" t="s">
        <v>548</v>
      </c>
      <c r="DI64">
        <v>7</v>
      </c>
      <c r="DJ64" t="s">
        <v>549</v>
      </c>
      <c r="DK64">
        <v>0</v>
      </c>
      <c r="DL64">
        <v>37</v>
      </c>
      <c r="DM64" t="s">
        <v>264</v>
      </c>
      <c r="DN64">
        <v>-9999</v>
      </c>
      <c r="DO64">
        <v>540</v>
      </c>
      <c r="DP64">
        <v>613</v>
      </c>
      <c r="DQ64">
        <v>537</v>
      </c>
      <c r="DR64" t="s">
        <v>270</v>
      </c>
      <c r="DS64">
        <v>0</v>
      </c>
      <c r="DT64">
        <v>55</v>
      </c>
      <c r="DU64" t="s">
        <v>474</v>
      </c>
      <c r="DV64" t="s">
        <v>548</v>
      </c>
      <c r="DW64">
        <v>8</v>
      </c>
      <c r="DX64" t="s">
        <v>549</v>
      </c>
      <c r="DY64">
        <v>48.8</v>
      </c>
      <c r="DZ64">
        <v>60</v>
      </c>
      <c r="EA64" t="s">
        <v>264</v>
      </c>
      <c r="EB64">
        <v>-9999</v>
      </c>
      <c r="EC64">
        <v>102</v>
      </c>
      <c r="ED64">
        <v>126</v>
      </c>
      <c r="EE64">
        <v>100</v>
      </c>
      <c r="EF64" t="s">
        <v>270</v>
      </c>
      <c r="EG64">
        <v>0</v>
      </c>
      <c r="EH64">
        <v>55</v>
      </c>
      <c r="EI64" t="s">
        <v>475</v>
      </c>
      <c r="EJ64" t="s">
        <v>548</v>
      </c>
      <c r="EK64">
        <v>9</v>
      </c>
      <c r="EL64" t="s">
        <v>584</v>
      </c>
      <c r="EM64">
        <v>33.200000000000003</v>
      </c>
      <c r="EN64">
        <v>57</v>
      </c>
      <c r="EO64" t="s">
        <v>264</v>
      </c>
      <c r="EP64">
        <v>-9999</v>
      </c>
      <c r="EQ64">
        <v>238</v>
      </c>
      <c r="ER64">
        <v>209</v>
      </c>
      <c r="ES64">
        <v>199</v>
      </c>
      <c r="ET64" t="s">
        <v>270</v>
      </c>
      <c r="EU64">
        <v>0</v>
      </c>
      <c r="EV64">
        <v>55</v>
      </c>
      <c r="EW64" t="s">
        <v>551</v>
      </c>
      <c r="EX64" t="s">
        <v>552</v>
      </c>
      <c r="EY64">
        <v>159</v>
      </c>
      <c r="EZ64">
        <v>160</v>
      </c>
      <c r="FA64">
        <v>160</v>
      </c>
      <c r="FB64" t="s">
        <v>270</v>
      </c>
      <c r="FC64" t="s">
        <v>553</v>
      </c>
      <c r="FD64" t="s">
        <v>552</v>
      </c>
      <c r="FE64">
        <v>263</v>
      </c>
      <c r="FF64">
        <v>261</v>
      </c>
      <c r="FG64">
        <v>261</v>
      </c>
      <c r="FH64" t="s">
        <v>270</v>
      </c>
      <c r="FI64" t="s">
        <v>554</v>
      </c>
      <c r="FJ64" t="s">
        <v>555</v>
      </c>
      <c r="FK64">
        <v>0</v>
      </c>
      <c r="FL64">
        <v>0</v>
      </c>
      <c r="FM64">
        <v>0</v>
      </c>
      <c r="FN64" t="s">
        <v>264</v>
      </c>
      <c r="FQ64" t="s">
        <v>556</v>
      </c>
      <c r="FR64" t="s">
        <v>555</v>
      </c>
      <c r="FS64">
        <v>0</v>
      </c>
      <c r="FT64">
        <v>0</v>
      </c>
      <c r="FU64">
        <v>0</v>
      </c>
      <c r="FV64" t="s">
        <v>264</v>
      </c>
      <c r="FY64" t="s">
        <v>557</v>
      </c>
      <c r="FZ64" t="s">
        <v>555</v>
      </c>
      <c r="GA64">
        <v>0</v>
      </c>
      <c r="GB64">
        <v>0</v>
      </c>
      <c r="GC64">
        <v>0</v>
      </c>
      <c r="GD64" t="s">
        <v>264</v>
      </c>
      <c r="GG64" t="s">
        <v>558</v>
      </c>
      <c r="GH64" t="s">
        <v>555</v>
      </c>
      <c r="GI64">
        <v>0</v>
      </c>
      <c r="GJ64">
        <v>0</v>
      </c>
      <c r="GK64">
        <v>0</v>
      </c>
      <c r="GL64" t="s">
        <v>264</v>
      </c>
      <c r="GO64" t="s">
        <v>559</v>
      </c>
      <c r="GP64" t="s">
        <v>555</v>
      </c>
      <c r="GQ64">
        <v>0</v>
      </c>
      <c r="GR64">
        <v>0</v>
      </c>
      <c r="GS64">
        <v>0</v>
      </c>
      <c r="GT64" t="s">
        <v>264</v>
      </c>
      <c r="GW64" t="s">
        <v>560</v>
      </c>
      <c r="GX64" t="s">
        <v>555</v>
      </c>
      <c r="GY64">
        <v>0</v>
      </c>
      <c r="GZ64">
        <v>0</v>
      </c>
      <c r="HA64">
        <v>0</v>
      </c>
      <c r="HB64" t="s">
        <v>264</v>
      </c>
      <c r="HE64" t="s">
        <v>561</v>
      </c>
      <c r="HF64" t="s">
        <v>555</v>
      </c>
      <c r="HG64">
        <v>0</v>
      </c>
      <c r="HH64">
        <v>0</v>
      </c>
      <c r="HI64">
        <v>0</v>
      </c>
      <c r="HJ64" t="s">
        <v>264</v>
      </c>
      <c r="HM64" t="s">
        <v>562</v>
      </c>
      <c r="HN64" t="s">
        <v>555</v>
      </c>
      <c r="HO64">
        <v>0</v>
      </c>
      <c r="HP64">
        <v>0</v>
      </c>
      <c r="HQ64">
        <v>0</v>
      </c>
      <c r="HR64" t="s">
        <v>264</v>
      </c>
      <c r="HU64" t="s">
        <v>563</v>
      </c>
      <c r="HV64" t="s">
        <v>555</v>
      </c>
      <c r="HW64">
        <v>0</v>
      </c>
      <c r="HX64">
        <v>0</v>
      </c>
      <c r="HY64">
        <v>0</v>
      </c>
      <c r="HZ64" t="s">
        <v>264</v>
      </c>
      <c r="IC64" t="s">
        <v>564</v>
      </c>
      <c r="ID64" t="s">
        <v>555</v>
      </c>
      <c r="IE64">
        <v>0</v>
      </c>
      <c r="IF64">
        <v>0</v>
      </c>
      <c r="IG64">
        <v>0</v>
      </c>
      <c r="IH64" t="s">
        <v>264</v>
      </c>
      <c r="IK64" t="s">
        <v>565</v>
      </c>
      <c r="IL64" t="s">
        <v>555</v>
      </c>
      <c r="IM64">
        <v>0</v>
      </c>
      <c r="IN64">
        <v>0</v>
      </c>
      <c r="IO64">
        <v>0</v>
      </c>
      <c r="IP64" t="s">
        <v>264</v>
      </c>
      <c r="IS64" t="s">
        <v>566</v>
      </c>
      <c r="IT64" t="s">
        <v>555</v>
      </c>
      <c r="IU64">
        <v>0</v>
      </c>
      <c r="IV64">
        <v>0</v>
      </c>
      <c r="IW64">
        <v>0</v>
      </c>
      <c r="IX64" t="s">
        <v>264</v>
      </c>
      <c r="JA64" t="s">
        <v>567</v>
      </c>
      <c r="JB64" t="s">
        <v>555</v>
      </c>
      <c r="JC64">
        <v>0</v>
      </c>
      <c r="JD64">
        <v>0</v>
      </c>
      <c r="JE64">
        <v>0</v>
      </c>
      <c r="JF64" t="s">
        <v>264</v>
      </c>
      <c r="JI64" t="s">
        <v>568</v>
      </c>
      <c r="JJ64" t="s">
        <v>555</v>
      </c>
      <c r="JK64">
        <v>0</v>
      </c>
      <c r="JL64">
        <v>0</v>
      </c>
      <c r="JM64">
        <v>0</v>
      </c>
      <c r="JN64" t="s">
        <v>264</v>
      </c>
      <c r="JQ64" t="s">
        <v>569</v>
      </c>
      <c r="JR64" t="s">
        <v>555</v>
      </c>
      <c r="JS64">
        <v>0</v>
      </c>
      <c r="JT64">
        <v>0</v>
      </c>
      <c r="JU64">
        <v>0</v>
      </c>
      <c r="JV64" t="s">
        <v>264</v>
      </c>
      <c r="JY64" t="s">
        <v>570</v>
      </c>
      <c r="JZ64" t="s">
        <v>555</v>
      </c>
      <c r="KA64">
        <v>0</v>
      </c>
      <c r="KB64">
        <v>0</v>
      </c>
      <c r="KC64">
        <v>0</v>
      </c>
      <c r="KD64" t="s">
        <v>264</v>
      </c>
      <c r="KG64" t="s">
        <v>571</v>
      </c>
      <c r="KH64" t="s">
        <v>555</v>
      </c>
      <c r="KI64">
        <v>0</v>
      </c>
      <c r="KJ64">
        <v>0</v>
      </c>
      <c r="KK64">
        <v>0</v>
      </c>
      <c r="KL64" t="s">
        <v>264</v>
      </c>
      <c r="KO64" t="s">
        <v>572</v>
      </c>
      <c r="KP64" t="s">
        <v>555</v>
      </c>
      <c r="KQ64">
        <v>0</v>
      </c>
      <c r="KR64">
        <v>0</v>
      </c>
      <c r="KS64">
        <v>0</v>
      </c>
      <c r="KT64" t="s">
        <v>264</v>
      </c>
      <c r="KW64" t="s">
        <v>573</v>
      </c>
      <c r="KX64" t="s">
        <v>555</v>
      </c>
      <c r="KY64">
        <v>0</v>
      </c>
      <c r="KZ64">
        <v>0</v>
      </c>
      <c r="LA64">
        <v>0</v>
      </c>
      <c r="LB64" t="s">
        <v>264</v>
      </c>
      <c r="LE64" t="s">
        <v>574</v>
      </c>
      <c r="LF64" t="s">
        <v>555</v>
      </c>
      <c r="LG64">
        <v>0</v>
      </c>
      <c r="LH64">
        <v>0</v>
      </c>
      <c r="LI64">
        <v>0</v>
      </c>
      <c r="LJ64" t="s">
        <v>264</v>
      </c>
      <c r="LM64" t="s">
        <v>575</v>
      </c>
      <c r="LN64" t="s">
        <v>555</v>
      </c>
      <c r="LO64">
        <v>0</v>
      </c>
      <c r="LP64">
        <v>0</v>
      </c>
      <c r="LQ64">
        <v>0</v>
      </c>
      <c r="LR64" t="s">
        <v>264</v>
      </c>
      <c r="LU64" t="s">
        <v>576</v>
      </c>
      <c r="LV64" t="s">
        <v>555</v>
      </c>
      <c r="LW64">
        <v>0</v>
      </c>
      <c r="LX64">
        <v>0</v>
      </c>
      <c r="LY64">
        <v>0</v>
      </c>
      <c r="LZ64" t="s">
        <v>264</v>
      </c>
      <c r="MC64" t="s">
        <v>577</v>
      </c>
      <c r="MD64" t="s">
        <v>555</v>
      </c>
      <c r="ME64">
        <v>0</v>
      </c>
      <c r="MF64">
        <v>0</v>
      </c>
      <c r="MG64">
        <v>0</v>
      </c>
      <c r="MH64" t="s">
        <v>264</v>
      </c>
      <c r="MK64" t="s">
        <v>578</v>
      </c>
      <c r="ML64" t="s">
        <v>555</v>
      </c>
      <c r="MM64">
        <v>0</v>
      </c>
      <c r="MN64">
        <v>0</v>
      </c>
      <c r="MO64">
        <v>0</v>
      </c>
      <c r="MP64" t="s">
        <v>264</v>
      </c>
      <c r="MS64" t="s">
        <v>579</v>
      </c>
      <c r="MT64" t="s">
        <v>555</v>
      </c>
      <c r="MU64">
        <v>0</v>
      </c>
      <c r="MV64">
        <v>0</v>
      </c>
      <c r="MW64">
        <v>0</v>
      </c>
      <c r="MX64" t="s">
        <v>264</v>
      </c>
      <c r="NA64" t="s">
        <v>580</v>
      </c>
      <c r="NB64" t="s">
        <v>555</v>
      </c>
      <c r="NC64">
        <v>0</v>
      </c>
      <c r="ND64">
        <v>0</v>
      </c>
      <c r="NE64">
        <v>0</v>
      </c>
      <c r="NF64" t="s">
        <v>264</v>
      </c>
      <c r="NI64">
        <v>40</v>
      </c>
      <c r="NJ64">
        <v>-6.5</v>
      </c>
      <c r="NP64" t="s">
        <v>624</v>
      </c>
    </row>
    <row r="65" spans="1:380" customFormat="1" x14ac:dyDescent="0.2">
      <c r="A65" t="s">
        <v>517</v>
      </c>
      <c r="B65">
        <v>1</v>
      </c>
      <c r="C65" t="s">
        <v>729</v>
      </c>
      <c r="D65">
        <v>646964884</v>
      </c>
      <c r="E65">
        <v>12602</v>
      </c>
      <c r="F65" t="s">
        <v>542</v>
      </c>
      <c r="G65">
        <v>847922</v>
      </c>
      <c r="H65">
        <v>210067769</v>
      </c>
      <c r="I65" t="s">
        <v>622</v>
      </c>
      <c r="J65" t="s">
        <v>730</v>
      </c>
      <c r="K65" t="s">
        <v>545</v>
      </c>
      <c r="L65" t="s">
        <v>294</v>
      </c>
      <c r="M65" t="s">
        <v>546</v>
      </c>
      <c r="N65" t="s">
        <v>468</v>
      </c>
      <c r="O65" t="s">
        <v>547</v>
      </c>
      <c r="P65" t="s">
        <v>264</v>
      </c>
      <c r="Q65">
        <v>26.2</v>
      </c>
      <c r="R65">
        <v>241</v>
      </c>
      <c r="S65" t="s">
        <v>264</v>
      </c>
      <c r="T65">
        <v>-9999</v>
      </c>
      <c r="U65">
        <v>598</v>
      </c>
      <c r="V65">
        <v>617</v>
      </c>
      <c r="W65">
        <v>588</v>
      </c>
      <c r="X65" t="s">
        <v>270</v>
      </c>
      <c r="Y65">
        <v>0</v>
      </c>
      <c r="Z65">
        <v>55</v>
      </c>
      <c r="AA65" t="s">
        <v>469</v>
      </c>
      <c r="AB65" t="s">
        <v>548</v>
      </c>
      <c r="AC65">
        <v>1</v>
      </c>
      <c r="AD65" t="s">
        <v>549</v>
      </c>
      <c r="AE65">
        <v>0</v>
      </c>
      <c r="AF65">
        <v>56</v>
      </c>
      <c r="AG65" t="s">
        <v>264</v>
      </c>
      <c r="AH65">
        <v>-9999</v>
      </c>
      <c r="AI65">
        <v>406</v>
      </c>
      <c r="AJ65">
        <v>517</v>
      </c>
      <c r="AK65">
        <v>411</v>
      </c>
      <c r="AL65" t="s">
        <v>270</v>
      </c>
      <c r="AM65">
        <v>0</v>
      </c>
      <c r="AN65">
        <v>55</v>
      </c>
      <c r="AO65" t="s">
        <v>470</v>
      </c>
      <c r="AP65" t="s">
        <v>548</v>
      </c>
      <c r="AQ65">
        <v>2</v>
      </c>
      <c r="AR65" t="s">
        <v>549</v>
      </c>
      <c r="AS65">
        <v>53.5</v>
      </c>
      <c r="AT65">
        <v>68</v>
      </c>
      <c r="AU65" t="s">
        <v>264</v>
      </c>
      <c r="AV65">
        <v>-9999</v>
      </c>
      <c r="AW65">
        <v>340</v>
      </c>
      <c r="AX65">
        <v>357</v>
      </c>
      <c r="AY65">
        <v>338</v>
      </c>
      <c r="AZ65" t="s">
        <v>270</v>
      </c>
      <c r="BA65">
        <v>0</v>
      </c>
      <c r="BB65">
        <v>55</v>
      </c>
      <c r="BC65" t="s">
        <v>550</v>
      </c>
      <c r="BD65" t="s">
        <v>548</v>
      </c>
      <c r="BE65">
        <v>3</v>
      </c>
      <c r="BF65" t="s">
        <v>549</v>
      </c>
      <c r="BG65">
        <v>0</v>
      </c>
      <c r="BH65">
        <v>-12</v>
      </c>
      <c r="BI65" t="s">
        <v>264</v>
      </c>
      <c r="BJ65">
        <v>-9999</v>
      </c>
      <c r="BK65">
        <v>335</v>
      </c>
      <c r="BL65">
        <v>395</v>
      </c>
      <c r="BM65">
        <v>325</v>
      </c>
      <c r="BN65" t="s">
        <v>270</v>
      </c>
      <c r="BO65">
        <v>0</v>
      </c>
      <c r="BP65">
        <v>55</v>
      </c>
      <c r="BQ65" t="s">
        <v>504</v>
      </c>
      <c r="BR65" t="s">
        <v>548</v>
      </c>
      <c r="BS65">
        <v>4</v>
      </c>
      <c r="BT65" t="s">
        <v>549</v>
      </c>
      <c r="BU65">
        <v>52.9</v>
      </c>
      <c r="BV65">
        <v>54</v>
      </c>
      <c r="BW65" t="s">
        <v>264</v>
      </c>
      <c r="BX65">
        <v>-9999</v>
      </c>
      <c r="BY65">
        <v>194</v>
      </c>
      <c r="BZ65">
        <v>224</v>
      </c>
      <c r="CA65">
        <v>192</v>
      </c>
      <c r="CB65" t="s">
        <v>270</v>
      </c>
      <c r="CC65">
        <v>0</v>
      </c>
      <c r="CD65">
        <v>55</v>
      </c>
      <c r="CE65" t="s">
        <v>471</v>
      </c>
      <c r="CF65" t="s">
        <v>548</v>
      </c>
      <c r="CG65">
        <v>5</v>
      </c>
      <c r="CH65" t="s">
        <v>549</v>
      </c>
      <c r="CI65">
        <v>53.1</v>
      </c>
      <c r="CJ65">
        <v>94</v>
      </c>
      <c r="CK65" t="s">
        <v>264</v>
      </c>
      <c r="CL65">
        <v>-9999</v>
      </c>
      <c r="CM65">
        <v>466</v>
      </c>
      <c r="CN65">
        <v>544</v>
      </c>
      <c r="CO65">
        <v>464</v>
      </c>
      <c r="CP65" t="s">
        <v>270</v>
      </c>
      <c r="CQ65">
        <v>0</v>
      </c>
      <c r="CR65">
        <v>55</v>
      </c>
      <c r="CS65" t="s">
        <v>472</v>
      </c>
      <c r="CT65" t="s">
        <v>548</v>
      </c>
      <c r="CU65">
        <v>6</v>
      </c>
      <c r="CV65" t="s">
        <v>549</v>
      </c>
      <c r="CW65">
        <v>0</v>
      </c>
      <c r="CX65">
        <v>42</v>
      </c>
      <c r="CY65" t="s">
        <v>264</v>
      </c>
      <c r="CZ65">
        <v>-9999</v>
      </c>
      <c r="DA65">
        <v>650</v>
      </c>
      <c r="DB65">
        <v>737</v>
      </c>
      <c r="DC65">
        <v>639</v>
      </c>
      <c r="DD65" t="s">
        <v>270</v>
      </c>
      <c r="DE65">
        <v>0</v>
      </c>
      <c r="DF65">
        <v>55</v>
      </c>
      <c r="DG65" t="s">
        <v>473</v>
      </c>
      <c r="DH65" t="s">
        <v>548</v>
      </c>
      <c r="DI65">
        <v>7</v>
      </c>
      <c r="DJ65" t="s">
        <v>549</v>
      </c>
      <c r="DK65">
        <v>0</v>
      </c>
      <c r="DL65">
        <v>46</v>
      </c>
      <c r="DM65" t="s">
        <v>264</v>
      </c>
      <c r="DN65">
        <v>-9999</v>
      </c>
      <c r="DO65">
        <v>522</v>
      </c>
      <c r="DP65">
        <v>596</v>
      </c>
      <c r="DQ65">
        <v>519</v>
      </c>
      <c r="DR65" t="s">
        <v>270</v>
      </c>
      <c r="DS65">
        <v>0</v>
      </c>
      <c r="DT65">
        <v>55</v>
      </c>
      <c r="DU65" t="s">
        <v>474</v>
      </c>
      <c r="DV65" t="s">
        <v>548</v>
      </c>
      <c r="DW65">
        <v>8</v>
      </c>
      <c r="DX65" t="s">
        <v>584</v>
      </c>
      <c r="DY65">
        <v>37.5</v>
      </c>
      <c r="DZ65">
        <v>88</v>
      </c>
      <c r="EA65" t="s">
        <v>264</v>
      </c>
      <c r="EB65">
        <v>-9999</v>
      </c>
      <c r="EC65">
        <v>106</v>
      </c>
      <c r="ED65">
        <v>128</v>
      </c>
      <c r="EE65">
        <v>104</v>
      </c>
      <c r="EF65" t="s">
        <v>270</v>
      </c>
      <c r="EG65">
        <v>0</v>
      </c>
      <c r="EH65">
        <v>55</v>
      </c>
      <c r="EI65" t="s">
        <v>475</v>
      </c>
      <c r="EJ65" t="s">
        <v>548</v>
      </c>
      <c r="EK65">
        <v>9</v>
      </c>
      <c r="EL65" t="s">
        <v>549</v>
      </c>
      <c r="EM65">
        <v>52.9</v>
      </c>
      <c r="EN65">
        <v>20</v>
      </c>
      <c r="EO65" t="s">
        <v>264</v>
      </c>
      <c r="EP65">
        <v>-9999</v>
      </c>
      <c r="EQ65">
        <v>275</v>
      </c>
      <c r="ER65">
        <v>240</v>
      </c>
      <c r="ES65">
        <v>226</v>
      </c>
      <c r="ET65" t="s">
        <v>270</v>
      </c>
      <c r="EU65">
        <v>0</v>
      </c>
      <c r="EV65">
        <v>55</v>
      </c>
      <c r="EW65" t="s">
        <v>551</v>
      </c>
      <c r="EX65" t="s">
        <v>552</v>
      </c>
      <c r="EY65">
        <v>148</v>
      </c>
      <c r="EZ65">
        <v>148</v>
      </c>
      <c r="FA65">
        <v>148</v>
      </c>
      <c r="FB65" t="s">
        <v>270</v>
      </c>
      <c r="FC65" t="s">
        <v>553</v>
      </c>
      <c r="FD65" t="s">
        <v>552</v>
      </c>
      <c r="FE65">
        <v>276</v>
      </c>
      <c r="FF65">
        <v>274</v>
      </c>
      <c r="FG65">
        <v>273</v>
      </c>
      <c r="FH65" t="s">
        <v>270</v>
      </c>
      <c r="FI65" t="s">
        <v>554</v>
      </c>
      <c r="FJ65" t="s">
        <v>555</v>
      </c>
      <c r="FK65">
        <v>0</v>
      </c>
      <c r="FL65">
        <v>0</v>
      </c>
      <c r="FM65">
        <v>0</v>
      </c>
      <c r="FN65" t="s">
        <v>264</v>
      </c>
      <c r="FQ65" t="s">
        <v>556</v>
      </c>
      <c r="FR65" t="s">
        <v>555</v>
      </c>
      <c r="FS65">
        <v>0</v>
      </c>
      <c r="FT65">
        <v>0</v>
      </c>
      <c r="FU65">
        <v>0</v>
      </c>
      <c r="FV65" t="s">
        <v>264</v>
      </c>
      <c r="FY65" t="s">
        <v>557</v>
      </c>
      <c r="FZ65" t="s">
        <v>555</v>
      </c>
      <c r="GA65">
        <v>0</v>
      </c>
      <c r="GB65">
        <v>0</v>
      </c>
      <c r="GC65">
        <v>0</v>
      </c>
      <c r="GD65" t="s">
        <v>264</v>
      </c>
      <c r="GG65" t="s">
        <v>558</v>
      </c>
      <c r="GH65" t="s">
        <v>555</v>
      </c>
      <c r="GI65">
        <v>0</v>
      </c>
      <c r="GJ65">
        <v>0</v>
      </c>
      <c r="GK65">
        <v>0</v>
      </c>
      <c r="GL65" t="s">
        <v>264</v>
      </c>
      <c r="GO65" t="s">
        <v>559</v>
      </c>
      <c r="GP65" t="s">
        <v>555</v>
      </c>
      <c r="GQ65">
        <v>0</v>
      </c>
      <c r="GR65">
        <v>0</v>
      </c>
      <c r="GS65">
        <v>0</v>
      </c>
      <c r="GT65" t="s">
        <v>264</v>
      </c>
      <c r="GW65" t="s">
        <v>560</v>
      </c>
      <c r="GX65" t="s">
        <v>555</v>
      </c>
      <c r="GY65">
        <v>0</v>
      </c>
      <c r="GZ65">
        <v>0</v>
      </c>
      <c r="HA65">
        <v>0</v>
      </c>
      <c r="HB65" t="s">
        <v>264</v>
      </c>
      <c r="HE65" t="s">
        <v>561</v>
      </c>
      <c r="HF65" t="s">
        <v>555</v>
      </c>
      <c r="HG65">
        <v>0</v>
      </c>
      <c r="HH65">
        <v>0</v>
      </c>
      <c r="HI65">
        <v>0</v>
      </c>
      <c r="HJ65" t="s">
        <v>264</v>
      </c>
      <c r="HM65" t="s">
        <v>562</v>
      </c>
      <c r="HN65" t="s">
        <v>555</v>
      </c>
      <c r="HO65">
        <v>0</v>
      </c>
      <c r="HP65">
        <v>0</v>
      </c>
      <c r="HQ65">
        <v>0</v>
      </c>
      <c r="HR65" t="s">
        <v>264</v>
      </c>
      <c r="HU65" t="s">
        <v>563</v>
      </c>
      <c r="HV65" t="s">
        <v>555</v>
      </c>
      <c r="HW65">
        <v>0</v>
      </c>
      <c r="HX65">
        <v>0</v>
      </c>
      <c r="HY65">
        <v>0</v>
      </c>
      <c r="HZ65" t="s">
        <v>264</v>
      </c>
      <c r="IC65" t="s">
        <v>564</v>
      </c>
      <c r="ID65" t="s">
        <v>555</v>
      </c>
      <c r="IE65">
        <v>0</v>
      </c>
      <c r="IF65">
        <v>0</v>
      </c>
      <c r="IG65">
        <v>0</v>
      </c>
      <c r="IH65" t="s">
        <v>264</v>
      </c>
      <c r="IK65" t="s">
        <v>565</v>
      </c>
      <c r="IL65" t="s">
        <v>555</v>
      </c>
      <c r="IM65">
        <v>0</v>
      </c>
      <c r="IN65">
        <v>0</v>
      </c>
      <c r="IO65">
        <v>0</v>
      </c>
      <c r="IP65" t="s">
        <v>264</v>
      </c>
      <c r="IS65" t="s">
        <v>566</v>
      </c>
      <c r="IT65" t="s">
        <v>555</v>
      </c>
      <c r="IU65">
        <v>0</v>
      </c>
      <c r="IV65">
        <v>0</v>
      </c>
      <c r="IW65">
        <v>0</v>
      </c>
      <c r="IX65" t="s">
        <v>264</v>
      </c>
      <c r="JA65" t="s">
        <v>567</v>
      </c>
      <c r="JB65" t="s">
        <v>555</v>
      </c>
      <c r="JC65">
        <v>0</v>
      </c>
      <c r="JD65">
        <v>0</v>
      </c>
      <c r="JE65">
        <v>0</v>
      </c>
      <c r="JF65" t="s">
        <v>264</v>
      </c>
      <c r="JI65" t="s">
        <v>568</v>
      </c>
      <c r="JJ65" t="s">
        <v>555</v>
      </c>
      <c r="JK65">
        <v>0</v>
      </c>
      <c r="JL65">
        <v>0</v>
      </c>
      <c r="JM65">
        <v>0</v>
      </c>
      <c r="JN65" t="s">
        <v>264</v>
      </c>
      <c r="JQ65" t="s">
        <v>569</v>
      </c>
      <c r="JR65" t="s">
        <v>555</v>
      </c>
      <c r="JS65">
        <v>0</v>
      </c>
      <c r="JT65">
        <v>0</v>
      </c>
      <c r="JU65">
        <v>0</v>
      </c>
      <c r="JV65" t="s">
        <v>264</v>
      </c>
      <c r="JY65" t="s">
        <v>570</v>
      </c>
      <c r="JZ65" t="s">
        <v>555</v>
      </c>
      <c r="KA65">
        <v>0</v>
      </c>
      <c r="KB65">
        <v>0</v>
      </c>
      <c r="KC65">
        <v>0</v>
      </c>
      <c r="KD65" t="s">
        <v>264</v>
      </c>
      <c r="KG65" t="s">
        <v>571</v>
      </c>
      <c r="KH65" t="s">
        <v>555</v>
      </c>
      <c r="KI65">
        <v>0</v>
      </c>
      <c r="KJ65">
        <v>0</v>
      </c>
      <c r="KK65">
        <v>0</v>
      </c>
      <c r="KL65" t="s">
        <v>264</v>
      </c>
      <c r="KO65" t="s">
        <v>572</v>
      </c>
      <c r="KP65" t="s">
        <v>555</v>
      </c>
      <c r="KQ65">
        <v>0</v>
      </c>
      <c r="KR65">
        <v>0</v>
      </c>
      <c r="KS65">
        <v>0</v>
      </c>
      <c r="KT65" t="s">
        <v>264</v>
      </c>
      <c r="KW65" t="s">
        <v>573</v>
      </c>
      <c r="KX65" t="s">
        <v>555</v>
      </c>
      <c r="KY65">
        <v>0</v>
      </c>
      <c r="KZ65">
        <v>0</v>
      </c>
      <c r="LA65">
        <v>0</v>
      </c>
      <c r="LB65" t="s">
        <v>264</v>
      </c>
      <c r="LE65" t="s">
        <v>574</v>
      </c>
      <c r="LF65" t="s">
        <v>555</v>
      </c>
      <c r="LG65">
        <v>0</v>
      </c>
      <c r="LH65">
        <v>0</v>
      </c>
      <c r="LI65">
        <v>0</v>
      </c>
      <c r="LJ65" t="s">
        <v>264</v>
      </c>
      <c r="LM65" t="s">
        <v>575</v>
      </c>
      <c r="LN65" t="s">
        <v>555</v>
      </c>
      <c r="LO65">
        <v>0</v>
      </c>
      <c r="LP65">
        <v>0</v>
      </c>
      <c r="LQ65">
        <v>0</v>
      </c>
      <c r="LR65" t="s">
        <v>264</v>
      </c>
      <c r="LU65" t="s">
        <v>576</v>
      </c>
      <c r="LV65" t="s">
        <v>555</v>
      </c>
      <c r="LW65">
        <v>0</v>
      </c>
      <c r="LX65">
        <v>0</v>
      </c>
      <c r="LY65">
        <v>0</v>
      </c>
      <c r="LZ65" t="s">
        <v>264</v>
      </c>
      <c r="MC65" t="s">
        <v>577</v>
      </c>
      <c r="MD65" t="s">
        <v>555</v>
      </c>
      <c r="ME65">
        <v>0</v>
      </c>
      <c r="MF65">
        <v>0</v>
      </c>
      <c r="MG65">
        <v>0</v>
      </c>
      <c r="MH65" t="s">
        <v>264</v>
      </c>
      <c r="MK65" t="s">
        <v>578</v>
      </c>
      <c r="ML65" t="s">
        <v>555</v>
      </c>
      <c r="MM65">
        <v>0</v>
      </c>
      <c r="MN65">
        <v>0</v>
      </c>
      <c r="MO65">
        <v>0</v>
      </c>
      <c r="MP65" t="s">
        <v>264</v>
      </c>
      <c r="MQ65">
        <v>68.900000000000006</v>
      </c>
      <c r="MR65">
        <v>67.2</v>
      </c>
      <c r="MS65" t="s">
        <v>579</v>
      </c>
      <c r="MT65" t="s">
        <v>555</v>
      </c>
      <c r="MU65">
        <v>0</v>
      </c>
      <c r="MV65">
        <v>0</v>
      </c>
      <c r="MW65">
        <v>0</v>
      </c>
      <c r="MX65" t="s">
        <v>264</v>
      </c>
      <c r="NA65" t="s">
        <v>580</v>
      </c>
      <c r="NB65" t="s">
        <v>555</v>
      </c>
      <c r="NC65">
        <v>0</v>
      </c>
      <c r="ND65">
        <v>0</v>
      </c>
      <c r="NE65">
        <v>0</v>
      </c>
      <c r="NF65" t="s">
        <v>264</v>
      </c>
      <c r="NI65">
        <v>40.1</v>
      </c>
      <c r="NJ65">
        <v>-11.2</v>
      </c>
      <c r="NP65" t="s">
        <v>624</v>
      </c>
    </row>
    <row r="66" spans="1:380" customFormat="1" x14ac:dyDescent="0.2">
      <c r="A66" t="s">
        <v>517</v>
      </c>
      <c r="B66">
        <v>1</v>
      </c>
      <c r="C66" t="s">
        <v>731</v>
      </c>
      <c r="D66">
        <v>646965066</v>
      </c>
      <c r="E66">
        <v>12602</v>
      </c>
      <c r="F66" t="s">
        <v>542</v>
      </c>
      <c r="G66">
        <v>847922</v>
      </c>
      <c r="H66">
        <v>210075587</v>
      </c>
      <c r="I66" t="s">
        <v>622</v>
      </c>
      <c r="J66" t="s">
        <v>732</v>
      </c>
      <c r="K66" t="s">
        <v>545</v>
      </c>
      <c r="L66" t="s">
        <v>294</v>
      </c>
      <c r="M66" t="s">
        <v>546</v>
      </c>
      <c r="N66" t="s">
        <v>468</v>
      </c>
      <c r="O66" t="s">
        <v>547</v>
      </c>
      <c r="P66" t="s">
        <v>270</v>
      </c>
      <c r="Q66">
        <v>27.2</v>
      </c>
      <c r="R66">
        <v>246</v>
      </c>
      <c r="S66" t="s">
        <v>270</v>
      </c>
      <c r="T66">
        <v>-9999</v>
      </c>
      <c r="U66">
        <v>470</v>
      </c>
      <c r="V66">
        <v>486</v>
      </c>
      <c r="W66">
        <v>463</v>
      </c>
      <c r="X66" t="s">
        <v>270</v>
      </c>
      <c r="Y66">
        <v>0</v>
      </c>
      <c r="Z66">
        <v>55</v>
      </c>
      <c r="AA66" t="s">
        <v>469</v>
      </c>
      <c r="AB66" t="s">
        <v>548</v>
      </c>
      <c r="AC66">
        <v>1</v>
      </c>
      <c r="AD66" t="s">
        <v>549</v>
      </c>
      <c r="AE66">
        <v>0</v>
      </c>
      <c r="AF66">
        <v>10</v>
      </c>
      <c r="AG66" t="s">
        <v>264</v>
      </c>
      <c r="AH66">
        <v>-9999</v>
      </c>
      <c r="AI66">
        <v>433</v>
      </c>
      <c r="AJ66">
        <v>533</v>
      </c>
      <c r="AK66">
        <v>433</v>
      </c>
      <c r="AL66" t="s">
        <v>270</v>
      </c>
      <c r="AM66">
        <v>0</v>
      </c>
      <c r="AN66">
        <v>55</v>
      </c>
      <c r="AO66" t="s">
        <v>470</v>
      </c>
      <c r="AP66" t="s">
        <v>548</v>
      </c>
      <c r="AQ66">
        <v>2</v>
      </c>
      <c r="AR66" t="s">
        <v>549</v>
      </c>
      <c r="AS66">
        <v>52.4</v>
      </c>
      <c r="AT66">
        <v>94</v>
      </c>
      <c r="AU66" t="s">
        <v>264</v>
      </c>
      <c r="AV66">
        <v>-9999</v>
      </c>
      <c r="AW66">
        <v>329</v>
      </c>
      <c r="AX66">
        <v>345</v>
      </c>
      <c r="AY66">
        <v>328</v>
      </c>
      <c r="AZ66" t="s">
        <v>270</v>
      </c>
      <c r="BA66">
        <v>0</v>
      </c>
      <c r="BB66">
        <v>55</v>
      </c>
      <c r="BC66" t="s">
        <v>550</v>
      </c>
      <c r="BD66" t="s">
        <v>548</v>
      </c>
      <c r="BE66">
        <v>3</v>
      </c>
      <c r="BF66" t="s">
        <v>549</v>
      </c>
      <c r="BG66">
        <v>0</v>
      </c>
      <c r="BH66">
        <v>4</v>
      </c>
      <c r="BI66" t="s">
        <v>264</v>
      </c>
      <c r="BJ66">
        <v>-9999</v>
      </c>
      <c r="BK66">
        <v>163</v>
      </c>
      <c r="BL66">
        <v>206</v>
      </c>
      <c r="BM66">
        <v>160</v>
      </c>
      <c r="BN66" t="s">
        <v>270</v>
      </c>
      <c r="BO66">
        <v>0</v>
      </c>
      <c r="BP66">
        <v>55</v>
      </c>
      <c r="BQ66" t="s">
        <v>504</v>
      </c>
      <c r="BR66" t="s">
        <v>548</v>
      </c>
      <c r="BS66">
        <v>4</v>
      </c>
      <c r="BT66" t="s">
        <v>549</v>
      </c>
      <c r="BU66">
        <v>54.4</v>
      </c>
      <c r="BV66">
        <v>37</v>
      </c>
      <c r="BW66" t="s">
        <v>264</v>
      </c>
      <c r="BX66">
        <v>-9999</v>
      </c>
      <c r="BY66">
        <v>228</v>
      </c>
      <c r="BZ66">
        <v>263</v>
      </c>
      <c r="CA66">
        <v>226</v>
      </c>
      <c r="CB66" t="s">
        <v>270</v>
      </c>
      <c r="CC66">
        <v>0</v>
      </c>
      <c r="CD66">
        <v>55</v>
      </c>
      <c r="CE66" t="s">
        <v>471</v>
      </c>
      <c r="CF66" t="s">
        <v>548</v>
      </c>
      <c r="CG66">
        <v>5</v>
      </c>
      <c r="CH66" t="s">
        <v>549</v>
      </c>
      <c r="CI66">
        <v>52.5</v>
      </c>
      <c r="CJ66">
        <v>112</v>
      </c>
      <c r="CK66" t="s">
        <v>264</v>
      </c>
      <c r="CL66">
        <v>-9999</v>
      </c>
      <c r="CM66">
        <v>433</v>
      </c>
      <c r="CN66">
        <v>505</v>
      </c>
      <c r="CO66">
        <v>432</v>
      </c>
      <c r="CP66" t="s">
        <v>270</v>
      </c>
      <c r="CQ66">
        <v>0</v>
      </c>
      <c r="CR66">
        <v>55</v>
      </c>
      <c r="CS66" t="s">
        <v>472</v>
      </c>
      <c r="CT66" t="s">
        <v>548</v>
      </c>
      <c r="CU66">
        <v>6</v>
      </c>
      <c r="CV66" t="s">
        <v>549</v>
      </c>
      <c r="CW66">
        <v>53.9</v>
      </c>
      <c r="CX66">
        <v>72</v>
      </c>
      <c r="CY66" t="s">
        <v>264</v>
      </c>
      <c r="CZ66">
        <v>-9999</v>
      </c>
      <c r="DA66">
        <v>570</v>
      </c>
      <c r="DB66">
        <v>646</v>
      </c>
      <c r="DC66">
        <v>557</v>
      </c>
      <c r="DD66" t="s">
        <v>270</v>
      </c>
      <c r="DE66">
        <v>0</v>
      </c>
      <c r="DF66">
        <v>55</v>
      </c>
      <c r="DG66" t="s">
        <v>473</v>
      </c>
      <c r="DH66" t="s">
        <v>548</v>
      </c>
      <c r="DI66">
        <v>7</v>
      </c>
      <c r="DJ66" t="s">
        <v>549</v>
      </c>
      <c r="DK66">
        <v>0</v>
      </c>
      <c r="DL66">
        <v>9</v>
      </c>
      <c r="DM66" t="s">
        <v>264</v>
      </c>
      <c r="DN66">
        <v>-9999</v>
      </c>
      <c r="DO66">
        <v>501</v>
      </c>
      <c r="DP66">
        <v>573</v>
      </c>
      <c r="DQ66">
        <v>497</v>
      </c>
      <c r="DR66" t="s">
        <v>270</v>
      </c>
      <c r="DS66">
        <v>0</v>
      </c>
      <c r="DT66">
        <v>55</v>
      </c>
      <c r="DU66" t="s">
        <v>474</v>
      </c>
      <c r="DV66" t="s">
        <v>548</v>
      </c>
      <c r="DW66">
        <v>8</v>
      </c>
      <c r="DX66" t="s">
        <v>549</v>
      </c>
      <c r="DY66">
        <v>0</v>
      </c>
      <c r="DZ66">
        <v>-2</v>
      </c>
      <c r="EA66" t="s">
        <v>264</v>
      </c>
      <c r="EB66">
        <v>-9999</v>
      </c>
      <c r="EC66">
        <v>106</v>
      </c>
      <c r="ED66">
        <v>128</v>
      </c>
      <c r="EE66">
        <v>105</v>
      </c>
      <c r="EF66" t="s">
        <v>270</v>
      </c>
      <c r="EG66">
        <v>0</v>
      </c>
      <c r="EH66">
        <v>55</v>
      </c>
      <c r="EI66" t="s">
        <v>475</v>
      </c>
      <c r="EJ66" t="s">
        <v>548</v>
      </c>
      <c r="EK66">
        <v>9</v>
      </c>
      <c r="EL66" t="s">
        <v>549</v>
      </c>
      <c r="EM66">
        <v>0</v>
      </c>
      <c r="EN66">
        <v>-1</v>
      </c>
      <c r="EO66" t="s">
        <v>264</v>
      </c>
      <c r="EP66">
        <v>-9999</v>
      </c>
      <c r="EQ66">
        <v>319</v>
      </c>
      <c r="ER66">
        <v>305</v>
      </c>
      <c r="ES66">
        <v>285</v>
      </c>
      <c r="ET66" t="s">
        <v>270</v>
      </c>
      <c r="EU66">
        <v>0</v>
      </c>
      <c r="EV66">
        <v>55</v>
      </c>
      <c r="EW66" t="s">
        <v>551</v>
      </c>
      <c r="EX66" t="s">
        <v>552</v>
      </c>
      <c r="EY66">
        <v>140</v>
      </c>
      <c r="EZ66">
        <v>140</v>
      </c>
      <c r="FA66">
        <v>141</v>
      </c>
      <c r="FB66" t="s">
        <v>270</v>
      </c>
      <c r="FC66" t="s">
        <v>553</v>
      </c>
      <c r="FD66" t="s">
        <v>552</v>
      </c>
      <c r="FE66">
        <v>234</v>
      </c>
      <c r="FF66">
        <v>233</v>
      </c>
      <c r="FG66">
        <v>233</v>
      </c>
      <c r="FH66" t="s">
        <v>270</v>
      </c>
      <c r="FI66" t="s">
        <v>554</v>
      </c>
      <c r="FJ66" t="s">
        <v>555</v>
      </c>
      <c r="FK66">
        <v>0</v>
      </c>
      <c r="FL66">
        <v>0</v>
      </c>
      <c r="FM66">
        <v>0</v>
      </c>
      <c r="FN66" t="s">
        <v>264</v>
      </c>
      <c r="FQ66" t="s">
        <v>556</v>
      </c>
      <c r="FR66" t="s">
        <v>555</v>
      </c>
      <c r="FS66">
        <v>0</v>
      </c>
      <c r="FT66">
        <v>0</v>
      </c>
      <c r="FU66">
        <v>0</v>
      </c>
      <c r="FV66" t="s">
        <v>264</v>
      </c>
      <c r="FY66" t="s">
        <v>557</v>
      </c>
      <c r="FZ66" t="s">
        <v>555</v>
      </c>
      <c r="GA66">
        <v>0</v>
      </c>
      <c r="GB66">
        <v>0</v>
      </c>
      <c r="GC66">
        <v>0</v>
      </c>
      <c r="GD66" t="s">
        <v>264</v>
      </c>
      <c r="GG66" t="s">
        <v>558</v>
      </c>
      <c r="GH66" t="s">
        <v>555</v>
      </c>
      <c r="GI66">
        <v>0</v>
      </c>
      <c r="GJ66">
        <v>0</v>
      </c>
      <c r="GK66">
        <v>0</v>
      </c>
      <c r="GL66" t="s">
        <v>264</v>
      </c>
      <c r="GO66" t="s">
        <v>559</v>
      </c>
      <c r="GP66" t="s">
        <v>555</v>
      </c>
      <c r="GQ66">
        <v>0</v>
      </c>
      <c r="GR66">
        <v>0</v>
      </c>
      <c r="GS66">
        <v>0</v>
      </c>
      <c r="GT66" t="s">
        <v>264</v>
      </c>
      <c r="GW66" t="s">
        <v>560</v>
      </c>
      <c r="GX66" t="s">
        <v>555</v>
      </c>
      <c r="GY66">
        <v>0</v>
      </c>
      <c r="GZ66">
        <v>0</v>
      </c>
      <c r="HA66">
        <v>0</v>
      </c>
      <c r="HB66" t="s">
        <v>264</v>
      </c>
      <c r="HE66" t="s">
        <v>561</v>
      </c>
      <c r="HF66" t="s">
        <v>555</v>
      </c>
      <c r="HG66">
        <v>0</v>
      </c>
      <c r="HH66">
        <v>0</v>
      </c>
      <c r="HI66">
        <v>0</v>
      </c>
      <c r="HJ66" t="s">
        <v>264</v>
      </c>
      <c r="HM66" t="s">
        <v>562</v>
      </c>
      <c r="HN66" t="s">
        <v>555</v>
      </c>
      <c r="HO66">
        <v>0</v>
      </c>
      <c r="HP66">
        <v>0</v>
      </c>
      <c r="HQ66">
        <v>0</v>
      </c>
      <c r="HR66" t="s">
        <v>264</v>
      </c>
      <c r="HU66" t="s">
        <v>563</v>
      </c>
      <c r="HV66" t="s">
        <v>555</v>
      </c>
      <c r="HW66">
        <v>0</v>
      </c>
      <c r="HX66">
        <v>0</v>
      </c>
      <c r="HY66">
        <v>0</v>
      </c>
      <c r="HZ66" t="s">
        <v>264</v>
      </c>
      <c r="IC66" t="s">
        <v>564</v>
      </c>
      <c r="ID66" t="s">
        <v>555</v>
      </c>
      <c r="IE66">
        <v>0</v>
      </c>
      <c r="IF66">
        <v>0</v>
      </c>
      <c r="IG66">
        <v>0</v>
      </c>
      <c r="IH66" t="s">
        <v>264</v>
      </c>
      <c r="IK66" t="s">
        <v>565</v>
      </c>
      <c r="IL66" t="s">
        <v>555</v>
      </c>
      <c r="IM66">
        <v>0</v>
      </c>
      <c r="IN66">
        <v>0</v>
      </c>
      <c r="IO66">
        <v>0</v>
      </c>
      <c r="IP66" t="s">
        <v>264</v>
      </c>
      <c r="IS66" t="s">
        <v>566</v>
      </c>
      <c r="IT66" t="s">
        <v>555</v>
      </c>
      <c r="IU66">
        <v>0</v>
      </c>
      <c r="IV66">
        <v>0</v>
      </c>
      <c r="IW66">
        <v>0</v>
      </c>
      <c r="IX66" t="s">
        <v>264</v>
      </c>
      <c r="JA66" t="s">
        <v>567</v>
      </c>
      <c r="JB66" t="s">
        <v>555</v>
      </c>
      <c r="JC66">
        <v>0</v>
      </c>
      <c r="JD66">
        <v>0</v>
      </c>
      <c r="JE66">
        <v>0</v>
      </c>
      <c r="JF66" t="s">
        <v>264</v>
      </c>
      <c r="JI66" t="s">
        <v>568</v>
      </c>
      <c r="JJ66" t="s">
        <v>555</v>
      </c>
      <c r="JK66">
        <v>0</v>
      </c>
      <c r="JL66">
        <v>0</v>
      </c>
      <c r="JM66">
        <v>0</v>
      </c>
      <c r="JN66" t="s">
        <v>264</v>
      </c>
      <c r="JQ66" t="s">
        <v>569</v>
      </c>
      <c r="JR66" t="s">
        <v>555</v>
      </c>
      <c r="JS66">
        <v>0</v>
      </c>
      <c r="JT66">
        <v>0</v>
      </c>
      <c r="JU66">
        <v>0</v>
      </c>
      <c r="JV66" t="s">
        <v>264</v>
      </c>
      <c r="JY66" t="s">
        <v>570</v>
      </c>
      <c r="JZ66" t="s">
        <v>555</v>
      </c>
      <c r="KA66">
        <v>0</v>
      </c>
      <c r="KB66">
        <v>0</v>
      </c>
      <c r="KC66">
        <v>0</v>
      </c>
      <c r="KD66" t="s">
        <v>264</v>
      </c>
      <c r="KG66" t="s">
        <v>571</v>
      </c>
      <c r="KH66" t="s">
        <v>555</v>
      </c>
      <c r="KI66">
        <v>0</v>
      </c>
      <c r="KJ66">
        <v>0</v>
      </c>
      <c r="KK66">
        <v>0</v>
      </c>
      <c r="KL66" t="s">
        <v>264</v>
      </c>
      <c r="KO66" t="s">
        <v>572</v>
      </c>
      <c r="KP66" t="s">
        <v>555</v>
      </c>
      <c r="KQ66">
        <v>0</v>
      </c>
      <c r="KR66">
        <v>0</v>
      </c>
      <c r="KS66">
        <v>0</v>
      </c>
      <c r="KT66" t="s">
        <v>264</v>
      </c>
      <c r="KW66" t="s">
        <v>573</v>
      </c>
      <c r="KX66" t="s">
        <v>555</v>
      </c>
      <c r="KY66">
        <v>0</v>
      </c>
      <c r="KZ66">
        <v>0</v>
      </c>
      <c r="LA66">
        <v>0</v>
      </c>
      <c r="LB66" t="s">
        <v>264</v>
      </c>
      <c r="LE66" t="s">
        <v>574</v>
      </c>
      <c r="LF66" t="s">
        <v>555</v>
      </c>
      <c r="LG66">
        <v>0</v>
      </c>
      <c r="LH66">
        <v>0</v>
      </c>
      <c r="LI66">
        <v>0</v>
      </c>
      <c r="LJ66" t="s">
        <v>264</v>
      </c>
      <c r="LM66" t="s">
        <v>575</v>
      </c>
      <c r="LN66" t="s">
        <v>555</v>
      </c>
      <c r="LO66">
        <v>0</v>
      </c>
      <c r="LP66">
        <v>0</v>
      </c>
      <c r="LQ66">
        <v>0</v>
      </c>
      <c r="LR66" t="s">
        <v>264</v>
      </c>
      <c r="LU66" t="s">
        <v>576</v>
      </c>
      <c r="LV66" t="s">
        <v>555</v>
      </c>
      <c r="LW66">
        <v>0</v>
      </c>
      <c r="LX66">
        <v>0</v>
      </c>
      <c r="LY66">
        <v>0</v>
      </c>
      <c r="LZ66" t="s">
        <v>264</v>
      </c>
      <c r="MC66" t="s">
        <v>577</v>
      </c>
      <c r="MD66" t="s">
        <v>555</v>
      </c>
      <c r="ME66">
        <v>0</v>
      </c>
      <c r="MF66">
        <v>0</v>
      </c>
      <c r="MG66">
        <v>0</v>
      </c>
      <c r="MH66" t="s">
        <v>264</v>
      </c>
      <c r="MK66" t="s">
        <v>578</v>
      </c>
      <c r="ML66" t="s">
        <v>555</v>
      </c>
      <c r="MM66">
        <v>0</v>
      </c>
      <c r="MN66">
        <v>0</v>
      </c>
      <c r="MO66">
        <v>0</v>
      </c>
      <c r="MP66" t="s">
        <v>264</v>
      </c>
      <c r="MS66" t="s">
        <v>579</v>
      </c>
      <c r="MT66" t="s">
        <v>555</v>
      </c>
      <c r="MU66">
        <v>0</v>
      </c>
      <c r="MV66">
        <v>0</v>
      </c>
      <c r="MW66">
        <v>0</v>
      </c>
      <c r="MX66" t="s">
        <v>264</v>
      </c>
      <c r="NA66" t="s">
        <v>580</v>
      </c>
      <c r="NB66" t="s">
        <v>555</v>
      </c>
      <c r="NC66">
        <v>0</v>
      </c>
      <c r="ND66">
        <v>0</v>
      </c>
      <c r="NE66">
        <v>0</v>
      </c>
      <c r="NF66" t="s">
        <v>264</v>
      </c>
      <c r="NI66">
        <v>40.1</v>
      </c>
      <c r="NJ66">
        <v>-10.9</v>
      </c>
      <c r="NP66" t="s">
        <v>624</v>
      </c>
    </row>
    <row r="67" spans="1:380" customFormat="1" x14ac:dyDescent="0.2">
      <c r="A67" t="s">
        <v>517</v>
      </c>
      <c r="B67">
        <v>1</v>
      </c>
      <c r="C67" t="s">
        <v>733</v>
      </c>
      <c r="D67">
        <v>646964885</v>
      </c>
      <c r="E67">
        <v>12602</v>
      </c>
      <c r="F67" t="s">
        <v>542</v>
      </c>
      <c r="G67">
        <v>847922</v>
      </c>
      <c r="H67">
        <v>210002227</v>
      </c>
      <c r="I67" t="s">
        <v>622</v>
      </c>
      <c r="J67" t="s">
        <v>734</v>
      </c>
      <c r="K67" t="s">
        <v>545</v>
      </c>
      <c r="L67" t="s">
        <v>294</v>
      </c>
      <c r="M67" t="s">
        <v>546</v>
      </c>
      <c r="N67" t="s">
        <v>468</v>
      </c>
      <c r="O67" t="s">
        <v>547</v>
      </c>
      <c r="P67" t="s">
        <v>270</v>
      </c>
      <c r="Q67">
        <v>27.3</v>
      </c>
      <c r="R67">
        <v>223</v>
      </c>
      <c r="S67" t="s">
        <v>270</v>
      </c>
      <c r="T67">
        <v>-9999</v>
      </c>
      <c r="U67">
        <v>521</v>
      </c>
      <c r="V67">
        <v>537</v>
      </c>
      <c r="W67">
        <v>511</v>
      </c>
      <c r="X67" t="s">
        <v>270</v>
      </c>
      <c r="Y67">
        <v>0</v>
      </c>
      <c r="Z67">
        <v>55</v>
      </c>
      <c r="AA67" t="s">
        <v>469</v>
      </c>
      <c r="AB67" t="s">
        <v>548</v>
      </c>
      <c r="AC67">
        <v>1</v>
      </c>
      <c r="AD67" t="s">
        <v>549</v>
      </c>
      <c r="AE67">
        <v>0</v>
      </c>
      <c r="AF67">
        <v>20</v>
      </c>
      <c r="AG67" t="s">
        <v>264</v>
      </c>
      <c r="AH67">
        <v>-9999</v>
      </c>
      <c r="AI67">
        <v>438</v>
      </c>
      <c r="AJ67">
        <v>541</v>
      </c>
      <c r="AK67">
        <v>436</v>
      </c>
      <c r="AL67" t="s">
        <v>270</v>
      </c>
      <c r="AM67">
        <v>0</v>
      </c>
      <c r="AN67">
        <v>55</v>
      </c>
      <c r="AO67" t="s">
        <v>470</v>
      </c>
      <c r="AP67" t="s">
        <v>548</v>
      </c>
      <c r="AQ67">
        <v>2</v>
      </c>
      <c r="AR67" t="s">
        <v>549</v>
      </c>
      <c r="AS67">
        <v>53.4</v>
      </c>
      <c r="AT67">
        <v>69</v>
      </c>
      <c r="AU67" t="s">
        <v>264</v>
      </c>
      <c r="AV67">
        <v>-9999</v>
      </c>
      <c r="AW67">
        <v>340</v>
      </c>
      <c r="AX67">
        <v>359</v>
      </c>
      <c r="AY67">
        <v>338</v>
      </c>
      <c r="AZ67" t="s">
        <v>270</v>
      </c>
      <c r="BA67">
        <v>0</v>
      </c>
      <c r="BB67">
        <v>55</v>
      </c>
      <c r="BC67" t="s">
        <v>550</v>
      </c>
      <c r="BD67" t="s">
        <v>548</v>
      </c>
      <c r="BE67">
        <v>3</v>
      </c>
      <c r="BF67" t="s">
        <v>549</v>
      </c>
      <c r="BG67">
        <v>0</v>
      </c>
      <c r="BH67">
        <v>3</v>
      </c>
      <c r="BI67" t="s">
        <v>264</v>
      </c>
      <c r="BJ67">
        <v>-9999</v>
      </c>
      <c r="BK67">
        <v>125</v>
      </c>
      <c r="BL67">
        <v>159</v>
      </c>
      <c r="BM67">
        <v>123</v>
      </c>
      <c r="BN67" t="s">
        <v>270</v>
      </c>
      <c r="BO67">
        <v>0</v>
      </c>
      <c r="BP67">
        <v>55</v>
      </c>
      <c r="BQ67" t="s">
        <v>504</v>
      </c>
      <c r="BR67" t="s">
        <v>548</v>
      </c>
      <c r="BS67">
        <v>4</v>
      </c>
      <c r="BT67" t="s">
        <v>549</v>
      </c>
      <c r="BU67">
        <v>53.6</v>
      </c>
      <c r="BV67">
        <v>53</v>
      </c>
      <c r="BW67" t="s">
        <v>264</v>
      </c>
      <c r="BX67">
        <v>-9999</v>
      </c>
      <c r="BY67">
        <v>191</v>
      </c>
      <c r="BZ67">
        <v>220</v>
      </c>
      <c r="CA67">
        <v>188</v>
      </c>
      <c r="CB67" t="s">
        <v>270</v>
      </c>
      <c r="CC67">
        <v>0</v>
      </c>
      <c r="CD67">
        <v>55</v>
      </c>
      <c r="CE67" t="s">
        <v>471</v>
      </c>
      <c r="CF67" t="s">
        <v>548</v>
      </c>
      <c r="CG67">
        <v>5</v>
      </c>
      <c r="CH67" t="s">
        <v>549</v>
      </c>
      <c r="CI67">
        <v>52.5</v>
      </c>
      <c r="CJ67">
        <v>130</v>
      </c>
      <c r="CK67" t="s">
        <v>264</v>
      </c>
      <c r="CL67">
        <v>-9999</v>
      </c>
      <c r="CM67">
        <v>448</v>
      </c>
      <c r="CN67">
        <v>523</v>
      </c>
      <c r="CO67">
        <v>447</v>
      </c>
      <c r="CP67" t="s">
        <v>270</v>
      </c>
      <c r="CQ67">
        <v>0</v>
      </c>
      <c r="CR67">
        <v>55</v>
      </c>
      <c r="CS67" t="s">
        <v>472</v>
      </c>
      <c r="CT67" t="s">
        <v>548</v>
      </c>
      <c r="CU67">
        <v>6</v>
      </c>
      <c r="CV67" t="s">
        <v>549</v>
      </c>
      <c r="CW67">
        <v>0</v>
      </c>
      <c r="CX67">
        <v>34</v>
      </c>
      <c r="CY67" t="s">
        <v>264</v>
      </c>
      <c r="CZ67">
        <v>-9999</v>
      </c>
      <c r="DA67">
        <v>617</v>
      </c>
      <c r="DB67">
        <v>699</v>
      </c>
      <c r="DC67">
        <v>605</v>
      </c>
      <c r="DD67" t="s">
        <v>270</v>
      </c>
      <c r="DE67">
        <v>0</v>
      </c>
      <c r="DF67">
        <v>55</v>
      </c>
      <c r="DG67" t="s">
        <v>473</v>
      </c>
      <c r="DH67" t="s">
        <v>548</v>
      </c>
      <c r="DI67">
        <v>7</v>
      </c>
      <c r="DJ67" t="s">
        <v>549</v>
      </c>
      <c r="DK67">
        <v>0</v>
      </c>
      <c r="DL67">
        <v>21</v>
      </c>
      <c r="DM67" t="s">
        <v>264</v>
      </c>
      <c r="DN67">
        <v>-9999</v>
      </c>
      <c r="DO67">
        <v>498</v>
      </c>
      <c r="DP67">
        <v>568</v>
      </c>
      <c r="DQ67">
        <v>493</v>
      </c>
      <c r="DR67" t="s">
        <v>270</v>
      </c>
      <c r="DS67">
        <v>0</v>
      </c>
      <c r="DT67">
        <v>55</v>
      </c>
      <c r="DU67" t="s">
        <v>474</v>
      </c>
      <c r="DV67" t="s">
        <v>548</v>
      </c>
      <c r="DW67">
        <v>8</v>
      </c>
      <c r="DX67" t="s">
        <v>549</v>
      </c>
      <c r="DY67">
        <v>49.6</v>
      </c>
      <c r="DZ67">
        <v>47</v>
      </c>
      <c r="EA67" t="s">
        <v>264</v>
      </c>
      <c r="EB67">
        <v>-9999</v>
      </c>
      <c r="EC67">
        <v>83</v>
      </c>
      <c r="ED67">
        <v>101</v>
      </c>
      <c r="EE67">
        <v>81</v>
      </c>
      <c r="EF67" t="s">
        <v>270</v>
      </c>
      <c r="EG67">
        <v>0</v>
      </c>
      <c r="EH67">
        <v>55</v>
      </c>
      <c r="EI67" t="s">
        <v>475</v>
      </c>
      <c r="EJ67" t="s">
        <v>548</v>
      </c>
      <c r="EK67">
        <v>9</v>
      </c>
      <c r="EL67" t="s">
        <v>549</v>
      </c>
      <c r="EM67">
        <v>0</v>
      </c>
      <c r="EN67">
        <v>14</v>
      </c>
      <c r="EO67" t="s">
        <v>264</v>
      </c>
      <c r="EP67">
        <v>-9999</v>
      </c>
      <c r="EQ67">
        <v>304</v>
      </c>
      <c r="ER67">
        <v>283</v>
      </c>
      <c r="ES67">
        <v>258</v>
      </c>
      <c r="ET67" t="s">
        <v>270</v>
      </c>
      <c r="EU67">
        <v>0</v>
      </c>
      <c r="EV67">
        <v>55</v>
      </c>
      <c r="EW67" t="s">
        <v>551</v>
      </c>
      <c r="EX67" t="s">
        <v>552</v>
      </c>
      <c r="EY67">
        <v>119</v>
      </c>
      <c r="EZ67">
        <v>119</v>
      </c>
      <c r="FA67">
        <v>120</v>
      </c>
      <c r="FB67" t="s">
        <v>270</v>
      </c>
      <c r="FC67" t="s">
        <v>553</v>
      </c>
      <c r="FD67" t="s">
        <v>552</v>
      </c>
      <c r="FE67">
        <v>272</v>
      </c>
      <c r="FF67">
        <v>270</v>
      </c>
      <c r="FG67">
        <v>269</v>
      </c>
      <c r="FH67" t="s">
        <v>270</v>
      </c>
      <c r="FI67" t="s">
        <v>554</v>
      </c>
      <c r="FJ67" t="s">
        <v>555</v>
      </c>
      <c r="FK67">
        <v>0</v>
      </c>
      <c r="FL67">
        <v>0</v>
      </c>
      <c r="FM67">
        <v>0</v>
      </c>
      <c r="FN67" t="s">
        <v>264</v>
      </c>
      <c r="FQ67" t="s">
        <v>556</v>
      </c>
      <c r="FR67" t="s">
        <v>555</v>
      </c>
      <c r="FS67">
        <v>0</v>
      </c>
      <c r="FT67">
        <v>0</v>
      </c>
      <c r="FU67">
        <v>0</v>
      </c>
      <c r="FV67" t="s">
        <v>264</v>
      </c>
      <c r="FY67" t="s">
        <v>557</v>
      </c>
      <c r="FZ67" t="s">
        <v>555</v>
      </c>
      <c r="GA67">
        <v>0</v>
      </c>
      <c r="GB67">
        <v>0</v>
      </c>
      <c r="GC67">
        <v>0</v>
      </c>
      <c r="GD67" t="s">
        <v>264</v>
      </c>
      <c r="GG67" t="s">
        <v>558</v>
      </c>
      <c r="GH67" t="s">
        <v>555</v>
      </c>
      <c r="GI67">
        <v>0</v>
      </c>
      <c r="GJ67">
        <v>0</v>
      </c>
      <c r="GK67">
        <v>0</v>
      </c>
      <c r="GL67" t="s">
        <v>264</v>
      </c>
      <c r="GO67" t="s">
        <v>559</v>
      </c>
      <c r="GP67" t="s">
        <v>555</v>
      </c>
      <c r="GQ67">
        <v>0</v>
      </c>
      <c r="GR67">
        <v>0</v>
      </c>
      <c r="GS67">
        <v>0</v>
      </c>
      <c r="GT67" t="s">
        <v>264</v>
      </c>
      <c r="GW67" t="s">
        <v>560</v>
      </c>
      <c r="GX67" t="s">
        <v>555</v>
      </c>
      <c r="GY67">
        <v>0</v>
      </c>
      <c r="GZ67">
        <v>0</v>
      </c>
      <c r="HA67">
        <v>0</v>
      </c>
      <c r="HB67" t="s">
        <v>264</v>
      </c>
      <c r="HE67" t="s">
        <v>561</v>
      </c>
      <c r="HF67" t="s">
        <v>555</v>
      </c>
      <c r="HG67">
        <v>0</v>
      </c>
      <c r="HH67">
        <v>0</v>
      </c>
      <c r="HI67">
        <v>0</v>
      </c>
      <c r="HJ67" t="s">
        <v>264</v>
      </c>
      <c r="HM67" t="s">
        <v>562</v>
      </c>
      <c r="HN67" t="s">
        <v>555</v>
      </c>
      <c r="HO67">
        <v>0</v>
      </c>
      <c r="HP67">
        <v>0</v>
      </c>
      <c r="HQ67">
        <v>0</v>
      </c>
      <c r="HR67" t="s">
        <v>264</v>
      </c>
      <c r="HU67" t="s">
        <v>563</v>
      </c>
      <c r="HV67" t="s">
        <v>555</v>
      </c>
      <c r="HW67">
        <v>0</v>
      </c>
      <c r="HX67">
        <v>0</v>
      </c>
      <c r="HY67">
        <v>0</v>
      </c>
      <c r="HZ67" t="s">
        <v>264</v>
      </c>
      <c r="IC67" t="s">
        <v>564</v>
      </c>
      <c r="ID67" t="s">
        <v>555</v>
      </c>
      <c r="IE67">
        <v>0</v>
      </c>
      <c r="IF67">
        <v>0</v>
      </c>
      <c r="IG67">
        <v>0</v>
      </c>
      <c r="IH67" t="s">
        <v>264</v>
      </c>
      <c r="IK67" t="s">
        <v>565</v>
      </c>
      <c r="IL67" t="s">
        <v>555</v>
      </c>
      <c r="IM67">
        <v>0</v>
      </c>
      <c r="IN67">
        <v>0</v>
      </c>
      <c r="IO67">
        <v>0</v>
      </c>
      <c r="IP67" t="s">
        <v>264</v>
      </c>
      <c r="IS67" t="s">
        <v>566</v>
      </c>
      <c r="IT67" t="s">
        <v>555</v>
      </c>
      <c r="IU67">
        <v>0</v>
      </c>
      <c r="IV67">
        <v>0</v>
      </c>
      <c r="IW67">
        <v>0</v>
      </c>
      <c r="IX67" t="s">
        <v>264</v>
      </c>
      <c r="JA67" t="s">
        <v>567</v>
      </c>
      <c r="JB67" t="s">
        <v>555</v>
      </c>
      <c r="JC67">
        <v>0</v>
      </c>
      <c r="JD67">
        <v>0</v>
      </c>
      <c r="JE67">
        <v>0</v>
      </c>
      <c r="JF67" t="s">
        <v>264</v>
      </c>
      <c r="JI67" t="s">
        <v>568</v>
      </c>
      <c r="JJ67" t="s">
        <v>555</v>
      </c>
      <c r="JK67">
        <v>0</v>
      </c>
      <c r="JL67">
        <v>0</v>
      </c>
      <c r="JM67">
        <v>0</v>
      </c>
      <c r="JN67" t="s">
        <v>264</v>
      </c>
      <c r="JQ67" t="s">
        <v>569</v>
      </c>
      <c r="JR67" t="s">
        <v>555</v>
      </c>
      <c r="JS67">
        <v>0</v>
      </c>
      <c r="JT67">
        <v>0</v>
      </c>
      <c r="JU67">
        <v>0</v>
      </c>
      <c r="JV67" t="s">
        <v>264</v>
      </c>
      <c r="JY67" t="s">
        <v>570</v>
      </c>
      <c r="JZ67" t="s">
        <v>555</v>
      </c>
      <c r="KA67">
        <v>0</v>
      </c>
      <c r="KB67">
        <v>0</v>
      </c>
      <c r="KC67">
        <v>0</v>
      </c>
      <c r="KD67" t="s">
        <v>264</v>
      </c>
      <c r="KG67" t="s">
        <v>571</v>
      </c>
      <c r="KH67" t="s">
        <v>555</v>
      </c>
      <c r="KI67">
        <v>0</v>
      </c>
      <c r="KJ67">
        <v>0</v>
      </c>
      <c r="KK67">
        <v>0</v>
      </c>
      <c r="KL67" t="s">
        <v>264</v>
      </c>
      <c r="KO67" t="s">
        <v>572</v>
      </c>
      <c r="KP67" t="s">
        <v>555</v>
      </c>
      <c r="KQ67">
        <v>0</v>
      </c>
      <c r="KR67">
        <v>0</v>
      </c>
      <c r="KS67">
        <v>0</v>
      </c>
      <c r="KT67" t="s">
        <v>264</v>
      </c>
      <c r="KW67" t="s">
        <v>573</v>
      </c>
      <c r="KX67" t="s">
        <v>555</v>
      </c>
      <c r="KY67">
        <v>0</v>
      </c>
      <c r="KZ67">
        <v>0</v>
      </c>
      <c r="LA67">
        <v>0</v>
      </c>
      <c r="LB67" t="s">
        <v>264</v>
      </c>
      <c r="LE67" t="s">
        <v>574</v>
      </c>
      <c r="LF67" t="s">
        <v>555</v>
      </c>
      <c r="LG67">
        <v>0</v>
      </c>
      <c r="LH67">
        <v>0</v>
      </c>
      <c r="LI67">
        <v>0</v>
      </c>
      <c r="LJ67" t="s">
        <v>264</v>
      </c>
      <c r="LM67" t="s">
        <v>575</v>
      </c>
      <c r="LN67" t="s">
        <v>555</v>
      </c>
      <c r="LO67">
        <v>0</v>
      </c>
      <c r="LP67">
        <v>0</v>
      </c>
      <c r="LQ67">
        <v>0</v>
      </c>
      <c r="LR67" t="s">
        <v>264</v>
      </c>
      <c r="LU67" t="s">
        <v>576</v>
      </c>
      <c r="LV67" t="s">
        <v>555</v>
      </c>
      <c r="LW67">
        <v>0</v>
      </c>
      <c r="LX67">
        <v>0</v>
      </c>
      <c r="LY67">
        <v>0</v>
      </c>
      <c r="LZ67" t="s">
        <v>264</v>
      </c>
      <c r="MC67" t="s">
        <v>577</v>
      </c>
      <c r="MD67" t="s">
        <v>555</v>
      </c>
      <c r="ME67">
        <v>0</v>
      </c>
      <c r="MF67">
        <v>0</v>
      </c>
      <c r="MG67">
        <v>0</v>
      </c>
      <c r="MH67" t="s">
        <v>264</v>
      </c>
      <c r="MK67" t="s">
        <v>578</v>
      </c>
      <c r="ML67" t="s">
        <v>555</v>
      </c>
      <c r="MM67">
        <v>0</v>
      </c>
      <c r="MN67">
        <v>0</v>
      </c>
      <c r="MO67">
        <v>0</v>
      </c>
      <c r="MP67" t="s">
        <v>264</v>
      </c>
      <c r="MS67" t="s">
        <v>579</v>
      </c>
      <c r="MT67" t="s">
        <v>555</v>
      </c>
      <c r="MU67">
        <v>0</v>
      </c>
      <c r="MV67">
        <v>0</v>
      </c>
      <c r="MW67">
        <v>0</v>
      </c>
      <c r="MX67" t="s">
        <v>264</v>
      </c>
      <c r="NA67" t="s">
        <v>580</v>
      </c>
      <c r="NB67" t="s">
        <v>555</v>
      </c>
      <c r="NC67">
        <v>0</v>
      </c>
      <c r="ND67">
        <v>0</v>
      </c>
      <c r="NE67">
        <v>0</v>
      </c>
      <c r="NF67" t="s">
        <v>264</v>
      </c>
      <c r="NI67">
        <v>40</v>
      </c>
      <c r="NJ67">
        <v>-10.5</v>
      </c>
      <c r="NP67" t="s">
        <v>624</v>
      </c>
    </row>
    <row r="68" spans="1:380" customFormat="1" x14ac:dyDescent="0.2">
      <c r="A68" t="s">
        <v>517</v>
      </c>
      <c r="B68">
        <v>1</v>
      </c>
      <c r="C68" t="s">
        <v>735</v>
      </c>
      <c r="D68">
        <v>646965647</v>
      </c>
      <c r="E68">
        <v>12602</v>
      </c>
      <c r="F68" t="s">
        <v>542</v>
      </c>
      <c r="G68">
        <v>847922</v>
      </c>
      <c r="H68">
        <v>616194</v>
      </c>
      <c r="I68" t="s">
        <v>622</v>
      </c>
      <c r="J68" t="s">
        <v>736</v>
      </c>
      <c r="K68" t="s">
        <v>545</v>
      </c>
      <c r="L68" t="s">
        <v>294</v>
      </c>
      <c r="M68" t="s">
        <v>546</v>
      </c>
      <c r="N68" t="s">
        <v>468</v>
      </c>
      <c r="O68" t="s">
        <v>547</v>
      </c>
      <c r="P68" t="s">
        <v>270</v>
      </c>
      <c r="Q68">
        <v>29.9</v>
      </c>
      <c r="R68">
        <v>238</v>
      </c>
      <c r="S68" t="s">
        <v>270</v>
      </c>
      <c r="T68">
        <v>-9999</v>
      </c>
      <c r="U68">
        <v>612</v>
      </c>
      <c r="V68">
        <v>630</v>
      </c>
      <c r="W68">
        <v>600</v>
      </c>
      <c r="X68" t="s">
        <v>270</v>
      </c>
      <c r="Y68">
        <v>0</v>
      </c>
      <c r="Z68">
        <v>55</v>
      </c>
      <c r="AA68" t="s">
        <v>469</v>
      </c>
      <c r="AB68" t="s">
        <v>548</v>
      </c>
      <c r="AC68">
        <v>1</v>
      </c>
      <c r="AD68" t="s">
        <v>549</v>
      </c>
      <c r="AE68">
        <v>0</v>
      </c>
      <c r="AF68">
        <v>24</v>
      </c>
      <c r="AG68" t="s">
        <v>264</v>
      </c>
      <c r="AH68">
        <v>-9999</v>
      </c>
      <c r="AI68">
        <v>451</v>
      </c>
      <c r="AJ68">
        <v>558</v>
      </c>
      <c r="AK68">
        <v>446</v>
      </c>
      <c r="AL68" t="s">
        <v>270</v>
      </c>
      <c r="AM68">
        <v>0</v>
      </c>
      <c r="AN68">
        <v>55</v>
      </c>
      <c r="AO68" t="s">
        <v>470</v>
      </c>
      <c r="AP68" t="s">
        <v>548</v>
      </c>
      <c r="AQ68">
        <v>2</v>
      </c>
      <c r="AR68" t="s">
        <v>549</v>
      </c>
      <c r="AS68">
        <v>0</v>
      </c>
      <c r="AT68">
        <v>24</v>
      </c>
      <c r="AU68" t="s">
        <v>264</v>
      </c>
      <c r="AV68">
        <v>-9999</v>
      </c>
      <c r="AW68">
        <v>357</v>
      </c>
      <c r="AX68">
        <v>377</v>
      </c>
      <c r="AY68">
        <v>354</v>
      </c>
      <c r="AZ68" t="s">
        <v>270</v>
      </c>
      <c r="BA68">
        <v>0</v>
      </c>
      <c r="BB68">
        <v>55</v>
      </c>
      <c r="BC68" t="s">
        <v>550</v>
      </c>
      <c r="BD68" t="s">
        <v>548</v>
      </c>
      <c r="BE68">
        <v>3</v>
      </c>
      <c r="BF68" t="s">
        <v>549</v>
      </c>
      <c r="BG68">
        <v>0</v>
      </c>
      <c r="BH68">
        <v>6</v>
      </c>
      <c r="BI68" t="s">
        <v>264</v>
      </c>
      <c r="BJ68">
        <v>-9999</v>
      </c>
      <c r="BK68">
        <v>181</v>
      </c>
      <c r="BL68">
        <v>228</v>
      </c>
      <c r="BM68">
        <v>182</v>
      </c>
      <c r="BN68" t="s">
        <v>270</v>
      </c>
      <c r="BO68">
        <v>0</v>
      </c>
      <c r="BP68">
        <v>55</v>
      </c>
      <c r="BQ68" t="s">
        <v>504</v>
      </c>
      <c r="BR68" t="s">
        <v>548</v>
      </c>
      <c r="BS68">
        <v>4</v>
      </c>
      <c r="BT68" t="s">
        <v>549</v>
      </c>
      <c r="BU68">
        <v>52.7</v>
      </c>
      <c r="BV68">
        <v>76</v>
      </c>
      <c r="BW68" t="s">
        <v>264</v>
      </c>
      <c r="BX68">
        <v>-9999</v>
      </c>
      <c r="BY68">
        <v>201</v>
      </c>
      <c r="BZ68">
        <v>231</v>
      </c>
      <c r="CA68">
        <v>198</v>
      </c>
      <c r="CB68" t="s">
        <v>270</v>
      </c>
      <c r="CC68">
        <v>0</v>
      </c>
      <c r="CD68">
        <v>55</v>
      </c>
      <c r="CE68" t="s">
        <v>471</v>
      </c>
      <c r="CF68" t="s">
        <v>548</v>
      </c>
      <c r="CG68">
        <v>5</v>
      </c>
      <c r="CH68" t="s">
        <v>549</v>
      </c>
      <c r="CI68">
        <v>52.3</v>
      </c>
      <c r="CJ68">
        <v>147</v>
      </c>
      <c r="CK68" t="s">
        <v>264</v>
      </c>
      <c r="CL68">
        <v>-9999</v>
      </c>
      <c r="CM68">
        <v>479</v>
      </c>
      <c r="CN68">
        <v>556</v>
      </c>
      <c r="CO68">
        <v>475</v>
      </c>
      <c r="CP68" t="s">
        <v>270</v>
      </c>
      <c r="CQ68">
        <v>0</v>
      </c>
      <c r="CR68">
        <v>55</v>
      </c>
      <c r="CS68" t="s">
        <v>472</v>
      </c>
      <c r="CT68" t="s">
        <v>548</v>
      </c>
      <c r="CU68">
        <v>6</v>
      </c>
      <c r="CV68" t="s">
        <v>549</v>
      </c>
      <c r="CW68">
        <v>54.5</v>
      </c>
      <c r="CX68">
        <v>61</v>
      </c>
      <c r="CY68" t="s">
        <v>264</v>
      </c>
      <c r="CZ68">
        <v>-9999</v>
      </c>
      <c r="DA68">
        <v>704</v>
      </c>
      <c r="DB68">
        <v>792</v>
      </c>
      <c r="DC68">
        <v>688</v>
      </c>
      <c r="DD68" t="s">
        <v>270</v>
      </c>
      <c r="DE68">
        <v>0</v>
      </c>
      <c r="DF68">
        <v>55</v>
      </c>
      <c r="DG68" t="s">
        <v>473</v>
      </c>
      <c r="DH68" t="s">
        <v>548</v>
      </c>
      <c r="DI68">
        <v>7</v>
      </c>
      <c r="DJ68" t="s">
        <v>549</v>
      </c>
      <c r="DK68">
        <v>0</v>
      </c>
      <c r="DL68">
        <v>28</v>
      </c>
      <c r="DM68" t="s">
        <v>264</v>
      </c>
      <c r="DN68">
        <v>-9999</v>
      </c>
      <c r="DO68">
        <v>531</v>
      </c>
      <c r="DP68">
        <v>604</v>
      </c>
      <c r="DQ68">
        <v>525</v>
      </c>
      <c r="DR68" t="s">
        <v>270</v>
      </c>
      <c r="DS68">
        <v>0</v>
      </c>
      <c r="DT68">
        <v>55</v>
      </c>
      <c r="DU68" t="s">
        <v>474</v>
      </c>
      <c r="DV68" t="s">
        <v>548</v>
      </c>
      <c r="DW68">
        <v>8</v>
      </c>
      <c r="DX68" t="s">
        <v>549</v>
      </c>
      <c r="DY68">
        <v>52.3</v>
      </c>
      <c r="DZ68">
        <v>27</v>
      </c>
      <c r="EA68" t="s">
        <v>264</v>
      </c>
      <c r="EB68">
        <v>-9999</v>
      </c>
      <c r="EC68">
        <v>96</v>
      </c>
      <c r="ED68">
        <v>119</v>
      </c>
      <c r="EE68">
        <v>95</v>
      </c>
      <c r="EF68" t="s">
        <v>270</v>
      </c>
      <c r="EG68">
        <v>0</v>
      </c>
      <c r="EH68">
        <v>55</v>
      </c>
      <c r="EI68" t="s">
        <v>475</v>
      </c>
      <c r="EJ68" t="s">
        <v>548</v>
      </c>
      <c r="EK68">
        <v>9</v>
      </c>
      <c r="EL68" t="s">
        <v>549</v>
      </c>
      <c r="EM68">
        <v>0</v>
      </c>
      <c r="EN68">
        <v>-11</v>
      </c>
      <c r="EO68" t="s">
        <v>264</v>
      </c>
      <c r="EP68">
        <v>-9999</v>
      </c>
      <c r="EQ68">
        <v>333</v>
      </c>
      <c r="ER68">
        <v>314</v>
      </c>
      <c r="ES68">
        <v>290</v>
      </c>
      <c r="ET68" t="s">
        <v>270</v>
      </c>
      <c r="EU68">
        <v>0</v>
      </c>
      <c r="EV68">
        <v>55</v>
      </c>
      <c r="EW68" t="s">
        <v>551</v>
      </c>
      <c r="EX68" t="s">
        <v>552</v>
      </c>
      <c r="EY68">
        <v>110</v>
      </c>
      <c r="EZ68">
        <v>110</v>
      </c>
      <c r="FA68">
        <v>110</v>
      </c>
      <c r="FB68" t="s">
        <v>270</v>
      </c>
      <c r="FC68" t="s">
        <v>553</v>
      </c>
      <c r="FD68" t="s">
        <v>552</v>
      </c>
      <c r="FE68">
        <v>224</v>
      </c>
      <c r="FF68">
        <v>223</v>
      </c>
      <c r="FG68">
        <v>222</v>
      </c>
      <c r="FH68" t="s">
        <v>270</v>
      </c>
      <c r="FI68" t="s">
        <v>554</v>
      </c>
      <c r="FJ68" t="s">
        <v>555</v>
      </c>
      <c r="FK68">
        <v>0</v>
      </c>
      <c r="FL68">
        <v>0</v>
      </c>
      <c r="FM68">
        <v>0</v>
      </c>
      <c r="FN68" t="s">
        <v>264</v>
      </c>
      <c r="FQ68" t="s">
        <v>556</v>
      </c>
      <c r="FR68" t="s">
        <v>555</v>
      </c>
      <c r="FS68">
        <v>0</v>
      </c>
      <c r="FT68">
        <v>0</v>
      </c>
      <c r="FU68">
        <v>0</v>
      </c>
      <c r="FV68" t="s">
        <v>264</v>
      </c>
      <c r="FY68" t="s">
        <v>557</v>
      </c>
      <c r="FZ68" t="s">
        <v>555</v>
      </c>
      <c r="GA68">
        <v>0</v>
      </c>
      <c r="GB68">
        <v>0</v>
      </c>
      <c r="GC68">
        <v>0</v>
      </c>
      <c r="GD68" t="s">
        <v>264</v>
      </c>
      <c r="GG68" t="s">
        <v>558</v>
      </c>
      <c r="GH68" t="s">
        <v>555</v>
      </c>
      <c r="GI68">
        <v>0</v>
      </c>
      <c r="GJ68">
        <v>0</v>
      </c>
      <c r="GK68">
        <v>0</v>
      </c>
      <c r="GL68" t="s">
        <v>264</v>
      </c>
      <c r="GO68" t="s">
        <v>559</v>
      </c>
      <c r="GP68" t="s">
        <v>555</v>
      </c>
      <c r="GQ68">
        <v>0</v>
      </c>
      <c r="GR68">
        <v>0</v>
      </c>
      <c r="GS68">
        <v>0</v>
      </c>
      <c r="GT68" t="s">
        <v>264</v>
      </c>
      <c r="GW68" t="s">
        <v>560</v>
      </c>
      <c r="GX68" t="s">
        <v>555</v>
      </c>
      <c r="GY68">
        <v>0</v>
      </c>
      <c r="GZ68">
        <v>0</v>
      </c>
      <c r="HA68">
        <v>0</v>
      </c>
      <c r="HB68" t="s">
        <v>264</v>
      </c>
      <c r="HE68" t="s">
        <v>561</v>
      </c>
      <c r="HF68" t="s">
        <v>555</v>
      </c>
      <c r="HG68">
        <v>0</v>
      </c>
      <c r="HH68">
        <v>0</v>
      </c>
      <c r="HI68">
        <v>0</v>
      </c>
      <c r="HJ68" t="s">
        <v>264</v>
      </c>
      <c r="HM68" t="s">
        <v>562</v>
      </c>
      <c r="HN68" t="s">
        <v>555</v>
      </c>
      <c r="HO68">
        <v>0</v>
      </c>
      <c r="HP68">
        <v>0</v>
      </c>
      <c r="HQ68">
        <v>0</v>
      </c>
      <c r="HR68" t="s">
        <v>264</v>
      </c>
      <c r="HU68" t="s">
        <v>563</v>
      </c>
      <c r="HV68" t="s">
        <v>555</v>
      </c>
      <c r="HW68">
        <v>0</v>
      </c>
      <c r="HX68">
        <v>0</v>
      </c>
      <c r="HY68">
        <v>0</v>
      </c>
      <c r="HZ68" t="s">
        <v>264</v>
      </c>
      <c r="IC68" t="s">
        <v>564</v>
      </c>
      <c r="ID68" t="s">
        <v>555</v>
      </c>
      <c r="IE68">
        <v>0</v>
      </c>
      <c r="IF68">
        <v>0</v>
      </c>
      <c r="IG68">
        <v>0</v>
      </c>
      <c r="IH68" t="s">
        <v>264</v>
      </c>
      <c r="IK68" t="s">
        <v>565</v>
      </c>
      <c r="IL68" t="s">
        <v>555</v>
      </c>
      <c r="IM68">
        <v>0</v>
      </c>
      <c r="IN68">
        <v>0</v>
      </c>
      <c r="IO68">
        <v>0</v>
      </c>
      <c r="IP68" t="s">
        <v>264</v>
      </c>
      <c r="IS68" t="s">
        <v>566</v>
      </c>
      <c r="IT68" t="s">
        <v>555</v>
      </c>
      <c r="IU68">
        <v>0</v>
      </c>
      <c r="IV68">
        <v>0</v>
      </c>
      <c r="IW68">
        <v>0</v>
      </c>
      <c r="IX68" t="s">
        <v>264</v>
      </c>
      <c r="JA68" t="s">
        <v>567</v>
      </c>
      <c r="JB68" t="s">
        <v>555</v>
      </c>
      <c r="JC68">
        <v>0</v>
      </c>
      <c r="JD68">
        <v>0</v>
      </c>
      <c r="JE68">
        <v>0</v>
      </c>
      <c r="JF68" t="s">
        <v>264</v>
      </c>
      <c r="JI68" t="s">
        <v>568</v>
      </c>
      <c r="JJ68" t="s">
        <v>555</v>
      </c>
      <c r="JK68">
        <v>0</v>
      </c>
      <c r="JL68">
        <v>0</v>
      </c>
      <c r="JM68">
        <v>0</v>
      </c>
      <c r="JN68" t="s">
        <v>264</v>
      </c>
      <c r="JQ68" t="s">
        <v>569</v>
      </c>
      <c r="JR68" t="s">
        <v>555</v>
      </c>
      <c r="JS68">
        <v>0</v>
      </c>
      <c r="JT68">
        <v>0</v>
      </c>
      <c r="JU68">
        <v>0</v>
      </c>
      <c r="JV68" t="s">
        <v>264</v>
      </c>
      <c r="JY68" t="s">
        <v>570</v>
      </c>
      <c r="JZ68" t="s">
        <v>555</v>
      </c>
      <c r="KA68">
        <v>0</v>
      </c>
      <c r="KB68">
        <v>0</v>
      </c>
      <c r="KC68">
        <v>0</v>
      </c>
      <c r="KD68" t="s">
        <v>264</v>
      </c>
      <c r="KG68" t="s">
        <v>571</v>
      </c>
      <c r="KH68" t="s">
        <v>555</v>
      </c>
      <c r="KI68">
        <v>0</v>
      </c>
      <c r="KJ68">
        <v>0</v>
      </c>
      <c r="KK68">
        <v>0</v>
      </c>
      <c r="KL68" t="s">
        <v>264</v>
      </c>
      <c r="KO68" t="s">
        <v>572</v>
      </c>
      <c r="KP68" t="s">
        <v>555</v>
      </c>
      <c r="KQ68">
        <v>0</v>
      </c>
      <c r="KR68">
        <v>0</v>
      </c>
      <c r="KS68">
        <v>0</v>
      </c>
      <c r="KT68" t="s">
        <v>264</v>
      </c>
      <c r="KW68" t="s">
        <v>573</v>
      </c>
      <c r="KX68" t="s">
        <v>555</v>
      </c>
      <c r="KY68">
        <v>0</v>
      </c>
      <c r="KZ68">
        <v>0</v>
      </c>
      <c r="LA68">
        <v>0</v>
      </c>
      <c r="LB68" t="s">
        <v>264</v>
      </c>
      <c r="LE68" t="s">
        <v>574</v>
      </c>
      <c r="LF68" t="s">
        <v>555</v>
      </c>
      <c r="LG68">
        <v>0</v>
      </c>
      <c r="LH68">
        <v>0</v>
      </c>
      <c r="LI68">
        <v>0</v>
      </c>
      <c r="LJ68" t="s">
        <v>264</v>
      </c>
      <c r="LM68" t="s">
        <v>575</v>
      </c>
      <c r="LN68" t="s">
        <v>555</v>
      </c>
      <c r="LO68">
        <v>0</v>
      </c>
      <c r="LP68">
        <v>0</v>
      </c>
      <c r="LQ68">
        <v>0</v>
      </c>
      <c r="LR68" t="s">
        <v>264</v>
      </c>
      <c r="LU68" t="s">
        <v>576</v>
      </c>
      <c r="LV68" t="s">
        <v>555</v>
      </c>
      <c r="LW68">
        <v>0</v>
      </c>
      <c r="LX68">
        <v>0</v>
      </c>
      <c r="LY68">
        <v>0</v>
      </c>
      <c r="LZ68" t="s">
        <v>264</v>
      </c>
      <c r="MC68" t="s">
        <v>577</v>
      </c>
      <c r="MD68" t="s">
        <v>555</v>
      </c>
      <c r="ME68">
        <v>0</v>
      </c>
      <c r="MF68">
        <v>0</v>
      </c>
      <c r="MG68">
        <v>0</v>
      </c>
      <c r="MH68" t="s">
        <v>264</v>
      </c>
      <c r="MK68" t="s">
        <v>578</v>
      </c>
      <c r="ML68" t="s">
        <v>555</v>
      </c>
      <c r="MM68">
        <v>0</v>
      </c>
      <c r="MN68">
        <v>0</v>
      </c>
      <c r="MO68">
        <v>0</v>
      </c>
      <c r="MP68" t="s">
        <v>264</v>
      </c>
      <c r="MS68" t="s">
        <v>579</v>
      </c>
      <c r="MT68" t="s">
        <v>555</v>
      </c>
      <c r="MU68">
        <v>0</v>
      </c>
      <c r="MV68">
        <v>0</v>
      </c>
      <c r="MW68">
        <v>0</v>
      </c>
      <c r="MX68" t="s">
        <v>264</v>
      </c>
      <c r="NA68" t="s">
        <v>580</v>
      </c>
      <c r="NB68" t="s">
        <v>555</v>
      </c>
      <c r="NC68">
        <v>0</v>
      </c>
      <c r="ND68">
        <v>0</v>
      </c>
      <c r="NE68">
        <v>0</v>
      </c>
      <c r="NF68" t="s">
        <v>264</v>
      </c>
      <c r="NI68">
        <v>40.1</v>
      </c>
      <c r="NJ68">
        <v>-6.1</v>
      </c>
      <c r="NP68" t="s">
        <v>624</v>
      </c>
    </row>
    <row r="69" spans="1:380" customFormat="1" x14ac:dyDescent="0.2">
      <c r="A69" t="s">
        <v>517</v>
      </c>
      <c r="B69">
        <v>1</v>
      </c>
      <c r="C69" t="s">
        <v>737</v>
      </c>
      <c r="D69">
        <v>646964747</v>
      </c>
      <c r="E69">
        <v>12602</v>
      </c>
      <c r="F69" t="s">
        <v>542</v>
      </c>
      <c r="G69">
        <v>847922</v>
      </c>
      <c r="H69">
        <v>210011078</v>
      </c>
      <c r="I69" t="s">
        <v>622</v>
      </c>
      <c r="J69" t="s">
        <v>738</v>
      </c>
      <c r="K69" t="s">
        <v>545</v>
      </c>
      <c r="L69" t="s">
        <v>294</v>
      </c>
      <c r="M69" t="s">
        <v>546</v>
      </c>
      <c r="N69" t="s">
        <v>468</v>
      </c>
      <c r="O69" t="s">
        <v>547</v>
      </c>
      <c r="P69" t="s">
        <v>264</v>
      </c>
      <c r="Q69">
        <v>27.3</v>
      </c>
      <c r="R69">
        <v>257</v>
      </c>
      <c r="S69" t="s">
        <v>264</v>
      </c>
      <c r="T69">
        <v>-9999</v>
      </c>
      <c r="U69">
        <v>623</v>
      </c>
      <c r="V69">
        <v>645</v>
      </c>
      <c r="W69">
        <v>614</v>
      </c>
      <c r="X69" t="s">
        <v>270</v>
      </c>
      <c r="Y69">
        <v>0</v>
      </c>
      <c r="Z69">
        <v>55</v>
      </c>
      <c r="AA69" t="s">
        <v>469</v>
      </c>
      <c r="AB69" t="s">
        <v>548</v>
      </c>
      <c r="AC69">
        <v>1</v>
      </c>
      <c r="AD69" t="s">
        <v>549</v>
      </c>
      <c r="AE69">
        <v>0</v>
      </c>
      <c r="AF69">
        <v>46</v>
      </c>
      <c r="AG69" t="s">
        <v>264</v>
      </c>
      <c r="AH69">
        <v>-9999</v>
      </c>
      <c r="AI69">
        <v>433</v>
      </c>
      <c r="AJ69">
        <v>546</v>
      </c>
      <c r="AK69">
        <v>436</v>
      </c>
      <c r="AL69" t="s">
        <v>270</v>
      </c>
      <c r="AM69">
        <v>0</v>
      </c>
      <c r="AN69">
        <v>55</v>
      </c>
      <c r="AO69" t="s">
        <v>470</v>
      </c>
      <c r="AP69" t="s">
        <v>548</v>
      </c>
      <c r="AQ69">
        <v>2</v>
      </c>
      <c r="AR69" t="s">
        <v>549</v>
      </c>
      <c r="AS69">
        <v>54.5</v>
      </c>
      <c r="AT69">
        <v>48</v>
      </c>
      <c r="AU69" t="s">
        <v>264</v>
      </c>
      <c r="AV69">
        <v>-9999</v>
      </c>
      <c r="AW69">
        <v>360</v>
      </c>
      <c r="AX69">
        <v>379</v>
      </c>
      <c r="AY69">
        <v>358</v>
      </c>
      <c r="AZ69" t="s">
        <v>270</v>
      </c>
      <c r="BA69">
        <v>0</v>
      </c>
      <c r="BB69">
        <v>55</v>
      </c>
      <c r="BC69" t="s">
        <v>550</v>
      </c>
      <c r="BD69" t="s">
        <v>548</v>
      </c>
      <c r="BE69">
        <v>3</v>
      </c>
      <c r="BF69" t="s">
        <v>549</v>
      </c>
      <c r="BG69">
        <v>0</v>
      </c>
      <c r="BH69">
        <v>-17</v>
      </c>
      <c r="BI69" t="s">
        <v>264</v>
      </c>
      <c r="BJ69">
        <v>-9999</v>
      </c>
      <c r="BK69">
        <v>275</v>
      </c>
      <c r="BL69">
        <v>328</v>
      </c>
      <c r="BM69">
        <v>268</v>
      </c>
      <c r="BN69" t="s">
        <v>270</v>
      </c>
      <c r="BO69">
        <v>0</v>
      </c>
      <c r="BP69">
        <v>55</v>
      </c>
      <c r="BQ69" t="s">
        <v>504</v>
      </c>
      <c r="BR69" t="s">
        <v>548</v>
      </c>
      <c r="BS69">
        <v>4</v>
      </c>
      <c r="BT69" t="s">
        <v>549</v>
      </c>
      <c r="BU69">
        <v>51.3</v>
      </c>
      <c r="BV69">
        <v>93</v>
      </c>
      <c r="BW69" t="s">
        <v>264</v>
      </c>
      <c r="BX69">
        <v>-9999</v>
      </c>
      <c r="BY69">
        <v>213</v>
      </c>
      <c r="BZ69">
        <v>246</v>
      </c>
      <c r="CA69">
        <v>212</v>
      </c>
      <c r="CB69" t="s">
        <v>270</v>
      </c>
      <c r="CC69">
        <v>0</v>
      </c>
      <c r="CD69">
        <v>55</v>
      </c>
      <c r="CE69" t="s">
        <v>471</v>
      </c>
      <c r="CF69" t="s">
        <v>548</v>
      </c>
      <c r="CG69">
        <v>5</v>
      </c>
      <c r="CH69" t="s">
        <v>549</v>
      </c>
      <c r="CI69">
        <v>52.1</v>
      </c>
      <c r="CJ69">
        <v>167</v>
      </c>
      <c r="CK69" t="s">
        <v>264</v>
      </c>
      <c r="CL69">
        <v>-9999</v>
      </c>
      <c r="CM69">
        <v>493</v>
      </c>
      <c r="CN69">
        <v>576</v>
      </c>
      <c r="CO69">
        <v>492</v>
      </c>
      <c r="CP69" t="s">
        <v>270</v>
      </c>
      <c r="CQ69">
        <v>0</v>
      </c>
      <c r="CR69">
        <v>55</v>
      </c>
      <c r="CS69" t="s">
        <v>472</v>
      </c>
      <c r="CT69" t="s">
        <v>548</v>
      </c>
      <c r="CU69">
        <v>6</v>
      </c>
      <c r="CV69" t="s">
        <v>549</v>
      </c>
      <c r="CW69">
        <v>53.9</v>
      </c>
      <c r="CX69">
        <v>76</v>
      </c>
      <c r="CY69" t="s">
        <v>264</v>
      </c>
      <c r="CZ69">
        <v>-9999</v>
      </c>
      <c r="DA69">
        <v>671</v>
      </c>
      <c r="DB69">
        <v>762</v>
      </c>
      <c r="DC69">
        <v>660</v>
      </c>
      <c r="DD69" t="s">
        <v>270</v>
      </c>
      <c r="DE69">
        <v>0</v>
      </c>
      <c r="DF69">
        <v>55</v>
      </c>
      <c r="DG69" t="s">
        <v>473</v>
      </c>
      <c r="DH69" t="s">
        <v>548</v>
      </c>
      <c r="DI69">
        <v>7</v>
      </c>
      <c r="DJ69" t="s">
        <v>549</v>
      </c>
      <c r="DK69">
        <v>0</v>
      </c>
      <c r="DL69">
        <v>39</v>
      </c>
      <c r="DM69" t="s">
        <v>264</v>
      </c>
      <c r="DN69">
        <v>-9999</v>
      </c>
      <c r="DO69">
        <v>486</v>
      </c>
      <c r="DP69">
        <v>556</v>
      </c>
      <c r="DQ69">
        <v>483</v>
      </c>
      <c r="DR69" t="s">
        <v>270</v>
      </c>
      <c r="DS69">
        <v>0</v>
      </c>
      <c r="DT69">
        <v>55</v>
      </c>
      <c r="DU69" t="s">
        <v>474</v>
      </c>
      <c r="DV69" t="s">
        <v>548</v>
      </c>
      <c r="DW69">
        <v>8</v>
      </c>
      <c r="DX69" t="s">
        <v>584</v>
      </c>
      <c r="DY69">
        <v>30.3</v>
      </c>
      <c r="DZ69">
        <v>429</v>
      </c>
      <c r="EA69" t="s">
        <v>264</v>
      </c>
      <c r="EB69">
        <v>-9999</v>
      </c>
      <c r="EC69">
        <v>114</v>
      </c>
      <c r="ED69">
        <v>138</v>
      </c>
      <c r="EE69">
        <v>112</v>
      </c>
      <c r="EF69" t="s">
        <v>270</v>
      </c>
      <c r="EG69">
        <v>0</v>
      </c>
      <c r="EH69">
        <v>55</v>
      </c>
      <c r="EI69" t="s">
        <v>475</v>
      </c>
      <c r="EJ69" t="s">
        <v>548</v>
      </c>
      <c r="EK69">
        <v>9</v>
      </c>
      <c r="EL69" t="s">
        <v>584</v>
      </c>
      <c r="EM69">
        <v>37</v>
      </c>
      <c r="EN69">
        <v>49</v>
      </c>
      <c r="EO69" t="s">
        <v>264</v>
      </c>
      <c r="EP69">
        <v>-9999</v>
      </c>
      <c r="EQ69">
        <v>300</v>
      </c>
      <c r="ER69">
        <v>271</v>
      </c>
      <c r="ES69">
        <v>250</v>
      </c>
      <c r="ET69" t="s">
        <v>270</v>
      </c>
      <c r="EU69">
        <v>0</v>
      </c>
      <c r="EV69">
        <v>55</v>
      </c>
      <c r="EW69" t="s">
        <v>551</v>
      </c>
      <c r="EX69" t="s">
        <v>552</v>
      </c>
      <c r="EY69">
        <v>146</v>
      </c>
      <c r="EZ69">
        <v>146</v>
      </c>
      <c r="FA69">
        <v>146</v>
      </c>
      <c r="FB69" t="s">
        <v>270</v>
      </c>
      <c r="FC69" t="s">
        <v>553</v>
      </c>
      <c r="FD69" t="s">
        <v>552</v>
      </c>
      <c r="FE69">
        <v>296</v>
      </c>
      <c r="FF69">
        <v>295</v>
      </c>
      <c r="FG69">
        <v>294</v>
      </c>
      <c r="FH69" t="s">
        <v>270</v>
      </c>
      <c r="FI69" t="s">
        <v>554</v>
      </c>
      <c r="FJ69" t="s">
        <v>555</v>
      </c>
      <c r="FK69">
        <v>0</v>
      </c>
      <c r="FL69">
        <v>0</v>
      </c>
      <c r="FM69">
        <v>0</v>
      </c>
      <c r="FN69" t="s">
        <v>264</v>
      </c>
      <c r="FQ69" t="s">
        <v>556</v>
      </c>
      <c r="FR69" t="s">
        <v>555</v>
      </c>
      <c r="FS69">
        <v>0</v>
      </c>
      <c r="FT69">
        <v>0</v>
      </c>
      <c r="FU69">
        <v>0</v>
      </c>
      <c r="FV69" t="s">
        <v>264</v>
      </c>
      <c r="FY69" t="s">
        <v>557</v>
      </c>
      <c r="FZ69" t="s">
        <v>555</v>
      </c>
      <c r="GA69">
        <v>0</v>
      </c>
      <c r="GB69">
        <v>0</v>
      </c>
      <c r="GC69">
        <v>0</v>
      </c>
      <c r="GD69" t="s">
        <v>264</v>
      </c>
      <c r="GG69" t="s">
        <v>558</v>
      </c>
      <c r="GH69" t="s">
        <v>555</v>
      </c>
      <c r="GI69">
        <v>0</v>
      </c>
      <c r="GJ69">
        <v>0</v>
      </c>
      <c r="GK69">
        <v>0</v>
      </c>
      <c r="GL69" t="s">
        <v>264</v>
      </c>
      <c r="GO69" t="s">
        <v>559</v>
      </c>
      <c r="GP69" t="s">
        <v>555</v>
      </c>
      <c r="GQ69">
        <v>0</v>
      </c>
      <c r="GR69">
        <v>0</v>
      </c>
      <c r="GS69">
        <v>0</v>
      </c>
      <c r="GT69" t="s">
        <v>264</v>
      </c>
      <c r="GW69" t="s">
        <v>560</v>
      </c>
      <c r="GX69" t="s">
        <v>555</v>
      </c>
      <c r="GY69">
        <v>0</v>
      </c>
      <c r="GZ69">
        <v>0</v>
      </c>
      <c r="HA69">
        <v>0</v>
      </c>
      <c r="HB69" t="s">
        <v>264</v>
      </c>
      <c r="HE69" t="s">
        <v>561</v>
      </c>
      <c r="HF69" t="s">
        <v>555</v>
      </c>
      <c r="HG69">
        <v>0</v>
      </c>
      <c r="HH69">
        <v>0</v>
      </c>
      <c r="HI69">
        <v>0</v>
      </c>
      <c r="HJ69" t="s">
        <v>264</v>
      </c>
      <c r="HM69" t="s">
        <v>562</v>
      </c>
      <c r="HN69" t="s">
        <v>555</v>
      </c>
      <c r="HO69">
        <v>0</v>
      </c>
      <c r="HP69">
        <v>0</v>
      </c>
      <c r="HQ69">
        <v>0</v>
      </c>
      <c r="HR69" t="s">
        <v>264</v>
      </c>
      <c r="HU69" t="s">
        <v>563</v>
      </c>
      <c r="HV69" t="s">
        <v>555</v>
      </c>
      <c r="HW69">
        <v>0</v>
      </c>
      <c r="HX69">
        <v>0</v>
      </c>
      <c r="HY69">
        <v>0</v>
      </c>
      <c r="HZ69" t="s">
        <v>264</v>
      </c>
      <c r="IA69">
        <v>74.599999999999994</v>
      </c>
      <c r="IB69">
        <v>169.6</v>
      </c>
      <c r="IC69" t="s">
        <v>564</v>
      </c>
      <c r="ID69" t="s">
        <v>555</v>
      </c>
      <c r="IE69">
        <v>0</v>
      </c>
      <c r="IF69">
        <v>0</v>
      </c>
      <c r="IG69">
        <v>0</v>
      </c>
      <c r="IH69" t="s">
        <v>264</v>
      </c>
      <c r="IK69" t="s">
        <v>565</v>
      </c>
      <c r="IL69" t="s">
        <v>555</v>
      </c>
      <c r="IM69">
        <v>0</v>
      </c>
      <c r="IN69">
        <v>0</v>
      </c>
      <c r="IO69">
        <v>0</v>
      </c>
      <c r="IP69" t="s">
        <v>264</v>
      </c>
      <c r="IS69" t="s">
        <v>566</v>
      </c>
      <c r="IT69" t="s">
        <v>555</v>
      </c>
      <c r="IU69">
        <v>0</v>
      </c>
      <c r="IV69">
        <v>0</v>
      </c>
      <c r="IW69">
        <v>0</v>
      </c>
      <c r="IX69" t="s">
        <v>264</v>
      </c>
      <c r="JA69" t="s">
        <v>567</v>
      </c>
      <c r="JB69" t="s">
        <v>555</v>
      </c>
      <c r="JC69">
        <v>0</v>
      </c>
      <c r="JD69">
        <v>0</v>
      </c>
      <c r="JE69">
        <v>0</v>
      </c>
      <c r="JF69" t="s">
        <v>264</v>
      </c>
      <c r="JI69" t="s">
        <v>568</v>
      </c>
      <c r="JJ69" t="s">
        <v>555</v>
      </c>
      <c r="JK69">
        <v>0</v>
      </c>
      <c r="JL69">
        <v>0</v>
      </c>
      <c r="JM69">
        <v>0</v>
      </c>
      <c r="JN69" t="s">
        <v>264</v>
      </c>
      <c r="JQ69" t="s">
        <v>569</v>
      </c>
      <c r="JR69" t="s">
        <v>555</v>
      </c>
      <c r="JS69">
        <v>0</v>
      </c>
      <c r="JT69">
        <v>0</v>
      </c>
      <c r="JU69">
        <v>0</v>
      </c>
      <c r="JV69" t="s">
        <v>264</v>
      </c>
      <c r="JY69" t="s">
        <v>570</v>
      </c>
      <c r="JZ69" t="s">
        <v>555</v>
      </c>
      <c r="KA69">
        <v>0</v>
      </c>
      <c r="KB69">
        <v>0</v>
      </c>
      <c r="KC69">
        <v>0</v>
      </c>
      <c r="KD69" t="s">
        <v>264</v>
      </c>
      <c r="KG69" t="s">
        <v>571</v>
      </c>
      <c r="KH69" t="s">
        <v>555</v>
      </c>
      <c r="KI69">
        <v>0</v>
      </c>
      <c r="KJ69">
        <v>0</v>
      </c>
      <c r="KK69">
        <v>0</v>
      </c>
      <c r="KL69" t="s">
        <v>264</v>
      </c>
      <c r="KO69" t="s">
        <v>572</v>
      </c>
      <c r="KP69" t="s">
        <v>555</v>
      </c>
      <c r="KQ69">
        <v>0</v>
      </c>
      <c r="KR69">
        <v>0</v>
      </c>
      <c r="KS69">
        <v>0</v>
      </c>
      <c r="KT69" t="s">
        <v>264</v>
      </c>
      <c r="KW69" t="s">
        <v>573</v>
      </c>
      <c r="KX69" t="s">
        <v>555</v>
      </c>
      <c r="KY69">
        <v>0</v>
      </c>
      <c r="KZ69">
        <v>0</v>
      </c>
      <c r="LA69">
        <v>0</v>
      </c>
      <c r="LB69" t="s">
        <v>264</v>
      </c>
      <c r="LE69" t="s">
        <v>574</v>
      </c>
      <c r="LF69" t="s">
        <v>555</v>
      </c>
      <c r="LG69">
        <v>0</v>
      </c>
      <c r="LH69">
        <v>0</v>
      </c>
      <c r="LI69">
        <v>0</v>
      </c>
      <c r="LJ69" t="s">
        <v>264</v>
      </c>
      <c r="LM69" t="s">
        <v>575</v>
      </c>
      <c r="LN69" t="s">
        <v>555</v>
      </c>
      <c r="LO69">
        <v>0</v>
      </c>
      <c r="LP69">
        <v>0</v>
      </c>
      <c r="LQ69">
        <v>0</v>
      </c>
      <c r="LR69" t="s">
        <v>264</v>
      </c>
      <c r="LU69" t="s">
        <v>576</v>
      </c>
      <c r="LV69" t="s">
        <v>555</v>
      </c>
      <c r="LW69">
        <v>0</v>
      </c>
      <c r="LX69">
        <v>0</v>
      </c>
      <c r="LY69">
        <v>0</v>
      </c>
      <c r="LZ69" t="s">
        <v>264</v>
      </c>
      <c r="MC69" t="s">
        <v>577</v>
      </c>
      <c r="MD69" t="s">
        <v>555</v>
      </c>
      <c r="ME69">
        <v>0</v>
      </c>
      <c r="MF69">
        <v>0</v>
      </c>
      <c r="MG69">
        <v>0</v>
      </c>
      <c r="MH69" t="s">
        <v>264</v>
      </c>
      <c r="MK69" t="s">
        <v>578</v>
      </c>
      <c r="ML69" t="s">
        <v>555</v>
      </c>
      <c r="MM69">
        <v>0</v>
      </c>
      <c r="MN69">
        <v>0</v>
      </c>
      <c r="MO69">
        <v>0</v>
      </c>
      <c r="MP69" t="s">
        <v>264</v>
      </c>
      <c r="MS69" t="s">
        <v>579</v>
      </c>
      <c r="MT69" t="s">
        <v>555</v>
      </c>
      <c r="MU69">
        <v>0</v>
      </c>
      <c r="MV69">
        <v>0</v>
      </c>
      <c r="MW69">
        <v>0</v>
      </c>
      <c r="MX69" t="s">
        <v>264</v>
      </c>
      <c r="NA69" t="s">
        <v>580</v>
      </c>
      <c r="NB69" t="s">
        <v>555</v>
      </c>
      <c r="NC69">
        <v>0</v>
      </c>
      <c r="ND69">
        <v>0</v>
      </c>
      <c r="NE69">
        <v>0</v>
      </c>
      <c r="NF69" t="s">
        <v>264</v>
      </c>
      <c r="NI69">
        <v>40</v>
      </c>
      <c r="NJ69">
        <v>-9.4</v>
      </c>
      <c r="NP69" t="s">
        <v>624</v>
      </c>
    </row>
    <row r="70" spans="1:380" customFormat="1" x14ac:dyDescent="0.2">
      <c r="A70" t="s">
        <v>517</v>
      </c>
      <c r="B70">
        <v>1</v>
      </c>
      <c r="C70" t="s">
        <v>739</v>
      </c>
      <c r="D70">
        <v>646965067</v>
      </c>
      <c r="E70">
        <v>12602</v>
      </c>
      <c r="F70" t="s">
        <v>542</v>
      </c>
      <c r="G70">
        <v>847922</v>
      </c>
      <c r="H70">
        <v>210084669</v>
      </c>
      <c r="I70" t="s">
        <v>622</v>
      </c>
      <c r="J70" t="s">
        <v>740</v>
      </c>
      <c r="K70" t="s">
        <v>545</v>
      </c>
      <c r="L70" t="s">
        <v>294</v>
      </c>
      <c r="M70" t="s">
        <v>546</v>
      </c>
      <c r="N70" t="s">
        <v>468</v>
      </c>
      <c r="O70" t="s">
        <v>547</v>
      </c>
      <c r="P70" t="s">
        <v>264</v>
      </c>
      <c r="Q70">
        <v>28.9</v>
      </c>
      <c r="R70">
        <v>229</v>
      </c>
      <c r="S70" t="s">
        <v>264</v>
      </c>
      <c r="T70">
        <v>-9999</v>
      </c>
      <c r="U70">
        <v>652</v>
      </c>
      <c r="V70">
        <v>675</v>
      </c>
      <c r="W70">
        <v>641</v>
      </c>
      <c r="X70" t="s">
        <v>270</v>
      </c>
      <c r="Y70">
        <v>0</v>
      </c>
      <c r="Z70">
        <v>55</v>
      </c>
      <c r="AA70" t="s">
        <v>469</v>
      </c>
      <c r="AB70" t="s">
        <v>548</v>
      </c>
      <c r="AC70">
        <v>1</v>
      </c>
      <c r="AD70" t="s">
        <v>549</v>
      </c>
      <c r="AE70">
        <v>0</v>
      </c>
      <c r="AF70">
        <v>24</v>
      </c>
      <c r="AG70" t="s">
        <v>264</v>
      </c>
      <c r="AH70">
        <v>-9999</v>
      </c>
      <c r="AI70">
        <v>572</v>
      </c>
      <c r="AJ70">
        <v>693</v>
      </c>
      <c r="AK70">
        <v>567</v>
      </c>
      <c r="AL70" t="s">
        <v>270</v>
      </c>
      <c r="AM70">
        <v>0</v>
      </c>
      <c r="AN70">
        <v>55</v>
      </c>
      <c r="AO70" t="s">
        <v>470</v>
      </c>
      <c r="AP70" t="s">
        <v>548</v>
      </c>
      <c r="AQ70">
        <v>2</v>
      </c>
      <c r="AR70" t="s">
        <v>549</v>
      </c>
      <c r="AS70">
        <v>55</v>
      </c>
      <c r="AT70">
        <v>40</v>
      </c>
      <c r="AU70" t="s">
        <v>264</v>
      </c>
      <c r="AV70">
        <v>-9999</v>
      </c>
      <c r="AW70">
        <v>411</v>
      </c>
      <c r="AX70">
        <v>434</v>
      </c>
      <c r="AY70">
        <v>410</v>
      </c>
      <c r="AZ70" t="s">
        <v>270</v>
      </c>
      <c r="BA70">
        <v>0</v>
      </c>
      <c r="BB70">
        <v>55</v>
      </c>
      <c r="BC70" t="s">
        <v>550</v>
      </c>
      <c r="BD70" t="s">
        <v>548</v>
      </c>
      <c r="BE70">
        <v>3</v>
      </c>
      <c r="BF70" t="s">
        <v>584</v>
      </c>
      <c r="BG70">
        <v>20.5</v>
      </c>
      <c r="BH70">
        <v>21</v>
      </c>
      <c r="BI70" t="s">
        <v>264</v>
      </c>
      <c r="BJ70">
        <v>-9999</v>
      </c>
      <c r="BK70">
        <v>45</v>
      </c>
      <c r="BL70">
        <v>74</v>
      </c>
      <c r="BM70">
        <v>48</v>
      </c>
      <c r="BN70" t="s">
        <v>270</v>
      </c>
      <c r="BO70">
        <v>0</v>
      </c>
      <c r="BP70">
        <v>55</v>
      </c>
      <c r="BQ70" t="s">
        <v>504</v>
      </c>
      <c r="BR70" t="s">
        <v>548</v>
      </c>
      <c r="BS70">
        <v>4</v>
      </c>
      <c r="BT70" t="s">
        <v>549</v>
      </c>
      <c r="BU70">
        <v>51.4</v>
      </c>
      <c r="BV70">
        <v>106</v>
      </c>
      <c r="BW70" t="s">
        <v>264</v>
      </c>
      <c r="BX70">
        <v>-9999</v>
      </c>
      <c r="BY70">
        <v>244</v>
      </c>
      <c r="BZ70">
        <v>282</v>
      </c>
      <c r="CA70">
        <v>242</v>
      </c>
      <c r="CB70" t="s">
        <v>270</v>
      </c>
      <c r="CC70">
        <v>0</v>
      </c>
      <c r="CD70">
        <v>55</v>
      </c>
      <c r="CE70" t="s">
        <v>471</v>
      </c>
      <c r="CF70" t="s">
        <v>548</v>
      </c>
      <c r="CG70">
        <v>5</v>
      </c>
      <c r="CH70" t="s">
        <v>549</v>
      </c>
      <c r="CI70">
        <v>52.4</v>
      </c>
      <c r="CJ70">
        <v>171</v>
      </c>
      <c r="CK70" t="s">
        <v>264</v>
      </c>
      <c r="CL70">
        <v>-9999</v>
      </c>
      <c r="CM70">
        <v>524</v>
      </c>
      <c r="CN70">
        <v>608</v>
      </c>
      <c r="CO70">
        <v>523</v>
      </c>
      <c r="CP70" t="s">
        <v>270</v>
      </c>
      <c r="CQ70">
        <v>0</v>
      </c>
      <c r="CR70">
        <v>55</v>
      </c>
      <c r="CS70" t="s">
        <v>472</v>
      </c>
      <c r="CT70" t="s">
        <v>548</v>
      </c>
      <c r="CU70">
        <v>6</v>
      </c>
      <c r="CV70" t="s">
        <v>549</v>
      </c>
      <c r="CW70">
        <v>53.4</v>
      </c>
      <c r="CX70">
        <v>102</v>
      </c>
      <c r="CY70" t="s">
        <v>264</v>
      </c>
      <c r="CZ70">
        <v>-9999</v>
      </c>
      <c r="DA70">
        <v>737</v>
      </c>
      <c r="DB70">
        <v>838</v>
      </c>
      <c r="DC70">
        <v>725</v>
      </c>
      <c r="DD70" t="s">
        <v>270</v>
      </c>
      <c r="DE70">
        <v>0</v>
      </c>
      <c r="DF70">
        <v>55</v>
      </c>
      <c r="DG70" t="s">
        <v>473</v>
      </c>
      <c r="DH70" t="s">
        <v>548</v>
      </c>
      <c r="DI70">
        <v>7</v>
      </c>
      <c r="DJ70" t="s">
        <v>549</v>
      </c>
      <c r="DK70">
        <v>0</v>
      </c>
      <c r="DL70">
        <v>23</v>
      </c>
      <c r="DM70" t="s">
        <v>264</v>
      </c>
      <c r="DN70">
        <v>-9999</v>
      </c>
      <c r="DO70">
        <v>568</v>
      </c>
      <c r="DP70">
        <v>652</v>
      </c>
      <c r="DQ70">
        <v>563</v>
      </c>
      <c r="DR70" t="s">
        <v>270</v>
      </c>
      <c r="DS70">
        <v>0</v>
      </c>
      <c r="DT70">
        <v>55</v>
      </c>
      <c r="DU70" t="s">
        <v>474</v>
      </c>
      <c r="DV70" t="s">
        <v>548</v>
      </c>
      <c r="DW70">
        <v>8</v>
      </c>
      <c r="DX70" t="s">
        <v>584</v>
      </c>
      <c r="DY70">
        <v>36.299999999999997</v>
      </c>
      <c r="DZ70">
        <v>420</v>
      </c>
      <c r="EA70" t="s">
        <v>264</v>
      </c>
      <c r="EB70">
        <v>-9999</v>
      </c>
      <c r="EC70">
        <v>91</v>
      </c>
      <c r="ED70">
        <v>113</v>
      </c>
      <c r="EE70">
        <v>89</v>
      </c>
      <c r="EF70" t="s">
        <v>270</v>
      </c>
      <c r="EG70">
        <v>0</v>
      </c>
      <c r="EH70">
        <v>55</v>
      </c>
      <c r="EI70" t="s">
        <v>475</v>
      </c>
      <c r="EJ70" t="s">
        <v>548</v>
      </c>
      <c r="EK70">
        <v>9</v>
      </c>
      <c r="EL70" t="s">
        <v>549</v>
      </c>
      <c r="EM70">
        <v>0</v>
      </c>
      <c r="EN70">
        <v>19</v>
      </c>
      <c r="EO70" t="s">
        <v>264</v>
      </c>
      <c r="EP70">
        <v>-9999</v>
      </c>
      <c r="EQ70">
        <v>366</v>
      </c>
      <c r="ER70">
        <v>350</v>
      </c>
      <c r="ES70">
        <v>325</v>
      </c>
      <c r="ET70" t="s">
        <v>270</v>
      </c>
      <c r="EU70">
        <v>0</v>
      </c>
      <c r="EV70">
        <v>55</v>
      </c>
      <c r="EW70" t="s">
        <v>551</v>
      </c>
      <c r="EX70" t="s">
        <v>552</v>
      </c>
      <c r="EY70">
        <v>128</v>
      </c>
      <c r="EZ70">
        <v>128</v>
      </c>
      <c r="FA70">
        <v>129</v>
      </c>
      <c r="FB70" t="s">
        <v>270</v>
      </c>
      <c r="FC70" t="s">
        <v>553</v>
      </c>
      <c r="FD70" t="s">
        <v>552</v>
      </c>
      <c r="FE70">
        <v>283</v>
      </c>
      <c r="FF70">
        <v>282</v>
      </c>
      <c r="FG70">
        <v>281</v>
      </c>
      <c r="FH70" t="s">
        <v>270</v>
      </c>
      <c r="FI70" t="s">
        <v>554</v>
      </c>
      <c r="FJ70" t="s">
        <v>555</v>
      </c>
      <c r="FK70">
        <v>0</v>
      </c>
      <c r="FL70">
        <v>0</v>
      </c>
      <c r="FM70">
        <v>0</v>
      </c>
      <c r="FN70" t="s">
        <v>264</v>
      </c>
      <c r="FQ70" t="s">
        <v>556</v>
      </c>
      <c r="FR70" t="s">
        <v>555</v>
      </c>
      <c r="FS70">
        <v>0</v>
      </c>
      <c r="FT70">
        <v>0</v>
      </c>
      <c r="FU70">
        <v>0</v>
      </c>
      <c r="FV70" t="s">
        <v>264</v>
      </c>
      <c r="FY70" t="s">
        <v>557</v>
      </c>
      <c r="FZ70" t="s">
        <v>555</v>
      </c>
      <c r="GA70">
        <v>0</v>
      </c>
      <c r="GB70">
        <v>0</v>
      </c>
      <c r="GC70">
        <v>0</v>
      </c>
      <c r="GD70" t="s">
        <v>264</v>
      </c>
      <c r="GG70" t="s">
        <v>558</v>
      </c>
      <c r="GH70" t="s">
        <v>555</v>
      </c>
      <c r="GI70">
        <v>0</v>
      </c>
      <c r="GJ70">
        <v>0</v>
      </c>
      <c r="GK70">
        <v>0</v>
      </c>
      <c r="GL70" t="s">
        <v>264</v>
      </c>
      <c r="GO70" t="s">
        <v>559</v>
      </c>
      <c r="GP70" t="s">
        <v>555</v>
      </c>
      <c r="GQ70">
        <v>0</v>
      </c>
      <c r="GR70">
        <v>0</v>
      </c>
      <c r="GS70">
        <v>0</v>
      </c>
      <c r="GT70" t="s">
        <v>264</v>
      </c>
      <c r="GW70" t="s">
        <v>560</v>
      </c>
      <c r="GX70" t="s">
        <v>555</v>
      </c>
      <c r="GY70">
        <v>0</v>
      </c>
      <c r="GZ70">
        <v>0</v>
      </c>
      <c r="HA70">
        <v>0</v>
      </c>
      <c r="HB70" t="s">
        <v>264</v>
      </c>
      <c r="HE70" t="s">
        <v>561</v>
      </c>
      <c r="HF70" t="s">
        <v>555</v>
      </c>
      <c r="HG70">
        <v>0</v>
      </c>
      <c r="HH70">
        <v>0</v>
      </c>
      <c r="HI70">
        <v>0</v>
      </c>
      <c r="HJ70" t="s">
        <v>264</v>
      </c>
      <c r="HM70" t="s">
        <v>562</v>
      </c>
      <c r="HN70" t="s">
        <v>555</v>
      </c>
      <c r="HO70">
        <v>0</v>
      </c>
      <c r="HP70">
        <v>0</v>
      </c>
      <c r="HQ70">
        <v>0</v>
      </c>
      <c r="HR70" t="s">
        <v>264</v>
      </c>
      <c r="HU70" t="s">
        <v>563</v>
      </c>
      <c r="HV70" t="s">
        <v>555</v>
      </c>
      <c r="HW70">
        <v>0</v>
      </c>
      <c r="HX70">
        <v>0</v>
      </c>
      <c r="HY70">
        <v>0</v>
      </c>
      <c r="HZ70" t="s">
        <v>264</v>
      </c>
      <c r="IA70">
        <v>75</v>
      </c>
      <c r="IB70">
        <v>134.69999999999999</v>
      </c>
      <c r="IC70" t="s">
        <v>564</v>
      </c>
      <c r="ID70" t="s">
        <v>555</v>
      </c>
      <c r="IE70">
        <v>0</v>
      </c>
      <c r="IF70">
        <v>0</v>
      </c>
      <c r="IG70">
        <v>0</v>
      </c>
      <c r="IH70" t="s">
        <v>264</v>
      </c>
      <c r="IK70" t="s">
        <v>565</v>
      </c>
      <c r="IL70" t="s">
        <v>555</v>
      </c>
      <c r="IM70">
        <v>0</v>
      </c>
      <c r="IN70">
        <v>0</v>
      </c>
      <c r="IO70">
        <v>0</v>
      </c>
      <c r="IP70" t="s">
        <v>264</v>
      </c>
      <c r="IS70" t="s">
        <v>566</v>
      </c>
      <c r="IT70" t="s">
        <v>555</v>
      </c>
      <c r="IU70">
        <v>0</v>
      </c>
      <c r="IV70">
        <v>0</v>
      </c>
      <c r="IW70">
        <v>0</v>
      </c>
      <c r="IX70" t="s">
        <v>264</v>
      </c>
      <c r="JA70" t="s">
        <v>567</v>
      </c>
      <c r="JB70" t="s">
        <v>555</v>
      </c>
      <c r="JC70">
        <v>0</v>
      </c>
      <c r="JD70">
        <v>0</v>
      </c>
      <c r="JE70">
        <v>0</v>
      </c>
      <c r="JF70" t="s">
        <v>264</v>
      </c>
      <c r="JI70" t="s">
        <v>568</v>
      </c>
      <c r="JJ70" t="s">
        <v>555</v>
      </c>
      <c r="JK70">
        <v>0</v>
      </c>
      <c r="JL70">
        <v>0</v>
      </c>
      <c r="JM70">
        <v>0</v>
      </c>
      <c r="JN70" t="s">
        <v>264</v>
      </c>
      <c r="JQ70" t="s">
        <v>569</v>
      </c>
      <c r="JR70" t="s">
        <v>555</v>
      </c>
      <c r="JS70">
        <v>0</v>
      </c>
      <c r="JT70">
        <v>0</v>
      </c>
      <c r="JU70">
        <v>0</v>
      </c>
      <c r="JV70" t="s">
        <v>264</v>
      </c>
      <c r="JY70" t="s">
        <v>570</v>
      </c>
      <c r="JZ70" t="s">
        <v>555</v>
      </c>
      <c r="KA70">
        <v>0</v>
      </c>
      <c r="KB70">
        <v>0</v>
      </c>
      <c r="KC70">
        <v>0</v>
      </c>
      <c r="KD70" t="s">
        <v>264</v>
      </c>
      <c r="KG70" t="s">
        <v>571</v>
      </c>
      <c r="KH70" t="s">
        <v>555</v>
      </c>
      <c r="KI70">
        <v>0</v>
      </c>
      <c r="KJ70">
        <v>0</v>
      </c>
      <c r="KK70">
        <v>0</v>
      </c>
      <c r="KL70" t="s">
        <v>264</v>
      </c>
      <c r="KO70" t="s">
        <v>572</v>
      </c>
      <c r="KP70" t="s">
        <v>555</v>
      </c>
      <c r="KQ70">
        <v>0</v>
      </c>
      <c r="KR70">
        <v>0</v>
      </c>
      <c r="KS70">
        <v>0</v>
      </c>
      <c r="KT70" t="s">
        <v>264</v>
      </c>
      <c r="KW70" t="s">
        <v>573</v>
      </c>
      <c r="KX70" t="s">
        <v>555</v>
      </c>
      <c r="KY70">
        <v>0</v>
      </c>
      <c r="KZ70">
        <v>0</v>
      </c>
      <c r="LA70">
        <v>0</v>
      </c>
      <c r="LB70" t="s">
        <v>264</v>
      </c>
      <c r="LE70" t="s">
        <v>574</v>
      </c>
      <c r="LF70" t="s">
        <v>555</v>
      </c>
      <c r="LG70">
        <v>0</v>
      </c>
      <c r="LH70">
        <v>0</v>
      </c>
      <c r="LI70">
        <v>0</v>
      </c>
      <c r="LJ70" t="s">
        <v>264</v>
      </c>
      <c r="LM70" t="s">
        <v>575</v>
      </c>
      <c r="LN70" t="s">
        <v>555</v>
      </c>
      <c r="LO70">
        <v>0</v>
      </c>
      <c r="LP70">
        <v>0</v>
      </c>
      <c r="LQ70">
        <v>0</v>
      </c>
      <c r="LR70" t="s">
        <v>264</v>
      </c>
      <c r="LU70" t="s">
        <v>576</v>
      </c>
      <c r="LV70" t="s">
        <v>555</v>
      </c>
      <c r="LW70">
        <v>0</v>
      </c>
      <c r="LX70">
        <v>0</v>
      </c>
      <c r="LY70">
        <v>0</v>
      </c>
      <c r="LZ70" t="s">
        <v>264</v>
      </c>
      <c r="MC70" t="s">
        <v>577</v>
      </c>
      <c r="MD70" t="s">
        <v>555</v>
      </c>
      <c r="ME70">
        <v>0</v>
      </c>
      <c r="MF70">
        <v>0</v>
      </c>
      <c r="MG70">
        <v>0</v>
      </c>
      <c r="MH70" t="s">
        <v>264</v>
      </c>
      <c r="MK70" t="s">
        <v>578</v>
      </c>
      <c r="ML70" t="s">
        <v>555</v>
      </c>
      <c r="MM70">
        <v>0</v>
      </c>
      <c r="MN70">
        <v>0</v>
      </c>
      <c r="MO70">
        <v>0</v>
      </c>
      <c r="MP70" t="s">
        <v>264</v>
      </c>
      <c r="MS70" t="s">
        <v>579</v>
      </c>
      <c r="MT70" t="s">
        <v>555</v>
      </c>
      <c r="MU70">
        <v>0</v>
      </c>
      <c r="MV70">
        <v>0</v>
      </c>
      <c r="MW70">
        <v>0</v>
      </c>
      <c r="MX70" t="s">
        <v>264</v>
      </c>
      <c r="NA70" t="s">
        <v>580</v>
      </c>
      <c r="NB70" t="s">
        <v>555</v>
      </c>
      <c r="NC70">
        <v>0</v>
      </c>
      <c r="ND70">
        <v>0</v>
      </c>
      <c r="NE70">
        <v>0</v>
      </c>
      <c r="NF70" t="s">
        <v>264</v>
      </c>
      <c r="NI70">
        <v>40.1</v>
      </c>
      <c r="NJ70">
        <v>-7.4</v>
      </c>
      <c r="NP70" t="s">
        <v>624</v>
      </c>
    </row>
    <row r="71" spans="1:380" customFormat="1" x14ac:dyDescent="0.2">
      <c r="A71" t="s">
        <v>517</v>
      </c>
      <c r="B71">
        <v>1</v>
      </c>
      <c r="C71" t="s">
        <v>741</v>
      </c>
      <c r="D71">
        <v>646965343</v>
      </c>
      <c r="E71">
        <v>12602</v>
      </c>
      <c r="F71" t="s">
        <v>542</v>
      </c>
      <c r="G71">
        <v>847922</v>
      </c>
      <c r="H71">
        <v>210084203</v>
      </c>
      <c r="I71" t="s">
        <v>622</v>
      </c>
      <c r="J71" t="s">
        <v>742</v>
      </c>
      <c r="K71" t="s">
        <v>545</v>
      </c>
      <c r="L71" t="s">
        <v>294</v>
      </c>
      <c r="M71" t="s">
        <v>546</v>
      </c>
      <c r="N71" t="s">
        <v>468</v>
      </c>
      <c r="O71" t="s">
        <v>547</v>
      </c>
      <c r="P71" t="s">
        <v>264</v>
      </c>
      <c r="Q71">
        <v>27.7</v>
      </c>
      <c r="R71">
        <v>240</v>
      </c>
      <c r="S71" t="s">
        <v>264</v>
      </c>
      <c r="T71">
        <v>-9999</v>
      </c>
      <c r="U71">
        <v>556</v>
      </c>
      <c r="V71">
        <v>575</v>
      </c>
      <c r="W71">
        <v>549</v>
      </c>
      <c r="X71" t="s">
        <v>270</v>
      </c>
      <c r="Y71">
        <v>0</v>
      </c>
      <c r="Z71">
        <v>55</v>
      </c>
      <c r="AA71" t="s">
        <v>469</v>
      </c>
      <c r="AB71" t="s">
        <v>548</v>
      </c>
      <c r="AC71">
        <v>1</v>
      </c>
      <c r="AD71" t="s">
        <v>549</v>
      </c>
      <c r="AE71">
        <v>0</v>
      </c>
      <c r="AF71">
        <v>85</v>
      </c>
      <c r="AG71" t="s">
        <v>264</v>
      </c>
      <c r="AH71">
        <v>-9999</v>
      </c>
      <c r="AI71">
        <v>388</v>
      </c>
      <c r="AJ71">
        <v>493</v>
      </c>
      <c r="AK71">
        <v>390</v>
      </c>
      <c r="AL71" t="s">
        <v>270</v>
      </c>
      <c r="AM71">
        <v>0</v>
      </c>
      <c r="AN71">
        <v>55</v>
      </c>
      <c r="AO71" t="s">
        <v>470</v>
      </c>
      <c r="AP71" t="s">
        <v>548</v>
      </c>
      <c r="AQ71">
        <v>2</v>
      </c>
      <c r="AR71" t="s">
        <v>549</v>
      </c>
      <c r="AS71">
        <v>0</v>
      </c>
      <c r="AT71">
        <v>21</v>
      </c>
      <c r="AU71" t="s">
        <v>264</v>
      </c>
      <c r="AV71">
        <v>-9999</v>
      </c>
      <c r="AW71">
        <v>344</v>
      </c>
      <c r="AX71">
        <v>358</v>
      </c>
      <c r="AY71">
        <v>341</v>
      </c>
      <c r="AZ71" t="s">
        <v>270</v>
      </c>
      <c r="BA71">
        <v>0</v>
      </c>
      <c r="BB71">
        <v>55</v>
      </c>
      <c r="BC71" t="s">
        <v>550</v>
      </c>
      <c r="BD71" t="s">
        <v>548</v>
      </c>
      <c r="BE71">
        <v>3</v>
      </c>
      <c r="BF71" t="s">
        <v>549</v>
      </c>
      <c r="BG71">
        <v>0</v>
      </c>
      <c r="BH71">
        <v>-17</v>
      </c>
      <c r="BI71" t="s">
        <v>264</v>
      </c>
      <c r="BJ71">
        <v>-9999</v>
      </c>
      <c r="BK71">
        <v>307</v>
      </c>
      <c r="BL71">
        <v>365</v>
      </c>
      <c r="BM71">
        <v>299</v>
      </c>
      <c r="BN71" t="s">
        <v>270</v>
      </c>
      <c r="BO71">
        <v>0</v>
      </c>
      <c r="BP71">
        <v>55</v>
      </c>
      <c r="BQ71" t="s">
        <v>504</v>
      </c>
      <c r="BR71" t="s">
        <v>548</v>
      </c>
      <c r="BS71">
        <v>4</v>
      </c>
      <c r="BT71" t="s">
        <v>549</v>
      </c>
      <c r="BU71">
        <v>50.1</v>
      </c>
      <c r="BV71">
        <v>136</v>
      </c>
      <c r="BW71" t="s">
        <v>264</v>
      </c>
      <c r="BX71">
        <v>-9999</v>
      </c>
      <c r="BY71">
        <v>212</v>
      </c>
      <c r="BZ71">
        <v>244</v>
      </c>
      <c r="CA71">
        <v>209</v>
      </c>
      <c r="CB71" t="s">
        <v>270</v>
      </c>
      <c r="CC71">
        <v>0</v>
      </c>
      <c r="CD71">
        <v>55</v>
      </c>
      <c r="CE71" t="s">
        <v>471</v>
      </c>
      <c r="CF71" t="s">
        <v>548</v>
      </c>
      <c r="CG71">
        <v>5</v>
      </c>
      <c r="CH71" t="s">
        <v>549</v>
      </c>
      <c r="CI71">
        <v>44.4</v>
      </c>
      <c r="CJ71">
        <v>406</v>
      </c>
      <c r="CK71" t="s">
        <v>264</v>
      </c>
      <c r="CL71">
        <v>-9999</v>
      </c>
      <c r="CM71">
        <v>470</v>
      </c>
      <c r="CN71">
        <v>552</v>
      </c>
      <c r="CO71">
        <v>469</v>
      </c>
      <c r="CP71" t="s">
        <v>270</v>
      </c>
      <c r="CQ71">
        <v>0</v>
      </c>
      <c r="CR71">
        <v>55</v>
      </c>
      <c r="CS71" t="s">
        <v>472</v>
      </c>
      <c r="CT71" t="s">
        <v>548</v>
      </c>
      <c r="CU71">
        <v>6</v>
      </c>
      <c r="CV71" t="s">
        <v>549</v>
      </c>
      <c r="CW71">
        <v>51.3</v>
      </c>
      <c r="CX71">
        <v>187</v>
      </c>
      <c r="CY71" t="s">
        <v>264</v>
      </c>
      <c r="CZ71">
        <v>-9999</v>
      </c>
      <c r="DA71">
        <v>661</v>
      </c>
      <c r="DB71">
        <v>752</v>
      </c>
      <c r="DC71">
        <v>652</v>
      </c>
      <c r="DD71" t="s">
        <v>270</v>
      </c>
      <c r="DE71">
        <v>0</v>
      </c>
      <c r="DF71">
        <v>55</v>
      </c>
      <c r="DG71" t="s">
        <v>473</v>
      </c>
      <c r="DH71" t="s">
        <v>548</v>
      </c>
      <c r="DI71">
        <v>7</v>
      </c>
      <c r="DJ71" t="s">
        <v>549</v>
      </c>
      <c r="DK71">
        <v>54.1</v>
      </c>
      <c r="DL71">
        <v>54</v>
      </c>
      <c r="DM71" t="s">
        <v>264</v>
      </c>
      <c r="DN71">
        <v>-9999</v>
      </c>
      <c r="DO71">
        <v>485</v>
      </c>
      <c r="DP71">
        <v>550</v>
      </c>
      <c r="DQ71">
        <v>482</v>
      </c>
      <c r="DR71" t="s">
        <v>270</v>
      </c>
      <c r="DS71">
        <v>0</v>
      </c>
      <c r="DT71">
        <v>55</v>
      </c>
      <c r="DU71" t="s">
        <v>474</v>
      </c>
      <c r="DV71" t="s">
        <v>548</v>
      </c>
      <c r="DW71">
        <v>8</v>
      </c>
      <c r="DX71" t="s">
        <v>584</v>
      </c>
      <c r="DY71">
        <v>37.299999999999997</v>
      </c>
      <c r="DZ71">
        <v>339</v>
      </c>
      <c r="EA71" t="s">
        <v>264</v>
      </c>
      <c r="EB71">
        <v>-9999</v>
      </c>
      <c r="EC71">
        <v>105</v>
      </c>
      <c r="ED71">
        <v>129</v>
      </c>
      <c r="EE71">
        <v>103</v>
      </c>
      <c r="EF71" t="s">
        <v>270</v>
      </c>
      <c r="EG71">
        <v>0</v>
      </c>
      <c r="EH71">
        <v>55</v>
      </c>
      <c r="EI71" t="s">
        <v>475</v>
      </c>
      <c r="EJ71" t="s">
        <v>548</v>
      </c>
      <c r="EK71">
        <v>9</v>
      </c>
      <c r="EL71" t="s">
        <v>549</v>
      </c>
      <c r="EM71">
        <v>42.2</v>
      </c>
      <c r="EN71">
        <v>57</v>
      </c>
      <c r="EO71" t="s">
        <v>264</v>
      </c>
      <c r="EP71">
        <v>-9999</v>
      </c>
      <c r="EQ71">
        <v>274</v>
      </c>
      <c r="ER71">
        <v>254</v>
      </c>
      <c r="ES71">
        <v>240</v>
      </c>
      <c r="ET71" t="s">
        <v>270</v>
      </c>
      <c r="EU71">
        <v>0</v>
      </c>
      <c r="EV71">
        <v>55</v>
      </c>
      <c r="EW71" t="s">
        <v>551</v>
      </c>
      <c r="EX71" t="s">
        <v>552</v>
      </c>
      <c r="EY71">
        <v>114</v>
      </c>
      <c r="EZ71">
        <v>114</v>
      </c>
      <c r="FA71">
        <v>114</v>
      </c>
      <c r="FB71" t="s">
        <v>270</v>
      </c>
      <c r="FC71" t="s">
        <v>553</v>
      </c>
      <c r="FD71" t="s">
        <v>552</v>
      </c>
      <c r="FE71">
        <v>265</v>
      </c>
      <c r="FF71">
        <v>264</v>
      </c>
      <c r="FG71">
        <v>263</v>
      </c>
      <c r="FH71" t="s">
        <v>270</v>
      </c>
      <c r="FI71" t="s">
        <v>554</v>
      </c>
      <c r="FJ71" t="s">
        <v>555</v>
      </c>
      <c r="FK71">
        <v>0</v>
      </c>
      <c r="FL71">
        <v>0</v>
      </c>
      <c r="FM71">
        <v>0</v>
      </c>
      <c r="FN71" t="s">
        <v>264</v>
      </c>
      <c r="FQ71" t="s">
        <v>556</v>
      </c>
      <c r="FR71" t="s">
        <v>555</v>
      </c>
      <c r="FS71">
        <v>0</v>
      </c>
      <c r="FT71">
        <v>0</v>
      </c>
      <c r="FU71">
        <v>0</v>
      </c>
      <c r="FV71" t="s">
        <v>264</v>
      </c>
      <c r="FY71" t="s">
        <v>557</v>
      </c>
      <c r="FZ71" t="s">
        <v>555</v>
      </c>
      <c r="GA71">
        <v>0</v>
      </c>
      <c r="GB71">
        <v>0</v>
      </c>
      <c r="GC71">
        <v>0</v>
      </c>
      <c r="GD71" t="s">
        <v>264</v>
      </c>
      <c r="GG71" t="s">
        <v>558</v>
      </c>
      <c r="GH71" t="s">
        <v>555</v>
      </c>
      <c r="GI71">
        <v>0</v>
      </c>
      <c r="GJ71">
        <v>0</v>
      </c>
      <c r="GK71">
        <v>0</v>
      </c>
      <c r="GL71" t="s">
        <v>264</v>
      </c>
      <c r="GO71" t="s">
        <v>559</v>
      </c>
      <c r="GP71" t="s">
        <v>555</v>
      </c>
      <c r="GQ71">
        <v>0</v>
      </c>
      <c r="GR71">
        <v>0</v>
      </c>
      <c r="GS71">
        <v>0</v>
      </c>
      <c r="GT71" t="s">
        <v>264</v>
      </c>
      <c r="GW71" t="s">
        <v>560</v>
      </c>
      <c r="GX71" t="s">
        <v>555</v>
      </c>
      <c r="GY71">
        <v>0</v>
      </c>
      <c r="GZ71">
        <v>0</v>
      </c>
      <c r="HA71">
        <v>0</v>
      </c>
      <c r="HB71" t="s">
        <v>264</v>
      </c>
      <c r="HE71" t="s">
        <v>561</v>
      </c>
      <c r="HF71" t="s">
        <v>555</v>
      </c>
      <c r="HG71">
        <v>0</v>
      </c>
      <c r="HH71">
        <v>0</v>
      </c>
      <c r="HI71">
        <v>0</v>
      </c>
      <c r="HJ71" t="s">
        <v>264</v>
      </c>
      <c r="HM71" t="s">
        <v>562</v>
      </c>
      <c r="HN71" t="s">
        <v>555</v>
      </c>
      <c r="HO71">
        <v>0</v>
      </c>
      <c r="HP71">
        <v>0</v>
      </c>
      <c r="HQ71">
        <v>0</v>
      </c>
      <c r="HR71" t="s">
        <v>264</v>
      </c>
      <c r="HU71" t="s">
        <v>563</v>
      </c>
      <c r="HV71" t="s">
        <v>555</v>
      </c>
      <c r="HW71">
        <v>0</v>
      </c>
      <c r="HX71">
        <v>0</v>
      </c>
      <c r="HY71">
        <v>0</v>
      </c>
      <c r="HZ71" t="s">
        <v>264</v>
      </c>
      <c r="IA71">
        <v>74.599999999999994</v>
      </c>
      <c r="IB71">
        <v>115.4</v>
      </c>
      <c r="IC71" t="s">
        <v>564</v>
      </c>
      <c r="ID71" t="s">
        <v>555</v>
      </c>
      <c r="IE71">
        <v>0</v>
      </c>
      <c r="IF71">
        <v>0</v>
      </c>
      <c r="IG71">
        <v>0</v>
      </c>
      <c r="IH71" t="s">
        <v>264</v>
      </c>
      <c r="IK71" t="s">
        <v>565</v>
      </c>
      <c r="IL71" t="s">
        <v>555</v>
      </c>
      <c r="IM71">
        <v>0</v>
      </c>
      <c r="IN71">
        <v>0</v>
      </c>
      <c r="IO71">
        <v>0</v>
      </c>
      <c r="IP71" t="s">
        <v>264</v>
      </c>
      <c r="IS71" t="s">
        <v>566</v>
      </c>
      <c r="IT71" t="s">
        <v>555</v>
      </c>
      <c r="IU71">
        <v>0</v>
      </c>
      <c r="IV71">
        <v>0</v>
      </c>
      <c r="IW71">
        <v>0</v>
      </c>
      <c r="IX71" t="s">
        <v>264</v>
      </c>
      <c r="JA71" t="s">
        <v>567</v>
      </c>
      <c r="JB71" t="s">
        <v>555</v>
      </c>
      <c r="JC71">
        <v>0</v>
      </c>
      <c r="JD71">
        <v>0</v>
      </c>
      <c r="JE71">
        <v>0</v>
      </c>
      <c r="JF71" t="s">
        <v>264</v>
      </c>
      <c r="JI71" t="s">
        <v>568</v>
      </c>
      <c r="JJ71" t="s">
        <v>555</v>
      </c>
      <c r="JK71">
        <v>0</v>
      </c>
      <c r="JL71">
        <v>0</v>
      </c>
      <c r="JM71">
        <v>0</v>
      </c>
      <c r="JN71" t="s">
        <v>264</v>
      </c>
      <c r="JQ71" t="s">
        <v>569</v>
      </c>
      <c r="JR71" t="s">
        <v>555</v>
      </c>
      <c r="JS71">
        <v>0</v>
      </c>
      <c r="JT71">
        <v>0</v>
      </c>
      <c r="JU71">
        <v>0</v>
      </c>
      <c r="JV71" t="s">
        <v>264</v>
      </c>
      <c r="JY71" t="s">
        <v>570</v>
      </c>
      <c r="JZ71" t="s">
        <v>555</v>
      </c>
      <c r="KA71">
        <v>0</v>
      </c>
      <c r="KB71">
        <v>0</v>
      </c>
      <c r="KC71">
        <v>0</v>
      </c>
      <c r="KD71" t="s">
        <v>264</v>
      </c>
      <c r="KG71" t="s">
        <v>571</v>
      </c>
      <c r="KH71" t="s">
        <v>555</v>
      </c>
      <c r="KI71">
        <v>0</v>
      </c>
      <c r="KJ71">
        <v>0</v>
      </c>
      <c r="KK71">
        <v>0</v>
      </c>
      <c r="KL71" t="s">
        <v>264</v>
      </c>
      <c r="KO71" t="s">
        <v>572</v>
      </c>
      <c r="KP71" t="s">
        <v>555</v>
      </c>
      <c r="KQ71">
        <v>0</v>
      </c>
      <c r="KR71">
        <v>0</v>
      </c>
      <c r="KS71">
        <v>0</v>
      </c>
      <c r="KT71" t="s">
        <v>264</v>
      </c>
      <c r="KW71" t="s">
        <v>573</v>
      </c>
      <c r="KX71" t="s">
        <v>555</v>
      </c>
      <c r="KY71">
        <v>0</v>
      </c>
      <c r="KZ71">
        <v>0</v>
      </c>
      <c r="LA71">
        <v>0</v>
      </c>
      <c r="LB71" t="s">
        <v>264</v>
      </c>
      <c r="LE71" t="s">
        <v>574</v>
      </c>
      <c r="LF71" t="s">
        <v>555</v>
      </c>
      <c r="LG71">
        <v>0</v>
      </c>
      <c r="LH71">
        <v>0</v>
      </c>
      <c r="LI71">
        <v>0</v>
      </c>
      <c r="LJ71" t="s">
        <v>264</v>
      </c>
      <c r="LM71" t="s">
        <v>575</v>
      </c>
      <c r="LN71" t="s">
        <v>555</v>
      </c>
      <c r="LO71">
        <v>0</v>
      </c>
      <c r="LP71">
        <v>0</v>
      </c>
      <c r="LQ71">
        <v>0</v>
      </c>
      <c r="LR71" t="s">
        <v>264</v>
      </c>
      <c r="LU71" t="s">
        <v>576</v>
      </c>
      <c r="LV71" t="s">
        <v>555</v>
      </c>
      <c r="LW71">
        <v>0</v>
      </c>
      <c r="LX71">
        <v>0</v>
      </c>
      <c r="LY71">
        <v>0</v>
      </c>
      <c r="LZ71" t="s">
        <v>264</v>
      </c>
      <c r="MC71" t="s">
        <v>577</v>
      </c>
      <c r="MD71" t="s">
        <v>555</v>
      </c>
      <c r="ME71">
        <v>0</v>
      </c>
      <c r="MF71">
        <v>0</v>
      </c>
      <c r="MG71">
        <v>0</v>
      </c>
      <c r="MH71" t="s">
        <v>264</v>
      </c>
      <c r="MK71" t="s">
        <v>578</v>
      </c>
      <c r="ML71" t="s">
        <v>555</v>
      </c>
      <c r="MM71">
        <v>0</v>
      </c>
      <c r="MN71">
        <v>0</v>
      </c>
      <c r="MO71">
        <v>0</v>
      </c>
      <c r="MP71" t="s">
        <v>264</v>
      </c>
      <c r="MS71" t="s">
        <v>579</v>
      </c>
      <c r="MT71" t="s">
        <v>555</v>
      </c>
      <c r="MU71">
        <v>0</v>
      </c>
      <c r="MV71">
        <v>0</v>
      </c>
      <c r="MW71">
        <v>0</v>
      </c>
      <c r="MX71" t="s">
        <v>264</v>
      </c>
      <c r="NA71" t="s">
        <v>580</v>
      </c>
      <c r="NB71" t="s">
        <v>555</v>
      </c>
      <c r="NC71">
        <v>0</v>
      </c>
      <c r="ND71">
        <v>0</v>
      </c>
      <c r="NE71">
        <v>0</v>
      </c>
      <c r="NF71" t="s">
        <v>264</v>
      </c>
      <c r="NI71">
        <v>40</v>
      </c>
      <c r="NJ71">
        <v>-7.4</v>
      </c>
      <c r="NP71" t="s">
        <v>624</v>
      </c>
    </row>
    <row r="72" spans="1:380" customFormat="1" x14ac:dyDescent="0.2">
      <c r="A72" t="s">
        <v>517</v>
      </c>
      <c r="B72">
        <v>1</v>
      </c>
      <c r="C72" t="s">
        <v>743</v>
      </c>
      <c r="D72">
        <v>646966930</v>
      </c>
      <c r="E72">
        <v>12602</v>
      </c>
      <c r="F72" t="s">
        <v>542</v>
      </c>
      <c r="G72">
        <v>750246</v>
      </c>
      <c r="H72">
        <v>210031418</v>
      </c>
      <c r="I72" t="s">
        <v>543</v>
      </c>
      <c r="J72" t="s">
        <v>744</v>
      </c>
      <c r="K72" t="s">
        <v>545</v>
      </c>
      <c r="L72" t="s">
        <v>294</v>
      </c>
      <c r="M72" t="s">
        <v>546</v>
      </c>
      <c r="N72" t="s">
        <v>468</v>
      </c>
      <c r="O72" t="s">
        <v>547</v>
      </c>
      <c r="P72" t="s">
        <v>270</v>
      </c>
      <c r="Q72">
        <v>27.5</v>
      </c>
      <c r="R72">
        <v>274</v>
      </c>
      <c r="S72" t="s">
        <v>270</v>
      </c>
      <c r="T72">
        <v>-9999</v>
      </c>
      <c r="U72">
        <v>489</v>
      </c>
      <c r="V72">
        <v>506</v>
      </c>
      <c r="W72">
        <v>481</v>
      </c>
      <c r="X72" t="s">
        <v>270</v>
      </c>
      <c r="Y72">
        <v>0</v>
      </c>
      <c r="Z72">
        <v>55</v>
      </c>
      <c r="AA72" t="s">
        <v>469</v>
      </c>
      <c r="AB72" t="s">
        <v>548</v>
      </c>
      <c r="AC72">
        <v>1</v>
      </c>
      <c r="AD72" t="s">
        <v>549</v>
      </c>
      <c r="AE72">
        <v>0</v>
      </c>
      <c r="AF72">
        <v>27</v>
      </c>
      <c r="AG72" t="s">
        <v>264</v>
      </c>
      <c r="AH72">
        <v>-9999</v>
      </c>
      <c r="AI72">
        <v>471</v>
      </c>
      <c r="AJ72">
        <v>575</v>
      </c>
      <c r="AK72">
        <v>468</v>
      </c>
      <c r="AL72" t="s">
        <v>270</v>
      </c>
      <c r="AM72">
        <v>0</v>
      </c>
      <c r="AN72">
        <v>55</v>
      </c>
      <c r="AO72" t="s">
        <v>470</v>
      </c>
      <c r="AP72" t="s">
        <v>548</v>
      </c>
      <c r="AQ72">
        <v>2</v>
      </c>
      <c r="AR72" t="s">
        <v>549</v>
      </c>
      <c r="AS72">
        <v>53.7</v>
      </c>
      <c r="AT72">
        <v>59</v>
      </c>
      <c r="AU72" t="s">
        <v>264</v>
      </c>
      <c r="AV72">
        <v>-9999</v>
      </c>
      <c r="AW72">
        <v>330</v>
      </c>
      <c r="AX72">
        <v>347</v>
      </c>
      <c r="AY72">
        <v>328</v>
      </c>
      <c r="AZ72" t="s">
        <v>270</v>
      </c>
      <c r="BA72">
        <v>0</v>
      </c>
      <c r="BB72">
        <v>55</v>
      </c>
      <c r="BC72" t="s">
        <v>550</v>
      </c>
      <c r="BD72" t="s">
        <v>548</v>
      </c>
      <c r="BE72">
        <v>3</v>
      </c>
      <c r="BF72" t="s">
        <v>549</v>
      </c>
      <c r="BG72">
        <v>0</v>
      </c>
      <c r="BH72">
        <v>15</v>
      </c>
      <c r="BI72" t="s">
        <v>264</v>
      </c>
      <c r="BJ72">
        <v>-9999</v>
      </c>
      <c r="BK72">
        <v>135</v>
      </c>
      <c r="BL72">
        <v>173</v>
      </c>
      <c r="BM72">
        <v>136</v>
      </c>
      <c r="BN72" t="s">
        <v>270</v>
      </c>
      <c r="BO72">
        <v>0</v>
      </c>
      <c r="BP72">
        <v>55</v>
      </c>
      <c r="BQ72" t="s">
        <v>504</v>
      </c>
      <c r="BR72" t="s">
        <v>548</v>
      </c>
      <c r="BS72">
        <v>4</v>
      </c>
      <c r="BT72" t="s">
        <v>549</v>
      </c>
      <c r="BU72">
        <v>51.6</v>
      </c>
      <c r="BV72">
        <v>99</v>
      </c>
      <c r="BW72" t="s">
        <v>264</v>
      </c>
      <c r="BX72">
        <v>-9999</v>
      </c>
      <c r="BY72">
        <v>195</v>
      </c>
      <c r="BZ72">
        <v>226</v>
      </c>
      <c r="CA72">
        <v>194</v>
      </c>
      <c r="CB72" t="s">
        <v>270</v>
      </c>
      <c r="CC72">
        <v>0</v>
      </c>
      <c r="CD72">
        <v>55</v>
      </c>
      <c r="CE72" t="s">
        <v>471</v>
      </c>
      <c r="CF72" t="s">
        <v>548</v>
      </c>
      <c r="CG72">
        <v>5</v>
      </c>
      <c r="CH72" t="s">
        <v>549</v>
      </c>
      <c r="CI72">
        <v>50.5</v>
      </c>
      <c r="CJ72">
        <v>207</v>
      </c>
      <c r="CK72" t="s">
        <v>264</v>
      </c>
      <c r="CL72">
        <v>-9999</v>
      </c>
      <c r="CM72">
        <v>481</v>
      </c>
      <c r="CN72">
        <v>560</v>
      </c>
      <c r="CO72">
        <v>480</v>
      </c>
      <c r="CP72" t="s">
        <v>270</v>
      </c>
      <c r="CQ72">
        <v>0</v>
      </c>
      <c r="CR72">
        <v>55</v>
      </c>
      <c r="CS72" t="s">
        <v>472</v>
      </c>
      <c r="CT72" t="s">
        <v>548</v>
      </c>
      <c r="CU72">
        <v>6</v>
      </c>
      <c r="CV72" t="s">
        <v>549</v>
      </c>
      <c r="CW72">
        <v>52.7</v>
      </c>
      <c r="CX72">
        <v>101</v>
      </c>
      <c r="CY72" t="s">
        <v>264</v>
      </c>
      <c r="CZ72">
        <v>-9999</v>
      </c>
      <c r="DA72">
        <v>569</v>
      </c>
      <c r="DB72">
        <v>646</v>
      </c>
      <c r="DC72">
        <v>560</v>
      </c>
      <c r="DD72" t="s">
        <v>270</v>
      </c>
      <c r="DE72">
        <v>0</v>
      </c>
      <c r="DF72">
        <v>55</v>
      </c>
      <c r="DG72" t="s">
        <v>473</v>
      </c>
      <c r="DH72" t="s">
        <v>548</v>
      </c>
      <c r="DI72">
        <v>7</v>
      </c>
      <c r="DJ72" t="s">
        <v>549</v>
      </c>
      <c r="DK72">
        <v>0</v>
      </c>
      <c r="DL72">
        <v>31</v>
      </c>
      <c r="DM72" t="s">
        <v>264</v>
      </c>
      <c r="DN72">
        <v>-9999</v>
      </c>
      <c r="DO72">
        <v>522</v>
      </c>
      <c r="DP72">
        <v>600</v>
      </c>
      <c r="DQ72">
        <v>517</v>
      </c>
      <c r="DR72" t="s">
        <v>270</v>
      </c>
      <c r="DS72">
        <v>0</v>
      </c>
      <c r="DT72">
        <v>55</v>
      </c>
      <c r="DU72" t="s">
        <v>474</v>
      </c>
      <c r="DV72" t="s">
        <v>548</v>
      </c>
      <c r="DW72">
        <v>8</v>
      </c>
      <c r="DX72" t="s">
        <v>549</v>
      </c>
      <c r="DY72">
        <v>0</v>
      </c>
      <c r="DZ72">
        <v>16</v>
      </c>
      <c r="EA72" t="s">
        <v>264</v>
      </c>
      <c r="EB72">
        <v>-9999</v>
      </c>
      <c r="EC72">
        <v>121</v>
      </c>
      <c r="ED72">
        <v>144</v>
      </c>
      <c r="EE72">
        <v>118</v>
      </c>
      <c r="EF72" t="s">
        <v>270</v>
      </c>
      <c r="EG72">
        <v>0</v>
      </c>
      <c r="EH72">
        <v>55</v>
      </c>
      <c r="EI72" t="s">
        <v>475</v>
      </c>
      <c r="EJ72" t="s">
        <v>548</v>
      </c>
      <c r="EK72">
        <v>9</v>
      </c>
      <c r="EL72" t="s">
        <v>549</v>
      </c>
      <c r="EM72">
        <v>0</v>
      </c>
      <c r="EN72">
        <v>-5</v>
      </c>
      <c r="EO72" t="s">
        <v>264</v>
      </c>
      <c r="EP72">
        <v>-9999</v>
      </c>
      <c r="EQ72">
        <v>347</v>
      </c>
      <c r="ER72">
        <v>316</v>
      </c>
      <c r="ES72">
        <v>292</v>
      </c>
      <c r="ET72" t="s">
        <v>270</v>
      </c>
      <c r="EU72">
        <v>0</v>
      </c>
      <c r="EV72">
        <v>55</v>
      </c>
      <c r="EW72" t="s">
        <v>551</v>
      </c>
      <c r="EX72" t="s">
        <v>552</v>
      </c>
      <c r="EY72">
        <v>104</v>
      </c>
      <c r="EZ72">
        <v>104</v>
      </c>
      <c r="FA72">
        <v>105</v>
      </c>
      <c r="FB72" t="s">
        <v>270</v>
      </c>
      <c r="FC72" t="s">
        <v>553</v>
      </c>
      <c r="FD72" t="s">
        <v>552</v>
      </c>
      <c r="FE72">
        <v>290</v>
      </c>
      <c r="FF72">
        <v>288</v>
      </c>
      <c r="FG72">
        <v>288</v>
      </c>
      <c r="FH72" t="s">
        <v>270</v>
      </c>
      <c r="FI72" t="s">
        <v>554</v>
      </c>
      <c r="FJ72" t="s">
        <v>555</v>
      </c>
      <c r="FK72">
        <v>0</v>
      </c>
      <c r="FL72">
        <v>0</v>
      </c>
      <c r="FM72">
        <v>0</v>
      </c>
      <c r="FN72" t="s">
        <v>264</v>
      </c>
      <c r="FQ72" t="s">
        <v>556</v>
      </c>
      <c r="FR72" t="s">
        <v>555</v>
      </c>
      <c r="FS72">
        <v>0</v>
      </c>
      <c r="FT72">
        <v>0</v>
      </c>
      <c r="FU72">
        <v>0</v>
      </c>
      <c r="FV72" t="s">
        <v>264</v>
      </c>
      <c r="FY72" t="s">
        <v>557</v>
      </c>
      <c r="FZ72" t="s">
        <v>555</v>
      </c>
      <c r="GA72">
        <v>0</v>
      </c>
      <c r="GB72">
        <v>0</v>
      </c>
      <c r="GC72">
        <v>0</v>
      </c>
      <c r="GD72" t="s">
        <v>264</v>
      </c>
      <c r="GG72" t="s">
        <v>558</v>
      </c>
      <c r="GH72" t="s">
        <v>555</v>
      </c>
      <c r="GI72">
        <v>0</v>
      </c>
      <c r="GJ72">
        <v>0</v>
      </c>
      <c r="GK72">
        <v>0</v>
      </c>
      <c r="GL72" t="s">
        <v>264</v>
      </c>
      <c r="GO72" t="s">
        <v>559</v>
      </c>
      <c r="GP72" t="s">
        <v>555</v>
      </c>
      <c r="GQ72">
        <v>0</v>
      </c>
      <c r="GR72">
        <v>0</v>
      </c>
      <c r="GS72">
        <v>0</v>
      </c>
      <c r="GT72" t="s">
        <v>264</v>
      </c>
      <c r="GW72" t="s">
        <v>560</v>
      </c>
      <c r="GX72" t="s">
        <v>555</v>
      </c>
      <c r="GY72">
        <v>0</v>
      </c>
      <c r="GZ72">
        <v>0</v>
      </c>
      <c r="HA72">
        <v>0</v>
      </c>
      <c r="HB72" t="s">
        <v>264</v>
      </c>
      <c r="HE72" t="s">
        <v>561</v>
      </c>
      <c r="HF72" t="s">
        <v>555</v>
      </c>
      <c r="HG72">
        <v>0</v>
      </c>
      <c r="HH72">
        <v>0</v>
      </c>
      <c r="HI72">
        <v>0</v>
      </c>
      <c r="HJ72" t="s">
        <v>264</v>
      </c>
      <c r="HM72" t="s">
        <v>562</v>
      </c>
      <c r="HN72" t="s">
        <v>555</v>
      </c>
      <c r="HO72">
        <v>0</v>
      </c>
      <c r="HP72">
        <v>0</v>
      </c>
      <c r="HQ72">
        <v>0</v>
      </c>
      <c r="HR72" t="s">
        <v>264</v>
      </c>
      <c r="HU72" t="s">
        <v>563</v>
      </c>
      <c r="HV72" t="s">
        <v>555</v>
      </c>
      <c r="HW72">
        <v>0</v>
      </c>
      <c r="HX72">
        <v>0</v>
      </c>
      <c r="HY72">
        <v>0</v>
      </c>
      <c r="HZ72" t="s">
        <v>264</v>
      </c>
      <c r="IC72" t="s">
        <v>564</v>
      </c>
      <c r="ID72" t="s">
        <v>555</v>
      </c>
      <c r="IE72">
        <v>0</v>
      </c>
      <c r="IF72">
        <v>0</v>
      </c>
      <c r="IG72">
        <v>0</v>
      </c>
      <c r="IH72" t="s">
        <v>264</v>
      </c>
      <c r="IK72" t="s">
        <v>565</v>
      </c>
      <c r="IL72" t="s">
        <v>555</v>
      </c>
      <c r="IM72">
        <v>0</v>
      </c>
      <c r="IN72">
        <v>0</v>
      </c>
      <c r="IO72">
        <v>0</v>
      </c>
      <c r="IP72" t="s">
        <v>264</v>
      </c>
      <c r="IS72" t="s">
        <v>566</v>
      </c>
      <c r="IT72" t="s">
        <v>555</v>
      </c>
      <c r="IU72">
        <v>0</v>
      </c>
      <c r="IV72">
        <v>0</v>
      </c>
      <c r="IW72">
        <v>0</v>
      </c>
      <c r="IX72" t="s">
        <v>264</v>
      </c>
      <c r="JA72" t="s">
        <v>567</v>
      </c>
      <c r="JB72" t="s">
        <v>555</v>
      </c>
      <c r="JC72">
        <v>0</v>
      </c>
      <c r="JD72">
        <v>0</v>
      </c>
      <c r="JE72">
        <v>0</v>
      </c>
      <c r="JF72" t="s">
        <v>264</v>
      </c>
      <c r="JI72" t="s">
        <v>568</v>
      </c>
      <c r="JJ72" t="s">
        <v>555</v>
      </c>
      <c r="JK72">
        <v>0</v>
      </c>
      <c r="JL72">
        <v>0</v>
      </c>
      <c r="JM72">
        <v>0</v>
      </c>
      <c r="JN72" t="s">
        <v>264</v>
      </c>
      <c r="JQ72" t="s">
        <v>569</v>
      </c>
      <c r="JR72" t="s">
        <v>555</v>
      </c>
      <c r="JS72">
        <v>0</v>
      </c>
      <c r="JT72">
        <v>0</v>
      </c>
      <c r="JU72">
        <v>0</v>
      </c>
      <c r="JV72" t="s">
        <v>264</v>
      </c>
      <c r="JY72" t="s">
        <v>570</v>
      </c>
      <c r="JZ72" t="s">
        <v>555</v>
      </c>
      <c r="KA72">
        <v>0</v>
      </c>
      <c r="KB72">
        <v>0</v>
      </c>
      <c r="KC72">
        <v>0</v>
      </c>
      <c r="KD72" t="s">
        <v>264</v>
      </c>
      <c r="KG72" t="s">
        <v>571</v>
      </c>
      <c r="KH72" t="s">
        <v>555</v>
      </c>
      <c r="KI72">
        <v>0</v>
      </c>
      <c r="KJ72">
        <v>0</v>
      </c>
      <c r="KK72">
        <v>0</v>
      </c>
      <c r="KL72" t="s">
        <v>264</v>
      </c>
      <c r="KO72" t="s">
        <v>572</v>
      </c>
      <c r="KP72" t="s">
        <v>555</v>
      </c>
      <c r="KQ72">
        <v>0</v>
      </c>
      <c r="KR72">
        <v>0</v>
      </c>
      <c r="KS72">
        <v>0</v>
      </c>
      <c r="KT72" t="s">
        <v>264</v>
      </c>
      <c r="KW72" t="s">
        <v>573</v>
      </c>
      <c r="KX72" t="s">
        <v>555</v>
      </c>
      <c r="KY72">
        <v>0</v>
      </c>
      <c r="KZ72">
        <v>0</v>
      </c>
      <c r="LA72">
        <v>0</v>
      </c>
      <c r="LB72" t="s">
        <v>264</v>
      </c>
      <c r="LE72" t="s">
        <v>574</v>
      </c>
      <c r="LF72" t="s">
        <v>555</v>
      </c>
      <c r="LG72">
        <v>0</v>
      </c>
      <c r="LH72">
        <v>0</v>
      </c>
      <c r="LI72">
        <v>0</v>
      </c>
      <c r="LJ72" t="s">
        <v>264</v>
      </c>
      <c r="LM72" t="s">
        <v>575</v>
      </c>
      <c r="LN72" t="s">
        <v>555</v>
      </c>
      <c r="LO72">
        <v>0</v>
      </c>
      <c r="LP72">
        <v>0</v>
      </c>
      <c r="LQ72">
        <v>0</v>
      </c>
      <c r="LR72" t="s">
        <v>264</v>
      </c>
      <c r="LU72" t="s">
        <v>576</v>
      </c>
      <c r="LV72" t="s">
        <v>555</v>
      </c>
      <c r="LW72">
        <v>0</v>
      </c>
      <c r="LX72">
        <v>0</v>
      </c>
      <c r="LY72">
        <v>0</v>
      </c>
      <c r="LZ72" t="s">
        <v>264</v>
      </c>
      <c r="MC72" t="s">
        <v>577</v>
      </c>
      <c r="MD72" t="s">
        <v>555</v>
      </c>
      <c r="ME72">
        <v>0</v>
      </c>
      <c r="MF72">
        <v>0</v>
      </c>
      <c r="MG72">
        <v>0</v>
      </c>
      <c r="MH72" t="s">
        <v>264</v>
      </c>
      <c r="MK72" t="s">
        <v>578</v>
      </c>
      <c r="ML72" t="s">
        <v>555</v>
      </c>
      <c r="MM72">
        <v>0</v>
      </c>
      <c r="MN72">
        <v>0</v>
      </c>
      <c r="MO72">
        <v>0</v>
      </c>
      <c r="MP72" t="s">
        <v>264</v>
      </c>
      <c r="MS72" t="s">
        <v>579</v>
      </c>
      <c r="MT72" t="s">
        <v>555</v>
      </c>
      <c r="MU72">
        <v>0</v>
      </c>
      <c r="MV72">
        <v>0</v>
      </c>
      <c r="MW72">
        <v>0</v>
      </c>
      <c r="MX72" t="s">
        <v>264</v>
      </c>
      <c r="NA72" t="s">
        <v>580</v>
      </c>
      <c r="NB72" t="s">
        <v>555</v>
      </c>
      <c r="NC72">
        <v>0</v>
      </c>
      <c r="ND72">
        <v>0</v>
      </c>
      <c r="NE72">
        <v>0</v>
      </c>
      <c r="NF72" t="s">
        <v>264</v>
      </c>
      <c r="NI72">
        <v>40</v>
      </c>
      <c r="NJ72">
        <v>-7.3</v>
      </c>
      <c r="NP72" t="s">
        <v>581</v>
      </c>
    </row>
    <row r="73" spans="1:380" customFormat="1" x14ac:dyDescent="0.2">
      <c r="A73" t="s">
        <v>517</v>
      </c>
      <c r="B73">
        <v>1</v>
      </c>
      <c r="C73" t="s">
        <v>745</v>
      </c>
      <c r="D73">
        <v>646966740</v>
      </c>
      <c r="E73">
        <v>12602</v>
      </c>
      <c r="F73" t="s">
        <v>542</v>
      </c>
      <c r="G73">
        <v>750246</v>
      </c>
      <c r="H73">
        <v>723329</v>
      </c>
      <c r="I73" t="s">
        <v>543</v>
      </c>
      <c r="J73" t="s">
        <v>746</v>
      </c>
      <c r="K73" t="s">
        <v>545</v>
      </c>
      <c r="L73" t="s">
        <v>294</v>
      </c>
      <c r="M73" t="s">
        <v>546</v>
      </c>
      <c r="N73" t="s">
        <v>468</v>
      </c>
      <c r="O73" t="s">
        <v>547</v>
      </c>
      <c r="P73" t="s">
        <v>270</v>
      </c>
      <c r="Q73">
        <v>28</v>
      </c>
      <c r="R73">
        <v>241</v>
      </c>
      <c r="S73" t="s">
        <v>270</v>
      </c>
      <c r="T73">
        <v>-9999</v>
      </c>
      <c r="U73">
        <v>643</v>
      </c>
      <c r="V73">
        <v>664</v>
      </c>
      <c r="W73">
        <v>632</v>
      </c>
      <c r="X73" t="s">
        <v>270</v>
      </c>
      <c r="Y73">
        <v>0</v>
      </c>
      <c r="Z73">
        <v>55</v>
      </c>
      <c r="AA73" t="s">
        <v>469</v>
      </c>
      <c r="AB73" t="s">
        <v>548</v>
      </c>
      <c r="AC73">
        <v>1</v>
      </c>
      <c r="AD73" t="s">
        <v>549</v>
      </c>
      <c r="AE73">
        <v>0</v>
      </c>
      <c r="AF73">
        <v>36</v>
      </c>
      <c r="AG73" t="s">
        <v>264</v>
      </c>
      <c r="AH73">
        <v>-9999</v>
      </c>
      <c r="AI73">
        <v>650</v>
      </c>
      <c r="AJ73">
        <v>778</v>
      </c>
      <c r="AK73">
        <v>636</v>
      </c>
      <c r="AL73" t="s">
        <v>270</v>
      </c>
      <c r="AM73">
        <v>0</v>
      </c>
      <c r="AN73">
        <v>55</v>
      </c>
      <c r="AO73" t="s">
        <v>470</v>
      </c>
      <c r="AP73" t="s">
        <v>548</v>
      </c>
      <c r="AQ73">
        <v>2</v>
      </c>
      <c r="AR73" t="s">
        <v>549</v>
      </c>
      <c r="AS73">
        <v>53.5</v>
      </c>
      <c r="AT73">
        <v>67</v>
      </c>
      <c r="AU73" t="s">
        <v>264</v>
      </c>
      <c r="AV73">
        <v>-9999</v>
      </c>
      <c r="AW73">
        <v>449</v>
      </c>
      <c r="AX73">
        <v>478</v>
      </c>
      <c r="AY73">
        <v>448</v>
      </c>
      <c r="AZ73" t="s">
        <v>270</v>
      </c>
      <c r="BA73">
        <v>0</v>
      </c>
      <c r="BB73">
        <v>55</v>
      </c>
      <c r="BC73" t="s">
        <v>550</v>
      </c>
      <c r="BD73" t="s">
        <v>548</v>
      </c>
      <c r="BE73">
        <v>3</v>
      </c>
      <c r="BF73" t="s">
        <v>549</v>
      </c>
      <c r="BG73">
        <v>11.5</v>
      </c>
      <c r="BH73">
        <v>787</v>
      </c>
      <c r="BI73" t="s">
        <v>264</v>
      </c>
      <c r="BJ73">
        <v>-9999</v>
      </c>
      <c r="BK73">
        <v>-15</v>
      </c>
      <c r="BL73">
        <v>13</v>
      </c>
      <c r="BM73">
        <v>-2</v>
      </c>
      <c r="BN73" t="s">
        <v>270</v>
      </c>
      <c r="BO73">
        <v>0</v>
      </c>
      <c r="BP73">
        <v>55</v>
      </c>
      <c r="BQ73" t="s">
        <v>504</v>
      </c>
      <c r="BR73" t="s">
        <v>548</v>
      </c>
      <c r="BS73">
        <v>4</v>
      </c>
      <c r="BT73" t="s">
        <v>549</v>
      </c>
      <c r="BU73">
        <v>50.5</v>
      </c>
      <c r="BV73">
        <v>184</v>
      </c>
      <c r="BW73" t="s">
        <v>264</v>
      </c>
      <c r="BX73">
        <v>-9999</v>
      </c>
      <c r="BY73">
        <v>233</v>
      </c>
      <c r="BZ73">
        <v>270</v>
      </c>
      <c r="CA73">
        <v>231</v>
      </c>
      <c r="CB73" t="s">
        <v>270</v>
      </c>
      <c r="CC73">
        <v>0</v>
      </c>
      <c r="CD73">
        <v>55</v>
      </c>
      <c r="CE73" t="s">
        <v>471</v>
      </c>
      <c r="CF73" t="s">
        <v>548</v>
      </c>
      <c r="CG73">
        <v>5</v>
      </c>
      <c r="CH73" t="s">
        <v>549</v>
      </c>
      <c r="CI73">
        <v>49.3</v>
      </c>
      <c r="CJ73">
        <v>598</v>
      </c>
      <c r="CK73" t="s">
        <v>264</v>
      </c>
      <c r="CL73">
        <v>-9999</v>
      </c>
      <c r="CM73">
        <v>576</v>
      </c>
      <c r="CN73">
        <v>674</v>
      </c>
      <c r="CO73">
        <v>577</v>
      </c>
      <c r="CP73" t="s">
        <v>270</v>
      </c>
      <c r="CQ73">
        <v>0</v>
      </c>
      <c r="CR73">
        <v>55</v>
      </c>
      <c r="CS73" t="s">
        <v>472</v>
      </c>
      <c r="CT73" t="s">
        <v>548</v>
      </c>
      <c r="CU73">
        <v>6</v>
      </c>
      <c r="CV73" t="s">
        <v>549</v>
      </c>
      <c r="CW73">
        <v>51</v>
      </c>
      <c r="CX73">
        <v>267</v>
      </c>
      <c r="CY73" t="s">
        <v>264</v>
      </c>
      <c r="CZ73">
        <v>-9999</v>
      </c>
      <c r="DA73">
        <v>698</v>
      </c>
      <c r="DB73">
        <v>793</v>
      </c>
      <c r="DC73">
        <v>687</v>
      </c>
      <c r="DD73" t="s">
        <v>270</v>
      </c>
      <c r="DE73">
        <v>0</v>
      </c>
      <c r="DF73">
        <v>55</v>
      </c>
      <c r="DG73" t="s">
        <v>473</v>
      </c>
      <c r="DH73" t="s">
        <v>548</v>
      </c>
      <c r="DI73">
        <v>7</v>
      </c>
      <c r="DJ73" t="s">
        <v>549</v>
      </c>
      <c r="DK73">
        <v>0</v>
      </c>
      <c r="DL73">
        <v>22</v>
      </c>
      <c r="DM73" t="s">
        <v>264</v>
      </c>
      <c r="DN73">
        <v>-9999</v>
      </c>
      <c r="DO73">
        <v>599</v>
      </c>
      <c r="DP73">
        <v>686</v>
      </c>
      <c r="DQ73">
        <v>592</v>
      </c>
      <c r="DR73" t="s">
        <v>270</v>
      </c>
      <c r="DS73">
        <v>0</v>
      </c>
      <c r="DT73">
        <v>55</v>
      </c>
      <c r="DU73" t="s">
        <v>474</v>
      </c>
      <c r="DV73" t="s">
        <v>548</v>
      </c>
      <c r="DW73">
        <v>8</v>
      </c>
      <c r="DX73" t="s">
        <v>549</v>
      </c>
      <c r="DY73">
        <v>49.3</v>
      </c>
      <c r="DZ73">
        <v>82</v>
      </c>
      <c r="EA73" t="s">
        <v>264</v>
      </c>
      <c r="EB73">
        <v>-9999</v>
      </c>
      <c r="EC73">
        <v>124</v>
      </c>
      <c r="ED73">
        <v>151</v>
      </c>
      <c r="EE73">
        <v>122</v>
      </c>
      <c r="EF73" t="s">
        <v>270</v>
      </c>
      <c r="EG73">
        <v>0</v>
      </c>
      <c r="EH73">
        <v>55</v>
      </c>
      <c r="EI73" t="s">
        <v>475</v>
      </c>
      <c r="EJ73" t="s">
        <v>548</v>
      </c>
      <c r="EK73">
        <v>9</v>
      </c>
      <c r="EL73" t="s">
        <v>549</v>
      </c>
      <c r="EM73">
        <v>54</v>
      </c>
      <c r="EN73">
        <v>27</v>
      </c>
      <c r="EO73" t="s">
        <v>264</v>
      </c>
      <c r="EP73">
        <v>-9999</v>
      </c>
      <c r="EQ73">
        <v>440</v>
      </c>
      <c r="ER73">
        <v>422</v>
      </c>
      <c r="ES73">
        <v>383</v>
      </c>
      <c r="ET73" t="s">
        <v>270</v>
      </c>
      <c r="EU73">
        <v>0</v>
      </c>
      <c r="EV73">
        <v>55</v>
      </c>
      <c r="EW73" t="s">
        <v>551</v>
      </c>
      <c r="EX73" t="s">
        <v>552</v>
      </c>
      <c r="EY73">
        <v>134</v>
      </c>
      <c r="EZ73">
        <v>134</v>
      </c>
      <c r="FA73">
        <v>134</v>
      </c>
      <c r="FB73" t="s">
        <v>270</v>
      </c>
      <c r="FC73" t="s">
        <v>553</v>
      </c>
      <c r="FD73" t="s">
        <v>552</v>
      </c>
      <c r="FE73">
        <v>290</v>
      </c>
      <c r="FF73">
        <v>289</v>
      </c>
      <c r="FG73">
        <v>289</v>
      </c>
      <c r="FH73" t="s">
        <v>270</v>
      </c>
      <c r="FI73" t="s">
        <v>554</v>
      </c>
      <c r="FJ73" t="s">
        <v>555</v>
      </c>
      <c r="FK73">
        <v>0</v>
      </c>
      <c r="FL73">
        <v>0</v>
      </c>
      <c r="FM73">
        <v>0</v>
      </c>
      <c r="FN73" t="s">
        <v>264</v>
      </c>
      <c r="FQ73" t="s">
        <v>556</v>
      </c>
      <c r="FR73" t="s">
        <v>555</v>
      </c>
      <c r="FS73">
        <v>0</v>
      </c>
      <c r="FT73">
        <v>0</v>
      </c>
      <c r="FU73">
        <v>0</v>
      </c>
      <c r="FV73" t="s">
        <v>264</v>
      </c>
      <c r="FY73" t="s">
        <v>557</v>
      </c>
      <c r="FZ73" t="s">
        <v>555</v>
      </c>
      <c r="GA73">
        <v>0</v>
      </c>
      <c r="GB73">
        <v>0</v>
      </c>
      <c r="GC73">
        <v>0</v>
      </c>
      <c r="GD73" t="s">
        <v>264</v>
      </c>
      <c r="GG73" t="s">
        <v>558</v>
      </c>
      <c r="GH73" t="s">
        <v>555</v>
      </c>
      <c r="GI73">
        <v>0</v>
      </c>
      <c r="GJ73">
        <v>0</v>
      </c>
      <c r="GK73">
        <v>0</v>
      </c>
      <c r="GL73" t="s">
        <v>264</v>
      </c>
      <c r="GO73" t="s">
        <v>559</v>
      </c>
      <c r="GP73" t="s">
        <v>555</v>
      </c>
      <c r="GQ73">
        <v>0</v>
      </c>
      <c r="GR73">
        <v>0</v>
      </c>
      <c r="GS73">
        <v>0</v>
      </c>
      <c r="GT73" t="s">
        <v>264</v>
      </c>
      <c r="GW73" t="s">
        <v>560</v>
      </c>
      <c r="GX73" t="s">
        <v>555</v>
      </c>
      <c r="GY73">
        <v>0</v>
      </c>
      <c r="GZ73">
        <v>0</v>
      </c>
      <c r="HA73">
        <v>0</v>
      </c>
      <c r="HB73" t="s">
        <v>264</v>
      </c>
      <c r="HE73" t="s">
        <v>561</v>
      </c>
      <c r="HF73" t="s">
        <v>555</v>
      </c>
      <c r="HG73">
        <v>0</v>
      </c>
      <c r="HH73">
        <v>0</v>
      </c>
      <c r="HI73">
        <v>0</v>
      </c>
      <c r="HJ73" t="s">
        <v>264</v>
      </c>
      <c r="HK73">
        <v>72.400000000000006</v>
      </c>
      <c r="HL73">
        <v>14.6</v>
      </c>
      <c r="HM73" t="s">
        <v>562</v>
      </c>
      <c r="HN73" t="s">
        <v>555</v>
      </c>
      <c r="HO73">
        <v>0</v>
      </c>
      <c r="HP73">
        <v>0</v>
      </c>
      <c r="HQ73">
        <v>0</v>
      </c>
      <c r="HR73" t="s">
        <v>264</v>
      </c>
      <c r="HU73" t="s">
        <v>563</v>
      </c>
      <c r="HV73" t="s">
        <v>555</v>
      </c>
      <c r="HW73">
        <v>0</v>
      </c>
      <c r="HX73">
        <v>0</v>
      </c>
      <c r="HY73">
        <v>0</v>
      </c>
      <c r="HZ73" t="s">
        <v>264</v>
      </c>
      <c r="IC73" t="s">
        <v>564</v>
      </c>
      <c r="ID73" t="s">
        <v>555</v>
      </c>
      <c r="IE73">
        <v>0</v>
      </c>
      <c r="IF73">
        <v>0</v>
      </c>
      <c r="IG73">
        <v>0</v>
      </c>
      <c r="IH73" t="s">
        <v>264</v>
      </c>
      <c r="IK73" t="s">
        <v>565</v>
      </c>
      <c r="IL73" t="s">
        <v>555</v>
      </c>
      <c r="IM73">
        <v>0</v>
      </c>
      <c r="IN73">
        <v>0</v>
      </c>
      <c r="IO73">
        <v>0</v>
      </c>
      <c r="IP73" t="s">
        <v>264</v>
      </c>
      <c r="IS73" t="s">
        <v>566</v>
      </c>
      <c r="IT73" t="s">
        <v>555</v>
      </c>
      <c r="IU73">
        <v>0</v>
      </c>
      <c r="IV73">
        <v>0</v>
      </c>
      <c r="IW73">
        <v>0</v>
      </c>
      <c r="IX73" t="s">
        <v>264</v>
      </c>
      <c r="JA73" t="s">
        <v>567</v>
      </c>
      <c r="JB73" t="s">
        <v>555</v>
      </c>
      <c r="JC73">
        <v>0</v>
      </c>
      <c r="JD73">
        <v>0</v>
      </c>
      <c r="JE73">
        <v>0</v>
      </c>
      <c r="JF73" t="s">
        <v>264</v>
      </c>
      <c r="JI73" t="s">
        <v>568</v>
      </c>
      <c r="JJ73" t="s">
        <v>555</v>
      </c>
      <c r="JK73">
        <v>0</v>
      </c>
      <c r="JL73">
        <v>0</v>
      </c>
      <c r="JM73">
        <v>0</v>
      </c>
      <c r="JN73" t="s">
        <v>264</v>
      </c>
      <c r="JQ73" t="s">
        <v>569</v>
      </c>
      <c r="JR73" t="s">
        <v>555</v>
      </c>
      <c r="JS73">
        <v>0</v>
      </c>
      <c r="JT73">
        <v>0</v>
      </c>
      <c r="JU73">
        <v>0</v>
      </c>
      <c r="JV73" t="s">
        <v>264</v>
      </c>
      <c r="JY73" t="s">
        <v>570</v>
      </c>
      <c r="JZ73" t="s">
        <v>555</v>
      </c>
      <c r="KA73">
        <v>0</v>
      </c>
      <c r="KB73">
        <v>0</v>
      </c>
      <c r="KC73">
        <v>0</v>
      </c>
      <c r="KD73" t="s">
        <v>264</v>
      </c>
      <c r="KG73" t="s">
        <v>571</v>
      </c>
      <c r="KH73" t="s">
        <v>555</v>
      </c>
      <c r="KI73">
        <v>0</v>
      </c>
      <c r="KJ73">
        <v>0</v>
      </c>
      <c r="KK73">
        <v>0</v>
      </c>
      <c r="KL73" t="s">
        <v>264</v>
      </c>
      <c r="KO73" t="s">
        <v>572</v>
      </c>
      <c r="KP73" t="s">
        <v>555</v>
      </c>
      <c r="KQ73">
        <v>0</v>
      </c>
      <c r="KR73">
        <v>0</v>
      </c>
      <c r="KS73">
        <v>0</v>
      </c>
      <c r="KT73" t="s">
        <v>264</v>
      </c>
      <c r="KW73" t="s">
        <v>573</v>
      </c>
      <c r="KX73" t="s">
        <v>555</v>
      </c>
      <c r="KY73">
        <v>0</v>
      </c>
      <c r="KZ73">
        <v>0</v>
      </c>
      <c r="LA73">
        <v>0</v>
      </c>
      <c r="LB73" t="s">
        <v>264</v>
      </c>
      <c r="LE73" t="s">
        <v>574</v>
      </c>
      <c r="LF73" t="s">
        <v>555</v>
      </c>
      <c r="LG73">
        <v>0</v>
      </c>
      <c r="LH73">
        <v>0</v>
      </c>
      <c r="LI73">
        <v>0</v>
      </c>
      <c r="LJ73" t="s">
        <v>264</v>
      </c>
      <c r="LM73" t="s">
        <v>575</v>
      </c>
      <c r="LN73" t="s">
        <v>555</v>
      </c>
      <c r="LO73">
        <v>0</v>
      </c>
      <c r="LP73">
        <v>0</v>
      </c>
      <c r="LQ73">
        <v>0</v>
      </c>
      <c r="LR73" t="s">
        <v>264</v>
      </c>
      <c r="LU73" t="s">
        <v>576</v>
      </c>
      <c r="LV73" t="s">
        <v>555</v>
      </c>
      <c r="LW73">
        <v>0</v>
      </c>
      <c r="LX73">
        <v>0</v>
      </c>
      <c r="LY73">
        <v>0</v>
      </c>
      <c r="LZ73" t="s">
        <v>264</v>
      </c>
      <c r="MC73" t="s">
        <v>577</v>
      </c>
      <c r="MD73" t="s">
        <v>555</v>
      </c>
      <c r="ME73">
        <v>0</v>
      </c>
      <c r="MF73">
        <v>0</v>
      </c>
      <c r="MG73">
        <v>0</v>
      </c>
      <c r="MH73" t="s">
        <v>264</v>
      </c>
      <c r="MK73" t="s">
        <v>578</v>
      </c>
      <c r="ML73" t="s">
        <v>555</v>
      </c>
      <c r="MM73">
        <v>0</v>
      </c>
      <c r="MN73">
        <v>0</v>
      </c>
      <c r="MO73">
        <v>0</v>
      </c>
      <c r="MP73" t="s">
        <v>264</v>
      </c>
      <c r="MS73" t="s">
        <v>579</v>
      </c>
      <c r="MT73" t="s">
        <v>555</v>
      </c>
      <c r="MU73">
        <v>0</v>
      </c>
      <c r="MV73">
        <v>0</v>
      </c>
      <c r="MW73">
        <v>0</v>
      </c>
      <c r="MX73" t="s">
        <v>264</v>
      </c>
      <c r="NA73" t="s">
        <v>580</v>
      </c>
      <c r="NB73" t="s">
        <v>555</v>
      </c>
      <c r="NC73">
        <v>0</v>
      </c>
      <c r="ND73">
        <v>0</v>
      </c>
      <c r="NE73">
        <v>0</v>
      </c>
      <c r="NF73" t="s">
        <v>264</v>
      </c>
      <c r="NI73">
        <v>40.1</v>
      </c>
      <c r="NJ73">
        <v>-13.2</v>
      </c>
      <c r="NP73" t="s">
        <v>581</v>
      </c>
    </row>
    <row r="74" spans="1:380" customFormat="1" x14ac:dyDescent="0.2">
      <c r="A74" t="s">
        <v>517</v>
      </c>
      <c r="B74">
        <v>1</v>
      </c>
      <c r="C74" t="s">
        <v>747</v>
      </c>
      <c r="D74">
        <v>646967112</v>
      </c>
      <c r="E74">
        <v>12602</v>
      </c>
      <c r="F74" t="s">
        <v>542</v>
      </c>
      <c r="G74">
        <v>750247</v>
      </c>
      <c r="H74">
        <v>860724</v>
      </c>
      <c r="I74" t="s">
        <v>543</v>
      </c>
      <c r="J74" t="s">
        <v>748</v>
      </c>
      <c r="K74" t="s">
        <v>545</v>
      </c>
      <c r="L74" t="s">
        <v>294</v>
      </c>
      <c r="M74" t="s">
        <v>546</v>
      </c>
      <c r="N74" t="s">
        <v>468</v>
      </c>
      <c r="O74" t="s">
        <v>547</v>
      </c>
      <c r="P74" t="s">
        <v>270</v>
      </c>
      <c r="Q74">
        <v>28</v>
      </c>
      <c r="R74">
        <v>266</v>
      </c>
      <c r="S74" t="s">
        <v>270</v>
      </c>
      <c r="T74">
        <v>-9999</v>
      </c>
      <c r="U74">
        <v>492</v>
      </c>
      <c r="V74">
        <v>507</v>
      </c>
      <c r="W74">
        <v>482</v>
      </c>
      <c r="X74" t="s">
        <v>270</v>
      </c>
      <c r="Y74">
        <v>0</v>
      </c>
      <c r="Z74">
        <v>55</v>
      </c>
      <c r="AA74" t="s">
        <v>469</v>
      </c>
      <c r="AB74" t="s">
        <v>548</v>
      </c>
      <c r="AC74">
        <v>1</v>
      </c>
      <c r="AD74" t="s">
        <v>549</v>
      </c>
      <c r="AE74">
        <v>0</v>
      </c>
      <c r="AF74">
        <v>22</v>
      </c>
      <c r="AG74" t="s">
        <v>264</v>
      </c>
      <c r="AH74">
        <v>-9999</v>
      </c>
      <c r="AI74">
        <v>503</v>
      </c>
      <c r="AJ74">
        <v>610</v>
      </c>
      <c r="AK74">
        <v>496</v>
      </c>
      <c r="AL74" t="s">
        <v>270</v>
      </c>
      <c r="AM74">
        <v>0</v>
      </c>
      <c r="AN74">
        <v>55</v>
      </c>
      <c r="AO74" t="s">
        <v>470</v>
      </c>
      <c r="AP74" t="s">
        <v>548</v>
      </c>
      <c r="AQ74">
        <v>2</v>
      </c>
      <c r="AR74" t="s">
        <v>549</v>
      </c>
      <c r="AS74">
        <v>54.8</v>
      </c>
      <c r="AT74">
        <v>44</v>
      </c>
      <c r="AU74" t="s">
        <v>264</v>
      </c>
      <c r="AV74">
        <v>-9999</v>
      </c>
      <c r="AW74">
        <v>346</v>
      </c>
      <c r="AX74">
        <v>366</v>
      </c>
      <c r="AY74">
        <v>345</v>
      </c>
      <c r="AZ74" t="s">
        <v>270</v>
      </c>
      <c r="BA74">
        <v>0</v>
      </c>
      <c r="BB74">
        <v>55</v>
      </c>
      <c r="BC74" t="s">
        <v>550</v>
      </c>
      <c r="BD74" t="s">
        <v>548</v>
      </c>
      <c r="BE74">
        <v>3</v>
      </c>
      <c r="BF74" t="s">
        <v>549</v>
      </c>
      <c r="BG74">
        <v>47.3</v>
      </c>
      <c r="BH74">
        <v>18</v>
      </c>
      <c r="BI74" t="s">
        <v>264</v>
      </c>
      <c r="BJ74">
        <v>-9999</v>
      </c>
      <c r="BK74">
        <v>68</v>
      </c>
      <c r="BL74">
        <v>101</v>
      </c>
      <c r="BM74">
        <v>73</v>
      </c>
      <c r="BN74" t="s">
        <v>270</v>
      </c>
      <c r="BO74">
        <v>0</v>
      </c>
      <c r="BP74">
        <v>55</v>
      </c>
      <c r="BQ74" t="s">
        <v>504</v>
      </c>
      <c r="BR74" t="s">
        <v>548</v>
      </c>
      <c r="BS74">
        <v>4</v>
      </c>
      <c r="BT74" t="s">
        <v>549</v>
      </c>
      <c r="BU74">
        <v>52.5</v>
      </c>
      <c r="BV74">
        <v>80</v>
      </c>
      <c r="BW74" t="s">
        <v>264</v>
      </c>
      <c r="BX74">
        <v>-9999</v>
      </c>
      <c r="BY74">
        <v>196</v>
      </c>
      <c r="BZ74">
        <v>227</v>
      </c>
      <c r="CA74">
        <v>195</v>
      </c>
      <c r="CB74" t="s">
        <v>270</v>
      </c>
      <c r="CC74">
        <v>0</v>
      </c>
      <c r="CD74">
        <v>55</v>
      </c>
      <c r="CE74" t="s">
        <v>471</v>
      </c>
      <c r="CF74" t="s">
        <v>548</v>
      </c>
      <c r="CG74">
        <v>5</v>
      </c>
      <c r="CH74" t="s">
        <v>549</v>
      </c>
      <c r="CI74">
        <v>52.2</v>
      </c>
      <c r="CJ74">
        <v>164</v>
      </c>
      <c r="CK74" t="s">
        <v>264</v>
      </c>
      <c r="CL74">
        <v>-9999</v>
      </c>
      <c r="CM74">
        <v>481</v>
      </c>
      <c r="CN74">
        <v>561</v>
      </c>
      <c r="CO74">
        <v>480</v>
      </c>
      <c r="CP74" t="s">
        <v>270</v>
      </c>
      <c r="CQ74">
        <v>0</v>
      </c>
      <c r="CR74">
        <v>55</v>
      </c>
      <c r="CS74" t="s">
        <v>472</v>
      </c>
      <c r="CT74" t="s">
        <v>548</v>
      </c>
      <c r="CU74">
        <v>6</v>
      </c>
      <c r="CV74" t="s">
        <v>549</v>
      </c>
      <c r="CW74">
        <v>53.4</v>
      </c>
      <c r="CX74">
        <v>96</v>
      </c>
      <c r="CY74" t="s">
        <v>264</v>
      </c>
      <c r="CZ74">
        <v>-9999</v>
      </c>
      <c r="DA74">
        <v>545</v>
      </c>
      <c r="DB74">
        <v>618</v>
      </c>
      <c r="DC74">
        <v>535</v>
      </c>
      <c r="DD74" t="s">
        <v>270</v>
      </c>
      <c r="DE74">
        <v>0</v>
      </c>
      <c r="DF74">
        <v>55</v>
      </c>
      <c r="DG74" t="s">
        <v>473</v>
      </c>
      <c r="DH74" t="s">
        <v>548</v>
      </c>
      <c r="DI74">
        <v>7</v>
      </c>
      <c r="DJ74" t="s">
        <v>549</v>
      </c>
      <c r="DK74">
        <v>0</v>
      </c>
      <c r="DL74">
        <v>30</v>
      </c>
      <c r="DM74" t="s">
        <v>264</v>
      </c>
      <c r="DN74">
        <v>-9999</v>
      </c>
      <c r="DO74">
        <v>486</v>
      </c>
      <c r="DP74">
        <v>554</v>
      </c>
      <c r="DQ74">
        <v>482</v>
      </c>
      <c r="DR74" t="s">
        <v>270</v>
      </c>
      <c r="DS74">
        <v>0</v>
      </c>
      <c r="DT74">
        <v>55</v>
      </c>
      <c r="DU74" t="s">
        <v>474</v>
      </c>
      <c r="DV74" t="s">
        <v>548</v>
      </c>
      <c r="DW74">
        <v>8</v>
      </c>
      <c r="DX74" t="s">
        <v>549</v>
      </c>
      <c r="DY74">
        <v>50.4</v>
      </c>
      <c r="DZ74">
        <v>48</v>
      </c>
      <c r="EA74" t="s">
        <v>264</v>
      </c>
      <c r="EB74">
        <v>-9999</v>
      </c>
      <c r="EC74">
        <v>107</v>
      </c>
      <c r="ED74">
        <v>129</v>
      </c>
      <c r="EE74">
        <v>105</v>
      </c>
      <c r="EF74" t="s">
        <v>270</v>
      </c>
      <c r="EG74">
        <v>0</v>
      </c>
      <c r="EH74">
        <v>55</v>
      </c>
      <c r="EI74" t="s">
        <v>475</v>
      </c>
      <c r="EJ74" t="s">
        <v>548</v>
      </c>
      <c r="EK74">
        <v>9</v>
      </c>
      <c r="EL74" t="s">
        <v>549</v>
      </c>
      <c r="EM74">
        <v>0</v>
      </c>
      <c r="EN74">
        <v>2</v>
      </c>
      <c r="EO74" t="s">
        <v>264</v>
      </c>
      <c r="EP74">
        <v>-9999</v>
      </c>
      <c r="EQ74">
        <v>345</v>
      </c>
      <c r="ER74">
        <v>315</v>
      </c>
      <c r="ES74">
        <v>289</v>
      </c>
      <c r="ET74" t="s">
        <v>270</v>
      </c>
      <c r="EU74">
        <v>0</v>
      </c>
      <c r="EV74">
        <v>55</v>
      </c>
      <c r="EW74" t="s">
        <v>551</v>
      </c>
      <c r="EX74" t="s">
        <v>552</v>
      </c>
      <c r="EY74">
        <v>118</v>
      </c>
      <c r="EZ74">
        <v>119</v>
      </c>
      <c r="FA74">
        <v>118</v>
      </c>
      <c r="FB74" t="s">
        <v>270</v>
      </c>
      <c r="FC74" t="s">
        <v>553</v>
      </c>
      <c r="FD74" t="s">
        <v>552</v>
      </c>
      <c r="FE74">
        <v>266</v>
      </c>
      <c r="FF74">
        <v>265</v>
      </c>
      <c r="FG74">
        <v>264</v>
      </c>
      <c r="FH74" t="s">
        <v>270</v>
      </c>
      <c r="FI74" t="s">
        <v>554</v>
      </c>
      <c r="FJ74" t="s">
        <v>555</v>
      </c>
      <c r="FK74">
        <v>0</v>
      </c>
      <c r="FL74">
        <v>0</v>
      </c>
      <c r="FM74">
        <v>0</v>
      </c>
      <c r="FN74" t="s">
        <v>264</v>
      </c>
      <c r="FQ74" t="s">
        <v>556</v>
      </c>
      <c r="FR74" t="s">
        <v>555</v>
      </c>
      <c r="FS74">
        <v>0</v>
      </c>
      <c r="FT74">
        <v>0</v>
      </c>
      <c r="FU74">
        <v>0</v>
      </c>
      <c r="FV74" t="s">
        <v>264</v>
      </c>
      <c r="FY74" t="s">
        <v>557</v>
      </c>
      <c r="FZ74" t="s">
        <v>555</v>
      </c>
      <c r="GA74">
        <v>0</v>
      </c>
      <c r="GB74">
        <v>0</v>
      </c>
      <c r="GC74">
        <v>0</v>
      </c>
      <c r="GD74" t="s">
        <v>264</v>
      </c>
      <c r="GG74" t="s">
        <v>558</v>
      </c>
      <c r="GH74" t="s">
        <v>555</v>
      </c>
      <c r="GI74">
        <v>0</v>
      </c>
      <c r="GJ74">
        <v>0</v>
      </c>
      <c r="GK74">
        <v>0</v>
      </c>
      <c r="GL74" t="s">
        <v>264</v>
      </c>
      <c r="GO74" t="s">
        <v>559</v>
      </c>
      <c r="GP74" t="s">
        <v>555</v>
      </c>
      <c r="GQ74">
        <v>0</v>
      </c>
      <c r="GR74">
        <v>0</v>
      </c>
      <c r="GS74">
        <v>0</v>
      </c>
      <c r="GT74" t="s">
        <v>264</v>
      </c>
      <c r="GW74" t="s">
        <v>560</v>
      </c>
      <c r="GX74" t="s">
        <v>555</v>
      </c>
      <c r="GY74">
        <v>0</v>
      </c>
      <c r="GZ74">
        <v>0</v>
      </c>
      <c r="HA74">
        <v>0</v>
      </c>
      <c r="HB74" t="s">
        <v>264</v>
      </c>
      <c r="HE74" t="s">
        <v>561</v>
      </c>
      <c r="HF74" t="s">
        <v>555</v>
      </c>
      <c r="HG74">
        <v>0</v>
      </c>
      <c r="HH74">
        <v>0</v>
      </c>
      <c r="HI74">
        <v>0</v>
      </c>
      <c r="HJ74" t="s">
        <v>264</v>
      </c>
      <c r="HM74" t="s">
        <v>562</v>
      </c>
      <c r="HN74" t="s">
        <v>555</v>
      </c>
      <c r="HO74">
        <v>0</v>
      </c>
      <c r="HP74">
        <v>0</v>
      </c>
      <c r="HQ74">
        <v>0</v>
      </c>
      <c r="HR74" t="s">
        <v>264</v>
      </c>
      <c r="HU74" t="s">
        <v>563</v>
      </c>
      <c r="HV74" t="s">
        <v>555</v>
      </c>
      <c r="HW74">
        <v>0</v>
      </c>
      <c r="HX74">
        <v>0</v>
      </c>
      <c r="HY74">
        <v>0</v>
      </c>
      <c r="HZ74" t="s">
        <v>264</v>
      </c>
      <c r="IC74" t="s">
        <v>564</v>
      </c>
      <c r="ID74" t="s">
        <v>555</v>
      </c>
      <c r="IE74">
        <v>0</v>
      </c>
      <c r="IF74">
        <v>0</v>
      </c>
      <c r="IG74">
        <v>0</v>
      </c>
      <c r="IH74" t="s">
        <v>264</v>
      </c>
      <c r="IK74" t="s">
        <v>565</v>
      </c>
      <c r="IL74" t="s">
        <v>555</v>
      </c>
      <c r="IM74">
        <v>0</v>
      </c>
      <c r="IN74">
        <v>0</v>
      </c>
      <c r="IO74">
        <v>0</v>
      </c>
      <c r="IP74" t="s">
        <v>264</v>
      </c>
      <c r="IS74" t="s">
        <v>566</v>
      </c>
      <c r="IT74" t="s">
        <v>555</v>
      </c>
      <c r="IU74">
        <v>0</v>
      </c>
      <c r="IV74">
        <v>0</v>
      </c>
      <c r="IW74">
        <v>0</v>
      </c>
      <c r="IX74" t="s">
        <v>264</v>
      </c>
      <c r="JA74" t="s">
        <v>567</v>
      </c>
      <c r="JB74" t="s">
        <v>555</v>
      </c>
      <c r="JC74">
        <v>0</v>
      </c>
      <c r="JD74">
        <v>0</v>
      </c>
      <c r="JE74">
        <v>0</v>
      </c>
      <c r="JF74" t="s">
        <v>264</v>
      </c>
      <c r="JI74" t="s">
        <v>568</v>
      </c>
      <c r="JJ74" t="s">
        <v>555</v>
      </c>
      <c r="JK74">
        <v>0</v>
      </c>
      <c r="JL74">
        <v>0</v>
      </c>
      <c r="JM74">
        <v>0</v>
      </c>
      <c r="JN74" t="s">
        <v>264</v>
      </c>
      <c r="JQ74" t="s">
        <v>569</v>
      </c>
      <c r="JR74" t="s">
        <v>555</v>
      </c>
      <c r="JS74">
        <v>0</v>
      </c>
      <c r="JT74">
        <v>0</v>
      </c>
      <c r="JU74">
        <v>0</v>
      </c>
      <c r="JV74" t="s">
        <v>264</v>
      </c>
      <c r="JY74" t="s">
        <v>570</v>
      </c>
      <c r="JZ74" t="s">
        <v>555</v>
      </c>
      <c r="KA74">
        <v>0</v>
      </c>
      <c r="KB74">
        <v>0</v>
      </c>
      <c r="KC74">
        <v>0</v>
      </c>
      <c r="KD74" t="s">
        <v>264</v>
      </c>
      <c r="KG74" t="s">
        <v>571</v>
      </c>
      <c r="KH74" t="s">
        <v>555</v>
      </c>
      <c r="KI74">
        <v>0</v>
      </c>
      <c r="KJ74">
        <v>0</v>
      </c>
      <c r="KK74">
        <v>0</v>
      </c>
      <c r="KL74" t="s">
        <v>264</v>
      </c>
      <c r="KO74" t="s">
        <v>572</v>
      </c>
      <c r="KP74" t="s">
        <v>555</v>
      </c>
      <c r="KQ74">
        <v>0</v>
      </c>
      <c r="KR74">
        <v>0</v>
      </c>
      <c r="KS74">
        <v>0</v>
      </c>
      <c r="KT74" t="s">
        <v>264</v>
      </c>
      <c r="KW74" t="s">
        <v>573</v>
      </c>
      <c r="KX74" t="s">
        <v>555</v>
      </c>
      <c r="KY74">
        <v>0</v>
      </c>
      <c r="KZ74">
        <v>0</v>
      </c>
      <c r="LA74">
        <v>0</v>
      </c>
      <c r="LB74" t="s">
        <v>264</v>
      </c>
      <c r="LE74" t="s">
        <v>574</v>
      </c>
      <c r="LF74" t="s">
        <v>555</v>
      </c>
      <c r="LG74">
        <v>0</v>
      </c>
      <c r="LH74">
        <v>0</v>
      </c>
      <c r="LI74">
        <v>0</v>
      </c>
      <c r="LJ74" t="s">
        <v>264</v>
      </c>
      <c r="LM74" t="s">
        <v>575</v>
      </c>
      <c r="LN74" t="s">
        <v>555</v>
      </c>
      <c r="LO74">
        <v>0</v>
      </c>
      <c r="LP74">
        <v>0</v>
      </c>
      <c r="LQ74">
        <v>0</v>
      </c>
      <c r="LR74" t="s">
        <v>264</v>
      </c>
      <c r="LU74" t="s">
        <v>576</v>
      </c>
      <c r="LV74" t="s">
        <v>555</v>
      </c>
      <c r="LW74">
        <v>0</v>
      </c>
      <c r="LX74">
        <v>0</v>
      </c>
      <c r="LY74">
        <v>0</v>
      </c>
      <c r="LZ74" t="s">
        <v>264</v>
      </c>
      <c r="MC74" t="s">
        <v>577</v>
      </c>
      <c r="MD74" t="s">
        <v>555</v>
      </c>
      <c r="ME74">
        <v>0</v>
      </c>
      <c r="MF74">
        <v>0</v>
      </c>
      <c r="MG74">
        <v>0</v>
      </c>
      <c r="MH74" t="s">
        <v>264</v>
      </c>
      <c r="MK74" t="s">
        <v>578</v>
      </c>
      <c r="ML74" t="s">
        <v>555</v>
      </c>
      <c r="MM74">
        <v>0</v>
      </c>
      <c r="MN74">
        <v>0</v>
      </c>
      <c r="MO74">
        <v>0</v>
      </c>
      <c r="MP74" t="s">
        <v>264</v>
      </c>
      <c r="MS74" t="s">
        <v>579</v>
      </c>
      <c r="MT74" t="s">
        <v>555</v>
      </c>
      <c r="MU74">
        <v>0</v>
      </c>
      <c r="MV74">
        <v>0</v>
      </c>
      <c r="MW74">
        <v>0</v>
      </c>
      <c r="MX74" t="s">
        <v>264</v>
      </c>
      <c r="NA74" t="s">
        <v>580</v>
      </c>
      <c r="NB74" t="s">
        <v>555</v>
      </c>
      <c r="NC74">
        <v>0</v>
      </c>
      <c r="ND74">
        <v>0</v>
      </c>
      <c r="NE74">
        <v>0</v>
      </c>
      <c r="NF74" t="s">
        <v>264</v>
      </c>
      <c r="NI74">
        <v>40.1</v>
      </c>
      <c r="NJ74">
        <v>-8.1</v>
      </c>
      <c r="NP74" t="s">
        <v>581</v>
      </c>
    </row>
    <row r="75" spans="1:380" customFormat="1" x14ac:dyDescent="0.2">
      <c r="A75" t="s">
        <v>517</v>
      </c>
      <c r="B75">
        <v>1</v>
      </c>
      <c r="C75" t="s">
        <v>749</v>
      </c>
      <c r="D75">
        <v>646966644</v>
      </c>
      <c r="E75">
        <v>12602</v>
      </c>
      <c r="F75" t="s">
        <v>542</v>
      </c>
      <c r="G75">
        <v>750247</v>
      </c>
      <c r="H75">
        <v>746690</v>
      </c>
      <c r="I75" t="s">
        <v>543</v>
      </c>
      <c r="J75" t="s">
        <v>750</v>
      </c>
      <c r="K75" t="s">
        <v>545</v>
      </c>
      <c r="L75" t="s">
        <v>294</v>
      </c>
      <c r="M75" t="s">
        <v>546</v>
      </c>
      <c r="N75" t="s">
        <v>468</v>
      </c>
      <c r="O75" t="s">
        <v>547</v>
      </c>
      <c r="P75" t="s">
        <v>270</v>
      </c>
      <c r="Q75">
        <v>28</v>
      </c>
      <c r="R75">
        <v>259</v>
      </c>
      <c r="S75" t="s">
        <v>270</v>
      </c>
      <c r="T75">
        <v>-9999</v>
      </c>
      <c r="U75">
        <v>637</v>
      </c>
      <c r="V75">
        <v>657</v>
      </c>
      <c r="W75">
        <v>625</v>
      </c>
      <c r="X75" t="s">
        <v>270</v>
      </c>
      <c r="Y75">
        <v>0</v>
      </c>
      <c r="Z75">
        <v>55</v>
      </c>
      <c r="AA75" t="s">
        <v>469</v>
      </c>
      <c r="AB75" t="s">
        <v>548</v>
      </c>
      <c r="AC75">
        <v>1</v>
      </c>
      <c r="AD75" t="s">
        <v>549</v>
      </c>
      <c r="AE75">
        <v>0</v>
      </c>
      <c r="AF75">
        <v>33</v>
      </c>
      <c r="AG75" t="s">
        <v>264</v>
      </c>
      <c r="AH75">
        <v>-9999</v>
      </c>
      <c r="AI75">
        <v>522</v>
      </c>
      <c r="AJ75">
        <v>644</v>
      </c>
      <c r="AK75">
        <v>523</v>
      </c>
      <c r="AL75" t="s">
        <v>270</v>
      </c>
      <c r="AM75">
        <v>0</v>
      </c>
      <c r="AN75">
        <v>55</v>
      </c>
      <c r="AO75" t="s">
        <v>470</v>
      </c>
      <c r="AP75" t="s">
        <v>548</v>
      </c>
      <c r="AQ75">
        <v>2</v>
      </c>
      <c r="AR75" t="s">
        <v>549</v>
      </c>
      <c r="AS75">
        <v>54.3</v>
      </c>
      <c r="AT75">
        <v>50</v>
      </c>
      <c r="AU75" t="s">
        <v>264</v>
      </c>
      <c r="AV75">
        <v>-9999</v>
      </c>
      <c r="AW75">
        <v>352</v>
      </c>
      <c r="AX75">
        <v>370</v>
      </c>
      <c r="AY75">
        <v>352</v>
      </c>
      <c r="AZ75" t="s">
        <v>270</v>
      </c>
      <c r="BA75">
        <v>0</v>
      </c>
      <c r="BB75">
        <v>55</v>
      </c>
      <c r="BC75" t="s">
        <v>550</v>
      </c>
      <c r="BD75" t="s">
        <v>548</v>
      </c>
      <c r="BE75">
        <v>3</v>
      </c>
      <c r="BF75" t="s">
        <v>549</v>
      </c>
      <c r="BG75">
        <v>0</v>
      </c>
      <c r="BH75">
        <v>-8</v>
      </c>
      <c r="BI75" t="s">
        <v>264</v>
      </c>
      <c r="BJ75">
        <v>-9999</v>
      </c>
      <c r="BK75">
        <v>200</v>
      </c>
      <c r="BL75">
        <v>248</v>
      </c>
      <c r="BM75">
        <v>198</v>
      </c>
      <c r="BN75" t="s">
        <v>270</v>
      </c>
      <c r="BO75">
        <v>0</v>
      </c>
      <c r="BP75">
        <v>55</v>
      </c>
      <c r="BQ75" t="s">
        <v>504</v>
      </c>
      <c r="BR75" t="s">
        <v>548</v>
      </c>
      <c r="BS75">
        <v>4</v>
      </c>
      <c r="BT75" t="s">
        <v>549</v>
      </c>
      <c r="BU75">
        <v>52.2</v>
      </c>
      <c r="BV75">
        <v>87</v>
      </c>
      <c r="BW75" t="s">
        <v>264</v>
      </c>
      <c r="BX75">
        <v>-9999</v>
      </c>
      <c r="BY75">
        <v>244</v>
      </c>
      <c r="BZ75">
        <v>282</v>
      </c>
      <c r="CA75">
        <v>241</v>
      </c>
      <c r="CB75" t="s">
        <v>270</v>
      </c>
      <c r="CC75">
        <v>0</v>
      </c>
      <c r="CD75">
        <v>55</v>
      </c>
      <c r="CE75" t="s">
        <v>471</v>
      </c>
      <c r="CF75" t="s">
        <v>548</v>
      </c>
      <c r="CG75">
        <v>5</v>
      </c>
      <c r="CH75" t="s">
        <v>549</v>
      </c>
      <c r="CI75">
        <v>51</v>
      </c>
      <c r="CJ75">
        <v>229</v>
      </c>
      <c r="CK75" t="s">
        <v>264</v>
      </c>
      <c r="CL75">
        <v>-9999</v>
      </c>
      <c r="CM75">
        <v>529</v>
      </c>
      <c r="CN75">
        <v>612</v>
      </c>
      <c r="CO75">
        <v>528</v>
      </c>
      <c r="CP75" t="s">
        <v>270</v>
      </c>
      <c r="CQ75">
        <v>0</v>
      </c>
      <c r="CR75">
        <v>55</v>
      </c>
      <c r="CS75" t="s">
        <v>472</v>
      </c>
      <c r="CT75" t="s">
        <v>548</v>
      </c>
      <c r="CU75">
        <v>6</v>
      </c>
      <c r="CV75" t="s">
        <v>549</v>
      </c>
      <c r="CW75">
        <v>52.3</v>
      </c>
      <c r="CX75">
        <v>129</v>
      </c>
      <c r="CY75" t="s">
        <v>264</v>
      </c>
      <c r="CZ75">
        <v>-9999</v>
      </c>
      <c r="DA75">
        <v>595</v>
      </c>
      <c r="DB75">
        <v>673</v>
      </c>
      <c r="DC75">
        <v>585</v>
      </c>
      <c r="DD75" t="s">
        <v>270</v>
      </c>
      <c r="DE75">
        <v>0</v>
      </c>
      <c r="DF75">
        <v>55</v>
      </c>
      <c r="DG75" t="s">
        <v>473</v>
      </c>
      <c r="DH75" t="s">
        <v>548</v>
      </c>
      <c r="DI75">
        <v>7</v>
      </c>
      <c r="DJ75" t="s">
        <v>549</v>
      </c>
      <c r="DK75">
        <v>0</v>
      </c>
      <c r="DL75">
        <v>33</v>
      </c>
      <c r="DM75" t="s">
        <v>264</v>
      </c>
      <c r="DN75">
        <v>-9999</v>
      </c>
      <c r="DO75">
        <v>582</v>
      </c>
      <c r="DP75">
        <v>669</v>
      </c>
      <c r="DQ75">
        <v>578</v>
      </c>
      <c r="DR75" t="s">
        <v>270</v>
      </c>
      <c r="DS75">
        <v>0</v>
      </c>
      <c r="DT75">
        <v>55</v>
      </c>
      <c r="DU75" t="s">
        <v>474</v>
      </c>
      <c r="DV75" t="s">
        <v>548</v>
      </c>
      <c r="DW75">
        <v>8</v>
      </c>
      <c r="DX75" t="s">
        <v>549</v>
      </c>
      <c r="DY75">
        <v>50.6</v>
      </c>
      <c r="DZ75">
        <v>32</v>
      </c>
      <c r="EA75" t="s">
        <v>264</v>
      </c>
      <c r="EB75">
        <v>-9999</v>
      </c>
      <c r="EC75">
        <v>101</v>
      </c>
      <c r="ED75">
        <v>125</v>
      </c>
      <c r="EE75">
        <v>100</v>
      </c>
      <c r="EF75" t="s">
        <v>270</v>
      </c>
      <c r="EG75">
        <v>0</v>
      </c>
      <c r="EH75">
        <v>55</v>
      </c>
      <c r="EI75" t="s">
        <v>475</v>
      </c>
      <c r="EJ75" t="s">
        <v>548</v>
      </c>
      <c r="EK75">
        <v>9</v>
      </c>
      <c r="EL75" t="s">
        <v>549</v>
      </c>
      <c r="EM75">
        <v>0</v>
      </c>
      <c r="EN75">
        <v>6</v>
      </c>
      <c r="EO75" t="s">
        <v>264</v>
      </c>
      <c r="EP75">
        <v>-9999</v>
      </c>
      <c r="EQ75">
        <v>324</v>
      </c>
      <c r="ER75">
        <v>299</v>
      </c>
      <c r="ES75">
        <v>280</v>
      </c>
      <c r="ET75" t="s">
        <v>270</v>
      </c>
      <c r="EU75">
        <v>0</v>
      </c>
      <c r="EV75">
        <v>55</v>
      </c>
      <c r="EW75" t="s">
        <v>551</v>
      </c>
      <c r="EX75" t="s">
        <v>552</v>
      </c>
      <c r="EY75">
        <v>157</v>
      </c>
      <c r="EZ75">
        <v>158</v>
      </c>
      <c r="FA75">
        <v>157</v>
      </c>
      <c r="FB75" t="s">
        <v>270</v>
      </c>
      <c r="FC75" t="s">
        <v>553</v>
      </c>
      <c r="FD75" t="s">
        <v>552</v>
      </c>
      <c r="FE75">
        <v>322</v>
      </c>
      <c r="FF75">
        <v>321</v>
      </c>
      <c r="FG75">
        <v>320</v>
      </c>
      <c r="FH75" t="s">
        <v>270</v>
      </c>
      <c r="FI75" t="s">
        <v>554</v>
      </c>
      <c r="FJ75" t="s">
        <v>555</v>
      </c>
      <c r="FK75">
        <v>0</v>
      </c>
      <c r="FL75">
        <v>0</v>
      </c>
      <c r="FM75">
        <v>0</v>
      </c>
      <c r="FN75" t="s">
        <v>264</v>
      </c>
      <c r="FQ75" t="s">
        <v>556</v>
      </c>
      <c r="FR75" t="s">
        <v>555</v>
      </c>
      <c r="FS75">
        <v>0</v>
      </c>
      <c r="FT75">
        <v>0</v>
      </c>
      <c r="FU75">
        <v>0</v>
      </c>
      <c r="FV75" t="s">
        <v>264</v>
      </c>
      <c r="FY75" t="s">
        <v>557</v>
      </c>
      <c r="FZ75" t="s">
        <v>555</v>
      </c>
      <c r="GA75">
        <v>0</v>
      </c>
      <c r="GB75">
        <v>0</v>
      </c>
      <c r="GC75">
        <v>0</v>
      </c>
      <c r="GD75" t="s">
        <v>264</v>
      </c>
      <c r="GG75" t="s">
        <v>558</v>
      </c>
      <c r="GH75" t="s">
        <v>555</v>
      </c>
      <c r="GI75">
        <v>0</v>
      </c>
      <c r="GJ75">
        <v>0</v>
      </c>
      <c r="GK75">
        <v>0</v>
      </c>
      <c r="GL75" t="s">
        <v>264</v>
      </c>
      <c r="GO75" t="s">
        <v>559</v>
      </c>
      <c r="GP75" t="s">
        <v>555</v>
      </c>
      <c r="GQ75">
        <v>0</v>
      </c>
      <c r="GR75">
        <v>0</v>
      </c>
      <c r="GS75">
        <v>0</v>
      </c>
      <c r="GT75" t="s">
        <v>264</v>
      </c>
      <c r="GW75" t="s">
        <v>560</v>
      </c>
      <c r="GX75" t="s">
        <v>555</v>
      </c>
      <c r="GY75">
        <v>0</v>
      </c>
      <c r="GZ75">
        <v>0</v>
      </c>
      <c r="HA75">
        <v>0</v>
      </c>
      <c r="HB75" t="s">
        <v>264</v>
      </c>
      <c r="HE75" t="s">
        <v>561</v>
      </c>
      <c r="HF75" t="s">
        <v>555</v>
      </c>
      <c r="HG75">
        <v>0</v>
      </c>
      <c r="HH75">
        <v>0</v>
      </c>
      <c r="HI75">
        <v>0</v>
      </c>
      <c r="HJ75" t="s">
        <v>264</v>
      </c>
      <c r="HM75" t="s">
        <v>562</v>
      </c>
      <c r="HN75" t="s">
        <v>555</v>
      </c>
      <c r="HO75">
        <v>0</v>
      </c>
      <c r="HP75">
        <v>0</v>
      </c>
      <c r="HQ75">
        <v>0</v>
      </c>
      <c r="HR75" t="s">
        <v>264</v>
      </c>
      <c r="HU75" t="s">
        <v>563</v>
      </c>
      <c r="HV75" t="s">
        <v>555</v>
      </c>
      <c r="HW75">
        <v>0</v>
      </c>
      <c r="HX75">
        <v>0</v>
      </c>
      <c r="HY75">
        <v>0</v>
      </c>
      <c r="HZ75" t="s">
        <v>264</v>
      </c>
      <c r="IC75" t="s">
        <v>564</v>
      </c>
      <c r="ID75" t="s">
        <v>555</v>
      </c>
      <c r="IE75">
        <v>0</v>
      </c>
      <c r="IF75">
        <v>0</v>
      </c>
      <c r="IG75">
        <v>0</v>
      </c>
      <c r="IH75" t="s">
        <v>264</v>
      </c>
      <c r="IK75" t="s">
        <v>565</v>
      </c>
      <c r="IL75" t="s">
        <v>555</v>
      </c>
      <c r="IM75">
        <v>0</v>
      </c>
      <c r="IN75">
        <v>0</v>
      </c>
      <c r="IO75">
        <v>0</v>
      </c>
      <c r="IP75" t="s">
        <v>264</v>
      </c>
      <c r="IS75" t="s">
        <v>566</v>
      </c>
      <c r="IT75" t="s">
        <v>555</v>
      </c>
      <c r="IU75">
        <v>0</v>
      </c>
      <c r="IV75">
        <v>0</v>
      </c>
      <c r="IW75">
        <v>0</v>
      </c>
      <c r="IX75" t="s">
        <v>264</v>
      </c>
      <c r="JA75" t="s">
        <v>567</v>
      </c>
      <c r="JB75" t="s">
        <v>555</v>
      </c>
      <c r="JC75">
        <v>0</v>
      </c>
      <c r="JD75">
        <v>0</v>
      </c>
      <c r="JE75">
        <v>0</v>
      </c>
      <c r="JF75" t="s">
        <v>264</v>
      </c>
      <c r="JI75" t="s">
        <v>568</v>
      </c>
      <c r="JJ75" t="s">
        <v>555</v>
      </c>
      <c r="JK75">
        <v>0</v>
      </c>
      <c r="JL75">
        <v>0</v>
      </c>
      <c r="JM75">
        <v>0</v>
      </c>
      <c r="JN75" t="s">
        <v>264</v>
      </c>
      <c r="JQ75" t="s">
        <v>569</v>
      </c>
      <c r="JR75" t="s">
        <v>555</v>
      </c>
      <c r="JS75">
        <v>0</v>
      </c>
      <c r="JT75">
        <v>0</v>
      </c>
      <c r="JU75">
        <v>0</v>
      </c>
      <c r="JV75" t="s">
        <v>264</v>
      </c>
      <c r="JY75" t="s">
        <v>570</v>
      </c>
      <c r="JZ75" t="s">
        <v>555</v>
      </c>
      <c r="KA75">
        <v>0</v>
      </c>
      <c r="KB75">
        <v>0</v>
      </c>
      <c r="KC75">
        <v>0</v>
      </c>
      <c r="KD75" t="s">
        <v>264</v>
      </c>
      <c r="KG75" t="s">
        <v>571</v>
      </c>
      <c r="KH75" t="s">
        <v>555</v>
      </c>
      <c r="KI75">
        <v>0</v>
      </c>
      <c r="KJ75">
        <v>0</v>
      </c>
      <c r="KK75">
        <v>0</v>
      </c>
      <c r="KL75" t="s">
        <v>264</v>
      </c>
      <c r="KO75" t="s">
        <v>572</v>
      </c>
      <c r="KP75" t="s">
        <v>555</v>
      </c>
      <c r="KQ75">
        <v>0</v>
      </c>
      <c r="KR75">
        <v>0</v>
      </c>
      <c r="KS75">
        <v>0</v>
      </c>
      <c r="KT75" t="s">
        <v>264</v>
      </c>
      <c r="KW75" t="s">
        <v>573</v>
      </c>
      <c r="KX75" t="s">
        <v>555</v>
      </c>
      <c r="KY75">
        <v>0</v>
      </c>
      <c r="KZ75">
        <v>0</v>
      </c>
      <c r="LA75">
        <v>0</v>
      </c>
      <c r="LB75" t="s">
        <v>264</v>
      </c>
      <c r="LE75" t="s">
        <v>574</v>
      </c>
      <c r="LF75" t="s">
        <v>555</v>
      </c>
      <c r="LG75">
        <v>0</v>
      </c>
      <c r="LH75">
        <v>0</v>
      </c>
      <c r="LI75">
        <v>0</v>
      </c>
      <c r="LJ75" t="s">
        <v>264</v>
      </c>
      <c r="LM75" t="s">
        <v>575</v>
      </c>
      <c r="LN75" t="s">
        <v>555</v>
      </c>
      <c r="LO75">
        <v>0</v>
      </c>
      <c r="LP75">
        <v>0</v>
      </c>
      <c r="LQ75">
        <v>0</v>
      </c>
      <c r="LR75" t="s">
        <v>264</v>
      </c>
      <c r="LU75" t="s">
        <v>576</v>
      </c>
      <c r="LV75" t="s">
        <v>555</v>
      </c>
      <c r="LW75">
        <v>0</v>
      </c>
      <c r="LX75">
        <v>0</v>
      </c>
      <c r="LY75">
        <v>0</v>
      </c>
      <c r="LZ75" t="s">
        <v>264</v>
      </c>
      <c r="MC75" t="s">
        <v>577</v>
      </c>
      <c r="MD75" t="s">
        <v>555</v>
      </c>
      <c r="ME75">
        <v>0</v>
      </c>
      <c r="MF75">
        <v>0</v>
      </c>
      <c r="MG75">
        <v>0</v>
      </c>
      <c r="MH75" t="s">
        <v>264</v>
      </c>
      <c r="MK75" t="s">
        <v>578</v>
      </c>
      <c r="ML75" t="s">
        <v>555</v>
      </c>
      <c r="MM75">
        <v>0</v>
      </c>
      <c r="MN75">
        <v>0</v>
      </c>
      <c r="MO75">
        <v>0</v>
      </c>
      <c r="MP75" t="s">
        <v>264</v>
      </c>
      <c r="MS75" t="s">
        <v>579</v>
      </c>
      <c r="MT75" t="s">
        <v>555</v>
      </c>
      <c r="MU75">
        <v>0</v>
      </c>
      <c r="MV75">
        <v>0</v>
      </c>
      <c r="MW75">
        <v>0</v>
      </c>
      <c r="MX75" t="s">
        <v>264</v>
      </c>
      <c r="NA75" t="s">
        <v>580</v>
      </c>
      <c r="NB75" t="s">
        <v>555</v>
      </c>
      <c r="NC75">
        <v>0</v>
      </c>
      <c r="ND75">
        <v>0</v>
      </c>
      <c r="NE75">
        <v>0</v>
      </c>
      <c r="NF75" t="s">
        <v>264</v>
      </c>
      <c r="NI75">
        <v>40</v>
      </c>
      <c r="NJ75">
        <v>-14.2</v>
      </c>
      <c r="NP75" t="s">
        <v>581</v>
      </c>
    </row>
    <row r="76" spans="1:380" customFormat="1" x14ac:dyDescent="0.2">
      <c r="A76" t="s">
        <v>517</v>
      </c>
      <c r="B76">
        <v>1</v>
      </c>
      <c r="C76" t="s">
        <v>751</v>
      </c>
      <c r="D76">
        <v>646967426</v>
      </c>
      <c r="E76">
        <v>12602</v>
      </c>
      <c r="F76" t="s">
        <v>542</v>
      </c>
      <c r="G76">
        <v>750247</v>
      </c>
      <c r="H76">
        <v>890930</v>
      </c>
      <c r="I76" t="s">
        <v>543</v>
      </c>
      <c r="J76" t="s">
        <v>752</v>
      </c>
      <c r="K76" t="s">
        <v>545</v>
      </c>
      <c r="L76" t="s">
        <v>294</v>
      </c>
      <c r="M76" t="s">
        <v>546</v>
      </c>
      <c r="N76" t="s">
        <v>468</v>
      </c>
      <c r="O76" t="s">
        <v>547</v>
      </c>
      <c r="P76" t="s">
        <v>270</v>
      </c>
      <c r="Q76">
        <v>26.7</v>
      </c>
      <c r="R76">
        <v>219</v>
      </c>
      <c r="S76" t="s">
        <v>270</v>
      </c>
      <c r="T76">
        <v>-9999</v>
      </c>
      <c r="U76">
        <v>622</v>
      </c>
      <c r="V76">
        <v>641</v>
      </c>
      <c r="W76">
        <v>611</v>
      </c>
      <c r="X76" t="s">
        <v>270</v>
      </c>
      <c r="Y76">
        <v>0</v>
      </c>
      <c r="Z76">
        <v>55</v>
      </c>
      <c r="AA76" t="s">
        <v>469</v>
      </c>
      <c r="AB76" t="s">
        <v>548</v>
      </c>
      <c r="AC76">
        <v>1</v>
      </c>
      <c r="AD76" t="s">
        <v>549</v>
      </c>
      <c r="AE76">
        <v>0</v>
      </c>
      <c r="AF76">
        <v>31</v>
      </c>
      <c r="AG76" t="s">
        <v>264</v>
      </c>
      <c r="AH76">
        <v>-9999</v>
      </c>
      <c r="AI76">
        <v>486</v>
      </c>
      <c r="AJ76">
        <v>608</v>
      </c>
      <c r="AK76">
        <v>485</v>
      </c>
      <c r="AL76" t="s">
        <v>270</v>
      </c>
      <c r="AM76">
        <v>0</v>
      </c>
      <c r="AN76">
        <v>55</v>
      </c>
      <c r="AO76" t="s">
        <v>470</v>
      </c>
      <c r="AP76" t="s">
        <v>548</v>
      </c>
      <c r="AQ76">
        <v>2</v>
      </c>
      <c r="AR76" t="s">
        <v>549</v>
      </c>
      <c r="AS76">
        <v>0</v>
      </c>
      <c r="AT76">
        <v>27</v>
      </c>
      <c r="AU76" t="s">
        <v>264</v>
      </c>
      <c r="AV76">
        <v>-9999</v>
      </c>
      <c r="AW76">
        <v>384</v>
      </c>
      <c r="AX76">
        <v>403</v>
      </c>
      <c r="AY76">
        <v>383</v>
      </c>
      <c r="AZ76" t="s">
        <v>270</v>
      </c>
      <c r="BA76">
        <v>0</v>
      </c>
      <c r="BB76">
        <v>55</v>
      </c>
      <c r="BC76" t="s">
        <v>550</v>
      </c>
      <c r="BD76" t="s">
        <v>548</v>
      </c>
      <c r="BE76">
        <v>3</v>
      </c>
      <c r="BF76" t="s">
        <v>549</v>
      </c>
      <c r="BG76">
        <v>0</v>
      </c>
      <c r="BH76">
        <v>-6</v>
      </c>
      <c r="BI76" t="s">
        <v>264</v>
      </c>
      <c r="BJ76">
        <v>-9999</v>
      </c>
      <c r="BK76">
        <v>182</v>
      </c>
      <c r="BL76">
        <v>220</v>
      </c>
      <c r="BM76">
        <v>180</v>
      </c>
      <c r="BN76" t="s">
        <v>270</v>
      </c>
      <c r="BO76">
        <v>0</v>
      </c>
      <c r="BP76">
        <v>55</v>
      </c>
      <c r="BQ76" t="s">
        <v>504</v>
      </c>
      <c r="BR76" t="s">
        <v>548</v>
      </c>
      <c r="BS76">
        <v>4</v>
      </c>
      <c r="BT76" t="s">
        <v>549</v>
      </c>
      <c r="BU76">
        <v>53.8</v>
      </c>
      <c r="BV76">
        <v>46</v>
      </c>
      <c r="BW76" t="s">
        <v>264</v>
      </c>
      <c r="BX76">
        <v>-9999</v>
      </c>
      <c r="BY76">
        <v>202</v>
      </c>
      <c r="BZ76">
        <v>233</v>
      </c>
      <c r="CA76">
        <v>200</v>
      </c>
      <c r="CB76" t="s">
        <v>270</v>
      </c>
      <c r="CC76">
        <v>0</v>
      </c>
      <c r="CD76">
        <v>55</v>
      </c>
      <c r="CE76" t="s">
        <v>471</v>
      </c>
      <c r="CF76" t="s">
        <v>548</v>
      </c>
      <c r="CG76">
        <v>5</v>
      </c>
      <c r="CH76" t="s">
        <v>549</v>
      </c>
      <c r="CI76">
        <v>52.5</v>
      </c>
      <c r="CJ76">
        <v>135</v>
      </c>
      <c r="CK76" t="s">
        <v>264</v>
      </c>
      <c r="CL76">
        <v>-9999</v>
      </c>
      <c r="CM76">
        <v>432</v>
      </c>
      <c r="CN76">
        <v>505</v>
      </c>
      <c r="CO76">
        <v>432</v>
      </c>
      <c r="CP76" t="s">
        <v>270</v>
      </c>
      <c r="CQ76">
        <v>0</v>
      </c>
      <c r="CR76">
        <v>55</v>
      </c>
      <c r="CS76" t="s">
        <v>472</v>
      </c>
      <c r="CT76" t="s">
        <v>548</v>
      </c>
      <c r="CU76">
        <v>6</v>
      </c>
      <c r="CV76" t="s">
        <v>549</v>
      </c>
      <c r="CW76">
        <v>0</v>
      </c>
      <c r="CX76">
        <v>43</v>
      </c>
      <c r="CY76" t="s">
        <v>264</v>
      </c>
      <c r="CZ76">
        <v>-9999</v>
      </c>
      <c r="DA76">
        <v>597</v>
      </c>
      <c r="DB76">
        <v>677</v>
      </c>
      <c r="DC76">
        <v>588</v>
      </c>
      <c r="DD76" t="s">
        <v>270</v>
      </c>
      <c r="DE76">
        <v>0</v>
      </c>
      <c r="DF76">
        <v>55</v>
      </c>
      <c r="DG76" t="s">
        <v>473</v>
      </c>
      <c r="DH76" t="s">
        <v>548</v>
      </c>
      <c r="DI76">
        <v>7</v>
      </c>
      <c r="DJ76" t="s">
        <v>549</v>
      </c>
      <c r="DK76">
        <v>0</v>
      </c>
      <c r="DL76">
        <v>35</v>
      </c>
      <c r="DM76" t="s">
        <v>264</v>
      </c>
      <c r="DN76">
        <v>-9999</v>
      </c>
      <c r="DO76">
        <v>581</v>
      </c>
      <c r="DP76">
        <v>663</v>
      </c>
      <c r="DQ76">
        <v>578</v>
      </c>
      <c r="DR76" t="s">
        <v>270</v>
      </c>
      <c r="DS76">
        <v>0</v>
      </c>
      <c r="DT76">
        <v>55</v>
      </c>
      <c r="DU76" t="s">
        <v>474</v>
      </c>
      <c r="DV76" t="s">
        <v>548</v>
      </c>
      <c r="DW76">
        <v>8</v>
      </c>
      <c r="DX76" t="s">
        <v>549</v>
      </c>
      <c r="DY76">
        <v>50.3</v>
      </c>
      <c r="DZ76">
        <v>38</v>
      </c>
      <c r="EA76" t="s">
        <v>264</v>
      </c>
      <c r="EB76">
        <v>-9999</v>
      </c>
      <c r="EC76">
        <v>108</v>
      </c>
      <c r="ED76">
        <v>130</v>
      </c>
      <c r="EE76">
        <v>106</v>
      </c>
      <c r="EF76" t="s">
        <v>270</v>
      </c>
      <c r="EG76">
        <v>0</v>
      </c>
      <c r="EH76">
        <v>55</v>
      </c>
      <c r="EI76" t="s">
        <v>475</v>
      </c>
      <c r="EJ76" t="s">
        <v>548</v>
      </c>
      <c r="EK76">
        <v>9</v>
      </c>
      <c r="EL76" t="s">
        <v>549</v>
      </c>
      <c r="EM76">
        <v>0</v>
      </c>
      <c r="EN76">
        <v>18</v>
      </c>
      <c r="EO76" t="s">
        <v>264</v>
      </c>
      <c r="EP76">
        <v>-9999</v>
      </c>
      <c r="EQ76">
        <v>268</v>
      </c>
      <c r="ER76">
        <v>243</v>
      </c>
      <c r="ES76">
        <v>225</v>
      </c>
      <c r="ET76" t="s">
        <v>270</v>
      </c>
      <c r="EU76">
        <v>0</v>
      </c>
      <c r="EV76">
        <v>55</v>
      </c>
      <c r="EW76" t="s">
        <v>551</v>
      </c>
      <c r="EX76" t="s">
        <v>552</v>
      </c>
      <c r="EY76">
        <v>153</v>
      </c>
      <c r="EZ76">
        <v>154</v>
      </c>
      <c r="FA76">
        <v>154</v>
      </c>
      <c r="FB76" t="s">
        <v>270</v>
      </c>
      <c r="FC76" t="s">
        <v>553</v>
      </c>
      <c r="FD76" t="s">
        <v>552</v>
      </c>
      <c r="FE76">
        <v>327</v>
      </c>
      <c r="FF76">
        <v>325</v>
      </c>
      <c r="FG76">
        <v>324</v>
      </c>
      <c r="FH76" t="s">
        <v>270</v>
      </c>
      <c r="FI76" t="s">
        <v>554</v>
      </c>
      <c r="FJ76" t="s">
        <v>555</v>
      </c>
      <c r="FK76">
        <v>0</v>
      </c>
      <c r="FL76">
        <v>0</v>
      </c>
      <c r="FM76">
        <v>0</v>
      </c>
      <c r="FN76" t="s">
        <v>264</v>
      </c>
      <c r="FQ76" t="s">
        <v>556</v>
      </c>
      <c r="FR76" t="s">
        <v>555</v>
      </c>
      <c r="FS76">
        <v>0</v>
      </c>
      <c r="FT76">
        <v>0</v>
      </c>
      <c r="FU76">
        <v>0</v>
      </c>
      <c r="FV76" t="s">
        <v>264</v>
      </c>
      <c r="FY76" t="s">
        <v>557</v>
      </c>
      <c r="FZ76" t="s">
        <v>555</v>
      </c>
      <c r="GA76">
        <v>0</v>
      </c>
      <c r="GB76">
        <v>0</v>
      </c>
      <c r="GC76">
        <v>0</v>
      </c>
      <c r="GD76" t="s">
        <v>264</v>
      </c>
      <c r="GG76" t="s">
        <v>558</v>
      </c>
      <c r="GH76" t="s">
        <v>555</v>
      </c>
      <c r="GI76">
        <v>0</v>
      </c>
      <c r="GJ76">
        <v>0</v>
      </c>
      <c r="GK76">
        <v>0</v>
      </c>
      <c r="GL76" t="s">
        <v>264</v>
      </c>
      <c r="GO76" t="s">
        <v>559</v>
      </c>
      <c r="GP76" t="s">
        <v>555</v>
      </c>
      <c r="GQ76">
        <v>0</v>
      </c>
      <c r="GR76">
        <v>0</v>
      </c>
      <c r="GS76">
        <v>0</v>
      </c>
      <c r="GT76" t="s">
        <v>264</v>
      </c>
      <c r="GW76" t="s">
        <v>560</v>
      </c>
      <c r="GX76" t="s">
        <v>555</v>
      </c>
      <c r="GY76">
        <v>0</v>
      </c>
      <c r="GZ76">
        <v>0</v>
      </c>
      <c r="HA76">
        <v>0</v>
      </c>
      <c r="HB76" t="s">
        <v>264</v>
      </c>
      <c r="HE76" t="s">
        <v>561</v>
      </c>
      <c r="HF76" t="s">
        <v>555</v>
      </c>
      <c r="HG76">
        <v>0</v>
      </c>
      <c r="HH76">
        <v>0</v>
      </c>
      <c r="HI76">
        <v>0</v>
      </c>
      <c r="HJ76" t="s">
        <v>264</v>
      </c>
      <c r="HM76" t="s">
        <v>562</v>
      </c>
      <c r="HN76" t="s">
        <v>555</v>
      </c>
      <c r="HO76">
        <v>0</v>
      </c>
      <c r="HP76">
        <v>0</v>
      </c>
      <c r="HQ76">
        <v>0</v>
      </c>
      <c r="HR76" t="s">
        <v>264</v>
      </c>
      <c r="HU76" t="s">
        <v>563</v>
      </c>
      <c r="HV76" t="s">
        <v>555</v>
      </c>
      <c r="HW76">
        <v>0</v>
      </c>
      <c r="HX76">
        <v>0</v>
      </c>
      <c r="HY76">
        <v>0</v>
      </c>
      <c r="HZ76" t="s">
        <v>264</v>
      </c>
      <c r="IC76" t="s">
        <v>564</v>
      </c>
      <c r="ID76" t="s">
        <v>555</v>
      </c>
      <c r="IE76">
        <v>0</v>
      </c>
      <c r="IF76">
        <v>0</v>
      </c>
      <c r="IG76">
        <v>0</v>
      </c>
      <c r="IH76" t="s">
        <v>264</v>
      </c>
      <c r="IK76" t="s">
        <v>565</v>
      </c>
      <c r="IL76" t="s">
        <v>555</v>
      </c>
      <c r="IM76">
        <v>0</v>
      </c>
      <c r="IN76">
        <v>0</v>
      </c>
      <c r="IO76">
        <v>0</v>
      </c>
      <c r="IP76" t="s">
        <v>264</v>
      </c>
      <c r="IS76" t="s">
        <v>566</v>
      </c>
      <c r="IT76" t="s">
        <v>555</v>
      </c>
      <c r="IU76">
        <v>0</v>
      </c>
      <c r="IV76">
        <v>0</v>
      </c>
      <c r="IW76">
        <v>0</v>
      </c>
      <c r="IX76" t="s">
        <v>264</v>
      </c>
      <c r="JA76" t="s">
        <v>567</v>
      </c>
      <c r="JB76" t="s">
        <v>555</v>
      </c>
      <c r="JC76">
        <v>0</v>
      </c>
      <c r="JD76">
        <v>0</v>
      </c>
      <c r="JE76">
        <v>0</v>
      </c>
      <c r="JF76" t="s">
        <v>264</v>
      </c>
      <c r="JI76" t="s">
        <v>568</v>
      </c>
      <c r="JJ76" t="s">
        <v>555</v>
      </c>
      <c r="JK76">
        <v>0</v>
      </c>
      <c r="JL76">
        <v>0</v>
      </c>
      <c r="JM76">
        <v>0</v>
      </c>
      <c r="JN76" t="s">
        <v>264</v>
      </c>
      <c r="JQ76" t="s">
        <v>569</v>
      </c>
      <c r="JR76" t="s">
        <v>555</v>
      </c>
      <c r="JS76">
        <v>0</v>
      </c>
      <c r="JT76">
        <v>0</v>
      </c>
      <c r="JU76">
        <v>0</v>
      </c>
      <c r="JV76" t="s">
        <v>264</v>
      </c>
      <c r="JY76" t="s">
        <v>570</v>
      </c>
      <c r="JZ76" t="s">
        <v>555</v>
      </c>
      <c r="KA76">
        <v>0</v>
      </c>
      <c r="KB76">
        <v>0</v>
      </c>
      <c r="KC76">
        <v>0</v>
      </c>
      <c r="KD76" t="s">
        <v>264</v>
      </c>
      <c r="KG76" t="s">
        <v>571</v>
      </c>
      <c r="KH76" t="s">
        <v>555</v>
      </c>
      <c r="KI76">
        <v>0</v>
      </c>
      <c r="KJ76">
        <v>0</v>
      </c>
      <c r="KK76">
        <v>0</v>
      </c>
      <c r="KL76" t="s">
        <v>264</v>
      </c>
      <c r="KO76" t="s">
        <v>572</v>
      </c>
      <c r="KP76" t="s">
        <v>555</v>
      </c>
      <c r="KQ76">
        <v>0</v>
      </c>
      <c r="KR76">
        <v>0</v>
      </c>
      <c r="KS76">
        <v>0</v>
      </c>
      <c r="KT76" t="s">
        <v>264</v>
      </c>
      <c r="KW76" t="s">
        <v>573</v>
      </c>
      <c r="KX76" t="s">
        <v>555</v>
      </c>
      <c r="KY76">
        <v>0</v>
      </c>
      <c r="KZ76">
        <v>0</v>
      </c>
      <c r="LA76">
        <v>0</v>
      </c>
      <c r="LB76" t="s">
        <v>264</v>
      </c>
      <c r="LE76" t="s">
        <v>574</v>
      </c>
      <c r="LF76" t="s">
        <v>555</v>
      </c>
      <c r="LG76">
        <v>0</v>
      </c>
      <c r="LH76">
        <v>0</v>
      </c>
      <c r="LI76">
        <v>0</v>
      </c>
      <c r="LJ76" t="s">
        <v>264</v>
      </c>
      <c r="LM76" t="s">
        <v>575</v>
      </c>
      <c r="LN76" t="s">
        <v>555</v>
      </c>
      <c r="LO76">
        <v>0</v>
      </c>
      <c r="LP76">
        <v>0</v>
      </c>
      <c r="LQ76">
        <v>0</v>
      </c>
      <c r="LR76" t="s">
        <v>264</v>
      </c>
      <c r="LU76" t="s">
        <v>576</v>
      </c>
      <c r="LV76" t="s">
        <v>555</v>
      </c>
      <c r="LW76">
        <v>0</v>
      </c>
      <c r="LX76">
        <v>0</v>
      </c>
      <c r="LY76">
        <v>0</v>
      </c>
      <c r="LZ76" t="s">
        <v>264</v>
      </c>
      <c r="MC76" t="s">
        <v>577</v>
      </c>
      <c r="MD76" t="s">
        <v>555</v>
      </c>
      <c r="ME76">
        <v>0</v>
      </c>
      <c r="MF76">
        <v>0</v>
      </c>
      <c r="MG76">
        <v>0</v>
      </c>
      <c r="MH76" t="s">
        <v>264</v>
      </c>
      <c r="MK76" t="s">
        <v>578</v>
      </c>
      <c r="ML76" t="s">
        <v>555</v>
      </c>
      <c r="MM76">
        <v>0</v>
      </c>
      <c r="MN76">
        <v>0</v>
      </c>
      <c r="MO76">
        <v>0</v>
      </c>
      <c r="MP76" t="s">
        <v>264</v>
      </c>
      <c r="MS76" t="s">
        <v>579</v>
      </c>
      <c r="MT76" t="s">
        <v>555</v>
      </c>
      <c r="MU76">
        <v>0</v>
      </c>
      <c r="MV76">
        <v>0</v>
      </c>
      <c r="MW76">
        <v>0</v>
      </c>
      <c r="MX76" t="s">
        <v>264</v>
      </c>
      <c r="NA76" t="s">
        <v>580</v>
      </c>
      <c r="NB76" t="s">
        <v>555</v>
      </c>
      <c r="NC76">
        <v>0</v>
      </c>
      <c r="ND76">
        <v>0</v>
      </c>
      <c r="NE76">
        <v>0</v>
      </c>
      <c r="NF76" t="s">
        <v>264</v>
      </c>
      <c r="NI76">
        <v>40.1</v>
      </c>
      <c r="NJ76">
        <v>-7.1</v>
      </c>
      <c r="NP76" t="s">
        <v>581</v>
      </c>
    </row>
    <row r="77" spans="1:380" customFormat="1" x14ac:dyDescent="0.2">
      <c r="A77" t="s">
        <v>517</v>
      </c>
      <c r="B77">
        <v>1</v>
      </c>
      <c r="C77" t="s">
        <v>753</v>
      </c>
      <c r="D77">
        <v>646967553</v>
      </c>
      <c r="E77">
        <v>12602</v>
      </c>
      <c r="F77" t="s">
        <v>542</v>
      </c>
      <c r="G77">
        <v>750247</v>
      </c>
      <c r="H77">
        <v>883669</v>
      </c>
      <c r="I77" t="s">
        <v>543</v>
      </c>
      <c r="J77" t="s">
        <v>754</v>
      </c>
      <c r="K77" t="s">
        <v>545</v>
      </c>
      <c r="L77" t="s">
        <v>294</v>
      </c>
      <c r="M77" t="s">
        <v>546</v>
      </c>
      <c r="N77" t="s">
        <v>468</v>
      </c>
      <c r="O77" t="s">
        <v>547</v>
      </c>
      <c r="P77" t="s">
        <v>264</v>
      </c>
      <c r="Q77">
        <v>27.3</v>
      </c>
      <c r="R77">
        <v>243</v>
      </c>
      <c r="S77" t="s">
        <v>264</v>
      </c>
      <c r="T77">
        <v>-9999</v>
      </c>
      <c r="U77">
        <v>646</v>
      </c>
      <c r="V77">
        <v>666</v>
      </c>
      <c r="W77">
        <v>636</v>
      </c>
      <c r="X77" t="s">
        <v>270</v>
      </c>
      <c r="Y77">
        <v>0</v>
      </c>
      <c r="Z77">
        <v>55</v>
      </c>
      <c r="AA77" t="s">
        <v>469</v>
      </c>
      <c r="AB77" t="s">
        <v>548</v>
      </c>
      <c r="AC77">
        <v>1</v>
      </c>
      <c r="AD77" t="s">
        <v>549</v>
      </c>
      <c r="AE77">
        <v>0</v>
      </c>
      <c r="AF77">
        <v>9</v>
      </c>
      <c r="AG77" t="s">
        <v>264</v>
      </c>
      <c r="AH77">
        <v>-9999</v>
      </c>
      <c r="AI77">
        <v>567</v>
      </c>
      <c r="AJ77">
        <v>689</v>
      </c>
      <c r="AK77">
        <v>560</v>
      </c>
      <c r="AL77" t="s">
        <v>270</v>
      </c>
      <c r="AM77">
        <v>0</v>
      </c>
      <c r="AN77">
        <v>55</v>
      </c>
      <c r="AO77" t="s">
        <v>470</v>
      </c>
      <c r="AP77" t="s">
        <v>548</v>
      </c>
      <c r="AQ77">
        <v>2</v>
      </c>
      <c r="AR77" t="s">
        <v>549</v>
      </c>
      <c r="AS77">
        <v>55</v>
      </c>
      <c r="AT77">
        <v>40</v>
      </c>
      <c r="AU77" t="s">
        <v>264</v>
      </c>
      <c r="AV77">
        <v>-9999</v>
      </c>
      <c r="AW77">
        <v>434</v>
      </c>
      <c r="AX77">
        <v>456</v>
      </c>
      <c r="AY77">
        <v>429</v>
      </c>
      <c r="AZ77" t="s">
        <v>270</v>
      </c>
      <c r="BA77">
        <v>0</v>
      </c>
      <c r="BB77">
        <v>55</v>
      </c>
      <c r="BC77" t="s">
        <v>550</v>
      </c>
      <c r="BD77" t="s">
        <v>548</v>
      </c>
      <c r="BE77">
        <v>3</v>
      </c>
      <c r="BF77" t="s">
        <v>584</v>
      </c>
      <c r="BG77">
        <v>17.7</v>
      </c>
      <c r="BH77">
        <v>293</v>
      </c>
      <c r="BI77" t="s">
        <v>264</v>
      </c>
      <c r="BJ77">
        <v>-9999</v>
      </c>
      <c r="BK77">
        <v>-1</v>
      </c>
      <c r="BL77">
        <v>22</v>
      </c>
      <c r="BM77">
        <v>6</v>
      </c>
      <c r="BN77" t="s">
        <v>270</v>
      </c>
      <c r="BO77">
        <v>0</v>
      </c>
      <c r="BP77">
        <v>55</v>
      </c>
      <c r="BQ77" t="s">
        <v>504</v>
      </c>
      <c r="BR77" t="s">
        <v>548</v>
      </c>
      <c r="BS77">
        <v>4</v>
      </c>
      <c r="BT77" t="s">
        <v>549</v>
      </c>
      <c r="BU77">
        <v>53.1</v>
      </c>
      <c r="BV77">
        <v>62</v>
      </c>
      <c r="BW77" t="s">
        <v>264</v>
      </c>
      <c r="BX77">
        <v>-9999</v>
      </c>
      <c r="BY77">
        <v>265</v>
      </c>
      <c r="BZ77">
        <v>307</v>
      </c>
      <c r="CA77">
        <v>263</v>
      </c>
      <c r="CB77" t="s">
        <v>270</v>
      </c>
      <c r="CC77">
        <v>0</v>
      </c>
      <c r="CD77">
        <v>55</v>
      </c>
      <c r="CE77" t="s">
        <v>471</v>
      </c>
      <c r="CF77" t="s">
        <v>548</v>
      </c>
      <c r="CG77">
        <v>5</v>
      </c>
      <c r="CH77" t="s">
        <v>549</v>
      </c>
      <c r="CI77">
        <v>52.1</v>
      </c>
      <c r="CJ77">
        <v>160</v>
      </c>
      <c r="CK77" t="s">
        <v>264</v>
      </c>
      <c r="CL77">
        <v>-9999</v>
      </c>
      <c r="CM77">
        <v>494</v>
      </c>
      <c r="CN77">
        <v>572</v>
      </c>
      <c r="CO77">
        <v>491</v>
      </c>
      <c r="CP77" t="s">
        <v>270</v>
      </c>
      <c r="CQ77">
        <v>0</v>
      </c>
      <c r="CR77">
        <v>55</v>
      </c>
      <c r="CS77" t="s">
        <v>472</v>
      </c>
      <c r="CT77" t="s">
        <v>548</v>
      </c>
      <c r="CU77">
        <v>6</v>
      </c>
      <c r="CV77" t="s">
        <v>549</v>
      </c>
      <c r="CW77">
        <v>53.6</v>
      </c>
      <c r="CX77">
        <v>92</v>
      </c>
      <c r="CY77" t="s">
        <v>264</v>
      </c>
      <c r="CZ77">
        <v>-9999</v>
      </c>
      <c r="DA77">
        <v>627</v>
      </c>
      <c r="DB77">
        <v>703</v>
      </c>
      <c r="DC77">
        <v>613</v>
      </c>
      <c r="DD77" t="s">
        <v>270</v>
      </c>
      <c r="DE77">
        <v>0</v>
      </c>
      <c r="DF77">
        <v>55</v>
      </c>
      <c r="DG77" t="s">
        <v>473</v>
      </c>
      <c r="DH77" t="s">
        <v>548</v>
      </c>
      <c r="DI77">
        <v>7</v>
      </c>
      <c r="DJ77" t="s">
        <v>549</v>
      </c>
      <c r="DK77">
        <v>0</v>
      </c>
      <c r="DL77">
        <v>40</v>
      </c>
      <c r="DM77" t="s">
        <v>264</v>
      </c>
      <c r="DN77">
        <v>-9999</v>
      </c>
      <c r="DO77">
        <v>628</v>
      </c>
      <c r="DP77">
        <v>715</v>
      </c>
      <c r="DQ77">
        <v>623</v>
      </c>
      <c r="DR77" t="s">
        <v>270</v>
      </c>
      <c r="DS77">
        <v>0</v>
      </c>
      <c r="DT77">
        <v>55</v>
      </c>
      <c r="DU77" t="s">
        <v>474</v>
      </c>
      <c r="DV77" t="s">
        <v>548</v>
      </c>
      <c r="DW77">
        <v>8</v>
      </c>
      <c r="DX77" t="s">
        <v>549</v>
      </c>
      <c r="DY77">
        <v>50.7</v>
      </c>
      <c r="DZ77">
        <v>30</v>
      </c>
      <c r="EA77" t="s">
        <v>264</v>
      </c>
      <c r="EB77">
        <v>-9999</v>
      </c>
      <c r="EC77">
        <v>102</v>
      </c>
      <c r="ED77">
        <v>124</v>
      </c>
      <c r="EE77">
        <v>100</v>
      </c>
      <c r="EF77" t="s">
        <v>270</v>
      </c>
      <c r="EG77">
        <v>0</v>
      </c>
      <c r="EH77">
        <v>55</v>
      </c>
      <c r="EI77" t="s">
        <v>475</v>
      </c>
      <c r="EJ77" t="s">
        <v>548</v>
      </c>
      <c r="EK77">
        <v>9</v>
      </c>
      <c r="EL77" t="s">
        <v>549</v>
      </c>
      <c r="EM77">
        <v>0</v>
      </c>
      <c r="EN77">
        <v>-10</v>
      </c>
      <c r="EO77" t="s">
        <v>264</v>
      </c>
      <c r="EP77">
        <v>-9999</v>
      </c>
      <c r="EQ77">
        <v>366</v>
      </c>
      <c r="ER77">
        <v>348</v>
      </c>
      <c r="ES77">
        <v>320</v>
      </c>
      <c r="ET77" t="s">
        <v>270</v>
      </c>
      <c r="EU77">
        <v>0</v>
      </c>
      <c r="EV77">
        <v>55</v>
      </c>
      <c r="EW77" t="s">
        <v>551</v>
      </c>
      <c r="EX77" t="s">
        <v>552</v>
      </c>
      <c r="EY77">
        <v>129</v>
      </c>
      <c r="EZ77">
        <v>129</v>
      </c>
      <c r="FA77">
        <v>130</v>
      </c>
      <c r="FB77" t="s">
        <v>270</v>
      </c>
      <c r="FC77" t="s">
        <v>553</v>
      </c>
      <c r="FD77" t="s">
        <v>552</v>
      </c>
      <c r="FE77">
        <v>326</v>
      </c>
      <c r="FF77">
        <v>324</v>
      </c>
      <c r="FG77">
        <v>323</v>
      </c>
      <c r="FH77" t="s">
        <v>270</v>
      </c>
      <c r="FI77" t="s">
        <v>554</v>
      </c>
      <c r="FJ77" t="s">
        <v>555</v>
      </c>
      <c r="FK77">
        <v>0</v>
      </c>
      <c r="FL77">
        <v>0</v>
      </c>
      <c r="FM77">
        <v>0</v>
      </c>
      <c r="FN77" t="s">
        <v>264</v>
      </c>
      <c r="FQ77" t="s">
        <v>556</v>
      </c>
      <c r="FR77" t="s">
        <v>555</v>
      </c>
      <c r="FS77">
        <v>0</v>
      </c>
      <c r="FT77">
        <v>0</v>
      </c>
      <c r="FU77">
        <v>0</v>
      </c>
      <c r="FV77" t="s">
        <v>264</v>
      </c>
      <c r="FY77" t="s">
        <v>557</v>
      </c>
      <c r="FZ77" t="s">
        <v>555</v>
      </c>
      <c r="GA77">
        <v>0</v>
      </c>
      <c r="GB77">
        <v>0</v>
      </c>
      <c r="GC77">
        <v>0</v>
      </c>
      <c r="GD77" t="s">
        <v>264</v>
      </c>
      <c r="GG77" t="s">
        <v>558</v>
      </c>
      <c r="GH77" t="s">
        <v>555</v>
      </c>
      <c r="GI77">
        <v>0</v>
      </c>
      <c r="GJ77">
        <v>0</v>
      </c>
      <c r="GK77">
        <v>0</v>
      </c>
      <c r="GL77" t="s">
        <v>264</v>
      </c>
      <c r="GO77" t="s">
        <v>559</v>
      </c>
      <c r="GP77" t="s">
        <v>555</v>
      </c>
      <c r="GQ77">
        <v>0</v>
      </c>
      <c r="GR77">
        <v>0</v>
      </c>
      <c r="GS77">
        <v>0</v>
      </c>
      <c r="GT77" t="s">
        <v>264</v>
      </c>
      <c r="GW77" t="s">
        <v>560</v>
      </c>
      <c r="GX77" t="s">
        <v>555</v>
      </c>
      <c r="GY77">
        <v>0</v>
      </c>
      <c r="GZ77">
        <v>0</v>
      </c>
      <c r="HA77">
        <v>0</v>
      </c>
      <c r="HB77" t="s">
        <v>264</v>
      </c>
      <c r="HE77" t="s">
        <v>561</v>
      </c>
      <c r="HF77" t="s">
        <v>555</v>
      </c>
      <c r="HG77">
        <v>0</v>
      </c>
      <c r="HH77">
        <v>0</v>
      </c>
      <c r="HI77">
        <v>0</v>
      </c>
      <c r="HJ77" t="s">
        <v>264</v>
      </c>
      <c r="HM77" t="s">
        <v>562</v>
      </c>
      <c r="HN77" t="s">
        <v>555</v>
      </c>
      <c r="HO77">
        <v>0</v>
      </c>
      <c r="HP77">
        <v>0</v>
      </c>
      <c r="HQ77">
        <v>0</v>
      </c>
      <c r="HR77" t="s">
        <v>264</v>
      </c>
      <c r="HU77" t="s">
        <v>563</v>
      </c>
      <c r="HV77" t="s">
        <v>555</v>
      </c>
      <c r="HW77">
        <v>0</v>
      </c>
      <c r="HX77">
        <v>0</v>
      </c>
      <c r="HY77">
        <v>0</v>
      </c>
      <c r="HZ77" t="s">
        <v>264</v>
      </c>
      <c r="IC77" t="s">
        <v>564</v>
      </c>
      <c r="ID77" t="s">
        <v>555</v>
      </c>
      <c r="IE77">
        <v>0</v>
      </c>
      <c r="IF77">
        <v>0</v>
      </c>
      <c r="IG77">
        <v>0</v>
      </c>
      <c r="IH77" t="s">
        <v>264</v>
      </c>
      <c r="IK77" t="s">
        <v>565</v>
      </c>
      <c r="IL77" t="s">
        <v>555</v>
      </c>
      <c r="IM77">
        <v>0</v>
      </c>
      <c r="IN77">
        <v>0</v>
      </c>
      <c r="IO77">
        <v>0</v>
      </c>
      <c r="IP77" t="s">
        <v>264</v>
      </c>
      <c r="IS77" t="s">
        <v>566</v>
      </c>
      <c r="IT77" t="s">
        <v>555</v>
      </c>
      <c r="IU77">
        <v>0</v>
      </c>
      <c r="IV77">
        <v>0</v>
      </c>
      <c r="IW77">
        <v>0</v>
      </c>
      <c r="IX77" t="s">
        <v>264</v>
      </c>
      <c r="JA77" t="s">
        <v>567</v>
      </c>
      <c r="JB77" t="s">
        <v>555</v>
      </c>
      <c r="JC77">
        <v>0</v>
      </c>
      <c r="JD77">
        <v>0</v>
      </c>
      <c r="JE77">
        <v>0</v>
      </c>
      <c r="JF77" t="s">
        <v>264</v>
      </c>
      <c r="JI77" t="s">
        <v>568</v>
      </c>
      <c r="JJ77" t="s">
        <v>555</v>
      </c>
      <c r="JK77">
        <v>0</v>
      </c>
      <c r="JL77">
        <v>0</v>
      </c>
      <c r="JM77">
        <v>0</v>
      </c>
      <c r="JN77" t="s">
        <v>264</v>
      </c>
      <c r="JQ77" t="s">
        <v>569</v>
      </c>
      <c r="JR77" t="s">
        <v>555</v>
      </c>
      <c r="JS77">
        <v>0</v>
      </c>
      <c r="JT77">
        <v>0</v>
      </c>
      <c r="JU77">
        <v>0</v>
      </c>
      <c r="JV77" t="s">
        <v>264</v>
      </c>
      <c r="JY77" t="s">
        <v>570</v>
      </c>
      <c r="JZ77" t="s">
        <v>555</v>
      </c>
      <c r="KA77">
        <v>0</v>
      </c>
      <c r="KB77">
        <v>0</v>
      </c>
      <c r="KC77">
        <v>0</v>
      </c>
      <c r="KD77" t="s">
        <v>264</v>
      </c>
      <c r="KG77" t="s">
        <v>571</v>
      </c>
      <c r="KH77" t="s">
        <v>555</v>
      </c>
      <c r="KI77">
        <v>0</v>
      </c>
      <c r="KJ77">
        <v>0</v>
      </c>
      <c r="KK77">
        <v>0</v>
      </c>
      <c r="KL77" t="s">
        <v>264</v>
      </c>
      <c r="KO77" t="s">
        <v>572</v>
      </c>
      <c r="KP77" t="s">
        <v>555</v>
      </c>
      <c r="KQ77">
        <v>0</v>
      </c>
      <c r="KR77">
        <v>0</v>
      </c>
      <c r="KS77">
        <v>0</v>
      </c>
      <c r="KT77" t="s">
        <v>264</v>
      </c>
      <c r="KW77" t="s">
        <v>573</v>
      </c>
      <c r="KX77" t="s">
        <v>555</v>
      </c>
      <c r="KY77">
        <v>0</v>
      </c>
      <c r="KZ77">
        <v>0</v>
      </c>
      <c r="LA77">
        <v>0</v>
      </c>
      <c r="LB77" t="s">
        <v>264</v>
      </c>
      <c r="LE77" t="s">
        <v>574</v>
      </c>
      <c r="LF77" t="s">
        <v>555</v>
      </c>
      <c r="LG77">
        <v>0</v>
      </c>
      <c r="LH77">
        <v>0</v>
      </c>
      <c r="LI77">
        <v>0</v>
      </c>
      <c r="LJ77" t="s">
        <v>264</v>
      </c>
      <c r="LM77" t="s">
        <v>575</v>
      </c>
      <c r="LN77" t="s">
        <v>555</v>
      </c>
      <c r="LO77">
        <v>0</v>
      </c>
      <c r="LP77">
        <v>0</v>
      </c>
      <c r="LQ77">
        <v>0</v>
      </c>
      <c r="LR77" t="s">
        <v>264</v>
      </c>
      <c r="LU77" t="s">
        <v>576</v>
      </c>
      <c r="LV77" t="s">
        <v>555</v>
      </c>
      <c r="LW77">
        <v>0</v>
      </c>
      <c r="LX77">
        <v>0</v>
      </c>
      <c r="LY77">
        <v>0</v>
      </c>
      <c r="LZ77" t="s">
        <v>264</v>
      </c>
      <c r="MC77" t="s">
        <v>577</v>
      </c>
      <c r="MD77" t="s">
        <v>555</v>
      </c>
      <c r="ME77">
        <v>0</v>
      </c>
      <c r="MF77">
        <v>0</v>
      </c>
      <c r="MG77">
        <v>0</v>
      </c>
      <c r="MH77" t="s">
        <v>264</v>
      </c>
      <c r="MK77" t="s">
        <v>578</v>
      </c>
      <c r="ML77" t="s">
        <v>555</v>
      </c>
      <c r="MM77">
        <v>0</v>
      </c>
      <c r="MN77">
        <v>0</v>
      </c>
      <c r="MO77">
        <v>0</v>
      </c>
      <c r="MP77" t="s">
        <v>264</v>
      </c>
      <c r="MS77" t="s">
        <v>579</v>
      </c>
      <c r="MT77" t="s">
        <v>555</v>
      </c>
      <c r="MU77">
        <v>0</v>
      </c>
      <c r="MV77">
        <v>0</v>
      </c>
      <c r="MW77">
        <v>0</v>
      </c>
      <c r="MX77" t="s">
        <v>264</v>
      </c>
      <c r="NA77" t="s">
        <v>580</v>
      </c>
      <c r="NB77" t="s">
        <v>555</v>
      </c>
      <c r="NC77">
        <v>0</v>
      </c>
      <c r="ND77">
        <v>0</v>
      </c>
      <c r="NE77">
        <v>0</v>
      </c>
      <c r="NF77" t="s">
        <v>264</v>
      </c>
      <c r="NI77">
        <v>40</v>
      </c>
      <c r="NJ77">
        <v>-11.2</v>
      </c>
      <c r="NP77" t="s">
        <v>581</v>
      </c>
    </row>
    <row r="78" spans="1:380" customFormat="1" x14ac:dyDescent="0.2">
      <c r="A78" t="s">
        <v>517</v>
      </c>
      <c r="B78">
        <v>1</v>
      </c>
      <c r="C78" t="s">
        <v>755</v>
      </c>
      <c r="D78">
        <v>646967171</v>
      </c>
      <c r="E78">
        <v>12602</v>
      </c>
      <c r="F78" t="s">
        <v>542</v>
      </c>
      <c r="G78">
        <v>750248</v>
      </c>
      <c r="H78">
        <v>801735</v>
      </c>
      <c r="I78" t="s">
        <v>543</v>
      </c>
      <c r="J78" t="s">
        <v>756</v>
      </c>
      <c r="K78" t="s">
        <v>545</v>
      </c>
      <c r="L78" t="s">
        <v>294</v>
      </c>
      <c r="M78" t="s">
        <v>546</v>
      </c>
      <c r="N78" t="s">
        <v>468</v>
      </c>
      <c r="O78" t="s">
        <v>547</v>
      </c>
      <c r="P78" t="s">
        <v>264</v>
      </c>
      <c r="Q78">
        <v>26.9</v>
      </c>
      <c r="R78">
        <v>241</v>
      </c>
      <c r="S78" t="s">
        <v>264</v>
      </c>
      <c r="T78">
        <v>-9999</v>
      </c>
      <c r="U78">
        <v>591</v>
      </c>
      <c r="V78">
        <v>611</v>
      </c>
      <c r="W78">
        <v>582</v>
      </c>
      <c r="X78" t="s">
        <v>270</v>
      </c>
      <c r="Y78">
        <v>0</v>
      </c>
      <c r="Z78">
        <v>55</v>
      </c>
      <c r="AA78" t="s">
        <v>469</v>
      </c>
      <c r="AB78" t="s">
        <v>548</v>
      </c>
      <c r="AC78">
        <v>1</v>
      </c>
      <c r="AD78" t="s">
        <v>549</v>
      </c>
      <c r="AE78">
        <v>0</v>
      </c>
      <c r="AF78">
        <v>17</v>
      </c>
      <c r="AG78" t="s">
        <v>264</v>
      </c>
      <c r="AH78">
        <v>-9999</v>
      </c>
      <c r="AI78">
        <v>560</v>
      </c>
      <c r="AJ78">
        <v>678</v>
      </c>
      <c r="AK78">
        <v>553</v>
      </c>
      <c r="AL78" t="s">
        <v>270</v>
      </c>
      <c r="AM78">
        <v>0</v>
      </c>
      <c r="AN78">
        <v>55</v>
      </c>
      <c r="AO78" t="s">
        <v>470</v>
      </c>
      <c r="AP78" t="s">
        <v>548</v>
      </c>
      <c r="AQ78">
        <v>2</v>
      </c>
      <c r="AR78" t="s">
        <v>549</v>
      </c>
      <c r="AS78">
        <v>0</v>
      </c>
      <c r="AT78">
        <v>33</v>
      </c>
      <c r="AU78" t="s">
        <v>264</v>
      </c>
      <c r="AV78">
        <v>-9999</v>
      </c>
      <c r="AW78">
        <v>384</v>
      </c>
      <c r="AX78">
        <v>402</v>
      </c>
      <c r="AY78">
        <v>381</v>
      </c>
      <c r="AZ78" t="s">
        <v>270</v>
      </c>
      <c r="BA78">
        <v>0</v>
      </c>
      <c r="BB78">
        <v>55</v>
      </c>
      <c r="BC78" t="s">
        <v>550</v>
      </c>
      <c r="BD78" t="s">
        <v>548</v>
      </c>
      <c r="BE78">
        <v>3</v>
      </c>
      <c r="BF78" t="s">
        <v>584</v>
      </c>
      <c r="BG78">
        <v>18.100000000000001</v>
      </c>
      <c r="BH78">
        <v>115</v>
      </c>
      <c r="BI78" t="s">
        <v>264</v>
      </c>
      <c r="BJ78">
        <v>-9999</v>
      </c>
      <c r="BK78">
        <v>45</v>
      </c>
      <c r="BL78">
        <v>70</v>
      </c>
      <c r="BM78">
        <v>49</v>
      </c>
      <c r="BN78" t="s">
        <v>270</v>
      </c>
      <c r="BO78">
        <v>0</v>
      </c>
      <c r="BP78">
        <v>55</v>
      </c>
      <c r="BQ78" t="s">
        <v>504</v>
      </c>
      <c r="BR78" t="s">
        <v>548</v>
      </c>
      <c r="BS78">
        <v>4</v>
      </c>
      <c r="BT78" t="s">
        <v>549</v>
      </c>
      <c r="BU78">
        <v>52.2</v>
      </c>
      <c r="BV78">
        <v>81</v>
      </c>
      <c r="BW78" t="s">
        <v>264</v>
      </c>
      <c r="BX78">
        <v>-9999</v>
      </c>
      <c r="BY78">
        <v>245</v>
      </c>
      <c r="BZ78">
        <v>285</v>
      </c>
      <c r="CA78">
        <v>244</v>
      </c>
      <c r="CB78" t="s">
        <v>270</v>
      </c>
      <c r="CC78">
        <v>0</v>
      </c>
      <c r="CD78">
        <v>55</v>
      </c>
      <c r="CE78" t="s">
        <v>471</v>
      </c>
      <c r="CF78" t="s">
        <v>548</v>
      </c>
      <c r="CG78">
        <v>5</v>
      </c>
      <c r="CH78" t="s">
        <v>549</v>
      </c>
      <c r="CI78">
        <v>51.4</v>
      </c>
      <c r="CJ78">
        <v>217</v>
      </c>
      <c r="CK78" t="s">
        <v>264</v>
      </c>
      <c r="CL78">
        <v>-9999</v>
      </c>
      <c r="CM78">
        <v>485</v>
      </c>
      <c r="CN78">
        <v>567</v>
      </c>
      <c r="CO78">
        <v>485</v>
      </c>
      <c r="CP78" t="s">
        <v>270</v>
      </c>
      <c r="CQ78">
        <v>0</v>
      </c>
      <c r="CR78">
        <v>55</v>
      </c>
      <c r="CS78" t="s">
        <v>472</v>
      </c>
      <c r="CT78" t="s">
        <v>548</v>
      </c>
      <c r="CU78">
        <v>6</v>
      </c>
      <c r="CV78" t="s">
        <v>549</v>
      </c>
      <c r="CW78">
        <v>53.1</v>
      </c>
      <c r="CX78">
        <v>107</v>
      </c>
      <c r="CY78" t="s">
        <v>264</v>
      </c>
      <c r="CZ78">
        <v>-9999</v>
      </c>
      <c r="DA78">
        <v>613</v>
      </c>
      <c r="DB78">
        <v>697</v>
      </c>
      <c r="DC78">
        <v>603</v>
      </c>
      <c r="DD78" t="s">
        <v>270</v>
      </c>
      <c r="DE78">
        <v>0</v>
      </c>
      <c r="DF78">
        <v>55</v>
      </c>
      <c r="DG78" t="s">
        <v>473</v>
      </c>
      <c r="DH78" t="s">
        <v>548</v>
      </c>
      <c r="DI78">
        <v>7</v>
      </c>
      <c r="DJ78" t="s">
        <v>549</v>
      </c>
      <c r="DK78">
        <v>0</v>
      </c>
      <c r="DL78">
        <v>33</v>
      </c>
      <c r="DM78" t="s">
        <v>264</v>
      </c>
      <c r="DN78">
        <v>-9999</v>
      </c>
      <c r="DO78">
        <v>593</v>
      </c>
      <c r="DP78">
        <v>681</v>
      </c>
      <c r="DQ78">
        <v>588</v>
      </c>
      <c r="DR78" t="s">
        <v>270</v>
      </c>
      <c r="DS78">
        <v>0</v>
      </c>
      <c r="DT78">
        <v>55</v>
      </c>
      <c r="DU78" t="s">
        <v>474</v>
      </c>
      <c r="DV78" t="s">
        <v>548</v>
      </c>
      <c r="DW78">
        <v>8</v>
      </c>
      <c r="DX78" t="s">
        <v>549</v>
      </c>
      <c r="DY78">
        <v>50.1</v>
      </c>
      <c r="DZ78">
        <v>43</v>
      </c>
      <c r="EA78" t="s">
        <v>264</v>
      </c>
      <c r="EB78">
        <v>-9999</v>
      </c>
      <c r="EC78">
        <v>111</v>
      </c>
      <c r="ED78">
        <v>134</v>
      </c>
      <c r="EE78">
        <v>109</v>
      </c>
      <c r="EF78" t="s">
        <v>270</v>
      </c>
      <c r="EG78">
        <v>0</v>
      </c>
      <c r="EH78">
        <v>55</v>
      </c>
      <c r="EI78" t="s">
        <v>475</v>
      </c>
      <c r="EJ78" t="s">
        <v>548</v>
      </c>
      <c r="EK78">
        <v>9</v>
      </c>
      <c r="EL78" t="s">
        <v>549</v>
      </c>
      <c r="EM78">
        <v>0</v>
      </c>
      <c r="EN78">
        <v>16</v>
      </c>
      <c r="EO78" t="s">
        <v>264</v>
      </c>
      <c r="EP78">
        <v>-9999</v>
      </c>
      <c r="EQ78">
        <v>364</v>
      </c>
      <c r="ER78">
        <v>342</v>
      </c>
      <c r="ES78">
        <v>311</v>
      </c>
      <c r="ET78" t="s">
        <v>270</v>
      </c>
      <c r="EU78">
        <v>0</v>
      </c>
      <c r="EV78">
        <v>55</v>
      </c>
      <c r="EW78" t="s">
        <v>551</v>
      </c>
      <c r="EX78" t="s">
        <v>552</v>
      </c>
      <c r="EY78">
        <v>128</v>
      </c>
      <c r="EZ78">
        <v>129</v>
      </c>
      <c r="FA78">
        <v>130</v>
      </c>
      <c r="FB78" t="s">
        <v>270</v>
      </c>
      <c r="FC78" t="s">
        <v>553</v>
      </c>
      <c r="FD78" t="s">
        <v>552</v>
      </c>
      <c r="FE78">
        <v>312</v>
      </c>
      <c r="FF78">
        <v>311</v>
      </c>
      <c r="FG78">
        <v>311</v>
      </c>
      <c r="FH78" t="s">
        <v>270</v>
      </c>
      <c r="FI78" t="s">
        <v>554</v>
      </c>
      <c r="FJ78" t="s">
        <v>555</v>
      </c>
      <c r="FK78">
        <v>0</v>
      </c>
      <c r="FL78">
        <v>0</v>
      </c>
      <c r="FM78">
        <v>0</v>
      </c>
      <c r="FN78" t="s">
        <v>264</v>
      </c>
      <c r="FQ78" t="s">
        <v>556</v>
      </c>
      <c r="FR78" t="s">
        <v>555</v>
      </c>
      <c r="FS78">
        <v>0</v>
      </c>
      <c r="FT78">
        <v>0</v>
      </c>
      <c r="FU78">
        <v>0</v>
      </c>
      <c r="FV78" t="s">
        <v>264</v>
      </c>
      <c r="FY78" t="s">
        <v>557</v>
      </c>
      <c r="FZ78" t="s">
        <v>555</v>
      </c>
      <c r="GA78">
        <v>0</v>
      </c>
      <c r="GB78">
        <v>0</v>
      </c>
      <c r="GC78">
        <v>0</v>
      </c>
      <c r="GD78" t="s">
        <v>264</v>
      </c>
      <c r="GG78" t="s">
        <v>558</v>
      </c>
      <c r="GH78" t="s">
        <v>555</v>
      </c>
      <c r="GI78">
        <v>0</v>
      </c>
      <c r="GJ78">
        <v>0</v>
      </c>
      <c r="GK78">
        <v>0</v>
      </c>
      <c r="GL78" t="s">
        <v>264</v>
      </c>
      <c r="GO78" t="s">
        <v>559</v>
      </c>
      <c r="GP78" t="s">
        <v>555</v>
      </c>
      <c r="GQ78">
        <v>0</v>
      </c>
      <c r="GR78">
        <v>0</v>
      </c>
      <c r="GS78">
        <v>0</v>
      </c>
      <c r="GT78" t="s">
        <v>264</v>
      </c>
      <c r="GW78" t="s">
        <v>560</v>
      </c>
      <c r="GX78" t="s">
        <v>555</v>
      </c>
      <c r="GY78">
        <v>0</v>
      </c>
      <c r="GZ78">
        <v>0</v>
      </c>
      <c r="HA78">
        <v>0</v>
      </c>
      <c r="HB78" t="s">
        <v>264</v>
      </c>
      <c r="HE78" t="s">
        <v>561</v>
      </c>
      <c r="HF78" t="s">
        <v>555</v>
      </c>
      <c r="HG78">
        <v>0</v>
      </c>
      <c r="HH78">
        <v>0</v>
      </c>
      <c r="HI78">
        <v>0</v>
      </c>
      <c r="HJ78" t="s">
        <v>264</v>
      </c>
      <c r="HM78" t="s">
        <v>562</v>
      </c>
      <c r="HN78" t="s">
        <v>555</v>
      </c>
      <c r="HO78">
        <v>0</v>
      </c>
      <c r="HP78">
        <v>0</v>
      </c>
      <c r="HQ78">
        <v>0</v>
      </c>
      <c r="HR78" t="s">
        <v>264</v>
      </c>
      <c r="HU78" t="s">
        <v>563</v>
      </c>
      <c r="HV78" t="s">
        <v>555</v>
      </c>
      <c r="HW78">
        <v>0</v>
      </c>
      <c r="HX78">
        <v>0</v>
      </c>
      <c r="HY78">
        <v>0</v>
      </c>
      <c r="HZ78" t="s">
        <v>264</v>
      </c>
      <c r="IC78" t="s">
        <v>564</v>
      </c>
      <c r="ID78" t="s">
        <v>555</v>
      </c>
      <c r="IE78">
        <v>0</v>
      </c>
      <c r="IF78">
        <v>0</v>
      </c>
      <c r="IG78">
        <v>0</v>
      </c>
      <c r="IH78" t="s">
        <v>264</v>
      </c>
      <c r="IK78" t="s">
        <v>565</v>
      </c>
      <c r="IL78" t="s">
        <v>555</v>
      </c>
      <c r="IM78">
        <v>0</v>
      </c>
      <c r="IN78">
        <v>0</v>
      </c>
      <c r="IO78">
        <v>0</v>
      </c>
      <c r="IP78" t="s">
        <v>264</v>
      </c>
      <c r="IS78" t="s">
        <v>566</v>
      </c>
      <c r="IT78" t="s">
        <v>555</v>
      </c>
      <c r="IU78">
        <v>0</v>
      </c>
      <c r="IV78">
        <v>0</v>
      </c>
      <c r="IW78">
        <v>0</v>
      </c>
      <c r="IX78" t="s">
        <v>264</v>
      </c>
      <c r="JA78" t="s">
        <v>567</v>
      </c>
      <c r="JB78" t="s">
        <v>555</v>
      </c>
      <c r="JC78">
        <v>0</v>
      </c>
      <c r="JD78">
        <v>0</v>
      </c>
      <c r="JE78">
        <v>0</v>
      </c>
      <c r="JF78" t="s">
        <v>264</v>
      </c>
      <c r="JI78" t="s">
        <v>568</v>
      </c>
      <c r="JJ78" t="s">
        <v>555</v>
      </c>
      <c r="JK78">
        <v>0</v>
      </c>
      <c r="JL78">
        <v>0</v>
      </c>
      <c r="JM78">
        <v>0</v>
      </c>
      <c r="JN78" t="s">
        <v>264</v>
      </c>
      <c r="JQ78" t="s">
        <v>569</v>
      </c>
      <c r="JR78" t="s">
        <v>555</v>
      </c>
      <c r="JS78">
        <v>0</v>
      </c>
      <c r="JT78">
        <v>0</v>
      </c>
      <c r="JU78">
        <v>0</v>
      </c>
      <c r="JV78" t="s">
        <v>264</v>
      </c>
      <c r="JY78" t="s">
        <v>570</v>
      </c>
      <c r="JZ78" t="s">
        <v>555</v>
      </c>
      <c r="KA78">
        <v>0</v>
      </c>
      <c r="KB78">
        <v>0</v>
      </c>
      <c r="KC78">
        <v>0</v>
      </c>
      <c r="KD78" t="s">
        <v>264</v>
      </c>
      <c r="KG78" t="s">
        <v>571</v>
      </c>
      <c r="KH78" t="s">
        <v>555</v>
      </c>
      <c r="KI78">
        <v>0</v>
      </c>
      <c r="KJ78">
        <v>0</v>
      </c>
      <c r="KK78">
        <v>0</v>
      </c>
      <c r="KL78" t="s">
        <v>264</v>
      </c>
      <c r="KO78" t="s">
        <v>572</v>
      </c>
      <c r="KP78" t="s">
        <v>555</v>
      </c>
      <c r="KQ78">
        <v>0</v>
      </c>
      <c r="KR78">
        <v>0</v>
      </c>
      <c r="KS78">
        <v>0</v>
      </c>
      <c r="KT78" t="s">
        <v>264</v>
      </c>
      <c r="KW78" t="s">
        <v>573</v>
      </c>
      <c r="KX78" t="s">
        <v>555</v>
      </c>
      <c r="KY78">
        <v>0</v>
      </c>
      <c r="KZ78">
        <v>0</v>
      </c>
      <c r="LA78">
        <v>0</v>
      </c>
      <c r="LB78" t="s">
        <v>264</v>
      </c>
      <c r="LE78" t="s">
        <v>574</v>
      </c>
      <c r="LF78" t="s">
        <v>555</v>
      </c>
      <c r="LG78">
        <v>0</v>
      </c>
      <c r="LH78">
        <v>0</v>
      </c>
      <c r="LI78">
        <v>0</v>
      </c>
      <c r="LJ78" t="s">
        <v>264</v>
      </c>
      <c r="LM78" t="s">
        <v>575</v>
      </c>
      <c r="LN78" t="s">
        <v>555</v>
      </c>
      <c r="LO78">
        <v>0</v>
      </c>
      <c r="LP78">
        <v>0</v>
      </c>
      <c r="LQ78">
        <v>0</v>
      </c>
      <c r="LR78" t="s">
        <v>264</v>
      </c>
      <c r="LU78" t="s">
        <v>576</v>
      </c>
      <c r="LV78" t="s">
        <v>555</v>
      </c>
      <c r="LW78">
        <v>0</v>
      </c>
      <c r="LX78">
        <v>0</v>
      </c>
      <c r="LY78">
        <v>0</v>
      </c>
      <c r="LZ78" t="s">
        <v>264</v>
      </c>
      <c r="MC78" t="s">
        <v>577</v>
      </c>
      <c r="MD78" t="s">
        <v>555</v>
      </c>
      <c r="ME78">
        <v>0</v>
      </c>
      <c r="MF78">
        <v>0</v>
      </c>
      <c r="MG78">
        <v>0</v>
      </c>
      <c r="MH78" t="s">
        <v>264</v>
      </c>
      <c r="MK78" t="s">
        <v>578</v>
      </c>
      <c r="ML78" t="s">
        <v>555</v>
      </c>
      <c r="MM78">
        <v>0</v>
      </c>
      <c r="MN78">
        <v>0</v>
      </c>
      <c r="MO78">
        <v>0</v>
      </c>
      <c r="MP78" t="s">
        <v>264</v>
      </c>
      <c r="MS78" t="s">
        <v>579</v>
      </c>
      <c r="MT78" t="s">
        <v>555</v>
      </c>
      <c r="MU78">
        <v>0</v>
      </c>
      <c r="MV78">
        <v>0</v>
      </c>
      <c r="MW78">
        <v>0</v>
      </c>
      <c r="MX78" t="s">
        <v>264</v>
      </c>
      <c r="NA78" t="s">
        <v>580</v>
      </c>
      <c r="NB78" t="s">
        <v>555</v>
      </c>
      <c r="NC78">
        <v>0</v>
      </c>
      <c r="ND78">
        <v>0</v>
      </c>
      <c r="NE78">
        <v>0</v>
      </c>
      <c r="NF78" t="s">
        <v>264</v>
      </c>
      <c r="NI78">
        <v>40</v>
      </c>
      <c r="NJ78">
        <v>-15.6</v>
      </c>
      <c r="NP78" t="s">
        <v>581</v>
      </c>
    </row>
    <row r="79" spans="1:380" customFormat="1" x14ac:dyDescent="0.2">
      <c r="A79" t="s">
        <v>517</v>
      </c>
      <c r="B79">
        <v>1</v>
      </c>
      <c r="C79" t="s">
        <v>757</v>
      </c>
      <c r="D79">
        <v>646966645</v>
      </c>
      <c r="E79">
        <v>12602</v>
      </c>
      <c r="F79" t="s">
        <v>542</v>
      </c>
      <c r="G79">
        <v>750248</v>
      </c>
      <c r="H79">
        <v>805627</v>
      </c>
      <c r="I79" t="s">
        <v>543</v>
      </c>
      <c r="J79" t="s">
        <v>758</v>
      </c>
      <c r="K79" t="s">
        <v>545</v>
      </c>
      <c r="L79" t="s">
        <v>294</v>
      </c>
      <c r="M79" t="s">
        <v>546</v>
      </c>
      <c r="N79" t="s">
        <v>468</v>
      </c>
      <c r="O79" t="s">
        <v>547</v>
      </c>
      <c r="P79" t="s">
        <v>270</v>
      </c>
      <c r="Q79">
        <v>26.4</v>
      </c>
      <c r="R79">
        <v>226</v>
      </c>
      <c r="S79" t="s">
        <v>270</v>
      </c>
      <c r="T79">
        <v>-9999</v>
      </c>
      <c r="U79">
        <v>593</v>
      </c>
      <c r="V79">
        <v>610</v>
      </c>
      <c r="W79">
        <v>581</v>
      </c>
      <c r="X79" t="s">
        <v>270</v>
      </c>
      <c r="Y79">
        <v>0</v>
      </c>
      <c r="Z79">
        <v>55</v>
      </c>
      <c r="AA79" t="s">
        <v>469</v>
      </c>
      <c r="AB79" t="s">
        <v>548</v>
      </c>
      <c r="AC79">
        <v>1</v>
      </c>
      <c r="AD79" t="s">
        <v>549</v>
      </c>
      <c r="AE79">
        <v>0</v>
      </c>
      <c r="AF79">
        <v>51</v>
      </c>
      <c r="AG79" t="s">
        <v>264</v>
      </c>
      <c r="AH79">
        <v>-9999</v>
      </c>
      <c r="AI79">
        <v>483</v>
      </c>
      <c r="AJ79">
        <v>601</v>
      </c>
      <c r="AK79">
        <v>477</v>
      </c>
      <c r="AL79" t="s">
        <v>270</v>
      </c>
      <c r="AM79">
        <v>0</v>
      </c>
      <c r="AN79">
        <v>55</v>
      </c>
      <c r="AO79" t="s">
        <v>470</v>
      </c>
      <c r="AP79" t="s">
        <v>548</v>
      </c>
      <c r="AQ79">
        <v>2</v>
      </c>
      <c r="AR79" t="s">
        <v>549</v>
      </c>
      <c r="AS79">
        <v>0</v>
      </c>
      <c r="AT79">
        <v>30</v>
      </c>
      <c r="AU79" t="s">
        <v>264</v>
      </c>
      <c r="AV79">
        <v>-9999</v>
      </c>
      <c r="AW79">
        <v>461</v>
      </c>
      <c r="AX79">
        <v>487</v>
      </c>
      <c r="AY79">
        <v>459</v>
      </c>
      <c r="AZ79" t="s">
        <v>270</v>
      </c>
      <c r="BA79">
        <v>0</v>
      </c>
      <c r="BB79">
        <v>55</v>
      </c>
      <c r="BC79" t="s">
        <v>550</v>
      </c>
      <c r="BD79" t="s">
        <v>548</v>
      </c>
      <c r="BE79">
        <v>3</v>
      </c>
      <c r="BF79" t="s">
        <v>549</v>
      </c>
      <c r="BG79">
        <v>0</v>
      </c>
      <c r="BH79">
        <v>-4</v>
      </c>
      <c r="BI79" t="s">
        <v>264</v>
      </c>
      <c r="BJ79">
        <v>-9999</v>
      </c>
      <c r="BK79">
        <v>159</v>
      </c>
      <c r="BL79">
        <v>198</v>
      </c>
      <c r="BM79">
        <v>163</v>
      </c>
      <c r="BN79" t="s">
        <v>270</v>
      </c>
      <c r="BO79">
        <v>0</v>
      </c>
      <c r="BP79">
        <v>55</v>
      </c>
      <c r="BQ79" t="s">
        <v>504</v>
      </c>
      <c r="BR79" t="s">
        <v>548</v>
      </c>
      <c r="BS79">
        <v>4</v>
      </c>
      <c r="BT79" t="s">
        <v>549</v>
      </c>
      <c r="BU79">
        <v>54</v>
      </c>
      <c r="BV79">
        <v>44</v>
      </c>
      <c r="BW79" t="s">
        <v>264</v>
      </c>
      <c r="BX79">
        <v>-9999</v>
      </c>
      <c r="BY79">
        <v>236</v>
      </c>
      <c r="BZ79">
        <v>273</v>
      </c>
      <c r="CA79">
        <v>235</v>
      </c>
      <c r="CB79" t="s">
        <v>270</v>
      </c>
      <c r="CC79">
        <v>0</v>
      </c>
      <c r="CD79">
        <v>55</v>
      </c>
      <c r="CE79" t="s">
        <v>471</v>
      </c>
      <c r="CF79" t="s">
        <v>548</v>
      </c>
      <c r="CG79">
        <v>5</v>
      </c>
      <c r="CH79" t="s">
        <v>549</v>
      </c>
      <c r="CI79">
        <v>52.2</v>
      </c>
      <c r="CJ79">
        <v>125</v>
      </c>
      <c r="CK79" t="s">
        <v>264</v>
      </c>
      <c r="CL79">
        <v>-9999</v>
      </c>
      <c r="CM79">
        <v>442</v>
      </c>
      <c r="CN79">
        <v>517</v>
      </c>
      <c r="CO79">
        <v>441</v>
      </c>
      <c r="CP79" t="s">
        <v>270</v>
      </c>
      <c r="CQ79">
        <v>0</v>
      </c>
      <c r="CR79">
        <v>55</v>
      </c>
      <c r="CS79" t="s">
        <v>472</v>
      </c>
      <c r="CT79" t="s">
        <v>548</v>
      </c>
      <c r="CU79">
        <v>6</v>
      </c>
      <c r="CV79" t="s">
        <v>549</v>
      </c>
      <c r="CW79">
        <v>0</v>
      </c>
      <c r="CX79">
        <v>30</v>
      </c>
      <c r="CY79" t="s">
        <v>264</v>
      </c>
      <c r="CZ79">
        <v>-9999</v>
      </c>
      <c r="DA79">
        <v>592</v>
      </c>
      <c r="DB79">
        <v>672</v>
      </c>
      <c r="DC79">
        <v>581</v>
      </c>
      <c r="DD79" t="s">
        <v>270</v>
      </c>
      <c r="DE79">
        <v>0</v>
      </c>
      <c r="DF79">
        <v>55</v>
      </c>
      <c r="DG79" t="s">
        <v>473</v>
      </c>
      <c r="DH79" t="s">
        <v>548</v>
      </c>
      <c r="DI79">
        <v>7</v>
      </c>
      <c r="DJ79" t="s">
        <v>549</v>
      </c>
      <c r="DK79">
        <v>0</v>
      </c>
      <c r="DL79">
        <v>35</v>
      </c>
      <c r="DM79" t="s">
        <v>264</v>
      </c>
      <c r="DN79">
        <v>-9999</v>
      </c>
      <c r="DO79">
        <v>553</v>
      </c>
      <c r="DP79">
        <v>630</v>
      </c>
      <c r="DQ79">
        <v>549</v>
      </c>
      <c r="DR79" t="s">
        <v>270</v>
      </c>
      <c r="DS79">
        <v>0</v>
      </c>
      <c r="DT79">
        <v>55</v>
      </c>
      <c r="DU79" t="s">
        <v>474</v>
      </c>
      <c r="DV79" t="s">
        <v>548</v>
      </c>
      <c r="DW79">
        <v>8</v>
      </c>
      <c r="DX79" t="s">
        <v>549</v>
      </c>
      <c r="DY79">
        <v>41.3</v>
      </c>
      <c r="DZ79">
        <v>33</v>
      </c>
      <c r="EA79" t="s">
        <v>264</v>
      </c>
      <c r="EB79">
        <v>-9999</v>
      </c>
      <c r="EC79">
        <v>129</v>
      </c>
      <c r="ED79">
        <v>157</v>
      </c>
      <c r="EE79">
        <v>128</v>
      </c>
      <c r="EF79" t="s">
        <v>270</v>
      </c>
      <c r="EG79">
        <v>0</v>
      </c>
      <c r="EH79">
        <v>55</v>
      </c>
      <c r="EI79" t="s">
        <v>475</v>
      </c>
      <c r="EJ79" t="s">
        <v>548</v>
      </c>
      <c r="EK79">
        <v>9</v>
      </c>
      <c r="EL79" t="s">
        <v>549</v>
      </c>
      <c r="EM79">
        <v>0</v>
      </c>
      <c r="EN79">
        <v>-6</v>
      </c>
      <c r="EO79" t="s">
        <v>264</v>
      </c>
      <c r="EP79">
        <v>-9999</v>
      </c>
      <c r="EQ79">
        <v>289</v>
      </c>
      <c r="ER79">
        <v>273</v>
      </c>
      <c r="ES79">
        <v>250</v>
      </c>
      <c r="ET79" t="s">
        <v>270</v>
      </c>
      <c r="EU79">
        <v>0</v>
      </c>
      <c r="EV79">
        <v>55</v>
      </c>
      <c r="EW79" t="s">
        <v>551</v>
      </c>
      <c r="EX79" t="s">
        <v>552</v>
      </c>
      <c r="EY79">
        <v>146</v>
      </c>
      <c r="EZ79">
        <v>146</v>
      </c>
      <c r="FA79">
        <v>146</v>
      </c>
      <c r="FB79" t="s">
        <v>270</v>
      </c>
      <c r="FC79" t="s">
        <v>553</v>
      </c>
      <c r="FD79" t="s">
        <v>552</v>
      </c>
      <c r="FE79">
        <v>371</v>
      </c>
      <c r="FF79">
        <v>370</v>
      </c>
      <c r="FG79">
        <v>368</v>
      </c>
      <c r="FH79" t="s">
        <v>270</v>
      </c>
      <c r="FI79" t="s">
        <v>554</v>
      </c>
      <c r="FJ79" t="s">
        <v>555</v>
      </c>
      <c r="FK79">
        <v>0</v>
      </c>
      <c r="FL79">
        <v>0</v>
      </c>
      <c r="FM79">
        <v>0</v>
      </c>
      <c r="FN79" t="s">
        <v>264</v>
      </c>
      <c r="FQ79" t="s">
        <v>556</v>
      </c>
      <c r="FR79" t="s">
        <v>555</v>
      </c>
      <c r="FS79">
        <v>0</v>
      </c>
      <c r="FT79">
        <v>0</v>
      </c>
      <c r="FU79">
        <v>0</v>
      </c>
      <c r="FV79" t="s">
        <v>264</v>
      </c>
      <c r="FY79" t="s">
        <v>557</v>
      </c>
      <c r="FZ79" t="s">
        <v>555</v>
      </c>
      <c r="GA79">
        <v>0</v>
      </c>
      <c r="GB79">
        <v>0</v>
      </c>
      <c r="GC79">
        <v>0</v>
      </c>
      <c r="GD79" t="s">
        <v>264</v>
      </c>
      <c r="GG79" t="s">
        <v>558</v>
      </c>
      <c r="GH79" t="s">
        <v>555</v>
      </c>
      <c r="GI79">
        <v>0</v>
      </c>
      <c r="GJ79">
        <v>0</v>
      </c>
      <c r="GK79">
        <v>0</v>
      </c>
      <c r="GL79" t="s">
        <v>264</v>
      </c>
      <c r="GO79" t="s">
        <v>559</v>
      </c>
      <c r="GP79" t="s">
        <v>555</v>
      </c>
      <c r="GQ79">
        <v>0</v>
      </c>
      <c r="GR79">
        <v>0</v>
      </c>
      <c r="GS79">
        <v>0</v>
      </c>
      <c r="GT79" t="s">
        <v>264</v>
      </c>
      <c r="GW79" t="s">
        <v>560</v>
      </c>
      <c r="GX79" t="s">
        <v>555</v>
      </c>
      <c r="GY79">
        <v>0</v>
      </c>
      <c r="GZ79">
        <v>0</v>
      </c>
      <c r="HA79">
        <v>0</v>
      </c>
      <c r="HB79" t="s">
        <v>264</v>
      </c>
      <c r="HE79" t="s">
        <v>561</v>
      </c>
      <c r="HF79" t="s">
        <v>555</v>
      </c>
      <c r="HG79">
        <v>0</v>
      </c>
      <c r="HH79">
        <v>0</v>
      </c>
      <c r="HI79">
        <v>0</v>
      </c>
      <c r="HJ79" t="s">
        <v>264</v>
      </c>
      <c r="HM79" t="s">
        <v>562</v>
      </c>
      <c r="HN79" t="s">
        <v>555</v>
      </c>
      <c r="HO79">
        <v>0</v>
      </c>
      <c r="HP79">
        <v>0</v>
      </c>
      <c r="HQ79">
        <v>0</v>
      </c>
      <c r="HR79" t="s">
        <v>264</v>
      </c>
      <c r="HU79" t="s">
        <v>563</v>
      </c>
      <c r="HV79" t="s">
        <v>555</v>
      </c>
      <c r="HW79">
        <v>0</v>
      </c>
      <c r="HX79">
        <v>0</v>
      </c>
      <c r="HY79">
        <v>0</v>
      </c>
      <c r="HZ79" t="s">
        <v>264</v>
      </c>
      <c r="IC79" t="s">
        <v>564</v>
      </c>
      <c r="ID79" t="s">
        <v>555</v>
      </c>
      <c r="IE79">
        <v>0</v>
      </c>
      <c r="IF79">
        <v>0</v>
      </c>
      <c r="IG79">
        <v>0</v>
      </c>
      <c r="IH79" t="s">
        <v>264</v>
      </c>
      <c r="IK79" t="s">
        <v>565</v>
      </c>
      <c r="IL79" t="s">
        <v>555</v>
      </c>
      <c r="IM79">
        <v>0</v>
      </c>
      <c r="IN79">
        <v>0</v>
      </c>
      <c r="IO79">
        <v>0</v>
      </c>
      <c r="IP79" t="s">
        <v>264</v>
      </c>
      <c r="IS79" t="s">
        <v>566</v>
      </c>
      <c r="IT79" t="s">
        <v>555</v>
      </c>
      <c r="IU79">
        <v>0</v>
      </c>
      <c r="IV79">
        <v>0</v>
      </c>
      <c r="IW79">
        <v>0</v>
      </c>
      <c r="IX79" t="s">
        <v>264</v>
      </c>
      <c r="JA79" t="s">
        <v>567</v>
      </c>
      <c r="JB79" t="s">
        <v>555</v>
      </c>
      <c r="JC79">
        <v>0</v>
      </c>
      <c r="JD79">
        <v>0</v>
      </c>
      <c r="JE79">
        <v>0</v>
      </c>
      <c r="JF79" t="s">
        <v>264</v>
      </c>
      <c r="JI79" t="s">
        <v>568</v>
      </c>
      <c r="JJ79" t="s">
        <v>555</v>
      </c>
      <c r="JK79">
        <v>0</v>
      </c>
      <c r="JL79">
        <v>0</v>
      </c>
      <c r="JM79">
        <v>0</v>
      </c>
      <c r="JN79" t="s">
        <v>264</v>
      </c>
      <c r="JQ79" t="s">
        <v>569</v>
      </c>
      <c r="JR79" t="s">
        <v>555</v>
      </c>
      <c r="JS79">
        <v>0</v>
      </c>
      <c r="JT79">
        <v>0</v>
      </c>
      <c r="JU79">
        <v>0</v>
      </c>
      <c r="JV79" t="s">
        <v>264</v>
      </c>
      <c r="JY79" t="s">
        <v>570</v>
      </c>
      <c r="JZ79" t="s">
        <v>555</v>
      </c>
      <c r="KA79">
        <v>0</v>
      </c>
      <c r="KB79">
        <v>0</v>
      </c>
      <c r="KC79">
        <v>0</v>
      </c>
      <c r="KD79" t="s">
        <v>264</v>
      </c>
      <c r="KG79" t="s">
        <v>571</v>
      </c>
      <c r="KH79" t="s">
        <v>555</v>
      </c>
      <c r="KI79">
        <v>0</v>
      </c>
      <c r="KJ79">
        <v>0</v>
      </c>
      <c r="KK79">
        <v>0</v>
      </c>
      <c r="KL79" t="s">
        <v>264</v>
      </c>
      <c r="KO79" t="s">
        <v>572</v>
      </c>
      <c r="KP79" t="s">
        <v>555</v>
      </c>
      <c r="KQ79">
        <v>0</v>
      </c>
      <c r="KR79">
        <v>0</v>
      </c>
      <c r="KS79">
        <v>0</v>
      </c>
      <c r="KT79" t="s">
        <v>264</v>
      </c>
      <c r="KW79" t="s">
        <v>573</v>
      </c>
      <c r="KX79" t="s">
        <v>555</v>
      </c>
      <c r="KY79">
        <v>0</v>
      </c>
      <c r="KZ79">
        <v>0</v>
      </c>
      <c r="LA79">
        <v>0</v>
      </c>
      <c r="LB79" t="s">
        <v>264</v>
      </c>
      <c r="LE79" t="s">
        <v>574</v>
      </c>
      <c r="LF79" t="s">
        <v>555</v>
      </c>
      <c r="LG79">
        <v>0</v>
      </c>
      <c r="LH79">
        <v>0</v>
      </c>
      <c r="LI79">
        <v>0</v>
      </c>
      <c r="LJ79" t="s">
        <v>264</v>
      </c>
      <c r="LM79" t="s">
        <v>575</v>
      </c>
      <c r="LN79" t="s">
        <v>555</v>
      </c>
      <c r="LO79">
        <v>0</v>
      </c>
      <c r="LP79">
        <v>0</v>
      </c>
      <c r="LQ79">
        <v>0</v>
      </c>
      <c r="LR79" t="s">
        <v>264</v>
      </c>
      <c r="LU79" t="s">
        <v>576</v>
      </c>
      <c r="LV79" t="s">
        <v>555</v>
      </c>
      <c r="LW79">
        <v>0</v>
      </c>
      <c r="LX79">
        <v>0</v>
      </c>
      <c r="LY79">
        <v>0</v>
      </c>
      <c r="LZ79" t="s">
        <v>264</v>
      </c>
      <c r="MC79" t="s">
        <v>577</v>
      </c>
      <c r="MD79" t="s">
        <v>555</v>
      </c>
      <c r="ME79">
        <v>0</v>
      </c>
      <c r="MF79">
        <v>0</v>
      </c>
      <c r="MG79">
        <v>0</v>
      </c>
      <c r="MH79" t="s">
        <v>264</v>
      </c>
      <c r="MK79" t="s">
        <v>578</v>
      </c>
      <c r="ML79" t="s">
        <v>555</v>
      </c>
      <c r="MM79">
        <v>0</v>
      </c>
      <c r="MN79">
        <v>0</v>
      </c>
      <c r="MO79">
        <v>0</v>
      </c>
      <c r="MP79" t="s">
        <v>264</v>
      </c>
      <c r="MS79" t="s">
        <v>579</v>
      </c>
      <c r="MT79" t="s">
        <v>555</v>
      </c>
      <c r="MU79">
        <v>0</v>
      </c>
      <c r="MV79">
        <v>0</v>
      </c>
      <c r="MW79">
        <v>0</v>
      </c>
      <c r="MX79" t="s">
        <v>264</v>
      </c>
      <c r="NA79" t="s">
        <v>580</v>
      </c>
      <c r="NB79" t="s">
        <v>555</v>
      </c>
      <c r="NC79">
        <v>0</v>
      </c>
      <c r="ND79">
        <v>0</v>
      </c>
      <c r="NE79">
        <v>0</v>
      </c>
      <c r="NF79" t="s">
        <v>264</v>
      </c>
      <c r="NI79">
        <v>40.1</v>
      </c>
      <c r="NJ79">
        <v>-12.1</v>
      </c>
      <c r="NP79" t="s">
        <v>581</v>
      </c>
    </row>
    <row r="80" spans="1:380" customFormat="1" x14ac:dyDescent="0.2">
      <c r="A80" t="s">
        <v>517</v>
      </c>
      <c r="B80">
        <v>1</v>
      </c>
      <c r="C80" t="s">
        <v>759</v>
      </c>
      <c r="D80">
        <v>646966741</v>
      </c>
      <c r="E80">
        <v>12602</v>
      </c>
      <c r="F80" t="s">
        <v>542</v>
      </c>
      <c r="G80">
        <v>750248</v>
      </c>
      <c r="H80">
        <v>788933</v>
      </c>
      <c r="I80" t="s">
        <v>543</v>
      </c>
      <c r="J80" t="s">
        <v>760</v>
      </c>
      <c r="K80" t="s">
        <v>545</v>
      </c>
      <c r="L80" t="s">
        <v>294</v>
      </c>
      <c r="M80" t="s">
        <v>546</v>
      </c>
      <c r="N80" t="s">
        <v>468</v>
      </c>
      <c r="O80" t="s">
        <v>547</v>
      </c>
      <c r="P80" t="s">
        <v>264</v>
      </c>
      <c r="Q80">
        <v>26.3</v>
      </c>
      <c r="R80">
        <v>256</v>
      </c>
      <c r="S80" t="s">
        <v>264</v>
      </c>
      <c r="T80">
        <v>-9999</v>
      </c>
      <c r="U80">
        <v>663</v>
      </c>
      <c r="V80">
        <v>685</v>
      </c>
      <c r="W80">
        <v>651</v>
      </c>
      <c r="X80" t="s">
        <v>270</v>
      </c>
      <c r="Y80">
        <v>0</v>
      </c>
      <c r="Z80">
        <v>55</v>
      </c>
      <c r="AA80" t="s">
        <v>469</v>
      </c>
      <c r="AB80" t="s">
        <v>548</v>
      </c>
      <c r="AC80">
        <v>1</v>
      </c>
      <c r="AD80" t="s">
        <v>549</v>
      </c>
      <c r="AE80">
        <v>0</v>
      </c>
      <c r="AF80">
        <v>11</v>
      </c>
      <c r="AG80" t="s">
        <v>264</v>
      </c>
      <c r="AH80">
        <v>-9999</v>
      </c>
      <c r="AI80">
        <v>532</v>
      </c>
      <c r="AJ80">
        <v>650</v>
      </c>
      <c r="AK80">
        <v>529</v>
      </c>
      <c r="AL80" t="s">
        <v>270</v>
      </c>
      <c r="AM80">
        <v>0</v>
      </c>
      <c r="AN80">
        <v>55</v>
      </c>
      <c r="AO80" t="s">
        <v>470</v>
      </c>
      <c r="AP80" t="s">
        <v>548</v>
      </c>
      <c r="AQ80">
        <v>2</v>
      </c>
      <c r="AR80" t="s">
        <v>549</v>
      </c>
      <c r="AS80">
        <v>54.6</v>
      </c>
      <c r="AT80">
        <v>46</v>
      </c>
      <c r="AU80" t="s">
        <v>264</v>
      </c>
      <c r="AV80">
        <v>-9999</v>
      </c>
      <c r="AW80">
        <v>419</v>
      </c>
      <c r="AX80">
        <v>444</v>
      </c>
      <c r="AY80">
        <v>418</v>
      </c>
      <c r="AZ80" t="s">
        <v>270</v>
      </c>
      <c r="BA80">
        <v>0</v>
      </c>
      <c r="BB80">
        <v>55</v>
      </c>
      <c r="BC80" t="s">
        <v>550</v>
      </c>
      <c r="BD80" t="s">
        <v>548</v>
      </c>
      <c r="BE80">
        <v>3</v>
      </c>
      <c r="BF80" t="s">
        <v>584</v>
      </c>
      <c r="BG80">
        <v>34.9</v>
      </c>
      <c r="BH80">
        <v>31</v>
      </c>
      <c r="BI80" t="s">
        <v>264</v>
      </c>
      <c r="BJ80">
        <v>-9999</v>
      </c>
      <c r="BK80">
        <v>113</v>
      </c>
      <c r="BL80">
        <v>149</v>
      </c>
      <c r="BM80">
        <v>115</v>
      </c>
      <c r="BN80" t="s">
        <v>270</v>
      </c>
      <c r="BO80">
        <v>0</v>
      </c>
      <c r="BP80">
        <v>55</v>
      </c>
      <c r="BQ80" t="s">
        <v>504</v>
      </c>
      <c r="BR80" t="s">
        <v>548</v>
      </c>
      <c r="BS80">
        <v>4</v>
      </c>
      <c r="BT80" t="s">
        <v>549</v>
      </c>
      <c r="BU80">
        <v>52.8</v>
      </c>
      <c r="BV80">
        <v>64</v>
      </c>
      <c r="BW80" t="s">
        <v>264</v>
      </c>
      <c r="BX80">
        <v>-9999</v>
      </c>
      <c r="BY80">
        <v>239</v>
      </c>
      <c r="BZ80">
        <v>277</v>
      </c>
      <c r="CA80">
        <v>237</v>
      </c>
      <c r="CB80" t="s">
        <v>270</v>
      </c>
      <c r="CC80">
        <v>0</v>
      </c>
      <c r="CD80">
        <v>55</v>
      </c>
      <c r="CE80" t="s">
        <v>471</v>
      </c>
      <c r="CF80" t="s">
        <v>548</v>
      </c>
      <c r="CG80">
        <v>5</v>
      </c>
      <c r="CH80" t="s">
        <v>549</v>
      </c>
      <c r="CI80">
        <v>51.6</v>
      </c>
      <c r="CJ80">
        <v>171</v>
      </c>
      <c r="CK80" t="s">
        <v>264</v>
      </c>
      <c r="CL80">
        <v>-9999</v>
      </c>
      <c r="CM80">
        <v>493</v>
      </c>
      <c r="CN80">
        <v>577</v>
      </c>
      <c r="CO80">
        <v>492</v>
      </c>
      <c r="CP80" t="s">
        <v>270</v>
      </c>
      <c r="CQ80">
        <v>0</v>
      </c>
      <c r="CR80">
        <v>55</v>
      </c>
      <c r="CS80" t="s">
        <v>472</v>
      </c>
      <c r="CT80" t="s">
        <v>548</v>
      </c>
      <c r="CU80">
        <v>6</v>
      </c>
      <c r="CV80" t="s">
        <v>549</v>
      </c>
      <c r="CW80">
        <v>53.4</v>
      </c>
      <c r="CX80">
        <v>95</v>
      </c>
      <c r="CY80" t="s">
        <v>264</v>
      </c>
      <c r="CZ80">
        <v>-9999</v>
      </c>
      <c r="DA80">
        <v>644</v>
      </c>
      <c r="DB80">
        <v>732</v>
      </c>
      <c r="DC80">
        <v>634</v>
      </c>
      <c r="DD80" t="s">
        <v>270</v>
      </c>
      <c r="DE80">
        <v>0</v>
      </c>
      <c r="DF80">
        <v>55</v>
      </c>
      <c r="DG80" t="s">
        <v>473</v>
      </c>
      <c r="DH80" t="s">
        <v>548</v>
      </c>
      <c r="DI80">
        <v>7</v>
      </c>
      <c r="DJ80" t="s">
        <v>549</v>
      </c>
      <c r="DK80">
        <v>0</v>
      </c>
      <c r="DL80">
        <v>29</v>
      </c>
      <c r="DM80" t="s">
        <v>264</v>
      </c>
      <c r="DN80">
        <v>-9999</v>
      </c>
      <c r="DO80">
        <v>584</v>
      </c>
      <c r="DP80">
        <v>669</v>
      </c>
      <c r="DQ80">
        <v>579</v>
      </c>
      <c r="DR80" t="s">
        <v>270</v>
      </c>
      <c r="DS80">
        <v>0</v>
      </c>
      <c r="DT80">
        <v>55</v>
      </c>
      <c r="DU80" t="s">
        <v>474</v>
      </c>
      <c r="DV80" t="s">
        <v>548</v>
      </c>
      <c r="DW80">
        <v>8</v>
      </c>
      <c r="DX80" t="s">
        <v>549</v>
      </c>
      <c r="DY80">
        <v>0</v>
      </c>
      <c r="DZ80">
        <v>17</v>
      </c>
      <c r="EA80" t="s">
        <v>264</v>
      </c>
      <c r="EB80">
        <v>-9999</v>
      </c>
      <c r="EC80">
        <v>118</v>
      </c>
      <c r="ED80">
        <v>142</v>
      </c>
      <c r="EE80">
        <v>116</v>
      </c>
      <c r="EF80" t="s">
        <v>270</v>
      </c>
      <c r="EG80">
        <v>0</v>
      </c>
      <c r="EH80">
        <v>55</v>
      </c>
      <c r="EI80" t="s">
        <v>475</v>
      </c>
      <c r="EJ80" t="s">
        <v>548</v>
      </c>
      <c r="EK80">
        <v>9</v>
      </c>
      <c r="EL80" t="s">
        <v>549</v>
      </c>
      <c r="EM80">
        <v>0</v>
      </c>
      <c r="EN80">
        <v>-14</v>
      </c>
      <c r="EO80" t="s">
        <v>264</v>
      </c>
      <c r="EP80">
        <v>-9999</v>
      </c>
      <c r="EQ80">
        <v>334</v>
      </c>
      <c r="ER80">
        <v>310</v>
      </c>
      <c r="ES80">
        <v>286</v>
      </c>
      <c r="ET80" t="s">
        <v>270</v>
      </c>
      <c r="EU80">
        <v>0</v>
      </c>
      <c r="EV80">
        <v>55</v>
      </c>
      <c r="EW80" t="s">
        <v>551</v>
      </c>
      <c r="EX80" t="s">
        <v>552</v>
      </c>
      <c r="EY80">
        <v>135</v>
      </c>
      <c r="EZ80">
        <v>136</v>
      </c>
      <c r="FA80">
        <v>136</v>
      </c>
      <c r="FB80" t="s">
        <v>270</v>
      </c>
      <c r="FC80" t="s">
        <v>553</v>
      </c>
      <c r="FD80" t="s">
        <v>552</v>
      </c>
      <c r="FE80">
        <v>307</v>
      </c>
      <c r="FF80">
        <v>306</v>
      </c>
      <c r="FG80">
        <v>305</v>
      </c>
      <c r="FH80" t="s">
        <v>270</v>
      </c>
      <c r="FI80" t="s">
        <v>554</v>
      </c>
      <c r="FJ80" t="s">
        <v>555</v>
      </c>
      <c r="FK80">
        <v>0</v>
      </c>
      <c r="FL80">
        <v>0</v>
      </c>
      <c r="FM80">
        <v>0</v>
      </c>
      <c r="FN80" t="s">
        <v>264</v>
      </c>
      <c r="FQ80" t="s">
        <v>556</v>
      </c>
      <c r="FR80" t="s">
        <v>555</v>
      </c>
      <c r="FS80">
        <v>0</v>
      </c>
      <c r="FT80">
        <v>0</v>
      </c>
      <c r="FU80">
        <v>0</v>
      </c>
      <c r="FV80" t="s">
        <v>264</v>
      </c>
      <c r="FY80" t="s">
        <v>557</v>
      </c>
      <c r="FZ80" t="s">
        <v>555</v>
      </c>
      <c r="GA80">
        <v>0</v>
      </c>
      <c r="GB80">
        <v>0</v>
      </c>
      <c r="GC80">
        <v>0</v>
      </c>
      <c r="GD80" t="s">
        <v>264</v>
      </c>
      <c r="GG80" t="s">
        <v>558</v>
      </c>
      <c r="GH80" t="s">
        <v>555</v>
      </c>
      <c r="GI80">
        <v>0</v>
      </c>
      <c r="GJ80">
        <v>0</v>
      </c>
      <c r="GK80">
        <v>0</v>
      </c>
      <c r="GL80" t="s">
        <v>264</v>
      </c>
      <c r="GO80" t="s">
        <v>559</v>
      </c>
      <c r="GP80" t="s">
        <v>555</v>
      </c>
      <c r="GQ80">
        <v>0</v>
      </c>
      <c r="GR80">
        <v>0</v>
      </c>
      <c r="GS80">
        <v>0</v>
      </c>
      <c r="GT80" t="s">
        <v>264</v>
      </c>
      <c r="GW80" t="s">
        <v>560</v>
      </c>
      <c r="GX80" t="s">
        <v>555</v>
      </c>
      <c r="GY80">
        <v>0</v>
      </c>
      <c r="GZ80">
        <v>0</v>
      </c>
      <c r="HA80">
        <v>0</v>
      </c>
      <c r="HB80" t="s">
        <v>264</v>
      </c>
      <c r="HE80" t="s">
        <v>561</v>
      </c>
      <c r="HF80" t="s">
        <v>555</v>
      </c>
      <c r="HG80">
        <v>0</v>
      </c>
      <c r="HH80">
        <v>0</v>
      </c>
      <c r="HI80">
        <v>0</v>
      </c>
      <c r="HJ80" t="s">
        <v>264</v>
      </c>
      <c r="HM80" t="s">
        <v>562</v>
      </c>
      <c r="HN80" t="s">
        <v>555</v>
      </c>
      <c r="HO80">
        <v>0</v>
      </c>
      <c r="HP80">
        <v>0</v>
      </c>
      <c r="HQ80">
        <v>0</v>
      </c>
      <c r="HR80" t="s">
        <v>264</v>
      </c>
      <c r="HU80" t="s">
        <v>563</v>
      </c>
      <c r="HV80" t="s">
        <v>555</v>
      </c>
      <c r="HW80">
        <v>0</v>
      </c>
      <c r="HX80">
        <v>0</v>
      </c>
      <c r="HY80">
        <v>0</v>
      </c>
      <c r="HZ80" t="s">
        <v>264</v>
      </c>
      <c r="IC80" t="s">
        <v>564</v>
      </c>
      <c r="ID80" t="s">
        <v>555</v>
      </c>
      <c r="IE80">
        <v>0</v>
      </c>
      <c r="IF80">
        <v>0</v>
      </c>
      <c r="IG80">
        <v>0</v>
      </c>
      <c r="IH80" t="s">
        <v>264</v>
      </c>
      <c r="IK80" t="s">
        <v>565</v>
      </c>
      <c r="IL80" t="s">
        <v>555</v>
      </c>
      <c r="IM80">
        <v>0</v>
      </c>
      <c r="IN80">
        <v>0</v>
      </c>
      <c r="IO80">
        <v>0</v>
      </c>
      <c r="IP80" t="s">
        <v>264</v>
      </c>
      <c r="IS80" t="s">
        <v>566</v>
      </c>
      <c r="IT80" t="s">
        <v>555</v>
      </c>
      <c r="IU80">
        <v>0</v>
      </c>
      <c r="IV80">
        <v>0</v>
      </c>
      <c r="IW80">
        <v>0</v>
      </c>
      <c r="IX80" t="s">
        <v>264</v>
      </c>
      <c r="JA80" t="s">
        <v>567</v>
      </c>
      <c r="JB80" t="s">
        <v>555</v>
      </c>
      <c r="JC80">
        <v>0</v>
      </c>
      <c r="JD80">
        <v>0</v>
      </c>
      <c r="JE80">
        <v>0</v>
      </c>
      <c r="JF80" t="s">
        <v>264</v>
      </c>
      <c r="JI80" t="s">
        <v>568</v>
      </c>
      <c r="JJ80" t="s">
        <v>555</v>
      </c>
      <c r="JK80">
        <v>0</v>
      </c>
      <c r="JL80">
        <v>0</v>
      </c>
      <c r="JM80">
        <v>0</v>
      </c>
      <c r="JN80" t="s">
        <v>264</v>
      </c>
      <c r="JQ80" t="s">
        <v>569</v>
      </c>
      <c r="JR80" t="s">
        <v>555</v>
      </c>
      <c r="JS80">
        <v>0</v>
      </c>
      <c r="JT80">
        <v>0</v>
      </c>
      <c r="JU80">
        <v>0</v>
      </c>
      <c r="JV80" t="s">
        <v>264</v>
      </c>
      <c r="JY80" t="s">
        <v>570</v>
      </c>
      <c r="JZ80" t="s">
        <v>555</v>
      </c>
      <c r="KA80">
        <v>0</v>
      </c>
      <c r="KB80">
        <v>0</v>
      </c>
      <c r="KC80">
        <v>0</v>
      </c>
      <c r="KD80" t="s">
        <v>264</v>
      </c>
      <c r="KG80" t="s">
        <v>571</v>
      </c>
      <c r="KH80" t="s">
        <v>555</v>
      </c>
      <c r="KI80">
        <v>0</v>
      </c>
      <c r="KJ80">
        <v>0</v>
      </c>
      <c r="KK80">
        <v>0</v>
      </c>
      <c r="KL80" t="s">
        <v>264</v>
      </c>
      <c r="KO80" t="s">
        <v>572</v>
      </c>
      <c r="KP80" t="s">
        <v>555</v>
      </c>
      <c r="KQ80">
        <v>0</v>
      </c>
      <c r="KR80">
        <v>0</v>
      </c>
      <c r="KS80">
        <v>0</v>
      </c>
      <c r="KT80" t="s">
        <v>264</v>
      </c>
      <c r="KW80" t="s">
        <v>573</v>
      </c>
      <c r="KX80" t="s">
        <v>555</v>
      </c>
      <c r="KY80">
        <v>0</v>
      </c>
      <c r="KZ80">
        <v>0</v>
      </c>
      <c r="LA80">
        <v>0</v>
      </c>
      <c r="LB80" t="s">
        <v>264</v>
      </c>
      <c r="LE80" t="s">
        <v>574</v>
      </c>
      <c r="LF80" t="s">
        <v>555</v>
      </c>
      <c r="LG80">
        <v>0</v>
      </c>
      <c r="LH80">
        <v>0</v>
      </c>
      <c r="LI80">
        <v>0</v>
      </c>
      <c r="LJ80" t="s">
        <v>264</v>
      </c>
      <c r="LM80" t="s">
        <v>575</v>
      </c>
      <c r="LN80" t="s">
        <v>555</v>
      </c>
      <c r="LO80">
        <v>0</v>
      </c>
      <c r="LP80">
        <v>0</v>
      </c>
      <c r="LQ80">
        <v>0</v>
      </c>
      <c r="LR80" t="s">
        <v>264</v>
      </c>
      <c r="LU80" t="s">
        <v>576</v>
      </c>
      <c r="LV80" t="s">
        <v>555</v>
      </c>
      <c r="LW80">
        <v>0</v>
      </c>
      <c r="LX80">
        <v>0</v>
      </c>
      <c r="LY80">
        <v>0</v>
      </c>
      <c r="LZ80" t="s">
        <v>264</v>
      </c>
      <c r="MC80" t="s">
        <v>577</v>
      </c>
      <c r="MD80" t="s">
        <v>555</v>
      </c>
      <c r="ME80">
        <v>0</v>
      </c>
      <c r="MF80">
        <v>0</v>
      </c>
      <c r="MG80">
        <v>0</v>
      </c>
      <c r="MH80" t="s">
        <v>264</v>
      </c>
      <c r="MK80" t="s">
        <v>578</v>
      </c>
      <c r="ML80" t="s">
        <v>555</v>
      </c>
      <c r="MM80">
        <v>0</v>
      </c>
      <c r="MN80">
        <v>0</v>
      </c>
      <c r="MO80">
        <v>0</v>
      </c>
      <c r="MP80" t="s">
        <v>264</v>
      </c>
      <c r="MS80" t="s">
        <v>579</v>
      </c>
      <c r="MT80" t="s">
        <v>555</v>
      </c>
      <c r="MU80">
        <v>0</v>
      </c>
      <c r="MV80">
        <v>0</v>
      </c>
      <c r="MW80">
        <v>0</v>
      </c>
      <c r="MX80" t="s">
        <v>264</v>
      </c>
      <c r="NA80" t="s">
        <v>580</v>
      </c>
      <c r="NB80" t="s">
        <v>555</v>
      </c>
      <c r="NC80">
        <v>0</v>
      </c>
      <c r="ND80">
        <v>0</v>
      </c>
      <c r="NE80">
        <v>0</v>
      </c>
      <c r="NF80" t="s">
        <v>264</v>
      </c>
      <c r="NI80">
        <v>40</v>
      </c>
      <c r="NJ80">
        <v>-13.4</v>
      </c>
      <c r="NP80" t="s">
        <v>581</v>
      </c>
    </row>
    <row r="81" spans="1:380" customFormat="1" x14ac:dyDescent="0.2">
      <c r="A81" t="s">
        <v>517</v>
      </c>
      <c r="B81">
        <v>1</v>
      </c>
      <c r="C81" t="s">
        <v>761</v>
      </c>
      <c r="D81">
        <v>646966931</v>
      </c>
      <c r="E81">
        <v>12602</v>
      </c>
      <c r="F81" t="s">
        <v>542</v>
      </c>
      <c r="G81">
        <v>750248</v>
      </c>
      <c r="H81">
        <v>709189</v>
      </c>
      <c r="I81" t="s">
        <v>543</v>
      </c>
      <c r="J81" t="s">
        <v>762</v>
      </c>
      <c r="K81" t="s">
        <v>545</v>
      </c>
      <c r="L81" t="s">
        <v>294</v>
      </c>
      <c r="M81" t="s">
        <v>546</v>
      </c>
      <c r="N81" t="s">
        <v>468</v>
      </c>
      <c r="O81" t="s">
        <v>547</v>
      </c>
      <c r="P81" t="s">
        <v>264</v>
      </c>
      <c r="Q81">
        <v>27.9</v>
      </c>
      <c r="R81">
        <v>244</v>
      </c>
      <c r="S81" t="s">
        <v>264</v>
      </c>
      <c r="T81">
        <v>-9999</v>
      </c>
      <c r="U81">
        <v>583</v>
      </c>
      <c r="V81">
        <v>601</v>
      </c>
      <c r="W81">
        <v>572</v>
      </c>
      <c r="X81" t="s">
        <v>270</v>
      </c>
      <c r="Y81">
        <v>0</v>
      </c>
      <c r="Z81">
        <v>55</v>
      </c>
      <c r="AA81" t="s">
        <v>469</v>
      </c>
      <c r="AB81" t="s">
        <v>548</v>
      </c>
      <c r="AC81">
        <v>1</v>
      </c>
      <c r="AD81" t="s">
        <v>549</v>
      </c>
      <c r="AE81">
        <v>0</v>
      </c>
      <c r="AF81">
        <v>17</v>
      </c>
      <c r="AG81" t="s">
        <v>264</v>
      </c>
      <c r="AH81">
        <v>-9999</v>
      </c>
      <c r="AI81">
        <v>526</v>
      </c>
      <c r="AJ81">
        <v>646</v>
      </c>
      <c r="AK81">
        <v>523</v>
      </c>
      <c r="AL81" t="s">
        <v>270</v>
      </c>
      <c r="AM81">
        <v>0</v>
      </c>
      <c r="AN81">
        <v>55</v>
      </c>
      <c r="AO81" t="s">
        <v>470</v>
      </c>
      <c r="AP81" t="s">
        <v>548</v>
      </c>
      <c r="AQ81">
        <v>2</v>
      </c>
      <c r="AR81" t="s">
        <v>549</v>
      </c>
      <c r="AS81">
        <v>0</v>
      </c>
      <c r="AT81">
        <v>23</v>
      </c>
      <c r="AU81" t="s">
        <v>264</v>
      </c>
      <c r="AV81">
        <v>-9999</v>
      </c>
      <c r="AW81">
        <v>354</v>
      </c>
      <c r="AX81">
        <v>374</v>
      </c>
      <c r="AY81">
        <v>353</v>
      </c>
      <c r="AZ81" t="s">
        <v>270</v>
      </c>
      <c r="BA81">
        <v>0</v>
      </c>
      <c r="BB81">
        <v>55</v>
      </c>
      <c r="BC81" t="s">
        <v>550</v>
      </c>
      <c r="BD81" t="s">
        <v>548</v>
      </c>
      <c r="BE81">
        <v>3</v>
      </c>
      <c r="BF81" t="s">
        <v>584</v>
      </c>
      <c r="BG81">
        <v>31.3</v>
      </c>
      <c r="BH81">
        <v>39</v>
      </c>
      <c r="BI81" t="s">
        <v>264</v>
      </c>
      <c r="BJ81">
        <v>-9999</v>
      </c>
      <c r="BK81">
        <v>85</v>
      </c>
      <c r="BL81">
        <v>115</v>
      </c>
      <c r="BM81">
        <v>86</v>
      </c>
      <c r="BN81" t="s">
        <v>270</v>
      </c>
      <c r="BO81">
        <v>0</v>
      </c>
      <c r="BP81">
        <v>55</v>
      </c>
      <c r="BQ81" t="s">
        <v>504</v>
      </c>
      <c r="BR81" t="s">
        <v>548</v>
      </c>
      <c r="BS81">
        <v>4</v>
      </c>
      <c r="BT81" t="s">
        <v>549</v>
      </c>
      <c r="BU81">
        <v>54.1</v>
      </c>
      <c r="BV81">
        <v>41</v>
      </c>
      <c r="BW81" t="s">
        <v>264</v>
      </c>
      <c r="BX81">
        <v>-9999</v>
      </c>
      <c r="BY81">
        <v>253</v>
      </c>
      <c r="BZ81">
        <v>295</v>
      </c>
      <c r="CA81">
        <v>253</v>
      </c>
      <c r="CB81" t="s">
        <v>270</v>
      </c>
      <c r="CC81">
        <v>0</v>
      </c>
      <c r="CD81">
        <v>55</v>
      </c>
      <c r="CE81" t="s">
        <v>471</v>
      </c>
      <c r="CF81" t="s">
        <v>548</v>
      </c>
      <c r="CG81">
        <v>5</v>
      </c>
      <c r="CH81" t="s">
        <v>549</v>
      </c>
      <c r="CI81">
        <v>53.4</v>
      </c>
      <c r="CJ81">
        <v>90</v>
      </c>
      <c r="CK81" t="s">
        <v>264</v>
      </c>
      <c r="CL81">
        <v>-9999</v>
      </c>
      <c r="CM81">
        <v>495</v>
      </c>
      <c r="CN81">
        <v>578</v>
      </c>
      <c r="CO81">
        <v>495</v>
      </c>
      <c r="CP81" t="s">
        <v>270</v>
      </c>
      <c r="CQ81">
        <v>0</v>
      </c>
      <c r="CR81">
        <v>55</v>
      </c>
      <c r="CS81" t="s">
        <v>472</v>
      </c>
      <c r="CT81" t="s">
        <v>548</v>
      </c>
      <c r="CU81">
        <v>6</v>
      </c>
      <c r="CV81" t="s">
        <v>549</v>
      </c>
      <c r="CW81">
        <v>54.9</v>
      </c>
      <c r="CX81">
        <v>51</v>
      </c>
      <c r="CY81" t="s">
        <v>264</v>
      </c>
      <c r="CZ81">
        <v>-9999</v>
      </c>
      <c r="DA81">
        <v>580</v>
      </c>
      <c r="DB81">
        <v>659</v>
      </c>
      <c r="DC81">
        <v>571</v>
      </c>
      <c r="DD81" t="s">
        <v>270</v>
      </c>
      <c r="DE81">
        <v>0</v>
      </c>
      <c r="DF81">
        <v>55</v>
      </c>
      <c r="DG81" t="s">
        <v>473</v>
      </c>
      <c r="DH81" t="s">
        <v>548</v>
      </c>
      <c r="DI81">
        <v>7</v>
      </c>
      <c r="DJ81" t="s">
        <v>549</v>
      </c>
      <c r="DK81">
        <v>0</v>
      </c>
      <c r="DL81">
        <v>34</v>
      </c>
      <c r="DM81" t="s">
        <v>264</v>
      </c>
      <c r="DN81">
        <v>-9999</v>
      </c>
      <c r="DO81">
        <v>586</v>
      </c>
      <c r="DP81">
        <v>669</v>
      </c>
      <c r="DQ81">
        <v>583</v>
      </c>
      <c r="DR81" t="s">
        <v>270</v>
      </c>
      <c r="DS81">
        <v>0</v>
      </c>
      <c r="DT81">
        <v>55</v>
      </c>
      <c r="DU81" t="s">
        <v>474</v>
      </c>
      <c r="DV81" t="s">
        <v>548</v>
      </c>
      <c r="DW81">
        <v>8</v>
      </c>
      <c r="DX81" t="s">
        <v>549</v>
      </c>
      <c r="DY81">
        <v>51.2</v>
      </c>
      <c r="DZ81">
        <v>26</v>
      </c>
      <c r="EA81" t="s">
        <v>264</v>
      </c>
      <c r="EB81">
        <v>-9999</v>
      </c>
      <c r="EC81">
        <v>107</v>
      </c>
      <c r="ED81">
        <v>132</v>
      </c>
      <c r="EE81">
        <v>105</v>
      </c>
      <c r="EF81" t="s">
        <v>270</v>
      </c>
      <c r="EG81">
        <v>0</v>
      </c>
      <c r="EH81">
        <v>55</v>
      </c>
      <c r="EI81" t="s">
        <v>475</v>
      </c>
      <c r="EJ81" t="s">
        <v>548</v>
      </c>
      <c r="EK81">
        <v>9</v>
      </c>
      <c r="EL81" t="s">
        <v>549</v>
      </c>
      <c r="EM81">
        <v>0</v>
      </c>
      <c r="EN81">
        <v>7</v>
      </c>
      <c r="EO81" t="s">
        <v>264</v>
      </c>
      <c r="EP81">
        <v>-9999</v>
      </c>
      <c r="EQ81">
        <v>287</v>
      </c>
      <c r="ER81">
        <v>277</v>
      </c>
      <c r="ES81">
        <v>261</v>
      </c>
      <c r="ET81" t="s">
        <v>270</v>
      </c>
      <c r="EU81">
        <v>0</v>
      </c>
      <c r="EV81">
        <v>55</v>
      </c>
      <c r="EW81" t="s">
        <v>551</v>
      </c>
      <c r="EX81" t="s">
        <v>552</v>
      </c>
      <c r="EY81">
        <v>126</v>
      </c>
      <c r="EZ81">
        <v>127</v>
      </c>
      <c r="FA81">
        <v>127</v>
      </c>
      <c r="FB81" t="s">
        <v>270</v>
      </c>
      <c r="FC81" t="s">
        <v>553</v>
      </c>
      <c r="FD81" t="s">
        <v>552</v>
      </c>
      <c r="FE81">
        <v>261</v>
      </c>
      <c r="FF81">
        <v>260</v>
      </c>
      <c r="FG81">
        <v>260</v>
      </c>
      <c r="FH81" t="s">
        <v>270</v>
      </c>
      <c r="FI81" t="s">
        <v>554</v>
      </c>
      <c r="FJ81" t="s">
        <v>555</v>
      </c>
      <c r="FK81">
        <v>0</v>
      </c>
      <c r="FL81">
        <v>0</v>
      </c>
      <c r="FM81">
        <v>0</v>
      </c>
      <c r="FN81" t="s">
        <v>264</v>
      </c>
      <c r="FQ81" t="s">
        <v>556</v>
      </c>
      <c r="FR81" t="s">
        <v>555</v>
      </c>
      <c r="FS81">
        <v>0</v>
      </c>
      <c r="FT81">
        <v>0</v>
      </c>
      <c r="FU81">
        <v>0</v>
      </c>
      <c r="FV81" t="s">
        <v>264</v>
      </c>
      <c r="FY81" t="s">
        <v>557</v>
      </c>
      <c r="FZ81" t="s">
        <v>555</v>
      </c>
      <c r="GA81">
        <v>0</v>
      </c>
      <c r="GB81">
        <v>0</v>
      </c>
      <c r="GC81">
        <v>0</v>
      </c>
      <c r="GD81" t="s">
        <v>264</v>
      </c>
      <c r="GG81" t="s">
        <v>558</v>
      </c>
      <c r="GH81" t="s">
        <v>555</v>
      </c>
      <c r="GI81">
        <v>0</v>
      </c>
      <c r="GJ81">
        <v>0</v>
      </c>
      <c r="GK81">
        <v>0</v>
      </c>
      <c r="GL81" t="s">
        <v>264</v>
      </c>
      <c r="GO81" t="s">
        <v>559</v>
      </c>
      <c r="GP81" t="s">
        <v>555</v>
      </c>
      <c r="GQ81">
        <v>0</v>
      </c>
      <c r="GR81">
        <v>0</v>
      </c>
      <c r="GS81">
        <v>0</v>
      </c>
      <c r="GT81" t="s">
        <v>264</v>
      </c>
      <c r="GW81" t="s">
        <v>560</v>
      </c>
      <c r="GX81" t="s">
        <v>555</v>
      </c>
      <c r="GY81">
        <v>0</v>
      </c>
      <c r="GZ81">
        <v>0</v>
      </c>
      <c r="HA81">
        <v>0</v>
      </c>
      <c r="HB81" t="s">
        <v>264</v>
      </c>
      <c r="HE81" t="s">
        <v>561</v>
      </c>
      <c r="HF81" t="s">
        <v>555</v>
      </c>
      <c r="HG81">
        <v>0</v>
      </c>
      <c r="HH81">
        <v>0</v>
      </c>
      <c r="HI81">
        <v>0</v>
      </c>
      <c r="HJ81" t="s">
        <v>264</v>
      </c>
      <c r="HM81" t="s">
        <v>562</v>
      </c>
      <c r="HN81" t="s">
        <v>555</v>
      </c>
      <c r="HO81">
        <v>0</v>
      </c>
      <c r="HP81">
        <v>0</v>
      </c>
      <c r="HQ81">
        <v>0</v>
      </c>
      <c r="HR81" t="s">
        <v>264</v>
      </c>
      <c r="HU81" t="s">
        <v>563</v>
      </c>
      <c r="HV81" t="s">
        <v>555</v>
      </c>
      <c r="HW81">
        <v>0</v>
      </c>
      <c r="HX81">
        <v>0</v>
      </c>
      <c r="HY81">
        <v>0</v>
      </c>
      <c r="HZ81" t="s">
        <v>264</v>
      </c>
      <c r="IC81" t="s">
        <v>564</v>
      </c>
      <c r="ID81" t="s">
        <v>555</v>
      </c>
      <c r="IE81">
        <v>0</v>
      </c>
      <c r="IF81">
        <v>0</v>
      </c>
      <c r="IG81">
        <v>0</v>
      </c>
      <c r="IH81" t="s">
        <v>264</v>
      </c>
      <c r="IK81" t="s">
        <v>565</v>
      </c>
      <c r="IL81" t="s">
        <v>555</v>
      </c>
      <c r="IM81">
        <v>0</v>
      </c>
      <c r="IN81">
        <v>0</v>
      </c>
      <c r="IO81">
        <v>0</v>
      </c>
      <c r="IP81" t="s">
        <v>264</v>
      </c>
      <c r="IS81" t="s">
        <v>566</v>
      </c>
      <c r="IT81" t="s">
        <v>555</v>
      </c>
      <c r="IU81">
        <v>0</v>
      </c>
      <c r="IV81">
        <v>0</v>
      </c>
      <c r="IW81">
        <v>0</v>
      </c>
      <c r="IX81" t="s">
        <v>264</v>
      </c>
      <c r="JA81" t="s">
        <v>567</v>
      </c>
      <c r="JB81" t="s">
        <v>555</v>
      </c>
      <c r="JC81">
        <v>0</v>
      </c>
      <c r="JD81">
        <v>0</v>
      </c>
      <c r="JE81">
        <v>0</v>
      </c>
      <c r="JF81" t="s">
        <v>264</v>
      </c>
      <c r="JI81" t="s">
        <v>568</v>
      </c>
      <c r="JJ81" t="s">
        <v>555</v>
      </c>
      <c r="JK81">
        <v>0</v>
      </c>
      <c r="JL81">
        <v>0</v>
      </c>
      <c r="JM81">
        <v>0</v>
      </c>
      <c r="JN81" t="s">
        <v>264</v>
      </c>
      <c r="JQ81" t="s">
        <v>569</v>
      </c>
      <c r="JR81" t="s">
        <v>555</v>
      </c>
      <c r="JS81">
        <v>0</v>
      </c>
      <c r="JT81">
        <v>0</v>
      </c>
      <c r="JU81">
        <v>0</v>
      </c>
      <c r="JV81" t="s">
        <v>264</v>
      </c>
      <c r="JY81" t="s">
        <v>570</v>
      </c>
      <c r="JZ81" t="s">
        <v>555</v>
      </c>
      <c r="KA81">
        <v>0</v>
      </c>
      <c r="KB81">
        <v>0</v>
      </c>
      <c r="KC81">
        <v>0</v>
      </c>
      <c r="KD81" t="s">
        <v>264</v>
      </c>
      <c r="KG81" t="s">
        <v>571</v>
      </c>
      <c r="KH81" t="s">
        <v>555</v>
      </c>
      <c r="KI81">
        <v>0</v>
      </c>
      <c r="KJ81">
        <v>0</v>
      </c>
      <c r="KK81">
        <v>0</v>
      </c>
      <c r="KL81" t="s">
        <v>264</v>
      </c>
      <c r="KO81" t="s">
        <v>572</v>
      </c>
      <c r="KP81" t="s">
        <v>555</v>
      </c>
      <c r="KQ81">
        <v>0</v>
      </c>
      <c r="KR81">
        <v>0</v>
      </c>
      <c r="KS81">
        <v>0</v>
      </c>
      <c r="KT81" t="s">
        <v>264</v>
      </c>
      <c r="KW81" t="s">
        <v>573</v>
      </c>
      <c r="KX81" t="s">
        <v>555</v>
      </c>
      <c r="KY81">
        <v>0</v>
      </c>
      <c r="KZ81">
        <v>0</v>
      </c>
      <c r="LA81">
        <v>0</v>
      </c>
      <c r="LB81" t="s">
        <v>264</v>
      </c>
      <c r="LE81" t="s">
        <v>574</v>
      </c>
      <c r="LF81" t="s">
        <v>555</v>
      </c>
      <c r="LG81">
        <v>0</v>
      </c>
      <c r="LH81">
        <v>0</v>
      </c>
      <c r="LI81">
        <v>0</v>
      </c>
      <c r="LJ81" t="s">
        <v>264</v>
      </c>
      <c r="LM81" t="s">
        <v>575</v>
      </c>
      <c r="LN81" t="s">
        <v>555</v>
      </c>
      <c r="LO81">
        <v>0</v>
      </c>
      <c r="LP81">
        <v>0</v>
      </c>
      <c r="LQ81">
        <v>0</v>
      </c>
      <c r="LR81" t="s">
        <v>264</v>
      </c>
      <c r="LU81" t="s">
        <v>576</v>
      </c>
      <c r="LV81" t="s">
        <v>555</v>
      </c>
      <c r="LW81">
        <v>0</v>
      </c>
      <c r="LX81">
        <v>0</v>
      </c>
      <c r="LY81">
        <v>0</v>
      </c>
      <c r="LZ81" t="s">
        <v>264</v>
      </c>
      <c r="MC81" t="s">
        <v>577</v>
      </c>
      <c r="MD81" t="s">
        <v>555</v>
      </c>
      <c r="ME81">
        <v>0</v>
      </c>
      <c r="MF81">
        <v>0</v>
      </c>
      <c r="MG81">
        <v>0</v>
      </c>
      <c r="MH81" t="s">
        <v>264</v>
      </c>
      <c r="MK81" t="s">
        <v>578</v>
      </c>
      <c r="ML81" t="s">
        <v>555</v>
      </c>
      <c r="MM81">
        <v>0</v>
      </c>
      <c r="MN81">
        <v>0</v>
      </c>
      <c r="MO81">
        <v>0</v>
      </c>
      <c r="MP81" t="s">
        <v>264</v>
      </c>
      <c r="MS81" t="s">
        <v>579</v>
      </c>
      <c r="MT81" t="s">
        <v>555</v>
      </c>
      <c r="MU81">
        <v>0</v>
      </c>
      <c r="MV81">
        <v>0</v>
      </c>
      <c r="MW81">
        <v>0</v>
      </c>
      <c r="MX81" t="s">
        <v>264</v>
      </c>
      <c r="NA81" t="s">
        <v>580</v>
      </c>
      <c r="NB81" t="s">
        <v>555</v>
      </c>
      <c r="NC81">
        <v>0</v>
      </c>
      <c r="ND81">
        <v>0</v>
      </c>
      <c r="NE81">
        <v>0</v>
      </c>
      <c r="NF81" t="s">
        <v>264</v>
      </c>
      <c r="NI81">
        <v>40.1</v>
      </c>
      <c r="NJ81">
        <v>-16.600000000000001</v>
      </c>
      <c r="NP81" t="s">
        <v>581</v>
      </c>
    </row>
    <row r="82" spans="1:380" customFormat="1" x14ac:dyDescent="0.2">
      <c r="A82" t="s">
        <v>517</v>
      </c>
      <c r="B82">
        <v>1</v>
      </c>
      <c r="C82" t="s">
        <v>763</v>
      </c>
      <c r="D82">
        <v>646967694</v>
      </c>
      <c r="E82">
        <v>12602</v>
      </c>
      <c r="F82" t="s">
        <v>542</v>
      </c>
      <c r="G82">
        <v>750249</v>
      </c>
      <c r="H82">
        <v>731316</v>
      </c>
      <c r="I82" t="s">
        <v>543</v>
      </c>
      <c r="J82" t="s">
        <v>764</v>
      </c>
      <c r="K82" t="s">
        <v>545</v>
      </c>
      <c r="L82" t="s">
        <v>294</v>
      </c>
      <c r="M82" t="s">
        <v>546</v>
      </c>
      <c r="N82" t="s">
        <v>468</v>
      </c>
      <c r="O82" t="s">
        <v>547</v>
      </c>
      <c r="P82" t="s">
        <v>264</v>
      </c>
      <c r="Q82">
        <v>27.3</v>
      </c>
      <c r="R82">
        <v>317</v>
      </c>
      <c r="S82" t="s">
        <v>264</v>
      </c>
      <c r="T82">
        <v>-9999</v>
      </c>
      <c r="U82">
        <v>356</v>
      </c>
      <c r="V82">
        <v>395</v>
      </c>
      <c r="W82">
        <v>401</v>
      </c>
      <c r="X82" t="s">
        <v>270</v>
      </c>
      <c r="Y82">
        <v>0</v>
      </c>
      <c r="Z82">
        <v>55</v>
      </c>
      <c r="AA82" t="s">
        <v>469</v>
      </c>
      <c r="AB82" t="s">
        <v>548</v>
      </c>
      <c r="AC82">
        <v>1</v>
      </c>
      <c r="AD82" t="s">
        <v>549</v>
      </c>
      <c r="AE82">
        <v>0</v>
      </c>
      <c r="AF82">
        <v>-6</v>
      </c>
      <c r="AG82" t="s">
        <v>264</v>
      </c>
      <c r="AH82">
        <v>-9999</v>
      </c>
      <c r="AI82">
        <v>405</v>
      </c>
      <c r="AJ82">
        <v>483</v>
      </c>
      <c r="AK82">
        <v>396</v>
      </c>
      <c r="AL82" t="s">
        <v>270</v>
      </c>
      <c r="AM82">
        <v>0</v>
      </c>
      <c r="AN82">
        <v>55</v>
      </c>
      <c r="AO82" t="s">
        <v>470</v>
      </c>
      <c r="AP82" t="s">
        <v>548</v>
      </c>
      <c r="AQ82">
        <v>2</v>
      </c>
      <c r="AR82" t="s">
        <v>549</v>
      </c>
      <c r="AS82">
        <v>0</v>
      </c>
      <c r="AT82">
        <v>35</v>
      </c>
      <c r="AU82" t="s">
        <v>264</v>
      </c>
      <c r="AV82">
        <v>-9999</v>
      </c>
      <c r="AW82">
        <v>311</v>
      </c>
      <c r="AX82">
        <v>309</v>
      </c>
      <c r="AY82">
        <v>286</v>
      </c>
      <c r="AZ82" t="s">
        <v>270</v>
      </c>
      <c r="BA82">
        <v>0</v>
      </c>
      <c r="BB82">
        <v>55</v>
      </c>
      <c r="BC82" t="s">
        <v>550</v>
      </c>
      <c r="BD82" t="s">
        <v>548</v>
      </c>
      <c r="BE82">
        <v>3</v>
      </c>
      <c r="BF82" t="s">
        <v>584</v>
      </c>
      <c r="BG82">
        <v>28.7</v>
      </c>
      <c r="BH82">
        <v>44</v>
      </c>
      <c r="BI82" t="s">
        <v>264</v>
      </c>
      <c r="BJ82">
        <v>-9999</v>
      </c>
      <c r="BK82">
        <v>-46</v>
      </c>
      <c r="BL82">
        <v>-28</v>
      </c>
      <c r="BM82">
        <v>-31</v>
      </c>
      <c r="BN82" t="s">
        <v>270</v>
      </c>
      <c r="BO82">
        <v>0</v>
      </c>
      <c r="BP82">
        <v>55</v>
      </c>
      <c r="BQ82" t="s">
        <v>504</v>
      </c>
      <c r="BR82" t="s">
        <v>548</v>
      </c>
      <c r="BS82">
        <v>4</v>
      </c>
      <c r="BT82" t="s">
        <v>549</v>
      </c>
      <c r="BU82">
        <v>52.6</v>
      </c>
      <c r="BV82">
        <v>69</v>
      </c>
      <c r="BW82" t="s">
        <v>264</v>
      </c>
      <c r="BX82">
        <v>-9999</v>
      </c>
      <c r="BY82">
        <v>211</v>
      </c>
      <c r="BZ82">
        <v>235</v>
      </c>
      <c r="CA82">
        <v>197</v>
      </c>
      <c r="CB82" t="s">
        <v>270</v>
      </c>
      <c r="CC82">
        <v>0</v>
      </c>
      <c r="CD82">
        <v>55</v>
      </c>
      <c r="CE82" t="s">
        <v>471</v>
      </c>
      <c r="CF82" t="s">
        <v>548</v>
      </c>
      <c r="CG82">
        <v>5</v>
      </c>
      <c r="CH82" t="s">
        <v>549</v>
      </c>
      <c r="CI82">
        <v>52.9</v>
      </c>
      <c r="CJ82">
        <v>124</v>
      </c>
      <c r="CK82" t="s">
        <v>264</v>
      </c>
      <c r="CL82">
        <v>-9999</v>
      </c>
      <c r="CM82">
        <v>424</v>
      </c>
      <c r="CN82">
        <v>488</v>
      </c>
      <c r="CO82">
        <v>410</v>
      </c>
      <c r="CP82" t="s">
        <v>270</v>
      </c>
      <c r="CQ82">
        <v>0</v>
      </c>
      <c r="CR82">
        <v>55</v>
      </c>
      <c r="CS82" t="s">
        <v>472</v>
      </c>
      <c r="CT82" t="s">
        <v>548</v>
      </c>
      <c r="CU82">
        <v>6</v>
      </c>
      <c r="CV82" t="s">
        <v>549</v>
      </c>
      <c r="CW82">
        <v>53.9</v>
      </c>
      <c r="CX82">
        <v>78</v>
      </c>
      <c r="CY82" t="s">
        <v>264</v>
      </c>
      <c r="CZ82">
        <v>-9999</v>
      </c>
      <c r="DA82">
        <v>424</v>
      </c>
      <c r="DB82">
        <v>483</v>
      </c>
      <c r="DC82">
        <v>420</v>
      </c>
      <c r="DD82" t="s">
        <v>270</v>
      </c>
      <c r="DE82">
        <v>0</v>
      </c>
      <c r="DF82">
        <v>55</v>
      </c>
      <c r="DG82" t="s">
        <v>473</v>
      </c>
      <c r="DH82" t="s">
        <v>548</v>
      </c>
      <c r="DI82">
        <v>7</v>
      </c>
      <c r="DJ82" t="s">
        <v>549</v>
      </c>
      <c r="DK82">
        <v>0</v>
      </c>
      <c r="DL82">
        <v>21</v>
      </c>
      <c r="DM82" t="s">
        <v>264</v>
      </c>
      <c r="DN82">
        <v>-9999</v>
      </c>
      <c r="DO82">
        <v>498</v>
      </c>
      <c r="DP82">
        <v>566</v>
      </c>
      <c r="DQ82">
        <v>490</v>
      </c>
      <c r="DR82" t="s">
        <v>270</v>
      </c>
      <c r="DS82">
        <v>0</v>
      </c>
      <c r="DT82">
        <v>55</v>
      </c>
      <c r="DU82" t="s">
        <v>474</v>
      </c>
      <c r="DV82" t="s">
        <v>548</v>
      </c>
      <c r="DW82">
        <v>8</v>
      </c>
      <c r="DX82" t="s">
        <v>549</v>
      </c>
      <c r="DY82">
        <v>50.6</v>
      </c>
      <c r="DZ82">
        <v>38</v>
      </c>
      <c r="EA82" t="s">
        <v>264</v>
      </c>
      <c r="EB82">
        <v>-9999</v>
      </c>
      <c r="EC82">
        <v>57</v>
      </c>
      <c r="ED82">
        <v>72</v>
      </c>
      <c r="EE82">
        <v>57</v>
      </c>
      <c r="EF82" t="s">
        <v>270</v>
      </c>
      <c r="EG82">
        <v>0</v>
      </c>
      <c r="EH82">
        <v>55</v>
      </c>
      <c r="EI82" t="s">
        <v>475</v>
      </c>
      <c r="EJ82" t="s">
        <v>548</v>
      </c>
      <c r="EK82">
        <v>9</v>
      </c>
      <c r="EL82" t="s">
        <v>549</v>
      </c>
      <c r="EM82">
        <v>0</v>
      </c>
      <c r="EN82">
        <v>-11</v>
      </c>
      <c r="EO82" t="s">
        <v>264</v>
      </c>
      <c r="EP82">
        <v>-9999</v>
      </c>
      <c r="EQ82">
        <v>296</v>
      </c>
      <c r="ER82">
        <v>286</v>
      </c>
      <c r="ES82">
        <v>259</v>
      </c>
      <c r="ET82" t="s">
        <v>270</v>
      </c>
      <c r="EU82">
        <v>0</v>
      </c>
      <c r="EV82">
        <v>55</v>
      </c>
      <c r="EW82" t="s">
        <v>551</v>
      </c>
      <c r="EX82" t="s">
        <v>552</v>
      </c>
      <c r="EY82">
        <v>104</v>
      </c>
      <c r="EZ82">
        <v>104</v>
      </c>
      <c r="FA82">
        <v>104</v>
      </c>
      <c r="FB82" t="s">
        <v>270</v>
      </c>
      <c r="FC82" t="s">
        <v>553</v>
      </c>
      <c r="FD82" t="s">
        <v>552</v>
      </c>
      <c r="FE82">
        <v>277</v>
      </c>
      <c r="FF82">
        <v>275</v>
      </c>
      <c r="FG82">
        <v>275</v>
      </c>
      <c r="FH82" t="s">
        <v>270</v>
      </c>
      <c r="FI82" t="s">
        <v>554</v>
      </c>
      <c r="FJ82" t="s">
        <v>555</v>
      </c>
      <c r="FK82">
        <v>0</v>
      </c>
      <c r="FL82">
        <v>0</v>
      </c>
      <c r="FM82">
        <v>0</v>
      </c>
      <c r="FN82" t="s">
        <v>264</v>
      </c>
      <c r="FQ82" t="s">
        <v>556</v>
      </c>
      <c r="FR82" t="s">
        <v>555</v>
      </c>
      <c r="FS82">
        <v>0</v>
      </c>
      <c r="FT82">
        <v>0</v>
      </c>
      <c r="FU82">
        <v>0</v>
      </c>
      <c r="FV82" t="s">
        <v>264</v>
      </c>
      <c r="FY82" t="s">
        <v>557</v>
      </c>
      <c r="FZ82" t="s">
        <v>555</v>
      </c>
      <c r="GA82">
        <v>0</v>
      </c>
      <c r="GB82">
        <v>0</v>
      </c>
      <c r="GC82">
        <v>0</v>
      </c>
      <c r="GD82" t="s">
        <v>264</v>
      </c>
      <c r="GG82" t="s">
        <v>558</v>
      </c>
      <c r="GH82" t="s">
        <v>555</v>
      </c>
      <c r="GI82">
        <v>0</v>
      </c>
      <c r="GJ82">
        <v>0</v>
      </c>
      <c r="GK82">
        <v>0</v>
      </c>
      <c r="GL82" t="s">
        <v>264</v>
      </c>
      <c r="GO82" t="s">
        <v>559</v>
      </c>
      <c r="GP82" t="s">
        <v>555</v>
      </c>
      <c r="GQ82">
        <v>0</v>
      </c>
      <c r="GR82">
        <v>0</v>
      </c>
      <c r="GS82">
        <v>0</v>
      </c>
      <c r="GT82" t="s">
        <v>264</v>
      </c>
      <c r="GW82" t="s">
        <v>560</v>
      </c>
      <c r="GX82" t="s">
        <v>555</v>
      </c>
      <c r="GY82">
        <v>0</v>
      </c>
      <c r="GZ82">
        <v>0</v>
      </c>
      <c r="HA82">
        <v>0</v>
      </c>
      <c r="HB82" t="s">
        <v>264</v>
      </c>
      <c r="HE82" t="s">
        <v>561</v>
      </c>
      <c r="HF82" t="s">
        <v>555</v>
      </c>
      <c r="HG82">
        <v>0</v>
      </c>
      <c r="HH82">
        <v>0</v>
      </c>
      <c r="HI82">
        <v>0</v>
      </c>
      <c r="HJ82" t="s">
        <v>264</v>
      </c>
      <c r="HM82" t="s">
        <v>562</v>
      </c>
      <c r="HN82" t="s">
        <v>555</v>
      </c>
      <c r="HO82">
        <v>0</v>
      </c>
      <c r="HP82">
        <v>0</v>
      </c>
      <c r="HQ82">
        <v>0</v>
      </c>
      <c r="HR82" t="s">
        <v>264</v>
      </c>
      <c r="HU82" t="s">
        <v>563</v>
      </c>
      <c r="HV82" t="s">
        <v>555</v>
      </c>
      <c r="HW82">
        <v>0</v>
      </c>
      <c r="HX82">
        <v>0</v>
      </c>
      <c r="HY82">
        <v>0</v>
      </c>
      <c r="HZ82" t="s">
        <v>264</v>
      </c>
      <c r="IC82" t="s">
        <v>564</v>
      </c>
      <c r="ID82" t="s">
        <v>555</v>
      </c>
      <c r="IE82">
        <v>0</v>
      </c>
      <c r="IF82">
        <v>0</v>
      </c>
      <c r="IG82">
        <v>0</v>
      </c>
      <c r="IH82" t="s">
        <v>264</v>
      </c>
      <c r="IK82" t="s">
        <v>565</v>
      </c>
      <c r="IL82" t="s">
        <v>555</v>
      </c>
      <c r="IM82">
        <v>0</v>
      </c>
      <c r="IN82">
        <v>0</v>
      </c>
      <c r="IO82">
        <v>0</v>
      </c>
      <c r="IP82" t="s">
        <v>264</v>
      </c>
      <c r="IS82" t="s">
        <v>566</v>
      </c>
      <c r="IT82" t="s">
        <v>555</v>
      </c>
      <c r="IU82">
        <v>0</v>
      </c>
      <c r="IV82">
        <v>0</v>
      </c>
      <c r="IW82">
        <v>0</v>
      </c>
      <c r="IX82" t="s">
        <v>264</v>
      </c>
      <c r="JA82" t="s">
        <v>567</v>
      </c>
      <c r="JB82" t="s">
        <v>555</v>
      </c>
      <c r="JC82">
        <v>0</v>
      </c>
      <c r="JD82">
        <v>0</v>
      </c>
      <c r="JE82">
        <v>0</v>
      </c>
      <c r="JF82" t="s">
        <v>264</v>
      </c>
      <c r="JI82" t="s">
        <v>568</v>
      </c>
      <c r="JJ82" t="s">
        <v>555</v>
      </c>
      <c r="JK82">
        <v>0</v>
      </c>
      <c r="JL82">
        <v>0</v>
      </c>
      <c r="JM82">
        <v>0</v>
      </c>
      <c r="JN82" t="s">
        <v>264</v>
      </c>
      <c r="JQ82" t="s">
        <v>569</v>
      </c>
      <c r="JR82" t="s">
        <v>555</v>
      </c>
      <c r="JS82">
        <v>0</v>
      </c>
      <c r="JT82">
        <v>0</v>
      </c>
      <c r="JU82">
        <v>0</v>
      </c>
      <c r="JV82" t="s">
        <v>264</v>
      </c>
      <c r="JY82" t="s">
        <v>570</v>
      </c>
      <c r="JZ82" t="s">
        <v>555</v>
      </c>
      <c r="KA82">
        <v>0</v>
      </c>
      <c r="KB82">
        <v>0</v>
      </c>
      <c r="KC82">
        <v>0</v>
      </c>
      <c r="KD82" t="s">
        <v>264</v>
      </c>
      <c r="KG82" t="s">
        <v>571</v>
      </c>
      <c r="KH82" t="s">
        <v>555</v>
      </c>
      <c r="KI82">
        <v>0</v>
      </c>
      <c r="KJ82">
        <v>0</v>
      </c>
      <c r="KK82">
        <v>0</v>
      </c>
      <c r="KL82" t="s">
        <v>264</v>
      </c>
      <c r="KO82" t="s">
        <v>572</v>
      </c>
      <c r="KP82" t="s">
        <v>555</v>
      </c>
      <c r="KQ82">
        <v>0</v>
      </c>
      <c r="KR82">
        <v>0</v>
      </c>
      <c r="KS82">
        <v>0</v>
      </c>
      <c r="KT82" t="s">
        <v>264</v>
      </c>
      <c r="KW82" t="s">
        <v>573</v>
      </c>
      <c r="KX82" t="s">
        <v>555</v>
      </c>
      <c r="KY82">
        <v>0</v>
      </c>
      <c r="KZ82">
        <v>0</v>
      </c>
      <c r="LA82">
        <v>0</v>
      </c>
      <c r="LB82" t="s">
        <v>264</v>
      </c>
      <c r="LE82" t="s">
        <v>574</v>
      </c>
      <c r="LF82" t="s">
        <v>555</v>
      </c>
      <c r="LG82">
        <v>0</v>
      </c>
      <c r="LH82">
        <v>0</v>
      </c>
      <c r="LI82">
        <v>0</v>
      </c>
      <c r="LJ82" t="s">
        <v>264</v>
      </c>
      <c r="LM82" t="s">
        <v>575</v>
      </c>
      <c r="LN82" t="s">
        <v>555</v>
      </c>
      <c r="LO82">
        <v>0</v>
      </c>
      <c r="LP82">
        <v>0</v>
      </c>
      <c r="LQ82">
        <v>0</v>
      </c>
      <c r="LR82" t="s">
        <v>264</v>
      </c>
      <c r="LU82" t="s">
        <v>576</v>
      </c>
      <c r="LV82" t="s">
        <v>555</v>
      </c>
      <c r="LW82">
        <v>0</v>
      </c>
      <c r="LX82">
        <v>0</v>
      </c>
      <c r="LY82">
        <v>0</v>
      </c>
      <c r="LZ82" t="s">
        <v>264</v>
      </c>
      <c r="MC82" t="s">
        <v>577</v>
      </c>
      <c r="MD82" t="s">
        <v>555</v>
      </c>
      <c r="ME82">
        <v>0</v>
      </c>
      <c r="MF82">
        <v>0</v>
      </c>
      <c r="MG82">
        <v>0</v>
      </c>
      <c r="MH82" t="s">
        <v>264</v>
      </c>
      <c r="MK82" t="s">
        <v>578</v>
      </c>
      <c r="ML82" t="s">
        <v>555</v>
      </c>
      <c r="MM82">
        <v>0</v>
      </c>
      <c r="MN82">
        <v>0</v>
      </c>
      <c r="MO82">
        <v>0</v>
      </c>
      <c r="MP82" t="s">
        <v>264</v>
      </c>
      <c r="MS82" t="s">
        <v>579</v>
      </c>
      <c r="MT82" t="s">
        <v>555</v>
      </c>
      <c r="MU82">
        <v>0</v>
      </c>
      <c r="MV82">
        <v>0</v>
      </c>
      <c r="MW82">
        <v>0</v>
      </c>
      <c r="MX82" t="s">
        <v>264</v>
      </c>
      <c r="NA82" t="s">
        <v>580</v>
      </c>
      <c r="NB82" t="s">
        <v>555</v>
      </c>
      <c r="NC82">
        <v>0</v>
      </c>
      <c r="ND82">
        <v>0</v>
      </c>
      <c r="NE82">
        <v>0</v>
      </c>
      <c r="NF82" t="s">
        <v>264</v>
      </c>
      <c r="NI82">
        <v>40.1</v>
      </c>
      <c r="NJ82">
        <v>-18.3</v>
      </c>
      <c r="NP82" t="s">
        <v>581</v>
      </c>
    </row>
    <row r="83" spans="1:380" customFormat="1" x14ac:dyDescent="0.2">
      <c r="A83" t="s">
        <v>517</v>
      </c>
      <c r="B83">
        <v>1</v>
      </c>
      <c r="C83" t="s">
        <v>765</v>
      </c>
      <c r="D83">
        <v>646968034</v>
      </c>
      <c r="E83">
        <v>12602</v>
      </c>
      <c r="F83" t="s">
        <v>542</v>
      </c>
      <c r="G83">
        <v>750249</v>
      </c>
      <c r="H83">
        <v>681373</v>
      </c>
      <c r="I83" t="s">
        <v>543</v>
      </c>
      <c r="J83" t="s">
        <v>766</v>
      </c>
      <c r="K83" t="s">
        <v>545</v>
      </c>
      <c r="L83" t="s">
        <v>294</v>
      </c>
      <c r="M83" t="s">
        <v>546</v>
      </c>
      <c r="N83" t="s">
        <v>468</v>
      </c>
      <c r="O83" t="s">
        <v>547</v>
      </c>
      <c r="P83" t="s">
        <v>270</v>
      </c>
      <c r="Q83">
        <v>29.3</v>
      </c>
      <c r="R83">
        <v>224</v>
      </c>
      <c r="S83" t="s">
        <v>270</v>
      </c>
      <c r="T83">
        <v>-9999</v>
      </c>
      <c r="U83">
        <v>516</v>
      </c>
      <c r="V83">
        <v>532</v>
      </c>
      <c r="W83">
        <v>509</v>
      </c>
      <c r="X83" t="s">
        <v>270</v>
      </c>
      <c r="Y83">
        <v>0</v>
      </c>
      <c r="Z83">
        <v>55</v>
      </c>
      <c r="AA83" t="s">
        <v>469</v>
      </c>
      <c r="AB83" t="s">
        <v>548</v>
      </c>
      <c r="AC83">
        <v>1</v>
      </c>
      <c r="AD83" t="s">
        <v>549</v>
      </c>
      <c r="AE83">
        <v>0</v>
      </c>
      <c r="AF83">
        <v>25</v>
      </c>
      <c r="AG83" t="s">
        <v>264</v>
      </c>
      <c r="AH83">
        <v>-9999</v>
      </c>
      <c r="AI83">
        <v>474</v>
      </c>
      <c r="AJ83">
        <v>593</v>
      </c>
      <c r="AK83">
        <v>473</v>
      </c>
      <c r="AL83" t="s">
        <v>270</v>
      </c>
      <c r="AM83">
        <v>0</v>
      </c>
      <c r="AN83">
        <v>55</v>
      </c>
      <c r="AO83" t="s">
        <v>470</v>
      </c>
      <c r="AP83" t="s">
        <v>548</v>
      </c>
      <c r="AQ83">
        <v>2</v>
      </c>
      <c r="AR83" t="s">
        <v>549</v>
      </c>
      <c r="AS83">
        <v>0</v>
      </c>
      <c r="AT83">
        <v>28</v>
      </c>
      <c r="AU83" t="s">
        <v>264</v>
      </c>
      <c r="AV83">
        <v>-9999</v>
      </c>
      <c r="AW83">
        <v>390</v>
      </c>
      <c r="AX83">
        <v>413</v>
      </c>
      <c r="AY83">
        <v>390</v>
      </c>
      <c r="AZ83" t="s">
        <v>270</v>
      </c>
      <c r="BA83">
        <v>0</v>
      </c>
      <c r="BB83">
        <v>55</v>
      </c>
      <c r="BC83" t="s">
        <v>550</v>
      </c>
      <c r="BD83" t="s">
        <v>548</v>
      </c>
      <c r="BE83">
        <v>3</v>
      </c>
      <c r="BF83" t="s">
        <v>549</v>
      </c>
      <c r="BG83">
        <v>0</v>
      </c>
      <c r="BH83">
        <v>2</v>
      </c>
      <c r="BI83" t="s">
        <v>264</v>
      </c>
      <c r="BJ83">
        <v>-9999</v>
      </c>
      <c r="BK83">
        <v>228</v>
      </c>
      <c r="BL83">
        <v>278</v>
      </c>
      <c r="BM83">
        <v>226</v>
      </c>
      <c r="BN83" t="s">
        <v>270</v>
      </c>
      <c r="BO83">
        <v>0</v>
      </c>
      <c r="BP83">
        <v>55</v>
      </c>
      <c r="BQ83" t="s">
        <v>504</v>
      </c>
      <c r="BR83" t="s">
        <v>548</v>
      </c>
      <c r="BS83">
        <v>4</v>
      </c>
      <c r="BT83" t="s">
        <v>549</v>
      </c>
      <c r="BU83">
        <v>52.3</v>
      </c>
      <c r="BV83">
        <v>84</v>
      </c>
      <c r="BW83" t="s">
        <v>264</v>
      </c>
      <c r="BX83">
        <v>-9999</v>
      </c>
      <c r="BY83">
        <v>207</v>
      </c>
      <c r="BZ83">
        <v>240</v>
      </c>
      <c r="CA83">
        <v>206</v>
      </c>
      <c r="CB83" t="s">
        <v>270</v>
      </c>
      <c r="CC83">
        <v>0</v>
      </c>
      <c r="CD83">
        <v>55</v>
      </c>
      <c r="CE83" t="s">
        <v>471</v>
      </c>
      <c r="CF83" t="s">
        <v>548</v>
      </c>
      <c r="CG83">
        <v>5</v>
      </c>
      <c r="CH83" t="s">
        <v>549</v>
      </c>
      <c r="CI83">
        <v>52.2</v>
      </c>
      <c r="CJ83">
        <v>179</v>
      </c>
      <c r="CK83" t="s">
        <v>264</v>
      </c>
      <c r="CL83">
        <v>-9999</v>
      </c>
      <c r="CM83">
        <v>461</v>
      </c>
      <c r="CN83">
        <v>537</v>
      </c>
      <c r="CO83">
        <v>461</v>
      </c>
      <c r="CP83" t="s">
        <v>270</v>
      </c>
      <c r="CQ83">
        <v>0</v>
      </c>
      <c r="CR83">
        <v>55</v>
      </c>
      <c r="CS83" t="s">
        <v>472</v>
      </c>
      <c r="CT83" t="s">
        <v>548</v>
      </c>
      <c r="CU83">
        <v>6</v>
      </c>
      <c r="CV83" t="s">
        <v>549</v>
      </c>
      <c r="CW83">
        <v>53.3</v>
      </c>
      <c r="CX83">
        <v>101</v>
      </c>
      <c r="CY83" t="s">
        <v>264</v>
      </c>
      <c r="CZ83">
        <v>-9999</v>
      </c>
      <c r="DA83">
        <v>581</v>
      </c>
      <c r="DB83">
        <v>658</v>
      </c>
      <c r="DC83">
        <v>571</v>
      </c>
      <c r="DD83" t="s">
        <v>270</v>
      </c>
      <c r="DE83">
        <v>0</v>
      </c>
      <c r="DF83">
        <v>55</v>
      </c>
      <c r="DG83" t="s">
        <v>473</v>
      </c>
      <c r="DH83" t="s">
        <v>548</v>
      </c>
      <c r="DI83">
        <v>7</v>
      </c>
      <c r="DJ83" t="s">
        <v>549</v>
      </c>
      <c r="DK83">
        <v>0</v>
      </c>
      <c r="DL83">
        <v>49</v>
      </c>
      <c r="DM83" t="s">
        <v>264</v>
      </c>
      <c r="DN83">
        <v>-9999</v>
      </c>
      <c r="DO83">
        <v>453</v>
      </c>
      <c r="DP83">
        <v>515</v>
      </c>
      <c r="DQ83">
        <v>451</v>
      </c>
      <c r="DR83" t="s">
        <v>270</v>
      </c>
      <c r="DS83">
        <v>0</v>
      </c>
      <c r="DT83">
        <v>55</v>
      </c>
      <c r="DU83" t="s">
        <v>474</v>
      </c>
      <c r="DV83" t="s">
        <v>548</v>
      </c>
      <c r="DW83">
        <v>8</v>
      </c>
      <c r="DX83" t="s">
        <v>549</v>
      </c>
      <c r="DY83">
        <v>51.5</v>
      </c>
      <c r="DZ83">
        <v>35</v>
      </c>
      <c r="EA83" t="s">
        <v>264</v>
      </c>
      <c r="EB83">
        <v>-9999</v>
      </c>
      <c r="EC83">
        <v>103</v>
      </c>
      <c r="ED83">
        <v>129</v>
      </c>
      <c r="EE83">
        <v>101</v>
      </c>
      <c r="EF83" t="s">
        <v>270</v>
      </c>
      <c r="EG83">
        <v>0</v>
      </c>
      <c r="EH83">
        <v>55</v>
      </c>
      <c r="EI83" t="s">
        <v>475</v>
      </c>
      <c r="EJ83" t="s">
        <v>548</v>
      </c>
      <c r="EK83">
        <v>9</v>
      </c>
      <c r="EL83" t="s">
        <v>549</v>
      </c>
      <c r="EM83">
        <v>0</v>
      </c>
      <c r="EN83">
        <v>-8</v>
      </c>
      <c r="EO83" t="s">
        <v>264</v>
      </c>
      <c r="EP83">
        <v>-9999</v>
      </c>
      <c r="EQ83">
        <v>263</v>
      </c>
      <c r="ER83">
        <v>249</v>
      </c>
      <c r="ES83">
        <v>236</v>
      </c>
      <c r="ET83" t="s">
        <v>270</v>
      </c>
      <c r="EU83">
        <v>0</v>
      </c>
      <c r="EV83">
        <v>55</v>
      </c>
      <c r="EW83" t="s">
        <v>551</v>
      </c>
      <c r="EX83" t="s">
        <v>552</v>
      </c>
      <c r="EY83">
        <v>164</v>
      </c>
      <c r="EZ83">
        <v>164</v>
      </c>
      <c r="FA83">
        <v>165</v>
      </c>
      <c r="FB83" t="s">
        <v>270</v>
      </c>
      <c r="FC83" t="s">
        <v>553</v>
      </c>
      <c r="FD83" t="s">
        <v>552</v>
      </c>
      <c r="FE83">
        <v>240</v>
      </c>
      <c r="FF83">
        <v>238</v>
      </c>
      <c r="FG83">
        <v>238</v>
      </c>
      <c r="FH83" t="s">
        <v>270</v>
      </c>
      <c r="FI83" t="s">
        <v>554</v>
      </c>
      <c r="FJ83" t="s">
        <v>555</v>
      </c>
      <c r="FK83">
        <v>0</v>
      </c>
      <c r="FL83">
        <v>0</v>
      </c>
      <c r="FM83">
        <v>0</v>
      </c>
      <c r="FN83" t="s">
        <v>264</v>
      </c>
      <c r="FQ83" t="s">
        <v>556</v>
      </c>
      <c r="FR83" t="s">
        <v>555</v>
      </c>
      <c r="FS83">
        <v>0</v>
      </c>
      <c r="FT83">
        <v>0</v>
      </c>
      <c r="FU83">
        <v>0</v>
      </c>
      <c r="FV83" t="s">
        <v>264</v>
      </c>
      <c r="FY83" t="s">
        <v>557</v>
      </c>
      <c r="FZ83" t="s">
        <v>555</v>
      </c>
      <c r="GA83">
        <v>0</v>
      </c>
      <c r="GB83">
        <v>0</v>
      </c>
      <c r="GC83">
        <v>0</v>
      </c>
      <c r="GD83" t="s">
        <v>264</v>
      </c>
      <c r="GG83" t="s">
        <v>558</v>
      </c>
      <c r="GH83" t="s">
        <v>555</v>
      </c>
      <c r="GI83">
        <v>0</v>
      </c>
      <c r="GJ83">
        <v>0</v>
      </c>
      <c r="GK83">
        <v>0</v>
      </c>
      <c r="GL83" t="s">
        <v>264</v>
      </c>
      <c r="GO83" t="s">
        <v>559</v>
      </c>
      <c r="GP83" t="s">
        <v>555</v>
      </c>
      <c r="GQ83">
        <v>0</v>
      </c>
      <c r="GR83">
        <v>0</v>
      </c>
      <c r="GS83">
        <v>0</v>
      </c>
      <c r="GT83" t="s">
        <v>264</v>
      </c>
      <c r="GW83" t="s">
        <v>560</v>
      </c>
      <c r="GX83" t="s">
        <v>555</v>
      </c>
      <c r="GY83">
        <v>0</v>
      </c>
      <c r="GZ83">
        <v>0</v>
      </c>
      <c r="HA83">
        <v>0</v>
      </c>
      <c r="HB83" t="s">
        <v>264</v>
      </c>
      <c r="HE83" t="s">
        <v>561</v>
      </c>
      <c r="HF83" t="s">
        <v>555</v>
      </c>
      <c r="HG83">
        <v>0</v>
      </c>
      <c r="HH83">
        <v>0</v>
      </c>
      <c r="HI83">
        <v>0</v>
      </c>
      <c r="HJ83" t="s">
        <v>264</v>
      </c>
      <c r="HM83" t="s">
        <v>562</v>
      </c>
      <c r="HN83" t="s">
        <v>555</v>
      </c>
      <c r="HO83">
        <v>0</v>
      </c>
      <c r="HP83">
        <v>0</v>
      </c>
      <c r="HQ83">
        <v>0</v>
      </c>
      <c r="HR83" t="s">
        <v>264</v>
      </c>
      <c r="HU83" t="s">
        <v>563</v>
      </c>
      <c r="HV83" t="s">
        <v>555</v>
      </c>
      <c r="HW83">
        <v>0</v>
      </c>
      <c r="HX83">
        <v>0</v>
      </c>
      <c r="HY83">
        <v>0</v>
      </c>
      <c r="HZ83" t="s">
        <v>264</v>
      </c>
      <c r="IC83" t="s">
        <v>564</v>
      </c>
      <c r="ID83" t="s">
        <v>555</v>
      </c>
      <c r="IE83">
        <v>0</v>
      </c>
      <c r="IF83">
        <v>0</v>
      </c>
      <c r="IG83">
        <v>0</v>
      </c>
      <c r="IH83" t="s">
        <v>264</v>
      </c>
      <c r="IK83" t="s">
        <v>565</v>
      </c>
      <c r="IL83" t="s">
        <v>555</v>
      </c>
      <c r="IM83">
        <v>0</v>
      </c>
      <c r="IN83">
        <v>0</v>
      </c>
      <c r="IO83">
        <v>0</v>
      </c>
      <c r="IP83" t="s">
        <v>264</v>
      </c>
      <c r="IS83" t="s">
        <v>566</v>
      </c>
      <c r="IT83" t="s">
        <v>555</v>
      </c>
      <c r="IU83">
        <v>0</v>
      </c>
      <c r="IV83">
        <v>0</v>
      </c>
      <c r="IW83">
        <v>0</v>
      </c>
      <c r="IX83" t="s">
        <v>264</v>
      </c>
      <c r="JA83" t="s">
        <v>567</v>
      </c>
      <c r="JB83" t="s">
        <v>555</v>
      </c>
      <c r="JC83">
        <v>0</v>
      </c>
      <c r="JD83">
        <v>0</v>
      </c>
      <c r="JE83">
        <v>0</v>
      </c>
      <c r="JF83" t="s">
        <v>264</v>
      </c>
      <c r="JI83" t="s">
        <v>568</v>
      </c>
      <c r="JJ83" t="s">
        <v>555</v>
      </c>
      <c r="JK83">
        <v>0</v>
      </c>
      <c r="JL83">
        <v>0</v>
      </c>
      <c r="JM83">
        <v>0</v>
      </c>
      <c r="JN83" t="s">
        <v>264</v>
      </c>
      <c r="JQ83" t="s">
        <v>569</v>
      </c>
      <c r="JR83" t="s">
        <v>555</v>
      </c>
      <c r="JS83">
        <v>0</v>
      </c>
      <c r="JT83">
        <v>0</v>
      </c>
      <c r="JU83">
        <v>0</v>
      </c>
      <c r="JV83" t="s">
        <v>264</v>
      </c>
      <c r="JY83" t="s">
        <v>570</v>
      </c>
      <c r="JZ83" t="s">
        <v>555</v>
      </c>
      <c r="KA83">
        <v>0</v>
      </c>
      <c r="KB83">
        <v>0</v>
      </c>
      <c r="KC83">
        <v>0</v>
      </c>
      <c r="KD83" t="s">
        <v>264</v>
      </c>
      <c r="KG83" t="s">
        <v>571</v>
      </c>
      <c r="KH83" t="s">
        <v>555</v>
      </c>
      <c r="KI83">
        <v>0</v>
      </c>
      <c r="KJ83">
        <v>0</v>
      </c>
      <c r="KK83">
        <v>0</v>
      </c>
      <c r="KL83" t="s">
        <v>264</v>
      </c>
      <c r="KO83" t="s">
        <v>572</v>
      </c>
      <c r="KP83" t="s">
        <v>555</v>
      </c>
      <c r="KQ83">
        <v>0</v>
      </c>
      <c r="KR83">
        <v>0</v>
      </c>
      <c r="KS83">
        <v>0</v>
      </c>
      <c r="KT83" t="s">
        <v>264</v>
      </c>
      <c r="KW83" t="s">
        <v>573</v>
      </c>
      <c r="KX83" t="s">
        <v>555</v>
      </c>
      <c r="KY83">
        <v>0</v>
      </c>
      <c r="KZ83">
        <v>0</v>
      </c>
      <c r="LA83">
        <v>0</v>
      </c>
      <c r="LB83" t="s">
        <v>264</v>
      </c>
      <c r="LE83" t="s">
        <v>574</v>
      </c>
      <c r="LF83" t="s">
        <v>555</v>
      </c>
      <c r="LG83">
        <v>0</v>
      </c>
      <c r="LH83">
        <v>0</v>
      </c>
      <c r="LI83">
        <v>0</v>
      </c>
      <c r="LJ83" t="s">
        <v>264</v>
      </c>
      <c r="LM83" t="s">
        <v>575</v>
      </c>
      <c r="LN83" t="s">
        <v>555</v>
      </c>
      <c r="LO83">
        <v>0</v>
      </c>
      <c r="LP83">
        <v>0</v>
      </c>
      <c r="LQ83">
        <v>0</v>
      </c>
      <c r="LR83" t="s">
        <v>264</v>
      </c>
      <c r="LU83" t="s">
        <v>576</v>
      </c>
      <c r="LV83" t="s">
        <v>555</v>
      </c>
      <c r="LW83">
        <v>0</v>
      </c>
      <c r="LX83">
        <v>0</v>
      </c>
      <c r="LY83">
        <v>0</v>
      </c>
      <c r="LZ83" t="s">
        <v>264</v>
      </c>
      <c r="MC83" t="s">
        <v>577</v>
      </c>
      <c r="MD83" t="s">
        <v>555</v>
      </c>
      <c r="ME83">
        <v>0</v>
      </c>
      <c r="MF83">
        <v>0</v>
      </c>
      <c r="MG83">
        <v>0</v>
      </c>
      <c r="MH83" t="s">
        <v>264</v>
      </c>
      <c r="MK83" t="s">
        <v>578</v>
      </c>
      <c r="ML83" t="s">
        <v>555</v>
      </c>
      <c r="MM83">
        <v>0</v>
      </c>
      <c r="MN83">
        <v>0</v>
      </c>
      <c r="MO83">
        <v>0</v>
      </c>
      <c r="MP83" t="s">
        <v>264</v>
      </c>
      <c r="MS83" t="s">
        <v>579</v>
      </c>
      <c r="MT83" t="s">
        <v>555</v>
      </c>
      <c r="MU83">
        <v>0</v>
      </c>
      <c r="MV83">
        <v>0</v>
      </c>
      <c r="MW83">
        <v>0</v>
      </c>
      <c r="MX83" t="s">
        <v>264</v>
      </c>
      <c r="NA83" t="s">
        <v>580</v>
      </c>
      <c r="NB83" t="s">
        <v>555</v>
      </c>
      <c r="NC83">
        <v>0</v>
      </c>
      <c r="ND83">
        <v>0</v>
      </c>
      <c r="NE83">
        <v>0</v>
      </c>
      <c r="NF83" t="s">
        <v>264</v>
      </c>
      <c r="NI83">
        <v>40.1</v>
      </c>
      <c r="NJ83">
        <v>-6.8</v>
      </c>
      <c r="NP83" t="s">
        <v>581</v>
      </c>
    </row>
    <row r="84" spans="1:380" customFormat="1" x14ac:dyDescent="0.2">
      <c r="A84" t="s">
        <v>517</v>
      </c>
      <c r="B84">
        <v>1</v>
      </c>
      <c r="C84" t="s">
        <v>767</v>
      </c>
      <c r="D84">
        <v>646968172</v>
      </c>
      <c r="E84">
        <v>12602</v>
      </c>
      <c r="F84" t="s">
        <v>542</v>
      </c>
      <c r="G84">
        <v>750249</v>
      </c>
      <c r="H84">
        <v>866159</v>
      </c>
      <c r="I84" t="s">
        <v>543</v>
      </c>
      <c r="J84" t="s">
        <v>768</v>
      </c>
      <c r="K84" t="s">
        <v>545</v>
      </c>
      <c r="L84" t="s">
        <v>294</v>
      </c>
      <c r="M84" t="s">
        <v>546</v>
      </c>
      <c r="N84" t="s">
        <v>468</v>
      </c>
      <c r="O84" t="s">
        <v>547</v>
      </c>
      <c r="P84" t="s">
        <v>270</v>
      </c>
      <c r="Q84">
        <v>26.4</v>
      </c>
      <c r="R84">
        <v>256</v>
      </c>
      <c r="S84" t="s">
        <v>270</v>
      </c>
      <c r="T84">
        <v>-9999</v>
      </c>
      <c r="U84">
        <v>510</v>
      </c>
      <c r="V84">
        <v>526</v>
      </c>
      <c r="W84">
        <v>501</v>
      </c>
      <c r="X84" t="s">
        <v>270</v>
      </c>
      <c r="Y84">
        <v>0</v>
      </c>
      <c r="Z84">
        <v>55</v>
      </c>
      <c r="AA84" t="s">
        <v>469</v>
      </c>
      <c r="AB84" t="s">
        <v>548</v>
      </c>
      <c r="AC84">
        <v>1</v>
      </c>
      <c r="AD84" t="s">
        <v>549</v>
      </c>
      <c r="AE84">
        <v>0</v>
      </c>
      <c r="AF84">
        <v>21</v>
      </c>
      <c r="AG84" t="s">
        <v>264</v>
      </c>
      <c r="AH84">
        <v>-9999</v>
      </c>
      <c r="AI84">
        <v>510</v>
      </c>
      <c r="AJ84">
        <v>621</v>
      </c>
      <c r="AK84">
        <v>505</v>
      </c>
      <c r="AL84" t="s">
        <v>270</v>
      </c>
      <c r="AM84">
        <v>0</v>
      </c>
      <c r="AN84">
        <v>55</v>
      </c>
      <c r="AO84" t="s">
        <v>470</v>
      </c>
      <c r="AP84" t="s">
        <v>548</v>
      </c>
      <c r="AQ84">
        <v>2</v>
      </c>
      <c r="AR84" t="s">
        <v>549</v>
      </c>
      <c r="AS84">
        <v>54.5</v>
      </c>
      <c r="AT84">
        <v>47</v>
      </c>
      <c r="AU84" t="s">
        <v>264</v>
      </c>
      <c r="AV84">
        <v>-9999</v>
      </c>
      <c r="AW84">
        <v>406</v>
      </c>
      <c r="AX84">
        <v>427</v>
      </c>
      <c r="AY84">
        <v>405</v>
      </c>
      <c r="AZ84" t="s">
        <v>270</v>
      </c>
      <c r="BA84">
        <v>0</v>
      </c>
      <c r="BB84">
        <v>55</v>
      </c>
      <c r="BC84" t="s">
        <v>550</v>
      </c>
      <c r="BD84" t="s">
        <v>548</v>
      </c>
      <c r="BE84">
        <v>3</v>
      </c>
      <c r="BF84" t="s">
        <v>549</v>
      </c>
      <c r="BG84">
        <v>0</v>
      </c>
      <c r="BH84">
        <v>-1</v>
      </c>
      <c r="BI84" t="s">
        <v>264</v>
      </c>
      <c r="BJ84">
        <v>-9999</v>
      </c>
      <c r="BK84">
        <v>111</v>
      </c>
      <c r="BL84">
        <v>145</v>
      </c>
      <c r="BM84">
        <v>113</v>
      </c>
      <c r="BN84" t="s">
        <v>270</v>
      </c>
      <c r="BO84">
        <v>0</v>
      </c>
      <c r="BP84">
        <v>55</v>
      </c>
      <c r="BQ84" t="s">
        <v>504</v>
      </c>
      <c r="BR84" t="s">
        <v>548</v>
      </c>
      <c r="BS84">
        <v>4</v>
      </c>
      <c r="BT84" t="s">
        <v>549</v>
      </c>
      <c r="BU84">
        <v>51.7</v>
      </c>
      <c r="BV84">
        <v>91</v>
      </c>
      <c r="BW84" t="s">
        <v>264</v>
      </c>
      <c r="BX84">
        <v>-9999</v>
      </c>
      <c r="BY84">
        <v>250</v>
      </c>
      <c r="BZ84">
        <v>289</v>
      </c>
      <c r="CA84">
        <v>248</v>
      </c>
      <c r="CB84" t="s">
        <v>270</v>
      </c>
      <c r="CC84">
        <v>0</v>
      </c>
      <c r="CD84">
        <v>55</v>
      </c>
      <c r="CE84" t="s">
        <v>471</v>
      </c>
      <c r="CF84" t="s">
        <v>548</v>
      </c>
      <c r="CG84">
        <v>5</v>
      </c>
      <c r="CH84" t="s">
        <v>549</v>
      </c>
      <c r="CI84">
        <v>51.6</v>
      </c>
      <c r="CJ84">
        <v>205</v>
      </c>
      <c r="CK84" t="s">
        <v>264</v>
      </c>
      <c r="CL84">
        <v>-9999</v>
      </c>
      <c r="CM84">
        <v>450</v>
      </c>
      <c r="CN84">
        <v>522</v>
      </c>
      <c r="CO84">
        <v>448</v>
      </c>
      <c r="CP84" t="s">
        <v>270</v>
      </c>
      <c r="CQ84">
        <v>0</v>
      </c>
      <c r="CR84">
        <v>55</v>
      </c>
      <c r="CS84" t="s">
        <v>472</v>
      </c>
      <c r="CT84" t="s">
        <v>548</v>
      </c>
      <c r="CU84">
        <v>6</v>
      </c>
      <c r="CV84" t="s">
        <v>549</v>
      </c>
      <c r="CW84">
        <v>53.1</v>
      </c>
      <c r="CX84">
        <v>113</v>
      </c>
      <c r="CY84" t="s">
        <v>264</v>
      </c>
      <c r="CZ84">
        <v>-9999</v>
      </c>
      <c r="DA84">
        <v>589</v>
      </c>
      <c r="DB84">
        <v>667</v>
      </c>
      <c r="DC84">
        <v>579</v>
      </c>
      <c r="DD84" t="s">
        <v>270</v>
      </c>
      <c r="DE84">
        <v>0</v>
      </c>
      <c r="DF84">
        <v>55</v>
      </c>
      <c r="DG84" t="s">
        <v>473</v>
      </c>
      <c r="DH84" t="s">
        <v>548</v>
      </c>
      <c r="DI84">
        <v>7</v>
      </c>
      <c r="DJ84" t="s">
        <v>549</v>
      </c>
      <c r="DK84">
        <v>0</v>
      </c>
      <c r="DL84">
        <v>30</v>
      </c>
      <c r="DM84" t="s">
        <v>264</v>
      </c>
      <c r="DN84">
        <v>-9999</v>
      </c>
      <c r="DO84">
        <v>565</v>
      </c>
      <c r="DP84">
        <v>647</v>
      </c>
      <c r="DQ84">
        <v>560</v>
      </c>
      <c r="DR84" t="s">
        <v>270</v>
      </c>
      <c r="DS84">
        <v>0</v>
      </c>
      <c r="DT84">
        <v>55</v>
      </c>
      <c r="DU84" t="s">
        <v>474</v>
      </c>
      <c r="DV84" t="s">
        <v>548</v>
      </c>
      <c r="DW84">
        <v>8</v>
      </c>
      <c r="DX84" t="s">
        <v>549</v>
      </c>
      <c r="DY84">
        <v>49.2</v>
      </c>
      <c r="DZ84">
        <v>64</v>
      </c>
      <c r="EA84" t="s">
        <v>264</v>
      </c>
      <c r="EB84">
        <v>-9999</v>
      </c>
      <c r="EC84">
        <v>104</v>
      </c>
      <c r="ED84">
        <v>127</v>
      </c>
      <c r="EE84">
        <v>101</v>
      </c>
      <c r="EF84" t="s">
        <v>270</v>
      </c>
      <c r="EG84">
        <v>0</v>
      </c>
      <c r="EH84">
        <v>55</v>
      </c>
      <c r="EI84" t="s">
        <v>475</v>
      </c>
      <c r="EJ84" t="s">
        <v>548</v>
      </c>
      <c r="EK84">
        <v>9</v>
      </c>
      <c r="EL84" t="s">
        <v>549</v>
      </c>
      <c r="EM84">
        <v>0</v>
      </c>
      <c r="EN84">
        <v>16</v>
      </c>
      <c r="EO84" t="s">
        <v>264</v>
      </c>
      <c r="EP84">
        <v>-9999</v>
      </c>
      <c r="EQ84">
        <v>298</v>
      </c>
      <c r="ER84">
        <v>281</v>
      </c>
      <c r="ES84">
        <v>261</v>
      </c>
      <c r="ET84" t="s">
        <v>270</v>
      </c>
      <c r="EU84">
        <v>0</v>
      </c>
      <c r="EV84">
        <v>55</v>
      </c>
      <c r="EW84" t="s">
        <v>551</v>
      </c>
      <c r="EX84" t="s">
        <v>552</v>
      </c>
      <c r="EY84">
        <v>96</v>
      </c>
      <c r="EZ84">
        <v>97</v>
      </c>
      <c r="FA84">
        <v>97</v>
      </c>
      <c r="FB84" t="s">
        <v>270</v>
      </c>
      <c r="FC84" t="s">
        <v>553</v>
      </c>
      <c r="FD84" t="s">
        <v>552</v>
      </c>
      <c r="FE84">
        <v>328</v>
      </c>
      <c r="FF84">
        <v>326</v>
      </c>
      <c r="FG84">
        <v>325</v>
      </c>
      <c r="FH84" t="s">
        <v>270</v>
      </c>
      <c r="FI84" t="s">
        <v>554</v>
      </c>
      <c r="FJ84" t="s">
        <v>555</v>
      </c>
      <c r="FK84">
        <v>0</v>
      </c>
      <c r="FL84">
        <v>0</v>
      </c>
      <c r="FM84">
        <v>0</v>
      </c>
      <c r="FN84" t="s">
        <v>264</v>
      </c>
      <c r="FQ84" t="s">
        <v>556</v>
      </c>
      <c r="FR84" t="s">
        <v>555</v>
      </c>
      <c r="FS84">
        <v>0</v>
      </c>
      <c r="FT84">
        <v>0</v>
      </c>
      <c r="FU84">
        <v>0</v>
      </c>
      <c r="FV84" t="s">
        <v>264</v>
      </c>
      <c r="FY84" t="s">
        <v>557</v>
      </c>
      <c r="FZ84" t="s">
        <v>555</v>
      </c>
      <c r="GA84">
        <v>0</v>
      </c>
      <c r="GB84">
        <v>0</v>
      </c>
      <c r="GC84">
        <v>0</v>
      </c>
      <c r="GD84" t="s">
        <v>264</v>
      </c>
      <c r="GG84" t="s">
        <v>558</v>
      </c>
      <c r="GH84" t="s">
        <v>555</v>
      </c>
      <c r="GI84">
        <v>0</v>
      </c>
      <c r="GJ84">
        <v>0</v>
      </c>
      <c r="GK84">
        <v>0</v>
      </c>
      <c r="GL84" t="s">
        <v>264</v>
      </c>
      <c r="GO84" t="s">
        <v>559</v>
      </c>
      <c r="GP84" t="s">
        <v>555</v>
      </c>
      <c r="GQ84">
        <v>0</v>
      </c>
      <c r="GR84">
        <v>0</v>
      </c>
      <c r="GS84">
        <v>0</v>
      </c>
      <c r="GT84" t="s">
        <v>264</v>
      </c>
      <c r="GW84" t="s">
        <v>560</v>
      </c>
      <c r="GX84" t="s">
        <v>555</v>
      </c>
      <c r="GY84">
        <v>0</v>
      </c>
      <c r="GZ84">
        <v>0</v>
      </c>
      <c r="HA84">
        <v>0</v>
      </c>
      <c r="HB84" t="s">
        <v>264</v>
      </c>
      <c r="HE84" t="s">
        <v>561</v>
      </c>
      <c r="HF84" t="s">
        <v>555</v>
      </c>
      <c r="HG84">
        <v>0</v>
      </c>
      <c r="HH84">
        <v>0</v>
      </c>
      <c r="HI84">
        <v>0</v>
      </c>
      <c r="HJ84" t="s">
        <v>264</v>
      </c>
      <c r="HM84" t="s">
        <v>562</v>
      </c>
      <c r="HN84" t="s">
        <v>555</v>
      </c>
      <c r="HO84">
        <v>0</v>
      </c>
      <c r="HP84">
        <v>0</v>
      </c>
      <c r="HQ84">
        <v>0</v>
      </c>
      <c r="HR84" t="s">
        <v>264</v>
      </c>
      <c r="HU84" t="s">
        <v>563</v>
      </c>
      <c r="HV84" t="s">
        <v>555</v>
      </c>
      <c r="HW84">
        <v>0</v>
      </c>
      <c r="HX84">
        <v>0</v>
      </c>
      <c r="HY84">
        <v>0</v>
      </c>
      <c r="HZ84" t="s">
        <v>264</v>
      </c>
      <c r="IC84" t="s">
        <v>564</v>
      </c>
      <c r="ID84" t="s">
        <v>555</v>
      </c>
      <c r="IE84">
        <v>0</v>
      </c>
      <c r="IF84">
        <v>0</v>
      </c>
      <c r="IG84">
        <v>0</v>
      </c>
      <c r="IH84" t="s">
        <v>264</v>
      </c>
      <c r="IK84" t="s">
        <v>565</v>
      </c>
      <c r="IL84" t="s">
        <v>555</v>
      </c>
      <c r="IM84">
        <v>0</v>
      </c>
      <c r="IN84">
        <v>0</v>
      </c>
      <c r="IO84">
        <v>0</v>
      </c>
      <c r="IP84" t="s">
        <v>264</v>
      </c>
      <c r="IS84" t="s">
        <v>566</v>
      </c>
      <c r="IT84" t="s">
        <v>555</v>
      </c>
      <c r="IU84">
        <v>0</v>
      </c>
      <c r="IV84">
        <v>0</v>
      </c>
      <c r="IW84">
        <v>0</v>
      </c>
      <c r="IX84" t="s">
        <v>264</v>
      </c>
      <c r="JA84" t="s">
        <v>567</v>
      </c>
      <c r="JB84" t="s">
        <v>555</v>
      </c>
      <c r="JC84">
        <v>0</v>
      </c>
      <c r="JD84">
        <v>0</v>
      </c>
      <c r="JE84">
        <v>0</v>
      </c>
      <c r="JF84" t="s">
        <v>264</v>
      </c>
      <c r="JI84" t="s">
        <v>568</v>
      </c>
      <c r="JJ84" t="s">
        <v>555</v>
      </c>
      <c r="JK84">
        <v>0</v>
      </c>
      <c r="JL84">
        <v>0</v>
      </c>
      <c r="JM84">
        <v>0</v>
      </c>
      <c r="JN84" t="s">
        <v>264</v>
      </c>
      <c r="JQ84" t="s">
        <v>569</v>
      </c>
      <c r="JR84" t="s">
        <v>555</v>
      </c>
      <c r="JS84">
        <v>0</v>
      </c>
      <c r="JT84">
        <v>0</v>
      </c>
      <c r="JU84">
        <v>0</v>
      </c>
      <c r="JV84" t="s">
        <v>264</v>
      </c>
      <c r="JY84" t="s">
        <v>570</v>
      </c>
      <c r="JZ84" t="s">
        <v>555</v>
      </c>
      <c r="KA84">
        <v>0</v>
      </c>
      <c r="KB84">
        <v>0</v>
      </c>
      <c r="KC84">
        <v>0</v>
      </c>
      <c r="KD84" t="s">
        <v>264</v>
      </c>
      <c r="KG84" t="s">
        <v>571</v>
      </c>
      <c r="KH84" t="s">
        <v>555</v>
      </c>
      <c r="KI84">
        <v>0</v>
      </c>
      <c r="KJ84">
        <v>0</v>
      </c>
      <c r="KK84">
        <v>0</v>
      </c>
      <c r="KL84" t="s">
        <v>264</v>
      </c>
      <c r="KO84" t="s">
        <v>572</v>
      </c>
      <c r="KP84" t="s">
        <v>555</v>
      </c>
      <c r="KQ84">
        <v>0</v>
      </c>
      <c r="KR84">
        <v>0</v>
      </c>
      <c r="KS84">
        <v>0</v>
      </c>
      <c r="KT84" t="s">
        <v>264</v>
      </c>
      <c r="KW84" t="s">
        <v>573</v>
      </c>
      <c r="KX84" t="s">
        <v>555</v>
      </c>
      <c r="KY84">
        <v>0</v>
      </c>
      <c r="KZ84">
        <v>0</v>
      </c>
      <c r="LA84">
        <v>0</v>
      </c>
      <c r="LB84" t="s">
        <v>264</v>
      </c>
      <c r="LE84" t="s">
        <v>574</v>
      </c>
      <c r="LF84" t="s">
        <v>555</v>
      </c>
      <c r="LG84">
        <v>0</v>
      </c>
      <c r="LH84">
        <v>0</v>
      </c>
      <c r="LI84">
        <v>0</v>
      </c>
      <c r="LJ84" t="s">
        <v>264</v>
      </c>
      <c r="LM84" t="s">
        <v>575</v>
      </c>
      <c r="LN84" t="s">
        <v>555</v>
      </c>
      <c r="LO84">
        <v>0</v>
      </c>
      <c r="LP84">
        <v>0</v>
      </c>
      <c r="LQ84">
        <v>0</v>
      </c>
      <c r="LR84" t="s">
        <v>264</v>
      </c>
      <c r="LU84" t="s">
        <v>576</v>
      </c>
      <c r="LV84" t="s">
        <v>555</v>
      </c>
      <c r="LW84">
        <v>0</v>
      </c>
      <c r="LX84">
        <v>0</v>
      </c>
      <c r="LY84">
        <v>0</v>
      </c>
      <c r="LZ84" t="s">
        <v>264</v>
      </c>
      <c r="MC84" t="s">
        <v>577</v>
      </c>
      <c r="MD84" t="s">
        <v>555</v>
      </c>
      <c r="ME84">
        <v>0</v>
      </c>
      <c r="MF84">
        <v>0</v>
      </c>
      <c r="MG84">
        <v>0</v>
      </c>
      <c r="MH84" t="s">
        <v>264</v>
      </c>
      <c r="MK84" t="s">
        <v>578</v>
      </c>
      <c r="ML84" t="s">
        <v>555</v>
      </c>
      <c r="MM84">
        <v>0</v>
      </c>
      <c r="MN84">
        <v>0</v>
      </c>
      <c r="MO84">
        <v>0</v>
      </c>
      <c r="MP84" t="s">
        <v>264</v>
      </c>
      <c r="MS84" t="s">
        <v>579</v>
      </c>
      <c r="MT84" t="s">
        <v>555</v>
      </c>
      <c r="MU84">
        <v>0</v>
      </c>
      <c r="MV84">
        <v>0</v>
      </c>
      <c r="MW84">
        <v>0</v>
      </c>
      <c r="MX84" t="s">
        <v>264</v>
      </c>
      <c r="NA84" t="s">
        <v>580</v>
      </c>
      <c r="NB84" t="s">
        <v>555</v>
      </c>
      <c r="NC84">
        <v>0</v>
      </c>
      <c r="ND84">
        <v>0</v>
      </c>
      <c r="NE84">
        <v>0</v>
      </c>
      <c r="NF84" t="s">
        <v>264</v>
      </c>
      <c r="NI84">
        <v>40</v>
      </c>
      <c r="NJ84">
        <v>-5.8</v>
      </c>
      <c r="NP84" t="s">
        <v>581</v>
      </c>
    </row>
    <row r="85" spans="1:380" customFormat="1" x14ac:dyDescent="0.2">
      <c r="A85" t="s">
        <v>517</v>
      </c>
      <c r="B85">
        <v>1</v>
      </c>
      <c r="C85" t="s">
        <v>769</v>
      </c>
      <c r="D85">
        <v>646967812</v>
      </c>
      <c r="E85">
        <v>12602</v>
      </c>
      <c r="F85" t="s">
        <v>542</v>
      </c>
      <c r="G85">
        <v>750249</v>
      </c>
      <c r="H85">
        <v>634695</v>
      </c>
      <c r="I85" t="s">
        <v>543</v>
      </c>
      <c r="J85" t="s">
        <v>770</v>
      </c>
      <c r="K85" t="s">
        <v>545</v>
      </c>
      <c r="L85" t="s">
        <v>294</v>
      </c>
      <c r="M85" t="s">
        <v>546</v>
      </c>
      <c r="N85" t="s">
        <v>468</v>
      </c>
      <c r="O85" t="s">
        <v>547</v>
      </c>
      <c r="P85" t="s">
        <v>270</v>
      </c>
      <c r="Q85">
        <v>26.2</v>
      </c>
      <c r="R85">
        <v>258</v>
      </c>
      <c r="S85" t="s">
        <v>270</v>
      </c>
      <c r="T85">
        <v>-9999</v>
      </c>
      <c r="U85">
        <v>537</v>
      </c>
      <c r="V85">
        <v>558</v>
      </c>
      <c r="W85">
        <v>531</v>
      </c>
      <c r="X85" t="s">
        <v>270</v>
      </c>
      <c r="Y85">
        <v>0</v>
      </c>
      <c r="Z85">
        <v>55</v>
      </c>
      <c r="AA85" t="s">
        <v>469</v>
      </c>
      <c r="AB85" t="s">
        <v>548</v>
      </c>
      <c r="AC85">
        <v>1</v>
      </c>
      <c r="AD85" t="s">
        <v>549</v>
      </c>
      <c r="AE85">
        <v>0</v>
      </c>
      <c r="AF85">
        <v>32</v>
      </c>
      <c r="AG85" t="s">
        <v>264</v>
      </c>
      <c r="AH85">
        <v>-9999</v>
      </c>
      <c r="AI85">
        <v>557</v>
      </c>
      <c r="AJ85">
        <v>680</v>
      </c>
      <c r="AK85">
        <v>554</v>
      </c>
      <c r="AL85" t="s">
        <v>270</v>
      </c>
      <c r="AM85">
        <v>0</v>
      </c>
      <c r="AN85">
        <v>55</v>
      </c>
      <c r="AO85" t="s">
        <v>470</v>
      </c>
      <c r="AP85" t="s">
        <v>548</v>
      </c>
      <c r="AQ85">
        <v>2</v>
      </c>
      <c r="AR85" t="s">
        <v>549</v>
      </c>
      <c r="AS85">
        <v>0</v>
      </c>
      <c r="AT85">
        <v>34</v>
      </c>
      <c r="AU85" t="s">
        <v>264</v>
      </c>
      <c r="AV85">
        <v>-9999</v>
      </c>
      <c r="AW85">
        <v>408</v>
      </c>
      <c r="AX85">
        <v>427</v>
      </c>
      <c r="AY85">
        <v>406</v>
      </c>
      <c r="AZ85" t="s">
        <v>270</v>
      </c>
      <c r="BA85">
        <v>0</v>
      </c>
      <c r="BB85">
        <v>55</v>
      </c>
      <c r="BC85" t="s">
        <v>550</v>
      </c>
      <c r="BD85" t="s">
        <v>548</v>
      </c>
      <c r="BE85">
        <v>3</v>
      </c>
      <c r="BF85" t="s">
        <v>549</v>
      </c>
      <c r="BG85">
        <v>0</v>
      </c>
      <c r="BH85">
        <v>17</v>
      </c>
      <c r="BI85" t="s">
        <v>264</v>
      </c>
      <c r="BJ85">
        <v>-9999</v>
      </c>
      <c r="BK85">
        <v>101</v>
      </c>
      <c r="BL85">
        <v>135</v>
      </c>
      <c r="BM85">
        <v>102</v>
      </c>
      <c r="BN85" t="s">
        <v>270</v>
      </c>
      <c r="BO85">
        <v>0</v>
      </c>
      <c r="BP85">
        <v>55</v>
      </c>
      <c r="BQ85" t="s">
        <v>504</v>
      </c>
      <c r="BR85" t="s">
        <v>548</v>
      </c>
      <c r="BS85">
        <v>4</v>
      </c>
      <c r="BT85" t="s">
        <v>549</v>
      </c>
      <c r="BU85">
        <v>51.8</v>
      </c>
      <c r="BV85">
        <v>72</v>
      </c>
      <c r="BW85" t="s">
        <v>264</v>
      </c>
      <c r="BX85">
        <v>-9999</v>
      </c>
      <c r="BY85">
        <v>264</v>
      </c>
      <c r="BZ85">
        <v>305</v>
      </c>
      <c r="CA85">
        <v>262</v>
      </c>
      <c r="CB85" t="s">
        <v>270</v>
      </c>
      <c r="CC85">
        <v>0</v>
      </c>
      <c r="CD85">
        <v>55</v>
      </c>
      <c r="CE85" t="s">
        <v>471</v>
      </c>
      <c r="CF85" t="s">
        <v>548</v>
      </c>
      <c r="CG85">
        <v>5</v>
      </c>
      <c r="CH85" t="s">
        <v>549</v>
      </c>
      <c r="CI85">
        <v>50.2</v>
      </c>
      <c r="CJ85">
        <v>186</v>
      </c>
      <c r="CK85" t="s">
        <v>264</v>
      </c>
      <c r="CL85">
        <v>-9999</v>
      </c>
      <c r="CM85">
        <v>523</v>
      </c>
      <c r="CN85">
        <v>612</v>
      </c>
      <c r="CO85">
        <v>522</v>
      </c>
      <c r="CP85" t="s">
        <v>270</v>
      </c>
      <c r="CQ85">
        <v>0</v>
      </c>
      <c r="CR85">
        <v>55</v>
      </c>
      <c r="CS85" t="s">
        <v>472</v>
      </c>
      <c r="CT85" t="s">
        <v>548</v>
      </c>
      <c r="CU85">
        <v>6</v>
      </c>
      <c r="CV85" t="s">
        <v>549</v>
      </c>
      <c r="CW85">
        <v>52.8</v>
      </c>
      <c r="CX85">
        <v>105</v>
      </c>
      <c r="CY85" t="s">
        <v>264</v>
      </c>
      <c r="CZ85">
        <v>-9999</v>
      </c>
      <c r="DA85">
        <v>646</v>
      </c>
      <c r="DB85">
        <v>735</v>
      </c>
      <c r="DC85">
        <v>637</v>
      </c>
      <c r="DD85" t="s">
        <v>270</v>
      </c>
      <c r="DE85">
        <v>0</v>
      </c>
      <c r="DF85">
        <v>55</v>
      </c>
      <c r="DG85" t="s">
        <v>473</v>
      </c>
      <c r="DH85" t="s">
        <v>548</v>
      </c>
      <c r="DI85">
        <v>7</v>
      </c>
      <c r="DJ85" t="s">
        <v>549</v>
      </c>
      <c r="DK85">
        <v>0</v>
      </c>
      <c r="DL85">
        <v>33</v>
      </c>
      <c r="DM85" t="s">
        <v>264</v>
      </c>
      <c r="DN85">
        <v>-9999</v>
      </c>
      <c r="DO85">
        <v>594</v>
      </c>
      <c r="DP85">
        <v>683</v>
      </c>
      <c r="DQ85">
        <v>590</v>
      </c>
      <c r="DR85" t="s">
        <v>270</v>
      </c>
      <c r="DS85">
        <v>0</v>
      </c>
      <c r="DT85">
        <v>55</v>
      </c>
      <c r="DU85" t="s">
        <v>474</v>
      </c>
      <c r="DV85" t="s">
        <v>548</v>
      </c>
      <c r="DW85">
        <v>8</v>
      </c>
      <c r="DX85" t="s">
        <v>549</v>
      </c>
      <c r="DY85">
        <v>0</v>
      </c>
      <c r="DZ85">
        <v>2</v>
      </c>
      <c r="EA85" t="s">
        <v>264</v>
      </c>
      <c r="EB85">
        <v>-9999</v>
      </c>
      <c r="EC85">
        <v>117</v>
      </c>
      <c r="ED85">
        <v>139</v>
      </c>
      <c r="EE85">
        <v>115</v>
      </c>
      <c r="EF85" t="s">
        <v>270</v>
      </c>
      <c r="EG85">
        <v>0</v>
      </c>
      <c r="EH85">
        <v>55</v>
      </c>
      <c r="EI85" t="s">
        <v>475</v>
      </c>
      <c r="EJ85" t="s">
        <v>548</v>
      </c>
      <c r="EK85">
        <v>9</v>
      </c>
      <c r="EL85" t="s">
        <v>549</v>
      </c>
      <c r="EM85">
        <v>0</v>
      </c>
      <c r="EN85">
        <v>1</v>
      </c>
      <c r="EO85" t="s">
        <v>264</v>
      </c>
      <c r="EP85">
        <v>-9999</v>
      </c>
      <c r="EQ85">
        <v>343</v>
      </c>
      <c r="ER85">
        <v>332</v>
      </c>
      <c r="ES85">
        <v>312</v>
      </c>
      <c r="ET85" t="s">
        <v>270</v>
      </c>
      <c r="EU85">
        <v>0</v>
      </c>
      <c r="EV85">
        <v>55</v>
      </c>
      <c r="EW85" t="s">
        <v>551</v>
      </c>
      <c r="EX85" t="s">
        <v>552</v>
      </c>
      <c r="EY85">
        <v>138</v>
      </c>
      <c r="EZ85">
        <v>139</v>
      </c>
      <c r="FA85">
        <v>139</v>
      </c>
      <c r="FB85" t="s">
        <v>270</v>
      </c>
      <c r="FC85" t="s">
        <v>553</v>
      </c>
      <c r="FD85" t="s">
        <v>552</v>
      </c>
      <c r="FE85">
        <v>374</v>
      </c>
      <c r="FF85">
        <v>373</v>
      </c>
      <c r="FG85">
        <v>372</v>
      </c>
      <c r="FH85" t="s">
        <v>270</v>
      </c>
      <c r="FI85" t="s">
        <v>554</v>
      </c>
      <c r="FJ85" t="s">
        <v>555</v>
      </c>
      <c r="FK85">
        <v>0</v>
      </c>
      <c r="FL85">
        <v>0</v>
      </c>
      <c r="FM85">
        <v>0</v>
      </c>
      <c r="FN85" t="s">
        <v>264</v>
      </c>
      <c r="FQ85" t="s">
        <v>556</v>
      </c>
      <c r="FR85" t="s">
        <v>555</v>
      </c>
      <c r="FS85">
        <v>0</v>
      </c>
      <c r="FT85">
        <v>0</v>
      </c>
      <c r="FU85">
        <v>0</v>
      </c>
      <c r="FV85" t="s">
        <v>264</v>
      </c>
      <c r="FY85" t="s">
        <v>557</v>
      </c>
      <c r="FZ85" t="s">
        <v>555</v>
      </c>
      <c r="GA85">
        <v>0</v>
      </c>
      <c r="GB85">
        <v>0</v>
      </c>
      <c r="GC85">
        <v>0</v>
      </c>
      <c r="GD85" t="s">
        <v>264</v>
      </c>
      <c r="GG85" t="s">
        <v>558</v>
      </c>
      <c r="GH85" t="s">
        <v>555</v>
      </c>
      <c r="GI85">
        <v>0</v>
      </c>
      <c r="GJ85">
        <v>0</v>
      </c>
      <c r="GK85">
        <v>0</v>
      </c>
      <c r="GL85" t="s">
        <v>264</v>
      </c>
      <c r="GO85" t="s">
        <v>559</v>
      </c>
      <c r="GP85" t="s">
        <v>555</v>
      </c>
      <c r="GQ85">
        <v>0</v>
      </c>
      <c r="GR85">
        <v>0</v>
      </c>
      <c r="GS85">
        <v>0</v>
      </c>
      <c r="GT85" t="s">
        <v>264</v>
      </c>
      <c r="GW85" t="s">
        <v>560</v>
      </c>
      <c r="GX85" t="s">
        <v>555</v>
      </c>
      <c r="GY85">
        <v>0</v>
      </c>
      <c r="GZ85">
        <v>0</v>
      </c>
      <c r="HA85">
        <v>0</v>
      </c>
      <c r="HB85" t="s">
        <v>264</v>
      </c>
      <c r="HE85" t="s">
        <v>561</v>
      </c>
      <c r="HF85" t="s">
        <v>555</v>
      </c>
      <c r="HG85">
        <v>0</v>
      </c>
      <c r="HH85">
        <v>0</v>
      </c>
      <c r="HI85">
        <v>0</v>
      </c>
      <c r="HJ85" t="s">
        <v>264</v>
      </c>
      <c r="HM85" t="s">
        <v>562</v>
      </c>
      <c r="HN85" t="s">
        <v>555</v>
      </c>
      <c r="HO85">
        <v>0</v>
      </c>
      <c r="HP85">
        <v>0</v>
      </c>
      <c r="HQ85">
        <v>0</v>
      </c>
      <c r="HR85" t="s">
        <v>264</v>
      </c>
      <c r="HU85" t="s">
        <v>563</v>
      </c>
      <c r="HV85" t="s">
        <v>555</v>
      </c>
      <c r="HW85">
        <v>0</v>
      </c>
      <c r="HX85">
        <v>0</v>
      </c>
      <c r="HY85">
        <v>0</v>
      </c>
      <c r="HZ85" t="s">
        <v>264</v>
      </c>
      <c r="IC85" t="s">
        <v>564</v>
      </c>
      <c r="ID85" t="s">
        <v>555</v>
      </c>
      <c r="IE85">
        <v>0</v>
      </c>
      <c r="IF85">
        <v>0</v>
      </c>
      <c r="IG85">
        <v>0</v>
      </c>
      <c r="IH85" t="s">
        <v>264</v>
      </c>
      <c r="IK85" t="s">
        <v>565</v>
      </c>
      <c r="IL85" t="s">
        <v>555</v>
      </c>
      <c r="IM85">
        <v>0</v>
      </c>
      <c r="IN85">
        <v>0</v>
      </c>
      <c r="IO85">
        <v>0</v>
      </c>
      <c r="IP85" t="s">
        <v>264</v>
      </c>
      <c r="IS85" t="s">
        <v>566</v>
      </c>
      <c r="IT85" t="s">
        <v>555</v>
      </c>
      <c r="IU85">
        <v>0</v>
      </c>
      <c r="IV85">
        <v>0</v>
      </c>
      <c r="IW85">
        <v>0</v>
      </c>
      <c r="IX85" t="s">
        <v>264</v>
      </c>
      <c r="JA85" t="s">
        <v>567</v>
      </c>
      <c r="JB85" t="s">
        <v>555</v>
      </c>
      <c r="JC85">
        <v>0</v>
      </c>
      <c r="JD85">
        <v>0</v>
      </c>
      <c r="JE85">
        <v>0</v>
      </c>
      <c r="JF85" t="s">
        <v>264</v>
      </c>
      <c r="JI85" t="s">
        <v>568</v>
      </c>
      <c r="JJ85" t="s">
        <v>555</v>
      </c>
      <c r="JK85">
        <v>0</v>
      </c>
      <c r="JL85">
        <v>0</v>
      </c>
      <c r="JM85">
        <v>0</v>
      </c>
      <c r="JN85" t="s">
        <v>264</v>
      </c>
      <c r="JQ85" t="s">
        <v>569</v>
      </c>
      <c r="JR85" t="s">
        <v>555</v>
      </c>
      <c r="JS85">
        <v>0</v>
      </c>
      <c r="JT85">
        <v>0</v>
      </c>
      <c r="JU85">
        <v>0</v>
      </c>
      <c r="JV85" t="s">
        <v>264</v>
      </c>
      <c r="JY85" t="s">
        <v>570</v>
      </c>
      <c r="JZ85" t="s">
        <v>555</v>
      </c>
      <c r="KA85">
        <v>0</v>
      </c>
      <c r="KB85">
        <v>0</v>
      </c>
      <c r="KC85">
        <v>0</v>
      </c>
      <c r="KD85" t="s">
        <v>264</v>
      </c>
      <c r="KG85" t="s">
        <v>571</v>
      </c>
      <c r="KH85" t="s">
        <v>555</v>
      </c>
      <c r="KI85">
        <v>0</v>
      </c>
      <c r="KJ85">
        <v>0</v>
      </c>
      <c r="KK85">
        <v>0</v>
      </c>
      <c r="KL85" t="s">
        <v>264</v>
      </c>
      <c r="KO85" t="s">
        <v>572</v>
      </c>
      <c r="KP85" t="s">
        <v>555</v>
      </c>
      <c r="KQ85">
        <v>0</v>
      </c>
      <c r="KR85">
        <v>0</v>
      </c>
      <c r="KS85">
        <v>0</v>
      </c>
      <c r="KT85" t="s">
        <v>264</v>
      </c>
      <c r="KW85" t="s">
        <v>573</v>
      </c>
      <c r="KX85" t="s">
        <v>555</v>
      </c>
      <c r="KY85">
        <v>0</v>
      </c>
      <c r="KZ85">
        <v>0</v>
      </c>
      <c r="LA85">
        <v>0</v>
      </c>
      <c r="LB85" t="s">
        <v>264</v>
      </c>
      <c r="LE85" t="s">
        <v>574</v>
      </c>
      <c r="LF85" t="s">
        <v>555</v>
      </c>
      <c r="LG85">
        <v>0</v>
      </c>
      <c r="LH85">
        <v>0</v>
      </c>
      <c r="LI85">
        <v>0</v>
      </c>
      <c r="LJ85" t="s">
        <v>264</v>
      </c>
      <c r="LM85" t="s">
        <v>575</v>
      </c>
      <c r="LN85" t="s">
        <v>555</v>
      </c>
      <c r="LO85">
        <v>0</v>
      </c>
      <c r="LP85">
        <v>0</v>
      </c>
      <c r="LQ85">
        <v>0</v>
      </c>
      <c r="LR85" t="s">
        <v>264</v>
      </c>
      <c r="LU85" t="s">
        <v>576</v>
      </c>
      <c r="LV85" t="s">
        <v>555</v>
      </c>
      <c r="LW85">
        <v>0</v>
      </c>
      <c r="LX85">
        <v>0</v>
      </c>
      <c r="LY85">
        <v>0</v>
      </c>
      <c r="LZ85" t="s">
        <v>264</v>
      </c>
      <c r="MC85" t="s">
        <v>577</v>
      </c>
      <c r="MD85" t="s">
        <v>555</v>
      </c>
      <c r="ME85">
        <v>0</v>
      </c>
      <c r="MF85">
        <v>0</v>
      </c>
      <c r="MG85">
        <v>0</v>
      </c>
      <c r="MH85" t="s">
        <v>264</v>
      </c>
      <c r="MK85" t="s">
        <v>578</v>
      </c>
      <c r="ML85" t="s">
        <v>555</v>
      </c>
      <c r="MM85">
        <v>0</v>
      </c>
      <c r="MN85">
        <v>0</v>
      </c>
      <c r="MO85">
        <v>0</v>
      </c>
      <c r="MP85" t="s">
        <v>264</v>
      </c>
      <c r="MS85" t="s">
        <v>579</v>
      </c>
      <c r="MT85" t="s">
        <v>555</v>
      </c>
      <c r="MU85">
        <v>0</v>
      </c>
      <c r="MV85">
        <v>0</v>
      </c>
      <c r="MW85">
        <v>0</v>
      </c>
      <c r="MX85" t="s">
        <v>264</v>
      </c>
      <c r="NA85" t="s">
        <v>580</v>
      </c>
      <c r="NB85" t="s">
        <v>555</v>
      </c>
      <c r="NC85">
        <v>0</v>
      </c>
      <c r="ND85">
        <v>0</v>
      </c>
      <c r="NE85">
        <v>0</v>
      </c>
      <c r="NF85" t="s">
        <v>264</v>
      </c>
      <c r="NI85">
        <v>40.1</v>
      </c>
      <c r="NJ85">
        <v>-8.6999999999999993</v>
      </c>
      <c r="NP85" t="s">
        <v>581</v>
      </c>
    </row>
    <row r="86" spans="1:380" customFormat="1" x14ac:dyDescent="0.2">
      <c r="A86" t="s">
        <v>517</v>
      </c>
      <c r="B86">
        <v>1</v>
      </c>
      <c r="C86" t="s">
        <v>771</v>
      </c>
      <c r="D86">
        <v>646968338</v>
      </c>
      <c r="E86">
        <v>12602</v>
      </c>
      <c r="F86" t="s">
        <v>542</v>
      </c>
      <c r="G86">
        <v>750210</v>
      </c>
      <c r="H86">
        <v>617589</v>
      </c>
      <c r="I86" t="s">
        <v>543</v>
      </c>
      <c r="J86" t="s">
        <v>772</v>
      </c>
      <c r="K86" t="s">
        <v>545</v>
      </c>
      <c r="L86" t="s">
        <v>294</v>
      </c>
      <c r="M86" t="s">
        <v>546</v>
      </c>
      <c r="N86" t="s">
        <v>468</v>
      </c>
      <c r="O86" t="s">
        <v>547</v>
      </c>
      <c r="P86" t="s">
        <v>270</v>
      </c>
      <c r="Q86">
        <v>28.6</v>
      </c>
      <c r="R86">
        <v>229</v>
      </c>
      <c r="S86" t="s">
        <v>270</v>
      </c>
      <c r="T86">
        <v>-9999</v>
      </c>
      <c r="U86">
        <v>570</v>
      </c>
      <c r="V86">
        <v>588</v>
      </c>
      <c r="W86">
        <v>560</v>
      </c>
      <c r="X86" t="s">
        <v>270</v>
      </c>
      <c r="Y86">
        <v>0</v>
      </c>
      <c r="Z86">
        <v>55</v>
      </c>
      <c r="AA86" t="s">
        <v>469</v>
      </c>
      <c r="AB86" t="s">
        <v>548</v>
      </c>
      <c r="AC86">
        <v>1</v>
      </c>
      <c r="AD86" t="s">
        <v>549</v>
      </c>
      <c r="AE86">
        <v>0</v>
      </c>
      <c r="AF86">
        <v>22</v>
      </c>
      <c r="AG86" t="s">
        <v>264</v>
      </c>
      <c r="AH86">
        <v>-9999</v>
      </c>
      <c r="AI86">
        <v>483</v>
      </c>
      <c r="AJ86">
        <v>591</v>
      </c>
      <c r="AK86">
        <v>478</v>
      </c>
      <c r="AL86" t="s">
        <v>270</v>
      </c>
      <c r="AM86">
        <v>0</v>
      </c>
      <c r="AN86">
        <v>55</v>
      </c>
      <c r="AO86" t="s">
        <v>470</v>
      </c>
      <c r="AP86" t="s">
        <v>548</v>
      </c>
      <c r="AQ86">
        <v>2</v>
      </c>
      <c r="AR86" t="s">
        <v>549</v>
      </c>
      <c r="AS86">
        <v>0</v>
      </c>
      <c r="AT86">
        <v>28</v>
      </c>
      <c r="AU86" t="s">
        <v>264</v>
      </c>
      <c r="AV86">
        <v>-9999</v>
      </c>
      <c r="AW86">
        <v>332</v>
      </c>
      <c r="AX86">
        <v>348</v>
      </c>
      <c r="AY86">
        <v>329</v>
      </c>
      <c r="AZ86" t="s">
        <v>270</v>
      </c>
      <c r="BA86">
        <v>0</v>
      </c>
      <c r="BB86">
        <v>55</v>
      </c>
      <c r="BC86" t="s">
        <v>550</v>
      </c>
      <c r="BD86" t="s">
        <v>548</v>
      </c>
      <c r="BE86">
        <v>3</v>
      </c>
      <c r="BF86" t="s">
        <v>549</v>
      </c>
      <c r="BG86">
        <v>0</v>
      </c>
      <c r="BH86">
        <v>2</v>
      </c>
      <c r="BI86" t="s">
        <v>264</v>
      </c>
      <c r="BJ86">
        <v>-9999</v>
      </c>
      <c r="BK86">
        <v>106</v>
      </c>
      <c r="BL86">
        <v>143</v>
      </c>
      <c r="BM86">
        <v>109</v>
      </c>
      <c r="BN86" t="s">
        <v>270</v>
      </c>
      <c r="BO86">
        <v>0</v>
      </c>
      <c r="BP86">
        <v>55</v>
      </c>
      <c r="BQ86" t="s">
        <v>504</v>
      </c>
      <c r="BR86" t="s">
        <v>548</v>
      </c>
      <c r="BS86">
        <v>4</v>
      </c>
      <c r="BT86" t="s">
        <v>549</v>
      </c>
      <c r="BU86">
        <v>53.1</v>
      </c>
      <c r="BV86">
        <v>61</v>
      </c>
      <c r="BW86" t="s">
        <v>264</v>
      </c>
      <c r="BX86">
        <v>-9999</v>
      </c>
      <c r="BY86">
        <v>207</v>
      </c>
      <c r="BZ86">
        <v>239</v>
      </c>
      <c r="CA86">
        <v>205</v>
      </c>
      <c r="CB86" t="s">
        <v>270</v>
      </c>
      <c r="CC86">
        <v>0</v>
      </c>
      <c r="CD86">
        <v>55</v>
      </c>
      <c r="CE86" t="s">
        <v>471</v>
      </c>
      <c r="CF86" t="s">
        <v>548</v>
      </c>
      <c r="CG86">
        <v>5</v>
      </c>
      <c r="CH86" t="s">
        <v>549</v>
      </c>
      <c r="CI86">
        <v>51.9</v>
      </c>
      <c r="CJ86">
        <v>189</v>
      </c>
      <c r="CK86" t="s">
        <v>264</v>
      </c>
      <c r="CL86">
        <v>-9999</v>
      </c>
      <c r="CM86">
        <v>436</v>
      </c>
      <c r="CN86">
        <v>510</v>
      </c>
      <c r="CO86">
        <v>436</v>
      </c>
      <c r="CP86" t="s">
        <v>270</v>
      </c>
      <c r="CQ86">
        <v>0</v>
      </c>
      <c r="CR86">
        <v>55</v>
      </c>
      <c r="CS86" t="s">
        <v>472</v>
      </c>
      <c r="CT86" t="s">
        <v>548</v>
      </c>
      <c r="CU86">
        <v>6</v>
      </c>
      <c r="CV86" t="s">
        <v>549</v>
      </c>
      <c r="CW86">
        <v>53.9</v>
      </c>
      <c r="CX86">
        <v>77</v>
      </c>
      <c r="CY86" t="s">
        <v>264</v>
      </c>
      <c r="CZ86">
        <v>-9999</v>
      </c>
      <c r="DA86">
        <v>555</v>
      </c>
      <c r="DB86">
        <v>629</v>
      </c>
      <c r="DC86">
        <v>545</v>
      </c>
      <c r="DD86" t="s">
        <v>270</v>
      </c>
      <c r="DE86">
        <v>0</v>
      </c>
      <c r="DF86">
        <v>55</v>
      </c>
      <c r="DG86" t="s">
        <v>473</v>
      </c>
      <c r="DH86" t="s">
        <v>548</v>
      </c>
      <c r="DI86">
        <v>7</v>
      </c>
      <c r="DJ86" t="s">
        <v>549</v>
      </c>
      <c r="DK86">
        <v>0</v>
      </c>
      <c r="DL86">
        <v>24</v>
      </c>
      <c r="DM86" t="s">
        <v>264</v>
      </c>
      <c r="DN86">
        <v>-9999</v>
      </c>
      <c r="DO86">
        <v>526</v>
      </c>
      <c r="DP86">
        <v>601</v>
      </c>
      <c r="DQ86">
        <v>521</v>
      </c>
      <c r="DR86" t="s">
        <v>270</v>
      </c>
      <c r="DS86">
        <v>0</v>
      </c>
      <c r="DT86">
        <v>55</v>
      </c>
      <c r="DU86" t="s">
        <v>474</v>
      </c>
      <c r="DV86" t="s">
        <v>548</v>
      </c>
      <c r="DW86">
        <v>8</v>
      </c>
      <c r="DX86" t="s">
        <v>549</v>
      </c>
      <c r="DY86">
        <v>50.4</v>
      </c>
      <c r="DZ86">
        <v>42</v>
      </c>
      <c r="EA86" t="s">
        <v>264</v>
      </c>
      <c r="EB86">
        <v>-9999</v>
      </c>
      <c r="EC86">
        <v>103</v>
      </c>
      <c r="ED86">
        <v>126</v>
      </c>
      <c r="EE86">
        <v>101</v>
      </c>
      <c r="EF86" t="s">
        <v>270</v>
      </c>
      <c r="EG86">
        <v>0</v>
      </c>
      <c r="EH86">
        <v>55</v>
      </c>
      <c r="EI86" t="s">
        <v>475</v>
      </c>
      <c r="EJ86" t="s">
        <v>548</v>
      </c>
      <c r="EK86">
        <v>9</v>
      </c>
      <c r="EL86" t="s">
        <v>549</v>
      </c>
      <c r="EM86">
        <v>0</v>
      </c>
      <c r="EN86">
        <v>10</v>
      </c>
      <c r="EO86" t="s">
        <v>264</v>
      </c>
      <c r="EP86">
        <v>-9999</v>
      </c>
      <c r="EQ86">
        <v>313</v>
      </c>
      <c r="ER86">
        <v>297</v>
      </c>
      <c r="ES86">
        <v>276</v>
      </c>
      <c r="ET86" t="s">
        <v>270</v>
      </c>
      <c r="EU86">
        <v>0</v>
      </c>
      <c r="EV86">
        <v>55</v>
      </c>
      <c r="EW86" t="s">
        <v>551</v>
      </c>
      <c r="EX86" t="s">
        <v>552</v>
      </c>
      <c r="EY86">
        <v>123</v>
      </c>
      <c r="EZ86">
        <v>124</v>
      </c>
      <c r="FA86">
        <v>124</v>
      </c>
      <c r="FB86" t="s">
        <v>270</v>
      </c>
      <c r="FC86" t="s">
        <v>553</v>
      </c>
      <c r="FD86" t="s">
        <v>552</v>
      </c>
      <c r="FE86">
        <v>245</v>
      </c>
      <c r="FF86">
        <v>244</v>
      </c>
      <c r="FG86">
        <v>243</v>
      </c>
      <c r="FH86" t="s">
        <v>270</v>
      </c>
      <c r="FI86" t="s">
        <v>554</v>
      </c>
      <c r="FJ86" t="s">
        <v>555</v>
      </c>
      <c r="FK86">
        <v>0</v>
      </c>
      <c r="FL86">
        <v>0</v>
      </c>
      <c r="FM86">
        <v>0</v>
      </c>
      <c r="FN86" t="s">
        <v>264</v>
      </c>
      <c r="FQ86" t="s">
        <v>556</v>
      </c>
      <c r="FR86" t="s">
        <v>555</v>
      </c>
      <c r="FS86">
        <v>0</v>
      </c>
      <c r="FT86">
        <v>0</v>
      </c>
      <c r="FU86">
        <v>0</v>
      </c>
      <c r="FV86" t="s">
        <v>264</v>
      </c>
      <c r="FY86" t="s">
        <v>557</v>
      </c>
      <c r="FZ86" t="s">
        <v>555</v>
      </c>
      <c r="GA86">
        <v>0</v>
      </c>
      <c r="GB86">
        <v>0</v>
      </c>
      <c r="GC86">
        <v>0</v>
      </c>
      <c r="GD86" t="s">
        <v>264</v>
      </c>
      <c r="GG86" t="s">
        <v>558</v>
      </c>
      <c r="GH86" t="s">
        <v>555</v>
      </c>
      <c r="GI86">
        <v>0</v>
      </c>
      <c r="GJ86">
        <v>0</v>
      </c>
      <c r="GK86">
        <v>0</v>
      </c>
      <c r="GL86" t="s">
        <v>264</v>
      </c>
      <c r="GO86" t="s">
        <v>559</v>
      </c>
      <c r="GP86" t="s">
        <v>555</v>
      </c>
      <c r="GQ86">
        <v>0</v>
      </c>
      <c r="GR86">
        <v>0</v>
      </c>
      <c r="GS86">
        <v>0</v>
      </c>
      <c r="GT86" t="s">
        <v>264</v>
      </c>
      <c r="GW86" t="s">
        <v>560</v>
      </c>
      <c r="GX86" t="s">
        <v>555</v>
      </c>
      <c r="GY86">
        <v>0</v>
      </c>
      <c r="GZ86">
        <v>0</v>
      </c>
      <c r="HA86">
        <v>0</v>
      </c>
      <c r="HB86" t="s">
        <v>264</v>
      </c>
      <c r="HE86" t="s">
        <v>561</v>
      </c>
      <c r="HF86" t="s">
        <v>555</v>
      </c>
      <c r="HG86">
        <v>0</v>
      </c>
      <c r="HH86">
        <v>0</v>
      </c>
      <c r="HI86">
        <v>0</v>
      </c>
      <c r="HJ86" t="s">
        <v>264</v>
      </c>
      <c r="HM86" t="s">
        <v>562</v>
      </c>
      <c r="HN86" t="s">
        <v>555</v>
      </c>
      <c r="HO86">
        <v>0</v>
      </c>
      <c r="HP86">
        <v>0</v>
      </c>
      <c r="HQ86">
        <v>0</v>
      </c>
      <c r="HR86" t="s">
        <v>264</v>
      </c>
      <c r="HU86" t="s">
        <v>563</v>
      </c>
      <c r="HV86" t="s">
        <v>555</v>
      </c>
      <c r="HW86">
        <v>0</v>
      </c>
      <c r="HX86">
        <v>0</v>
      </c>
      <c r="HY86">
        <v>0</v>
      </c>
      <c r="HZ86" t="s">
        <v>264</v>
      </c>
      <c r="IC86" t="s">
        <v>564</v>
      </c>
      <c r="ID86" t="s">
        <v>555</v>
      </c>
      <c r="IE86">
        <v>0</v>
      </c>
      <c r="IF86">
        <v>0</v>
      </c>
      <c r="IG86">
        <v>0</v>
      </c>
      <c r="IH86" t="s">
        <v>264</v>
      </c>
      <c r="IK86" t="s">
        <v>565</v>
      </c>
      <c r="IL86" t="s">
        <v>555</v>
      </c>
      <c r="IM86">
        <v>0</v>
      </c>
      <c r="IN86">
        <v>0</v>
      </c>
      <c r="IO86">
        <v>0</v>
      </c>
      <c r="IP86" t="s">
        <v>264</v>
      </c>
      <c r="IS86" t="s">
        <v>566</v>
      </c>
      <c r="IT86" t="s">
        <v>555</v>
      </c>
      <c r="IU86">
        <v>0</v>
      </c>
      <c r="IV86">
        <v>0</v>
      </c>
      <c r="IW86">
        <v>0</v>
      </c>
      <c r="IX86" t="s">
        <v>264</v>
      </c>
      <c r="JA86" t="s">
        <v>567</v>
      </c>
      <c r="JB86" t="s">
        <v>555</v>
      </c>
      <c r="JC86">
        <v>0</v>
      </c>
      <c r="JD86">
        <v>0</v>
      </c>
      <c r="JE86">
        <v>0</v>
      </c>
      <c r="JF86" t="s">
        <v>264</v>
      </c>
      <c r="JI86" t="s">
        <v>568</v>
      </c>
      <c r="JJ86" t="s">
        <v>555</v>
      </c>
      <c r="JK86">
        <v>0</v>
      </c>
      <c r="JL86">
        <v>0</v>
      </c>
      <c r="JM86">
        <v>0</v>
      </c>
      <c r="JN86" t="s">
        <v>264</v>
      </c>
      <c r="JQ86" t="s">
        <v>569</v>
      </c>
      <c r="JR86" t="s">
        <v>555</v>
      </c>
      <c r="JS86">
        <v>0</v>
      </c>
      <c r="JT86">
        <v>0</v>
      </c>
      <c r="JU86">
        <v>0</v>
      </c>
      <c r="JV86" t="s">
        <v>264</v>
      </c>
      <c r="JY86" t="s">
        <v>570</v>
      </c>
      <c r="JZ86" t="s">
        <v>555</v>
      </c>
      <c r="KA86">
        <v>0</v>
      </c>
      <c r="KB86">
        <v>0</v>
      </c>
      <c r="KC86">
        <v>0</v>
      </c>
      <c r="KD86" t="s">
        <v>264</v>
      </c>
      <c r="KG86" t="s">
        <v>571</v>
      </c>
      <c r="KH86" t="s">
        <v>555</v>
      </c>
      <c r="KI86">
        <v>0</v>
      </c>
      <c r="KJ86">
        <v>0</v>
      </c>
      <c r="KK86">
        <v>0</v>
      </c>
      <c r="KL86" t="s">
        <v>264</v>
      </c>
      <c r="KO86" t="s">
        <v>572</v>
      </c>
      <c r="KP86" t="s">
        <v>555</v>
      </c>
      <c r="KQ86">
        <v>0</v>
      </c>
      <c r="KR86">
        <v>0</v>
      </c>
      <c r="KS86">
        <v>0</v>
      </c>
      <c r="KT86" t="s">
        <v>264</v>
      </c>
      <c r="KW86" t="s">
        <v>573</v>
      </c>
      <c r="KX86" t="s">
        <v>555</v>
      </c>
      <c r="KY86">
        <v>0</v>
      </c>
      <c r="KZ86">
        <v>0</v>
      </c>
      <c r="LA86">
        <v>0</v>
      </c>
      <c r="LB86" t="s">
        <v>264</v>
      </c>
      <c r="LE86" t="s">
        <v>574</v>
      </c>
      <c r="LF86" t="s">
        <v>555</v>
      </c>
      <c r="LG86">
        <v>0</v>
      </c>
      <c r="LH86">
        <v>0</v>
      </c>
      <c r="LI86">
        <v>0</v>
      </c>
      <c r="LJ86" t="s">
        <v>264</v>
      </c>
      <c r="LM86" t="s">
        <v>575</v>
      </c>
      <c r="LN86" t="s">
        <v>555</v>
      </c>
      <c r="LO86">
        <v>0</v>
      </c>
      <c r="LP86">
        <v>0</v>
      </c>
      <c r="LQ86">
        <v>0</v>
      </c>
      <c r="LR86" t="s">
        <v>264</v>
      </c>
      <c r="LU86" t="s">
        <v>576</v>
      </c>
      <c r="LV86" t="s">
        <v>555</v>
      </c>
      <c r="LW86">
        <v>0</v>
      </c>
      <c r="LX86">
        <v>0</v>
      </c>
      <c r="LY86">
        <v>0</v>
      </c>
      <c r="LZ86" t="s">
        <v>264</v>
      </c>
      <c r="MC86" t="s">
        <v>577</v>
      </c>
      <c r="MD86" t="s">
        <v>555</v>
      </c>
      <c r="ME86">
        <v>0</v>
      </c>
      <c r="MF86">
        <v>0</v>
      </c>
      <c r="MG86">
        <v>0</v>
      </c>
      <c r="MH86" t="s">
        <v>264</v>
      </c>
      <c r="MK86" t="s">
        <v>578</v>
      </c>
      <c r="ML86" t="s">
        <v>555</v>
      </c>
      <c r="MM86">
        <v>0</v>
      </c>
      <c r="MN86">
        <v>0</v>
      </c>
      <c r="MO86">
        <v>0</v>
      </c>
      <c r="MP86" t="s">
        <v>264</v>
      </c>
      <c r="MS86" t="s">
        <v>579</v>
      </c>
      <c r="MT86" t="s">
        <v>555</v>
      </c>
      <c r="MU86">
        <v>0</v>
      </c>
      <c r="MV86">
        <v>0</v>
      </c>
      <c r="MW86">
        <v>0</v>
      </c>
      <c r="MX86" t="s">
        <v>264</v>
      </c>
      <c r="NA86" t="s">
        <v>580</v>
      </c>
      <c r="NB86" t="s">
        <v>555</v>
      </c>
      <c r="NC86">
        <v>0</v>
      </c>
      <c r="ND86">
        <v>0</v>
      </c>
      <c r="NE86">
        <v>0</v>
      </c>
      <c r="NF86" t="s">
        <v>264</v>
      </c>
      <c r="NI86">
        <v>40</v>
      </c>
      <c r="NJ86">
        <v>-9.6999999999999993</v>
      </c>
      <c r="NP86" t="s">
        <v>581</v>
      </c>
    </row>
    <row r="87" spans="1:380" customFormat="1" x14ac:dyDescent="0.2">
      <c r="A87" t="s">
        <v>517</v>
      </c>
      <c r="B87">
        <v>1</v>
      </c>
      <c r="C87" t="s">
        <v>773</v>
      </c>
      <c r="D87">
        <v>646968035</v>
      </c>
      <c r="E87">
        <v>12602</v>
      </c>
      <c r="F87" t="s">
        <v>542</v>
      </c>
      <c r="G87">
        <v>750210</v>
      </c>
      <c r="H87">
        <v>867864</v>
      </c>
      <c r="I87" t="s">
        <v>543</v>
      </c>
      <c r="J87" t="s">
        <v>774</v>
      </c>
      <c r="K87" t="s">
        <v>545</v>
      </c>
      <c r="L87" t="s">
        <v>294</v>
      </c>
      <c r="M87" t="s">
        <v>546</v>
      </c>
      <c r="N87" t="s">
        <v>468</v>
      </c>
      <c r="O87" t="s">
        <v>547</v>
      </c>
      <c r="P87" t="s">
        <v>270</v>
      </c>
      <c r="Q87">
        <v>28.1</v>
      </c>
      <c r="R87">
        <v>224</v>
      </c>
      <c r="S87" t="s">
        <v>270</v>
      </c>
      <c r="T87">
        <v>-9999</v>
      </c>
      <c r="U87">
        <v>605</v>
      </c>
      <c r="V87">
        <v>624</v>
      </c>
      <c r="W87">
        <v>593</v>
      </c>
      <c r="X87" t="s">
        <v>270</v>
      </c>
      <c r="Y87">
        <v>0</v>
      </c>
      <c r="Z87">
        <v>55</v>
      </c>
      <c r="AA87" t="s">
        <v>469</v>
      </c>
      <c r="AB87" t="s">
        <v>548</v>
      </c>
      <c r="AC87">
        <v>1</v>
      </c>
      <c r="AD87" t="s">
        <v>549</v>
      </c>
      <c r="AE87">
        <v>0</v>
      </c>
      <c r="AF87">
        <v>69</v>
      </c>
      <c r="AG87" t="s">
        <v>264</v>
      </c>
      <c r="AH87">
        <v>-9999</v>
      </c>
      <c r="AI87">
        <v>473</v>
      </c>
      <c r="AJ87">
        <v>587</v>
      </c>
      <c r="AK87">
        <v>473</v>
      </c>
      <c r="AL87" t="s">
        <v>270</v>
      </c>
      <c r="AM87">
        <v>0</v>
      </c>
      <c r="AN87">
        <v>55</v>
      </c>
      <c r="AO87" t="s">
        <v>470</v>
      </c>
      <c r="AP87" t="s">
        <v>548</v>
      </c>
      <c r="AQ87">
        <v>2</v>
      </c>
      <c r="AR87" t="s">
        <v>549</v>
      </c>
      <c r="AS87">
        <v>54.8</v>
      </c>
      <c r="AT87">
        <v>44</v>
      </c>
      <c r="AU87" t="s">
        <v>264</v>
      </c>
      <c r="AV87">
        <v>-9999</v>
      </c>
      <c r="AW87">
        <v>391</v>
      </c>
      <c r="AX87">
        <v>411</v>
      </c>
      <c r="AY87">
        <v>389</v>
      </c>
      <c r="AZ87" t="s">
        <v>270</v>
      </c>
      <c r="BA87">
        <v>0</v>
      </c>
      <c r="BB87">
        <v>55</v>
      </c>
      <c r="BC87" t="s">
        <v>550</v>
      </c>
      <c r="BD87" t="s">
        <v>548</v>
      </c>
      <c r="BE87">
        <v>3</v>
      </c>
      <c r="BF87" t="s">
        <v>549</v>
      </c>
      <c r="BG87">
        <v>0</v>
      </c>
      <c r="BH87">
        <v>-27</v>
      </c>
      <c r="BI87" t="s">
        <v>264</v>
      </c>
      <c r="BJ87">
        <v>-9999</v>
      </c>
      <c r="BK87">
        <v>204</v>
      </c>
      <c r="BL87">
        <v>248</v>
      </c>
      <c r="BM87">
        <v>201</v>
      </c>
      <c r="BN87" t="s">
        <v>270</v>
      </c>
      <c r="BO87">
        <v>0</v>
      </c>
      <c r="BP87">
        <v>55</v>
      </c>
      <c r="BQ87" t="s">
        <v>504</v>
      </c>
      <c r="BR87" t="s">
        <v>548</v>
      </c>
      <c r="BS87">
        <v>4</v>
      </c>
      <c r="BT87" t="s">
        <v>549</v>
      </c>
      <c r="BU87">
        <v>51.5</v>
      </c>
      <c r="BV87">
        <v>126</v>
      </c>
      <c r="BW87" t="s">
        <v>264</v>
      </c>
      <c r="BX87">
        <v>-9999</v>
      </c>
      <c r="BY87">
        <v>207</v>
      </c>
      <c r="BZ87">
        <v>241</v>
      </c>
      <c r="CA87">
        <v>206</v>
      </c>
      <c r="CB87" t="s">
        <v>270</v>
      </c>
      <c r="CC87">
        <v>0</v>
      </c>
      <c r="CD87">
        <v>55</v>
      </c>
      <c r="CE87" t="s">
        <v>471</v>
      </c>
      <c r="CF87" t="s">
        <v>548</v>
      </c>
      <c r="CG87">
        <v>5</v>
      </c>
      <c r="CH87" t="s">
        <v>549</v>
      </c>
      <c r="CI87">
        <v>50.1</v>
      </c>
      <c r="CJ87">
        <v>365</v>
      </c>
      <c r="CK87" t="s">
        <v>264</v>
      </c>
      <c r="CL87">
        <v>-9999</v>
      </c>
      <c r="CM87">
        <v>429</v>
      </c>
      <c r="CN87">
        <v>500</v>
      </c>
      <c r="CO87">
        <v>428</v>
      </c>
      <c r="CP87" t="s">
        <v>270</v>
      </c>
      <c r="CQ87">
        <v>0</v>
      </c>
      <c r="CR87">
        <v>55</v>
      </c>
      <c r="CS87" t="s">
        <v>472</v>
      </c>
      <c r="CT87" t="s">
        <v>548</v>
      </c>
      <c r="CU87">
        <v>6</v>
      </c>
      <c r="CV87" t="s">
        <v>549</v>
      </c>
      <c r="CW87">
        <v>52.5</v>
      </c>
      <c r="CX87">
        <v>138</v>
      </c>
      <c r="CY87" t="s">
        <v>264</v>
      </c>
      <c r="CZ87">
        <v>-9999</v>
      </c>
      <c r="DA87">
        <v>599</v>
      </c>
      <c r="DB87">
        <v>681</v>
      </c>
      <c r="DC87">
        <v>590</v>
      </c>
      <c r="DD87" t="s">
        <v>270</v>
      </c>
      <c r="DE87">
        <v>0</v>
      </c>
      <c r="DF87">
        <v>55</v>
      </c>
      <c r="DG87" t="s">
        <v>473</v>
      </c>
      <c r="DH87" t="s">
        <v>548</v>
      </c>
      <c r="DI87">
        <v>7</v>
      </c>
      <c r="DJ87" t="s">
        <v>549</v>
      </c>
      <c r="DK87">
        <v>0</v>
      </c>
      <c r="DL87">
        <v>35</v>
      </c>
      <c r="DM87" t="s">
        <v>264</v>
      </c>
      <c r="DN87">
        <v>-9999</v>
      </c>
      <c r="DO87">
        <v>576</v>
      </c>
      <c r="DP87">
        <v>660</v>
      </c>
      <c r="DQ87">
        <v>571</v>
      </c>
      <c r="DR87" t="s">
        <v>270</v>
      </c>
      <c r="DS87">
        <v>0</v>
      </c>
      <c r="DT87">
        <v>55</v>
      </c>
      <c r="DU87" t="s">
        <v>474</v>
      </c>
      <c r="DV87" t="s">
        <v>548</v>
      </c>
      <c r="DW87">
        <v>8</v>
      </c>
      <c r="DX87" t="s">
        <v>549</v>
      </c>
      <c r="DY87">
        <v>51.6</v>
      </c>
      <c r="DZ87">
        <v>27</v>
      </c>
      <c r="EA87" t="s">
        <v>264</v>
      </c>
      <c r="EB87">
        <v>-9999</v>
      </c>
      <c r="EC87">
        <v>128</v>
      </c>
      <c r="ED87">
        <v>153</v>
      </c>
      <c r="EE87">
        <v>125</v>
      </c>
      <c r="EF87" t="s">
        <v>270</v>
      </c>
      <c r="EG87">
        <v>0</v>
      </c>
      <c r="EH87">
        <v>55</v>
      </c>
      <c r="EI87" t="s">
        <v>475</v>
      </c>
      <c r="EJ87" t="s">
        <v>548</v>
      </c>
      <c r="EK87">
        <v>9</v>
      </c>
      <c r="EL87" t="s">
        <v>549</v>
      </c>
      <c r="EM87">
        <v>52.8</v>
      </c>
      <c r="EN87">
        <v>29</v>
      </c>
      <c r="EO87" t="s">
        <v>264</v>
      </c>
      <c r="EP87">
        <v>-9999</v>
      </c>
      <c r="EQ87">
        <v>283</v>
      </c>
      <c r="ER87">
        <v>260</v>
      </c>
      <c r="ES87">
        <v>242</v>
      </c>
      <c r="ET87" t="s">
        <v>270</v>
      </c>
      <c r="EU87">
        <v>0</v>
      </c>
      <c r="EV87">
        <v>55</v>
      </c>
      <c r="EW87" t="s">
        <v>551</v>
      </c>
      <c r="EX87" t="s">
        <v>552</v>
      </c>
      <c r="EY87">
        <v>154</v>
      </c>
      <c r="EZ87">
        <v>155</v>
      </c>
      <c r="FA87">
        <v>155</v>
      </c>
      <c r="FB87" t="s">
        <v>270</v>
      </c>
      <c r="FC87" t="s">
        <v>553</v>
      </c>
      <c r="FD87" t="s">
        <v>552</v>
      </c>
      <c r="FE87">
        <v>339</v>
      </c>
      <c r="FF87">
        <v>338</v>
      </c>
      <c r="FG87">
        <v>337</v>
      </c>
      <c r="FH87" t="s">
        <v>270</v>
      </c>
      <c r="FI87" t="s">
        <v>554</v>
      </c>
      <c r="FJ87" t="s">
        <v>555</v>
      </c>
      <c r="FK87">
        <v>0</v>
      </c>
      <c r="FL87">
        <v>0</v>
      </c>
      <c r="FM87">
        <v>0</v>
      </c>
      <c r="FN87" t="s">
        <v>264</v>
      </c>
      <c r="FQ87" t="s">
        <v>556</v>
      </c>
      <c r="FR87" t="s">
        <v>555</v>
      </c>
      <c r="FS87">
        <v>0</v>
      </c>
      <c r="FT87">
        <v>0</v>
      </c>
      <c r="FU87">
        <v>0</v>
      </c>
      <c r="FV87" t="s">
        <v>264</v>
      </c>
      <c r="FY87" t="s">
        <v>557</v>
      </c>
      <c r="FZ87" t="s">
        <v>555</v>
      </c>
      <c r="GA87">
        <v>0</v>
      </c>
      <c r="GB87">
        <v>0</v>
      </c>
      <c r="GC87">
        <v>0</v>
      </c>
      <c r="GD87" t="s">
        <v>264</v>
      </c>
      <c r="GG87" t="s">
        <v>558</v>
      </c>
      <c r="GH87" t="s">
        <v>555</v>
      </c>
      <c r="GI87">
        <v>0</v>
      </c>
      <c r="GJ87">
        <v>0</v>
      </c>
      <c r="GK87">
        <v>0</v>
      </c>
      <c r="GL87" t="s">
        <v>264</v>
      </c>
      <c r="GO87" t="s">
        <v>559</v>
      </c>
      <c r="GP87" t="s">
        <v>555</v>
      </c>
      <c r="GQ87">
        <v>0</v>
      </c>
      <c r="GR87">
        <v>0</v>
      </c>
      <c r="GS87">
        <v>0</v>
      </c>
      <c r="GT87" t="s">
        <v>264</v>
      </c>
      <c r="GW87" t="s">
        <v>560</v>
      </c>
      <c r="GX87" t="s">
        <v>555</v>
      </c>
      <c r="GY87">
        <v>0</v>
      </c>
      <c r="GZ87">
        <v>0</v>
      </c>
      <c r="HA87">
        <v>0</v>
      </c>
      <c r="HB87" t="s">
        <v>264</v>
      </c>
      <c r="HE87" t="s">
        <v>561</v>
      </c>
      <c r="HF87" t="s">
        <v>555</v>
      </c>
      <c r="HG87">
        <v>0</v>
      </c>
      <c r="HH87">
        <v>0</v>
      </c>
      <c r="HI87">
        <v>0</v>
      </c>
      <c r="HJ87" t="s">
        <v>264</v>
      </c>
      <c r="HM87" t="s">
        <v>562</v>
      </c>
      <c r="HN87" t="s">
        <v>555</v>
      </c>
      <c r="HO87">
        <v>0</v>
      </c>
      <c r="HP87">
        <v>0</v>
      </c>
      <c r="HQ87">
        <v>0</v>
      </c>
      <c r="HR87" t="s">
        <v>264</v>
      </c>
      <c r="HU87" t="s">
        <v>563</v>
      </c>
      <c r="HV87" t="s">
        <v>555</v>
      </c>
      <c r="HW87">
        <v>0</v>
      </c>
      <c r="HX87">
        <v>0</v>
      </c>
      <c r="HY87">
        <v>0</v>
      </c>
      <c r="HZ87" t="s">
        <v>264</v>
      </c>
      <c r="IC87" t="s">
        <v>564</v>
      </c>
      <c r="ID87" t="s">
        <v>555</v>
      </c>
      <c r="IE87">
        <v>0</v>
      </c>
      <c r="IF87">
        <v>0</v>
      </c>
      <c r="IG87">
        <v>0</v>
      </c>
      <c r="IH87" t="s">
        <v>264</v>
      </c>
      <c r="IK87" t="s">
        <v>565</v>
      </c>
      <c r="IL87" t="s">
        <v>555</v>
      </c>
      <c r="IM87">
        <v>0</v>
      </c>
      <c r="IN87">
        <v>0</v>
      </c>
      <c r="IO87">
        <v>0</v>
      </c>
      <c r="IP87" t="s">
        <v>264</v>
      </c>
      <c r="IS87" t="s">
        <v>566</v>
      </c>
      <c r="IT87" t="s">
        <v>555</v>
      </c>
      <c r="IU87">
        <v>0</v>
      </c>
      <c r="IV87">
        <v>0</v>
      </c>
      <c r="IW87">
        <v>0</v>
      </c>
      <c r="IX87" t="s">
        <v>264</v>
      </c>
      <c r="JA87" t="s">
        <v>567</v>
      </c>
      <c r="JB87" t="s">
        <v>555</v>
      </c>
      <c r="JC87">
        <v>0</v>
      </c>
      <c r="JD87">
        <v>0</v>
      </c>
      <c r="JE87">
        <v>0</v>
      </c>
      <c r="JF87" t="s">
        <v>264</v>
      </c>
      <c r="JI87" t="s">
        <v>568</v>
      </c>
      <c r="JJ87" t="s">
        <v>555</v>
      </c>
      <c r="JK87">
        <v>0</v>
      </c>
      <c r="JL87">
        <v>0</v>
      </c>
      <c r="JM87">
        <v>0</v>
      </c>
      <c r="JN87" t="s">
        <v>264</v>
      </c>
      <c r="JQ87" t="s">
        <v>569</v>
      </c>
      <c r="JR87" t="s">
        <v>555</v>
      </c>
      <c r="JS87">
        <v>0</v>
      </c>
      <c r="JT87">
        <v>0</v>
      </c>
      <c r="JU87">
        <v>0</v>
      </c>
      <c r="JV87" t="s">
        <v>264</v>
      </c>
      <c r="JY87" t="s">
        <v>570</v>
      </c>
      <c r="JZ87" t="s">
        <v>555</v>
      </c>
      <c r="KA87">
        <v>0</v>
      </c>
      <c r="KB87">
        <v>0</v>
      </c>
      <c r="KC87">
        <v>0</v>
      </c>
      <c r="KD87" t="s">
        <v>264</v>
      </c>
      <c r="KG87" t="s">
        <v>571</v>
      </c>
      <c r="KH87" t="s">
        <v>555</v>
      </c>
      <c r="KI87">
        <v>0</v>
      </c>
      <c r="KJ87">
        <v>0</v>
      </c>
      <c r="KK87">
        <v>0</v>
      </c>
      <c r="KL87" t="s">
        <v>264</v>
      </c>
      <c r="KO87" t="s">
        <v>572</v>
      </c>
      <c r="KP87" t="s">
        <v>555</v>
      </c>
      <c r="KQ87">
        <v>0</v>
      </c>
      <c r="KR87">
        <v>0</v>
      </c>
      <c r="KS87">
        <v>0</v>
      </c>
      <c r="KT87" t="s">
        <v>264</v>
      </c>
      <c r="KW87" t="s">
        <v>573</v>
      </c>
      <c r="KX87" t="s">
        <v>555</v>
      </c>
      <c r="KY87">
        <v>0</v>
      </c>
      <c r="KZ87">
        <v>0</v>
      </c>
      <c r="LA87">
        <v>0</v>
      </c>
      <c r="LB87" t="s">
        <v>264</v>
      </c>
      <c r="LE87" t="s">
        <v>574</v>
      </c>
      <c r="LF87" t="s">
        <v>555</v>
      </c>
      <c r="LG87">
        <v>0</v>
      </c>
      <c r="LH87">
        <v>0</v>
      </c>
      <c r="LI87">
        <v>0</v>
      </c>
      <c r="LJ87" t="s">
        <v>264</v>
      </c>
      <c r="LM87" t="s">
        <v>575</v>
      </c>
      <c r="LN87" t="s">
        <v>555</v>
      </c>
      <c r="LO87">
        <v>0</v>
      </c>
      <c r="LP87">
        <v>0</v>
      </c>
      <c r="LQ87">
        <v>0</v>
      </c>
      <c r="LR87" t="s">
        <v>264</v>
      </c>
      <c r="LU87" t="s">
        <v>576</v>
      </c>
      <c r="LV87" t="s">
        <v>555</v>
      </c>
      <c r="LW87">
        <v>0</v>
      </c>
      <c r="LX87">
        <v>0</v>
      </c>
      <c r="LY87">
        <v>0</v>
      </c>
      <c r="LZ87" t="s">
        <v>264</v>
      </c>
      <c r="MC87" t="s">
        <v>577</v>
      </c>
      <c r="MD87" t="s">
        <v>555</v>
      </c>
      <c r="ME87">
        <v>0</v>
      </c>
      <c r="MF87">
        <v>0</v>
      </c>
      <c r="MG87">
        <v>0</v>
      </c>
      <c r="MH87" t="s">
        <v>264</v>
      </c>
      <c r="MK87" t="s">
        <v>578</v>
      </c>
      <c r="ML87" t="s">
        <v>555</v>
      </c>
      <c r="MM87">
        <v>0</v>
      </c>
      <c r="MN87">
        <v>0</v>
      </c>
      <c r="MO87">
        <v>0</v>
      </c>
      <c r="MP87" t="s">
        <v>264</v>
      </c>
      <c r="MS87" t="s">
        <v>579</v>
      </c>
      <c r="MT87" t="s">
        <v>555</v>
      </c>
      <c r="MU87">
        <v>0</v>
      </c>
      <c r="MV87">
        <v>0</v>
      </c>
      <c r="MW87">
        <v>0</v>
      </c>
      <c r="MX87" t="s">
        <v>264</v>
      </c>
      <c r="NA87" t="s">
        <v>580</v>
      </c>
      <c r="NB87" t="s">
        <v>555</v>
      </c>
      <c r="NC87">
        <v>0</v>
      </c>
      <c r="ND87">
        <v>0</v>
      </c>
      <c r="NE87">
        <v>0</v>
      </c>
      <c r="NF87" t="s">
        <v>264</v>
      </c>
      <c r="NI87">
        <v>40</v>
      </c>
      <c r="NJ87">
        <v>-8.1</v>
      </c>
      <c r="NP87" t="s">
        <v>581</v>
      </c>
    </row>
    <row r="88" spans="1:380" customFormat="1" x14ac:dyDescent="0.2">
      <c r="A88" t="s">
        <v>517</v>
      </c>
      <c r="B88">
        <v>1</v>
      </c>
      <c r="C88" t="s">
        <v>775</v>
      </c>
      <c r="D88">
        <v>646968339</v>
      </c>
      <c r="E88">
        <v>12602</v>
      </c>
      <c r="F88" t="s">
        <v>542</v>
      </c>
      <c r="G88">
        <v>750210</v>
      </c>
      <c r="H88">
        <v>914330</v>
      </c>
      <c r="I88" t="s">
        <v>543</v>
      </c>
      <c r="J88" t="s">
        <v>776</v>
      </c>
      <c r="K88" t="s">
        <v>545</v>
      </c>
      <c r="L88" t="s">
        <v>294</v>
      </c>
      <c r="M88" t="s">
        <v>546</v>
      </c>
      <c r="N88" t="s">
        <v>468</v>
      </c>
      <c r="O88" t="s">
        <v>547</v>
      </c>
      <c r="P88" t="s">
        <v>270</v>
      </c>
      <c r="Q88">
        <v>27.5</v>
      </c>
      <c r="R88">
        <v>251</v>
      </c>
      <c r="S88" t="s">
        <v>270</v>
      </c>
      <c r="T88">
        <v>-9999</v>
      </c>
      <c r="U88">
        <v>430</v>
      </c>
      <c r="V88">
        <v>444</v>
      </c>
      <c r="W88">
        <v>424</v>
      </c>
      <c r="X88" t="s">
        <v>270</v>
      </c>
      <c r="Y88">
        <v>0</v>
      </c>
      <c r="Z88">
        <v>55</v>
      </c>
      <c r="AA88" t="s">
        <v>469</v>
      </c>
      <c r="AB88" t="s">
        <v>548</v>
      </c>
      <c r="AC88">
        <v>1</v>
      </c>
      <c r="AD88" t="s">
        <v>549</v>
      </c>
      <c r="AE88">
        <v>0</v>
      </c>
      <c r="AF88">
        <v>13</v>
      </c>
      <c r="AG88" t="s">
        <v>264</v>
      </c>
      <c r="AH88">
        <v>-9999</v>
      </c>
      <c r="AI88">
        <v>413</v>
      </c>
      <c r="AJ88">
        <v>512</v>
      </c>
      <c r="AK88">
        <v>412</v>
      </c>
      <c r="AL88" t="s">
        <v>270</v>
      </c>
      <c r="AM88">
        <v>0</v>
      </c>
      <c r="AN88">
        <v>55</v>
      </c>
      <c r="AO88" t="s">
        <v>470</v>
      </c>
      <c r="AP88" t="s">
        <v>548</v>
      </c>
      <c r="AQ88">
        <v>2</v>
      </c>
      <c r="AR88" t="s">
        <v>549</v>
      </c>
      <c r="AS88">
        <v>0</v>
      </c>
      <c r="AT88">
        <v>34</v>
      </c>
      <c r="AU88" t="s">
        <v>264</v>
      </c>
      <c r="AV88">
        <v>-9999</v>
      </c>
      <c r="AW88">
        <v>333</v>
      </c>
      <c r="AX88">
        <v>349</v>
      </c>
      <c r="AY88">
        <v>332</v>
      </c>
      <c r="AZ88" t="s">
        <v>270</v>
      </c>
      <c r="BA88">
        <v>0</v>
      </c>
      <c r="BB88">
        <v>55</v>
      </c>
      <c r="BC88" t="s">
        <v>550</v>
      </c>
      <c r="BD88" t="s">
        <v>548</v>
      </c>
      <c r="BE88">
        <v>3</v>
      </c>
      <c r="BF88" t="s">
        <v>549</v>
      </c>
      <c r="BG88">
        <v>0</v>
      </c>
      <c r="BH88">
        <v>-2</v>
      </c>
      <c r="BI88" t="s">
        <v>264</v>
      </c>
      <c r="BJ88">
        <v>-9999</v>
      </c>
      <c r="BK88">
        <v>179</v>
      </c>
      <c r="BL88">
        <v>219</v>
      </c>
      <c r="BM88">
        <v>176</v>
      </c>
      <c r="BN88" t="s">
        <v>270</v>
      </c>
      <c r="BO88">
        <v>0</v>
      </c>
      <c r="BP88">
        <v>55</v>
      </c>
      <c r="BQ88" t="s">
        <v>504</v>
      </c>
      <c r="BR88" t="s">
        <v>548</v>
      </c>
      <c r="BS88">
        <v>4</v>
      </c>
      <c r="BT88" t="s">
        <v>549</v>
      </c>
      <c r="BU88">
        <v>51.7</v>
      </c>
      <c r="BV88">
        <v>102</v>
      </c>
      <c r="BW88" t="s">
        <v>264</v>
      </c>
      <c r="BX88">
        <v>-9999</v>
      </c>
      <c r="BY88">
        <v>178</v>
      </c>
      <c r="BZ88">
        <v>207</v>
      </c>
      <c r="CA88">
        <v>176</v>
      </c>
      <c r="CB88" t="s">
        <v>270</v>
      </c>
      <c r="CC88">
        <v>0</v>
      </c>
      <c r="CD88">
        <v>55</v>
      </c>
      <c r="CE88" t="s">
        <v>471</v>
      </c>
      <c r="CF88" t="s">
        <v>548</v>
      </c>
      <c r="CG88">
        <v>5</v>
      </c>
      <c r="CH88" t="s">
        <v>549</v>
      </c>
      <c r="CI88">
        <v>51.2</v>
      </c>
      <c r="CJ88">
        <v>223</v>
      </c>
      <c r="CK88" t="s">
        <v>264</v>
      </c>
      <c r="CL88">
        <v>-9999</v>
      </c>
      <c r="CM88">
        <v>459</v>
      </c>
      <c r="CN88">
        <v>531</v>
      </c>
      <c r="CO88">
        <v>458</v>
      </c>
      <c r="CP88" t="s">
        <v>270</v>
      </c>
      <c r="CQ88">
        <v>0</v>
      </c>
      <c r="CR88">
        <v>55</v>
      </c>
      <c r="CS88" t="s">
        <v>472</v>
      </c>
      <c r="CT88" t="s">
        <v>548</v>
      </c>
      <c r="CU88">
        <v>6</v>
      </c>
      <c r="CV88" t="s">
        <v>549</v>
      </c>
      <c r="CW88">
        <v>52.8</v>
      </c>
      <c r="CX88">
        <v>116</v>
      </c>
      <c r="CY88" t="s">
        <v>264</v>
      </c>
      <c r="CZ88">
        <v>-9999</v>
      </c>
      <c r="DA88">
        <v>528</v>
      </c>
      <c r="DB88">
        <v>599</v>
      </c>
      <c r="DC88">
        <v>518</v>
      </c>
      <c r="DD88" t="s">
        <v>270</v>
      </c>
      <c r="DE88">
        <v>0</v>
      </c>
      <c r="DF88">
        <v>55</v>
      </c>
      <c r="DG88" t="s">
        <v>473</v>
      </c>
      <c r="DH88" t="s">
        <v>548</v>
      </c>
      <c r="DI88">
        <v>7</v>
      </c>
      <c r="DJ88" t="s">
        <v>549</v>
      </c>
      <c r="DK88">
        <v>0</v>
      </c>
      <c r="DL88">
        <v>27</v>
      </c>
      <c r="DM88" t="s">
        <v>264</v>
      </c>
      <c r="DN88">
        <v>-9999</v>
      </c>
      <c r="DO88">
        <v>449</v>
      </c>
      <c r="DP88">
        <v>515</v>
      </c>
      <c r="DQ88">
        <v>444</v>
      </c>
      <c r="DR88" t="s">
        <v>270</v>
      </c>
      <c r="DS88">
        <v>0</v>
      </c>
      <c r="DT88">
        <v>55</v>
      </c>
      <c r="DU88" t="s">
        <v>474</v>
      </c>
      <c r="DV88" t="s">
        <v>548</v>
      </c>
      <c r="DW88">
        <v>8</v>
      </c>
      <c r="DX88" t="s">
        <v>549</v>
      </c>
      <c r="DY88">
        <v>50.1</v>
      </c>
      <c r="DZ88">
        <v>46</v>
      </c>
      <c r="EA88" t="s">
        <v>264</v>
      </c>
      <c r="EB88">
        <v>-9999</v>
      </c>
      <c r="EC88">
        <v>77</v>
      </c>
      <c r="ED88">
        <v>96</v>
      </c>
      <c r="EE88">
        <v>75</v>
      </c>
      <c r="EF88" t="s">
        <v>270</v>
      </c>
      <c r="EG88">
        <v>0</v>
      </c>
      <c r="EH88">
        <v>55</v>
      </c>
      <c r="EI88" t="s">
        <v>475</v>
      </c>
      <c r="EJ88" t="s">
        <v>548</v>
      </c>
      <c r="EK88">
        <v>9</v>
      </c>
      <c r="EL88" t="s">
        <v>549</v>
      </c>
      <c r="EM88">
        <v>0</v>
      </c>
      <c r="EN88">
        <v>-1</v>
      </c>
      <c r="EO88" t="s">
        <v>264</v>
      </c>
      <c r="EP88">
        <v>-9999</v>
      </c>
      <c r="EQ88">
        <v>288</v>
      </c>
      <c r="ER88">
        <v>264</v>
      </c>
      <c r="ES88">
        <v>244</v>
      </c>
      <c r="ET88" t="s">
        <v>270</v>
      </c>
      <c r="EU88">
        <v>0</v>
      </c>
      <c r="EV88">
        <v>55</v>
      </c>
      <c r="EW88" t="s">
        <v>551</v>
      </c>
      <c r="EX88" t="s">
        <v>552</v>
      </c>
      <c r="EY88">
        <v>125</v>
      </c>
      <c r="EZ88">
        <v>126</v>
      </c>
      <c r="FA88">
        <v>126</v>
      </c>
      <c r="FB88" t="s">
        <v>270</v>
      </c>
      <c r="FC88" t="s">
        <v>553</v>
      </c>
      <c r="FD88" t="s">
        <v>552</v>
      </c>
      <c r="FE88">
        <v>270</v>
      </c>
      <c r="FF88">
        <v>269</v>
      </c>
      <c r="FG88">
        <v>268</v>
      </c>
      <c r="FH88" t="s">
        <v>270</v>
      </c>
      <c r="FI88" t="s">
        <v>554</v>
      </c>
      <c r="FJ88" t="s">
        <v>555</v>
      </c>
      <c r="FK88">
        <v>0</v>
      </c>
      <c r="FL88">
        <v>0</v>
      </c>
      <c r="FM88">
        <v>0</v>
      </c>
      <c r="FN88" t="s">
        <v>264</v>
      </c>
      <c r="FQ88" t="s">
        <v>556</v>
      </c>
      <c r="FR88" t="s">
        <v>555</v>
      </c>
      <c r="FS88">
        <v>0</v>
      </c>
      <c r="FT88">
        <v>0</v>
      </c>
      <c r="FU88">
        <v>0</v>
      </c>
      <c r="FV88" t="s">
        <v>264</v>
      </c>
      <c r="FY88" t="s">
        <v>557</v>
      </c>
      <c r="FZ88" t="s">
        <v>555</v>
      </c>
      <c r="GA88">
        <v>0</v>
      </c>
      <c r="GB88">
        <v>0</v>
      </c>
      <c r="GC88">
        <v>0</v>
      </c>
      <c r="GD88" t="s">
        <v>264</v>
      </c>
      <c r="GG88" t="s">
        <v>558</v>
      </c>
      <c r="GH88" t="s">
        <v>555</v>
      </c>
      <c r="GI88">
        <v>0</v>
      </c>
      <c r="GJ88">
        <v>0</v>
      </c>
      <c r="GK88">
        <v>0</v>
      </c>
      <c r="GL88" t="s">
        <v>264</v>
      </c>
      <c r="GO88" t="s">
        <v>559</v>
      </c>
      <c r="GP88" t="s">
        <v>555</v>
      </c>
      <c r="GQ88">
        <v>0</v>
      </c>
      <c r="GR88">
        <v>0</v>
      </c>
      <c r="GS88">
        <v>0</v>
      </c>
      <c r="GT88" t="s">
        <v>264</v>
      </c>
      <c r="GW88" t="s">
        <v>560</v>
      </c>
      <c r="GX88" t="s">
        <v>555</v>
      </c>
      <c r="GY88">
        <v>0</v>
      </c>
      <c r="GZ88">
        <v>0</v>
      </c>
      <c r="HA88">
        <v>0</v>
      </c>
      <c r="HB88" t="s">
        <v>264</v>
      </c>
      <c r="HE88" t="s">
        <v>561</v>
      </c>
      <c r="HF88" t="s">
        <v>555</v>
      </c>
      <c r="HG88">
        <v>0</v>
      </c>
      <c r="HH88">
        <v>0</v>
      </c>
      <c r="HI88">
        <v>0</v>
      </c>
      <c r="HJ88" t="s">
        <v>264</v>
      </c>
      <c r="HM88" t="s">
        <v>562</v>
      </c>
      <c r="HN88" t="s">
        <v>555</v>
      </c>
      <c r="HO88">
        <v>0</v>
      </c>
      <c r="HP88">
        <v>0</v>
      </c>
      <c r="HQ88">
        <v>0</v>
      </c>
      <c r="HR88" t="s">
        <v>264</v>
      </c>
      <c r="HU88" t="s">
        <v>563</v>
      </c>
      <c r="HV88" t="s">
        <v>555</v>
      </c>
      <c r="HW88">
        <v>0</v>
      </c>
      <c r="HX88">
        <v>0</v>
      </c>
      <c r="HY88">
        <v>0</v>
      </c>
      <c r="HZ88" t="s">
        <v>264</v>
      </c>
      <c r="IC88" t="s">
        <v>564</v>
      </c>
      <c r="ID88" t="s">
        <v>555</v>
      </c>
      <c r="IE88">
        <v>0</v>
      </c>
      <c r="IF88">
        <v>0</v>
      </c>
      <c r="IG88">
        <v>0</v>
      </c>
      <c r="IH88" t="s">
        <v>264</v>
      </c>
      <c r="IK88" t="s">
        <v>565</v>
      </c>
      <c r="IL88" t="s">
        <v>555</v>
      </c>
      <c r="IM88">
        <v>0</v>
      </c>
      <c r="IN88">
        <v>0</v>
      </c>
      <c r="IO88">
        <v>0</v>
      </c>
      <c r="IP88" t="s">
        <v>264</v>
      </c>
      <c r="IS88" t="s">
        <v>566</v>
      </c>
      <c r="IT88" t="s">
        <v>555</v>
      </c>
      <c r="IU88">
        <v>0</v>
      </c>
      <c r="IV88">
        <v>0</v>
      </c>
      <c r="IW88">
        <v>0</v>
      </c>
      <c r="IX88" t="s">
        <v>264</v>
      </c>
      <c r="JA88" t="s">
        <v>567</v>
      </c>
      <c r="JB88" t="s">
        <v>555</v>
      </c>
      <c r="JC88">
        <v>0</v>
      </c>
      <c r="JD88">
        <v>0</v>
      </c>
      <c r="JE88">
        <v>0</v>
      </c>
      <c r="JF88" t="s">
        <v>264</v>
      </c>
      <c r="JI88" t="s">
        <v>568</v>
      </c>
      <c r="JJ88" t="s">
        <v>555</v>
      </c>
      <c r="JK88">
        <v>0</v>
      </c>
      <c r="JL88">
        <v>0</v>
      </c>
      <c r="JM88">
        <v>0</v>
      </c>
      <c r="JN88" t="s">
        <v>264</v>
      </c>
      <c r="JQ88" t="s">
        <v>569</v>
      </c>
      <c r="JR88" t="s">
        <v>555</v>
      </c>
      <c r="JS88">
        <v>0</v>
      </c>
      <c r="JT88">
        <v>0</v>
      </c>
      <c r="JU88">
        <v>0</v>
      </c>
      <c r="JV88" t="s">
        <v>264</v>
      </c>
      <c r="JY88" t="s">
        <v>570</v>
      </c>
      <c r="JZ88" t="s">
        <v>555</v>
      </c>
      <c r="KA88">
        <v>0</v>
      </c>
      <c r="KB88">
        <v>0</v>
      </c>
      <c r="KC88">
        <v>0</v>
      </c>
      <c r="KD88" t="s">
        <v>264</v>
      </c>
      <c r="KG88" t="s">
        <v>571</v>
      </c>
      <c r="KH88" t="s">
        <v>555</v>
      </c>
      <c r="KI88">
        <v>0</v>
      </c>
      <c r="KJ88">
        <v>0</v>
      </c>
      <c r="KK88">
        <v>0</v>
      </c>
      <c r="KL88" t="s">
        <v>264</v>
      </c>
      <c r="KO88" t="s">
        <v>572</v>
      </c>
      <c r="KP88" t="s">
        <v>555</v>
      </c>
      <c r="KQ88">
        <v>0</v>
      </c>
      <c r="KR88">
        <v>0</v>
      </c>
      <c r="KS88">
        <v>0</v>
      </c>
      <c r="KT88" t="s">
        <v>264</v>
      </c>
      <c r="KW88" t="s">
        <v>573</v>
      </c>
      <c r="KX88" t="s">
        <v>555</v>
      </c>
      <c r="KY88">
        <v>0</v>
      </c>
      <c r="KZ88">
        <v>0</v>
      </c>
      <c r="LA88">
        <v>0</v>
      </c>
      <c r="LB88" t="s">
        <v>264</v>
      </c>
      <c r="LE88" t="s">
        <v>574</v>
      </c>
      <c r="LF88" t="s">
        <v>555</v>
      </c>
      <c r="LG88">
        <v>0</v>
      </c>
      <c r="LH88">
        <v>0</v>
      </c>
      <c r="LI88">
        <v>0</v>
      </c>
      <c r="LJ88" t="s">
        <v>264</v>
      </c>
      <c r="LM88" t="s">
        <v>575</v>
      </c>
      <c r="LN88" t="s">
        <v>555</v>
      </c>
      <c r="LO88">
        <v>0</v>
      </c>
      <c r="LP88">
        <v>0</v>
      </c>
      <c r="LQ88">
        <v>0</v>
      </c>
      <c r="LR88" t="s">
        <v>264</v>
      </c>
      <c r="LU88" t="s">
        <v>576</v>
      </c>
      <c r="LV88" t="s">
        <v>555</v>
      </c>
      <c r="LW88">
        <v>0</v>
      </c>
      <c r="LX88">
        <v>0</v>
      </c>
      <c r="LY88">
        <v>0</v>
      </c>
      <c r="LZ88" t="s">
        <v>264</v>
      </c>
      <c r="MC88" t="s">
        <v>577</v>
      </c>
      <c r="MD88" t="s">
        <v>555</v>
      </c>
      <c r="ME88">
        <v>0</v>
      </c>
      <c r="MF88">
        <v>0</v>
      </c>
      <c r="MG88">
        <v>0</v>
      </c>
      <c r="MH88" t="s">
        <v>264</v>
      </c>
      <c r="MK88" t="s">
        <v>578</v>
      </c>
      <c r="ML88" t="s">
        <v>555</v>
      </c>
      <c r="MM88">
        <v>0</v>
      </c>
      <c r="MN88">
        <v>0</v>
      </c>
      <c r="MO88">
        <v>0</v>
      </c>
      <c r="MP88" t="s">
        <v>264</v>
      </c>
      <c r="MS88" t="s">
        <v>579</v>
      </c>
      <c r="MT88" t="s">
        <v>555</v>
      </c>
      <c r="MU88">
        <v>0</v>
      </c>
      <c r="MV88">
        <v>0</v>
      </c>
      <c r="MW88">
        <v>0</v>
      </c>
      <c r="MX88" t="s">
        <v>264</v>
      </c>
      <c r="NA88" t="s">
        <v>580</v>
      </c>
      <c r="NB88" t="s">
        <v>555</v>
      </c>
      <c r="NC88">
        <v>0</v>
      </c>
      <c r="ND88">
        <v>0</v>
      </c>
      <c r="NE88">
        <v>0</v>
      </c>
      <c r="NF88" t="s">
        <v>264</v>
      </c>
      <c r="NI88">
        <v>40</v>
      </c>
      <c r="NJ88">
        <v>-13.6</v>
      </c>
      <c r="NP88" t="s">
        <v>581</v>
      </c>
    </row>
    <row r="89" spans="1:380" customFormat="1" x14ac:dyDescent="0.2">
      <c r="A89" t="s">
        <v>517</v>
      </c>
      <c r="B89">
        <v>1</v>
      </c>
      <c r="C89" t="s">
        <v>777</v>
      </c>
      <c r="D89">
        <v>646968173</v>
      </c>
      <c r="E89">
        <v>12602</v>
      </c>
      <c r="F89" t="s">
        <v>542</v>
      </c>
      <c r="G89">
        <v>750210</v>
      </c>
      <c r="H89">
        <v>210066025</v>
      </c>
      <c r="I89" t="s">
        <v>543</v>
      </c>
      <c r="J89" t="s">
        <v>778</v>
      </c>
      <c r="K89" t="s">
        <v>545</v>
      </c>
      <c r="L89" t="s">
        <v>294</v>
      </c>
      <c r="M89" t="s">
        <v>546</v>
      </c>
      <c r="N89" t="s">
        <v>468</v>
      </c>
      <c r="O89" t="s">
        <v>547</v>
      </c>
      <c r="P89" t="s">
        <v>264</v>
      </c>
      <c r="Q89">
        <v>28</v>
      </c>
      <c r="R89">
        <v>228</v>
      </c>
      <c r="S89" t="s">
        <v>264</v>
      </c>
      <c r="T89">
        <v>-9999</v>
      </c>
      <c r="U89">
        <v>684</v>
      </c>
      <c r="V89">
        <v>706</v>
      </c>
      <c r="W89">
        <v>673</v>
      </c>
      <c r="X89" t="s">
        <v>270</v>
      </c>
      <c r="Y89">
        <v>0</v>
      </c>
      <c r="Z89">
        <v>55</v>
      </c>
      <c r="AA89" t="s">
        <v>469</v>
      </c>
      <c r="AB89" t="s">
        <v>548</v>
      </c>
      <c r="AC89">
        <v>1</v>
      </c>
      <c r="AD89" t="s">
        <v>549</v>
      </c>
      <c r="AE89">
        <v>0</v>
      </c>
      <c r="AF89">
        <v>11</v>
      </c>
      <c r="AG89" t="s">
        <v>264</v>
      </c>
      <c r="AH89">
        <v>-9999</v>
      </c>
      <c r="AI89">
        <v>531</v>
      </c>
      <c r="AJ89">
        <v>641</v>
      </c>
      <c r="AK89">
        <v>523</v>
      </c>
      <c r="AL89" t="s">
        <v>270</v>
      </c>
      <c r="AM89">
        <v>0</v>
      </c>
      <c r="AN89">
        <v>55</v>
      </c>
      <c r="AO89" t="s">
        <v>470</v>
      </c>
      <c r="AP89" t="s">
        <v>548</v>
      </c>
      <c r="AQ89">
        <v>2</v>
      </c>
      <c r="AR89" t="s">
        <v>549</v>
      </c>
      <c r="AS89">
        <v>0</v>
      </c>
      <c r="AT89">
        <v>30</v>
      </c>
      <c r="AU89" t="s">
        <v>264</v>
      </c>
      <c r="AV89">
        <v>-9999</v>
      </c>
      <c r="AW89">
        <v>389</v>
      </c>
      <c r="AX89">
        <v>409</v>
      </c>
      <c r="AY89">
        <v>387</v>
      </c>
      <c r="AZ89" t="s">
        <v>270</v>
      </c>
      <c r="BA89">
        <v>0</v>
      </c>
      <c r="BB89">
        <v>55</v>
      </c>
      <c r="BC89" t="s">
        <v>550</v>
      </c>
      <c r="BD89" t="s">
        <v>548</v>
      </c>
      <c r="BE89">
        <v>3</v>
      </c>
      <c r="BF89" t="s">
        <v>584</v>
      </c>
      <c r="BG89">
        <v>20.7</v>
      </c>
      <c r="BH89">
        <v>75</v>
      </c>
      <c r="BI89" t="s">
        <v>264</v>
      </c>
      <c r="BJ89">
        <v>-9999</v>
      </c>
      <c r="BK89">
        <v>17</v>
      </c>
      <c r="BL89">
        <v>41</v>
      </c>
      <c r="BM89">
        <v>24</v>
      </c>
      <c r="BN89" t="s">
        <v>270</v>
      </c>
      <c r="BO89">
        <v>0</v>
      </c>
      <c r="BP89">
        <v>55</v>
      </c>
      <c r="BQ89" t="s">
        <v>504</v>
      </c>
      <c r="BR89" t="s">
        <v>548</v>
      </c>
      <c r="BS89">
        <v>4</v>
      </c>
      <c r="BT89" t="s">
        <v>549</v>
      </c>
      <c r="BU89">
        <v>52.1</v>
      </c>
      <c r="BV89">
        <v>89</v>
      </c>
      <c r="BW89" t="s">
        <v>264</v>
      </c>
      <c r="BX89">
        <v>-9999</v>
      </c>
      <c r="BY89">
        <v>209</v>
      </c>
      <c r="BZ89">
        <v>242</v>
      </c>
      <c r="CA89">
        <v>207</v>
      </c>
      <c r="CB89" t="s">
        <v>270</v>
      </c>
      <c r="CC89">
        <v>0</v>
      </c>
      <c r="CD89">
        <v>55</v>
      </c>
      <c r="CE89" t="s">
        <v>471</v>
      </c>
      <c r="CF89" t="s">
        <v>548</v>
      </c>
      <c r="CG89">
        <v>5</v>
      </c>
      <c r="CH89" t="s">
        <v>549</v>
      </c>
      <c r="CI89">
        <v>51.6</v>
      </c>
      <c r="CJ89">
        <v>207</v>
      </c>
      <c r="CK89" t="s">
        <v>264</v>
      </c>
      <c r="CL89">
        <v>-9999</v>
      </c>
      <c r="CM89">
        <v>473</v>
      </c>
      <c r="CN89">
        <v>554</v>
      </c>
      <c r="CO89">
        <v>472</v>
      </c>
      <c r="CP89" t="s">
        <v>270</v>
      </c>
      <c r="CQ89">
        <v>0</v>
      </c>
      <c r="CR89">
        <v>55</v>
      </c>
      <c r="CS89" t="s">
        <v>472</v>
      </c>
      <c r="CT89" t="s">
        <v>548</v>
      </c>
      <c r="CU89">
        <v>6</v>
      </c>
      <c r="CV89" t="s">
        <v>549</v>
      </c>
      <c r="CW89">
        <v>53.4</v>
      </c>
      <c r="CX89">
        <v>102</v>
      </c>
      <c r="CY89" t="s">
        <v>264</v>
      </c>
      <c r="CZ89">
        <v>-9999</v>
      </c>
      <c r="DA89">
        <v>682</v>
      </c>
      <c r="DB89">
        <v>775</v>
      </c>
      <c r="DC89">
        <v>672</v>
      </c>
      <c r="DD89" t="s">
        <v>270</v>
      </c>
      <c r="DE89">
        <v>0</v>
      </c>
      <c r="DF89">
        <v>55</v>
      </c>
      <c r="DG89" t="s">
        <v>473</v>
      </c>
      <c r="DH89" t="s">
        <v>548</v>
      </c>
      <c r="DI89">
        <v>7</v>
      </c>
      <c r="DJ89" t="s">
        <v>549</v>
      </c>
      <c r="DK89">
        <v>0</v>
      </c>
      <c r="DL89">
        <v>33</v>
      </c>
      <c r="DM89" t="s">
        <v>264</v>
      </c>
      <c r="DN89">
        <v>-9999</v>
      </c>
      <c r="DO89">
        <v>536</v>
      </c>
      <c r="DP89">
        <v>612</v>
      </c>
      <c r="DQ89">
        <v>531</v>
      </c>
      <c r="DR89" t="s">
        <v>270</v>
      </c>
      <c r="DS89">
        <v>0</v>
      </c>
      <c r="DT89">
        <v>55</v>
      </c>
      <c r="DU89" t="s">
        <v>474</v>
      </c>
      <c r="DV89" t="s">
        <v>548</v>
      </c>
      <c r="DW89">
        <v>8</v>
      </c>
      <c r="DX89" t="s">
        <v>549</v>
      </c>
      <c r="DY89">
        <v>40.9</v>
      </c>
      <c r="DZ89">
        <v>100</v>
      </c>
      <c r="EA89" t="s">
        <v>264</v>
      </c>
      <c r="EB89">
        <v>-9999</v>
      </c>
      <c r="EC89">
        <v>101</v>
      </c>
      <c r="ED89">
        <v>122</v>
      </c>
      <c r="EE89">
        <v>100</v>
      </c>
      <c r="EF89" t="s">
        <v>270</v>
      </c>
      <c r="EG89">
        <v>0</v>
      </c>
      <c r="EH89">
        <v>55</v>
      </c>
      <c r="EI89" t="s">
        <v>475</v>
      </c>
      <c r="EJ89" t="s">
        <v>548</v>
      </c>
      <c r="EK89">
        <v>9</v>
      </c>
      <c r="EL89" t="s">
        <v>549</v>
      </c>
      <c r="EM89">
        <v>53.8</v>
      </c>
      <c r="EN89">
        <v>22</v>
      </c>
      <c r="EO89" t="s">
        <v>264</v>
      </c>
      <c r="EP89">
        <v>-9999</v>
      </c>
      <c r="EQ89">
        <v>373</v>
      </c>
      <c r="ER89">
        <v>348</v>
      </c>
      <c r="ES89">
        <v>314</v>
      </c>
      <c r="ET89" t="s">
        <v>270</v>
      </c>
      <c r="EU89">
        <v>0</v>
      </c>
      <c r="EV89">
        <v>55</v>
      </c>
      <c r="EW89" t="s">
        <v>551</v>
      </c>
      <c r="EX89" t="s">
        <v>552</v>
      </c>
      <c r="EY89">
        <v>115</v>
      </c>
      <c r="EZ89">
        <v>116</v>
      </c>
      <c r="FA89">
        <v>116</v>
      </c>
      <c r="FB89" t="s">
        <v>270</v>
      </c>
      <c r="FC89" t="s">
        <v>553</v>
      </c>
      <c r="FD89" t="s">
        <v>552</v>
      </c>
      <c r="FE89">
        <v>304</v>
      </c>
      <c r="FF89">
        <v>303</v>
      </c>
      <c r="FG89">
        <v>302</v>
      </c>
      <c r="FH89" t="s">
        <v>270</v>
      </c>
      <c r="FI89" t="s">
        <v>554</v>
      </c>
      <c r="FJ89" t="s">
        <v>555</v>
      </c>
      <c r="FK89">
        <v>0</v>
      </c>
      <c r="FL89">
        <v>0</v>
      </c>
      <c r="FM89">
        <v>0</v>
      </c>
      <c r="FN89" t="s">
        <v>264</v>
      </c>
      <c r="FQ89" t="s">
        <v>556</v>
      </c>
      <c r="FR89" t="s">
        <v>555</v>
      </c>
      <c r="FS89">
        <v>0</v>
      </c>
      <c r="FT89">
        <v>0</v>
      </c>
      <c r="FU89">
        <v>0</v>
      </c>
      <c r="FV89" t="s">
        <v>264</v>
      </c>
      <c r="FY89" t="s">
        <v>557</v>
      </c>
      <c r="FZ89" t="s">
        <v>555</v>
      </c>
      <c r="GA89">
        <v>0</v>
      </c>
      <c r="GB89">
        <v>0</v>
      </c>
      <c r="GC89">
        <v>0</v>
      </c>
      <c r="GD89" t="s">
        <v>264</v>
      </c>
      <c r="GG89" t="s">
        <v>558</v>
      </c>
      <c r="GH89" t="s">
        <v>555</v>
      </c>
      <c r="GI89">
        <v>0</v>
      </c>
      <c r="GJ89">
        <v>0</v>
      </c>
      <c r="GK89">
        <v>0</v>
      </c>
      <c r="GL89" t="s">
        <v>264</v>
      </c>
      <c r="GO89" t="s">
        <v>559</v>
      </c>
      <c r="GP89" t="s">
        <v>555</v>
      </c>
      <c r="GQ89">
        <v>0</v>
      </c>
      <c r="GR89">
        <v>0</v>
      </c>
      <c r="GS89">
        <v>0</v>
      </c>
      <c r="GT89" t="s">
        <v>264</v>
      </c>
      <c r="GW89" t="s">
        <v>560</v>
      </c>
      <c r="GX89" t="s">
        <v>555</v>
      </c>
      <c r="GY89">
        <v>0</v>
      </c>
      <c r="GZ89">
        <v>0</v>
      </c>
      <c r="HA89">
        <v>0</v>
      </c>
      <c r="HB89" t="s">
        <v>264</v>
      </c>
      <c r="HE89" t="s">
        <v>561</v>
      </c>
      <c r="HF89" t="s">
        <v>555</v>
      </c>
      <c r="HG89">
        <v>0</v>
      </c>
      <c r="HH89">
        <v>0</v>
      </c>
      <c r="HI89">
        <v>0</v>
      </c>
      <c r="HJ89" t="s">
        <v>264</v>
      </c>
      <c r="HM89" t="s">
        <v>562</v>
      </c>
      <c r="HN89" t="s">
        <v>555</v>
      </c>
      <c r="HO89">
        <v>0</v>
      </c>
      <c r="HP89">
        <v>0</v>
      </c>
      <c r="HQ89">
        <v>0</v>
      </c>
      <c r="HR89" t="s">
        <v>264</v>
      </c>
      <c r="HU89" t="s">
        <v>563</v>
      </c>
      <c r="HV89" t="s">
        <v>555</v>
      </c>
      <c r="HW89">
        <v>0</v>
      </c>
      <c r="HX89">
        <v>0</v>
      </c>
      <c r="HY89">
        <v>0</v>
      </c>
      <c r="HZ89" t="s">
        <v>264</v>
      </c>
      <c r="IC89" t="s">
        <v>564</v>
      </c>
      <c r="ID89" t="s">
        <v>555</v>
      </c>
      <c r="IE89">
        <v>0</v>
      </c>
      <c r="IF89">
        <v>0</v>
      </c>
      <c r="IG89">
        <v>0</v>
      </c>
      <c r="IH89" t="s">
        <v>264</v>
      </c>
      <c r="IK89" t="s">
        <v>565</v>
      </c>
      <c r="IL89" t="s">
        <v>555</v>
      </c>
      <c r="IM89">
        <v>0</v>
      </c>
      <c r="IN89">
        <v>0</v>
      </c>
      <c r="IO89">
        <v>0</v>
      </c>
      <c r="IP89" t="s">
        <v>264</v>
      </c>
      <c r="IS89" t="s">
        <v>566</v>
      </c>
      <c r="IT89" t="s">
        <v>555</v>
      </c>
      <c r="IU89">
        <v>0</v>
      </c>
      <c r="IV89">
        <v>0</v>
      </c>
      <c r="IW89">
        <v>0</v>
      </c>
      <c r="IX89" t="s">
        <v>264</v>
      </c>
      <c r="JA89" t="s">
        <v>567</v>
      </c>
      <c r="JB89" t="s">
        <v>555</v>
      </c>
      <c r="JC89">
        <v>0</v>
      </c>
      <c r="JD89">
        <v>0</v>
      </c>
      <c r="JE89">
        <v>0</v>
      </c>
      <c r="JF89" t="s">
        <v>264</v>
      </c>
      <c r="JI89" t="s">
        <v>568</v>
      </c>
      <c r="JJ89" t="s">
        <v>555</v>
      </c>
      <c r="JK89">
        <v>0</v>
      </c>
      <c r="JL89">
        <v>0</v>
      </c>
      <c r="JM89">
        <v>0</v>
      </c>
      <c r="JN89" t="s">
        <v>264</v>
      </c>
      <c r="JQ89" t="s">
        <v>569</v>
      </c>
      <c r="JR89" t="s">
        <v>555</v>
      </c>
      <c r="JS89">
        <v>0</v>
      </c>
      <c r="JT89">
        <v>0</v>
      </c>
      <c r="JU89">
        <v>0</v>
      </c>
      <c r="JV89" t="s">
        <v>264</v>
      </c>
      <c r="JY89" t="s">
        <v>570</v>
      </c>
      <c r="JZ89" t="s">
        <v>555</v>
      </c>
      <c r="KA89">
        <v>0</v>
      </c>
      <c r="KB89">
        <v>0</v>
      </c>
      <c r="KC89">
        <v>0</v>
      </c>
      <c r="KD89" t="s">
        <v>264</v>
      </c>
      <c r="KG89" t="s">
        <v>571</v>
      </c>
      <c r="KH89" t="s">
        <v>555</v>
      </c>
      <c r="KI89">
        <v>0</v>
      </c>
      <c r="KJ89">
        <v>0</v>
      </c>
      <c r="KK89">
        <v>0</v>
      </c>
      <c r="KL89" t="s">
        <v>264</v>
      </c>
      <c r="KO89" t="s">
        <v>572</v>
      </c>
      <c r="KP89" t="s">
        <v>555</v>
      </c>
      <c r="KQ89">
        <v>0</v>
      </c>
      <c r="KR89">
        <v>0</v>
      </c>
      <c r="KS89">
        <v>0</v>
      </c>
      <c r="KT89" t="s">
        <v>264</v>
      </c>
      <c r="KW89" t="s">
        <v>573</v>
      </c>
      <c r="KX89" t="s">
        <v>555</v>
      </c>
      <c r="KY89">
        <v>0</v>
      </c>
      <c r="KZ89">
        <v>0</v>
      </c>
      <c r="LA89">
        <v>0</v>
      </c>
      <c r="LB89" t="s">
        <v>264</v>
      </c>
      <c r="LE89" t="s">
        <v>574</v>
      </c>
      <c r="LF89" t="s">
        <v>555</v>
      </c>
      <c r="LG89">
        <v>0</v>
      </c>
      <c r="LH89">
        <v>0</v>
      </c>
      <c r="LI89">
        <v>0</v>
      </c>
      <c r="LJ89" t="s">
        <v>264</v>
      </c>
      <c r="LM89" t="s">
        <v>575</v>
      </c>
      <c r="LN89" t="s">
        <v>555</v>
      </c>
      <c r="LO89">
        <v>0</v>
      </c>
      <c r="LP89">
        <v>0</v>
      </c>
      <c r="LQ89">
        <v>0</v>
      </c>
      <c r="LR89" t="s">
        <v>264</v>
      </c>
      <c r="LU89" t="s">
        <v>576</v>
      </c>
      <c r="LV89" t="s">
        <v>555</v>
      </c>
      <c r="LW89">
        <v>0</v>
      </c>
      <c r="LX89">
        <v>0</v>
      </c>
      <c r="LY89">
        <v>0</v>
      </c>
      <c r="LZ89" t="s">
        <v>264</v>
      </c>
      <c r="MC89" t="s">
        <v>577</v>
      </c>
      <c r="MD89" t="s">
        <v>555</v>
      </c>
      <c r="ME89">
        <v>0</v>
      </c>
      <c r="MF89">
        <v>0</v>
      </c>
      <c r="MG89">
        <v>0</v>
      </c>
      <c r="MH89" t="s">
        <v>264</v>
      </c>
      <c r="MK89" t="s">
        <v>578</v>
      </c>
      <c r="ML89" t="s">
        <v>555</v>
      </c>
      <c r="MM89">
        <v>0</v>
      </c>
      <c r="MN89">
        <v>0</v>
      </c>
      <c r="MO89">
        <v>0</v>
      </c>
      <c r="MP89" t="s">
        <v>264</v>
      </c>
      <c r="MQ89">
        <v>69.2</v>
      </c>
      <c r="MR89">
        <v>56.7</v>
      </c>
      <c r="MS89" t="s">
        <v>579</v>
      </c>
      <c r="MT89" t="s">
        <v>555</v>
      </c>
      <c r="MU89">
        <v>0</v>
      </c>
      <c r="MV89">
        <v>0</v>
      </c>
      <c r="MW89">
        <v>0</v>
      </c>
      <c r="MX89" t="s">
        <v>264</v>
      </c>
      <c r="NA89" t="s">
        <v>580</v>
      </c>
      <c r="NB89" t="s">
        <v>555</v>
      </c>
      <c r="NC89">
        <v>0</v>
      </c>
      <c r="ND89">
        <v>0</v>
      </c>
      <c r="NE89">
        <v>0</v>
      </c>
      <c r="NF89" t="s">
        <v>264</v>
      </c>
      <c r="NI89">
        <v>40</v>
      </c>
      <c r="NJ89">
        <v>-12.5</v>
      </c>
      <c r="NP89" t="s">
        <v>581</v>
      </c>
    </row>
    <row r="90" spans="1:380" customFormat="1" x14ac:dyDescent="0.2">
      <c r="A90" t="s">
        <v>517</v>
      </c>
      <c r="B90">
        <v>1</v>
      </c>
      <c r="C90" t="s">
        <v>779</v>
      </c>
      <c r="D90">
        <v>646967695</v>
      </c>
      <c r="E90">
        <v>12602</v>
      </c>
      <c r="F90" s="409" t="s">
        <v>780</v>
      </c>
      <c r="G90">
        <v>750211</v>
      </c>
      <c r="H90">
        <v>220016446</v>
      </c>
      <c r="I90" t="s">
        <v>543</v>
      </c>
      <c r="J90" t="s">
        <v>781</v>
      </c>
      <c r="K90" t="s">
        <v>545</v>
      </c>
      <c r="L90" t="s">
        <v>294</v>
      </c>
      <c r="M90" t="s">
        <v>546</v>
      </c>
      <c r="N90" t="s">
        <v>468</v>
      </c>
      <c r="O90" t="s">
        <v>547</v>
      </c>
      <c r="P90" t="s">
        <v>270</v>
      </c>
      <c r="Q90">
        <v>27.7</v>
      </c>
      <c r="R90">
        <v>245</v>
      </c>
      <c r="S90" t="s">
        <v>270</v>
      </c>
      <c r="T90">
        <v>-9999</v>
      </c>
      <c r="U90">
        <v>816</v>
      </c>
      <c r="V90">
        <v>844</v>
      </c>
      <c r="W90">
        <v>804</v>
      </c>
      <c r="X90" t="s">
        <v>270</v>
      </c>
      <c r="Y90">
        <v>0</v>
      </c>
      <c r="Z90">
        <v>55</v>
      </c>
      <c r="AA90" t="s">
        <v>469</v>
      </c>
      <c r="AB90" t="s">
        <v>548</v>
      </c>
      <c r="AC90">
        <v>1</v>
      </c>
      <c r="AD90" t="s">
        <v>549</v>
      </c>
      <c r="AE90">
        <v>0</v>
      </c>
      <c r="AF90">
        <v>22</v>
      </c>
      <c r="AG90" t="s">
        <v>264</v>
      </c>
      <c r="AH90">
        <v>-9999</v>
      </c>
      <c r="AI90">
        <v>415</v>
      </c>
      <c r="AJ90">
        <v>521</v>
      </c>
      <c r="AK90">
        <v>416</v>
      </c>
      <c r="AL90" t="s">
        <v>270</v>
      </c>
      <c r="AM90">
        <v>0</v>
      </c>
      <c r="AN90">
        <v>55</v>
      </c>
      <c r="AO90" t="s">
        <v>470</v>
      </c>
      <c r="AP90" t="s">
        <v>548</v>
      </c>
      <c r="AQ90">
        <v>2</v>
      </c>
      <c r="AR90" t="s">
        <v>549</v>
      </c>
      <c r="AS90">
        <v>0</v>
      </c>
      <c r="AT90">
        <v>32</v>
      </c>
      <c r="AU90" t="s">
        <v>264</v>
      </c>
      <c r="AV90">
        <v>-9999</v>
      </c>
      <c r="AW90">
        <v>454</v>
      </c>
      <c r="AX90">
        <v>478</v>
      </c>
      <c r="AY90">
        <v>451</v>
      </c>
      <c r="AZ90" t="s">
        <v>270</v>
      </c>
      <c r="BA90">
        <v>0</v>
      </c>
      <c r="BB90">
        <v>55</v>
      </c>
      <c r="BC90" t="s">
        <v>550</v>
      </c>
      <c r="BD90" t="s">
        <v>548</v>
      </c>
      <c r="BE90">
        <v>3</v>
      </c>
      <c r="BF90" t="s">
        <v>549</v>
      </c>
      <c r="BG90">
        <v>0</v>
      </c>
      <c r="BH90">
        <v>-1</v>
      </c>
      <c r="BI90" t="s">
        <v>264</v>
      </c>
      <c r="BJ90">
        <v>-9999</v>
      </c>
      <c r="BK90">
        <v>194</v>
      </c>
      <c r="BL90">
        <v>235</v>
      </c>
      <c r="BM90">
        <v>190</v>
      </c>
      <c r="BN90" t="s">
        <v>270</v>
      </c>
      <c r="BO90">
        <v>0</v>
      </c>
      <c r="BP90">
        <v>55</v>
      </c>
      <c r="BQ90" t="s">
        <v>504</v>
      </c>
      <c r="BR90" t="s">
        <v>548</v>
      </c>
      <c r="BS90">
        <v>4</v>
      </c>
      <c r="BT90" t="s">
        <v>549</v>
      </c>
      <c r="BU90">
        <v>52</v>
      </c>
      <c r="BV90">
        <v>91</v>
      </c>
      <c r="BW90" t="s">
        <v>264</v>
      </c>
      <c r="BX90">
        <v>-9999</v>
      </c>
      <c r="BY90">
        <v>239</v>
      </c>
      <c r="BZ90">
        <v>276</v>
      </c>
      <c r="CA90">
        <v>238</v>
      </c>
      <c r="CB90" t="s">
        <v>270</v>
      </c>
      <c r="CC90">
        <v>0</v>
      </c>
      <c r="CD90">
        <v>55</v>
      </c>
      <c r="CE90" t="s">
        <v>471</v>
      </c>
      <c r="CF90" t="s">
        <v>548</v>
      </c>
      <c r="CG90">
        <v>5</v>
      </c>
      <c r="CH90" t="s">
        <v>549</v>
      </c>
      <c r="CI90">
        <v>50.4</v>
      </c>
      <c r="CJ90">
        <v>261</v>
      </c>
      <c r="CK90" t="s">
        <v>264</v>
      </c>
      <c r="CL90">
        <v>-9999</v>
      </c>
      <c r="CM90">
        <v>486</v>
      </c>
      <c r="CN90">
        <v>568</v>
      </c>
      <c r="CO90">
        <v>485</v>
      </c>
      <c r="CP90" t="s">
        <v>270</v>
      </c>
      <c r="CQ90">
        <v>0</v>
      </c>
      <c r="CR90">
        <v>55</v>
      </c>
      <c r="CS90" t="s">
        <v>472</v>
      </c>
      <c r="CT90" t="s">
        <v>548</v>
      </c>
      <c r="CU90">
        <v>6</v>
      </c>
      <c r="CV90" t="s">
        <v>549</v>
      </c>
      <c r="CW90">
        <v>53.6</v>
      </c>
      <c r="CX90">
        <v>86</v>
      </c>
      <c r="CY90" t="s">
        <v>264</v>
      </c>
      <c r="CZ90">
        <v>-9999</v>
      </c>
      <c r="DA90">
        <v>718</v>
      </c>
      <c r="DB90">
        <v>817</v>
      </c>
      <c r="DC90">
        <v>707</v>
      </c>
      <c r="DD90" t="s">
        <v>270</v>
      </c>
      <c r="DE90">
        <v>0</v>
      </c>
      <c r="DF90">
        <v>55</v>
      </c>
      <c r="DG90" t="s">
        <v>473</v>
      </c>
      <c r="DH90" t="s">
        <v>548</v>
      </c>
      <c r="DI90">
        <v>7</v>
      </c>
      <c r="DJ90" t="s">
        <v>549</v>
      </c>
      <c r="DK90">
        <v>0</v>
      </c>
      <c r="DL90">
        <v>24</v>
      </c>
      <c r="DM90" t="s">
        <v>264</v>
      </c>
      <c r="DN90">
        <v>-9999</v>
      </c>
      <c r="DO90">
        <v>540</v>
      </c>
      <c r="DP90">
        <v>619</v>
      </c>
      <c r="DQ90">
        <v>536</v>
      </c>
      <c r="DR90" t="s">
        <v>270</v>
      </c>
      <c r="DS90">
        <v>0</v>
      </c>
      <c r="DT90">
        <v>55</v>
      </c>
      <c r="DU90" t="s">
        <v>474</v>
      </c>
      <c r="DV90" t="s">
        <v>548</v>
      </c>
      <c r="DW90">
        <v>8</v>
      </c>
      <c r="DX90" t="s">
        <v>549</v>
      </c>
      <c r="DY90">
        <v>50.8</v>
      </c>
      <c r="DZ90">
        <v>36</v>
      </c>
      <c r="EA90" t="s">
        <v>264</v>
      </c>
      <c r="EB90">
        <v>-9999</v>
      </c>
      <c r="EC90">
        <v>95</v>
      </c>
      <c r="ED90">
        <v>117</v>
      </c>
      <c r="EE90">
        <v>94</v>
      </c>
      <c r="EF90" t="s">
        <v>270</v>
      </c>
      <c r="EG90">
        <v>0</v>
      </c>
      <c r="EH90">
        <v>55</v>
      </c>
      <c r="EI90" t="s">
        <v>475</v>
      </c>
      <c r="EJ90" t="s">
        <v>548</v>
      </c>
      <c r="EK90">
        <v>9</v>
      </c>
      <c r="EL90" t="s">
        <v>549</v>
      </c>
      <c r="EM90">
        <v>0</v>
      </c>
      <c r="EN90">
        <v>10</v>
      </c>
      <c r="EO90" t="s">
        <v>264</v>
      </c>
      <c r="EP90">
        <v>-9999</v>
      </c>
      <c r="EQ90">
        <v>293</v>
      </c>
      <c r="ER90">
        <v>266</v>
      </c>
      <c r="ES90">
        <v>246</v>
      </c>
      <c r="ET90" t="s">
        <v>270</v>
      </c>
      <c r="EU90">
        <v>0</v>
      </c>
      <c r="EV90">
        <v>55</v>
      </c>
      <c r="EW90" t="s">
        <v>551</v>
      </c>
      <c r="EX90" t="s">
        <v>552</v>
      </c>
      <c r="EY90">
        <v>132</v>
      </c>
      <c r="EZ90">
        <v>133</v>
      </c>
      <c r="FA90">
        <v>133</v>
      </c>
      <c r="FB90" t="s">
        <v>270</v>
      </c>
      <c r="FC90" t="s">
        <v>553</v>
      </c>
      <c r="FD90" t="s">
        <v>552</v>
      </c>
      <c r="FE90">
        <v>334</v>
      </c>
      <c r="FF90">
        <v>332</v>
      </c>
      <c r="FG90">
        <v>331</v>
      </c>
      <c r="FH90" t="s">
        <v>270</v>
      </c>
      <c r="FI90" t="s">
        <v>554</v>
      </c>
      <c r="FJ90" t="s">
        <v>555</v>
      </c>
      <c r="FK90">
        <v>0</v>
      </c>
      <c r="FL90">
        <v>0</v>
      </c>
      <c r="FM90">
        <v>0</v>
      </c>
      <c r="FN90" t="s">
        <v>264</v>
      </c>
      <c r="FQ90" t="s">
        <v>556</v>
      </c>
      <c r="FR90" t="s">
        <v>555</v>
      </c>
      <c r="FS90">
        <v>0</v>
      </c>
      <c r="FT90">
        <v>0</v>
      </c>
      <c r="FU90">
        <v>0</v>
      </c>
      <c r="FV90" t="s">
        <v>264</v>
      </c>
      <c r="FY90" t="s">
        <v>557</v>
      </c>
      <c r="FZ90" t="s">
        <v>555</v>
      </c>
      <c r="GA90">
        <v>0</v>
      </c>
      <c r="GB90">
        <v>0</v>
      </c>
      <c r="GC90">
        <v>0</v>
      </c>
      <c r="GD90" t="s">
        <v>264</v>
      </c>
      <c r="GG90" t="s">
        <v>558</v>
      </c>
      <c r="GH90" t="s">
        <v>555</v>
      </c>
      <c r="GI90">
        <v>0</v>
      </c>
      <c r="GJ90">
        <v>0</v>
      </c>
      <c r="GK90">
        <v>0</v>
      </c>
      <c r="GL90" t="s">
        <v>264</v>
      </c>
      <c r="GO90" t="s">
        <v>559</v>
      </c>
      <c r="GP90" t="s">
        <v>555</v>
      </c>
      <c r="GQ90">
        <v>0</v>
      </c>
      <c r="GR90">
        <v>0</v>
      </c>
      <c r="GS90">
        <v>0</v>
      </c>
      <c r="GT90" t="s">
        <v>264</v>
      </c>
      <c r="GW90" t="s">
        <v>560</v>
      </c>
      <c r="GX90" t="s">
        <v>555</v>
      </c>
      <c r="GY90">
        <v>0</v>
      </c>
      <c r="GZ90">
        <v>0</v>
      </c>
      <c r="HA90">
        <v>0</v>
      </c>
      <c r="HB90" t="s">
        <v>264</v>
      </c>
      <c r="HE90" t="s">
        <v>561</v>
      </c>
      <c r="HF90" t="s">
        <v>555</v>
      </c>
      <c r="HG90">
        <v>0</v>
      </c>
      <c r="HH90">
        <v>0</v>
      </c>
      <c r="HI90">
        <v>0</v>
      </c>
      <c r="HJ90" t="s">
        <v>264</v>
      </c>
      <c r="HM90" t="s">
        <v>562</v>
      </c>
      <c r="HN90" t="s">
        <v>555</v>
      </c>
      <c r="HO90">
        <v>0</v>
      </c>
      <c r="HP90">
        <v>0</v>
      </c>
      <c r="HQ90">
        <v>0</v>
      </c>
      <c r="HR90" t="s">
        <v>264</v>
      </c>
      <c r="HU90" t="s">
        <v>563</v>
      </c>
      <c r="HV90" t="s">
        <v>555</v>
      </c>
      <c r="HW90">
        <v>0</v>
      </c>
      <c r="HX90">
        <v>0</v>
      </c>
      <c r="HY90">
        <v>0</v>
      </c>
      <c r="HZ90" t="s">
        <v>264</v>
      </c>
      <c r="IC90" t="s">
        <v>564</v>
      </c>
      <c r="ID90" t="s">
        <v>555</v>
      </c>
      <c r="IE90">
        <v>0</v>
      </c>
      <c r="IF90">
        <v>0</v>
      </c>
      <c r="IG90">
        <v>0</v>
      </c>
      <c r="IH90" t="s">
        <v>264</v>
      </c>
      <c r="IK90" t="s">
        <v>565</v>
      </c>
      <c r="IL90" t="s">
        <v>555</v>
      </c>
      <c r="IM90">
        <v>0</v>
      </c>
      <c r="IN90">
        <v>0</v>
      </c>
      <c r="IO90">
        <v>0</v>
      </c>
      <c r="IP90" t="s">
        <v>264</v>
      </c>
      <c r="IS90" t="s">
        <v>566</v>
      </c>
      <c r="IT90" t="s">
        <v>555</v>
      </c>
      <c r="IU90">
        <v>0</v>
      </c>
      <c r="IV90">
        <v>0</v>
      </c>
      <c r="IW90">
        <v>0</v>
      </c>
      <c r="IX90" t="s">
        <v>264</v>
      </c>
      <c r="JA90" t="s">
        <v>567</v>
      </c>
      <c r="JB90" t="s">
        <v>555</v>
      </c>
      <c r="JC90">
        <v>0</v>
      </c>
      <c r="JD90">
        <v>0</v>
      </c>
      <c r="JE90">
        <v>0</v>
      </c>
      <c r="JF90" t="s">
        <v>264</v>
      </c>
      <c r="JI90" t="s">
        <v>568</v>
      </c>
      <c r="JJ90" t="s">
        <v>555</v>
      </c>
      <c r="JK90">
        <v>0</v>
      </c>
      <c r="JL90">
        <v>0</v>
      </c>
      <c r="JM90">
        <v>0</v>
      </c>
      <c r="JN90" t="s">
        <v>264</v>
      </c>
      <c r="JQ90" t="s">
        <v>569</v>
      </c>
      <c r="JR90" t="s">
        <v>555</v>
      </c>
      <c r="JS90">
        <v>0</v>
      </c>
      <c r="JT90">
        <v>0</v>
      </c>
      <c r="JU90">
        <v>0</v>
      </c>
      <c r="JV90" t="s">
        <v>264</v>
      </c>
      <c r="JY90" t="s">
        <v>570</v>
      </c>
      <c r="JZ90" t="s">
        <v>555</v>
      </c>
      <c r="KA90">
        <v>0</v>
      </c>
      <c r="KB90">
        <v>0</v>
      </c>
      <c r="KC90">
        <v>0</v>
      </c>
      <c r="KD90" t="s">
        <v>264</v>
      </c>
      <c r="KG90" t="s">
        <v>571</v>
      </c>
      <c r="KH90" t="s">
        <v>555</v>
      </c>
      <c r="KI90">
        <v>0</v>
      </c>
      <c r="KJ90">
        <v>0</v>
      </c>
      <c r="KK90">
        <v>0</v>
      </c>
      <c r="KL90" t="s">
        <v>264</v>
      </c>
      <c r="KO90" t="s">
        <v>572</v>
      </c>
      <c r="KP90" t="s">
        <v>555</v>
      </c>
      <c r="KQ90">
        <v>0</v>
      </c>
      <c r="KR90">
        <v>0</v>
      </c>
      <c r="KS90">
        <v>0</v>
      </c>
      <c r="KT90" t="s">
        <v>264</v>
      </c>
      <c r="KW90" t="s">
        <v>573</v>
      </c>
      <c r="KX90" t="s">
        <v>555</v>
      </c>
      <c r="KY90">
        <v>0</v>
      </c>
      <c r="KZ90">
        <v>0</v>
      </c>
      <c r="LA90">
        <v>0</v>
      </c>
      <c r="LB90" t="s">
        <v>264</v>
      </c>
      <c r="LE90" t="s">
        <v>574</v>
      </c>
      <c r="LF90" t="s">
        <v>555</v>
      </c>
      <c r="LG90">
        <v>0</v>
      </c>
      <c r="LH90">
        <v>0</v>
      </c>
      <c r="LI90">
        <v>0</v>
      </c>
      <c r="LJ90" t="s">
        <v>264</v>
      </c>
      <c r="LM90" t="s">
        <v>575</v>
      </c>
      <c r="LN90" t="s">
        <v>555</v>
      </c>
      <c r="LO90">
        <v>0</v>
      </c>
      <c r="LP90">
        <v>0</v>
      </c>
      <c r="LQ90">
        <v>0</v>
      </c>
      <c r="LR90" t="s">
        <v>264</v>
      </c>
      <c r="LU90" t="s">
        <v>576</v>
      </c>
      <c r="LV90" t="s">
        <v>555</v>
      </c>
      <c r="LW90">
        <v>0</v>
      </c>
      <c r="LX90">
        <v>0</v>
      </c>
      <c r="LY90">
        <v>0</v>
      </c>
      <c r="LZ90" t="s">
        <v>264</v>
      </c>
      <c r="MC90" t="s">
        <v>577</v>
      </c>
      <c r="MD90" t="s">
        <v>555</v>
      </c>
      <c r="ME90">
        <v>0</v>
      </c>
      <c r="MF90">
        <v>0</v>
      </c>
      <c r="MG90">
        <v>0</v>
      </c>
      <c r="MH90" t="s">
        <v>264</v>
      </c>
      <c r="MK90" t="s">
        <v>578</v>
      </c>
      <c r="ML90" t="s">
        <v>555</v>
      </c>
      <c r="MM90">
        <v>0</v>
      </c>
      <c r="MN90">
        <v>0</v>
      </c>
      <c r="MO90">
        <v>0</v>
      </c>
      <c r="MP90" t="s">
        <v>264</v>
      </c>
      <c r="MS90" t="s">
        <v>579</v>
      </c>
      <c r="MT90" t="s">
        <v>555</v>
      </c>
      <c r="MU90">
        <v>0</v>
      </c>
      <c r="MV90">
        <v>0</v>
      </c>
      <c r="MW90">
        <v>0</v>
      </c>
      <c r="MX90" t="s">
        <v>264</v>
      </c>
      <c r="NA90" t="s">
        <v>580</v>
      </c>
      <c r="NB90" t="s">
        <v>555</v>
      </c>
      <c r="NC90">
        <v>0</v>
      </c>
      <c r="ND90">
        <v>0</v>
      </c>
      <c r="NE90">
        <v>0</v>
      </c>
      <c r="NF90" t="s">
        <v>264</v>
      </c>
      <c r="NI90">
        <v>40.1</v>
      </c>
      <c r="NJ90">
        <v>-12.8</v>
      </c>
      <c r="NP90" t="s">
        <v>581</v>
      </c>
    </row>
    <row r="91" spans="1:380" customFormat="1" x14ac:dyDescent="0.2">
      <c r="A91" t="s">
        <v>517</v>
      </c>
      <c r="B91">
        <v>1</v>
      </c>
      <c r="C91" t="s">
        <v>782</v>
      </c>
      <c r="D91">
        <v>646967813</v>
      </c>
      <c r="E91">
        <v>12602</v>
      </c>
      <c r="F91" t="s">
        <v>542</v>
      </c>
      <c r="G91">
        <v>750211</v>
      </c>
      <c r="H91">
        <v>887224</v>
      </c>
      <c r="I91" t="s">
        <v>543</v>
      </c>
      <c r="J91" t="s">
        <v>783</v>
      </c>
      <c r="K91" t="s">
        <v>545</v>
      </c>
      <c r="L91" t="s">
        <v>294</v>
      </c>
      <c r="M91" t="s">
        <v>546</v>
      </c>
      <c r="N91" t="s">
        <v>468</v>
      </c>
      <c r="O91" t="s">
        <v>547</v>
      </c>
      <c r="P91" t="s">
        <v>270</v>
      </c>
      <c r="Q91">
        <v>28</v>
      </c>
      <c r="R91">
        <v>222</v>
      </c>
      <c r="S91" t="s">
        <v>270</v>
      </c>
      <c r="T91">
        <v>-9999</v>
      </c>
      <c r="U91">
        <v>545</v>
      </c>
      <c r="V91">
        <v>564</v>
      </c>
      <c r="W91">
        <v>536</v>
      </c>
      <c r="X91" t="s">
        <v>270</v>
      </c>
      <c r="Y91">
        <v>0</v>
      </c>
      <c r="Z91">
        <v>55</v>
      </c>
      <c r="AA91" t="s">
        <v>469</v>
      </c>
      <c r="AB91" t="s">
        <v>548</v>
      </c>
      <c r="AC91">
        <v>1</v>
      </c>
      <c r="AD91" t="s">
        <v>549</v>
      </c>
      <c r="AE91">
        <v>0</v>
      </c>
      <c r="AF91">
        <v>27</v>
      </c>
      <c r="AG91" t="s">
        <v>264</v>
      </c>
      <c r="AH91">
        <v>-9999</v>
      </c>
      <c r="AI91">
        <v>515</v>
      </c>
      <c r="AJ91">
        <v>629</v>
      </c>
      <c r="AK91">
        <v>509</v>
      </c>
      <c r="AL91" t="s">
        <v>270</v>
      </c>
      <c r="AM91">
        <v>0</v>
      </c>
      <c r="AN91">
        <v>55</v>
      </c>
      <c r="AO91" t="s">
        <v>470</v>
      </c>
      <c r="AP91" t="s">
        <v>548</v>
      </c>
      <c r="AQ91">
        <v>2</v>
      </c>
      <c r="AR91" t="s">
        <v>549</v>
      </c>
      <c r="AS91">
        <v>0</v>
      </c>
      <c r="AT91">
        <v>18</v>
      </c>
      <c r="AU91" t="s">
        <v>264</v>
      </c>
      <c r="AV91">
        <v>-9999</v>
      </c>
      <c r="AW91">
        <v>381</v>
      </c>
      <c r="AX91">
        <v>401</v>
      </c>
      <c r="AY91">
        <v>379</v>
      </c>
      <c r="AZ91" t="s">
        <v>270</v>
      </c>
      <c r="BA91">
        <v>0</v>
      </c>
      <c r="BB91">
        <v>55</v>
      </c>
      <c r="BC91" t="s">
        <v>550</v>
      </c>
      <c r="BD91" t="s">
        <v>548</v>
      </c>
      <c r="BE91">
        <v>3</v>
      </c>
      <c r="BF91" t="s">
        <v>549</v>
      </c>
      <c r="BG91">
        <v>0</v>
      </c>
      <c r="BH91">
        <v>8</v>
      </c>
      <c r="BI91" t="s">
        <v>264</v>
      </c>
      <c r="BJ91">
        <v>-9999</v>
      </c>
      <c r="BK91">
        <v>71</v>
      </c>
      <c r="BL91">
        <v>101</v>
      </c>
      <c r="BM91">
        <v>76</v>
      </c>
      <c r="BN91" t="s">
        <v>270</v>
      </c>
      <c r="BO91">
        <v>0</v>
      </c>
      <c r="BP91">
        <v>55</v>
      </c>
      <c r="BQ91" t="s">
        <v>504</v>
      </c>
      <c r="BR91" t="s">
        <v>548</v>
      </c>
      <c r="BS91">
        <v>4</v>
      </c>
      <c r="BT91" t="s">
        <v>549</v>
      </c>
      <c r="BU91">
        <v>52.4</v>
      </c>
      <c r="BV91">
        <v>71</v>
      </c>
      <c r="BW91" t="s">
        <v>264</v>
      </c>
      <c r="BX91">
        <v>-9999</v>
      </c>
      <c r="BY91">
        <v>217</v>
      </c>
      <c r="BZ91">
        <v>252</v>
      </c>
      <c r="CA91">
        <v>215</v>
      </c>
      <c r="CB91" t="s">
        <v>270</v>
      </c>
      <c r="CC91">
        <v>0</v>
      </c>
      <c r="CD91">
        <v>55</v>
      </c>
      <c r="CE91" t="s">
        <v>471</v>
      </c>
      <c r="CF91" t="s">
        <v>548</v>
      </c>
      <c r="CG91">
        <v>5</v>
      </c>
      <c r="CH91" t="s">
        <v>549</v>
      </c>
      <c r="CI91">
        <v>53.1</v>
      </c>
      <c r="CJ91">
        <v>116</v>
      </c>
      <c r="CK91" t="s">
        <v>264</v>
      </c>
      <c r="CL91">
        <v>-9999</v>
      </c>
      <c r="CM91">
        <v>519</v>
      </c>
      <c r="CN91">
        <v>607</v>
      </c>
      <c r="CO91">
        <v>519</v>
      </c>
      <c r="CP91" t="s">
        <v>270</v>
      </c>
      <c r="CQ91">
        <v>0</v>
      </c>
      <c r="CR91">
        <v>55</v>
      </c>
      <c r="CS91" t="s">
        <v>472</v>
      </c>
      <c r="CT91" t="s">
        <v>548</v>
      </c>
      <c r="CU91">
        <v>6</v>
      </c>
      <c r="CV91" t="s">
        <v>549</v>
      </c>
      <c r="CW91">
        <v>0</v>
      </c>
      <c r="CX91">
        <v>32</v>
      </c>
      <c r="CY91" t="s">
        <v>264</v>
      </c>
      <c r="CZ91">
        <v>-9999</v>
      </c>
      <c r="DA91">
        <v>599</v>
      </c>
      <c r="DB91">
        <v>681</v>
      </c>
      <c r="DC91">
        <v>590</v>
      </c>
      <c r="DD91" t="s">
        <v>270</v>
      </c>
      <c r="DE91">
        <v>0</v>
      </c>
      <c r="DF91">
        <v>55</v>
      </c>
      <c r="DG91" t="s">
        <v>473</v>
      </c>
      <c r="DH91" t="s">
        <v>548</v>
      </c>
      <c r="DI91">
        <v>7</v>
      </c>
      <c r="DJ91" t="s">
        <v>549</v>
      </c>
      <c r="DK91">
        <v>0</v>
      </c>
      <c r="DL91">
        <v>23</v>
      </c>
      <c r="DM91" t="s">
        <v>264</v>
      </c>
      <c r="DN91">
        <v>-9999</v>
      </c>
      <c r="DO91">
        <v>504</v>
      </c>
      <c r="DP91">
        <v>577</v>
      </c>
      <c r="DQ91">
        <v>500</v>
      </c>
      <c r="DR91" t="s">
        <v>270</v>
      </c>
      <c r="DS91">
        <v>0</v>
      </c>
      <c r="DT91">
        <v>55</v>
      </c>
      <c r="DU91" t="s">
        <v>474</v>
      </c>
      <c r="DV91" t="s">
        <v>548</v>
      </c>
      <c r="DW91">
        <v>8</v>
      </c>
      <c r="DX91" t="s">
        <v>549</v>
      </c>
      <c r="DY91">
        <v>50.2</v>
      </c>
      <c r="DZ91">
        <v>48</v>
      </c>
      <c r="EA91" t="s">
        <v>264</v>
      </c>
      <c r="EB91">
        <v>-9999</v>
      </c>
      <c r="EC91">
        <v>112</v>
      </c>
      <c r="ED91">
        <v>136</v>
      </c>
      <c r="EE91">
        <v>109</v>
      </c>
      <c r="EF91" t="s">
        <v>270</v>
      </c>
      <c r="EG91">
        <v>0</v>
      </c>
      <c r="EH91">
        <v>55</v>
      </c>
      <c r="EI91" t="s">
        <v>475</v>
      </c>
      <c r="EJ91" t="s">
        <v>548</v>
      </c>
      <c r="EK91">
        <v>9</v>
      </c>
      <c r="EL91" t="s">
        <v>549</v>
      </c>
      <c r="EM91">
        <v>0</v>
      </c>
      <c r="EN91">
        <v>0</v>
      </c>
      <c r="EO91" t="s">
        <v>264</v>
      </c>
      <c r="EP91">
        <v>-9999</v>
      </c>
      <c r="EQ91">
        <v>326</v>
      </c>
      <c r="ER91">
        <v>308</v>
      </c>
      <c r="ES91">
        <v>283</v>
      </c>
      <c r="ET91" t="s">
        <v>270</v>
      </c>
      <c r="EU91">
        <v>0</v>
      </c>
      <c r="EV91">
        <v>55</v>
      </c>
      <c r="EW91" t="s">
        <v>551</v>
      </c>
      <c r="EX91" t="s">
        <v>552</v>
      </c>
      <c r="EY91">
        <v>123</v>
      </c>
      <c r="EZ91">
        <v>123</v>
      </c>
      <c r="FA91">
        <v>123</v>
      </c>
      <c r="FB91" t="s">
        <v>270</v>
      </c>
      <c r="FC91" t="s">
        <v>553</v>
      </c>
      <c r="FD91" t="s">
        <v>552</v>
      </c>
      <c r="FE91">
        <v>287</v>
      </c>
      <c r="FF91">
        <v>286</v>
      </c>
      <c r="FG91">
        <v>286</v>
      </c>
      <c r="FH91" t="s">
        <v>270</v>
      </c>
      <c r="FI91" t="s">
        <v>554</v>
      </c>
      <c r="FJ91" t="s">
        <v>555</v>
      </c>
      <c r="FK91">
        <v>0</v>
      </c>
      <c r="FL91">
        <v>0</v>
      </c>
      <c r="FM91">
        <v>0</v>
      </c>
      <c r="FN91" t="s">
        <v>264</v>
      </c>
      <c r="FQ91" t="s">
        <v>556</v>
      </c>
      <c r="FR91" t="s">
        <v>555</v>
      </c>
      <c r="FS91">
        <v>0</v>
      </c>
      <c r="FT91">
        <v>0</v>
      </c>
      <c r="FU91">
        <v>0</v>
      </c>
      <c r="FV91" t="s">
        <v>264</v>
      </c>
      <c r="FY91" t="s">
        <v>557</v>
      </c>
      <c r="FZ91" t="s">
        <v>555</v>
      </c>
      <c r="GA91">
        <v>0</v>
      </c>
      <c r="GB91">
        <v>0</v>
      </c>
      <c r="GC91">
        <v>0</v>
      </c>
      <c r="GD91" t="s">
        <v>264</v>
      </c>
      <c r="GG91" t="s">
        <v>558</v>
      </c>
      <c r="GH91" t="s">
        <v>555</v>
      </c>
      <c r="GI91">
        <v>0</v>
      </c>
      <c r="GJ91">
        <v>0</v>
      </c>
      <c r="GK91">
        <v>0</v>
      </c>
      <c r="GL91" t="s">
        <v>264</v>
      </c>
      <c r="GO91" t="s">
        <v>559</v>
      </c>
      <c r="GP91" t="s">
        <v>555</v>
      </c>
      <c r="GQ91">
        <v>0</v>
      </c>
      <c r="GR91">
        <v>0</v>
      </c>
      <c r="GS91">
        <v>0</v>
      </c>
      <c r="GT91" t="s">
        <v>264</v>
      </c>
      <c r="GW91" t="s">
        <v>560</v>
      </c>
      <c r="GX91" t="s">
        <v>555</v>
      </c>
      <c r="GY91">
        <v>0</v>
      </c>
      <c r="GZ91">
        <v>0</v>
      </c>
      <c r="HA91">
        <v>0</v>
      </c>
      <c r="HB91" t="s">
        <v>264</v>
      </c>
      <c r="HE91" t="s">
        <v>561</v>
      </c>
      <c r="HF91" t="s">
        <v>555</v>
      </c>
      <c r="HG91">
        <v>0</v>
      </c>
      <c r="HH91">
        <v>0</v>
      </c>
      <c r="HI91">
        <v>0</v>
      </c>
      <c r="HJ91" t="s">
        <v>264</v>
      </c>
      <c r="HM91" t="s">
        <v>562</v>
      </c>
      <c r="HN91" t="s">
        <v>555</v>
      </c>
      <c r="HO91">
        <v>0</v>
      </c>
      <c r="HP91">
        <v>0</v>
      </c>
      <c r="HQ91">
        <v>0</v>
      </c>
      <c r="HR91" t="s">
        <v>264</v>
      </c>
      <c r="HU91" t="s">
        <v>563</v>
      </c>
      <c r="HV91" t="s">
        <v>555</v>
      </c>
      <c r="HW91">
        <v>0</v>
      </c>
      <c r="HX91">
        <v>0</v>
      </c>
      <c r="HY91">
        <v>0</v>
      </c>
      <c r="HZ91" t="s">
        <v>264</v>
      </c>
      <c r="IC91" t="s">
        <v>564</v>
      </c>
      <c r="ID91" t="s">
        <v>555</v>
      </c>
      <c r="IE91">
        <v>0</v>
      </c>
      <c r="IF91">
        <v>0</v>
      </c>
      <c r="IG91">
        <v>0</v>
      </c>
      <c r="IH91" t="s">
        <v>264</v>
      </c>
      <c r="IK91" t="s">
        <v>565</v>
      </c>
      <c r="IL91" t="s">
        <v>555</v>
      </c>
      <c r="IM91">
        <v>0</v>
      </c>
      <c r="IN91">
        <v>0</v>
      </c>
      <c r="IO91">
        <v>0</v>
      </c>
      <c r="IP91" t="s">
        <v>264</v>
      </c>
      <c r="IS91" t="s">
        <v>566</v>
      </c>
      <c r="IT91" t="s">
        <v>555</v>
      </c>
      <c r="IU91">
        <v>0</v>
      </c>
      <c r="IV91">
        <v>0</v>
      </c>
      <c r="IW91">
        <v>0</v>
      </c>
      <c r="IX91" t="s">
        <v>264</v>
      </c>
      <c r="JA91" t="s">
        <v>567</v>
      </c>
      <c r="JB91" t="s">
        <v>555</v>
      </c>
      <c r="JC91">
        <v>0</v>
      </c>
      <c r="JD91">
        <v>0</v>
      </c>
      <c r="JE91">
        <v>0</v>
      </c>
      <c r="JF91" t="s">
        <v>264</v>
      </c>
      <c r="JI91" t="s">
        <v>568</v>
      </c>
      <c r="JJ91" t="s">
        <v>555</v>
      </c>
      <c r="JK91">
        <v>0</v>
      </c>
      <c r="JL91">
        <v>0</v>
      </c>
      <c r="JM91">
        <v>0</v>
      </c>
      <c r="JN91" t="s">
        <v>264</v>
      </c>
      <c r="JQ91" t="s">
        <v>569</v>
      </c>
      <c r="JR91" t="s">
        <v>555</v>
      </c>
      <c r="JS91">
        <v>0</v>
      </c>
      <c r="JT91">
        <v>0</v>
      </c>
      <c r="JU91">
        <v>0</v>
      </c>
      <c r="JV91" t="s">
        <v>264</v>
      </c>
      <c r="JY91" t="s">
        <v>570</v>
      </c>
      <c r="JZ91" t="s">
        <v>555</v>
      </c>
      <c r="KA91">
        <v>0</v>
      </c>
      <c r="KB91">
        <v>0</v>
      </c>
      <c r="KC91">
        <v>0</v>
      </c>
      <c r="KD91" t="s">
        <v>264</v>
      </c>
      <c r="KG91" t="s">
        <v>571</v>
      </c>
      <c r="KH91" t="s">
        <v>555</v>
      </c>
      <c r="KI91">
        <v>0</v>
      </c>
      <c r="KJ91">
        <v>0</v>
      </c>
      <c r="KK91">
        <v>0</v>
      </c>
      <c r="KL91" t="s">
        <v>264</v>
      </c>
      <c r="KO91" t="s">
        <v>572</v>
      </c>
      <c r="KP91" t="s">
        <v>555</v>
      </c>
      <c r="KQ91">
        <v>0</v>
      </c>
      <c r="KR91">
        <v>0</v>
      </c>
      <c r="KS91">
        <v>0</v>
      </c>
      <c r="KT91" t="s">
        <v>264</v>
      </c>
      <c r="KW91" t="s">
        <v>573</v>
      </c>
      <c r="KX91" t="s">
        <v>555</v>
      </c>
      <c r="KY91">
        <v>0</v>
      </c>
      <c r="KZ91">
        <v>0</v>
      </c>
      <c r="LA91">
        <v>0</v>
      </c>
      <c r="LB91" t="s">
        <v>264</v>
      </c>
      <c r="LE91" t="s">
        <v>574</v>
      </c>
      <c r="LF91" t="s">
        <v>555</v>
      </c>
      <c r="LG91">
        <v>0</v>
      </c>
      <c r="LH91">
        <v>0</v>
      </c>
      <c r="LI91">
        <v>0</v>
      </c>
      <c r="LJ91" t="s">
        <v>264</v>
      </c>
      <c r="LM91" t="s">
        <v>575</v>
      </c>
      <c r="LN91" t="s">
        <v>555</v>
      </c>
      <c r="LO91">
        <v>0</v>
      </c>
      <c r="LP91">
        <v>0</v>
      </c>
      <c r="LQ91">
        <v>0</v>
      </c>
      <c r="LR91" t="s">
        <v>264</v>
      </c>
      <c r="LU91" t="s">
        <v>576</v>
      </c>
      <c r="LV91" t="s">
        <v>555</v>
      </c>
      <c r="LW91">
        <v>0</v>
      </c>
      <c r="LX91">
        <v>0</v>
      </c>
      <c r="LY91">
        <v>0</v>
      </c>
      <c r="LZ91" t="s">
        <v>264</v>
      </c>
      <c r="MC91" t="s">
        <v>577</v>
      </c>
      <c r="MD91" t="s">
        <v>555</v>
      </c>
      <c r="ME91">
        <v>0</v>
      </c>
      <c r="MF91">
        <v>0</v>
      </c>
      <c r="MG91">
        <v>0</v>
      </c>
      <c r="MH91" t="s">
        <v>264</v>
      </c>
      <c r="MK91" t="s">
        <v>578</v>
      </c>
      <c r="ML91" t="s">
        <v>555</v>
      </c>
      <c r="MM91">
        <v>0</v>
      </c>
      <c r="MN91">
        <v>0</v>
      </c>
      <c r="MO91">
        <v>0</v>
      </c>
      <c r="MP91" t="s">
        <v>264</v>
      </c>
      <c r="MS91" t="s">
        <v>579</v>
      </c>
      <c r="MT91" t="s">
        <v>555</v>
      </c>
      <c r="MU91">
        <v>0</v>
      </c>
      <c r="MV91">
        <v>0</v>
      </c>
      <c r="MW91">
        <v>0</v>
      </c>
      <c r="MX91" t="s">
        <v>264</v>
      </c>
      <c r="NA91" t="s">
        <v>580</v>
      </c>
      <c r="NB91" t="s">
        <v>555</v>
      </c>
      <c r="NC91">
        <v>0</v>
      </c>
      <c r="ND91">
        <v>0</v>
      </c>
      <c r="NE91">
        <v>0</v>
      </c>
      <c r="NF91" t="s">
        <v>264</v>
      </c>
      <c r="NI91">
        <v>40</v>
      </c>
      <c r="NJ91">
        <v>-11.1</v>
      </c>
      <c r="NP91" t="s">
        <v>581</v>
      </c>
    </row>
    <row r="92" spans="1:380" customFormat="1" x14ac:dyDescent="0.2">
      <c r="A92" t="s">
        <v>517</v>
      </c>
      <c r="B92">
        <v>1</v>
      </c>
      <c r="C92" t="s">
        <v>784</v>
      </c>
      <c r="D92">
        <v>647065882</v>
      </c>
      <c r="E92">
        <v>12602</v>
      </c>
      <c r="F92" t="s">
        <v>542</v>
      </c>
      <c r="G92">
        <v>750211</v>
      </c>
      <c r="H92">
        <v>210066030</v>
      </c>
      <c r="I92" t="s">
        <v>543</v>
      </c>
      <c r="J92" t="s">
        <v>785</v>
      </c>
      <c r="K92" t="s">
        <v>545</v>
      </c>
      <c r="L92" t="s">
        <v>294</v>
      </c>
      <c r="M92" t="s">
        <v>546</v>
      </c>
      <c r="N92" t="s">
        <v>468</v>
      </c>
      <c r="O92" t="s">
        <v>547</v>
      </c>
      <c r="P92" t="s">
        <v>270</v>
      </c>
      <c r="Q92">
        <v>28.1</v>
      </c>
      <c r="R92">
        <v>243</v>
      </c>
      <c r="S92" t="s">
        <v>270</v>
      </c>
      <c r="T92">
        <v>-9999</v>
      </c>
      <c r="U92">
        <v>515</v>
      </c>
      <c r="V92">
        <v>530</v>
      </c>
      <c r="W92">
        <v>505</v>
      </c>
      <c r="X92" t="s">
        <v>270</v>
      </c>
      <c r="Y92">
        <v>0</v>
      </c>
      <c r="Z92">
        <v>55</v>
      </c>
      <c r="AA92" t="s">
        <v>469</v>
      </c>
      <c r="AB92" t="s">
        <v>548</v>
      </c>
      <c r="AC92">
        <v>1</v>
      </c>
      <c r="AD92" t="s">
        <v>549</v>
      </c>
      <c r="AE92">
        <v>0</v>
      </c>
      <c r="AF92">
        <v>50</v>
      </c>
      <c r="AG92" t="s">
        <v>264</v>
      </c>
      <c r="AH92">
        <v>-9999</v>
      </c>
      <c r="AI92">
        <v>421</v>
      </c>
      <c r="AJ92">
        <v>526</v>
      </c>
      <c r="AK92">
        <v>420</v>
      </c>
      <c r="AL92" t="s">
        <v>270</v>
      </c>
      <c r="AM92">
        <v>0</v>
      </c>
      <c r="AN92">
        <v>55</v>
      </c>
      <c r="AO92" t="s">
        <v>470</v>
      </c>
      <c r="AP92" t="s">
        <v>548</v>
      </c>
      <c r="AQ92">
        <v>2</v>
      </c>
      <c r="AR92" t="s">
        <v>549</v>
      </c>
      <c r="AS92">
        <v>0</v>
      </c>
      <c r="AT92">
        <v>32</v>
      </c>
      <c r="AU92" t="s">
        <v>264</v>
      </c>
      <c r="AV92">
        <v>-9999</v>
      </c>
      <c r="AW92">
        <v>357</v>
      </c>
      <c r="AX92">
        <v>375</v>
      </c>
      <c r="AY92">
        <v>355</v>
      </c>
      <c r="AZ92" t="s">
        <v>270</v>
      </c>
      <c r="BA92">
        <v>0</v>
      </c>
      <c r="BB92">
        <v>55</v>
      </c>
      <c r="BC92" t="s">
        <v>550</v>
      </c>
      <c r="BD92" t="s">
        <v>548</v>
      </c>
      <c r="BE92">
        <v>3</v>
      </c>
      <c r="BF92" t="s">
        <v>549</v>
      </c>
      <c r="BG92">
        <v>0</v>
      </c>
      <c r="BH92">
        <v>-6</v>
      </c>
      <c r="BI92" t="s">
        <v>264</v>
      </c>
      <c r="BJ92">
        <v>-9999</v>
      </c>
      <c r="BK92">
        <v>211</v>
      </c>
      <c r="BL92">
        <v>253</v>
      </c>
      <c r="BM92">
        <v>207</v>
      </c>
      <c r="BN92" t="s">
        <v>270</v>
      </c>
      <c r="BO92">
        <v>0</v>
      </c>
      <c r="BP92">
        <v>55</v>
      </c>
      <c r="BQ92" t="s">
        <v>504</v>
      </c>
      <c r="BR92" t="s">
        <v>548</v>
      </c>
      <c r="BS92">
        <v>4</v>
      </c>
      <c r="BT92" t="s">
        <v>549</v>
      </c>
      <c r="BU92">
        <v>52.2</v>
      </c>
      <c r="BV92">
        <v>78</v>
      </c>
      <c r="BW92" t="s">
        <v>264</v>
      </c>
      <c r="BX92">
        <v>-9999</v>
      </c>
      <c r="BY92">
        <v>192</v>
      </c>
      <c r="BZ92">
        <v>223</v>
      </c>
      <c r="CA92">
        <v>191</v>
      </c>
      <c r="CB92" t="s">
        <v>270</v>
      </c>
      <c r="CC92">
        <v>0</v>
      </c>
      <c r="CD92">
        <v>55</v>
      </c>
      <c r="CE92" t="s">
        <v>471</v>
      </c>
      <c r="CF92" t="s">
        <v>548</v>
      </c>
      <c r="CG92">
        <v>5</v>
      </c>
      <c r="CH92" t="s">
        <v>549</v>
      </c>
      <c r="CI92">
        <v>50.4</v>
      </c>
      <c r="CJ92">
        <v>218</v>
      </c>
      <c r="CK92" t="s">
        <v>264</v>
      </c>
      <c r="CL92">
        <v>-9999</v>
      </c>
      <c r="CM92">
        <v>462</v>
      </c>
      <c r="CN92">
        <v>535</v>
      </c>
      <c r="CO92">
        <v>460</v>
      </c>
      <c r="CP92" t="s">
        <v>270</v>
      </c>
      <c r="CQ92">
        <v>0</v>
      </c>
      <c r="CR92">
        <v>55</v>
      </c>
      <c r="CS92" t="s">
        <v>472</v>
      </c>
      <c r="CT92" t="s">
        <v>548</v>
      </c>
      <c r="CU92">
        <v>6</v>
      </c>
      <c r="CV92" t="s">
        <v>549</v>
      </c>
      <c r="CW92">
        <v>53.7</v>
      </c>
      <c r="CX92">
        <v>83</v>
      </c>
      <c r="CY92" t="s">
        <v>264</v>
      </c>
      <c r="CZ92">
        <v>-9999</v>
      </c>
      <c r="DA92">
        <v>581</v>
      </c>
      <c r="DB92">
        <v>660</v>
      </c>
      <c r="DC92">
        <v>571</v>
      </c>
      <c r="DD92" t="s">
        <v>270</v>
      </c>
      <c r="DE92">
        <v>0</v>
      </c>
      <c r="DF92">
        <v>55</v>
      </c>
      <c r="DG92" t="s">
        <v>473</v>
      </c>
      <c r="DH92" t="s">
        <v>548</v>
      </c>
      <c r="DI92">
        <v>7</v>
      </c>
      <c r="DJ92" t="s">
        <v>549</v>
      </c>
      <c r="DK92">
        <v>0</v>
      </c>
      <c r="DL92">
        <v>46</v>
      </c>
      <c r="DM92" t="s">
        <v>264</v>
      </c>
      <c r="DN92">
        <v>-9999</v>
      </c>
      <c r="DO92">
        <v>441</v>
      </c>
      <c r="DP92">
        <v>504</v>
      </c>
      <c r="DQ92">
        <v>437</v>
      </c>
      <c r="DR92" t="s">
        <v>270</v>
      </c>
      <c r="DS92">
        <v>0</v>
      </c>
      <c r="DT92">
        <v>55</v>
      </c>
      <c r="DU92" t="s">
        <v>474</v>
      </c>
      <c r="DV92" t="s">
        <v>548</v>
      </c>
      <c r="DW92">
        <v>8</v>
      </c>
      <c r="DX92" t="s">
        <v>549</v>
      </c>
      <c r="DY92">
        <v>49</v>
      </c>
      <c r="DZ92">
        <v>63</v>
      </c>
      <c r="EA92" t="s">
        <v>264</v>
      </c>
      <c r="EB92">
        <v>-9999</v>
      </c>
      <c r="EC92">
        <v>97</v>
      </c>
      <c r="ED92">
        <v>119</v>
      </c>
      <c r="EE92">
        <v>94</v>
      </c>
      <c r="EF92" t="s">
        <v>270</v>
      </c>
      <c r="EG92">
        <v>0</v>
      </c>
      <c r="EH92">
        <v>55</v>
      </c>
      <c r="EI92" t="s">
        <v>475</v>
      </c>
      <c r="EJ92" t="s">
        <v>548</v>
      </c>
      <c r="EK92">
        <v>9</v>
      </c>
      <c r="EL92" t="s">
        <v>549</v>
      </c>
      <c r="EM92">
        <v>0</v>
      </c>
      <c r="EN92">
        <v>7</v>
      </c>
      <c r="EO92" t="s">
        <v>264</v>
      </c>
      <c r="EP92">
        <v>-9999</v>
      </c>
      <c r="EQ92">
        <v>274</v>
      </c>
      <c r="ER92">
        <v>249</v>
      </c>
      <c r="ES92">
        <v>233</v>
      </c>
      <c r="ET92" t="s">
        <v>270</v>
      </c>
      <c r="EU92">
        <v>0</v>
      </c>
      <c r="EV92">
        <v>55</v>
      </c>
      <c r="EW92" t="s">
        <v>551</v>
      </c>
      <c r="EX92" t="s">
        <v>552</v>
      </c>
      <c r="EY92">
        <v>117</v>
      </c>
      <c r="EZ92">
        <v>117</v>
      </c>
      <c r="FA92">
        <v>117</v>
      </c>
      <c r="FB92" t="s">
        <v>270</v>
      </c>
      <c r="FC92" t="s">
        <v>553</v>
      </c>
      <c r="FD92" t="s">
        <v>552</v>
      </c>
      <c r="FE92">
        <v>267</v>
      </c>
      <c r="FF92">
        <v>266</v>
      </c>
      <c r="FG92">
        <v>265</v>
      </c>
      <c r="FH92" t="s">
        <v>270</v>
      </c>
      <c r="FI92" t="s">
        <v>554</v>
      </c>
      <c r="FJ92" t="s">
        <v>555</v>
      </c>
      <c r="FK92">
        <v>0</v>
      </c>
      <c r="FL92">
        <v>0</v>
      </c>
      <c r="FM92">
        <v>0</v>
      </c>
      <c r="FN92" t="s">
        <v>264</v>
      </c>
      <c r="FQ92" t="s">
        <v>556</v>
      </c>
      <c r="FR92" t="s">
        <v>555</v>
      </c>
      <c r="FS92">
        <v>0</v>
      </c>
      <c r="FT92">
        <v>0</v>
      </c>
      <c r="FU92">
        <v>0</v>
      </c>
      <c r="FV92" t="s">
        <v>264</v>
      </c>
      <c r="FY92" t="s">
        <v>557</v>
      </c>
      <c r="FZ92" t="s">
        <v>555</v>
      </c>
      <c r="GA92">
        <v>0</v>
      </c>
      <c r="GB92">
        <v>0</v>
      </c>
      <c r="GC92">
        <v>0</v>
      </c>
      <c r="GD92" t="s">
        <v>264</v>
      </c>
      <c r="GG92" t="s">
        <v>558</v>
      </c>
      <c r="GH92" t="s">
        <v>555</v>
      </c>
      <c r="GI92">
        <v>0</v>
      </c>
      <c r="GJ92">
        <v>0</v>
      </c>
      <c r="GK92">
        <v>0</v>
      </c>
      <c r="GL92" t="s">
        <v>264</v>
      </c>
      <c r="GO92" t="s">
        <v>559</v>
      </c>
      <c r="GP92" t="s">
        <v>555</v>
      </c>
      <c r="GQ92">
        <v>0</v>
      </c>
      <c r="GR92">
        <v>0</v>
      </c>
      <c r="GS92">
        <v>0</v>
      </c>
      <c r="GT92" t="s">
        <v>264</v>
      </c>
      <c r="GW92" t="s">
        <v>560</v>
      </c>
      <c r="GX92" t="s">
        <v>555</v>
      </c>
      <c r="GY92">
        <v>0</v>
      </c>
      <c r="GZ92">
        <v>0</v>
      </c>
      <c r="HA92">
        <v>0</v>
      </c>
      <c r="HB92" t="s">
        <v>264</v>
      </c>
      <c r="HE92" t="s">
        <v>561</v>
      </c>
      <c r="HF92" t="s">
        <v>555</v>
      </c>
      <c r="HG92">
        <v>0</v>
      </c>
      <c r="HH92">
        <v>0</v>
      </c>
      <c r="HI92">
        <v>0</v>
      </c>
      <c r="HJ92" t="s">
        <v>264</v>
      </c>
      <c r="HM92" t="s">
        <v>562</v>
      </c>
      <c r="HN92" t="s">
        <v>555</v>
      </c>
      <c r="HO92">
        <v>0</v>
      </c>
      <c r="HP92">
        <v>0</v>
      </c>
      <c r="HQ92">
        <v>0</v>
      </c>
      <c r="HR92" t="s">
        <v>264</v>
      </c>
      <c r="HU92" t="s">
        <v>563</v>
      </c>
      <c r="HV92" t="s">
        <v>555</v>
      </c>
      <c r="HW92">
        <v>0</v>
      </c>
      <c r="HX92">
        <v>0</v>
      </c>
      <c r="HY92">
        <v>0</v>
      </c>
      <c r="HZ92" t="s">
        <v>264</v>
      </c>
      <c r="IC92" t="s">
        <v>564</v>
      </c>
      <c r="ID92" t="s">
        <v>555</v>
      </c>
      <c r="IE92">
        <v>0</v>
      </c>
      <c r="IF92">
        <v>0</v>
      </c>
      <c r="IG92">
        <v>0</v>
      </c>
      <c r="IH92" t="s">
        <v>264</v>
      </c>
      <c r="IK92" t="s">
        <v>565</v>
      </c>
      <c r="IL92" t="s">
        <v>555</v>
      </c>
      <c r="IM92">
        <v>0</v>
      </c>
      <c r="IN92">
        <v>0</v>
      </c>
      <c r="IO92">
        <v>0</v>
      </c>
      <c r="IP92" t="s">
        <v>264</v>
      </c>
      <c r="IS92" t="s">
        <v>566</v>
      </c>
      <c r="IT92" t="s">
        <v>555</v>
      </c>
      <c r="IU92">
        <v>0</v>
      </c>
      <c r="IV92">
        <v>0</v>
      </c>
      <c r="IW92">
        <v>0</v>
      </c>
      <c r="IX92" t="s">
        <v>264</v>
      </c>
      <c r="JA92" t="s">
        <v>567</v>
      </c>
      <c r="JB92" t="s">
        <v>555</v>
      </c>
      <c r="JC92">
        <v>0</v>
      </c>
      <c r="JD92">
        <v>0</v>
      </c>
      <c r="JE92">
        <v>0</v>
      </c>
      <c r="JF92" t="s">
        <v>264</v>
      </c>
      <c r="JI92" t="s">
        <v>568</v>
      </c>
      <c r="JJ92" t="s">
        <v>555</v>
      </c>
      <c r="JK92">
        <v>0</v>
      </c>
      <c r="JL92">
        <v>0</v>
      </c>
      <c r="JM92">
        <v>0</v>
      </c>
      <c r="JN92" t="s">
        <v>264</v>
      </c>
      <c r="JQ92" t="s">
        <v>569</v>
      </c>
      <c r="JR92" t="s">
        <v>555</v>
      </c>
      <c r="JS92">
        <v>0</v>
      </c>
      <c r="JT92">
        <v>0</v>
      </c>
      <c r="JU92">
        <v>0</v>
      </c>
      <c r="JV92" t="s">
        <v>264</v>
      </c>
      <c r="JY92" t="s">
        <v>570</v>
      </c>
      <c r="JZ92" t="s">
        <v>555</v>
      </c>
      <c r="KA92">
        <v>0</v>
      </c>
      <c r="KB92">
        <v>0</v>
      </c>
      <c r="KC92">
        <v>0</v>
      </c>
      <c r="KD92" t="s">
        <v>264</v>
      </c>
      <c r="KG92" t="s">
        <v>571</v>
      </c>
      <c r="KH92" t="s">
        <v>555</v>
      </c>
      <c r="KI92">
        <v>0</v>
      </c>
      <c r="KJ92">
        <v>0</v>
      </c>
      <c r="KK92">
        <v>0</v>
      </c>
      <c r="KL92" t="s">
        <v>264</v>
      </c>
      <c r="KO92" t="s">
        <v>572</v>
      </c>
      <c r="KP92" t="s">
        <v>555</v>
      </c>
      <c r="KQ92">
        <v>0</v>
      </c>
      <c r="KR92">
        <v>0</v>
      </c>
      <c r="KS92">
        <v>0</v>
      </c>
      <c r="KT92" t="s">
        <v>264</v>
      </c>
      <c r="KW92" t="s">
        <v>573</v>
      </c>
      <c r="KX92" t="s">
        <v>555</v>
      </c>
      <c r="KY92">
        <v>0</v>
      </c>
      <c r="KZ92">
        <v>0</v>
      </c>
      <c r="LA92">
        <v>0</v>
      </c>
      <c r="LB92" t="s">
        <v>264</v>
      </c>
      <c r="LE92" t="s">
        <v>574</v>
      </c>
      <c r="LF92" t="s">
        <v>555</v>
      </c>
      <c r="LG92">
        <v>0</v>
      </c>
      <c r="LH92">
        <v>0</v>
      </c>
      <c r="LI92">
        <v>0</v>
      </c>
      <c r="LJ92" t="s">
        <v>264</v>
      </c>
      <c r="LM92" t="s">
        <v>575</v>
      </c>
      <c r="LN92" t="s">
        <v>555</v>
      </c>
      <c r="LO92">
        <v>0</v>
      </c>
      <c r="LP92">
        <v>0</v>
      </c>
      <c r="LQ92">
        <v>0</v>
      </c>
      <c r="LR92" t="s">
        <v>264</v>
      </c>
      <c r="LU92" t="s">
        <v>576</v>
      </c>
      <c r="LV92" t="s">
        <v>555</v>
      </c>
      <c r="LW92">
        <v>0</v>
      </c>
      <c r="LX92">
        <v>0</v>
      </c>
      <c r="LY92">
        <v>0</v>
      </c>
      <c r="LZ92" t="s">
        <v>264</v>
      </c>
      <c r="MC92" t="s">
        <v>577</v>
      </c>
      <c r="MD92" t="s">
        <v>555</v>
      </c>
      <c r="ME92">
        <v>0</v>
      </c>
      <c r="MF92">
        <v>0</v>
      </c>
      <c r="MG92">
        <v>0</v>
      </c>
      <c r="MH92" t="s">
        <v>264</v>
      </c>
      <c r="MK92" t="s">
        <v>578</v>
      </c>
      <c r="ML92" t="s">
        <v>555</v>
      </c>
      <c r="MM92">
        <v>0</v>
      </c>
      <c r="MN92">
        <v>0</v>
      </c>
      <c r="MO92">
        <v>0</v>
      </c>
      <c r="MP92" t="s">
        <v>264</v>
      </c>
      <c r="MS92" t="s">
        <v>579</v>
      </c>
      <c r="MT92" t="s">
        <v>555</v>
      </c>
      <c r="MU92">
        <v>0</v>
      </c>
      <c r="MV92">
        <v>0</v>
      </c>
      <c r="MW92">
        <v>0</v>
      </c>
      <c r="MX92" t="s">
        <v>264</v>
      </c>
      <c r="NA92" t="s">
        <v>580</v>
      </c>
      <c r="NB92" t="s">
        <v>555</v>
      </c>
      <c r="NC92">
        <v>0</v>
      </c>
      <c r="ND92">
        <v>0</v>
      </c>
      <c r="NE92">
        <v>0</v>
      </c>
      <c r="NF92" t="s">
        <v>264</v>
      </c>
      <c r="NI92">
        <v>40</v>
      </c>
      <c r="NJ92">
        <v>-13.6</v>
      </c>
      <c r="NP92" t="s">
        <v>581</v>
      </c>
    </row>
    <row r="93" spans="1:380" customFormat="1" x14ac:dyDescent="0.2">
      <c r="A93" t="s">
        <v>517</v>
      </c>
      <c r="B93">
        <v>1</v>
      </c>
      <c r="C93" t="s">
        <v>786</v>
      </c>
      <c r="D93">
        <v>647065336</v>
      </c>
      <c r="E93">
        <v>12602</v>
      </c>
      <c r="F93" t="s">
        <v>542</v>
      </c>
      <c r="G93">
        <v>750211</v>
      </c>
      <c r="H93">
        <v>914188</v>
      </c>
      <c r="I93" t="s">
        <v>543</v>
      </c>
      <c r="J93" t="s">
        <v>787</v>
      </c>
      <c r="K93" t="s">
        <v>545</v>
      </c>
      <c r="L93" t="s">
        <v>294</v>
      </c>
      <c r="M93" t="s">
        <v>546</v>
      </c>
      <c r="N93" t="s">
        <v>468</v>
      </c>
      <c r="O93" t="s">
        <v>547</v>
      </c>
      <c r="P93" t="s">
        <v>270</v>
      </c>
      <c r="Q93">
        <v>25.8</v>
      </c>
      <c r="R93">
        <v>236</v>
      </c>
      <c r="S93" t="s">
        <v>270</v>
      </c>
      <c r="T93">
        <v>-9999</v>
      </c>
      <c r="U93">
        <v>561</v>
      </c>
      <c r="V93">
        <v>580</v>
      </c>
      <c r="W93">
        <v>553</v>
      </c>
      <c r="X93" t="s">
        <v>270</v>
      </c>
      <c r="Y93">
        <v>0</v>
      </c>
      <c r="Z93">
        <v>55</v>
      </c>
      <c r="AA93" t="s">
        <v>469</v>
      </c>
      <c r="AB93" t="s">
        <v>548</v>
      </c>
      <c r="AC93">
        <v>1</v>
      </c>
      <c r="AD93" t="s">
        <v>549</v>
      </c>
      <c r="AE93">
        <v>0</v>
      </c>
      <c r="AF93">
        <v>33</v>
      </c>
      <c r="AG93" t="s">
        <v>264</v>
      </c>
      <c r="AH93">
        <v>-9999</v>
      </c>
      <c r="AI93">
        <v>443</v>
      </c>
      <c r="AJ93">
        <v>556</v>
      </c>
      <c r="AK93">
        <v>444</v>
      </c>
      <c r="AL93" t="s">
        <v>270</v>
      </c>
      <c r="AM93">
        <v>0</v>
      </c>
      <c r="AN93">
        <v>55</v>
      </c>
      <c r="AO93" t="s">
        <v>470</v>
      </c>
      <c r="AP93" t="s">
        <v>548</v>
      </c>
      <c r="AQ93">
        <v>2</v>
      </c>
      <c r="AR93" t="s">
        <v>549</v>
      </c>
      <c r="AS93">
        <v>0</v>
      </c>
      <c r="AT93">
        <v>32</v>
      </c>
      <c r="AU93" t="s">
        <v>264</v>
      </c>
      <c r="AV93">
        <v>-9999</v>
      </c>
      <c r="AW93">
        <v>397</v>
      </c>
      <c r="AX93">
        <v>419</v>
      </c>
      <c r="AY93">
        <v>396</v>
      </c>
      <c r="AZ93" t="s">
        <v>270</v>
      </c>
      <c r="BA93">
        <v>0</v>
      </c>
      <c r="BB93">
        <v>55</v>
      </c>
      <c r="BC93" t="s">
        <v>550</v>
      </c>
      <c r="BD93" t="s">
        <v>548</v>
      </c>
      <c r="BE93">
        <v>3</v>
      </c>
      <c r="BF93" t="s">
        <v>549</v>
      </c>
      <c r="BG93">
        <v>0</v>
      </c>
      <c r="BH93">
        <v>-12</v>
      </c>
      <c r="BI93" t="s">
        <v>264</v>
      </c>
      <c r="BJ93">
        <v>-9999</v>
      </c>
      <c r="BK93">
        <v>209</v>
      </c>
      <c r="BL93">
        <v>250</v>
      </c>
      <c r="BM93">
        <v>204</v>
      </c>
      <c r="BN93" t="s">
        <v>270</v>
      </c>
      <c r="BO93">
        <v>0</v>
      </c>
      <c r="BP93">
        <v>55</v>
      </c>
      <c r="BQ93" t="s">
        <v>504</v>
      </c>
      <c r="BR93" t="s">
        <v>548</v>
      </c>
      <c r="BS93">
        <v>4</v>
      </c>
      <c r="BT93" t="s">
        <v>549</v>
      </c>
      <c r="BU93">
        <v>51.7</v>
      </c>
      <c r="BV93">
        <v>115</v>
      </c>
      <c r="BW93" t="s">
        <v>264</v>
      </c>
      <c r="BX93">
        <v>-9999</v>
      </c>
      <c r="BY93">
        <v>228</v>
      </c>
      <c r="BZ93">
        <v>263</v>
      </c>
      <c r="CA93">
        <v>226</v>
      </c>
      <c r="CB93" t="s">
        <v>270</v>
      </c>
      <c r="CC93">
        <v>0</v>
      </c>
      <c r="CD93">
        <v>55</v>
      </c>
      <c r="CE93" t="s">
        <v>471</v>
      </c>
      <c r="CF93" t="s">
        <v>548</v>
      </c>
      <c r="CG93">
        <v>5</v>
      </c>
      <c r="CH93" t="s">
        <v>549</v>
      </c>
      <c r="CI93">
        <v>49.1</v>
      </c>
      <c r="CJ93">
        <v>392</v>
      </c>
      <c r="CK93" t="s">
        <v>264</v>
      </c>
      <c r="CL93">
        <v>-9999</v>
      </c>
      <c r="CM93">
        <v>491</v>
      </c>
      <c r="CN93">
        <v>566</v>
      </c>
      <c r="CO93">
        <v>488</v>
      </c>
      <c r="CP93" t="s">
        <v>270</v>
      </c>
      <c r="CQ93">
        <v>0</v>
      </c>
      <c r="CR93">
        <v>55</v>
      </c>
      <c r="CS93" t="s">
        <v>472</v>
      </c>
      <c r="CT93" t="s">
        <v>548</v>
      </c>
      <c r="CU93">
        <v>6</v>
      </c>
      <c r="CV93" t="s">
        <v>549</v>
      </c>
      <c r="CW93">
        <v>51.9</v>
      </c>
      <c r="CX93">
        <v>183</v>
      </c>
      <c r="CY93" t="s">
        <v>264</v>
      </c>
      <c r="CZ93">
        <v>-9999</v>
      </c>
      <c r="DA93">
        <v>791</v>
      </c>
      <c r="DB93">
        <v>898</v>
      </c>
      <c r="DC93">
        <v>777</v>
      </c>
      <c r="DD93" t="s">
        <v>270</v>
      </c>
      <c r="DE93">
        <v>0</v>
      </c>
      <c r="DF93">
        <v>55</v>
      </c>
      <c r="DG93" t="s">
        <v>473</v>
      </c>
      <c r="DH93" t="s">
        <v>548</v>
      </c>
      <c r="DI93">
        <v>7</v>
      </c>
      <c r="DJ93" t="s">
        <v>549</v>
      </c>
      <c r="DK93">
        <v>0</v>
      </c>
      <c r="DL93">
        <v>34</v>
      </c>
      <c r="DM93" t="s">
        <v>264</v>
      </c>
      <c r="DN93">
        <v>-9999</v>
      </c>
      <c r="DO93">
        <v>493</v>
      </c>
      <c r="DP93">
        <v>566</v>
      </c>
      <c r="DQ93">
        <v>489</v>
      </c>
      <c r="DR93" t="s">
        <v>270</v>
      </c>
      <c r="DS93">
        <v>0</v>
      </c>
      <c r="DT93">
        <v>55</v>
      </c>
      <c r="DU93" t="s">
        <v>474</v>
      </c>
      <c r="DV93" t="s">
        <v>548</v>
      </c>
      <c r="DW93">
        <v>8</v>
      </c>
      <c r="DX93" t="s">
        <v>549</v>
      </c>
      <c r="DY93">
        <v>50.6</v>
      </c>
      <c r="DZ93">
        <v>37</v>
      </c>
      <c r="EA93" t="s">
        <v>264</v>
      </c>
      <c r="EB93">
        <v>-9999</v>
      </c>
      <c r="EC93">
        <v>77</v>
      </c>
      <c r="ED93">
        <v>97</v>
      </c>
      <c r="EE93">
        <v>76</v>
      </c>
      <c r="EF93" t="s">
        <v>270</v>
      </c>
      <c r="EG93">
        <v>0</v>
      </c>
      <c r="EH93">
        <v>55</v>
      </c>
      <c r="EI93" t="s">
        <v>475</v>
      </c>
      <c r="EJ93" t="s">
        <v>548</v>
      </c>
      <c r="EK93">
        <v>9</v>
      </c>
      <c r="EL93" t="s">
        <v>549</v>
      </c>
      <c r="EM93">
        <v>0</v>
      </c>
      <c r="EN93">
        <v>15</v>
      </c>
      <c r="EO93" t="s">
        <v>264</v>
      </c>
      <c r="EP93">
        <v>-9999</v>
      </c>
      <c r="EQ93">
        <v>256</v>
      </c>
      <c r="ER93">
        <v>224</v>
      </c>
      <c r="ES93">
        <v>207</v>
      </c>
      <c r="ET93" t="s">
        <v>270</v>
      </c>
      <c r="EU93">
        <v>0</v>
      </c>
      <c r="EV93">
        <v>55</v>
      </c>
      <c r="EW93" t="s">
        <v>551</v>
      </c>
      <c r="EX93" t="s">
        <v>552</v>
      </c>
      <c r="EY93">
        <v>137</v>
      </c>
      <c r="EZ93">
        <v>138</v>
      </c>
      <c r="FA93">
        <v>139</v>
      </c>
      <c r="FB93" t="s">
        <v>270</v>
      </c>
      <c r="FC93" t="s">
        <v>553</v>
      </c>
      <c r="FD93" t="s">
        <v>552</v>
      </c>
      <c r="FE93">
        <v>336</v>
      </c>
      <c r="FF93">
        <v>335</v>
      </c>
      <c r="FG93">
        <v>334</v>
      </c>
      <c r="FH93" t="s">
        <v>270</v>
      </c>
      <c r="FI93" t="s">
        <v>554</v>
      </c>
      <c r="FJ93" t="s">
        <v>555</v>
      </c>
      <c r="FK93">
        <v>0</v>
      </c>
      <c r="FL93">
        <v>0</v>
      </c>
      <c r="FM93">
        <v>0</v>
      </c>
      <c r="FN93" t="s">
        <v>264</v>
      </c>
      <c r="FQ93" t="s">
        <v>556</v>
      </c>
      <c r="FR93" t="s">
        <v>555</v>
      </c>
      <c r="FS93">
        <v>0</v>
      </c>
      <c r="FT93">
        <v>0</v>
      </c>
      <c r="FU93">
        <v>0</v>
      </c>
      <c r="FV93" t="s">
        <v>264</v>
      </c>
      <c r="FY93" t="s">
        <v>557</v>
      </c>
      <c r="FZ93" t="s">
        <v>555</v>
      </c>
      <c r="GA93">
        <v>0</v>
      </c>
      <c r="GB93">
        <v>0</v>
      </c>
      <c r="GC93">
        <v>0</v>
      </c>
      <c r="GD93" t="s">
        <v>264</v>
      </c>
      <c r="GG93" t="s">
        <v>558</v>
      </c>
      <c r="GH93" t="s">
        <v>555</v>
      </c>
      <c r="GI93">
        <v>0</v>
      </c>
      <c r="GJ93">
        <v>0</v>
      </c>
      <c r="GK93">
        <v>0</v>
      </c>
      <c r="GL93" t="s">
        <v>264</v>
      </c>
      <c r="GO93" t="s">
        <v>559</v>
      </c>
      <c r="GP93" t="s">
        <v>555</v>
      </c>
      <c r="GQ93">
        <v>0</v>
      </c>
      <c r="GR93">
        <v>0</v>
      </c>
      <c r="GS93">
        <v>0</v>
      </c>
      <c r="GT93" t="s">
        <v>264</v>
      </c>
      <c r="GW93" t="s">
        <v>560</v>
      </c>
      <c r="GX93" t="s">
        <v>555</v>
      </c>
      <c r="GY93">
        <v>0</v>
      </c>
      <c r="GZ93">
        <v>0</v>
      </c>
      <c r="HA93">
        <v>0</v>
      </c>
      <c r="HB93" t="s">
        <v>264</v>
      </c>
      <c r="HE93" t="s">
        <v>561</v>
      </c>
      <c r="HF93" t="s">
        <v>555</v>
      </c>
      <c r="HG93">
        <v>0</v>
      </c>
      <c r="HH93">
        <v>0</v>
      </c>
      <c r="HI93">
        <v>0</v>
      </c>
      <c r="HJ93" t="s">
        <v>264</v>
      </c>
      <c r="HK93">
        <v>72.099999999999994</v>
      </c>
      <c r="HL93">
        <v>15.1</v>
      </c>
      <c r="HM93" t="s">
        <v>562</v>
      </c>
      <c r="HN93" t="s">
        <v>555</v>
      </c>
      <c r="HO93">
        <v>0</v>
      </c>
      <c r="HP93">
        <v>0</v>
      </c>
      <c r="HQ93">
        <v>0</v>
      </c>
      <c r="HR93" t="s">
        <v>264</v>
      </c>
      <c r="HU93" t="s">
        <v>563</v>
      </c>
      <c r="HV93" t="s">
        <v>555</v>
      </c>
      <c r="HW93">
        <v>0</v>
      </c>
      <c r="HX93">
        <v>0</v>
      </c>
      <c r="HY93">
        <v>0</v>
      </c>
      <c r="HZ93" t="s">
        <v>264</v>
      </c>
      <c r="IC93" t="s">
        <v>564</v>
      </c>
      <c r="ID93" t="s">
        <v>555</v>
      </c>
      <c r="IE93">
        <v>0</v>
      </c>
      <c r="IF93">
        <v>0</v>
      </c>
      <c r="IG93">
        <v>0</v>
      </c>
      <c r="IH93" t="s">
        <v>264</v>
      </c>
      <c r="IK93" t="s">
        <v>565</v>
      </c>
      <c r="IL93" t="s">
        <v>555</v>
      </c>
      <c r="IM93">
        <v>0</v>
      </c>
      <c r="IN93">
        <v>0</v>
      </c>
      <c r="IO93">
        <v>0</v>
      </c>
      <c r="IP93" t="s">
        <v>264</v>
      </c>
      <c r="IS93" t="s">
        <v>566</v>
      </c>
      <c r="IT93" t="s">
        <v>555</v>
      </c>
      <c r="IU93">
        <v>0</v>
      </c>
      <c r="IV93">
        <v>0</v>
      </c>
      <c r="IW93">
        <v>0</v>
      </c>
      <c r="IX93" t="s">
        <v>264</v>
      </c>
      <c r="JA93" t="s">
        <v>567</v>
      </c>
      <c r="JB93" t="s">
        <v>555</v>
      </c>
      <c r="JC93">
        <v>0</v>
      </c>
      <c r="JD93">
        <v>0</v>
      </c>
      <c r="JE93">
        <v>0</v>
      </c>
      <c r="JF93" t="s">
        <v>264</v>
      </c>
      <c r="JI93" t="s">
        <v>568</v>
      </c>
      <c r="JJ93" t="s">
        <v>555</v>
      </c>
      <c r="JK93">
        <v>0</v>
      </c>
      <c r="JL93">
        <v>0</v>
      </c>
      <c r="JM93">
        <v>0</v>
      </c>
      <c r="JN93" t="s">
        <v>264</v>
      </c>
      <c r="JQ93" t="s">
        <v>569</v>
      </c>
      <c r="JR93" t="s">
        <v>555</v>
      </c>
      <c r="JS93">
        <v>0</v>
      </c>
      <c r="JT93">
        <v>0</v>
      </c>
      <c r="JU93">
        <v>0</v>
      </c>
      <c r="JV93" t="s">
        <v>264</v>
      </c>
      <c r="JY93" t="s">
        <v>570</v>
      </c>
      <c r="JZ93" t="s">
        <v>555</v>
      </c>
      <c r="KA93">
        <v>0</v>
      </c>
      <c r="KB93">
        <v>0</v>
      </c>
      <c r="KC93">
        <v>0</v>
      </c>
      <c r="KD93" t="s">
        <v>264</v>
      </c>
      <c r="KG93" t="s">
        <v>571</v>
      </c>
      <c r="KH93" t="s">
        <v>555</v>
      </c>
      <c r="KI93">
        <v>0</v>
      </c>
      <c r="KJ93">
        <v>0</v>
      </c>
      <c r="KK93">
        <v>0</v>
      </c>
      <c r="KL93" t="s">
        <v>264</v>
      </c>
      <c r="KO93" t="s">
        <v>572</v>
      </c>
      <c r="KP93" t="s">
        <v>555</v>
      </c>
      <c r="KQ93">
        <v>0</v>
      </c>
      <c r="KR93">
        <v>0</v>
      </c>
      <c r="KS93">
        <v>0</v>
      </c>
      <c r="KT93" t="s">
        <v>264</v>
      </c>
      <c r="KW93" t="s">
        <v>573</v>
      </c>
      <c r="KX93" t="s">
        <v>555</v>
      </c>
      <c r="KY93">
        <v>0</v>
      </c>
      <c r="KZ93">
        <v>0</v>
      </c>
      <c r="LA93">
        <v>0</v>
      </c>
      <c r="LB93" t="s">
        <v>264</v>
      </c>
      <c r="LE93" t="s">
        <v>574</v>
      </c>
      <c r="LF93" t="s">
        <v>555</v>
      </c>
      <c r="LG93">
        <v>0</v>
      </c>
      <c r="LH93">
        <v>0</v>
      </c>
      <c r="LI93">
        <v>0</v>
      </c>
      <c r="LJ93" t="s">
        <v>264</v>
      </c>
      <c r="LM93" t="s">
        <v>575</v>
      </c>
      <c r="LN93" t="s">
        <v>555</v>
      </c>
      <c r="LO93">
        <v>0</v>
      </c>
      <c r="LP93">
        <v>0</v>
      </c>
      <c r="LQ93">
        <v>0</v>
      </c>
      <c r="LR93" t="s">
        <v>264</v>
      </c>
      <c r="LU93" t="s">
        <v>576</v>
      </c>
      <c r="LV93" t="s">
        <v>555</v>
      </c>
      <c r="LW93">
        <v>0</v>
      </c>
      <c r="LX93">
        <v>0</v>
      </c>
      <c r="LY93">
        <v>0</v>
      </c>
      <c r="LZ93" t="s">
        <v>264</v>
      </c>
      <c r="MC93" t="s">
        <v>577</v>
      </c>
      <c r="MD93" t="s">
        <v>555</v>
      </c>
      <c r="ME93">
        <v>0</v>
      </c>
      <c r="MF93">
        <v>0</v>
      </c>
      <c r="MG93">
        <v>0</v>
      </c>
      <c r="MH93" t="s">
        <v>264</v>
      </c>
      <c r="MK93" t="s">
        <v>578</v>
      </c>
      <c r="ML93" t="s">
        <v>555</v>
      </c>
      <c r="MM93">
        <v>0</v>
      </c>
      <c r="MN93">
        <v>0</v>
      </c>
      <c r="MO93">
        <v>0</v>
      </c>
      <c r="MP93" t="s">
        <v>264</v>
      </c>
      <c r="MS93" t="s">
        <v>579</v>
      </c>
      <c r="MT93" t="s">
        <v>555</v>
      </c>
      <c r="MU93">
        <v>0</v>
      </c>
      <c r="MV93">
        <v>0</v>
      </c>
      <c r="MW93">
        <v>0</v>
      </c>
      <c r="MX93" t="s">
        <v>264</v>
      </c>
      <c r="NA93" t="s">
        <v>580</v>
      </c>
      <c r="NB93" t="s">
        <v>555</v>
      </c>
      <c r="NC93">
        <v>0</v>
      </c>
      <c r="ND93">
        <v>0</v>
      </c>
      <c r="NE93">
        <v>0</v>
      </c>
      <c r="NF93" t="s">
        <v>264</v>
      </c>
      <c r="NI93">
        <v>40.1</v>
      </c>
      <c r="NJ93">
        <v>-5.2</v>
      </c>
      <c r="NP93" t="s">
        <v>581</v>
      </c>
    </row>
    <row r="94" spans="1:380" customFormat="1" x14ac:dyDescent="0.2">
      <c r="A94" t="s">
        <v>517</v>
      </c>
      <c r="B94">
        <v>1</v>
      </c>
      <c r="C94" t="s">
        <v>788</v>
      </c>
      <c r="D94">
        <v>647065726</v>
      </c>
      <c r="E94">
        <v>12602</v>
      </c>
      <c r="F94" t="s">
        <v>542</v>
      </c>
      <c r="G94">
        <v>750212</v>
      </c>
      <c r="H94">
        <v>210067178</v>
      </c>
      <c r="I94" t="s">
        <v>543</v>
      </c>
      <c r="J94" t="s">
        <v>789</v>
      </c>
      <c r="K94" t="s">
        <v>545</v>
      </c>
      <c r="L94" t="s">
        <v>294</v>
      </c>
      <c r="M94" t="s">
        <v>546</v>
      </c>
      <c r="N94" t="s">
        <v>468</v>
      </c>
      <c r="O94" t="s">
        <v>547</v>
      </c>
      <c r="P94" t="s">
        <v>264</v>
      </c>
      <c r="Q94">
        <v>27.9</v>
      </c>
      <c r="R94">
        <v>240</v>
      </c>
      <c r="S94" t="s">
        <v>264</v>
      </c>
      <c r="T94">
        <v>-9999</v>
      </c>
      <c r="U94">
        <v>685</v>
      </c>
      <c r="V94">
        <v>707</v>
      </c>
      <c r="W94">
        <v>673</v>
      </c>
      <c r="X94" t="s">
        <v>270</v>
      </c>
      <c r="Y94">
        <v>0</v>
      </c>
      <c r="Z94">
        <v>55</v>
      </c>
      <c r="AA94" t="s">
        <v>469</v>
      </c>
      <c r="AB94" t="s">
        <v>548</v>
      </c>
      <c r="AC94">
        <v>1</v>
      </c>
      <c r="AD94" t="s">
        <v>549</v>
      </c>
      <c r="AE94">
        <v>0</v>
      </c>
      <c r="AF94">
        <v>9</v>
      </c>
      <c r="AG94" t="s">
        <v>264</v>
      </c>
      <c r="AH94">
        <v>-9999</v>
      </c>
      <c r="AI94">
        <v>554</v>
      </c>
      <c r="AJ94">
        <v>672</v>
      </c>
      <c r="AK94">
        <v>547</v>
      </c>
      <c r="AL94" t="s">
        <v>270</v>
      </c>
      <c r="AM94">
        <v>0</v>
      </c>
      <c r="AN94">
        <v>55</v>
      </c>
      <c r="AO94" t="s">
        <v>470</v>
      </c>
      <c r="AP94" t="s">
        <v>548</v>
      </c>
      <c r="AQ94">
        <v>2</v>
      </c>
      <c r="AR94" t="s">
        <v>549</v>
      </c>
      <c r="AS94">
        <v>0</v>
      </c>
      <c r="AT94">
        <v>37</v>
      </c>
      <c r="AU94" t="s">
        <v>264</v>
      </c>
      <c r="AV94">
        <v>-9999</v>
      </c>
      <c r="AW94">
        <v>362</v>
      </c>
      <c r="AX94">
        <v>380</v>
      </c>
      <c r="AY94">
        <v>361</v>
      </c>
      <c r="AZ94" t="s">
        <v>270</v>
      </c>
      <c r="BA94">
        <v>0</v>
      </c>
      <c r="BB94">
        <v>55</v>
      </c>
      <c r="BC94" t="s">
        <v>550</v>
      </c>
      <c r="BD94" t="s">
        <v>548</v>
      </c>
      <c r="BE94">
        <v>3</v>
      </c>
      <c r="BF94" t="s">
        <v>584</v>
      </c>
      <c r="BG94">
        <v>29</v>
      </c>
      <c r="BH94">
        <v>97</v>
      </c>
      <c r="BI94" t="s">
        <v>264</v>
      </c>
      <c r="BJ94">
        <v>-9999</v>
      </c>
      <c r="BK94">
        <v>33</v>
      </c>
      <c r="BL94">
        <v>56</v>
      </c>
      <c r="BM94">
        <v>40</v>
      </c>
      <c r="BN94" t="s">
        <v>270</v>
      </c>
      <c r="BO94">
        <v>0</v>
      </c>
      <c r="BP94">
        <v>55</v>
      </c>
      <c r="BQ94" t="s">
        <v>504</v>
      </c>
      <c r="BR94" t="s">
        <v>548</v>
      </c>
      <c r="BS94">
        <v>4</v>
      </c>
      <c r="BT94" t="s">
        <v>549</v>
      </c>
      <c r="BU94">
        <v>52.5</v>
      </c>
      <c r="BV94">
        <v>74</v>
      </c>
      <c r="BW94" t="s">
        <v>264</v>
      </c>
      <c r="BX94">
        <v>-9999</v>
      </c>
      <c r="BY94">
        <v>237</v>
      </c>
      <c r="BZ94">
        <v>275</v>
      </c>
      <c r="CA94">
        <v>235</v>
      </c>
      <c r="CB94" t="s">
        <v>270</v>
      </c>
      <c r="CC94">
        <v>0</v>
      </c>
      <c r="CD94">
        <v>55</v>
      </c>
      <c r="CE94" t="s">
        <v>471</v>
      </c>
      <c r="CF94" t="s">
        <v>548</v>
      </c>
      <c r="CG94">
        <v>5</v>
      </c>
      <c r="CH94" t="s">
        <v>549</v>
      </c>
      <c r="CI94">
        <v>52</v>
      </c>
      <c r="CJ94">
        <v>169</v>
      </c>
      <c r="CK94" t="s">
        <v>264</v>
      </c>
      <c r="CL94">
        <v>-9999</v>
      </c>
      <c r="CM94">
        <v>536</v>
      </c>
      <c r="CN94">
        <v>624</v>
      </c>
      <c r="CO94">
        <v>535</v>
      </c>
      <c r="CP94" t="s">
        <v>270</v>
      </c>
      <c r="CQ94">
        <v>0</v>
      </c>
      <c r="CR94">
        <v>55</v>
      </c>
      <c r="CS94" t="s">
        <v>472</v>
      </c>
      <c r="CT94" t="s">
        <v>548</v>
      </c>
      <c r="CU94">
        <v>6</v>
      </c>
      <c r="CV94" t="s">
        <v>549</v>
      </c>
      <c r="CW94">
        <v>54.3</v>
      </c>
      <c r="CX94">
        <v>69</v>
      </c>
      <c r="CY94" t="s">
        <v>264</v>
      </c>
      <c r="CZ94">
        <v>-9999</v>
      </c>
      <c r="DA94">
        <v>683</v>
      </c>
      <c r="DB94">
        <v>778</v>
      </c>
      <c r="DC94">
        <v>674</v>
      </c>
      <c r="DD94" t="s">
        <v>270</v>
      </c>
      <c r="DE94">
        <v>0</v>
      </c>
      <c r="DF94">
        <v>55</v>
      </c>
      <c r="DG94" t="s">
        <v>473</v>
      </c>
      <c r="DH94" t="s">
        <v>548</v>
      </c>
      <c r="DI94">
        <v>7</v>
      </c>
      <c r="DJ94" t="s">
        <v>549</v>
      </c>
      <c r="DK94">
        <v>0</v>
      </c>
      <c r="DL94">
        <v>23</v>
      </c>
      <c r="DM94" t="s">
        <v>264</v>
      </c>
      <c r="DN94">
        <v>-9999</v>
      </c>
      <c r="DO94">
        <v>581</v>
      </c>
      <c r="DP94">
        <v>666</v>
      </c>
      <c r="DQ94">
        <v>576</v>
      </c>
      <c r="DR94" t="s">
        <v>270</v>
      </c>
      <c r="DS94">
        <v>0</v>
      </c>
      <c r="DT94">
        <v>55</v>
      </c>
      <c r="DU94" t="s">
        <v>474</v>
      </c>
      <c r="DV94" t="s">
        <v>548</v>
      </c>
      <c r="DW94">
        <v>8</v>
      </c>
      <c r="DX94" t="s">
        <v>549</v>
      </c>
      <c r="DY94">
        <v>51.3</v>
      </c>
      <c r="DZ94">
        <v>29</v>
      </c>
      <c r="EA94" t="s">
        <v>264</v>
      </c>
      <c r="EB94">
        <v>-9999</v>
      </c>
      <c r="EC94">
        <v>76</v>
      </c>
      <c r="ED94">
        <v>95</v>
      </c>
      <c r="EE94">
        <v>75</v>
      </c>
      <c r="EF94" t="s">
        <v>270</v>
      </c>
      <c r="EG94">
        <v>0</v>
      </c>
      <c r="EH94">
        <v>55</v>
      </c>
      <c r="EI94" t="s">
        <v>475</v>
      </c>
      <c r="EJ94" t="s">
        <v>548</v>
      </c>
      <c r="EK94">
        <v>9</v>
      </c>
      <c r="EL94" t="s">
        <v>549</v>
      </c>
      <c r="EM94">
        <v>0</v>
      </c>
      <c r="EN94">
        <v>-12</v>
      </c>
      <c r="EO94" t="s">
        <v>264</v>
      </c>
      <c r="EP94">
        <v>-9999</v>
      </c>
      <c r="EQ94">
        <v>299</v>
      </c>
      <c r="ER94">
        <v>275</v>
      </c>
      <c r="ES94">
        <v>254</v>
      </c>
      <c r="ET94" t="s">
        <v>270</v>
      </c>
      <c r="EU94">
        <v>0</v>
      </c>
      <c r="EV94">
        <v>55</v>
      </c>
      <c r="EW94" t="s">
        <v>551</v>
      </c>
      <c r="EX94" t="s">
        <v>552</v>
      </c>
      <c r="EY94">
        <v>121</v>
      </c>
      <c r="EZ94">
        <v>121</v>
      </c>
      <c r="FA94">
        <v>121</v>
      </c>
      <c r="FB94" t="s">
        <v>270</v>
      </c>
      <c r="FC94" t="s">
        <v>553</v>
      </c>
      <c r="FD94" t="s">
        <v>552</v>
      </c>
      <c r="FE94">
        <v>297</v>
      </c>
      <c r="FF94">
        <v>296</v>
      </c>
      <c r="FG94">
        <v>295</v>
      </c>
      <c r="FH94" t="s">
        <v>270</v>
      </c>
      <c r="FI94" t="s">
        <v>554</v>
      </c>
      <c r="FJ94" t="s">
        <v>555</v>
      </c>
      <c r="FK94">
        <v>0</v>
      </c>
      <c r="FL94">
        <v>0</v>
      </c>
      <c r="FM94">
        <v>0</v>
      </c>
      <c r="FN94" t="s">
        <v>264</v>
      </c>
      <c r="FQ94" t="s">
        <v>556</v>
      </c>
      <c r="FR94" t="s">
        <v>555</v>
      </c>
      <c r="FS94">
        <v>0</v>
      </c>
      <c r="FT94">
        <v>0</v>
      </c>
      <c r="FU94">
        <v>0</v>
      </c>
      <c r="FV94" t="s">
        <v>264</v>
      </c>
      <c r="FY94" t="s">
        <v>557</v>
      </c>
      <c r="FZ94" t="s">
        <v>555</v>
      </c>
      <c r="GA94">
        <v>0</v>
      </c>
      <c r="GB94">
        <v>0</v>
      </c>
      <c r="GC94">
        <v>0</v>
      </c>
      <c r="GD94" t="s">
        <v>264</v>
      </c>
      <c r="GG94" t="s">
        <v>558</v>
      </c>
      <c r="GH94" t="s">
        <v>555</v>
      </c>
      <c r="GI94">
        <v>0</v>
      </c>
      <c r="GJ94">
        <v>0</v>
      </c>
      <c r="GK94">
        <v>0</v>
      </c>
      <c r="GL94" t="s">
        <v>264</v>
      </c>
      <c r="GO94" t="s">
        <v>559</v>
      </c>
      <c r="GP94" t="s">
        <v>555</v>
      </c>
      <c r="GQ94">
        <v>0</v>
      </c>
      <c r="GR94">
        <v>0</v>
      </c>
      <c r="GS94">
        <v>0</v>
      </c>
      <c r="GT94" t="s">
        <v>264</v>
      </c>
      <c r="GW94" t="s">
        <v>560</v>
      </c>
      <c r="GX94" t="s">
        <v>555</v>
      </c>
      <c r="GY94">
        <v>0</v>
      </c>
      <c r="GZ94">
        <v>0</v>
      </c>
      <c r="HA94">
        <v>0</v>
      </c>
      <c r="HB94" t="s">
        <v>264</v>
      </c>
      <c r="HE94" t="s">
        <v>561</v>
      </c>
      <c r="HF94" t="s">
        <v>555</v>
      </c>
      <c r="HG94">
        <v>0</v>
      </c>
      <c r="HH94">
        <v>0</v>
      </c>
      <c r="HI94">
        <v>0</v>
      </c>
      <c r="HJ94" t="s">
        <v>264</v>
      </c>
      <c r="HM94" t="s">
        <v>562</v>
      </c>
      <c r="HN94" t="s">
        <v>555</v>
      </c>
      <c r="HO94">
        <v>0</v>
      </c>
      <c r="HP94">
        <v>0</v>
      </c>
      <c r="HQ94">
        <v>0</v>
      </c>
      <c r="HR94" t="s">
        <v>264</v>
      </c>
      <c r="HU94" t="s">
        <v>563</v>
      </c>
      <c r="HV94" t="s">
        <v>555</v>
      </c>
      <c r="HW94">
        <v>0</v>
      </c>
      <c r="HX94">
        <v>0</v>
      </c>
      <c r="HY94">
        <v>0</v>
      </c>
      <c r="HZ94" t="s">
        <v>264</v>
      </c>
      <c r="IC94" t="s">
        <v>564</v>
      </c>
      <c r="ID94" t="s">
        <v>555</v>
      </c>
      <c r="IE94">
        <v>0</v>
      </c>
      <c r="IF94">
        <v>0</v>
      </c>
      <c r="IG94">
        <v>0</v>
      </c>
      <c r="IH94" t="s">
        <v>264</v>
      </c>
      <c r="IK94" t="s">
        <v>565</v>
      </c>
      <c r="IL94" t="s">
        <v>555</v>
      </c>
      <c r="IM94">
        <v>0</v>
      </c>
      <c r="IN94">
        <v>0</v>
      </c>
      <c r="IO94">
        <v>0</v>
      </c>
      <c r="IP94" t="s">
        <v>264</v>
      </c>
      <c r="IS94" t="s">
        <v>566</v>
      </c>
      <c r="IT94" t="s">
        <v>555</v>
      </c>
      <c r="IU94">
        <v>0</v>
      </c>
      <c r="IV94">
        <v>0</v>
      </c>
      <c r="IW94">
        <v>0</v>
      </c>
      <c r="IX94" t="s">
        <v>264</v>
      </c>
      <c r="JA94" t="s">
        <v>567</v>
      </c>
      <c r="JB94" t="s">
        <v>555</v>
      </c>
      <c r="JC94">
        <v>0</v>
      </c>
      <c r="JD94">
        <v>0</v>
      </c>
      <c r="JE94">
        <v>0</v>
      </c>
      <c r="JF94" t="s">
        <v>264</v>
      </c>
      <c r="JI94" t="s">
        <v>568</v>
      </c>
      <c r="JJ94" t="s">
        <v>555</v>
      </c>
      <c r="JK94">
        <v>0</v>
      </c>
      <c r="JL94">
        <v>0</v>
      </c>
      <c r="JM94">
        <v>0</v>
      </c>
      <c r="JN94" t="s">
        <v>264</v>
      </c>
      <c r="JQ94" t="s">
        <v>569</v>
      </c>
      <c r="JR94" t="s">
        <v>555</v>
      </c>
      <c r="JS94">
        <v>0</v>
      </c>
      <c r="JT94">
        <v>0</v>
      </c>
      <c r="JU94">
        <v>0</v>
      </c>
      <c r="JV94" t="s">
        <v>264</v>
      </c>
      <c r="JY94" t="s">
        <v>570</v>
      </c>
      <c r="JZ94" t="s">
        <v>555</v>
      </c>
      <c r="KA94">
        <v>0</v>
      </c>
      <c r="KB94">
        <v>0</v>
      </c>
      <c r="KC94">
        <v>0</v>
      </c>
      <c r="KD94" t="s">
        <v>264</v>
      </c>
      <c r="KG94" t="s">
        <v>571</v>
      </c>
      <c r="KH94" t="s">
        <v>555</v>
      </c>
      <c r="KI94">
        <v>0</v>
      </c>
      <c r="KJ94">
        <v>0</v>
      </c>
      <c r="KK94">
        <v>0</v>
      </c>
      <c r="KL94" t="s">
        <v>264</v>
      </c>
      <c r="KO94" t="s">
        <v>572</v>
      </c>
      <c r="KP94" t="s">
        <v>555</v>
      </c>
      <c r="KQ94">
        <v>0</v>
      </c>
      <c r="KR94">
        <v>0</v>
      </c>
      <c r="KS94">
        <v>0</v>
      </c>
      <c r="KT94" t="s">
        <v>264</v>
      </c>
      <c r="KW94" t="s">
        <v>573</v>
      </c>
      <c r="KX94" t="s">
        <v>555</v>
      </c>
      <c r="KY94">
        <v>0</v>
      </c>
      <c r="KZ94">
        <v>0</v>
      </c>
      <c r="LA94">
        <v>0</v>
      </c>
      <c r="LB94" t="s">
        <v>264</v>
      </c>
      <c r="LE94" t="s">
        <v>574</v>
      </c>
      <c r="LF94" t="s">
        <v>555</v>
      </c>
      <c r="LG94">
        <v>0</v>
      </c>
      <c r="LH94">
        <v>0</v>
      </c>
      <c r="LI94">
        <v>0</v>
      </c>
      <c r="LJ94" t="s">
        <v>264</v>
      </c>
      <c r="LM94" t="s">
        <v>575</v>
      </c>
      <c r="LN94" t="s">
        <v>555</v>
      </c>
      <c r="LO94">
        <v>0</v>
      </c>
      <c r="LP94">
        <v>0</v>
      </c>
      <c r="LQ94">
        <v>0</v>
      </c>
      <c r="LR94" t="s">
        <v>264</v>
      </c>
      <c r="LU94" t="s">
        <v>576</v>
      </c>
      <c r="LV94" t="s">
        <v>555</v>
      </c>
      <c r="LW94">
        <v>0</v>
      </c>
      <c r="LX94">
        <v>0</v>
      </c>
      <c r="LY94">
        <v>0</v>
      </c>
      <c r="LZ94" t="s">
        <v>264</v>
      </c>
      <c r="MC94" t="s">
        <v>577</v>
      </c>
      <c r="MD94" t="s">
        <v>555</v>
      </c>
      <c r="ME94">
        <v>0</v>
      </c>
      <c r="MF94">
        <v>0</v>
      </c>
      <c r="MG94">
        <v>0</v>
      </c>
      <c r="MH94" t="s">
        <v>264</v>
      </c>
      <c r="MK94" t="s">
        <v>578</v>
      </c>
      <c r="ML94" t="s">
        <v>555</v>
      </c>
      <c r="MM94">
        <v>0</v>
      </c>
      <c r="MN94">
        <v>0</v>
      </c>
      <c r="MO94">
        <v>0</v>
      </c>
      <c r="MP94" t="s">
        <v>264</v>
      </c>
      <c r="MS94" t="s">
        <v>579</v>
      </c>
      <c r="MT94" t="s">
        <v>555</v>
      </c>
      <c r="MU94">
        <v>0</v>
      </c>
      <c r="MV94">
        <v>0</v>
      </c>
      <c r="MW94">
        <v>0</v>
      </c>
      <c r="MX94" t="s">
        <v>264</v>
      </c>
      <c r="NA94" t="s">
        <v>580</v>
      </c>
      <c r="NB94" t="s">
        <v>555</v>
      </c>
      <c r="NC94">
        <v>0</v>
      </c>
      <c r="ND94">
        <v>0</v>
      </c>
      <c r="NE94">
        <v>0</v>
      </c>
      <c r="NF94" t="s">
        <v>264</v>
      </c>
      <c r="NI94">
        <v>40</v>
      </c>
      <c r="NJ94">
        <v>-6</v>
      </c>
      <c r="NP94" t="s">
        <v>581</v>
      </c>
    </row>
    <row r="95" spans="1:380" customFormat="1" x14ac:dyDescent="0.2">
      <c r="A95" t="s">
        <v>517</v>
      </c>
      <c r="B95">
        <v>1</v>
      </c>
      <c r="C95" t="s">
        <v>790</v>
      </c>
      <c r="D95">
        <v>647064946</v>
      </c>
      <c r="E95">
        <v>12602</v>
      </c>
      <c r="F95" t="s">
        <v>542</v>
      </c>
      <c r="G95">
        <v>750212</v>
      </c>
      <c r="H95">
        <v>210066178</v>
      </c>
      <c r="I95" t="s">
        <v>543</v>
      </c>
      <c r="J95" t="s">
        <v>791</v>
      </c>
      <c r="K95" t="s">
        <v>545</v>
      </c>
      <c r="L95" t="s">
        <v>294</v>
      </c>
      <c r="M95" t="s">
        <v>546</v>
      </c>
      <c r="N95" t="s">
        <v>468</v>
      </c>
      <c r="O95" t="s">
        <v>547</v>
      </c>
      <c r="P95" t="s">
        <v>270</v>
      </c>
      <c r="Q95">
        <v>28.5</v>
      </c>
      <c r="R95">
        <v>235</v>
      </c>
      <c r="S95" t="s">
        <v>270</v>
      </c>
      <c r="T95">
        <v>-9999</v>
      </c>
      <c r="U95">
        <v>595</v>
      </c>
      <c r="V95">
        <v>611</v>
      </c>
      <c r="W95">
        <v>583</v>
      </c>
      <c r="X95" t="s">
        <v>270</v>
      </c>
      <c r="Y95">
        <v>0</v>
      </c>
      <c r="Z95">
        <v>55</v>
      </c>
      <c r="AA95" t="s">
        <v>469</v>
      </c>
      <c r="AB95" t="s">
        <v>548</v>
      </c>
      <c r="AC95">
        <v>1</v>
      </c>
      <c r="AD95" t="s">
        <v>549</v>
      </c>
      <c r="AE95">
        <v>0</v>
      </c>
      <c r="AF95">
        <v>37</v>
      </c>
      <c r="AG95" t="s">
        <v>264</v>
      </c>
      <c r="AH95">
        <v>-9999</v>
      </c>
      <c r="AI95">
        <v>498</v>
      </c>
      <c r="AJ95">
        <v>614</v>
      </c>
      <c r="AK95">
        <v>497</v>
      </c>
      <c r="AL95" t="s">
        <v>270</v>
      </c>
      <c r="AM95">
        <v>0</v>
      </c>
      <c r="AN95">
        <v>55</v>
      </c>
      <c r="AO95" t="s">
        <v>470</v>
      </c>
      <c r="AP95" t="s">
        <v>548</v>
      </c>
      <c r="AQ95">
        <v>2</v>
      </c>
      <c r="AR95" t="s">
        <v>549</v>
      </c>
      <c r="AS95">
        <v>54.5</v>
      </c>
      <c r="AT95">
        <v>49</v>
      </c>
      <c r="AU95" t="s">
        <v>264</v>
      </c>
      <c r="AV95">
        <v>-9999</v>
      </c>
      <c r="AW95">
        <v>393</v>
      </c>
      <c r="AX95">
        <v>415</v>
      </c>
      <c r="AY95">
        <v>392</v>
      </c>
      <c r="AZ95" t="s">
        <v>270</v>
      </c>
      <c r="BA95">
        <v>0</v>
      </c>
      <c r="BB95">
        <v>55</v>
      </c>
      <c r="BC95" t="s">
        <v>550</v>
      </c>
      <c r="BD95" t="s">
        <v>548</v>
      </c>
      <c r="BE95">
        <v>3</v>
      </c>
      <c r="BF95" t="s">
        <v>549</v>
      </c>
      <c r="BG95">
        <v>0</v>
      </c>
      <c r="BH95">
        <v>-15</v>
      </c>
      <c r="BI95" t="s">
        <v>264</v>
      </c>
      <c r="BJ95">
        <v>-9999</v>
      </c>
      <c r="BK95">
        <v>205</v>
      </c>
      <c r="BL95">
        <v>247</v>
      </c>
      <c r="BM95">
        <v>201</v>
      </c>
      <c r="BN95" t="s">
        <v>270</v>
      </c>
      <c r="BO95">
        <v>0</v>
      </c>
      <c r="BP95">
        <v>55</v>
      </c>
      <c r="BQ95" t="s">
        <v>504</v>
      </c>
      <c r="BR95" t="s">
        <v>548</v>
      </c>
      <c r="BS95">
        <v>4</v>
      </c>
      <c r="BT95" t="s">
        <v>549</v>
      </c>
      <c r="BU95">
        <v>51.4</v>
      </c>
      <c r="BV95">
        <v>122</v>
      </c>
      <c r="BW95" t="s">
        <v>264</v>
      </c>
      <c r="BX95">
        <v>-9999</v>
      </c>
      <c r="BY95">
        <v>193</v>
      </c>
      <c r="BZ95">
        <v>225</v>
      </c>
      <c r="CA95">
        <v>191</v>
      </c>
      <c r="CB95" t="s">
        <v>270</v>
      </c>
      <c r="CC95">
        <v>0</v>
      </c>
      <c r="CD95">
        <v>55</v>
      </c>
      <c r="CE95" t="s">
        <v>471</v>
      </c>
      <c r="CF95" t="s">
        <v>548</v>
      </c>
      <c r="CG95">
        <v>5</v>
      </c>
      <c r="CH95" t="s">
        <v>549</v>
      </c>
      <c r="CI95">
        <v>50.8</v>
      </c>
      <c r="CJ95">
        <v>290</v>
      </c>
      <c r="CK95" t="s">
        <v>264</v>
      </c>
      <c r="CL95">
        <v>-9999</v>
      </c>
      <c r="CM95">
        <v>482</v>
      </c>
      <c r="CN95">
        <v>558</v>
      </c>
      <c r="CO95">
        <v>481</v>
      </c>
      <c r="CP95" t="s">
        <v>270</v>
      </c>
      <c r="CQ95">
        <v>0</v>
      </c>
      <c r="CR95">
        <v>55</v>
      </c>
      <c r="CS95" t="s">
        <v>472</v>
      </c>
      <c r="CT95" t="s">
        <v>548</v>
      </c>
      <c r="CU95">
        <v>6</v>
      </c>
      <c r="CV95" t="s">
        <v>549</v>
      </c>
      <c r="CW95">
        <v>53.4</v>
      </c>
      <c r="CX95">
        <v>102</v>
      </c>
      <c r="CY95" t="s">
        <v>264</v>
      </c>
      <c r="CZ95">
        <v>-9999</v>
      </c>
      <c r="DA95">
        <v>689</v>
      </c>
      <c r="DB95">
        <v>784</v>
      </c>
      <c r="DC95">
        <v>678</v>
      </c>
      <c r="DD95" t="s">
        <v>270</v>
      </c>
      <c r="DE95">
        <v>0</v>
      </c>
      <c r="DF95">
        <v>55</v>
      </c>
      <c r="DG95" t="s">
        <v>473</v>
      </c>
      <c r="DH95" t="s">
        <v>548</v>
      </c>
      <c r="DI95">
        <v>7</v>
      </c>
      <c r="DJ95" t="s">
        <v>549</v>
      </c>
      <c r="DK95">
        <v>0</v>
      </c>
      <c r="DL95">
        <v>29</v>
      </c>
      <c r="DM95" t="s">
        <v>264</v>
      </c>
      <c r="DN95">
        <v>-9999</v>
      </c>
      <c r="DO95">
        <v>510</v>
      </c>
      <c r="DP95">
        <v>588</v>
      </c>
      <c r="DQ95">
        <v>506</v>
      </c>
      <c r="DR95" t="s">
        <v>270</v>
      </c>
      <c r="DS95">
        <v>0</v>
      </c>
      <c r="DT95">
        <v>55</v>
      </c>
      <c r="DU95" t="s">
        <v>474</v>
      </c>
      <c r="DV95" t="s">
        <v>548</v>
      </c>
      <c r="DW95">
        <v>8</v>
      </c>
      <c r="DX95" t="s">
        <v>549</v>
      </c>
      <c r="DY95">
        <v>0</v>
      </c>
      <c r="DZ95">
        <v>18</v>
      </c>
      <c r="EA95" t="s">
        <v>264</v>
      </c>
      <c r="EB95">
        <v>-9999</v>
      </c>
      <c r="EC95">
        <v>108</v>
      </c>
      <c r="ED95">
        <v>132</v>
      </c>
      <c r="EE95">
        <v>107</v>
      </c>
      <c r="EF95" t="s">
        <v>270</v>
      </c>
      <c r="EG95">
        <v>0</v>
      </c>
      <c r="EH95">
        <v>55</v>
      </c>
      <c r="EI95" t="s">
        <v>475</v>
      </c>
      <c r="EJ95" t="s">
        <v>548</v>
      </c>
      <c r="EK95">
        <v>9</v>
      </c>
      <c r="EL95" t="s">
        <v>549</v>
      </c>
      <c r="EM95">
        <v>0</v>
      </c>
      <c r="EN95">
        <v>2</v>
      </c>
      <c r="EO95" t="s">
        <v>264</v>
      </c>
      <c r="EP95">
        <v>-9999</v>
      </c>
      <c r="EQ95">
        <v>286</v>
      </c>
      <c r="ER95">
        <v>260</v>
      </c>
      <c r="ES95">
        <v>245</v>
      </c>
      <c r="ET95" t="s">
        <v>270</v>
      </c>
      <c r="EU95">
        <v>0</v>
      </c>
      <c r="EV95">
        <v>55</v>
      </c>
      <c r="EW95" t="s">
        <v>551</v>
      </c>
      <c r="EX95" t="s">
        <v>552</v>
      </c>
      <c r="EY95">
        <v>133</v>
      </c>
      <c r="EZ95">
        <v>133</v>
      </c>
      <c r="FA95">
        <v>133</v>
      </c>
      <c r="FB95" t="s">
        <v>270</v>
      </c>
      <c r="FC95" t="s">
        <v>553</v>
      </c>
      <c r="FD95" t="s">
        <v>552</v>
      </c>
      <c r="FE95">
        <v>321</v>
      </c>
      <c r="FF95">
        <v>320</v>
      </c>
      <c r="FG95">
        <v>319</v>
      </c>
      <c r="FH95" t="s">
        <v>270</v>
      </c>
      <c r="FI95" t="s">
        <v>554</v>
      </c>
      <c r="FJ95" t="s">
        <v>555</v>
      </c>
      <c r="FK95">
        <v>0</v>
      </c>
      <c r="FL95">
        <v>0</v>
      </c>
      <c r="FM95">
        <v>0</v>
      </c>
      <c r="FN95" t="s">
        <v>264</v>
      </c>
      <c r="FQ95" t="s">
        <v>556</v>
      </c>
      <c r="FR95" t="s">
        <v>555</v>
      </c>
      <c r="FS95">
        <v>0</v>
      </c>
      <c r="FT95">
        <v>0</v>
      </c>
      <c r="FU95">
        <v>0</v>
      </c>
      <c r="FV95" t="s">
        <v>264</v>
      </c>
      <c r="FY95" t="s">
        <v>557</v>
      </c>
      <c r="FZ95" t="s">
        <v>555</v>
      </c>
      <c r="GA95">
        <v>0</v>
      </c>
      <c r="GB95">
        <v>0</v>
      </c>
      <c r="GC95">
        <v>0</v>
      </c>
      <c r="GD95" t="s">
        <v>264</v>
      </c>
      <c r="GG95" t="s">
        <v>558</v>
      </c>
      <c r="GH95" t="s">
        <v>555</v>
      </c>
      <c r="GI95">
        <v>0</v>
      </c>
      <c r="GJ95">
        <v>0</v>
      </c>
      <c r="GK95">
        <v>0</v>
      </c>
      <c r="GL95" t="s">
        <v>264</v>
      </c>
      <c r="GO95" t="s">
        <v>559</v>
      </c>
      <c r="GP95" t="s">
        <v>555</v>
      </c>
      <c r="GQ95">
        <v>0</v>
      </c>
      <c r="GR95">
        <v>0</v>
      </c>
      <c r="GS95">
        <v>0</v>
      </c>
      <c r="GT95" t="s">
        <v>264</v>
      </c>
      <c r="GW95" t="s">
        <v>560</v>
      </c>
      <c r="GX95" t="s">
        <v>555</v>
      </c>
      <c r="GY95">
        <v>0</v>
      </c>
      <c r="GZ95">
        <v>0</v>
      </c>
      <c r="HA95">
        <v>0</v>
      </c>
      <c r="HB95" t="s">
        <v>264</v>
      </c>
      <c r="HE95" t="s">
        <v>561</v>
      </c>
      <c r="HF95" t="s">
        <v>555</v>
      </c>
      <c r="HG95">
        <v>0</v>
      </c>
      <c r="HH95">
        <v>0</v>
      </c>
      <c r="HI95">
        <v>0</v>
      </c>
      <c r="HJ95" t="s">
        <v>264</v>
      </c>
      <c r="HM95" t="s">
        <v>562</v>
      </c>
      <c r="HN95" t="s">
        <v>555</v>
      </c>
      <c r="HO95">
        <v>0</v>
      </c>
      <c r="HP95">
        <v>0</v>
      </c>
      <c r="HQ95">
        <v>0</v>
      </c>
      <c r="HR95" t="s">
        <v>264</v>
      </c>
      <c r="HU95" t="s">
        <v>563</v>
      </c>
      <c r="HV95" t="s">
        <v>555</v>
      </c>
      <c r="HW95">
        <v>0</v>
      </c>
      <c r="HX95">
        <v>0</v>
      </c>
      <c r="HY95">
        <v>0</v>
      </c>
      <c r="HZ95" t="s">
        <v>264</v>
      </c>
      <c r="IC95" t="s">
        <v>564</v>
      </c>
      <c r="ID95" t="s">
        <v>555</v>
      </c>
      <c r="IE95">
        <v>0</v>
      </c>
      <c r="IF95">
        <v>0</v>
      </c>
      <c r="IG95">
        <v>0</v>
      </c>
      <c r="IH95" t="s">
        <v>264</v>
      </c>
      <c r="IK95" t="s">
        <v>565</v>
      </c>
      <c r="IL95" t="s">
        <v>555</v>
      </c>
      <c r="IM95">
        <v>0</v>
      </c>
      <c r="IN95">
        <v>0</v>
      </c>
      <c r="IO95">
        <v>0</v>
      </c>
      <c r="IP95" t="s">
        <v>264</v>
      </c>
      <c r="IS95" t="s">
        <v>566</v>
      </c>
      <c r="IT95" t="s">
        <v>555</v>
      </c>
      <c r="IU95">
        <v>0</v>
      </c>
      <c r="IV95">
        <v>0</v>
      </c>
      <c r="IW95">
        <v>0</v>
      </c>
      <c r="IX95" t="s">
        <v>264</v>
      </c>
      <c r="JA95" t="s">
        <v>567</v>
      </c>
      <c r="JB95" t="s">
        <v>555</v>
      </c>
      <c r="JC95">
        <v>0</v>
      </c>
      <c r="JD95">
        <v>0</v>
      </c>
      <c r="JE95">
        <v>0</v>
      </c>
      <c r="JF95" t="s">
        <v>264</v>
      </c>
      <c r="JI95" t="s">
        <v>568</v>
      </c>
      <c r="JJ95" t="s">
        <v>555</v>
      </c>
      <c r="JK95">
        <v>0</v>
      </c>
      <c r="JL95">
        <v>0</v>
      </c>
      <c r="JM95">
        <v>0</v>
      </c>
      <c r="JN95" t="s">
        <v>264</v>
      </c>
      <c r="JQ95" t="s">
        <v>569</v>
      </c>
      <c r="JR95" t="s">
        <v>555</v>
      </c>
      <c r="JS95">
        <v>0</v>
      </c>
      <c r="JT95">
        <v>0</v>
      </c>
      <c r="JU95">
        <v>0</v>
      </c>
      <c r="JV95" t="s">
        <v>264</v>
      </c>
      <c r="JY95" t="s">
        <v>570</v>
      </c>
      <c r="JZ95" t="s">
        <v>555</v>
      </c>
      <c r="KA95">
        <v>0</v>
      </c>
      <c r="KB95">
        <v>0</v>
      </c>
      <c r="KC95">
        <v>0</v>
      </c>
      <c r="KD95" t="s">
        <v>264</v>
      </c>
      <c r="KG95" t="s">
        <v>571</v>
      </c>
      <c r="KH95" t="s">
        <v>555</v>
      </c>
      <c r="KI95">
        <v>0</v>
      </c>
      <c r="KJ95">
        <v>0</v>
      </c>
      <c r="KK95">
        <v>0</v>
      </c>
      <c r="KL95" t="s">
        <v>264</v>
      </c>
      <c r="KO95" t="s">
        <v>572</v>
      </c>
      <c r="KP95" t="s">
        <v>555</v>
      </c>
      <c r="KQ95">
        <v>0</v>
      </c>
      <c r="KR95">
        <v>0</v>
      </c>
      <c r="KS95">
        <v>0</v>
      </c>
      <c r="KT95" t="s">
        <v>264</v>
      </c>
      <c r="KW95" t="s">
        <v>573</v>
      </c>
      <c r="KX95" t="s">
        <v>555</v>
      </c>
      <c r="KY95">
        <v>0</v>
      </c>
      <c r="KZ95">
        <v>0</v>
      </c>
      <c r="LA95">
        <v>0</v>
      </c>
      <c r="LB95" t="s">
        <v>264</v>
      </c>
      <c r="LE95" t="s">
        <v>574</v>
      </c>
      <c r="LF95" t="s">
        <v>555</v>
      </c>
      <c r="LG95">
        <v>0</v>
      </c>
      <c r="LH95">
        <v>0</v>
      </c>
      <c r="LI95">
        <v>0</v>
      </c>
      <c r="LJ95" t="s">
        <v>264</v>
      </c>
      <c r="LM95" t="s">
        <v>575</v>
      </c>
      <c r="LN95" t="s">
        <v>555</v>
      </c>
      <c r="LO95">
        <v>0</v>
      </c>
      <c r="LP95">
        <v>0</v>
      </c>
      <c r="LQ95">
        <v>0</v>
      </c>
      <c r="LR95" t="s">
        <v>264</v>
      </c>
      <c r="LU95" t="s">
        <v>576</v>
      </c>
      <c r="LV95" t="s">
        <v>555</v>
      </c>
      <c r="LW95">
        <v>0</v>
      </c>
      <c r="LX95">
        <v>0</v>
      </c>
      <c r="LY95">
        <v>0</v>
      </c>
      <c r="LZ95" t="s">
        <v>264</v>
      </c>
      <c r="MC95" t="s">
        <v>577</v>
      </c>
      <c r="MD95" t="s">
        <v>555</v>
      </c>
      <c r="ME95">
        <v>0</v>
      </c>
      <c r="MF95">
        <v>0</v>
      </c>
      <c r="MG95">
        <v>0</v>
      </c>
      <c r="MH95" t="s">
        <v>264</v>
      </c>
      <c r="MK95" t="s">
        <v>578</v>
      </c>
      <c r="ML95" t="s">
        <v>555</v>
      </c>
      <c r="MM95">
        <v>0</v>
      </c>
      <c r="MN95">
        <v>0</v>
      </c>
      <c r="MO95">
        <v>0</v>
      </c>
      <c r="MP95" t="s">
        <v>264</v>
      </c>
      <c r="MS95" t="s">
        <v>579</v>
      </c>
      <c r="MT95" t="s">
        <v>555</v>
      </c>
      <c r="MU95">
        <v>0</v>
      </c>
      <c r="MV95">
        <v>0</v>
      </c>
      <c r="MW95">
        <v>0</v>
      </c>
      <c r="MX95" t="s">
        <v>264</v>
      </c>
      <c r="NA95" t="s">
        <v>580</v>
      </c>
      <c r="NB95" t="s">
        <v>555</v>
      </c>
      <c r="NC95">
        <v>0</v>
      </c>
      <c r="ND95">
        <v>0</v>
      </c>
      <c r="NE95">
        <v>0</v>
      </c>
      <c r="NF95" t="s">
        <v>264</v>
      </c>
      <c r="NI95">
        <v>40</v>
      </c>
      <c r="NJ95">
        <v>-10.199999999999999</v>
      </c>
      <c r="NP95" t="s">
        <v>581</v>
      </c>
    </row>
    <row r="96" spans="1:380" customFormat="1" x14ac:dyDescent="0.2">
      <c r="A96" t="s">
        <v>517</v>
      </c>
      <c r="B96">
        <v>1</v>
      </c>
      <c r="C96" t="s">
        <v>792</v>
      </c>
      <c r="D96">
        <v>647065430</v>
      </c>
      <c r="E96">
        <v>12602</v>
      </c>
      <c r="F96" t="s">
        <v>542</v>
      </c>
      <c r="G96">
        <v>750212</v>
      </c>
      <c r="H96">
        <v>210066022</v>
      </c>
      <c r="I96" t="s">
        <v>543</v>
      </c>
      <c r="J96" t="s">
        <v>793</v>
      </c>
      <c r="K96" t="s">
        <v>545</v>
      </c>
      <c r="L96" t="s">
        <v>294</v>
      </c>
      <c r="M96" t="s">
        <v>546</v>
      </c>
      <c r="N96" t="s">
        <v>468</v>
      </c>
      <c r="O96" t="s">
        <v>547</v>
      </c>
      <c r="P96" t="s">
        <v>270</v>
      </c>
      <c r="Q96">
        <v>25.8</v>
      </c>
      <c r="R96">
        <v>247</v>
      </c>
      <c r="S96" t="s">
        <v>270</v>
      </c>
      <c r="T96">
        <v>-9999</v>
      </c>
      <c r="U96">
        <v>631</v>
      </c>
      <c r="V96">
        <v>652</v>
      </c>
      <c r="W96">
        <v>618</v>
      </c>
      <c r="X96" t="s">
        <v>270</v>
      </c>
      <c r="Y96">
        <v>0</v>
      </c>
      <c r="Z96">
        <v>55</v>
      </c>
      <c r="AA96" t="s">
        <v>469</v>
      </c>
      <c r="AB96" t="s">
        <v>548</v>
      </c>
      <c r="AC96">
        <v>1</v>
      </c>
      <c r="AD96" t="s">
        <v>549</v>
      </c>
      <c r="AE96">
        <v>0</v>
      </c>
      <c r="AF96">
        <v>41</v>
      </c>
      <c r="AG96" t="s">
        <v>264</v>
      </c>
      <c r="AH96">
        <v>-9999</v>
      </c>
      <c r="AI96">
        <v>469</v>
      </c>
      <c r="AJ96">
        <v>584</v>
      </c>
      <c r="AK96">
        <v>468</v>
      </c>
      <c r="AL96" t="s">
        <v>270</v>
      </c>
      <c r="AM96">
        <v>0</v>
      </c>
      <c r="AN96">
        <v>55</v>
      </c>
      <c r="AO96" t="s">
        <v>470</v>
      </c>
      <c r="AP96" t="s">
        <v>548</v>
      </c>
      <c r="AQ96">
        <v>2</v>
      </c>
      <c r="AR96" t="s">
        <v>549</v>
      </c>
      <c r="AS96">
        <v>0</v>
      </c>
      <c r="AT96">
        <v>20</v>
      </c>
      <c r="AU96" t="s">
        <v>264</v>
      </c>
      <c r="AV96">
        <v>-9999</v>
      </c>
      <c r="AW96">
        <v>349</v>
      </c>
      <c r="AX96">
        <v>365</v>
      </c>
      <c r="AY96">
        <v>347</v>
      </c>
      <c r="AZ96" t="s">
        <v>270</v>
      </c>
      <c r="BA96">
        <v>0</v>
      </c>
      <c r="BB96">
        <v>55</v>
      </c>
      <c r="BC96" t="s">
        <v>550</v>
      </c>
      <c r="BD96" t="s">
        <v>548</v>
      </c>
      <c r="BE96">
        <v>3</v>
      </c>
      <c r="BF96" t="s">
        <v>549</v>
      </c>
      <c r="BG96">
        <v>0</v>
      </c>
      <c r="BH96">
        <v>-7</v>
      </c>
      <c r="BI96" t="s">
        <v>264</v>
      </c>
      <c r="BJ96">
        <v>-9999</v>
      </c>
      <c r="BK96">
        <v>213</v>
      </c>
      <c r="BL96">
        <v>257</v>
      </c>
      <c r="BM96">
        <v>210</v>
      </c>
      <c r="BN96" t="s">
        <v>270</v>
      </c>
      <c r="BO96">
        <v>0</v>
      </c>
      <c r="BP96">
        <v>55</v>
      </c>
      <c r="BQ96" t="s">
        <v>504</v>
      </c>
      <c r="BR96" t="s">
        <v>548</v>
      </c>
      <c r="BS96">
        <v>4</v>
      </c>
      <c r="BT96" t="s">
        <v>549</v>
      </c>
      <c r="BU96">
        <v>51.7</v>
      </c>
      <c r="BV96">
        <v>107</v>
      </c>
      <c r="BW96" t="s">
        <v>264</v>
      </c>
      <c r="BX96">
        <v>-9999</v>
      </c>
      <c r="BY96">
        <v>210</v>
      </c>
      <c r="BZ96">
        <v>243</v>
      </c>
      <c r="CA96">
        <v>208</v>
      </c>
      <c r="CB96" t="s">
        <v>270</v>
      </c>
      <c r="CC96">
        <v>0</v>
      </c>
      <c r="CD96">
        <v>55</v>
      </c>
      <c r="CE96" t="s">
        <v>471</v>
      </c>
      <c r="CF96" t="s">
        <v>548</v>
      </c>
      <c r="CG96">
        <v>5</v>
      </c>
      <c r="CH96" t="s">
        <v>549</v>
      </c>
      <c r="CI96">
        <v>49.3</v>
      </c>
      <c r="CJ96">
        <v>313</v>
      </c>
      <c r="CK96" t="s">
        <v>264</v>
      </c>
      <c r="CL96">
        <v>-9999</v>
      </c>
      <c r="CM96">
        <v>491</v>
      </c>
      <c r="CN96">
        <v>573</v>
      </c>
      <c r="CO96">
        <v>488</v>
      </c>
      <c r="CP96" t="s">
        <v>270</v>
      </c>
      <c r="CQ96">
        <v>0</v>
      </c>
      <c r="CR96">
        <v>55</v>
      </c>
      <c r="CS96" t="s">
        <v>472</v>
      </c>
      <c r="CT96" t="s">
        <v>548</v>
      </c>
      <c r="CU96">
        <v>6</v>
      </c>
      <c r="CV96" t="s">
        <v>549</v>
      </c>
      <c r="CW96">
        <v>52.7</v>
      </c>
      <c r="CX96">
        <v>122</v>
      </c>
      <c r="CY96" t="s">
        <v>264</v>
      </c>
      <c r="CZ96">
        <v>-9999</v>
      </c>
      <c r="DA96">
        <v>693</v>
      </c>
      <c r="DB96">
        <v>789</v>
      </c>
      <c r="DC96">
        <v>684</v>
      </c>
      <c r="DD96" t="s">
        <v>270</v>
      </c>
      <c r="DE96">
        <v>0</v>
      </c>
      <c r="DF96">
        <v>55</v>
      </c>
      <c r="DG96" t="s">
        <v>473</v>
      </c>
      <c r="DH96" t="s">
        <v>548</v>
      </c>
      <c r="DI96">
        <v>7</v>
      </c>
      <c r="DJ96" t="s">
        <v>549</v>
      </c>
      <c r="DK96">
        <v>0</v>
      </c>
      <c r="DL96">
        <v>32</v>
      </c>
      <c r="DM96" t="s">
        <v>264</v>
      </c>
      <c r="DN96">
        <v>-9999</v>
      </c>
      <c r="DO96">
        <v>498</v>
      </c>
      <c r="DP96">
        <v>571</v>
      </c>
      <c r="DQ96">
        <v>494</v>
      </c>
      <c r="DR96" t="s">
        <v>270</v>
      </c>
      <c r="DS96">
        <v>0</v>
      </c>
      <c r="DT96">
        <v>55</v>
      </c>
      <c r="DU96" t="s">
        <v>474</v>
      </c>
      <c r="DV96" t="s">
        <v>548</v>
      </c>
      <c r="DW96">
        <v>8</v>
      </c>
      <c r="DX96" t="s">
        <v>549</v>
      </c>
      <c r="DY96">
        <v>51.4</v>
      </c>
      <c r="DZ96">
        <v>27</v>
      </c>
      <c r="EA96" t="s">
        <v>264</v>
      </c>
      <c r="EB96">
        <v>-9999</v>
      </c>
      <c r="EC96">
        <v>107</v>
      </c>
      <c r="ED96">
        <v>128</v>
      </c>
      <c r="EE96">
        <v>105</v>
      </c>
      <c r="EF96" t="s">
        <v>270</v>
      </c>
      <c r="EG96">
        <v>0</v>
      </c>
      <c r="EH96">
        <v>55</v>
      </c>
      <c r="EI96" t="s">
        <v>475</v>
      </c>
      <c r="EJ96" t="s">
        <v>548</v>
      </c>
      <c r="EK96">
        <v>9</v>
      </c>
      <c r="EL96" t="s">
        <v>549</v>
      </c>
      <c r="EM96">
        <v>0</v>
      </c>
      <c r="EN96">
        <v>4</v>
      </c>
      <c r="EO96" t="s">
        <v>264</v>
      </c>
      <c r="EP96">
        <v>-9999</v>
      </c>
      <c r="EQ96">
        <v>254</v>
      </c>
      <c r="ER96">
        <v>224</v>
      </c>
      <c r="ES96">
        <v>210</v>
      </c>
      <c r="ET96" t="s">
        <v>270</v>
      </c>
      <c r="EU96">
        <v>0</v>
      </c>
      <c r="EV96">
        <v>55</v>
      </c>
      <c r="EW96" t="s">
        <v>551</v>
      </c>
      <c r="EX96" t="s">
        <v>552</v>
      </c>
      <c r="EY96">
        <v>144</v>
      </c>
      <c r="EZ96">
        <v>145</v>
      </c>
      <c r="FA96">
        <v>145</v>
      </c>
      <c r="FB96" t="s">
        <v>270</v>
      </c>
      <c r="FC96" t="s">
        <v>553</v>
      </c>
      <c r="FD96" t="s">
        <v>552</v>
      </c>
      <c r="FE96">
        <v>289</v>
      </c>
      <c r="FF96">
        <v>288</v>
      </c>
      <c r="FG96">
        <v>287</v>
      </c>
      <c r="FH96" t="s">
        <v>270</v>
      </c>
      <c r="FI96" t="s">
        <v>554</v>
      </c>
      <c r="FJ96" t="s">
        <v>555</v>
      </c>
      <c r="FK96">
        <v>0</v>
      </c>
      <c r="FL96">
        <v>0</v>
      </c>
      <c r="FM96">
        <v>0</v>
      </c>
      <c r="FN96" t="s">
        <v>264</v>
      </c>
      <c r="FQ96" t="s">
        <v>556</v>
      </c>
      <c r="FR96" t="s">
        <v>555</v>
      </c>
      <c r="FS96">
        <v>0</v>
      </c>
      <c r="FT96">
        <v>0</v>
      </c>
      <c r="FU96">
        <v>0</v>
      </c>
      <c r="FV96" t="s">
        <v>264</v>
      </c>
      <c r="FY96" t="s">
        <v>557</v>
      </c>
      <c r="FZ96" t="s">
        <v>555</v>
      </c>
      <c r="GA96">
        <v>0</v>
      </c>
      <c r="GB96">
        <v>0</v>
      </c>
      <c r="GC96">
        <v>0</v>
      </c>
      <c r="GD96" t="s">
        <v>264</v>
      </c>
      <c r="GG96" t="s">
        <v>558</v>
      </c>
      <c r="GH96" t="s">
        <v>555</v>
      </c>
      <c r="GI96">
        <v>0</v>
      </c>
      <c r="GJ96">
        <v>0</v>
      </c>
      <c r="GK96">
        <v>0</v>
      </c>
      <c r="GL96" t="s">
        <v>264</v>
      </c>
      <c r="GO96" t="s">
        <v>559</v>
      </c>
      <c r="GP96" t="s">
        <v>555</v>
      </c>
      <c r="GQ96">
        <v>0</v>
      </c>
      <c r="GR96">
        <v>0</v>
      </c>
      <c r="GS96">
        <v>0</v>
      </c>
      <c r="GT96" t="s">
        <v>264</v>
      </c>
      <c r="GW96" t="s">
        <v>560</v>
      </c>
      <c r="GX96" t="s">
        <v>555</v>
      </c>
      <c r="GY96">
        <v>0</v>
      </c>
      <c r="GZ96">
        <v>0</v>
      </c>
      <c r="HA96">
        <v>0</v>
      </c>
      <c r="HB96" t="s">
        <v>264</v>
      </c>
      <c r="HE96" t="s">
        <v>561</v>
      </c>
      <c r="HF96" t="s">
        <v>555</v>
      </c>
      <c r="HG96">
        <v>0</v>
      </c>
      <c r="HH96">
        <v>0</v>
      </c>
      <c r="HI96">
        <v>0</v>
      </c>
      <c r="HJ96" t="s">
        <v>264</v>
      </c>
      <c r="HM96" t="s">
        <v>562</v>
      </c>
      <c r="HN96" t="s">
        <v>555</v>
      </c>
      <c r="HO96">
        <v>0</v>
      </c>
      <c r="HP96">
        <v>0</v>
      </c>
      <c r="HQ96">
        <v>0</v>
      </c>
      <c r="HR96" t="s">
        <v>264</v>
      </c>
      <c r="HU96" t="s">
        <v>563</v>
      </c>
      <c r="HV96" t="s">
        <v>555</v>
      </c>
      <c r="HW96">
        <v>0</v>
      </c>
      <c r="HX96">
        <v>0</v>
      </c>
      <c r="HY96">
        <v>0</v>
      </c>
      <c r="HZ96" t="s">
        <v>264</v>
      </c>
      <c r="IC96" t="s">
        <v>564</v>
      </c>
      <c r="ID96" t="s">
        <v>555</v>
      </c>
      <c r="IE96">
        <v>0</v>
      </c>
      <c r="IF96">
        <v>0</v>
      </c>
      <c r="IG96">
        <v>0</v>
      </c>
      <c r="IH96" t="s">
        <v>264</v>
      </c>
      <c r="IK96" t="s">
        <v>565</v>
      </c>
      <c r="IL96" t="s">
        <v>555</v>
      </c>
      <c r="IM96">
        <v>0</v>
      </c>
      <c r="IN96">
        <v>0</v>
      </c>
      <c r="IO96">
        <v>0</v>
      </c>
      <c r="IP96" t="s">
        <v>264</v>
      </c>
      <c r="IS96" t="s">
        <v>566</v>
      </c>
      <c r="IT96" t="s">
        <v>555</v>
      </c>
      <c r="IU96">
        <v>0</v>
      </c>
      <c r="IV96">
        <v>0</v>
      </c>
      <c r="IW96">
        <v>0</v>
      </c>
      <c r="IX96" t="s">
        <v>264</v>
      </c>
      <c r="JA96" t="s">
        <v>567</v>
      </c>
      <c r="JB96" t="s">
        <v>555</v>
      </c>
      <c r="JC96">
        <v>0</v>
      </c>
      <c r="JD96">
        <v>0</v>
      </c>
      <c r="JE96">
        <v>0</v>
      </c>
      <c r="JF96" t="s">
        <v>264</v>
      </c>
      <c r="JI96" t="s">
        <v>568</v>
      </c>
      <c r="JJ96" t="s">
        <v>555</v>
      </c>
      <c r="JK96">
        <v>0</v>
      </c>
      <c r="JL96">
        <v>0</v>
      </c>
      <c r="JM96">
        <v>0</v>
      </c>
      <c r="JN96" t="s">
        <v>264</v>
      </c>
      <c r="JQ96" t="s">
        <v>569</v>
      </c>
      <c r="JR96" t="s">
        <v>555</v>
      </c>
      <c r="JS96">
        <v>0</v>
      </c>
      <c r="JT96">
        <v>0</v>
      </c>
      <c r="JU96">
        <v>0</v>
      </c>
      <c r="JV96" t="s">
        <v>264</v>
      </c>
      <c r="JY96" t="s">
        <v>570</v>
      </c>
      <c r="JZ96" t="s">
        <v>555</v>
      </c>
      <c r="KA96">
        <v>0</v>
      </c>
      <c r="KB96">
        <v>0</v>
      </c>
      <c r="KC96">
        <v>0</v>
      </c>
      <c r="KD96" t="s">
        <v>264</v>
      </c>
      <c r="KG96" t="s">
        <v>571</v>
      </c>
      <c r="KH96" t="s">
        <v>555</v>
      </c>
      <c r="KI96">
        <v>0</v>
      </c>
      <c r="KJ96">
        <v>0</v>
      </c>
      <c r="KK96">
        <v>0</v>
      </c>
      <c r="KL96" t="s">
        <v>264</v>
      </c>
      <c r="KO96" t="s">
        <v>572</v>
      </c>
      <c r="KP96" t="s">
        <v>555</v>
      </c>
      <c r="KQ96">
        <v>0</v>
      </c>
      <c r="KR96">
        <v>0</v>
      </c>
      <c r="KS96">
        <v>0</v>
      </c>
      <c r="KT96" t="s">
        <v>264</v>
      </c>
      <c r="KW96" t="s">
        <v>573</v>
      </c>
      <c r="KX96" t="s">
        <v>555</v>
      </c>
      <c r="KY96">
        <v>0</v>
      </c>
      <c r="KZ96">
        <v>0</v>
      </c>
      <c r="LA96">
        <v>0</v>
      </c>
      <c r="LB96" t="s">
        <v>264</v>
      </c>
      <c r="LE96" t="s">
        <v>574</v>
      </c>
      <c r="LF96" t="s">
        <v>555</v>
      </c>
      <c r="LG96">
        <v>0</v>
      </c>
      <c r="LH96">
        <v>0</v>
      </c>
      <c r="LI96">
        <v>0</v>
      </c>
      <c r="LJ96" t="s">
        <v>264</v>
      </c>
      <c r="LM96" t="s">
        <v>575</v>
      </c>
      <c r="LN96" t="s">
        <v>555</v>
      </c>
      <c r="LO96">
        <v>0</v>
      </c>
      <c r="LP96">
        <v>0</v>
      </c>
      <c r="LQ96">
        <v>0</v>
      </c>
      <c r="LR96" t="s">
        <v>264</v>
      </c>
      <c r="LU96" t="s">
        <v>576</v>
      </c>
      <c r="LV96" t="s">
        <v>555</v>
      </c>
      <c r="LW96">
        <v>0</v>
      </c>
      <c r="LX96">
        <v>0</v>
      </c>
      <c r="LY96">
        <v>0</v>
      </c>
      <c r="LZ96" t="s">
        <v>264</v>
      </c>
      <c r="MC96" t="s">
        <v>577</v>
      </c>
      <c r="MD96" t="s">
        <v>555</v>
      </c>
      <c r="ME96">
        <v>0</v>
      </c>
      <c r="MF96">
        <v>0</v>
      </c>
      <c r="MG96">
        <v>0</v>
      </c>
      <c r="MH96" t="s">
        <v>264</v>
      </c>
      <c r="MK96" t="s">
        <v>578</v>
      </c>
      <c r="ML96" t="s">
        <v>555</v>
      </c>
      <c r="MM96">
        <v>0</v>
      </c>
      <c r="MN96">
        <v>0</v>
      </c>
      <c r="MO96">
        <v>0</v>
      </c>
      <c r="MP96" t="s">
        <v>264</v>
      </c>
      <c r="MS96" t="s">
        <v>579</v>
      </c>
      <c r="MT96" t="s">
        <v>555</v>
      </c>
      <c r="MU96">
        <v>0</v>
      </c>
      <c r="MV96">
        <v>0</v>
      </c>
      <c r="MW96">
        <v>0</v>
      </c>
      <c r="MX96" t="s">
        <v>264</v>
      </c>
      <c r="NA96" t="s">
        <v>580</v>
      </c>
      <c r="NB96" t="s">
        <v>555</v>
      </c>
      <c r="NC96">
        <v>0</v>
      </c>
      <c r="ND96">
        <v>0</v>
      </c>
      <c r="NE96">
        <v>0</v>
      </c>
      <c r="NF96" t="s">
        <v>264</v>
      </c>
      <c r="NI96">
        <v>40.1</v>
      </c>
      <c r="NJ96">
        <v>-17.7</v>
      </c>
      <c r="NP96" t="s">
        <v>581</v>
      </c>
    </row>
    <row r="97" spans="1:380" customFormat="1" x14ac:dyDescent="0.2">
      <c r="A97" t="s">
        <v>517</v>
      </c>
      <c r="B97">
        <v>1</v>
      </c>
      <c r="C97" t="s">
        <v>794</v>
      </c>
      <c r="D97">
        <v>647065973</v>
      </c>
      <c r="E97">
        <v>12602</v>
      </c>
      <c r="F97" t="s">
        <v>542</v>
      </c>
      <c r="G97">
        <v>750212</v>
      </c>
      <c r="H97">
        <v>210045280</v>
      </c>
      <c r="I97" t="s">
        <v>543</v>
      </c>
      <c r="J97" t="s">
        <v>795</v>
      </c>
      <c r="K97" t="s">
        <v>545</v>
      </c>
      <c r="L97" t="s">
        <v>294</v>
      </c>
      <c r="M97" t="s">
        <v>546</v>
      </c>
      <c r="N97" t="s">
        <v>468</v>
      </c>
      <c r="O97" t="s">
        <v>547</v>
      </c>
      <c r="P97" t="s">
        <v>264</v>
      </c>
      <c r="Q97">
        <v>27.4</v>
      </c>
      <c r="R97">
        <v>275</v>
      </c>
      <c r="S97" t="s">
        <v>264</v>
      </c>
      <c r="T97">
        <v>-9999</v>
      </c>
      <c r="U97">
        <v>539</v>
      </c>
      <c r="V97">
        <v>556</v>
      </c>
      <c r="W97">
        <v>531</v>
      </c>
      <c r="X97" t="s">
        <v>270</v>
      </c>
      <c r="Y97">
        <v>0</v>
      </c>
      <c r="Z97">
        <v>55</v>
      </c>
      <c r="AA97" t="s">
        <v>469</v>
      </c>
      <c r="AB97" t="s">
        <v>548</v>
      </c>
      <c r="AC97">
        <v>1</v>
      </c>
      <c r="AD97" t="s">
        <v>549</v>
      </c>
      <c r="AE97">
        <v>0</v>
      </c>
      <c r="AF97">
        <v>62</v>
      </c>
      <c r="AG97" t="s">
        <v>264</v>
      </c>
      <c r="AH97">
        <v>-9999</v>
      </c>
      <c r="AI97">
        <v>503</v>
      </c>
      <c r="AJ97">
        <v>618</v>
      </c>
      <c r="AK97">
        <v>499</v>
      </c>
      <c r="AL97" t="s">
        <v>270</v>
      </c>
      <c r="AM97">
        <v>0</v>
      </c>
      <c r="AN97">
        <v>55</v>
      </c>
      <c r="AO97" t="s">
        <v>470</v>
      </c>
      <c r="AP97" t="s">
        <v>548</v>
      </c>
      <c r="AQ97">
        <v>2</v>
      </c>
      <c r="AR97" t="s">
        <v>549</v>
      </c>
      <c r="AS97">
        <v>53.3</v>
      </c>
      <c r="AT97">
        <v>57</v>
      </c>
      <c r="AU97" t="s">
        <v>264</v>
      </c>
      <c r="AV97">
        <v>-9999</v>
      </c>
      <c r="AW97">
        <v>360</v>
      </c>
      <c r="AX97">
        <v>381</v>
      </c>
      <c r="AY97">
        <v>359</v>
      </c>
      <c r="AZ97" t="s">
        <v>270</v>
      </c>
      <c r="BA97">
        <v>0</v>
      </c>
      <c r="BB97">
        <v>55</v>
      </c>
      <c r="BC97" t="s">
        <v>550</v>
      </c>
      <c r="BD97" t="s">
        <v>548</v>
      </c>
      <c r="BE97">
        <v>3</v>
      </c>
      <c r="BF97" t="s">
        <v>584</v>
      </c>
      <c r="BG97">
        <v>26.5</v>
      </c>
      <c r="BH97">
        <v>-56</v>
      </c>
      <c r="BI97" t="s">
        <v>264</v>
      </c>
      <c r="BJ97">
        <v>-9999</v>
      </c>
      <c r="BK97">
        <v>66</v>
      </c>
      <c r="BL97">
        <v>97</v>
      </c>
      <c r="BM97">
        <v>69</v>
      </c>
      <c r="BN97" t="s">
        <v>270</v>
      </c>
      <c r="BO97">
        <v>0</v>
      </c>
      <c r="BP97">
        <v>55</v>
      </c>
      <c r="BQ97" t="s">
        <v>504</v>
      </c>
      <c r="BR97" t="s">
        <v>548</v>
      </c>
      <c r="BS97">
        <v>4</v>
      </c>
      <c r="BT97" t="s">
        <v>549</v>
      </c>
      <c r="BU97">
        <v>46.7</v>
      </c>
      <c r="BV97">
        <v>393</v>
      </c>
      <c r="BW97" t="s">
        <v>264</v>
      </c>
      <c r="BX97">
        <v>-9999</v>
      </c>
      <c r="BY97">
        <v>218</v>
      </c>
      <c r="BZ97">
        <v>252</v>
      </c>
      <c r="CA97">
        <v>217</v>
      </c>
      <c r="CB97" t="s">
        <v>270</v>
      </c>
      <c r="CC97">
        <v>0</v>
      </c>
      <c r="CD97">
        <v>55</v>
      </c>
      <c r="CE97" t="s">
        <v>471</v>
      </c>
      <c r="CF97" t="s">
        <v>548</v>
      </c>
      <c r="CG97">
        <v>5</v>
      </c>
      <c r="CH97" t="s">
        <v>549</v>
      </c>
      <c r="CI97">
        <v>46.5</v>
      </c>
      <c r="CJ97">
        <v>1231</v>
      </c>
      <c r="CK97" t="s">
        <v>264</v>
      </c>
      <c r="CL97">
        <v>-9999</v>
      </c>
      <c r="CM97">
        <v>531</v>
      </c>
      <c r="CN97">
        <v>620</v>
      </c>
      <c r="CO97">
        <v>532</v>
      </c>
      <c r="CP97" t="s">
        <v>270</v>
      </c>
      <c r="CQ97">
        <v>0</v>
      </c>
      <c r="CR97">
        <v>55</v>
      </c>
      <c r="CS97" t="s">
        <v>472</v>
      </c>
      <c r="CT97" t="s">
        <v>548</v>
      </c>
      <c r="CU97">
        <v>6</v>
      </c>
      <c r="CV97" t="s">
        <v>549</v>
      </c>
      <c r="CW97">
        <v>49.1</v>
      </c>
      <c r="CX97">
        <v>373</v>
      </c>
      <c r="CY97" t="s">
        <v>264</v>
      </c>
      <c r="CZ97">
        <v>-9999</v>
      </c>
      <c r="DA97">
        <v>754</v>
      </c>
      <c r="DB97">
        <v>855</v>
      </c>
      <c r="DC97">
        <v>745</v>
      </c>
      <c r="DD97" t="s">
        <v>270</v>
      </c>
      <c r="DE97">
        <v>0</v>
      </c>
      <c r="DF97">
        <v>55</v>
      </c>
      <c r="DG97" t="s">
        <v>473</v>
      </c>
      <c r="DH97" t="s">
        <v>548</v>
      </c>
      <c r="DI97">
        <v>7</v>
      </c>
      <c r="DJ97" t="s">
        <v>549</v>
      </c>
      <c r="DK97">
        <v>54.4</v>
      </c>
      <c r="DL97">
        <v>53</v>
      </c>
      <c r="DM97" t="s">
        <v>264</v>
      </c>
      <c r="DN97">
        <v>-9999</v>
      </c>
      <c r="DO97">
        <v>541</v>
      </c>
      <c r="DP97">
        <v>619</v>
      </c>
      <c r="DQ97">
        <v>537</v>
      </c>
      <c r="DR97" t="s">
        <v>270</v>
      </c>
      <c r="DS97">
        <v>0</v>
      </c>
      <c r="DT97">
        <v>55</v>
      </c>
      <c r="DU97" t="s">
        <v>474</v>
      </c>
      <c r="DV97" t="s">
        <v>548</v>
      </c>
      <c r="DW97">
        <v>8</v>
      </c>
      <c r="DX97" t="s">
        <v>549</v>
      </c>
      <c r="DY97">
        <v>46.4</v>
      </c>
      <c r="DZ97">
        <v>317</v>
      </c>
      <c r="EA97" t="s">
        <v>264</v>
      </c>
      <c r="EB97">
        <v>-9999</v>
      </c>
      <c r="EC97">
        <v>98</v>
      </c>
      <c r="ED97">
        <v>121</v>
      </c>
      <c r="EE97">
        <v>96</v>
      </c>
      <c r="EF97" t="s">
        <v>270</v>
      </c>
      <c r="EG97">
        <v>0</v>
      </c>
      <c r="EH97">
        <v>55</v>
      </c>
      <c r="EI97" t="s">
        <v>475</v>
      </c>
      <c r="EJ97" t="s">
        <v>548</v>
      </c>
      <c r="EK97">
        <v>9</v>
      </c>
      <c r="EL97" t="s">
        <v>549</v>
      </c>
      <c r="EM97">
        <v>50.5</v>
      </c>
      <c r="EN97">
        <v>74</v>
      </c>
      <c r="EO97" t="s">
        <v>264</v>
      </c>
      <c r="EP97">
        <v>-9999</v>
      </c>
      <c r="EQ97">
        <v>364</v>
      </c>
      <c r="ER97">
        <v>358</v>
      </c>
      <c r="ES97">
        <v>331</v>
      </c>
      <c r="ET97" t="s">
        <v>270</v>
      </c>
      <c r="EU97">
        <v>0</v>
      </c>
      <c r="EV97">
        <v>55</v>
      </c>
      <c r="EW97" t="s">
        <v>551</v>
      </c>
      <c r="EX97" t="s">
        <v>552</v>
      </c>
      <c r="EY97">
        <v>123</v>
      </c>
      <c r="EZ97">
        <v>124</v>
      </c>
      <c r="FA97">
        <v>124</v>
      </c>
      <c r="FB97" t="s">
        <v>270</v>
      </c>
      <c r="FC97" t="s">
        <v>553</v>
      </c>
      <c r="FD97" t="s">
        <v>552</v>
      </c>
      <c r="FE97">
        <v>291</v>
      </c>
      <c r="FF97">
        <v>290</v>
      </c>
      <c r="FG97">
        <v>289</v>
      </c>
      <c r="FH97" t="s">
        <v>270</v>
      </c>
      <c r="FI97" t="s">
        <v>554</v>
      </c>
      <c r="FJ97" t="s">
        <v>555</v>
      </c>
      <c r="FK97">
        <v>0</v>
      </c>
      <c r="FL97">
        <v>0</v>
      </c>
      <c r="FM97">
        <v>0</v>
      </c>
      <c r="FN97" t="s">
        <v>264</v>
      </c>
      <c r="FQ97" t="s">
        <v>556</v>
      </c>
      <c r="FR97" t="s">
        <v>555</v>
      </c>
      <c r="FS97">
        <v>0</v>
      </c>
      <c r="FT97">
        <v>0</v>
      </c>
      <c r="FU97">
        <v>0</v>
      </c>
      <c r="FV97" t="s">
        <v>264</v>
      </c>
      <c r="FY97" t="s">
        <v>557</v>
      </c>
      <c r="FZ97" t="s">
        <v>555</v>
      </c>
      <c r="GA97">
        <v>0</v>
      </c>
      <c r="GB97">
        <v>0</v>
      </c>
      <c r="GC97">
        <v>0</v>
      </c>
      <c r="GD97" t="s">
        <v>264</v>
      </c>
      <c r="GG97" t="s">
        <v>558</v>
      </c>
      <c r="GH97" t="s">
        <v>555</v>
      </c>
      <c r="GI97">
        <v>0</v>
      </c>
      <c r="GJ97">
        <v>0</v>
      </c>
      <c r="GK97">
        <v>0</v>
      </c>
      <c r="GL97" t="s">
        <v>264</v>
      </c>
      <c r="GO97" t="s">
        <v>559</v>
      </c>
      <c r="GP97" t="s">
        <v>555</v>
      </c>
      <c r="GQ97">
        <v>0</v>
      </c>
      <c r="GR97">
        <v>0</v>
      </c>
      <c r="GS97">
        <v>0</v>
      </c>
      <c r="GT97" t="s">
        <v>264</v>
      </c>
      <c r="GW97" t="s">
        <v>560</v>
      </c>
      <c r="GX97" t="s">
        <v>555</v>
      </c>
      <c r="GY97">
        <v>0</v>
      </c>
      <c r="GZ97">
        <v>0</v>
      </c>
      <c r="HA97">
        <v>0</v>
      </c>
      <c r="HB97" t="s">
        <v>264</v>
      </c>
      <c r="HE97" t="s">
        <v>561</v>
      </c>
      <c r="HF97" t="s">
        <v>555</v>
      </c>
      <c r="HG97">
        <v>0</v>
      </c>
      <c r="HH97">
        <v>0</v>
      </c>
      <c r="HI97">
        <v>0</v>
      </c>
      <c r="HJ97" t="s">
        <v>264</v>
      </c>
      <c r="HM97" t="s">
        <v>562</v>
      </c>
      <c r="HN97" t="s">
        <v>555</v>
      </c>
      <c r="HO97">
        <v>0</v>
      </c>
      <c r="HP97">
        <v>0</v>
      </c>
      <c r="HQ97">
        <v>0</v>
      </c>
      <c r="HR97" t="s">
        <v>264</v>
      </c>
      <c r="HU97" t="s">
        <v>563</v>
      </c>
      <c r="HV97" t="s">
        <v>555</v>
      </c>
      <c r="HW97">
        <v>0</v>
      </c>
      <c r="HX97">
        <v>0</v>
      </c>
      <c r="HY97">
        <v>0</v>
      </c>
      <c r="HZ97" t="s">
        <v>264</v>
      </c>
      <c r="IC97" t="s">
        <v>564</v>
      </c>
      <c r="ID97" t="s">
        <v>555</v>
      </c>
      <c r="IE97">
        <v>0</v>
      </c>
      <c r="IF97">
        <v>0</v>
      </c>
      <c r="IG97">
        <v>0</v>
      </c>
      <c r="IH97" t="s">
        <v>264</v>
      </c>
      <c r="IK97" t="s">
        <v>565</v>
      </c>
      <c r="IL97" t="s">
        <v>555</v>
      </c>
      <c r="IM97">
        <v>0</v>
      </c>
      <c r="IN97">
        <v>0</v>
      </c>
      <c r="IO97">
        <v>0</v>
      </c>
      <c r="IP97" t="s">
        <v>264</v>
      </c>
      <c r="IS97" t="s">
        <v>566</v>
      </c>
      <c r="IT97" t="s">
        <v>555</v>
      </c>
      <c r="IU97">
        <v>0</v>
      </c>
      <c r="IV97">
        <v>0</v>
      </c>
      <c r="IW97">
        <v>0</v>
      </c>
      <c r="IX97" t="s">
        <v>264</v>
      </c>
      <c r="JA97" t="s">
        <v>567</v>
      </c>
      <c r="JB97" t="s">
        <v>555</v>
      </c>
      <c r="JC97">
        <v>0</v>
      </c>
      <c r="JD97">
        <v>0</v>
      </c>
      <c r="JE97">
        <v>0</v>
      </c>
      <c r="JF97" t="s">
        <v>264</v>
      </c>
      <c r="JI97" t="s">
        <v>568</v>
      </c>
      <c r="JJ97" t="s">
        <v>555</v>
      </c>
      <c r="JK97">
        <v>0</v>
      </c>
      <c r="JL97">
        <v>0</v>
      </c>
      <c r="JM97">
        <v>0</v>
      </c>
      <c r="JN97" t="s">
        <v>264</v>
      </c>
      <c r="JQ97" t="s">
        <v>569</v>
      </c>
      <c r="JR97" t="s">
        <v>555</v>
      </c>
      <c r="JS97">
        <v>0</v>
      </c>
      <c r="JT97">
        <v>0</v>
      </c>
      <c r="JU97">
        <v>0</v>
      </c>
      <c r="JV97" t="s">
        <v>264</v>
      </c>
      <c r="JY97" t="s">
        <v>570</v>
      </c>
      <c r="JZ97" t="s">
        <v>555</v>
      </c>
      <c r="KA97">
        <v>0</v>
      </c>
      <c r="KB97">
        <v>0</v>
      </c>
      <c r="KC97">
        <v>0</v>
      </c>
      <c r="KD97" t="s">
        <v>264</v>
      </c>
      <c r="KG97" t="s">
        <v>571</v>
      </c>
      <c r="KH97" t="s">
        <v>555</v>
      </c>
      <c r="KI97">
        <v>0</v>
      </c>
      <c r="KJ97">
        <v>0</v>
      </c>
      <c r="KK97">
        <v>0</v>
      </c>
      <c r="KL97" t="s">
        <v>264</v>
      </c>
      <c r="KO97" t="s">
        <v>572</v>
      </c>
      <c r="KP97" t="s">
        <v>555</v>
      </c>
      <c r="KQ97">
        <v>0</v>
      </c>
      <c r="KR97">
        <v>0</v>
      </c>
      <c r="KS97">
        <v>0</v>
      </c>
      <c r="KT97" t="s">
        <v>264</v>
      </c>
      <c r="KW97" t="s">
        <v>573</v>
      </c>
      <c r="KX97" t="s">
        <v>555</v>
      </c>
      <c r="KY97">
        <v>0</v>
      </c>
      <c r="KZ97">
        <v>0</v>
      </c>
      <c r="LA97">
        <v>0</v>
      </c>
      <c r="LB97" t="s">
        <v>264</v>
      </c>
      <c r="LE97" t="s">
        <v>574</v>
      </c>
      <c r="LF97" t="s">
        <v>555</v>
      </c>
      <c r="LG97">
        <v>0</v>
      </c>
      <c r="LH97">
        <v>0</v>
      </c>
      <c r="LI97">
        <v>0</v>
      </c>
      <c r="LJ97" t="s">
        <v>264</v>
      </c>
      <c r="LM97" t="s">
        <v>575</v>
      </c>
      <c r="LN97" t="s">
        <v>555</v>
      </c>
      <c r="LO97">
        <v>0</v>
      </c>
      <c r="LP97">
        <v>0</v>
      </c>
      <c r="LQ97">
        <v>0</v>
      </c>
      <c r="LR97" t="s">
        <v>264</v>
      </c>
      <c r="LU97" t="s">
        <v>576</v>
      </c>
      <c r="LV97" t="s">
        <v>555</v>
      </c>
      <c r="LW97">
        <v>0</v>
      </c>
      <c r="LX97">
        <v>0</v>
      </c>
      <c r="LY97">
        <v>0</v>
      </c>
      <c r="LZ97" t="s">
        <v>264</v>
      </c>
      <c r="MC97" t="s">
        <v>577</v>
      </c>
      <c r="MD97" t="s">
        <v>555</v>
      </c>
      <c r="ME97">
        <v>0</v>
      </c>
      <c r="MF97">
        <v>0</v>
      </c>
      <c r="MG97">
        <v>0</v>
      </c>
      <c r="MH97" t="s">
        <v>264</v>
      </c>
      <c r="MK97" t="s">
        <v>578</v>
      </c>
      <c r="ML97" t="s">
        <v>555</v>
      </c>
      <c r="MM97">
        <v>0</v>
      </c>
      <c r="MN97">
        <v>0</v>
      </c>
      <c r="MO97">
        <v>0</v>
      </c>
      <c r="MP97" t="s">
        <v>264</v>
      </c>
      <c r="MS97" t="s">
        <v>579</v>
      </c>
      <c r="MT97" t="s">
        <v>555</v>
      </c>
      <c r="MU97">
        <v>0</v>
      </c>
      <c r="MV97">
        <v>0</v>
      </c>
      <c r="MW97">
        <v>0</v>
      </c>
      <c r="MX97" t="s">
        <v>264</v>
      </c>
      <c r="NA97" t="s">
        <v>580</v>
      </c>
      <c r="NB97" t="s">
        <v>555</v>
      </c>
      <c r="NC97">
        <v>0</v>
      </c>
      <c r="ND97">
        <v>0</v>
      </c>
      <c r="NE97">
        <v>0</v>
      </c>
      <c r="NF97" t="s">
        <v>264</v>
      </c>
      <c r="NI97">
        <v>40</v>
      </c>
      <c r="NJ97">
        <v>-8.6</v>
      </c>
      <c r="NP97" t="s">
        <v>581</v>
      </c>
    </row>
    <row r="98" spans="1:380" customFormat="1" x14ac:dyDescent="0.2">
      <c r="A98" t="s">
        <v>517</v>
      </c>
      <c r="B98">
        <v>1</v>
      </c>
      <c r="C98" t="s">
        <v>796</v>
      </c>
      <c r="D98">
        <v>647065895</v>
      </c>
      <c r="E98">
        <v>12602</v>
      </c>
      <c r="F98" t="s">
        <v>542</v>
      </c>
      <c r="G98">
        <v>750213</v>
      </c>
      <c r="H98">
        <v>606021</v>
      </c>
      <c r="I98" t="s">
        <v>543</v>
      </c>
      <c r="J98" t="s">
        <v>797</v>
      </c>
      <c r="K98" t="s">
        <v>545</v>
      </c>
      <c r="L98" t="s">
        <v>294</v>
      </c>
      <c r="M98" t="s">
        <v>546</v>
      </c>
      <c r="N98" t="s">
        <v>468</v>
      </c>
      <c r="O98" t="s">
        <v>547</v>
      </c>
      <c r="P98" t="s">
        <v>264</v>
      </c>
      <c r="Q98">
        <v>27.6</v>
      </c>
      <c r="R98">
        <v>246</v>
      </c>
      <c r="S98" t="s">
        <v>264</v>
      </c>
      <c r="T98">
        <v>-9999</v>
      </c>
      <c r="U98">
        <v>608</v>
      </c>
      <c r="V98">
        <v>625</v>
      </c>
      <c r="W98">
        <v>595</v>
      </c>
      <c r="X98" t="s">
        <v>270</v>
      </c>
      <c r="Y98">
        <v>0</v>
      </c>
      <c r="Z98">
        <v>55</v>
      </c>
      <c r="AA98" t="s">
        <v>469</v>
      </c>
      <c r="AB98" t="s">
        <v>548</v>
      </c>
      <c r="AC98">
        <v>1</v>
      </c>
      <c r="AD98" t="s">
        <v>549</v>
      </c>
      <c r="AE98">
        <v>0</v>
      </c>
      <c r="AF98">
        <v>28</v>
      </c>
      <c r="AG98" t="s">
        <v>264</v>
      </c>
      <c r="AH98">
        <v>-9999</v>
      </c>
      <c r="AI98">
        <v>500</v>
      </c>
      <c r="AJ98">
        <v>615</v>
      </c>
      <c r="AK98">
        <v>495</v>
      </c>
      <c r="AL98" t="s">
        <v>270</v>
      </c>
      <c r="AM98">
        <v>0</v>
      </c>
      <c r="AN98">
        <v>55</v>
      </c>
      <c r="AO98" t="s">
        <v>470</v>
      </c>
      <c r="AP98" t="s">
        <v>548</v>
      </c>
      <c r="AQ98">
        <v>2</v>
      </c>
      <c r="AR98" t="s">
        <v>549</v>
      </c>
      <c r="AS98">
        <v>0</v>
      </c>
      <c r="AT98">
        <v>23</v>
      </c>
      <c r="AU98" t="s">
        <v>264</v>
      </c>
      <c r="AV98">
        <v>-9999</v>
      </c>
      <c r="AW98">
        <v>361</v>
      </c>
      <c r="AX98">
        <v>383</v>
      </c>
      <c r="AY98">
        <v>360</v>
      </c>
      <c r="AZ98" t="s">
        <v>270</v>
      </c>
      <c r="BA98">
        <v>0</v>
      </c>
      <c r="BB98">
        <v>55</v>
      </c>
      <c r="BC98" t="s">
        <v>550</v>
      </c>
      <c r="BD98" t="s">
        <v>548</v>
      </c>
      <c r="BE98">
        <v>3</v>
      </c>
      <c r="BF98" t="s">
        <v>584</v>
      </c>
      <c r="BG98">
        <v>21.6</v>
      </c>
      <c r="BH98">
        <v>79</v>
      </c>
      <c r="BI98" t="s">
        <v>264</v>
      </c>
      <c r="BJ98">
        <v>-9999</v>
      </c>
      <c r="BK98">
        <v>48</v>
      </c>
      <c r="BL98">
        <v>75</v>
      </c>
      <c r="BM98">
        <v>54</v>
      </c>
      <c r="BN98" t="s">
        <v>270</v>
      </c>
      <c r="BO98">
        <v>0</v>
      </c>
      <c r="BP98">
        <v>55</v>
      </c>
      <c r="BQ98" t="s">
        <v>504</v>
      </c>
      <c r="BR98" t="s">
        <v>548</v>
      </c>
      <c r="BS98">
        <v>4</v>
      </c>
      <c r="BT98" t="s">
        <v>549</v>
      </c>
      <c r="BU98">
        <v>53</v>
      </c>
      <c r="BV98">
        <v>71</v>
      </c>
      <c r="BW98" t="s">
        <v>264</v>
      </c>
      <c r="BX98">
        <v>-9999</v>
      </c>
      <c r="BY98">
        <v>209</v>
      </c>
      <c r="BZ98">
        <v>242</v>
      </c>
      <c r="CA98">
        <v>207</v>
      </c>
      <c r="CB98" t="s">
        <v>270</v>
      </c>
      <c r="CC98">
        <v>0</v>
      </c>
      <c r="CD98">
        <v>55</v>
      </c>
      <c r="CE98" t="s">
        <v>471</v>
      </c>
      <c r="CF98" t="s">
        <v>548</v>
      </c>
      <c r="CG98">
        <v>5</v>
      </c>
      <c r="CH98" t="s">
        <v>549</v>
      </c>
      <c r="CI98">
        <v>51.3</v>
      </c>
      <c r="CJ98">
        <v>215</v>
      </c>
      <c r="CK98" t="s">
        <v>264</v>
      </c>
      <c r="CL98">
        <v>-9999</v>
      </c>
      <c r="CM98">
        <v>504</v>
      </c>
      <c r="CN98">
        <v>588</v>
      </c>
      <c r="CO98">
        <v>504</v>
      </c>
      <c r="CP98" t="s">
        <v>270</v>
      </c>
      <c r="CQ98">
        <v>0</v>
      </c>
      <c r="CR98">
        <v>55</v>
      </c>
      <c r="CS98" t="s">
        <v>472</v>
      </c>
      <c r="CT98" t="s">
        <v>548</v>
      </c>
      <c r="CU98">
        <v>6</v>
      </c>
      <c r="CV98" t="s">
        <v>549</v>
      </c>
      <c r="CW98">
        <v>52.5</v>
      </c>
      <c r="CX98">
        <v>131</v>
      </c>
      <c r="CY98" t="s">
        <v>264</v>
      </c>
      <c r="CZ98">
        <v>-9999</v>
      </c>
      <c r="DA98">
        <v>559</v>
      </c>
      <c r="DB98">
        <v>635</v>
      </c>
      <c r="DC98">
        <v>550</v>
      </c>
      <c r="DD98" t="s">
        <v>270</v>
      </c>
      <c r="DE98">
        <v>0</v>
      </c>
      <c r="DF98">
        <v>55</v>
      </c>
      <c r="DG98" t="s">
        <v>473</v>
      </c>
      <c r="DH98" t="s">
        <v>548</v>
      </c>
      <c r="DI98">
        <v>7</v>
      </c>
      <c r="DJ98" t="s">
        <v>549</v>
      </c>
      <c r="DK98">
        <v>0</v>
      </c>
      <c r="DL98">
        <v>44</v>
      </c>
      <c r="DM98" t="s">
        <v>264</v>
      </c>
      <c r="DN98">
        <v>-9999</v>
      </c>
      <c r="DO98">
        <v>519</v>
      </c>
      <c r="DP98">
        <v>592</v>
      </c>
      <c r="DQ98">
        <v>517</v>
      </c>
      <c r="DR98" t="s">
        <v>270</v>
      </c>
      <c r="DS98">
        <v>0</v>
      </c>
      <c r="DT98">
        <v>55</v>
      </c>
      <c r="DU98" t="s">
        <v>474</v>
      </c>
      <c r="DV98" t="s">
        <v>548</v>
      </c>
      <c r="DW98">
        <v>8</v>
      </c>
      <c r="DX98" t="s">
        <v>549</v>
      </c>
      <c r="DY98">
        <v>48.8</v>
      </c>
      <c r="DZ98">
        <v>51</v>
      </c>
      <c r="EA98" t="s">
        <v>264</v>
      </c>
      <c r="EB98">
        <v>-9999</v>
      </c>
      <c r="EC98">
        <v>84</v>
      </c>
      <c r="ED98">
        <v>105</v>
      </c>
      <c r="EE98">
        <v>82</v>
      </c>
      <c r="EF98" t="s">
        <v>270</v>
      </c>
      <c r="EG98">
        <v>0</v>
      </c>
      <c r="EH98">
        <v>55</v>
      </c>
      <c r="EI98" t="s">
        <v>475</v>
      </c>
      <c r="EJ98" t="s">
        <v>548</v>
      </c>
      <c r="EK98">
        <v>9</v>
      </c>
      <c r="EL98" t="s">
        <v>549</v>
      </c>
      <c r="EM98">
        <v>0</v>
      </c>
      <c r="EN98">
        <v>7</v>
      </c>
      <c r="EO98" t="s">
        <v>264</v>
      </c>
      <c r="EP98">
        <v>-9999</v>
      </c>
      <c r="EQ98">
        <v>358</v>
      </c>
      <c r="ER98">
        <v>339</v>
      </c>
      <c r="ES98">
        <v>307</v>
      </c>
      <c r="ET98" t="s">
        <v>270</v>
      </c>
      <c r="EU98">
        <v>0</v>
      </c>
      <c r="EV98">
        <v>55</v>
      </c>
      <c r="EW98" t="s">
        <v>551</v>
      </c>
      <c r="EX98" t="s">
        <v>552</v>
      </c>
      <c r="EY98">
        <v>101</v>
      </c>
      <c r="EZ98">
        <v>101</v>
      </c>
      <c r="FA98">
        <v>101</v>
      </c>
      <c r="FB98" t="s">
        <v>270</v>
      </c>
      <c r="FC98" t="s">
        <v>553</v>
      </c>
      <c r="FD98" t="s">
        <v>552</v>
      </c>
      <c r="FE98">
        <v>293</v>
      </c>
      <c r="FF98">
        <v>291</v>
      </c>
      <c r="FG98">
        <v>291</v>
      </c>
      <c r="FH98" t="s">
        <v>270</v>
      </c>
      <c r="FI98" t="s">
        <v>554</v>
      </c>
      <c r="FJ98" t="s">
        <v>555</v>
      </c>
      <c r="FK98">
        <v>0</v>
      </c>
      <c r="FL98">
        <v>0</v>
      </c>
      <c r="FM98">
        <v>0</v>
      </c>
      <c r="FN98" t="s">
        <v>264</v>
      </c>
      <c r="FQ98" t="s">
        <v>556</v>
      </c>
      <c r="FR98" t="s">
        <v>555</v>
      </c>
      <c r="FS98">
        <v>0</v>
      </c>
      <c r="FT98">
        <v>0</v>
      </c>
      <c r="FU98">
        <v>0</v>
      </c>
      <c r="FV98" t="s">
        <v>264</v>
      </c>
      <c r="FY98" t="s">
        <v>557</v>
      </c>
      <c r="FZ98" t="s">
        <v>555</v>
      </c>
      <c r="GA98">
        <v>0</v>
      </c>
      <c r="GB98">
        <v>0</v>
      </c>
      <c r="GC98">
        <v>0</v>
      </c>
      <c r="GD98" t="s">
        <v>264</v>
      </c>
      <c r="GG98" t="s">
        <v>558</v>
      </c>
      <c r="GH98" t="s">
        <v>555</v>
      </c>
      <c r="GI98">
        <v>0</v>
      </c>
      <c r="GJ98">
        <v>0</v>
      </c>
      <c r="GK98">
        <v>0</v>
      </c>
      <c r="GL98" t="s">
        <v>264</v>
      </c>
      <c r="GO98" t="s">
        <v>559</v>
      </c>
      <c r="GP98" t="s">
        <v>555</v>
      </c>
      <c r="GQ98">
        <v>0</v>
      </c>
      <c r="GR98">
        <v>0</v>
      </c>
      <c r="GS98">
        <v>0</v>
      </c>
      <c r="GT98" t="s">
        <v>264</v>
      </c>
      <c r="GW98" t="s">
        <v>560</v>
      </c>
      <c r="GX98" t="s">
        <v>555</v>
      </c>
      <c r="GY98">
        <v>0</v>
      </c>
      <c r="GZ98">
        <v>0</v>
      </c>
      <c r="HA98">
        <v>0</v>
      </c>
      <c r="HB98" t="s">
        <v>264</v>
      </c>
      <c r="HE98" t="s">
        <v>561</v>
      </c>
      <c r="HF98" t="s">
        <v>555</v>
      </c>
      <c r="HG98">
        <v>0</v>
      </c>
      <c r="HH98">
        <v>0</v>
      </c>
      <c r="HI98">
        <v>0</v>
      </c>
      <c r="HJ98" t="s">
        <v>264</v>
      </c>
      <c r="HM98" t="s">
        <v>562</v>
      </c>
      <c r="HN98" t="s">
        <v>555</v>
      </c>
      <c r="HO98">
        <v>0</v>
      </c>
      <c r="HP98">
        <v>0</v>
      </c>
      <c r="HQ98">
        <v>0</v>
      </c>
      <c r="HR98" t="s">
        <v>264</v>
      </c>
      <c r="HU98" t="s">
        <v>563</v>
      </c>
      <c r="HV98" t="s">
        <v>555</v>
      </c>
      <c r="HW98">
        <v>0</v>
      </c>
      <c r="HX98">
        <v>0</v>
      </c>
      <c r="HY98">
        <v>0</v>
      </c>
      <c r="HZ98" t="s">
        <v>264</v>
      </c>
      <c r="IC98" t="s">
        <v>564</v>
      </c>
      <c r="ID98" t="s">
        <v>555</v>
      </c>
      <c r="IE98">
        <v>0</v>
      </c>
      <c r="IF98">
        <v>0</v>
      </c>
      <c r="IG98">
        <v>0</v>
      </c>
      <c r="IH98" t="s">
        <v>264</v>
      </c>
      <c r="IK98" t="s">
        <v>565</v>
      </c>
      <c r="IL98" t="s">
        <v>555</v>
      </c>
      <c r="IM98">
        <v>0</v>
      </c>
      <c r="IN98">
        <v>0</v>
      </c>
      <c r="IO98">
        <v>0</v>
      </c>
      <c r="IP98" t="s">
        <v>264</v>
      </c>
      <c r="IS98" t="s">
        <v>566</v>
      </c>
      <c r="IT98" t="s">
        <v>555</v>
      </c>
      <c r="IU98">
        <v>0</v>
      </c>
      <c r="IV98">
        <v>0</v>
      </c>
      <c r="IW98">
        <v>0</v>
      </c>
      <c r="IX98" t="s">
        <v>264</v>
      </c>
      <c r="JA98" t="s">
        <v>567</v>
      </c>
      <c r="JB98" t="s">
        <v>555</v>
      </c>
      <c r="JC98">
        <v>0</v>
      </c>
      <c r="JD98">
        <v>0</v>
      </c>
      <c r="JE98">
        <v>0</v>
      </c>
      <c r="JF98" t="s">
        <v>264</v>
      </c>
      <c r="JI98" t="s">
        <v>568</v>
      </c>
      <c r="JJ98" t="s">
        <v>555</v>
      </c>
      <c r="JK98">
        <v>0</v>
      </c>
      <c r="JL98">
        <v>0</v>
      </c>
      <c r="JM98">
        <v>0</v>
      </c>
      <c r="JN98" t="s">
        <v>264</v>
      </c>
      <c r="JQ98" t="s">
        <v>569</v>
      </c>
      <c r="JR98" t="s">
        <v>555</v>
      </c>
      <c r="JS98">
        <v>0</v>
      </c>
      <c r="JT98">
        <v>0</v>
      </c>
      <c r="JU98">
        <v>0</v>
      </c>
      <c r="JV98" t="s">
        <v>264</v>
      </c>
      <c r="JY98" t="s">
        <v>570</v>
      </c>
      <c r="JZ98" t="s">
        <v>555</v>
      </c>
      <c r="KA98">
        <v>0</v>
      </c>
      <c r="KB98">
        <v>0</v>
      </c>
      <c r="KC98">
        <v>0</v>
      </c>
      <c r="KD98" t="s">
        <v>264</v>
      </c>
      <c r="KG98" t="s">
        <v>571</v>
      </c>
      <c r="KH98" t="s">
        <v>555</v>
      </c>
      <c r="KI98">
        <v>0</v>
      </c>
      <c r="KJ98">
        <v>0</v>
      </c>
      <c r="KK98">
        <v>0</v>
      </c>
      <c r="KL98" t="s">
        <v>264</v>
      </c>
      <c r="KO98" t="s">
        <v>572</v>
      </c>
      <c r="KP98" t="s">
        <v>555</v>
      </c>
      <c r="KQ98">
        <v>0</v>
      </c>
      <c r="KR98">
        <v>0</v>
      </c>
      <c r="KS98">
        <v>0</v>
      </c>
      <c r="KT98" t="s">
        <v>264</v>
      </c>
      <c r="KW98" t="s">
        <v>573</v>
      </c>
      <c r="KX98" t="s">
        <v>555</v>
      </c>
      <c r="KY98">
        <v>0</v>
      </c>
      <c r="KZ98">
        <v>0</v>
      </c>
      <c r="LA98">
        <v>0</v>
      </c>
      <c r="LB98" t="s">
        <v>264</v>
      </c>
      <c r="LE98" t="s">
        <v>574</v>
      </c>
      <c r="LF98" t="s">
        <v>555</v>
      </c>
      <c r="LG98">
        <v>0</v>
      </c>
      <c r="LH98">
        <v>0</v>
      </c>
      <c r="LI98">
        <v>0</v>
      </c>
      <c r="LJ98" t="s">
        <v>264</v>
      </c>
      <c r="LM98" t="s">
        <v>575</v>
      </c>
      <c r="LN98" t="s">
        <v>555</v>
      </c>
      <c r="LO98">
        <v>0</v>
      </c>
      <c r="LP98">
        <v>0</v>
      </c>
      <c r="LQ98">
        <v>0</v>
      </c>
      <c r="LR98" t="s">
        <v>264</v>
      </c>
      <c r="LU98" t="s">
        <v>576</v>
      </c>
      <c r="LV98" t="s">
        <v>555</v>
      </c>
      <c r="LW98">
        <v>0</v>
      </c>
      <c r="LX98">
        <v>0</v>
      </c>
      <c r="LY98">
        <v>0</v>
      </c>
      <c r="LZ98" t="s">
        <v>264</v>
      </c>
      <c r="MC98" t="s">
        <v>577</v>
      </c>
      <c r="MD98" t="s">
        <v>555</v>
      </c>
      <c r="ME98">
        <v>0</v>
      </c>
      <c r="MF98">
        <v>0</v>
      </c>
      <c r="MG98">
        <v>0</v>
      </c>
      <c r="MH98" t="s">
        <v>264</v>
      </c>
      <c r="MK98" t="s">
        <v>578</v>
      </c>
      <c r="ML98" t="s">
        <v>555</v>
      </c>
      <c r="MM98">
        <v>0</v>
      </c>
      <c r="MN98">
        <v>0</v>
      </c>
      <c r="MO98">
        <v>0</v>
      </c>
      <c r="MP98" t="s">
        <v>264</v>
      </c>
      <c r="MS98" t="s">
        <v>579</v>
      </c>
      <c r="MT98" t="s">
        <v>555</v>
      </c>
      <c r="MU98">
        <v>0</v>
      </c>
      <c r="MV98">
        <v>0</v>
      </c>
      <c r="MW98">
        <v>0</v>
      </c>
      <c r="MX98" t="s">
        <v>264</v>
      </c>
      <c r="NA98" t="s">
        <v>580</v>
      </c>
      <c r="NB98" t="s">
        <v>555</v>
      </c>
      <c r="NC98">
        <v>0</v>
      </c>
      <c r="ND98">
        <v>0</v>
      </c>
      <c r="NE98">
        <v>0</v>
      </c>
      <c r="NF98" t="s">
        <v>264</v>
      </c>
      <c r="NI98">
        <v>40</v>
      </c>
      <c r="NJ98">
        <v>-9.3000000000000007</v>
      </c>
      <c r="NP98" t="s">
        <v>581</v>
      </c>
    </row>
    <row r="99" spans="1:380" customFormat="1" x14ac:dyDescent="0.2">
      <c r="A99" t="s">
        <v>517</v>
      </c>
      <c r="B99">
        <v>1</v>
      </c>
      <c r="C99" t="s">
        <v>798</v>
      </c>
      <c r="D99">
        <v>647064963</v>
      </c>
      <c r="E99">
        <v>12602</v>
      </c>
      <c r="F99" t="s">
        <v>542</v>
      </c>
      <c r="G99">
        <v>750213</v>
      </c>
      <c r="H99">
        <v>688144</v>
      </c>
      <c r="I99" t="s">
        <v>543</v>
      </c>
      <c r="J99" t="s">
        <v>799</v>
      </c>
      <c r="K99" t="s">
        <v>545</v>
      </c>
      <c r="L99" t="s">
        <v>294</v>
      </c>
      <c r="M99" t="s">
        <v>546</v>
      </c>
      <c r="N99" t="s">
        <v>468</v>
      </c>
      <c r="O99" t="s">
        <v>547</v>
      </c>
      <c r="P99" t="s">
        <v>264</v>
      </c>
      <c r="Q99">
        <v>27.7</v>
      </c>
      <c r="R99">
        <v>216</v>
      </c>
      <c r="S99" t="s">
        <v>264</v>
      </c>
      <c r="T99">
        <v>-9999</v>
      </c>
      <c r="U99">
        <v>540</v>
      </c>
      <c r="V99">
        <v>559</v>
      </c>
      <c r="W99">
        <v>534</v>
      </c>
      <c r="X99" t="s">
        <v>270</v>
      </c>
      <c r="Y99">
        <v>0</v>
      </c>
      <c r="Z99">
        <v>55</v>
      </c>
      <c r="AA99" t="s">
        <v>469</v>
      </c>
      <c r="AB99" t="s">
        <v>548</v>
      </c>
      <c r="AC99">
        <v>1</v>
      </c>
      <c r="AD99" t="s">
        <v>549</v>
      </c>
      <c r="AE99">
        <v>0</v>
      </c>
      <c r="AF99">
        <v>20</v>
      </c>
      <c r="AG99" t="s">
        <v>264</v>
      </c>
      <c r="AH99">
        <v>-9999</v>
      </c>
      <c r="AI99">
        <v>528</v>
      </c>
      <c r="AJ99">
        <v>646</v>
      </c>
      <c r="AK99">
        <v>523</v>
      </c>
      <c r="AL99" t="s">
        <v>270</v>
      </c>
      <c r="AM99">
        <v>0</v>
      </c>
      <c r="AN99">
        <v>55</v>
      </c>
      <c r="AO99" t="s">
        <v>470</v>
      </c>
      <c r="AP99" t="s">
        <v>548</v>
      </c>
      <c r="AQ99">
        <v>2</v>
      </c>
      <c r="AR99" t="s">
        <v>549</v>
      </c>
      <c r="AS99">
        <v>0</v>
      </c>
      <c r="AT99">
        <v>26</v>
      </c>
      <c r="AU99" t="s">
        <v>264</v>
      </c>
      <c r="AV99">
        <v>-9999</v>
      </c>
      <c r="AW99">
        <v>348</v>
      </c>
      <c r="AX99">
        <v>367</v>
      </c>
      <c r="AY99">
        <v>347</v>
      </c>
      <c r="AZ99" t="s">
        <v>270</v>
      </c>
      <c r="BA99">
        <v>0</v>
      </c>
      <c r="BB99">
        <v>55</v>
      </c>
      <c r="BC99" t="s">
        <v>550</v>
      </c>
      <c r="BD99" t="s">
        <v>548</v>
      </c>
      <c r="BE99">
        <v>3</v>
      </c>
      <c r="BF99" t="s">
        <v>584</v>
      </c>
      <c r="BG99">
        <v>30.1</v>
      </c>
      <c r="BH99">
        <v>34</v>
      </c>
      <c r="BI99" t="s">
        <v>264</v>
      </c>
      <c r="BJ99">
        <v>-9999</v>
      </c>
      <c r="BK99">
        <v>89</v>
      </c>
      <c r="BL99">
        <v>120</v>
      </c>
      <c r="BM99">
        <v>91</v>
      </c>
      <c r="BN99" t="s">
        <v>270</v>
      </c>
      <c r="BO99">
        <v>0</v>
      </c>
      <c r="BP99">
        <v>55</v>
      </c>
      <c r="BQ99" t="s">
        <v>504</v>
      </c>
      <c r="BR99" t="s">
        <v>548</v>
      </c>
      <c r="BS99">
        <v>4</v>
      </c>
      <c r="BT99" t="s">
        <v>549</v>
      </c>
      <c r="BU99">
        <v>53.4</v>
      </c>
      <c r="BV99">
        <v>54</v>
      </c>
      <c r="BW99" t="s">
        <v>264</v>
      </c>
      <c r="BX99">
        <v>-9999</v>
      </c>
      <c r="BY99">
        <v>225</v>
      </c>
      <c r="BZ99">
        <v>259</v>
      </c>
      <c r="CA99">
        <v>223</v>
      </c>
      <c r="CB99" t="s">
        <v>270</v>
      </c>
      <c r="CC99">
        <v>0</v>
      </c>
      <c r="CD99">
        <v>55</v>
      </c>
      <c r="CE99" t="s">
        <v>471</v>
      </c>
      <c r="CF99" t="s">
        <v>548</v>
      </c>
      <c r="CG99">
        <v>5</v>
      </c>
      <c r="CH99" t="s">
        <v>549</v>
      </c>
      <c r="CI99">
        <v>52.1</v>
      </c>
      <c r="CJ99">
        <v>125</v>
      </c>
      <c r="CK99" t="s">
        <v>264</v>
      </c>
      <c r="CL99">
        <v>-9999</v>
      </c>
      <c r="CM99">
        <v>479</v>
      </c>
      <c r="CN99">
        <v>560</v>
      </c>
      <c r="CO99">
        <v>478</v>
      </c>
      <c r="CP99" t="s">
        <v>270</v>
      </c>
      <c r="CQ99">
        <v>0</v>
      </c>
      <c r="CR99">
        <v>55</v>
      </c>
      <c r="CS99" t="s">
        <v>472</v>
      </c>
      <c r="CT99" t="s">
        <v>548</v>
      </c>
      <c r="CU99">
        <v>6</v>
      </c>
      <c r="CV99" t="s">
        <v>549</v>
      </c>
      <c r="CW99">
        <v>0</v>
      </c>
      <c r="CX99">
        <v>31</v>
      </c>
      <c r="CY99" t="s">
        <v>264</v>
      </c>
      <c r="CZ99">
        <v>-9999</v>
      </c>
      <c r="DA99">
        <v>766</v>
      </c>
      <c r="DB99">
        <v>869</v>
      </c>
      <c r="DC99">
        <v>755</v>
      </c>
      <c r="DD99" t="s">
        <v>270</v>
      </c>
      <c r="DE99">
        <v>0</v>
      </c>
      <c r="DF99">
        <v>55</v>
      </c>
      <c r="DG99" t="s">
        <v>473</v>
      </c>
      <c r="DH99" t="s">
        <v>548</v>
      </c>
      <c r="DI99">
        <v>7</v>
      </c>
      <c r="DJ99" t="s">
        <v>549</v>
      </c>
      <c r="DK99">
        <v>0</v>
      </c>
      <c r="DL99">
        <v>22</v>
      </c>
      <c r="DM99" t="s">
        <v>264</v>
      </c>
      <c r="DN99">
        <v>-9999</v>
      </c>
      <c r="DO99">
        <v>583</v>
      </c>
      <c r="DP99">
        <v>668</v>
      </c>
      <c r="DQ99">
        <v>579</v>
      </c>
      <c r="DR99" t="s">
        <v>270</v>
      </c>
      <c r="DS99">
        <v>0</v>
      </c>
      <c r="DT99">
        <v>55</v>
      </c>
      <c r="DU99" t="s">
        <v>474</v>
      </c>
      <c r="DV99" t="s">
        <v>548</v>
      </c>
      <c r="DW99">
        <v>8</v>
      </c>
      <c r="DX99" t="s">
        <v>549</v>
      </c>
      <c r="DY99">
        <v>51.6</v>
      </c>
      <c r="DZ99">
        <v>28</v>
      </c>
      <c r="EA99" t="s">
        <v>264</v>
      </c>
      <c r="EB99">
        <v>-9999</v>
      </c>
      <c r="EC99">
        <v>112</v>
      </c>
      <c r="ED99">
        <v>137</v>
      </c>
      <c r="EE99">
        <v>110</v>
      </c>
      <c r="EF99" t="s">
        <v>270</v>
      </c>
      <c r="EG99">
        <v>0</v>
      </c>
      <c r="EH99">
        <v>55</v>
      </c>
      <c r="EI99" t="s">
        <v>475</v>
      </c>
      <c r="EJ99" t="s">
        <v>548</v>
      </c>
      <c r="EK99">
        <v>9</v>
      </c>
      <c r="EL99" t="s">
        <v>549</v>
      </c>
      <c r="EM99">
        <v>0</v>
      </c>
      <c r="EN99">
        <v>-6</v>
      </c>
      <c r="EO99" t="s">
        <v>264</v>
      </c>
      <c r="EP99">
        <v>-9999</v>
      </c>
      <c r="EQ99">
        <v>324</v>
      </c>
      <c r="ER99">
        <v>303</v>
      </c>
      <c r="ES99">
        <v>281</v>
      </c>
      <c r="ET99" t="s">
        <v>270</v>
      </c>
      <c r="EU99">
        <v>0</v>
      </c>
      <c r="EV99">
        <v>55</v>
      </c>
      <c r="EW99" t="s">
        <v>551</v>
      </c>
      <c r="EX99" t="s">
        <v>552</v>
      </c>
      <c r="EY99">
        <v>136</v>
      </c>
      <c r="EZ99">
        <v>136</v>
      </c>
      <c r="FA99">
        <v>136</v>
      </c>
      <c r="FB99" t="s">
        <v>270</v>
      </c>
      <c r="FC99" t="s">
        <v>553</v>
      </c>
      <c r="FD99" t="s">
        <v>552</v>
      </c>
      <c r="FE99">
        <v>293</v>
      </c>
      <c r="FF99">
        <v>292</v>
      </c>
      <c r="FG99">
        <v>291</v>
      </c>
      <c r="FH99" t="s">
        <v>270</v>
      </c>
      <c r="FI99" t="s">
        <v>554</v>
      </c>
      <c r="FJ99" t="s">
        <v>555</v>
      </c>
      <c r="FK99">
        <v>0</v>
      </c>
      <c r="FL99">
        <v>0</v>
      </c>
      <c r="FM99">
        <v>0</v>
      </c>
      <c r="FN99" t="s">
        <v>264</v>
      </c>
      <c r="FQ99" t="s">
        <v>556</v>
      </c>
      <c r="FR99" t="s">
        <v>555</v>
      </c>
      <c r="FS99">
        <v>0</v>
      </c>
      <c r="FT99">
        <v>0</v>
      </c>
      <c r="FU99">
        <v>0</v>
      </c>
      <c r="FV99" t="s">
        <v>264</v>
      </c>
      <c r="FY99" t="s">
        <v>557</v>
      </c>
      <c r="FZ99" t="s">
        <v>555</v>
      </c>
      <c r="GA99">
        <v>0</v>
      </c>
      <c r="GB99">
        <v>0</v>
      </c>
      <c r="GC99">
        <v>0</v>
      </c>
      <c r="GD99" t="s">
        <v>264</v>
      </c>
      <c r="GG99" t="s">
        <v>558</v>
      </c>
      <c r="GH99" t="s">
        <v>555</v>
      </c>
      <c r="GI99">
        <v>0</v>
      </c>
      <c r="GJ99">
        <v>0</v>
      </c>
      <c r="GK99">
        <v>0</v>
      </c>
      <c r="GL99" t="s">
        <v>264</v>
      </c>
      <c r="GO99" t="s">
        <v>559</v>
      </c>
      <c r="GP99" t="s">
        <v>555</v>
      </c>
      <c r="GQ99">
        <v>0</v>
      </c>
      <c r="GR99">
        <v>0</v>
      </c>
      <c r="GS99">
        <v>0</v>
      </c>
      <c r="GT99" t="s">
        <v>264</v>
      </c>
      <c r="GW99" t="s">
        <v>560</v>
      </c>
      <c r="GX99" t="s">
        <v>555</v>
      </c>
      <c r="GY99">
        <v>0</v>
      </c>
      <c r="GZ99">
        <v>0</v>
      </c>
      <c r="HA99">
        <v>0</v>
      </c>
      <c r="HB99" t="s">
        <v>264</v>
      </c>
      <c r="HE99" t="s">
        <v>561</v>
      </c>
      <c r="HF99" t="s">
        <v>555</v>
      </c>
      <c r="HG99">
        <v>0</v>
      </c>
      <c r="HH99">
        <v>0</v>
      </c>
      <c r="HI99">
        <v>0</v>
      </c>
      <c r="HJ99" t="s">
        <v>264</v>
      </c>
      <c r="HM99" t="s">
        <v>562</v>
      </c>
      <c r="HN99" t="s">
        <v>555</v>
      </c>
      <c r="HO99">
        <v>0</v>
      </c>
      <c r="HP99">
        <v>0</v>
      </c>
      <c r="HQ99">
        <v>0</v>
      </c>
      <c r="HR99" t="s">
        <v>264</v>
      </c>
      <c r="HU99" t="s">
        <v>563</v>
      </c>
      <c r="HV99" t="s">
        <v>555</v>
      </c>
      <c r="HW99">
        <v>0</v>
      </c>
      <c r="HX99">
        <v>0</v>
      </c>
      <c r="HY99">
        <v>0</v>
      </c>
      <c r="HZ99" t="s">
        <v>264</v>
      </c>
      <c r="IC99" t="s">
        <v>564</v>
      </c>
      <c r="ID99" t="s">
        <v>555</v>
      </c>
      <c r="IE99">
        <v>0</v>
      </c>
      <c r="IF99">
        <v>0</v>
      </c>
      <c r="IG99">
        <v>0</v>
      </c>
      <c r="IH99" t="s">
        <v>264</v>
      </c>
      <c r="IK99" t="s">
        <v>565</v>
      </c>
      <c r="IL99" t="s">
        <v>555</v>
      </c>
      <c r="IM99">
        <v>0</v>
      </c>
      <c r="IN99">
        <v>0</v>
      </c>
      <c r="IO99">
        <v>0</v>
      </c>
      <c r="IP99" t="s">
        <v>264</v>
      </c>
      <c r="IS99" t="s">
        <v>566</v>
      </c>
      <c r="IT99" t="s">
        <v>555</v>
      </c>
      <c r="IU99">
        <v>0</v>
      </c>
      <c r="IV99">
        <v>0</v>
      </c>
      <c r="IW99">
        <v>0</v>
      </c>
      <c r="IX99" t="s">
        <v>264</v>
      </c>
      <c r="JA99" t="s">
        <v>567</v>
      </c>
      <c r="JB99" t="s">
        <v>555</v>
      </c>
      <c r="JC99">
        <v>0</v>
      </c>
      <c r="JD99">
        <v>0</v>
      </c>
      <c r="JE99">
        <v>0</v>
      </c>
      <c r="JF99" t="s">
        <v>264</v>
      </c>
      <c r="JI99" t="s">
        <v>568</v>
      </c>
      <c r="JJ99" t="s">
        <v>555</v>
      </c>
      <c r="JK99">
        <v>0</v>
      </c>
      <c r="JL99">
        <v>0</v>
      </c>
      <c r="JM99">
        <v>0</v>
      </c>
      <c r="JN99" t="s">
        <v>264</v>
      </c>
      <c r="JQ99" t="s">
        <v>569</v>
      </c>
      <c r="JR99" t="s">
        <v>555</v>
      </c>
      <c r="JS99">
        <v>0</v>
      </c>
      <c r="JT99">
        <v>0</v>
      </c>
      <c r="JU99">
        <v>0</v>
      </c>
      <c r="JV99" t="s">
        <v>264</v>
      </c>
      <c r="JY99" t="s">
        <v>570</v>
      </c>
      <c r="JZ99" t="s">
        <v>555</v>
      </c>
      <c r="KA99">
        <v>0</v>
      </c>
      <c r="KB99">
        <v>0</v>
      </c>
      <c r="KC99">
        <v>0</v>
      </c>
      <c r="KD99" t="s">
        <v>264</v>
      </c>
      <c r="KG99" t="s">
        <v>571</v>
      </c>
      <c r="KH99" t="s">
        <v>555</v>
      </c>
      <c r="KI99">
        <v>0</v>
      </c>
      <c r="KJ99">
        <v>0</v>
      </c>
      <c r="KK99">
        <v>0</v>
      </c>
      <c r="KL99" t="s">
        <v>264</v>
      </c>
      <c r="KO99" t="s">
        <v>572</v>
      </c>
      <c r="KP99" t="s">
        <v>555</v>
      </c>
      <c r="KQ99">
        <v>0</v>
      </c>
      <c r="KR99">
        <v>0</v>
      </c>
      <c r="KS99">
        <v>0</v>
      </c>
      <c r="KT99" t="s">
        <v>264</v>
      </c>
      <c r="KW99" t="s">
        <v>573</v>
      </c>
      <c r="KX99" t="s">
        <v>555</v>
      </c>
      <c r="KY99">
        <v>0</v>
      </c>
      <c r="KZ99">
        <v>0</v>
      </c>
      <c r="LA99">
        <v>0</v>
      </c>
      <c r="LB99" t="s">
        <v>264</v>
      </c>
      <c r="LE99" t="s">
        <v>574</v>
      </c>
      <c r="LF99" t="s">
        <v>555</v>
      </c>
      <c r="LG99">
        <v>0</v>
      </c>
      <c r="LH99">
        <v>0</v>
      </c>
      <c r="LI99">
        <v>0</v>
      </c>
      <c r="LJ99" t="s">
        <v>264</v>
      </c>
      <c r="LM99" t="s">
        <v>575</v>
      </c>
      <c r="LN99" t="s">
        <v>555</v>
      </c>
      <c r="LO99">
        <v>0</v>
      </c>
      <c r="LP99">
        <v>0</v>
      </c>
      <c r="LQ99">
        <v>0</v>
      </c>
      <c r="LR99" t="s">
        <v>264</v>
      </c>
      <c r="LU99" t="s">
        <v>576</v>
      </c>
      <c r="LV99" t="s">
        <v>555</v>
      </c>
      <c r="LW99">
        <v>0</v>
      </c>
      <c r="LX99">
        <v>0</v>
      </c>
      <c r="LY99">
        <v>0</v>
      </c>
      <c r="LZ99" t="s">
        <v>264</v>
      </c>
      <c r="MC99" t="s">
        <v>577</v>
      </c>
      <c r="MD99" t="s">
        <v>555</v>
      </c>
      <c r="ME99">
        <v>0</v>
      </c>
      <c r="MF99">
        <v>0</v>
      </c>
      <c r="MG99">
        <v>0</v>
      </c>
      <c r="MH99" t="s">
        <v>264</v>
      </c>
      <c r="MK99" t="s">
        <v>578</v>
      </c>
      <c r="ML99" t="s">
        <v>555</v>
      </c>
      <c r="MM99">
        <v>0</v>
      </c>
      <c r="MN99">
        <v>0</v>
      </c>
      <c r="MO99">
        <v>0</v>
      </c>
      <c r="MP99" t="s">
        <v>264</v>
      </c>
      <c r="MS99" t="s">
        <v>579</v>
      </c>
      <c r="MT99" t="s">
        <v>555</v>
      </c>
      <c r="MU99">
        <v>0</v>
      </c>
      <c r="MV99">
        <v>0</v>
      </c>
      <c r="MW99">
        <v>0</v>
      </c>
      <c r="MX99" t="s">
        <v>264</v>
      </c>
      <c r="NA99" t="s">
        <v>580</v>
      </c>
      <c r="NB99" t="s">
        <v>555</v>
      </c>
      <c r="NC99">
        <v>0</v>
      </c>
      <c r="ND99">
        <v>0</v>
      </c>
      <c r="NE99">
        <v>0</v>
      </c>
      <c r="NF99" t="s">
        <v>264</v>
      </c>
      <c r="NI99">
        <v>40.200000000000003</v>
      </c>
      <c r="NJ99">
        <v>-10.6</v>
      </c>
      <c r="NP99" t="s">
        <v>581</v>
      </c>
    </row>
    <row r="100" spans="1:380" customFormat="1" x14ac:dyDescent="0.2">
      <c r="A100" t="s">
        <v>517</v>
      </c>
      <c r="B100">
        <v>1</v>
      </c>
      <c r="C100" t="s">
        <v>800</v>
      </c>
      <c r="D100">
        <v>647065729</v>
      </c>
      <c r="E100">
        <v>12602</v>
      </c>
      <c r="F100" t="s">
        <v>542</v>
      </c>
      <c r="G100">
        <v>750213</v>
      </c>
      <c r="H100">
        <v>650465</v>
      </c>
      <c r="I100" t="s">
        <v>543</v>
      </c>
      <c r="J100" t="s">
        <v>801</v>
      </c>
      <c r="K100" t="s">
        <v>545</v>
      </c>
      <c r="L100" t="s">
        <v>294</v>
      </c>
      <c r="M100" t="s">
        <v>546</v>
      </c>
      <c r="N100" t="s">
        <v>468</v>
      </c>
      <c r="O100" t="s">
        <v>547</v>
      </c>
      <c r="P100" t="s">
        <v>264</v>
      </c>
      <c r="Q100">
        <v>28</v>
      </c>
      <c r="R100">
        <v>224</v>
      </c>
      <c r="S100" t="s">
        <v>264</v>
      </c>
      <c r="T100">
        <v>-9999</v>
      </c>
      <c r="U100">
        <v>536</v>
      </c>
      <c r="V100">
        <v>554</v>
      </c>
      <c r="W100">
        <v>526</v>
      </c>
      <c r="X100" t="s">
        <v>270</v>
      </c>
      <c r="Y100">
        <v>0</v>
      </c>
      <c r="Z100">
        <v>55</v>
      </c>
      <c r="AA100" t="s">
        <v>469</v>
      </c>
      <c r="AB100" t="s">
        <v>548</v>
      </c>
      <c r="AC100">
        <v>1</v>
      </c>
      <c r="AD100" t="s">
        <v>549</v>
      </c>
      <c r="AE100">
        <v>0</v>
      </c>
      <c r="AF100">
        <v>6</v>
      </c>
      <c r="AG100" t="s">
        <v>264</v>
      </c>
      <c r="AH100">
        <v>-9999</v>
      </c>
      <c r="AI100">
        <v>470</v>
      </c>
      <c r="AJ100">
        <v>576</v>
      </c>
      <c r="AK100">
        <v>467</v>
      </c>
      <c r="AL100" t="s">
        <v>270</v>
      </c>
      <c r="AM100">
        <v>0</v>
      </c>
      <c r="AN100">
        <v>55</v>
      </c>
      <c r="AO100" t="s">
        <v>470</v>
      </c>
      <c r="AP100" t="s">
        <v>548</v>
      </c>
      <c r="AQ100">
        <v>2</v>
      </c>
      <c r="AR100" t="s">
        <v>549</v>
      </c>
      <c r="AS100">
        <v>54.1</v>
      </c>
      <c r="AT100">
        <v>56</v>
      </c>
      <c r="AU100" t="s">
        <v>264</v>
      </c>
      <c r="AV100">
        <v>-9999</v>
      </c>
      <c r="AW100">
        <v>438</v>
      </c>
      <c r="AX100">
        <v>463</v>
      </c>
      <c r="AY100">
        <v>437</v>
      </c>
      <c r="AZ100" t="s">
        <v>270</v>
      </c>
      <c r="BA100">
        <v>0</v>
      </c>
      <c r="BB100">
        <v>55</v>
      </c>
      <c r="BC100" t="s">
        <v>550</v>
      </c>
      <c r="BD100" t="s">
        <v>548</v>
      </c>
      <c r="BE100">
        <v>3</v>
      </c>
      <c r="BF100" t="s">
        <v>584</v>
      </c>
      <c r="BG100">
        <v>35.5</v>
      </c>
      <c r="BH100">
        <v>21</v>
      </c>
      <c r="BI100" t="s">
        <v>264</v>
      </c>
      <c r="BJ100">
        <v>-9999</v>
      </c>
      <c r="BK100">
        <v>124</v>
      </c>
      <c r="BL100">
        <v>161</v>
      </c>
      <c r="BM100">
        <v>124</v>
      </c>
      <c r="BN100" t="s">
        <v>270</v>
      </c>
      <c r="BO100">
        <v>0</v>
      </c>
      <c r="BP100">
        <v>55</v>
      </c>
      <c r="BQ100" t="s">
        <v>504</v>
      </c>
      <c r="BR100" t="s">
        <v>548</v>
      </c>
      <c r="BS100">
        <v>4</v>
      </c>
      <c r="BT100" t="s">
        <v>549</v>
      </c>
      <c r="BU100">
        <v>52.1</v>
      </c>
      <c r="BV100">
        <v>98</v>
      </c>
      <c r="BW100" t="s">
        <v>264</v>
      </c>
      <c r="BX100">
        <v>-9999</v>
      </c>
      <c r="BY100">
        <v>227</v>
      </c>
      <c r="BZ100">
        <v>264</v>
      </c>
      <c r="CA100">
        <v>226</v>
      </c>
      <c r="CB100" t="s">
        <v>270</v>
      </c>
      <c r="CC100">
        <v>0</v>
      </c>
      <c r="CD100">
        <v>55</v>
      </c>
      <c r="CE100" t="s">
        <v>471</v>
      </c>
      <c r="CF100" t="s">
        <v>548</v>
      </c>
      <c r="CG100">
        <v>5</v>
      </c>
      <c r="CH100" t="s">
        <v>549</v>
      </c>
      <c r="CI100">
        <v>51.4</v>
      </c>
      <c r="CJ100">
        <v>229</v>
      </c>
      <c r="CK100" t="s">
        <v>264</v>
      </c>
      <c r="CL100">
        <v>-9999</v>
      </c>
      <c r="CM100">
        <v>527</v>
      </c>
      <c r="CN100">
        <v>614</v>
      </c>
      <c r="CO100">
        <v>524</v>
      </c>
      <c r="CP100" t="s">
        <v>270</v>
      </c>
      <c r="CQ100">
        <v>0</v>
      </c>
      <c r="CR100">
        <v>55</v>
      </c>
      <c r="CS100" t="s">
        <v>472</v>
      </c>
      <c r="CT100" t="s">
        <v>548</v>
      </c>
      <c r="CU100">
        <v>6</v>
      </c>
      <c r="CV100" t="s">
        <v>549</v>
      </c>
      <c r="CW100">
        <v>54</v>
      </c>
      <c r="CX100">
        <v>78</v>
      </c>
      <c r="CY100" t="s">
        <v>264</v>
      </c>
      <c r="CZ100">
        <v>-9999</v>
      </c>
      <c r="DA100">
        <v>627</v>
      </c>
      <c r="DB100">
        <v>712</v>
      </c>
      <c r="DC100">
        <v>618</v>
      </c>
      <c r="DD100" t="s">
        <v>270</v>
      </c>
      <c r="DE100">
        <v>0</v>
      </c>
      <c r="DF100">
        <v>55</v>
      </c>
      <c r="DG100" t="s">
        <v>473</v>
      </c>
      <c r="DH100" t="s">
        <v>548</v>
      </c>
      <c r="DI100">
        <v>7</v>
      </c>
      <c r="DJ100" t="s">
        <v>549</v>
      </c>
      <c r="DK100">
        <v>0</v>
      </c>
      <c r="DL100">
        <v>16</v>
      </c>
      <c r="DM100" t="s">
        <v>264</v>
      </c>
      <c r="DN100">
        <v>-9999</v>
      </c>
      <c r="DO100">
        <v>610</v>
      </c>
      <c r="DP100">
        <v>701</v>
      </c>
      <c r="DQ100">
        <v>605</v>
      </c>
      <c r="DR100" t="s">
        <v>270</v>
      </c>
      <c r="DS100">
        <v>0</v>
      </c>
      <c r="DT100">
        <v>55</v>
      </c>
      <c r="DU100" t="s">
        <v>474</v>
      </c>
      <c r="DV100" t="s">
        <v>548</v>
      </c>
      <c r="DW100">
        <v>8</v>
      </c>
      <c r="DX100" t="s">
        <v>549</v>
      </c>
      <c r="DY100">
        <v>0</v>
      </c>
      <c r="DZ100">
        <v>13</v>
      </c>
      <c r="EA100" t="s">
        <v>264</v>
      </c>
      <c r="EB100">
        <v>-9999</v>
      </c>
      <c r="EC100">
        <v>133</v>
      </c>
      <c r="ED100">
        <v>160</v>
      </c>
      <c r="EE100">
        <v>131</v>
      </c>
      <c r="EF100" t="s">
        <v>270</v>
      </c>
      <c r="EG100">
        <v>0</v>
      </c>
      <c r="EH100">
        <v>55</v>
      </c>
      <c r="EI100" t="s">
        <v>475</v>
      </c>
      <c r="EJ100" t="s">
        <v>548</v>
      </c>
      <c r="EK100">
        <v>9</v>
      </c>
      <c r="EL100" t="s">
        <v>549</v>
      </c>
      <c r="EM100">
        <v>0</v>
      </c>
      <c r="EN100">
        <v>-5</v>
      </c>
      <c r="EO100" t="s">
        <v>264</v>
      </c>
      <c r="EP100">
        <v>-9999</v>
      </c>
      <c r="EQ100">
        <v>337</v>
      </c>
      <c r="ER100">
        <v>324</v>
      </c>
      <c r="ES100">
        <v>303</v>
      </c>
      <c r="ET100" t="s">
        <v>270</v>
      </c>
      <c r="EU100">
        <v>0</v>
      </c>
      <c r="EV100">
        <v>55</v>
      </c>
      <c r="EW100" t="s">
        <v>551</v>
      </c>
      <c r="EX100" t="s">
        <v>552</v>
      </c>
      <c r="EY100">
        <v>103</v>
      </c>
      <c r="EZ100">
        <v>104</v>
      </c>
      <c r="FA100">
        <v>104</v>
      </c>
      <c r="FB100" t="s">
        <v>270</v>
      </c>
      <c r="FC100" t="s">
        <v>553</v>
      </c>
      <c r="FD100" t="s">
        <v>552</v>
      </c>
      <c r="FE100">
        <v>346</v>
      </c>
      <c r="FF100">
        <v>344</v>
      </c>
      <c r="FG100">
        <v>343</v>
      </c>
      <c r="FH100" t="s">
        <v>270</v>
      </c>
      <c r="FI100" t="s">
        <v>554</v>
      </c>
      <c r="FJ100" t="s">
        <v>555</v>
      </c>
      <c r="FK100">
        <v>0</v>
      </c>
      <c r="FL100">
        <v>0</v>
      </c>
      <c r="FM100">
        <v>0</v>
      </c>
      <c r="FN100" t="s">
        <v>264</v>
      </c>
      <c r="FQ100" t="s">
        <v>556</v>
      </c>
      <c r="FR100" t="s">
        <v>555</v>
      </c>
      <c r="FS100">
        <v>0</v>
      </c>
      <c r="FT100">
        <v>0</v>
      </c>
      <c r="FU100">
        <v>0</v>
      </c>
      <c r="FV100" t="s">
        <v>264</v>
      </c>
      <c r="FY100" t="s">
        <v>557</v>
      </c>
      <c r="FZ100" t="s">
        <v>555</v>
      </c>
      <c r="GA100">
        <v>0</v>
      </c>
      <c r="GB100">
        <v>0</v>
      </c>
      <c r="GC100">
        <v>0</v>
      </c>
      <c r="GD100" t="s">
        <v>264</v>
      </c>
      <c r="GG100" t="s">
        <v>558</v>
      </c>
      <c r="GH100" t="s">
        <v>555</v>
      </c>
      <c r="GI100">
        <v>0</v>
      </c>
      <c r="GJ100">
        <v>0</v>
      </c>
      <c r="GK100">
        <v>0</v>
      </c>
      <c r="GL100" t="s">
        <v>264</v>
      </c>
      <c r="GO100" t="s">
        <v>559</v>
      </c>
      <c r="GP100" t="s">
        <v>555</v>
      </c>
      <c r="GQ100">
        <v>0</v>
      </c>
      <c r="GR100">
        <v>0</v>
      </c>
      <c r="GS100">
        <v>0</v>
      </c>
      <c r="GT100" t="s">
        <v>264</v>
      </c>
      <c r="GW100" t="s">
        <v>560</v>
      </c>
      <c r="GX100" t="s">
        <v>555</v>
      </c>
      <c r="GY100">
        <v>0</v>
      </c>
      <c r="GZ100">
        <v>0</v>
      </c>
      <c r="HA100">
        <v>0</v>
      </c>
      <c r="HB100" t="s">
        <v>264</v>
      </c>
      <c r="HE100" t="s">
        <v>561</v>
      </c>
      <c r="HF100" t="s">
        <v>555</v>
      </c>
      <c r="HG100">
        <v>0</v>
      </c>
      <c r="HH100">
        <v>0</v>
      </c>
      <c r="HI100">
        <v>0</v>
      </c>
      <c r="HJ100" t="s">
        <v>264</v>
      </c>
      <c r="HM100" t="s">
        <v>562</v>
      </c>
      <c r="HN100" t="s">
        <v>555</v>
      </c>
      <c r="HO100">
        <v>0</v>
      </c>
      <c r="HP100">
        <v>0</v>
      </c>
      <c r="HQ100">
        <v>0</v>
      </c>
      <c r="HR100" t="s">
        <v>264</v>
      </c>
      <c r="HU100" t="s">
        <v>563</v>
      </c>
      <c r="HV100" t="s">
        <v>555</v>
      </c>
      <c r="HW100">
        <v>0</v>
      </c>
      <c r="HX100">
        <v>0</v>
      </c>
      <c r="HY100">
        <v>0</v>
      </c>
      <c r="HZ100" t="s">
        <v>264</v>
      </c>
      <c r="IC100" t="s">
        <v>564</v>
      </c>
      <c r="ID100" t="s">
        <v>555</v>
      </c>
      <c r="IE100">
        <v>0</v>
      </c>
      <c r="IF100">
        <v>0</v>
      </c>
      <c r="IG100">
        <v>0</v>
      </c>
      <c r="IH100" t="s">
        <v>264</v>
      </c>
      <c r="IK100" t="s">
        <v>565</v>
      </c>
      <c r="IL100" t="s">
        <v>555</v>
      </c>
      <c r="IM100">
        <v>0</v>
      </c>
      <c r="IN100">
        <v>0</v>
      </c>
      <c r="IO100">
        <v>0</v>
      </c>
      <c r="IP100" t="s">
        <v>264</v>
      </c>
      <c r="IS100" t="s">
        <v>566</v>
      </c>
      <c r="IT100" t="s">
        <v>555</v>
      </c>
      <c r="IU100">
        <v>0</v>
      </c>
      <c r="IV100">
        <v>0</v>
      </c>
      <c r="IW100">
        <v>0</v>
      </c>
      <c r="IX100" t="s">
        <v>264</v>
      </c>
      <c r="JA100" t="s">
        <v>567</v>
      </c>
      <c r="JB100" t="s">
        <v>555</v>
      </c>
      <c r="JC100">
        <v>0</v>
      </c>
      <c r="JD100">
        <v>0</v>
      </c>
      <c r="JE100">
        <v>0</v>
      </c>
      <c r="JF100" t="s">
        <v>264</v>
      </c>
      <c r="JI100" t="s">
        <v>568</v>
      </c>
      <c r="JJ100" t="s">
        <v>555</v>
      </c>
      <c r="JK100">
        <v>0</v>
      </c>
      <c r="JL100">
        <v>0</v>
      </c>
      <c r="JM100">
        <v>0</v>
      </c>
      <c r="JN100" t="s">
        <v>264</v>
      </c>
      <c r="JQ100" t="s">
        <v>569</v>
      </c>
      <c r="JR100" t="s">
        <v>555</v>
      </c>
      <c r="JS100">
        <v>0</v>
      </c>
      <c r="JT100">
        <v>0</v>
      </c>
      <c r="JU100">
        <v>0</v>
      </c>
      <c r="JV100" t="s">
        <v>264</v>
      </c>
      <c r="JY100" t="s">
        <v>570</v>
      </c>
      <c r="JZ100" t="s">
        <v>555</v>
      </c>
      <c r="KA100">
        <v>0</v>
      </c>
      <c r="KB100">
        <v>0</v>
      </c>
      <c r="KC100">
        <v>0</v>
      </c>
      <c r="KD100" t="s">
        <v>264</v>
      </c>
      <c r="KG100" t="s">
        <v>571</v>
      </c>
      <c r="KH100" t="s">
        <v>555</v>
      </c>
      <c r="KI100">
        <v>0</v>
      </c>
      <c r="KJ100">
        <v>0</v>
      </c>
      <c r="KK100">
        <v>0</v>
      </c>
      <c r="KL100" t="s">
        <v>264</v>
      </c>
      <c r="KO100" t="s">
        <v>572</v>
      </c>
      <c r="KP100" t="s">
        <v>555</v>
      </c>
      <c r="KQ100">
        <v>0</v>
      </c>
      <c r="KR100">
        <v>0</v>
      </c>
      <c r="KS100">
        <v>0</v>
      </c>
      <c r="KT100" t="s">
        <v>264</v>
      </c>
      <c r="KW100" t="s">
        <v>573</v>
      </c>
      <c r="KX100" t="s">
        <v>555</v>
      </c>
      <c r="KY100">
        <v>0</v>
      </c>
      <c r="KZ100">
        <v>0</v>
      </c>
      <c r="LA100">
        <v>0</v>
      </c>
      <c r="LB100" t="s">
        <v>264</v>
      </c>
      <c r="LE100" t="s">
        <v>574</v>
      </c>
      <c r="LF100" t="s">
        <v>555</v>
      </c>
      <c r="LG100">
        <v>0</v>
      </c>
      <c r="LH100">
        <v>0</v>
      </c>
      <c r="LI100">
        <v>0</v>
      </c>
      <c r="LJ100" t="s">
        <v>264</v>
      </c>
      <c r="LM100" t="s">
        <v>575</v>
      </c>
      <c r="LN100" t="s">
        <v>555</v>
      </c>
      <c r="LO100">
        <v>0</v>
      </c>
      <c r="LP100">
        <v>0</v>
      </c>
      <c r="LQ100">
        <v>0</v>
      </c>
      <c r="LR100" t="s">
        <v>264</v>
      </c>
      <c r="LU100" t="s">
        <v>576</v>
      </c>
      <c r="LV100" t="s">
        <v>555</v>
      </c>
      <c r="LW100">
        <v>0</v>
      </c>
      <c r="LX100">
        <v>0</v>
      </c>
      <c r="LY100">
        <v>0</v>
      </c>
      <c r="LZ100" t="s">
        <v>264</v>
      </c>
      <c r="MC100" t="s">
        <v>577</v>
      </c>
      <c r="MD100" t="s">
        <v>555</v>
      </c>
      <c r="ME100">
        <v>0</v>
      </c>
      <c r="MF100">
        <v>0</v>
      </c>
      <c r="MG100">
        <v>0</v>
      </c>
      <c r="MH100" t="s">
        <v>264</v>
      </c>
      <c r="MK100" t="s">
        <v>578</v>
      </c>
      <c r="ML100" t="s">
        <v>555</v>
      </c>
      <c r="MM100">
        <v>0</v>
      </c>
      <c r="MN100">
        <v>0</v>
      </c>
      <c r="MO100">
        <v>0</v>
      </c>
      <c r="MP100" t="s">
        <v>264</v>
      </c>
      <c r="MS100" t="s">
        <v>579</v>
      </c>
      <c r="MT100" t="s">
        <v>555</v>
      </c>
      <c r="MU100">
        <v>0</v>
      </c>
      <c r="MV100">
        <v>0</v>
      </c>
      <c r="MW100">
        <v>0</v>
      </c>
      <c r="MX100" t="s">
        <v>264</v>
      </c>
      <c r="NA100" t="s">
        <v>580</v>
      </c>
      <c r="NB100" t="s">
        <v>555</v>
      </c>
      <c r="NC100">
        <v>0</v>
      </c>
      <c r="ND100">
        <v>0</v>
      </c>
      <c r="NE100">
        <v>0</v>
      </c>
      <c r="NF100" t="s">
        <v>264</v>
      </c>
      <c r="NI100">
        <v>40.1</v>
      </c>
      <c r="NJ100">
        <v>-6.7</v>
      </c>
      <c r="NP100" t="s">
        <v>581</v>
      </c>
    </row>
    <row r="101" spans="1:380" customFormat="1" x14ac:dyDescent="0.2">
      <c r="A101" t="s">
        <v>517</v>
      </c>
      <c r="B101">
        <v>1</v>
      </c>
      <c r="C101" t="s">
        <v>802</v>
      </c>
      <c r="D101">
        <v>647065431</v>
      </c>
      <c r="E101">
        <v>12602</v>
      </c>
      <c r="F101" t="s">
        <v>542</v>
      </c>
      <c r="G101">
        <v>750213</v>
      </c>
      <c r="H101">
        <v>914168</v>
      </c>
      <c r="I101" t="s">
        <v>543</v>
      </c>
      <c r="J101" t="s">
        <v>803</v>
      </c>
      <c r="K101" t="s">
        <v>545</v>
      </c>
      <c r="L101" t="s">
        <v>294</v>
      </c>
      <c r="M101" t="s">
        <v>546</v>
      </c>
      <c r="N101" t="s">
        <v>468</v>
      </c>
      <c r="O101" t="s">
        <v>547</v>
      </c>
      <c r="P101" t="s">
        <v>270</v>
      </c>
      <c r="Q101">
        <v>25.6</v>
      </c>
      <c r="R101">
        <v>249</v>
      </c>
      <c r="S101" t="s">
        <v>270</v>
      </c>
      <c r="T101">
        <v>-9999</v>
      </c>
      <c r="U101">
        <v>446</v>
      </c>
      <c r="V101">
        <v>458</v>
      </c>
      <c r="W101">
        <v>436</v>
      </c>
      <c r="X101" t="s">
        <v>270</v>
      </c>
      <c r="Y101">
        <v>0</v>
      </c>
      <c r="Z101">
        <v>55</v>
      </c>
      <c r="AA101" t="s">
        <v>469</v>
      </c>
      <c r="AB101" t="s">
        <v>548</v>
      </c>
      <c r="AC101">
        <v>1</v>
      </c>
      <c r="AD101" t="s">
        <v>549</v>
      </c>
      <c r="AE101">
        <v>0</v>
      </c>
      <c r="AF101">
        <v>57</v>
      </c>
      <c r="AG101" t="s">
        <v>264</v>
      </c>
      <c r="AH101">
        <v>-9999</v>
      </c>
      <c r="AI101">
        <v>428</v>
      </c>
      <c r="AJ101">
        <v>539</v>
      </c>
      <c r="AK101">
        <v>426</v>
      </c>
      <c r="AL101" t="s">
        <v>270</v>
      </c>
      <c r="AM101">
        <v>0</v>
      </c>
      <c r="AN101">
        <v>55</v>
      </c>
      <c r="AO101" t="s">
        <v>470</v>
      </c>
      <c r="AP101" t="s">
        <v>548</v>
      </c>
      <c r="AQ101">
        <v>2</v>
      </c>
      <c r="AR101" t="s">
        <v>549</v>
      </c>
      <c r="AS101">
        <v>0</v>
      </c>
      <c r="AT101">
        <v>3</v>
      </c>
      <c r="AU101" t="s">
        <v>264</v>
      </c>
      <c r="AV101">
        <v>-9999</v>
      </c>
      <c r="AW101">
        <v>277</v>
      </c>
      <c r="AX101">
        <v>288</v>
      </c>
      <c r="AY101">
        <v>275</v>
      </c>
      <c r="AZ101" t="s">
        <v>270</v>
      </c>
      <c r="BA101">
        <v>0</v>
      </c>
      <c r="BB101">
        <v>55</v>
      </c>
      <c r="BC101" t="s">
        <v>550</v>
      </c>
      <c r="BD101" t="s">
        <v>548</v>
      </c>
      <c r="BE101">
        <v>3</v>
      </c>
      <c r="BF101" t="s">
        <v>549</v>
      </c>
      <c r="BG101">
        <v>0</v>
      </c>
      <c r="BH101">
        <v>-7</v>
      </c>
      <c r="BI101" t="s">
        <v>264</v>
      </c>
      <c r="BJ101">
        <v>-9999</v>
      </c>
      <c r="BK101">
        <v>170</v>
      </c>
      <c r="BL101">
        <v>202</v>
      </c>
      <c r="BM101">
        <v>167</v>
      </c>
      <c r="BN101" t="s">
        <v>270</v>
      </c>
      <c r="BO101">
        <v>0</v>
      </c>
      <c r="BP101">
        <v>55</v>
      </c>
      <c r="BQ101" t="s">
        <v>504</v>
      </c>
      <c r="BR101" t="s">
        <v>548</v>
      </c>
      <c r="BS101">
        <v>4</v>
      </c>
      <c r="BT101" t="s">
        <v>549</v>
      </c>
      <c r="BU101">
        <v>53.1</v>
      </c>
      <c r="BV101">
        <v>59</v>
      </c>
      <c r="BW101" t="s">
        <v>264</v>
      </c>
      <c r="BX101">
        <v>-9999</v>
      </c>
      <c r="BY101">
        <v>162</v>
      </c>
      <c r="BZ101">
        <v>188</v>
      </c>
      <c r="CA101">
        <v>161</v>
      </c>
      <c r="CB101" t="s">
        <v>270</v>
      </c>
      <c r="CC101">
        <v>0</v>
      </c>
      <c r="CD101">
        <v>55</v>
      </c>
      <c r="CE101" t="s">
        <v>471</v>
      </c>
      <c r="CF101" t="s">
        <v>548</v>
      </c>
      <c r="CG101">
        <v>5</v>
      </c>
      <c r="CH101" t="s">
        <v>549</v>
      </c>
      <c r="CI101">
        <v>48.9</v>
      </c>
      <c r="CJ101">
        <v>220</v>
      </c>
      <c r="CK101" t="s">
        <v>264</v>
      </c>
      <c r="CL101">
        <v>-9999</v>
      </c>
      <c r="CM101">
        <v>393</v>
      </c>
      <c r="CN101">
        <v>455</v>
      </c>
      <c r="CO101">
        <v>391</v>
      </c>
      <c r="CP101" t="s">
        <v>270</v>
      </c>
      <c r="CQ101">
        <v>0</v>
      </c>
      <c r="CR101">
        <v>55</v>
      </c>
      <c r="CS101" t="s">
        <v>472</v>
      </c>
      <c r="CT101" t="s">
        <v>548</v>
      </c>
      <c r="CU101">
        <v>6</v>
      </c>
      <c r="CV101" t="s">
        <v>549</v>
      </c>
      <c r="CW101">
        <v>52.4</v>
      </c>
      <c r="CX101">
        <v>102</v>
      </c>
      <c r="CY101" t="s">
        <v>264</v>
      </c>
      <c r="CZ101">
        <v>-9999</v>
      </c>
      <c r="DA101">
        <v>525</v>
      </c>
      <c r="DB101">
        <v>594</v>
      </c>
      <c r="DC101">
        <v>514</v>
      </c>
      <c r="DD101" t="s">
        <v>270</v>
      </c>
      <c r="DE101">
        <v>0</v>
      </c>
      <c r="DF101">
        <v>55</v>
      </c>
      <c r="DG101" t="s">
        <v>473</v>
      </c>
      <c r="DH101" t="s">
        <v>548</v>
      </c>
      <c r="DI101">
        <v>7</v>
      </c>
      <c r="DJ101" t="s">
        <v>549</v>
      </c>
      <c r="DK101">
        <v>54.9</v>
      </c>
      <c r="DL101">
        <v>50</v>
      </c>
      <c r="DM101" t="s">
        <v>264</v>
      </c>
      <c r="DN101">
        <v>-9999</v>
      </c>
      <c r="DO101">
        <v>442</v>
      </c>
      <c r="DP101">
        <v>505</v>
      </c>
      <c r="DQ101">
        <v>437</v>
      </c>
      <c r="DR101" t="s">
        <v>270</v>
      </c>
      <c r="DS101">
        <v>0</v>
      </c>
      <c r="DT101">
        <v>55</v>
      </c>
      <c r="DU101" t="s">
        <v>474</v>
      </c>
      <c r="DV101" t="s">
        <v>548</v>
      </c>
      <c r="DW101">
        <v>8</v>
      </c>
      <c r="DX101" t="s">
        <v>549</v>
      </c>
      <c r="DY101">
        <v>54.6</v>
      </c>
      <c r="DZ101">
        <v>21</v>
      </c>
      <c r="EA101" t="s">
        <v>264</v>
      </c>
      <c r="EB101">
        <v>-9999</v>
      </c>
      <c r="EC101">
        <v>70</v>
      </c>
      <c r="ED101">
        <v>87</v>
      </c>
      <c r="EE101">
        <v>68</v>
      </c>
      <c r="EF101" t="s">
        <v>270</v>
      </c>
      <c r="EG101">
        <v>0</v>
      </c>
      <c r="EH101">
        <v>55</v>
      </c>
      <c r="EI101" t="s">
        <v>475</v>
      </c>
      <c r="EJ101" t="s">
        <v>548</v>
      </c>
      <c r="EK101">
        <v>9</v>
      </c>
      <c r="EL101" t="s">
        <v>549</v>
      </c>
      <c r="EM101">
        <v>50.6</v>
      </c>
      <c r="EN101">
        <v>20</v>
      </c>
      <c r="EO101" t="s">
        <v>264</v>
      </c>
      <c r="EP101">
        <v>-9999</v>
      </c>
      <c r="EQ101">
        <v>210</v>
      </c>
      <c r="ER101">
        <v>180</v>
      </c>
      <c r="ES101">
        <v>168</v>
      </c>
      <c r="ET101" t="s">
        <v>270</v>
      </c>
      <c r="EU101">
        <v>0</v>
      </c>
      <c r="EV101">
        <v>55</v>
      </c>
      <c r="EW101" t="s">
        <v>551</v>
      </c>
      <c r="EX101" t="s">
        <v>552</v>
      </c>
      <c r="EY101">
        <v>131</v>
      </c>
      <c r="EZ101">
        <v>131</v>
      </c>
      <c r="FA101">
        <v>132</v>
      </c>
      <c r="FB101" t="s">
        <v>270</v>
      </c>
      <c r="FC101" t="s">
        <v>553</v>
      </c>
      <c r="FD101" t="s">
        <v>552</v>
      </c>
      <c r="FE101">
        <v>245</v>
      </c>
      <c r="FF101">
        <v>245</v>
      </c>
      <c r="FG101">
        <v>243</v>
      </c>
      <c r="FH101" t="s">
        <v>270</v>
      </c>
      <c r="FI101" t="s">
        <v>554</v>
      </c>
      <c r="FJ101" t="s">
        <v>555</v>
      </c>
      <c r="FK101">
        <v>0</v>
      </c>
      <c r="FL101">
        <v>0</v>
      </c>
      <c r="FM101">
        <v>0</v>
      </c>
      <c r="FN101" t="s">
        <v>264</v>
      </c>
      <c r="FQ101" t="s">
        <v>556</v>
      </c>
      <c r="FR101" t="s">
        <v>555</v>
      </c>
      <c r="FS101">
        <v>0</v>
      </c>
      <c r="FT101">
        <v>0</v>
      </c>
      <c r="FU101">
        <v>0</v>
      </c>
      <c r="FV101" t="s">
        <v>264</v>
      </c>
      <c r="FY101" t="s">
        <v>557</v>
      </c>
      <c r="FZ101" t="s">
        <v>555</v>
      </c>
      <c r="GA101">
        <v>0</v>
      </c>
      <c r="GB101">
        <v>0</v>
      </c>
      <c r="GC101">
        <v>0</v>
      </c>
      <c r="GD101" t="s">
        <v>264</v>
      </c>
      <c r="GG101" t="s">
        <v>558</v>
      </c>
      <c r="GH101" t="s">
        <v>555</v>
      </c>
      <c r="GI101">
        <v>0</v>
      </c>
      <c r="GJ101">
        <v>0</v>
      </c>
      <c r="GK101">
        <v>0</v>
      </c>
      <c r="GL101" t="s">
        <v>264</v>
      </c>
      <c r="GO101" t="s">
        <v>559</v>
      </c>
      <c r="GP101" t="s">
        <v>555</v>
      </c>
      <c r="GQ101">
        <v>0</v>
      </c>
      <c r="GR101">
        <v>0</v>
      </c>
      <c r="GS101">
        <v>0</v>
      </c>
      <c r="GT101" t="s">
        <v>264</v>
      </c>
      <c r="GW101" t="s">
        <v>560</v>
      </c>
      <c r="GX101" t="s">
        <v>555</v>
      </c>
      <c r="GY101">
        <v>0</v>
      </c>
      <c r="GZ101">
        <v>0</v>
      </c>
      <c r="HA101">
        <v>0</v>
      </c>
      <c r="HB101" t="s">
        <v>264</v>
      </c>
      <c r="HE101" t="s">
        <v>561</v>
      </c>
      <c r="HF101" t="s">
        <v>555</v>
      </c>
      <c r="HG101">
        <v>0</v>
      </c>
      <c r="HH101">
        <v>0</v>
      </c>
      <c r="HI101">
        <v>0</v>
      </c>
      <c r="HJ101" t="s">
        <v>264</v>
      </c>
      <c r="HM101" t="s">
        <v>562</v>
      </c>
      <c r="HN101" t="s">
        <v>555</v>
      </c>
      <c r="HO101">
        <v>0</v>
      </c>
      <c r="HP101">
        <v>0</v>
      </c>
      <c r="HQ101">
        <v>0</v>
      </c>
      <c r="HR101" t="s">
        <v>264</v>
      </c>
      <c r="HU101" t="s">
        <v>563</v>
      </c>
      <c r="HV101" t="s">
        <v>555</v>
      </c>
      <c r="HW101">
        <v>0</v>
      </c>
      <c r="HX101">
        <v>0</v>
      </c>
      <c r="HY101">
        <v>0</v>
      </c>
      <c r="HZ101" t="s">
        <v>264</v>
      </c>
      <c r="IC101" t="s">
        <v>564</v>
      </c>
      <c r="ID101" t="s">
        <v>555</v>
      </c>
      <c r="IE101">
        <v>0</v>
      </c>
      <c r="IF101">
        <v>0</v>
      </c>
      <c r="IG101">
        <v>0</v>
      </c>
      <c r="IH101" t="s">
        <v>264</v>
      </c>
      <c r="IK101" t="s">
        <v>565</v>
      </c>
      <c r="IL101" t="s">
        <v>555</v>
      </c>
      <c r="IM101">
        <v>0</v>
      </c>
      <c r="IN101">
        <v>0</v>
      </c>
      <c r="IO101">
        <v>0</v>
      </c>
      <c r="IP101" t="s">
        <v>264</v>
      </c>
      <c r="IS101" t="s">
        <v>566</v>
      </c>
      <c r="IT101" t="s">
        <v>555</v>
      </c>
      <c r="IU101">
        <v>0</v>
      </c>
      <c r="IV101">
        <v>0</v>
      </c>
      <c r="IW101">
        <v>0</v>
      </c>
      <c r="IX101" t="s">
        <v>264</v>
      </c>
      <c r="JA101" t="s">
        <v>567</v>
      </c>
      <c r="JB101" t="s">
        <v>555</v>
      </c>
      <c r="JC101">
        <v>0</v>
      </c>
      <c r="JD101">
        <v>0</v>
      </c>
      <c r="JE101">
        <v>0</v>
      </c>
      <c r="JF101" t="s">
        <v>264</v>
      </c>
      <c r="JI101" t="s">
        <v>568</v>
      </c>
      <c r="JJ101" t="s">
        <v>555</v>
      </c>
      <c r="JK101">
        <v>0</v>
      </c>
      <c r="JL101">
        <v>0</v>
      </c>
      <c r="JM101">
        <v>0</v>
      </c>
      <c r="JN101" t="s">
        <v>264</v>
      </c>
      <c r="JQ101" t="s">
        <v>569</v>
      </c>
      <c r="JR101" t="s">
        <v>555</v>
      </c>
      <c r="JS101">
        <v>0</v>
      </c>
      <c r="JT101">
        <v>0</v>
      </c>
      <c r="JU101">
        <v>0</v>
      </c>
      <c r="JV101" t="s">
        <v>264</v>
      </c>
      <c r="JY101" t="s">
        <v>570</v>
      </c>
      <c r="JZ101" t="s">
        <v>555</v>
      </c>
      <c r="KA101">
        <v>0</v>
      </c>
      <c r="KB101">
        <v>0</v>
      </c>
      <c r="KC101">
        <v>0</v>
      </c>
      <c r="KD101" t="s">
        <v>264</v>
      </c>
      <c r="KG101" t="s">
        <v>571</v>
      </c>
      <c r="KH101" t="s">
        <v>555</v>
      </c>
      <c r="KI101">
        <v>0</v>
      </c>
      <c r="KJ101">
        <v>0</v>
      </c>
      <c r="KK101">
        <v>0</v>
      </c>
      <c r="KL101" t="s">
        <v>264</v>
      </c>
      <c r="KO101" t="s">
        <v>572</v>
      </c>
      <c r="KP101" t="s">
        <v>555</v>
      </c>
      <c r="KQ101">
        <v>0</v>
      </c>
      <c r="KR101">
        <v>0</v>
      </c>
      <c r="KS101">
        <v>0</v>
      </c>
      <c r="KT101" t="s">
        <v>264</v>
      </c>
      <c r="KW101" t="s">
        <v>573</v>
      </c>
      <c r="KX101" t="s">
        <v>555</v>
      </c>
      <c r="KY101">
        <v>0</v>
      </c>
      <c r="KZ101">
        <v>0</v>
      </c>
      <c r="LA101">
        <v>0</v>
      </c>
      <c r="LB101" t="s">
        <v>264</v>
      </c>
      <c r="LE101" t="s">
        <v>574</v>
      </c>
      <c r="LF101" t="s">
        <v>555</v>
      </c>
      <c r="LG101">
        <v>0</v>
      </c>
      <c r="LH101">
        <v>0</v>
      </c>
      <c r="LI101">
        <v>0</v>
      </c>
      <c r="LJ101" t="s">
        <v>264</v>
      </c>
      <c r="LM101" t="s">
        <v>575</v>
      </c>
      <c r="LN101" t="s">
        <v>555</v>
      </c>
      <c r="LO101">
        <v>0</v>
      </c>
      <c r="LP101">
        <v>0</v>
      </c>
      <c r="LQ101">
        <v>0</v>
      </c>
      <c r="LR101" t="s">
        <v>264</v>
      </c>
      <c r="LU101" t="s">
        <v>576</v>
      </c>
      <c r="LV101" t="s">
        <v>555</v>
      </c>
      <c r="LW101">
        <v>0</v>
      </c>
      <c r="LX101">
        <v>0</v>
      </c>
      <c r="LY101">
        <v>0</v>
      </c>
      <c r="LZ101" t="s">
        <v>264</v>
      </c>
      <c r="MC101" t="s">
        <v>577</v>
      </c>
      <c r="MD101" t="s">
        <v>555</v>
      </c>
      <c r="ME101">
        <v>0</v>
      </c>
      <c r="MF101">
        <v>0</v>
      </c>
      <c r="MG101">
        <v>0</v>
      </c>
      <c r="MH101" t="s">
        <v>264</v>
      </c>
      <c r="MK101" t="s">
        <v>578</v>
      </c>
      <c r="ML101" t="s">
        <v>555</v>
      </c>
      <c r="MM101">
        <v>0</v>
      </c>
      <c r="MN101">
        <v>0</v>
      </c>
      <c r="MO101">
        <v>0</v>
      </c>
      <c r="MP101" t="s">
        <v>264</v>
      </c>
      <c r="MS101" t="s">
        <v>579</v>
      </c>
      <c r="MT101" t="s">
        <v>555</v>
      </c>
      <c r="MU101">
        <v>0</v>
      </c>
      <c r="MV101">
        <v>0</v>
      </c>
      <c r="MW101">
        <v>0</v>
      </c>
      <c r="MX101" t="s">
        <v>264</v>
      </c>
      <c r="NA101" t="s">
        <v>580</v>
      </c>
      <c r="NB101" t="s">
        <v>555</v>
      </c>
      <c r="NC101">
        <v>0</v>
      </c>
      <c r="ND101">
        <v>0</v>
      </c>
      <c r="NE101">
        <v>0</v>
      </c>
      <c r="NF101" t="s">
        <v>264</v>
      </c>
      <c r="NI101">
        <v>40.1</v>
      </c>
      <c r="NJ101">
        <v>-12.4</v>
      </c>
      <c r="NP101" t="s">
        <v>581</v>
      </c>
    </row>
    <row r="102" spans="1:380" customFormat="1" ht="15" x14ac:dyDescent="0.2">
      <c r="A102" t="s">
        <v>432</v>
      </c>
      <c r="C102" s="82"/>
      <c r="D102" s="82"/>
      <c r="J102" s="149"/>
    </row>
    <row r="103" spans="1:380" s="188" customFormat="1" ht="51" x14ac:dyDescent="0.2">
      <c r="A103" s="186" t="s">
        <v>98</v>
      </c>
      <c r="B103" s="186" t="s">
        <v>99</v>
      </c>
      <c r="C103" s="186" t="s">
        <v>100</v>
      </c>
      <c r="D103" s="186" t="s">
        <v>101</v>
      </c>
      <c r="E103" s="186" t="s">
        <v>102</v>
      </c>
      <c r="F103" s="186" t="s">
        <v>103</v>
      </c>
      <c r="G103" s="186" t="s">
        <v>104</v>
      </c>
      <c r="H103" s="186" t="s">
        <v>105</v>
      </c>
      <c r="I103" s="186" t="s">
        <v>106</v>
      </c>
      <c r="J103" s="186" t="s">
        <v>107</v>
      </c>
      <c r="K103" s="186" t="s">
        <v>108</v>
      </c>
      <c r="L103" s="186" t="s">
        <v>109</v>
      </c>
      <c r="M103" s="186" t="s">
        <v>110</v>
      </c>
      <c r="N103" s="186" t="s">
        <v>111</v>
      </c>
      <c r="O103" s="186" t="s">
        <v>112</v>
      </c>
      <c r="P103" s="186" t="s">
        <v>113</v>
      </c>
      <c r="Q103" s="186" t="s">
        <v>114</v>
      </c>
      <c r="R103" s="186" t="s">
        <v>115</v>
      </c>
      <c r="S103" s="186" t="s">
        <v>116</v>
      </c>
      <c r="T103" s="186" t="s">
        <v>117</v>
      </c>
      <c r="U103" s="186" t="s">
        <v>118</v>
      </c>
      <c r="V103" s="186" t="s">
        <v>119</v>
      </c>
      <c r="W103" s="186" t="s">
        <v>120</v>
      </c>
      <c r="X103" s="186" t="s">
        <v>121</v>
      </c>
      <c r="Y103" s="186" t="s">
        <v>122</v>
      </c>
      <c r="Z103" s="186" t="s">
        <v>123</v>
      </c>
      <c r="AA103" s="186" t="s">
        <v>110</v>
      </c>
      <c r="AB103" s="186" t="s">
        <v>111</v>
      </c>
      <c r="AC103" s="186" t="s">
        <v>112</v>
      </c>
      <c r="AD103" s="186" t="s">
        <v>113</v>
      </c>
      <c r="AE103" s="186" t="s">
        <v>114</v>
      </c>
      <c r="AF103" s="186" t="s">
        <v>115</v>
      </c>
      <c r="AG103" s="186" t="s">
        <v>116</v>
      </c>
      <c r="AH103" s="186" t="s">
        <v>117</v>
      </c>
      <c r="AI103" s="186" t="s">
        <v>118</v>
      </c>
      <c r="AJ103" s="186" t="s">
        <v>119</v>
      </c>
      <c r="AK103" s="186" t="s">
        <v>120</v>
      </c>
      <c r="AL103" s="186" t="s">
        <v>121</v>
      </c>
      <c r="AM103" s="186" t="s">
        <v>122</v>
      </c>
      <c r="AN103" s="186" t="s">
        <v>123</v>
      </c>
      <c r="AO103" s="186" t="s">
        <v>110</v>
      </c>
      <c r="AP103" s="186" t="s">
        <v>111</v>
      </c>
      <c r="AQ103" s="186" t="s">
        <v>112</v>
      </c>
      <c r="AR103" s="186" t="s">
        <v>113</v>
      </c>
      <c r="AS103" s="186" t="s">
        <v>114</v>
      </c>
      <c r="AT103" s="186" t="s">
        <v>115</v>
      </c>
      <c r="AU103" s="186" t="s">
        <v>116</v>
      </c>
      <c r="AV103" s="186" t="s">
        <v>117</v>
      </c>
      <c r="AW103" s="186" t="s">
        <v>118</v>
      </c>
      <c r="AX103" s="186" t="s">
        <v>119</v>
      </c>
      <c r="AY103" s="186" t="s">
        <v>120</v>
      </c>
      <c r="AZ103" s="186" t="s">
        <v>121</v>
      </c>
      <c r="BA103" s="186" t="s">
        <v>122</v>
      </c>
      <c r="BB103" s="186" t="s">
        <v>123</v>
      </c>
      <c r="BC103" s="186" t="s">
        <v>110</v>
      </c>
      <c r="BD103" s="186" t="s">
        <v>111</v>
      </c>
      <c r="BE103" s="186" t="s">
        <v>112</v>
      </c>
      <c r="BF103" s="186" t="s">
        <v>113</v>
      </c>
      <c r="BG103" s="186" t="s">
        <v>114</v>
      </c>
      <c r="BH103" s="186" t="s">
        <v>115</v>
      </c>
      <c r="BI103" s="186" t="s">
        <v>116</v>
      </c>
      <c r="BJ103" s="186" t="s">
        <v>117</v>
      </c>
      <c r="BK103" s="186" t="s">
        <v>118</v>
      </c>
      <c r="BL103" s="186" t="s">
        <v>119</v>
      </c>
      <c r="BM103" s="186" t="s">
        <v>120</v>
      </c>
      <c r="BN103" s="186" t="s">
        <v>121</v>
      </c>
      <c r="BO103" s="186" t="s">
        <v>122</v>
      </c>
      <c r="BP103" s="186" t="s">
        <v>123</v>
      </c>
      <c r="BQ103" s="186" t="s">
        <v>110</v>
      </c>
      <c r="BR103" s="186" t="s">
        <v>111</v>
      </c>
      <c r="BS103" s="186" t="s">
        <v>112</v>
      </c>
      <c r="BT103" s="187" t="s">
        <v>113</v>
      </c>
      <c r="BU103" s="187" t="s">
        <v>114</v>
      </c>
      <c r="BV103" s="187" t="s">
        <v>115</v>
      </c>
      <c r="BW103" s="187" t="s">
        <v>116</v>
      </c>
      <c r="BX103" s="187" t="s">
        <v>117</v>
      </c>
      <c r="BY103" s="187" t="s">
        <v>118</v>
      </c>
      <c r="BZ103" s="187" t="s">
        <v>119</v>
      </c>
      <c r="CA103" s="187" t="s">
        <v>120</v>
      </c>
      <c r="CB103" s="187" t="s">
        <v>121</v>
      </c>
      <c r="CC103" s="187" t="s">
        <v>122</v>
      </c>
      <c r="CD103" s="187" t="s">
        <v>123</v>
      </c>
      <c r="CE103" s="187" t="s">
        <v>110</v>
      </c>
      <c r="CF103" s="187" t="s">
        <v>111</v>
      </c>
      <c r="CG103" s="187" t="s">
        <v>112</v>
      </c>
      <c r="CH103" s="187" t="s">
        <v>113</v>
      </c>
      <c r="CI103" s="187" t="s">
        <v>114</v>
      </c>
      <c r="CJ103" s="187" t="s">
        <v>115</v>
      </c>
      <c r="CK103" s="187" t="s">
        <v>116</v>
      </c>
      <c r="CL103" s="187" t="s">
        <v>117</v>
      </c>
      <c r="CM103" s="187" t="s">
        <v>118</v>
      </c>
      <c r="CN103" s="187" t="s">
        <v>119</v>
      </c>
      <c r="CO103" s="187" t="s">
        <v>120</v>
      </c>
      <c r="CP103" s="187" t="s">
        <v>121</v>
      </c>
      <c r="CQ103" s="187" t="s">
        <v>122</v>
      </c>
      <c r="CR103" s="187" t="s">
        <v>123</v>
      </c>
      <c r="CS103" s="187" t="s">
        <v>110</v>
      </c>
      <c r="CT103" s="187" t="s">
        <v>111</v>
      </c>
      <c r="CU103" s="187" t="s">
        <v>112</v>
      </c>
      <c r="CV103" s="187" t="s">
        <v>113</v>
      </c>
      <c r="CW103" s="187" t="s">
        <v>114</v>
      </c>
      <c r="CX103" s="187" t="s">
        <v>115</v>
      </c>
      <c r="CY103" s="187" t="s">
        <v>116</v>
      </c>
      <c r="CZ103" s="187" t="s">
        <v>117</v>
      </c>
      <c r="DA103" s="187" t="s">
        <v>118</v>
      </c>
      <c r="DB103" s="187" t="s">
        <v>119</v>
      </c>
      <c r="DC103" s="187" t="s">
        <v>120</v>
      </c>
      <c r="DD103" s="187" t="s">
        <v>121</v>
      </c>
      <c r="DE103" s="187" t="s">
        <v>122</v>
      </c>
      <c r="DF103" s="187" t="s">
        <v>123</v>
      </c>
      <c r="DG103" s="187" t="s">
        <v>110</v>
      </c>
      <c r="DH103" s="187" t="s">
        <v>111</v>
      </c>
      <c r="DI103" s="187" t="s">
        <v>112</v>
      </c>
      <c r="DJ103" s="187" t="s">
        <v>113</v>
      </c>
      <c r="DK103" s="187" t="s">
        <v>114</v>
      </c>
      <c r="DL103" s="187" t="s">
        <v>115</v>
      </c>
      <c r="DM103" s="187" t="s">
        <v>116</v>
      </c>
      <c r="DN103" s="187" t="s">
        <v>117</v>
      </c>
      <c r="DO103" s="187" t="s">
        <v>118</v>
      </c>
      <c r="DP103" s="187" t="s">
        <v>119</v>
      </c>
      <c r="DQ103" s="187" t="s">
        <v>120</v>
      </c>
      <c r="DR103" s="187" t="s">
        <v>121</v>
      </c>
      <c r="DS103" s="187" t="s">
        <v>122</v>
      </c>
      <c r="DT103" s="187" t="s">
        <v>123</v>
      </c>
      <c r="DU103" s="187" t="s">
        <v>110</v>
      </c>
      <c r="DV103" s="187" t="s">
        <v>111</v>
      </c>
      <c r="DW103" s="187" t="s">
        <v>112</v>
      </c>
      <c r="DX103" s="187" t="s">
        <v>113</v>
      </c>
      <c r="DY103" s="187" t="s">
        <v>114</v>
      </c>
      <c r="DZ103" s="187" t="s">
        <v>115</v>
      </c>
      <c r="EA103" s="187" t="s">
        <v>116</v>
      </c>
      <c r="EB103" s="187" t="s">
        <v>117</v>
      </c>
      <c r="EC103" s="187" t="s">
        <v>118</v>
      </c>
      <c r="ED103" s="187" t="s">
        <v>119</v>
      </c>
      <c r="EE103" s="187" t="s">
        <v>120</v>
      </c>
      <c r="EF103" s="187" t="s">
        <v>121</v>
      </c>
      <c r="EG103" s="187" t="s">
        <v>122</v>
      </c>
      <c r="EH103" s="187" t="s">
        <v>123</v>
      </c>
      <c r="EI103" s="187" t="s">
        <v>110</v>
      </c>
      <c r="EJ103" s="187" t="s">
        <v>111</v>
      </c>
      <c r="EK103" s="187" t="s">
        <v>112</v>
      </c>
      <c r="EL103" s="187" t="s">
        <v>113</v>
      </c>
      <c r="EM103" s="187" t="s">
        <v>114</v>
      </c>
      <c r="EN103" s="187" t="s">
        <v>115</v>
      </c>
      <c r="EO103" s="187" t="s">
        <v>116</v>
      </c>
      <c r="EP103" s="187" t="s">
        <v>117</v>
      </c>
      <c r="EQ103" s="187" t="s">
        <v>118</v>
      </c>
      <c r="ER103" s="187" t="s">
        <v>119</v>
      </c>
      <c r="ES103" s="187" t="s">
        <v>120</v>
      </c>
      <c r="ET103" s="187" t="s">
        <v>121</v>
      </c>
      <c r="EU103" s="187" t="s">
        <v>122</v>
      </c>
      <c r="EV103" s="187" t="s">
        <v>123</v>
      </c>
      <c r="EW103" s="187" t="s">
        <v>110</v>
      </c>
      <c r="EX103" s="187" t="s">
        <v>111</v>
      </c>
      <c r="EY103" s="187" t="s">
        <v>118</v>
      </c>
      <c r="EZ103" s="187" t="s">
        <v>119</v>
      </c>
      <c r="FA103" s="187" t="s">
        <v>120</v>
      </c>
      <c r="FB103" s="187" t="s">
        <v>121</v>
      </c>
      <c r="FC103" s="187" t="s">
        <v>110</v>
      </c>
      <c r="FD103" s="187" t="s">
        <v>111</v>
      </c>
      <c r="FE103" s="187" t="s">
        <v>118</v>
      </c>
      <c r="FF103" s="187" t="s">
        <v>119</v>
      </c>
      <c r="FG103" s="187" t="s">
        <v>120</v>
      </c>
      <c r="FH103" s="187" t="s">
        <v>121</v>
      </c>
      <c r="FI103" s="187" t="s">
        <v>110</v>
      </c>
      <c r="FJ103" s="187" t="s">
        <v>111</v>
      </c>
      <c r="FK103" s="187" t="s">
        <v>118</v>
      </c>
      <c r="FL103" s="187" t="s">
        <v>119</v>
      </c>
      <c r="FM103" s="187" t="s">
        <v>120</v>
      </c>
      <c r="FN103" s="187" t="s">
        <v>121</v>
      </c>
      <c r="FO103" s="187" t="s">
        <v>298</v>
      </c>
      <c r="FP103" s="187" t="s">
        <v>299</v>
      </c>
      <c r="FQ103" s="187" t="s">
        <v>110</v>
      </c>
      <c r="FR103" s="187" t="s">
        <v>111</v>
      </c>
      <c r="FS103" s="187" t="s">
        <v>118</v>
      </c>
      <c r="FT103" s="187" t="s">
        <v>119</v>
      </c>
      <c r="FU103" s="187" t="s">
        <v>120</v>
      </c>
      <c r="FV103" s="187" t="s">
        <v>121</v>
      </c>
      <c r="FW103" s="187" t="s">
        <v>298</v>
      </c>
      <c r="FX103" s="187" t="s">
        <v>299</v>
      </c>
      <c r="FY103" s="187" t="s">
        <v>110</v>
      </c>
      <c r="FZ103" s="187" t="s">
        <v>111</v>
      </c>
      <c r="GA103" s="187" t="s">
        <v>118</v>
      </c>
      <c r="GB103" s="187" t="s">
        <v>119</v>
      </c>
      <c r="GC103" s="187" t="s">
        <v>120</v>
      </c>
      <c r="GD103" s="187" t="s">
        <v>121</v>
      </c>
      <c r="GE103" s="187" t="s">
        <v>298</v>
      </c>
      <c r="GF103" s="187" t="s">
        <v>299</v>
      </c>
      <c r="GG103" s="187" t="s">
        <v>110</v>
      </c>
      <c r="GH103" s="187" t="s">
        <v>111</v>
      </c>
      <c r="GI103" s="187" t="s">
        <v>118</v>
      </c>
      <c r="GJ103" s="187" t="s">
        <v>119</v>
      </c>
      <c r="GK103" s="187" t="s">
        <v>120</v>
      </c>
      <c r="GL103" s="187" t="s">
        <v>121</v>
      </c>
      <c r="GM103" s="187" t="s">
        <v>298</v>
      </c>
      <c r="GN103" s="187" t="s">
        <v>299</v>
      </c>
      <c r="GO103" s="187" t="s">
        <v>110</v>
      </c>
      <c r="GP103" s="187" t="s">
        <v>111</v>
      </c>
      <c r="GQ103" s="187" t="s">
        <v>118</v>
      </c>
      <c r="GR103" s="187" t="s">
        <v>119</v>
      </c>
      <c r="GS103" s="187" t="s">
        <v>120</v>
      </c>
      <c r="GT103" s="187" t="s">
        <v>121</v>
      </c>
      <c r="GU103" s="187" t="s">
        <v>298</v>
      </c>
      <c r="GV103" s="187" t="s">
        <v>299</v>
      </c>
      <c r="GW103" s="187" t="s">
        <v>110</v>
      </c>
      <c r="GX103" s="187" t="s">
        <v>111</v>
      </c>
      <c r="GY103" s="187" t="s">
        <v>118</v>
      </c>
      <c r="GZ103" s="187" t="s">
        <v>119</v>
      </c>
      <c r="HA103" s="187" t="s">
        <v>120</v>
      </c>
      <c r="HB103" s="187" t="s">
        <v>121</v>
      </c>
      <c r="HC103" s="187" t="s">
        <v>298</v>
      </c>
      <c r="HD103" s="187" t="s">
        <v>299</v>
      </c>
      <c r="HE103" s="187" t="s">
        <v>110</v>
      </c>
      <c r="HF103" s="187" t="s">
        <v>111</v>
      </c>
      <c r="HG103" s="187" t="s">
        <v>118</v>
      </c>
      <c r="HH103" s="187" t="s">
        <v>119</v>
      </c>
      <c r="HI103" s="187" t="s">
        <v>120</v>
      </c>
      <c r="HJ103" s="187" t="s">
        <v>121</v>
      </c>
      <c r="HK103" s="187" t="s">
        <v>298</v>
      </c>
      <c r="HL103" s="187" t="s">
        <v>299</v>
      </c>
      <c r="HM103" s="187" t="s">
        <v>110</v>
      </c>
      <c r="HN103" s="187" t="s">
        <v>111</v>
      </c>
      <c r="HO103" s="187" t="s">
        <v>118</v>
      </c>
      <c r="HP103" s="187" t="s">
        <v>119</v>
      </c>
      <c r="HQ103" s="187" t="s">
        <v>120</v>
      </c>
      <c r="HR103" s="187" t="s">
        <v>121</v>
      </c>
      <c r="HS103" s="187" t="s">
        <v>298</v>
      </c>
      <c r="HT103" s="187" t="s">
        <v>299</v>
      </c>
      <c r="HU103" s="187" t="s">
        <v>110</v>
      </c>
      <c r="HV103" s="187" t="s">
        <v>111</v>
      </c>
      <c r="HW103" s="187" t="s">
        <v>118</v>
      </c>
      <c r="HX103" s="187" t="s">
        <v>119</v>
      </c>
      <c r="HY103" s="187" t="s">
        <v>120</v>
      </c>
      <c r="HZ103" s="187" t="s">
        <v>121</v>
      </c>
      <c r="IA103" s="187" t="s">
        <v>298</v>
      </c>
      <c r="IB103" s="187" t="s">
        <v>299</v>
      </c>
      <c r="IC103" s="187" t="s">
        <v>110</v>
      </c>
      <c r="ID103" s="187" t="s">
        <v>111</v>
      </c>
      <c r="IE103" s="187" t="s">
        <v>118</v>
      </c>
      <c r="IF103" s="187" t="s">
        <v>119</v>
      </c>
      <c r="IG103" s="187" t="s">
        <v>120</v>
      </c>
      <c r="IH103" s="187" t="s">
        <v>121</v>
      </c>
      <c r="II103" s="187" t="s">
        <v>298</v>
      </c>
      <c r="IJ103" s="187" t="s">
        <v>299</v>
      </c>
      <c r="IK103" s="187" t="s">
        <v>110</v>
      </c>
      <c r="IL103" s="187" t="s">
        <v>111</v>
      </c>
      <c r="IM103" s="187" t="s">
        <v>118</v>
      </c>
      <c r="IN103" s="187" t="s">
        <v>119</v>
      </c>
      <c r="IO103" s="187" t="s">
        <v>120</v>
      </c>
      <c r="IP103" s="187" t="s">
        <v>121</v>
      </c>
      <c r="IQ103" s="187" t="s">
        <v>298</v>
      </c>
      <c r="IR103" s="187" t="s">
        <v>299</v>
      </c>
      <c r="IS103" s="187" t="s">
        <v>110</v>
      </c>
      <c r="IT103" s="187" t="s">
        <v>111</v>
      </c>
      <c r="IU103" s="187" t="s">
        <v>118</v>
      </c>
      <c r="IV103" s="187" t="s">
        <v>119</v>
      </c>
      <c r="IW103" s="187" t="s">
        <v>120</v>
      </c>
      <c r="IX103" s="187" t="s">
        <v>121</v>
      </c>
      <c r="IY103" s="187" t="s">
        <v>298</v>
      </c>
      <c r="IZ103" s="187" t="s">
        <v>299</v>
      </c>
      <c r="JA103" s="187" t="s">
        <v>110</v>
      </c>
      <c r="JB103" s="187" t="s">
        <v>111</v>
      </c>
      <c r="JC103" s="187" t="s">
        <v>118</v>
      </c>
      <c r="JD103" s="187" t="s">
        <v>119</v>
      </c>
      <c r="JE103" s="187" t="s">
        <v>120</v>
      </c>
      <c r="JF103" s="187" t="s">
        <v>121</v>
      </c>
      <c r="JG103" s="187" t="s">
        <v>298</v>
      </c>
      <c r="JH103" s="187" t="s">
        <v>299</v>
      </c>
      <c r="JI103" s="187" t="s">
        <v>110</v>
      </c>
      <c r="JJ103" s="187" t="s">
        <v>111</v>
      </c>
      <c r="JK103" s="187" t="s">
        <v>118</v>
      </c>
      <c r="JL103" s="187" t="s">
        <v>119</v>
      </c>
      <c r="JM103" s="187" t="s">
        <v>120</v>
      </c>
      <c r="JN103" s="187" t="s">
        <v>121</v>
      </c>
      <c r="JO103" s="187" t="s">
        <v>298</v>
      </c>
      <c r="JP103" s="187" t="s">
        <v>299</v>
      </c>
      <c r="JQ103" s="187" t="s">
        <v>110</v>
      </c>
      <c r="JR103" s="187" t="s">
        <v>111</v>
      </c>
      <c r="JS103" s="187" t="s">
        <v>118</v>
      </c>
      <c r="JT103" s="187" t="s">
        <v>119</v>
      </c>
      <c r="JU103" s="187" t="s">
        <v>120</v>
      </c>
      <c r="JV103" s="187" t="s">
        <v>121</v>
      </c>
      <c r="JW103" s="187" t="s">
        <v>298</v>
      </c>
      <c r="JX103" s="187" t="s">
        <v>299</v>
      </c>
      <c r="JY103" s="187" t="s">
        <v>110</v>
      </c>
      <c r="JZ103" s="187" t="s">
        <v>111</v>
      </c>
      <c r="KA103" s="187" t="s">
        <v>118</v>
      </c>
      <c r="KB103" s="187" t="s">
        <v>119</v>
      </c>
      <c r="KC103" s="187" t="s">
        <v>120</v>
      </c>
      <c r="KD103" s="187" t="s">
        <v>121</v>
      </c>
      <c r="KE103" s="187" t="s">
        <v>298</v>
      </c>
      <c r="KF103" s="187" t="s">
        <v>299</v>
      </c>
      <c r="KG103" s="187" t="s">
        <v>110</v>
      </c>
      <c r="KH103" s="187" t="s">
        <v>111</v>
      </c>
      <c r="KI103" s="187" t="s">
        <v>118</v>
      </c>
      <c r="KJ103" s="187" t="s">
        <v>119</v>
      </c>
      <c r="KK103" s="187" t="s">
        <v>120</v>
      </c>
      <c r="KL103" s="187" t="s">
        <v>121</v>
      </c>
      <c r="KM103" s="187" t="s">
        <v>298</v>
      </c>
      <c r="KN103" s="187" t="s">
        <v>299</v>
      </c>
      <c r="KO103" s="187" t="s">
        <v>110</v>
      </c>
      <c r="KP103" s="187" t="s">
        <v>111</v>
      </c>
      <c r="KQ103" s="187" t="s">
        <v>118</v>
      </c>
      <c r="KR103" s="187" t="s">
        <v>119</v>
      </c>
      <c r="KS103" s="187" t="s">
        <v>120</v>
      </c>
      <c r="KT103" s="187" t="s">
        <v>121</v>
      </c>
      <c r="KU103" s="187" t="s">
        <v>298</v>
      </c>
      <c r="KV103" s="187" t="s">
        <v>299</v>
      </c>
      <c r="KW103" s="187" t="s">
        <v>110</v>
      </c>
      <c r="KX103" s="187" t="s">
        <v>111</v>
      </c>
      <c r="KY103" s="187" t="s">
        <v>118</v>
      </c>
      <c r="KZ103" s="187" t="s">
        <v>119</v>
      </c>
      <c r="LA103" s="187" t="s">
        <v>120</v>
      </c>
      <c r="LB103" s="187" t="s">
        <v>121</v>
      </c>
      <c r="LC103" s="187" t="s">
        <v>298</v>
      </c>
      <c r="LD103" s="187" t="s">
        <v>299</v>
      </c>
      <c r="LE103" s="187" t="s">
        <v>110</v>
      </c>
      <c r="LF103" s="187" t="s">
        <v>111</v>
      </c>
      <c r="LG103" s="187" t="s">
        <v>118</v>
      </c>
      <c r="LH103" s="187" t="s">
        <v>119</v>
      </c>
      <c r="LI103" s="187" t="s">
        <v>120</v>
      </c>
      <c r="LJ103" s="187" t="s">
        <v>121</v>
      </c>
      <c r="LK103" s="187" t="s">
        <v>298</v>
      </c>
      <c r="LL103" s="187" t="s">
        <v>299</v>
      </c>
      <c r="LM103" s="187" t="s">
        <v>110</v>
      </c>
      <c r="LN103" s="187" t="s">
        <v>111</v>
      </c>
      <c r="LO103" s="187" t="s">
        <v>118</v>
      </c>
      <c r="LP103" s="187" t="s">
        <v>119</v>
      </c>
      <c r="LQ103" s="187" t="s">
        <v>120</v>
      </c>
      <c r="LR103" s="187" t="s">
        <v>121</v>
      </c>
      <c r="LS103" s="187" t="s">
        <v>298</v>
      </c>
      <c r="LT103" s="187" t="s">
        <v>299</v>
      </c>
      <c r="LU103" s="187" t="s">
        <v>110</v>
      </c>
      <c r="LV103" s="187" t="s">
        <v>111</v>
      </c>
      <c r="LW103" s="187" t="s">
        <v>118</v>
      </c>
      <c r="LX103" s="187" t="s">
        <v>119</v>
      </c>
      <c r="LY103" s="187" t="s">
        <v>120</v>
      </c>
      <c r="LZ103" s="187" t="s">
        <v>121</v>
      </c>
      <c r="MA103" s="187" t="s">
        <v>298</v>
      </c>
      <c r="MB103" s="187" t="s">
        <v>299</v>
      </c>
      <c r="MC103" s="187" t="s">
        <v>110</v>
      </c>
      <c r="MD103" s="187" t="s">
        <v>111</v>
      </c>
      <c r="ME103" s="187" t="s">
        <v>118</v>
      </c>
      <c r="MF103" s="187" t="s">
        <v>119</v>
      </c>
      <c r="MG103" s="187" t="s">
        <v>120</v>
      </c>
      <c r="MH103" s="187" t="s">
        <v>121</v>
      </c>
      <c r="MI103" s="187" t="s">
        <v>298</v>
      </c>
      <c r="MJ103" s="187" t="s">
        <v>299</v>
      </c>
      <c r="MK103" s="187" t="s">
        <v>110</v>
      </c>
      <c r="ML103" s="187" t="s">
        <v>111</v>
      </c>
      <c r="MM103" s="187" t="s">
        <v>118</v>
      </c>
      <c r="MN103" s="187" t="s">
        <v>119</v>
      </c>
      <c r="MO103" s="187" t="s">
        <v>120</v>
      </c>
      <c r="MP103" s="187" t="s">
        <v>121</v>
      </c>
      <c r="MQ103" s="187" t="s">
        <v>298</v>
      </c>
      <c r="MR103" s="187" t="s">
        <v>299</v>
      </c>
      <c r="MS103" s="187" t="s">
        <v>110</v>
      </c>
      <c r="MT103" s="187" t="s">
        <v>111</v>
      </c>
      <c r="MU103" s="187" t="s">
        <v>118</v>
      </c>
      <c r="MV103" s="187" t="s">
        <v>119</v>
      </c>
      <c r="MW103" s="187" t="s">
        <v>120</v>
      </c>
      <c r="MX103" s="187" t="s">
        <v>121</v>
      </c>
      <c r="MY103" s="187" t="s">
        <v>298</v>
      </c>
      <c r="MZ103" s="187" t="s">
        <v>299</v>
      </c>
      <c r="NA103" s="187" t="s">
        <v>110</v>
      </c>
      <c r="NB103" s="187" t="s">
        <v>111</v>
      </c>
      <c r="NC103" s="187" t="s">
        <v>118</v>
      </c>
      <c r="ND103" s="187" t="s">
        <v>119</v>
      </c>
      <c r="NE103" s="187" t="s">
        <v>120</v>
      </c>
      <c r="NF103" s="187" t="s">
        <v>121</v>
      </c>
      <c r="NG103" s="187" t="s">
        <v>298</v>
      </c>
      <c r="NH103" s="187" t="s">
        <v>299</v>
      </c>
      <c r="NI103" s="187" t="s">
        <v>124</v>
      </c>
      <c r="NJ103" s="187" t="s">
        <v>125</v>
      </c>
      <c r="NK103" s="187" t="s">
        <v>126</v>
      </c>
      <c r="NL103" s="187" t="s">
        <v>244</v>
      </c>
      <c r="NM103" s="187" t="s">
        <v>245</v>
      </c>
      <c r="NN103" s="187" t="s">
        <v>246</v>
      </c>
      <c r="NO103" s="187" t="s">
        <v>247</v>
      </c>
      <c r="NP103" s="187" t="s">
        <v>248</v>
      </c>
    </row>
    <row r="104" spans="1:380" x14ac:dyDescent="0.2">
      <c r="J104" s="61"/>
    </row>
    <row r="105" spans="1:380" x14ac:dyDescent="0.2">
      <c r="J105" s="61"/>
    </row>
    <row r="106" spans="1:380" x14ac:dyDescent="0.2">
      <c r="J106" s="61"/>
    </row>
    <row r="107" spans="1:380" x14ac:dyDescent="0.2">
      <c r="J107" s="61"/>
    </row>
    <row r="108" spans="1:380" x14ac:dyDescent="0.2">
      <c r="J108" s="61"/>
    </row>
    <row r="109" spans="1:380" x14ac:dyDescent="0.2">
      <c r="J109" s="61"/>
    </row>
    <row r="110" spans="1:380" x14ac:dyDescent="0.2">
      <c r="J110" s="61"/>
    </row>
    <row r="111" spans="1:380" x14ac:dyDescent="0.2">
      <c r="J111" s="61"/>
    </row>
    <row r="112" spans="1:380" x14ac:dyDescent="0.2">
      <c r="J112" s="61"/>
    </row>
    <row r="113" spans="10:10" x14ac:dyDescent="0.2">
      <c r="J113" s="61"/>
    </row>
    <row r="114" spans="10:10" x14ac:dyDescent="0.2">
      <c r="J114" s="61"/>
    </row>
    <row r="115" spans="10:10" x14ac:dyDescent="0.2">
      <c r="J115" s="61"/>
    </row>
    <row r="116" spans="10:10" x14ac:dyDescent="0.2">
      <c r="J116" s="61"/>
    </row>
    <row r="117" spans="10:10" x14ac:dyDescent="0.2">
      <c r="J117" s="61"/>
    </row>
    <row r="118" spans="10:10" x14ac:dyDescent="0.2">
      <c r="J118" s="61"/>
    </row>
    <row r="119" spans="10:10" x14ac:dyDescent="0.2">
      <c r="J119" s="61"/>
    </row>
    <row r="120" spans="10:10" x14ac:dyDescent="0.2">
      <c r="J120" s="61"/>
    </row>
    <row r="121" spans="10:10" x14ac:dyDescent="0.2">
      <c r="J121" s="61"/>
    </row>
    <row r="122" spans="10:10" x14ac:dyDescent="0.2">
      <c r="J122" s="61"/>
    </row>
    <row r="123" spans="10:10" x14ac:dyDescent="0.2">
      <c r="J123" s="61"/>
    </row>
    <row r="124" spans="10:10" x14ac:dyDescent="0.2">
      <c r="J124" s="61"/>
    </row>
    <row r="125" spans="10:10" x14ac:dyDescent="0.2">
      <c r="J125" s="61"/>
    </row>
    <row r="126" spans="10:10" x14ac:dyDescent="0.2">
      <c r="J126" s="61"/>
    </row>
    <row r="127" spans="10:10" x14ac:dyDescent="0.2">
      <c r="J127" s="61"/>
    </row>
    <row r="128" spans="10:10" x14ac:dyDescent="0.2">
      <c r="J128" s="61"/>
    </row>
    <row r="129" spans="10:10" x14ac:dyDescent="0.2">
      <c r="J129" s="61"/>
    </row>
    <row r="130" spans="10:10" x14ac:dyDescent="0.2">
      <c r="J130" s="61"/>
    </row>
    <row r="131" spans="10:10" x14ac:dyDescent="0.2">
      <c r="J131" s="61"/>
    </row>
    <row r="132" spans="10:10" x14ac:dyDescent="0.2">
      <c r="J132" s="61"/>
    </row>
    <row r="133" spans="10:10" x14ac:dyDescent="0.2">
      <c r="J133" s="61"/>
    </row>
    <row r="134" spans="10:10" x14ac:dyDescent="0.2">
      <c r="J134" s="61"/>
    </row>
    <row r="135" spans="10:10" x14ac:dyDescent="0.2">
      <c r="J135" s="61"/>
    </row>
    <row r="136" spans="10:10" x14ac:dyDescent="0.2">
      <c r="J136" s="61"/>
    </row>
    <row r="137" spans="10:10" x14ac:dyDescent="0.2">
      <c r="J137" s="61"/>
    </row>
    <row r="138" spans="10:10" x14ac:dyDescent="0.2">
      <c r="J138" s="61"/>
    </row>
    <row r="139" spans="10:10" x14ac:dyDescent="0.2">
      <c r="J139" s="61"/>
    </row>
    <row r="140" spans="10:10" x14ac:dyDescent="0.2">
      <c r="J140" s="61"/>
    </row>
    <row r="141" spans="10:10" x14ac:dyDescent="0.2">
      <c r="J141" s="61"/>
    </row>
    <row r="142" spans="10:10" x14ac:dyDescent="0.2">
      <c r="J142" s="61"/>
    </row>
    <row r="143" spans="10:10" x14ac:dyDescent="0.2">
      <c r="J143" s="61"/>
    </row>
    <row r="144" spans="10:10" x14ac:dyDescent="0.2">
      <c r="J144" s="61"/>
    </row>
    <row r="145" spans="10:10" x14ac:dyDescent="0.2">
      <c r="J145" s="61"/>
    </row>
    <row r="146" spans="10:10" x14ac:dyDescent="0.2">
      <c r="J146" s="61"/>
    </row>
    <row r="147" spans="10:10" x14ac:dyDescent="0.2">
      <c r="J147" s="61"/>
    </row>
    <row r="148" spans="10:10" x14ac:dyDescent="0.2">
      <c r="J148" s="61"/>
    </row>
    <row r="149" spans="10:10" x14ac:dyDescent="0.2">
      <c r="J149" s="61"/>
    </row>
    <row r="150" spans="10:10" x14ac:dyDescent="0.2">
      <c r="J150" s="61"/>
    </row>
    <row r="151" spans="10:10" x14ac:dyDescent="0.2">
      <c r="J151" s="61"/>
    </row>
    <row r="152" spans="10:10" x14ac:dyDescent="0.2">
      <c r="J152" s="61"/>
    </row>
    <row r="153" spans="10:10" x14ac:dyDescent="0.2">
      <c r="J153" s="61"/>
    </row>
    <row r="154" spans="10:10" x14ac:dyDescent="0.2">
      <c r="J154" s="61"/>
    </row>
    <row r="155" spans="10:10" s="246" customFormat="1" x14ac:dyDescent="0.2">
      <c r="J155" s="247"/>
    </row>
    <row r="156" spans="10:10" x14ac:dyDescent="0.2">
      <c r="J156" s="61"/>
    </row>
    <row r="157" spans="10:10" x14ac:dyDescent="0.2">
      <c r="J157" s="61"/>
    </row>
    <row r="158" spans="10:10" x14ac:dyDescent="0.2">
      <c r="J158" s="61"/>
    </row>
    <row r="159" spans="10:10" x14ac:dyDescent="0.2">
      <c r="J159" s="61"/>
    </row>
    <row r="160" spans="10:10" x14ac:dyDescent="0.2">
      <c r="J160" s="61"/>
    </row>
    <row r="161" spans="10:10" x14ac:dyDescent="0.2">
      <c r="J161" s="61"/>
    </row>
    <row r="162" spans="10:10" x14ac:dyDescent="0.2">
      <c r="J162" s="61"/>
    </row>
    <row r="163" spans="10:10" x14ac:dyDescent="0.2">
      <c r="J163" s="61"/>
    </row>
    <row r="164" spans="10:10" customFormat="1" x14ac:dyDescent="0.2">
      <c r="J164" s="149"/>
    </row>
    <row r="165" spans="10:10" customFormat="1" x14ac:dyDescent="0.2">
      <c r="J165" s="149"/>
    </row>
    <row r="166" spans="10:10" customFormat="1" x14ac:dyDescent="0.2">
      <c r="J166" s="149"/>
    </row>
    <row r="167" spans="10:10" customFormat="1" x14ac:dyDescent="0.2">
      <c r="J167" s="149"/>
    </row>
    <row r="168" spans="10:10" customFormat="1" x14ac:dyDescent="0.2">
      <c r="J168" s="149"/>
    </row>
    <row r="169" spans="10:10" customFormat="1" x14ac:dyDescent="0.2">
      <c r="J169" s="149"/>
    </row>
    <row r="170" spans="10:10" customFormat="1" x14ac:dyDescent="0.2">
      <c r="J170" s="149"/>
    </row>
    <row r="171" spans="10:10" customFormat="1" x14ac:dyDescent="0.2">
      <c r="J171" s="149"/>
    </row>
    <row r="172" spans="10:10" customFormat="1" x14ac:dyDescent="0.2">
      <c r="J172" s="149"/>
    </row>
    <row r="173" spans="10:10" customFormat="1" x14ac:dyDescent="0.2">
      <c r="J173" s="149"/>
    </row>
    <row r="174" spans="10:10" customFormat="1" x14ac:dyDescent="0.2">
      <c r="J174" s="149"/>
    </row>
    <row r="175" spans="10:10" customFormat="1" x14ac:dyDescent="0.2">
      <c r="J175" s="149"/>
    </row>
    <row r="176" spans="10:10" customFormat="1" x14ac:dyDescent="0.2">
      <c r="J176" s="149"/>
    </row>
    <row r="177" spans="10:10" customFormat="1" x14ac:dyDescent="0.2">
      <c r="J177" s="149"/>
    </row>
    <row r="178" spans="10:10" customFormat="1" x14ac:dyDescent="0.2">
      <c r="J178" s="149"/>
    </row>
    <row r="179" spans="10:10" customFormat="1" x14ac:dyDescent="0.2">
      <c r="J179" s="149"/>
    </row>
    <row r="180" spans="10:10" customFormat="1" x14ac:dyDescent="0.2">
      <c r="J180" s="149"/>
    </row>
    <row r="181" spans="10:10" customFormat="1" x14ac:dyDescent="0.2">
      <c r="J181" s="149"/>
    </row>
    <row r="182" spans="10:10" customFormat="1" x14ac:dyDescent="0.2">
      <c r="J182" s="149"/>
    </row>
    <row r="183" spans="10:10" customFormat="1" x14ac:dyDescent="0.2">
      <c r="J183" s="149"/>
    </row>
    <row r="184" spans="10:10" customFormat="1" x14ac:dyDescent="0.2">
      <c r="J184" s="149"/>
    </row>
    <row r="185" spans="10:10" customFormat="1" x14ac:dyDescent="0.2">
      <c r="J185" s="149"/>
    </row>
    <row r="186" spans="10:10" s="248" customFormat="1" x14ac:dyDescent="0.2">
      <c r="J186" s="249"/>
    </row>
    <row r="187" spans="10:10" s="248" customFormat="1" x14ac:dyDescent="0.2">
      <c r="J187" s="249"/>
    </row>
    <row r="188" spans="10:10" customFormat="1" x14ac:dyDescent="0.2">
      <c r="J188" s="149"/>
    </row>
    <row r="189" spans="10:10" customFormat="1" x14ac:dyDescent="0.2">
      <c r="J189" s="149"/>
    </row>
    <row r="190" spans="10:10" customFormat="1" x14ac:dyDescent="0.2">
      <c r="J190" s="149"/>
    </row>
    <row r="191" spans="10:10" customFormat="1" x14ac:dyDescent="0.2">
      <c r="J191" s="149"/>
    </row>
    <row r="192" spans="10:10" customFormat="1" x14ac:dyDescent="0.2">
      <c r="J192" s="149"/>
    </row>
    <row r="193" spans="10:10" customFormat="1" x14ac:dyDescent="0.2">
      <c r="J193" s="149"/>
    </row>
    <row r="194" spans="10:10" s="250" customFormat="1" x14ac:dyDescent="0.2">
      <c r="J194" s="251"/>
    </row>
    <row r="195" spans="10:10" customFormat="1" x14ac:dyDescent="0.2">
      <c r="J195" s="149"/>
    </row>
    <row r="196" spans="10:10" customFormat="1" x14ac:dyDescent="0.2">
      <c r="J196" s="149"/>
    </row>
    <row r="197" spans="10:10" customFormat="1" x14ac:dyDescent="0.2">
      <c r="J197" s="149"/>
    </row>
    <row r="198" spans="10:10" s="250" customFormat="1" x14ac:dyDescent="0.2">
      <c r="J198" s="251"/>
    </row>
    <row r="199" spans="10:10" s="250" customFormat="1" x14ac:dyDescent="0.2">
      <c r="J199" s="251"/>
    </row>
    <row r="200" spans="10:10" customFormat="1" x14ac:dyDescent="0.2">
      <c r="J200" s="149"/>
    </row>
    <row r="201" spans="10:10" s="250" customFormat="1" x14ac:dyDescent="0.2">
      <c r="J201" s="251"/>
    </row>
    <row r="202" spans="10:10" s="250" customFormat="1" x14ac:dyDescent="0.2">
      <c r="J202" s="251"/>
    </row>
    <row r="203" spans="10:10" customFormat="1" x14ac:dyDescent="0.2">
      <c r="J203" s="149"/>
    </row>
  </sheetData>
  <sheetProtection formatColumns="0" formatRows="0"/>
  <phoneticPr fontId="4" type="noConversion"/>
  <pageMargins left="0.5" right="0.5" top="1" bottom="1" header="0.25" footer="0.25"/>
  <pageSetup scale="58" orientation="landscape" r:id="rId1"/>
  <headerFooter alignWithMargins="0">
    <oddHeader>&amp;LPart No.:
Batch No(s).: 
Cartridge No. (LSP): &amp;C&amp;12Product QC Testing Worksheet-MTB/XDR&amp;RDocument Number: D37339 Attachment 1
Rev: M
Effective: 5/21/2026
p. &amp;P of &amp;N</oddHeader>
    <oddFooter>&amp;C User is responsible for using the current revision. The controlled current released revision of this document resides in the Agile PLM system.
Cepheid Confidential    Date Printed: &amp;D      &amp;T</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1265" r:id="rId4" name="Check Box 1">
              <controlPr defaultSize="0" autoFill="0" autoLine="0" autoPict="0" altText="N/A">
                <anchor moveWithCells="1">
                  <from>
                    <xdr:col>2</xdr:col>
                    <xdr:colOff>0</xdr:colOff>
                    <xdr:row>100</xdr:row>
                    <xdr:rowOff>152400</xdr:rowOff>
                  </from>
                  <to>
                    <xdr:col>3</xdr:col>
                    <xdr:colOff>85725</xdr:colOff>
                    <xdr:row>102</xdr:row>
                    <xdr:rowOff>28575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P212"/>
  <sheetViews>
    <sheetView zoomScaleNormal="100" workbookViewId="0">
      <selection activeCell="A2" sqref="A2:XFD81"/>
    </sheetView>
  </sheetViews>
  <sheetFormatPr defaultColWidth="9.140625" defaultRowHeight="12.75" x14ac:dyDescent="0.2"/>
  <cols>
    <col min="1" max="1" width="25.42578125" style="60" bestFit="1" customWidth="1"/>
    <col min="2" max="2" width="13.5703125" style="60" bestFit="1" customWidth="1"/>
    <col min="3" max="3" width="20.5703125" style="60" bestFit="1" customWidth="1"/>
    <col min="4" max="4" width="13.42578125" style="60" bestFit="1" customWidth="1"/>
    <col min="5" max="5" width="14.5703125" style="60" bestFit="1" customWidth="1"/>
    <col min="6" max="6" width="15.5703125" style="60" bestFit="1" customWidth="1"/>
    <col min="7" max="7" width="14.42578125" style="60" bestFit="1" customWidth="1"/>
    <col min="8" max="8" width="11.42578125" style="60" bestFit="1" customWidth="1"/>
    <col min="9" max="9" width="12.140625" style="60" bestFit="1" customWidth="1"/>
    <col min="10" max="10" width="13.42578125" style="60" bestFit="1" customWidth="1"/>
    <col min="11" max="11" width="7.42578125" style="60" bestFit="1" customWidth="1"/>
    <col min="12" max="12" width="42.85546875" style="60" customWidth="1"/>
    <col min="13" max="13" width="13.85546875" style="60" bestFit="1" customWidth="1"/>
    <col min="14" max="14" width="6.5703125" style="60" bestFit="1" customWidth="1"/>
    <col min="15" max="15" width="14.5703125" style="60" bestFit="1" customWidth="1"/>
    <col min="16" max="16" width="14.140625" style="60" bestFit="1" customWidth="1"/>
    <col min="17" max="17" width="5" style="60" bestFit="1" customWidth="1"/>
    <col min="18" max="18" width="6.42578125" style="60" bestFit="1" customWidth="1"/>
    <col min="19" max="19" width="9.140625" style="60" bestFit="1" customWidth="1"/>
    <col min="20" max="20" width="14.5703125" style="60" bestFit="1" customWidth="1"/>
    <col min="21" max="23" width="9.5703125" style="60" bestFit="1" customWidth="1"/>
    <col min="24" max="24" width="19" style="60" bestFit="1" customWidth="1"/>
    <col min="25" max="25" width="21.5703125" style="60" bestFit="1" customWidth="1"/>
    <col min="26" max="26" width="6.85546875" style="60" bestFit="1" customWidth="1"/>
    <col min="27" max="27" width="13.85546875" style="60" bestFit="1" customWidth="1"/>
    <col min="28" max="28" width="6.5703125" style="60" bestFit="1" customWidth="1"/>
    <col min="29" max="29" width="8.42578125" style="60" bestFit="1" customWidth="1"/>
    <col min="30" max="30" width="14.140625" style="60" bestFit="1" customWidth="1"/>
    <col min="31" max="31" width="5" style="60" bestFit="1" customWidth="1"/>
    <col min="32" max="32" width="6.42578125" style="60" bestFit="1" customWidth="1"/>
    <col min="33" max="33" width="9.140625" style="60" bestFit="1" customWidth="1"/>
    <col min="34" max="34" width="14.5703125" style="60" bestFit="1" customWidth="1"/>
    <col min="35" max="37" width="9.5703125" style="60" bestFit="1" customWidth="1"/>
    <col min="38" max="38" width="19" style="60" bestFit="1" customWidth="1"/>
    <col min="39" max="39" width="21.5703125" style="60" bestFit="1" customWidth="1"/>
    <col min="40" max="40" width="6.85546875" style="60" bestFit="1" customWidth="1"/>
    <col min="41" max="41" width="13.85546875" style="60" bestFit="1" customWidth="1"/>
    <col min="42" max="42" width="6.5703125" style="60" bestFit="1" customWidth="1"/>
    <col min="43" max="43" width="8.42578125" style="60" bestFit="1" customWidth="1"/>
    <col min="44" max="44" width="14.140625" style="60" bestFit="1" customWidth="1"/>
    <col min="45" max="45" width="5" style="60" bestFit="1" customWidth="1"/>
    <col min="46" max="46" width="6.42578125" style="60" bestFit="1" customWidth="1"/>
    <col min="47" max="47" width="9.140625" style="60" bestFit="1" customWidth="1"/>
    <col min="48" max="48" width="14.5703125" style="60" bestFit="1" customWidth="1"/>
    <col min="49" max="51" width="9.5703125" style="60" bestFit="1" customWidth="1"/>
    <col min="52" max="52" width="19" style="60" bestFit="1" customWidth="1"/>
    <col min="53" max="53" width="21.5703125" style="60" bestFit="1" customWidth="1"/>
    <col min="54" max="54" width="6.85546875" style="60" bestFit="1" customWidth="1"/>
    <col min="55" max="55" width="13.85546875" style="60" bestFit="1" customWidth="1"/>
    <col min="56" max="56" width="6.5703125" style="60" bestFit="1" customWidth="1"/>
    <col min="57" max="57" width="5.140625" style="60" bestFit="1" customWidth="1"/>
    <col min="58" max="58" width="11.42578125" style="60" bestFit="1" customWidth="1"/>
    <col min="59" max="59" width="5" style="60" bestFit="1" customWidth="1"/>
    <col min="60" max="60" width="6.42578125" style="60" bestFit="1" customWidth="1"/>
    <col min="61" max="61" width="9.140625" style="60" bestFit="1" customWidth="1"/>
    <col min="62" max="62" width="12.140625" style="60" bestFit="1" customWidth="1"/>
    <col min="63" max="65" width="8.140625" style="60" bestFit="1" customWidth="1"/>
    <col min="66" max="66" width="6.5703125" style="60" bestFit="1" customWidth="1"/>
    <col min="67" max="68" width="6.85546875" style="60" bestFit="1" customWidth="1"/>
    <col min="69" max="69" width="7.85546875" style="60" bestFit="1" customWidth="1"/>
    <col min="70" max="70" width="6.5703125" style="60" bestFit="1" customWidth="1"/>
    <col min="71" max="71" width="8.42578125" style="60" bestFit="1" customWidth="1"/>
    <col min="72" max="72" width="11.42578125" style="60" bestFit="1" customWidth="1"/>
    <col min="73" max="73" width="5" style="60" bestFit="1" customWidth="1"/>
    <col min="74" max="74" width="6.42578125" style="60" bestFit="1" customWidth="1"/>
    <col min="75" max="75" width="9.140625" style="60"/>
    <col min="76" max="79" width="8.140625" style="60" bestFit="1" customWidth="1"/>
    <col min="80" max="80" width="6.5703125" style="60" bestFit="1" customWidth="1"/>
    <col min="81" max="82" width="6.85546875" style="60" bestFit="1" customWidth="1"/>
    <col min="83" max="83" width="7.85546875" style="60" bestFit="1" customWidth="1"/>
    <col min="84" max="84" width="6.5703125" style="60" bestFit="1" customWidth="1"/>
    <col min="85" max="85" width="8.42578125" style="60" bestFit="1" customWidth="1"/>
    <col min="86" max="86" width="11.42578125" style="60" bestFit="1" customWidth="1"/>
    <col min="87" max="87" width="5" style="60" bestFit="1" customWidth="1"/>
    <col min="88" max="88" width="6.42578125" style="60" bestFit="1" customWidth="1"/>
    <col min="89" max="89" width="9.140625" style="60"/>
    <col min="90" max="93" width="8.140625" style="60" bestFit="1" customWidth="1"/>
    <col min="94" max="94" width="6.5703125" style="60" bestFit="1" customWidth="1"/>
    <col min="95" max="96" width="6.85546875" style="60" bestFit="1" customWidth="1"/>
    <col min="97" max="97" width="7.85546875" style="60" bestFit="1" customWidth="1"/>
    <col min="98" max="98" width="6.5703125" style="60" bestFit="1" customWidth="1"/>
    <col min="99" max="99" width="8.42578125" style="60" bestFit="1" customWidth="1"/>
    <col min="100" max="100" width="11.42578125" style="60" bestFit="1" customWidth="1"/>
    <col min="101" max="101" width="5" style="60" bestFit="1" customWidth="1"/>
    <col min="102" max="102" width="6.42578125" style="60" bestFit="1" customWidth="1"/>
    <col min="103" max="103" width="9.140625" style="60"/>
    <col min="104" max="107" width="8.140625" style="60" bestFit="1" customWidth="1"/>
    <col min="108" max="108" width="6.5703125" style="60" bestFit="1" customWidth="1"/>
    <col min="109" max="110" width="6.85546875" style="60" bestFit="1" customWidth="1"/>
    <col min="111" max="111" width="7.85546875" style="60" bestFit="1" customWidth="1"/>
    <col min="112" max="112" width="6.5703125" style="60" bestFit="1" customWidth="1"/>
    <col min="113" max="113" width="8.42578125" style="60" bestFit="1" customWidth="1"/>
    <col min="114" max="114" width="11.42578125" style="60" bestFit="1" customWidth="1"/>
    <col min="115" max="115" width="5" style="60" bestFit="1" customWidth="1"/>
    <col min="116" max="116" width="6.42578125" style="60" bestFit="1" customWidth="1"/>
    <col min="117" max="117" width="9.140625" style="60"/>
    <col min="118" max="121" width="8.140625" style="60" bestFit="1" customWidth="1"/>
    <col min="122" max="122" width="6.5703125" style="60" bestFit="1" customWidth="1"/>
    <col min="123" max="124" width="6.85546875" style="60" bestFit="1" customWidth="1"/>
    <col min="125" max="125" width="7.85546875" style="60" bestFit="1" customWidth="1"/>
    <col min="126" max="126" width="6.5703125" style="60" bestFit="1" customWidth="1"/>
    <col min="127" max="127" width="8.42578125" style="60" bestFit="1" customWidth="1"/>
    <col min="128" max="128" width="11.42578125" style="60" bestFit="1" customWidth="1"/>
    <col min="129" max="129" width="5" style="60" bestFit="1" customWidth="1"/>
    <col min="130" max="130" width="6.42578125" style="60" bestFit="1" customWidth="1"/>
    <col min="131" max="131" width="9.140625" style="60"/>
    <col min="132" max="135" width="8.140625" style="60" bestFit="1" customWidth="1"/>
    <col min="136" max="136" width="6.5703125" style="60" bestFit="1" customWidth="1"/>
    <col min="137" max="138" width="6.85546875" style="60" bestFit="1" customWidth="1"/>
    <col min="139" max="139" width="7.85546875" style="60" bestFit="1" customWidth="1"/>
    <col min="140" max="140" width="6.5703125" style="60" bestFit="1" customWidth="1"/>
    <col min="141" max="141" width="8.42578125" style="60" bestFit="1" customWidth="1"/>
    <col min="142" max="142" width="11.42578125" style="60" bestFit="1" customWidth="1"/>
    <col min="143" max="143" width="5" style="60" bestFit="1" customWidth="1"/>
    <col min="144" max="144" width="6.42578125" style="60" bestFit="1" customWidth="1"/>
    <col min="145" max="145" width="9.140625" style="60"/>
    <col min="146" max="149" width="8.140625" style="60" bestFit="1" customWidth="1"/>
    <col min="150" max="150" width="6.5703125" style="60" bestFit="1" customWidth="1"/>
    <col min="151" max="152" width="6.85546875" style="60" bestFit="1" customWidth="1"/>
    <col min="153" max="153" width="7.85546875" style="60" bestFit="1" customWidth="1"/>
    <col min="154" max="154" width="6.5703125" style="60" bestFit="1" customWidth="1"/>
    <col min="155" max="157" width="8.140625" style="60" bestFit="1" customWidth="1"/>
    <col min="158" max="158" width="6.5703125" style="60" bestFit="1" customWidth="1"/>
    <col min="159" max="159" width="7.85546875" style="60" bestFit="1" customWidth="1"/>
    <col min="160" max="160" width="6.5703125" style="60" bestFit="1" customWidth="1"/>
    <col min="161" max="163" width="8.140625" style="60" bestFit="1" customWidth="1"/>
    <col min="164" max="164" width="6.5703125" style="60" bestFit="1" customWidth="1"/>
    <col min="165" max="165" width="8.85546875" style="60" bestFit="1" customWidth="1"/>
    <col min="166" max="166" width="10.42578125" style="60" bestFit="1" customWidth="1"/>
    <col min="167" max="169" width="8.140625" style="60" bestFit="1" customWidth="1"/>
    <col min="170" max="170" width="6.5703125" style="60" bestFit="1" customWidth="1"/>
    <col min="171" max="171" width="9.140625" style="60" bestFit="1" customWidth="1"/>
    <col min="172" max="172" width="6.85546875" style="60" bestFit="1" customWidth="1"/>
    <col min="173" max="173" width="9.140625" style="60"/>
    <col min="174" max="174" width="10.42578125" style="60" bestFit="1" customWidth="1"/>
    <col min="175" max="177" width="8.140625" style="60" bestFit="1" customWidth="1"/>
    <col min="178" max="178" width="6.5703125" style="60" bestFit="1" customWidth="1"/>
    <col min="179" max="179" width="9.140625" style="60" bestFit="1" customWidth="1"/>
    <col min="180" max="180" width="6.85546875" style="60" bestFit="1" customWidth="1"/>
    <col min="181" max="181" width="10" style="60" bestFit="1" customWidth="1"/>
    <col min="182" max="182" width="10.42578125" style="60" bestFit="1" customWidth="1"/>
    <col min="183" max="185" width="8.140625" style="60" bestFit="1" customWidth="1"/>
    <col min="186" max="186" width="6.5703125" style="60" bestFit="1" customWidth="1"/>
    <col min="187" max="187" width="9.140625" style="60" bestFit="1" customWidth="1"/>
    <col min="188" max="188" width="6.85546875" style="60" bestFit="1" customWidth="1"/>
    <col min="189" max="189" width="9.42578125" style="60" bestFit="1" customWidth="1"/>
    <col min="190" max="190" width="10.42578125" style="60" bestFit="1" customWidth="1"/>
    <col min="191" max="193" width="8.140625" style="60" bestFit="1" customWidth="1"/>
    <col min="194" max="194" width="6.5703125" style="60" bestFit="1" customWidth="1"/>
    <col min="195" max="195" width="9.140625" style="60" bestFit="1" customWidth="1"/>
    <col min="196" max="196" width="6.85546875" style="60" bestFit="1" customWidth="1"/>
    <col min="197" max="197" width="10" style="60" bestFit="1" customWidth="1"/>
    <col min="198" max="198" width="10.42578125" style="60" bestFit="1" customWidth="1"/>
    <col min="199" max="201" width="8.140625" style="60" bestFit="1" customWidth="1"/>
    <col min="202" max="202" width="6.5703125" style="60" bestFit="1" customWidth="1"/>
    <col min="203" max="203" width="9.140625" style="60" bestFit="1" customWidth="1"/>
    <col min="204" max="204" width="6.85546875" style="60" bestFit="1" customWidth="1"/>
    <col min="205" max="205" width="10" style="60" bestFit="1" customWidth="1"/>
    <col min="206" max="206" width="10.42578125" style="60" bestFit="1" customWidth="1"/>
    <col min="207" max="209" width="8.140625" style="60" bestFit="1" customWidth="1"/>
    <col min="210" max="210" width="6.5703125" style="60" bestFit="1" customWidth="1"/>
    <col min="211" max="211" width="9.140625" style="60" bestFit="1" customWidth="1"/>
    <col min="212" max="212" width="6.85546875" style="60" bestFit="1" customWidth="1"/>
    <col min="213" max="213" width="10" style="60" bestFit="1" customWidth="1"/>
    <col min="214" max="214" width="10.42578125" style="60" bestFit="1" customWidth="1"/>
    <col min="215" max="217" width="8.140625" style="60" bestFit="1" customWidth="1"/>
    <col min="218" max="218" width="6.5703125" style="60" bestFit="1" customWidth="1"/>
    <col min="219" max="219" width="9.140625" style="60" bestFit="1" customWidth="1"/>
    <col min="220" max="220" width="6.85546875" style="60" bestFit="1" customWidth="1"/>
    <col min="221" max="221" width="10" style="60" bestFit="1" customWidth="1"/>
    <col min="222" max="222" width="10.42578125" style="60" bestFit="1" customWidth="1"/>
    <col min="223" max="225" width="8.140625" style="60" bestFit="1" customWidth="1"/>
    <col min="226" max="226" width="6.5703125" style="60" bestFit="1" customWidth="1"/>
    <col min="227" max="227" width="9.140625" style="60" bestFit="1" customWidth="1"/>
    <col min="228" max="228" width="6.85546875" style="60" bestFit="1" customWidth="1"/>
    <col min="229" max="229" width="7.85546875" style="60" bestFit="1" customWidth="1"/>
    <col min="230" max="230" width="10.42578125" style="60" bestFit="1" customWidth="1"/>
    <col min="231" max="233" width="8.140625" style="60" bestFit="1" customWidth="1"/>
    <col min="234" max="234" width="6.5703125" style="60" bestFit="1" customWidth="1"/>
    <col min="235" max="235" width="9.140625" style="60" bestFit="1" customWidth="1"/>
    <col min="236" max="236" width="6.85546875" style="60" bestFit="1" customWidth="1"/>
    <col min="237" max="237" width="7.85546875" style="60" bestFit="1" customWidth="1"/>
    <col min="238" max="238" width="10.42578125" style="60" bestFit="1" customWidth="1"/>
    <col min="239" max="241" width="8.140625" style="60" bestFit="1" customWidth="1"/>
    <col min="242" max="242" width="6.5703125" style="60" bestFit="1" customWidth="1"/>
    <col min="243" max="243" width="9.140625" style="60" bestFit="1" customWidth="1"/>
    <col min="244" max="244" width="6.85546875" style="60" bestFit="1" customWidth="1"/>
    <col min="245" max="245" width="12.5703125" style="60" bestFit="1" customWidth="1"/>
    <col min="246" max="246" width="10.42578125" style="60" bestFit="1" customWidth="1"/>
    <col min="247" max="249" width="8.140625" style="60" bestFit="1" customWidth="1"/>
    <col min="250" max="250" width="6.5703125" style="60" bestFit="1" customWidth="1"/>
    <col min="251" max="251" width="9.140625" style="60"/>
    <col min="252" max="252" width="6.85546875" style="60" bestFit="1" customWidth="1"/>
    <col min="253" max="253" width="12.85546875" style="60" bestFit="1" customWidth="1"/>
    <col min="254" max="254" width="10.42578125" style="60" bestFit="1" customWidth="1"/>
    <col min="255" max="257" width="8.140625" style="60" bestFit="1" customWidth="1"/>
    <col min="258" max="258" width="6.5703125" style="60" bestFit="1" customWidth="1"/>
    <col min="259" max="259" width="9.140625" style="60"/>
    <col min="260" max="260" width="6.85546875" style="60" bestFit="1" customWidth="1"/>
    <col min="261" max="261" width="13.85546875" style="60" bestFit="1" customWidth="1"/>
    <col min="262" max="262" width="10.42578125" style="60" bestFit="1" customWidth="1"/>
    <col min="263" max="265" width="8.140625" style="60" bestFit="1" customWidth="1"/>
    <col min="266" max="266" width="6.5703125" style="60" bestFit="1" customWidth="1"/>
    <col min="267" max="267" width="9.140625" style="60"/>
    <col min="268" max="268" width="6.85546875" style="60" bestFit="1" customWidth="1"/>
    <col min="269" max="269" width="13.42578125" style="60" bestFit="1" customWidth="1"/>
    <col min="270" max="270" width="10.42578125" style="60" bestFit="1" customWidth="1"/>
    <col min="271" max="273" width="8.140625" style="60" bestFit="1" customWidth="1"/>
    <col min="274" max="274" width="6.5703125" style="60" bestFit="1" customWidth="1"/>
    <col min="275" max="275" width="9.140625" style="60"/>
    <col min="276" max="276" width="6.85546875" style="60" bestFit="1" customWidth="1"/>
    <col min="277" max="277" width="15.140625" style="60" bestFit="1" customWidth="1"/>
    <col min="278" max="278" width="10.42578125" style="60" bestFit="1" customWidth="1"/>
    <col min="279" max="281" width="8.140625" style="60" bestFit="1" customWidth="1"/>
    <col min="282" max="282" width="6.5703125" style="60" bestFit="1" customWidth="1"/>
    <col min="283" max="283" width="9.140625" style="60"/>
    <col min="284" max="284" width="6.85546875" style="60" bestFit="1" customWidth="1"/>
    <col min="285" max="285" width="15.140625" style="60" bestFit="1" customWidth="1"/>
    <col min="286" max="286" width="10.42578125" style="60" bestFit="1" customWidth="1"/>
    <col min="287" max="289" width="8.140625" style="60" bestFit="1" customWidth="1"/>
    <col min="290" max="290" width="6.5703125" style="60" bestFit="1" customWidth="1"/>
    <col min="291" max="291" width="9.140625" style="60"/>
    <col min="292" max="292" width="6.85546875" style="60" bestFit="1" customWidth="1"/>
    <col min="293" max="293" width="15.140625" style="60" bestFit="1" customWidth="1"/>
    <col min="294" max="294" width="10.42578125" style="60" bestFit="1" customWidth="1"/>
    <col min="295" max="297" width="8.140625" style="60" bestFit="1" customWidth="1"/>
    <col min="298" max="298" width="6.5703125" style="60" bestFit="1" customWidth="1"/>
    <col min="299" max="299" width="9.140625" style="60"/>
    <col min="300" max="300" width="6.85546875" style="60" bestFit="1" customWidth="1"/>
    <col min="301" max="301" width="15.140625" style="60" bestFit="1" customWidth="1"/>
    <col min="302" max="302" width="10.42578125" style="60" bestFit="1" customWidth="1"/>
    <col min="303" max="305" width="8.140625" style="60" bestFit="1" customWidth="1"/>
    <col min="306" max="306" width="6.5703125" style="60" bestFit="1" customWidth="1"/>
    <col min="307" max="307" width="9.140625" style="60"/>
    <col min="308" max="308" width="6.85546875" style="60" bestFit="1" customWidth="1"/>
    <col min="309" max="309" width="15.140625" style="60" bestFit="1" customWidth="1"/>
    <col min="310" max="310" width="10.42578125" style="60" bestFit="1" customWidth="1"/>
    <col min="311" max="313" width="8.140625" style="60" bestFit="1" customWidth="1"/>
    <col min="314" max="314" width="6.5703125" style="60" bestFit="1" customWidth="1"/>
    <col min="315" max="315" width="9.140625" style="60"/>
    <col min="316" max="316" width="6.85546875" style="60" bestFit="1" customWidth="1"/>
    <col min="317" max="317" width="15.140625" style="60" bestFit="1" customWidth="1"/>
    <col min="318" max="318" width="10.42578125" style="60" bestFit="1" customWidth="1"/>
    <col min="319" max="321" width="8.140625" style="60" bestFit="1" customWidth="1"/>
    <col min="322" max="322" width="6.5703125" style="60" bestFit="1" customWidth="1"/>
    <col min="323" max="323" width="9.140625" style="60"/>
    <col min="324" max="324" width="6.85546875" style="60" bestFit="1" customWidth="1"/>
    <col min="325" max="325" width="15.140625" style="60" bestFit="1" customWidth="1"/>
    <col min="326" max="326" width="10.42578125" style="60" bestFit="1" customWidth="1"/>
    <col min="327" max="329" width="8.140625" style="60" bestFit="1" customWidth="1"/>
    <col min="330" max="330" width="6.5703125" style="60" bestFit="1" customWidth="1"/>
    <col min="331" max="331" width="9.140625" style="60"/>
    <col min="332" max="332" width="6.85546875" style="60" bestFit="1" customWidth="1"/>
    <col min="333" max="333" width="15.140625" style="60" bestFit="1" customWidth="1"/>
    <col min="334" max="334" width="10.42578125" style="60" bestFit="1" customWidth="1"/>
    <col min="335" max="337" width="8.140625" style="60" bestFit="1" customWidth="1"/>
    <col min="338" max="338" width="6.5703125" style="60" bestFit="1" customWidth="1"/>
    <col min="339" max="339" width="9.140625" style="60"/>
    <col min="340" max="340" width="6.85546875" style="60" bestFit="1" customWidth="1"/>
    <col min="341" max="341" width="13.85546875" style="60" bestFit="1" customWidth="1"/>
    <col min="342" max="342" width="10.42578125" style="60" bestFit="1" customWidth="1"/>
    <col min="343" max="345" width="8.140625" style="60" bestFit="1" customWidth="1"/>
    <col min="346" max="346" width="6.5703125" style="60" bestFit="1" customWidth="1"/>
    <col min="347" max="347" width="9.140625" style="60"/>
    <col min="348" max="348" width="6.85546875" style="60" bestFit="1" customWidth="1"/>
    <col min="349" max="349" width="11" style="60" bestFit="1" customWidth="1"/>
    <col min="350" max="350" width="10.42578125" style="60" bestFit="1" customWidth="1"/>
    <col min="351" max="353" width="8.140625" style="60" bestFit="1" customWidth="1"/>
    <col min="354" max="354" width="6.5703125" style="60" bestFit="1" customWidth="1"/>
    <col min="355" max="355" width="9.140625" style="60"/>
    <col min="356" max="356" width="6.85546875" style="60" bestFit="1" customWidth="1"/>
    <col min="357" max="357" width="12.5703125" style="60" bestFit="1" customWidth="1"/>
    <col min="358" max="358" width="10.42578125" style="60" bestFit="1" customWidth="1"/>
    <col min="359" max="361" width="8.140625" style="60" bestFit="1" customWidth="1"/>
    <col min="362" max="362" width="6.5703125" style="60" bestFit="1" customWidth="1"/>
    <col min="363" max="363" width="9.140625" style="60"/>
    <col min="364" max="364" width="6.85546875" style="60" bestFit="1" customWidth="1"/>
    <col min="365" max="365" width="12.5703125" style="60" bestFit="1" customWidth="1"/>
    <col min="366" max="366" width="10.42578125" style="60" bestFit="1" customWidth="1"/>
    <col min="367" max="369" width="8.140625" style="60" bestFit="1" customWidth="1"/>
    <col min="370" max="370" width="6.5703125" style="60" bestFit="1" customWidth="1"/>
    <col min="371" max="371" width="9.140625" style="60"/>
    <col min="372" max="372" width="6.85546875" style="60" bestFit="1" customWidth="1"/>
    <col min="373" max="374" width="8.85546875" style="60" bestFit="1" customWidth="1"/>
    <col min="375" max="375" width="11" style="60" customWidth="1"/>
    <col min="376" max="376" width="7.42578125" style="60" bestFit="1" customWidth="1"/>
    <col min="377" max="379" width="8.5703125" style="60" bestFit="1" customWidth="1"/>
    <col min="380" max="380" width="14.5703125" style="60" bestFit="1" customWidth="1"/>
    <col min="381" max="16384" width="9.140625" style="60"/>
  </cols>
  <sheetData>
    <row r="1" spans="1:380" s="188" customFormat="1" ht="51" x14ac:dyDescent="0.2">
      <c r="A1" s="186" t="s">
        <v>98</v>
      </c>
      <c r="B1" s="186" t="s">
        <v>99</v>
      </c>
      <c r="C1" s="186" t="s">
        <v>100</v>
      </c>
      <c r="D1" s="186" t="s">
        <v>101</v>
      </c>
      <c r="E1" s="186" t="s">
        <v>102</v>
      </c>
      <c r="F1" s="186" t="s">
        <v>103</v>
      </c>
      <c r="G1" s="186" t="s">
        <v>104</v>
      </c>
      <c r="H1" s="186" t="s">
        <v>105</v>
      </c>
      <c r="I1" s="186" t="s">
        <v>106</v>
      </c>
      <c r="J1" s="186" t="s">
        <v>107</v>
      </c>
      <c r="K1" s="186" t="s">
        <v>108</v>
      </c>
      <c r="L1" s="186" t="s">
        <v>109</v>
      </c>
      <c r="M1" s="186" t="s">
        <v>110</v>
      </c>
      <c r="N1" s="186" t="s">
        <v>111</v>
      </c>
      <c r="O1" s="186" t="s">
        <v>112</v>
      </c>
      <c r="P1" s="186" t="s">
        <v>113</v>
      </c>
      <c r="Q1" s="186" t="s">
        <v>114</v>
      </c>
      <c r="R1" s="186" t="s">
        <v>115</v>
      </c>
      <c r="S1" s="186" t="s">
        <v>116</v>
      </c>
      <c r="T1" s="186" t="s">
        <v>117</v>
      </c>
      <c r="U1" s="186" t="s">
        <v>118</v>
      </c>
      <c r="V1" s="186" t="s">
        <v>119</v>
      </c>
      <c r="W1" s="186" t="s">
        <v>120</v>
      </c>
      <c r="X1" s="186" t="s">
        <v>121</v>
      </c>
      <c r="Y1" s="186" t="s">
        <v>122</v>
      </c>
      <c r="Z1" s="186" t="s">
        <v>123</v>
      </c>
      <c r="AA1" s="186" t="s">
        <v>110</v>
      </c>
      <c r="AB1" s="186" t="s">
        <v>111</v>
      </c>
      <c r="AC1" s="186" t="s">
        <v>112</v>
      </c>
      <c r="AD1" s="186" t="s">
        <v>113</v>
      </c>
      <c r="AE1" s="186" t="s">
        <v>114</v>
      </c>
      <c r="AF1" s="186" t="s">
        <v>115</v>
      </c>
      <c r="AG1" s="186" t="s">
        <v>116</v>
      </c>
      <c r="AH1" s="186" t="s">
        <v>117</v>
      </c>
      <c r="AI1" s="186" t="s">
        <v>118</v>
      </c>
      <c r="AJ1" s="186" t="s">
        <v>119</v>
      </c>
      <c r="AK1" s="186" t="s">
        <v>120</v>
      </c>
      <c r="AL1" s="186" t="s">
        <v>121</v>
      </c>
      <c r="AM1" s="186" t="s">
        <v>122</v>
      </c>
      <c r="AN1" s="186" t="s">
        <v>123</v>
      </c>
      <c r="AO1" s="186" t="s">
        <v>110</v>
      </c>
      <c r="AP1" s="186" t="s">
        <v>111</v>
      </c>
      <c r="AQ1" s="186" t="s">
        <v>112</v>
      </c>
      <c r="AR1" s="186" t="s">
        <v>113</v>
      </c>
      <c r="AS1" s="186" t="s">
        <v>114</v>
      </c>
      <c r="AT1" s="186" t="s">
        <v>115</v>
      </c>
      <c r="AU1" s="186" t="s">
        <v>116</v>
      </c>
      <c r="AV1" s="186" t="s">
        <v>117</v>
      </c>
      <c r="AW1" s="186" t="s">
        <v>118</v>
      </c>
      <c r="AX1" s="186" t="s">
        <v>119</v>
      </c>
      <c r="AY1" s="186" t="s">
        <v>120</v>
      </c>
      <c r="AZ1" s="186" t="s">
        <v>121</v>
      </c>
      <c r="BA1" s="186" t="s">
        <v>122</v>
      </c>
      <c r="BB1" s="186" t="s">
        <v>123</v>
      </c>
      <c r="BC1" s="186" t="s">
        <v>110</v>
      </c>
      <c r="BD1" s="186" t="s">
        <v>111</v>
      </c>
      <c r="BE1" s="186" t="s">
        <v>112</v>
      </c>
      <c r="BF1" s="186" t="s">
        <v>113</v>
      </c>
      <c r="BG1" s="186" t="s">
        <v>114</v>
      </c>
      <c r="BH1" s="186" t="s">
        <v>115</v>
      </c>
      <c r="BI1" s="186" t="s">
        <v>116</v>
      </c>
      <c r="BJ1" s="186" t="s">
        <v>117</v>
      </c>
      <c r="BK1" s="186" t="s">
        <v>118</v>
      </c>
      <c r="BL1" s="186" t="s">
        <v>119</v>
      </c>
      <c r="BM1" s="186" t="s">
        <v>120</v>
      </c>
      <c r="BN1" s="186" t="s">
        <v>121</v>
      </c>
      <c r="BO1" s="186" t="s">
        <v>122</v>
      </c>
      <c r="BP1" s="186" t="s">
        <v>123</v>
      </c>
      <c r="BQ1" s="186" t="s">
        <v>110</v>
      </c>
      <c r="BR1" s="186" t="s">
        <v>111</v>
      </c>
      <c r="BS1" s="186" t="s">
        <v>112</v>
      </c>
      <c r="BT1" s="187" t="s">
        <v>113</v>
      </c>
      <c r="BU1" s="187" t="s">
        <v>114</v>
      </c>
      <c r="BV1" s="187" t="s">
        <v>115</v>
      </c>
      <c r="BW1" s="187" t="s">
        <v>116</v>
      </c>
      <c r="BX1" s="187" t="s">
        <v>117</v>
      </c>
      <c r="BY1" s="187" t="s">
        <v>118</v>
      </c>
      <c r="BZ1" s="187" t="s">
        <v>119</v>
      </c>
      <c r="CA1" s="187" t="s">
        <v>120</v>
      </c>
      <c r="CB1" s="187" t="s">
        <v>121</v>
      </c>
      <c r="CC1" s="187" t="s">
        <v>122</v>
      </c>
      <c r="CD1" s="187" t="s">
        <v>123</v>
      </c>
      <c r="CE1" s="187" t="s">
        <v>110</v>
      </c>
      <c r="CF1" s="187" t="s">
        <v>111</v>
      </c>
      <c r="CG1" s="187" t="s">
        <v>112</v>
      </c>
      <c r="CH1" s="187" t="s">
        <v>113</v>
      </c>
      <c r="CI1" s="187" t="s">
        <v>114</v>
      </c>
      <c r="CJ1" s="187" t="s">
        <v>115</v>
      </c>
      <c r="CK1" s="187" t="s">
        <v>116</v>
      </c>
      <c r="CL1" s="187" t="s">
        <v>117</v>
      </c>
      <c r="CM1" s="187" t="s">
        <v>118</v>
      </c>
      <c r="CN1" s="187" t="s">
        <v>119</v>
      </c>
      <c r="CO1" s="187" t="s">
        <v>120</v>
      </c>
      <c r="CP1" s="187" t="s">
        <v>121</v>
      </c>
      <c r="CQ1" s="187" t="s">
        <v>122</v>
      </c>
      <c r="CR1" s="187" t="s">
        <v>123</v>
      </c>
      <c r="CS1" s="187" t="s">
        <v>110</v>
      </c>
      <c r="CT1" s="187" t="s">
        <v>111</v>
      </c>
      <c r="CU1" s="187" t="s">
        <v>112</v>
      </c>
      <c r="CV1" s="187" t="s">
        <v>113</v>
      </c>
      <c r="CW1" s="187" t="s">
        <v>114</v>
      </c>
      <c r="CX1" s="187" t="s">
        <v>115</v>
      </c>
      <c r="CY1" s="187" t="s">
        <v>116</v>
      </c>
      <c r="CZ1" s="187" t="s">
        <v>117</v>
      </c>
      <c r="DA1" s="187" t="s">
        <v>118</v>
      </c>
      <c r="DB1" s="187" t="s">
        <v>119</v>
      </c>
      <c r="DC1" s="187" t="s">
        <v>120</v>
      </c>
      <c r="DD1" s="187" t="s">
        <v>121</v>
      </c>
      <c r="DE1" s="187" t="s">
        <v>122</v>
      </c>
      <c r="DF1" s="187" t="s">
        <v>123</v>
      </c>
      <c r="DG1" s="187" t="s">
        <v>110</v>
      </c>
      <c r="DH1" s="187" t="s">
        <v>111</v>
      </c>
      <c r="DI1" s="187" t="s">
        <v>112</v>
      </c>
      <c r="DJ1" s="187" t="s">
        <v>113</v>
      </c>
      <c r="DK1" s="187" t="s">
        <v>114</v>
      </c>
      <c r="DL1" s="187" t="s">
        <v>115</v>
      </c>
      <c r="DM1" s="187" t="s">
        <v>116</v>
      </c>
      <c r="DN1" s="187" t="s">
        <v>117</v>
      </c>
      <c r="DO1" s="187" t="s">
        <v>118</v>
      </c>
      <c r="DP1" s="187" t="s">
        <v>119</v>
      </c>
      <c r="DQ1" s="187" t="s">
        <v>120</v>
      </c>
      <c r="DR1" s="187" t="s">
        <v>121</v>
      </c>
      <c r="DS1" s="187" t="s">
        <v>122</v>
      </c>
      <c r="DT1" s="187" t="s">
        <v>123</v>
      </c>
      <c r="DU1" s="187" t="s">
        <v>110</v>
      </c>
      <c r="DV1" s="187" t="s">
        <v>111</v>
      </c>
      <c r="DW1" s="187" t="s">
        <v>112</v>
      </c>
      <c r="DX1" s="187" t="s">
        <v>113</v>
      </c>
      <c r="DY1" s="187" t="s">
        <v>114</v>
      </c>
      <c r="DZ1" s="187" t="s">
        <v>115</v>
      </c>
      <c r="EA1" s="187" t="s">
        <v>116</v>
      </c>
      <c r="EB1" s="187" t="s">
        <v>117</v>
      </c>
      <c r="EC1" s="187" t="s">
        <v>118</v>
      </c>
      <c r="ED1" s="187" t="s">
        <v>119</v>
      </c>
      <c r="EE1" s="187" t="s">
        <v>120</v>
      </c>
      <c r="EF1" s="187" t="s">
        <v>121</v>
      </c>
      <c r="EG1" s="187" t="s">
        <v>122</v>
      </c>
      <c r="EH1" s="187" t="s">
        <v>123</v>
      </c>
      <c r="EI1" s="187" t="s">
        <v>110</v>
      </c>
      <c r="EJ1" s="187" t="s">
        <v>111</v>
      </c>
      <c r="EK1" s="187" t="s">
        <v>112</v>
      </c>
      <c r="EL1" s="187" t="s">
        <v>113</v>
      </c>
      <c r="EM1" s="187" t="s">
        <v>114</v>
      </c>
      <c r="EN1" s="187" t="s">
        <v>115</v>
      </c>
      <c r="EO1" s="187" t="s">
        <v>116</v>
      </c>
      <c r="EP1" s="187" t="s">
        <v>117</v>
      </c>
      <c r="EQ1" s="187" t="s">
        <v>118</v>
      </c>
      <c r="ER1" s="187" t="s">
        <v>119</v>
      </c>
      <c r="ES1" s="187" t="s">
        <v>120</v>
      </c>
      <c r="ET1" s="187" t="s">
        <v>121</v>
      </c>
      <c r="EU1" s="187" t="s">
        <v>122</v>
      </c>
      <c r="EV1" s="187" t="s">
        <v>123</v>
      </c>
      <c r="EW1" s="187" t="s">
        <v>110</v>
      </c>
      <c r="EX1" s="187" t="s">
        <v>111</v>
      </c>
      <c r="EY1" s="187" t="s">
        <v>118</v>
      </c>
      <c r="EZ1" s="187" t="s">
        <v>119</v>
      </c>
      <c r="FA1" s="187" t="s">
        <v>120</v>
      </c>
      <c r="FB1" s="187" t="s">
        <v>121</v>
      </c>
      <c r="FC1" s="187" t="s">
        <v>110</v>
      </c>
      <c r="FD1" s="187" t="s">
        <v>111</v>
      </c>
      <c r="FE1" s="187" t="s">
        <v>118</v>
      </c>
      <c r="FF1" s="187" t="s">
        <v>119</v>
      </c>
      <c r="FG1" s="187" t="s">
        <v>120</v>
      </c>
      <c r="FH1" s="187" t="s">
        <v>121</v>
      </c>
      <c r="FI1" s="187" t="s">
        <v>110</v>
      </c>
      <c r="FJ1" s="187" t="s">
        <v>111</v>
      </c>
      <c r="FK1" s="187" t="s">
        <v>118</v>
      </c>
      <c r="FL1" s="187" t="s">
        <v>119</v>
      </c>
      <c r="FM1" s="187" t="s">
        <v>120</v>
      </c>
      <c r="FN1" s="187" t="s">
        <v>121</v>
      </c>
      <c r="FO1" s="187" t="s">
        <v>298</v>
      </c>
      <c r="FP1" s="187" t="s">
        <v>299</v>
      </c>
      <c r="FQ1" s="187" t="s">
        <v>110</v>
      </c>
      <c r="FR1" s="187" t="s">
        <v>111</v>
      </c>
      <c r="FS1" s="187" t="s">
        <v>118</v>
      </c>
      <c r="FT1" s="187" t="s">
        <v>119</v>
      </c>
      <c r="FU1" s="187" t="s">
        <v>120</v>
      </c>
      <c r="FV1" s="187" t="s">
        <v>121</v>
      </c>
      <c r="FW1" s="187" t="s">
        <v>298</v>
      </c>
      <c r="FX1" s="187" t="s">
        <v>299</v>
      </c>
      <c r="FY1" s="187" t="s">
        <v>110</v>
      </c>
      <c r="FZ1" s="187" t="s">
        <v>111</v>
      </c>
      <c r="GA1" s="187" t="s">
        <v>118</v>
      </c>
      <c r="GB1" s="187" t="s">
        <v>119</v>
      </c>
      <c r="GC1" s="187" t="s">
        <v>120</v>
      </c>
      <c r="GD1" s="187" t="s">
        <v>121</v>
      </c>
      <c r="GE1" s="187" t="s">
        <v>298</v>
      </c>
      <c r="GF1" s="187" t="s">
        <v>299</v>
      </c>
      <c r="GG1" s="187" t="s">
        <v>110</v>
      </c>
      <c r="GH1" s="187" t="s">
        <v>111</v>
      </c>
      <c r="GI1" s="187" t="s">
        <v>118</v>
      </c>
      <c r="GJ1" s="187" t="s">
        <v>119</v>
      </c>
      <c r="GK1" s="187" t="s">
        <v>120</v>
      </c>
      <c r="GL1" s="187" t="s">
        <v>121</v>
      </c>
      <c r="GM1" s="187" t="s">
        <v>298</v>
      </c>
      <c r="GN1" s="187" t="s">
        <v>299</v>
      </c>
      <c r="GO1" s="187" t="s">
        <v>110</v>
      </c>
      <c r="GP1" s="187" t="s">
        <v>111</v>
      </c>
      <c r="GQ1" s="187" t="s">
        <v>118</v>
      </c>
      <c r="GR1" s="187" t="s">
        <v>119</v>
      </c>
      <c r="GS1" s="187" t="s">
        <v>120</v>
      </c>
      <c r="GT1" s="187" t="s">
        <v>121</v>
      </c>
      <c r="GU1" s="187" t="s">
        <v>298</v>
      </c>
      <c r="GV1" s="187" t="s">
        <v>299</v>
      </c>
      <c r="GW1" s="187" t="s">
        <v>110</v>
      </c>
      <c r="GX1" s="187" t="s">
        <v>111</v>
      </c>
      <c r="GY1" s="187" t="s">
        <v>118</v>
      </c>
      <c r="GZ1" s="187" t="s">
        <v>119</v>
      </c>
      <c r="HA1" s="187" t="s">
        <v>120</v>
      </c>
      <c r="HB1" s="187" t="s">
        <v>121</v>
      </c>
      <c r="HC1" s="187" t="s">
        <v>298</v>
      </c>
      <c r="HD1" s="187" t="s">
        <v>299</v>
      </c>
      <c r="HE1" s="187" t="s">
        <v>110</v>
      </c>
      <c r="HF1" s="187" t="s">
        <v>111</v>
      </c>
      <c r="HG1" s="187" t="s">
        <v>118</v>
      </c>
      <c r="HH1" s="187" t="s">
        <v>119</v>
      </c>
      <c r="HI1" s="187" t="s">
        <v>120</v>
      </c>
      <c r="HJ1" s="187" t="s">
        <v>121</v>
      </c>
      <c r="HK1" s="187" t="s">
        <v>298</v>
      </c>
      <c r="HL1" s="187" t="s">
        <v>299</v>
      </c>
      <c r="HM1" s="187" t="s">
        <v>110</v>
      </c>
      <c r="HN1" s="187" t="s">
        <v>111</v>
      </c>
      <c r="HO1" s="187" t="s">
        <v>118</v>
      </c>
      <c r="HP1" s="187" t="s">
        <v>119</v>
      </c>
      <c r="HQ1" s="187" t="s">
        <v>120</v>
      </c>
      <c r="HR1" s="187" t="s">
        <v>121</v>
      </c>
      <c r="HS1" s="187" t="s">
        <v>298</v>
      </c>
      <c r="HT1" s="187" t="s">
        <v>299</v>
      </c>
      <c r="HU1" s="187" t="s">
        <v>110</v>
      </c>
      <c r="HV1" s="187" t="s">
        <v>111</v>
      </c>
      <c r="HW1" s="187" t="s">
        <v>118</v>
      </c>
      <c r="HX1" s="187" t="s">
        <v>119</v>
      </c>
      <c r="HY1" s="187" t="s">
        <v>120</v>
      </c>
      <c r="HZ1" s="187" t="s">
        <v>121</v>
      </c>
      <c r="IA1" s="187" t="s">
        <v>298</v>
      </c>
      <c r="IB1" s="187" t="s">
        <v>299</v>
      </c>
      <c r="IC1" s="187" t="s">
        <v>110</v>
      </c>
      <c r="ID1" s="187" t="s">
        <v>111</v>
      </c>
      <c r="IE1" s="187" t="s">
        <v>118</v>
      </c>
      <c r="IF1" s="187" t="s">
        <v>119</v>
      </c>
      <c r="IG1" s="187" t="s">
        <v>120</v>
      </c>
      <c r="IH1" s="187" t="s">
        <v>121</v>
      </c>
      <c r="II1" s="187" t="s">
        <v>298</v>
      </c>
      <c r="IJ1" s="187" t="s">
        <v>299</v>
      </c>
      <c r="IK1" s="187" t="s">
        <v>110</v>
      </c>
      <c r="IL1" s="187" t="s">
        <v>111</v>
      </c>
      <c r="IM1" s="187" t="s">
        <v>118</v>
      </c>
      <c r="IN1" s="187" t="s">
        <v>119</v>
      </c>
      <c r="IO1" s="187" t="s">
        <v>120</v>
      </c>
      <c r="IP1" s="187" t="s">
        <v>121</v>
      </c>
      <c r="IQ1" s="187" t="s">
        <v>298</v>
      </c>
      <c r="IR1" s="187" t="s">
        <v>299</v>
      </c>
      <c r="IS1" s="187" t="s">
        <v>110</v>
      </c>
      <c r="IT1" s="187" t="s">
        <v>111</v>
      </c>
      <c r="IU1" s="187" t="s">
        <v>118</v>
      </c>
      <c r="IV1" s="187" t="s">
        <v>119</v>
      </c>
      <c r="IW1" s="187" t="s">
        <v>120</v>
      </c>
      <c r="IX1" s="187" t="s">
        <v>121</v>
      </c>
      <c r="IY1" s="187" t="s">
        <v>298</v>
      </c>
      <c r="IZ1" s="187" t="s">
        <v>299</v>
      </c>
      <c r="JA1" s="187" t="s">
        <v>110</v>
      </c>
      <c r="JB1" s="187" t="s">
        <v>111</v>
      </c>
      <c r="JC1" s="187" t="s">
        <v>118</v>
      </c>
      <c r="JD1" s="187" t="s">
        <v>119</v>
      </c>
      <c r="JE1" s="187" t="s">
        <v>120</v>
      </c>
      <c r="JF1" s="187" t="s">
        <v>121</v>
      </c>
      <c r="JG1" s="187" t="s">
        <v>298</v>
      </c>
      <c r="JH1" s="187" t="s">
        <v>299</v>
      </c>
      <c r="JI1" s="187" t="s">
        <v>110</v>
      </c>
      <c r="JJ1" s="187" t="s">
        <v>111</v>
      </c>
      <c r="JK1" s="187" t="s">
        <v>118</v>
      </c>
      <c r="JL1" s="187" t="s">
        <v>119</v>
      </c>
      <c r="JM1" s="187" t="s">
        <v>120</v>
      </c>
      <c r="JN1" s="187" t="s">
        <v>121</v>
      </c>
      <c r="JO1" s="187" t="s">
        <v>298</v>
      </c>
      <c r="JP1" s="187" t="s">
        <v>299</v>
      </c>
      <c r="JQ1" s="187" t="s">
        <v>110</v>
      </c>
      <c r="JR1" s="187" t="s">
        <v>111</v>
      </c>
      <c r="JS1" s="187" t="s">
        <v>118</v>
      </c>
      <c r="JT1" s="187" t="s">
        <v>119</v>
      </c>
      <c r="JU1" s="187" t="s">
        <v>120</v>
      </c>
      <c r="JV1" s="187" t="s">
        <v>121</v>
      </c>
      <c r="JW1" s="187" t="s">
        <v>298</v>
      </c>
      <c r="JX1" s="187" t="s">
        <v>299</v>
      </c>
      <c r="JY1" s="187" t="s">
        <v>110</v>
      </c>
      <c r="JZ1" s="187" t="s">
        <v>111</v>
      </c>
      <c r="KA1" s="187" t="s">
        <v>118</v>
      </c>
      <c r="KB1" s="187" t="s">
        <v>119</v>
      </c>
      <c r="KC1" s="187" t="s">
        <v>120</v>
      </c>
      <c r="KD1" s="187" t="s">
        <v>121</v>
      </c>
      <c r="KE1" s="187" t="s">
        <v>298</v>
      </c>
      <c r="KF1" s="187" t="s">
        <v>299</v>
      </c>
      <c r="KG1" s="187" t="s">
        <v>110</v>
      </c>
      <c r="KH1" s="187" t="s">
        <v>111</v>
      </c>
      <c r="KI1" s="187" t="s">
        <v>118</v>
      </c>
      <c r="KJ1" s="187" t="s">
        <v>119</v>
      </c>
      <c r="KK1" s="187" t="s">
        <v>120</v>
      </c>
      <c r="KL1" s="187" t="s">
        <v>121</v>
      </c>
      <c r="KM1" s="187" t="s">
        <v>298</v>
      </c>
      <c r="KN1" s="187" t="s">
        <v>299</v>
      </c>
      <c r="KO1" s="187" t="s">
        <v>110</v>
      </c>
      <c r="KP1" s="187" t="s">
        <v>111</v>
      </c>
      <c r="KQ1" s="187" t="s">
        <v>118</v>
      </c>
      <c r="KR1" s="187" t="s">
        <v>119</v>
      </c>
      <c r="KS1" s="187" t="s">
        <v>120</v>
      </c>
      <c r="KT1" s="187" t="s">
        <v>121</v>
      </c>
      <c r="KU1" s="187" t="s">
        <v>298</v>
      </c>
      <c r="KV1" s="187" t="s">
        <v>299</v>
      </c>
      <c r="KW1" s="187" t="s">
        <v>110</v>
      </c>
      <c r="KX1" s="187" t="s">
        <v>111</v>
      </c>
      <c r="KY1" s="187" t="s">
        <v>118</v>
      </c>
      <c r="KZ1" s="187" t="s">
        <v>119</v>
      </c>
      <c r="LA1" s="187" t="s">
        <v>120</v>
      </c>
      <c r="LB1" s="187" t="s">
        <v>121</v>
      </c>
      <c r="LC1" s="187" t="s">
        <v>298</v>
      </c>
      <c r="LD1" s="187" t="s">
        <v>299</v>
      </c>
      <c r="LE1" s="187" t="s">
        <v>110</v>
      </c>
      <c r="LF1" s="187" t="s">
        <v>111</v>
      </c>
      <c r="LG1" s="187" t="s">
        <v>118</v>
      </c>
      <c r="LH1" s="187" t="s">
        <v>119</v>
      </c>
      <c r="LI1" s="187" t="s">
        <v>120</v>
      </c>
      <c r="LJ1" s="187" t="s">
        <v>121</v>
      </c>
      <c r="LK1" s="187" t="s">
        <v>298</v>
      </c>
      <c r="LL1" s="187" t="s">
        <v>299</v>
      </c>
      <c r="LM1" s="187" t="s">
        <v>110</v>
      </c>
      <c r="LN1" s="187" t="s">
        <v>111</v>
      </c>
      <c r="LO1" s="187" t="s">
        <v>118</v>
      </c>
      <c r="LP1" s="187" t="s">
        <v>119</v>
      </c>
      <c r="LQ1" s="187" t="s">
        <v>120</v>
      </c>
      <c r="LR1" s="187" t="s">
        <v>121</v>
      </c>
      <c r="LS1" s="187" t="s">
        <v>298</v>
      </c>
      <c r="LT1" s="187" t="s">
        <v>299</v>
      </c>
      <c r="LU1" s="187" t="s">
        <v>110</v>
      </c>
      <c r="LV1" s="187" t="s">
        <v>111</v>
      </c>
      <c r="LW1" s="187" t="s">
        <v>118</v>
      </c>
      <c r="LX1" s="187" t="s">
        <v>119</v>
      </c>
      <c r="LY1" s="187" t="s">
        <v>120</v>
      </c>
      <c r="LZ1" s="187" t="s">
        <v>121</v>
      </c>
      <c r="MA1" s="187" t="s">
        <v>298</v>
      </c>
      <c r="MB1" s="187" t="s">
        <v>299</v>
      </c>
      <c r="MC1" s="187" t="s">
        <v>110</v>
      </c>
      <c r="MD1" s="187" t="s">
        <v>111</v>
      </c>
      <c r="ME1" s="187" t="s">
        <v>118</v>
      </c>
      <c r="MF1" s="187" t="s">
        <v>119</v>
      </c>
      <c r="MG1" s="187" t="s">
        <v>120</v>
      </c>
      <c r="MH1" s="187" t="s">
        <v>121</v>
      </c>
      <c r="MI1" s="187" t="s">
        <v>298</v>
      </c>
      <c r="MJ1" s="187" t="s">
        <v>299</v>
      </c>
      <c r="MK1" s="187" t="s">
        <v>110</v>
      </c>
      <c r="ML1" s="187" t="s">
        <v>111</v>
      </c>
      <c r="MM1" s="187" t="s">
        <v>118</v>
      </c>
      <c r="MN1" s="187" t="s">
        <v>119</v>
      </c>
      <c r="MO1" s="187" t="s">
        <v>120</v>
      </c>
      <c r="MP1" s="187" t="s">
        <v>121</v>
      </c>
      <c r="MQ1" s="187" t="s">
        <v>298</v>
      </c>
      <c r="MR1" s="187" t="s">
        <v>299</v>
      </c>
      <c r="MS1" s="187" t="s">
        <v>110</v>
      </c>
      <c r="MT1" s="187" t="s">
        <v>111</v>
      </c>
      <c r="MU1" s="187" t="s">
        <v>118</v>
      </c>
      <c r="MV1" s="187" t="s">
        <v>119</v>
      </c>
      <c r="MW1" s="187" t="s">
        <v>120</v>
      </c>
      <c r="MX1" s="187" t="s">
        <v>121</v>
      </c>
      <c r="MY1" s="187" t="s">
        <v>298</v>
      </c>
      <c r="MZ1" s="187" t="s">
        <v>299</v>
      </c>
      <c r="NA1" s="187" t="s">
        <v>110</v>
      </c>
      <c r="NB1" s="187" t="s">
        <v>111</v>
      </c>
      <c r="NC1" s="187" t="s">
        <v>118</v>
      </c>
      <c r="ND1" s="187" t="s">
        <v>119</v>
      </c>
      <c r="NE1" s="187" t="s">
        <v>120</v>
      </c>
      <c r="NF1" s="187" t="s">
        <v>121</v>
      </c>
      <c r="NG1" s="187" t="s">
        <v>298</v>
      </c>
      <c r="NH1" s="187" t="s">
        <v>299</v>
      </c>
      <c r="NI1" s="187" t="s">
        <v>124</v>
      </c>
      <c r="NJ1" s="187" t="s">
        <v>125</v>
      </c>
      <c r="NK1" s="187" t="s">
        <v>126</v>
      </c>
      <c r="NL1" s="187" t="s">
        <v>244</v>
      </c>
      <c r="NM1" s="187" t="s">
        <v>245</v>
      </c>
      <c r="NN1" s="187" t="s">
        <v>246</v>
      </c>
      <c r="NO1" s="187" t="s">
        <v>247</v>
      </c>
      <c r="NP1" s="187" t="s">
        <v>248</v>
      </c>
    </row>
    <row r="2" spans="1:380" customFormat="1" x14ac:dyDescent="0.2">
      <c r="A2" t="s">
        <v>517</v>
      </c>
      <c r="B2">
        <v>1</v>
      </c>
      <c r="C2" t="s">
        <v>804</v>
      </c>
      <c r="D2">
        <v>646950284</v>
      </c>
      <c r="E2">
        <v>12602</v>
      </c>
      <c r="F2" t="s">
        <v>805</v>
      </c>
      <c r="G2">
        <v>802069</v>
      </c>
      <c r="H2">
        <v>886901</v>
      </c>
      <c r="I2" t="s">
        <v>622</v>
      </c>
      <c r="J2" t="s">
        <v>806</v>
      </c>
      <c r="K2" t="s">
        <v>545</v>
      </c>
      <c r="L2" t="s">
        <v>442</v>
      </c>
      <c r="M2" t="s">
        <v>546</v>
      </c>
      <c r="N2" t="s">
        <v>468</v>
      </c>
      <c r="O2" t="s">
        <v>547</v>
      </c>
      <c r="P2" t="s">
        <v>264</v>
      </c>
      <c r="Q2">
        <v>26.8</v>
      </c>
      <c r="R2">
        <v>283</v>
      </c>
      <c r="S2" t="s">
        <v>264</v>
      </c>
      <c r="T2">
        <v>-9999</v>
      </c>
      <c r="U2">
        <v>604</v>
      </c>
      <c r="V2">
        <v>623</v>
      </c>
      <c r="W2">
        <v>595</v>
      </c>
      <c r="X2" t="s">
        <v>270</v>
      </c>
      <c r="Y2">
        <v>0</v>
      </c>
      <c r="Z2">
        <v>55</v>
      </c>
      <c r="AA2" t="s">
        <v>469</v>
      </c>
      <c r="AB2" t="s">
        <v>548</v>
      </c>
      <c r="AC2">
        <v>1</v>
      </c>
      <c r="AD2" t="s">
        <v>584</v>
      </c>
      <c r="AE2">
        <v>25.9</v>
      </c>
      <c r="AF2">
        <v>1451</v>
      </c>
      <c r="AG2" t="s">
        <v>264</v>
      </c>
      <c r="AH2">
        <v>-9999</v>
      </c>
      <c r="AI2">
        <v>446</v>
      </c>
      <c r="AJ2">
        <v>556</v>
      </c>
      <c r="AK2">
        <v>445</v>
      </c>
      <c r="AL2" t="s">
        <v>270</v>
      </c>
      <c r="AM2">
        <v>0</v>
      </c>
      <c r="AN2">
        <v>55</v>
      </c>
      <c r="AO2" t="s">
        <v>470</v>
      </c>
      <c r="AP2" t="s">
        <v>548</v>
      </c>
      <c r="AQ2">
        <v>2</v>
      </c>
      <c r="AR2" t="s">
        <v>584</v>
      </c>
      <c r="AS2">
        <v>36.799999999999997</v>
      </c>
      <c r="AT2">
        <v>394</v>
      </c>
      <c r="AU2" t="s">
        <v>264</v>
      </c>
      <c r="AV2">
        <v>-9999</v>
      </c>
      <c r="AW2">
        <v>407</v>
      </c>
      <c r="AX2">
        <v>431</v>
      </c>
      <c r="AY2">
        <v>406</v>
      </c>
      <c r="AZ2" t="s">
        <v>270</v>
      </c>
      <c r="BA2">
        <v>0</v>
      </c>
      <c r="BB2">
        <v>55</v>
      </c>
      <c r="BC2" t="s">
        <v>550</v>
      </c>
      <c r="BD2" t="s">
        <v>548</v>
      </c>
      <c r="BE2">
        <v>3</v>
      </c>
      <c r="BF2" t="s">
        <v>584</v>
      </c>
      <c r="BG2">
        <v>24.1</v>
      </c>
      <c r="BH2">
        <v>601</v>
      </c>
      <c r="BI2" t="s">
        <v>264</v>
      </c>
      <c r="BJ2">
        <v>-9999</v>
      </c>
      <c r="BK2">
        <v>266</v>
      </c>
      <c r="BL2">
        <v>326</v>
      </c>
      <c r="BM2">
        <v>266</v>
      </c>
      <c r="BN2" t="s">
        <v>270</v>
      </c>
      <c r="BO2">
        <v>0</v>
      </c>
      <c r="BP2">
        <v>55</v>
      </c>
      <c r="BQ2" t="s">
        <v>504</v>
      </c>
      <c r="BR2" t="s">
        <v>548</v>
      </c>
      <c r="BS2">
        <v>4</v>
      </c>
      <c r="BT2" t="s">
        <v>584</v>
      </c>
      <c r="BU2">
        <v>30.9</v>
      </c>
      <c r="BV2">
        <v>309</v>
      </c>
      <c r="BW2" t="s">
        <v>264</v>
      </c>
      <c r="BX2">
        <v>-9999</v>
      </c>
      <c r="BY2">
        <v>217</v>
      </c>
      <c r="BZ2">
        <v>251</v>
      </c>
      <c r="CA2">
        <v>214</v>
      </c>
      <c r="CB2" t="s">
        <v>270</v>
      </c>
      <c r="CC2">
        <v>0</v>
      </c>
      <c r="CD2">
        <v>55</v>
      </c>
      <c r="CE2" t="s">
        <v>471</v>
      </c>
      <c r="CF2" t="s">
        <v>548</v>
      </c>
      <c r="CG2">
        <v>5</v>
      </c>
      <c r="CH2" t="s">
        <v>584</v>
      </c>
      <c r="CI2">
        <v>36.1</v>
      </c>
      <c r="CJ2">
        <v>209</v>
      </c>
      <c r="CK2" t="s">
        <v>264</v>
      </c>
      <c r="CL2">
        <v>-9999</v>
      </c>
      <c r="CM2">
        <v>514</v>
      </c>
      <c r="CN2">
        <v>600</v>
      </c>
      <c r="CO2">
        <v>513</v>
      </c>
      <c r="CP2" t="s">
        <v>270</v>
      </c>
      <c r="CQ2">
        <v>0</v>
      </c>
      <c r="CR2">
        <v>55</v>
      </c>
      <c r="CS2" t="s">
        <v>472</v>
      </c>
      <c r="CT2" t="s">
        <v>548</v>
      </c>
      <c r="CU2">
        <v>6</v>
      </c>
      <c r="CV2" t="s">
        <v>584</v>
      </c>
      <c r="CW2">
        <v>35.299999999999997</v>
      </c>
      <c r="CX2">
        <v>244</v>
      </c>
      <c r="CY2" t="s">
        <v>264</v>
      </c>
      <c r="CZ2">
        <v>-9999</v>
      </c>
      <c r="DA2">
        <v>713</v>
      </c>
      <c r="DB2">
        <v>809</v>
      </c>
      <c r="DC2">
        <v>702</v>
      </c>
      <c r="DD2" t="s">
        <v>270</v>
      </c>
      <c r="DE2">
        <v>0</v>
      </c>
      <c r="DF2">
        <v>55</v>
      </c>
      <c r="DG2" t="s">
        <v>473</v>
      </c>
      <c r="DH2" t="s">
        <v>548</v>
      </c>
      <c r="DI2">
        <v>7</v>
      </c>
      <c r="DJ2" t="s">
        <v>584</v>
      </c>
      <c r="DK2">
        <v>25.3</v>
      </c>
      <c r="DL2">
        <v>198</v>
      </c>
      <c r="DM2" t="s">
        <v>264</v>
      </c>
      <c r="DN2">
        <v>-9999</v>
      </c>
      <c r="DO2">
        <v>558</v>
      </c>
      <c r="DP2">
        <v>640</v>
      </c>
      <c r="DQ2">
        <v>553</v>
      </c>
      <c r="DR2" t="s">
        <v>270</v>
      </c>
      <c r="DS2">
        <v>0</v>
      </c>
      <c r="DT2">
        <v>55</v>
      </c>
      <c r="DU2" t="s">
        <v>474</v>
      </c>
      <c r="DV2" t="s">
        <v>548</v>
      </c>
      <c r="DW2">
        <v>8</v>
      </c>
      <c r="DX2" t="s">
        <v>584</v>
      </c>
      <c r="DY2">
        <v>22.5</v>
      </c>
      <c r="DZ2">
        <v>429</v>
      </c>
      <c r="EA2" t="s">
        <v>264</v>
      </c>
      <c r="EB2">
        <v>-9999</v>
      </c>
      <c r="EC2">
        <v>123</v>
      </c>
      <c r="ED2">
        <v>148</v>
      </c>
      <c r="EE2">
        <v>122</v>
      </c>
      <c r="EF2" t="s">
        <v>270</v>
      </c>
      <c r="EG2">
        <v>0</v>
      </c>
      <c r="EH2">
        <v>55</v>
      </c>
      <c r="EI2" t="s">
        <v>475</v>
      </c>
      <c r="EJ2" t="s">
        <v>548</v>
      </c>
      <c r="EK2">
        <v>9</v>
      </c>
      <c r="EL2" t="s">
        <v>584</v>
      </c>
      <c r="EM2">
        <v>26.7</v>
      </c>
      <c r="EN2">
        <v>93</v>
      </c>
      <c r="EO2" t="s">
        <v>264</v>
      </c>
      <c r="EP2">
        <v>-9999</v>
      </c>
      <c r="EQ2">
        <v>356</v>
      </c>
      <c r="ER2">
        <v>340</v>
      </c>
      <c r="ES2">
        <v>320</v>
      </c>
      <c r="ET2" t="s">
        <v>270</v>
      </c>
      <c r="EU2">
        <v>0</v>
      </c>
      <c r="EV2">
        <v>55</v>
      </c>
      <c r="EW2" t="s">
        <v>551</v>
      </c>
      <c r="EX2" t="s">
        <v>552</v>
      </c>
      <c r="EY2">
        <v>151</v>
      </c>
      <c r="EZ2">
        <v>151</v>
      </c>
      <c r="FA2">
        <v>151</v>
      </c>
      <c r="FB2" t="s">
        <v>270</v>
      </c>
      <c r="FC2" t="s">
        <v>553</v>
      </c>
      <c r="FD2" t="s">
        <v>552</v>
      </c>
      <c r="FE2">
        <v>299</v>
      </c>
      <c r="FF2">
        <v>298</v>
      </c>
      <c r="FG2">
        <v>297</v>
      </c>
      <c r="FH2" t="s">
        <v>270</v>
      </c>
      <c r="FI2" t="s">
        <v>554</v>
      </c>
      <c r="FJ2" t="s">
        <v>555</v>
      </c>
      <c r="FK2">
        <v>0</v>
      </c>
      <c r="FL2">
        <v>0</v>
      </c>
      <c r="FM2">
        <v>0</v>
      </c>
      <c r="FN2" t="s">
        <v>264</v>
      </c>
      <c r="FO2">
        <v>76.099999999999994</v>
      </c>
      <c r="FP2">
        <v>308.39999999999998</v>
      </c>
      <c r="FQ2" t="s">
        <v>556</v>
      </c>
      <c r="FR2" t="s">
        <v>555</v>
      </c>
      <c r="FS2">
        <v>0</v>
      </c>
      <c r="FT2">
        <v>0</v>
      </c>
      <c r="FU2">
        <v>0</v>
      </c>
      <c r="FV2" t="s">
        <v>264</v>
      </c>
      <c r="FW2">
        <v>73.5</v>
      </c>
      <c r="FX2">
        <v>103.1</v>
      </c>
      <c r="FY2" t="s">
        <v>557</v>
      </c>
      <c r="FZ2" t="s">
        <v>555</v>
      </c>
      <c r="GA2">
        <v>0</v>
      </c>
      <c r="GB2">
        <v>0</v>
      </c>
      <c r="GC2">
        <v>0</v>
      </c>
      <c r="GD2" t="s">
        <v>264</v>
      </c>
      <c r="GE2">
        <v>71.3</v>
      </c>
      <c r="GF2">
        <v>293.8</v>
      </c>
      <c r="GG2" t="s">
        <v>558</v>
      </c>
      <c r="GH2" t="s">
        <v>555</v>
      </c>
      <c r="GI2">
        <v>0</v>
      </c>
      <c r="GJ2">
        <v>0</v>
      </c>
      <c r="GK2">
        <v>0</v>
      </c>
      <c r="GL2" t="s">
        <v>264</v>
      </c>
      <c r="GM2">
        <v>68.5</v>
      </c>
      <c r="GN2">
        <v>54.5</v>
      </c>
      <c r="GO2" t="s">
        <v>559</v>
      </c>
      <c r="GP2" t="s">
        <v>555</v>
      </c>
      <c r="GQ2">
        <v>0</v>
      </c>
      <c r="GR2">
        <v>0</v>
      </c>
      <c r="GS2">
        <v>0</v>
      </c>
      <c r="GT2" t="s">
        <v>264</v>
      </c>
      <c r="GU2">
        <v>76</v>
      </c>
      <c r="GV2">
        <v>61.5</v>
      </c>
      <c r="GW2" t="s">
        <v>560</v>
      </c>
      <c r="GX2" t="s">
        <v>555</v>
      </c>
      <c r="GY2">
        <v>0</v>
      </c>
      <c r="GZ2">
        <v>0</v>
      </c>
      <c r="HA2">
        <v>0</v>
      </c>
      <c r="HB2" t="s">
        <v>264</v>
      </c>
      <c r="HC2">
        <v>70.2</v>
      </c>
      <c r="HD2">
        <v>80.900000000000006</v>
      </c>
      <c r="HE2" t="s">
        <v>561</v>
      </c>
      <c r="HF2" t="s">
        <v>555</v>
      </c>
      <c r="HG2">
        <v>0</v>
      </c>
      <c r="HH2">
        <v>0</v>
      </c>
      <c r="HI2">
        <v>0</v>
      </c>
      <c r="HJ2" t="s">
        <v>264</v>
      </c>
      <c r="HK2">
        <v>70.8</v>
      </c>
      <c r="HL2">
        <v>138.1</v>
      </c>
      <c r="HM2" t="s">
        <v>562</v>
      </c>
      <c r="HN2" t="s">
        <v>555</v>
      </c>
      <c r="HO2">
        <v>0</v>
      </c>
      <c r="HP2">
        <v>0</v>
      </c>
      <c r="HQ2">
        <v>0</v>
      </c>
      <c r="HR2" t="s">
        <v>264</v>
      </c>
      <c r="HS2">
        <v>69.3</v>
      </c>
      <c r="HT2">
        <v>92.7</v>
      </c>
      <c r="HU2" t="s">
        <v>563</v>
      </c>
      <c r="HV2" t="s">
        <v>555</v>
      </c>
      <c r="HW2">
        <v>0</v>
      </c>
      <c r="HX2">
        <v>0</v>
      </c>
      <c r="HY2">
        <v>0</v>
      </c>
      <c r="HZ2" t="s">
        <v>264</v>
      </c>
      <c r="IA2">
        <v>74.8</v>
      </c>
      <c r="IB2">
        <v>185.6</v>
      </c>
      <c r="IC2" t="s">
        <v>564</v>
      </c>
      <c r="ID2" t="s">
        <v>555</v>
      </c>
      <c r="IE2">
        <v>0</v>
      </c>
      <c r="IF2">
        <v>0</v>
      </c>
      <c r="IG2">
        <v>0</v>
      </c>
      <c r="IH2" t="s">
        <v>264</v>
      </c>
      <c r="II2">
        <v>68.3</v>
      </c>
      <c r="IJ2">
        <v>134.6</v>
      </c>
      <c r="IK2" t="s">
        <v>565</v>
      </c>
      <c r="IL2" t="s">
        <v>555</v>
      </c>
      <c r="IM2">
        <v>0</v>
      </c>
      <c r="IN2">
        <v>0</v>
      </c>
      <c r="IO2">
        <v>0</v>
      </c>
      <c r="IP2" t="s">
        <v>264</v>
      </c>
      <c r="IS2" t="s">
        <v>566</v>
      </c>
      <c r="IT2" t="s">
        <v>555</v>
      </c>
      <c r="IU2">
        <v>0</v>
      </c>
      <c r="IV2">
        <v>0</v>
      </c>
      <c r="IW2">
        <v>0</v>
      </c>
      <c r="IX2" t="s">
        <v>264</v>
      </c>
      <c r="JA2" t="s">
        <v>567</v>
      </c>
      <c r="JB2" t="s">
        <v>555</v>
      </c>
      <c r="JC2">
        <v>0</v>
      </c>
      <c r="JD2">
        <v>0</v>
      </c>
      <c r="JE2">
        <v>0</v>
      </c>
      <c r="JF2" t="s">
        <v>264</v>
      </c>
      <c r="JI2" t="s">
        <v>568</v>
      </c>
      <c r="JJ2" t="s">
        <v>555</v>
      </c>
      <c r="JK2">
        <v>0</v>
      </c>
      <c r="JL2">
        <v>0</v>
      </c>
      <c r="JM2">
        <v>0</v>
      </c>
      <c r="JN2" t="s">
        <v>264</v>
      </c>
      <c r="JQ2" t="s">
        <v>569</v>
      </c>
      <c r="JR2" t="s">
        <v>555</v>
      </c>
      <c r="JS2">
        <v>0</v>
      </c>
      <c r="JT2">
        <v>0</v>
      </c>
      <c r="JU2">
        <v>0</v>
      </c>
      <c r="JV2" t="s">
        <v>264</v>
      </c>
      <c r="JY2" t="s">
        <v>570</v>
      </c>
      <c r="JZ2" t="s">
        <v>555</v>
      </c>
      <c r="KA2">
        <v>0</v>
      </c>
      <c r="KB2">
        <v>0</v>
      </c>
      <c r="KC2">
        <v>0</v>
      </c>
      <c r="KD2" t="s">
        <v>264</v>
      </c>
      <c r="KG2" t="s">
        <v>571</v>
      </c>
      <c r="KH2" t="s">
        <v>555</v>
      </c>
      <c r="KI2">
        <v>0</v>
      </c>
      <c r="KJ2">
        <v>0</v>
      </c>
      <c r="KK2">
        <v>0</v>
      </c>
      <c r="KL2" t="s">
        <v>264</v>
      </c>
      <c r="KO2" t="s">
        <v>572</v>
      </c>
      <c r="KP2" t="s">
        <v>555</v>
      </c>
      <c r="KQ2">
        <v>0</v>
      </c>
      <c r="KR2">
        <v>0</v>
      </c>
      <c r="KS2">
        <v>0</v>
      </c>
      <c r="KT2" t="s">
        <v>264</v>
      </c>
      <c r="KW2" t="s">
        <v>573</v>
      </c>
      <c r="KX2" t="s">
        <v>555</v>
      </c>
      <c r="KY2">
        <v>0</v>
      </c>
      <c r="KZ2">
        <v>0</v>
      </c>
      <c r="LA2">
        <v>0</v>
      </c>
      <c r="LB2" t="s">
        <v>264</v>
      </c>
      <c r="LE2" t="s">
        <v>574</v>
      </c>
      <c r="LF2" t="s">
        <v>555</v>
      </c>
      <c r="LG2">
        <v>0</v>
      </c>
      <c r="LH2">
        <v>0</v>
      </c>
      <c r="LI2">
        <v>0</v>
      </c>
      <c r="LJ2" t="s">
        <v>264</v>
      </c>
      <c r="LM2" t="s">
        <v>575</v>
      </c>
      <c r="LN2" t="s">
        <v>555</v>
      </c>
      <c r="LO2">
        <v>0</v>
      </c>
      <c r="LP2">
        <v>0</v>
      </c>
      <c r="LQ2">
        <v>0</v>
      </c>
      <c r="LR2" t="s">
        <v>264</v>
      </c>
      <c r="LU2" t="s">
        <v>576</v>
      </c>
      <c r="LV2" t="s">
        <v>555</v>
      </c>
      <c r="LW2">
        <v>0</v>
      </c>
      <c r="LX2">
        <v>0</v>
      </c>
      <c r="LY2">
        <v>0</v>
      </c>
      <c r="LZ2" t="s">
        <v>264</v>
      </c>
      <c r="MC2" t="s">
        <v>577</v>
      </c>
      <c r="MD2" t="s">
        <v>555</v>
      </c>
      <c r="ME2">
        <v>0</v>
      </c>
      <c r="MF2">
        <v>0</v>
      </c>
      <c r="MG2">
        <v>0</v>
      </c>
      <c r="MH2" t="s">
        <v>264</v>
      </c>
      <c r="MK2" t="s">
        <v>578</v>
      </c>
      <c r="ML2" t="s">
        <v>555</v>
      </c>
      <c r="MM2">
        <v>0</v>
      </c>
      <c r="MN2">
        <v>0</v>
      </c>
      <c r="MO2">
        <v>0</v>
      </c>
      <c r="MP2" t="s">
        <v>264</v>
      </c>
      <c r="MS2" t="s">
        <v>579</v>
      </c>
      <c r="MT2" t="s">
        <v>555</v>
      </c>
      <c r="MU2">
        <v>0</v>
      </c>
      <c r="MV2">
        <v>0</v>
      </c>
      <c r="MW2">
        <v>0</v>
      </c>
      <c r="MX2" t="s">
        <v>264</v>
      </c>
      <c r="NA2" t="s">
        <v>580</v>
      </c>
      <c r="NB2" t="s">
        <v>555</v>
      </c>
      <c r="NC2">
        <v>0</v>
      </c>
      <c r="ND2">
        <v>0</v>
      </c>
      <c r="NE2">
        <v>0</v>
      </c>
      <c r="NF2" t="s">
        <v>264</v>
      </c>
      <c r="NI2">
        <v>40.1</v>
      </c>
      <c r="NJ2">
        <v>-5.4</v>
      </c>
      <c r="NP2" t="s">
        <v>624</v>
      </c>
    </row>
    <row r="3" spans="1:380" customFormat="1" x14ac:dyDescent="0.2">
      <c r="A3" t="s">
        <v>517</v>
      </c>
      <c r="B3">
        <v>1</v>
      </c>
      <c r="C3" t="s">
        <v>807</v>
      </c>
      <c r="D3">
        <v>646950342</v>
      </c>
      <c r="E3">
        <v>12602</v>
      </c>
      <c r="F3" t="s">
        <v>805</v>
      </c>
      <c r="G3">
        <v>802069</v>
      </c>
      <c r="H3">
        <v>210082244</v>
      </c>
      <c r="I3" t="s">
        <v>622</v>
      </c>
      <c r="J3" t="s">
        <v>808</v>
      </c>
      <c r="K3" t="s">
        <v>545</v>
      </c>
      <c r="L3" t="s">
        <v>442</v>
      </c>
      <c r="M3" t="s">
        <v>546</v>
      </c>
      <c r="N3" t="s">
        <v>468</v>
      </c>
      <c r="O3" t="s">
        <v>547</v>
      </c>
      <c r="P3" t="s">
        <v>264</v>
      </c>
      <c r="Q3">
        <v>25.9</v>
      </c>
      <c r="R3">
        <v>254</v>
      </c>
      <c r="S3" t="s">
        <v>264</v>
      </c>
      <c r="T3">
        <v>-9999</v>
      </c>
      <c r="U3">
        <v>584</v>
      </c>
      <c r="V3">
        <v>602</v>
      </c>
      <c r="W3">
        <v>573</v>
      </c>
      <c r="X3" t="s">
        <v>270</v>
      </c>
      <c r="Y3">
        <v>0</v>
      </c>
      <c r="Z3">
        <v>55</v>
      </c>
      <c r="AA3" t="s">
        <v>469</v>
      </c>
      <c r="AB3" t="s">
        <v>548</v>
      </c>
      <c r="AC3">
        <v>1</v>
      </c>
      <c r="AD3" t="s">
        <v>584</v>
      </c>
      <c r="AE3">
        <v>25.2</v>
      </c>
      <c r="AF3">
        <v>1376</v>
      </c>
      <c r="AG3" t="s">
        <v>264</v>
      </c>
      <c r="AH3">
        <v>-9999</v>
      </c>
      <c r="AI3">
        <v>494</v>
      </c>
      <c r="AJ3">
        <v>610</v>
      </c>
      <c r="AK3">
        <v>494</v>
      </c>
      <c r="AL3" t="s">
        <v>270</v>
      </c>
      <c r="AM3">
        <v>0</v>
      </c>
      <c r="AN3">
        <v>55</v>
      </c>
      <c r="AO3" t="s">
        <v>470</v>
      </c>
      <c r="AP3" t="s">
        <v>548</v>
      </c>
      <c r="AQ3">
        <v>2</v>
      </c>
      <c r="AR3" t="s">
        <v>584</v>
      </c>
      <c r="AS3">
        <v>36.5</v>
      </c>
      <c r="AT3">
        <v>373</v>
      </c>
      <c r="AU3" t="s">
        <v>264</v>
      </c>
      <c r="AV3">
        <v>-9999</v>
      </c>
      <c r="AW3">
        <v>359</v>
      </c>
      <c r="AX3">
        <v>378</v>
      </c>
      <c r="AY3">
        <v>359</v>
      </c>
      <c r="AZ3" t="s">
        <v>270</v>
      </c>
      <c r="BA3">
        <v>0</v>
      </c>
      <c r="BB3">
        <v>55</v>
      </c>
      <c r="BC3" t="s">
        <v>550</v>
      </c>
      <c r="BD3" t="s">
        <v>548</v>
      </c>
      <c r="BE3">
        <v>3</v>
      </c>
      <c r="BF3" t="s">
        <v>584</v>
      </c>
      <c r="BG3">
        <v>23.2</v>
      </c>
      <c r="BH3">
        <v>643</v>
      </c>
      <c r="BI3" t="s">
        <v>264</v>
      </c>
      <c r="BJ3">
        <v>-9999</v>
      </c>
      <c r="BK3">
        <v>152</v>
      </c>
      <c r="BL3">
        <v>188</v>
      </c>
      <c r="BM3">
        <v>149</v>
      </c>
      <c r="BN3" t="s">
        <v>270</v>
      </c>
      <c r="BO3">
        <v>0</v>
      </c>
      <c r="BP3">
        <v>55</v>
      </c>
      <c r="BQ3" t="s">
        <v>504</v>
      </c>
      <c r="BR3" t="s">
        <v>548</v>
      </c>
      <c r="BS3">
        <v>4</v>
      </c>
      <c r="BT3" t="s">
        <v>584</v>
      </c>
      <c r="BU3">
        <v>29.6</v>
      </c>
      <c r="BV3">
        <v>282</v>
      </c>
      <c r="BW3" t="s">
        <v>264</v>
      </c>
      <c r="BX3">
        <v>-9999</v>
      </c>
      <c r="BY3">
        <v>220</v>
      </c>
      <c r="BZ3">
        <v>254</v>
      </c>
      <c r="CA3">
        <v>218</v>
      </c>
      <c r="CB3" t="s">
        <v>270</v>
      </c>
      <c r="CC3">
        <v>0</v>
      </c>
      <c r="CD3">
        <v>55</v>
      </c>
      <c r="CE3" t="s">
        <v>471</v>
      </c>
      <c r="CF3" t="s">
        <v>548</v>
      </c>
      <c r="CG3">
        <v>5</v>
      </c>
      <c r="CH3" t="s">
        <v>584</v>
      </c>
      <c r="CI3">
        <v>34.4</v>
      </c>
      <c r="CJ3">
        <v>222</v>
      </c>
      <c r="CK3" t="s">
        <v>264</v>
      </c>
      <c r="CL3">
        <v>-9999</v>
      </c>
      <c r="CM3">
        <v>522</v>
      </c>
      <c r="CN3">
        <v>611</v>
      </c>
      <c r="CO3">
        <v>521</v>
      </c>
      <c r="CP3" t="s">
        <v>270</v>
      </c>
      <c r="CQ3">
        <v>0</v>
      </c>
      <c r="CR3">
        <v>55</v>
      </c>
      <c r="CS3" t="s">
        <v>472</v>
      </c>
      <c r="CT3" t="s">
        <v>548</v>
      </c>
      <c r="CU3">
        <v>6</v>
      </c>
      <c r="CV3" t="s">
        <v>584</v>
      </c>
      <c r="CW3">
        <v>33.6</v>
      </c>
      <c r="CX3">
        <v>259</v>
      </c>
      <c r="CY3" t="s">
        <v>264</v>
      </c>
      <c r="CZ3">
        <v>-9999</v>
      </c>
      <c r="DA3">
        <v>682</v>
      </c>
      <c r="DB3">
        <v>772</v>
      </c>
      <c r="DC3">
        <v>670</v>
      </c>
      <c r="DD3" t="s">
        <v>270</v>
      </c>
      <c r="DE3">
        <v>0</v>
      </c>
      <c r="DF3">
        <v>55</v>
      </c>
      <c r="DG3" t="s">
        <v>473</v>
      </c>
      <c r="DH3" t="s">
        <v>548</v>
      </c>
      <c r="DI3">
        <v>7</v>
      </c>
      <c r="DJ3" t="s">
        <v>584</v>
      </c>
      <c r="DK3">
        <v>24</v>
      </c>
      <c r="DL3">
        <v>211</v>
      </c>
      <c r="DM3" t="s">
        <v>264</v>
      </c>
      <c r="DN3">
        <v>-9999</v>
      </c>
      <c r="DO3">
        <v>538</v>
      </c>
      <c r="DP3">
        <v>615</v>
      </c>
      <c r="DQ3">
        <v>535</v>
      </c>
      <c r="DR3" t="s">
        <v>270</v>
      </c>
      <c r="DS3">
        <v>0</v>
      </c>
      <c r="DT3">
        <v>55</v>
      </c>
      <c r="DU3" t="s">
        <v>474</v>
      </c>
      <c r="DV3" t="s">
        <v>548</v>
      </c>
      <c r="DW3">
        <v>8</v>
      </c>
      <c r="DX3" t="s">
        <v>584</v>
      </c>
      <c r="DY3">
        <v>21.3</v>
      </c>
      <c r="DZ3">
        <v>456</v>
      </c>
      <c r="EA3" t="s">
        <v>264</v>
      </c>
      <c r="EB3">
        <v>-9999</v>
      </c>
      <c r="EC3">
        <v>105</v>
      </c>
      <c r="ED3">
        <v>128</v>
      </c>
      <c r="EE3">
        <v>104</v>
      </c>
      <c r="EF3" t="s">
        <v>270</v>
      </c>
      <c r="EG3">
        <v>0</v>
      </c>
      <c r="EH3">
        <v>55</v>
      </c>
      <c r="EI3" t="s">
        <v>475</v>
      </c>
      <c r="EJ3" t="s">
        <v>548</v>
      </c>
      <c r="EK3">
        <v>9</v>
      </c>
      <c r="EL3" t="s">
        <v>584</v>
      </c>
      <c r="EM3">
        <v>24.4</v>
      </c>
      <c r="EN3">
        <v>88</v>
      </c>
      <c r="EO3" t="s">
        <v>264</v>
      </c>
      <c r="EP3">
        <v>-9999</v>
      </c>
      <c r="EQ3">
        <v>282</v>
      </c>
      <c r="ER3">
        <v>265</v>
      </c>
      <c r="ES3">
        <v>250</v>
      </c>
      <c r="ET3" t="s">
        <v>270</v>
      </c>
      <c r="EU3">
        <v>0</v>
      </c>
      <c r="EV3">
        <v>55</v>
      </c>
      <c r="EW3" t="s">
        <v>551</v>
      </c>
      <c r="EX3" t="s">
        <v>552</v>
      </c>
      <c r="EY3">
        <v>154</v>
      </c>
      <c r="EZ3">
        <v>155</v>
      </c>
      <c r="FA3">
        <v>156</v>
      </c>
      <c r="FB3" t="s">
        <v>270</v>
      </c>
      <c r="FC3" t="s">
        <v>553</v>
      </c>
      <c r="FD3" t="s">
        <v>552</v>
      </c>
      <c r="FE3">
        <v>293</v>
      </c>
      <c r="FF3">
        <v>293</v>
      </c>
      <c r="FG3">
        <v>292</v>
      </c>
      <c r="FH3" t="s">
        <v>270</v>
      </c>
      <c r="FI3" t="s">
        <v>554</v>
      </c>
      <c r="FJ3" t="s">
        <v>555</v>
      </c>
      <c r="FK3">
        <v>0</v>
      </c>
      <c r="FL3">
        <v>0</v>
      </c>
      <c r="FM3">
        <v>0</v>
      </c>
      <c r="FN3" t="s">
        <v>264</v>
      </c>
      <c r="FO3">
        <v>75.900000000000006</v>
      </c>
      <c r="FP3">
        <v>295.8</v>
      </c>
      <c r="FQ3" t="s">
        <v>556</v>
      </c>
      <c r="FR3" t="s">
        <v>555</v>
      </c>
      <c r="FS3">
        <v>0</v>
      </c>
      <c r="FT3">
        <v>0</v>
      </c>
      <c r="FU3">
        <v>0</v>
      </c>
      <c r="FV3" t="s">
        <v>264</v>
      </c>
      <c r="FW3">
        <v>73.3</v>
      </c>
      <c r="FX3">
        <v>91.9</v>
      </c>
      <c r="FY3" t="s">
        <v>557</v>
      </c>
      <c r="FZ3" t="s">
        <v>555</v>
      </c>
      <c r="GA3">
        <v>0</v>
      </c>
      <c r="GB3">
        <v>0</v>
      </c>
      <c r="GC3">
        <v>0</v>
      </c>
      <c r="GD3" t="s">
        <v>264</v>
      </c>
      <c r="GE3">
        <v>71.099999999999994</v>
      </c>
      <c r="GF3">
        <v>234.9</v>
      </c>
      <c r="GG3" t="s">
        <v>558</v>
      </c>
      <c r="GH3" t="s">
        <v>555</v>
      </c>
      <c r="GI3">
        <v>0</v>
      </c>
      <c r="GJ3">
        <v>0</v>
      </c>
      <c r="GK3">
        <v>0</v>
      </c>
      <c r="GL3" t="s">
        <v>264</v>
      </c>
      <c r="GM3">
        <v>68.3</v>
      </c>
      <c r="GN3">
        <v>56</v>
      </c>
      <c r="GO3" t="s">
        <v>559</v>
      </c>
      <c r="GP3" t="s">
        <v>555</v>
      </c>
      <c r="GQ3">
        <v>0</v>
      </c>
      <c r="GR3">
        <v>0</v>
      </c>
      <c r="GS3">
        <v>0</v>
      </c>
      <c r="GT3" t="s">
        <v>264</v>
      </c>
      <c r="GU3">
        <v>75.900000000000006</v>
      </c>
      <c r="GV3">
        <v>57.1</v>
      </c>
      <c r="GW3" t="s">
        <v>560</v>
      </c>
      <c r="GX3" t="s">
        <v>555</v>
      </c>
      <c r="GY3">
        <v>0</v>
      </c>
      <c r="GZ3">
        <v>0</v>
      </c>
      <c r="HA3">
        <v>0</v>
      </c>
      <c r="HB3" t="s">
        <v>264</v>
      </c>
      <c r="HC3">
        <v>70.099999999999994</v>
      </c>
      <c r="HD3">
        <v>81.8</v>
      </c>
      <c r="HE3" t="s">
        <v>561</v>
      </c>
      <c r="HF3" t="s">
        <v>555</v>
      </c>
      <c r="HG3">
        <v>0</v>
      </c>
      <c r="HH3">
        <v>0</v>
      </c>
      <c r="HI3">
        <v>0</v>
      </c>
      <c r="HJ3" t="s">
        <v>264</v>
      </c>
      <c r="HK3">
        <v>70.8</v>
      </c>
      <c r="HL3">
        <v>131.1</v>
      </c>
      <c r="HM3" t="s">
        <v>562</v>
      </c>
      <c r="HN3" t="s">
        <v>555</v>
      </c>
      <c r="HO3">
        <v>0</v>
      </c>
      <c r="HP3">
        <v>0</v>
      </c>
      <c r="HQ3">
        <v>0</v>
      </c>
      <c r="HR3" t="s">
        <v>264</v>
      </c>
      <c r="HS3">
        <v>69.099999999999994</v>
      </c>
      <c r="HT3">
        <v>91.1</v>
      </c>
      <c r="HU3" t="s">
        <v>563</v>
      </c>
      <c r="HV3" t="s">
        <v>555</v>
      </c>
      <c r="HW3">
        <v>0</v>
      </c>
      <c r="HX3">
        <v>0</v>
      </c>
      <c r="HY3">
        <v>0</v>
      </c>
      <c r="HZ3" t="s">
        <v>264</v>
      </c>
      <c r="IA3">
        <v>74.599999999999994</v>
      </c>
      <c r="IB3">
        <v>182.5</v>
      </c>
      <c r="IC3" t="s">
        <v>564</v>
      </c>
      <c r="ID3" t="s">
        <v>555</v>
      </c>
      <c r="IE3">
        <v>0</v>
      </c>
      <c r="IF3">
        <v>0</v>
      </c>
      <c r="IG3">
        <v>0</v>
      </c>
      <c r="IH3" t="s">
        <v>264</v>
      </c>
      <c r="II3">
        <v>68.099999999999994</v>
      </c>
      <c r="IJ3">
        <v>121.6</v>
      </c>
      <c r="IK3" t="s">
        <v>565</v>
      </c>
      <c r="IL3" t="s">
        <v>555</v>
      </c>
      <c r="IM3">
        <v>0</v>
      </c>
      <c r="IN3">
        <v>0</v>
      </c>
      <c r="IO3">
        <v>0</v>
      </c>
      <c r="IP3" t="s">
        <v>264</v>
      </c>
      <c r="IS3" t="s">
        <v>566</v>
      </c>
      <c r="IT3" t="s">
        <v>555</v>
      </c>
      <c r="IU3">
        <v>0</v>
      </c>
      <c r="IV3">
        <v>0</v>
      </c>
      <c r="IW3">
        <v>0</v>
      </c>
      <c r="IX3" t="s">
        <v>264</v>
      </c>
      <c r="JA3" t="s">
        <v>567</v>
      </c>
      <c r="JB3" t="s">
        <v>555</v>
      </c>
      <c r="JC3">
        <v>0</v>
      </c>
      <c r="JD3">
        <v>0</v>
      </c>
      <c r="JE3">
        <v>0</v>
      </c>
      <c r="JF3" t="s">
        <v>264</v>
      </c>
      <c r="JI3" t="s">
        <v>568</v>
      </c>
      <c r="JJ3" t="s">
        <v>555</v>
      </c>
      <c r="JK3">
        <v>0</v>
      </c>
      <c r="JL3">
        <v>0</v>
      </c>
      <c r="JM3">
        <v>0</v>
      </c>
      <c r="JN3" t="s">
        <v>264</v>
      </c>
      <c r="JQ3" t="s">
        <v>569</v>
      </c>
      <c r="JR3" t="s">
        <v>555</v>
      </c>
      <c r="JS3">
        <v>0</v>
      </c>
      <c r="JT3">
        <v>0</v>
      </c>
      <c r="JU3">
        <v>0</v>
      </c>
      <c r="JV3" t="s">
        <v>264</v>
      </c>
      <c r="JY3" t="s">
        <v>570</v>
      </c>
      <c r="JZ3" t="s">
        <v>555</v>
      </c>
      <c r="KA3">
        <v>0</v>
      </c>
      <c r="KB3">
        <v>0</v>
      </c>
      <c r="KC3">
        <v>0</v>
      </c>
      <c r="KD3" t="s">
        <v>264</v>
      </c>
      <c r="KG3" t="s">
        <v>571</v>
      </c>
      <c r="KH3" t="s">
        <v>555</v>
      </c>
      <c r="KI3">
        <v>0</v>
      </c>
      <c r="KJ3">
        <v>0</v>
      </c>
      <c r="KK3">
        <v>0</v>
      </c>
      <c r="KL3" t="s">
        <v>264</v>
      </c>
      <c r="KO3" t="s">
        <v>572</v>
      </c>
      <c r="KP3" t="s">
        <v>555</v>
      </c>
      <c r="KQ3">
        <v>0</v>
      </c>
      <c r="KR3">
        <v>0</v>
      </c>
      <c r="KS3">
        <v>0</v>
      </c>
      <c r="KT3" t="s">
        <v>264</v>
      </c>
      <c r="KW3" t="s">
        <v>573</v>
      </c>
      <c r="KX3" t="s">
        <v>555</v>
      </c>
      <c r="KY3">
        <v>0</v>
      </c>
      <c r="KZ3">
        <v>0</v>
      </c>
      <c r="LA3">
        <v>0</v>
      </c>
      <c r="LB3" t="s">
        <v>264</v>
      </c>
      <c r="LE3" t="s">
        <v>574</v>
      </c>
      <c r="LF3" t="s">
        <v>555</v>
      </c>
      <c r="LG3">
        <v>0</v>
      </c>
      <c r="LH3">
        <v>0</v>
      </c>
      <c r="LI3">
        <v>0</v>
      </c>
      <c r="LJ3" t="s">
        <v>264</v>
      </c>
      <c r="LM3" t="s">
        <v>575</v>
      </c>
      <c r="LN3" t="s">
        <v>555</v>
      </c>
      <c r="LO3">
        <v>0</v>
      </c>
      <c r="LP3">
        <v>0</v>
      </c>
      <c r="LQ3">
        <v>0</v>
      </c>
      <c r="LR3" t="s">
        <v>264</v>
      </c>
      <c r="LU3" t="s">
        <v>576</v>
      </c>
      <c r="LV3" t="s">
        <v>555</v>
      </c>
      <c r="LW3">
        <v>0</v>
      </c>
      <c r="LX3">
        <v>0</v>
      </c>
      <c r="LY3">
        <v>0</v>
      </c>
      <c r="LZ3" t="s">
        <v>264</v>
      </c>
      <c r="MC3" t="s">
        <v>577</v>
      </c>
      <c r="MD3" t="s">
        <v>555</v>
      </c>
      <c r="ME3">
        <v>0</v>
      </c>
      <c r="MF3">
        <v>0</v>
      </c>
      <c r="MG3">
        <v>0</v>
      </c>
      <c r="MH3" t="s">
        <v>264</v>
      </c>
      <c r="MK3" t="s">
        <v>578</v>
      </c>
      <c r="ML3" t="s">
        <v>555</v>
      </c>
      <c r="MM3">
        <v>0</v>
      </c>
      <c r="MN3">
        <v>0</v>
      </c>
      <c r="MO3">
        <v>0</v>
      </c>
      <c r="MP3" t="s">
        <v>264</v>
      </c>
      <c r="MS3" t="s">
        <v>579</v>
      </c>
      <c r="MT3" t="s">
        <v>555</v>
      </c>
      <c r="MU3">
        <v>0</v>
      </c>
      <c r="MV3">
        <v>0</v>
      </c>
      <c r="MW3">
        <v>0</v>
      </c>
      <c r="MX3" t="s">
        <v>264</v>
      </c>
      <c r="NA3" t="s">
        <v>580</v>
      </c>
      <c r="NB3" t="s">
        <v>555</v>
      </c>
      <c r="NC3">
        <v>0</v>
      </c>
      <c r="ND3">
        <v>0</v>
      </c>
      <c r="NE3">
        <v>0</v>
      </c>
      <c r="NF3" t="s">
        <v>264</v>
      </c>
      <c r="NI3">
        <v>40</v>
      </c>
      <c r="NJ3">
        <v>-9</v>
      </c>
      <c r="NP3" t="s">
        <v>624</v>
      </c>
    </row>
    <row r="4" spans="1:380" customFormat="1" x14ac:dyDescent="0.2">
      <c r="A4" t="s">
        <v>517</v>
      </c>
      <c r="B4">
        <v>1</v>
      </c>
      <c r="C4" t="s">
        <v>809</v>
      </c>
      <c r="D4">
        <v>646950296</v>
      </c>
      <c r="E4">
        <v>12602</v>
      </c>
      <c r="F4" t="s">
        <v>805</v>
      </c>
      <c r="G4">
        <v>802069</v>
      </c>
      <c r="H4">
        <v>210021772</v>
      </c>
      <c r="I4" t="s">
        <v>622</v>
      </c>
      <c r="J4" t="s">
        <v>810</v>
      </c>
      <c r="K4" t="s">
        <v>545</v>
      </c>
      <c r="L4" t="s">
        <v>442</v>
      </c>
      <c r="M4" t="s">
        <v>546</v>
      </c>
      <c r="N4" t="s">
        <v>468</v>
      </c>
      <c r="O4" t="s">
        <v>547</v>
      </c>
      <c r="P4" t="s">
        <v>264</v>
      </c>
      <c r="Q4">
        <v>26.3</v>
      </c>
      <c r="R4">
        <v>236</v>
      </c>
      <c r="S4" t="s">
        <v>264</v>
      </c>
      <c r="T4">
        <v>-9999</v>
      </c>
      <c r="U4">
        <v>692</v>
      </c>
      <c r="V4">
        <v>716</v>
      </c>
      <c r="W4">
        <v>682</v>
      </c>
      <c r="X4" t="s">
        <v>270</v>
      </c>
      <c r="Y4">
        <v>0</v>
      </c>
      <c r="Z4">
        <v>55</v>
      </c>
      <c r="AA4" t="s">
        <v>469</v>
      </c>
      <c r="AB4" t="s">
        <v>548</v>
      </c>
      <c r="AC4">
        <v>1</v>
      </c>
      <c r="AD4" t="s">
        <v>584</v>
      </c>
      <c r="AE4">
        <v>25.1</v>
      </c>
      <c r="AF4">
        <v>1153</v>
      </c>
      <c r="AG4" t="s">
        <v>264</v>
      </c>
      <c r="AH4">
        <v>-9999</v>
      </c>
      <c r="AI4">
        <v>528</v>
      </c>
      <c r="AJ4">
        <v>648</v>
      </c>
      <c r="AK4">
        <v>524</v>
      </c>
      <c r="AL4" t="s">
        <v>270</v>
      </c>
      <c r="AM4">
        <v>0</v>
      </c>
      <c r="AN4">
        <v>55</v>
      </c>
      <c r="AO4" t="s">
        <v>470</v>
      </c>
      <c r="AP4" t="s">
        <v>548</v>
      </c>
      <c r="AQ4">
        <v>2</v>
      </c>
      <c r="AR4" t="s">
        <v>584</v>
      </c>
      <c r="AS4">
        <v>38.1</v>
      </c>
      <c r="AT4">
        <v>326</v>
      </c>
      <c r="AU4" t="s">
        <v>264</v>
      </c>
      <c r="AV4">
        <v>-9999</v>
      </c>
      <c r="AW4">
        <v>371</v>
      </c>
      <c r="AX4">
        <v>385</v>
      </c>
      <c r="AY4">
        <v>370</v>
      </c>
      <c r="AZ4" t="s">
        <v>270</v>
      </c>
      <c r="BA4">
        <v>0</v>
      </c>
      <c r="BB4">
        <v>55</v>
      </c>
      <c r="BC4" t="s">
        <v>550</v>
      </c>
      <c r="BD4" t="s">
        <v>548</v>
      </c>
      <c r="BE4">
        <v>3</v>
      </c>
      <c r="BF4" t="s">
        <v>584</v>
      </c>
      <c r="BG4">
        <v>17.600000000000001</v>
      </c>
      <c r="BH4">
        <v>2147</v>
      </c>
      <c r="BI4" t="s">
        <v>264</v>
      </c>
      <c r="BJ4">
        <v>-9999</v>
      </c>
      <c r="BK4">
        <v>48</v>
      </c>
      <c r="BL4">
        <v>70</v>
      </c>
      <c r="BM4">
        <v>50</v>
      </c>
      <c r="BN4" t="s">
        <v>270</v>
      </c>
      <c r="BO4">
        <v>0</v>
      </c>
      <c r="BP4">
        <v>55</v>
      </c>
      <c r="BQ4" t="s">
        <v>504</v>
      </c>
      <c r="BR4" t="s">
        <v>548</v>
      </c>
      <c r="BS4">
        <v>4</v>
      </c>
      <c r="BT4" t="s">
        <v>584</v>
      </c>
      <c r="BU4">
        <v>28.4</v>
      </c>
      <c r="BV4">
        <v>289</v>
      </c>
      <c r="BW4" t="s">
        <v>264</v>
      </c>
      <c r="BX4">
        <v>-9999</v>
      </c>
      <c r="BY4">
        <v>290</v>
      </c>
      <c r="BZ4">
        <v>334</v>
      </c>
      <c r="CA4">
        <v>287</v>
      </c>
      <c r="CB4" t="s">
        <v>270</v>
      </c>
      <c r="CC4">
        <v>0</v>
      </c>
      <c r="CD4">
        <v>55</v>
      </c>
      <c r="CE4" t="s">
        <v>471</v>
      </c>
      <c r="CF4" t="s">
        <v>548</v>
      </c>
      <c r="CG4">
        <v>5</v>
      </c>
      <c r="CH4" t="s">
        <v>549</v>
      </c>
      <c r="CI4">
        <v>0</v>
      </c>
      <c r="CJ4">
        <v>4</v>
      </c>
      <c r="CK4" t="s">
        <v>264</v>
      </c>
      <c r="CL4">
        <v>-9999</v>
      </c>
      <c r="CM4">
        <v>391</v>
      </c>
      <c r="CN4">
        <v>455</v>
      </c>
      <c r="CO4">
        <v>390</v>
      </c>
      <c r="CP4" t="s">
        <v>270</v>
      </c>
      <c r="CQ4">
        <v>0</v>
      </c>
      <c r="CR4">
        <v>55</v>
      </c>
      <c r="CS4" t="s">
        <v>472</v>
      </c>
      <c r="CT4" t="s">
        <v>548</v>
      </c>
      <c r="CU4">
        <v>6</v>
      </c>
      <c r="CV4" t="s">
        <v>584</v>
      </c>
      <c r="CW4">
        <v>30.1</v>
      </c>
      <c r="CX4">
        <v>318</v>
      </c>
      <c r="CY4" t="s">
        <v>264</v>
      </c>
      <c r="CZ4">
        <v>-9999</v>
      </c>
      <c r="DA4">
        <v>753</v>
      </c>
      <c r="DB4">
        <v>857</v>
      </c>
      <c r="DC4">
        <v>742</v>
      </c>
      <c r="DD4" t="s">
        <v>270</v>
      </c>
      <c r="DE4">
        <v>0</v>
      </c>
      <c r="DF4">
        <v>55</v>
      </c>
      <c r="DG4" t="s">
        <v>473</v>
      </c>
      <c r="DH4" t="s">
        <v>548</v>
      </c>
      <c r="DI4">
        <v>7</v>
      </c>
      <c r="DJ4" t="s">
        <v>584</v>
      </c>
      <c r="DK4">
        <v>23.1</v>
      </c>
      <c r="DL4">
        <v>274</v>
      </c>
      <c r="DM4" t="s">
        <v>264</v>
      </c>
      <c r="DN4">
        <v>-9999</v>
      </c>
      <c r="DO4">
        <v>668</v>
      </c>
      <c r="DP4">
        <v>764</v>
      </c>
      <c r="DQ4">
        <v>662</v>
      </c>
      <c r="DR4" t="s">
        <v>270</v>
      </c>
      <c r="DS4">
        <v>0</v>
      </c>
      <c r="DT4">
        <v>55</v>
      </c>
      <c r="DU4" t="s">
        <v>474</v>
      </c>
      <c r="DV4" t="s">
        <v>548</v>
      </c>
      <c r="DW4">
        <v>8</v>
      </c>
      <c r="DX4" t="s">
        <v>584</v>
      </c>
      <c r="DY4">
        <v>20.8</v>
      </c>
      <c r="DZ4">
        <v>426</v>
      </c>
      <c r="EA4" t="s">
        <v>264</v>
      </c>
      <c r="EB4">
        <v>-9999</v>
      </c>
      <c r="EC4">
        <v>110</v>
      </c>
      <c r="ED4">
        <v>134</v>
      </c>
      <c r="EE4">
        <v>109</v>
      </c>
      <c r="EF4" t="s">
        <v>270</v>
      </c>
      <c r="EG4">
        <v>0</v>
      </c>
      <c r="EH4">
        <v>55</v>
      </c>
      <c r="EI4" t="s">
        <v>475</v>
      </c>
      <c r="EJ4" t="s">
        <v>548</v>
      </c>
      <c r="EK4">
        <v>9</v>
      </c>
      <c r="EL4" t="s">
        <v>549</v>
      </c>
      <c r="EM4">
        <v>0</v>
      </c>
      <c r="EN4">
        <v>-25</v>
      </c>
      <c r="EO4" t="s">
        <v>264</v>
      </c>
      <c r="EP4">
        <v>-9999</v>
      </c>
      <c r="EQ4">
        <v>259</v>
      </c>
      <c r="ER4">
        <v>243</v>
      </c>
      <c r="ES4">
        <v>230</v>
      </c>
      <c r="ET4" t="s">
        <v>270</v>
      </c>
      <c r="EU4">
        <v>0</v>
      </c>
      <c r="EV4">
        <v>55</v>
      </c>
      <c r="EW4" t="s">
        <v>551</v>
      </c>
      <c r="EX4" t="s">
        <v>552</v>
      </c>
      <c r="EY4">
        <v>146</v>
      </c>
      <c r="EZ4">
        <v>146</v>
      </c>
      <c r="FA4">
        <v>146</v>
      </c>
      <c r="FB4" t="s">
        <v>270</v>
      </c>
      <c r="FC4" t="s">
        <v>553</v>
      </c>
      <c r="FD4" t="s">
        <v>552</v>
      </c>
      <c r="FE4">
        <v>333</v>
      </c>
      <c r="FF4">
        <v>331</v>
      </c>
      <c r="FG4">
        <v>330</v>
      </c>
      <c r="FH4" t="s">
        <v>270</v>
      </c>
      <c r="FI4" t="s">
        <v>554</v>
      </c>
      <c r="FJ4" t="s">
        <v>555</v>
      </c>
      <c r="FK4">
        <v>0</v>
      </c>
      <c r="FL4">
        <v>0</v>
      </c>
      <c r="FM4">
        <v>0</v>
      </c>
      <c r="FN4" t="s">
        <v>264</v>
      </c>
      <c r="FO4">
        <v>75.8</v>
      </c>
      <c r="FP4">
        <v>295.2</v>
      </c>
      <c r="FQ4" t="s">
        <v>556</v>
      </c>
      <c r="FR4" t="s">
        <v>555</v>
      </c>
      <c r="FS4">
        <v>0</v>
      </c>
      <c r="FT4">
        <v>0</v>
      </c>
      <c r="FU4">
        <v>0</v>
      </c>
      <c r="FV4" t="s">
        <v>264</v>
      </c>
      <c r="FW4">
        <v>73.2</v>
      </c>
      <c r="FX4">
        <v>96.1</v>
      </c>
      <c r="FY4" t="s">
        <v>557</v>
      </c>
      <c r="FZ4" t="s">
        <v>555</v>
      </c>
      <c r="GA4">
        <v>0</v>
      </c>
      <c r="GB4">
        <v>0</v>
      </c>
      <c r="GC4">
        <v>0</v>
      </c>
      <c r="GD4" t="s">
        <v>264</v>
      </c>
      <c r="GE4">
        <v>71.099999999999994</v>
      </c>
      <c r="GF4">
        <v>273.5</v>
      </c>
      <c r="GG4" t="s">
        <v>558</v>
      </c>
      <c r="GH4" t="s">
        <v>555</v>
      </c>
      <c r="GI4">
        <v>0</v>
      </c>
      <c r="GJ4">
        <v>0</v>
      </c>
      <c r="GK4">
        <v>0</v>
      </c>
      <c r="GL4" t="s">
        <v>264</v>
      </c>
      <c r="GM4">
        <v>68.3</v>
      </c>
      <c r="GN4">
        <v>62.7</v>
      </c>
      <c r="GO4" t="s">
        <v>559</v>
      </c>
      <c r="GP4" t="s">
        <v>555</v>
      </c>
      <c r="GQ4">
        <v>0</v>
      </c>
      <c r="GR4">
        <v>0</v>
      </c>
      <c r="GS4">
        <v>0</v>
      </c>
      <c r="GT4" t="s">
        <v>264</v>
      </c>
      <c r="GU4">
        <v>75.599999999999994</v>
      </c>
      <c r="GV4">
        <v>72.2</v>
      </c>
      <c r="GW4" t="s">
        <v>560</v>
      </c>
      <c r="GX4" t="s">
        <v>555</v>
      </c>
      <c r="GY4">
        <v>0</v>
      </c>
      <c r="GZ4">
        <v>0</v>
      </c>
      <c r="HA4">
        <v>0</v>
      </c>
      <c r="HB4" t="s">
        <v>264</v>
      </c>
      <c r="HC4">
        <v>70</v>
      </c>
      <c r="HD4">
        <v>69.2</v>
      </c>
      <c r="HE4" t="s">
        <v>561</v>
      </c>
      <c r="HF4" t="s">
        <v>555</v>
      </c>
      <c r="HG4">
        <v>0</v>
      </c>
      <c r="HH4">
        <v>0</v>
      </c>
      <c r="HI4">
        <v>0</v>
      </c>
      <c r="HJ4" t="s">
        <v>264</v>
      </c>
      <c r="HK4">
        <v>70.7</v>
      </c>
      <c r="HL4">
        <v>152.6</v>
      </c>
      <c r="HM4" t="s">
        <v>562</v>
      </c>
      <c r="HN4" t="s">
        <v>555</v>
      </c>
      <c r="HO4">
        <v>0</v>
      </c>
      <c r="HP4">
        <v>0</v>
      </c>
      <c r="HQ4">
        <v>0</v>
      </c>
      <c r="HR4" t="s">
        <v>264</v>
      </c>
      <c r="HS4">
        <v>69.099999999999994</v>
      </c>
      <c r="HT4">
        <v>109.3</v>
      </c>
      <c r="HU4" t="s">
        <v>563</v>
      </c>
      <c r="HV4" t="s">
        <v>555</v>
      </c>
      <c r="HW4">
        <v>0</v>
      </c>
      <c r="HX4">
        <v>0</v>
      </c>
      <c r="HY4">
        <v>0</v>
      </c>
      <c r="HZ4" t="s">
        <v>264</v>
      </c>
      <c r="IA4">
        <v>74.599999999999994</v>
      </c>
      <c r="IB4">
        <v>165.6</v>
      </c>
      <c r="IC4" t="s">
        <v>564</v>
      </c>
      <c r="ID4" t="s">
        <v>555</v>
      </c>
      <c r="IE4">
        <v>0</v>
      </c>
      <c r="IF4">
        <v>0</v>
      </c>
      <c r="IG4">
        <v>0</v>
      </c>
      <c r="IH4" t="s">
        <v>264</v>
      </c>
      <c r="II4">
        <v>68</v>
      </c>
      <c r="IJ4">
        <v>100</v>
      </c>
      <c r="IK4" t="s">
        <v>565</v>
      </c>
      <c r="IL4" t="s">
        <v>555</v>
      </c>
      <c r="IM4">
        <v>0</v>
      </c>
      <c r="IN4">
        <v>0</v>
      </c>
      <c r="IO4">
        <v>0</v>
      </c>
      <c r="IP4" t="s">
        <v>264</v>
      </c>
      <c r="IS4" t="s">
        <v>566</v>
      </c>
      <c r="IT4" t="s">
        <v>555</v>
      </c>
      <c r="IU4">
        <v>0</v>
      </c>
      <c r="IV4">
        <v>0</v>
      </c>
      <c r="IW4">
        <v>0</v>
      </c>
      <c r="IX4" t="s">
        <v>264</v>
      </c>
      <c r="JA4" t="s">
        <v>567</v>
      </c>
      <c r="JB4" t="s">
        <v>555</v>
      </c>
      <c r="JC4">
        <v>0</v>
      </c>
      <c r="JD4">
        <v>0</v>
      </c>
      <c r="JE4">
        <v>0</v>
      </c>
      <c r="JF4" t="s">
        <v>264</v>
      </c>
      <c r="JI4" t="s">
        <v>568</v>
      </c>
      <c r="JJ4" t="s">
        <v>555</v>
      </c>
      <c r="JK4">
        <v>0</v>
      </c>
      <c r="JL4">
        <v>0</v>
      </c>
      <c r="JM4">
        <v>0</v>
      </c>
      <c r="JN4" t="s">
        <v>264</v>
      </c>
      <c r="JQ4" t="s">
        <v>569</v>
      </c>
      <c r="JR4" t="s">
        <v>555</v>
      </c>
      <c r="JS4">
        <v>0</v>
      </c>
      <c r="JT4">
        <v>0</v>
      </c>
      <c r="JU4">
        <v>0</v>
      </c>
      <c r="JV4" t="s">
        <v>264</v>
      </c>
      <c r="JY4" t="s">
        <v>570</v>
      </c>
      <c r="JZ4" t="s">
        <v>555</v>
      </c>
      <c r="KA4">
        <v>0</v>
      </c>
      <c r="KB4">
        <v>0</v>
      </c>
      <c r="KC4">
        <v>0</v>
      </c>
      <c r="KD4" t="s">
        <v>264</v>
      </c>
      <c r="KG4" t="s">
        <v>571</v>
      </c>
      <c r="KH4" t="s">
        <v>555</v>
      </c>
      <c r="KI4">
        <v>0</v>
      </c>
      <c r="KJ4">
        <v>0</v>
      </c>
      <c r="KK4">
        <v>0</v>
      </c>
      <c r="KL4" t="s">
        <v>264</v>
      </c>
      <c r="KO4" t="s">
        <v>572</v>
      </c>
      <c r="KP4" t="s">
        <v>555</v>
      </c>
      <c r="KQ4">
        <v>0</v>
      </c>
      <c r="KR4">
        <v>0</v>
      </c>
      <c r="KS4">
        <v>0</v>
      </c>
      <c r="KT4" t="s">
        <v>264</v>
      </c>
      <c r="KW4" t="s">
        <v>573</v>
      </c>
      <c r="KX4" t="s">
        <v>555</v>
      </c>
      <c r="KY4">
        <v>0</v>
      </c>
      <c r="KZ4">
        <v>0</v>
      </c>
      <c r="LA4">
        <v>0</v>
      </c>
      <c r="LB4" t="s">
        <v>264</v>
      </c>
      <c r="LE4" t="s">
        <v>574</v>
      </c>
      <c r="LF4" t="s">
        <v>555</v>
      </c>
      <c r="LG4">
        <v>0</v>
      </c>
      <c r="LH4">
        <v>0</v>
      </c>
      <c r="LI4">
        <v>0</v>
      </c>
      <c r="LJ4" t="s">
        <v>264</v>
      </c>
      <c r="LM4" t="s">
        <v>575</v>
      </c>
      <c r="LN4" t="s">
        <v>555</v>
      </c>
      <c r="LO4">
        <v>0</v>
      </c>
      <c r="LP4">
        <v>0</v>
      </c>
      <c r="LQ4">
        <v>0</v>
      </c>
      <c r="LR4" t="s">
        <v>264</v>
      </c>
      <c r="LU4" t="s">
        <v>576</v>
      </c>
      <c r="LV4" t="s">
        <v>555</v>
      </c>
      <c r="LW4">
        <v>0</v>
      </c>
      <c r="LX4">
        <v>0</v>
      </c>
      <c r="LY4">
        <v>0</v>
      </c>
      <c r="LZ4" t="s">
        <v>264</v>
      </c>
      <c r="MC4" t="s">
        <v>577</v>
      </c>
      <c r="MD4" t="s">
        <v>555</v>
      </c>
      <c r="ME4">
        <v>0</v>
      </c>
      <c r="MF4">
        <v>0</v>
      </c>
      <c r="MG4">
        <v>0</v>
      </c>
      <c r="MH4" t="s">
        <v>264</v>
      </c>
      <c r="MK4" t="s">
        <v>578</v>
      </c>
      <c r="ML4" t="s">
        <v>555</v>
      </c>
      <c r="MM4">
        <v>0</v>
      </c>
      <c r="MN4">
        <v>0</v>
      </c>
      <c r="MO4">
        <v>0</v>
      </c>
      <c r="MP4" t="s">
        <v>264</v>
      </c>
      <c r="MS4" t="s">
        <v>579</v>
      </c>
      <c r="MT4" t="s">
        <v>555</v>
      </c>
      <c r="MU4">
        <v>0</v>
      </c>
      <c r="MV4">
        <v>0</v>
      </c>
      <c r="MW4">
        <v>0</v>
      </c>
      <c r="MX4" t="s">
        <v>264</v>
      </c>
      <c r="NA4" t="s">
        <v>580</v>
      </c>
      <c r="NB4" t="s">
        <v>555</v>
      </c>
      <c r="NC4">
        <v>0</v>
      </c>
      <c r="ND4">
        <v>0</v>
      </c>
      <c r="NE4">
        <v>0</v>
      </c>
      <c r="NF4" t="s">
        <v>264</v>
      </c>
      <c r="NI4">
        <v>40.1</v>
      </c>
      <c r="NJ4">
        <v>-8.1</v>
      </c>
      <c r="NP4" t="s">
        <v>624</v>
      </c>
    </row>
    <row r="5" spans="1:380" customFormat="1" x14ac:dyDescent="0.2">
      <c r="A5" t="s">
        <v>517</v>
      </c>
      <c r="B5">
        <v>1</v>
      </c>
      <c r="C5" t="s">
        <v>811</v>
      </c>
      <c r="D5">
        <v>646950300</v>
      </c>
      <c r="E5">
        <v>12602</v>
      </c>
      <c r="F5" t="s">
        <v>805</v>
      </c>
      <c r="G5">
        <v>802069</v>
      </c>
      <c r="H5">
        <v>210017611</v>
      </c>
      <c r="I5" t="s">
        <v>622</v>
      </c>
      <c r="J5" t="s">
        <v>812</v>
      </c>
      <c r="K5" t="s">
        <v>545</v>
      </c>
      <c r="L5" t="s">
        <v>442</v>
      </c>
      <c r="M5" t="s">
        <v>546</v>
      </c>
      <c r="N5" t="s">
        <v>468</v>
      </c>
      <c r="O5" t="s">
        <v>547</v>
      </c>
      <c r="P5" t="s">
        <v>264</v>
      </c>
      <c r="Q5">
        <v>26.1</v>
      </c>
      <c r="R5">
        <v>242</v>
      </c>
      <c r="S5" t="s">
        <v>264</v>
      </c>
      <c r="T5">
        <v>-9999</v>
      </c>
      <c r="U5">
        <v>711</v>
      </c>
      <c r="V5">
        <v>737</v>
      </c>
      <c r="W5">
        <v>703</v>
      </c>
      <c r="X5" t="s">
        <v>270</v>
      </c>
      <c r="Y5">
        <v>0</v>
      </c>
      <c r="Z5">
        <v>55</v>
      </c>
      <c r="AA5" t="s">
        <v>469</v>
      </c>
      <c r="AB5" t="s">
        <v>548</v>
      </c>
      <c r="AC5">
        <v>1</v>
      </c>
      <c r="AD5" t="s">
        <v>584</v>
      </c>
      <c r="AE5">
        <v>24.4</v>
      </c>
      <c r="AF5">
        <v>1443</v>
      </c>
      <c r="AG5" t="s">
        <v>264</v>
      </c>
      <c r="AH5">
        <v>-9999</v>
      </c>
      <c r="AI5">
        <v>502</v>
      </c>
      <c r="AJ5">
        <v>630</v>
      </c>
      <c r="AK5">
        <v>502</v>
      </c>
      <c r="AL5" t="s">
        <v>270</v>
      </c>
      <c r="AM5">
        <v>0</v>
      </c>
      <c r="AN5">
        <v>55</v>
      </c>
      <c r="AO5" t="s">
        <v>470</v>
      </c>
      <c r="AP5" t="s">
        <v>548</v>
      </c>
      <c r="AQ5">
        <v>2</v>
      </c>
      <c r="AR5" t="s">
        <v>584</v>
      </c>
      <c r="AS5">
        <v>35.6</v>
      </c>
      <c r="AT5">
        <v>333</v>
      </c>
      <c r="AU5" t="s">
        <v>264</v>
      </c>
      <c r="AV5">
        <v>-9999</v>
      </c>
      <c r="AW5">
        <v>429</v>
      </c>
      <c r="AX5">
        <v>452</v>
      </c>
      <c r="AY5">
        <v>427</v>
      </c>
      <c r="AZ5" t="s">
        <v>270</v>
      </c>
      <c r="BA5">
        <v>0</v>
      </c>
      <c r="BB5">
        <v>55</v>
      </c>
      <c r="BC5" t="s">
        <v>550</v>
      </c>
      <c r="BD5" t="s">
        <v>548</v>
      </c>
      <c r="BE5">
        <v>3</v>
      </c>
      <c r="BF5" t="s">
        <v>584</v>
      </c>
      <c r="BG5">
        <v>22</v>
      </c>
      <c r="BH5">
        <v>635</v>
      </c>
      <c r="BI5" t="s">
        <v>264</v>
      </c>
      <c r="BJ5">
        <v>-9999</v>
      </c>
      <c r="BK5">
        <v>206</v>
      </c>
      <c r="BL5">
        <v>253</v>
      </c>
      <c r="BM5">
        <v>204</v>
      </c>
      <c r="BN5" t="s">
        <v>270</v>
      </c>
      <c r="BO5">
        <v>0</v>
      </c>
      <c r="BP5">
        <v>55</v>
      </c>
      <c r="BQ5" t="s">
        <v>504</v>
      </c>
      <c r="BR5" t="s">
        <v>548</v>
      </c>
      <c r="BS5">
        <v>4</v>
      </c>
      <c r="BT5" t="s">
        <v>584</v>
      </c>
      <c r="BU5">
        <v>28.4</v>
      </c>
      <c r="BV5">
        <v>287</v>
      </c>
      <c r="BW5" t="s">
        <v>264</v>
      </c>
      <c r="BX5">
        <v>-9999</v>
      </c>
      <c r="BY5">
        <v>231</v>
      </c>
      <c r="BZ5">
        <v>267</v>
      </c>
      <c r="CA5">
        <v>229</v>
      </c>
      <c r="CB5" t="s">
        <v>270</v>
      </c>
      <c r="CC5">
        <v>0</v>
      </c>
      <c r="CD5">
        <v>55</v>
      </c>
      <c r="CE5" t="s">
        <v>471</v>
      </c>
      <c r="CF5" t="s">
        <v>548</v>
      </c>
      <c r="CG5">
        <v>5</v>
      </c>
      <c r="CH5" t="s">
        <v>584</v>
      </c>
      <c r="CI5">
        <v>35.4</v>
      </c>
      <c r="CJ5">
        <v>170</v>
      </c>
      <c r="CK5" t="s">
        <v>264</v>
      </c>
      <c r="CL5">
        <v>-9999</v>
      </c>
      <c r="CM5">
        <v>475</v>
      </c>
      <c r="CN5">
        <v>559</v>
      </c>
      <c r="CO5">
        <v>477</v>
      </c>
      <c r="CP5" t="s">
        <v>270</v>
      </c>
      <c r="CQ5">
        <v>0</v>
      </c>
      <c r="CR5">
        <v>55</v>
      </c>
      <c r="CS5" t="s">
        <v>472</v>
      </c>
      <c r="CT5" t="s">
        <v>548</v>
      </c>
      <c r="CU5">
        <v>6</v>
      </c>
      <c r="CV5" t="s">
        <v>584</v>
      </c>
      <c r="CW5">
        <v>32.299999999999997</v>
      </c>
      <c r="CX5">
        <v>248</v>
      </c>
      <c r="CY5" t="s">
        <v>264</v>
      </c>
      <c r="CZ5">
        <v>-9999</v>
      </c>
      <c r="DA5">
        <v>740</v>
      </c>
      <c r="DB5">
        <v>842</v>
      </c>
      <c r="DC5">
        <v>730</v>
      </c>
      <c r="DD5" t="s">
        <v>270</v>
      </c>
      <c r="DE5">
        <v>0</v>
      </c>
      <c r="DF5">
        <v>55</v>
      </c>
      <c r="DG5" t="s">
        <v>473</v>
      </c>
      <c r="DH5" t="s">
        <v>548</v>
      </c>
      <c r="DI5">
        <v>7</v>
      </c>
      <c r="DJ5" t="s">
        <v>584</v>
      </c>
      <c r="DK5">
        <v>23.3</v>
      </c>
      <c r="DL5">
        <v>206</v>
      </c>
      <c r="DM5" t="s">
        <v>264</v>
      </c>
      <c r="DN5">
        <v>-9999</v>
      </c>
      <c r="DO5">
        <v>621</v>
      </c>
      <c r="DP5">
        <v>710</v>
      </c>
      <c r="DQ5">
        <v>619</v>
      </c>
      <c r="DR5" t="s">
        <v>270</v>
      </c>
      <c r="DS5">
        <v>0</v>
      </c>
      <c r="DT5">
        <v>55</v>
      </c>
      <c r="DU5" t="s">
        <v>474</v>
      </c>
      <c r="DV5" t="s">
        <v>548</v>
      </c>
      <c r="DW5">
        <v>8</v>
      </c>
      <c r="DX5" t="s">
        <v>584</v>
      </c>
      <c r="DY5">
        <v>20.9</v>
      </c>
      <c r="DZ5">
        <v>451</v>
      </c>
      <c r="EA5" t="s">
        <v>264</v>
      </c>
      <c r="EB5">
        <v>-9999</v>
      </c>
      <c r="EC5">
        <v>103</v>
      </c>
      <c r="ED5">
        <v>127</v>
      </c>
      <c r="EE5">
        <v>102</v>
      </c>
      <c r="EF5" t="s">
        <v>270</v>
      </c>
      <c r="EG5">
        <v>0</v>
      </c>
      <c r="EH5">
        <v>55</v>
      </c>
      <c r="EI5" t="s">
        <v>475</v>
      </c>
      <c r="EJ5" t="s">
        <v>548</v>
      </c>
      <c r="EK5">
        <v>9</v>
      </c>
      <c r="EL5" t="s">
        <v>584</v>
      </c>
      <c r="EM5">
        <v>24</v>
      </c>
      <c r="EN5">
        <v>81</v>
      </c>
      <c r="EO5" t="s">
        <v>264</v>
      </c>
      <c r="EP5">
        <v>-9999</v>
      </c>
      <c r="EQ5">
        <v>332</v>
      </c>
      <c r="ER5">
        <v>302</v>
      </c>
      <c r="ES5">
        <v>277</v>
      </c>
      <c r="ET5" t="s">
        <v>270</v>
      </c>
      <c r="EU5">
        <v>0</v>
      </c>
      <c r="EV5">
        <v>55</v>
      </c>
      <c r="EW5" t="s">
        <v>551</v>
      </c>
      <c r="EX5" t="s">
        <v>552</v>
      </c>
      <c r="EY5">
        <v>152</v>
      </c>
      <c r="EZ5">
        <v>153</v>
      </c>
      <c r="FA5">
        <v>153</v>
      </c>
      <c r="FB5" t="s">
        <v>270</v>
      </c>
      <c r="FC5" t="s">
        <v>553</v>
      </c>
      <c r="FD5" t="s">
        <v>552</v>
      </c>
      <c r="FE5">
        <v>348</v>
      </c>
      <c r="FF5">
        <v>347</v>
      </c>
      <c r="FG5">
        <v>345</v>
      </c>
      <c r="FH5" t="s">
        <v>270</v>
      </c>
      <c r="FI5" t="s">
        <v>554</v>
      </c>
      <c r="FJ5" t="s">
        <v>555</v>
      </c>
      <c r="FK5">
        <v>0</v>
      </c>
      <c r="FL5">
        <v>0</v>
      </c>
      <c r="FM5">
        <v>0</v>
      </c>
      <c r="FN5" t="s">
        <v>264</v>
      </c>
      <c r="FO5">
        <v>76</v>
      </c>
      <c r="FP5">
        <v>333.8</v>
      </c>
      <c r="FQ5" t="s">
        <v>556</v>
      </c>
      <c r="FR5" t="s">
        <v>555</v>
      </c>
      <c r="FS5">
        <v>0</v>
      </c>
      <c r="FT5">
        <v>0</v>
      </c>
      <c r="FU5">
        <v>0</v>
      </c>
      <c r="FV5" t="s">
        <v>264</v>
      </c>
      <c r="FW5">
        <v>73.400000000000006</v>
      </c>
      <c r="FX5">
        <v>97.4</v>
      </c>
      <c r="FY5" t="s">
        <v>557</v>
      </c>
      <c r="FZ5" t="s">
        <v>555</v>
      </c>
      <c r="GA5">
        <v>0</v>
      </c>
      <c r="GB5">
        <v>0</v>
      </c>
      <c r="GC5">
        <v>0</v>
      </c>
      <c r="GD5" t="s">
        <v>264</v>
      </c>
      <c r="GE5">
        <v>71.2</v>
      </c>
      <c r="GF5">
        <v>266.39999999999998</v>
      </c>
      <c r="GG5" t="s">
        <v>558</v>
      </c>
      <c r="GH5" t="s">
        <v>555</v>
      </c>
      <c r="GI5">
        <v>0</v>
      </c>
      <c r="GJ5">
        <v>0</v>
      </c>
      <c r="GK5">
        <v>0</v>
      </c>
      <c r="GL5" t="s">
        <v>264</v>
      </c>
      <c r="GM5">
        <v>68.400000000000006</v>
      </c>
      <c r="GN5">
        <v>65.400000000000006</v>
      </c>
      <c r="GO5" t="s">
        <v>559</v>
      </c>
      <c r="GP5" t="s">
        <v>555</v>
      </c>
      <c r="GQ5">
        <v>0</v>
      </c>
      <c r="GR5">
        <v>0</v>
      </c>
      <c r="GS5">
        <v>0</v>
      </c>
      <c r="GT5" t="s">
        <v>264</v>
      </c>
      <c r="GU5">
        <v>76</v>
      </c>
      <c r="GV5">
        <v>58.5</v>
      </c>
      <c r="GW5" t="s">
        <v>560</v>
      </c>
      <c r="GX5" t="s">
        <v>555</v>
      </c>
      <c r="GY5">
        <v>0</v>
      </c>
      <c r="GZ5">
        <v>0</v>
      </c>
      <c r="HA5">
        <v>0</v>
      </c>
      <c r="HB5" t="s">
        <v>264</v>
      </c>
      <c r="HC5">
        <v>70.2</v>
      </c>
      <c r="HD5">
        <v>82.4</v>
      </c>
      <c r="HE5" t="s">
        <v>561</v>
      </c>
      <c r="HF5" t="s">
        <v>555</v>
      </c>
      <c r="HG5">
        <v>0</v>
      </c>
      <c r="HH5">
        <v>0</v>
      </c>
      <c r="HI5">
        <v>0</v>
      </c>
      <c r="HJ5" t="s">
        <v>264</v>
      </c>
      <c r="HK5">
        <v>70.8</v>
      </c>
      <c r="HL5">
        <v>142.19999999999999</v>
      </c>
      <c r="HM5" t="s">
        <v>562</v>
      </c>
      <c r="HN5" t="s">
        <v>555</v>
      </c>
      <c r="HO5">
        <v>0</v>
      </c>
      <c r="HP5">
        <v>0</v>
      </c>
      <c r="HQ5">
        <v>0</v>
      </c>
      <c r="HR5" t="s">
        <v>264</v>
      </c>
      <c r="HS5">
        <v>69.099999999999994</v>
      </c>
      <c r="HT5">
        <v>100.6</v>
      </c>
      <c r="HU5" t="s">
        <v>563</v>
      </c>
      <c r="HV5" t="s">
        <v>555</v>
      </c>
      <c r="HW5">
        <v>0</v>
      </c>
      <c r="HX5">
        <v>0</v>
      </c>
      <c r="HY5">
        <v>0</v>
      </c>
      <c r="HZ5" t="s">
        <v>264</v>
      </c>
      <c r="IA5">
        <v>74.7</v>
      </c>
      <c r="IB5">
        <v>181.6</v>
      </c>
      <c r="IC5" t="s">
        <v>564</v>
      </c>
      <c r="ID5" t="s">
        <v>555</v>
      </c>
      <c r="IE5">
        <v>0</v>
      </c>
      <c r="IF5">
        <v>0</v>
      </c>
      <c r="IG5">
        <v>0</v>
      </c>
      <c r="IH5" t="s">
        <v>264</v>
      </c>
      <c r="II5">
        <v>68.2</v>
      </c>
      <c r="IJ5">
        <v>116.7</v>
      </c>
      <c r="IK5" t="s">
        <v>565</v>
      </c>
      <c r="IL5" t="s">
        <v>555</v>
      </c>
      <c r="IM5">
        <v>0</v>
      </c>
      <c r="IN5">
        <v>0</v>
      </c>
      <c r="IO5">
        <v>0</v>
      </c>
      <c r="IP5" t="s">
        <v>264</v>
      </c>
      <c r="IS5" t="s">
        <v>566</v>
      </c>
      <c r="IT5" t="s">
        <v>555</v>
      </c>
      <c r="IU5">
        <v>0</v>
      </c>
      <c r="IV5">
        <v>0</v>
      </c>
      <c r="IW5">
        <v>0</v>
      </c>
      <c r="IX5" t="s">
        <v>264</v>
      </c>
      <c r="JA5" t="s">
        <v>567</v>
      </c>
      <c r="JB5" t="s">
        <v>555</v>
      </c>
      <c r="JC5">
        <v>0</v>
      </c>
      <c r="JD5">
        <v>0</v>
      </c>
      <c r="JE5">
        <v>0</v>
      </c>
      <c r="JF5" t="s">
        <v>264</v>
      </c>
      <c r="JI5" t="s">
        <v>568</v>
      </c>
      <c r="JJ5" t="s">
        <v>555</v>
      </c>
      <c r="JK5">
        <v>0</v>
      </c>
      <c r="JL5">
        <v>0</v>
      </c>
      <c r="JM5">
        <v>0</v>
      </c>
      <c r="JN5" t="s">
        <v>264</v>
      </c>
      <c r="JQ5" t="s">
        <v>569</v>
      </c>
      <c r="JR5" t="s">
        <v>555</v>
      </c>
      <c r="JS5">
        <v>0</v>
      </c>
      <c r="JT5">
        <v>0</v>
      </c>
      <c r="JU5">
        <v>0</v>
      </c>
      <c r="JV5" t="s">
        <v>264</v>
      </c>
      <c r="JY5" t="s">
        <v>570</v>
      </c>
      <c r="JZ5" t="s">
        <v>555</v>
      </c>
      <c r="KA5">
        <v>0</v>
      </c>
      <c r="KB5">
        <v>0</v>
      </c>
      <c r="KC5">
        <v>0</v>
      </c>
      <c r="KD5" t="s">
        <v>264</v>
      </c>
      <c r="KG5" t="s">
        <v>571</v>
      </c>
      <c r="KH5" t="s">
        <v>555</v>
      </c>
      <c r="KI5">
        <v>0</v>
      </c>
      <c r="KJ5">
        <v>0</v>
      </c>
      <c r="KK5">
        <v>0</v>
      </c>
      <c r="KL5" t="s">
        <v>264</v>
      </c>
      <c r="KO5" t="s">
        <v>572</v>
      </c>
      <c r="KP5" t="s">
        <v>555</v>
      </c>
      <c r="KQ5">
        <v>0</v>
      </c>
      <c r="KR5">
        <v>0</v>
      </c>
      <c r="KS5">
        <v>0</v>
      </c>
      <c r="KT5" t="s">
        <v>264</v>
      </c>
      <c r="KW5" t="s">
        <v>573</v>
      </c>
      <c r="KX5" t="s">
        <v>555</v>
      </c>
      <c r="KY5">
        <v>0</v>
      </c>
      <c r="KZ5">
        <v>0</v>
      </c>
      <c r="LA5">
        <v>0</v>
      </c>
      <c r="LB5" t="s">
        <v>264</v>
      </c>
      <c r="LE5" t="s">
        <v>574</v>
      </c>
      <c r="LF5" t="s">
        <v>555</v>
      </c>
      <c r="LG5">
        <v>0</v>
      </c>
      <c r="LH5">
        <v>0</v>
      </c>
      <c r="LI5">
        <v>0</v>
      </c>
      <c r="LJ5" t="s">
        <v>264</v>
      </c>
      <c r="LM5" t="s">
        <v>575</v>
      </c>
      <c r="LN5" t="s">
        <v>555</v>
      </c>
      <c r="LO5">
        <v>0</v>
      </c>
      <c r="LP5">
        <v>0</v>
      </c>
      <c r="LQ5">
        <v>0</v>
      </c>
      <c r="LR5" t="s">
        <v>264</v>
      </c>
      <c r="LU5" t="s">
        <v>576</v>
      </c>
      <c r="LV5" t="s">
        <v>555</v>
      </c>
      <c r="LW5">
        <v>0</v>
      </c>
      <c r="LX5">
        <v>0</v>
      </c>
      <c r="LY5">
        <v>0</v>
      </c>
      <c r="LZ5" t="s">
        <v>264</v>
      </c>
      <c r="MC5" t="s">
        <v>577</v>
      </c>
      <c r="MD5" t="s">
        <v>555</v>
      </c>
      <c r="ME5">
        <v>0</v>
      </c>
      <c r="MF5">
        <v>0</v>
      </c>
      <c r="MG5">
        <v>0</v>
      </c>
      <c r="MH5" t="s">
        <v>264</v>
      </c>
      <c r="MK5" t="s">
        <v>578</v>
      </c>
      <c r="ML5" t="s">
        <v>555</v>
      </c>
      <c r="MM5">
        <v>0</v>
      </c>
      <c r="MN5">
        <v>0</v>
      </c>
      <c r="MO5">
        <v>0</v>
      </c>
      <c r="MP5" t="s">
        <v>264</v>
      </c>
      <c r="MS5" t="s">
        <v>579</v>
      </c>
      <c r="MT5" t="s">
        <v>555</v>
      </c>
      <c r="MU5">
        <v>0</v>
      </c>
      <c r="MV5">
        <v>0</v>
      </c>
      <c r="MW5">
        <v>0</v>
      </c>
      <c r="MX5" t="s">
        <v>264</v>
      </c>
      <c r="NA5" t="s">
        <v>580</v>
      </c>
      <c r="NB5" t="s">
        <v>555</v>
      </c>
      <c r="NC5">
        <v>0</v>
      </c>
      <c r="ND5">
        <v>0</v>
      </c>
      <c r="NE5">
        <v>0</v>
      </c>
      <c r="NF5" t="s">
        <v>264</v>
      </c>
      <c r="NI5">
        <v>40</v>
      </c>
      <c r="NJ5">
        <v>-8.6</v>
      </c>
      <c r="NP5" t="s">
        <v>624</v>
      </c>
    </row>
    <row r="6" spans="1:380" customFormat="1" x14ac:dyDescent="0.2">
      <c r="A6" t="s">
        <v>517</v>
      </c>
      <c r="B6">
        <v>1</v>
      </c>
      <c r="C6" t="s">
        <v>813</v>
      </c>
      <c r="D6">
        <v>646950305</v>
      </c>
      <c r="E6">
        <v>12602</v>
      </c>
      <c r="F6" t="s">
        <v>805</v>
      </c>
      <c r="G6">
        <v>802069</v>
      </c>
      <c r="H6">
        <v>210076211</v>
      </c>
      <c r="I6" t="s">
        <v>622</v>
      </c>
      <c r="J6" t="s">
        <v>814</v>
      </c>
      <c r="K6" t="s">
        <v>545</v>
      </c>
      <c r="L6" t="s">
        <v>442</v>
      </c>
      <c r="M6" t="s">
        <v>546</v>
      </c>
      <c r="N6" t="s">
        <v>468</v>
      </c>
      <c r="O6" t="s">
        <v>547</v>
      </c>
      <c r="P6" t="s">
        <v>264</v>
      </c>
      <c r="Q6">
        <v>26.6</v>
      </c>
      <c r="R6">
        <v>267</v>
      </c>
      <c r="S6" t="s">
        <v>264</v>
      </c>
      <c r="T6">
        <v>-9999</v>
      </c>
      <c r="U6">
        <v>600</v>
      </c>
      <c r="V6">
        <v>619</v>
      </c>
      <c r="W6">
        <v>592</v>
      </c>
      <c r="X6" t="s">
        <v>270</v>
      </c>
      <c r="Y6">
        <v>0</v>
      </c>
      <c r="Z6">
        <v>55</v>
      </c>
      <c r="AA6" t="s">
        <v>469</v>
      </c>
      <c r="AB6" t="s">
        <v>548</v>
      </c>
      <c r="AC6">
        <v>1</v>
      </c>
      <c r="AD6" t="s">
        <v>584</v>
      </c>
      <c r="AE6">
        <v>28</v>
      </c>
      <c r="AF6">
        <v>1442</v>
      </c>
      <c r="AG6" t="s">
        <v>264</v>
      </c>
      <c r="AH6">
        <v>-9999</v>
      </c>
      <c r="AI6">
        <v>419</v>
      </c>
      <c r="AJ6">
        <v>532</v>
      </c>
      <c r="AK6">
        <v>422</v>
      </c>
      <c r="AL6" t="s">
        <v>270</v>
      </c>
      <c r="AM6">
        <v>0</v>
      </c>
      <c r="AN6">
        <v>55</v>
      </c>
      <c r="AO6" t="s">
        <v>470</v>
      </c>
      <c r="AP6" t="s">
        <v>548</v>
      </c>
      <c r="AQ6">
        <v>2</v>
      </c>
      <c r="AR6" t="s">
        <v>584</v>
      </c>
      <c r="AS6">
        <v>39.200000000000003</v>
      </c>
      <c r="AT6">
        <v>355</v>
      </c>
      <c r="AU6" t="s">
        <v>264</v>
      </c>
      <c r="AV6">
        <v>-9999</v>
      </c>
      <c r="AW6">
        <v>369</v>
      </c>
      <c r="AX6">
        <v>386</v>
      </c>
      <c r="AY6">
        <v>369</v>
      </c>
      <c r="AZ6" t="s">
        <v>270</v>
      </c>
      <c r="BA6">
        <v>0</v>
      </c>
      <c r="BB6">
        <v>55</v>
      </c>
      <c r="BC6" t="s">
        <v>550</v>
      </c>
      <c r="BD6" t="s">
        <v>548</v>
      </c>
      <c r="BE6">
        <v>3</v>
      </c>
      <c r="BF6" t="s">
        <v>584</v>
      </c>
      <c r="BG6">
        <v>25</v>
      </c>
      <c r="BH6">
        <v>518</v>
      </c>
      <c r="BI6" t="s">
        <v>264</v>
      </c>
      <c r="BJ6">
        <v>-9999</v>
      </c>
      <c r="BK6">
        <v>279</v>
      </c>
      <c r="BL6">
        <v>334</v>
      </c>
      <c r="BM6">
        <v>273</v>
      </c>
      <c r="BN6" t="s">
        <v>270</v>
      </c>
      <c r="BO6">
        <v>0</v>
      </c>
      <c r="BP6">
        <v>55</v>
      </c>
      <c r="BQ6" t="s">
        <v>504</v>
      </c>
      <c r="BR6" t="s">
        <v>548</v>
      </c>
      <c r="BS6">
        <v>4</v>
      </c>
      <c r="BT6" t="s">
        <v>584</v>
      </c>
      <c r="BU6">
        <v>31</v>
      </c>
      <c r="BV6">
        <v>288</v>
      </c>
      <c r="BW6" t="s">
        <v>264</v>
      </c>
      <c r="BX6">
        <v>-9999</v>
      </c>
      <c r="BY6">
        <v>213</v>
      </c>
      <c r="BZ6">
        <v>247</v>
      </c>
      <c r="CA6">
        <v>212</v>
      </c>
      <c r="CB6" t="s">
        <v>270</v>
      </c>
      <c r="CC6">
        <v>0</v>
      </c>
      <c r="CD6">
        <v>55</v>
      </c>
      <c r="CE6" t="s">
        <v>471</v>
      </c>
      <c r="CF6" t="s">
        <v>548</v>
      </c>
      <c r="CG6">
        <v>5</v>
      </c>
      <c r="CH6" t="s">
        <v>584</v>
      </c>
      <c r="CI6">
        <v>37.299999999999997</v>
      </c>
      <c r="CJ6">
        <v>196</v>
      </c>
      <c r="CK6" t="s">
        <v>264</v>
      </c>
      <c r="CL6">
        <v>-9999</v>
      </c>
      <c r="CM6">
        <v>480</v>
      </c>
      <c r="CN6">
        <v>563</v>
      </c>
      <c r="CO6">
        <v>479</v>
      </c>
      <c r="CP6" t="s">
        <v>270</v>
      </c>
      <c r="CQ6">
        <v>0</v>
      </c>
      <c r="CR6">
        <v>55</v>
      </c>
      <c r="CS6" t="s">
        <v>472</v>
      </c>
      <c r="CT6" t="s">
        <v>548</v>
      </c>
      <c r="CU6">
        <v>6</v>
      </c>
      <c r="CV6" t="s">
        <v>584</v>
      </c>
      <c r="CW6">
        <v>35.1</v>
      </c>
      <c r="CX6">
        <v>253</v>
      </c>
      <c r="CY6" t="s">
        <v>264</v>
      </c>
      <c r="CZ6">
        <v>-9999</v>
      </c>
      <c r="DA6">
        <v>699</v>
      </c>
      <c r="DB6">
        <v>793</v>
      </c>
      <c r="DC6">
        <v>689</v>
      </c>
      <c r="DD6" t="s">
        <v>270</v>
      </c>
      <c r="DE6">
        <v>0</v>
      </c>
      <c r="DF6">
        <v>55</v>
      </c>
      <c r="DG6" t="s">
        <v>473</v>
      </c>
      <c r="DH6" t="s">
        <v>548</v>
      </c>
      <c r="DI6">
        <v>7</v>
      </c>
      <c r="DJ6" t="s">
        <v>584</v>
      </c>
      <c r="DK6">
        <v>24.8</v>
      </c>
      <c r="DL6">
        <v>196</v>
      </c>
      <c r="DM6" t="s">
        <v>264</v>
      </c>
      <c r="DN6">
        <v>-9999</v>
      </c>
      <c r="DO6">
        <v>512</v>
      </c>
      <c r="DP6">
        <v>584</v>
      </c>
      <c r="DQ6">
        <v>511</v>
      </c>
      <c r="DR6" t="s">
        <v>270</v>
      </c>
      <c r="DS6">
        <v>0</v>
      </c>
      <c r="DT6">
        <v>55</v>
      </c>
      <c r="DU6" t="s">
        <v>474</v>
      </c>
      <c r="DV6" t="s">
        <v>548</v>
      </c>
      <c r="DW6">
        <v>8</v>
      </c>
      <c r="DX6" t="s">
        <v>584</v>
      </c>
      <c r="DY6">
        <v>22.8</v>
      </c>
      <c r="DZ6">
        <v>420</v>
      </c>
      <c r="EA6" t="s">
        <v>264</v>
      </c>
      <c r="EB6">
        <v>-9999</v>
      </c>
      <c r="EC6">
        <v>126</v>
      </c>
      <c r="ED6">
        <v>152</v>
      </c>
      <c r="EE6">
        <v>125</v>
      </c>
      <c r="EF6" t="s">
        <v>270</v>
      </c>
      <c r="EG6">
        <v>0</v>
      </c>
      <c r="EH6">
        <v>55</v>
      </c>
      <c r="EI6" t="s">
        <v>475</v>
      </c>
      <c r="EJ6" t="s">
        <v>548</v>
      </c>
      <c r="EK6">
        <v>9</v>
      </c>
      <c r="EL6" t="s">
        <v>584</v>
      </c>
      <c r="EM6">
        <v>25.3</v>
      </c>
      <c r="EN6">
        <v>84</v>
      </c>
      <c r="EO6" t="s">
        <v>264</v>
      </c>
      <c r="EP6">
        <v>-9999</v>
      </c>
      <c r="EQ6">
        <v>287</v>
      </c>
      <c r="ER6">
        <v>264</v>
      </c>
      <c r="ES6">
        <v>247</v>
      </c>
      <c r="ET6" t="s">
        <v>270</v>
      </c>
      <c r="EU6">
        <v>0</v>
      </c>
      <c r="EV6">
        <v>55</v>
      </c>
      <c r="EW6" t="s">
        <v>551</v>
      </c>
      <c r="EX6" t="s">
        <v>552</v>
      </c>
      <c r="EY6">
        <v>142</v>
      </c>
      <c r="EZ6">
        <v>142</v>
      </c>
      <c r="FA6">
        <v>143</v>
      </c>
      <c r="FB6" t="s">
        <v>270</v>
      </c>
      <c r="FC6" t="s">
        <v>553</v>
      </c>
      <c r="FD6" t="s">
        <v>552</v>
      </c>
      <c r="FE6">
        <v>286</v>
      </c>
      <c r="FF6">
        <v>285</v>
      </c>
      <c r="FG6">
        <v>284</v>
      </c>
      <c r="FH6" t="s">
        <v>270</v>
      </c>
      <c r="FI6" t="s">
        <v>554</v>
      </c>
      <c r="FJ6" t="s">
        <v>555</v>
      </c>
      <c r="FK6">
        <v>0</v>
      </c>
      <c r="FL6">
        <v>0</v>
      </c>
      <c r="FM6">
        <v>0</v>
      </c>
      <c r="FN6" t="s">
        <v>264</v>
      </c>
      <c r="FO6">
        <v>75.900000000000006</v>
      </c>
      <c r="FP6">
        <v>286.89999999999998</v>
      </c>
      <c r="FQ6" t="s">
        <v>556</v>
      </c>
      <c r="FR6" t="s">
        <v>555</v>
      </c>
      <c r="FS6">
        <v>0</v>
      </c>
      <c r="FT6">
        <v>0</v>
      </c>
      <c r="FU6">
        <v>0</v>
      </c>
      <c r="FV6" t="s">
        <v>264</v>
      </c>
      <c r="FW6">
        <v>73.3</v>
      </c>
      <c r="FX6">
        <v>99.6</v>
      </c>
      <c r="FY6" t="s">
        <v>557</v>
      </c>
      <c r="FZ6" t="s">
        <v>555</v>
      </c>
      <c r="GA6">
        <v>0</v>
      </c>
      <c r="GB6">
        <v>0</v>
      </c>
      <c r="GC6">
        <v>0</v>
      </c>
      <c r="GD6" t="s">
        <v>264</v>
      </c>
      <c r="GE6">
        <v>71.099999999999994</v>
      </c>
      <c r="GF6">
        <v>274.39999999999998</v>
      </c>
      <c r="GG6" t="s">
        <v>558</v>
      </c>
      <c r="GH6" t="s">
        <v>555</v>
      </c>
      <c r="GI6">
        <v>0</v>
      </c>
      <c r="GJ6">
        <v>0</v>
      </c>
      <c r="GK6">
        <v>0</v>
      </c>
      <c r="GL6" t="s">
        <v>264</v>
      </c>
      <c r="GM6">
        <v>68.3</v>
      </c>
      <c r="GN6">
        <v>58.2</v>
      </c>
      <c r="GO6" t="s">
        <v>559</v>
      </c>
      <c r="GP6" t="s">
        <v>555</v>
      </c>
      <c r="GQ6">
        <v>0</v>
      </c>
      <c r="GR6">
        <v>0</v>
      </c>
      <c r="GS6">
        <v>0</v>
      </c>
      <c r="GT6" t="s">
        <v>264</v>
      </c>
      <c r="GU6">
        <v>75.900000000000006</v>
      </c>
      <c r="GV6">
        <v>57.7</v>
      </c>
      <c r="GW6" t="s">
        <v>560</v>
      </c>
      <c r="GX6" t="s">
        <v>555</v>
      </c>
      <c r="GY6">
        <v>0</v>
      </c>
      <c r="GZ6">
        <v>0</v>
      </c>
      <c r="HA6">
        <v>0</v>
      </c>
      <c r="HB6" t="s">
        <v>264</v>
      </c>
      <c r="HC6">
        <v>70.099999999999994</v>
      </c>
      <c r="HD6">
        <v>80.2</v>
      </c>
      <c r="HE6" t="s">
        <v>561</v>
      </c>
      <c r="HF6" t="s">
        <v>555</v>
      </c>
      <c r="HG6">
        <v>0</v>
      </c>
      <c r="HH6">
        <v>0</v>
      </c>
      <c r="HI6">
        <v>0</v>
      </c>
      <c r="HJ6" t="s">
        <v>264</v>
      </c>
      <c r="HK6">
        <v>70.8</v>
      </c>
      <c r="HL6">
        <v>145.69999999999999</v>
      </c>
      <c r="HM6" t="s">
        <v>562</v>
      </c>
      <c r="HN6" t="s">
        <v>555</v>
      </c>
      <c r="HO6">
        <v>0</v>
      </c>
      <c r="HP6">
        <v>0</v>
      </c>
      <c r="HQ6">
        <v>0</v>
      </c>
      <c r="HR6" t="s">
        <v>264</v>
      </c>
      <c r="HS6">
        <v>69</v>
      </c>
      <c r="HT6">
        <v>89.1</v>
      </c>
      <c r="HU6" t="s">
        <v>563</v>
      </c>
      <c r="HV6" t="s">
        <v>555</v>
      </c>
      <c r="HW6">
        <v>0</v>
      </c>
      <c r="HX6">
        <v>0</v>
      </c>
      <c r="HY6">
        <v>0</v>
      </c>
      <c r="HZ6" t="s">
        <v>264</v>
      </c>
      <c r="IA6">
        <v>74.599999999999994</v>
      </c>
      <c r="IB6">
        <v>201.7</v>
      </c>
      <c r="IC6" t="s">
        <v>564</v>
      </c>
      <c r="ID6" t="s">
        <v>555</v>
      </c>
      <c r="IE6">
        <v>0</v>
      </c>
      <c r="IF6">
        <v>0</v>
      </c>
      <c r="IG6">
        <v>0</v>
      </c>
      <c r="IH6" t="s">
        <v>264</v>
      </c>
      <c r="II6">
        <v>68.099999999999994</v>
      </c>
      <c r="IJ6">
        <v>121.7</v>
      </c>
      <c r="IK6" t="s">
        <v>565</v>
      </c>
      <c r="IL6" t="s">
        <v>555</v>
      </c>
      <c r="IM6">
        <v>0</v>
      </c>
      <c r="IN6">
        <v>0</v>
      </c>
      <c r="IO6">
        <v>0</v>
      </c>
      <c r="IP6" t="s">
        <v>264</v>
      </c>
      <c r="IS6" t="s">
        <v>566</v>
      </c>
      <c r="IT6" t="s">
        <v>555</v>
      </c>
      <c r="IU6">
        <v>0</v>
      </c>
      <c r="IV6">
        <v>0</v>
      </c>
      <c r="IW6">
        <v>0</v>
      </c>
      <c r="IX6" t="s">
        <v>264</v>
      </c>
      <c r="JA6" t="s">
        <v>567</v>
      </c>
      <c r="JB6" t="s">
        <v>555</v>
      </c>
      <c r="JC6">
        <v>0</v>
      </c>
      <c r="JD6">
        <v>0</v>
      </c>
      <c r="JE6">
        <v>0</v>
      </c>
      <c r="JF6" t="s">
        <v>264</v>
      </c>
      <c r="JI6" t="s">
        <v>568</v>
      </c>
      <c r="JJ6" t="s">
        <v>555</v>
      </c>
      <c r="JK6">
        <v>0</v>
      </c>
      <c r="JL6">
        <v>0</v>
      </c>
      <c r="JM6">
        <v>0</v>
      </c>
      <c r="JN6" t="s">
        <v>264</v>
      </c>
      <c r="JQ6" t="s">
        <v>569</v>
      </c>
      <c r="JR6" t="s">
        <v>555</v>
      </c>
      <c r="JS6">
        <v>0</v>
      </c>
      <c r="JT6">
        <v>0</v>
      </c>
      <c r="JU6">
        <v>0</v>
      </c>
      <c r="JV6" t="s">
        <v>264</v>
      </c>
      <c r="JY6" t="s">
        <v>570</v>
      </c>
      <c r="JZ6" t="s">
        <v>555</v>
      </c>
      <c r="KA6">
        <v>0</v>
      </c>
      <c r="KB6">
        <v>0</v>
      </c>
      <c r="KC6">
        <v>0</v>
      </c>
      <c r="KD6" t="s">
        <v>264</v>
      </c>
      <c r="KG6" t="s">
        <v>571</v>
      </c>
      <c r="KH6" t="s">
        <v>555</v>
      </c>
      <c r="KI6">
        <v>0</v>
      </c>
      <c r="KJ6">
        <v>0</v>
      </c>
      <c r="KK6">
        <v>0</v>
      </c>
      <c r="KL6" t="s">
        <v>264</v>
      </c>
      <c r="KO6" t="s">
        <v>572</v>
      </c>
      <c r="KP6" t="s">
        <v>555</v>
      </c>
      <c r="KQ6">
        <v>0</v>
      </c>
      <c r="KR6">
        <v>0</v>
      </c>
      <c r="KS6">
        <v>0</v>
      </c>
      <c r="KT6" t="s">
        <v>264</v>
      </c>
      <c r="KW6" t="s">
        <v>573</v>
      </c>
      <c r="KX6" t="s">
        <v>555</v>
      </c>
      <c r="KY6">
        <v>0</v>
      </c>
      <c r="KZ6">
        <v>0</v>
      </c>
      <c r="LA6">
        <v>0</v>
      </c>
      <c r="LB6" t="s">
        <v>264</v>
      </c>
      <c r="LE6" t="s">
        <v>574</v>
      </c>
      <c r="LF6" t="s">
        <v>555</v>
      </c>
      <c r="LG6">
        <v>0</v>
      </c>
      <c r="LH6">
        <v>0</v>
      </c>
      <c r="LI6">
        <v>0</v>
      </c>
      <c r="LJ6" t="s">
        <v>264</v>
      </c>
      <c r="LM6" t="s">
        <v>575</v>
      </c>
      <c r="LN6" t="s">
        <v>555</v>
      </c>
      <c r="LO6">
        <v>0</v>
      </c>
      <c r="LP6">
        <v>0</v>
      </c>
      <c r="LQ6">
        <v>0</v>
      </c>
      <c r="LR6" t="s">
        <v>264</v>
      </c>
      <c r="LU6" t="s">
        <v>576</v>
      </c>
      <c r="LV6" t="s">
        <v>555</v>
      </c>
      <c r="LW6">
        <v>0</v>
      </c>
      <c r="LX6">
        <v>0</v>
      </c>
      <c r="LY6">
        <v>0</v>
      </c>
      <c r="LZ6" t="s">
        <v>264</v>
      </c>
      <c r="MC6" t="s">
        <v>577</v>
      </c>
      <c r="MD6" t="s">
        <v>555</v>
      </c>
      <c r="ME6">
        <v>0</v>
      </c>
      <c r="MF6">
        <v>0</v>
      </c>
      <c r="MG6">
        <v>0</v>
      </c>
      <c r="MH6" t="s">
        <v>264</v>
      </c>
      <c r="MK6" t="s">
        <v>578</v>
      </c>
      <c r="ML6" t="s">
        <v>555</v>
      </c>
      <c r="MM6">
        <v>0</v>
      </c>
      <c r="MN6">
        <v>0</v>
      </c>
      <c r="MO6">
        <v>0</v>
      </c>
      <c r="MP6" t="s">
        <v>264</v>
      </c>
      <c r="MS6" t="s">
        <v>579</v>
      </c>
      <c r="MT6" t="s">
        <v>555</v>
      </c>
      <c r="MU6">
        <v>0</v>
      </c>
      <c r="MV6">
        <v>0</v>
      </c>
      <c r="MW6">
        <v>0</v>
      </c>
      <c r="MX6" t="s">
        <v>264</v>
      </c>
      <c r="NA6" t="s">
        <v>580</v>
      </c>
      <c r="NB6" t="s">
        <v>555</v>
      </c>
      <c r="NC6">
        <v>0</v>
      </c>
      <c r="ND6">
        <v>0</v>
      </c>
      <c r="NE6">
        <v>0</v>
      </c>
      <c r="NF6" t="s">
        <v>264</v>
      </c>
      <c r="NI6">
        <v>40.1</v>
      </c>
      <c r="NJ6">
        <v>-9.1</v>
      </c>
      <c r="NP6" t="s">
        <v>624</v>
      </c>
    </row>
    <row r="7" spans="1:380" customFormat="1" x14ac:dyDescent="0.2">
      <c r="A7" t="s">
        <v>517</v>
      </c>
      <c r="B7">
        <v>1</v>
      </c>
      <c r="C7" t="s">
        <v>815</v>
      </c>
      <c r="D7">
        <v>646950313</v>
      </c>
      <c r="E7">
        <v>12602</v>
      </c>
      <c r="F7" t="s">
        <v>805</v>
      </c>
      <c r="G7">
        <v>802069</v>
      </c>
      <c r="H7">
        <v>210077169</v>
      </c>
      <c r="I7" t="s">
        <v>622</v>
      </c>
      <c r="J7" t="s">
        <v>816</v>
      </c>
      <c r="K7" t="s">
        <v>545</v>
      </c>
      <c r="L7" t="s">
        <v>442</v>
      </c>
      <c r="M7" t="s">
        <v>546</v>
      </c>
      <c r="N7" t="s">
        <v>468</v>
      </c>
      <c r="O7" t="s">
        <v>547</v>
      </c>
      <c r="P7" t="s">
        <v>264</v>
      </c>
      <c r="Q7">
        <v>27.3</v>
      </c>
      <c r="R7">
        <v>261</v>
      </c>
      <c r="S7" t="s">
        <v>264</v>
      </c>
      <c r="T7">
        <v>-9999</v>
      </c>
      <c r="U7">
        <v>602</v>
      </c>
      <c r="V7">
        <v>620</v>
      </c>
      <c r="W7">
        <v>590</v>
      </c>
      <c r="X7" t="s">
        <v>270</v>
      </c>
      <c r="Y7">
        <v>0</v>
      </c>
      <c r="Z7">
        <v>55</v>
      </c>
      <c r="AA7" t="s">
        <v>469</v>
      </c>
      <c r="AB7" t="s">
        <v>548</v>
      </c>
      <c r="AC7">
        <v>1</v>
      </c>
      <c r="AD7" t="s">
        <v>584</v>
      </c>
      <c r="AE7">
        <v>26.7</v>
      </c>
      <c r="AF7">
        <v>1328</v>
      </c>
      <c r="AG7" t="s">
        <v>264</v>
      </c>
      <c r="AH7">
        <v>-9999</v>
      </c>
      <c r="AI7">
        <v>527</v>
      </c>
      <c r="AJ7">
        <v>654</v>
      </c>
      <c r="AK7">
        <v>527</v>
      </c>
      <c r="AL7" t="s">
        <v>270</v>
      </c>
      <c r="AM7">
        <v>0</v>
      </c>
      <c r="AN7">
        <v>55</v>
      </c>
      <c r="AO7" t="s">
        <v>470</v>
      </c>
      <c r="AP7" t="s">
        <v>548</v>
      </c>
      <c r="AQ7">
        <v>2</v>
      </c>
      <c r="AR7" t="s">
        <v>584</v>
      </c>
      <c r="AS7">
        <v>38.700000000000003</v>
      </c>
      <c r="AT7">
        <v>320</v>
      </c>
      <c r="AU7" t="s">
        <v>264</v>
      </c>
      <c r="AV7">
        <v>-9999</v>
      </c>
      <c r="AW7">
        <v>372</v>
      </c>
      <c r="AX7">
        <v>392</v>
      </c>
      <c r="AY7">
        <v>370</v>
      </c>
      <c r="AZ7" t="s">
        <v>270</v>
      </c>
      <c r="BA7">
        <v>0</v>
      </c>
      <c r="BB7">
        <v>55</v>
      </c>
      <c r="BC7" t="s">
        <v>550</v>
      </c>
      <c r="BD7" t="s">
        <v>548</v>
      </c>
      <c r="BE7">
        <v>3</v>
      </c>
      <c r="BF7" t="s">
        <v>584</v>
      </c>
      <c r="BG7">
        <v>23.3</v>
      </c>
      <c r="BH7">
        <v>668</v>
      </c>
      <c r="BI7" t="s">
        <v>264</v>
      </c>
      <c r="BJ7">
        <v>-9999</v>
      </c>
      <c r="BK7">
        <v>136</v>
      </c>
      <c r="BL7">
        <v>171</v>
      </c>
      <c r="BM7">
        <v>134</v>
      </c>
      <c r="BN7" t="s">
        <v>270</v>
      </c>
      <c r="BO7">
        <v>0</v>
      </c>
      <c r="BP7">
        <v>55</v>
      </c>
      <c r="BQ7" t="s">
        <v>504</v>
      </c>
      <c r="BR7" t="s">
        <v>548</v>
      </c>
      <c r="BS7">
        <v>4</v>
      </c>
      <c r="BT7" t="s">
        <v>584</v>
      </c>
      <c r="BU7">
        <v>30.7</v>
      </c>
      <c r="BV7">
        <v>287</v>
      </c>
      <c r="BW7" t="s">
        <v>264</v>
      </c>
      <c r="BX7">
        <v>-9999</v>
      </c>
      <c r="BY7">
        <v>226</v>
      </c>
      <c r="BZ7">
        <v>260</v>
      </c>
      <c r="CA7">
        <v>224</v>
      </c>
      <c r="CB7" t="s">
        <v>270</v>
      </c>
      <c r="CC7">
        <v>0</v>
      </c>
      <c r="CD7">
        <v>55</v>
      </c>
      <c r="CE7" t="s">
        <v>471</v>
      </c>
      <c r="CF7" t="s">
        <v>548</v>
      </c>
      <c r="CG7">
        <v>5</v>
      </c>
      <c r="CH7" t="s">
        <v>584</v>
      </c>
      <c r="CI7">
        <v>35.5</v>
      </c>
      <c r="CJ7">
        <v>207</v>
      </c>
      <c r="CK7" t="s">
        <v>264</v>
      </c>
      <c r="CL7">
        <v>-9999</v>
      </c>
      <c r="CM7">
        <v>504</v>
      </c>
      <c r="CN7">
        <v>586</v>
      </c>
      <c r="CO7">
        <v>501</v>
      </c>
      <c r="CP7" t="s">
        <v>270</v>
      </c>
      <c r="CQ7">
        <v>0</v>
      </c>
      <c r="CR7">
        <v>55</v>
      </c>
      <c r="CS7" t="s">
        <v>472</v>
      </c>
      <c r="CT7" t="s">
        <v>548</v>
      </c>
      <c r="CU7">
        <v>6</v>
      </c>
      <c r="CV7" t="s">
        <v>584</v>
      </c>
      <c r="CW7">
        <v>34.299999999999997</v>
      </c>
      <c r="CX7">
        <v>271</v>
      </c>
      <c r="CY7" t="s">
        <v>264</v>
      </c>
      <c r="CZ7">
        <v>-9999</v>
      </c>
      <c r="DA7">
        <v>615</v>
      </c>
      <c r="DB7">
        <v>693</v>
      </c>
      <c r="DC7">
        <v>603</v>
      </c>
      <c r="DD7" t="s">
        <v>270</v>
      </c>
      <c r="DE7">
        <v>0</v>
      </c>
      <c r="DF7">
        <v>55</v>
      </c>
      <c r="DG7" t="s">
        <v>473</v>
      </c>
      <c r="DH7" t="s">
        <v>548</v>
      </c>
      <c r="DI7">
        <v>7</v>
      </c>
      <c r="DJ7" t="s">
        <v>584</v>
      </c>
      <c r="DK7">
        <v>24</v>
      </c>
      <c r="DL7">
        <v>231</v>
      </c>
      <c r="DM7" t="s">
        <v>264</v>
      </c>
      <c r="DN7">
        <v>-9999</v>
      </c>
      <c r="DO7">
        <v>566</v>
      </c>
      <c r="DP7">
        <v>645</v>
      </c>
      <c r="DQ7">
        <v>562</v>
      </c>
      <c r="DR7" t="s">
        <v>270</v>
      </c>
      <c r="DS7">
        <v>0</v>
      </c>
      <c r="DT7">
        <v>55</v>
      </c>
      <c r="DU7" t="s">
        <v>474</v>
      </c>
      <c r="DV7" t="s">
        <v>548</v>
      </c>
      <c r="DW7">
        <v>8</v>
      </c>
      <c r="DX7" t="s">
        <v>584</v>
      </c>
      <c r="DY7">
        <v>21.4</v>
      </c>
      <c r="DZ7">
        <v>503</v>
      </c>
      <c r="EA7" t="s">
        <v>264</v>
      </c>
      <c r="EB7">
        <v>-9999</v>
      </c>
      <c r="EC7">
        <v>90</v>
      </c>
      <c r="ED7">
        <v>111</v>
      </c>
      <c r="EE7">
        <v>89</v>
      </c>
      <c r="EF7" t="s">
        <v>270</v>
      </c>
      <c r="EG7">
        <v>0</v>
      </c>
      <c r="EH7">
        <v>55</v>
      </c>
      <c r="EI7" t="s">
        <v>475</v>
      </c>
      <c r="EJ7" t="s">
        <v>548</v>
      </c>
      <c r="EK7">
        <v>9</v>
      </c>
      <c r="EL7" t="s">
        <v>584</v>
      </c>
      <c r="EM7">
        <v>25.3</v>
      </c>
      <c r="EN7">
        <v>81</v>
      </c>
      <c r="EO7" t="s">
        <v>264</v>
      </c>
      <c r="EP7">
        <v>-9999</v>
      </c>
      <c r="EQ7">
        <v>270</v>
      </c>
      <c r="ER7">
        <v>247</v>
      </c>
      <c r="ES7">
        <v>233</v>
      </c>
      <c r="ET7" t="s">
        <v>270</v>
      </c>
      <c r="EU7">
        <v>0</v>
      </c>
      <c r="EV7">
        <v>55</v>
      </c>
      <c r="EW7" t="s">
        <v>551</v>
      </c>
      <c r="EX7" t="s">
        <v>552</v>
      </c>
      <c r="EY7">
        <v>152</v>
      </c>
      <c r="EZ7">
        <v>153</v>
      </c>
      <c r="FA7">
        <v>153</v>
      </c>
      <c r="FB7" t="s">
        <v>270</v>
      </c>
      <c r="FC7" t="s">
        <v>553</v>
      </c>
      <c r="FD7" t="s">
        <v>552</v>
      </c>
      <c r="FE7">
        <v>294</v>
      </c>
      <c r="FF7">
        <v>293</v>
      </c>
      <c r="FG7">
        <v>292</v>
      </c>
      <c r="FH7" t="s">
        <v>270</v>
      </c>
      <c r="FI7" t="s">
        <v>554</v>
      </c>
      <c r="FJ7" t="s">
        <v>555</v>
      </c>
      <c r="FK7">
        <v>0</v>
      </c>
      <c r="FL7">
        <v>0</v>
      </c>
      <c r="FM7">
        <v>0</v>
      </c>
      <c r="FN7" t="s">
        <v>264</v>
      </c>
      <c r="FO7">
        <v>76</v>
      </c>
      <c r="FP7">
        <v>300.8</v>
      </c>
      <c r="FQ7" t="s">
        <v>556</v>
      </c>
      <c r="FR7" t="s">
        <v>555</v>
      </c>
      <c r="FS7">
        <v>0</v>
      </c>
      <c r="FT7">
        <v>0</v>
      </c>
      <c r="FU7">
        <v>0</v>
      </c>
      <c r="FV7" t="s">
        <v>264</v>
      </c>
      <c r="FW7">
        <v>73.400000000000006</v>
      </c>
      <c r="FX7">
        <v>95.3</v>
      </c>
      <c r="FY7" t="s">
        <v>557</v>
      </c>
      <c r="FZ7" t="s">
        <v>555</v>
      </c>
      <c r="GA7">
        <v>0</v>
      </c>
      <c r="GB7">
        <v>0</v>
      </c>
      <c r="GC7">
        <v>0</v>
      </c>
      <c r="GD7" t="s">
        <v>264</v>
      </c>
      <c r="GE7">
        <v>71.2</v>
      </c>
      <c r="GF7">
        <v>238.6</v>
      </c>
      <c r="GG7" t="s">
        <v>558</v>
      </c>
      <c r="GH7" t="s">
        <v>555</v>
      </c>
      <c r="GI7">
        <v>0</v>
      </c>
      <c r="GJ7">
        <v>0</v>
      </c>
      <c r="GK7">
        <v>0</v>
      </c>
      <c r="GL7" t="s">
        <v>264</v>
      </c>
      <c r="GM7">
        <v>68.400000000000006</v>
      </c>
      <c r="GN7">
        <v>57.5</v>
      </c>
      <c r="GO7" t="s">
        <v>559</v>
      </c>
      <c r="GP7" t="s">
        <v>555</v>
      </c>
      <c r="GQ7">
        <v>0</v>
      </c>
      <c r="GR7">
        <v>0</v>
      </c>
      <c r="GS7">
        <v>0</v>
      </c>
      <c r="GT7" t="s">
        <v>264</v>
      </c>
      <c r="GU7">
        <v>75.900000000000006</v>
      </c>
      <c r="GV7">
        <v>58.2</v>
      </c>
      <c r="GW7" t="s">
        <v>560</v>
      </c>
      <c r="GX7" t="s">
        <v>555</v>
      </c>
      <c r="GY7">
        <v>0</v>
      </c>
      <c r="GZ7">
        <v>0</v>
      </c>
      <c r="HA7">
        <v>0</v>
      </c>
      <c r="HB7" t="s">
        <v>264</v>
      </c>
      <c r="HC7">
        <v>70.099999999999994</v>
      </c>
      <c r="HD7">
        <v>78.7</v>
      </c>
      <c r="HE7" t="s">
        <v>561</v>
      </c>
      <c r="HF7" t="s">
        <v>555</v>
      </c>
      <c r="HG7">
        <v>0</v>
      </c>
      <c r="HH7">
        <v>0</v>
      </c>
      <c r="HI7">
        <v>0</v>
      </c>
      <c r="HJ7" t="s">
        <v>264</v>
      </c>
      <c r="HK7">
        <v>70.8</v>
      </c>
      <c r="HL7">
        <v>126.5</v>
      </c>
      <c r="HM7" t="s">
        <v>562</v>
      </c>
      <c r="HN7" t="s">
        <v>555</v>
      </c>
      <c r="HO7">
        <v>0</v>
      </c>
      <c r="HP7">
        <v>0</v>
      </c>
      <c r="HQ7">
        <v>0</v>
      </c>
      <c r="HR7" t="s">
        <v>264</v>
      </c>
      <c r="HS7">
        <v>69.099999999999994</v>
      </c>
      <c r="HT7">
        <v>99.3</v>
      </c>
      <c r="HU7" t="s">
        <v>563</v>
      </c>
      <c r="HV7" t="s">
        <v>555</v>
      </c>
      <c r="HW7">
        <v>0</v>
      </c>
      <c r="HX7">
        <v>0</v>
      </c>
      <c r="HY7">
        <v>0</v>
      </c>
      <c r="HZ7" t="s">
        <v>264</v>
      </c>
      <c r="IA7">
        <v>74.7</v>
      </c>
      <c r="IB7">
        <v>184.9</v>
      </c>
      <c r="IC7" t="s">
        <v>564</v>
      </c>
      <c r="ID7" t="s">
        <v>555</v>
      </c>
      <c r="IE7">
        <v>0</v>
      </c>
      <c r="IF7">
        <v>0</v>
      </c>
      <c r="IG7">
        <v>0</v>
      </c>
      <c r="IH7" t="s">
        <v>264</v>
      </c>
      <c r="II7">
        <v>68.2</v>
      </c>
      <c r="IJ7">
        <v>104.9</v>
      </c>
      <c r="IK7" t="s">
        <v>565</v>
      </c>
      <c r="IL7" t="s">
        <v>555</v>
      </c>
      <c r="IM7">
        <v>0</v>
      </c>
      <c r="IN7">
        <v>0</v>
      </c>
      <c r="IO7">
        <v>0</v>
      </c>
      <c r="IP7" t="s">
        <v>264</v>
      </c>
      <c r="IS7" t="s">
        <v>566</v>
      </c>
      <c r="IT7" t="s">
        <v>555</v>
      </c>
      <c r="IU7">
        <v>0</v>
      </c>
      <c r="IV7">
        <v>0</v>
      </c>
      <c r="IW7">
        <v>0</v>
      </c>
      <c r="IX7" t="s">
        <v>264</v>
      </c>
      <c r="JA7" t="s">
        <v>567</v>
      </c>
      <c r="JB7" t="s">
        <v>555</v>
      </c>
      <c r="JC7">
        <v>0</v>
      </c>
      <c r="JD7">
        <v>0</v>
      </c>
      <c r="JE7">
        <v>0</v>
      </c>
      <c r="JF7" t="s">
        <v>264</v>
      </c>
      <c r="JI7" t="s">
        <v>568</v>
      </c>
      <c r="JJ7" t="s">
        <v>555</v>
      </c>
      <c r="JK7">
        <v>0</v>
      </c>
      <c r="JL7">
        <v>0</v>
      </c>
      <c r="JM7">
        <v>0</v>
      </c>
      <c r="JN7" t="s">
        <v>264</v>
      </c>
      <c r="JQ7" t="s">
        <v>569</v>
      </c>
      <c r="JR7" t="s">
        <v>555</v>
      </c>
      <c r="JS7">
        <v>0</v>
      </c>
      <c r="JT7">
        <v>0</v>
      </c>
      <c r="JU7">
        <v>0</v>
      </c>
      <c r="JV7" t="s">
        <v>264</v>
      </c>
      <c r="JY7" t="s">
        <v>570</v>
      </c>
      <c r="JZ7" t="s">
        <v>555</v>
      </c>
      <c r="KA7">
        <v>0</v>
      </c>
      <c r="KB7">
        <v>0</v>
      </c>
      <c r="KC7">
        <v>0</v>
      </c>
      <c r="KD7" t="s">
        <v>264</v>
      </c>
      <c r="KG7" t="s">
        <v>571</v>
      </c>
      <c r="KH7" t="s">
        <v>555</v>
      </c>
      <c r="KI7">
        <v>0</v>
      </c>
      <c r="KJ7">
        <v>0</v>
      </c>
      <c r="KK7">
        <v>0</v>
      </c>
      <c r="KL7" t="s">
        <v>264</v>
      </c>
      <c r="KO7" t="s">
        <v>572</v>
      </c>
      <c r="KP7" t="s">
        <v>555</v>
      </c>
      <c r="KQ7">
        <v>0</v>
      </c>
      <c r="KR7">
        <v>0</v>
      </c>
      <c r="KS7">
        <v>0</v>
      </c>
      <c r="KT7" t="s">
        <v>264</v>
      </c>
      <c r="KW7" t="s">
        <v>573</v>
      </c>
      <c r="KX7" t="s">
        <v>555</v>
      </c>
      <c r="KY7">
        <v>0</v>
      </c>
      <c r="KZ7">
        <v>0</v>
      </c>
      <c r="LA7">
        <v>0</v>
      </c>
      <c r="LB7" t="s">
        <v>264</v>
      </c>
      <c r="LE7" t="s">
        <v>574</v>
      </c>
      <c r="LF7" t="s">
        <v>555</v>
      </c>
      <c r="LG7">
        <v>0</v>
      </c>
      <c r="LH7">
        <v>0</v>
      </c>
      <c r="LI7">
        <v>0</v>
      </c>
      <c r="LJ7" t="s">
        <v>264</v>
      </c>
      <c r="LM7" t="s">
        <v>575</v>
      </c>
      <c r="LN7" t="s">
        <v>555</v>
      </c>
      <c r="LO7">
        <v>0</v>
      </c>
      <c r="LP7">
        <v>0</v>
      </c>
      <c r="LQ7">
        <v>0</v>
      </c>
      <c r="LR7" t="s">
        <v>264</v>
      </c>
      <c r="LU7" t="s">
        <v>576</v>
      </c>
      <c r="LV7" t="s">
        <v>555</v>
      </c>
      <c r="LW7">
        <v>0</v>
      </c>
      <c r="LX7">
        <v>0</v>
      </c>
      <c r="LY7">
        <v>0</v>
      </c>
      <c r="LZ7" t="s">
        <v>264</v>
      </c>
      <c r="MC7" t="s">
        <v>577</v>
      </c>
      <c r="MD7" t="s">
        <v>555</v>
      </c>
      <c r="ME7">
        <v>0</v>
      </c>
      <c r="MF7">
        <v>0</v>
      </c>
      <c r="MG7">
        <v>0</v>
      </c>
      <c r="MH7" t="s">
        <v>264</v>
      </c>
      <c r="MK7" t="s">
        <v>578</v>
      </c>
      <c r="ML7" t="s">
        <v>555</v>
      </c>
      <c r="MM7">
        <v>0</v>
      </c>
      <c r="MN7">
        <v>0</v>
      </c>
      <c r="MO7">
        <v>0</v>
      </c>
      <c r="MP7" t="s">
        <v>264</v>
      </c>
      <c r="MS7" t="s">
        <v>579</v>
      </c>
      <c r="MT7" t="s">
        <v>555</v>
      </c>
      <c r="MU7">
        <v>0</v>
      </c>
      <c r="MV7">
        <v>0</v>
      </c>
      <c r="MW7">
        <v>0</v>
      </c>
      <c r="MX7" t="s">
        <v>264</v>
      </c>
      <c r="NA7" t="s">
        <v>580</v>
      </c>
      <c r="NB7" t="s">
        <v>555</v>
      </c>
      <c r="NC7">
        <v>0</v>
      </c>
      <c r="ND7">
        <v>0</v>
      </c>
      <c r="NE7">
        <v>0</v>
      </c>
      <c r="NF7" t="s">
        <v>264</v>
      </c>
      <c r="NI7">
        <v>40.1</v>
      </c>
      <c r="NJ7">
        <v>-7.1</v>
      </c>
      <c r="NP7" t="s">
        <v>624</v>
      </c>
    </row>
    <row r="8" spans="1:380" customFormat="1" x14ac:dyDescent="0.2">
      <c r="A8" t="s">
        <v>517</v>
      </c>
      <c r="B8">
        <v>1</v>
      </c>
      <c r="C8" t="s">
        <v>817</v>
      </c>
      <c r="D8">
        <v>646950343</v>
      </c>
      <c r="E8">
        <v>12602</v>
      </c>
      <c r="F8" t="s">
        <v>805</v>
      </c>
      <c r="G8">
        <v>802069</v>
      </c>
      <c r="H8">
        <v>210075755</v>
      </c>
      <c r="I8" t="s">
        <v>622</v>
      </c>
      <c r="J8" t="s">
        <v>818</v>
      </c>
      <c r="K8" t="s">
        <v>545</v>
      </c>
      <c r="L8" t="s">
        <v>442</v>
      </c>
      <c r="M8" t="s">
        <v>546</v>
      </c>
      <c r="N8" t="s">
        <v>468</v>
      </c>
      <c r="O8" t="s">
        <v>547</v>
      </c>
      <c r="P8" t="s">
        <v>264</v>
      </c>
      <c r="Q8">
        <v>25.7</v>
      </c>
      <c r="R8">
        <v>254</v>
      </c>
      <c r="S8" t="s">
        <v>264</v>
      </c>
      <c r="T8">
        <v>-9999</v>
      </c>
      <c r="U8">
        <v>703</v>
      </c>
      <c r="V8">
        <v>727</v>
      </c>
      <c r="W8">
        <v>693</v>
      </c>
      <c r="X8" t="s">
        <v>270</v>
      </c>
      <c r="Y8">
        <v>0</v>
      </c>
      <c r="Z8">
        <v>55</v>
      </c>
      <c r="AA8" t="s">
        <v>469</v>
      </c>
      <c r="AB8" t="s">
        <v>548</v>
      </c>
      <c r="AC8">
        <v>1</v>
      </c>
      <c r="AD8" t="s">
        <v>584</v>
      </c>
      <c r="AE8">
        <v>21.7</v>
      </c>
      <c r="AF8">
        <v>1509</v>
      </c>
      <c r="AG8" t="s">
        <v>264</v>
      </c>
      <c r="AH8">
        <v>-9999</v>
      </c>
      <c r="AI8">
        <v>501</v>
      </c>
      <c r="AJ8">
        <v>617</v>
      </c>
      <c r="AK8">
        <v>498</v>
      </c>
      <c r="AL8" t="s">
        <v>270</v>
      </c>
      <c r="AM8">
        <v>0</v>
      </c>
      <c r="AN8">
        <v>55</v>
      </c>
      <c r="AO8" t="s">
        <v>470</v>
      </c>
      <c r="AP8" t="s">
        <v>548</v>
      </c>
      <c r="AQ8">
        <v>2</v>
      </c>
      <c r="AR8" t="s">
        <v>584</v>
      </c>
      <c r="AS8">
        <v>32.1</v>
      </c>
      <c r="AT8">
        <v>384</v>
      </c>
      <c r="AU8" t="s">
        <v>264</v>
      </c>
      <c r="AV8">
        <v>-9999</v>
      </c>
      <c r="AW8">
        <v>406</v>
      </c>
      <c r="AX8">
        <v>428</v>
      </c>
      <c r="AY8">
        <v>405</v>
      </c>
      <c r="AZ8" t="s">
        <v>270</v>
      </c>
      <c r="BA8">
        <v>0</v>
      </c>
      <c r="BB8">
        <v>55</v>
      </c>
      <c r="BC8" t="s">
        <v>550</v>
      </c>
      <c r="BD8" t="s">
        <v>548</v>
      </c>
      <c r="BE8">
        <v>3</v>
      </c>
      <c r="BF8" t="s">
        <v>584</v>
      </c>
      <c r="BG8">
        <v>19.7</v>
      </c>
      <c r="BH8">
        <v>827</v>
      </c>
      <c r="BI8" t="s">
        <v>264</v>
      </c>
      <c r="BJ8">
        <v>-9999</v>
      </c>
      <c r="BK8">
        <v>154</v>
      </c>
      <c r="BL8">
        <v>196</v>
      </c>
      <c r="BM8">
        <v>156</v>
      </c>
      <c r="BN8" t="s">
        <v>270</v>
      </c>
      <c r="BO8">
        <v>0</v>
      </c>
      <c r="BP8">
        <v>55</v>
      </c>
      <c r="BQ8" t="s">
        <v>504</v>
      </c>
      <c r="BR8" t="s">
        <v>548</v>
      </c>
      <c r="BS8">
        <v>4</v>
      </c>
      <c r="BT8" t="s">
        <v>584</v>
      </c>
      <c r="BU8">
        <v>26.4</v>
      </c>
      <c r="BV8">
        <v>296</v>
      </c>
      <c r="BW8" t="s">
        <v>264</v>
      </c>
      <c r="BX8">
        <v>-9999</v>
      </c>
      <c r="BY8">
        <v>247</v>
      </c>
      <c r="BZ8">
        <v>286</v>
      </c>
      <c r="CA8">
        <v>246</v>
      </c>
      <c r="CB8" t="s">
        <v>270</v>
      </c>
      <c r="CC8">
        <v>0</v>
      </c>
      <c r="CD8">
        <v>55</v>
      </c>
      <c r="CE8" t="s">
        <v>471</v>
      </c>
      <c r="CF8" t="s">
        <v>548</v>
      </c>
      <c r="CG8">
        <v>5</v>
      </c>
      <c r="CH8" t="s">
        <v>584</v>
      </c>
      <c r="CI8">
        <v>30.9</v>
      </c>
      <c r="CJ8">
        <v>225</v>
      </c>
      <c r="CK8" t="s">
        <v>264</v>
      </c>
      <c r="CL8">
        <v>-9999</v>
      </c>
      <c r="CM8">
        <v>538</v>
      </c>
      <c r="CN8">
        <v>628</v>
      </c>
      <c r="CO8">
        <v>539</v>
      </c>
      <c r="CP8" t="s">
        <v>270</v>
      </c>
      <c r="CQ8">
        <v>0</v>
      </c>
      <c r="CR8">
        <v>55</v>
      </c>
      <c r="CS8" t="s">
        <v>472</v>
      </c>
      <c r="CT8" t="s">
        <v>548</v>
      </c>
      <c r="CU8">
        <v>6</v>
      </c>
      <c r="CV8" t="s">
        <v>584</v>
      </c>
      <c r="CW8">
        <v>29.6</v>
      </c>
      <c r="CX8">
        <v>291</v>
      </c>
      <c r="CY8" t="s">
        <v>264</v>
      </c>
      <c r="CZ8">
        <v>-9999</v>
      </c>
      <c r="DA8">
        <v>701</v>
      </c>
      <c r="DB8">
        <v>798</v>
      </c>
      <c r="DC8">
        <v>692</v>
      </c>
      <c r="DD8" t="s">
        <v>270</v>
      </c>
      <c r="DE8">
        <v>0</v>
      </c>
      <c r="DF8">
        <v>55</v>
      </c>
      <c r="DG8" t="s">
        <v>473</v>
      </c>
      <c r="DH8" t="s">
        <v>548</v>
      </c>
      <c r="DI8">
        <v>7</v>
      </c>
      <c r="DJ8" t="s">
        <v>584</v>
      </c>
      <c r="DK8">
        <v>22.7</v>
      </c>
      <c r="DL8">
        <v>226</v>
      </c>
      <c r="DM8" t="s">
        <v>264</v>
      </c>
      <c r="DN8">
        <v>-9999</v>
      </c>
      <c r="DO8">
        <v>596</v>
      </c>
      <c r="DP8">
        <v>685</v>
      </c>
      <c r="DQ8">
        <v>593</v>
      </c>
      <c r="DR8" t="s">
        <v>270</v>
      </c>
      <c r="DS8">
        <v>0</v>
      </c>
      <c r="DT8">
        <v>55</v>
      </c>
      <c r="DU8" t="s">
        <v>474</v>
      </c>
      <c r="DV8" t="s">
        <v>548</v>
      </c>
      <c r="DW8">
        <v>8</v>
      </c>
      <c r="DX8" t="s">
        <v>584</v>
      </c>
      <c r="DY8">
        <v>19.5</v>
      </c>
      <c r="DZ8">
        <v>548</v>
      </c>
      <c r="EA8" t="s">
        <v>264</v>
      </c>
      <c r="EB8">
        <v>-9999</v>
      </c>
      <c r="EC8">
        <v>93</v>
      </c>
      <c r="ED8">
        <v>116</v>
      </c>
      <c r="EE8">
        <v>92</v>
      </c>
      <c r="EF8" t="s">
        <v>270</v>
      </c>
      <c r="EG8">
        <v>0</v>
      </c>
      <c r="EH8">
        <v>55</v>
      </c>
      <c r="EI8" t="s">
        <v>475</v>
      </c>
      <c r="EJ8" t="s">
        <v>548</v>
      </c>
      <c r="EK8">
        <v>9</v>
      </c>
      <c r="EL8" t="s">
        <v>584</v>
      </c>
      <c r="EM8">
        <v>23.7</v>
      </c>
      <c r="EN8">
        <v>84</v>
      </c>
      <c r="EO8" t="s">
        <v>264</v>
      </c>
      <c r="EP8">
        <v>-9999</v>
      </c>
      <c r="EQ8">
        <v>316</v>
      </c>
      <c r="ER8">
        <v>293</v>
      </c>
      <c r="ES8">
        <v>273</v>
      </c>
      <c r="ET8" t="s">
        <v>270</v>
      </c>
      <c r="EU8">
        <v>0</v>
      </c>
      <c r="EV8">
        <v>55</v>
      </c>
      <c r="EW8" t="s">
        <v>551</v>
      </c>
      <c r="EX8" t="s">
        <v>552</v>
      </c>
      <c r="EY8">
        <v>141</v>
      </c>
      <c r="EZ8">
        <v>142</v>
      </c>
      <c r="FA8">
        <v>142</v>
      </c>
      <c r="FB8" t="s">
        <v>270</v>
      </c>
      <c r="FC8" t="s">
        <v>553</v>
      </c>
      <c r="FD8" t="s">
        <v>552</v>
      </c>
      <c r="FE8">
        <v>372</v>
      </c>
      <c r="FF8">
        <v>371</v>
      </c>
      <c r="FG8">
        <v>370</v>
      </c>
      <c r="FH8" t="s">
        <v>270</v>
      </c>
      <c r="FI8" t="s">
        <v>554</v>
      </c>
      <c r="FJ8" t="s">
        <v>555</v>
      </c>
      <c r="FK8">
        <v>0</v>
      </c>
      <c r="FL8">
        <v>0</v>
      </c>
      <c r="FM8">
        <v>0</v>
      </c>
      <c r="FN8" t="s">
        <v>264</v>
      </c>
      <c r="FO8">
        <v>76</v>
      </c>
      <c r="FP8">
        <v>306.39999999999998</v>
      </c>
      <c r="FQ8" t="s">
        <v>556</v>
      </c>
      <c r="FR8" t="s">
        <v>555</v>
      </c>
      <c r="FS8">
        <v>0</v>
      </c>
      <c r="FT8">
        <v>0</v>
      </c>
      <c r="FU8">
        <v>0</v>
      </c>
      <c r="FV8" t="s">
        <v>264</v>
      </c>
      <c r="FW8">
        <v>73.5</v>
      </c>
      <c r="FX8">
        <v>95.1</v>
      </c>
      <c r="FY8" t="s">
        <v>557</v>
      </c>
      <c r="FZ8" t="s">
        <v>555</v>
      </c>
      <c r="GA8">
        <v>0</v>
      </c>
      <c r="GB8">
        <v>0</v>
      </c>
      <c r="GC8">
        <v>0</v>
      </c>
      <c r="GD8" t="s">
        <v>264</v>
      </c>
      <c r="GE8">
        <v>71.3</v>
      </c>
      <c r="GF8">
        <v>267.3</v>
      </c>
      <c r="GG8" t="s">
        <v>558</v>
      </c>
      <c r="GH8" t="s">
        <v>555</v>
      </c>
      <c r="GI8">
        <v>0</v>
      </c>
      <c r="GJ8">
        <v>0</v>
      </c>
      <c r="GK8">
        <v>0</v>
      </c>
      <c r="GL8" t="s">
        <v>264</v>
      </c>
      <c r="GM8">
        <v>68.5</v>
      </c>
      <c r="GN8">
        <v>64.7</v>
      </c>
      <c r="GO8" t="s">
        <v>559</v>
      </c>
      <c r="GP8" t="s">
        <v>555</v>
      </c>
      <c r="GQ8">
        <v>0</v>
      </c>
      <c r="GR8">
        <v>0</v>
      </c>
      <c r="GS8">
        <v>0</v>
      </c>
      <c r="GT8" t="s">
        <v>264</v>
      </c>
      <c r="GU8">
        <v>76</v>
      </c>
      <c r="GV8">
        <v>58.2</v>
      </c>
      <c r="GW8" t="s">
        <v>560</v>
      </c>
      <c r="GX8" t="s">
        <v>555</v>
      </c>
      <c r="GY8">
        <v>0</v>
      </c>
      <c r="GZ8">
        <v>0</v>
      </c>
      <c r="HA8">
        <v>0</v>
      </c>
      <c r="HB8" t="s">
        <v>264</v>
      </c>
      <c r="HC8">
        <v>70.3</v>
      </c>
      <c r="HD8">
        <v>95.9</v>
      </c>
      <c r="HE8" t="s">
        <v>561</v>
      </c>
      <c r="HF8" t="s">
        <v>555</v>
      </c>
      <c r="HG8">
        <v>0</v>
      </c>
      <c r="HH8">
        <v>0</v>
      </c>
      <c r="HI8">
        <v>0</v>
      </c>
      <c r="HJ8" t="s">
        <v>264</v>
      </c>
      <c r="HK8">
        <v>70.900000000000006</v>
      </c>
      <c r="HL8">
        <v>149.19999999999999</v>
      </c>
      <c r="HM8" t="s">
        <v>562</v>
      </c>
      <c r="HN8" t="s">
        <v>555</v>
      </c>
      <c r="HO8">
        <v>0</v>
      </c>
      <c r="HP8">
        <v>0</v>
      </c>
      <c r="HQ8">
        <v>0</v>
      </c>
      <c r="HR8" t="s">
        <v>264</v>
      </c>
      <c r="HS8">
        <v>69.2</v>
      </c>
      <c r="HT8">
        <v>93.4</v>
      </c>
      <c r="HU8" t="s">
        <v>563</v>
      </c>
      <c r="HV8" t="s">
        <v>555</v>
      </c>
      <c r="HW8">
        <v>0</v>
      </c>
      <c r="HX8">
        <v>0</v>
      </c>
      <c r="HY8">
        <v>0</v>
      </c>
      <c r="HZ8" t="s">
        <v>264</v>
      </c>
      <c r="IA8">
        <v>74.8</v>
      </c>
      <c r="IB8">
        <v>184</v>
      </c>
      <c r="IC8" t="s">
        <v>564</v>
      </c>
      <c r="ID8" t="s">
        <v>555</v>
      </c>
      <c r="IE8">
        <v>0</v>
      </c>
      <c r="IF8">
        <v>0</v>
      </c>
      <c r="IG8">
        <v>0</v>
      </c>
      <c r="IH8" t="s">
        <v>264</v>
      </c>
      <c r="II8">
        <v>68.3</v>
      </c>
      <c r="IJ8">
        <v>117.3</v>
      </c>
      <c r="IK8" t="s">
        <v>565</v>
      </c>
      <c r="IL8" t="s">
        <v>555</v>
      </c>
      <c r="IM8">
        <v>0</v>
      </c>
      <c r="IN8">
        <v>0</v>
      </c>
      <c r="IO8">
        <v>0</v>
      </c>
      <c r="IP8" t="s">
        <v>264</v>
      </c>
      <c r="IS8" t="s">
        <v>566</v>
      </c>
      <c r="IT8" t="s">
        <v>555</v>
      </c>
      <c r="IU8">
        <v>0</v>
      </c>
      <c r="IV8">
        <v>0</v>
      </c>
      <c r="IW8">
        <v>0</v>
      </c>
      <c r="IX8" t="s">
        <v>264</v>
      </c>
      <c r="JA8" t="s">
        <v>567</v>
      </c>
      <c r="JB8" t="s">
        <v>555</v>
      </c>
      <c r="JC8">
        <v>0</v>
      </c>
      <c r="JD8">
        <v>0</v>
      </c>
      <c r="JE8">
        <v>0</v>
      </c>
      <c r="JF8" t="s">
        <v>264</v>
      </c>
      <c r="JI8" t="s">
        <v>568</v>
      </c>
      <c r="JJ8" t="s">
        <v>555</v>
      </c>
      <c r="JK8">
        <v>0</v>
      </c>
      <c r="JL8">
        <v>0</v>
      </c>
      <c r="JM8">
        <v>0</v>
      </c>
      <c r="JN8" t="s">
        <v>264</v>
      </c>
      <c r="JQ8" t="s">
        <v>569</v>
      </c>
      <c r="JR8" t="s">
        <v>555</v>
      </c>
      <c r="JS8">
        <v>0</v>
      </c>
      <c r="JT8">
        <v>0</v>
      </c>
      <c r="JU8">
        <v>0</v>
      </c>
      <c r="JV8" t="s">
        <v>264</v>
      </c>
      <c r="JY8" t="s">
        <v>570</v>
      </c>
      <c r="JZ8" t="s">
        <v>555</v>
      </c>
      <c r="KA8">
        <v>0</v>
      </c>
      <c r="KB8">
        <v>0</v>
      </c>
      <c r="KC8">
        <v>0</v>
      </c>
      <c r="KD8" t="s">
        <v>264</v>
      </c>
      <c r="KG8" t="s">
        <v>571</v>
      </c>
      <c r="KH8" t="s">
        <v>555</v>
      </c>
      <c r="KI8">
        <v>0</v>
      </c>
      <c r="KJ8">
        <v>0</v>
      </c>
      <c r="KK8">
        <v>0</v>
      </c>
      <c r="KL8" t="s">
        <v>264</v>
      </c>
      <c r="KO8" t="s">
        <v>572</v>
      </c>
      <c r="KP8" t="s">
        <v>555</v>
      </c>
      <c r="KQ8">
        <v>0</v>
      </c>
      <c r="KR8">
        <v>0</v>
      </c>
      <c r="KS8">
        <v>0</v>
      </c>
      <c r="KT8" t="s">
        <v>264</v>
      </c>
      <c r="KW8" t="s">
        <v>573</v>
      </c>
      <c r="KX8" t="s">
        <v>555</v>
      </c>
      <c r="KY8">
        <v>0</v>
      </c>
      <c r="KZ8">
        <v>0</v>
      </c>
      <c r="LA8">
        <v>0</v>
      </c>
      <c r="LB8" t="s">
        <v>264</v>
      </c>
      <c r="LE8" t="s">
        <v>574</v>
      </c>
      <c r="LF8" t="s">
        <v>555</v>
      </c>
      <c r="LG8">
        <v>0</v>
      </c>
      <c r="LH8">
        <v>0</v>
      </c>
      <c r="LI8">
        <v>0</v>
      </c>
      <c r="LJ8" t="s">
        <v>264</v>
      </c>
      <c r="LM8" t="s">
        <v>575</v>
      </c>
      <c r="LN8" t="s">
        <v>555</v>
      </c>
      <c r="LO8">
        <v>0</v>
      </c>
      <c r="LP8">
        <v>0</v>
      </c>
      <c r="LQ8">
        <v>0</v>
      </c>
      <c r="LR8" t="s">
        <v>264</v>
      </c>
      <c r="LU8" t="s">
        <v>576</v>
      </c>
      <c r="LV8" t="s">
        <v>555</v>
      </c>
      <c r="LW8">
        <v>0</v>
      </c>
      <c r="LX8">
        <v>0</v>
      </c>
      <c r="LY8">
        <v>0</v>
      </c>
      <c r="LZ8" t="s">
        <v>264</v>
      </c>
      <c r="MC8" t="s">
        <v>577</v>
      </c>
      <c r="MD8" t="s">
        <v>555</v>
      </c>
      <c r="ME8">
        <v>0</v>
      </c>
      <c r="MF8">
        <v>0</v>
      </c>
      <c r="MG8">
        <v>0</v>
      </c>
      <c r="MH8" t="s">
        <v>264</v>
      </c>
      <c r="MK8" t="s">
        <v>578</v>
      </c>
      <c r="ML8" t="s">
        <v>555</v>
      </c>
      <c r="MM8">
        <v>0</v>
      </c>
      <c r="MN8">
        <v>0</v>
      </c>
      <c r="MO8">
        <v>0</v>
      </c>
      <c r="MP8" t="s">
        <v>264</v>
      </c>
      <c r="MS8" t="s">
        <v>579</v>
      </c>
      <c r="MT8" t="s">
        <v>555</v>
      </c>
      <c r="MU8">
        <v>0</v>
      </c>
      <c r="MV8">
        <v>0</v>
      </c>
      <c r="MW8">
        <v>0</v>
      </c>
      <c r="MX8" t="s">
        <v>264</v>
      </c>
      <c r="NA8" t="s">
        <v>580</v>
      </c>
      <c r="NB8" t="s">
        <v>555</v>
      </c>
      <c r="NC8">
        <v>0</v>
      </c>
      <c r="ND8">
        <v>0</v>
      </c>
      <c r="NE8">
        <v>0</v>
      </c>
      <c r="NF8" t="s">
        <v>264</v>
      </c>
      <c r="NI8">
        <v>40</v>
      </c>
      <c r="NJ8">
        <v>-6.1</v>
      </c>
      <c r="NP8" t="s">
        <v>624</v>
      </c>
    </row>
    <row r="9" spans="1:380" customFormat="1" x14ac:dyDescent="0.2">
      <c r="A9" t="s">
        <v>517</v>
      </c>
      <c r="B9">
        <v>1</v>
      </c>
      <c r="C9" t="s">
        <v>819</v>
      </c>
      <c r="D9">
        <v>646950337</v>
      </c>
      <c r="E9">
        <v>12602</v>
      </c>
      <c r="F9" t="s">
        <v>805</v>
      </c>
      <c r="G9">
        <v>802069</v>
      </c>
      <c r="H9">
        <v>210038232</v>
      </c>
      <c r="I9" t="s">
        <v>622</v>
      </c>
      <c r="J9" t="s">
        <v>820</v>
      </c>
      <c r="K9" t="s">
        <v>545</v>
      </c>
      <c r="L9" t="s">
        <v>442</v>
      </c>
      <c r="M9" t="s">
        <v>546</v>
      </c>
      <c r="N9" t="s">
        <v>468</v>
      </c>
      <c r="O9" t="s">
        <v>547</v>
      </c>
      <c r="P9" t="s">
        <v>264</v>
      </c>
      <c r="Q9">
        <v>25.5</v>
      </c>
      <c r="R9">
        <v>255</v>
      </c>
      <c r="S9" t="s">
        <v>264</v>
      </c>
      <c r="T9">
        <v>-9999</v>
      </c>
      <c r="U9">
        <v>580</v>
      </c>
      <c r="V9">
        <v>596</v>
      </c>
      <c r="W9">
        <v>568</v>
      </c>
      <c r="X9" t="s">
        <v>270</v>
      </c>
      <c r="Y9">
        <v>0</v>
      </c>
      <c r="Z9">
        <v>55</v>
      </c>
      <c r="AA9" t="s">
        <v>469</v>
      </c>
      <c r="AB9" t="s">
        <v>548</v>
      </c>
      <c r="AC9">
        <v>1</v>
      </c>
      <c r="AD9" t="s">
        <v>584</v>
      </c>
      <c r="AE9">
        <v>24.9</v>
      </c>
      <c r="AF9">
        <v>1485</v>
      </c>
      <c r="AG9" t="s">
        <v>264</v>
      </c>
      <c r="AH9">
        <v>-9999</v>
      </c>
      <c r="AI9">
        <v>438</v>
      </c>
      <c r="AJ9">
        <v>552</v>
      </c>
      <c r="AK9">
        <v>442</v>
      </c>
      <c r="AL9" t="s">
        <v>270</v>
      </c>
      <c r="AM9">
        <v>0</v>
      </c>
      <c r="AN9">
        <v>55</v>
      </c>
      <c r="AO9" t="s">
        <v>470</v>
      </c>
      <c r="AP9" t="s">
        <v>548</v>
      </c>
      <c r="AQ9">
        <v>2</v>
      </c>
      <c r="AR9" t="s">
        <v>584</v>
      </c>
      <c r="AS9">
        <v>37.1</v>
      </c>
      <c r="AT9">
        <v>385</v>
      </c>
      <c r="AU9" t="s">
        <v>264</v>
      </c>
      <c r="AV9">
        <v>-9999</v>
      </c>
      <c r="AW9">
        <v>347</v>
      </c>
      <c r="AX9">
        <v>364</v>
      </c>
      <c r="AY9">
        <v>345</v>
      </c>
      <c r="AZ9" t="s">
        <v>270</v>
      </c>
      <c r="BA9">
        <v>0</v>
      </c>
      <c r="BB9">
        <v>55</v>
      </c>
      <c r="BC9" t="s">
        <v>550</v>
      </c>
      <c r="BD9" t="s">
        <v>548</v>
      </c>
      <c r="BE9">
        <v>3</v>
      </c>
      <c r="BF9" t="s">
        <v>584</v>
      </c>
      <c r="BG9">
        <v>23.1</v>
      </c>
      <c r="BH9">
        <v>569</v>
      </c>
      <c r="BI9" t="s">
        <v>264</v>
      </c>
      <c r="BJ9">
        <v>-9999</v>
      </c>
      <c r="BK9">
        <v>283</v>
      </c>
      <c r="BL9">
        <v>336</v>
      </c>
      <c r="BM9">
        <v>275</v>
      </c>
      <c r="BN9" t="s">
        <v>270</v>
      </c>
      <c r="BO9">
        <v>0</v>
      </c>
      <c r="BP9">
        <v>55</v>
      </c>
      <c r="BQ9" t="s">
        <v>504</v>
      </c>
      <c r="BR9" t="s">
        <v>548</v>
      </c>
      <c r="BS9">
        <v>4</v>
      </c>
      <c r="BT9" t="s">
        <v>584</v>
      </c>
      <c r="BU9">
        <v>29.1</v>
      </c>
      <c r="BV9">
        <v>300</v>
      </c>
      <c r="BW9" t="s">
        <v>264</v>
      </c>
      <c r="BX9">
        <v>-9999</v>
      </c>
      <c r="BY9">
        <v>223</v>
      </c>
      <c r="BZ9">
        <v>259</v>
      </c>
      <c r="CA9">
        <v>221</v>
      </c>
      <c r="CB9" t="s">
        <v>270</v>
      </c>
      <c r="CC9">
        <v>0</v>
      </c>
      <c r="CD9">
        <v>55</v>
      </c>
      <c r="CE9" t="s">
        <v>471</v>
      </c>
      <c r="CF9" t="s">
        <v>548</v>
      </c>
      <c r="CG9">
        <v>5</v>
      </c>
      <c r="CH9" t="s">
        <v>584</v>
      </c>
      <c r="CI9">
        <v>27.3</v>
      </c>
      <c r="CJ9">
        <v>303</v>
      </c>
      <c r="CK9" t="s">
        <v>264</v>
      </c>
      <c r="CL9">
        <v>-9999</v>
      </c>
      <c r="CM9">
        <v>498</v>
      </c>
      <c r="CN9">
        <v>582</v>
      </c>
      <c r="CO9">
        <v>496</v>
      </c>
      <c r="CP9" t="s">
        <v>270</v>
      </c>
      <c r="CQ9">
        <v>0</v>
      </c>
      <c r="CR9">
        <v>55</v>
      </c>
      <c r="CS9" t="s">
        <v>472</v>
      </c>
      <c r="CT9" t="s">
        <v>548</v>
      </c>
      <c r="CU9">
        <v>6</v>
      </c>
      <c r="CV9" t="s">
        <v>584</v>
      </c>
      <c r="CW9">
        <v>33.6</v>
      </c>
      <c r="CX9">
        <v>248</v>
      </c>
      <c r="CY9" t="s">
        <v>264</v>
      </c>
      <c r="CZ9">
        <v>-9999</v>
      </c>
      <c r="DA9">
        <v>761</v>
      </c>
      <c r="DB9">
        <v>862</v>
      </c>
      <c r="DC9">
        <v>749</v>
      </c>
      <c r="DD9" t="s">
        <v>270</v>
      </c>
      <c r="DE9">
        <v>0</v>
      </c>
      <c r="DF9">
        <v>55</v>
      </c>
      <c r="DG9" t="s">
        <v>473</v>
      </c>
      <c r="DH9" t="s">
        <v>548</v>
      </c>
      <c r="DI9">
        <v>7</v>
      </c>
      <c r="DJ9" t="s">
        <v>584</v>
      </c>
      <c r="DK9">
        <v>22.9</v>
      </c>
      <c r="DL9">
        <v>235</v>
      </c>
      <c r="DM9" t="s">
        <v>264</v>
      </c>
      <c r="DN9">
        <v>-9999</v>
      </c>
      <c r="DO9">
        <v>568</v>
      </c>
      <c r="DP9">
        <v>653</v>
      </c>
      <c r="DQ9">
        <v>565</v>
      </c>
      <c r="DR9" t="s">
        <v>270</v>
      </c>
      <c r="DS9">
        <v>0</v>
      </c>
      <c r="DT9">
        <v>55</v>
      </c>
      <c r="DU9" t="s">
        <v>474</v>
      </c>
      <c r="DV9" t="s">
        <v>548</v>
      </c>
      <c r="DW9">
        <v>8</v>
      </c>
      <c r="DX9" t="s">
        <v>584</v>
      </c>
      <c r="DY9">
        <v>21</v>
      </c>
      <c r="DZ9">
        <v>465</v>
      </c>
      <c r="EA9" t="s">
        <v>264</v>
      </c>
      <c r="EB9">
        <v>-9999</v>
      </c>
      <c r="EC9">
        <v>105</v>
      </c>
      <c r="ED9">
        <v>126</v>
      </c>
      <c r="EE9">
        <v>102</v>
      </c>
      <c r="EF9" t="s">
        <v>270</v>
      </c>
      <c r="EG9">
        <v>0</v>
      </c>
      <c r="EH9">
        <v>55</v>
      </c>
      <c r="EI9" t="s">
        <v>475</v>
      </c>
      <c r="EJ9" t="s">
        <v>548</v>
      </c>
      <c r="EK9">
        <v>9</v>
      </c>
      <c r="EL9" t="s">
        <v>584</v>
      </c>
      <c r="EM9">
        <v>22.4</v>
      </c>
      <c r="EN9">
        <v>134</v>
      </c>
      <c r="EO9" t="s">
        <v>264</v>
      </c>
      <c r="EP9">
        <v>-9999</v>
      </c>
      <c r="EQ9">
        <v>273</v>
      </c>
      <c r="ER9">
        <v>249</v>
      </c>
      <c r="ES9">
        <v>236</v>
      </c>
      <c r="ET9" t="s">
        <v>270</v>
      </c>
      <c r="EU9">
        <v>0</v>
      </c>
      <c r="EV9">
        <v>55</v>
      </c>
      <c r="EW9" t="s">
        <v>551</v>
      </c>
      <c r="EX9" t="s">
        <v>552</v>
      </c>
      <c r="EY9">
        <v>162</v>
      </c>
      <c r="EZ9">
        <v>164</v>
      </c>
      <c r="FA9">
        <v>164</v>
      </c>
      <c r="FB9" t="s">
        <v>270</v>
      </c>
      <c r="FC9" t="s">
        <v>553</v>
      </c>
      <c r="FD9" t="s">
        <v>552</v>
      </c>
      <c r="FE9">
        <v>286</v>
      </c>
      <c r="FF9">
        <v>285</v>
      </c>
      <c r="FG9">
        <v>284</v>
      </c>
      <c r="FH9" t="s">
        <v>270</v>
      </c>
      <c r="FI9" t="s">
        <v>554</v>
      </c>
      <c r="FJ9" t="s">
        <v>555</v>
      </c>
      <c r="FK9">
        <v>0</v>
      </c>
      <c r="FL9">
        <v>0</v>
      </c>
      <c r="FM9">
        <v>0</v>
      </c>
      <c r="FN9" t="s">
        <v>264</v>
      </c>
      <c r="FO9">
        <v>76.2</v>
      </c>
      <c r="FP9">
        <v>322</v>
      </c>
      <c r="FQ9" t="s">
        <v>556</v>
      </c>
      <c r="FR9" t="s">
        <v>555</v>
      </c>
      <c r="FS9">
        <v>0</v>
      </c>
      <c r="FT9">
        <v>0</v>
      </c>
      <c r="FU9">
        <v>0</v>
      </c>
      <c r="FV9" t="s">
        <v>264</v>
      </c>
      <c r="FW9">
        <v>73.599999999999994</v>
      </c>
      <c r="FX9">
        <v>94.3</v>
      </c>
      <c r="FY9" t="s">
        <v>557</v>
      </c>
      <c r="FZ9" t="s">
        <v>555</v>
      </c>
      <c r="GA9">
        <v>0</v>
      </c>
      <c r="GB9">
        <v>0</v>
      </c>
      <c r="GC9">
        <v>0</v>
      </c>
      <c r="GD9" t="s">
        <v>264</v>
      </c>
      <c r="GE9">
        <v>71.400000000000006</v>
      </c>
      <c r="GF9">
        <v>290.8</v>
      </c>
      <c r="GG9" t="s">
        <v>558</v>
      </c>
      <c r="GH9" t="s">
        <v>555</v>
      </c>
      <c r="GI9">
        <v>0</v>
      </c>
      <c r="GJ9">
        <v>0</v>
      </c>
      <c r="GK9">
        <v>0</v>
      </c>
      <c r="GL9" t="s">
        <v>264</v>
      </c>
      <c r="GM9">
        <v>68.599999999999994</v>
      </c>
      <c r="GN9">
        <v>52.2</v>
      </c>
      <c r="GO9" t="s">
        <v>559</v>
      </c>
      <c r="GP9" t="s">
        <v>555</v>
      </c>
      <c r="GQ9">
        <v>0</v>
      </c>
      <c r="GR9">
        <v>0</v>
      </c>
      <c r="GS9">
        <v>0</v>
      </c>
      <c r="GT9" t="s">
        <v>264</v>
      </c>
      <c r="GU9">
        <v>76.099999999999994</v>
      </c>
      <c r="GV9">
        <v>63.5</v>
      </c>
      <c r="GW9" t="s">
        <v>560</v>
      </c>
      <c r="GX9" t="s">
        <v>555</v>
      </c>
      <c r="GY9">
        <v>0</v>
      </c>
      <c r="GZ9">
        <v>0</v>
      </c>
      <c r="HA9">
        <v>0</v>
      </c>
      <c r="HB9" t="s">
        <v>264</v>
      </c>
      <c r="HC9">
        <v>70.400000000000006</v>
      </c>
      <c r="HD9">
        <v>94.3</v>
      </c>
      <c r="HE9" t="s">
        <v>561</v>
      </c>
      <c r="HF9" t="s">
        <v>555</v>
      </c>
      <c r="HG9">
        <v>0</v>
      </c>
      <c r="HH9">
        <v>0</v>
      </c>
      <c r="HI9">
        <v>0</v>
      </c>
      <c r="HJ9" t="s">
        <v>264</v>
      </c>
      <c r="HK9">
        <v>71</v>
      </c>
      <c r="HL9">
        <v>153.9</v>
      </c>
      <c r="HM9" t="s">
        <v>562</v>
      </c>
      <c r="HN9" t="s">
        <v>555</v>
      </c>
      <c r="HO9">
        <v>0</v>
      </c>
      <c r="HP9">
        <v>0</v>
      </c>
      <c r="HQ9">
        <v>0</v>
      </c>
      <c r="HR9" t="s">
        <v>264</v>
      </c>
      <c r="HS9">
        <v>69.400000000000006</v>
      </c>
      <c r="HT9">
        <v>95.9</v>
      </c>
      <c r="HU9" t="s">
        <v>563</v>
      </c>
      <c r="HV9" t="s">
        <v>555</v>
      </c>
      <c r="HW9">
        <v>0</v>
      </c>
      <c r="HX9">
        <v>0</v>
      </c>
      <c r="HY9">
        <v>0</v>
      </c>
      <c r="HZ9" t="s">
        <v>264</v>
      </c>
      <c r="IA9">
        <v>74.900000000000006</v>
      </c>
      <c r="IB9">
        <v>184.5</v>
      </c>
      <c r="IC9" t="s">
        <v>564</v>
      </c>
      <c r="ID9" t="s">
        <v>555</v>
      </c>
      <c r="IE9">
        <v>0</v>
      </c>
      <c r="IF9">
        <v>0</v>
      </c>
      <c r="IG9">
        <v>0</v>
      </c>
      <c r="IH9" t="s">
        <v>264</v>
      </c>
      <c r="II9">
        <v>68.400000000000006</v>
      </c>
      <c r="IJ9">
        <v>111.2</v>
      </c>
      <c r="IK9" t="s">
        <v>565</v>
      </c>
      <c r="IL9" t="s">
        <v>555</v>
      </c>
      <c r="IM9">
        <v>0</v>
      </c>
      <c r="IN9">
        <v>0</v>
      </c>
      <c r="IO9">
        <v>0</v>
      </c>
      <c r="IP9" t="s">
        <v>264</v>
      </c>
      <c r="IS9" t="s">
        <v>566</v>
      </c>
      <c r="IT9" t="s">
        <v>555</v>
      </c>
      <c r="IU9">
        <v>0</v>
      </c>
      <c r="IV9">
        <v>0</v>
      </c>
      <c r="IW9">
        <v>0</v>
      </c>
      <c r="IX9" t="s">
        <v>264</v>
      </c>
      <c r="JA9" t="s">
        <v>567</v>
      </c>
      <c r="JB9" t="s">
        <v>555</v>
      </c>
      <c r="JC9">
        <v>0</v>
      </c>
      <c r="JD9">
        <v>0</v>
      </c>
      <c r="JE9">
        <v>0</v>
      </c>
      <c r="JF9" t="s">
        <v>264</v>
      </c>
      <c r="JI9" t="s">
        <v>568</v>
      </c>
      <c r="JJ9" t="s">
        <v>555</v>
      </c>
      <c r="JK9">
        <v>0</v>
      </c>
      <c r="JL9">
        <v>0</v>
      </c>
      <c r="JM9">
        <v>0</v>
      </c>
      <c r="JN9" t="s">
        <v>264</v>
      </c>
      <c r="JQ9" t="s">
        <v>569</v>
      </c>
      <c r="JR9" t="s">
        <v>555</v>
      </c>
      <c r="JS9">
        <v>0</v>
      </c>
      <c r="JT9">
        <v>0</v>
      </c>
      <c r="JU9">
        <v>0</v>
      </c>
      <c r="JV9" t="s">
        <v>264</v>
      </c>
      <c r="JY9" t="s">
        <v>570</v>
      </c>
      <c r="JZ9" t="s">
        <v>555</v>
      </c>
      <c r="KA9">
        <v>0</v>
      </c>
      <c r="KB9">
        <v>0</v>
      </c>
      <c r="KC9">
        <v>0</v>
      </c>
      <c r="KD9" t="s">
        <v>264</v>
      </c>
      <c r="KG9" t="s">
        <v>571</v>
      </c>
      <c r="KH9" t="s">
        <v>555</v>
      </c>
      <c r="KI9">
        <v>0</v>
      </c>
      <c r="KJ9">
        <v>0</v>
      </c>
      <c r="KK9">
        <v>0</v>
      </c>
      <c r="KL9" t="s">
        <v>264</v>
      </c>
      <c r="KO9" t="s">
        <v>572</v>
      </c>
      <c r="KP9" t="s">
        <v>555</v>
      </c>
      <c r="KQ9">
        <v>0</v>
      </c>
      <c r="KR9">
        <v>0</v>
      </c>
      <c r="KS9">
        <v>0</v>
      </c>
      <c r="KT9" t="s">
        <v>264</v>
      </c>
      <c r="KW9" t="s">
        <v>573</v>
      </c>
      <c r="KX9" t="s">
        <v>555</v>
      </c>
      <c r="KY9">
        <v>0</v>
      </c>
      <c r="KZ9">
        <v>0</v>
      </c>
      <c r="LA9">
        <v>0</v>
      </c>
      <c r="LB9" t="s">
        <v>264</v>
      </c>
      <c r="LE9" t="s">
        <v>574</v>
      </c>
      <c r="LF9" t="s">
        <v>555</v>
      </c>
      <c r="LG9">
        <v>0</v>
      </c>
      <c r="LH9">
        <v>0</v>
      </c>
      <c r="LI9">
        <v>0</v>
      </c>
      <c r="LJ9" t="s">
        <v>264</v>
      </c>
      <c r="LM9" t="s">
        <v>575</v>
      </c>
      <c r="LN9" t="s">
        <v>555</v>
      </c>
      <c r="LO9">
        <v>0</v>
      </c>
      <c r="LP9">
        <v>0</v>
      </c>
      <c r="LQ9">
        <v>0</v>
      </c>
      <c r="LR9" t="s">
        <v>264</v>
      </c>
      <c r="LU9" t="s">
        <v>576</v>
      </c>
      <c r="LV9" t="s">
        <v>555</v>
      </c>
      <c r="LW9">
        <v>0</v>
      </c>
      <c r="LX9">
        <v>0</v>
      </c>
      <c r="LY9">
        <v>0</v>
      </c>
      <c r="LZ9" t="s">
        <v>264</v>
      </c>
      <c r="MC9" t="s">
        <v>577</v>
      </c>
      <c r="MD9" t="s">
        <v>555</v>
      </c>
      <c r="ME9">
        <v>0</v>
      </c>
      <c r="MF9">
        <v>0</v>
      </c>
      <c r="MG9">
        <v>0</v>
      </c>
      <c r="MH9" t="s">
        <v>264</v>
      </c>
      <c r="MK9" t="s">
        <v>578</v>
      </c>
      <c r="ML9" t="s">
        <v>555</v>
      </c>
      <c r="MM9">
        <v>0</v>
      </c>
      <c r="MN9">
        <v>0</v>
      </c>
      <c r="MO9">
        <v>0</v>
      </c>
      <c r="MP9" t="s">
        <v>264</v>
      </c>
      <c r="MS9" t="s">
        <v>579</v>
      </c>
      <c r="MT9" t="s">
        <v>555</v>
      </c>
      <c r="MU9">
        <v>0</v>
      </c>
      <c r="MV9">
        <v>0</v>
      </c>
      <c r="MW9">
        <v>0</v>
      </c>
      <c r="MX9" t="s">
        <v>264</v>
      </c>
      <c r="NA9" t="s">
        <v>580</v>
      </c>
      <c r="NB9" t="s">
        <v>555</v>
      </c>
      <c r="NC9">
        <v>0</v>
      </c>
      <c r="ND9">
        <v>0</v>
      </c>
      <c r="NE9">
        <v>0</v>
      </c>
      <c r="NF9" t="s">
        <v>264</v>
      </c>
      <c r="NI9">
        <v>40.1</v>
      </c>
      <c r="NJ9">
        <v>-7.6</v>
      </c>
      <c r="NP9" t="s">
        <v>624</v>
      </c>
    </row>
    <row r="10" spans="1:380" customFormat="1" x14ac:dyDescent="0.2">
      <c r="A10" t="s">
        <v>517</v>
      </c>
      <c r="B10">
        <v>1</v>
      </c>
      <c r="C10" t="s">
        <v>821</v>
      </c>
      <c r="D10">
        <v>646951456</v>
      </c>
      <c r="E10">
        <v>12602</v>
      </c>
      <c r="F10" t="s">
        <v>805</v>
      </c>
      <c r="G10">
        <v>709953</v>
      </c>
      <c r="H10">
        <v>700291</v>
      </c>
      <c r="I10" t="s">
        <v>543</v>
      </c>
      <c r="J10" t="s">
        <v>822</v>
      </c>
      <c r="K10" t="s">
        <v>545</v>
      </c>
      <c r="L10" t="s">
        <v>442</v>
      </c>
      <c r="M10" t="s">
        <v>546</v>
      </c>
      <c r="N10" t="s">
        <v>468</v>
      </c>
      <c r="O10" t="s">
        <v>547</v>
      </c>
      <c r="P10" t="s">
        <v>264</v>
      </c>
      <c r="Q10">
        <v>26.4</v>
      </c>
      <c r="R10">
        <v>240</v>
      </c>
      <c r="S10" t="s">
        <v>264</v>
      </c>
      <c r="T10">
        <v>-9999</v>
      </c>
      <c r="U10">
        <v>591</v>
      </c>
      <c r="V10">
        <v>607</v>
      </c>
      <c r="W10">
        <v>577</v>
      </c>
      <c r="X10" t="s">
        <v>270</v>
      </c>
      <c r="Y10">
        <v>0</v>
      </c>
      <c r="Z10">
        <v>55</v>
      </c>
      <c r="AA10" t="s">
        <v>469</v>
      </c>
      <c r="AB10" t="s">
        <v>548</v>
      </c>
      <c r="AC10">
        <v>1</v>
      </c>
      <c r="AD10" t="s">
        <v>584</v>
      </c>
      <c r="AE10">
        <v>24.4</v>
      </c>
      <c r="AF10">
        <v>1370</v>
      </c>
      <c r="AG10" t="s">
        <v>264</v>
      </c>
      <c r="AH10">
        <v>-9999</v>
      </c>
      <c r="AI10">
        <v>463</v>
      </c>
      <c r="AJ10">
        <v>571</v>
      </c>
      <c r="AK10">
        <v>461</v>
      </c>
      <c r="AL10" t="s">
        <v>270</v>
      </c>
      <c r="AM10">
        <v>0</v>
      </c>
      <c r="AN10">
        <v>55</v>
      </c>
      <c r="AO10" t="s">
        <v>470</v>
      </c>
      <c r="AP10" t="s">
        <v>548</v>
      </c>
      <c r="AQ10">
        <v>2</v>
      </c>
      <c r="AR10" t="s">
        <v>584</v>
      </c>
      <c r="AS10">
        <v>34.799999999999997</v>
      </c>
      <c r="AT10">
        <v>369</v>
      </c>
      <c r="AU10" t="s">
        <v>264</v>
      </c>
      <c r="AV10">
        <v>-9999</v>
      </c>
      <c r="AW10">
        <v>430</v>
      </c>
      <c r="AX10">
        <v>455</v>
      </c>
      <c r="AY10">
        <v>427</v>
      </c>
      <c r="AZ10" t="s">
        <v>270</v>
      </c>
      <c r="BA10">
        <v>0</v>
      </c>
      <c r="BB10">
        <v>55</v>
      </c>
      <c r="BC10" t="s">
        <v>550</v>
      </c>
      <c r="BD10" t="s">
        <v>548</v>
      </c>
      <c r="BE10">
        <v>3</v>
      </c>
      <c r="BF10" t="s">
        <v>584</v>
      </c>
      <c r="BG10">
        <v>22.2</v>
      </c>
      <c r="BH10">
        <v>684</v>
      </c>
      <c r="BI10" t="s">
        <v>264</v>
      </c>
      <c r="BJ10">
        <v>-9999</v>
      </c>
      <c r="BK10">
        <v>158</v>
      </c>
      <c r="BL10">
        <v>199</v>
      </c>
      <c r="BM10">
        <v>157</v>
      </c>
      <c r="BN10" t="s">
        <v>270</v>
      </c>
      <c r="BO10">
        <v>0</v>
      </c>
      <c r="BP10">
        <v>55</v>
      </c>
      <c r="BQ10" t="s">
        <v>504</v>
      </c>
      <c r="BR10" t="s">
        <v>548</v>
      </c>
      <c r="BS10">
        <v>4</v>
      </c>
      <c r="BT10" t="s">
        <v>584</v>
      </c>
      <c r="BU10">
        <v>29.5</v>
      </c>
      <c r="BV10">
        <v>278</v>
      </c>
      <c r="BW10" t="s">
        <v>264</v>
      </c>
      <c r="BX10">
        <v>-9999</v>
      </c>
      <c r="BY10">
        <v>242</v>
      </c>
      <c r="BZ10">
        <v>280</v>
      </c>
      <c r="CA10">
        <v>240</v>
      </c>
      <c r="CB10" t="s">
        <v>270</v>
      </c>
      <c r="CC10">
        <v>0</v>
      </c>
      <c r="CD10">
        <v>55</v>
      </c>
      <c r="CE10" t="s">
        <v>471</v>
      </c>
      <c r="CF10" t="s">
        <v>548</v>
      </c>
      <c r="CG10">
        <v>5</v>
      </c>
      <c r="CH10" t="s">
        <v>584</v>
      </c>
      <c r="CI10">
        <v>33.200000000000003</v>
      </c>
      <c r="CJ10">
        <v>241</v>
      </c>
      <c r="CK10" t="s">
        <v>264</v>
      </c>
      <c r="CL10">
        <v>-9999</v>
      </c>
      <c r="CM10">
        <v>496</v>
      </c>
      <c r="CN10">
        <v>577</v>
      </c>
      <c r="CO10">
        <v>494</v>
      </c>
      <c r="CP10" t="s">
        <v>270</v>
      </c>
      <c r="CQ10">
        <v>0</v>
      </c>
      <c r="CR10">
        <v>55</v>
      </c>
      <c r="CS10" t="s">
        <v>472</v>
      </c>
      <c r="CT10" t="s">
        <v>548</v>
      </c>
      <c r="CU10">
        <v>6</v>
      </c>
      <c r="CV10" t="s">
        <v>584</v>
      </c>
      <c r="CW10">
        <v>34.5</v>
      </c>
      <c r="CX10">
        <v>193</v>
      </c>
      <c r="CY10" t="s">
        <v>264</v>
      </c>
      <c r="CZ10">
        <v>-9999</v>
      </c>
      <c r="DA10">
        <v>711</v>
      </c>
      <c r="DB10">
        <v>805</v>
      </c>
      <c r="DC10">
        <v>699</v>
      </c>
      <c r="DD10" t="s">
        <v>270</v>
      </c>
      <c r="DE10">
        <v>0</v>
      </c>
      <c r="DF10">
        <v>55</v>
      </c>
      <c r="DG10" t="s">
        <v>473</v>
      </c>
      <c r="DH10" t="s">
        <v>548</v>
      </c>
      <c r="DI10">
        <v>7</v>
      </c>
      <c r="DJ10" t="s">
        <v>584</v>
      </c>
      <c r="DK10">
        <v>24.6</v>
      </c>
      <c r="DL10">
        <v>196</v>
      </c>
      <c r="DM10" t="s">
        <v>264</v>
      </c>
      <c r="DN10">
        <v>-9999</v>
      </c>
      <c r="DO10">
        <v>561</v>
      </c>
      <c r="DP10">
        <v>644</v>
      </c>
      <c r="DQ10">
        <v>557</v>
      </c>
      <c r="DR10" t="s">
        <v>270</v>
      </c>
      <c r="DS10">
        <v>0</v>
      </c>
      <c r="DT10">
        <v>55</v>
      </c>
      <c r="DU10" t="s">
        <v>474</v>
      </c>
      <c r="DV10" t="s">
        <v>548</v>
      </c>
      <c r="DW10">
        <v>8</v>
      </c>
      <c r="DX10" t="s">
        <v>584</v>
      </c>
      <c r="DY10">
        <v>21.2</v>
      </c>
      <c r="DZ10">
        <v>455</v>
      </c>
      <c r="EA10" t="s">
        <v>264</v>
      </c>
      <c r="EB10">
        <v>-9999</v>
      </c>
      <c r="EC10">
        <v>104</v>
      </c>
      <c r="ED10">
        <v>126</v>
      </c>
      <c r="EE10">
        <v>102</v>
      </c>
      <c r="EF10" t="s">
        <v>270</v>
      </c>
      <c r="EG10">
        <v>0</v>
      </c>
      <c r="EH10">
        <v>55</v>
      </c>
      <c r="EI10" t="s">
        <v>475</v>
      </c>
      <c r="EJ10" t="s">
        <v>548</v>
      </c>
      <c r="EK10">
        <v>9</v>
      </c>
      <c r="EL10" t="s">
        <v>584</v>
      </c>
      <c r="EM10">
        <v>25.1</v>
      </c>
      <c r="EN10">
        <v>112</v>
      </c>
      <c r="EO10" t="s">
        <v>264</v>
      </c>
      <c r="EP10">
        <v>-9999</v>
      </c>
      <c r="EQ10">
        <v>317</v>
      </c>
      <c r="ER10">
        <v>306</v>
      </c>
      <c r="ES10">
        <v>288</v>
      </c>
      <c r="ET10" t="s">
        <v>270</v>
      </c>
      <c r="EU10">
        <v>0</v>
      </c>
      <c r="EV10">
        <v>55</v>
      </c>
      <c r="EW10" t="s">
        <v>551</v>
      </c>
      <c r="EX10" t="s">
        <v>552</v>
      </c>
      <c r="EY10">
        <v>140</v>
      </c>
      <c r="EZ10">
        <v>140</v>
      </c>
      <c r="FA10">
        <v>140</v>
      </c>
      <c r="FB10" t="s">
        <v>270</v>
      </c>
      <c r="FC10" t="s">
        <v>553</v>
      </c>
      <c r="FD10" t="s">
        <v>552</v>
      </c>
      <c r="FE10">
        <v>351</v>
      </c>
      <c r="FF10">
        <v>349</v>
      </c>
      <c r="FG10">
        <v>348</v>
      </c>
      <c r="FH10" t="s">
        <v>270</v>
      </c>
      <c r="FI10" t="s">
        <v>554</v>
      </c>
      <c r="FJ10" t="s">
        <v>555</v>
      </c>
      <c r="FK10">
        <v>0</v>
      </c>
      <c r="FL10">
        <v>0</v>
      </c>
      <c r="FM10">
        <v>0</v>
      </c>
      <c r="FN10" t="s">
        <v>264</v>
      </c>
      <c r="FO10">
        <v>76.099999999999994</v>
      </c>
      <c r="FP10">
        <v>284.60000000000002</v>
      </c>
      <c r="FQ10" t="s">
        <v>556</v>
      </c>
      <c r="FR10" t="s">
        <v>555</v>
      </c>
      <c r="FS10">
        <v>0</v>
      </c>
      <c r="FT10">
        <v>0</v>
      </c>
      <c r="FU10">
        <v>0</v>
      </c>
      <c r="FV10" t="s">
        <v>264</v>
      </c>
      <c r="FW10">
        <v>73.599999999999994</v>
      </c>
      <c r="FX10">
        <v>108.7</v>
      </c>
      <c r="FY10" t="s">
        <v>557</v>
      </c>
      <c r="FZ10" t="s">
        <v>555</v>
      </c>
      <c r="GA10">
        <v>0</v>
      </c>
      <c r="GB10">
        <v>0</v>
      </c>
      <c r="GC10">
        <v>0</v>
      </c>
      <c r="GD10" t="s">
        <v>264</v>
      </c>
      <c r="GE10">
        <v>71.400000000000006</v>
      </c>
      <c r="GF10">
        <v>235.6</v>
      </c>
      <c r="GG10" t="s">
        <v>558</v>
      </c>
      <c r="GH10" t="s">
        <v>555</v>
      </c>
      <c r="GI10">
        <v>0</v>
      </c>
      <c r="GJ10">
        <v>0</v>
      </c>
      <c r="GK10">
        <v>0</v>
      </c>
      <c r="GL10" t="s">
        <v>264</v>
      </c>
      <c r="GM10">
        <v>68.5</v>
      </c>
      <c r="GN10">
        <v>54.2</v>
      </c>
      <c r="GO10" t="s">
        <v>559</v>
      </c>
      <c r="GP10" t="s">
        <v>555</v>
      </c>
      <c r="GQ10">
        <v>0</v>
      </c>
      <c r="GR10">
        <v>0</v>
      </c>
      <c r="GS10">
        <v>0</v>
      </c>
      <c r="GT10" t="s">
        <v>264</v>
      </c>
      <c r="GU10">
        <v>76</v>
      </c>
      <c r="GV10">
        <v>63.4</v>
      </c>
      <c r="GW10" t="s">
        <v>560</v>
      </c>
      <c r="GX10" t="s">
        <v>555</v>
      </c>
      <c r="GY10">
        <v>0</v>
      </c>
      <c r="GZ10">
        <v>0</v>
      </c>
      <c r="HA10">
        <v>0</v>
      </c>
      <c r="HB10" t="s">
        <v>264</v>
      </c>
      <c r="HC10">
        <v>70.400000000000006</v>
      </c>
      <c r="HD10">
        <v>89.1</v>
      </c>
      <c r="HE10" t="s">
        <v>561</v>
      </c>
      <c r="HF10" t="s">
        <v>555</v>
      </c>
      <c r="HG10">
        <v>0</v>
      </c>
      <c r="HH10">
        <v>0</v>
      </c>
      <c r="HI10">
        <v>0</v>
      </c>
      <c r="HJ10" t="s">
        <v>264</v>
      </c>
      <c r="HK10">
        <v>71</v>
      </c>
      <c r="HL10">
        <v>143.19999999999999</v>
      </c>
      <c r="HM10" t="s">
        <v>562</v>
      </c>
      <c r="HN10" t="s">
        <v>555</v>
      </c>
      <c r="HO10">
        <v>0</v>
      </c>
      <c r="HP10">
        <v>0</v>
      </c>
      <c r="HQ10">
        <v>0</v>
      </c>
      <c r="HR10" t="s">
        <v>264</v>
      </c>
      <c r="HS10">
        <v>69.3</v>
      </c>
      <c r="HT10">
        <v>86</v>
      </c>
      <c r="HU10" t="s">
        <v>563</v>
      </c>
      <c r="HV10" t="s">
        <v>555</v>
      </c>
      <c r="HW10">
        <v>0</v>
      </c>
      <c r="HX10">
        <v>0</v>
      </c>
      <c r="HY10">
        <v>0</v>
      </c>
      <c r="HZ10" t="s">
        <v>264</v>
      </c>
      <c r="IA10">
        <v>74.8</v>
      </c>
      <c r="IB10">
        <v>194.3</v>
      </c>
      <c r="IC10" t="s">
        <v>564</v>
      </c>
      <c r="ID10" t="s">
        <v>555</v>
      </c>
      <c r="IE10">
        <v>0</v>
      </c>
      <c r="IF10">
        <v>0</v>
      </c>
      <c r="IG10">
        <v>0</v>
      </c>
      <c r="IH10" t="s">
        <v>264</v>
      </c>
      <c r="II10">
        <v>68.400000000000006</v>
      </c>
      <c r="IJ10">
        <v>122.6</v>
      </c>
      <c r="IK10" t="s">
        <v>565</v>
      </c>
      <c r="IL10" t="s">
        <v>555</v>
      </c>
      <c r="IM10">
        <v>0</v>
      </c>
      <c r="IN10">
        <v>0</v>
      </c>
      <c r="IO10">
        <v>0</v>
      </c>
      <c r="IP10" t="s">
        <v>264</v>
      </c>
      <c r="IS10" t="s">
        <v>566</v>
      </c>
      <c r="IT10" t="s">
        <v>555</v>
      </c>
      <c r="IU10">
        <v>0</v>
      </c>
      <c r="IV10">
        <v>0</v>
      </c>
      <c r="IW10">
        <v>0</v>
      </c>
      <c r="IX10" t="s">
        <v>264</v>
      </c>
      <c r="JA10" t="s">
        <v>567</v>
      </c>
      <c r="JB10" t="s">
        <v>555</v>
      </c>
      <c r="JC10">
        <v>0</v>
      </c>
      <c r="JD10">
        <v>0</v>
      </c>
      <c r="JE10">
        <v>0</v>
      </c>
      <c r="JF10" t="s">
        <v>264</v>
      </c>
      <c r="JI10" t="s">
        <v>568</v>
      </c>
      <c r="JJ10" t="s">
        <v>555</v>
      </c>
      <c r="JK10">
        <v>0</v>
      </c>
      <c r="JL10">
        <v>0</v>
      </c>
      <c r="JM10">
        <v>0</v>
      </c>
      <c r="JN10" t="s">
        <v>264</v>
      </c>
      <c r="JQ10" t="s">
        <v>569</v>
      </c>
      <c r="JR10" t="s">
        <v>555</v>
      </c>
      <c r="JS10">
        <v>0</v>
      </c>
      <c r="JT10">
        <v>0</v>
      </c>
      <c r="JU10">
        <v>0</v>
      </c>
      <c r="JV10" t="s">
        <v>264</v>
      </c>
      <c r="JY10" t="s">
        <v>570</v>
      </c>
      <c r="JZ10" t="s">
        <v>555</v>
      </c>
      <c r="KA10">
        <v>0</v>
      </c>
      <c r="KB10">
        <v>0</v>
      </c>
      <c r="KC10">
        <v>0</v>
      </c>
      <c r="KD10" t="s">
        <v>264</v>
      </c>
      <c r="KG10" t="s">
        <v>571</v>
      </c>
      <c r="KH10" t="s">
        <v>555</v>
      </c>
      <c r="KI10">
        <v>0</v>
      </c>
      <c r="KJ10">
        <v>0</v>
      </c>
      <c r="KK10">
        <v>0</v>
      </c>
      <c r="KL10" t="s">
        <v>264</v>
      </c>
      <c r="KO10" t="s">
        <v>572</v>
      </c>
      <c r="KP10" t="s">
        <v>555</v>
      </c>
      <c r="KQ10">
        <v>0</v>
      </c>
      <c r="KR10">
        <v>0</v>
      </c>
      <c r="KS10">
        <v>0</v>
      </c>
      <c r="KT10" t="s">
        <v>264</v>
      </c>
      <c r="KW10" t="s">
        <v>573</v>
      </c>
      <c r="KX10" t="s">
        <v>555</v>
      </c>
      <c r="KY10">
        <v>0</v>
      </c>
      <c r="KZ10">
        <v>0</v>
      </c>
      <c r="LA10">
        <v>0</v>
      </c>
      <c r="LB10" t="s">
        <v>264</v>
      </c>
      <c r="LE10" t="s">
        <v>574</v>
      </c>
      <c r="LF10" t="s">
        <v>555</v>
      </c>
      <c r="LG10">
        <v>0</v>
      </c>
      <c r="LH10">
        <v>0</v>
      </c>
      <c r="LI10">
        <v>0</v>
      </c>
      <c r="LJ10" t="s">
        <v>264</v>
      </c>
      <c r="LM10" t="s">
        <v>575</v>
      </c>
      <c r="LN10" t="s">
        <v>555</v>
      </c>
      <c r="LO10">
        <v>0</v>
      </c>
      <c r="LP10">
        <v>0</v>
      </c>
      <c r="LQ10">
        <v>0</v>
      </c>
      <c r="LR10" t="s">
        <v>264</v>
      </c>
      <c r="LU10" t="s">
        <v>576</v>
      </c>
      <c r="LV10" t="s">
        <v>555</v>
      </c>
      <c r="LW10">
        <v>0</v>
      </c>
      <c r="LX10">
        <v>0</v>
      </c>
      <c r="LY10">
        <v>0</v>
      </c>
      <c r="LZ10" t="s">
        <v>264</v>
      </c>
      <c r="MC10" t="s">
        <v>577</v>
      </c>
      <c r="MD10" t="s">
        <v>555</v>
      </c>
      <c r="ME10">
        <v>0</v>
      </c>
      <c r="MF10">
        <v>0</v>
      </c>
      <c r="MG10">
        <v>0</v>
      </c>
      <c r="MH10" t="s">
        <v>264</v>
      </c>
      <c r="MK10" t="s">
        <v>578</v>
      </c>
      <c r="ML10" t="s">
        <v>555</v>
      </c>
      <c r="MM10">
        <v>0</v>
      </c>
      <c r="MN10">
        <v>0</v>
      </c>
      <c r="MO10">
        <v>0</v>
      </c>
      <c r="MP10" t="s">
        <v>264</v>
      </c>
      <c r="MS10" t="s">
        <v>579</v>
      </c>
      <c r="MT10" t="s">
        <v>555</v>
      </c>
      <c r="MU10">
        <v>0</v>
      </c>
      <c r="MV10">
        <v>0</v>
      </c>
      <c r="MW10">
        <v>0</v>
      </c>
      <c r="MX10" t="s">
        <v>264</v>
      </c>
      <c r="NA10" t="s">
        <v>580</v>
      </c>
      <c r="NB10" t="s">
        <v>555</v>
      </c>
      <c r="NC10">
        <v>0</v>
      </c>
      <c r="ND10">
        <v>0</v>
      </c>
      <c r="NE10">
        <v>0</v>
      </c>
      <c r="NF10" t="s">
        <v>264</v>
      </c>
      <c r="NI10">
        <v>40.1</v>
      </c>
      <c r="NJ10">
        <v>-9.6999999999999993</v>
      </c>
      <c r="NP10" t="s">
        <v>581</v>
      </c>
    </row>
    <row r="11" spans="1:380" customFormat="1" x14ac:dyDescent="0.2">
      <c r="A11" t="s">
        <v>517</v>
      </c>
      <c r="B11">
        <v>1</v>
      </c>
      <c r="C11" t="s">
        <v>823</v>
      </c>
      <c r="D11">
        <v>646950843</v>
      </c>
      <c r="E11">
        <v>12602</v>
      </c>
      <c r="F11" t="s">
        <v>805</v>
      </c>
      <c r="G11">
        <v>709953</v>
      </c>
      <c r="H11">
        <v>210081694</v>
      </c>
      <c r="I11" t="s">
        <v>543</v>
      </c>
      <c r="J11" t="s">
        <v>824</v>
      </c>
      <c r="K11" t="s">
        <v>545</v>
      </c>
      <c r="L11" t="s">
        <v>442</v>
      </c>
      <c r="M11" t="s">
        <v>546</v>
      </c>
      <c r="N11" t="s">
        <v>468</v>
      </c>
      <c r="O11" t="s">
        <v>547</v>
      </c>
      <c r="P11" t="s">
        <v>264</v>
      </c>
      <c r="Q11">
        <v>26.6</v>
      </c>
      <c r="R11">
        <v>228</v>
      </c>
      <c r="S11" t="s">
        <v>264</v>
      </c>
      <c r="T11">
        <v>-9999</v>
      </c>
      <c r="U11">
        <v>478</v>
      </c>
      <c r="V11">
        <v>494</v>
      </c>
      <c r="W11">
        <v>472</v>
      </c>
      <c r="X11" t="s">
        <v>270</v>
      </c>
      <c r="Y11">
        <v>0</v>
      </c>
      <c r="Z11">
        <v>55</v>
      </c>
      <c r="AA11" t="s">
        <v>469</v>
      </c>
      <c r="AB11" t="s">
        <v>548</v>
      </c>
      <c r="AC11">
        <v>1</v>
      </c>
      <c r="AD11" t="s">
        <v>584</v>
      </c>
      <c r="AE11">
        <v>24.9</v>
      </c>
      <c r="AF11">
        <v>1345</v>
      </c>
      <c r="AG11" t="s">
        <v>264</v>
      </c>
      <c r="AH11">
        <v>-9999</v>
      </c>
      <c r="AI11">
        <v>444</v>
      </c>
      <c r="AJ11">
        <v>549</v>
      </c>
      <c r="AK11">
        <v>441</v>
      </c>
      <c r="AL11" t="s">
        <v>270</v>
      </c>
      <c r="AM11">
        <v>0</v>
      </c>
      <c r="AN11">
        <v>55</v>
      </c>
      <c r="AO11" t="s">
        <v>470</v>
      </c>
      <c r="AP11" t="s">
        <v>548</v>
      </c>
      <c r="AQ11">
        <v>2</v>
      </c>
      <c r="AR11" t="s">
        <v>584</v>
      </c>
      <c r="AS11">
        <v>36.299999999999997</v>
      </c>
      <c r="AT11">
        <v>342</v>
      </c>
      <c r="AU11" t="s">
        <v>264</v>
      </c>
      <c r="AV11">
        <v>-9999</v>
      </c>
      <c r="AW11">
        <v>313</v>
      </c>
      <c r="AX11">
        <v>326</v>
      </c>
      <c r="AY11">
        <v>311</v>
      </c>
      <c r="AZ11" t="s">
        <v>270</v>
      </c>
      <c r="BA11">
        <v>0</v>
      </c>
      <c r="BB11">
        <v>55</v>
      </c>
      <c r="BC11" t="s">
        <v>550</v>
      </c>
      <c r="BD11" t="s">
        <v>548</v>
      </c>
      <c r="BE11">
        <v>3</v>
      </c>
      <c r="BF11" t="s">
        <v>584</v>
      </c>
      <c r="BG11">
        <v>20.8</v>
      </c>
      <c r="BH11">
        <v>893</v>
      </c>
      <c r="BI11" t="s">
        <v>264</v>
      </c>
      <c r="BJ11">
        <v>-9999</v>
      </c>
      <c r="BK11">
        <v>90</v>
      </c>
      <c r="BL11">
        <v>119</v>
      </c>
      <c r="BM11">
        <v>92</v>
      </c>
      <c r="BN11" t="s">
        <v>270</v>
      </c>
      <c r="BO11">
        <v>0</v>
      </c>
      <c r="BP11">
        <v>55</v>
      </c>
      <c r="BQ11" t="s">
        <v>504</v>
      </c>
      <c r="BR11" t="s">
        <v>548</v>
      </c>
      <c r="BS11">
        <v>4</v>
      </c>
      <c r="BT11" t="s">
        <v>584</v>
      </c>
      <c r="BU11">
        <v>29.8</v>
      </c>
      <c r="BV11">
        <v>266</v>
      </c>
      <c r="BW11" t="s">
        <v>264</v>
      </c>
      <c r="BX11">
        <v>-9999</v>
      </c>
      <c r="BY11">
        <v>184</v>
      </c>
      <c r="BZ11">
        <v>213</v>
      </c>
      <c r="CA11">
        <v>182</v>
      </c>
      <c r="CB11" t="s">
        <v>270</v>
      </c>
      <c r="CC11">
        <v>0</v>
      </c>
      <c r="CD11">
        <v>55</v>
      </c>
      <c r="CE11" t="s">
        <v>471</v>
      </c>
      <c r="CF11" t="s">
        <v>548</v>
      </c>
      <c r="CG11">
        <v>5</v>
      </c>
      <c r="CH11" t="s">
        <v>584</v>
      </c>
      <c r="CI11">
        <v>35</v>
      </c>
      <c r="CJ11">
        <v>192</v>
      </c>
      <c r="CK11" t="s">
        <v>264</v>
      </c>
      <c r="CL11">
        <v>-9999</v>
      </c>
      <c r="CM11">
        <v>463</v>
      </c>
      <c r="CN11">
        <v>537</v>
      </c>
      <c r="CO11">
        <v>462</v>
      </c>
      <c r="CP11" t="s">
        <v>270</v>
      </c>
      <c r="CQ11">
        <v>0</v>
      </c>
      <c r="CR11">
        <v>55</v>
      </c>
      <c r="CS11" t="s">
        <v>472</v>
      </c>
      <c r="CT11" t="s">
        <v>548</v>
      </c>
      <c r="CU11">
        <v>6</v>
      </c>
      <c r="CV11" t="s">
        <v>584</v>
      </c>
      <c r="CW11">
        <v>34.200000000000003</v>
      </c>
      <c r="CX11">
        <v>227</v>
      </c>
      <c r="CY11" t="s">
        <v>264</v>
      </c>
      <c r="CZ11">
        <v>-9999</v>
      </c>
      <c r="DA11">
        <v>721</v>
      </c>
      <c r="DB11">
        <v>820</v>
      </c>
      <c r="DC11">
        <v>710</v>
      </c>
      <c r="DD11" t="s">
        <v>270</v>
      </c>
      <c r="DE11">
        <v>0</v>
      </c>
      <c r="DF11">
        <v>55</v>
      </c>
      <c r="DG11" t="s">
        <v>473</v>
      </c>
      <c r="DH11" t="s">
        <v>548</v>
      </c>
      <c r="DI11">
        <v>7</v>
      </c>
      <c r="DJ11" t="s">
        <v>584</v>
      </c>
      <c r="DK11">
        <v>24.2</v>
      </c>
      <c r="DL11">
        <v>214</v>
      </c>
      <c r="DM11" t="s">
        <v>264</v>
      </c>
      <c r="DN11">
        <v>-9999</v>
      </c>
      <c r="DO11">
        <v>486</v>
      </c>
      <c r="DP11">
        <v>555</v>
      </c>
      <c r="DQ11">
        <v>482</v>
      </c>
      <c r="DR11" t="s">
        <v>270</v>
      </c>
      <c r="DS11">
        <v>0</v>
      </c>
      <c r="DT11">
        <v>55</v>
      </c>
      <c r="DU11" t="s">
        <v>474</v>
      </c>
      <c r="DV11" t="s">
        <v>548</v>
      </c>
      <c r="DW11">
        <v>8</v>
      </c>
      <c r="DX11" t="s">
        <v>584</v>
      </c>
      <c r="DY11">
        <v>20.7</v>
      </c>
      <c r="DZ11">
        <v>594</v>
      </c>
      <c r="EA11" t="s">
        <v>264</v>
      </c>
      <c r="EB11">
        <v>-9999</v>
      </c>
      <c r="EC11">
        <v>66</v>
      </c>
      <c r="ED11">
        <v>84</v>
      </c>
      <c r="EE11">
        <v>64</v>
      </c>
      <c r="EF11" t="s">
        <v>270</v>
      </c>
      <c r="EG11">
        <v>0</v>
      </c>
      <c r="EH11">
        <v>55</v>
      </c>
      <c r="EI11" t="s">
        <v>475</v>
      </c>
      <c r="EJ11" t="s">
        <v>548</v>
      </c>
      <c r="EK11">
        <v>9</v>
      </c>
      <c r="EL11" t="s">
        <v>584</v>
      </c>
      <c r="EM11">
        <v>24.7</v>
      </c>
      <c r="EN11">
        <v>95</v>
      </c>
      <c r="EO11" t="s">
        <v>264</v>
      </c>
      <c r="EP11">
        <v>-9999</v>
      </c>
      <c r="EQ11">
        <v>281</v>
      </c>
      <c r="ER11">
        <v>267</v>
      </c>
      <c r="ES11">
        <v>247</v>
      </c>
      <c r="ET11" t="s">
        <v>270</v>
      </c>
      <c r="EU11">
        <v>0</v>
      </c>
      <c r="EV11">
        <v>55</v>
      </c>
      <c r="EW11" t="s">
        <v>551</v>
      </c>
      <c r="EX11" t="s">
        <v>552</v>
      </c>
      <c r="EY11">
        <v>117</v>
      </c>
      <c r="EZ11">
        <v>117</v>
      </c>
      <c r="FA11">
        <v>118</v>
      </c>
      <c r="FB11" t="s">
        <v>270</v>
      </c>
      <c r="FC11" t="s">
        <v>553</v>
      </c>
      <c r="FD11" t="s">
        <v>552</v>
      </c>
      <c r="FE11">
        <v>255</v>
      </c>
      <c r="FF11">
        <v>254</v>
      </c>
      <c r="FG11">
        <v>254</v>
      </c>
      <c r="FH11" t="s">
        <v>270</v>
      </c>
      <c r="FI11" t="s">
        <v>554</v>
      </c>
      <c r="FJ11" t="s">
        <v>555</v>
      </c>
      <c r="FK11">
        <v>0</v>
      </c>
      <c r="FL11">
        <v>0</v>
      </c>
      <c r="FM11">
        <v>0</v>
      </c>
      <c r="FN11" t="s">
        <v>264</v>
      </c>
      <c r="FO11">
        <v>76.099999999999994</v>
      </c>
      <c r="FP11">
        <v>258.8</v>
      </c>
      <c r="FQ11" t="s">
        <v>556</v>
      </c>
      <c r="FR11" t="s">
        <v>555</v>
      </c>
      <c r="FS11">
        <v>0</v>
      </c>
      <c r="FT11">
        <v>0</v>
      </c>
      <c r="FU11">
        <v>0</v>
      </c>
      <c r="FV11" t="s">
        <v>264</v>
      </c>
      <c r="FW11">
        <v>73.599999999999994</v>
      </c>
      <c r="FX11">
        <v>76.7</v>
      </c>
      <c r="FY11" t="s">
        <v>557</v>
      </c>
      <c r="FZ11" t="s">
        <v>555</v>
      </c>
      <c r="GA11">
        <v>0</v>
      </c>
      <c r="GB11">
        <v>0</v>
      </c>
      <c r="GC11">
        <v>0</v>
      </c>
      <c r="GD11" t="s">
        <v>264</v>
      </c>
      <c r="GE11">
        <v>71.3</v>
      </c>
      <c r="GF11">
        <v>199.1</v>
      </c>
      <c r="GG11" t="s">
        <v>558</v>
      </c>
      <c r="GH11" t="s">
        <v>555</v>
      </c>
      <c r="GI11">
        <v>0</v>
      </c>
      <c r="GJ11">
        <v>0</v>
      </c>
      <c r="GK11">
        <v>0</v>
      </c>
      <c r="GL11" t="s">
        <v>264</v>
      </c>
      <c r="GM11">
        <v>68.400000000000006</v>
      </c>
      <c r="GN11">
        <v>41.9</v>
      </c>
      <c r="GO11" t="s">
        <v>559</v>
      </c>
      <c r="GP11" t="s">
        <v>555</v>
      </c>
      <c r="GQ11">
        <v>0</v>
      </c>
      <c r="GR11">
        <v>0</v>
      </c>
      <c r="GS11">
        <v>0</v>
      </c>
      <c r="GT11" t="s">
        <v>264</v>
      </c>
      <c r="GU11">
        <v>76.099999999999994</v>
      </c>
      <c r="GV11">
        <v>47.3</v>
      </c>
      <c r="GW11" t="s">
        <v>560</v>
      </c>
      <c r="GX11" t="s">
        <v>555</v>
      </c>
      <c r="GY11">
        <v>0</v>
      </c>
      <c r="GZ11">
        <v>0</v>
      </c>
      <c r="HA11">
        <v>0</v>
      </c>
      <c r="HB11" t="s">
        <v>264</v>
      </c>
      <c r="HC11">
        <v>70.400000000000006</v>
      </c>
      <c r="HD11">
        <v>69.2</v>
      </c>
      <c r="HE11" t="s">
        <v>561</v>
      </c>
      <c r="HF11" t="s">
        <v>555</v>
      </c>
      <c r="HG11">
        <v>0</v>
      </c>
      <c r="HH11">
        <v>0</v>
      </c>
      <c r="HI11">
        <v>0</v>
      </c>
      <c r="HJ11" t="s">
        <v>264</v>
      </c>
      <c r="HK11">
        <v>71</v>
      </c>
      <c r="HL11">
        <v>143.4</v>
      </c>
      <c r="HM11" t="s">
        <v>562</v>
      </c>
      <c r="HN11" t="s">
        <v>555</v>
      </c>
      <c r="HO11">
        <v>0</v>
      </c>
      <c r="HP11">
        <v>0</v>
      </c>
      <c r="HQ11">
        <v>0</v>
      </c>
      <c r="HR11" t="s">
        <v>264</v>
      </c>
      <c r="HS11">
        <v>69.2</v>
      </c>
      <c r="HT11">
        <v>73.5</v>
      </c>
      <c r="HU11" t="s">
        <v>563</v>
      </c>
      <c r="HV11" t="s">
        <v>555</v>
      </c>
      <c r="HW11">
        <v>0</v>
      </c>
      <c r="HX11">
        <v>0</v>
      </c>
      <c r="HY11">
        <v>0</v>
      </c>
      <c r="HZ11" t="s">
        <v>264</v>
      </c>
      <c r="IA11">
        <v>74.8</v>
      </c>
      <c r="IB11">
        <v>160.9</v>
      </c>
      <c r="IC11" t="s">
        <v>564</v>
      </c>
      <c r="ID11" t="s">
        <v>555</v>
      </c>
      <c r="IE11">
        <v>0</v>
      </c>
      <c r="IF11">
        <v>0</v>
      </c>
      <c r="IG11">
        <v>0</v>
      </c>
      <c r="IH11" t="s">
        <v>264</v>
      </c>
      <c r="II11">
        <v>68.400000000000006</v>
      </c>
      <c r="IJ11">
        <v>109.2</v>
      </c>
      <c r="IK11" t="s">
        <v>565</v>
      </c>
      <c r="IL11" t="s">
        <v>555</v>
      </c>
      <c r="IM11">
        <v>0</v>
      </c>
      <c r="IN11">
        <v>0</v>
      </c>
      <c r="IO11">
        <v>0</v>
      </c>
      <c r="IP11" t="s">
        <v>264</v>
      </c>
      <c r="IS11" t="s">
        <v>566</v>
      </c>
      <c r="IT11" t="s">
        <v>555</v>
      </c>
      <c r="IU11">
        <v>0</v>
      </c>
      <c r="IV11">
        <v>0</v>
      </c>
      <c r="IW11">
        <v>0</v>
      </c>
      <c r="IX11" t="s">
        <v>264</v>
      </c>
      <c r="JA11" t="s">
        <v>567</v>
      </c>
      <c r="JB11" t="s">
        <v>555</v>
      </c>
      <c r="JC11">
        <v>0</v>
      </c>
      <c r="JD11">
        <v>0</v>
      </c>
      <c r="JE11">
        <v>0</v>
      </c>
      <c r="JF11" t="s">
        <v>264</v>
      </c>
      <c r="JI11" t="s">
        <v>568</v>
      </c>
      <c r="JJ11" t="s">
        <v>555</v>
      </c>
      <c r="JK11">
        <v>0</v>
      </c>
      <c r="JL11">
        <v>0</v>
      </c>
      <c r="JM11">
        <v>0</v>
      </c>
      <c r="JN11" t="s">
        <v>264</v>
      </c>
      <c r="JQ11" t="s">
        <v>569</v>
      </c>
      <c r="JR11" t="s">
        <v>555</v>
      </c>
      <c r="JS11">
        <v>0</v>
      </c>
      <c r="JT11">
        <v>0</v>
      </c>
      <c r="JU11">
        <v>0</v>
      </c>
      <c r="JV11" t="s">
        <v>264</v>
      </c>
      <c r="JY11" t="s">
        <v>570</v>
      </c>
      <c r="JZ11" t="s">
        <v>555</v>
      </c>
      <c r="KA11">
        <v>0</v>
      </c>
      <c r="KB11">
        <v>0</v>
      </c>
      <c r="KC11">
        <v>0</v>
      </c>
      <c r="KD11" t="s">
        <v>264</v>
      </c>
      <c r="KG11" t="s">
        <v>571</v>
      </c>
      <c r="KH11" t="s">
        <v>555</v>
      </c>
      <c r="KI11">
        <v>0</v>
      </c>
      <c r="KJ11">
        <v>0</v>
      </c>
      <c r="KK11">
        <v>0</v>
      </c>
      <c r="KL11" t="s">
        <v>264</v>
      </c>
      <c r="KO11" t="s">
        <v>572</v>
      </c>
      <c r="KP11" t="s">
        <v>555</v>
      </c>
      <c r="KQ11">
        <v>0</v>
      </c>
      <c r="KR11">
        <v>0</v>
      </c>
      <c r="KS11">
        <v>0</v>
      </c>
      <c r="KT11" t="s">
        <v>264</v>
      </c>
      <c r="KW11" t="s">
        <v>573</v>
      </c>
      <c r="KX11" t="s">
        <v>555</v>
      </c>
      <c r="KY11">
        <v>0</v>
      </c>
      <c r="KZ11">
        <v>0</v>
      </c>
      <c r="LA11">
        <v>0</v>
      </c>
      <c r="LB11" t="s">
        <v>264</v>
      </c>
      <c r="LE11" t="s">
        <v>574</v>
      </c>
      <c r="LF11" t="s">
        <v>555</v>
      </c>
      <c r="LG11">
        <v>0</v>
      </c>
      <c r="LH11">
        <v>0</v>
      </c>
      <c r="LI11">
        <v>0</v>
      </c>
      <c r="LJ11" t="s">
        <v>264</v>
      </c>
      <c r="LM11" t="s">
        <v>575</v>
      </c>
      <c r="LN11" t="s">
        <v>555</v>
      </c>
      <c r="LO11">
        <v>0</v>
      </c>
      <c r="LP11">
        <v>0</v>
      </c>
      <c r="LQ11">
        <v>0</v>
      </c>
      <c r="LR11" t="s">
        <v>264</v>
      </c>
      <c r="LU11" t="s">
        <v>576</v>
      </c>
      <c r="LV11" t="s">
        <v>555</v>
      </c>
      <c r="LW11">
        <v>0</v>
      </c>
      <c r="LX11">
        <v>0</v>
      </c>
      <c r="LY11">
        <v>0</v>
      </c>
      <c r="LZ11" t="s">
        <v>264</v>
      </c>
      <c r="MC11" t="s">
        <v>577</v>
      </c>
      <c r="MD11" t="s">
        <v>555</v>
      </c>
      <c r="ME11">
        <v>0</v>
      </c>
      <c r="MF11">
        <v>0</v>
      </c>
      <c r="MG11">
        <v>0</v>
      </c>
      <c r="MH11" t="s">
        <v>264</v>
      </c>
      <c r="MK11" t="s">
        <v>578</v>
      </c>
      <c r="ML11" t="s">
        <v>555</v>
      </c>
      <c r="MM11">
        <v>0</v>
      </c>
      <c r="MN11">
        <v>0</v>
      </c>
      <c r="MO11">
        <v>0</v>
      </c>
      <c r="MP11" t="s">
        <v>264</v>
      </c>
      <c r="MS11" t="s">
        <v>579</v>
      </c>
      <c r="MT11" t="s">
        <v>555</v>
      </c>
      <c r="MU11">
        <v>0</v>
      </c>
      <c r="MV11">
        <v>0</v>
      </c>
      <c r="MW11">
        <v>0</v>
      </c>
      <c r="MX11" t="s">
        <v>264</v>
      </c>
      <c r="NA11" t="s">
        <v>580</v>
      </c>
      <c r="NB11" t="s">
        <v>555</v>
      </c>
      <c r="NC11">
        <v>0</v>
      </c>
      <c r="ND11">
        <v>0</v>
      </c>
      <c r="NE11">
        <v>0</v>
      </c>
      <c r="NF11" t="s">
        <v>264</v>
      </c>
      <c r="NI11">
        <v>40.1</v>
      </c>
      <c r="NJ11">
        <v>-8.6999999999999993</v>
      </c>
      <c r="NP11" t="s">
        <v>581</v>
      </c>
    </row>
    <row r="12" spans="1:380" customFormat="1" x14ac:dyDescent="0.2">
      <c r="A12" t="s">
        <v>517</v>
      </c>
      <c r="B12">
        <v>1</v>
      </c>
      <c r="C12" t="s">
        <v>825</v>
      </c>
      <c r="D12">
        <v>646951173</v>
      </c>
      <c r="E12">
        <v>12602</v>
      </c>
      <c r="F12" t="s">
        <v>805</v>
      </c>
      <c r="G12">
        <v>709954</v>
      </c>
      <c r="H12">
        <v>868924</v>
      </c>
      <c r="I12" t="s">
        <v>543</v>
      </c>
      <c r="J12" t="s">
        <v>826</v>
      </c>
      <c r="K12" t="s">
        <v>545</v>
      </c>
      <c r="L12" t="s">
        <v>442</v>
      </c>
      <c r="M12" t="s">
        <v>546</v>
      </c>
      <c r="N12" t="s">
        <v>468</v>
      </c>
      <c r="O12" t="s">
        <v>547</v>
      </c>
      <c r="P12" t="s">
        <v>264</v>
      </c>
      <c r="Q12">
        <v>24.7</v>
      </c>
      <c r="R12">
        <v>275</v>
      </c>
      <c r="S12" t="s">
        <v>264</v>
      </c>
      <c r="T12">
        <v>-9999</v>
      </c>
      <c r="U12">
        <v>604</v>
      </c>
      <c r="V12">
        <v>621</v>
      </c>
      <c r="W12">
        <v>590</v>
      </c>
      <c r="X12" t="s">
        <v>270</v>
      </c>
      <c r="Y12">
        <v>0</v>
      </c>
      <c r="Z12">
        <v>55</v>
      </c>
      <c r="AA12" t="s">
        <v>469</v>
      </c>
      <c r="AB12" t="s">
        <v>548</v>
      </c>
      <c r="AC12">
        <v>1</v>
      </c>
      <c r="AD12" t="s">
        <v>584</v>
      </c>
      <c r="AE12">
        <v>23.8</v>
      </c>
      <c r="AF12">
        <v>1288</v>
      </c>
      <c r="AG12" t="s">
        <v>264</v>
      </c>
      <c r="AH12">
        <v>-9999</v>
      </c>
      <c r="AI12">
        <v>510</v>
      </c>
      <c r="AJ12">
        <v>614</v>
      </c>
      <c r="AK12">
        <v>503</v>
      </c>
      <c r="AL12" t="s">
        <v>270</v>
      </c>
      <c r="AM12">
        <v>0</v>
      </c>
      <c r="AN12">
        <v>55</v>
      </c>
      <c r="AO12" t="s">
        <v>470</v>
      </c>
      <c r="AP12" t="s">
        <v>548</v>
      </c>
      <c r="AQ12">
        <v>2</v>
      </c>
      <c r="AR12" t="s">
        <v>584</v>
      </c>
      <c r="AS12">
        <v>34.200000000000003</v>
      </c>
      <c r="AT12">
        <v>412</v>
      </c>
      <c r="AU12" t="s">
        <v>264</v>
      </c>
      <c r="AV12">
        <v>-9999</v>
      </c>
      <c r="AW12">
        <v>343</v>
      </c>
      <c r="AX12">
        <v>362</v>
      </c>
      <c r="AY12">
        <v>341</v>
      </c>
      <c r="AZ12" t="s">
        <v>270</v>
      </c>
      <c r="BA12">
        <v>0</v>
      </c>
      <c r="BB12">
        <v>55</v>
      </c>
      <c r="BC12" t="s">
        <v>550</v>
      </c>
      <c r="BD12" t="s">
        <v>548</v>
      </c>
      <c r="BE12">
        <v>3</v>
      </c>
      <c r="BF12" t="s">
        <v>584</v>
      </c>
      <c r="BG12">
        <v>18.5</v>
      </c>
      <c r="BH12">
        <v>1242</v>
      </c>
      <c r="BI12" t="s">
        <v>264</v>
      </c>
      <c r="BJ12">
        <v>-9999</v>
      </c>
      <c r="BK12">
        <v>69</v>
      </c>
      <c r="BL12">
        <v>102</v>
      </c>
      <c r="BM12">
        <v>73</v>
      </c>
      <c r="BN12" t="s">
        <v>270</v>
      </c>
      <c r="BO12">
        <v>0</v>
      </c>
      <c r="BP12">
        <v>55</v>
      </c>
      <c r="BQ12" t="s">
        <v>504</v>
      </c>
      <c r="BR12" t="s">
        <v>548</v>
      </c>
      <c r="BS12">
        <v>4</v>
      </c>
      <c r="BT12" t="s">
        <v>584</v>
      </c>
      <c r="BU12">
        <v>27.6</v>
      </c>
      <c r="BV12">
        <v>290</v>
      </c>
      <c r="BW12" t="s">
        <v>264</v>
      </c>
      <c r="BX12">
        <v>-9999</v>
      </c>
      <c r="BY12">
        <v>239</v>
      </c>
      <c r="BZ12">
        <v>275</v>
      </c>
      <c r="CA12">
        <v>235</v>
      </c>
      <c r="CB12" t="s">
        <v>270</v>
      </c>
      <c r="CC12">
        <v>0</v>
      </c>
      <c r="CD12">
        <v>55</v>
      </c>
      <c r="CE12" t="s">
        <v>471</v>
      </c>
      <c r="CF12" t="s">
        <v>548</v>
      </c>
      <c r="CG12">
        <v>5</v>
      </c>
      <c r="CH12" t="s">
        <v>584</v>
      </c>
      <c r="CI12">
        <v>32.6</v>
      </c>
      <c r="CJ12">
        <v>244</v>
      </c>
      <c r="CK12" t="s">
        <v>264</v>
      </c>
      <c r="CL12">
        <v>-9999</v>
      </c>
      <c r="CM12">
        <v>516</v>
      </c>
      <c r="CN12">
        <v>601</v>
      </c>
      <c r="CO12">
        <v>515</v>
      </c>
      <c r="CP12" t="s">
        <v>270</v>
      </c>
      <c r="CQ12">
        <v>0</v>
      </c>
      <c r="CR12">
        <v>55</v>
      </c>
      <c r="CS12" t="s">
        <v>472</v>
      </c>
      <c r="CT12" t="s">
        <v>548</v>
      </c>
      <c r="CU12">
        <v>6</v>
      </c>
      <c r="CV12" t="s">
        <v>584</v>
      </c>
      <c r="CW12">
        <v>32.5</v>
      </c>
      <c r="CX12">
        <v>263</v>
      </c>
      <c r="CY12" t="s">
        <v>264</v>
      </c>
      <c r="CZ12">
        <v>-9999</v>
      </c>
      <c r="DA12">
        <v>625</v>
      </c>
      <c r="DB12">
        <v>707</v>
      </c>
      <c r="DC12">
        <v>614</v>
      </c>
      <c r="DD12" t="s">
        <v>270</v>
      </c>
      <c r="DE12">
        <v>0</v>
      </c>
      <c r="DF12">
        <v>55</v>
      </c>
      <c r="DG12" t="s">
        <v>473</v>
      </c>
      <c r="DH12" t="s">
        <v>548</v>
      </c>
      <c r="DI12">
        <v>7</v>
      </c>
      <c r="DJ12" t="s">
        <v>584</v>
      </c>
      <c r="DK12">
        <v>23.5</v>
      </c>
      <c r="DL12">
        <v>248</v>
      </c>
      <c r="DM12" t="s">
        <v>264</v>
      </c>
      <c r="DN12">
        <v>-9999</v>
      </c>
      <c r="DO12">
        <v>552</v>
      </c>
      <c r="DP12">
        <v>634</v>
      </c>
      <c r="DQ12">
        <v>546</v>
      </c>
      <c r="DR12" t="s">
        <v>270</v>
      </c>
      <c r="DS12">
        <v>0</v>
      </c>
      <c r="DT12">
        <v>55</v>
      </c>
      <c r="DU12" t="s">
        <v>474</v>
      </c>
      <c r="DV12" t="s">
        <v>548</v>
      </c>
      <c r="DW12">
        <v>8</v>
      </c>
      <c r="DX12" t="s">
        <v>584</v>
      </c>
      <c r="DY12">
        <v>20</v>
      </c>
      <c r="DZ12">
        <v>489</v>
      </c>
      <c r="EA12" t="s">
        <v>264</v>
      </c>
      <c r="EB12">
        <v>-9999</v>
      </c>
      <c r="EC12">
        <v>98</v>
      </c>
      <c r="ED12">
        <v>118</v>
      </c>
      <c r="EE12">
        <v>96</v>
      </c>
      <c r="EF12" t="s">
        <v>270</v>
      </c>
      <c r="EG12">
        <v>0</v>
      </c>
      <c r="EH12">
        <v>55</v>
      </c>
      <c r="EI12" t="s">
        <v>475</v>
      </c>
      <c r="EJ12" t="s">
        <v>548</v>
      </c>
      <c r="EK12">
        <v>9</v>
      </c>
      <c r="EL12" t="s">
        <v>584</v>
      </c>
      <c r="EM12">
        <v>24.1</v>
      </c>
      <c r="EN12">
        <v>115</v>
      </c>
      <c r="EO12" t="s">
        <v>264</v>
      </c>
      <c r="EP12">
        <v>-9999</v>
      </c>
      <c r="EQ12">
        <v>352</v>
      </c>
      <c r="ER12">
        <v>334</v>
      </c>
      <c r="ES12">
        <v>308</v>
      </c>
      <c r="ET12" t="s">
        <v>270</v>
      </c>
      <c r="EU12">
        <v>0</v>
      </c>
      <c r="EV12">
        <v>55</v>
      </c>
      <c r="EW12" t="s">
        <v>551</v>
      </c>
      <c r="EX12" t="s">
        <v>552</v>
      </c>
      <c r="EY12">
        <v>132</v>
      </c>
      <c r="EZ12">
        <v>132</v>
      </c>
      <c r="FA12">
        <v>133</v>
      </c>
      <c r="FB12" t="s">
        <v>270</v>
      </c>
      <c r="FC12" t="s">
        <v>553</v>
      </c>
      <c r="FD12" t="s">
        <v>552</v>
      </c>
      <c r="FE12">
        <v>309</v>
      </c>
      <c r="FF12">
        <v>307</v>
      </c>
      <c r="FG12">
        <v>307</v>
      </c>
      <c r="FH12" t="s">
        <v>270</v>
      </c>
      <c r="FI12" t="s">
        <v>554</v>
      </c>
      <c r="FJ12" t="s">
        <v>555</v>
      </c>
      <c r="FK12">
        <v>0</v>
      </c>
      <c r="FL12">
        <v>0</v>
      </c>
      <c r="FM12">
        <v>0</v>
      </c>
      <c r="FN12" t="s">
        <v>264</v>
      </c>
      <c r="FO12">
        <v>76.2</v>
      </c>
      <c r="FP12">
        <v>278.10000000000002</v>
      </c>
      <c r="FQ12" t="s">
        <v>556</v>
      </c>
      <c r="FR12" t="s">
        <v>555</v>
      </c>
      <c r="FS12">
        <v>0</v>
      </c>
      <c r="FT12">
        <v>0</v>
      </c>
      <c r="FU12">
        <v>0</v>
      </c>
      <c r="FV12" t="s">
        <v>264</v>
      </c>
      <c r="FW12">
        <v>73.599999999999994</v>
      </c>
      <c r="FX12">
        <v>85.3</v>
      </c>
      <c r="FY12" t="s">
        <v>557</v>
      </c>
      <c r="FZ12" t="s">
        <v>555</v>
      </c>
      <c r="GA12">
        <v>0</v>
      </c>
      <c r="GB12">
        <v>0</v>
      </c>
      <c r="GC12">
        <v>0</v>
      </c>
      <c r="GD12" t="s">
        <v>264</v>
      </c>
      <c r="GE12">
        <v>71.400000000000006</v>
      </c>
      <c r="GF12">
        <v>228.2</v>
      </c>
      <c r="GG12" t="s">
        <v>558</v>
      </c>
      <c r="GH12" t="s">
        <v>555</v>
      </c>
      <c r="GI12">
        <v>0</v>
      </c>
      <c r="GJ12">
        <v>0</v>
      </c>
      <c r="GK12">
        <v>0</v>
      </c>
      <c r="GL12" t="s">
        <v>264</v>
      </c>
      <c r="GM12">
        <v>68.599999999999994</v>
      </c>
      <c r="GN12">
        <v>54.5</v>
      </c>
      <c r="GO12" t="s">
        <v>559</v>
      </c>
      <c r="GP12" t="s">
        <v>555</v>
      </c>
      <c r="GQ12">
        <v>0</v>
      </c>
      <c r="GR12">
        <v>0</v>
      </c>
      <c r="GS12">
        <v>0</v>
      </c>
      <c r="GT12" t="s">
        <v>264</v>
      </c>
      <c r="GU12">
        <v>76.099999999999994</v>
      </c>
      <c r="GV12">
        <v>61.4</v>
      </c>
      <c r="GW12" t="s">
        <v>560</v>
      </c>
      <c r="GX12" t="s">
        <v>555</v>
      </c>
      <c r="GY12">
        <v>0</v>
      </c>
      <c r="GZ12">
        <v>0</v>
      </c>
      <c r="HA12">
        <v>0</v>
      </c>
      <c r="HB12" t="s">
        <v>264</v>
      </c>
      <c r="HC12">
        <v>70.400000000000006</v>
      </c>
      <c r="HD12">
        <v>89.5</v>
      </c>
      <c r="HE12" t="s">
        <v>561</v>
      </c>
      <c r="HF12" t="s">
        <v>555</v>
      </c>
      <c r="HG12">
        <v>0</v>
      </c>
      <c r="HH12">
        <v>0</v>
      </c>
      <c r="HI12">
        <v>0</v>
      </c>
      <c r="HJ12" t="s">
        <v>264</v>
      </c>
      <c r="HK12">
        <v>71</v>
      </c>
      <c r="HL12">
        <v>131.69999999999999</v>
      </c>
      <c r="HM12" t="s">
        <v>562</v>
      </c>
      <c r="HN12" t="s">
        <v>555</v>
      </c>
      <c r="HO12">
        <v>0</v>
      </c>
      <c r="HP12">
        <v>0</v>
      </c>
      <c r="HQ12">
        <v>0</v>
      </c>
      <c r="HR12" t="s">
        <v>264</v>
      </c>
      <c r="HS12">
        <v>69.400000000000006</v>
      </c>
      <c r="HT12">
        <v>84.2</v>
      </c>
      <c r="HU12" t="s">
        <v>563</v>
      </c>
      <c r="HV12" t="s">
        <v>555</v>
      </c>
      <c r="HW12">
        <v>0</v>
      </c>
      <c r="HX12">
        <v>0</v>
      </c>
      <c r="HY12">
        <v>0</v>
      </c>
      <c r="HZ12" t="s">
        <v>264</v>
      </c>
      <c r="IA12">
        <v>74.900000000000006</v>
      </c>
      <c r="IB12">
        <v>180.4</v>
      </c>
      <c r="IC12" t="s">
        <v>564</v>
      </c>
      <c r="ID12" t="s">
        <v>555</v>
      </c>
      <c r="IE12">
        <v>0</v>
      </c>
      <c r="IF12">
        <v>0</v>
      </c>
      <c r="IG12">
        <v>0</v>
      </c>
      <c r="IH12" t="s">
        <v>264</v>
      </c>
      <c r="II12">
        <v>68.400000000000006</v>
      </c>
      <c r="IJ12">
        <v>118.5</v>
      </c>
      <c r="IK12" t="s">
        <v>565</v>
      </c>
      <c r="IL12" t="s">
        <v>555</v>
      </c>
      <c r="IM12">
        <v>0</v>
      </c>
      <c r="IN12">
        <v>0</v>
      </c>
      <c r="IO12">
        <v>0</v>
      </c>
      <c r="IP12" t="s">
        <v>264</v>
      </c>
      <c r="IS12" t="s">
        <v>566</v>
      </c>
      <c r="IT12" t="s">
        <v>555</v>
      </c>
      <c r="IU12">
        <v>0</v>
      </c>
      <c r="IV12">
        <v>0</v>
      </c>
      <c r="IW12">
        <v>0</v>
      </c>
      <c r="IX12" t="s">
        <v>264</v>
      </c>
      <c r="JA12" t="s">
        <v>567</v>
      </c>
      <c r="JB12" t="s">
        <v>555</v>
      </c>
      <c r="JC12">
        <v>0</v>
      </c>
      <c r="JD12">
        <v>0</v>
      </c>
      <c r="JE12">
        <v>0</v>
      </c>
      <c r="JF12" t="s">
        <v>264</v>
      </c>
      <c r="JI12" t="s">
        <v>568</v>
      </c>
      <c r="JJ12" t="s">
        <v>555</v>
      </c>
      <c r="JK12">
        <v>0</v>
      </c>
      <c r="JL12">
        <v>0</v>
      </c>
      <c r="JM12">
        <v>0</v>
      </c>
      <c r="JN12" t="s">
        <v>264</v>
      </c>
      <c r="JQ12" t="s">
        <v>569</v>
      </c>
      <c r="JR12" t="s">
        <v>555</v>
      </c>
      <c r="JS12">
        <v>0</v>
      </c>
      <c r="JT12">
        <v>0</v>
      </c>
      <c r="JU12">
        <v>0</v>
      </c>
      <c r="JV12" t="s">
        <v>264</v>
      </c>
      <c r="JY12" t="s">
        <v>570</v>
      </c>
      <c r="JZ12" t="s">
        <v>555</v>
      </c>
      <c r="KA12">
        <v>0</v>
      </c>
      <c r="KB12">
        <v>0</v>
      </c>
      <c r="KC12">
        <v>0</v>
      </c>
      <c r="KD12" t="s">
        <v>264</v>
      </c>
      <c r="KG12" t="s">
        <v>571</v>
      </c>
      <c r="KH12" t="s">
        <v>555</v>
      </c>
      <c r="KI12">
        <v>0</v>
      </c>
      <c r="KJ12">
        <v>0</v>
      </c>
      <c r="KK12">
        <v>0</v>
      </c>
      <c r="KL12" t="s">
        <v>264</v>
      </c>
      <c r="KO12" t="s">
        <v>572</v>
      </c>
      <c r="KP12" t="s">
        <v>555</v>
      </c>
      <c r="KQ12">
        <v>0</v>
      </c>
      <c r="KR12">
        <v>0</v>
      </c>
      <c r="KS12">
        <v>0</v>
      </c>
      <c r="KT12" t="s">
        <v>264</v>
      </c>
      <c r="KW12" t="s">
        <v>573</v>
      </c>
      <c r="KX12" t="s">
        <v>555</v>
      </c>
      <c r="KY12">
        <v>0</v>
      </c>
      <c r="KZ12">
        <v>0</v>
      </c>
      <c r="LA12">
        <v>0</v>
      </c>
      <c r="LB12" t="s">
        <v>264</v>
      </c>
      <c r="LE12" t="s">
        <v>574</v>
      </c>
      <c r="LF12" t="s">
        <v>555</v>
      </c>
      <c r="LG12">
        <v>0</v>
      </c>
      <c r="LH12">
        <v>0</v>
      </c>
      <c r="LI12">
        <v>0</v>
      </c>
      <c r="LJ12" t="s">
        <v>264</v>
      </c>
      <c r="LM12" t="s">
        <v>575</v>
      </c>
      <c r="LN12" t="s">
        <v>555</v>
      </c>
      <c r="LO12">
        <v>0</v>
      </c>
      <c r="LP12">
        <v>0</v>
      </c>
      <c r="LQ12">
        <v>0</v>
      </c>
      <c r="LR12" t="s">
        <v>264</v>
      </c>
      <c r="LU12" t="s">
        <v>576</v>
      </c>
      <c r="LV12" t="s">
        <v>555</v>
      </c>
      <c r="LW12">
        <v>0</v>
      </c>
      <c r="LX12">
        <v>0</v>
      </c>
      <c r="LY12">
        <v>0</v>
      </c>
      <c r="LZ12" t="s">
        <v>264</v>
      </c>
      <c r="MC12" t="s">
        <v>577</v>
      </c>
      <c r="MD12" t="s">
        <v>555</v>
      </c>
      <c r="ME12">
        <v>0</v>
      </c>
      <c r="MF12">
        <v>0</v>
      </c>
      <c r="MG12">
        <v>0</v>
      </c>
      <c r="MH12" t="s">
        <v>264</v>
      </c>
      <c r="MK12" t="s">
        <v>578</v>
      </c>
      <c r="ML12" t="s">
        <v>555</v>
      </c>
      <c r="MM12">
        <v>0</v>
      </c>
      <c r="MN12">
        <v>0</v>
      </c>
      <c r="MO12">
        <v>0</v>
      </c>
      <c r="MP12" t="s">
        <v>264</v>
      </c>
      <c r="MS12" t="s">
        <v>579</v>
      </c>
      <c r="MT12" t="s">
        <v>555</v>
      </c>
      <c r="MU12">
        <v>0</v>
      </c>
      <c r="MV12">
        <v>0</v>
      </c>
      <c r="MW12">
        <v>0</v>
      </c>
      <c r="MX12" t="s">
        <v>264</v>
      </c>
      <c r="NA12" t="s">
        <v>580</v>
      </c>
      <c r="NB12" t="s">
        <v>555</v>
      </c>
      <c r="NC12">
        <v>0</v>
      </c>
      <c r="ND12">
        <v>0</v>
      </c>
      <c r="NE12">
        <v>0</v>
      </c>
      <c r="NF12" t="s">
        <v>264</v>
      </c>
      <c r="NI12">
        <v>40.1</v>
      </c>
      <c r="NJ12">
        <v>-4.8</v>
      </c>
      <c r="NP12" t="s">
        <v>581</v>
      </c>
    </row>
    <row r="13" spans="1:380" customFormat="1" x14ac:dyDescent="0.2">
      <c r="A13" t="s">
        <v>517</v>
      </c>
      <c r="B13">
        <v>1</v>
      </c>
      <c r="C13" t="s">
        <v>827</v>
      </c>
      <c r="D13">
        <v>646950842</v>
      </c>
      <c r="E13">
        <v>12602</v>
      </c>
      <c r="F13" t="s">
        <v>805</v>
      </c>
      <c r="G13">
        <v>709954</v>
      </c>
      <c r="H13">
        <v>210016882</v>
      </c>
      <c r="I13" t="s">
        <v>543</v>
      </c>
      <c r="J13" t="s">
        <v>828</v>
      </c>
      <c r="K13" t="s">
        <v>545</v>
      </c>
      <c r="L13" t="s">
        <v>442</v>
      </c>
      <c r="M13" t="s">
        <v>546</v>
      </c>
      <c r="N13" t="s">
        <v>468</v>
      </c>
      <c r="O13" t="s">
        <v>547</v>
      </c>
      <c r="P13" t="s">
        <v>264</v>
      </c>
      <c r="Q13">
        <v>25.3</v>
      </c>
      <c r="R13">
        <v>308</v>
      </c>
      <c r="S13" t="s">
        <v>264</v>
      </c>
      <c r="T13">
        <v>-9999</v>
      </c>
      <c r="U13">
        <v>438</v>
      </c>
      <c r="V13">
        <v>453</v>
      </c>
      <c r="W13">
        <v>430</v>
      </c>
      <c r="X13" t="s">
        <v>270</v>
      </c>
      <c r="Y13">
        <v>0</v>
      </c>
      <c r="Z13">
        <v>55</v>
      </c>
      <c r="AA13" t="s">
        <v>469</v>
      </c>
      <c r="AB13" t="s">
        <v>548</v>
      </c>
      <c r="AC13">
        <v>1</v>
      </c>
      <c r="AD13" t="s">
        <v>584</v>
      </c>
      <c r="AE13">
        <v>23.4</v>
      </c>
      <c r="AF13">
        <v>1411</v>
      </c>
      <c r="AG13" t="s">
        <v>264</v>
      </c>
      <c r="AH13">
        <v>-9999</v>
      </c>
      <c r="AI13">
        <v>490</v>
      </c>
      <c r="AJ13">
        <v>593</v>
      </c>
      <c r="AK13">
        <v>485</v>
      </c>
      <c r="AL13" t="s">
        <v>270</v>
      </c>
      <c r="AM13">
        <v>0</v>
      </c>
      <c r="AN13">
        <v>55</v>
      </c>
      <c r="AO13" t="s">
        <v>470</v>
      </c>
      <c r="AP13" t="s">
        <v>548</v>
      </c>
      <c r="AQ13">
        <v>2</v>
      </c>
      <c r="AR13" t="s">
        <v>584</v>
      </c>
      <c r="AS13">
        <v>33.9</v>
      </c>
      <c r="AT13">
        <v>420</v>
      </c>
      <c r="AU13" t="s">
        <v>264</v>
      </c>
      <c r="AV13">
        <v>-9999</v>
      </c>
      <c r="AW13">
        <v>316</v>
      </c>
      <c r="AX13">
        <v>333</v>
      </c>
      <c r="AY13">
        <v>314</v>
      </c>
      <c r="AZ13" t="s">
        <v>270</v>
      </c>
      <c r="BA13">
        <v>0</v>
      </c>
      <c r="BB13">
        <v>55</v>
      </c>
      <c r="BC13" t="s">
        <v>550</v>
      </c>
      <c r="BD13" t="s">
        <v>548</v>
      </c>
      <c r="BE13">
        <v>3</v>
      </c>
      <c r="BF13" t="s">
        <v>584</v>
      </c>
      <c r="BG13">
        <v>21.8</v>
      </c>
      <c r="BH13">
        <v>772</v>
      </c>
      <c r="BI13" t="s">
        <v>264</v>
      </c>
      <c r="BJ13">
        <v>-9999</v>
      </c>
      <c r="BK13">
        <v>116</v>
      </c>
      <c r="BL13">
        <v>154</v>
      </c>
      <c r="BM13">
        <v>119</v>
      </c>
      <c r="BN13" t="s">
        <v>270</v>
      </c>
      <c r="BO13">
        <v>0</v>
      </c>
      <c r="BP13">
        <v>55</v>
      </c>
      <c r="BQ13" t="s">
        <v>504</v>
      </c>
      <c r="BR13" t="s">
        <v>548</v>
      </c>
      <c r="BS13">
        <v>4</v>
      </c>
      <c r="BT13" t="s">
        <v>584</v>
      </c>
      <c r="BU13">
        <v>27.8</v>
      </c>
      <c r="BV13">
        <v>317</v>
      </c>
      <c r="BW13" t="s">
        <v>264</v>
      </c>
      <c r="BX13">
        <v>-9999</v>
      </c>
      <c r="BY13">
        <v>191</v>
      </c>
      <c r="BZ13">
        <v>221</v>
      </c>
      <c r="CA13">
        <v>189</v>
      </c>
      <c r="CB13" t="s">
        <v>270</v>
      </c>
      <c r="CC13">
        <v>0</v>
      </c>
      <c r="CD13">
        <v>55</v>
      </c>
      <c r="CE13" t="s">
        <v>471</v>
      </c>
      <c r="CF13" t="s">
        <v>548</v>
      </c>
      <c r="CG13">
        <v>5</v>
      </c>
      <c r="CH13" t="s">
        <v>584</v>
      </c>
      <c r="CI13">
        <v>31.6</v>
      </c>
      <c r="CJ13">
        <v>268</v>
      </c>
      <c r="CK13" t="s">
        <v>264</v>
      </c>
      <c r="CL13">
        <v>-9999</v>
      </c>
      <c r="CM13">
        <v>482</v>
      </c>
      <c r="CN13">
        <v>559</v>
      </c>
      <c r="CO13">
        <v>481</v>
      </c>
      <c r="CP13" t="s">
        <v>270</v>
      </c>
      <c r="CQ13">
        <v>0</v>
      </c>
      <c r="CR13">
        <v>55</v>
      </c>
      <c r="CS13" t="s">
        <v>472</v>
      </c>
      <c r="CT13" t="s">
        <v>548</v>
      </c>
      <c r="CU13">
        <v>6</v>
      </c>
      <c r="CV13" t="s">
        <v>584</v>
      </c>
      <c r="CW13">
        <v>32.200000000000003</v>
      </c>
      <c r="CX13">
        <v>277</v>
      </c>
      <c r="CY13" t="s">
        <v>264</v>
      </c>
      <c r="CZ13">
        <v>-9999</v>
      </c>
      <c r="DA13">
        <v>610</v>
      </c>
      <c r="DB13">
        <v>693</v>
      </c>
      <c r="DC13">
        <v>601</v>
      </c>
      <c r="DD13" t="s">
        <v>270</v>
      </c>
      <c r="DE13">
        <v>0</v>
      </c>
      <c r="DF13">
        <v>55</v>
      </c>
      <c r="DG13" t="s">
        <v>473</v>
      </c>
      <c r="DH13" t="s">
        <v>548</v>
      </c>
      <c r="DI13">
        <v>7</v>
      </c>
      <c r="DJ13" t="s">
        <v>584</v>
      </c>
      <c r="DK13">
        <v>23.1</v>
      </c>
      <c r="DL13">
        <v>272</v>
      </c>
      <c r="DM13" t="s">
        <v>264</v>
      </c>
      <c r="DN13">
        <v>-9999</v>
      </c>
      <c r="DO13">
        <v>500</v>
      </c>
      <c r="DP13">
        <v>578</v>
      </c>
      <c r="DQ13">
        <v>495</v>
      </c>
      <c r="DR13" t="s">
        <v>270</v>
      </c>
      <c r="DS13">
        <v>0</v>
      </c>
      <c r="DT13">
        <v>55</v>
      </c>
      <c r="DU13" t="s">
        <v>474</v>
      </c>
      <c r="DV13" t="s">
        <v>548</v>
      </c>
      <c r="DW13">
        <v>8</v>
      </c>
      <c r="DX13" t="s">
        <v>584</v>
      </c>
      <c r="DY13">
        <v>19.899999999999999</v>
      </c>
      <c r="DZ13">
        <v>622</v>
      </c>
      <c r="EA13" t="s">
        <v>264</v>
      </c>
      <c r="EB13">
        <v>-9999</v>
      </c>
      <c r="EC13">
        <v>69</v>
      </c>
      <c r="ED13">
        <v>87</v>
      </c>
      <c r="EE13">
        <v>67</v>
      </c>
      <c r="EF13" t="s">
        <v>270</v>
      </c>
      <c r="EG13">
        <v>0</v>
      </c>
      <c r="EH13">
        <v>55</v>
      </c>
      <c r="EI13" t="s">
        <v>475</v>
      </c>
      <c r="EJ13" t="s">
        <v>548</v>
      </c>
      <c r="EK13">
        <v>9</v>
      </c>
      <c r="EL13" t="s">
        <v>584</v>
      </c>
      <c r="EM13">
        <v>24.2</v>
      </c>
      <c r="EN13">
        <v>117</v>
      </c>
      <c r="EO13" t="s">
        <v>264</v>
      </c>
      <c r="EP13">
        <v>-9999</v>
      </c>
      <c r="EQ13">
        <v>312</v>
      </c>
      <c r="ER13">
        <v>291</v>
      </c>
      <c r="ES13">
        <v>270</v>
      </c>
      <c r="ET13" t="s">
        <v>270</v>
      </c>
      <c r="EU13">
        <v>0</v>
      </c>
      <c r="EV13">
        <v>55</v>
      </c>
      <c r="EW13" t="s">
        <v>551</v>
      </c>
      <c r="EX13" t="s">
        <v>552</v>
      </c>
      <c r="EY13">
        <v>130</v>
      </c>
      <c r="EZ13">
        <v>131</v>
      </c>
      <c r="FA13">
        <v>131</v>
      </c>
      <c r="FB13" t="s">
        <v>270</v>
      </c>
      <c r="FC13" t="s">
        <v>553</v>
      </c>
      <c r="FD13" t="s">
        <v>552</v>
      </c>
      <c r="FE13">
        <v>271</v>
      </c>
      <c r="FF13">
        <v>270</v>
      </c>
      <c r="FG13">
        <v>269</v>
      </c>
      <c r="FH13" t="s">
        <v>270</v>
      </c>
      <c r="FI13" t="s">
        <v>554</v>
      </c>
      <c r="FJ13" t="s">
        <v>555</v>
      </c>
      <c r="FK13">
        <v>0</v>
      </c>
      <c r="FL13">
        <v>0</v>
      </c>
      <c r="FM13">
        <v>0</v>
      </c>
      <c r="FN13" t="s">
        <v>264</v>
      </c>
      <c r="FO13">
        <v>76.3</v>
      </c>
      <c r="FP13">
        <v>287.3</v>
      </c>
      <c r="FQ13" t="s">
        <v>556</v>
      </c>
      <c r="FR13" t="s">
        <v>555</v>
      </c>
      <c r="FS13">
        <v>0</v>
      </c>
      <c r="FT13">
        <v>0</v>
      </c>
      <c r="FU13">
        <v>0</v>
      </c>
      <c r="FV13" t="s">
        <v>264</v>
      </c>
      <c r="FW13">
        <v>73.7</v>
      </c>
      <c r="FX13">
        <v>84</v>
      </c>
      <c r="FY13" t="s">
        <v>557</v>
      </c>
      <c r="FZ13" t="s">
        <v>555</v>
      </c>
      <c r="GA13">
        <v>0</v>
      </c>
      <c r="GB13">
        <v>0</v>
      </c>
      <c r="GC13">
        <v>0</v>
      </c>
      <c r="GD13" t="s">
        <v>264</v>
      </c>
      <c r="GE13">
        <v>71.400000000000006</v>
      </c>
      <c r="GF13">
        <v>204.2</v>
      </c>
      <c r="GG13" t="s">
        <v>558</v>
      </c>
      <c r="GH13" t="s">
        <v>555</v>
      </c>
      <c r="GI13">
        <v>0</v>
      </c>
      <c r="GJ13">
        <v>0</v>
      </c>
      <c r="GK13">
        <v>0</v>
      </c>
      <c r="GL13" t="s">
        <v>264</v>
      </c>
      <c r="GM13">
        <v>68.7</v>
      </c>
      <c r="GN13">
        <v>38.700000000000003</v>
      </c>
      <c r="GO13" t="s">
        <v>559</v>
      </c>
      <c r="GP13" t="s">
        <v>555</v>
      </c>
      <c r="GQ13">
        <v>0</v>
      </c>
      <c r="GR13">
        <v>0</v>
      </c>
      <c r="GS13">
        <v>0</v>
      </c>
      <c r="GT13" t="s">
        <v>264</v>
      </c>
      <c r="GU13">
        <v>76.2</v>
      </c>
      <c r="GV13">
        <v>50.7</v>
      </c>
      <c r="GW13" t="s">
        <v>560</v>
      </c>
      <c r="GX13" t="s">
        <v>555</v>
      </c>
      <c r="GY13">
        <v>0</v>
      </c>
      <c r="GZ13">
        <v>0</v>
      </c>
      <c r="HA13">
        <v>0</v>
      </c>
      <c r="HB13" t="s">
        <v>264</v>
      </c>
      <c r="HC13">
        <v>70.400000000000006</v>
      </c>
      <c r="HD13">
        <v>87.7</v>
      </c>
      <c r="HE13" t="s">
        <v>561</v>
      </c>
      <c r="HF13" t="s">
        <v>555</v>
      </c>
      <c r="HG13">
        <v>0</v>
      </c>
      <c r="HH13">
        <v>0</v>
      </c>
      <c r="HI13">
        <v>0</v>
      </c>
      <c r="HJ13" t="s">
        <v>264</v>
      </c>
      <c r="HK13">
        <v>71</v>
      </c>
      <c r="HL13">
        <v>127.4</v>
      </c>
      <c r="HM13" t="s">
        <v>562</v>
      </c>
      <c r="HN13" t="s">
        <v>555</v>
      </c>
      <c r="HO13">
        <v>0</v>
      </c>
      <c r="HP13">
        <v>0</v>
      </c>
      <c r="HQ13">
        <v>0</v>
      </c>
      <c r="HR13" t="s">
        <v>264</v>
      </c>
      <c r="HS13">
        <v>69.5</v>
      </c>
      <c r="HT13">
        <v>79.8</v>
      </c>
      <c r="HU13" t="s">
        <v>563</v>
      </c>
      <c r="HV13" t="s">
        <v>555</v>
      </c>
      <c r="HW13">
        <v>0</v>
      </c>
      <c r="HX13">
        <v>0</v>
      </c>
      <c r="HY13">
        <v>0</v>
      </c>
      <c r="HZ13" t="s">
        <v>264</v>
      </c>
      <c r="IA13">
        <v>75</v>
      </c>
      <c r="IB13">
        <v>171.8</v>
      </c>
      <c r="IC13" t="s">
        <v>564</v>
      </c>
      <c r="ID13" t="s">
        <v>555</v>
      </c>
      <c r="IE13">
        <v>0</v>
      </c>
      <c r="IF13">
        <v>0</v>
      </c>
      <c r="IG13">
        <v>0</v>
      </c>
      <c r="IH13" t="s">
        <v>264</v>
      </c>
      <c r="II13">
        <v>68.5</v>
      </c>
      <c r="IJ13">
        <v>117.7</v>
      </c>
      <c r="IK13" t="s">
        <v>565</v>
      </c>
      <c r="IL13" t="s">
        <v>555</v>
      </c>
      <c r="IM13">
        <v>0</v>
      </c>
      <c r="IN13">
        <v>0</v>
      </c>
      <c r="IO13">
        <v>0</v>
      </c>
      <c r="IP13" t="s">
        <v>264</v>
      </c>
      <c r="IS13" t="s">
        <v>566</v>
      </c>
      <c r="IT13" t="s">
        <v>555</v>
      </c>
      <c r="IU13">
        <v>0</v>
      </c>
      <c r="IV13">
        <v>0</v>
      </c>
      <c r="IW13">
        <v>0</v>
      </c>
      <c r="IX13" t="s">
        <v>264</v>
      </c>
      <c r="JA13" t="s">
        <v>567</v>
      </c>
      <c r="JB13" t="s">
        <v>555</v>
      </c>
      <c r="JC13">
        <v>0</v>
      </c>
      <c r="JD13">
        <v>0</v>
      </c>
      <c r="JE13">
        <v>0</v>
      </c>
      <c r="JF13" t="s">
        <v>264</v>
      </c>
      <c r="JI13" t="s">
        <v>568</v>
      </c>
      <c r="JJ13" t="s">
        <v>555</v>
      </c>
      <c r="JK13">
        <v>0</v>
      </c>
      <c r="JL13">
        <v>0</v>
      </c>
      <c r="JM13">
        <v>0</v>
      </c>
      <c r="JN13" t="s">
        <v>264</v>
      </c>
      <c r="JQ13" t="s">
        <v>569</v>
      </c>
      <c r="JR13" t="s">
        <v>555</v>
      </c>
      <c r="JS13">
        <v>0</v>
      </c>
      <c r="JT13">
        <v>0</v>
      </c>
      <c r="JU13">
        <v>0</v>
      </c>
      <c r="JV13" t="s">
        <v>264</v>
      </c>
      <c r="JY13" t="s">
        <v>570</v>
      </c>
      <c r="JZ13" t="s">
        <v>555</v>
      </c>
      <c r="KA13">
        <v>0</v>
      </c>
      <c r="KB13">
        <v>0</v>
      </c>
      <c r="KC13">
        <v>0</v>
      </c>
      <c r="KD13" t="s">
        <v>264</v>
      </c>
      <c r="KG13" t="s">
        <v>571</v>
      </c>
      <c r="KH13" t="s">
        <v>555</v>
      </c>
      <c r="KI13">
        <v>0</v>
      </c>
      <c r="KJ13">
        <v>0</v>
      </c>
      <c r="KK13">
        <v>0</v>
      </c>
      <c r="KL13" t="s">
        <v>264</v>
      </c>
      <c r="KO13" t="s">
        <v>572</v>
      </c>
      <c r="KP13" t="s">
        <v>555</v>
      </c>
      <c r="KQ13">
        <v>0</v>
      </c>
      <c r="KR13">
        <v>0</v>
      </c>
      <c r="KS13">
        <v>0</v>
      </c>
      <c r="KT13" t="s">
        <v>264</v>
      </c>
      <c r="KW13" t="s">
        <v>573</v>
      </c>
      <c r="KX13" t="s">
        <v>555</v>
      </c>
      <c r="KY13">
        <v>0</v>
      </c>
      <c r="KZ13">
        <v>0</v>
      </c>
      <c r="LA13">
        <v>0</v>
      </c>
      <c r="LB13" t="s">
        <v>264</v>
      </c>
      <c r="LE13" t="s">
        <v>574</v>
      </c>
      <c r="LF13" t="s">
        <v>555</v>
      </c>
      <c r="LG13">
        <v>0</v>
      </c>
      <c r="LH13">
        <v>0</v>
      </c>
      <c r="LI13">
        <v>0</v>
      </c>
      <c r="LJ13" t="s">
        <v>264</v>
      </c>
      <c r="LM13" t="s">
        <v>575</v>
      </c>
      <c r="LN13" t="s">
        <v>555</v>
      </c>
      <c r="LO13">
        <v>0</v>
      </c>
      <c r="LP13">
        <v>0</v>
      </c>
      <c r="LQ13">
        <v>0</v>
      </c>
      <c r="LR13" t="s">
        <v>264</v>
      </c>
      <c r="LU13" t="s">
        <v>576</v>
      </c>
      <c r="LV13" t="s">
        <v>555</v>
      </c>
      <c r="LW13">
        <v>0</v>
      </c>
      <c r="LX13">
        <v>0</v>
      </c>
      <c r="LY13">
        <v>0</v>
      </c>
      <c r="LZ13" t="s">
        <v>264</v>
      </c>
      <c r="MC13" t="s">
        <v>577</v>
      </c>
      <c r="MD13" t="s">
        <v>555</v>
      </c>
      <c r="ME13">
        <v>0</v>
      </c>
      <c r="MF13">
        <v>0</v>
      </c>
      <c r="MG13">
        <v>0</v>
      </c>
      <c r="MH13" t="s">
        <v>264</v>
      </c>
      <c r="MK13" t="s">
        <v>578</v>
      </c>
      <c r="ML13" t="s">
        <v>555</v>
      </c>
      <c r="MM13">
        <v>0</v>
      </c>
      <c r="MN13">
        <v>0</v>
      </c>
      <c r="MO13">
        <v>0</v>
      </c>
      <c r="MP13" t="s">
        <v>264</v>
      </c>
      <c r="MS13" t="s">
        <v>579</v>
      </c>
      <c r="MT13" t="s">
        <v>555</v>
      </c>
      <c r="MU13">
        <v>0</v>
      </c>
      <c r="MV13">
        <v>0</v>
      </c>
      <c r="MW13">
        <v>0</v>
      </c>
      <c r="MX13" t="s">
        <v>264</v>
      </c>
      <c r="NA13" t="s">
        <v>580</v>
      </c>
      <c r="NB13" t="s">
        <v>555</v>
      </c>
      <c r="NC13">
        <v>0</v>
      </c>
      <c r="ND13">
        <v>0</v>
      </c>
      <c r="NE13">
        <v>0</v>
      </c>
      <c r="NF13" t="s">
        <v>264</v>
      </c>
      <c r="NI13">
        <v>40</v>
      </c>
      <c r="NJ13">
        <v>-5.7</v>
      </c>
      <c r="NP13" t="s">
        <v>581</v>
      </c>
    </row>
    <row r="14" spans="1:380" customFormat="1" x14ac:dyDescent="0.2">
      <c r="A14" t="s">
        <v>517</v>
      </c>
      <c r="B14">
        <v>1</v>
      </c>
      <c r="C14" t="s">
        <v>829</v>
      </c>
      <c r="D14">
        <v>646952086</v>
      </c>
      <c r="E14">
        <v>12602</v>
      </c>
      <c r="F14" t="s">
        <v>805</v>
      </c>
      <c r="G14">
        <v>709954</v>
      </c>
      <c r="H14">
        <v>210069694</v>
      </c>
      <c r="I14" t="s">
        <v>543</v>
      </c>
      <c r="J14" t="s">
        <v>830</v>
      </c>
      <c r="K14" t="s">
        <v>545</v>
      </c>
      <c r="L14" t="s">
        <v>442</v>
      </c>
      <c r="M14" t="s">
        <v>546</v>
      </c>
      <c r="N14" t="s">
        <v>468</v>
      </c>
      <c r="O14" t="s">
        <v>547</v>
      </c>
      <c r="P14" t="s">
        <v>264</v>
      </c>
      <c r="Q14">
        <v>26.8</v>
      </c>
      <c r="R14">
        <v>236</v>
      </c>
      <c r="S14" t="s">
        <v>264</v>
      </c>
      <c r="T14">
        <v>-9999</v>
      </c>
      <c r="U14">
        <v>480</v>
      </c>
      <c r="V14">
        <v>497</v>
      </c>
      <c r="W14">
        <v>473</v>
      </c>
      <c r="X14" t="s">
        <v>270</v>
      </c>
      <c r="Y14">
        <v>0</v>
      </c>
      <c r="Z14">
        <v>55</v>
      </c>
      <c r="AA14" t="s">
        <v>469</v>
      </c>
      <c r="AB14" t="s">
        <v>548</v>
      </c>
      <c r="AC14">
        <v>1</v>
      </c>
      <c r="AD14" t="s">
        <v>584</v>
      </c>
      <c r="AE14">
        <v>25.4</v>
      </c>
      <c r="AF14">
        <v>1376</v>
      </c>
      <c r="AG14" t="s">
        <v>264</v>
      </c>
      <c r="AH14">
        <v>-9999</v>
      </c>
      <c r="AI14">
        <v>452</v>
      </c>
      <c r="AJ14">
        <v>558</v>
      </c>
      <c r="AK14">
        <v>451</v>
      </c>
      <c r="AL14" t="s">
        <v>270</v>
      </c>
      <c r="AM14">
        <v>0</v>
      </c>
      <c r="AN14">
        <v>55</v>
      </c>
      <c r="AO14" t="s">
        <v>470</v>
      </c>
      <c r="AP14" t="s">
        <v>548</v>
      </c>
      <c r="AQ14">
        <v>2</v>
      </c>
      <c r="AR14" t="s">
        <v>584</v>
      </c>
      <c r="AS14">
        <v>36.799999999999997</v>
      </c>
      <c r="AT14">
        <v>324</v>
      </c>
      <c r="AU14" t="s">
        <v>264</v>
      </c>
      <c r="AV14">
        <v>-9999</v>
      </c>
      <c r="AW14">
        <v>362</v>
      </c>
      <c r="AX14">
        <v>382</v>
      </c>
      <c r="AY14">
        <v>361</v>
      </c>
      <c r="AZ14" t="s">
        <v>270</v>
      </c>
      <c r="BA14">
        <v>0</v>
      </c>
      <c r="BB14">
        <v>55</v>
      </c>
      <c r="BC14" t="s">
        <v>550</v>
      </c>
      <c r="BD14" t="s">
        <v>548</v>
      </c>
      <c r="BE14">
        <v>3</v>
      </c>
      <c r="BF14" t="s">
        <v>584</v>
      </c>
      <c r="BG14">
        <v>21.6</v>
      </c>
      <c r="BH14">
        <v>715</v>
      </c>
      <c r="BI14" t="s">
        <v>264</v>
      </c>
      <c r="BJ14">
        <v>-9999</v>
      </c>
      <c r="BK14">
        <v>131</v>
      </c>
      <c r="BL14">
        <v>168</v>
      </c>
      <c r="BM14">
        <v>130</v>
      </c>
      <c r="BN14" t="s">
        <v>270</v>
      </c>
      <c r="BO14">
        <v>0</v>
      </c>
      <c r="BP14">
        <v>55</v>
      </c>
      <c r="BQ14" t="s">
        <v>504</v>
      </c>
      <c r="BR14" t="s">
        <v>548</v>
      </c>
      <c r="BS14">
        <v>4</v>
      </c>
      <c r="BT14" t="s">
        <v>584</v>
      </c>
      <c r="BU14">
        <v>29.5</v>
      </c>
      <c r="BV14">
        <v>292</v>
      </c>
      <c r="BW14" t="s">
        <v>264</v>
      </c>
      <c r="BX14">
        <v>-9999</v>
      </c>
      <c r="BY14">
        <v>169</v>
      </c>
      <c r="BZ14">
        <v>196</v>
      </c>
      <c r="CA14">
        <v>167</v>
      </c>
      <c r="CB14" t="s">
        <v>270</v>
      </c>
      <c r="CC14">
        <v>0</v>
      </c>
      <c r="CD14">
        <v>55</v>
      </c>
      <c r="CE14" t="s">
        <v>471</v>
      </c>
      <c r="CF14" t="s">
        <v>548</v>
      </c>
      <c r="CG14">
        <v>5</v>
      </c>
      <c r="CH14" t="s">
        <v>584</v>
      </c>
      <c r="CI14">
        <v>34.4</v>
      </c>
      <c r="CJ14">
        <v>207</v>
      </c>
      <c r="CK14" t="s">
        <v>264</v>
      </c>
      <c r="CL14">
        <v>-9999</v>
      </c>
      <c r="CM14">
        <v>460</v>
      </c>
      <c r="CN14">
        <v>536</v>
      </c>
      <c r="CO14">
        <v>459</v>
      </c>
      <c r="CP14" t="s">
        <v>270</v>
      </c>
      <c r="CQ14">
        <v>0</v>
      </c>
      <c r="CR14">
        <v>55</v>
      </c>
      <c r="CS14" t="s">
        <v>472</v>
      </c>
      <c r="CT14" t="s">
        <v>548</v>
      </c>
      <c r="CU14">
        <v>6</v>
      </c>
      <c r="CV14" t="s">
        <v>584</v>
      </c>
      <c r="CW14">
        <v>34.700000000000003</v>
      </c>
      <c r="CX14">
        <v>199</v>
      </c>
      <c r="CY14" t="s">
        <v>264</v>
      </c>
      <c r="CZ14">
        <v>-9999</v>
      </c>
      <c r="DA14">
        <v>602</v>
      </c>
      <c r="DB14">
        <v>684</v>
      </c>
      <c r="DC14">
        <v>593</v>
      </c>
      <c r="DD14" t="s">
        <v>270</v>
      </c>
      <c r="DE14">
        <v>0</v>
      </c>
      <c r="DF14">
        <v>55</v>
      </c>
      <c r="DG14" t="s">
        <v>473</v>
      </c>
      <c r="DH14" t="s">
        <v>548</v>
      </c>
      <c r="DI14">
        <v>7</v>
      </c>
      <c r="DJ14" t="s">
        <v>584</v>
      </c>
      <c r="DK14">
        <v>23.3</v>
      </c>
      <c r="DL14">
        <v>249</v>
      </c>
      <c r="DM14" t="s">
        <v>264</v>
      </c>
      <c r="DN14">
        <v>-9999</v>
      </c>
      <c r="DO14">
        <v>464</v>
      </c>
      <c r="DP14">
        <v>530</v>
      </c>
      <c r="DQ14">
        <v>461</v>
      </c>
      <c r="DR14" t="s">
        <v>270</v>
      </c>
      <c r="DS14">
        <v>0</v>
      </c>
      <c r="DT14">
        <v>55</v>
      </c>
      <c r="DU14" t="s">
        <v>474</v>
      </c>
      <c r="DV14" t="s">
        <v>548</v>
      </c>
      <c r="DW14">
        <v>8</v>
      </c>
      <c r="DX14" t="s">
        <v>584</v>
      </c>
      <c r="DY14">
        <v>20.9</v>
      </c>
      <c r="DZ14">
        <v>481</v>
      </c>
      <c r="EA14" t="s">
        <v>264</v>
      </c>
      <c r="EB14">
        <v>-9999</v>
      </c>
      <c r="EC14">
        <v>87</v>
      </c>
      <c r="ED14">
        <v>108</v>
      </c>
      <c r="EE14">
        <v>86</v>
      </c>
      <c r="EF14" t="s">
        <v>270</v>
      </c>
      <c r="EG14">
        <v>0</v>
      </c>
      <c r="EH14">
        <v>55</v>
      </c>
      <c r="EI14" t="s">
        <v>475</v>
      </c>
      <c r="EJ14" t="s">
        <v>548</v>
      </c>
      <c r="EK14">
        <v>9</v>
      </c>
      <c r="EL14" t="s">
        <v>584</v>
      </c>
      <c r="EM14">
        <v>23.8</v>
      </c>
      <c r="EN14">
        <v>125</v>
      </c>
      <c r="EO14" t="s">
        <v>264</v>
      </c>
      <c r="EP14">
        <v>-9999</v>
      </c>
      <c r="EQ14">
        <v>283</v>
      </c>
      <c r="ER14">
        <v>264</v>
      </c>
      <c r="ES14">
        <v>245</v>
      </c>
      <c r="ET14" t="s">
        <v>270</v>
      </c>
      <c r="EU14">
        <v>0</v>
      </c>
      <c r="EV14">
        <v>55</v>
      </c>
      <c r="EW14" t="s">
        <v>551</v>
      </c>
      <c r="EX14" t="s">
        <v>552</v>
      </c>
      <c r="EY14">
        <v>123</v>
      </c>
      <c r="EZ14">
        <v>123</v>
      </c>
      <c r="FA14">
        <v>123</v>
      </c>
      <c r="FB14" t="s">
        <v>270</v>
      </c>
      <c r="FC14" t="s">
        <v>553</v>
      </c>
      <c r="FD14" t="s">
        <v>552</v>
      </c>
      <c r="FE14">
        <v>284</v>
      </c>
      <c r="FF14">
        <v>283</v>
      </c>
      <c r="FG14">
        <v>283</v>
      </c>
      <c r="FH14" t="s">
        <v>270</v>
      </c>
      <c r="FI14" t="s">
        <v>554</v>
      </c>
      <c r="FJ14" t="s">
        <v>555</v>
      </c>
      <c r="FK14">
        <v>0</v>
      </c>
      <c r="FL14">
        <v>0</v>
      </c>
      <c r="FM14">
        <v>0</v>
      </c>
      <c r="FN14" t="s">
        <v>264</v>
      </c>
      <c r="FO14">
        <v>76</v>
      </c>
      <c r="FP14">
        <v>285.60000000000002</v>
      </c>
      <c r="FQ14" t="s">
        <v>556</v>
      </c>
      <c r="FR14" t="s">
        <v>555</v>
      </c>
      <c r="FS14">
        <v>0</v>
      </c>
      <c r="FT14">
        <v>0</v>
      </c>
      <c r="FU14">
        <v>0</v>
      </c>
      <c r="FV14" t="s">
        <v>264</v>
      </c>
      <c r="FW14">
        <v>73.5</v>
      </c>
      <c r="FX14">
        <v>90.1</v>
      </c>
      <c r="FY14" t="s">
        <v>557</v>
      </c>
      <c r="FZ14" t="s">
        <v>555</v>
      </c>
      <c r="GA14">
        <v>0</v>
      </c>
      <c r="GB14">
        <v>0</v>
      </c>
      <c r="GC14">
        <v>0</v>
      </c>
      <c r="GD14" t="s">
        <v>264</v>
      </c>
      <c r="GE14">
        <v>71.3</v>
      </c>
      <c r="GF14">
        <v>232.7</v>
      </c>
      <c r="GG14" t="s">
        <v>558</v>
      </c>
      <c r="GH14" t="s">
        <v>555</v>
      </c>
      <c r="GI14">
        <v>0</v>
      </c>
      <c r="GJ14">
        <v>0</v>
      </c>
      <c r="GK14">
        <v>0</v>
      </c>
      <c r="GL14" t="s">
        <v>264</v>
      </c>
      <c r="GM14">
        <v>68.400000000000006</v>
      </c>
      <c r="GN14">
        <v>46.9</v>
      </c>
      <c r="GO14" t="s">
        <v>559</v>
      </c>
      <c r="GP14" t="s">
        <v>555</v>
      </c>
      <c r="GQ14">
        <v>0</v>
      </c>
      <c r="GR14">
        <v>0</v>
      </c>
      <c r="GS14">
        <v>0</v>
      </c>
      <c r="GT14" t="s">
        <v>264</v>
      </c>
      <c r="GU14">
        <v>76.099999999999994</v>
      </c>
      <c r="GV14">
        <v>47.5</v>
      </c>
      <c r="GW14" t="s">
        <v>560</v>
      </c>
      <c r="GX14" t="s">
        <v>555</v>
      </c>
      <c r="GY14">
        <v>0</v>
      </c>
      <c r="GZ14">
        <v>0</v>
      </c>
      <c r="HA14">
        <v>0</v>
      </c>
      <c r="HB14" t="s">
        <v>264</v>
      </c>
      <c r="HC14">
        <v>70.3</v>
      </c>
      <c r="HD14">
        <v>74.7</v>
      </c>
      <c r="HE14" t="s">
        <v>561</v>
      </c>
      <c r="HF14" t="s">
        <v>555</v>
      </c>
      <c r="HG14">
        <v>0</v>
      </c>
      <c r="HH14">
        <v>0</v>
      </c>
      <c r="HI14">
        <v>0</v>
      </c>
      <c r="HJ14" t="s">
        <v>264</v>
      </c>
      <c r="HK14">
        <v>70.900000000000006</v>
      </c>
      <c r="HL14">
        <v>114.8</v>
      </c>
      <c r="HM14" t="s">
        <v>562</v>
      </c>
      <c r="HN14" t="s">
        <v>555</v>
      </c>
      <c r="HO14">
        <v>0</v>
      </c>
      <c r="HP14">
        <v>0</v>
      </c>
      <c r="HQ14">
        <v>0</v>
      </c>
      <c r="HR14" t="s">
        <v>264</v>
      </c>
      <c r="HS14">
        <v>69.2</v>
      </c>
      <c r="HT14">
        <v>84</v>
      </c>
      <c r="HU14" t="s">
        <v>563</v>
      </c>
      <c r="HV14" t="s">
        <v>555</v>
      </c>
      <c r="HW14">
        <v>0</v>
      </c>
      <c r="HX14">
        <v>0</v>
      </c>
      <c r="HY14">
        <v>0</v>
      </c>
      <c r="HZ14" t="s">
        <v>264</v>
      </c>
      <c r="IA14">
        <v>74.7</v>
      </c>
      <c r="IB14">
        <v>171.5</v>
      </c>
      <c r="IC14" t="s">
        <v>564</v>
      </c>
      <c r="ID14" t="s">
        <v>555</v>
      </c>
      <c r="IE14">
        <v>0</v>
      </c>
      <c r="IF14">
        <v>0</v>
      </c>
      <c r="IG14">
        <v>0</v>
      </c>
      <c r="IH14" t="s">
        <v>264</v>
      </c>
      <c r="II14">
        <v>68.3</v>
      </c>
      <c r="IJ14">
        <v>114.6</v>
      </c>
      <c r="IK14" t="s">
        <v>565</v>
      </c>
      <c r="IL14" t="s">
        <v>555</v>
      </c>
      <c r="IM14">
        <v>0</v>
      </c>
      <c r="IN14">
        <v>0</v>
      </c>
      <c r="IO14">
        <v>0</v>
      </c>
      <c r="IP14" t="s">
        <v>264</v>
      </c>
      <c r="IS14" t="s">
        <v>566</v>
      </c>
      <c r="IT14" t="s">
        <v>555</v>
      </c>
      <c r="IU14">
        <v>0</v>
      </c>
      <c r="IV14">
        <v>0</v>
      </c>
      <c r="IW14">
        <v>0</v>
      </c>
      <c r="IX14" t="s">
        <v>264</v>
      </c>
      <c r="JA14" t="s">
        <v>567</v>
      </c>
      <c r="JB14" t="s">
        <v>555</v>
      </c>
      <c r="JC14">
        <v>0</v>
      </c>
      <c r="JD14">
        <v>0</v>
      </c>
      <c r="JE14">
        <v>0</v>
      </c>
      <c r="JF14" t="s">
        <v>264</v>
      </c>
      <c r="JI14" t="s">
        <v>568</v>
      </c>
      <c r="JJ14" t="s">
        <v>555</v>
      </c>
      <c r="JK14">
        <v>0</v>
      </c>
      <c r="JL14">
        <v>0</v>
      </c>
      <c r="JM14">
        <v>0</v>
      </c>
      <c r="JN14" t="s">
        <v>264</v>
      </c>
      <c r="JQ14" t="s">
        <v>569</v>
      </c>
      <c r="JR14" t="s">
        <v>555</v>
      </c>
      <c r="JS14">
        <v>0</v>
      </c>
      <c r="JT14">
        <v>0</v>
      </c>
      <c r="JU14">
        <v>0</v>
      </c>
      <c r="JV14" t="s">
        <v>264</v>
      </c>
      <c r="JY14" t="s">
        <v>570</v>
      </c>
      <c r="JZ14" t="s">
        <v>555</v>
      </c>
      <c r="KA14">
        <v>0</v>
      </c>
      <c r="KB14">
        <v>0</v>
      </c>
      <c r="KC14">
        <v>0</v>
      </c>
      <c r="KD14" t="s">
        <v>264</v>
      </c>
      <c r="KG14" t="s">
        <v>571</v>
      </c>
      <c r="KH14" t="s">
        <v>555</v>
      </c>
      <c r="KI14">
        <v>0</v>
      </c>
      <c r="KJ14">
        <v>0</v>
      </c>
      <c r="KK14">
        <v>0</v>
      </c>
      <c r="KL14" t="s">
        <v>264</v>
      </c>
      <c r="KO14" t="s">
        <v>572</v>
      </c>
      <c r="KP14" t="s">
        <v>555</v>
      </c>
      <c r="KQ14">
        <v>0</v>
      </c>
      <c r="KR14">
        <v>0</v>
      </c>
      <c r="KS14">
        <v>0</v>
      </c>
      <c r="KT14" t="s">
        <v>264</v>
      </c>
      <c r="KW14" t="s">
        <v>573</v>
      </c>
      <c r="KX14" t="s">
        <v>555</v>
      </c>
      <c r="KY14">
        <v>0</v>
      </c>
      <c r="KZ14">
        <v>0</v>
      </c>
      <c r="LA14">
        <v>0</v>
      </c>
      <c r="LB14" t="s">
        <v>264</v>
      </c>
      <c r="LE14" t="s">
        <v>574</v>
      </c>
      <c r="LF14" t="s">
        <v>555</v>
      </c>
      <c r="LG14">
        <v>0</v>
      </c>
      <c r="LH14">
        <v>0</v>
      </c>
      <c r="LI14">
        <v>0</v>
      </c>
      <c r="LJ14" t="s">
        <v>264</v>
      </c>
      <c r="LM14" t="s">
        <v>575</v>
      </c>
      <c r="LN14" t="s">
        <v>555</v>
      </c>
      <c r="LO14">
        <v>0</v>
      </c>
      <c r="LP14">
        <v>0</v>
      </c>
      <c r="LQ14">
        <v>0</v>
      </c>
      <c r="LR14" t="s">
        <v>264</v>
      </c>
      <c r="LU14" t="s">
        <v>576</v>
      </c>
      <c r="LV14" t="s">
        <v>555</v>
      </c>
      <c r="LW14">
        <v>0</v>
      </c>
      <c r="LX14">
        <v>0</v>
      </c>
      <c r="LY14">
        <v>0</v>
      </c>
      <c r="LZ14" t="s">
        <v>264</v>
      </c>
      <c r="MC14" t="s">
        <v>577</v>
      </c>
      <c r="MD14" t="s">
        <v>555</v>
      </c>
      <c r="ME14">
        <v>0</v>
      </c>
      <c r="MF14">
        <v>0</v>
      </c>
      <c r="MG14">
        <v>0</v>
      </c>
      <c r="MH14" t="s">
        <v>264</v>
      </c>
      <c r="MK14" t="s">
        <v>578</v>
      </c>
      <c r="ML14" t="s">
        <v>555</v>
      </c>
      <c r="MM14">
        <v>0</v>
      </c>
      <c r="MN14">
        <v>0</v>
      </c>
      <c r="MO14">
        <v>0</v>
      </c>
      <c r="MP14" t="s">
        <v>264</v>
      </c>
      <c r="MS14" t="s">
        <v>579</v>
      </c>
      <c r="MT14" t="s">
        <v>555</v>
      </c>
      <c r="MU14">
        <v>0</v>
      </c>
      <c r="MV14">
        <v>0</v>
      </c>
      <c r="MW14">
        <v>0</v>
      </c>
      <c r="MX14" t="s">
        <v>264</v>
      </c>
      <c r="NA14" t="s">
        <v>580</v>
      </c>
      <c r="NB14" t="s">
        <v>555</v>
      </c>
      <c r="NC14">
        <v>0</v>
      </c>
      <c r="ND14">
        <v>0</v>
      </c>
      <c r="NE14">
        <v>0</v>
      </c>
      <c r="NF14" t="s">
        <v>264</v>
      </c>
      <c r="NI14">
        <v>40.1</v>
      </c>
      <c r="NJ14">
        <v>-11.3</v>
      </c>
      <c r="NP14" t="s">
        <v>581</v>
      </c>
    </row>
    <row r="15" spans="1:380" customFormat="1" x14ac:dyDescent="0.2">
      <c r="A15" t="s">
        <v>517</v>
      </c>
      <c r="B15">
        <v>1</v>
      </c>
      <c r="C15" t="s">
        <v>831</v>
      </c>
      <c r="D15">
        <v>646950432</v>
      </c>
      <c r="E15">
        <v>12602</v>
      </c>
      <c r="F15" t="s">
        <v>805</v>
      </c>
      <c r="G15">
        <v>750170</v>
      </c>
      <c r="H15">
        <v>907211</v>
      </c>
      <c r="I15" t="s">
        <v>543</v>
      </c>
      <c r="J15" t="s">
        <v>832</v>
      </c>
      <c r="K15" t="s">
        <v>545</v>
      </c>
      <c r="L15" t="s">
        <v>442</v>
      </c>
      <c r="M15" t="s">
        <v>546</v>
      </c>
      <c r="N15" t="s">
        <v>468</v>
      </c>
      <c r="O15" t="s">
        <v>547</v>
      </c>
      <c r="P15" t="s">
        <v>264</v>
      </c>
      <c r="Q15">
        <v>28.3</v>
      </c>
      <c r="R15">
        <v>196</v>
      </c>
      <c r="S15" t="s">
        <v>264</v>
      </c>
      <c r="T15">
        <v>-9999</v>
      </c>
      <c r="U15">
        <v>542</v>
      </c>
      <c r="V15">
        <v>557</v>
      </c>
      <c r="W15">
        <v>535</v>
      </c>
      <c r="X15" t="s">
        <v>270</v>
      </c>
      <c r="Y15">
        <v>0</v>
      </c>
      <c r="Z15">
        <v>55</v>
      </c>
      <c r="AA15" t="s">
        <v>469</v>
      </c>
      <c r="AB15" t="s">
        <v>548</v>
      </c>
      <c r="AC15">
        <v>1</v>
      </c>
      <c r="AD15" t="s">
        <v>584</v>
      </c>
      <c r="AE15">
        <v>27.5</v>
      </c>
      <c r="AF15">
        <v>1136</v>
      </c>
      <c r="AG15" t="s">
        <v>264</v>
      </c>
      <c r="AH15">
        <v>-9999</v>
      </c>
      <c r="AI15">
        <v>618</v>
      </c>
      <c r="AJ15">
        <v>772</v>
      </c>
      <c r="AK15">
        <v>611</v>
      </c>
      <c r="AL15" t="s">
        <v>270</v>
      </c>
      <c r="AM15">
        <v>0</v>
      </c>
      <c r="AN15">
        <v>55</v>
      </c>
      <c r="AO15" t="s">
        <v>470</v>
      </c>
      <c r="AP15" t="s">
        <v>548</v>
      </c>
      <c r="AQ15">
        <v>2</v>
      </c>
      <c r="AR15" t="s">
        <v>584</v>
      </c>
      <c r="AS15">
        <v>38.6</v>
      </c>
      <c r="AT15">
        <v>306</v>
      </c>
      <c r="AU15" t="s">
        <v>264</v>
      </c>
      <c r="AV15">
        <v>-9999</v>
      </c>
      <c r="AW15">
        <v>389</v>
      </c>
      <c r="AX15">
        <v>407</v>
      </c>
      <c r="AY15">
        <v>385</v>
      </c>
      <c r="AZ15" t="s">
        <v>270</v>
      </c>
      <c r="BA15">
        <v>0</v>
      </c>
      <c r="BB15">
        <v>55</v>
      </c>
      <c r="BC15" t="s">
        <v>550</v>
      </c>
      <c r="BD15" t="s">
        <v>548</v>
      </c>
      <c r="BE15">
        <v>3</v>
      </c>
      <c r="BF15" t="s">
        <v>584</v>
      </c>
      <c r="BG15">
        <v>22.9</v>
      </c>
      <c r="BH15">
        <v>846</v>
      </c>
      <c r="BI15" t="s">
        <v>264</v>
      </c>
      <c r="BJ15">
        <v>-9999</v>
      </c>
      <c r="BK15">
        <v>89</v>
      </c>
      <c r="BL15">
        <v>121</v>
      </c>
      <c r="BM15">
        <v>91</v>
      </c>
      <c r="BN15" t="s">
        <v>270</v>
      </c>
      <c r="BO15">
        <v>0</v>
      </c>
      <c r="BP15">
        <v>55</v>
      </c>
      <c r="BQ15" t="s">
        <v>504</v>
      </c>
      <c r="BR15" t="s">
        <v>548</v>
      </c>
      <c r="BS15">
        <v>4</v>
      </c>
      <c r="BT15" t="s">
        <v>584</v>
      </c>
      <c r="BU15">
        <v>31.5</v>
      </c>
      <c r="BV15">
        <v>240</v>
      </c>
      <c r="BW15" t="s">
        <v>264</v>
      </c>
      <c r="BX15">
        <v>-9999</v>
      </c>
      <c r="BY15">
        <v>211</v>
      </c>
      <c r="BZ15">
        <v>244</v>
      </c>
      <c r="CA15">
        <v>209</v>
      </c>
      <c r="CB15" t="s">
        <v>270</v>
      </c>
      <c r="CC15">
        <v>0</v>
      </c>
      <c r="CD15">
        <v>55</v>
      </c>
      <c r="CE15" t="s">
        <v>471</v>
      </c>
      <c r="CF15" t="s">
        <v>548</v>
      </c>
      <c r="CG15">
        <v>5</v>
      </c>
      <c r="CH15" t="s">
        <v>584</v>
      </c>
      <c r="CI15">
        <v>36.9</v>
      </c>
      <c r="CJ15">
        <v>156</v>
      </c>
      <c r="CK15" t="s">
        <v>264</v>
      </c>
      <c r="CL15">
        <v>-9999</v>
      </c>
      <c r="CM15">
        <v>476</v>
      </c>
      <c r="CN15">
        <v>562</v>
      </c>
      <c r="CO15">
        <v>476</v>
      </c>
      <c r="CP15" t="s">
        <v>270</v>
      </c>
      <c r="CQ15">
        <v>0</v>
      </c>
      <c r="CR15">
        <v>55</v>
      </c>
      <c r="CS15" t="s">
        <v>472</v>
      </c>
      <c r="CT15" t="s">
        <v>548</v>
      </c>
      <c r="CU15">
        <v>6</v>
      </c>
      <c r="CV15" t="s">
        <v>584</v>
      </c>
      <c r="CW15">
        <v>35.299999999999997</v>
      </c>
      <c r="CX15">
        <v>187</v>
      </c>
      <c r="CY15" t="s">
        <v>264</v>
      </c>
      <c r="CZ15">
        <v>-9999</v>
      </c>
      <c r="DA15">
        <v>695</v>
      </c>
      <c r="DB15">
        <v>788</v>
      </c>
      <c r="DC15">
        <v>684</v>
      </c>
      <c r="DD15" t="s">
        <v>270</v>
      </c>
      <c r="DE15">
        <v>0</v>
      </c>
      <c r="DF15">
        <v>55</v>
      </c>
      <c r="DG15" t="s">
        <v>473</v>
      </c>
      <c r="DH15" t="s">
        <v>548</v>
      </c>
      <c r="DI15">
        <v>7</v>
      </c>
      <c r="DJ15" t="s">
        <v>584</v>
      </c>
      <c r="DK15">
        <v>26.1</v>
      </c>
      <c r="DL15">
        <v>161</v>
      </c>
      <c r="DM15" t="s">
        <v>264</v>
      </c>
      <c r="DN15">
        <v>-9999</v>
      </c>
      <c r="DO15">
        <v>592</v>
      </c>
      <c r="DP15">
        <v>666</v>
      </c>
      <c r="DQ15">
        <v>587</v>
      </c>
      <c r="DR15" t="s">
        <v>270</v>
      </c>
      <c r="DS15">
        <v>0</v>
      </c>
      <c r="DT15">
        <v>55</v>
      </c>
      <c r="DU15" t="s">
        <v>474</v>
      </c>
      <c r="DV15" t="s">
        <v>548</v>
      </c>
      <c r="DW15">
        <v>8</v>
      </c>
      <c r="DX15" t="s">
        <v>584</v>
      </c>
      <c r="DY15">
        <v>22.7</v>
      </c>
      <c r="DZ15">
        <v>399</v>
      </c>
      <c r="EA15" t="s">
        <v>264</v>
      </c>
      <c r="EB15">
        <v>-9999</v>
      </c>
      <c r="EC15">
        <v>117</v>
      </c>
      <c r="ED15">
        <v>144</v>
      </c>
      <c r="EE15">
        <v>116</v>
      </c>
      <c r="EF15" t="s">
        <v>270</v>
      </c>
      <c r="EG15">
        <v>0</v>
      </c>
      <c r="EH15">
        <v>55</v>
      </c>
      <c r="EI15" t="s">
        <v>475</v>
      </c>
      <c r="EJ15" t="s">
        <v>548</v>
      </c>
      <c r="EK15">
        <v>9</v>
      </c>
      <c r="EL15" t="s">
        <v>584</v>
      </c>
      <c r="EM15">
        <v>27.4</v>
      </c>
      <c r="EN15">
        <v>70</v>
      </c>
      <c r="EO15" t="s">
        <v>264</v>
      </c>
      <c r="EP15">
        <v>-9999</v>
      </c>
      <c r="EQ15">
        <v>325</v>
      </c>
      <c r="ER15">
        <v>308</v>
      </c>
      <c r="ES15">
        <v>284</v>
      </c>
      <c r="ET15" t="s">
        <v>270</v>
      </c>
      <c r="EU15">
        <v>0</v>
      </c>
      <c r="EV15">
        <v>55</v>
      </c>
      <c r="EW15" t="s">
        <v>551</v>
      </c>
      <c r="EX15" t="s">
        <v>552</v>
      </c>
      <c r="EY15">
        <v>132</v>
      </c>
      <c r="EZ15">
        <v>132</v>
      </c>
      <c r="FA15">
        <v>132</v>
      </c>
      <c r="FB15" t="s">
        <v>270</v>
      </c>
      <c r="FC15" t="s">
        <v>553</v>
      </c>
      <c r="FD15" t="s">
        <v>552</v>
      </c>
      <c r="FE15">
        <v>292</v>
      </c>
      <c r="FF15">
        <v>290</v>
      </c>
      <c r="FG15">
        <v>289</v>
      </c>
      <c r="FH15" t="s">
        <v>270</v>
      </c>
      <c r="FI15" t="s">
        <v>554</v>
      </c>
      <c r="FJ15" t="s">
        <v>555</v>
      </c>
      <c r="FK15">
        <v>0</v>
      </c>
      <c r="FL15">
        <v>0</v>
      </c>
      <c r="FM15">
        <v>0</v>
      </c>
      <c r="FN15" t="s">
        <v>264</v>
      </c>
      <c r="FO15">
        <v>75.599999999999994</v>
      </c>
      <c r="FP15">
        <v>299</v>
      </c>
      <c r="FQ15" t="s">
        <v>556</v>
      </c>
      <c r="FR15" t="s">
        <v>555</v>
      </c>
      <c r="FS15">
        <v>0</v>
      </c>
      <c r="FT15">
        <v>0</v>
      </c>
      <c r="FU15">
        <v>0</v>
      </c>
      <c r="FV15" t="s">
        <v>264</v>
      </c>
      <c r="FW15">
        <v>73.2</v>
      </c>
      <c r="FX15">
        <v>87.6</v>
      </c>
      <c r="FY15" t="s">
        <v>557</v>
      </c>
      <c r="FZ15" t="s">
        <v>555</v>
      </c>
      <c r="GA15">
        <v>0</v>
      </c>
      <c r="GB15">
        <v>0</v>
      </c>
      <c r="GC15">
        <v>0</v>
      </c>
      <c r="GD15" t="s">
        <v>264</v>
      </c>
      <c r="GE15">
        <v>71</v>
      </c>
      <c r="GF15">
        <v>228</v>
      </c>
      <c r="GG15" t="s">
        <v>558</v>
      </c>
      <c r="GH15" t="s">
        <v>555</v>
      </c>
      <c r="GI15">
        <v>0</v>
      </c>
      <c r="GJ15">
        <v>0</v>
      </c>
      <c r="GK15">
        <v>0</v>
      </c>
      <c r="GL15" t="s">
        <v>264</v>
      </c>
      <c r="GM15">
        <v>68</v>
      </c>
      <c r="GN15">
        <v>49.6</v>
      </c>
      <c r="GO15" t="s">
        <v>559</v>
      </c>
      <c r="GP15" t="s">
        <v>555</v>
      </c>
      <c r="GQ15">
        <v>0</v>
      </c>
      <c r="GR15">
        <v>0</v>
      </c>
      <c r="GS15">
        <v>0</v>
      </c>
      <c r="GT15" t="s">
        <v>264</v>
      </c>
      <c r="GU15">
        <v>75.8</v>
      </c>
      <c r="GV15">
        <v>50</v>
      </c>
      <c r="GW15" t="s">
        <v>560</v>
      </c>
      <c r="GX15" t="s">
        <v>555</v>
      </c>
      <c r="GY15">
        <v>0</v>
      </c>
      <c r="GZ15">
        <v>0</v>
      </c>
      <c r="HA15">
        <v>0</v>
      </c>
      <c r="HB15" t="s">
        <v>264</v>
      </c>
      <c r="HC15">
        <v>70.2</v>
      </c>
      <c r="HD15">
        <v>75.900000000000006</v>
      </c>
      <c r="HE15" t="s">
        <v>561</v>
      </c>
      <c r="HF15" t="s">
        <v>555</v>
      </c>
      <c r="HG15">
        <v>0</v>
      </c>
      <c r="HH15">
        <v>0</v>
      </c>
      <c r="HI15">
        <v>0</v>
      </c>
      <c r="HJ15" t="s">
        <v>264</v>
      </c>
      <c r="HK15">
        <v>70.7</v>
      </c>
      <c r="HL15">
        <v>114.8</v>
      </c>
      <c r="HM15" t="s">
        <v>562</v>
      </c>
      <c r="HN15" t="s">
        <v>555</v>
      </c>
      <c r="HO15">
        <v>0</v>
      </c>
      <c r="HP15">
        <v>0</v>
      </c>
      <c r="HQ15">
        <v>0</v>
      </c>
      <c r="HR15" t="s">
        <v>264</v>
      </c>
      <c r="HS15">
        <v>68.8</v>
      </c>
      <c r="HT15">
        <v>94.5</v>
      </c>
      <c r="HU15" t="s">
        <v>563</v>
      </c>
      <c r="HV15" t="s">
        <v>555</v>
      </c>
      <c r="HW15">
        <v>0</v>
      </c>
      <c r="HX15">
        <v>0</v>
      </c>
      <c r="HY15">
        <v>0</v>
      </c>
      <c r="HZ15" t="s">
        <v>264</v>
      </c>
      <c r="IA15">
        <v>74.400000000000006</v>
      </c>
      <c r="IB15">
        <v>188.9</v>
      </c>
      <c r="IC15" t="s">
        <v>564</v>
      </c>
      <c r="ID15" t="s">
        <v>555</v>
      </c>
      <c r="IE15">
        <v>0</v>
      </c>
      <c r="IF15">
        <v>0</v>
      </c>
      <c r="IG15">
        <v>0</v>
      </c>
      <c r="IH15" t="s">
        <v>264</v>
      </c>
      <c r="II15">
        <v>68.099999999999994</v>
      </c>
      <c r="IJ15">
        <v>111.8</v>
      </c>
      <c r="IK15" t="s">
        <v>565</v>
      </c>
      <c r="IL15" t="s">
        <v>555</v>
      </c>
      <c r="IM15">
        <v>0</v>
      </c>
      <c r="IN15">
        <v>0</v>
      </c>
      <c r="IO15">
        <v>0</v>
      </c>
      <c r="IP15" t="s">
        <v>264</v>
      </c>
      <c r="IS15" t="s">
        <v>566</v>
      </c>
      <c r="IT15" t="s">
        <v>555</v>
      </c>
      <c r="IU15">
        <v>0</v>
      </c>
      <c r="IV15">
        <v>0</v>
      </c>
      <c r="IW15">
        <v>0</v>
      </c>
      <c r="IX15" t="s">
        <v>264</v>
      </c>
      <c r="JA15" t="s">
        <v>567</v>
      </c>
      <c r="JB15" t="s">
        <v>555</v>
      </c>
      <c r="JC15">
        <v>0</v>
      </c>
      <c r="JD15">
        <v>0</v>
      </c>
      <c r="JE15">
        <v>0</v>
      </c>
      <c r="JF15" t="s">
        <v>264</v>
      </c>
      <c r="JI15" t="s">
        <v>568</v>
      </c>
      <c r="JJ15" t="s">
        <v>555</v>
      </c>
      <c r="JK15">
        <v>0</v>
      </c>
      <c r="JL15">
        <v>0</v>
      </c>
      <c r="JM15">
        <v>0</v>
      </c>
      <c r="JN15" t="s">
        <v>264</v>
      </c>
      <c r="JQ15" t="s">
        <v>569</v>
      </c>
      <c r="JR15" t="s">
        <v>555</v>
      </c>
      <c r="JS15">
        <v>0</v>
      </c>
      <c r="JT15">
        <v>0</v>
      </c>
      <c r="JU15">
        <v>0</v>
      </c>
      <c r="JV15" t="s">
        <v>264</v>
      </c>
      <c r="JY15" t="s">
        <v>570</v>
      </c>
      <c r="JZ15" t="s">
        <v>555</v>
      </c>
      <c r="KA15">
        <v>0</v>
      </c>
      <c r="KB15">
        <v>0</v>
      </c>
      <c r="KC15">
        <v>0</v>
      </c>
      <c r="KD15" t="s">
        <v>264</v>
      </c>
      <c r="KG15" t="s">
        <v>571</v>
      </c>
      <c r="KH15" t="s">
        <v>555</v>
      </c>
      <c r="KI15">
        <v>0</v>
      </c>
      <c r="KJ15">
        <v>0</v>
      </c>
      <c r="KK15">
        <v>0</v>
      </c>
      <c r="KL15" t="s">
        <v>264</v>
      </c>
      <c r="KO15" t="s">
        <v>572</v>
      </c>
      <c r="KP15" t="s">
        <v>555</v>
      </c>
      <c r="KQ15">
        <v>0</v>
      </c>
      <c r="KR15">
        <v>0</v>
      </c>
      <c r="KS15">
        <v>0</v>
      </c>
      <c r="KT15" t="s">
        <v>264</v>
      </c>
      <c r="KW15" t="s">
        <v>573</v>
      </c>
      <c r="KX15" t="s">
        <v>555</v>
      </c>
      <c r="KY15">
        <v>0</v>
      </c>
      <c r="KZ15">
        <v>0</v>
      </c>
      <c r="LA15">
        <v>0</v>
      </c>
      <c r="LB15" t="s">
        <v>264</v>
      </c>
      <c r="LE15" t="s">
        <v>574</v>
      </c>
      <c r="LF15" t="s">
        <v>555</v>
      </c>
      <c r="LG15">
        <v>0</v>
      </c>
      <c r="LH15">
        <v>0</v>
      </c>
      <c r="LI15">
        <v>0</v>
      </c>
      <c r="LJ15" t="s">
        <v>264</v>
      </c>
      <c r="LM15" t="s">
        <v>575</v>
      </c>
      <c r="LN15" t="s">
        <v>555</v>
      </c>
      <c r="LO15">
        <v>0</v>
      </c>
      <c r="LP15">
        <v>0</v>
      </c>
      <c r="LQ15">
        <v>0</v>
      </c>
      <c r="LR15" t="s">
        <v>264</v>
      </c>
      <c r="LU15" t="s">
        <v>576</v>
      </c>
      <c r="LV15" t="s">
        <v>555</v>
      </c>
      <c r="LW15">
        <v>0</v>
      </c>
      <c r="LX15">
        <v>0</v>
      </c>
      <c r="LY15">
        <v>0</v>
      </c>
      <c r="LZ15" t="s">
        <v>264</v>
      </c>
      <c r="MC15" t="s">
        <v>577</v>
      </c>
      <c r="MD15" t="s">
        <v>555</v>
      </c>
      <c r="ME15">
        <v>0</v>
      </c>
      <c r="MF15">
        <v>0</v>
      </c>
      <c r="MG15">
        <v>0</v>
      </c>
      <c r="MH15" t="s">
        <v>264</v>
      </c>
      <c r="MK15" t="s">
        <v>578</v>
      </c>
      <c r="ML15" t="s">
        <v>555</v>
      </c>
      <c r="MM15">
        <v>0</v>
      </c>
      <c r="MN15">
        <v>0</v>
      </c>
      <c r="MO15">
        <v>0</v>
      </c>
      <c r="MP15" t="s">
        <v>264</v>
      </c>
      <c r="MS15" t="s">
        <v>579</v>
      </c>
      <c r="MT15" t="s">
        <v>555</v>
      </c>
      <c r="MU15">
        <v>0</v>
      </c>
      <c r="MV15">
        <v>0</v>
      </c>
      <c r="MW15">
        <v>0</v>
      </c>
      <c r="MX15" t="s">
        <v>264</v>
      </c>
      <c r="NA15" t="s">
        <v>580</v>
      </c>
      <c r="NB15" t="s">
        <v>555</v>
      </c>
      <c r="NC15">
        <v>0</v>
      </c>
      <c r="ND15">
        <v>0</v>
      </c>
      <c r="NE15">
        <v>0</v>
      </c>
      <c r="NF15" t="s">
        <v>264</v>
      </c>
      <c r="NI15">
        <v>40.1</v>
      </c>
      <c r="NJ15">
        <v>-9.9</v>
      </c>
      <c r="NP15" t="s">
        <v>581</v>
      </c>
    </row>
    <row r="16" spans="1:380" customFormat="1" x14ac:dyDescent="0.2">
      <c r="A16" t="s">
        <v>517</v>
      </c>
      <c r="B16">
        <v>1</v>
      </c>
      <c r="C16" t="s">
        <v>833</v>
      </c>
      <c r="D16">
        <v>646950435</v>
      </c>
      <c r="E16">
        <v>12602</v>
      </c>
      <c r="F16" t="s">
        <v>805</v>
      </c>
      <c r="G16">
        <v>750170</v>
      </c>
      <c r="H16">
        <v>210069733</v>
      </c>
      <c r="I16" t="s">
        <v>543</v>
      </c>
      <c r="J16" t="s">
        <v>834</v>
      </c>
      <c r="K16" t="s">
        <v>545</v>
      </c>
      <c r="L16" t="s">
        <v>442</v>
      </c>
      <c r="M16" t="s">
        <v>546</v>
      </c>
      <c r="N16" t="s">
        <v>468</v>
      </c>
      <c r="O16" t="s">
        <v>547</v>
      </c>
      <c r="P16" t="s">
        <v>264</v>
      </c>
      <c r="Q16">
        <v>24.9</v>
      </c>
      <c r="R16">
        <v>322</v>
      </c>
      <c r="S16" t="s">
        <v>264</v>
      </c>
      <c r="T16">
        <v>-9999</v>
      </c>
      <c r="U16">
        <v>524</v>
      </c>
      <c r="V16">
        <v>541</v>
      </c>
      <c r="W16">
        <v>514</v>
      </c>
      <c r="X16" t="s">
        <v>270</v>
      </c>
      <c r="Y16">
        <v>0</v>
      </c>
      <c r="Z16">
        <v>55</v>
      </c>
      <c r="AA16" t="s">
        <v>469</v>
      </c>
      <c r="AB16" t="s">
        <v>548</v>
      </c>
      <c r="AC16">
        <v>1</v>
      </c>
      <c r="AD16" t="s">
        <v>584</v>
      </c>
      <c r="AE16">
        <v>24.2</v>
      </c>
      <c r="AF16">
        <v>1625</v>
      </c>
      <c r="AG16" t="s">
        <v>264</v>
      </c>
      <c r="AH16">
        <v>-9999</v>
      </c>
      <c r="AI16">
        <v>387</v>
      </c>
      <c r="AJ16">
        <v>479</v>
      </c>
      <c r="AK16">
        <v>392</v>
      </c>
      <c r="AL16" t="s">
        <v>270</v>
      </c>
      <c r="AM16">
        <v>0</v>
      </c>
      <c r="AN16">
        <v>55</v>
      </c>
      <c r="AO16" t="s">
        <v>470</v>
      </c>
      <c r="AP16" t="s">
        <v>548</v>
      </c>
      <c r="AQ16">
        <v>2</v>
      </c>
      <c r="AR16" t="s">
        <v>584</v>
      </c>
      <c r="AS16">
        <v>34.9</v>
      </c>
      <c r="AT16">
        <v>419</v>
      </c>
      <c r="AU16" t="s">
        <v>264</v>
      </c>
      <c r="AV16">
        <v>-9999</v>
      </c>
      <c r="AW16">
        <v>331</v>
      </c>
      <c r="AX16">
        <v>350</v>
      </c>
      <c r="AY16">
        <v>330</v>
      </c>
      <c r="AZ16" t="s">
        <v>270</v>
      </c>
      <c r="BA16">
        <v>0</v>
      </c>
      <c r="BB16">
        <v>55</v>
      </c>
      <c r="BC16" t="s">
        <v>550</v>
      </c>
      <c r="BD16" t="s">
        <v>548</v>
      </c>
      <c r="BE16">
        <v>3</v>
      </c>
      <c r="BF16" t="s">
        <v>584</v>
      </c>
      <c r="BG16">
        <v>23.1</v>
      </c>
      <c r="BH16">
        <v>567</v>
      </c>
      <c r="BI16" t="s">
        <v>264</v>
      </c>
      <c r="BJ16">
        <v>-9999</v>
      </c>
      <c r="BK16">
        <v>312</v>
      </c>
      <c r="BL16">
        <v>374</v>
      </c>
      <c r="BM16">
        <v>305</v>
      </c>
      <c r="BN16" t="s">
        <v>270</v>
      </c>
      <c r="BO16">
        <v>0</v>
      </c>
      <c r="BP16">
        <v>55</v>
      </c>
      <c r="BQ16" t="s">
        <v>504</v>
      </c>
      <c r="BR16" t="s">
        <v>548</v>
      </c>
      <c r="BS16">
        <v>4</v>
      </c>
      <c r="BT16" t="s">
        <v>584</v>
      </c>
      <c r="BU16">
        <v>28.3</v>
      </c>
      <c r="BV16">
        <v>328</v>
      </c>
      <c r="BW16" t="s">
        <v>264</v>
      </c>
      <c r="BX16">
        <v>-9999</v>
      </c>
      <c r="BY16">
        <v>199</v>
      </c>
      <c r="BZ16">
        <v>230</v>
      </c>
      <c r="CA16">
        <v>197</v>
      </c>
      <c r="CB16" t="s">
        <v>270</v>
      </c>
      <c r="CC16">
        <v>0</v>
      </c>
      <c r="CD16">
        <v>55</v>
      </c>
      <c r="CE16" t="s">
        <v>471</v>
      </c>
      <c r="CF16" t="s">
        <v>548</v>
      </c>
      <c r="CG16">
        <v>5</v>
      </c>
      <c r="CH16" t="s">
        <v>584</v>
      </c>
      <c r="CI16">
        <v>34.6</v>
      </c>
      <c r="CJ16">
        <v>231</v>
      </c>
      <c r="CK16" t="s">
        <v>264</v>
      </c>
      <c r="CL16">
        <v>-9999</v>
      </c>
      <c r="CM16">
        <v>469</v>
      </c>
      <c r="CN16">
        <v>546</v>
      </c>
      <c r="CO16">
        <v>469</v>
      </c>
      <c r="CP16" t="s">
        <v>270</v>
      </c>
      <c r="CQ16">
        <v>0</v>
      </c>
      <c r="CR16">
        <v>55</v>
      </c>
      <c r="CS16" t="s">
        <v>472</v>
      </c>
      <c r="CT16" t="s">
        <v>548</v>
      </c>
      <c r="CU16">
        <v>6</v>
      </c>
      <c r="CV16" t="s">
        <v>584</v>
      </c>
      <c r="CW16">
        <v>33.6</v>
      </c>
      <c r="CX16">
        <v>273</v>
      </c>
      <c r="CY16" t="s">
        <v>264</v>
      </c>
      <c r="CZ16">
        <v>-9999</v>
      </c>
      <c r="DA16">
        <v>645</v>
      </c>
      <c r="DB16">
        <v>734</v>
      </c>
      <c r="DC16">
        <v>637</v>
      </c>
      <c r="DD16" t="s">
        <v>270</v>
      </c>
      <c r="DE16">
        <v>0</v>
      </c>
      <c r="DF16">
        <v>55</v>
      </c>
      <c r="DG16" t="s">
        <v>473</v>
      </c>
      <c r="DH16" t="s">
        <v>548</v>
      </c>
      <c r="DI16">
        <v>7</v>
      </c>
      <c r="DJ16" t="s">
        <v>584</v>
      </c>
      <c r="DK16">
        <v>23.7</v>
      </c>
      <c r="DL16">
        <v>244</v>
      </c>
      <c r="DM16" t="s">
        <v>264</v>
      </c>
      <c r="DN16">
        <v>-9999</v>
      </c>
      <c r="DO16">
        <v>491</v>
      </c>
      <c r="DP16">
        <v>568</v>
      </c>
      <c r="DQ16">
        <v>487</v>
      </c>
      <c r="DR16" t="s">
        <v>270</v>
      </c>
      <c r="DS16">
        <v>0</v>
      </c>
      <c r="DT16">
        <v>55</v>
      </c>
      <c r="DU16" t="s">
        <v>474</v>
      </c>
      <c r="DV16" t="s">
        <v>548</v>
      </c>
      <c r="DW16">
        <v>8</v>
      </c>
      <c r="DX16" t="s">
        <v>584</v>
      </c>
      <c r="DY16">
        <v>21.2</v>
      </c>
      <c r="DZ16">
        <v>429</v>
      </c>
      <c r="EA16" t="s">
        <v>264</v>
      </c>
      <c r="EB16">
        <v>-9999</v>
      </c>
      <c r="EC16">
        <v>127</v>
      </c>
      <c r="ED16">
        <v>152</v>
      </c>
      <c r="EE16">
        <v>125</v>
      </c>
      <c r="EF16" t="s">
        <v>270</v>
      </c>
      <c r="EG16">
        <v>0</v>
      </c>
      <c r="EH16">
        <v>55</v>
      </c>
      <c r="EI16" t="s">
        <v>475</v>
      </c>
      <c r="EJ16" t="s">
        <v>548</v>
      </c>
      <c r="EK16">
        <v>9</v>
      </c>
      <c r="EL16" t="s">
        <v>584</v>
      </c>
      <c r="EM16">
        <v>24.1</v>
      </c>
      <c r="EN16">
        <v>114</v>
      </c>
      <c r="EO16" t="s">
        <v>264</v>
      </c>
      <c r="EP16">
        <v>-9999</v>
      </c>
      <c r="EQ16">
        <v>288</v>
      </c>
      <c r="ER16">
        <v>261</v>
      </c>
      <c r="ES16">
        <v>246</v>
      </c>
      <c r="ET16" t="s">
        <v>270</v>
      </c>
      <c r="EU16">
        <v>0</v>
      </c>
      <c r="EV16">
        <v>55</v>
      </c>
      <c r="EW16" t="s">
        <v>551</v>
      </c>
      <c r="EX16" t="s">
        <v>552</v>
      </c>
      <c r="EY16">
        <v>123</v>
      </c>
      <c r="EZ16">
        <v>124</v>
      </c>
      <c r="FA16">
        <v>124</v>
      </c>
      <c r="FB16" t="s">
        <v>270</v>
      </c>
      <c r="FC16" t="s">
        <v>553</v>
      </c>
      <c r="FD16" t="s">
        <v>552</v>
      </c>
      <c r="FE16">
        <v>248</v>
      </c>
      <c r="FF16">
        <v>248</v>
      </c>
      <c r="FG16">
        <v>246</v>
      </c>
      <c r="FH16" t="s">
        <v>270</v>
      </c>
      <c r="FI16" t="s">
        <v>554</v>
      </c>
      <c r="FJ16" t="s">
        <v>555</v>
      </c>
      <c r="FK16">
        <v>0</v>
      </c>
      <c r="FL16">
        <v>0</v>
      </c>
      <c r="FM16">
        <v>0</v>
      </c>
      <c r="FN16" t="s">
        <v>264</v>
      </c>
      <c r="FO16">
        <v>76.400000000000006</v>
      </c>
      <c r="FP16">
        <v>285.89999999999998</v>
      </c>
      <c r="FQ16" t="s">
        <v>556</v>
      </c>
      <c r="FR16" t="s">
        <v>555</v>
      </c>
      <c r="FS16">
        <v>0</v>
      </c>
      <c r="FT16">
        <v>0</v>
      </c>
      <c r="FU16">
        <v>0</v>
      </c>
      <c r="FV16" t="s">
        <v>264</v>
      </c>
      <c r="FW16">
        <v>73.7</v>
      </c>
      <c r="FX16">
        <v>88</v>
      </c>
      <c r="FY16" t="s">
        <v>557</v>
      </c>
      <c r="FZ16" t="s">
        <v>555</v>
      </c>
      <c r="GA16">
        <v>0</v>
      </c>
      <c r="GB16">
        <v>0</v>
      </c>
      <c r="GC16">
        <v>0</v>
      </c>
      <c r="GD16" t="s">
        <v>264</v>
      </c>
      <c r="GE16">
        <v>71.5</v>
      </c>
      <c r="GF16">
        <v>272.7</v>
      </c>
      <c r="GG16" t="s">
        <v>558</v>
      </c>
      <c r="GH16" t="s">
        <v>555</v>
      </c>
      <c r="GI16">
        <v>0</v>
      </c>
      <c r="GJ16">
        <v>0</v>
      </c>
      <c r="GK16">
        <v>0</v>
      </c>
      <c r="GL16" t="s">
        <v>264</v>
      </c>
      <c r="GM16">
        <v>68.900000000000006</v>
      </c>
      <c r="GN16">
        <v>44.6</v>
      </c>
      <c r="GO16" t="s">
        <v>559</v>
      </c>
      <c r="GP16" t="s">
        <v>555</v>
      </c>
      <c r="GQ16">
        <v>0</v>
      </c>
      <c r="GR16">
        <v>0</v>
      </c>
      <c r="GS16">
        <v>0</v>
      </c>
      <c r="GT16" t="s">
        <v>264</v>
      </c>
      <c r="GU16">
        <v>76.3</v>
      </c>
      <c r="GV16">
        <v>62.1</v>
      </c>
      <c r="GW16" t="s">
        <v>560</v>
      </c>
      <c r="GX16" t="s">
        <v>555</v>
      </c>
      <c r="GY16">
        <v>0</v>
      </c>
      <c r="GZ16">
        <v>0</v>
      </c>
      <c r="HA16">
        <v>0</v>
      </c>
      <c r="HB16" t="s">
        <v>264</v>
      </c>
      <c r="HC16">
        <v>70.400000000000006</v>
      </c>
      <c r="HD16">
        <v>80.7</v>
      </c>
      <c r="HE16" t="s">
        <v>561</v>
      </c>
      <c r="HF16" t="s">
        <v>555</v>
      </c>
      <c r="HG16">
        <v>0</v>
      </c>
      <c r="HH16">
        <v>0</v>
      </c>
      <c r="HI16">
        <v>0</v>
      </c>
      <c r="HJ16" t="s">
        <v>264</v>
      </c>
      <c r="HK16">
        <v>71.099999999999994</v>
      </c>
      <c r="HL16">
        <v>129.19999999999999</v>
      </c>
      <c r="HM16" t="s">
        <v>562</v>
      </c>
      <c r="HN16" t="s">
        <v>555</v>
      </c>
      <c r="HO16">
        <v>0</v>
      </c>
      <c r="HP16">
        <v>0</v>
      </c>
      <c r="HQ16">
        <v>0</v>
      </c>
      <c r="HR16" t="s">
        <v>264</v>
      </c>
      <c r="HS16">
        <v>69.599999999999994</v>
      </c>
      <c r="HT16">
        <v>78.8</v>
      </c>
      <c r="HU16" t="s">
        <v>563</v>
      </c>
      <c r="HV16" t="s">
        <v>555</v>
      </c>
      <c r="HW16">
        <v>0</v>
      </c>
      <c r="HX16">
        <v>0</v>
      </c>
      <c r="HY16">
        <v>0</v>
      </c>
      <c r="HZ16" t="s">
        <v>264</v>
      </c>
      <c r="IA16">
        <v>75</v>
      </c>
      <c r="IB16">
        <v>179.8</v>
      </c>
      <c r="IC16" t="s">
        <v>564</v>
      </c>
      <c r="ID16" t="s">
        <v>555</v>
      </c>
      <c r="IE16">
        <v>0</v>
      </c>
      <c r="IF16">
        <v>0</v>
      </c>
      <c r="IG16">
        <v>0</v>
      </c>
      <c r="IH16" t="s">
        <v>264</v>
      </c>
      <c r="II16">
        <v>68.5</v>
      </c>
      <c r="IJ16">
        <v>99.5</v>
      </c>
      <c r="IK16" t="s">
        <v>565</v>
      </c>
      <c r="IL16" t="s">
        <v>555</v>
      </c>
      <c r="IM16">
        <v>0</v>
      </c>
      <c r="IN16">
        <v>0</v>
      </c>
      <c r="IO16">
        <v>0</v>
      </c>
      <c r="IP16" t="s">
        <v>264</v>
      </c>
      <c r="IS16" t="s">
        <v>566</v>
      </c>
      <c r="IT16" t="s">
        <v>555</v>
      </c>
      <c r="IU16">
        <v>0</v>
      </c>
      <c r="IV16">
        <v>0</v>
      </c>
      <c r="IW16">
        <v>0</v>
      </c>
      <c r="IX16" t="s">
        <v>264</v>
      </c>
      <c r="JA16" t="s">
        <v>567</v>
      </c>
      <c r="JB16" t="s">
        <v>555</v>
      </c>
      <c r="JC16">
        <v>0</v>
      </c>
      <c r="JD16">
        <v>0</v>
      </c>
      <c r="JE16">
        <v>0</v>
      </c>
      <c r="JF16" t="s">
        <v>264</v>
      </c>
      <c r="JI16" t="s">
        <v>568</v>
      </c>
      <c r="JJ16" t="s">
        <v>555</v>
      </c>
      <c r="JK16">
        <v>0</v>
      </c>
      <c r="JL16">
        <v>0</v>
      </c>
      <c r="JM16">
        <v>0</v>
      </c>
      <c r="JN16" t="s">
        <v>264</v>
      </c>
      <c r="JQ16" t="s">
        <v>569</v>
      </c>
      <c r="JR16" t="s">
        <v>555</v>
      </c>
      <c r="JS16">
        <v>0</v>
      </c>
      <c r="JT16">
        <v>0</v>
      </c>
      <c r="JU16">
        <v>0</v>
      </c>
      <c r="JV16" t="s">
        <v>264</v>
      </c>
      <c r="JY16" t="s">
        <v>570</v>
      </c>
      <c r="JZ16" t="s">
        <v>555</v>
      </c>
      <c r="KA16">
        <v>0</v>
      </c>
      <c r="KB16">
        <v>0</v>
      </c>
      <c r="KC16">
        <v>0</v>
      </c>
      <c r="KD16" t="s">
        <v>264</v>
      </c>
      <c r="KG16" t="s">
        <v>571</v>
      </c>
      <c r="KH16" t="s">
        <v>555</v>
      </c>
      <c r="KI16">
        <v>0</v>
      </c>
      <c r="KJ16">
        <v>0</v>
      </c>
      <c r="KK16">
        <v>0</v>
      </c>
      <c r="KL16" t="s">
        <v>264</v>
      </c>
      <c r="KO16" t="s">
        <v>572</v>
      </c>
      <c r="KP16" t="s">
        <v>555</v>
      </c>
      <c r="KQ16">
        <v>0</v>
      </c>
      <c r="KR16">
        <v>0</v>
      </c>
      <c r="KS16">
        <v>0</v>
      </c>
      <c r="KT16" t="s">
        <v>264</v>
      </c>
      <c r="KW16" t="s">
        <v>573</v>
      </c>
      <c r="KX16" t="s">
        <v>555</v>
      </c>
      <c r="KY16">
        <v>0</v>
      </c>
      <c r="KZ16">
        <v>0</v>
      </c>
      <c r="LA16">
        <v>0</v>
      </c>
      <c r="LB16" t="s">
        <v>264</v>
      </c>
      <c r="LE16" t="s">
        <v>574</v>
      </c>
      <c r="LF16" t="s">
        <v>555</v>
      </c>
      <c r="LG16">
        <v>0</v>
      </c>
      <c r="LH16">
        <v>0</v>
      </c>
      <c r="LI16">
        <v>0</v>
      </c>
      <c r="LJ16" t="s">
        <v>264</v>
      </c>
      <c r="LM16" t="s">
        <v>575</v>
      </c>
      <c r="LN16" t="s">
        <v>555</v>
      </c>
      <c r="LO16">
        <v>0</v>
      </c>
      <c r="LP16">
        <v>0</v>
      </c>
      <c r="LQ16">
        <v>0</v>
      </c>
      <c r="LR16" t="s">
        <v>264</v>
      </c>
      <c r="LU16" t="s">
        <v>576</v>
      </c>
      <c r="LV16" t="s">
        <v>555</v>
      </c>
      <c r="LW16">
        <v>0</v>
      </c>
      <c r="LX16">
        <v>0</v>
      </c>
      <c r="LY16">
        <v>0</v>
      </c>
      <c r="LZ16" t="s">
        <v>264</v>
      </c>
      <c r="MC16" t="s">
        <v>577</v>
      </c>
      <c r="MD16" t="s">
        <v>555</v>
      </c>
      <c r="ME16">
        <v>0</v>
      </c>
      <c r="MF16">
        <v>0</v>
      </c>
      <c r="MG16">
        <v>0</v>
      </c>
      <c r="MH16" t="s">
        <v>264</v>
      </c>
      <c r="MK16" t="s">
        <v>578</v>
      </c>
      <c r="ML16" t="s">
        <v>555</v>
      </c>
      <c r="MM16">
        <v>0</v>
      </c>
      <c r="MN16">
        <v>0</v>
      </c>
      <c r="MO16">
        <v>0</v>
      </c>
      <c r="MP16" t="s">
        <v>264</v>
      </c>
      <c r="MS16" t="s">
        <v>579</v>
      </c>
      <c r="MT16" t="s">
        <v>555</v>
      </c>
      <c r="MU16">
        <v>0</v>
      </c>
      <c r="MV16">
        <v>0</v>
      </c>
      <c r="MW16">
        <v>0</v>
      </c>
      <c r="MX16" t="s">
        <v>264</v>
      </c>
      <c r="NA16" t="s">
        <v>580</v>
      </c>
      <c r="NB16" t="s">
        <v>555</v>
      </c>
      <c r="NC16">
        <v>0</v>
      </c>
      <c r="ND16">
        <v>0</v>
      </c>
      <c r="NE16">
        <v>0</v>
      </c>
      <c r="NF16" t="s">
        <v>264</v>
      </c>
      <c r="NI16">
        <v>40</v>
      </c>
      <c r="NJ16">
        <v>-9</v>
      </c>
      <c r="NP16" t="s">
        <v>581</v>
      </c>
    </row>
    <row r="17" spans="1:380" customFormat="1" x14ac:dyDescent="0.2">
      <c r="A17" t="s">
        <v>517</v>
      </c>
      <c r="B17">
        <v>1</v>
      </c>
      <c r="C17" t="s">
        <v>835</v>
      </c>
      <c r="D17">
        <v>646951601</v>
      </c>
      <c r="E17">
        <v>12602</v>
      </c>
      <c r="F17" t="s">
        <v>805</v>
      </c>
      <c r="G17">
        <v>750171</v>
      </c>
      <c r="H17">
        <v>220019158</v>
      </c>
      <c r="I17" t="s">
        <v>543</v>
      </c>
      <c r="J17" t="s">
        <v>836</v>
      </c>
      <c r="K17" t="s">
        <v>545</v>
      </c>
      <c r="L17" t="s">
        <v>442</v>
      </c>
      <c r="M17" t="s">
        <v>546</v>
      </c>
      <c r="N17" t="s">
        <v>468</v>
      </c>
      <c r="O17" t="s">
        <v>547</v>
      </c>
      <c r="P17" t="s">
        <v>264</v>
      </c>
      <c r="Q17">
        <v>25.9</v>
      </c>
      <c r="R17">
        <v>266</v>
      </c>
      <c r="S17" t="s">
        <v>264</v>
      </c>
      <c r="T17">
        <v>-9999</v>
      </c>
      <c r="U17">
        <v>601</v>
      </c>
      <c r="V17">
        <v>619</v>
      </c>
      <c r="W17">
        <v>589</v>
      </c>
      <c r="X17" t="s">
        <v>270</v>
      </c>
      <c r="Y17">
        <v>0</v>
      </c>
      <c r="Z17">
        <v>55</v>
      </c>
      <c r="AA17" t="s">
        <v>469</v>
      </c>
      <c r="AB17" t="s">
        <v>548</v>
      </c>
      <c r="AC17">
        <v>1</v>
      </c>
      <c r="AD17" t="s">
        <v>584</v>
      </c>
      <c r="AE17">
        <v>23.6</v>
      </c>
      <c r="AF17">
        <v>1338</v>
      </c>
      <c r="AG17" t="s">
        <v>264</v>
      </c>
      <c r="AH17">
        <v>-9999</v>
      </c>
      <c r="AI17">
        <v>517</v>
      </c>
      <c r="AJ17">
        <v>634</v>
      </c>
      <c r="AK17">
        <v>515</v>
      </c>
      <c r="AL17" t="s">
        <v>270</v>
      </c>
      <c r="AM17">
        <v>0</v>
      </c>
      <c r="AN17">
        <v>55</v>
      </c>
      <c r="AO17" t="s">
        <v>470</v>
      </c>
      <c r="AP17" t="s">
        <v>548</v>
      </c>
      <c r="AQ17">
        <v>2</v>
      </c>
      <c r="AR17" t="s">
        <v>584</v>
      </c>
      <c r="AS17">
        <v>34.5</v>
      </c>
      <c r="AT17">
        <v>371</v>
      </c>
      <c r="AU17" t="s">
        <v>264</v>
      </c>
      <c r="AV17">
        <v>-9999</v>
      </c>
      <c r="AW17">
        <v>383</v>
      </c>
      <c r="AX17">
        <v>406</v>
      </c>
      <c r="AY17">
        <v>381</v>
      </c>
      <c r="AZ17" t="s">
        <v>270</v>
      </c>
      <c r="BA17">
        <v>0</v>
      </c>
      <c r="BB17">
        <v>55</v>
      </c>
      <c r="BC17" t="s">
        <v>550</v>
      </c>
      <c r="BD17" t="s">
        <v>548</v>
      </c>
      <c r="BE17">
        <v>3</v>
      </c>
      <c r="BF17" t="s">
        <v>584</v>
      </c>
      <c r="BG17">
        <v>20.399999999999999</v>
      </c>
      <c r="BH17">
        <v>750</v>
      </c>
      <c r="BI17" t="s">
        <v>264</v>
      </c>
      <c r="BJ17">
        <v>-9999</v>
      </c>
      <c r="BK17">
        <v>138</v>
      </c>
      <c r="BL17">
        <v>174</v>
      </c>
      <c r="BM17">
        <v>139</v>
      </c>
      <c r="BN17" t="s">
        <v>270</v>
      </c>
      <c r="BO17">
        <v>0</v>
      </c>
      <c r="BP17">
        <v>55</v>
      </c>
      <c r="BQ17" t="s">
        <v>504</v>
      </c>
      <c r="BR17" t="s">
        <v>548</v>
      </c>
      <c r="BS17">
        <v>4</v>
      </c>
      <c r="BT17" t="s">
        <v>584</v>
      </c>
      <c r="BU17">
        <v>28.2</v>
      </c>
      <c r="BV17">
        <v>284</v>
      </c>
      <c r="BW17" t="s">
        <v>264</v>
      </c>
      <c r="BX17">
        <v>-9999</v>
      </c>
      <c r="BY17">
        <v>235</v>
      </c>
      <c r="BZ17">
        <v>272</v>
      </c>
      <c r="CA17">
        <v>233</v>
      </c>
      <c r="CB17" t="s">
        <v>270</v>
      </c>
      <c r="CC17">
        <v>0</v>
      </c>
      <c r="CD17">
        <v>55</v>
      </c>
      <c r="CE17" t="s">
        <v>471</v>
      </c>
      <c r="CF17" t="s">
        <v>548</v>
      </c>
      <c r="CG17">
        <v>5</v>
      </c>
      <c r="CH17" t="s">
        <v>584</v>
      </c>
      <c r="CI17">
        <v>35.700000000000003</v>
      </c>
      <c r="CJ17">
        <v>187</v>
      </c>
      <c r="CK17" t="s">
        <v>264</v>
      </c>
      <c r="CL17">
        <v>-9999</v>
      </c>
      <c r="CM17">
        <v>475</v>
      </c>
      <c r="CN17">
        <v>552</v>
      </c>
      <c r="CO17">
        <v>475</v>
      </c>
      <c r="CP17" t="s">
        <v>270</v>
      </c>
      <c r="CQ17">
        <v>0</v>
      </c>
      <c r="CR17">
        <v>55</v>
      </c>
      <c r="CS17" t="s">
        <v>472</v>
      </c>
      <c r="CT17" t="s">
        <v>548</v>
      </c>
      <c r="CU17">
        <v>6</v>
      </c>
      <c r="CV17" t="s">
        <v>584</v>
      </c>
      <c r="CW17">
        <v>32.5</v>
      </c>
      <c r="CX17">
        <v>261</v>
      </c>
      <c r="CY17" t="s">
        <v>264</v>
      </c>
      <c r="CZ17">
        <v>-9999</v>
      </c>
      <c r="DA17">
        <v>587</v>
      </c>
      <c r="DB17">
        <v>668</v>
      </c>
      <c r="DC17">
        <v>577</v>
      </c>
      <c r="DD17" t="s">
        <v>270</v>
      </c>
      <c r="DE17">
        <v>0</v>
      </c>
      <c r="DF17">
        <v>55</v>
      </c>
      <c r="DG17" t="s">
        <v>473</v>
      </c>
      <c r="DH17" t="s">
        <v>548</v>
      </c>
      <c r="DI17">
        <v>7</v>
      </c>
      <c r="DJ17" t="s">
        <v>584</v>
      </c>
      <c r="DK17">
        <v>23.5</v>
      </c>
      <c r="DL17">
        <v>222</v>
      </c>
      <c r="DM17" t="s">
        <v>264</v>
      </c>
      <c r="DN17">
        <v>-9999</v>
      </c>
      <c r="DO17">
        <v>503</v>
      </c>
      <c r="DP17">
        <v>578</v>
      </c>
      <c r="DQ17">
        <v>499</v>
      </c>
      <c r="DR17" t="s">
        <v>270</v>
      </c>
      <c r="DS17">
        <v>0</v>
      </c>
      <c r="DT17">
        <v>55</v>
      </c>
      <c r="DU17" t="s">
        <v>474</v>
      </c>
      <c r="DV17" t="s">
        <v>548</v>
      </c>
      <c r="DW17">
        <v>8</v>
      </c>
      <c r="DX17" t="s">
        <v>584</v>
      </c>
      <c r="DY17">
        <v>19.3</v>
      </c>
      <c r="DZ17">
        <v>536</v>
      </c>
      <c r="EA17" t="s">
        <v>264</v>
      </c>
      <c r="EB17">
        <v>-9999</v>
      </c>
      <c r="EC17">
        <v>86</v>
      </c>
      <c r="ED17">
        <v>106</v>
      </c>
      <c r="EE17">
        <v>84</v>
      </c>
      <c r="EF17" t="s">
        <v>270</v>
      </c>
      <c r="EG17">
        <v>0</v>
      </c>
      <c r="EH17">
        <v>55</v>
      </c>
      <c r="EI17" t="s">
        <v>475</v>
      </c>
      <c r="EJ17" t="s">
        <v>548</v>
      </c>
      <c r="EK17">
        <v>9</v>
      </c>
      <c r="EL17" t="s">
        <v>584</v>
      </c>
      <c r="EM17">
        <v>24.1</v>
      </c>
      <c r="EN17">
        <v>87</v>
      </c>
      <c r="EO17" t="s">
        <v>264</v>
      </c>
      <c r="EP17">
        <v>-9999</v>
      </c>
      <c r="EQ17">
        <v>319</v>
      </c>
      <c r="ER17">
        <v>287</v>
      </c>
      <c r="ES17">
        <v>264</v>
      </c>
      <c r="ET17" t="s">
        <v>270</v>
      </c>
      <c r="EU17">
        <v>0</v>
      </c>
      <c r="EV17">
        <v>55</v>
      </c>
      <c r="EW17" t="s">
        <v>551</v>
      </c>
      <c r="EX17" t="s">
        <v>552</v>
      </c>
      <c r="EY17">
        <v>141</v>
      </c>
      <c r="EZ17">
        <v>142</v>
      </c>
      <c r="FA17">
        <v>142</v>
      </c>
      <c r="FB17" t="s">
        <v>270</v>
      </c>
      <c r="FC17" t="s">
        <v>553</v>
      </c>
      <c r="FD17" t="s">
        <v>552</v>
      </c>
      <c r="FE17">
        <v>310</v>
      </c>
      <c r="FF17">
        <v>309</v>
      </c>
      <c r="FG17">
        <v>307</v>
      </c>
      <c r="FH17" t="s">
        <v>270</v>
      </c>
      <c r="FI17" t="s">
        <v>554</v>
      </c>
      <c r="FJ17" t="s">
        <v>555</v>
      </c>
      <c r="FK17">
        <v>0</v>
      </c>
      <c r="FL17">
        <v>0</v>
      </c>
      <c r="FM17">
        <v>0</v>
      </c>
      <c r="FN17" t="s">
        <v>264</v>
      </c>
      <c r="FO17">
        <v>76.2</v>
      </c>
      <c r="FP17">
        <v>291.39999999999998</v>
      </c>
      <c r="FQ17" t="s">
        <v>556</v>
      </c>
      <c r="FR17" t="s">
        <v>555</v>
      </c>
      <c r="FS17">
        <v>0</v>
      </c>
      <c r="FT17">
        <v>0</v>
      </c>
      <c r="FU17">
        <v>0</v>
      </c>
      <c r="FV17" t="s">
        <v>264</v>
      </c>
      <c r="FW17">
        <v>73.599999999999994</v>
      </c>
      <c r="FX17">
        <v>93.8</v>
      </c>
      <c r="FY17" t="s">
        <v>557</v>
      </c>
      <c r="FZ17" t="s">
        <v>555</v>
      </c>
      <c r="GA17">
        <v>0</v>
      </c>
      <c r="GB17">
        <v>0</v>
      </c>
      <c r="GC17">
        <v>0</v>
      </c>
      <c r="GD17" t="s">
        <v>264</v>
      </c>
      <c r="GE17">
        <v>71.400000000000006</v>
      </c>
      <c r="GF17">
        <v>221</v>
      </c>
      <c r="GG17" t="s">
        <v>558</v>
      </c>
      <c r="GH17" t="s">
        <v>555</v>
      </c>
      <c r="GI17">
        <v>0</v>
      </c>
      <c r="GJ17">
        <v>0</v>
      </c>
      <c r="GK17">
        <v>0</v>
      </c>
      <c r="GL17" t="s">
        <v>264</v>
      </c>
      <c r="GM17">
        <v>68.599999999999994</v>
      </c>
      <c r="GN17">
        <v>55.8</v>
      </c>
      <c r="GO17" t="s">
        <v>559</v>
      </c>
      <c r="GP17" t="s">
        <v>555</v>
      </c>
      <c r="GQ17">
        <v>0</v>
      </c>
      <c r="GR17">
        <v>0</v>
      </c>
      <c r="GS17">
        <v>0</v>
      </c>
      <c r="GT17" t="s">
        <v>264</v>
      </c>
      <c r="GU17">
        <v>76.099999999999994</v>
      </c>
      <c r="GV17">
        <v>58.6</v>
      </c>
      <c r="GW17" t="s">
        <v>560</v>
      </c>
      <c r="GX17" t="s">
        <v>555</v>
      </c>
      <c r="GY17">
        <v>0</v>
      </c>
      <c r="GZ17">
        <v>0</v>
      </c>
      <c r="HA17">
        <v>0</v>
      </c>
      <c r="HB17" t="s">
        <v>264</v>
      </c>
      <c r="HC17">
        <v>70.400000000000006</v>
      </c>
      <c r="HD17">
        <v>82.4</v>
      </c>
      <c r="HE17" t="s">
        <v>561</v>
      </c>
      <c r="HF17" t="s">
        <v>555</v>
      </c>
      <c r="HG17">
        <v>0</v>
      </c>
      <c r="HH17">
        <v>0</v>
      </c>
      <c r="HI17">
        <v>0</v>
      </c>
      <c r="HJ17" t="s">
        <v>264</v>
      </c>
      <c r="HK17">
        <v>71</v>
      </c>
      <c r="HL17">
        <v>121</v>
      </c>
      <c r="HM17" t="s">
        <v>562</v>
      </c>
      <c r="HN17" t="s">
        <v>555</v>
      </c>
      <c r="HO17">
        <v>0</v>
      </c>
      <c r="HP17">
        <v>0</v>
      </c>
      <c r="HQ17">
        <v>0</v>
      </c>
      <c r="HR17" t="s">
        <v>264</v>
      </c>
      <c r="HS17">
        <v>69.3</v>
      </c>
      <c r="HT17">
        <v>79</v>
      </c>
      <c r="HU17" t="s">
        <v>563</v>
      </c>
      <c r="HV17" t="s">
        <v>555</v>
      </c>
      <c r="HW17">
        <v>0</v>
      </c>
      <c r="HX17">
        <v>0</v>
      </c>
      <c r="HY17">
        <v>0</v>
      </c>
      <c r="HZ17" t="s">
        <v>264</v>
      </c>
      <c r="IA17">
        <v>74.8</v>
      </c>
      <c r="IB17">
        <v>175.9</v>
      </c>
      <c r="IC17" t="s">
        <v>564</v>
      </c>
      <c r="ID17" t="s">
        <v>555</v>
      </c>
      <c r="IE17">
        <v>0</v>
      </c>
      <c r="IF17">
        <v>0</v>
      </c>
      <c r="IG17">
        <v>0</v>
      </c>
      <c r="IH17" t="s">
        <v>264</v>
      </c>
      <c r="II17">
        <v>68.400000000000006</v>
      </c>
      <c r="IJ17">
        <v>104.7</v>
      </c>
      <c r="IK17" t="s">
        <v>565</v>
      </c>
      <c r="IL17" t="s">
        <v>555</v>
      </c>
      <c r="IM17">
        <v>0</v>
      </c>
      <c r="IN17">
        <v>0</v>
      </c>
      <c r="IO17">
        <v>0</v>
      </c>
      <c r="IP17" t="s">
        <v>264</v>
      </c>
      <c r="IS17" t="s">
        <v>566</v>
      </c>
      <c r="IT17" t="s">
        <v>555</v>
      </c>
      <c r="IU17">
        <v>0</v>
      </c>
      <c r="IV17">
        <v>0</v>
      </c>
      <c r="IW17">
        <v>0</v>
      </c>
      <c r="IX17" t="s">
        <v>264</v>
      </c>
      <c r="JA17" t="s">
        <v>567</v>
      </c>
      <c r="JB17" t="s">
        <v>555</v>
      </c>
      <c r="JC17">
        <v>0</v>
      </c>
      <c r="JD17">
        <v>0</v>
      </c>
      <c r="JE17">
        <v>0</v>
      </c>
      <c r="JF17" t="s">
        <v>264</v>
      </c>
      <c r="JI17" t="s">
        <v>568</v>
      </c>
      <c r="JJ17" t="s">
        <v>555</v>
      </c>
      <c r="JK17">
        <v>0</v>
      </c>
      <c r="JL17">
        <v>0</v>
      </c>
      <c r="JM17">
        <v>0</v>
      </c>
      <c r="JN17" t="s">
        <v>264</v>
      </c>
      <c r="JQ17" t="s">
        <v>569</v>
      </c>
      <c r="JR17" t="s">
        <v>555</v>
      </c>
      <c r="JS17">
        <v>0</v>
      </c>
      <c r="JT17">
        <v>0</v>
      </c>
      <c r="JU17">
        <v>0</v>
      </c>
      <c r="JV17" t="s">
        <v>264</v>
      </c>
      <c r="JY17" t="s">
        <v>570</v>
      </c>
      <c r="JZ17" t="s">
        <v>555</v>
      </c>
      <c r="KA17">
        <v>0</v>
      </c>
      <c r="KB17">
        <v>0</v>
      </c>
      <c r="KC17">
        <v>0</v>
      </c>
      <c r="KD17" t="s">
        <v>264</v>
      </c>
      <c r="KG17" t="s">
        <v>571</v>
      </c>
      <c r="KH17" t="s">
        <v>555</v>
      </c>
      <c r="KI17">
        <v>0</v>
      </c>
      <c r="KJ17">
        <v>0</v>
      </c>
      <c r="KK17">
        <v>0</v>
      </c>
      <c r="KL17" t="s">
        <v>264</v>
      </c>
      <c r="KO17" t="s">
        <v>572</v>
      </c>
      <c r="KP17" t="s">
        <v>555</v>
      </c>
      <c r="KQ17">
        <v>0</v>
      </c>
      <c r="KR17">
        <v>0</v>
      </c>
      <c r="KS17">
        <v>0</v>
      </c>
      <c r="KT17" t="s">
        <v>264</v>
      </c>
      <c r="KW17" t="s">
        <v>573</v>
      </c>
      <c r="KX17" t="s">
        <v>555</v>
      </c>
      <c r="KY17">
        <v>0</v>
      </c>
      <c r="KZ17">
        <v>0</v>
      </c>
      <c r="LA17">
        <v>0</v>
      </c>
      <c r="LB17" t="s">
        <v>264</v>
      </c>
      <c r="LE17" t="s">
        <v>574</v>
      </c>
      <c r="LF17" t="s">
        <v>555</v>
      </c>
      <c r="LG17">
        <v>0</v>
      </c>
      <c r="LH17">
        <v>0</v>
      </c>
      <c r="LI17">
        <v>0</v>
      </c>
      <c r="LJ17" t="s">
        <v>264</v>
      </c>
      <c r="LM17" t="s">
        <v>575</v>
      </c>
      <c r="LN17" t="s">
        <v>555</v>
      </c>
      <c r="LO17">
        <v>0</v>
      </c>
      <c r="LP17">
        <v>0</v>
      </c>
      <c r="LQ17">
        <v>0</v>
      </c>
      <c r="LR17" t="s">
        <v>264</v>
      </c>
      <c r="LU17" t="s">
        <v>576</v>
      </c>
      <c r="LV17" t="s">
        <v>555</v>
      </c>
      <c r="LW17">
        <v>0</v>
      </c>
      <c r="LX17">
        <v>0</v>
      </c>
      <c r="LY17">
        <v>0</v>
      </c>
      <c r="LZ17" t="s">
        <v>264</v>
      </c>
      <c r="MC17" t="s">
        <v>577</v>
      </c>
      <c r="MD17" t="s">
        <v>555</v>
      </c>
      <c r="ME17">
        <v>0</v>
      </c>
      <c r="MF17">
        <v>0</v>
      </c>
      <c r="MG17">
        <v>0</v>
      </c>
      <c r="MH17" t="s">
        <v>264</v>
      </c>
      <c r="MK17" t="s">
        <v>578</v>
      </c>
      <c r="ML17" t="s">
        <v>555</v>
      </c>
      <c r="MM17">
        <v>0</v>
      </c>
      <c r="MN17">
        <v>0</v>
      </c>
      <c r="MO17">
        <v>0</v>
      </c>
      <c r="MP17" t="s">
        <v>264</v>
      </c>
      <c r="MS17" t="s">
        <v>579</v>
      </c>
      <c r="MT17" t="s">
        <v>555</v>
      </c>
      <c r="MU17">
        <v>0</v>
      </c>
      <c r="MV17">
        <v>0</v>
      </c>
      <c r="MW17">
        <v>0</v>
      </c>
      <c r="MX17" t="s">
        <v>264</v>
      </c>
      <c r="NA17" t="s">
        <v>580</v>
      </c>
      <c r="NB17" t="s">
        <v>555</v>
      </c>
      <c r="NC17">
        <v>0</v>
      </c>
      <c r="ND17">
        <v>0</v>
      </c>
      <c r="NE17">
        <v>0</v>
      </c>
      <c r="NF17" t="s">
        <v>264</v>
      </c>
      <c r="NI17">
        <v>40</v>
      </c>
      <c r="NJ17">
        <v>-7.9</v>
      </c>
      <c r="NP17" t="s">
        <v>581</v>
      </c>
    </row>
    <row r="18" spans="1:380" customFormat="1" x14ac:dyDescent="0.2">
      <c r="A18" t="s">
        <v>517</v>
      </c>
      <c r="B18">
        <v>1</v>
      </c>
      <c r="C18" t="s">
        <v>837</v>
      </c>
      <c r="D18">
        <v>646957934</v>
      </c>
      <c r="E18">
        <v>12602</v>
      </c>
      <c r="F18" t="s">
        <v>805</v>
      </c>
      <c r="G18">
        <v>750171</v>
      </c>
      <c r="H18">
        <v>210074993</v>
      </c>
      <c r="I18" t="s">
        <v>543</v>
      </c>
      <c r="J18" t="s">
        <v>838</v>
      </c>
      <c r="K18" t="s">
        <v>545</v>
      </c>
      <c r="L18" t="s">
        <v>442</v>
      </c>
      <c r="M18" t="s">
        <v>546</v>
      </c>
      <c r="N18" t="s">
        <v>468</v>
      </c>
      <c r="O18" t="s">
        <v>547</v>
      </c>
      <c r="P18" t="s">
        <v>264</v>
      </c>
      <c r="Q18">
        <v>24.7</v>
      </c>
      <c r="R18">
        <v>269</v>
      </c>
      <c r="S18" t="s">
        <v>264</v>
      </c>
      <c r="T18">
        <v>-9999</v>
      </c>
      <c r="U18">
        <v>419</v>
      </c>
      <c r="V18">
        <v>432</v>
      </c>
      <c r="W18">
        <v>412</v>
      </c>
      <c r="X18" t="s">
        <v>270</v>
      </c>
      <c r="Y18">
        <v>0</v>
      </c>
      <c r="Z18">
        <v>55</v>
      </c>
      <c r="AA18" t="s">
        <v>469</v>
      </c>
      <c r="AB18" t="s">
        <v>548</v>
      </c>
      <c r="AC18">
        <v>1</v>
      </c>
      <c r="AD18" t="s">
        <v>584</v>
      </c>
      <c r="AE18">
        <v>24.3</v>
      </c>
      <c r="AF18">
        <v>1637</v>
      </c>
      <c r="AG18" t="s">
        <v>264</v>
      </c>
      <c r="AH18">
        <v>-9999</v>
      </c>
      <c r="AI18">
        <v>367</v>
      </c>
      <c r="AJ18">
        <v>464</v>
      </c>
      <c r="AK18">
        <v>370</v>
      </c>
      <c r="AL18" t="s">
        <v>270</v>
      </c>
      <c r="AM18">
        <v>0</v>
      </c>
      <c r="AN18">
        <v>55</v>
      </c>
      <c r="AO18" t="s">
        <v>470</v>
      </c>
      <c r="AP18" t="s">
        <v>548</v>
      </c>
      <c r="AQ18">
        <v>2</v>
      </c>
      <c r="AR18" t="s">
        <v>584</v>
      </c>
      <c r="AS18">
        <v>34.799999999999997</v>
      </c>
      <c r="AT18">
        <v>373</v>
      </c>
      <c r="AU18" t="s">
        <v>264</v>
      </c>
      <c r="AV18">
        <v>-9999</v>
      </c>
      <c r="AW18">
        <v>313</v>
      </c>
      <c r="AX18">
        <v>329</v>
      </c>
      <c r="AY18">
        <v>313</v>
      </c>
      <c r="AZ18" t="s">
        <v>270</v>
      </c>
      <c r="BA18">
        <v>0</v>
      </c>
      <c r="BB18">
        <v>55</v>
      </c>
      <c r="BC18" t="s">
        <v>550</v>
      </c>
      <c r="BD18" t="s">
        <v>548</v>
      </c>
      <c r="BE18">
        <v>3</v>
      </c>
      <c r="BF18" t="s">
        <v>584</v>
      </c>
      <c r="BG18">
        <v>22.2</v>
      </c>
      <c r="BH18">
        <v>525</v>
      </c>
      <c r="BI18" t="s">
        <v>264</v>
      </c>
      <c r="BJ18">
        <v>-9999</v>
      </c>
      <c r="BK18">
        <v>260</v>
      </c>
      <c r="BL18">
        <v>310</v>
      </c>
      <c r="BM18">
        <v>255</v>
      </c>
      <c r="BN18" t="s">
        <v>270</v>
      </c>
      <c r="BO18">
        <v>0</v>
      </c>
      <c r="BP18">
        <v>55</v>
      </c>
      <c r="BQ18" t="s">
        <v>504</v>
      </c>
      <c r="BR18" t="s">
        <v>548</v>
      </c>
      <c r="BS18">
        <v>4</v>
      </c>
      <c r="BT18" t="s">
        <v>584</v>
      </c>
      <c r="BU18">
        <v>27.8</v>
      </c>
      <c r="BV18">
        <v>314</v>
      </c>
      <c r="BW18" t="s">
        <v>264</v>
      </c>
      <c r="BX18">
        <v>-9999</v>
      </c>
      <c r="BY18">
        <v>158</v>
      </c>
      <c r="BZ18">
        <v>184</v>
      </c>
      <c r="CA18">
        <v>156</v>
      </c>
      <c r="CB18" t="s">
        <v>270</v>
      </c>
      <c r="CC18">
        <v>0</v>
      </c>
      <c r="CD18">
        <v>55</v>
      </c>
      <c r="CE18" t="s">
        <v>471</v>
      </c>
      <c r="CF18" t="s">
        <v>548</v>
      </c>
      <c r="CG18">
        <v>5</v>
      </c>
      <c r="CH18" t="s">
        <v>584</v>
      </c>
      <c r="CI18">
        <v>32.5</v>
      </c>
      <c r="CJ18">
        <v>246</v>
      </c>
      <c r="CK18" t="s">
        <v>264</v>
      </c>
      <c r="CL18">
        <v>-9999</v>
      </c>
      <c r="CM18">
        <v>412</v>
      </c>
      <c r="CN18">
        <v>480</v>
      </c>
      <c r="CO18">
        <v>412</v>
      </c>
      <c r="CP18" t="s">
        <v>270</v>
      </c>
      <c r="CQ18">
        <v>0</v>
      </c>
      <c r="CR18">
        <v>55</v>
      </c>
      <c r="CS18" t="s">
        <v>472</v>
      </c>
      <c r="CT18" t="s">
        <v>548</v>
      </c>
      <c r="CU18">
        <v>6</v>
      </c>
      <c r="CV18" t="s">
        <v>584</v>
      </c>
      <c r="CW18">
        <v>32</v>
      </c>
      <c r="CX18">
        <v>259</v>
      </c>
      <c r="CY18" t="s">
        <v>264</v>
      </c>
      <c r="CZ18">
        <v>-9999</v>
      </c>
      <c r="DA18">
        <v>518</v>
      </c>
      <c r="DB18">
        <v>588</v>
      </c>
      <c r="DC18">
        <v>510</v>
      </c>
      <c r="DD18" t="s">
        <v>270</v>
      </c>
      <c r="DE18">
        <v>0</v>
      </c>
      <c r="DF18">
        <v>55</v>
      </c>
      <c r="DG18" t="s">
        <v>473</v>
      </c>
      <c r="DH18" t="s">
        <v>548</v>
      </c>
      <c r="DI18">
        <v>7</v>
      </c>
      <c r="DJ18" t="s">
        <v>584</v>
      </c>
      <c r="DK18">
        <v>22.8</v>
      </c>
      <c r="DL18">
        <v>246</v>
      </c>
      <c r="DM18" t="s">
        <v>264</v>
      </c>
      <c r="DN18">
        <v>-9999</v>
      </c>
      <c r="DO18">
        <v>435</v>
      </c>
      <c r="DP18">
        <v>496</v>
      </c>
      <c r="DQ18">
        <v>433</v>
      </c>
      <c r="DR18" t="s">
        <v>270</v>
      </c>
      <c r="DS18">
        <v>0</v>
      </c>
      <c r="DT18">
        <v>55</v>
      </c>
      <c r="DU18" t="s">
        <v>474</v>
      </c>
      <c r="DV18" t="s">
        <v>548</v>
      </c>
      <c r="DW18">
        <v>8</v>
      </c>
      <c r="DX18" t="s">
        <v>584</v>
      </c>
      <c r="DY18">
        <v>20</v>
      </c>
      <c r="DZ18">
        <v>564</v>
      </c>
      <c r="EA18" t="s">
        <v>264</v>
      </c>
      <c r="EB18">
        <v>-9999</v>
      </c>
      <c r="EC18">
        <v>73</v>
      </c>
      <c r="ED18">
        <v>91</v>
      </c>
      <c r="EE18">
        <v>71</v>
      </c>
      <c r="EF18" t="s">
        <v>270</v>
      </c>
      <c r="EG18">
        <v>0</v>
      </c>
      <c r="EH18">
        <v>55</v>
      </c>
      <c r="EI18" t="s">
        <v>475</v>
      </c>
      <c r="EJ18" t="s">
        <v>548</v>
      </c>
      <c r="EK18">
        <v>9</v>
      </c>
      <c r="EL18" t="s">
        <v>584</v>
      </c>
      <c r="EM18">
        <v>21.8</v>
      </c>
      <c r="EN18">
        <v>146</v>
      </c>
      <c r="EO18" t="s">
        <v>264</v>
      </c>
      <c r="EP18">
        <v>-9999</v>
      </c>
      <c r="EQ18">
        <v>236</v>
      </c>
      <c r="ER18">
        <v>209</v>
      </c>
      <c r="ES18">
        <v>194</v>
      </c>
      <c r="ET18" t="s">
        <v>270</v>
      </c>
      <c r="EU18">
        <v>0</v>
      </c>
      <c r="EV18">
        <v>55</v>
      </c>
      <c r="EW18" t="s">
        <v>551</v>
      </c>
      <c r="EX18" t="s">
        <v>552</v>
      </c>
      <c r="EY18">
        <v>133</v>
      </c>
      <c r="EZ18">
        <v>134</v>
      </c>
      <c r="FA18">
        <v>134</v>
      </c>
      <c r="FB18" t="s">
        <v>270</v>
      </c>
      <c r="FC18" t="s">
        <v>553</v>
      </c>
      <c r="FD18" t="s">
        <v>552</v>
      </c>
      <c r="FE18">
        <v>263</v>
      </c>
      <c r="FF18">
        <v>261</v>
      </c>
      <c r="FG18">
        <v>260</v>
      </c>
      <c r="FH18" t="s">
        <v>270</v>
      </c>
      <c r="FI18" t="s">
        <v>554</v>
      </c>
      <c r="FJ18" t="s">
        <v>555</v>
      </c>
      <c r="FK18">
        <v>0</v>
      </c>
      <c r="FL18">
        <v>0</v>
      </c>
      <c r="FM18">
        <v>0</v>
      </c>
      <c r="FN18" t="s">
        <v>264</v>
      </c>
      <c r="FO18">
        <v>76.099999999999994</v>
      </c>
      <c r="FP18">
        <v>290.10000000000002</v>
      </c>
      <c r="FQ18" t="s">
        <v>556</v>
      </c>
      <c r="FR18" t="s">
        <v>555</v>
      </c>
      <c r="FS18">
        <v>0</v>
      </c>
      <c r="FT18">
        <v>0</v>
      </c>
      <c r="FU18">
        <v>0</v>
      </c>
      <c r="FV18" t="s">
        <v>264</v>
      </c>
      <c r="FW18">
        <v>73.5</v>
      </c>
      <c r="FX18">
        <v>75.5</v>
      </c>
      <c r="FY18" t="s">
        <v>557</v>
      </c>
      <c r="FZ18" t="s">
        <v>555</v>
      </c>
      <c r="GA18">
        <v>0</v>
      </c>
      <c r="GB18">
        <v>0</v>
      </c>
      <c r="GC18">
        <v>0</v>
      </c>
      <c r="GD18" t="s">
        <v>264</v>
      </c>
      <c r="GE18">
        <v>71.3</v>
      </c>
      <c r="GF18">
        <v>234</v>
      </c>
      <c r="GG18" t="s">
        <v>558</v>
      </c>
      <c r="GH18" t="s">
        <v>555</v>
      </c>
      <c r="GI18">
        <v>0</v>
      </c>
      <c r="GJ18">
        <v>0</v>
      </c>
      <c r="GK18">
        <v>0</v>
      </c>
      <c r="GL18" t="s">
        <v>264</v>
      </c>
      <c r="GM18">
        <v>68.400000000000006</v>
      </c>
      <c r="GN18">
        <v>41.8</v>
      </c>
      <c r="GO18" t="s">
        <v>559</v>
      </c>
      <c r="GP18" t="s">
        <v>555</v>
      </c>
      <c r="GQ18">
        <v>0</v>
      </c>
      <c r="GR18">
        <v>0</v>
      </c>
      <c r="GS18">
        <v>0</v>
      </c>
      <c r="GT18" t="s">
        <v>264</v>
      </c>
      <c r="GU18">
        <v>76.099999999999994</v>
      </c>
      <c r="GV18">
        <v>45.6</v>
      </c>
      <c r="GW18" t="s">
        <v>560</v>
      </c>
      <c r="GX18" t="s">
        <v>555</v>
      </c>
      <c r="GY18">
        <v>0</v>
      </c>
      <c r="GZ18">
        <v>0</v>
      </c>
      <c r="HA18">
        <v>0</v>
      </c>
      <c r="HB18" t="s">
        <v>264</v>
      </c>
      <c r="HC18">
        <v>70.400000000000006</v>
      </c>
      <c r="HD18">
        <v>72.2</v>
      </c>
      <c r="HE18" t="s">
        <v>561</v>
      </c>
      <c r="HF18" t="s">
        <v>555</v>
      </c>
      <c r="HG18">
        <v>0</v>
      </c>
      <c r="HH18">
        <v>0</v>
      </c>
      <c r="HI18">
        <v>0</v>
      </c>
      <c r="HJ18" t="s">
        <v>264</v>
      </c>
      <c r="HK18">
        <v>71</v>
      </c>
      <c r="HL18">
        <v>112.5</v>
      </c>
      <c r="HM18" t="s">
        <v>562</v>
      </c>
      <c r="HN18" t="s">
        <v>555</v>
      </c>
      <c r="HO18">
        <v>0</v>
      </c>
      <c r="HP18">
        <v>0</v>
      </c>
      <c r="HQ18">
        <v>0</v>
      </c>
      <c r="HR18" t="s">
        <v>264</v>
      </c>
      <c r="HS18">
        <v>69.2</v>
      </c>
      <c r="HT18">
        <v>76.7</v>
      </c>
      <c r="HU18" t="s">
        <v>563</v>
      </c>
      <c r="HV18" t="s">
        <v>555</v>
      </c>
      <c r="HW18">
        <v>0</v>
      </c>
      <c r="HX18">
        <v>0</v>
      </c>
      <c r="HY18">
        <v>0</v>
      </c>
      <c r="HZ18" t="s">
        <v>264</v>
      </c>
      <c r="IA18">
        <v>74.8</v>
      </c>
      <c r="IB18">
        <v>163.19999999999999</v>
      </c>
      <c r="IC18" t="s">
        <v>564</v>
      </c>
      <c r="ID18" t="s">
        <v>555</v>
      </c>
      <c r="IE18">
        <v>0</v>
      </c>
      <c r="IF18">
        <v>0</v>
      </c>
      <c r="IG18">
        <v>0</v>
      </c>
      <c r="IH18" t="s">
        <v>264</v>
      </c>
      <c r="II18">
        <v>68.400000000000006</v>
      </c>
      <c r="IJ18">
        <v>98.6</v>
      </c>
      <c r="IK18" t="s">
        <v>565</v>
      </c>
      <c r="IL18" t="s">
        <v>555</v>
      </c>
      <c r="IM18">
        <v>0</v>
      </c>
      <c r="IN18">
        <v>0</v>
      </c>
      <c r="IO18">
        <v>0</v>
      </c>
      <c r="IP18" t="s">
        <v>264</v>
      </c>
      <c r="IS18" t="s">
        <v>566</v>
      </c>
      <c r="IT18" t="s">
        <v>555</v>
      </c>
      <c r="IU18">
        <v>0</v>
      </c>
      <c r="IV18">
        <v>0</v>
      </c>
      <c r="IW18">
        <v>0</v>
      </c>
      <c r="IX18" t="s">
        <v>264</v>
      </c>
      <c r="JA18" t="s">
        <v>567</v>
      </c>
      <c r="JB18" t="s">
        <v>555</v>
      </c>
      <c r="JC18">
        <v>0</v>
      </c>
      <c r="JD18">
        <v>0</v>
      </c>
      <c r="JE18">
        <v>0</v>
      </c>
      <c r="JF18" t="s">
        <v>264</v>
      </c>
      <c r="JI18" t="s">
        <v>568</v>
      </c>
      <c r="JJ18" t="s">
        <v>555</v>
      </c>
      <c r="JK18">
        <v>0</v>
      </c>
      <c r="JL18">
        <v>0</v>
      </c>
      <c r="JM18">
        <v>0</v>
      </c>
      <c r="JN18" t="s">
        <v>264</v>
      </c>
      <c r="JQ18" t="s">
        <v>569</v>
      </c>
      <c r="JR18" t="s">
        <v>555</v>
      </c>
      <c r="JS18">
        <v>0</v>
      </c>
      <c r="JT18">
        <v>0</v>
      </c>
      <c r="JU18">
        <v>0</v>
      </c>
      <c r="JV18" t="s">
        <v>264</v>
      </c>
      <c r="JY18" t="s">
        <v>570</v>
      </c>
      <c r="JZ18" t="s">
        <v>555</v>
      </c>
      <c r="KA18">
        <v>0</v>
      </c>
      <c r="KB18">
        <v>0</v>
      </c>
      <c r="KC18">
        <v>0</v>
      </c>
      <c r="KD18" t="s">
        <v>264</v>
      </c>
      <c r="KG18" t="s">
        <v>571</v>
      </c>
      <c r="KH18" t="s">
        <v>555</v>
      </c>
      <c r="KI18">
        <v>0</v>
      </c>
      <c r="KJ18">
        <v>0</v>
      </c>
      <c r="KK18">
        <v>0</v>
      </c>
      <c r="KL18" t="s">
        <v>264</v>
      </c>
      <c r="KO18" t="s">
        <v>572</v>
      </c>
      <c r="KP18" t="s">
        <v>555</v>
      </c>
      <c r="KQ18">
        <v>0</v>
      </c>
      <c r="KR18">
        <v>0</v>
      </c>
      <c r="KS18">
        <v>0</v>
      </c>
      <c r="KT18" t="s">
        <v>264</v>
      </c>
      <c r="KW18" t="s">
        <v>573</v>
      </c>
      <c r="KX18" t="s">
        <v>555</v>
      </c>
      <c r="KY18">
        <v>0</v>
      </c>
      <c r="KZ18">
        <v>0</v>
      </c>
      <c r="LA18">
        <v>0</v>
      </c>
      <c r="LB18" t="s">
        <v>264</v>
      </c>
      <c r="LE18" t="s">
        <v>574</v>
      </c>
      <c r="LF18" t="s">
        <v>555</v>
      </c>
      <c r="LG18">
        <v>0</v>
      </c>
      <c r="LH18">
        <v>0</v>
      </c>
      <c r="LI18">
        <v>0</v>
      </c>
      <c r="LJ18" t="s">
        <v>264</v>
      </c>
      <c r="LM18" t="s">
        <v>575</v>
      </c>
      <c r="LN18" t="s">
        <v>555</v>
      </c>
      <c r="LO18">
        <v>0</v>
      </c>
      <c r="LP18">
        <v>0</v>
      </c>
      <c r="LQ18">
        <v>0</v>
      </c>
      <c r="LR18" t="s">
        <v>264</v>
      </c>
      <c r="LU18" t="s">
        <v>576</v>
      </c>
      <c r="LV18" t="s">
        <v>555</v>
      </c>
      <c r="LW18">
        <v>0</v>
      </c>
      <c r="LX18">
        <v>0</v>
      </c>
      <c r="LY18">
        <v>0</v>
      </c>
      <c r="LZ18" t="s">
        <v>264</v>
      </c>
      <c r="MC18" t="s">
        <v>577</v>
      </c>
      <c r="MD18" t="s">
        <v>555</v>
      </c>
      <c r="ME18">
        <v>0</v>
      </c>
      <c r="MF18">
        <v>0</v>
      </c>
      <c r="MG18">
        <v>0</v>
      </c>
      <c r="MH18" t="s">
        <v>264</v>
      </c>
      <c r="MK18" t="s">
        <v>578</v>
      </c>
      <c r="ML18" t="s">
        <v>555</v>
      </c>
      <c r="MM18">
        <v>0</v>
      </c>
      <c r="MN18">
        <v>0</v>
      </c>
      <c r="MO18">
        <v>0</v>
      </c>
      <c r="MP18" t="s">
        <v>264</v>
      </c>
      <c r="MS18" t="s">
        <v>579</v>
      </c>
      <c r="MT18" t="s">
        <v>555</v>
      </c>
      <c r="MU18">
        <v>0</v>
      </c>
      <c r="MV18">
        <v>0</v>
      </c>
      <c r="MW18">
        <v>0</v>
      </c>
      <c r="MX18" t="s">
        <v>264</v>
      </c>
      <c r="NA18" t="s">
        <v>580</v>
      </c>
      <c r="NB18" t="s">
        <v>555</v>
      </c>
      <c r="NC18">
        <v>0</v>
      </c>
      <c r="ND18">
        <v>0</v>
      </c>
      <c r="NE18">
        <v>0</v>
      </c>
      <c r="NF18" t="s">
        <v>264</v>
      </c>
      <c r="NI18">
        <v>40</v>
      </c>
      <c r="NJ18">
        <v>-10</v>
      </c>
      <c r="NP18" t="s">
        <v>581</v>
      </c>
    </row>
    <row r="19" spans="1:380" customFormat="1" x14ac:dyDescent="0.2">
      <c r="A19" t="s">
        <v>517</v>
      </c>
      <c r="B19">
        <v>1</v>
      </c>
      <c r="C19" t="s">
        <v>839</v>
      </c>
      <c r="D19">
        <v>646958336</v>
      </c>
      <c r="E19">
        <v>12602</v>
      </c>
      <c r="F19" t="s">
        <v>805</v>
      </c>
      <c r="G19">
        <v>750171</v>
      </c>
      <c r="H19">
        <v>210047876</v>
      </c>
      <c r="I19" t="s">
        <v>543</v>
      </c>
      <c r="J19" t="s">
        <v>840</v>
      </c>
      <c r="K19" t="s">
        <v>545</v>
      </c>
      <c r="L19" t="s">
        <v>442</v>
      </c>
      <c r="M19" t="s">
        <v>546</v>
      </c>
      <c r="N19" t="s">
        <v>468</v>
      </c>
      <c r="O19" t="s">
        <v>547</v>
      </c>
      <c r="P19" t="s">
        <v>264</v>
      </c>
      <c r="Q19">
        <v>26.9</v>
      </c>
      <c r="R19">
        <v>247</v>
      </c>
      <c r="S19" t="s">
        <v>264</v>
      </c>
      <c r="T19">
        <v>-9999</v>
      </c>
      <c r="U19">
        <v>563</v>
      </c>
      <c r="V19">
        <v>580</v>
      </c>
      <c r="W19">
        <v>552</v>
      </c>
      <c r="X19" t="s">
        <v>270</v>
      </c>
      <c r="Y19">
        <v>0</v>
      </c>
      <c r="Z19">
        <v>55</v>
      </c>
      <c r="AA19" t="s">
        <v>469</v>
      </c>
      <c r="AB19" t="s">
        <v>548</v>
      </c>
      <c r="AC19">
        <v>1</v>
      </c>
      <c r="AD19" t="s">
        <v>584</v>
      </c>
      <c r="AE19">
        <v>25.9</v>
      </c>
      <c r="AF19">
        <v>1378</v>
      </c>
      <c r="AG19" t="s">
        <v>264</v>
      </c>
      <c r="AH19">
        <v>-9999</v>
      </c>
      <c r="AI19">
        <v>470</v>
      </c>
      <c r="AJ19">
        <v>584</v>
      </c>
      <c r="AK19">
        <v>466</v>
      </c>
      <c r="AL19" t="s">
        <v>270</v>
      </c>
      <c r="AM19">
        <v>0</v>
      </c>
      <c r="AN19">
        <v>55</v>
      </c>
      <c r="AO19" t="s">
        <v>470</v>
      </c>
      <c r="AP19" t="s">
        <v>548</v>
      </c>
      <c r="AQ19">
        <v>2</v>
      </c>
      <c r="AR19" t="s">
        <v>584</v>
      </c>
      <c r="AS19">
        <v>35.4</v>
      </c>
      <c r="AT19">
        <v>357</v>
      </c>
      <c r="AU19" t="s">
        <v>264</v>
      </c>
      <c r="AV19">
        <v>-9999</v>
      </c>
      <c r="AW19">
        <v>406</v>
      </c>
      <c r="AX19">
        <v>430</v>
      </c>
      <c r="AY19">
        <v>404</v>
      </c>
      <c r="AZ19" t="s">
        <v>270</v>
      </c>
      <c r="BA19">
        <v>0</v>
      </c>
      <c r="BB19">
        <v>55</v>
      </c>
      <c r="BC19" t="s">
        <v>550</v>
      </c>
      <c r="BD19" t="s">
        <v>548</v>
      </c>
      <c r="BE19">
        <v>3</v>
      </c>
      <c r="BF19" t="s">
        <v>584</v>
      </c>
      <c r="BG19">
        <v>23.3</v>
      </c>
      <c r="BH19">
        <v>536</v>
      </c>
      <c r="BI19" t="s">
        <v>264</v>
      </c>
      <c r="BJ19">
        <v>-9999</v>
      </c>
      <c r="BK19">
        <v>235</v>
      </c>
      <c r="BL19">
        <v>291</v>
      </c>
      <c r="BM19">
        <v>236</v>
      </c>
      <c r="BN19" t="s">
        <v>270</v>
      </c>
      <c r="BO19">
        <v>0</v>
      </c>
      <c r="BP19">
        <v>55</v>
      </c>
      <c r="BQ19" t="s">
        <v>504</v>
      </c>
      <c r="BR19" t="s">
        <v>548</v>
      </c>
      <c r="BS19">
        <v>4</v>
      </c>
      <c r="BT19" t="s">
        <v>584</v>
      </c>
      <c r="BU19">
        <v>30</v>
      </c>
      <c r="BV19">
        <v>286</v>
      </c>
      <c r="BW19" t="s">
        <v>264</v>
      </c>
      <c r="BX19">
        <v>-9999</v>
      </c>
      <c r="BY19">
        <v>212</v>
      </c>
      <c r="BZ19">
        <v>246</v>
      </c>
      <c r="CA19">
        <v>210</v>
      </c>
      <c r="CB19" t="s">
        <v>270</v>
      </c>
      <c r="CC19">
        <v>0</v>
      </c>
      <c r="CD19">
        <v>55</v>
      </c>
      <c r="CE19" t="s">
        <v>471</v>
      </c>
      <c r="CF19" t="s">
        <v>548</v>
      </c>
      <c r="CG19">
        <v>5</v>
      </c>
      <c r="CH19" t="s">
        <v>584</v>
      </c>
      <c r="CI19">
        <v>35.1</v>
      </c>
      <c r="CJ19">
        <v>203</v>
      </c>
      <c r="CK19" t="s">
        <v>264</v>
      </c>
      <c r="CL19">
        <v>-9999</v>
      </c>
      <c r="CM19">
        <v>557</v>
      </c>
      <c r="CN19">
        <v>649</v>
      </c>
      <c r="CO19">
        <v>556</v>
      </c>
      <c r="CP19" t="s">
        <v>270</v>
      </c>
      <c r="CQ19">
        <v>0</v>
      </c>
      <c r="CR19">
        <v>55</v>
      </c>
      <c r="CS19" t="s">
        <v>472</v>
      </c>
      <c r="CT19" t="s">
        <v>548</v>
      </c>
      <c r="CU19">
        <v>6</v>
      </c>
      <c r="CV19" t="s">
        <v>584</v>
      </c>
      <c r="CW19">
        <v>35.4</v>
      </c>
      <c r="CX19">
        <v>200</v>
      </c>
      <c r="CY19" t="s">
        <v>264</v>
      </c>
      <c r="CZ19">
        <v>-9999</v>
      </c>
      <c r="DA19">
        <v>639</v>
      </c>
      <c r="DB19">
        <v>725</v>
      </c>
      <c r="DC19">
        <v>628</v>
      </c>
      <c r="DD19" t="s">
        <v>270</v>
      </c>
      <c r="DE19">
        <v>0</v>
      </c>
      <c r="DF19">
        <v>55</v>
      </c>
      <c r="DG19" t="s">
        <v>473</v>
      </c>
      <c r="DH19" t="s">
        <v>548</v>
      </c>
      <c r="DI19">
        <v>7</v>
      </c>
      <c r="DJ19" t="s">
        <v>584</v>
      </c>
      <c r="DK19">
        <v>25</v>
      </c>
      <c r="DL19">
        <v>192</v>
      </c>
      <c r="DM19" t="s">
        <v>264</v>
      </c>
      <c r="DN19">
        <v>-9999</v>
      </c>
      <c r="DO19">
        <v>518</v>
      </c>
      <c r="DP19">
        <v>591</v>
      </c>
      <c r="DQ19">
        <v>512</v>
      </c>
      <c r="DR19" t="s">
        <v>270</v>
      </c>
      <c r="DS19">
        <v>0</v>
      </c>
      <c r="DT19">
        <v>55</v>
      </c>
      <c r="DU19" t="s">
        <v>474</v>
      </c>
      <c r="DV19" t="s">
        <v>548</v>
      </c>
      <c r="DW19">
        <v>8</v>
      </c>
      <c r="DX19" t="s">
        <v>584</v>
      </c>
      <c r="DY19">
        <v>22.2</v>
      </c>
      <c r="DZ19">
        <v>447</v>
      </c>
      <c r="EA19" t="s">
        <v>264</v>
      </c>
      <c r="EB19">
        <v>-9999</v>
      </c>
      <c r="EC19">
        <v>109</v>
      </c>
      <c r="ED19">
        <v>133</v>
      </c>
      <c r="EE19">
        <v>106</v>
      </c>
      <c r="EF19" t="s">
        <v>270</v>
      </c>
      <c r="EG19">
        <v>0</v>
      </c>
      <c r="EH19">
        <v>55</v>
      </c>
      <c r="EI19" t="s">
        <v>475</v>
      </c>
      <c r="EJ19" t="s">
        <v>548</v>
      </c>
      <c r="EK19">
        <v>9</v>
      </c>
      <c r="EL19" t="s">
        <v>584</v>
      </c>
      <c r="EM19">
        <v>26.1</v>
      </c>
      <c r="EN19">
        <v>95</v>
      </c>
      <c r="EO19" t="s">
        <v>264</v>
      </c>
      <c r="EP19">
        <v>-9999</v>
      </c>
      <c r="EQ19">
        <v>375</v>
      </c>
      <c r="ER19">
        <v>354</v>
      </c>
      <c r="ES19">
        <v>326</v>
      </c>
      <c r="ET19" t="s">
        <v>270</v>
      </c>
      <c r="EU19">
        <v>0</v>
      </c>
      <c r="EV19">
        <v>55</v>
      </c>
      <c r="EW19" t="s">
        <v>551</v>
      </c>
      <c r="EX19" t="s">
        <v>552</v>
      </c>
      <c r="EY19">
        <v>160</v>
      </c>
      <c r="EZ19">
        <v>160</v>
      </c>
      <c r="FA19">
        <v>160</v>
      </c>
      <c r="FB19" t="s">
        <v>270</v>
      </c>
      <c r="FC19" t="s">
        <v>553</v>
      </c>
      <c r="FD19" t="s">
        <v>552</v>
      </c>
      <c r="FE19">
        <v>309</v>
      </c>
      <c r="FF19">
        <v>307</v>
      </c>
      <c r="FG19">
        <v>306</v>
      </c>
      <c r="FH19" t="s">
        <v>270</v>
      </c>
      <c r="FI19" t="s">
        <v>554</v>
      </c>
      <c r="FJ19" t="s">
        <v>555</v>
      </c>
      <c r="FK19">
        <v>0</v>
      </c>
      <c r="FL19">
        <v>0</v>
      </c>
      <c r="FM19">
        <v>0</v>
      </c>
      <c r="FN19" t="s">
        <v>264</v>
      </c>
      <c r="FO19">
        <v>76.099999999999994</v>
      </c>
      <c r="FP19">
        <v>310.2</v>
      </c>
      <c r="FQ19" t="s">
        <v>556</v>
      </c>
      <c r="FR19" t="s">
        <v>555</v>
      </c>
      <c r="FS19">
        <v>0</v>
      </c>
      <c r="FT19">
        <v>0</v>
      </c>
      <c r="FU19">
        <v>0</v>
      </c>
      <c r="FV19" t="s">
        <v>264</v>
      </c>
      <c r="FW19">
        <v>73.599999999999994</v>
      </c>
      <c r="FX19">
        <v>98.8</v>
      </c>
      <c r="FY19" t="s">
        <v>557</v>
      </c>
      <c r="FZ19" t="s">
        <v>555</v>
      </c>
      <c r="GA19">
        <v>0</v>
      </c>
      <c r="GB19">
        <v>0</v>
      </c>
      <c r="GC19">
        <v>0</v>
      </c>
      <c r="GD19" t="s">
        <v>264</v>
      </c>
      <c r="GE19">
        <v>71.3</v>
      </c>
      <c r="GF19">
        <v>224.1</v>
      </c>
      <c r="GG19" t="s">
        <v>558</v>
      </c>
      <c r="GH19" t="s">
        <v>555</v>
      </c>
      <c r="GI19">
        <v>0</v>
      </c>
      <c r="GJ19">
        <v>0</v>
      </c>
      <c r="GK19">
        <v>0</v>
      </c>
      <c r="GL19" t="s">
        <v>264</v>
      </c>
      <c r="GM19">
        <v>68.5</v>
      </c>
      <c r="GN19">
        <v>49.1</v>
      </c>
      <c r="GO19" t="s">
        <v>559</v>
      </c>
      <c r="GP19" t="s">
        <v>555</v>
      </c>
      <c r="GQ19">
        <v>0</v>
      </c>
      <c r="GR19">
        <v>0</v>
      </c>
      <c r="GS19">
        <v>0</v>
      </c>
      <c r="GT19" t="s">
        <v>264</v>
      </c>
      <c r="GU19">
        <v>76.2</v>
      </c>
      <c r="GV19">
        <v>59.3</v>
      </c>
      <c r="GW19" t="s">
        <v>560</v>
      </c>
      <c r="GX19" t="s">
        <v>555</v>
      </c>
      <c r="GY19">
        <v>0</v>
      </c>
      <c r="GZ19">
        <v>0</v>
      </c>
      <c r="HA19">
        <v>0</v>
      </c>
      <c r="HB19" t="s">
        <v>264</v>
      </c>
      <c r="HC19">
        <v>70.3</v>
      </c>
      <c r="HD19">
        <v>82.5</v>
      </c>
      <c r="HE19" t="s">
        <v>561</v>
      </c>
      <c r="HF19" t="s">
        <v>555</v>
      </c>
      <c r="HG19">
        <v>0</v>
      </c>
      <c r="HH19">
        <v>0</v>
      </c>
      <c r="HI19">
        <v>0</v>
      </c>
      <c r="HJ19" t="s">
        <v>264</v>
      </c>
      <c r="HK19">
        <v>71</v>
      </c>
      <c r="HL19">
        <v>122.7</v>
      </c>
      <c r="HM19" t="s">
        <v>562</v>
      </c>
      <c r="HN19" t="s">
        <v>555</v>
      </c>
      <c r="HO19">
        <v>0</v>
      </c>
      <c r="HP19">
        <v>0</v>
      </c>
      <c r="HQ19">
        <v>0</v>
      </c>
      <c r="HR19" t="s">
        <v>264</v>
      </c>
      <c r="HS19">
        <v>69.3</v>
      </c>
      <c r="HT19">
        <v>83.1</v>
      </c>
      <c r="HU19" t="s">
        <v>563</v>
      </c>
      <c r="HV19" t="s">
        <v>555</v>
      </c>
      <c r="HW19">
        <v>0</v>
      </c>
      <c r="HX19">
        <v>0</v>
      </c>
      <c r="HY19">
        <v>0</v>
      </c>
      <c r="HZ19" t="s">
        <v>264</v>
      </c>
      <c r="IA19">
        <v>74.8</v>
      </c>
      <c r="IB19">
        <v>182</v>
      </c>
      <c r="IC19" t="s">
        <v>564</v>
      </c>
      <c r="ID19" t="s">
        <v>555</v>
      </c>
      <c r="IE19">
        <v>0</v>
      </c>
      <c r="IF19">
        <v>0</v>
      </c>
      <c r="IG19">
        <v>0</v>
      </c>
      <c r="IH19" t="s">
        <v>264</v>
      </c>
      <c r="II19">
        <v>68.400000000000006</v>
      </c>
      <c r="IJ19">
        <v>131.6</v>
      </c>
      <c r="IK19" t="s">
        <v>565</v>
      </c>
      <c r="IL19" t="s">
        <v>555</v>
      </c>
      <c r="IM19">
        <v>0</v>
      </c>
      <c r="IN19">
        <v>0</v>
      </c>
      <c r="IO19">
        <v>0</v>
      </c>
      <c r="IP19" t="s">
        <v>264</v>
      </c>
      <c r="IS19" t="s">
        <v>566</v>
      </c>
      <c r="IT19" t="s">
        <v>555</v>
      </c>
      <c r="IU19">
        <v>0</v>
      </c>
      <c r="IV19">
        <v>0</v>
      </c>
      <c r="IW19">
        <v>0</v>
      </c>
      <c r="IX19" t="s">
        <v>264</v>
      </c>
      <c r="JA19" t="s">
        <v>567</v>
      </c>
      <c r="JB19" t="s">
        <v>555</v>
      </c>
      <c r="JC19">
        <v>0</v>
      </c>
      <c r="JD19">
        <v>0</v>
      </c>
      <c r="JE19">
        <v>0</v>
      </c>
      <c r="JF19" t="s">
        <v>264</v>
      </c>
      <c r="JI19" t="s">
        <v>568</v>
      </c>
      <c r="JJ19" t="s">
        <v>555</v>
      </c>
      <c r="JK19">
        <v>0</v>
      </c>
      <c r="JL19">
        <v>0</v>
      </c>
      <c r="JM19">
        <v>0</v>
      </c>
      <c r="JN19" t="s">
        <v>264</v>
      </c>
      <c r="JQ19" t="s">
        <v>569</v>
      </c>
      <c r="JR19" t="s">
        <v>555</v>
      </c>
      <c r="JS19">
        <v>0</v>
      </c>
      <c r="JT19">
        <v>0</v>
      </c>
      <c r="JU19">
        <v>0</v>
      </c>
      <c r="JV19" t="s">
        <v>264</v>
      </c>
      <c r="JY19" t="s">
        <v>570</v>
      </c>
      <c r="JZ19" t="s">
        <v>555</v>
      </c>
      <c r="KA19">
        <v>0</v>
      </c>
      <c r="KB19">
        <v>0</v>
      </c>
      <c r="KC19">
        <v>0</v>
      </c>
      <c r="KD19" t="s">
        <v>264</v>
      </c>
      <c r="KG19" t="s">
        <v>571</v>
      </c>
      <c r="KH19" t="s">
        <v>555</v>
      </c>
      <c r="KI19">
        <v>0</v>
      </c>
      <c r="KJ19">
        <v>0</v>
      </c>
      <c r="KK19">
        <v>0</v>
      </c>
      <c r="KL19" t="s">
        <v>264</v>
      </c>
      <c r="KO19" t="s">
        <v>572</v>
      </c>
      <c r="KP19" t="s">
        <v>555</v>
      </c>
      <c r="KQ19">
        <v>0</v>
      </c>
      <c r="KR19">
        <v>0</v>
      </c>
      <c r="KS19">
        <v>0</v>
      </c>
      <c r="KT19" t="s">
        <v>264</v>
      </c>
      <c r="KW19" t="s">
        <v>573</v>
      </c>
      <c r="KX19" t="s">
        <v>555</v>
      </c>
      <c r="KY19">
        <v>0</v>
      </c>
      <c r="KZ19">
        <v>0</v>
      </c>
      <c r="LA19">
        <v>0</v>
      </c>
      <c r="LB19" t="s">
        <v>264</v>
      </c>
      <c r="LE19" t="s">
        <v>574</v>
      </c>
      <c r="LF19" t="s">
        <v>555</v>
      </c>
      <c r="LG19">
        <v>0</v>
      </c>
      <c r="LH19">
        <v>0</v>
      </c>
      <c r="LI19">
        <v>0</v>
      </c>
      <c r="LJ19" t="s">
        <v>264</v>
      </c>
      <c r="LM19" t="s">
        <v>575</v>
      </c>
      <c r="LN19" t="s">
        <v>555</v>
      </c>
      <c r="LO19">
        <v>0</v>
      </c>
      <c r="LP19">
        <v>0</v>
      </c>
      <c r="LQ19">
        <v>0</v>
      </c>
      <c r="LR19" t="s">
        <v>264</v>
      </c>
      <c r="LU19" t="s">
        <v>576</v>
      </c>
      <c r="LV19" t="s">
        <v>555</v>
      </c>
      <c r="LW19">
        <v>0</v>
      </c>
      <c r="LX19">
        <v>0</v>
      </c>
      <c r="LY19">
        <v>0</v>
      </c>
      <c r="LZ19" t="s">
        <v>264</v>
      </c>
      <c r="MC19" t="s">
        <v>577</v>
      </c>
      <c r="MD19" t="s">
        <v>555</v>
      </c>
      <c r="ME19">
        <v>0</v>
      </c>
      <c r="MF19">
        <v>0</v>
      </c>
      <c r="MG19">
        <v>0</v>
      </c>
      <c r="MH19" t="s">
        <v>264</v>
      </c>
      <c r="MK19" t="s">
        <v>578</v>
      </c>
      <c r="ML19" t="s">
        <v>555</v>
      </c>
      <c r="MM19">
        <v>0</v>
      </c>
      <c r="MN19">
        <v>0</v>
      </c>
      <c r="MO19">
        <v>0</v>
      </c>
      <c r="MP19" t="s">
        <v>264</v>
      </c>
      <c r="MS19" t="s">
        <v>579</v>
      </c>
      <c r="MT19" t="s">
        <v>555</v>
      </c>
      <c r="MU19">
        <v>0</v>
      </c>
      <c r="MV19">
        <v>0</v>
      </c>
      <c r="MW19">
        <v>0</v>
      </c>
      <c r="MX19" t="s">
        <v>264</v>
      </c>
      <c r="NA19" t="s">
        <v>580</v>
      </c>
      <c r="NB19" t="s">
        <v>555</v>
      </c>
      <c r="NC19">
        <v>0</v>
      </c>
      <c r="ND19">
        <v>0</v>
      </c>
      <c r="NE19">
        <v>0</v>
      </c>
      <c r="NF19" t="s">
        <v>264</v>
      </c>
      <c r="NI19">
        <v>40</v>
      </c>
      <c r="NJ19">
        <v>-9.9</v>
      </c>
      <c r="NP19" t="s">
        <v>581</v>
      </c>
    </row>
    <row r="20" spans="1:380" customFormat="1" x14ac:dyDescent="0.2">
      <c r="A20" t="s">
        <v>517</v>
      </c>
      <c r="B20">
        <v>1</v>
      </c>
      <c r="C20" t="s">
        <v>841</v>
      </c>
      <c r="D20">
        <v>646952402</v>
      </c>
      <c r="E20">
        <v>12602</v>
      </c>
      <c r="F20" t="s">
        <v>805</v>
      </c>
      <c r="G20">
        <v>750172</v>
      </c>
      <c r="H20">
        <v>210032337</v>
      </c>
      <c r="I20" t="s">
        <v>543</v>
      </c>
      <c r="J20" t="s">
        <v>842</v>
      </c>
      <c r="K20" t="s">
        <v>545</v>
      </c>
      <c r="L20" t="s">
        <v>442</v>
      </c>
      <c r="M20" t="s">
        <v>546</v>
      </c>
      <c r="N20" t="s">
        <v>468</v>
      </c>
      <c r="O20" t="s">
        <v>547</v>
      </c>
      <c r="P20" t="s">
        <v>264</v>
      </c>
      <c r="Q20">
        <v>27.5</v>
      </c>
      <c r="R20">
        <v>219</v>
      </c>
      <c r="S20" t="s">
        <v>264</v>
      </c>
      <c r="T20">
        <v>-9999</v>
      </c>
      <c r="U20">
        <v>502</v>
      </c>
      <c r="V20">
        <v>516</v>
      </c>
      <c r="W20">
        <v>491</v>
      </c>
      <c r="X20" t="s">
        <v>270</v>
      </c>
      <c r="Y20">
        <v>0</v>
      </c>
      <c r="Z20">
        <v>55</v>
      </c>
      <c r="AA20" t="s">
        <v>469</v>
      </c>
      <c r="AB20" t="s">
        <v>548</v>
      </c>
      <c r="AC20">
        <v>1</v>
      </c>
      <c r="AD20" t="s">
        <v>584</v>
      </c>
      <c r="AE20">
        <v>26.8</v>
      </c>
      <c r="AF20">
        <v>1377</v>
      </c>
      <c r="AG20" t="s">
        <v>264</v>
      </c>
      <c r="AH20">
        <v>-9999</v>
      </c>
      <c r="AI20">
        <v>439</v>
      </c>
      <c r="AJ20">
        <v>547</v>
      </c>
      <c r="AK20">
        <v>440</v>
      </c>
      <c r="AL20" t="s">
        <v>270</v>
      </c>
      <c r="AM20">
        <v>0</v>
      </c>
      <c r="AN20">
        <v>55</v>
      </c>
      <c r="AO20" t="s">
        <v>470</v>
      </c>
      <c r="AP20" t="s">
        <v>548</v>
      </c>
      <c r="AQ20">
        <v>2</v>
      </c>
      <c r="AR20" t="s">
        <v>584</v>
      </c>
      <c r="AS20">
        <v>38.299999999999997</v>
      </c>
      <c r="AT20">
        <v>310</v>
      </c>
      <c r="AU20" t="s">
        <v>264</v>
      </c>
      <c r="AV20">
        <v>-9999</v>
      </c>
      <c r="AW20">
        <v>316</v>
      </c>
      <c r="AX20">
        <v>332</v>
      </c>
      <c r="AY20">
        <v>314</v>
      </c>
      <c r="AZ20" t="s">
        <v>270</v>
      </c>
      <c r="BA20">
        <v>0</v>
      </c>
      <c r="BB20">
        <v>55</v>
      </c>
      <c r="BC20" t="s">
        <v>550</v>
      </c>
      <c r="BD20" t="s">
        <v>548</v>
      </c>
      <c r="BE20">
        <v>3</v>
      </c>
      <c r="BF20" t="s">
        <v>584</v>
      </c>
      <c r="BG20">
        <v>24.4</v>
      </c>
      <c r="BH20">
        <v>498</v>
      </c>
      <c r="BI20" t="s">
        <v>264</v>
      </c>
      <c r="BJ20">
        <v>-9999</v>
      </c>
      <c r="BK20">
        <v>219</v>
      </c>
      <c r="BL20">
        <v>262</v>
      </c>
      <c r="BM20">
        <v>214</v>
      </c>
      <c r="BN20" t="s">
        <v>270</v>
      </c>
      <c r="BO20">
        <v>0</v>
      </c>
      <c r="BP20">
        <v>55</v>
      </c>
      <c r="BQ20" t="s">
        <v>504</v>
      </c>
      <c r="BR20" t="s">
        <v>548</v>
      </c>
      <c r="BS20">
        <v>4</v>
      </c>
      <c r="BT20" t="s">
        <v>584</v>
      </c>
      <c r="BU20">
        <v>31.4</v>
      </c>
      <c r="BV20">
        <v>250</v>
      </c>
      <c r="BW20" t="s">
        <v>264</v>
      </c>
      <c r="BX20">
        <v>-9999</v>
      </c>
      <c r="BY20">
        <v>190</v>
      </c>
      <c r="BZ20">
        <v>219</v>
      </c>
      <c r="CA20">
        <v>187</v>
      </c>
      <c r="CB20" t="s">
        <v>270</v>
      </c>
      <c r="CC20">
        <v>0</v>
      </c>
      <c r="CD20">
        <v>55</v>
      </c>
      <c r="CE20" t="s">
        <v>471</v>
      </c>
      <c r="CF20" t="s">
        <v>548</v>
      </c>
      <c r="CG20">
        <v>5</v>
      </c>
      <c r="CH20" t="s">
        <v>549</v>
      </c>
      <c r="CI20">
        <v>41.2</v>
      </c>
      <c r="CJ20">
        <v>123</v>
      </c>
      <c r="CK20" t="s">
        <v>264</v>
      </c>
      <c r="CL20">
        <v>-9999</v>
      </c>
      <c r="CM20">
        <v>424</v>
      </c>
      <c r="CN20">
        <v>491</v>
      </c>
      <c r="CO20">
        <v>423</v>
      </c>
      <c r="CP20" t="s">
        <v>270</v>
      </c>
      <c r="CQ20">
        <v>0</v>
      </c>
      <c r="CR20">
        <v>55</v>
      </c>
      <c r="CS20" t="s">
        <v>472</v>
      </c>
      <c r="CT20" t="s">
        <v>548</v>
      </c>
      <c r="CU20">
        <v>6</v>
      </c>
      <c r="CV20" t="s">
        <v>584</v>
      </c>
      <c r="CW20">
        <v>35.799999999999997</v>
      </c>
      <c r="CX20">
        <v>215</v>
      </c>
      <c r="CY20" t="s">
        <v>264</v>
      </c>
      <c r="CZ20">
        <v>-9999</v>
      </c>
      <c r="DA20">
        <v>539</v>
      </c>
      <c r="DB20">
        <v>611</v>
      </c>
      <c r="DC20">
        <v>530</v>
      </c>
      <c r="DD20" t="s">
        <v>270</v>
      </c>
      <c r="DE20">
        <v>0</v>
      </c>
      <c r="DF20">
        <v>55</v>
      </c>
      <c r="DG20" t="s">
        <v>473</v>
      </c>
      <c r="DH20" t="s">
        <v>548</v>
      </c>
      <c r="DI20">
        <v>7</v>
      </c>
      <c r="DJ20" t="s">
        <v>584</v>
      </c>
      <c r="DK20">
        <v>25.3</v>
      </c>
      <c r="DL20">
        <v>192</v>
      </c>
      <c r="DM20" t="s">
        <v>264</v>
      </c>
      <c r="DN20">
        <v>-9999</v>
      </c>
      <c r="DO20">
        <v>499</v>
      </c>
      <c r="DP20">
        <v>572</v>
      </c>
      <c r="DQ20">
        <v>495</v>
      </c>
      <c r="DR20" t="s">
        <v>270</v>
      </c>
      <c r="DS20">
        <v>0</v>
      </c>
      <c r="DT20">
        <v>55</v>
      </c>
      <c r="DU20" t="s">
        <v>474</v>
      </c>
      <c r="DV20" t="s">
        <v>548</v>
      </c>
      <c r="DW20">
        <v>8</v>
      </c>
      <c r="DX20" t="s">
        <v>584</v>
      </c>
      <c r="DY20">
        <v>22</v>
      </c>
      <c r="DZ20">
        <v>419</v>
      </c>
      <c r="EA20" t="s">
        <v>264</v>
      </c>
      <c r="EB20">
        <v>-9999</v>
      </c>
      <c r="EC20">
        <v>99</v>
      </c>
      <c r="ED20">
        <v>120</v>
      </c>
      <c r="EE20">
        <v>96</v>
      </c>
      <c r="EF20" t="s">
        <v>270</v>
      </c>
      <c r="EG20">
        <v>0</v>
      </c>
      <c r="EH20">
        <v>55</v>
      </c>
      <c r="EI20" t="s">
        <v>475</v>
      </c>
      <c r="EJ20" t="s">
        <v>548</v>
      </c>
      <c r="EK20">
        <v>9</v>
      </c>
      <c r="EL20" t="s">
        <v>584</v>
      </c>
      <c r="EM20">
        <v>25.9</v>
      </c>
      <c r="EN20">
        <v>79</v>
      </c>
      <c r="EO20" t="s">
        <v>264</v>
      </c>
      <c r="EP20">
        <v>-9999</v>
      </c>
      <c r="EQ20">
        <v>260</v>
      </c>
      <c r="ER20">
        <v>235</v>
      </c>
      <c r="ES20">
        <v>217</v>
      </c>
      <c r="ET20" t="s">
        <v>270</v>
      </c>
      <c r="EU20">
        <v>0</v>
      </c>
      <c r="EV20">
        <v>55</v>
      </c>
      <c r="EW20" t="s">
        <v>551</v>
      </c>
      <c r="EX20" t="s">
        <v>552</v>
      </c>
      <c r="EY20">
        <v>106</v>
      </c>
      <c r="EZ20">
        <v>106</v>
      </c>
      <c r="FA20">
        <v>106</v>
      </c>
      <c r="FB20" t="s">
        <v>270</v>
      </c>
      <c r="FC20" t="s">
        <v>553</v>
      </c>
      <c r="FD20" t="s">
        <v>552</v>
      </c>
      <c r="FE20">
        <v>270</v>
      </c>
      <c r="FF20">
        <v>268</v>
      </c>
      <c r="FG20">
        <v>268</v>
      </c>
      <c r="FH20" t="s">
        <v>270</v>
      </c>
      <c r="FI20" t="s">
        <v>554</v>
      </c>
      <c r="FJ20" t="s">
        <v>555</v>
      </c>
      <c r="FK20">
        <v>0</v>
      </c>
      <c r="FL20">
        <v>0</v>
      </c>
      <c r="FM20">
        <v>0</v>
      </c>
      <c r="FN20" t="s">
        <v>264</v>
      </c>
      <c r="FO20">
        <v>76.099999999999994</v>
      </c>
      <c r="FP20">
        <v>280.89999999999998</v>
      </c>
      <c r="FQ20" t="s">
        <v>556</v>
      </c>
      <c r="FR20" t="s">
        <v>555</v>
      </c>
      <c r="FS20">
        <v>0</v>
      </c>
      <c r="FT20">
        <v>0</v>
      </c>
      <c r="FU20">
        <v>0</v>
      </c>
      <c r="FV20" t="s">
        <v>264</v>
      </c>
      <c r="FW20">
        <v>73.5</v>
      </c>
      <c r="FX20">
        <v>74.8</v>
      </c>
      <c r="FY20" t="s">
        <v>557</v>
      </c>
      <c r="FZ20" t="s">
        <v>555</v>
      </c>
      <c r="GA20">
        <v>0</v>
      </c>
      <c r="GB20">
        <v>0</v>
      </c>
      <c r="GC20">
        <v>0</v>
      </c>
      <c r="GD20" t="s">
        <v>264</v>
      </c>
      <c r="GE20">
        <v>71.3</v>
      </c>
      <c r="GF20">
        <v>237.8</v>
      </c>
      <c r="GG20" t="s">
        <v>558</v>
      </c>
      <c r="GH20" t="s">
        <v>555</v>
      </c>
      <c r="GI20">
        <v>0</v>
      </c>
      <c r="GJ20">
        <v>0</v>
      </c>
      <c r="GK20">
        <v>0</v>
      </c>
      <c r="GL20" t="s">
        <v>264</v>
      </c>
      <c r="GM20">
        <v>68.5</v>
      </c>
      <c r="GN20">
        <v>45.1</v>
      </c>
      <c r="GO20" t="s">
        <v>559</v>
      </c>
      <c r="GP20" t="s">
        <v>555</v>
      </c>
      <c r="GQ20">
        <v>0</v>
      </c>
      <c r="GR20">
        <v>0</v>
      </c>
      <c r="GS20">
        <v>0</v>
      </c>
      <c r="GT20" t="s">
        <v>264</v>
      </c>
      <c r="GU20">
        <v>76</v>
      </c>
      <c r="GV20">
        <v>48.1</v>
      </c>
      <c r="GW20" t="s">
        <v>560</v>
      </c>
      <c r="GX20" t="s">
        <v>555</v>
      </c>
      <c r="GY20">
        <v>0</v>
      </c>
      <c r="GZ20">
        <v>0</v>
      </c>
      <c r="HA20">
        <v>0</v>
      </c>
      <c r="HB20" t="s">
        <v>264</v>
      </c>
      <c r="HC20">
        <v>70.3</v>
      </c>
      <c r="HD20">
        <v>61.4</v>
      </c>
      <c r="HE20" t="s">
        <v>561</v>
      </c>
      <c r="HF20" t="s">
        <v>555</v>
      </c>
      <c r="HG20">
        <v>0</v>
      </c>
      <c r="HH20">
        <v>0</v>
      </c>
      <c r="HI20">
        <v>0</v>
      </c>
      <c r="HJ20" t="s">
        <v>264</v>
      </c>
      <c r="HK20">
        <v>71</v>
      </c>
      <c r="HL20">
        <v>101.9</v>
      </c>
      <c r="HM20" t="s">
        <v>562</v>
      </c>
      <c r="HN20" t="s">
        <v>555</v>
      </c>
      <c r="HO20">
        <v>0</v>
      </c>
      <c r="HP20">
        <v>0</v>
      </c>
      <c r="HQ20">
        <v>0</v>
      </c>
      <c r="HR20" t="s">
        <v>264</v>
      </c>
      <c r="HS20">
        <v>69.2</v>
      </c>
      <c r="HT20">
        <v>77.8</v>
      </c>
      <c r="HU20" t="s">
        <v>563</v>
      </c>
      <c r="HV20" t="s">
        <v>555</v>
      </c>
      <c r="HW20">
        <v>0</v>
      </c>
      <c r="HX20">
        <v>0</v>
      </c>
      <c r="HY20">
        <v>0</v>
      </c>
      <c r="HZ20" t="s">
        <v>264</v>
      </c>
      <c r="IA20">
        <v>74.8</v>
      </c>
      <c r="IB20">
        <v>161.5</v>
      </c>
      <c r="IC20" t="s">
        <v>564</v>
      </c>
      <c r="ID20" t="s">
        <v>555</v>
      </c>
      <c r="IE20">
        <v>0</v>
      </c>
      <c r="IF20">
        <v>0</v>
      </c>
      <c r="IG20">
        <v>0</v>
      </c>
      <c r="IH20" t="s">
        <v>264</v>
      </c>
      <c r="II20">
        <v>68.3</v>
      </c>
      <c r="IJ20">
        <v>93.8</v>
      </c>
      <c r="IK20" t="s">
        <v>565</v>
      </c>
      <c r="IL20" t="s">
        <v>555</v>
      </c>
      <c r="IM20">
        <v>0</v>
      </c>
      <c r="IN20">
        <v>0</v>
      </c>
      <c r="IO20">
        <v>0</v>
      </c>
      <c r="IP20" t="s">
        <v>264</v>
      </c>
      <c r="IS20" t="s">
        <v>566</v>
      </c>
      <c r="IT20" t="s">
        <v>555</v>
      </c>
      <c r="IU20">
        <v>0</v>
      </c>
      <c r="IV20">
        <v>0</v>
      </c>
      <c r="IW20">
        <v>0</v>
      </c>
      <c r="IX20" t="s">
        <v>264</v>
      </c>
      <c r="JA20" t="s">
        <v>567</v>
      </c>
      <c r="JB20" t="s">
        <v>555</v>
      </c>
      <c r="JC20">
        <v>0</v>
      </c>
      <c r="JD20">
        <v>0</v>
      </c>
      <c r="JE20">
        <v>0</v>
      </c>
      <c r="JF20" t="s">
        <v>264</v>
      </c>
      <c r="JI20" t="s">
        <v>568</v>
      </c>
      <c r="JJ20" t="s">
        <v>555</v>
      </c>
      <c r="JK20">
        <v>0</v>
      </c>
      <c r="JL20">
        <v>0</v>
      </c>
      <c r="JM20">
        <v>0</v>
      </c>
      <c r="JN20" t="s">
        <v>264</v>
      </c>
      <c r="JQ20" t="s">
        <v>569</v>
      </c>
      <c r="JR20" t="s">
        <v>555</v>
      </c>
      <c r="JS20">
        <v>0</v>
      </c>
      <c r="JT20">
        <v>0</v>
      </c>
      <c r="JU20">
        <v>0</v>
      </c>
      <c r="JV20" t="s">
        <v>264</v>
      </c>
      <c r="JY20" t="s">
        <v>570</v>
      </c>
      <c r="JZ20" t="s">
        <v>555</v>
      </c>
      <c r="KA20">
        <v>0</v>
      </c>
      <c r="KB20">
        <v>0</v>
      </c>
      <c r="KC20">
        <v>0</v>
      </c>
      <c r="KD20" t="s">
        <v>264</v>
      </c>
      <c r="KG20" t="s">
        <v>571</v>
      </c>
      <c r="KH20" t="s">
        <v>555</v>
      </c>
      <c r="KI20">
        <v>0</v>
      </c>
      <c r="KJ20">
        <v>0</v>
      </c>
      <c r="KK20">
        <v>0</v>
      </c>
      <c r="KL20" t="s">
        <v>264</v>
      </c>
      <c r="KO20" t="s">
        <v>572</v>
      </c>
      <c r="KP20" t="s">
        <v>555</v>
      </c>
      <c r="KQ20">
        <v>0</v>
      </c>
      <c r="KR20">
        <v>0</v>
      </c>
      <c r="KS20">
        <v>0</v>
      </c>
      <c r="KT20" t="s">
        <v>264</v>
      </c>
      <c r="KW20" t="s">
        <v>573</v>
      </c>
      <c r="KX20" t="s">
        <v>555</v>
      </c>
      <c r="KY20">
        <v>0</v>
      </c>
      <c r="KZ20">
        <v>0</v>
      </c>
      <c r="LA20">
        <v>0</v>
      </c>
      <c r="LB20" t="s">
        <v>264</v>
      </c>
      <c r="LE20" t="s">
        <v>574</v>
      </c>
      <c r="LF20" t="s">
        <v>555</v>
      </c>
      <c r="LG20">
        <v>0</v>
      </c>
      <c r="LH20">
        <v>0</v>
      </c>
      <c r="LI20">
        <v>0</v>
      </c>
      <c r="LJ20" t="s">
        <v>264</v>
      </c>
      <c r="LM20" t="s">
        <v>575</v>
      </c>
      <c r="LN20" t="s">
        <v>555</v>
      </c>
      <c r="LO20">
        <v>0</v>
      </c>
      <c r="LP20">
        <v>0</v>
      </c>
      <c r="LQ20">
        <v>0</v>
      </c>
      <c r="LR20" t="s">
        <v>264</v>
      </c>
      <c r="LU20" t="s">
        <v>576</v>
      </c>
      <c r="LV20" t="s">
        <v>555</v>
      </c>
      <c r="LW20">
        <v>0</v>
      </c>
      <c r="LX20">
        <v>0</v>
      </c>
      <c r="LY20">
        <v>0</v>
      </c>
      <c r="LZ20" t="s">
        <v>264</v>
      </c>
      <c r="MC20" t="s">
        <v>577</v>
      </c>
      <c r="MD20" t="s">
        <v>555</v>
      </c>
      <c r="ME20">
        <v>0</v>
      </c>
      <c r="MF20">
        <v>0</v>
      </c>
      <c r="MG20">
        <v>0</v>
      </c>
      <c r="MH20" t="s">
        <v>264</v>
      </c>
      <c r="MK20" t="s">
        <v>578</v>
      </c>
      <c r="ML20" t="s">
        <v>555</v>
      </c>
      <c r="MM20">
        <v>0</v>
      </c>
      <c r="MN20">
        <v>0</v>
      </c>
      <c r="MO20">
        <v>0</v>
      </c>
      <c r="MP20" t="s">
        <v>264</v>
      </c>
      <c r="MS20" t="s">
        <v>579</v>
      </c>
      <c r="MT20" t="s">
        <v>555</v>
      </c>
      <c r="MU20">
        <v>0</v>
      </c>
      <c r="MV20">
        <v>0</v>
      </c>
      <c r="MW20">
        <v>0</v>
      </c>
      <c r="MX20" t="s">
        <v>264</v>
      </c>
      <c r="NA20" t="s">
        <v>580</v>
      </c>
      <c r="NB20" t="s">
        <v>555</v>
      </c>
      <c r="NC20">
        <v>0</v>
      </c>
      <c r="ND20">
        <v>0</v>
      </c>
      <c r="NE20">
        <v>0</v>
      </c>
      <c r="NF20" t="s">
        <v>264</v>
      </c>
      <c r="NI20">
        <v>40.1</v>
      </c>
      <c r="NJ20">
        <v>-11.9</v>
      </c>
      <c r="NP20" t="s">
        <v>581</v>
      </c>
    </row>
    <row r="21" spans="1:380" customFormat="1" x14ac:dyDescent="0.2">
      <c r="A21" t="s">
        <v>517</v>
      </c>
      <c r="B21">
        <v>1</v>
      </c>
      <c r="C21" t="s">
        <v>843</v>
      </c>
      <c r="D21">
        <v>646952572</v>
      </c>
      <c r="E21">
        <v>12602</v>
      </c>
      <c r="F21" t="s">
        <v>805</v>
      </c>
      <c r="G21">
        <v>750172</v>
      </c>
      <c r="H21">
        <v>210061969</v>
      </c>
      <c r="I21" t="s">
        <v>543</v>
      </c>
      <c r="J21" t="s">
        <v>844</v>
      </c>
      <c r="K21" t="s">
        <v>545</v>
      </c>
      <c r="L21" t="s">
        <v>442</v>
      </c>
      <c r="M21" t="s">
        <v>546</v>
      </c>
      <c r="N21" t="s">
        <v>468</v>
      </c>
      <c r="O21" t="s">
        <v>547</v>
      </c>
      <c r="P21" t="s">
        <v>264</v>
      </c>
      <c r="Q21">
        <v>28.7</v>
      </c>
      <c r="R21">
        <v>202</v>
      </c>
      <c r="S21" t="s">
        <v>264</v>
      </c>
      <c r="T21">
        <v>-9999</v>
      </c>
      <c r="U21">
        <v>654</v>
      </c>
      <c r="V21">
        <v>677</v>
      </c>
      <c r="W21">
        <v>642</v>
      </c>
      <c r="X21" t="s">
        <v>270</v>
      </c>
      <c r="Y21">
        <v>0</v>
      </c>
      <c r="Z21">
        <v>55</v>
      </c>
      <c r="AA21" t="s">
        <v>469</v>
      </c>
      <c r="AB21" t="s">
        <v>548</v>
      </c>
      <c r="AC21">
        <v>1</v>
      </c>
      <c r="AD21" t="s">
        <v>584</v>
      </c>
      <c r="AE21">
        <v>27.2</v>
      </c>
      <c r="AF21">
        <v>1093</v>
      </c>
      <c r="AG21" t="s">
        <v>264</v>
      </c>
      <c r="AH21">
        <v>-9999</v>
      </c>
      <c r="AI21">
        <v>537</v>
      </c>
      <c r="AJ21">
        <v>642</v>
      </c>
      <c r="AK21">
        <v>528</v>
      </c>
      <c r="AL21" t="s">
        <v>270</v>
      </c>
      <c r="AM21">
        <v>0</v>
      </c>
      <c r="AN21">
        <v>55</v>
      </c>
      <c r="AO21" t="s">
        <v>470</v>
      </c>
      <c r="AP21" t="s">
        <v>548</v>
      </c>
      <c r="AQ21">
        <v>2</v>
      </c>
      <c r="AR21" t="s">
        <v>584</v>
      </c>
      <c r="AS21">
        <v>39.1</v>
      </c>
      <c r="AT21">
        <v>292</v>
      </c>
      <c r="AU21" t="s">
        <v>264</v>
      </c>
      <c r="AV21">
        <v>-9999</v>
      </c>
      <c r="AW21">
        <v>431</v>
      </c>
      <c r="AX21">
        <v>454</v>
      </c>
      <c r="AY21">
        <v>426</v>
      </c>
      <c r="AZ21" t="s">
        <v>270</v>
      </c>
      <c r="BA21">
        <v>0</v>
      </c>
      <c r="BB21">
        <v>55</v>
      </c>
      <c r="BC21" t="s">
        <v>550</v>
      </c>
      <c r="BD21" t="s">
        <v>548</v>
      </c>
      <c r="BE21">
        <v>3</v>
      </c>
      <c r="BF21" t="s">
        <v>584</v>
      </c>
      <c r="BG21">
        <v>21.6</v>
      </c>
      <c r="BH21">
        <v>1911</v>
      </c>
      <c r="BI21" t="s">
        <v>264</v>
      </c>
      <c r="BJ21">
        <v>-9999</v>
      </c>
      <c r="BK21">
        <v>20</v>
      </c>
      <c r="BL21">
        <v>50</v>
      </c>
      <c r="BM21">
        <v>27</v>
      </c>
      <c r="BN21" t="s">
        <v>270</v>
      </c>
      <c r="BO21">
        <v>0</v>
      </c>
      <c r="BP21">
        <v>55</v>
      </c>
      <c r="BQ21" t="s">
        <v>504</v>
      </c>
      <c r="BR21" t="s">
        <v>548</v>
      </c>
      <c r="BS21">
        <v>4</v>
      </c>
      <c r="BT21" t="s">
        <v>584</v>
      </c>
      <c r="BU21">
        <v>31.5</v>
      </c>
      <c r="BV21">
        <v>252</v>
      </c>
      <c r="BW21" t="s">
        <v>264</v>
      </c>
      <c r="BX21">
        <v>-9999</v>
      </c>
      <c r="BY21">
        <v>226</v>
      </c>
      <c r="BZ21">
        <v>262</v>
      </c>
      <c r="CA21">
        <v>224</v>
      </c>
      <c r="CB21" t="s">
        <v>270</v>
      </c>
      <c r="CC21">
        <v>0</v>
      </c>
      <c r="CD21">
        <v>55</v>
      </c>
      <c r="CE21" t="s">
        <v>471</v>
      </c>
      <c r="CF21" t="s">
        <v>548</v>
      </c>
      <c r="CG21">
        <v>5</v>
      </c>
      <c r="CH21" t="s">
        <v>584</v>
      </c>
      <c r="CI21">
        <v>35.5</v>
      </c>
      <c r="CJ21">
        <v>215</v>
      </c>
      <c r="CK21" t="s">
        <v>264</v>
      </c>
      <c r="CL21">
        <v>-9999</v>
      </c>
      <c r="CM21">
        <v>528</v>
      </c>
      <c r="CN21">
        <v>618</v>
      </c>
      <c r="CO21">
        <v>527</v>
      </c>
      <c r="CP21" t="s">
        <v>270</v>
      </c>
      <c r="CQ21">
        <v>0</v>
      </c>
      <c r="CR21">
        <v>55</v>
      </c>
      <c r="CS21" t="s">
        <v>472</v>
      </c>
      <c r="CT21" t="s">
        <v>548</v>
      </c>
      <c r="CU21">
        <v>6</v>
      </c>
      <c r="CV21" t="s">
        <v>584</v>
      </c>
      <c r="CW21">
        <v>37.700000000000003</v>
      </c>
      <c r="CX21">
        <v>165</v>
      </c>
      <c r="CY21" t="s">
        <v>264</v>
      </c>
      <c r="CZ21">
        <v>-9999</v>
      </c>
      <c r="DA21">
        <v>670</v>
      </c>
      <c r="DB21">
        <v>761</v>
      </c>
      <c r="DC21">
        <v>660</v>
      </c>
      <c r="DD21" t="s">
        <v>270</v>
      </c>
      <c r="DE21">
        <v>0</v>
      </c>
      <c r="DF21">
        <v>55</v>
      </c>
      <c r="DG21" t="s">
        <v>473</v>
      </c>
      <c r="DH21" t="s">
        <v>548</v>
      </c>
      <c r="DI21">
        <v>7</v>
      </c>
      <c r="DJ21" t="s">
        <v>584</v>
      </c>
      <c r="DK21">
        <v>25.4</v>
      </c>
      <c r="DL21">
        <v>262</v>
      </c>
      <c r="DM21" t="s">
        <v>264</v>
      </c>
      <c r="DN21">
        <v>-9999</v>
      </c>
      <c r="DO21">
        <v>561</v>
      </c>
      <c r="DP21">
        <v>645</v>
      </c>
      <c r="DQ21">
        <v>555</v>
      </c>
      <c r="DR21" t="s">
        <v>270</v>
      </c>
      <c r="DS21">
        <v>0</v>
      </c>
      <c r="DT21">
        <v>55</v>
      </c>
      <c r="DU21" t="s">
        <v>474</v>
      </c>
      <c r="DV21" t="s">
        <v>548</v>
      </c>
      <c r="DW21">
        <v>8</v>
      </c>
      <c r="DX21" t="s">
        <v>584</v>
      </c>
      <c r="DY21">
        <v>22.6</v>
      </c>
      <c r="DZ21">
        <v>399</v>
      </c>
      <c r="EA21" t="s">
        <v>264</v>
      </c>
      <c r="EB21">
        <v>-9999</v>
      </c>
      <c r="EC21">
        <v>112</v>
      </c>
      <c r="ED21">
        <v>134</v>
      </c>
      <c r="EE21">
        <v>110</v>
      </c>
      <c r="EF21" t="s">
        <v>270</v>
      </c>
      <c r="EG21">
        <v>0</v>
      </c>
      <c r="EH21">
        <v>55</v>
      </c>
      <c r="EI21" t="s">
        <v>475</v>
      </c>
      <c r="EJ21" t="s">
        <v>548</v>
      </c>
      <c r="EK21">
        <v>9</v>
      </c>
      <c r="EL21" t="s">
        <v>584</v>
      </c>
      <c r="EM21">
        <v>27</v>
      </c>
      <c r="EN21">
        <v>104</v>
      </c>
      <c r="EO21" t="s">
        <v>264</v>
      </c>
      <c r="EP21">
        <v>-9999</v>
      </c>
      <c r="EQ21">
        <v>398</v>
      </c>
      <c r="ER21">
        <v>384</v>
      </c>
      <c r="ES21">
        <v>354</v>
      </c>
      <c r="ET21" t="s">
        <v>270</v>
      </c>
      <c r="EU21">
        <v>0</v>
      </c>
      <c r="EV21">
        <v>55</v>
      </c>
      <c r="EW21" t="s">
        <v>551</v>
      </c>
      <c r="EX21" t="s">
        <v>552</v>
      </c>
      <c r="EY21">
        <v>121</v>
      </c>
      <c r="EZ21">
        <v>122</v>
      </c>
      <c r="FA21">
        <v>122</v>
      </c>
      <c r="FB21" t="s">
        <v>270</v>
      </c>
      <c r="FC21" t="s">
        <v>553</v>
      </c>
      <c r="FD21" t="s">
        <v>552</v>
      </c>
      <c r="FE21">
        <v>310</v>
      </c>
      <c r="FF21">
        <v>309</v>
      </c>
      <c r="FG21">
        <v>307</v>
      </c>
      <c r="FH21" t="s">
        <v>270</v>
      </c>
      <c r="FI21" t="s">
        <v>554</v>
      </c>
      <c r="FJ21" t="s">
        <v>555</v>
      </c>
      <c r="FK21">
        <v>0</v>
      </c>
      <c r="FL21">
        <v>0</v>
      </c>
      <c r="FM21">
        <v>0</v>
      </c>
      <c r="FN21" t="s">
        <v>264</v>
      </c>
      <c r="FO21">
        <v>76.2</v>
      </c>
      <c r="FP21">
        <v>271.89999999999998</v>
      </c>
      <c r="FQ21" t="s">
        <v>556</v>
      </c>
      <c r="FR21" t="s">
        <v>555</v>
      </c>
      <c r="FS21">
        <v>0</v>
      </c>
      <c r="FT21">
        <v>0</v>
      </c>
      <c r="FU21">
        <v>0</v>
      </c>
      <c r="FV21" t="s">
        <v>264</v>
      </c>
      <c r="FW21">
        <v>73.7</v>
      </c>
      <c r="FX21">
        <v>103</v>
      </c>
      <c r="FY21" t="s">
        <v>557</v>
      </c>
      <c r="FZ21" t="s">
        <v>555</v>
      </c>
      <c r="GA21">
        <v>0</v>
      </c>
      <c r="GB21">
        <v>0</v>
      </c>
      <c r="GC21">
        <v>0</v>
      </c>
      <c r="GD21" t="s">
        <v>264</v>
      </c>
      <c r="GE21">
        <v>71.5</v>
      </c>
      <c r="GF21">
        <v>216.1</v>
      </c>
      <c r="GG21" t="s">
        <v>558</v>
      </c>
      <c r="GH21" t="s">
        <v>555</v>
      </c>
      <c r="GI21">
        <v>0</v>
      </c>
      <c r="GJ21">
        <v>0</v>
      </c>
      <c r="GK21">
        <v>0</v>
      </c>
      <c r="GL21" t="s">
        <v>264</v>
      </c>
      <c r="GM21">
        <v>68.599999999999994</v>
      </c>
      <c r="GN21">
        <v>55.2</v>
      </c>
      <c r="GO21" t="s">
        <v>559</v>
      </c>
      <c r="GP21" t="s">
        <v>555</v>
      </c>
      <c r="GQ21">
        <v>0</v>
      </c>
      <c r="GR21">
        <v>0</v>
      </c>
      <c r="GS21">
        <v>0</v>
      </c>
      <c r="GT21" t="s">
        <v>264</v>
      </c>
      <c r="GU21">
        <v>76.2</v>
      </c>
      <c r="GV21">
        <v>57.6</v>
      </c>
      <c r="GW21" t="s">
        <v>560</v>
      </c>
      <c r="GX21" t="s">
        <v>555</v>
      </c>
      <c r="GY21">
        <v>0</v>
      </c>
      <c r="GZ21">
        <v>0</v>
      </c>
      <c r="HA21">
        <v>0</v>
      </c>
      <c r="HB21" t="s">
        <v>264</v>
      </c>
      <c r="HC21">
        <v>70.5</v>
      </c>
      <c r="HD21">
        <v>80.599999999999994</v>
      </c>
      <c r="HE21" t="s">
        <v>561</v>
      </c>
      <c r="HF21" t="s">
        <v>555</v>
      </c>
      <c r="HG21">
        <v>0</v>
      </c>
      <c r="HH21">
        <v>0</v>
      </c>
      <c r="HI21">
        <v>0</v>
      </c>
      <c r="HJ21" t="s">
        <v>264</v>
      </c>
      <c r="HK21">
        <v>71.099999999999994</v>
      </c>
      <c r="HL21">
        <v>119.5</v>
      </c>
      <c r="HM21" t="s">
        <v>562</v>
      </c>
      <c r="HN21" t="s">
        <v>555</v>
      </c>
      <c r="HO21">
        <v>0</v>
      </c>
      <c r="HP21">
        <v>0</v>
      </c>
      <c r="HQ21">
        <v>0</v>
      </c>
      <c r="HR21" t="s">
        <v>264</v>
      </c>
      <c r="HS21">
        <v>69.400000000000006</v>
      </c>
      <c r="HT21">
        <v>88.3</v>
      </c>
      <c r="HU21" t="s">
        <v>563</v>
      </c>
      <c r="HV21" t="s">
        <v>555</v>
      </c>
      <c r="HW21">
        <v>0</v>
      </c>
      <c r="HX21">
        <v>0</v>
      </c>
      <c r="HY21">
        <v>0</v>
      </c>
      <c r="HZ21" t="s">
        <v>264</v>
      </c>
      <c r="IA21">
        <v>74.900000000000006</v>
      </c>
      <c r="IB21">
        <v>180.7</v>
      </c>
      <c r="IC21" t="s">
        <v>564</v>
      </c>
      <c r="ID21" t="s">
        <v>555</v>
      </c>
      <c r="IE21">
        <v>0</v>
      </c>
      <c r="IF21">
        <v>0</v>
      </c>
      <c r="IG21">
        <v>0</v>
      </c>
      <c r="IH21" t="s">
        <v>264</v>
      </c>
      <c r="II21">
        <v>68.5</v>
      </c>
      <c r="IJ21">
        <v>122.8</v>
      </c>
      <c r="IK21" t="s">
        <v>565</v>
      </c>
      <c r="IL21" t="s">
        <v>555</v>
      </c>
      <c r="IM21">
        <v>0</v>
      </c>
      <c r="IN21">
        <v>0</v>
      </c>
      <c r="IO21">
        <v>0</v>
      </c>
      <c r="IP21" t="s">
        <v>264</v>
      </c>
      <c r="IS21" t="s">
        <v>566</v>
      </c>
      <c r="IT21" t="s">
        <v>555</v>
      </c>
      <c r="IU21">
        <v>0</v>
      </c>
      <c r="IV21">
        <v>0</v>
      </c>
      <c r="IW21">
        <v>0</v>
      </c>
      <c r="IX21" t="s">
        <v>264</v>
      </c>
      <c r="JA21" t="s">
        <v>567</v>
      </c>
      <c r="JB21" t="s">
        <v>555</v>
      </c>
      <c r="JC21">
        <v>0</v>
      </c>
      <c r="JD21">
        <v>0</v>
      </c>
      <c r="JE21">
        <v>0</v>
      </c>
      <c r="JF21" t="s">
        <v>264</v>
      </c>
      <c r="JI21" t="s">
        <v>568</v>
      </c>
      <c r="JJ21" t="s">
        <v>555</v>
      </c>
      <c r="JK21">
        <v>0</v>
      </c>
      <c r="JL21">
        <v>0</v>
      </c>
      <c r="JM21">
        <v>0</v>
      </c>
      <c r="JN21" t="s">
        <v>264</v>
      </c>
      <c r="JQ21" t="s">
        <v>569</v>
      </c>
      <c r="JR21" t="s">
        <v>555</v>
      </c>
      <c r="JS21">
        <v>0</v>
      </c>
      <c r="JT21">
        <v>0</v>
      </c>
      <c r="JU21">
        <v>0</v>
      </c>
      <c r="JV21" t="s">
        <v>264</v>
      </c>
      <c r="JY21" t="s">
        <v>570</v>
      </c>
      <c r="JZ21" t="s">
        <v>555</v>
      </c>
      <c r="KA21">
        <v>0</v>
      </c>
      <c r="KB21">
        <v>0</v>
      </c>
      <c r="KC21">
        <v>0</v>
      </c>
      <c r="KD21" t="s">
        <v>264</v>
      </c>
      <c r="KG21" t="s">
        <v>571</v>
      </c>
      <c r="KH21" t="s">
        <v>555</v>
      </c>
      <c r="KI21">
        <v>0</v>
      </c>
      <c r="KJ21">
        <v>0</v>
      </c>
      <c r="KK21">
        <v>0</v>
      </c>
      <c r="KL21" t="s">
        <v>264</v>
      </c>
      <c r="KO21" t="s">
        <v>572</v>
      </c>
      <c r="KP21" t="s">
        <v>555</v>
      </c>
      <c r="KQ21">
        <v>0</v>
      </c>
      <c r="KR21">
        <v>0</v>
      </c>
      <c r="KS21">
        <v>0</v>
      </c>
      <c r="KT21" t="s">
        <v>264</v>
      </c>
      <c r="KW21" t="s">
        <v>573</v>
      </c>
      <c r="KX21" t="s">
        <v>555</v>
      </c>
      <c r="KY21">
        <v>0</v>
      </c>
      <c r="KZ21">
        <v>0</v>
      </c>
      <c r="LA21">
        <v>0</v>
      </c>
      <c r="LB21" t="s">
        <v>264</v>
      </c>
      <c r="LE21" t="s">
        <v>574</v>
      </c>
      <c r="LF21" t="s">
        <v>555</v>
      </c>
      <c r="LG21">
        <v>0</v>
      </c>
      <c r="LH21">
        <v>0</v>
      </c>
      <c r="LI21">
        <v>0</v>
      </c>
      <c r="LJ21" t="s">
        <v>264</v>
      </c>
      <c r="LM21" t="s">
        <v>575</v>
      </c>
      <c r="LN21" t="s">
        <v>555</v>
      </c>
      <c r="LO21">
        <v>0</v>
      </c>
      <c r="LP21">
        <v>0</v>
      </c>
      <c r="LQ21">
        <v>0</v>
      </c>
      <c r="LR21" t="s">
        <v>264</v>
      </c>
      <c r="LU21" t="s">
        <v>576</v>
      </c>
      <c r="LV21" t="s">
        <v>555</v>
      </c>
      <c r="LW21">
        <v>0</v>
      </c>
      <c r="LX21">
        <v>0</v>
      </c>
      <c r="LY21">
        <v>0</v>
      </c>
      <c r="LZ21" t="s">
        <v>264</v>
      </c>
      <c r="MC21" t="s">
        <v>577</v>
      </c>
      <c r="MD21" t="s">
        <v>555</v>
      </c>
      <c r="ME21">
        <v>0</v>
      </c>
      <c r="MF21">
        <v>0</v>
      </c>
      <c r="MG21">
        <v>0</v>
      </c>
      <c r="MH21" t="s">
        <v>264</v>
      </c>
      <c r="MK21" t="s">
        <v>578</v>
      </c>
      <c r="ML21" t="s">
        <v>555</v>
      </c>
      <c r="MM21">
        <v>0</v>
      </c>
      <c r="MN21">
        <v>0</v>
      </c>
      <c r="MO21">
        <v>0</v>
      </c>
      <c r="MP21" t="s">
        <v>264</v>
      </c>
      <c r="MS21" t="s">
        <v>579</v>
      </c>
      <c r="MT21" t="s">
        <v>555</v>
      </c>
      <c r="MU21">
        <v>0</v>
      </c>
      <c r="MV21">
        <v>0</v>
      </c>
      <c r="MW21">
        <v>0</v>
      </c>
      <c r="MX21" t="s">
        <v>264</v>
      </c>
      <c r="NA21" t="s">
        <v>580</v>
      </c>
      <c r="NB21" t="s">
        <v>555</v>
      </c>
      <c r="NC21">
        <v>0</v>
      </c>
      <c r="ND21">
        <v>0</v>
      </c>
      <c r="NE21">
        <v>0</v>
      </c>
      <c r="NF21" t="s">
        <v>264</v>
      </c>
      <c r="NI21">
        <v>40.1</v>
      </c>
      <c r="NJ21">
        <v>-9.6</v>
      </c>
      <c r="NP21" t="s">
        <v>581</v>
      </c>
    </row>
    <row r="22" spans="1:380" customFormat="1" x14ac:dyDescent="0.2">
      <c r="A22" t="s">
        <v>517</v>
      </c>
      <c r="B22">
        <v>1</v>
      </c>
      <c r="C22" t="s">
        <v>845</v>
      </c>
      <c r="D22">
        <v>646952405</v>
      </c>
      <c r="E22">
        <v>12602</v>
      </c>
      <c r="F22" t="s">
        <v>805</v>
      </c>
      <c r="G22">
        <v>750173</v>
      </c>
      <c r="H22">
        <v>210054923</v>
      </c>
      <c r="I22" t="s">
        <v>543</v>
      </c>
      <c r="J22" t="s">
        <v>846</v>
      </c>
      <c r="K22" t="s">
        <v>545</v>
      </c>
      <c r="L22" t="s">
        <v>442</v>
      </c>
      <c r="M22" t="s">
        <v>546</v>
      </c>
      <c r="N22" t="s">
        <v>468</v>
      </c>
      <c r="O22" t="s">
        <v>547</v>
      </c>
      <c r="P22" t="s">
        <v>264</v>
      </c>
      <c r="Q22">
        <v>25.6</v>
      </c>
      <c r="R22">
        <v>238</v>
      </c>
      <c r="S22" t="s">
        <v>264</v>
      </c>
      <c r="T22">
        <v>-9999</v>
      </c>
      <c r="U22">
        <v>433</v>
      </c>
      <c r="V22">
        <v>445</v>
      </c>
      <c r="W22">
        <v>425</v>
      </c>
      <c r="X22" t="s">
        <v>270</v>
      </c>
      <c r="Y22">
        <v>0</v>
      </c>
      <c r="Z22">
        <v>55</v>
      </c>
      <c r="AA22" t="s">
        <v>469</v>
      </c>
      <c r="AB22" t="s">
        <v>548</v>
      </c>
      <c r="AC22">
        <v>1</v>
      </c>
      <c r="AD22" t="s">
        <v>584</v>
      </c>
      <c r="AE22">
        <v>24.9</v>
      </c>
      <c r="AF22">
        <v>1349</v>
      </c>
      <c r="AG22" t="s">
        <v>264</v>
      </c>
      <c r="AH22">
        <v>-9999</v>
      </c>
      <c r="AI22">
        <v>434</v>
      </c>
      <c r="AJ22">
        <v>533</v>
      </c>
      <c r="AK22">
        <v>432</v>
      </c>
      <c r="AL22" t="s">
        <v>270</v>
      </c>
      <c r="AM22">
        <v>0</v>
      </c>
      <c r="AN22">
        <v>55</v>
      </c>
      <c r="AO22" t="s">
        <v>470</v>
      </c>
      <c r="AP22" t="s">
        <v>548</v>
      </c>
      <c r="AQ22">
        <v>2</v>
      </c>
      <c r="AR22" t="s">
        <v>584</v>
      </c>
      <c r="AS22">
        <v>35.6</v>
      </c>
      <c r="AT22">
        <v>351</v>
      </c>
      <c r="AU22" t="s">
        <v>264</v>
      </c>
      <c r="AV22">
        <v>-9999</v>
      </c>
      <c r="AW22">
        <v>315</v>
      </c>
      <c r="AX22">
        <v>329</v>
      </c>
      <c r="AY22">
        <v>313</v>
      </c>
      <c r="AZ22" t="s">
        <v>270</v>
      </c>
      <c r="BA22">
        <v>0</v>
      </c>
      <c r="BB22">
        <v>55</v>
      </c>
      <c r="BC22" t="s">
        <v>550</v>
      </c>
      <c r="BD22" t="s">
        <v>548</v>
      </c>
      <c r="BE22">
        <v>3</v>
      </c>
      <c r="BF22" t="s">
        <v>584</v>
      </c>
      <c r="BG22">
        <v>20.9</v>
      </c>
      <c r="BH22">
        <v>693</v>
      </c>
      <c r="BI22" t="s">
        <v>264</v>
      </c>
      <c r="BJ22">
        <v>-9999</v>
      </c>
      <c r="BK22">
        <v>158</v>
      </c>
      <c r="BL22">
        <v>200</v>
      </c>
      <c r="BM22">
        <v>157</v>
      </c>
      <c r="BN22" t="s">
        <v>270</v>
      </c>
      <c r="BO22">
        <v>0</v>
      </c>
      <c r="BP22">
        <v>55</v>
      </c>
      <c r="BQ22" t="s">
        <v>504</v>
      </c>
      <c r="BR22" t="s">
        <v>548</v>
      </c>
      <c r="BS22">
        <v>4</v>
      </c>
      <c r="BT22" t="s">
        <v>584</v>
      </c>
      <c r="BU22">
        <v>29</v>
      </c>
      <c r="BV22">
        <v>273</v>
      </c>
      <c r="BW22" t="s">
        <v>264</v>
      </c>
      <c r="BX22">
        <v>-9999</v>
      </c>
      <c r="BY22">
        <v>185</v>
      </c>
      <c r="BZ22">
        <v>214</v>
      </c>
      <c r="CA22">
        <v>183</v>
      </c>
      <c r="CB22" t="s">
        <v>270</v>
      </c>
      <c r="CC22">
        <v>0</v>
      </c>
      <c r="CD22">
        <v>55</v>
      </c>
      <c r="CE22" t="s">
        <v>471</v>
      </c>
      <c r="CF22" t="s">
        <v>548</v>
      </c>
      <c r="CG22">
        <v>5</v>
      </c>
      <c r="CH22" t="s">
        <v>584</v>
      </c>
      <c r="CI22">
        <v>37.1</v>
      </c>
      <c r="CJ22">
        <v>167</v>
      </c>
      <c r="CK22" t="s">
        <v>264</v>
      </c>
      <c r="CL22">
        <v>-9999</v>
      </c>
      <c r="CM22">
        <v>464</v>
      </c>
      <c r="CN22">
        <v>542</v>
      </c>
      <c r="CO22">
        <v>464</v>
      </c>
      <c r="CP22" t="s">
        <v>270</v>
      </c>
      <c r="CQ22">
        <v>0</v>
      </c>
      <c r="CR22">
        <v>55</v>
      </c>
      <c r="CS22" t="s">
        <v>472</v>
      </c>
      <c r="CT22" t="s">
        <v>548</v>
      </c>
      <c r="CU22">
        <v>6</v>
      </c>
      <c r="CV22" t="s">
        <v>584</v>
      </c>
      <c r="CW22">
        <v>33.200000000000003</v>
      </c>
      <c r="CX22">
        <v>237</v>
      </c>
      <c r="CY22" t="s">
        <v>264</v>
      </c>
      <c r="CZ22">
        <v>-9999</v>
      </c>
      <c r="DA22">
        <v>654</v>
      </c>
      <c r="DB22">
        <v>743</v>
      </c>
      <c r="DC22">
        <v>643</v>
      </c>
      <c r="DD22" t="s">
        <v>270</v>
      </c>
      <c r="DE22">
        <v>0</v>
      </c>
      <c r="DF22">
        <v>55</v>
      </c>
      <c r="DG22" t="s">
        <v>473</v>
      </c>
      <c r="DH22" t="s">
        <v>548</v>
      </c>
      <c r="DI22">
        <v>7</v>
      </c>
      <c r="DJ22" t="s">
        <v>584</v>
      </c>
      <c r="DK22">
        <v>23.1</v>
      </c>
      <c r="DL22">
        <v>213</v>
      </c>
      <c r="DM22" t="s">
        <v>264</v>
      </c>
      <c r="DN22">
        <v>-9999</v>
      </c>
      <c r="DO22">
        <v>515</v>
      </c>
      <c r="DP22">
        <v>590</v>
      </c>
      <c r="DQ22">
        <v>512</v>
      </c>
      <c r="DR22" t="s">
        <v>270</v>
      </c>
      <c r="DS22">
        <v>0</v>
      </c>
      <c r="DT22">
        <v>55</v>
      </c>
      <c r="DU22" t="s">
        <v>474</v>
      </c>
      <c r="DV22" t="s">
        <v>548</v>
      </c>
      <c r="DW22">
        <v>8</v>
      </c>
      <c r="DX22" t="s">
        <v>584</v>
      </c>
      <c r="DY22">
        <v>20.3</v>
      </c>
      <c r="DZ22">
        <v>435</v>
      </c>
      <c r="EA22" t="s">
        <v>264</v>
      </c>
      <c r="EB22">
        <v>-9999</v>
      </c>
      <c r="EC22">
        <v>108</v>
      </c>
      <c r="ED22">
        <v>132</v>
      </c>
      <c r="EE22">
        <v>106</v>
      </c>
      <c r="EF22" t="s">
        <v>270</v>
      </c>
      <c r="EG22">
        <v>0</v>
      </c>
      <c r="EH22">
        <v>55</v>
      </c>
      <c r="EI22" t="s">
        <v>475</v>
      </c>
      <c r="EJ22" t="s">
        <v>548</v>
      </c>
      <c r="EK22">
        <v>9</v>
      </c>
      <c r="EL22" t="s">
        <v>584</v>
      </c>
      <c r="EM22">
        <v>24.2</v>
      </c>
      <c r="EN22">
        <v>102</v>
      </c>
      <c r="EO22" t="s">
        <v>264</v>
      </c>
      <c r="EP22">
        <v>-9999</v>
      </c>
      <c r="EQ22">
        <v>312</v>
      </c>
      <c r="ER22">
        <v>301</v>
      </c>
      <c r="ES22">
        <v>279</v>
      </c>
      <c r="ET22" t="s">
        <v>270</v>
      </c>
      <c r="EU22">
        <v>0</v>
      </c>
      <c r="EV22">
        <v>55</v>
      </c>
      <c r="EW22" t="s">
        <v>551</v>
      </c>
      <c r="EX22" t="s">
        <v>552</v>
      </c>
      <c r="EY22">
        <v>126</v>
      </c>
      <c r="EZ22">
        <v>126</v>
      </c>
      <c r="FA22">
        <v>126</v>
      </c>
      <c r="FB22" t="s">
        <v>270</v>
      </c>
      <c r="FC22" t="s">
        <v>553</v>
      </c>
      <c r="FD22" t="s">
        <v>552</v>
      </c>
      <c r="FE22">
        <v>250</v>
      </c>
      <c r="FF22">
        <v>249</v>
      </c>
      <c r="FG22">
        <v>248</v>
      </c>
      <c r="FH22" t="s">
        <v>270</v>
      </c>
      <c r="FI22" t="s">
        <v>554</v>
      </c>
      <c r="FJ22" t="s">
        <v>555</v>
      </c>
      <c r="FK22">
        <v>0</v>
      </c>
      <c r="FL22">
        <v>0</v>
      </c>
      <c r="FM22">
        <v>0</v>
      </c>
      <c r="FN22" t="s">
        <v>264</v>
      </c>
      <c r="FO22">
        <v>76.099999999999994</v>
      </c>
      <c r="FP22">
        <v>258.5</v>
      </c>
      <c r="FQ22" t="s">
        <v>556</v>
      </c>
      <c r="FR22" t="s">
        <v>555</v>
      </c>
      <c r="FS22">
        <v>0</v>
      </c>
      <c r="FT22">
        <v>0</v>
      </c>
      <c r="FU22">
        <v>0</v>
      </c>
      <c r="FV22" t="s">
        <v>264</v>
      </c>
      <c r="FW22">
        <v>73.599999999999994</v>
      </c>
      <c r="FX22">
        <v>75.8</v>
      </c>
      <c r="FY22" t="s">
        <v>557</v>
      </c>
      <c r="FZ22" t="s">
        <v>555</v>
      </c>
      <c r="GA22">
        <v>0</v>
      </c>
      <c r="GB22">
        <v>0</v>
      </c>
      <c r="GC22">
        <v>0</v>
      </c>
      <c r="GD22" t="s">
        <v>264</v>
      </c>
      <c r="GE22">
        <v>71.3</v>
      </c>
      <c r="GF22">
        <v>234.2</v>
      </c>
      <c r="GG22" t="s">
        <v>558</v>
      </c>
      <c r="GH22" t="s">
        <v>555</v>
      </c>
      <c r="GI22">
        <v>0</v>
      </c>
      <c r="GJ22">
        <v>0</v>
      </c>
      <c r="GK22">
        <v>0</v>
      </c>
      <c r="GL22" t="s">
        <v>264</v>
      </c>
      <c r="GM22">
        <v>68.400000000000006</v>
      </c>
      <c r="GN22">
        <v>37.5</v>
      </c>
      <c r="GO22" t="s">
        <v>559</v>
      </c>
      <c r="GP22" t="s">
        <v>555</v>
      </c>
      <c r="GQ22">
        <v>0</v>
      </c>
      <c r="GR22">
        <v>0</v>
      </c>
      <c r="GS22">
        <v>0</v>
      </c>
      <c r="GT22" t="s">
        <v>264</v>
      </c>
      <c r="GU22">
        <v>76.2</v>
      </c>
      <c r="GV22">
        <v>49.5</v>
      </c>
      <c r="GW22" t="s">
        <v>560</v>
      </c>
      <c r="GX22" t="s">
        <v>555</v>
      </c>
      <c r="GY22">
        <v>0</v>
      </c>
      <c r="GZ22">
        <v>0</v>
      </c>
      <c r="HA22">
        <v>0</v>
      </c>
      <c r="HB22" t="s">
        <v>264</v>
      </c>
      <c r="HC22">
        <v>70.400000000000006</v>
      </c>
      <c r="HD22">
        <v>76.2</v>
      </c>
      <c r="HE22" t="s">
        <v>561</v>
      </c>
      <c r="HF22" t="s">
        <v>555</v>
      </c>
      <c r="HG22">
        <v>0</v>
      </c>
      <c r="HH22">
        <v>0</v>
      </c>
      <c r="HI22">
        <v>0</v>
      </c>
      <c r="HJ22" t="s">
        <v>264</v>
      </c>
      <c r="HK22">
        <v>71</v>
      </c>
      <c r="HL22">
        <v>128.6</v>
      </c>
      <c r="HM22" t="s">
        <v>562</v>
      </c>
      <c r="HN22" t="s">
        <v>555</v>
      </c>
      <c r="HO22">
        <v>0</v>
      </c>
      <c r="HP22">
        <v>0</v>
      </c>
      <c r="HQ22">
        <v>0</v>
      </c>
      <c r="HR22" t="s">
        <v>264</v>
      </c>
      <c r="HS22">
        <v>69.2</v>
      </c>
      <c r="HT22">
        <v>79.3</v>
      </c>
      <c r="HU22" t="s">
        <v>563</v>
      </c>
      <c r="HV22" t="s">
        <v>555</v>
      </c>
      <c r="HW22">
        <v>0</v>
      </c>
      <c r="HX22">
        <v>0</v>
      </c>
      <c r="HY22">
        <v>0</v>
      </c>
      <c r="HZ22" t="s">
        <v>264</v>
      </c>
      <c r="IA22">
        <v>74.8</v>
      </c>
      <c r="IB22">
        <v>172.9</v>
      </c>
      <c r="IC22" t="s">
        <v>564</v>
      </c>
      <c r="ID22" t="s">
        <v>555</v>
      </c>
      <c r="IE22">
        <v>0</v>
      </c>
      <c r="IF22">
        <v>0</v>
      </c>
      <c r="IG22">
        <v>0</v>
      </c>
      <c r="IH22" t="s">
        <v>264</v>
      </c>
      <c r="II22">
        <v>68.400000000000006</v>
      </c>
      <c r="IJ22">
        <v>112.2</v>
      </c>
      <c r="IK22" t="s">
        <v>565</v>
      </c>
      <c r="IL22" t="s">
        <v>555</v>
      </c>
      <c r="IM22">
        <v>0</v>
      </c>
      <c r="IN22">
        <v>0</v>
      </c>
      <c r="IO22">
        <v>0</v>
      </c>
      <c r="IP22" t="s">
        <v>264</v>
      </c>
      <c r="IS22" t="s">
        <v>566</v>
      </c>
      <c r="IT22" t="s">
        <v>555</v>
      </c>
      <c r="IU22">
        <v>0</v>
      </c>
      <c r="IV22">
        <v>0</v>
      </c>
      <c r="IW22">
        <v>0</v>
      </c>
      <c r="IX22" t="s">
        <v>264</v>
      </c>
      <c r="JA22" t="s">
        <v>567</v>
      </c>
      <c r="JB22" t="s">
        <v>555</v>
      </c>
      <c r="JC22">
        <v>0</v>
      </c>
      <c r="JD22">
        <v>0</v>
      </c>
      <c r="JE22">
        <v>0</v>
      </c>
      <c r="JF22" t="s">
        <v>264</v>
      </c>
      <c r="JI22" t="s">
        <v>568</v>
      </c>
      <c r="JJ22" t="s">
        <v>555</v>
      </c>
      <c r="JK22">
        <v>0</v>
      </c>
      <c r="JL22">
        <v>0</v>
      </c>
      <c r="JM22">
        <v>0</v>
      </c>
      <c r="JN22" t="s">
        <v>264</v>
      </c>
      <c r="JQ22" t="s">
        <v>569</v>
      </c>
      <c r="JR22" t="s">
        <v>555</v>
      </c>
      <c r="JS22">
        <v>0</v>
      </c>
      <c r="JT22">
        <v>0</v>
      </c>
      <c r="JU22">
        <v>0</v>
      </c>
      <c r="JV22" t="s">
        <v>264</v>
      </c>
      <c r="JY22" t="s">
        <v>570</v>
      </c>
      <c r="JZ22" t="s">
        <v>555</v>
      </c>
      <c r="KA22">
        <v>0</v>
      </c>
      <c r="KB22">
        <v>0</v>
      </c>
      <c r="KC22">
        <v>0</v>
      </c>
      <c r="KD22" t="s">
        <v>264</v>
      </c>
      <c r="KG22" t="s">
        <v>571</v>
      </c>
      <c r="KH22" t="s">
        <v>555</v>
      </c>
      <c r="KI22">
        <v>0</v>
      </c>
      <c r="KJ22">
        <v>0</v>
      </c>
      <c r="KK22">
        <v>0</v>
      </c>
      <c r="KL22" t="s">
        <v>264</v>
      </c>
      <c r="KO22" t="s">
        <v>572</v>
      </c>
      <c r="KP22" t="s">
        <v>555</v>
      </c>
      <c r="KQ22">
        <v>0</v>
      </c>
      <c r="KR22">
        <v>0</v>
      </c>
      <c r="KS22">
        <v>0</v>
      </c>
      <c r="KT22" t="s">
        <v>264</v>
      </c>
      <c r="KW22" t="s">
        <v>573</v>
      </c>
      <c r="KX22" t="s">
        <v>555</v>
      </c>
      <c r="KY22">
        <v>0</v>
      </c>
      <c r="KZ22">
        <v>0</v>
      </c>
      <c r="LA22">
        <v>0</v>
      </c>
      <c r="LB22" t="s">
        <v>264</v>
      </c>
      <c r="LE22" t="s">
        <v>574</v>
      </c>
      <c r="LF22" t="s">
        <v>555</v>
      </c>
      <c r="LG22">
        <v>0</v>
      </c>
      <c r="LH22">
        <v>0</v>
      </c>
      <c r="LI22">
        <v>0</v>
      </c>
      <c r="LJ22" t="s">
        <v>264</v>
      </c>
      <c r="LM22" t="s">
        <v>575</v>
      </c>
      <c r="LN22" t="s">
        <v>555</v>
      </c>
      <c r="LO22">
        <v>0</v>
      </c>
      <c r="LP22">
        <v>0</v>
      </c>
      <c r="LQ22">
        <v>0</v>
      </c>
      <c r="LR22" t="s">
        <v>264</v>
      </c>
      <c r="LU22" t="s">
        <v>576</v>
      </c>
      <c r="LV22" t="s">
        <v>555</v>
      </c>
      <c r="LW22">
        <v>0</v>
      </c>
      <c r="LX22">
        <v>0</v>
      </c>
      <c r="LY22">
        <v>0</v>
      </c>
      <c r="LZ22" t="s">
        <v>264</v>
      </c>
      <c r="MC22" t="s">
        <v>577</v>
      </c>
      <c r="MD22" t="s">
        <v>555</v>
      </c>
      <c r="ME22">
        <v>0</v>
      </c>
      <c r="MF22">
        <v>0</v>
      </c>
      <c r="MG22">
        <v>0</v>
      </c>
      <c r="MH22" t="s">
        <v>264</v>
      </c>
      <c r="MK22" t="s">
        <v>578</v>
      </c>
      <c r="ML22" t="s">
        <v>555</v>
      </c>
      <c r="MM22">
        <v>0</v>
      </c>
      <c r="MN22">
        <v>0</v>
      </c>
      <c r="MO22">
        <v>0</v>
      </c>
      <c r="MP22" t="s">
        <v>264</v>
      </c>
      <c r="MS22" t="s">
        <v>579</v>
      </c>
      <c r="MT22" t="s">
        <v>555</v>
      </c>
      <c r="MU22">
        <v>0</v>
      </c>
      <c r="MV22">
        <v>0</v>
      </c>
      <c r="MW22">
        <v>0</v>
      </c>
      <c r="MX22" t="s">
        <v>264</v>
      </c>
      <c r="NA22" t="s">
        <v>580</v>
      </c>
      <c r="NB22" t="s">
        <v>555</v>
      </c>
      <c r="NC22">
        <v>0</v>
      </c>
      <c r="ND22">
        <v>0</v>
      </c>
      <c r="NE22">
        <v>0</v>
      </c>
      <c r="NF22" t="s">
        <v>264</v>
      </c>
      <c r="NI22">
        <v>40</v>
      </c>
      <c r="NJ22">
        <v>-7.2</v>
      </c>
      <c r="NP22" t="s">
        <v>581</v>
      </c>
    </row>
    <row r="23" spans="1:380" customFormat="1" x14ac:dyDescent="0.2">
      <c r="A23" t="s">
        <v>517</v>
      </c>
      <c r="B23">
        <v>1</v>
      </c>
      <c r="C23" t="s">
        <v>847</v>
      </c>
      <c r="D23">
        <v>646958043</v>
      </c>
      <c r="E23">
        <v>12602</v>
      </c>
      <c r="F23" t="s">
        <v>805</v>
      </c>
      <c r="G23">
        <v>750173</v>
      </c>
      <c r="H23">
        <v>914578</v>
      </c>
      <c r="I23" t="s">
        <v>543</v>
      </c>
      <c r="J23" t="s">
        <v>848</v>
      </c>
      <c r="K23" t="s">
        <v>545</v>
      </c>
      <c r="L23" t="s">
        <v>442</v>
      </c>
      <c r="M23" t="s">
        <v>546</v>
      </c>
      <c r="N23" t="s">
        <v>468</v>
      </c>
      <c r="O23" t="s">
        <v>547</v>
      </c>
      <c r="P23" t="s">
        <v>264</v>
      </c>
      <c r="Q23">
        <v>26.6</v>
      </c>
      <c r="R23">
        <v>241</v>
      </c>
      <c r="S23" t="s">
        <v>264</v>
      </c>
      <c r="T23">
        <v>-9999</v>
      </c>
      <c r="U23">
        <v>471</v>
      </c>
      <c r="V23">
        <v>485</v>
      </c>
      <c r="W23">
        <v>462</v>
      </c>
      <c r="X23" t="s">
        <v>270</v>
      </c>
      <c r="Y23">
        <v>0</v>
      </c>
      <c r="Z23">
        <v>55</v>
      </c>
      <c r="AA23" t="s">
        <v>469</v>
      </c>
      <c r="AB23" t="s">
        <v>548</v>
      </c>
      <c r="AC23">
        <v>1</v>
      </c>
      <c r="AD23" t="s">
        <v>584</v>
      </c>
      <c r="AE23">
        <v>25.1</v>
      </c>
      <c r="AF23">
        <v>1427</v>
      </c>
      <c r="AG23" t="s">
        <v>264</v>
      </c>
      <c r="AH23">
        <v>-9999</v>
      </c>
      <c r="AI23">
        <v>433</v>
      </c>
      <c r="AJ23">
        <v>536</v>
      </c>
      <c r="AK23">
        <v>432</v>
      </c>
      <c r="AL23" t="s">
        <v>270</v>
      </c>
      <c r="AM23">
        <v>0</v>
      </c>
      <c r="AN23">
        <v>55</v>
      </c>
      <c r="AO23" t="s">
        <v>470</v>
      </c>
      <c r="AP23" t="s">
        <v>548</v>
      </c>
      <c r="AQ23">
        <v>2</v>
      </c>
      <c r="AR23" t="s">
        <v>584</v>
      </c>
      <c r="AS23">
        <v>35.5</v>
      </c>
      <c r="AT23">
        <v>363</v>
      </c>
      <c r="AU23" t="s">
        <v>264</v>
      </c>
      <c r="AV23">
        <v>-9999</v>
      </c>
      <c r="AW23">
        <v>367</v>
      </c>
      <c r="AX23">
        <v>385</v>
      </c>
      <c r="AY23">
        <v>365</v>
      </c>
      <c r="AZ23" t="s">
        <v>270</v>
      </c>
      <c r="BA23">
        <v>0</v>
      </c>
      <c r="BB23">
        <v>55</v>
      </c>
      <c r="BC23" t="s">
        <v>550</v>
      </c>
      <c r="BD23" t="s">
        <v>548</v>
      </c>
      <c r="BE23">
        <v>3</v>
      </c>
      <c r="BF23" t="s">
        <v>584</v>
      </c>
      <c r="BG23">
        <v>22.1</v>
      </c>
      <c r="BH23">
        <v>581</v>
      </c>
      <c r="BI23" t="s">
        <v>264</v>
      </c>
      <c r="BJ23">
        <v>-9999</v>
      </c>
      <c r="BK23">
        <v>215</v>
      </c>
      <c r="BL23">
        <v>263</v>
      </c>
      <c r="BM23">
        <v>214</v>
      </c>
      <c r="BN23" t="s">
        <v>270</v>
      </c>
      <c r="BO23">
        <v>0</v>
      </c>
      <c r="BP23">
        <v>55</v>
      </c>
      <c r="BQ23" t="s">
        <v>504</v>
      </c>
      <c r="BR23" t="s">
        <v>548</v>
      </c>
      <c r="BS23">
        <v>4</v>
      </c>
      <c r="BT23" t="s">
        <v>584</v>
      </c>
      <c r="BU23">
        <v>28.8</v>
      </c>
      <c r="BV23">
        <v>277</v>
      </c>
      <c r="BW23" t="s">
        <v>264</v>
      </c>
      <c r="BX23">
        <v>-9999</v>
      </c>
      <c r="BY23">
        <v>206</v>
      </c>
      <c r="BZ23">
        <v>238</v>
      </c>
      <c r="CA23">
        <v>204</v>
      </c>
      <c r="CB23" t="s">
        <v>270</v>
      </c>
      <c r="CC23">
        <v>0</v>
      </c>
      <c r="CD23">
        <v>55</v>
      </c>
      <c r="CE23" t="s">
        <v>471</v>
      </c>
      <c r="CF23" t="s">
        <v>548</v>
      </c>
      <c r="CG23">
        <v>5</v>
      </c>
      <c r="CH23" t="s">
        <v>584</v>
      </c>
      <c r="CI23">
        <v>38.299999999999997</v>
      </c>
      <c r="CJ23">
        <v>143</v>
      </c>
      <c r="CK23" t="s">
        <v>264</v>
      </c>
      <c r="CL23">
        <v>-9999</v>
      </c>
      <c r="CM23">
        <v>455</v>
      </c>
      <c r="CN23">
        <v>529</v>
      </c>
      <c r="CO23">
        <v>455</v>
      </c>
      <c r="CP23" t="s">
        <v>270</v>
      </c>
      <c r="CQ23">
        <v>0</v>
      </c>
      <c r="CR23">
        <v>55</v>
      </c>
      <c r="CS23" t="s">
        <v>472</v>
      </c>
      <c r="CT23" t="s">
        <v>548</v>
      </c>
      <c r="CU23">
        <v>6</v>
      </c>
      <c r="CV23" t="s">
        <v>584</v>
      </c>
      <c r="CW23">
        <v>33.200000000000003</v>
      </c>
      <c r="CX23">
        <v>265</v>
      </c>
      <c r="CY23" t="s">
        <v>264</v>
      </c>
      <c r="CZ23">
        <v>-9999</v>
      </c>
      <c r="DA23">
        <v>574</v>
      </c>
      <c r="DB23">
        <v>651</v>
      </c>
      <c r="DC23">
        <v>563</v>
      </c>
      <c r="DD23" t="s">
        <v>270</v>
      </c>
      <c r="DE23">
        <v>0</v>
      </c>
      <c r="DF23">
        <v>55</v>
      </c>
      <c r="DG23" t="s">
        <v>473</v>
      </c>
      <c r="DH23" t="s">
        <v>548</v>
      </c>
      <c r="DI23">
        <v>7</v>
      </c>
      <c r="DJ23" t="s">
        <v>584</v>
      </c>
      <c r="DK23">
        <v>23.6</v>
      </c>
      <c r="DL23">
        <v>214</v>
      </c>
      <c r="DM23" t="s">
        <v>264</v>
      </c>
      <c r="DN23">
        <v>-9999</v>
      </c>
      <c r="DO23">
        <v>494</v>
      </c>
      <c r="DP23">
        <v>567</v>
      </c>
      <c r="DQ23">
        <v>492</v>
      </c>
      <c r="DR23" t="s">
        <v>270</v>
      </c>
      <c r="DS23">
        <v>0</v>
      </c>
      <c r="DT23">
        <v>55</v>
      </c>
      <c r="DU23" t="s">
        <v>474</v>
      </c>
      <c r="DV23" t="s">
        <v>548</v>
      </c>
      <c r="DW23">
        <v>8</v>
      </c>
      <c r="DX23" t="s">
        <v>584</v>
      </c>
      <c r="DY23">
        <v>20.8</v>
      </c>
      <c r="DZ23">
        <v>468</v>
      </c>
      <c r="EA23" t="s">
        <v>264</v>
      </c>
      <c r="EB23">
        <v>-9999</v>
      </c>
      <c r="EC23">
        <v>94</v>
      </c>
      <c r="ED23">
        <v>115</v>
      </c>
      <c r="EE23">
        <v>93</v>
      </c>
      <c r="EF23" t="s">
        <v>270</v>
      </c>
      <c r="EG23">
        <v>0</v>
      </c>
      <c r="EH23">
        <v>55</v>
      </c>
      <c r="EI23" t="s">
        <v>475</v>
      </c>
      <c r="EJ23" t="s">
        <v>548</v>
      </c>
      <c r="EK23">
        <v>9</v>
      </c>
      <c r="EL23" t="s">
        <v>584</v>
      </c>
      <c r="EM23">
        <v>24.2</v>
      </c>
      <c r="EN23">
        <v>92</v>
      </c>
      <c r="EO23" t="s">
        <v>264</v>
      </c>
      <c r="EP23">
        <v>-9999</v>
      </c>
      <c r="EQ23">
        <v>320</v>
      </c>
      <c r="ER23">
        <v>291</v>
      </c>
      <c r="ES23">
        <v>266</v>
      </c>
      <c r="ET23" t="s">
        <v>270</v>
      </c>
      <c r="EU23">
        <v>0</v>
      </c>
      <c r="EV23">
        <v>55</v>
      </c>
      <c r="EW23" t="s">
        <v>551</v>
      </c>
      <c r="EX23" t="s">
        <v>552</v>
      </c>
      <c r="EY23">
        <v>132</v>
      </c>
      <c r="EZ23">
        <v>132</v>
      </c>
      <c r="FA23">
        <v>132</v>
      </c>
      <c r="FB23" t="s">
        <v>270</v>
      </c>
      <c r="FC23" t="s">
        <v>553</v>
      </c>
      <c r="FD23" t="s">
        <v>552</v>
      </c>
      <c r="FE23">
        <v>320</v>
      </c>
      <c r="FF23">
        <v>318</v>
      </c>
      <c r="FG23">
        <v>317</v>
      </c>
      <c r="FH23" t="s">
        <v>270</v>
      </c>
      <c r="FI23" t="s">
        <v>554</v>
      </c>
      <c r="FJ23" t="s">
        <v>555</v>
      </c>
      <c r="FK23">
        <v>0</v>
      </c>
      <c r="FL23">
        <v>0</v>
      </c>
      <c r="FM23">
        <v>0</v>
      </c>
      <c r="FN23" t="s">
        <v>264</v>
      </c>
      <c r="FO23">
        <v>76</v>
      </c>
      <c r="FP23">
        <v>300.7</v>
      </c>
      <c r="FQ23" t="s">
        <v>556</v>
      </c>
      <c r="FR23" t="s">
        <v>555</v>
      </c>
      <c r="FS23">
        <v>0</v>
      </c>
      <c r="FT23">
        <v>0</v>
      </c>
      <c r="FU23">
        <v>0</v>
      </c>
      <c r="FV23" t="s">
        <v>264</v>
      </c>
      <c r="FW23">
        <v>73.400000000000006</v>
      </c>
      <c r="FX23">
        <v>90.4</v>
      </c>
      <c r="FY23" t="s">
        <v>557</v>
      </c>
      <c r="FZ23" t="s">
        <v>555</v>
      </c>
      <c r="GA23">
        <v>0</v>
      </c>
      <c r="GB23">
        <v>0</v>
      </c>
      <c r="GC23">
        <v>0</v>
      </c>
      <c r="GD23" t="s">
        <v>264</v>
      </c>
      <c r="GE23">
        <v>71.2</v>
      </c>
      <c r="GF23">
        <v>253</v>
      </c>
      <c r="GG23" t="s">
        <v>558</v>
      </c>
      <c r="GH23" t="s">
        <v>555</v>
      </c>
      <c r="GI23">
        <v>0</v>
      </c>
      <c r="GJ23">
        <v>0</v>
      </c>
      <c r="GK23">
        <v>0</v>
      </c>
      <c r="GL23" t="s">
        <v>264</v>
      </c>
      <c r="GM23">
        <v>68.400000000000006</v>
      </c>
      <c r="GN23">
        <v>46</v>
      </c>
      <c r="GO23" t="s">
        <v>559</v>
      </c>
      <c r="GP23" t="s">
        <v>555</v>
      </c>
      <c r="GQ23">
        <v>0</v>
      </c>
      <c r="GR23">
        <v>0</v>
      </c>
      <c r="GS23">
        <v>0</v>
      </c>
      <c r="GT23" t="s">
        <v>264</v>
      </c>
      <c r="GU23">
        <v>76</v>
      </c>
      <c r="GV23">
        <v>53.5</v>
      </c>
      <c r="GW23" t="s">
        <v>560</v>
      </c>
      <c r="GX23" t="s">
        <v>555</v>
      </c>
      <c r="GY23">
        <v>0</v>
      </c>
      <c r="GZ23">
        <v>0</v>
      </c>
      <c r="HA23">
        <v>0</v>
      </c>
      <c r="HB23" t="s">
        <v>264</v>
      </c>
      <c r="HC23">
        <v>70.3</v>
      </c>
      <c r="HD23">
        <v>76.900000000000006</v>
      </c>
      <c r="HE23" t="s">
        <v>561</v>
      </c>
      <c r="HF23" t="s">
        <v>555</v>
      </c>
      <c r="HG23">
        <v>0</v>
      </c>
      <c r="HH23">
        <v>0</v>
      </c>
      <c r="HI23">
        <v>0</v>
      </c>
      <c r="HJ23" t="s">
        <v>264</v>
      </c>
      <c r="HK23">
        <v>70.900000000000006</v>
      </c>
      <c r="HL23">
        <v>118.3</v>
      </c>
      <c r="HM23" t="s">
        <v>562</v>
      </c>
      <c r="HN23" t="s">
        <v>555</v>
      </c>
      <c r="HO23">
        <v>0</v>
      </c>
      <c r="HP23">
        <v>0</v>
      </c>
      <c r="HQ23">
        <v>0</v>
      </c>
      <c r="HR23" t="s">
        <v>264</v>
      </c>
      <c r="HS23">
        <v>69.2</v>
      </c>
      <c r="HT23">
        <v>83.7</v>
      </c>
      <c r="HU23" t="s">
        <v>563</v>
      </c>
      <c r="HV23" t="s">
        <v>555</v>
      </c>
      <c r="HW23">
        <v>0</v>
      </c>
      <c r="HX23">
        <v>0</v>
      </c>
      <c r="HY23">
        <v>0</v>
      </c>
      <c r="HZ23" t="s">
        <v>264</v>
      </c>
      <c r="IA23">
        <v>74.7</v>
      </c>
      <c r="IB23">
        <v>174.7</v>
      </c>
      <c r="IC23" t="s">
        <v>564</v>
      </c>
      <c r="ID23" t="s">
        <v>555</v>
      </c>
      <c r="IE23">
        <v>0</v>
      </c>
      <c r="IF23">
        <v>0</v>
      </c>
      <c r="IG23">
        <v>0</v>
      </c>
      <c r="IH23" t="s">
        <v>264</v>
      </c>
      <c r="II23">
        <v>68.3</v>
      </c>
      <c r="IJ23">
        <v>110.4</v>
      </c>
      <c r="IK23" t="s">
        <v>565</v>
      </c>
      <c r="IL23" t="s">
        <v>555</v>
      </c>
      <c r="IM23">
        <v>0</v>
      </c>
      <c r="IN23">
        <v>0</v>
      </c>
      <c r="IO23">
        <v>0</v>
      </c>
      <c r="IP23" t="s">
        <v>264</v>
      </c>
      <c r="IS23" t="s">
        <v>566</v>
      </c>
      <c r="IT23" t="s">
        <v>555</v>
      </c>
      <c r="IU23">
        <v>0</v>
      </c>
      <c r="IV23">
        <v>0</v>
      </c>
      <c r="IW23">
        <v>0</v>
      </c>
      <c r="IX23" t="s">
        <v>264</v>
      </c>
      <c r="JA23" t="s">
        <v>567</v>
      </c>
      <c r="JB23" t="s">
        <v>555</v>
      </c>
      <c r="JC23">
        <v>0</v>
      </c>
      <c r="JD23">
        <v>0</v>
      </c>
      <c r="JE23">
        <v>0</v>
      </c>
      <c r="JF23" t="s">
        <v>264</v>
      </c>
      <c r="JI23" t="s">
        <v>568</v>
      </c>
      <c r="JJ23" t="s">
        <v>555</v>
      </c>
      <c r="JK23">
        <v>0</v>
      </c>
      <c r="JL23">
        <v>0</v>
      </c>
      <c r="JM23">
        <v>0</v>
      </c>
      <c r="JN23" t="s">
        <v>264</v>
      </c>
      <c r="JQ23" t="s">
        <v>569</v>
      </c>
      <c r="JR23" t="s">
        <v>555</v>
      </c>
      <c r="JS23">
        <v>0</v>
      </c>
      <c r="JT23">
        <v>0</v>
      </c>
      <c r="JU23">
        <v>0</v>
      </c>
      <c r="JV23" t="s">
        <v>264</v>
      </c>
      <c r="JY23" t="s">
        <v>570</v>
      </c>
      <c r="JZ23" t="s">
        <v>555</v>
      </c>
      <c r="KA23">
        <v>0</v>
      </c>
      <c r="KB23">
        <v>0</v>
      </c>
      <c r="KC23">
        <v>0</v>
      </c>
      <c r="KD23" t="s">
        <v>264</v>
      </c>
      <c r="KG23" t="s">
        <v>571</v>
      </c>
      <c r="KH23" t="s">
        <v>555</v>
      </c>
      <c r="KI23">
        <v>0</v>
      </c>
      <c r="KJ23">
        <v>0</v>
      </c>
      <c r="KK23">
        <v>0</v>
      </c>
      <c r="KL23" t="s">
        <v>264</v>
      </c>
      <c r="KO23" t="s">
        <v>572</v>
      </c>
      <c r="KP23" t="s">
        <v>555</v>
      </c>
      <c r="KQ23">
        <v>0</v>
      </c>
      <c r="KR23">
        <v>0</v>
      </c>
      <c r="KS23">
        <v>0</v>
      </c>
      <c r="KT23" t="s">
        <v>264</v>
      </c>
      <c r="KW23" t="s">
        <v>573</v>
      </c>
      <c r="KX23" t="s">
        <v>555</v>
      </c>
      <c r="KY23">
        <v>0</v>
      </c>
      <c r="KZ23">
        <v>0</v>
      </c>
      <c r="LA23">
        <v>0</v>
      </c>
      <c r="LB23" t="s">
        <v>264</v>
      </c>
      <c r="LE23" t="s">
        <v>574</v>
      </c>
      <c r="LF23" t="s">
        <v>555</v>
      </c>
      <c r="LG23">
        <v>0</v>
      </c>
      <c r="LH23">
        <v>0</v>
      </c>
      <c r="LI23">
        <v>0</v>
      </c>
      <c r="LJ23" t="s">
        <v>264</v>
      </c>
      <c r="LM23" t="s">
        <v>575</v>
      </c>
      <c r="LN23" t="s">
        <v>555</v>
      </c>
      <c r="LO23">
        <v>0</v>
      </c>
      <c r="LP23">
        <v>0</v>
      </c>
      <c r="LQ23">
        <v>0</v>
      </c>
      <c r="LR23" t="s">
        <v>264</v>
      </c>
      <c r="LU23" t="s">
        <v>576</v>
      </c>
      <c r="LV23" t="s">
        <v>555</v>
      </c>
      <c r="LW23">
        <v>0</v>
      </c>
      <c r="LX23">
        <v>0</v>
      </c>
      <c r="LY23">
        <v>0</v>
      </c>
      <c r="LZ23" t="s">
        <v>264</v>
      </c>
      <c r="MC23" t="s">
        <v>577</v>
      </c>
      <c r="MD23" t="s">
        <v>555</v>
      </c>
      <c r="ME23">
        <v>0</v>
      </c>
      <c r="MF23">
        <v>0</v>
      </c>
      <c r="MG23">
        <v>0</v>
      </c>
      <c r="MH23" t="s">
        <v>264</v>
      </c>
      <c r="MK23" t="s">
        <v>578</v>
      </c>
      <c r="ML23" t="s">
        <v>555</v>
      </c>
      <c r="MM23">
        <v>0</v>
      </c>
      <c r="MN23">
        <v>0</v>
      </c>
      <c r="MO23">
        <v>0</v>
      </c>
      <c r="MP23" t="s">
        <v>264</v>
      </c>
      <c r="MS23" t="s">
        <v>579</v>
      </c>
      <c r="MT23" t="s">
        <v>555</v>
      </c>
      <c r="MU23">
        <v>0</v>
      </c>
      <c r="MV23">
        <v>0</v>
      </c>
      <c r="MW23">
        <v>0</v>
      </c>
      <c r="MX23" t="s">
        <v>264</v>
      </c>
      <c r="NA23" t="s">
        <v>580</v>
      </c>
      <c r="NB23" t="s">
        <v>555</v>
      </c>
      <c r="NC23">
        <v>0</v>
      </c>
      <c r="ND23">
        <v>0</v>
      </c>
      <c r="NE23">
        <v>0</v>
      </c>
      <c r="NF23" t="s">
        <v>264</v>
      </c>
      <c r="NI23">
        <v>40</v>
      </c>
      <c r="NJ23">
        <v>-10.199999999999999</v>
      </c>
      <c r="NP23" t="s">
        <v>581</v>
      </c>
    </row>
    <row r="24" spans="1:380" customFormat="1" x14ac:dyDescent="0.2">
      <c r="A24" t="s">
        <v>517</v>
      </c>
      <c r="B24">
        <v>1</v>
      </c>
      <c r="C24" t="s">
        <v>849</v>
      </c>
      <c r="D24">
        <v>646952571</v>
      </c>
      <c r="E24">
        <v>12602</v>
      </c>
      <c r="F24" t="s">
        <v>805</v>
      </c>
      <c r="G24">
        <v>750173</v>
      </c>
      <c r="H24">
        <v>210074967</v>
      </c>
      <c r="I24" t="s">
        <v>543</v>
      </c>
      <c r="J24" t="s">
        <v>850</v>
      </c>
      <c r="K24" t="s">
        <v>545</v>
      </c>
      <c r="L24" t="s">
        <v>442</v>
      </c>
      <c r="M24" t="s">
        <v>546</v>
      </c>
      <c r="N24" t="s">
        <v>468</v>
      </c>
      <c r="O24" t="s">
        <v>547</v>
      </c>
      <c r="P24" t="s">
        <v>264</v>
      </c>
      <c r="Q24">
        <v>25.9</v>
      </c>
      <c r="R24">
        <v>249</v>
      </c>
      <c r="S24" t="s">
        <v>264</v>
      </c>
      <c r="T24">
        <v>-9999</v>
      </c>
      <c r="U24">
        <v>528</v>
      </c>
      <c r="V24">
        <v>546</v>
      </c>
      <c r="W24">
        <v>518</v>
      </c>
      <c r="X24" t="s">
        <v>270</v>
      </c>
      <c r="Y24">
        <v>0</v>
      </c>
      <c r="Z24">
        <v>55</v>
      </c>
      <c r="AA24" t="s">
        <v>469</v>
      </c>
      <c r="AB24" t="s">
        <v>548</v>
      </c>
      <c r="AC24">
        <v>1</v>
      </c>
      <c r="AD24" t="s">
        <v>584</v>
      </c>
      <c r="AE24">
        <v>25.1</v>
      </c>
      <c r="AF24">
        <v>1179</v>
      </c>
      <c r="AG24" t="s">
        <v>264</v>
      </c>
      <c r="AH24">
        <v>-9999</v>
      </c>
      <c r="AI24">
        <v>591</v>
      </c>
      <c r="AJ24">
        <v>716</v>
      </c>
      <c r="AK24">
        <v>586</v>
      </c>
      <c r="AL24" t="s">
        <v>270</v>
      </c>
      <c r="AM24">
        <v>0</v>
      </c>
      <c r="AN24">
        <v>55</v>
      </c>
      <c r="AO24" t="s">
        <v>470</v>
      </c>
      <c r="AP24" t="s">
        <v>548</v>
      </c>
      <c r="AQ24">
        <v>2</v>
      </c>
      <c r="AR24" t="s">
        <v>584</v>
      </c>
      <c r="AS24">
        <v>35.6</v>
      </c>
      <c r="AT24">
        <v>359</v>
      </c>
      <c r="AU24" t="s">
        <v>264</v>
      </c>
      <c r="AV24">
        <v>-9999</v>
      </c>
      <c r="AW24">
        <v>346</v>
      </c>
      <c r="AX24">
        <v>365</v>
      </c>
      <c r="AY24">
        <v>345</v>
      </c>
      <c r="AZ24" t="s">
        <v>270</v>
      </c>
      <c r="BA24">
        <v>0</v>
      </c>
      <c r="BB24">
        <v>55</v>
      </c>
      <c r="BC24" t="s">
        <v>550</v>
      </c>
      <c r="BD24" t="s">
        <v>548</v>
      </c>
      <c r="BE24">
        <v>3</v>
      </c>
      <c r="BF24" t="s">
        <v>584</v>
      </c>
      <c r="BG24">
        <v>19</v>
      </c>
      <c r="BH24">
        <v>1579</v>
      </c>
      <c r="BI24" t="s">
        <v>264</v>
      </c>
      <c r="BJ24">
        <v>-9999</v>
      </c>
      <c r="BK24">
        <v>45</v>
      </c>
      <c r="BL24">
        <v>75</v>
      </c>
      <c r="BM24">
        <v>48</v>
      </c>
      <c r="BN24" t="s">
        <v>270</v>
      </c>
      <c r="BO24">
        <v>0</v>
      </c>
      <c r="BP24">
        <v>55</v>
      </c>
      <c r="BQ24" t="s">
        <v>504</v>
      </c>
      <c r="BR24" t="s">
        <v>548</v>
      </c>
      <c r="BS24">
        <v>4</v>
      </c>
      <c r="BT24" t="s">
        <v>584</v>
      </c>
      <c r="BU24">
        <v>29.3</v>
      </c>
      <c r="BV24">
        <v>281</v>
      </c>
      <c r="BW24" t="s">
        <v>264</v>
      </c>
      <c r="BX24">
        <v>-9999</v>
      </c>
      <c r="BY24">
        <v>208</v>
      </c>
      <c r="BZ24">
        <v>241</v>
      </c>
      <c r="CA24">
        <v>206</v>
      </c>
      <c r="CB24" t="s">
        <v>270</v>
      </c>
      <c r="CC24">
        <v>0</v>
      </c>
      <c r="CD24">
        <v>55</v>
      </c>
      <c r="CE24" t="s">
        <v>471</v>
      </c>
      <c r="CF24" t="s">
        <v>548</v>
      </c>
      <c r="CG24">
        <v>5</v>
      </c>
      <c r="CH24" t="s">
        <v>584</v>
      </c>
      <c r="CI24">
        <v>35.200000000000003</v>
      </c>
      <c r="CJ24">
        <v>191</v>
      </c>
      <c r="CK24" t="s">
        <v>264</v>
      </c>
      <c r="CL24">
        <v>-9999</v>
      </c>
      <c r="CM24">
        <v>480</v>
      </c>
      <c r="CN24">
        <v>563</v>
      </c>
      <c r="CO24">
        <v>480</v>
      </c>
      <c r="CP24" t="s">
        <v>270</v>
      </c>
      <c r="CQ24">
        <v>0</v>
      </c>
      <c r="CR24">
        <v>55</v>
      </c>
      <c r="CS24" t="s">
        <v>472</v>
      </c>
      <c r="CT24" t="s">
        <v>548</v>
      </c>
      <c r="CU24">
        <v>6</v>
      </c>
      <c r="CV24" t="s">
        <v>584</v>
      </c>
      <c r="CW24">
        <v>34</v>
      </c>
      <c r="CX24">
        <v>211</v>
      </c>
      <c r="CY24" t="s">
        <v>264</v>
      </c>
      <c r="CZ24">
        <v>-9999</v>
      </c>
      <c r="DA24">
        <v>613</v>
      </c>
      <c r="DB24">
        <v>697</v>
      </c>
      <c r="DC24">
        <v>604</v>
      </c>
      <c r="DD24" t="s">
        <v>270</v>
      </c>
      <c r="DE24">
        <v>0</v>
      </c>
      <c r="DF24">
        <v>55</v>
      </c>
      <c r="DG24" t="s">
        <v>473</v>
      </c>
      <c r="DH24" t="s">
        <v>548</v>
      </c>
      <c r="DI24">
        <v>7</v>
      </c>
      <c r="DJ24" t="s">
        <v>584</v>
      </c>
      <c r="DK24">
        <v>23.5</v>
      </c>
      <c r="DL24">
        <v>264</v>
      </c>
      <c r="DM24" t="s">
        <v>264</v>
      </c>
      <c r="DN24">
        <v>-9999</v>
      </c>
      <c r="DO24">
        <v>579</v>
      </c>
      <c r="DP24">
        <v>664</v>
      </c>
      <c r="DQ24">
        <v>575</v>
      </c>
      <c r="DR24" t="s">
        <v>270</v>
      </c>
      <c r="DS24">
        <v>0</v>
      </c>
      <c r="DT24">
        <v>55</v>
      </c>
      <c r="DU24" t="s">
        <v>474</v>
      </c>
      <c r="DV24" t="s">
        <v>548</v>
      </c>
      <c r="DW24">
        <v>8</v>
      </c>
      <c r="DX24" t="s">
        <v>584</v>
      </c>
      <c r="DY24">
        <v>20.7</v>
      </c>
      <c r="DZ24">
        <v>437</v>
      </c>
      <c r="EA24" t="s">
        <v>264</v>
      </c>
      <c r="EB24">
        <v>-9999</v>
      </c>
      <c r="EC24">
        <v>116</v>
      </c>
      <c r="ED24">
        <v>140</v>
      </c>
      <c r="EE24">
        <v>114</v>
      </c>
      <c r="EF24" t="s">
        <v>270</v>
      </c>
      <c r="EG24">
        <v>0</v>
      </c>
      <c r="EH24">
        <v>55</v>
      </c>
      <c r="EI24" t="s">
        <v>475</v>
      </c>
      <c r="EJ24" t="s">
        <v>548</v>
      </c>
      <c r="EK24">
        <v>9</v>
      </c>
      <c r="EL24" t="s">
        <v>584</v>
      </c>
      <c r="EM24">
        <v>24.2</v>
      </c>
      <c r="EN24">
        <v>129</v>
      </c>
      <c r="EO24" t="s">
        <v>264</v>
      </c>
      <c r="EP24">
        <v>-9999</v>
      </c>
      <c r="EQ24">
        <v>386</v>
      </c>
      <c r="ER24">
        <v>383</v>
      </c>
      <c r="ES24">
        <v>354</v>
      </c>
      <c r="ET24" t="s">
        <v>270</v>
      </c>
      <c r="EU24">
        <v>0</v>
      </c>
      <c r="EV24">
        <v>55</v>
      </c>
      <c r="EW24" t="s">
        <v>551</v>
      </c>
      <c r="EX24" t="s">
        <v>552</v>
      </c>
      <c r="EY24">
        <v>150</v>
      </c>
      <c r="EZ24">
        <v>152</v>
      </c>
      <c r="FA24">
        <v>152</v>
      </c>
      <c r="FB24" t="s">
        <v>270</v>
      </c>
      <c r="FC24" t="s">
        <v>553</v>
      </c>
      <c r="FD24" t="s">
        <v>552</v>
      </c>
      <c r="FE24">
        <v>282</v>
      </c>
      <c r="FF24">
        <v>281</v>
      </c>
      <c r="FG24">
        <v>280</v>
      </c>
      <c r="FH24" t="s">
        <v>270</v>
      </c>
      <c r="FI24" t="s">
        <v>554</v>
      </c>
      <c r="FJ24" t="s">
        <v>555</v>
      </c>
      <c r="FK24">
        <v>0</v>
      </c>
      <c r="FL24">
        <v>0</v>
      </c>
      <c r="FM24">
        <v>0</v>
      </c>
      <c r="FN24" t="s">
        <v>264</v>
      </c>
      <c r="FO24">
        <v>76.099999999999994</v>
      </c>
      <c r="FP24">
        <v>337.5</v>
      </c>
      <c r="FQ24" t="s">
        <v>556</v>
      </c>
      <c r="FR24" t="s">
        <v>555</v>
      </c>
      <c r="FS24">
        <v>0</v>
      </c>
      <c r="FT24">
        <v>0</v>
      </c>
      <c r="FU24">
        <v>0</v>
      </c>
      <c r="FV24" t="s">
        <v>264</v>
      </c>
      <c r="FW24">
        <v>73.5</v>
      </c>
      <c r="FX24">
        <v>85.8</v>
      </c>
      <c r="FY24" t="s">
        <v>557</v>
      </c>
      <c r="FZ24" t="s">
        <v>555</v>
      </c>
      <c r="GA24">
        <v>0</v>
      </c>
      <c r="GB24">
        <v>0</v>
      </c>
      <c r="GC24">
        <v>0</v>
      </c>
      <c r="GD24" t="s">
        <v>264</v>
      </c>
      <c r="GE24">
        <v>71.3</v>
      </c>
      <c r="GF24">
        <v>228.2</v>
      </c>
      <c r="GG24" t="s">
        <v>558</v>
      </c>
      <c r="GH24" t="s">
        <v>555</v>
      </c>
      <c r="GI24">
        <v>0</v>
      </c>
      <c r="GJ24">
        <v>0</v>
      </c>
      <c r="GK24">
        <v>0</v>
      </c>
      <c r="GL24" t="s">
        <v>264</v>
      </c>
      <c r="GM24">
        <v>68.5</v>
      </c>
      <c r="GN24">
        <v>48.5</v>
      </c>
      <c r="GO24" t="s">
        <v>559</v>
      </c>
      <c r="GP24" t="s">
        <v>555</v>
      </c>
      <c r="GQ24">
        <v>0</v>
      </c>
      <c r="GR24">
        <v>0</v>
      </c>
      <c r="GS24">
        <v>0</v>
      </c>
      <c r="GT24" t="s">
        <v>264</v>
      </c>
      <c r="GU24">
        <v>76.099999999999994</v>
      </c>
      <c r="GV24">
        <v>55.9</v>
      </c>
      <c r="GW24" t="s">
        <v>560</v>
      </c>
      <c r="GX24" t="s">
        <v>555</v>
      </c>
      <c r="GY24">
        <v>0</v>
      </c>
      <c r="GZ24">
        <v>0</v>
      </c>
      <c r="HA24">
        <v>0</v>
      </c>
      <c r="HB24" t="s">
        <v>264</v>
      </c>
      <c r="HC24">
        <v>70.400000000000006</v>
      </c>
      <c r="HD24">
        <v>88.9</v>
      </c>
      <c r="HE24" t="s">
        <v>561</v>
      </c>
      <c r="HF24" t="s">
        <v>555</v>
      </c>
      <c r="HG24">
        <v>0</v>
      </c>
      <c r="HH24">
        <v>0</v>
      </c>
      <c r="HI24">
        <v>0</v>
      </c>
      <c r="HJ24" t="s">
        <v>264</v>
      </c>
      <c r="HK24">
        <v>70.900000000000006</v>
      </c>
      <c r="HL24">
        <v>122.2</v>
      </c>
      <c r="HM24" t="s">
        <v>562</v>
      </c>
      <c r="HN24" t="s">
        <v>555</v>
      </c>
      <c r="HO24">
        <v>0</v>
      </c>
      <c r="HP24">
        <v>0</v>
      </c>
      <c r="HQ24">
        <v>0</v>
      </c>
      <c r="HR24" t="s">
        <v>264</v>
      </c>
      <c r="HS24">
        <v>69.2</v>
      </c>
      <c r="HT24">
        <v>92.1</v>
      </c>
      <c r="HU24" t="s">
        <v>563</v>
      </c>
      <c r="HV24" t="s">
        <v>555</v>
      </c>
      <c r="HW24">
        <v>0</v>
      </c>
      <c r="HX24">
        <v>0</v>
      </c>
      <c r="HY24">
        <v>0</v>
      </c>
      <c r="HZ24" t="s">
        <v>264</v>
      </c>
      <c r="IA24">
        <v>74.8</v>
      </c>
      <c r="IB24">
        <v>196.5</v>
      </c>
      <c r="IC24" t="s">
        <v>564</v>
      </c>
      <c r="ID24" t="s">
        <v>555</v>
      </c>
      <c r="IE24">
        <v>0</v>
      </c>
      <c r="IF24">
        <v>0</v>
      </c>
      <c r="IG24">
        <v>0</v>
      </c>
      <c r="IH24" t="s">
        <v>264</v>
      </c>
      <c r="II24">
        <v>68.400000000000006</v>
      </c>
      <c r="IJ24">
        <v>133.69999999999999</v>
      </c>
      <c r="IK24" t="s">
        <v>565</v>
      </c>
      <c r="IL24" t="s">
        <v>555</v>
      </c>
      <c r="IM24">
        <v>0</v>
      </c>
      <c r="IN24">
        <v>0</v>
      </c>
      <c r="IO24">
        <v>0</v>
      </c>
      <c r="IP24" t="s">
        <v>264</v>
      </c>
      <c r="IS24" t="s">
        <v>566</v>
      </c>
      <c r="IT24" t="s">
        <v>555</v>
      </c>
      <c r="IU24">
        <v>0</v>
      </c>
      <c r="IV24">
        <v>0</v>
      </c>
      <c r="IW24">
        <v>0</v>
      </c>
      <c r="IX24" t="s">
        <v>264</v>
      </c>
      <c r="JA24" t="s">
        <v>567</v>
      </c>
      <c r="JB24" t="s">
        <v>555</v>
      </c>
      <c r="JC24">
        <v>0</v>
      </c>
      <c r="JD24">
        <v>0</v>
      </c>
      <c r="JE24">
        <v>0</v>
      </c>
      <c r="JF24" t="s">
        <v>264</v>
      </c>
      <c r="JI24" t="s">
        <v>568</v>
      </c>
      <c r="JJ24" t="s">
        <v>555</v>
      </c>
      <c r="JK24">
        <v>0</v>
      </c>
      <c r="JL24">
        <v>0</v>
      </c>
      <c r="JM24">
        <v>0</v>
      </c>
      <c r="JN24" t="s">
        <v>264</v>
      </c>
      <c r="JQ24" t="s">
        <v>569</v>
      </c>
      <c r="JR24" t="s">
        <v>555</v>
      </c>
      <c r="JS24">
        <v>0</v>
      </c>
      <c r="JT24">
        <v>0</v>
      </c>
      <c r="JU24">
        <v>0</v>
      </c>
      <c r="JV24" t="s">
        <v>264</v>
      </c>
      <c r="JY24" t="s">
        <v>570</v>
      </c>
      <c r="JZ24" t="s">
        <v>555</v>
      </c>
      <c r="KA24">
        <v>0</v>
      </c>
      <c r="KB24">
        <v>0</v>
      </c>
      <c r="KC24">
        <v>0</v>
      </c>
      <c r="KD24" t="s">
        <v>264</v>
      </c>
      <c r="KG24" t="s">
        <v>571</v>
      </c>
      <c r="KH24" t="s">
        <v>555</v>
      </c>
      <c r="KI24">
        <v>0</v>
      </c>
      <c r="KJ24">
        <v>0</v>
      </c>
      <c r="KK24">
        <v>0</v>
      </c>
      <c r="KL24" t="s">
        <v>264</v>
      </c>
      <c r="KO24" t="s">
        <v>572</v>
      </c>
      <c r="KP24" t="s">
        <v>555</v>
      </c>
      <c r="KQ24">
        <v>0</v>
      </c>
      <c r="KR24">
        <v>0</v>
      </c>
      <c r="KS24">
        <v>0</v>
      </c>
      <c r="KT24" t="s">
        <v>264</v>
      </c>
      <c r="KW24" t="s">
        <v>573</v>
      </c>
      <c r="KX24" t="s">
        <v>555</v>
      </c>
      <c r="KY24">
        <v>0</v>
      </c>
      <c r="KZ24">
        <v>0</v>
      </c>
      <c r="LA24">
        <v>0</v>
      </c>
      <c r="LB24" t="s">
        <v>264</v>
      </c>
      <c r="LE24" t="s">
        <v>574</v>
      </c>
      <c r="LF24" t="s">
        <v>555</v>
      </c>
      <c r="LG24">
        <v>0</v>
      </c>
      <c r="LH24">
        <v>0</v>
      </c>
      <c r="LI24">
        <v>0</v>
      </c>
      <c r="LJ24" t="s">
        <v>264</v>
      </c>
      <c r="LM24" t="s">
        <v>575</v>
      </c>
      <c r="LN24" t="s">
        <v>555</v>
      </c>
      <c r="LO24">
        <v>0</v>
      </c>
      <c r="LP24">
        <v>0</v>
      </c>
      <c r="LQ24">
        <v>0</v>
      </c>
      <c r="LR24" t="s">
        <v>264</v>
      </c>
      <c r="LU24" t="s">
        <v>576</v>
      </c>
      <c r="LV24" t="s">
        <v>555</v>
      </c>
      <c r="LW24">
        <v>0</v>
      </c>
      <c r="LX24">
        <v>0</v>
      </c>
      <c r="LY24">
        <v>0</v>
      </c>
      <c r="LZ24" t="s">
        <v>264</v>
      </c>
      <c r="MC24" t="s">
        <v>577</v>
      </c>
      <c r="MD24" t="s">
        <v>555</v>
      </c>
      <c r="ME24">
        <v>0</v>
      </c>
      <c r="MF24">
        <v>0</v>
      </c>
      <c r="MG24">
        <v>0</v>
      </c>
      <c r="MH24" t="s">
        <v>264</v>
      </c>
      <c r="MK24" t="s">
        <v>578</v>
      </c>
      <c r="ML24" t="s">
        <v>555</v>
      </c>
      <c r="MM24">
        <v>0</v>
      </c>
      <c r="MN24">
        <v>0</v>
      </c>
      <c r="MO24">
        <v>0</v>
      </c>
      <c r="MP24" t="s">
        <v>264</v>
      </c>
      <c r="MS24" t="s">
        <v>579</v>
      </c>
      <c r="MT24" t="s">
        <v>555</v>
      </c>
      <c r="MU24">
        <v>0</v>
      </c>
      <c r="MV24">
        <v>0</v>
      </c>
      <c r="MW24">
        <v>0</v>
      </c>
      <c r="MX24" t="s">
        <v>264</v>
      </c>
      <c r="NA24" t="s">
        <v>580</v>
      </c>
      <c r="NB24" t="s">
        <v>555</v>
      </c>
      <c r="NC24">
        <v>0</v>
      </c>
      <c r="ND24">
        <v>0</v>
      </c>
      <c r="NE24">
        <v>0</v>
      </c>
      <c r="NF24" t="s">
        <v>264</v>
      </c>
      <c r="NI24">
        <v>40.1</v>
      </c>
      <c r="NJ24">
        <v>-6.6</v>
      </c>
      <c r="NP24" t="s">
        <v>581</v>
      </c>
    </row>
    <row r="25" spans="1:380" customFormat="1" x14ac:dyDescent="0.2">
      <c r="A25" t="s">
        <v>517</v>
      </c>
      <c r="B25">
        <v>1</v>
      </c>
      <c r="C25" t="s">
        <v>851</v>
      </c>
      <c r="D25">
        <v>646957785</v>
      </c>
      <c r="E25">
        <v>12602</v>
      </c>
      <c r="F25" t="s">
        <v>805</v>
      </c>
      <c r="G25">
        <v>709951</v>
      </c>
      <c r="H25">
        <v>210081586</v>
      </c>
      <c r="I25" t="s">
        <v>543</v>
      </c>
      <c r="J25" t="s">
        <v>852</v>
      </c>
      <c r="K25" t="s">
        <v>545</v>
      </c>
      <c r="L25" t="s">
        <v>442</v>
      </c>
      <c r="M25" t="s">
        <v>546</v>
      </c>
      <c r="N25" t="s">
        <v>468</v>
      </c>
      <c r="O25" t="s">
        <v>547</v>
      </c>
      <c r="P25" t="s">
        <v>264</v>
      </c>
      <c r="Q25">
        <v>26.9</v>
      </c>
      <c r="R25">
        <v>273</v>
      </c>
      <c r="S25" t="s">
        <v>264</v>
      </c>
      <c r="T25">
        <v>-9999</v>
      </c>
      <c r="U25">
        <v>575</v>
      </c>
      <c r="V25">
        <v>590</v>
      </c>
      <c r="W25">
        <v>563</v>
      </c>
      <c r="X25" t="s">
        <v>270</v>
      </c>
      <c r="Y25">
        <v>0</v>
      </c>
      <c r="Z25">
        <v>55</v>
      </c>
      <c r="AA25" t="s">
        <v>469</v>
      </c>
      <c r="AB25" t="s">
        <v>548</v>
      </c>
      <c r="AC25">
        <v>1</v>
      </c>
      <c r="AD25" t="s">
        <v>584</v>
      </c>
      <c r="AE25">
        <v>26.5</v>
      </c>
      <c r="AF25">
        <v>1138</v>
      </c>
      <c r="AG25" t="s">
        <v>264</v>
      </c>
      <c r="AH25">
        <v>-9999</v>
      </c>
      <c r="AI25">
        <v>582</v>
      </c>
      <c r="AJ25">
        <v>701</v>
      </c>
      <c r="AK25">
        <v>573</v>
      </c>
      <c r="AL25" t="s">
        <v>270</v>
      </c>
      <c r="AM25">
        <v>0</v>
      </c>
      <c r="AN25">
        <v>55</v>
      </c>
      <c r="AO25" t="s">
        <v>470</v>
      </c>
      <c r="AP25" t="s">
        <v>548</v>
      </c>
      <c r="AQ25">
        <v>2</v>
      </c>
      <c r="AR25" t="s">
        <v>584</v>
      </c>
      <c r="AS25">
        <v>37.799999999999997</v>
      </c>
      <c r="AT25">
        <v>359</v>
      </c>
      <c r="AU25" t="s">
        <v>264</v>
      </c>
      <c r="AV25">
        <v>-9999</v>
      </c>
      <c r="AW25">
        <v>422</v>
      </c>
      <c r="AX25">
        <v>446</v>
      </c>
      <c r="AY25">
        <v>419</v>
      </c>
      <c r="AZ25" t="s">
        <v>270</v>
      </c>
      <c r="BA25">
        <v>0</v>
      </c>
      <c r="BB25">
        <v>55</v>
      </c>
      <c r="BC25" t="s">
        <v>550</v>
      </c>
      <c r="BD25" t="s">
        <v>548</v>
      </c>
      <c r="BE25">
        <v>3</v>
      </c>
      <c r="BF25" t="s">
        <v>584</v>
      </c>
      <c r="BG25">
        <v>22.8</v>
      </c>
      <c r="BH25">
        <v>595</v>
      </c>
      <c r="BI25" t="s">
        <v>264</v>
      </c>
      <c r="BJ25">
        <v>-9999</v>
      </c>
      <c r="BK25">
        <v>-52</v>
      </c>
      <c r="BL25">
        <v>-38</v>
      </c>
      <c r="BM25">
        <v>-46</v>
      </c>
      <c r="BN25" t="s">
        <v>270</v>
      </c>
      <c r="BO25">
        <v>0</v>
      </c>
      <c r="BP25">
        <v>55</v>
      </c>
      <c r="BQ25" t="s">
        <v>504</v>
      </c>
      <c r="BR25" t="s">
        <v>548</v>
      </c>
      <c r="BS25">
        <v>4</v>
      </c>
      <c r="BT25" t="s">
        <v>584</v>
      </c>
      <c r="BU25">
        <v>30.6</v>
      </c>
      <c r="BV25">
        <v>287</v>
      </c>
      <c r="BW25" t="s">
        <v>264</v>
      </c>
      <c r="BX25">
        <v>-9999</v>
      </c>
      <c r="BY25">
        <v>237</v>
      </c>
      <c r="BZ25">
        <v>275</v>
      </c>
      <c r="CA25">
        <v>235</v>
      </c>
      <c r="CB25" t="s">
        <v>270</v>
      </c>
      <c r="CC25">
        <v>0</v>
      </c>
      <c r="CD25">
        <v>55</v>
      </c>
      <c r="CE25" t="s">
        <v>471</v>
      </c>
      <c r="CF25" t="s">
        <v>548</v>
      </c>
      <c r="CG25">
        <v>5</v>
      </c>
      <c r="CH25" t="s">
        <v>584</v>
      </c>
      <c r="CI25">
        <v>33.700000000000003</v>
      </c>
      <c r="CJ25">
        <v>253</v>
      </c>
      <c r="CK25" t="s">
        <v>264</v>
      </c>
      <c r="CL25">
        <v>-9999</v>
      </c>
      <c r="CM25">
        <v>536</v>
      </c>
      <c r="CN25">
        <v>626</v>
      </c>
      <c r="CO25">
        <v>532</v>
      </c>
      <c r="CP25" t="s">
        <v>270</v>
      </c>
      <c r="CQ25">
        <v>0</v>
      </c>
      <c r="CR25">
        <v>55</v>
      </c>
      <c r="CS25" t="s">
        <v>472</v>
      </c>
      <c r="CT25" t="s">
        <v>548</v>
      </c>
      <c r="CU25">
        <v>6</v>
      </c>
      <c r="CV25" t="s">
        <v>584</v>
      </c>
      <c r="CW25">
        <v>35.700000000000003</v>
      </c>
      <c r="CX25">
        <v>221</v>
      </c>
      <c r="CY25" t="s">
        <v>264</v>
      </c>
      <c r="CZ25">
        <v>-9999</v>
      </c>
      <c r="DA25">
        <v>782</v>
      </c>
      <c r="DB25">
        <v>887</v>
      </c>
      <c r="DC25">
        <v>768</v>
      </c>
      <c r="DD25" t="s">
        <v>270</v>
      </c>
      <c r="DE25">
        <v>0</v>
      </c>
      <c r="DF25">
        <v>55</v>
      </c>
      <c r="DG25" t="s">
        <v>473</v>
      </c>
      <c r="DH25" t="s">
        <v>548</v>
      </c>
      <c r="DI25">
        <v>7</v>
      </c>
      <c r="DJ25" t="s">
        <v>584</v>
      </c>
      <c r="DK25">
        <v>25.2</v>
      </c>
      <c r="DL25">
        <v>221</v>
      </c>
      <c r="DM25" t="s">
        <v>264</v>
      </c>
      <c r="DN25">
        <v>-9999</v>
      </c>
      <c r="DO25">
        <v>598</v>
      </c>
      <c r="DP25">
        <v>685</v>
      </c>
      <c r="DQ25">
        <v>592</v>
      </c>
      <c r="DR25" t="s">
        <v>270</v>
      </c>
      <c r="DS25">
        <v>0</v>
      </c>
      <c r="DT25">
        <v>55</v>
      </c>
      <c r="DU25" t="s">
        <v>474</v>
      </c>
      <c r="DV25" t="s">
        <v>548</v>
      </c>
      <c r="DW25">
        <v>8</v>
      </c>
      <c r="DX25" t="s">
        <v>584</v>
      </c>
      <c r="DY25">
        <v>21.6</v>
      </c>
      <c r="DZ25">
        <v>498</v>
      </c>
      <c r="EA25" t="s">
        <v>264</v>
      </c>
      <c r="EB25">
        <v>-9999</v>
      </c>
      <c r="EC25">
        <v>90</v>
      </c>
      <c r="ED25">
        <v>110</v>
      </c>
      <c r="EE25">
        <v>88</v>
      </c>
      <c r="EF25" t="s">
        <v>270</v>
      </c>
      <c r="EG25">
        <v>0</v>
      </c>
      <c r="EH25">
        <v>55</v>
      </c>
      <c r="EI25" t="s">
        <v>475</v>
      </c>
      <c r="EJ25" t="s">
        <v>548</v>
      </c>
      <c r="EK25">
        <v>9</v>
      </c>
      <c r="EL25" t="s">
        <v>584</v>
      </c>
      <c r="EM25">
        <v>25.9</v>
      </c>
      <c r="EN25">
        <v>113</v>
      </c>
      <c r="EO25" t="s">
        <v>264</v>
      </c>
      <c r="EP25">
        <v>-9999</v>
      </c>
      <c r="EQ25">
        <v>355</v>
      </c>
      <c r="ER25">
        <v>343</v>
      </c>
      <c r="ES25">
        <v>318</v>
      </c>
      <c r="ET25" t="s">
        <v>270</v>
      </c>
      <c r="EU25">
        <v>0</v>
      </c>
      <c r="EV25">
        <v>55</v>
      </c>
      <c r="EW25" t="s">
        <v>551</v>
      </c>
      <c r="EX25" t="s">
        <v>552</v>
      </c>
      <c r="EY25">
        <v>131</v>
      </c>
      <c r="EZ25">
        <v>131</v>
      </c>
      <c r="FA25">
        <v>131</v>
      </c>
      <c r="FB25" t="s">
        <v>270</v>
      </c>
      <c r="FC25" t="s">
        <v>553</v>
      </c>
      <c r="FD25" t="s">
        <v>552</v>
      </c>
      <c r="FE25">
        <v>305</v>
      </c>
      <c r="FF25">
        <v>303</v>
      </c>
      <c r="FG25">
        <v>302</v>
      </c>
      <c r="FH25" t="s">
        <v>270</v>
      </c>
      <c r="FI25" t="s">
        <v>554</v>
      </c>
      <c r="FJ25" t="s">
        <v>555</v>
      </c>
      <c r="FK25">
        <v>0</v>
      </c>
      <c r="FL25">
        <v>0</v>
      </c>
      <c r="FM25">
        <v>0</v>
      </c>
      <c r="FN25" t="s">
        <v>264</v>
      </c>
      <c r="FO25">
        <v>76.099999999999994</v>
      </c>
      <c r="FP25">
        <v>248.7</v>
      </c>
      <c r="FQ25" t="s">
        <v>556</v>
      </c>
      <c r="FR25" t="s">
        <v>555</v>
      </c>
      <c r="FS25">
        <v>0</v>
      </c>
      <c r="FT25">
        <v>0</v>
      </c>
      <c r="FU25">
        <v>0</v>
      </c>
      <c r="FV25" t="s">
        <v>264</v>
      </c>
      <c r="FW25">
        <v>73.5</v>
      </c>
      <c r="FX25">
        <v>113.4</v>
      </c>
      <c r="FY25" t="s">
        <v>557</v>
      </c>
      <c r="FZ25" t="s">
        <v>555</v>
      </c>
      <c r="GA25">
        <v>0</v>
      </c>
      <c r="GB25">
        <v>0</v>
      </c>
      <c r="GC25">
        <v>0</v>
      </c>
      <c r="GD25" t="s">
        <v>264</v>
      </c>
      <c r="GE25">
        <v>71.3</v>
      </c>
      <c r="GF25">
        <v>198.8</v>
      </c>
      <c r="GG25" t="s">
        <v>558</v>
      </c>
      <c r="GH25" t="s">
        <v>555</v>
      </c>
      <c r="GI25">
        <v>0</v>
      </c>
      <c r="GJ25">
        <v>0</v>
      </c>
      <c r="GK25">
        <v>0</v>
      </c>
      <c r="GL25" t="s">
        <v>264</v>
      </c>
      <c r="GM25">
        <v>68.5</v>
      </c>
      <c r="GN25">
        <v>55.6</v>
      </c>
      <c r="GO25" t="s">
        <v>559</v>
      </c>
      <c r="GP25" t="s">
        <v>555</v>
      </c>
      <c r="GQ25">
        <v>0</v>
      </c>
      <c r="GR25">
        <v>0</v>
      </c>
      <c r="GS25">
        <v>0</v>
      </c>
      <c r="GT25" t="s">
        <v>264</v>
      </c>
      <c r="GU25">
        <v>76</v>
      </c>
      <c r="GV25">
        <v>63.5</v>
      </c>
      <c r="GW25" t="s">
        <v>560</v>
      </c>
      <c r="GX25" t="s">
        <v>555</v>
      </c>
      <c r="GY25">
        <v>0</v>
      </c>
      <c r="GZ25">
        <v>0</v>
      </c>
      <c r="HA25">
        <v>0</v>
      </c>
      <c r="HB25" t="s">
        <v>264</v>
      </c>
      <c r="HC25">
        <v>70.3</v>
      </c>
      <c r="HD25">
        <v>81.7</v>
      </c>
      <c r="HE25" t="s">
        <v>561</v>
      </c>
      <c r="HF25" t="s">
        <v>555</v>
      </c>
      <c r="HG25">
        <v>0</v>
      </c>
      <c r="HH25">
        <v>0</v>
      </c>
      <c r="HI25">
        <v>0</v>
      </c>
      <c r="HJ25" t="s">
        <v>264</v>
      </c>
      <c r="HK25">
        <v>70.900000000000006</v>
      </c>
      <c r="HL25">
        <v>146</v>
      </c>
      <c r="HM25" t="s">
        <v>562</v>
      </c>
      <c r="HN25" t="s">
        <v>555</v>
      </c>
      <c r="HO25">
        <v>0</v>
      </c>
      <c r="HP25">
        <v>0</v>
      </c>
      <c r="HQ25">
        <v>0</v>
      </c>
      <c r="HR25" t="s">
        <v>264</v>
      </c>
      <c r="HS25">
        <v>69.3</v>
      </c>
      <c r="HT25">
        <v>97.7</v>
      </c>
      <c r="HU25" t="s">
        <v>563</v>
      </c>
      <c r="HV25" t="s">
        <v>555</v>
      </c>
      <c r="HW25">
        <v>0</v>
      </c>
      <c r="HX25">
        <v>0</v>
      </c>
      <c r="HY25">
        <v>0</v>
      </c>
      <c r="HZ25" t="s">
        <v>264</v>
      </c>
      <c r="IA25">
        <v>74.8</v>
      </c>
      <c r="IB25">
        <v>178.3</v>
      </c>
      <c r="IC25" t="s">
        <v>564</v>
      </c>
      <c r="ID25" t="s">
        <v>555</v>
      </c>
      <c r="IE25">
        <v>0</v>
      </c>
      <c r="IF25">
        <v>0</v>
      </c>
      <c r="IG25">
        <v>0</v>
      </c>
      <c r="IH25" t="s">
        <v>264</v>
      </c>
      <c r="II25">
        <v>68.400000000000006</v>
      </c>
      <c r="IJ25">
        <v>128.1</v>
      </c>
      <c r="IK25" t="s">
        <v>565</v>
      </c>
      <c r="IL25" t="s">
        <v>555</v>
      </c>
      <c r="IM25">
        <v>0</v>
      </c>
      <c r="IN25">
        <v>0</v>
      </c>
      <c r="IO25">
        <v>0</v>
      </c>
      <c r="IP25" t="s">
        <v>264</v>
      </c>
      <c r="IS25" t="s">
        <v>566</v>
      </c>
      <c r="IT25" t="s">
        <v>555</v>
      </c>
      <c r="IU25">
        <v>0</v>
      </c>
      <c r="IV25">
        <v>0</v>
      </c>
      <c r="IW25">
        <v>0</v>
      </c>
      <c r="IX25" t="s">
        <v>264</v>
      </c>
      <c r="JA25" t="s">
        <v>567</v>
      </c>
      <c r="JB25" t="s">
        <v>555</v>
      </c>
      <c r="JC25">
        <v>0</v>
      </c>
      <c r="JD25">
        <v>0</v>
      </c>
      <c r="JE25">
        <v>0</v>
      </c>
      <c r="JF25" t="s">
        <v>264</v>
      </c>
      <c r="JI25" t="s">
        <v>568</v>
      </c>
      <c r="JJ25" t="s">
        <v>555</v>
      </c>
      <c r="JK25">
        <v>0</v>
      </c>
      <c r="JL25">
        <v>0</v>
      </c>
      <c r="JM25">
        <v>0</v>
      </c>
      <c r="JN25" t="s">
        <v>264</v>
      </c>
      <c r="JQ25" t="s">
        <v>569</v>
      </c>
      <c r="JR25" t="s">
        <v>555</v>
      </c>
      <c r="JS25">
        <v>0</v>
      </c>
      <c r="JT25">
        <v>0</v>
      </c>
      <c r="JU25">
        <v>0</v>
      </c>
      <c r="JV25" t="s">
        <v>264</v>
      </c>
      <c r="JY25" t="s">
        <v>570</v>
      </c>
      <c r="JZ25" t="s">
        <v>555</v>
      </c>
      <c r="KA25">
        <v>0</v>
      </c>
      <c r="KB25">
        <v>0</v>
      </c>
      <c r="KC25">
        <v>0</v>
      </c>
      <c r="KD25" t="s">
        <v>264</v>
      </c>
      <c r="KG25" t="s">
        <v>571</v>
      </c>
      <c r="KH25" t="s">
        <v>555</v>
      </c>
      <c r="KI25">
        <v>0</v>
      </c>
      <c r="KJ25">
        <v>0</v>
      </c>
      <c r="KK25">
        <v>0</v>
      </c>
      <c r="KL25" t="s">
        <v>264</v>
      </c>
      <c r="KO25" t="s">
        <v>572</v>
      </c>
      <c r="KP25" t="s">
        <v>555</v>
      </c>
      <c r="KQ25">
        <v>0</v>
      </c>
      <c r="KR25">
        <v>0</v>
      </c>
      <c r="KS25">
        <v>0</v>
      </c>
      <c r="KT25" t="s">
        <v>264</v>
      </c>
      <c r="KW25" t="s">
        <v>573</v>
      </c>
      <c r="KX25" t="s">
        <v>555</v>
      </c>
      <c r="KY25">
        <v>0</v>
      </c>
      <c r="KZ25">
        <v>0</v>
      </c>
      <c r="LA25">
        <v>0</v>
      </c>
      <c r="LB25" t="s">
        <v>264</v>
      </c>
      <c r="LE25" t="s">
        <v>574</v>
      </c>
      <c r="LF25" t="s">
        <v>555</v>
      </c>
      <c r="LG25">
        <v>0</v>
      </c>
      <c r="LH25">
        <v>0</v>
      </c>
      <c r="LI25">
        <v>0</v>
      </c>
      <c r="LJ25" t="s">
        <v>264</v>
      </c>
      <c r="LM25" t="s">
        <v>575</v>
      </c>
      <c r="LN25" t="s">
        <v>555</v>
      </c>
      <c r="LO25">
        <v>0</v>
      </c>
      <c r="LP25">
        <v>0</v>
      </c>
      <c r="LQ25">
        <v>0</v>
      </c>
      <c r="LR25" t="s">
        <v>264</v>
      </c>
      <c r="LU25" t="s">
        <v>576</v>
      </c>
      <c r="LV25" t="s">
        <v>555</v>
      </c>
      <c r="LW25">
        <v>0</v>
      </c>
      <c r="LX25">
        <v>0</v>
      </c>
      <c r="LY25">
        <v>0</v>
      </c>
      <c r="LZ25" t="s">
        <v>264</v>
      </c>
      <c r="MC25" t="s">
        <v>577</v>
      </c>
      <c r="MD25" t="s">
        <v>555</v>
      </c>
      <c r="ME25">
        <v>0</v>
      </c>
      <c r="MF25">
        <v>0</v>
      </c>
      <c r="MG25">
        <v>0</v>
      </c>
      <c r="MH25" t="s">
        <v>264</v>
      </c>
      <c r="MK25" t="s">
        <v>578</v>
      </c>
      <c r="ML25" t="s">
        <v>555</v>
      </c>
      <c r="MM25">
        <v>0</v>
      </c>
      <c r="MN25">
        <v>0</v>
      </c>
      <c r="MO25">
        <v>0</v>
      </c>
      <c r="MP25" t="s">
        <v>264</v>
      </c>
      <c r="MS25" t="s">
        <v>579</v>
      </c>
      <c r="MT25" t="s">
        <v>555</v>
      </c>
      <c r="MU25">
        <v>0</v>
      </c>
      <c r="MV25">
        <v>0</v>
      </c>
      <c r="MW25">
        <v>0</v>
      </c>
      <c r="MX25" t="s">
        <v>264</v>
      </c>
      <c r="NA25" t="s">
        <v>580</v>
      </c>
      <c r="NB25" t="s">
        <v>555</v>
      </c>
      <c r="NC25">
        <v>0</v>
      </c>
      <c r="ND25">
        <v>0</v>
      </c>
      <c r="NE25">
        <v>0</v>
      </c>
      <c r="NF25" t="s">
        <v>264</v>
      </c>
      <c r="NI25">
        <v>40</v>
      </c>
      <c r="NJ25">
        <v>-14.4</v>
      </c>
      <c r="NP25" t="s">
        <v>581</v>
      </c>
    </row>
    <row r="26" spans="1:380" customFormat="1" x14ac:dyDescent="0.2">
      <c r="A26" t="s">
        <v>517</v>
      </c>
      <c r="B26">
        <v>1</v>
      </c>
      <c r="C26" t="s">
        <v>853</v>
      </c>
      <c r="D26">
        <v>646959564</v>
      </c>
      <c r="E26">
        <v>12602</v>
      </c>
      <c r="F26" t="s">
        <v>805</v>
      </c>
      <c r="G26">
        <v>802069</v>
      </c>
      <c r="H26">
        <v>220023028</v>
      </c>
      <c r="I26" t="s">
        <v>622</v>
      </c>
      <c r="J26" t="s">
        <v>854</v>
      </c>
      <c r="K26" t="s">
        <v>545</v>
      </c>
      <c r="L26" t="s">
        <v>442</v>
      </c>
      <c r="M26" t="s">
        <v>546</v>
      </c>
      <c r="N26" t="s">
        <v>468</v>
      </c>
      <c r="O26" t="s">
        <v>547</v>
      </c>
      <c r="P26" t="s">
        <v>264</v>
      </c>
      <c r="Q26">
        <v>26</v>
      </c>
      <c r="R26">
        <v>310</v>
      </c>
      <c r="S26" t="s">
        <v>264</v>
      </c>
      <c r="T26">
        <v>-9999</v>
      </c>
      <c r="U26">
        <v>563</v>
      </c>
      <c r="V26">
        <v>582</v>
      </c>
      <c r="W26">
        <v>554</v>
      </c>
      <c r="X26" t="s">
        <v>270</v>
      </c>
      <c r="Y26">
        <v>0</v>
      </c>
      <c r="Z26">
        <v>55</v>
      </c>
      <c r="AA26" t="s">
        <v>469</v>
      </c>
      <c r="AB26" t="s">
        <v>548</v>
      </c>
      <c r="AC26">
        <v>1</v>
      </c>
      <c r="AD26" t="s">
        <v>584</v>
      </c>
      <c r="AE26">
        <v>27.4</v>
      </c>
      <c r="AF26">
        <v>1367</v>
      </c>
      <c r="AG26" t="s">
        <v>264</v>
      </c>
      <c r="AH26">
        <v>-9999</v>
      </c>
      <c r="AI26">
        <v>463</v>
      </c>
      <c r="AJ26">
        <v>577</v>
      </c>
      <c r="AK26">
        <v>464</v>
      </c>
      <c r="AL26" t="s">
        <v>270</v>
      </c>
      <c r="AM26">
        <v>0</v>
      </c>
      <c r="AN26">
        <v>55</v>
      </c>
      <c r="AO26" t="s">
        <v>470</v>
      </c>
      <c r="AP26" t="s">
        <v>548</v>
      </c>
      <c r="AQ26">
        <v>2</v>
      </c>
      <c r="AR26" t="s">
        <v>584</v>
      </c>
      <c r="AS26">
        <v>39.1</v>
      </c>
      <c r="AT26">
        <v>422</v>
      </c>
      <c r="AU26" t="s">
        <v>264</v>
      </c>
      <c r="AV26">
        <v>-9999</v>
      </c>
      <c r="AW26">
        <v>270</v>
      </c>
      <c r="AX26">
        <v>280</v>
      </c>
      <c r="AY26">
        <v>269</v>
      </c>
      <c r="AZ26" t="s">
        <v>270</v>
      </c>
      <c r="BA26">
        <v>0</v>
      </c>
      <c r="BB26">
        <v>55</v>
      </c>
      <c r="BC26" t="s">
        <v>550</v>
      </c>
      <c r="BD26" t="s">
        <v>548</v>
      </c>
      <c r="BE26">
        <v>3</v>
      </c>
      <c r="BF26" t="s">
        <v>584</v>
      </c>
      <c r="BG26">
        <v>23.3</v>
      </c>
      <c r="BH26">
        <v>628</v>
      </c>
      <c r="BI26" t="s">
        <v>264</v>
      </c>
      <c r="BJ26">
        <v>-9999</v>
      </c>
      <c r="BK26">
        <v>275</v>
      </c>
      <c r="BL26">
        <v>332</v>
      </c>
      <c r="BM26">
        <v>270</v>
      </c>
      <c r="BN26" t="s">
        <v>270</v>
      </c>
      <c r="BO26">
        <v>0</v>
      </c>
      <c r="BP26">
        <v>55</v>
      </c>
      <c r="BQ26" t="s">
        <v>504</v>
      </c>
      <c r="BR26" t="s">
        <v>548</v>
      </c>
      <c r="BS26">
        <v>4</v>
      </c>
      <c r="BT26" t="s">
        <v>584</v>
      </c>
      <c r="BU26">
        <v>31.2</v>
      </c>
      <c r="BV26">
        <v>280</v>
      </c>
      <c r="BW26" t="s">
        <v>264</v>
      </c>
      <c r="BX26">
        <v>-9999</v>
      </c>
      <c r="BY26">
        <v>241</v>
      </c>
      <c r="BZ26">
        <v>279</v>
      </c>
      <c r="CA26">
        <v>239</v>
      </c>
      <c r="CB26" t="s">
        <v>270</v>
      </c>
      <c r="CC26">
        <v>0</v>
      </c>
      <c r="CD26">
        <v>55</v>
      </c>
      <c r="CE26" t="s">
        <v>471</v>
      </c>
      <c r="CF26" t="s">
        <v>548</v>
      </c>
      <c r="CG26">
        <v>5</v>
      </c>
      <c r="CH26" t="s">
        <v>584</v>
      </c>
      <c r="CI26">
        <v>39</v>
      </c>
      <c r="CJ26">
        <v>150</v>
      </c>
      <c r="CK26" t="s">
        <v>264</v>
      </c>
      <c r="CL26">
        <v>-9999</v>
      </c>
      <c r="CM26">
        <v>501</v>
      </c>
      <c r="CN26">
        <v>582</v>
      </c>
      <c r="CO26">
        <v>500</v>
      </c>
      <c r="CP26" t="s">
        <v>270</v>
      </c>
      <c r="CQ26">
        <v>0</v>
      </c>
      <c r="CR26">
        <v>55</v>
      </c>
      <c r="CS26" t="s">
        <v>472</v>
      </c>
      <c r="CT26" t="s">
        <v>548</v>
      </c>
      <c r="CU26">
        <v>6</v>
      </c>
      <c r="CV26" t="s">
        <v>584</v>
      </c>
      <c r="CW26">
        <v>34.6</v>
      </c>
      <c r="CX26">
        <v>289</v>
      </c>
      <c r="CY26" t="s">
        <v>264</v>
      </c>
      <c r="CZ26">
        <v>-9999</v>
      </c>
      <c r="DA26">
        <v>633</v>
      </c>
      <c r="DB26">
        <v>718</v>
      </c>
      <c r="DC26">
        <v>622</v>
      </c>
      <c r="DD26" t="s">
        <v>270</v>
      </c>
      <c r="DE26">
        <v>0</v>
      </c>
      <c r="DF26">
        <v>55</v>
      </c>
      <c r="DG26" t="s">
        <v>473</v>
      </c>
      <c r="DH26" t="s">
        <v>548</v>
      </c>
      <c r="DI26">
        <v>7</v>
      </c>
      <c r="DJ26" t="s">
        <v>584</v>
      </c>
      <c r="DK26">
        <v>25</v>
      </c>
      <c r="DL26">
        <v>190</v>
      </c>
      <c r="DM26" t="s">
        <v>264</v>
      </c>
      <c r="DN26">
        <v>-9999</v>
      </c>
      <c r="DO26">
        <v>568</v>
      </c>
      <c r="DP26">
        <v>654</v>
      </c>
      <c r="DQ26">
        <v>565</v>
      </c>
      <c r="DR26" t="s">
        <v>270</v>
      </c>
      <c r="DS26">
        <v>0</v>
      </c>
      <c r="DT26">
        <v>55</v>
      </c>
      <c r="DU26" t="s">
        <v>474</v>
      </c>
      <c r="DV26" t="s">
        <v>548</v>
      </c>
      <c r="DW26">
        <v>8</v>
      </c>
      <c r="DX26" t="s">
        <v>584</v>
      </c>
      <c r="DY26">
        <v>22.2</v>
      </c>
      <c r="DZ26">
        <v>430</v>
      </c>
      <c r="EA26" t="s">
        <v>264</v>
      </c>
      <c r="EB26">
        <v>-9999</v>
      </c>
      <c r="EC26">
        <v>120</v>
      </c>
      <c r="ED26">
        <v>145</v>
      </c>
      <c r="EE26">
        <v>119</v>
      </c>
      <c r="EF26" t="s">
        <v>270</v>
      </c>
      <c r="EG26">
        <v>0</v>
      </c>
      <c r="EH26">
        <v>55</v>
      </c>
      <c r="EI26" t="s">
        <v>475</v>
      </c>
      <c r="EJ26" t="s">
        <v>548</v>
      </c>
      <c r="EK26">
        <v>9</v>
      </c>
      <c r="EL26" t="s">
        <v>584</v>
      </c>
      <c r="EM26">
        <v>26.2</v>
      </c>
      <c r="EN26">
        <v>50</v>
      </c>
      <c r="EO26" t="s">
        <v>264</v>
      </c>
      <c r="EP26">
        <v>-9999</v>
      </c>
      <c r="EQ26">
        <v>283</v>
      </c>
      <c r="ER26">
        <v>264</v>
      </c>
      <c r="ES26">
        <v>253</v>
      </c>
      <c r="ET26" t="s">
        <v>270</v>
      </c>
      <c r="EU26">
        <v>0</v>
      </c>
      <c r="EV26">
        <v>55</v>
      </c>
      <c r="EW26" t="s">
        <v>551</v>
      </c>
      <c r="EX26" t="s">
        <v>552</v>
      </c>
      <c r="EY26">
        <v>172</v>
      </c>
      <c r="EZ26">
        <v>173</v>
      </c>
      <c r="FA26">
        <v>174</v>
      </c>
      <c r="FB26" t="s">
        <v>270</v>
      </c>
      <c r="FC26" t="s">
        <v>553</v>
      </c>
      <c r="FD26" t="s">
        <v>552</v>
      </c>
      <c r="FE26">
        <v>224</v>
      </c>
      <c r="FF26">
        <v>222</v>
      </c>
      <c r="FG26">
        <v>221</v>
      </c>
      <c r="FH26" t="s">
        <v>270</v>
      </c>
      <c r="FI26" t="s">
        <v>554</v>
      </c>
      <c r="FJ26" t="s">
        <v>555</v>
      </c>
      <c r="FK26">
        <v>0</v>
      </c>
      <c r="FL26">
        <v>0</v>
      </c>
      <c r="FM26">
        <v>0</v>
      </c>
      <c r="FN26" t="s">
        <v>264</v>
      </c>
      <c r="FO26">
        <v>76.099999999999994</v>
      </c>
      <c r="FP26">
        <v>309</v>
      </c>
      <c r="FQ26" t="s">
        <v>556</v>
      </c>
      <c r="FR26" t="s">
        <v>555</v>
      </c>
      <c r="FS26">
        <v>0</v>
      </c>
      <c r="FT26">
        <v>0</v>
      </c>
      <c r="FU26">
        <v>0</v>
      </c>
      <c r="FV26" t="s">
        <v>264</v>
      </c>
      <c r="FW26">
        <v>73.400000000000006</v>
      </c>
      <c r="FX26">
        <v>79</v>
      </c>
      <c r="FY26" t="s">
        <v>557</v>
      </c>
      <c r="FZ26" t="s">
        <v>555</v>
      </c>
      <c r="GA26">
        <v>0</v>
      </c>
      <c r="GB26">
        <v>0</v>
      </c>
      <c r="GC26">
        <v>0</v>
      </c>
      <c r="GD26" t="s">
        <v>264</v>
      </c>
      <c r="GE26">
        <v>71.3</v>
      </c>
      <c r="GF26">
        <v>308.5</v>
      </c>
      <c r="GG26" t="s">
        <v>558</v>
      </c>
      <c r="GH26" t="s">
        <v>555</v>
      </c>
      <c r="GI26">
        <v>0</v>
      </c>
      <c r="GJ26">
        <v>0</v>
      </c>
      <c r="GK26">
        <v>0</v>
      </c>
      <c r="GL26" t="s">
        <v>264</v>
      </c>
      <c r="GM26">
        <v>68.599999999999994</v>
      </c>
      <c r="GN26">
        <v>51.7</v>
      </c>
      <c r="GO26" t="s">
        <v>559</v>
      </c>
      <c r="GP26" t="s">
        <v>555</v>
      </c>
      <c r="GQ26">
        <v>0</v>
      </c>
      <c r="GR26">
        <v>0</v>
      </c>
      <c r="GS26">
        <v>0</v>
      </c>
      <c r="GT26" t="s">
        <v>264</v>
      </c>
      <c r="GU26">
        <v>76.099999999999994</v>
      </c>
      <c r="GV26">
        <v>68</v>
      </c>
      <c r="GW26" t="s">
        <v>560</v>
      </c>
      <c r="GX26" t="s">
        <v>555</v>
      </c>
      <c r="GY26">
        <v>0</v>
      </c>
      <c r="GZ26">
        <v>0</v>
      </c>
      <c r="HA26">
        <v>0</v>
      </c>
      <c r="HB26" t="s">
        <v>264</v>
      </c>
      <c r="HC26">
        <v>70.099999999999994</v>
      </c>
      <c r="HD26">
        <v>73.8</v>
      </c>
      <c r="HE26" t="s">
        <v>561</v>
      </c>
      <c r="HF26" t="s">
        <v>555</v>
      </c>
      <c r="HG26">
        <v>0</v>
      </c>
      <c r="HH26">
        <v>0</v>
      </c>
      <c r="HI26">
        <v>0</v>
      </c>
      <c r="HJ26" t="s">
        <v>264</v>
      </c>
      <c r="HK26">
        <v>70.900000000000006</v>
      </c>
      <c r="HL26">
        <v>134.5</v>
      </c>
      <c r="HM26" t="s">
        <v>562</v>
      </c>
      <c r="HN26" t="s">
        <v>555</v>
      </c>
      <c r="HO26">
        <v>0</v>
      </c>
      <c r="HP26">
        <v>0</v>
      </c>
      <c r="HQ26">
        <v>0</v>
      </c>
      <c r="HR26" t="s">
        <v>264</v>
      </c>
      <c r="HS26">
        <v>69.400000000000006</v>
      </c>
      <c r="HT26">
        <v>94.4</v>
      </c>
      <c r="HU26" t="s">
        <v>563</v>
      </c>
      <c r="HV26" t="s">
        <v>555</v>
      </c>
      <c r="HW26">
        <v>0</v>
      </c>
      <c r="HX26">
        <v>0</v>
      </c>
      <c r="HY26">
        <v>0</v>
      </c>
      <c r="HZ26" t="s">
        <v>264</v>
      </c>
      <c r="IA26">
        <v>74.8</v>
      </c>
      <c r="IB26">
        <v>181.7</v>
      </c>
      <c r="IC26" t="s">
        <v>564</v>
      </c>
      <c r="ID26" t="s">
        <v>555</v>
      </c>
      <c r="IE26">
        <v>0</v>
      </c>
      <c r="IF26">
        <v>0</v>
      </c>
      <c r="IG26">
        <v>0</v>
      </c>
      <c r="IH26" t="s">
        <v>264</v>
      </c>
      <c r="II26">
        <v>68.2</v>
      </c>
      <c r="IJ26">
        <v>100.2</v>
      </c>
      <c r="IK26" t="s">
        <v>565</v>
      </c>
      <c r="IL26" t="s">
        <v>555</v>
      </c>
      <c r="IM26">
        <v>0</v>
      </c>
      <c r="IN26">
        <v>0</v>
      </c>
      <c r="IO26">
        <v>0</v>
      </c>
      <c r="IP26" t="s">
        <v>264</v>
      </c>
      <c r="IS26" t="s">
        <v>566</v>
      </c>
      <c r="IT26" t="s">
        <v>555</v>
      </c>
      <c r="IU26">
        <v>0</v>
      </c>
      <c r="IV26">
        <v>0</v>
      </c>
      <c r="IW26">
        <v>0</v>
      </c>
      <c r="IX26" t="s">
        <v>264</v>
      </c>
      <c r="JA26" t="s">
        <v>567</v>
      </c>
      <c r="JB26" t="s">
        <v>555</v>
      </c>
      <c r="JC26">
        <v>0</v>
      </c>
      <c r="JD26">
        <v>0</v>
      </c>
      <c r="JE26">
        <v>0</v>
      </c>
      <c r="JF26" t="s">
        <v>264</v>
      </c>
      <c r="JI26" t="s">
        <v>568</v>
      </c>
      <c r="JJ26" t="s">
        <v>555</v>
      </c>
      <c r="JK26">
        <v>0</v>
      </c>
      <c r="JL26">
        <v>0</v>
      </c>
      <c r="JM26">
        <v>0</v>
      </c>
      <c r="JN26" t="s">
        <v>264</v>
      </c>
      <c r="JQ26" t="s">
        <v>569</v>
      </c>
      <c r="JR26" t="s">
        <v>555</v>
      </c>
      <c r="JS26">
        <v>0</v>
      </c>
      <c r="JT26">
        <v>0</v>
      </c>
      <c r="JU26">
        <v>0</v>
      </c>
      <c r="JV26" t="s">
        <v>264</v>
      </c>
      <c r="JY26" t="s">
        <v>570</v>
      </c>
      <c r="JZ26" t="s">
        <v>555</v>
      </c>
      <c r="KA26">
        <v>0</v>
      </c>
      <c r="KB26">
        <v>0</v>
      </c>
      <c r="KC26">
        <v>0</v>
      </c>
      <c r="KD26" t="s">
        <v>264</v>
      </c>
      <c r="KG26" t="s">
        <v>571</v>
      </c>
      <c r="KH26" t="s">
        <v>555</v>
      </c>
      <c r="KI26">
        <v>0</v>
      </c>
      <c r="KJ26">
        <v>0</v>
      </c>
      <c r="KK26">
        <v>0</v>
      </c>
      <c r="KL26" t="s">
        <v>264</v>
      </c>
      <c r="KO26" t="s">
        <v>572</v>
      </c>
      <c r="KP26" t="s">
        <v>555</v>
      </c>
      <c r="KQ26">
        <v>0</v>
      </c>
      <c r="KR26">
        <v>0</v>
      </c>
      <c r="KS26">
        <v>0</v>
      </c>
      <c r="KT26" t="s">
        <v>264</v>
      </c>
      <c r="KW26" t="s">
        <v>573</v>
      </c>
      <c r="KX26" t="s">
        <v>555</v>
      </c>
      <c r="KY26">
        <v>0</v>
      </c>
      <c r="KZ26">
        <v>0</v>
      </c>
      <c r="LA26">
        <v>0</v>
      </c>
      <c r="LB26" t="s">
        <v>264</v>
      </c>
      <c r="LE26" t="s">
        <v>574</v>
      </c>
      <c r="LF26" t="s">
        <v>555</v>
      </c>
      <c r="LG26">
        <v>0</v>
      </c>
      <c r="LH26">
        <v>0</v>
      </c>
      <c r="LI26">
        <v>0</v>
      </c>
      <c r="LJ26" t="s">
        <v>264</v>
      </c>
      <c r="LM26" t="s">
        <v>575</v>
      </c>
      <c r="LN26" t="s">
        <v>555</v>
      </c>
      <c r="LO26">
        <v>0</v>
      </c>
      <c r="LP26">
        <v>0</v>
      </c>
      <c r="LQ26">
        <v>0</v>
      </c>
      <c r="LR26" t="s">
        <v>264</v>
      </c>
      <c r="LU26" t="s">
        <v>576</v>
      </c>
      <c r="LV26" t="s">
        <v>555</v>
      </c>
      <c r="LW26">
        <v>0</v>
      </c>
      <c r="LX26">
        <v>0</v>
      </c>
      <c r="LY26">
        <v>0</v>
      </c>
      <c r="LZ26" t="s">
        <v>264</v>
      </c>
      <c r="MC26" t="s">
        <v>577</v>
      </c>
      <c r="MD26" t="s">
        <v>555</v>
      </c>
      <c r="ME26">
        <v>0</v>
      </c>
      <c r="MF26">
        <v>0</v>
      </c>
      <c r="MG26">
        <v>0</v>
      </c>
      <c r="MH26" t="s">
        <v>264</v>
      </c>
      <c r="MK26" t="s">
        <v>578</v>
      </c>
      <c r="ML26" t="s">
        <v>555</v>
      </c>
      <c r="MM26">
        <v>0</v>
      </c>
      <c r="MN26">
        <v>0</v>
      </c>
      <c r="MO26">
        <v>0</v>
      </c>
      <c r="MP26" t="s">
        <v>264</v>
      </c>
      <c r="MS26" t="s">
        <v>579</v>
      </c>
      <c r="MT26" t="s">
        <v>555</v>
      </c>
      <c r="MU26">
        <v>0</v>
      </c>
      <c r="MV26">
        <v>0</v>
      </c>
      <c r="MW26">
        <v>0</v>
      </c>
      <c r="MX26" t="s">
        <v>264</v>
      </c>
      <c r="NA26" t="s">
        <v>580</v>
      </c>
      <c r="NB26" t="s">
        <v>555</v>
      </c>
      <c r="NC26">
        <v>0</v>
      </c>
      <c r="ND26">
        <v>0</v>
      </c>
      <c r="NE26">
        <v>0</v>
      </c>
      <c r="NF26" t="s">
        <v>264</v>
      </c>
      <c r="NI26">
        <v>40.1</v>
      </c>
      <c r="NJ26">
        <v>-8.4</v>
      </c>
      <c r="NP26" t="s">
        <v>624</v>
      </c>
    </row>
    <row r="27" spans="1:380" customFormat="1" x14ac:dyDescent="0.2">
      <c r="A27" t="s">
        <v>517</v>
      </c>
      <c r="B27">
        <v>1</v>
      </c>
      <c r="C27" t="s">
        <v>855</v>
      </c>
      <c r="D27">
        <v>646959286</v>
      </c>
      <c r="E27">
        <v>12602</v>
      </c>
      <c r="F27" t="s">
        <v>805</v>
      </c>
      <c r="G27">
        <v>802069</v>
      </c>
      <c r="H27">
        <v>210013830</v>
      </c>
      <c r="I27" t="s">
        <v>622</v>
      </c>
      <c r="J27" t="s">
        <v>856</v>
      </c>
      <c r="K27" t="s">
        <v>545</v>
      </c>
      <c r="L27" t="s">
        <v>442</v>
      </c>
      <c r="M27" t="s">
        <v>546</v>
      </c>
      <c r="N27" t="s">
        <v>468</v>
      </c>
      <c r="O27" t="s">
        <v>547</v>
      </c>
      <c r="P27" t="s">
        <v>264</v>
      </c>
      <c r="Q27">
        <v>27.5</v>
      </c>
      <c r="R27">
        <v>197</v>
      </c>
      <c r="S27" t="s">
        <v>264</v>
      </c>
      <c r="T27">
        <v>-9999</v>
      </c>
      <c r="U27">
        <v>590</v>
      </c>
      <c r="V27">
        <v>609</v>
      </c>
      <c r="W27">
        <v>582</v>
      </c>
      <c r="X27" t="s">
        <v>270</v>
      </c>
      <c r="Y27">
        <v>0</v>
      </c>
      <c r="Z27">
        <v>55</v>
      </c>
      <c r="AA27" t="s">
        <v>469</v>
      </c>
      <c r="AB27" t="s">
        <v>548</v>
      </c>
      <c r="AC27">
        <v>1</v>
      </c>
      <c r="AD27" t="s">
        <v>584</v>
      </c>
      <c r="AE27">
        <v>26.5</v>
      </c>
      <c r="AF27">
        <v>1269</v>
      </c>
      <c r="AG27" t="s">
        <v>264</v>
      </c>
      <c r="AH27">
        <v>-9999</v>
      </c>
      <c r="AI27">
        <v>487</v>
      </c>
      <c r="AJ27">
        <v>608</v>
      </c>
      <c r="AK27">
        <v>487</v>
      </c>
      <c r="AL27" t="s">
        <v>270</v>
      </c>
      <c r="AM27">
        <v>0</v>
      </c>
      <c r="AN27">
        <v>55</v>
      </c>
      <c r="AO27" t="s">
        <v>470</v>
      </c>
      <c r="AP27" t="s">
        <v>548</v>
      </c>
      <c r="AQ27">
        <v>2</v>
      </c>
      <c r="AR27" t="s">
        <v>584</v>
      </c>
      <c r="AS27">
        <v>38</v>
      </c>
      <c r="AT27">
        <v>338</v>
      </c>
      <c r="AU27" t="s">
        <v>264</v>
      </c>
      <c r="AV27">
        <v>-9999</v>
      </c>
      <c r="AW27">
        <v>387</v>
      </c>
      <c r="AX27">
        <v>404</v>
      </c>
      <c r="AY27">
        <v>386</v>
      </c>
      <c r="AZ27" t="s">
        <v>270</v>
      </c>
      <c r="BA27">
        <v>0</v>
      </c>
      <c r="BB27">
        <v>55</v>
      </c>
      <c r="BC27" t="s">
        <v>550</v>
      </c>
      <c r="BD27" t="s">
        <v>548</v>
      </c>
      <c r="BE27">
        <v>3</v>
      </c>
      <c r="BF27" t="s">
        <v>584</v>
      </c>
      <c r="BG27">
        <v>22.8</v>
      </c>
      <c r="BH27">
        <v>705</v>
      </c>
      <c r="BI27" t="s">
        <v>264</v>
      </c>
      <c r="BJ27">
        <v>-9999</v>
      </c>
      <c r="BK27">
        <v>151</v>
      </c>
      <c r="BL27">
        <v>183</v>
      </c>
      <c r="BM27">
        <v>147</v>
      </c>
      <c r="BN27" t="s">
        <v>270</v>
      </c>
      <c r="BO27">
        <v>0</v>
      </c>
      <c r="BP27">
        <v>55</v>
      </c>
      <c r="BQ27" t="s">
        <v>504</v>
      </c>
      <c r="BR27" t="s">
        <v>548</v>
      </c>
      <c r="BS27">
        <v>4</v>
      </c>
      <c r="BT27" t="s">
        <v>584</v>
      </c>
      <c r="BU27">
        <v>30.6</v>
      </c>
      <c r="BV27">
        <v>241</v>
      </c>
      <c r="BW27" t="s">
        <v>264</v>
      </c>
      <c r="BX27">
        <v>-9999</v>
      </c>
      <c r="BY27">
        <v>232</v>
      </c>
      <c r="BZ27">
        <v>269</v>
      </c>
      <c r="CA27">
        <v>231</v>
      </c>
      <c r="CB27" t="s">
        <v>270</v>
      </c>
      <c r="CC27">
        <v>0</v>
      </c>
      <c r="CD27">
        <v>55</v>
      </c>
      <c r="CE27" t="s">
        <v>471</v>
      </c>
      <c r="CF27" t="s">
        <v>548</v>
      </c>
      <c r="CG27">
        <v>5</v>
      </c>
      <c r="CH27" t="s">
        <v>584</v>
      </c>
      <c r="CI27">
        <v>36.799999999999997</v>
      </c>
      <c r="CJ27">
        <v>174</v>
      </c>
      <c r="CK27" t="s">
        <v>264</v>
      </c>
      <c r="CL27">
        <v>-9999</v>
      </c>
      <c r="CM27">
        <v>487</v>
      </c>
      <c r="CN27">
        <v>569</v>
      </c>
      <c r="CO27">
        <v>486</v>
      </c>
      <c r="CP27" t="s">
        <v>270</v>
      </c>
      <c r="CQ27">
        <v>0</v>
      </c>
      <c r="CR27">
        <v>55</v>
      </c>
      <c r="CS27" t="s">
        <v>472</v>
      </c>
      <c r="CT27" t="s">
        <v>548</v>
      </c>
      <c r="CU27">
        <v>6</v>
      </c>
      <c r="CV27" t="s">
        <v>584</v>
      </c>
      <c r="CW27">
        <v>35</v>
      </c>
      <c r="CX27">
        <v>211</v>
      </c>
      <c r="CY27" t="s">
        <v>264</v>
      </c>
      <c r="CZ27">
        <v>-9999</v>
      </c>
      <c r="DA27">
        <v>687</v>
      </c>
      <c r="DB27">
        <v>779</v>
      </c>
      <c r="DC27">
        <v>676</v>
      </c>
      <c r="DD27" t="s">
        <v>270</v>
      </c>
      <c r="DE27">
        <v>0</v>
      </c>
      <c r="DF27">
        <v>55</v>
      </c>
      <c r="DG27" t="s">
        <v>473</v>
      </c>
      <c r="DH27" t="s">
        <v>548</v>
      </c>
      <c r="DI27">
        <v>7</v>
      </c>
      <c r="DJ27" t="s">
        <v>584</v>
      </c>
      <c r="DK27">
        <v>24.9</v>
      </c>
      <c r="DL27">
        <v>166</v>
      </c>
      <c r="DM27" t="s">
        <v>264</v>
      </c>
      <c r="DN27">
        <v>-9999</v>
      </c>
      <c r="DO27">
        <v>557</v>
      </c>
      <c r="DP27">
        <v>637</v>
      </c>
      <c r="DQ27">
        <v>554</v>
      </c>
      <c r="DR27" t="s">
        <v>270</v>
      </c>
      <c r="DS27">
        <v>0</v>
      </c>
      <c r="DT27">
        <v>55</v>
      </c>
      <c r="DU27" t="s">
        <v>474</v>
      </c>
      <c r="DV27" t="s">
        <v>548</v>
      </c>
      <c r="DW27">
        <v>8</v>
      </c>
      <c r="DX27" t="s">
        <v>584</v>
      </c>
      <c r="DY27">
        <v>21.5</v>
      </c>
      <c r="DZ27">
        <v>428</v>
      </c>
      <c r="EA27" t="s">
        <v>264</v>
      </c>
      <c r="EB27">
        <v>-9999</v>
      </c>
      <c r="EC27">
        <v>105</v>
      </c>
      <c r="ED27">
        <v>128</v>
      </c>
      <c r="EE27">
        <v>104</v>
      </c>
      <c r="EF27" t="s">
        <v>270</v>
      </c>
      <c r="EG27">
        <v>0</v>
      </c>
      <c r="EH27">
        <v>55</v>
      </c>
      <c r="EI27" t="s">
        <v>475</v>
      </c>
      <c r="EJ27" t="s">
        <v>548</v>
      </c>
      <c r="EK27">
        <v>9</v>
      </c>
      <c r="EL27" t="s">
        <v>584</v>
      </c>
      <c r="EM27">
        <v>24.9</v>
      </c>
      <c r="EN27">
        <v>89</v>
      </c>
      <c r="EO27" t="s">
        <v>264</v>
      </c>
      <c r="EP27">
        <v>-9999</v>
      </c>
      <c r="EQ27">
        <v>258</v>
      </c>
      <c r="ER27">
        <v>239</v>
      </c>
      <c r="ES27">
        <v>225</v>
      </c>
      <c r="ET27" t="s">
        <v>270</v>
      </c>
      <c r="EU27">
        <v>0</v>
      </c>
      <c r="EV27">
        <v>55</v>
      </c>
      <c r="EW27" t="s">
        <v>551</v>
      </c>
      <c r="EX27" t="s">
        <v>552</v>
      </c>
      <c r="EY27">
        <v>142</v>
      </c>
      <c r="EZ27">
        <v>143</v>
      </c>
      <c r="FA27">
        <v>143</v>
      </c>
      <c r="FB27" t="s">
        <v>270</v>
      </c>
      <c r="FC27" t="s">
        <v>553</v>
      </c>
      <c r="FD27" t="s">
        <v>552</v>
      </c>
      <c r="FE27">
        <v>314</v>
      </c>
      <c r="FF27">
        <v>313</v>
      </c>
      <c r="FG27">
        <v>312</v>
      </c>
      <c r="FH27" t="s">
        <v>270</v>
      </c>
      <c r="FI27" t="s">
        <v>554</v>
      </c>
      <c r="FJ27" t="s">
        <v>555</v>
      </c>
      <c r="FK27">
        <v>0</v>
      </c>
      <c r="FL27">
        <v>0</v>
      </c>
      <c r="FM27">
        <v>0</v>
      </c>
      <c r="FN27" t="s">
        <v>264</v>
      </c>
      <c r="FO27">
        <v>75.8</v>
      </c>
      <c r="FP27">
        <v>301.7</v>
      </c>
      <c r="FQ27" t="s">
        <v>556</v>
      </c>
      <c r="FR27" t="s">
        <v>555</v>
      </c>
      <c r="FS27">
        <v>0</v>
      </c>
      <c r="FT27">
        <v>0</v>
      </c>
      <c r="FU27">
        <v>0</v>
      </c>
      <c r="FV27" t="s">
        <v>264</v>
      </c>
      <c r="FW27">
        <v>73.3</v>
      </c>
      <c r="FX27">
        <v>101.5</v>
      </c>
      <c r="FY27" t="s">
        <v>557</v>
      </c>
      <c r="FZ27" t="s">
        <v>555</v>
      </c>
      <c r="GA27">
        <v>0</v>
      </c>
      <c r="GB27">
        <v>0</v>
      </c>
      <c r="GC27">
        <v>0</v>
      </c>
      <c r="GD27" t="s">
        <v>264</v>
      </c>
      <c r="GE27">
        <v>71.099999999999994</v>
      </c>
      <c r="GF27">
        <v>242.3</v>
      </c>
      <c r="GG27" t="s">
        <v>558</v>
      </c>
      <c r="GH27" t="s">
        <v>555</v>
      </c>
      <c r="GI27">
        <v>0</v>
      </c>
      <c r="GJ27">
        <v>0</v>
      </c>
      <c r="GK27">
        <v>0</v>
      </c>
      <c r="GL27" t="s">
        <v>264</v>
      </c>
      <c r="GM27">
        <v>68.2</v>
      </c>
      <c r="GN27">
        <v>53.8</v>
      </c>
      <c r="GO27" t="s">
        <v>559</v>
      </c>
      <c r="GP27" t="s">
        <v>555</v>
      </c>
      <c r="GQ27">
        <v>0</v>
      </c>
      <c r="GR27">
        <v>0</v>
      </c>
      <c r="GS27">
        <v>0</v>
      </c>
      <c r="GT27" t="s">
        <v>264</v>
      </c>
      <c r="GU27">
        <v>75.8</v>
      </c>
      <c r="GV27">
        <v>55.7</v>
      </c>
      <c r="GW27" t="s">
        <v>560</v>
      </c>
      <c r="GX27" t="s">
        <v>555</v>
      </c>
      <c r="GY27">
        <v>0</v>
      </c>
      <c r="GZ27">
        <v>0</v>
      </c>
      <c r="HA27">
        <v>0</v>
      </c>
      <c r="HB27" t="s">
        <v>264</v>
      </c>
      <c r="HC27">
        <v>70.2</v>
      </c>
      <c r="HD27">
        <v>76.5</v>
      </c>
      <c r="HE27" t="s">
        <v>561</v>
      </c>
      <c r="HF27" t="s">
        <v>555</v>
      </c>
      <c r="HG27">
        <v>0</v>
      </c>
      <c r="HH27">
        <v>0</v>
      </c>
      <c r="HI27">
        <v>0</v>
      </c>
      <c r="HJ27" t="s">
        <v>264</v>
      </c>
      <c r="HK27">
        <v>70.8</v>
      </c>
      <c r="HL27">
        <v>123.4</v>
      </c>
      <c r="HM27" t="s">
        <v>562</v>
      </c>
      <c r="HN27" t="s">
        <v>555</v>
      </c>
      <c r="HO27">
        <v>0</v>
      </c>
      <c r="HP27">
        <v>0</v>
      </c>
      <c r="HQ27">
        <v>0</v>
      </c>
      <c r="HR27" t="s">
        <v>264</v>
      </c>
      <c r="HS27">
        <v>69</v>
      </c>
      <c r="HT27">
        <v>90.5</v>
      </c>
      <c r="HU27" t="s">
        <v>563</v>
      </c>
      <c r="HV27" t="s">
        <v>555</v>
      </c>
      <c r="HW27">
        <v>0</v>
      </c>
      <c r="HX27">
        <v>0</v>
      </c>
      <c r="HY27">
        <v>0</v>
      </c>
      <c r="HZ27" t="s">
        <v>264</v>
      </c>
      <c r="IA27">
        <v>74.5</v>
      </c>
      <c r="IB27">
        <v>180.7</v>
      </c>
      <c r="IC27" t="s">
        <v>564</v>
      </c>
      <c r="ID27" t="s">
        <v>555</v>
      </c>
      <c r="IE27">
        <v>0</v>
      </c>
      <c r="IF27">
        <v>0</v>
      </c>
      <c r="IG27">
        <v>0</v>
      </c>
      <c r="IH27" t="s">
        <v>264</v>
      </c>
      <c r="II27">
        <v>68.099999999999994</v>
      </c>
      <c r="IJ27">
        <v>113.5</v>
      </c>
      <c r="IK27" t="s">
        <v>565</v>
      </c>
      <c r="IL27" t="s">
        <v>555</v>
      </c>
      <c r="IM27">
        <v>0</v>
      </c>
      <c r="IN27">
        <v>0</v>
      </c>
      <c r="IO27">
        <v>0</v>
      </c>
      <c r="IP27" t="s">
        <v>264</v>
      </c>
      <c r="IS27" t="s">
        <v>566</v>
      </c>
      <c r="IT27" t="s">
        <v>555</v>
      </c>
      <c r="IU27">
        <v>0</v>
      </c>
      <c r="IV27">
        <v>0</v>
      </c>
      <c r="IW27">
        <v>0</v>
      </c>
      <c r="IX27" t="s">
        <v>264</v>
      </c>
      <c r="JA27" t="s">
        <v>567</v>
      </c>
      <c r="JB27" t="s">
        <v>555</v>
      </c>
      <c r="JC27">
        <v>0</v>
      </c>
      <c r="JD27">
        <v>0</v>
      </c>
      <c r="JE27">
        <v>0</v>
      </c>
      <c r="JF27" t="s">
        <v>264</v>
      </c>
      <c r="JI27" t="s">
        <v>568</v>
      </c>
      <c r="JJ27" t="s">
        <v>555</v>
      </c>
      <c r="JK27">
        <v>0</v>
      </c>
      <c r="JL27">
        <v>0</v>
      </c>
      <c r="JM27">
        <v>0</v>
      </c>
      <c r="JN27" t="s">
        <v>264</v>
      </c>
      <c r="JQ27" t="s">
        <v>569</v>
      </c>
      <c r="JR27" t="s">
        <v>555</v>
      </c>
      <c r="JS27">
        <v>0</v>
      </c>
      <c r="JT27">
        <v>0</v>
      </c>
      <c r="JU27">
        <v>0</v>
      </c>
      <c r="JV27" t="s">
        <v>264</v>
      </c>
      <c r="JY27" t="s">
        <v>570</v>
      </c>
      <c r="JZ27" t="s">
        <v>555</v>
      </c>
      <c r="KA27">
        <v>0</v>
      </c>
      <c r="KB27">
        <v>0</v>
      </c>
      <c r="KC27">
        <v>0</v>
      </c>
      <c r="KD27" t="s">
        <v>264</v>
      </c>
      <c r="KG27" t="s">
        <v>571</v>
      </c>
      <c r="KH27" t="s">
        <v>555</v>
      </c>
      <c r="KI27">
        <v>0</v>
      </c>
      <c r="KJ27">
        <v>0</v>
      </c>
      <c r="KK27">
        <v>0</v>
      </c>
      <c r="KL27" t="s">
        <v>264</v>
      </c>
      <c r="KO27" t="s">
        <v>572</v>
      </c>
      <c r="KP27" t="s">
        <v>555</v>
      </c>
      <c r="KQ27">
        <v>0</v>
      </c>
      <c r="KR27">
        <v>0</v>
      </c>
      <c r="KS27">
        <v>0</v>
      </c>
      <c r="KT27" t="s">
        <v>264</v>
      </c>
      <c r="KW27" t="s">
        <v>573</v>
      </c>
      <c r="KX27" t="s">
        <v>555</v>
      </c>
      <c r="KY27">
        <v>0</v>
      </c>
      <c r="KZ27">
        <v>0</v>
      </c>
      <c r="LA27">
        <v>0</v>
      </c>
      <c r="LB27" t="s">
        <v>264</v>
      </c>
      <c r="LE27" t="s">
        <v>574</v>
      </c>
      <c r="LF27" t="s">
        <v>555</v>
      </c>
      <c r="LG27">
        <v>0</v>
      </c>
      <c r="LH27">
        <v>0</v>
      </c>
      <c r="LI27">
        <v>0</v>
      </c>
      <c r="LJ27" t="s">
        <v>264</v>
      </c>
      <c r="LM27" t="s">
        <v>575</v>
      </c>
      <c r="LN27" t="s">
        <v>555</v>
      </c>
      <c r="LO27">
        <v>0</v>
      </c>
      <c r="LP27">
        <v>0</v>
      </c>
      <c r="LQ27">
        <v>0</v>
      </c>
      <c r="LR27" t="s">
        <v>264</v>
      </c>
      <c r="LU27" t="s">
        <v>576</v>
      </c>
      <c r="LV27" t="s">
        <v>555</v>
      </c>
      <c r="LW27">
        <v>0</v>
      </c>
      <c r="LX27">
        <v>0</v>
      </c>
      <c r="LY27">
        <v>0</v>
      </c>
      <c r="LZ27" t="s">
        <v>264</v>
      </c>
      <c r="MC27" t="s">
        <v>577</v>
      </c>
      <c r="MD27" t="s">
        <v>555</v>
      </c>
      <c r="ME27">
        <v>0</v>
      </c>
      <c r="MF27">
        <v>0</v>
      </c>
      <c r="MG27">
        <v>0</v>
      </c>
      <c r="MH27" t="s">
        <v>264</v>
      </c>
      <c r="MK27" t="s">
        <v>578</v>
      </c>
      <c r="ML27" t="s">
        <v>555</v>
      </c>
      <c r="MM27">
        <v>0</v>
      </c>
      <c r="MN27">
        <v>0</v>
      </c>
      <c r="MO27">
        <v>0</v>
      </c>
      <c r="MP27" t="s">
        <v>264</v>
      </c>
      <c r="MS27" t="s">
        <v>579</v>
      </c>
      <c r="MT27" t="s">
        <v>555</v>
      </c>
      <c r="MU27">
        <v>0</v>
      </c>
      <c r="MV27">
        <v>0</v>
      </c>
      <c r="MW27">
        <v>0</v>
      </c>
      <c r="MX27" t="s">
        <v>264</v>
      </c>
      <c r="NA27" t="s">
        <v>580</v>
      </c>
      <c r="NB27" t="s">
        <v>555</v>
      </c>
      <c r="NC27">
        <v>0</v>
      </c>
      <c r="ND27">
        <v>0</v>
      </c>
      <c r="NE27">
        <v>0</v>
      </c>
      <c r="NF27" t="s">
        <v>264</v>
      </c>
      <c r="NI27">
        <v>40</v>
      </c>
      <c r="NJ27">
        <v>-12.7</v>
      </c>
      <c r="NP27" t="s">
        <v>624</v>
      </c>
    </row>
    <row r="28" spans="1:380" customFormat="1" x14ac:dyDescent="0.2">
      <c r="A28" t="s">
        <v>517</v>
      </c>
      <c r="B28">
        <v>1</v>
      </c>
      <c r="C28" t="s">
        <v>857</v>
      </c>
      <c r="D28">
        <v>646959398</v>
      </c>
      <c r="E28">
        <v>12602</v>
      </c>
      <c r="F28" t="s">
        <v>805</v>
      </c>
      <c r="G28">
        <v>802069</v>
      </c>
      <c r="H28">
        <v>210017601</v>
      </c>
      <c r="I28" t="s">
        <v>622</v>
      </c>
      <c r="J28" t="s">
        <v>858</v>
      </c>
      <c r="K28" t="s">
        <v>545</v>
      </c>
      <c r="L28" t="s">
        <v>442</v>
      </c>
      <c r="M28" t="s">
        <v>546</v>
      </c>
      <c r="N28" t="s">
        <v>468</v>
      </c>
      <c r="O28" t="s">
        <v>547</v>
      </c>
      <c r="P28" t="s">
        <v>264</v>
      </c>
      <c r="Q28">
        <v>26.3</v>
      </c>
      <c r="R28">
        <v>248</v>
      </c>
      <c r="S28" t="s">
        <v>264</v>
      </c>
      <c r="T28">
        <v>-9999</v>
      </c>
      <c r="U28">
        <v>592</v>
      </c>
      <c r="V28">
        <v>607</v>
      </c>
      <c r="W28">
        <v>578</v>
      </c>
      <c r="X28" t="s">
        <v>270</v>
      </c>
      <c r="Y28">
        <v>0</v>
      </c>
      <c r="Z28">
        <v>55</v>
      </c>
      <c r="AA28" t="s">
        <v>469</v>
      </c>
      <c r="AB28" t="s">
        <v>548</v>
      </c>
      <c r="AC28">
        <v>1</v>
      </c>
      <c r="AD28" t="s">
        <v>584</v>
      </c>
      <c r="AE28">
        <v>26</v>
      </c>
      <c r="AF28">
        <v>1262</v>
      </c>
      <c r="AG28" t="s">
        <v>264</v>
      </c>
      <c r="AH28">
        <v>-9999</v>
      </c>
      <c r="AI28">
        <v>481</v>
      </c>
      <c r="AJ28">
        <v>597</v>
      </c>
      <c r="AK28">
        <v>476</v>
      </c>
      <c r="AL28" t="s">
        <v>270</v>
      </c>
      <c r="AM28">
        <v>0</v>
      </c>
      <c r="AN28">
        <v>55</v>
      </c>
      <c r="AO28" t="s">
        <v>470</v>
      </c>
      <c r="AP28" t="s">
        <v>548</v>
      </c>
      <c r="AQ28">
        <v>2</v>
      </c>
      <c r="AR28" t="s">
        <v>584</v>
      </c>
      <c r="AS28">
        <v>38.1</v>
      </c>
      <c r="AT28">
        <v>345</v>
      </c>
      <c r="AU28" t="s">
        <v>264</v>
      </c>
      <c r="AV28">
        <v>-9999</v>
      </c>
      <c r="AW28">
        <v>355</v>
      </c>
      <c r="AX28">
        <v>370</v>
      </c>
      <c r="AY28">
        <v>353</v>
      </c>
      <c r="AZ28" t="s">
        <v>270</v>
      </c>
      <c r="BA28">
        <v>0</v>
      </c>
      <c r="BB28">
        <v>55</v>
      </c>
      <c r="BC28" t="s">
        <v>550</v>
      </c>
      <c r="BD28" t="s">
        <v>548</v>
      </c>
      <c r="BE28">
        <v>3</v>
      </c>
      <c r="BF28" t="s">
        <v>584</v>
      </c>
      <c r="BG28">
        <v>22.4</v>
      </c>
      <c r="BH28">
        <v>687</v>
      </c>
      <c r="BI28" t="s">
        <v>264</v>
      </c>
      <c r="BJ28">
        <v>-9999</v>
      </c>
      <c r="BK28">
        <v>156</v>
      </c>
      <c r="BL28">
        <v>192</v>
      </c>
      <c r="BM28">
        <v>152</v>
      </c>
      <c r="BN28" t="s">
        <v>270</v>
      </c>
      <c r="BO28">
        <v>0</v>
      </c>
      <c r="BP28">
        <v>55</v>
      </c>
      <c r="BQ28" t="s">
        <v>504</v>
      </c>
      <c r="BR28" t="s">
        <v>548</v>
      </c>
      <c r="BS28">
        <v>4</v>
      </c>
      <c r="BT28" t="s">
        <v>584</v>
      </c>
      <c r="BU28">
        <v>30.6</v>
      </c>
      <c r="BV28">
        <v>252</v>
      </c>
      <c r="BW28" t="s">
        <v>264</v>
      </c>
      <c r="BX28">
        <v>-9999</v>
      </c>
      <c r="BY28">
        <v>237</v>
      </c>
      <c r="BZ28">
        <v>272</v>
      </c>
      <c r="CA28">
        <v>233</v>
      </c>
      <c r="CB28" t="s">
        <v>270</v>
      </c>
      <c r="CC28">
        <v>0</v>
      </c>
      <c r="CD28">
        <v>55</v>
      </c>
      <c r="CE28" t="s">
        <v>471</v>
      </c>
      <c r="CF28" t="s">
        <v>548</v>
      </c>
      <c r="CG28">
        <v>5</v>
      </c>
      <c r="CH28" t="s">
        <v>584</v>
      </c>
      <c r="CI28">
        <v>32.9</v>
      </c>
      <c r="CJ28">
        <v>238</v>
      </c>
      <c r="CK28" t="s">
        <v>264</v>
      </c>
      <c r="CL28">
        <v>-9999</v>
      </c>
      <c r="CM28">
        <v>436</v>
      </c>
      <c r="CN28">
        <v>509</v>
      </c>
      <c r="CO28">
        <v>433</v>
      </c>
      <c r="CP28" t="s">
        <v>270</v>
      </c>
      <c r="CQ28">
        <v>0</v>
      </c>
      <c r="CR28">
        <v>55</v>
      </c>
      <c r="CS28" t="s">
        <v>472</v>
      </c>
      <c r="CT28" t="s">
        <v>548</v>
      </c>
      <c r="CU28">
        <v>6</v>
      </c>
      <c r="CV28" t="s">
        <v>584</v>
      </c>
      <c r="CW28">
        <v>32.4</v>
      </c>
      <c r="CX28">
        <v>278</v>
      </c>
      <c r="CY28" t="s">
        <v>264</v>
      </c>
      <c r="CZ28">
        <v>-9999</v>
      </c>
      <c r="DA28">
        <v>633</v>
      </c>
      <c r="DB28">
        <v>715</v>
      </c>
      <c r="DC28">
        <v>619</v>
      </c>
      <c r="DD28" t="s">
        <v>270</v>
      </c>
      <c r="DE28">
        <v>0</v>
      </c>
      <c r="DF28">
        <v>55</v>
      </c>
      <c r="DG28" t="s">
        <v>473</v>
      </c>
      <c r="DH28" t="s">
        <v>548</v>
      </c>
      <c r="DI28">
        <v>7</v>
      </c>
      <c r="DJ28" t="s">
        <v>584</v>
      </c>
      <c r="DK28">
        <v>24.3</v>
      </c>
      <c r="DL28">
        <v>193</v>
      </c>
      <c r="DM28" t="s">
        <v>264</v>
      </c>
      <c r="DN28">
        <v>-9999</v>
      </c>
      <c r="DO28">
        <v>582</v>
      </c>
      <c r="DP28">
        <v>660</v>
      </c>
      <c r="DQ28">
        <v>573</v>
      </c>
      <c r="DR28" t="s">
        <v>270</v>
      </c>
      <c r="DS28">
        <v>0</v>
      </c>
      <c r="DT28">
        <v>55</v>
      </c>
      <c r="DU28" t="s">
        <v>474</v>
      </c>
      <c r="DV28" t="s">
        <v>548</v>
      </c>
      <c r="DW28">
        <v>8</v>
      </c>
      <c r="DX28" t="s">
        <v>584</v>
      </c>
      <c r="DY28">
        <v>21.4</v>
      </c>
      <c r="DZ28">
        <v>441</v>
      </c>
      <c r="EA28" t="s">
        <v>264</v>
      </c>
      <c r="EB28">
        <v>-9999</v>
      </c>
      <c r="EC28">
        <v>111</v>
      </c>
      <c r="ED28">
        <v>134</v>
      </c>
      <c r="EE28">
        <v>108</v>
      </c>
      <c r="EF28" t="s">
        <v>270</v>
      </c>
      <c r="EG28">
        <v>0</v>
      </c>
      <c r="EH28">
        <v>55</v>
      </c>
      <c r="EI28" t="s">
        <v>475</v>
      </c>
      <c r="EJ28" t="s">
        <v>548</v>
      </c>
      <c r="EK28">
        <v>9</v>
      </c>
      <c r="EL28" t="s">
        <v>584</v>
      </c>
      <c r="EM28">
        <v>25.9</v>
      </c>
      <c r="EN28">
        <v>86</v>
      </c>
      <c r="EO28" t="s">
        <v>264</v>
      </c>
      <c r="EP28">
        <v>-9999</v>
      </c>
      <c r="EQ28">
        <v>279</v>
      </c>
      <c r="ER28">
        <v>259</v>
      </c>
      <c r="ES28">
        <v>242</v>
      </c>
      <c r="ET28" t="s">
        <v>270</v>
      </c>
      <c r="EU28">
        <v>0</v>
      </c>
      <c r="EV28">
        <v>55</v>
      </c>
      <c r="EW28" t="s">
        <v>551</v>
      </c>
      <c r="EX28" t="s">
        <v>552</v>
      </c>
      <c r="EY28">
        <v>163</v>
      </c>
      <c r="EZ28">
        <v>164</v>
      </c>
      <c r="FA28">
        <v>163</v>
      </c>
      <c r="FB28" t="s">
        <v>270</v>
      </c>
      <c r="FC28" t="s">
        <v>553</v>
      </c>
      <c r="FD28" t="s">
        <v>552</v>
      </c>
      <c r="FE28">
        <v>269</v>
      </c>
      <c r="FF28">
        <v>266</v>
      </c>
      <c r="FG28">
        <v>266</v>
      </c>
      <c r="FH28" t="s">
        <v>270</v>
      </c>
      <c r="FI28" t="s">
        <v>554</v>
      </c>
      <c r="FJ28" t="s">
        <v>555</v>
      </c>
      <c r="FK28">
        <v>0</v>
      </c>
      <c r="FL28">
        <v>0</v>
      </c>
      <c r="FM28">
        <v>0</v>
      </c>
      <c r="FN28" t="s">
        <v>264</v>
      </c>
      <c r="FO28">
        <v>75.900000000000006</v>
      </c>
      <c r="FP28">
        <v>270.89999999999998</v>
      </c>
      <c r="FQ28" t="s">
        <v>556</v>
      </c>
      <c r="FR28" t="s">
        <v>555</v>
      </c>
      <c r="FS28">
        <v>0</v>
      </c>
      <c r="FT28">
        <v>0</v>
      </c>
      <c r="FU28">
        <v>0</v>
      </c>
      <c r="FV28" t="s">
        <v>264</v>
      </c>
      <c r="FW28">
        <v>73.3</v>
      </c>
      <c r="FX28">
        <v>89.4</v>
      </c>
      <c r="FY28" t="s">
        <v>557</v>
      </c>
      <c r="FZ28" t="s">
        <v>555</v>
      </c>
      <c r="GA28">
        <v>0</v>
      </c>
      <c r="GB28">
        <v>0</v>
      </c>
      <c r="GC28">
        <v>0</v>
      </c>
      <c r="GD28" t="s">
        <v>264</v>
      </c>
      <c r="GE28">
        <v>71.099999999999994</v>
      </c>
      <c r="GF28">
        <v>241.4</v>
      </c>
      <c r="GG28" t="s">
        <v>558</v>
      </c>
      <c r="GH28" t="s">
        <v>555</v>
      </c>
      <c r="GI28">
        <v>0</v>
      </c>
      <c r="GJ28">
        <v>0</v>
      </c>
      <c r="GK28">
        <v>0</v>
      </c>
      <c r="GL28" t="s">
        <v>264</v>
      </c>
      <c r="GM28">
        <v>68.2</v>
      </c>
      <c r="GN28">
        <v>55.2</v>
      </c>
      <c r="GO28" t="s">
        <v>559</v>
      </c>
      <c r="GP28" t="s">
        <v>555</v>
      </c>
      <c r="GQ28">
        <v>0</v>
      </c>
      <c r="GR28">
        <v>0</v>
      </c>
      <c r="GS28">
        <v>0</v>
      </c>
      <c r="GT28" t="s">
        <v>264</v>
      </c>
      <c r="GU28">
        <v>75.900000000000006</v>
      </c>
      <c r="GV28">
        <v>56.9</v>
      </c>
      <c r="GW28" t="s">
        <v>560</v>
      </c>
      <c r="GX28" t="s">
        <v>555</v>
      </c>
      <c r="GY28">
        <v>0</v>
      </c>
      <c r="GZ28">
        <v>0</v>
      </c>
      <c r="HA28">
        <v>0</v>
      </c>
      <c r="HB28" t="s">
        <v>264</v>
      </c>
      <c r="HC28">
        <v>70.099999999999994</v>
      </c>
      <c r="HD28">
        <v>73.2</v>
      </c>
      <c r="HE28" t="s">
        <v>561</v>
      </c>
      <c r="HF28" t="s">
        <v>555</v>
      </c>
      <c r="HG28">
        <v>0</v>
      </c>
      <c r="HH28">
        <v>0</v>
      </c>
      <c r="HI28">
        <v>0</v>
      </c>
      <c r="HJ28" t="s">
        <v>264</v>
      </c>
      <c r="HK28">
        <v>70.7</v>
      </c>
      <c r="HL28">
        <v>128.6</v>
      </c>
      <c r="HM28" t="s">
        <v>562</v>
      </c>
      <c r="HN28" t="s">
        <v>555</v>
      </c>
      <c r="HO28">
        <v>0</v>
      </c>
      <c r="HP28">
        <v>0</v>
      </c>
      <c r="HQ28">
        <v>0</v>
      </c>
      <c r="HR28" t="s">
        <v>264</v>
      </c>
      <c r="HS28">
        <v>69.099999999999994</v>
      </c>
      <c r="HT28">
        <v>91.9</v>
      </c>
      <c r="HU28" t="s">
        <v>563</v>
      </c>
      <c r="HV28" t="s">
        <v>555</v>
      </c>
      <c r="HW28">
        <v>0</v>
      </c>
      <c r="HX28">
        <v>0</v>
      </c>
      <c r="HY28">
        <v>0</v>
      </c>
      <c r="HZ28" t="s">
        <v>264</v>
      </c>
      <c r="IA28">
        <v>74.599999999999994</v>
      </c>
      <c r="IB28">
        <v>180.2</v>
      </c>
      <c r="IC28" t="s">
        <v>564</v>
      </c>
      <c r="ID28" t="s">
        <v>555</v>
      </c>
      <c r="IE28">
        <v>0</v>
      </c>
      <c r="IF28">
        <v>0</v>
      </c>
      <c r="IG28">
        <v>0</v>
      </c>
      <c r="IH28" t="s">
        <v>264</v>
      </c>
      <c r="II28">
        <v>68.099999999999994</v>
      </c>
      <c r="IJ28">
        <v>112.3</v>
      </c>
      <c r="IK28" t="s">
        <v>565</v>
      </c>
      <c r="IL28" t="s">
        <v>555</v>
      </c>
      <c r="IM28">
        <v>0</v>
      </c>
      <c r="IN28">
        <v>0</v>
      </c>
      <c r="IO28">
        <v>0</v>
      </c>
      <c r="IP28" t="s">
        <v>264</v>
      </c>
      <c r="IS28" t="s">
        <v>566</v>
      </c>
      <c r="IT28" t="s">
        <v>555</v>
      </c>
      <c r="IU28">
        <v>0</v>
      </c>
      <c r="IV28">
        <v>0</v>
      </c>
      <c r="IW28">
        <v>0</v>
      </c>
      <c r="IX28" t="s">
        <v>264</v>
      </c>
      <c r="JA28" t="s">
        <v>567</v>
      </c>
      <c r="JB28" t="s">
        <v>555</v>
      </c>
      <c r="JC28">
        <v>0</v>
      </c>
      <c r="JD28">
        <v>0</v>
      </c>
      <c r="JE28">
        <v>0</v>
      </c>
      <c r="JF28" t="s">
        <v>264</v>
      </c>
      <c r="JI28" t="s">
        <v>568</v>
      </c>
      <c r="JJ28" t="s">
        <v>555</v>
      </c>
      <c r="JK28">
        <v>0</v>
      </c>
      <c r="JL28">
        <v>0</v>
      </c>
      <c r="JM28">
        <v>0</v>
      </c>
      <c r="JN28" t="s">
        <v>264</v>
      </c>
      <c r="JQ28" t="s">
        <v>569</v>
      </c>
      <c r="JR28" t="s">
        <v>555</v>
      </c>
      <c r="JS28">
        <v>0</v>
      </c>
      <c r="JT28">
        <v>0</v>
      </c>
      <c r="JU28">
        <v>0</v>
      </c>
      <c r="JV28" t="s">
        <v>264</v>
      </c>
      <c r="JY28" t="s">
        <v>570</v>
      </c>
      <c r="JZ28" t="s">
        <v>555</v>
      </c>
      <c r="KA28">
        <v>0</v>
      </c>
      <c r="KB28">
        <v>0</v>
      </c>
      <c r="KC28">
        <v>0</v>
      </c>
      <c r="KD28" t="s">
        <v>264</v>
      </c>
      <c r="KG28" t="s">
        <v>571</v>
      </c>
      <c r="KH28" t="s">
        <v>555</v>
      </c>
      <c r="KI28">
        <v>0</v>
      </c>
      <c r="KJ28">
        <v>0</v>
      </c>
      <c r="KK28">
        <v>0</v>
      </c>
      <c r="KL28" t="s">
        <v>264</v>
      </c>
      <c r="KO28" t="s">
        <v>572</v>
      </c>
      <c r="KP28" t="s">
        <v>555</v>
      </c>
      <c r="KQ28">
        <v>0</v>
      </c>
      <c r="KR28">
        <v>0</v>
      </c>
      <c r="KS28">
        <v>0</v>
      </c>
      <c r="KT28" t="s">
        <v>264</v>
      </c>
      <c r="KW28" t="s">
        <v>573</v>
      </c>
      <c r="KX28" t="s">
        <v>555</v>
      </c>
      <c r="KY28">
        <v>0</v>
      </c>
      <c r="KZ28">
        <v>0</v>
      </c>
      <c r="LA28">
        <v>0</v>
      </c>
      <c r="LB28" t="s">
        <v>264</v>
      </c>
      <c r="LE28" t="s">
        <v>574</v>
      </c>
      <c r="LF28" t="s">
        <v>555</v>
      </c>
      <c r="LG28">
        <v>0</v>
      </c>
      <c r="LH28">
        <v>0</v>
      </c>
      <c r="LI28">
        <v>0</v>
      </c>
      <c r="LJ28" t="s">
        <v>264</v>
      </c>
      <c r="LM28" t="s">
        <v>575</v>
      </c>
      <c r="LN28" t="s">
        <v>555</v>
      </c>
      <c r="LO28">
        <v>0</v>
      </c>
      <c r="LP28">
        <v>0</v>
      </c>
      <c r="LQ28">
        <v>0</v>
      </c>
      <c r="LR28" t="s">
        <v>264</v>
      </c>
      <c r="LU28" t="s">
        <v>576</v>
      </c>
      <c r="LV28" t="s">
        <v>555</v>
      </c>
      <c r="LW28">
        <v>0</v>
      </c>
      <c r="LX28">
        <v>0</v>
      </c>
      <c r="LY28">
        <v>0</v>
      </c>
      <c r="LZ28" t="s">
        <v>264</v>
      </c>
      <c r="MC28" t="s">
        <v>577</v>
      </c>
      <c r="MD28" t="s">
        <v>555</v>
      </c>
      <c r="ME28">
        <v>0</v>
      </c>
      <c r="MF28">
        <v>0</v>
      </c>
      <c r="MG28">
        <v>0</v>
      </c>
      <c r="MH28" t="s">
        <v>264</v>
      </c>
      <c r="MK28" t="s">
        <v>578</v>
      </c>
      <c r="ML28" t="s">
        <v>555</v>
      </c>
      <c r="MM28">
        <v>0</v>
      </c>
      <c r="MN28">
        <v>0</v>
      </c>
      <c r="MO28">
        <v>0</v>
      </c>
      <c r="MP28" t="s">
        <v>264</v>
      </c>
      <c r="MS28" t="s">
        <v>579</v>
      </c>
      <c r="MT28" t="s">
        <v>555</v>
      </c>
      <c r="MU28">
        <v>0</v>
      </c>
      <c r="MV28">
        <v>0</v>
      </c>
      <c r="MW28">
        <v>0</v>
      </c>
      <c r="MX28" t="s">
        <v>264</v>
      </c>
      <c r="NA28" t="s">
        <v>580</v>
      </c>
      <c r="NB28" t="s">
        <v>555</v>
      </c>
      <c r="NC28">
        <v>0</v>
      </c>
      <c r="ND28">
        <v>0</v>
      </c>
      <c r="NE28">
        <v>0</v>
      </c>
      <c r="NF28" t="s">
        <v>264</v>
      </c>
      <c r="NI28">
        <v>40</v>
      </c>
      <c r="NJ28">
        <v>-12.4</v>
      </c>
      <c r="NP28" t="s">
        <v>624</v>
      </c>
    </row>
    <row r="29" spans="1:380" customFormat="1" x14ac:dyDescent="0.2">
      <c r="A29" t="s">
        <v>517</v>
      </c>
      <c r="B29">
        <v>1</v>
      </c>
      <c r="C29" t="s">
        <v>859</v>
      </c>
      <c r="D29">
        <v>646960164</v>
      </c>
      <c r="E29">
        <v>12602</v>
      </c>
      <c r="F29" t="s">
        <v>805</v>
      </c>
      <c r="G29">
        <v>802069</v>
      </c>
      <c r="H29">
        <v>210069693</v>
      </c>
      <c r="I29" t="s">
        <v>622</v>
      </c>
      <c r="J29" t="s">
        <v>860</v>
      </c>
      <c r="K29" t="s">
        <v>545</v>
      </c>
      <c r="L29" t="s">
        <v>442</v>
      </c>
      <c r="M29" t="s">
        <v>546</v>
      </c>
      <c r="N29" t="s">
        <v>468</v>
      </c>
      <c r="O29" t="s">
        <v>547</v>
      </c>
      <c r="P29" t="s">
        <v>264</v>
      </c>
      <c r="Q29">
        <v>25.8</v>
      </c>
      <c r="R29">
        <v>243</v>
      </c>
      <c r="S29" t="s">
        <v>264</v>
      </c>
      <c r="T29">
        <v>-9999</v>
      </c>
      <c r="U29">
        <v>605</v>
      </c>
      <c r="V29">
        <v>625</v>
      </c>
      <c r="W29">
        <v>596</v>
      </c>
      <c r="X29" t="s">
        <v>270</v>
      </c>
      <c r="Y29">
        <v>0</v>
      </c>
      <c r="Z29">
        <v>55</v>
      </c>
      <c r="AA29" t="s">
        <v>469</v>
      </c>
      <c r="AB29" t="s">
        <v>548</v>
      </c>
      <c r="AC29">
        <v>1</v>
      </c>
      <c r="AD29" t="s">
        <v>584</v>
      </c>
      <c r="AE29">
        <v>23.6</v>
      </c>
      <c r="AF29">
        <v>1361</v>
      </c>
      <c r="AG29" t="s">
        <v>264</v>
      </c>
      <c r="AH29">
        <v>-9999</v>
      </c>
      <c r="AI29">
        <v>473</v>
      </c>
      <c r="AJ29">
        <v>584</v>
      </c>
      <c r="AK29">
        <v>467</v>
      </c>
      <c r="AL29" t="s">
        <v>270</v>
      </c>
      <c r="AM29">
        <v>0</v>
      </c>
      <c r="AN29">
        <v>55</v>
      </c>
      <c r="AO29" t="s">
        <v>470</v>
      </c>
      <c r="AP29" t="s">
        <v>548</v>
      </c>
      <c r="AQ29">
        <v>2</v>
      </c>
      <c r="AR29" t="s">
        <v>584</v>
      </c>
      <c r="AS29">
        <v>34</v>
      </c>
      <c r="AT29">
        <v>346</v>
      </c>
      <c r="AU29" t="s">
        <v>264</v>
      </c>
      <c r="AV29">
        <v>-9999</v>
      </c>
      <c r="AW29">
        <v>432</v>
      </c>
      <c r="AX29">
        <v>457</v>
      </c>
      <c r="AY29">
        <v>429</v>
      </c>
      <c r="AZ29" t="s">
        <v>270</v>
      </c>
      <c r="BA29">
        <v>0</v>
      </c>
      <c r="BB29">
        <v>55</v>
      </c>
      <c r="BC29" t="s">
        <v>550</v>
      </c>
      <c r="BD29" t="s">
        <v>548</v>
      </c>
      <c r="BE29">
        <v>3</v>
      </c>
      <c r="BF29" t="s">
        <v>584</v>
      </c>
      <c r="BG29">
        <v>20.2</v>
      </c>
      <c r="BH29">
        <v>817</v>
      </c>
      <c r="BI29" t="s">
        <v>264</v>
      </c>
      <c r="BJ29">
        <v>-9999</v>
      </c>
      <c r="BK29">
        <v>144</v>
      </c>
      <c r="BL29">
        <v>189</v>
      </c>
      <c r="BM29">
        <v>148</v>
      </c>
      <c r="BN29" t="s">
        <v>270</v>
      </c>
      <c r="BO29">
        <v>0</v>
      </c>
      <c r="BP29">
        <v>55</v>
      </c>
      <c r="BQ29" t="s">
        <v>504</v>
      </c>
      <c r="BR29" t="s">
        <v>548</v>
      </c>
      <c r="BS29">
        <v>4</v>
      </c>
      <c r="BT29" t="s">
        <v>584</v>
      </c>
      <c r="BU29">
        <v>28.3</v>
      </c>
      <c r="BV29">
        <v>285</v>
      </c>
      <c r="BW29" t="s">
        <v>264</v>
      </c>
      <c r="BX29">
        <v>-9999</v>
      </c>
      <c r="BY29">
        <v>233</v>
      </c>
      <c r="BZ29">
        <v>271</v>
      </c>
      <c r="CA29">
        <v>231</v>
      </c>
      <c r="CB29" t="s">
        <v>270</v>
      </c>
      <c r="CC29">
        <v>0</v>
      </c>
      <c r="CD29">
        <v>55</v>
      </c>
      <c r="CE29" t="s">
        <v>471</v>
      </c>
      <c r="CF29" t="s">
        <v>548</v>
      </c>
      <c r="CG29">
        <v>5</v>
      </c>
      <c r="CH29" t="s">
        <v>584</v>
      </c>
      <c r="CI29">
        <v>32.4</v>
      </c>
      <c r="CJ29">
        <v>233</v>
      </c>
      <c r="CK29" t="s">
        <v>264</v>
      </c>
      <c r="CL29">
        <v>-9999</v>
      </c>
      <c r="CM29">
        <v>526</v>
      </c>
      <c r="CN29">
        <v>620</v>
      </c>
      <c r="CO29">
        <v>527</v>
      </c>
      <c r="CP29" t="s">
        <v>270</v>
      </c>
      <c r="CQ29">
        <v>0</v>
      </c>
      <c r="CR29">
        <v>55</v>
      </c>
      <c r="CS29" t="s">
        <v>472</v>
      </c>
      <c r="CT29" t="s">
        <v>548</v>
      </c>
      <c r="CU29">
        <v>6</v>
      </c>
      <c r="CV29" t="s">
        <v>584</v>
      </c>
      <c r="CW29">
        <v>33</v>
      </c>
      <c r="CX29">
        <v>218</v>
      </c>
      <c r="CY29" t="s">
        <v>264</v>
      </c>
      <c r="CZ29">
        <v>-9999</v>
      </c>
      <c r="DA29">
        <v>656</v>
      </c>
      <c r="DB29">
        <v>746</v>
      </c>
      <c r="DC29">
        <v>644</v>
      </c>
      <c r="DD29" t="s">
        <v>270</v>
      </c>
      <c r="DE29">
        <v>0</v>
      </c>
      <c r="DF29">
        <v>55</v>
      </c>
      <c r="DG29" t="s">
        <v>473</v>
      </c>
      <c r="DH29" t="s">
        <v>548</v>
      </c>
      <c r="DI29">
        <v>7</v>
      </c>
      <c r="DJ29" t="s">
        <v>584</v>
      </c>
      <c r="DK29">
        <v>24</v>
      </c>
      <c r="DL29">
        <v>207</v>
      </c>
      <c r="DM29" t="s">
        <v>264</v>
      </c>
      <c r="DN29">
        <v>-9999</v>
      </c>
      <c r="DO29">
        <v>546</v>
      </c>
      <c r="DP29">
        <v>622</v>
      </c>
      <c r="DQ29">
        <v>541</v>
      </c>
      <c r="DR29" t="s">
        <v>270</v>
      </c>
      <c r="DS29">
        <v>0</v>
      </c>
      <c r="DT29">
        <v>55</v>
      </c>
      <c r="DU29" t="s">
        <v>474</v>
      </c>
      <c r="DV29" t="s">
        <v>548</v>
      </c>
      <c r="DW29">
        <v>8</v>
      </c>
      <c r="DX29" t="s">
        <v>584</v>
      </c>
      <c r="DY29">
        <v>20.8</v>
      </c>
      <c r="DZ29">
        <v>436</v>
      </c>
      <c r="EA29" t="s">
        <v>264</v>
      </c>
      <c r="EB29">
        <v>-9999</v>
      </c>
      <c r="EC29">
        <v>111</v>
      </c>
      <c r="ED29">
        <v>135</v>
      </c>
      <c r="EE29">
        <v>109</v>
      </c>
      <c r="EF29" t="s">
        <v>270</v>
      </c>
      <c r="EG29">
        <v>0</v>
      </c>
      <c r="EH29">
        <v>55</v>
      </c>
      <c r="EI29" t="s">
        <v>475</v>
      </c>
      <c r="EJ29" t="s">
        <v>548</v>
      </c>
      <c r="EK29">
        <v>9</v>
      </c>
      <c r="EL29" t="s">
        <v>584</v>
      </c>
      <c r="EM29">
        <v>24.7</v>
      </c>
      <c r="EN29">
        <v>92</v>
      </c>
      <c r="EO29" t="s">
        <v>264</v>
      </c>
      <c r="EP29">
        <v>-9999</v>
      </c>
      <c r="EQ29">
        <v>399</v>
      </c>
      <c r="ER29">
        <v>377</v>
      </c>
      <c r="ES29">
        <v>343</v>
      </c>
      <c r="ET29" t="s">
        <v>270</v>
      </c>
      <c r="EU29">
        <v>0</v>
      </c>
      <c r="EV29">
        <v>55</v>
      </c>
      <c r="EW29" t="s">
        <v>551</v>
      </c>
      <c r="EX29" t="s">
        <v>552</v>
      </c>
      <c r="EY29">
        <v>148</v>
      </c>
      <c r="EZ29">
        <v>149</v>
      </c>
      <c r="FA29">
        <v>150</v>
      </c>
      <c r="FB29" t="s">
        <v>270</v>
      </c>
      <c r="FC29" t="s">
        <v>553</v>
      </c>
      <c r="FD29" t="s">
        <v>552</v>
      </c>
      <c r="FE29">
        <v>344</v>
      </c>
      <c r="FF29">
        <v>343</v>
      </c>
      <c r="FG29">
        <v>342</v>
      </c>
      <c r="FH29" t="s">
        <v>270</v>
      </c>
      <c r="FI29" t="s">
        <v>554</v>
      </c>
      <c r="FJ29" t="s">
        <v>555</v>
      </c>
      <c r="FK29">
        <v>0</v>
      </c>
      <c r="FL29">
        <v>0</v>
      </c>
      <c r="FM29">
        <v>0</v>
      </c>
      <c r="FN29" t="s">
        <v>264</v>
      </c>
      <c r="FO29">
        <v>75.900000000000006</v>
      </c>
      <c r="FP29">
        <v>297.5</v>
      </c>
      <c r="FQ29" t="s">
        <v>556</v>
      </c>
      <c r="FR29" t="s">
        <v>555</v>
      </c>
      <c r="FS29">
        <v>0</v>
      </c>
      <c r="FT29">
        <v>0</v>
      </c>
      <c r="FU29">
        <v>0</v>
      </c>
      <c r="FV29" t="s">
        <v>264</v>
      </c>
      <c r="FW29">
        <v>73.400000000000006</v>
      </c>
      <c r="FX29">
        <v>97.2</v>
      </c>
      <c r="FY29" t="s">
        <v>557</v>
      </c>
      <c r="FZ29" t="s">
        <v>555</v>
      </c>
      <c r="GA29">
        <v>0</v>
      </c>
      <c r="GB29">
        <v>0</v>
      </c>
      <c r="GC29">
        <v>0</v>
      </c>
      <c r="GD29" t="s">
        <v>264</v>
      </c>
      <c r="GE29">
        <v>71.2</v>
      </c>
      <c r="GF29">
        <v>248.6</v>
      </c>
      <c r="GG29" t="s">
        <v>558</v>
      </c>
      <c r="GH29" t="s">
        <v>555</v>
      </c>
      <c r="GI29">
        <v>0</v>
      </c>
      <c r="GJ29">
        <v>0</v>
      </c>
      <c r="GK29">
        <v>0</v>
      </c>
      <c r="GL29" t="s">
        <v>264</v>
      </c>
      <c r="GM29">
        <v>68.3</v>
      </c>
      <c r="GN29">
        <v>54.6</v>
      </c>
      <c r="GO29" t="s">
        <v>559</v>
      </c>
      <c r="GP29" t="s">
        <v>555</v>
      </c>
      <c r="GQ29">
        <v>0</v>
      </c>
      <c r="GR29">
        <v>0</v>
      </c>
      <c r="GS29">
        <v>0</v>
      </c>
      <c r="GT29" t="s">
        <v>264</v>
      </c>
      <c r="GU29">
        <v>75.900000000000006</v>
      </c>
      <c r="GV29">
        <v>60.9</v>
      </c>
      <c r="GW29" t="s">
        <v>560</v>
      </c>
      <c r="GX29" t="s">
        <v>555</v>
      </c>
      <c r="GY29">
        <v>0</v>
      </c>
      <c r="GZ29">
        <v>0</v>
      </c>
      <c r="HA29">
        <v>0</v>
      </c>
      <c r="HB29" t="s">
        <v>264</v>
      </c>
      <c r="HC29">
        <v>70.3</v>
      </c>
      <c r="HD29">
        <v>94.1</v>
      </c>
      <c r="HE29" t="s">
        <v>561</v>
      </c>
      <c r="HF29" t="s">
        <v>555</v>
      </c>
      <c r="HG29">
        <v>0</v>
      </c>
      <c r="HH29">
        <v>0</v>
      </c>
      <c r="HI29">
        <v>0</v>
      </c>
      <c r="HJ29" t="s">
        <v>264</v>
      </c>
      <c r="HK29">
        <v>70.8</v>
      </c>
      <c r="HL29">
        <v>127.1</v>
      </c>
      <c r="HM29" t="s">
        <v>562</v>
      </c>
      <c r="HN29" t="s">
        <v>555</v>
      </c>
      <c r="HO29">
        <v>0</v>
      </c>
      <c r="HP29">
        <v>0</v>
      </c>
      <c r="HQ29">
        <v>0</v>
      </c>
      <c r="HR29" t="s">
        <v>264</v>
      </c>
      <c r="HS29">
        <v>69.099999999999994</v>
      </c>
      <c r="HT29">
        <v>88.3</v>
      </c>
      <c r="HU29" t="s">
        <v>563</v>
      </c>
      <c r="HV29" t="s">
        <v>555</v>
      </c>
      <c r="HW29">
        <v>0</v>
      </c>
      <c r="HX29">
        <v>0</v>
      </c>
      <c r="HY29">
        <v>0</v>
      </c>
      <c r="HZ29" t="s">
        <v>264</v>
      </c>
      <c r="IA29">
        <v>74.599999999999994</v>
      </c>
      <c r="IB29">
        <v>189</v>
      </c>
      <c r="IC29" t="s">
        <v>564</v>
      </c>
      <c r="ID29" t="s">
        <v>555</v>
      </c>
      <c r="IE29">
        <v>0</v>
      </c>
      <c r="IF29">
        <v>0</v>
      </c>
      <c r="IG29">
        <v>0</v>
      </c>
      <c r="IH29" t="s">
        <v>264</v>
      </c>
      <c r="II29">
        <v>68.2</v>
      </c>
      <c r="IJ29">
        <v>131</v>
      </c>
      <c r="IK29" t="s">
        <v>565</v>
      </c>
      <c r="IL29" t="s">
        <v>555</v>
      </c>
      <c r="IM29">
        <v>0</v>
      </c>
      <c r="IN29">
        <v>0</v>
      </c>
      <c r="IO29">
        <v>0</v>
      </c>
      <c r="IP29" t="s">
        <v>264</v>
      </c>
      <c r="IS29" t="s">
        <v>566</v>
      </c>
      <c r="IT29" t="s">
        <v>555</v>
      </c>
      <c r="IU29">
        <v>0</v>
      </c>
      <c r="IV29">
        <v>0</v>
      </c>
      <c r="IW29">
        <v>0</v>
      </c>
      <c r="IX29" t="s">
        <v>264</v>
      </c>
      <c r="JA29" t="s">
        <v>567</v>
      </c>
      <c r="JB29" t="s">
        <v>555</v>
      </c>
      <c r="JC29">
        <v>0</v>
      </c>
      <c r="JD29">
        <v>0</v>
      </c>
      <c r="JE29">
        <v>0</v>
      </c>
      <c r="JF29" t="s">
        <v>264</v>
      </c>
      <c r="JI29" t="s">
        <v>568</v>
      </c>
      <c r="JJ29" t="s">
        <v>555</v>
      </c>
      <c r="JK29">
        <v>0</v>
      </c>
      <c r="JL29">
        <v>0</v>
      </c>
      <c r="JM29">
        <v>0</v>
      </c>
      <c r="JN29" t="s">
        <v>264</v>
      </c>
      <c r="JQ29" t="s">
        <v>569</v>
      </c>
      <c r="JR29" t="s">
        <v>555</v>
      </c>
      <c r="JS29">
        <v>0</v>
      </c>
      <c r="JT29">
        <v>0</v>
      </c>
      <c r="JU29">
        <v>0</v>
      </c>
      <c r="JV29" t="s">
        <v>264</v>
      </c>
      <c r="JY29" t="s">
        <v>570</v>
      </c>
      <c r="JZ29" t="s">
        <v>555</v>
      </c>
      <c r="KA29">
        <v>0</v>
      </c>
      <c r="KB29">
        <v>0</v>
      </c>
      <c r="KC29">
        <v>0</v>
      </c>
      <c r="KD29" t="s">
        <v>264</v>
      </c>
      <c r="KG29" t="s">
        <v>571</v>
      </c>
      <c r="KH29" t="s">
        <v>555</v>
      </c>
      <c r="KI29">
        <v>0</v>
      </c>
      <c r="KJ29">
        <v>0</v>
      </c>
      <c r="KK29">
        <v>0</v>
      </c>
      <c r="KL29" t="s">
        <v>264</v>
      </c>
      <c r="KO29" t="s">
        <v>572</v>
      </c>
      <c r="KP29" t="s">
        <v>555</v>
      </c>
      <c r="KQ29">
        <v>0</v>
      </c>
      <c r="KR29">
        <v>0</v>
      </c>
      <c r="KS29">
        <v>0</v>
      </c>
      <c r="KT29" t="s">
        <v>264</v>
      </c>
      <c r="KW29" t="s">
        <v>573</v>
      </c>
      <c r="KX29" t="s">
        <v>555</v>
      </c>
      <c r="KY29">
        <v>0</v>
      </c>
      <c r="KZ29">
        <v>0</v>
      </c>
      <c r="LA29">
        <v>0</v>
      </c>
      <c r="LB29" t="s">
        <v>264</v>
      </c>
      <c r="LE29" t="s">
        <v>574</v>
      </c>
      <c r="LF29" t="s">
        <v>555</v>
      </c>
      <c r="LG29">
        <v>0</v>
      </c>
      <c r="LH29">
        <v>0</v>
      </c>
      <c r="LI29">
        <v>0</v>
      </c>
      <c r="LJ29" t="s">
        <v>264</v>
      </c>
      <c r="LM29" t="s">
        <v>575</v>
      </c>
      <c r="LN29" t="s">
        <v>555</v>
      </c>
      <c r="LO29">
        <v>0</v>
      </c>
      <c r="LP29">
        <v>0</v>
      </c>
      <c r="LQ29">
        <v>0</v>
      </c>
      <c r="LR29" t="s">
        <v>264</v>
      </c>
      <c r="LU29" t="s">
        <v>576</v>
      </c>
      <c r="LV29" t="s">
        <v>555</v>
      </c>
      <c r="LW29">
        <v>0</v>
      </c>
      <c r="LX29">
        <v>0</v>
      </c>
      <c r="LY29">
        <v>0</v>
      </c>
      <c r="LZ29" t="s">
        <v>264</v>
      </c>
      <c r="MC29" t="s">
        <v>577</v>
      </c>
      <c r="MD29" t="s">
        <v>555</v>
      </c>
      <c r="ME29">
        <v>0</v>
      </c>
      <c r="MF29">
        <v>0</v>
      </c>
      <c r="MG29">
        <v>0</v>
      </c>
      <c r="MH29" t="s">
        <v>264</v>
      </c>
      <c r="MK29" t="s">
        <v>578</v>
      </c>
      <c r="ML29" t="s">
        <v>555</v>
      </c>
      <c r="MM29">
        <v>0</v>
      </c>
      <c r="MN29">
        <v>0</v>
      </c>
      <c r="MO29">
        <v>0</v>
      </c>
      <c r="MP29" t="s">
        <v>264</v>
      </c>
      <c r="MS29" t="s">
        <v>579</v>
      </c>
      <c r="MT29" t="s">
        <v>555</v>
      </c>
      <c r="MU29">
        <v>0</v>
      </c>
      <c r="MV29">
        <v>0</v>
      </c>
      <c r="MW29">
        <v>0</v>
      </c>
      <c r="MX29" t="s">
        <v>264</v>
      </c>
      <c r="NA29" t="s">
        <v>580</v>
      </c>
      <c r="NB29" t="s">
        <v>555</v>
      </c>
      <c r="NC29">
        <v>0</v>
      </c>
      <c r="ND29">
        <v>0</v>
      </c>
      <c r="NE29">
        <v>0</v>
      </c>
      <c r="NF29" t="s">
        <v>264</v>
      </c>
      <c r="NI29">
        <v>40</v>
      </c>
      <c r="NJ29">
        <v>-11.1</v>
      </c>
      <c r="NP29" t="s">
        <v>624</v>
      </c>
    </row>
    <row r="30" spans="1:380" customFormat="1" x14ac:dyDescent="0.2">
      <c r="A30" t="s">
        <v>517</v>
      </c>
      <c r="B30">
        <v>1</v>
      </c>
      <c r="C30" t="s">
        <v>861</v>
      </c>
      <c r="D30">
        <v>646959567</v>
      </c>
      <c r="E30">
        <v>12602</v>
      </c>
      <c r="F30" t="s">
        <v>805</v>
      </c>
      <c r="G30">
        <v>802069</v>
      </c>
      <c r="H30">
        <v>210014217</v>
      </c>
      <c r="I30" t="s">
        <v>622</v>
      </c>
      <c r="J30" t="s">
        <v>862</v>
      </c>
      <c r="K30" t="s">
        <v>545</v>
      </c>
      <c r="L30" t="s">
        <v>442</v>
      </c>
      <c r="M30" t="s">
        <v>546</v>
      </c>
      <c r="N30" t="s">
        <v>468</v>
      </c>
      <c r="O30" t="s">
        <v>547</v>
      </c>
      <c r="P30" t="s">
        <v>264</v>
      </c>
      <c r="Q30">
        <v>27.3</v>
      </c>
      <c r="R30">
        <v>269</v>
      </c>
      <c r="S30" t="s">
        <v>264</v>
      </c>
      <c r="T30">
        <v>-9999</v>
      </c>
      <c r="U30">
        <v>696</v>
      </c>
      <c r="V30">
        <v>720</v>
      </c>
      <c r="W30">
        <v>685</v>
      </c>
      <c r="X30" t="s">
        <v>270</v>
      </c>
      <c r="Y30">
        <v>0</v>
      </c>
      <c r="Z30">
        <v>55</v>
      </c>
      <c r="AA30" t="s">
        <v>469</v>
      </c>
      <c r="AB30" t="s">
        <v>548</v>
      </c>
      <c r="AC30">
        <v>1</v>
      </c>
      <c r="AD30" t="s">
        <v>584</v>
      </c>
      <c r="AE30">
        <v>25.8</v>
      </c>
      <c r="AF30">
        <v>1496</v>
      </c>
      <c r="AG30" t="s">
        <v>264</v>
      </c>
      <c r="AH30">
        <v>-9999</v>
      </c>
      <c r="AI30">
        <v>496</v>
      </c>
      <c r="AJ30">
        <v>615</v>
      </c>
      <c r="AK30">
        <v>494</v>
      </c>
      <c r="AL30" t="s">
        <v>270</v>
      </c>
      <c r="AM30">
        <v>0</v>
      </c>
      <c r="AN30">
        <v>55</v>
      </c>
      <c r="AO30" t="s">
        <v>470</v>
      </c>
      <c r="AP30" t="s">
        <v>548</v>
      </c>
      <c r="AQ30">
        <v>2</v>
      </c>
      <c r="AR30" t="s">
        <v>584</v>
      </c>
      <c r="AS30">
        <v>36.299999999999997</v>
      </c>
      <c r="AT30">
        <v>376</v>
      </c>
      <c r="AU30" t="s">
        <v>264</v>
      </c>
      <c r="AV30">
        <v>-9999</v>
      </c>
      <c r="AW30">
        <v>440</v>
      </c>
      <c r="AX30">
        <v>466</v>
      </c>
      <c r="AY30">
        <v>439</v>
      </c>
      <c r="AZ30" t="s">
        <v>270</v>
      </c>
      <c r="BA30">
        <v>0</v>
      </c>
      <c r="BB30">
        <v>55</v>
      </c>
      <c r="BC30" t="s">
        <v>550</v>
      </c>
      <c r="BD30" t="s">
        <v>548</v>
      </c>
      <c r="BE30">
        <v>3</v>
      </c>
      <c r="BF30" t="s">
        <v>584</v>
      </c>
      <c r="BG30">
        <v>23.1</v>
      </c>
      <c r="BH30">
        <v>648</v>
      </c>
      <c r="BI30" t="s">
        <v>264</v>
      </c>
      <c r="BJ30">
        <v>-9999</v>
      </c>
      <c r="BK30">
        <v>203</v>
      </c>
      <c r="BL30">
        <v>252</v>
      </c>
      <c r="BM30">
        <v>202</v>
      </c>
      <c r="BN30" t="s">
        <v>270</v>
      </c>
      <c r="BO30">
        <v>0</v>
      </c>
      <c r="BP30">
        <v>55</v>
      </c>
      <c r="BQ30" t="s">
        <v>504</v>
      </c>
      <c r="BR30" t="s">
        <v>548</v>
      </c>
      <c r="BS30">
        <v>4</v>
      </c>
      <c r="BT30" t="s">
        <v>584</v>
      </c>
      <c r="BU30">
        <v>30.3</v>
      </c>
      <c r="BV30">
        <v>297</v>
      </c>
      <c r="BW30" t="s">
        <v>264</v>
      </c>
      <c r="BX30">
        <v>-9999</v>
      </c>
      <c r="BY30">
        <v>220</v>
      </c>
      <c r="BZ30">
        <v>256</v>
      </c>
      <c r="CA30">
        <v>218</v>
      </c>
      <c r="CB30" t="s">
        <v>270</v>
      </c>
      <c r="CC30">
        <v>0</v>
      </c>
      <c r="CD30">
        <v>55</v>
      </c>
      <c r="CE30" t="s">
        <v>471</v>
      </c>
      <c r="CF30" t="s">
        <v>548</v>
      </c>
      <c r="CG30">
        <v>5</v>
      </c>
      <c r="CH30" t="s">
        <v>584</v>
      </c>
      <c r="CI30">
        <v>35</v>
      </c>
      <c r="CJ30">
        <v>240</v>
      </c>
      <c r="CK30" t="s">
        <v>264</v>
      </c>
      <c r="CL30">
        <v>-9999</v>
      </c>
      <c r="CM30">
        <v>551</v>
      </c>
      <c r="CN30">
        <v>643</v>
      </c>
      <c r="CO30">
        <v>549</v>
      </c>
      <c r="CP30" t="s">
        <v>270</v>
      </c>
      <c r="CQ30">
        <v>0</v>
      </c>
      <c r="CR30">
        <v>55</v>
      </c>
      <c r="CS30" t="s">
        <v>472</v>
      </c>
      <c r="CT30" t="s">
        <v>548</v>
      </c>
      <c r="CU30">
        <v>6</v>
      </c>
      <c r="CV30" t="s">
        <v>584</v>
      </c>
      <c r="CW30">
        <v>34.9</v>
      </c>
      <c r="CX30">
        <v>239</v>
      </c>
      <c r="CY30" t="s">
        <v>264</v>
      </c>
      <c r="CZ30">
        <v>-9999</v>
      </c>
      <c r="DA30">
        <v>740</v>
      </c>
      <c r="DB30">
        <v>840</v>
      </c>
      <c r="DC30">
        <v>729</v>
      </c>
      <c r="DD30" t="s">
        <v>270</v>
      </c>
      <c r="DE30">
        <v>0</v>
      </c>
      <c r="DF30">
        <v>55</v>
      </c>
      <c r="DG30" t="s">
        <v>473</v>
      </c>
      <c r="DH30" t="s">
        <v>548</v>
      </c>
      <c r="DI30">
        <v>7</v>
      </c>
      <c r="DJ30" t="s">
        <v>584</v>
      </c>
      <c r="DK30">
        <v>25</v>
      </c>
      <c r="DL30">
        <v>207</v>
      </c>
      <c r="DM30" t="s">
        <v>264</v>
      </c>
      <c r="DN30">
        <v>-9999</v>
      </c>
      <c r="DO30">
        <v>562</v>
      </c>
      <c r="DP30">
        <v>644</v>
      </c>
      <c r="DQ30">
        <v>558</v>
      </c>
      <c r="DR30" t="s">
        <v>270</v>
      </c>
      <c r="DS30">
        <v>0</v>
      </c>
      <c r="DT30">
        <v>55</v>
      </c>
      <c r="DU30" t="s">
        <v>474</v>
      </c>
      <c r="DV30" t="s">
        <v>548</v>
      </c>
      <c r="DW30">
        <v>8</v>
      </c>
      <c r="DX30" t="s">
        <v>584</v>
      </c>
      <c r="DY30">
        <v>21.9</v>
      </c>
      <c r="DZ30">
        <v>442</v>
      </c>
      <c r="EA30" t="s">
        <v>264</v>
      </c>
      <c r="EB30">
        <v>-9999</v>
      </c>
      <c r="EC30">
        <v>124</v>
      </c>
      <c r="ED30">
        <v>150</v>
      </c>
      <c r="EE30">
        <v>122</v>
      </c>
      <c r="EF30" t="s">
        <v>270</v>
      </c>
      <c r="EG30">
        <v>0</v>
      </c>
      <c r="EH30">
        <v>55</v>
      </c>
      <c r="EI30" t="s">
        <v>475</v>
      </c>
      <c r="EJ30" t="s">
        <v>548</v>
      </c>
      <c r="EK30">
        <v>9</v>
      </c>
      <c r="EL30" t="s">
        <v>584</v>
      </c>
      <c r="EM30">
        <v>25.5</v>
      </c>
      <c r="EN30">
        <v>88</v>
      </c>
      <c r="EO30" t="s">
        <v>264</v>
      </c>
      <c r="EP30">
        <v>-9999</v>
      </c>
      <c r="EQ30">
        <v>305</v>
      </c>
      <c r="ER30">
        <v>286</v>
      </c>
      <c r="ES30">
        <v>270</v>
      </c>
      <c r="ET30" t="s">
        <v>270</v>
      </c>
      <c r="EU30">
        <v>0</v>
      </c>
      <c r="EV30">
        <v>55</v>
      </c>
      <c r="EW30" t="s">
        <v>551</v>
      </c>
      <c r="EX30" t="s">
        <v>552</v>
      </c>
      <c r="EY30">
        <v>151</v>
      </c>
      <c r="EZ30">
        <v>152</v>
      </c>
      <c r="FA30">
        <v>152</v>
      </c>
      <c r="FB30" t="s">
        <v>270</v>
      </c>
      <c r="FC30" t="s">
        <v>553</v>
      </c>
      <c r="FD30" t="s">
        <v>552</v>
      </c>
      <c r="FE30">
        <v>340</v>
      </c>
      <c r="FF30">
        <v>339</v>
      </c>
      <c r="FG30">
        <v>337</v>
      </c>
      <c r="FH30" t="s">
        <v>270</v>
      </c>
      <c r="FI30" t="s">
        <v>554</v>
      </c>
      <c r="FJ30" t="s">
        <v>555</v>
      </c>
      <c r="FK30">
        <v>0</v>
      </c>
      <c r="FL30">
        <v>0</v>
      </c>
      <c r="FM30">
        <v>0</v>
      </c>
      <c r="FN30" t="s">
        <v>264</v>
      </c>
      <c r="FO30">
        <v>76</v>
      </c>
      <c r="FP30">
        <v>339.9</v>
      </c>
      <c r="FQ30" t="s">
        <v>556</v>
      </c>
      <c r="FR30" t="s">
        <v>555</v>
      </c>
      <c r="FS30">
        <v>0</v>
      </c>
      <c r="FT30">
        <v>0</v>
      </c>
      <c r="FU30">
        <v>0</v>
      </c>
      <c r="FV30" t="s">
        <v>264</v>
      </c>
      <c r="FW30">
        <v>73.400000000000006</v>
      </c>
      <c r="FX30">
        <v>111.8</v>
      </c>
      <c r="FY30" t="s">
        <v>557</v>
      </c>
      <c r="FZ30" t="s">
        <v>555</v>
      </c>
      <c r="GA30">
        <v>0</v>
      </c>
      <c r="GB30">
        <v>0</v>
      </c>
      <c r="GC30">
        <v>0</v>
      </c>
      <c r="GD30" t="s">
        <v>264</v>
      </c>
      <c r="GE30">
        <v>71.2</v>
      </c>
      <c r="GF30">
        <v>270.89999999999998</v>
      </c>
      <c r="GG30" t="s">
        <v>558</v>
      </c>
      <c r="GH30" t="s">
        <v>555</v>
      </c>
      <c r="GI30">
        <v>0</v>
      </c>
      <c r="GJ30">
        <v>0</v>
      </c>
      <c r="GK30">
        <v>0</v>
      </c>
      <c r="GL30" t="s">
        <v>264</v>
      </c>
      <c r="GM30">
        <v>68.5</v>
      </c>
      <c r="GN30">
        <v>60.5</v>
      </c>
      <c r="GO30" t="s">
        <v>559</v>
      </c>
      <c r="GP30" t="s">
        <v>555</v>
      </c>
      <c r="GQ30">
        <v>0</v>
      </c>
      <c r="GR30">
        <v>0</v>
      </c>
      <c r="GS30">
        <v>0</v>
      </c>
      <c r="GT30" t="s">
        <v>264</v>
      </c>
      <c r="GU30">
        <v>76</v>
      </c>
      <c r="GV30">
        <v>61.3</v>
      </c>
      <c r="GW30" t="s">
        <v>560</v>
      </c>
      <c r="GX30" t="s">
        <v>555</v>
      </c>
      <c r="GY30">
        <v>0</v>
      </c>
      <c r="GZ30">
        <v>0</v>
      </c>
      <c r="HA30">
        <v>0</v>
      </c>
      <c r="HB30" t="s">
        <v>264</v>
      </c>
      <c r="HC30">
        <v>70.2</v>
      </c>
      <c r="HD30">
        <v>93.1</v>
      </c>
      <c r="HE30" t="s">
        <v>561</v>
      </c>
      <c r="HF30" t="s">
        <v>555</v>
      </c>
      <c r="HG30">
        <v>0</v>
      </c>
      <c r="HH30">
        <v>0</v>
      </c>
      <c r="HI30">
        <v>0</v>
      </c>
      <c r="HJ30" t="s">
        <v>264</v>
      </c>
      <c r="HK30">
        <v>70.8</v>
      </c>
      <c r="HL30">
        <v>138.69999999999999</v>
      </c>
      <c r="HM30" t="s">
        <v>562</v>
      </c>
      <c r="HN30" t="s">
        <v>555</v>
      </c>
      <c r="HO30">
        <v>0</v>
      </c>
      <c r="HP30">
        <v>0</v>
      </c>
      <c r="HQ30">
        <v>0</v>
      </c>
      <c r="HR30" t="s">
        <v>264</v>
      </c>
      <c r="HS30">
        <v>69.2</v>
      </c>
      <c r="HT30">
        <v>87</v>
      </c>
      <c r="HU30" t="s">
        <v>563</v>
      </c>
      <c r="HV30" t="s">
        <v>555</v>
      </c>
      <c r="HW30">
        <v>0</v>
      </c>
      <c r="HX30">
        <v>0</v>
      </c>
      <c r="HY30">
        <v>0</v>
      </c>
      <c r="HZ30" t="s">
        <v>264</v>
      </c>
      <c r="IA30">
        <v>74.7</v>
      </c>
      <c r="IB30">
        <v>193.6</v>
      </c>
      <c r="IC30" t="s">
        <v>564</v>
      </c>
      <c r="ID30" t="s">
        <v>555</v>
      </c>
      <c r="IE30">
        <v>0</v>
      </c>
      <c r="IF30">
        <v>0</v>
      </c>
      <c r="IG30">
        <v>0</v>
      </c>
      <c r="IH30" t="s">
        <v>264</v>
      </c>
      <c r="II30">
        <v>68.2</v>
      </c>
      <c r="IJ30">
        <v>120</v>
      </c>
      <c r="IK30" t="s">
        <v>565</v>
      </c>
      <c r="IL30" t="s">
        <v>555</v>
      </c>
      <c r="IM30">
        <v>0</v>
      </c>
      <c r="IN30">
        <v>0</v>
      </c>
      <c r="IO30">
        <v>0</v>
      </c>
      <c r="IP30" t="s">
        <v>264</v>
      </c>
      <c r="IS30" t="s">
        <v>566</v>
      </c>
      <c r="IT30" t="s">
        <v>555</v>
      </c>
      <c r="IU30">
        <v>0</v>
      </c>
      <c r="IV30">
        <v>0</v>
      </c>
      <c r="IW30">
        <v>0</v>
      </c>
      <c r="IX30" t="s">
        <v>264</v>
      </c>
      <c r="JA30" t="s">
        <v>567</v>
      </c>
      <c r="JB30" t="s">
        <v>555</v>
      </c>
      <c r="JC30">
        <v>0</v>
      </c>
      <c r="JD30">
        <v>0</v>
      </c>
      <c r="JE30">
        <v>0</v>
      </c>
      <c r="JF30" t="s">
        <v>264</v>
      </c>
      <c r="JI30" t="s">
        <v>568</v>
      </c>
      <c r="JJ30" t="s">
        <v>555</v>
      </c>
      <c r="JK30">
        <v>0</v>
      </c>
      <c r="JL30">
        <v>0</v>
      </c>
      <c r="JM30">
        <v>0</v>
      </c>
      <c r="JN30" t="s">
        <v>264</v>
      </c>
      <c r="JQ30" t="s">
        <v>569</v>
      </c>
      <c r="JR30" t="s">
        <v>555</v>
      </c>
      <c r="JS30">
        <v>0</v>
      </c>
      <c r="JT30">
        <v>0</v>
      </c>
      <c r="JU30">
        <v>0</v>
      </c>
      <c r="JV30" t="s">
        <v>264</v>
      </c>
      <c r="JY30" t="s">
        <v>570</v>
      </c>
      <c r="JZ30" t="s">
        <v>555</v>
      </c>
      <c r="KA30">
        <v>0</v>
      </c>
      <c r="KB30">
        <v>0</v>
      </c>
      <c r="KC30">
        <v>0</v>
      </c>
      <c r="KD30" t="s">
        <v>264</v>
      </c>
      <c r="KG30" t="s">
        <v>571</v>
      </c>
      <c r="KH30" t="s">
        <v>555</v>
      </c>
      <c r="KI30">
        <v>0</v>
      </c>
      <c r="KJ30">
        <v>0</v>
      </c>
      <c r="KK30">
        <v>0</v>
      </c>
      <c r="KL30" t="s">
        <v>264</v>
      </c>
      <c r="KO30" t="s">
        <v>572</v>
      </c>
      <c r="KP30" t="s">
        <v>555</v>
      </c>
      <c r="KQ30">
        <v>0</v>
      </c>
      <c r="KR30">
        <v>0</v>
      </c>
      <c r="KS30">
        <v>0</v>
      </c>
      <c r="KT30" t="s">
        <v>264</v>
      </c>
      <c r="KW30" t="s">
        <v>573</v>
      </c>
      <c r="KX30" t="s">
        <v>555</v>
      </c>
      <c r="KY30">
        <v>0</v>
      </c>
      <c r="KZ30">
        <v>0</v>
      </c>
      <c r="LA30">
        <v>0</v>
      </c>
      <c r="LB30" t="s">
        <v>264</v>
      </c>
      <c r="LE30" t="s">
        <v>574</v>
      </c>
      <c r="LF30" t="s">
        <v>555</v>
      </c>
      <c r="LG30">
        <v>0</v>
      </c>
      <c r="LH30">
        <v>0</v>
      </c>
      <c r="LI30">
        <v>0</v>
      </c>
      <c r="LJ30" t="s">
        <v>264</v>
      </c>
      <c r="LM30" t="s">
        <v>575</v>
      </c>
      <c r="LN30" t="s">
        <v>555</v>
      </c>
      <c r="LO30">
        <v>0</v>
      </c>
      <c r="LP30">
        <v>0</v>
      </c>
      <c r="LQ30">
        <v>0</v>
      </c>
      <c r="LR30" t="s">
        <v>264</v>
      </c>
      <c r="LU30" t="s">
        <v>576</v>
      </c>
      <c r="LV30" t="s">
        <v>555</v>
      </c>
      <c r="LW30">
        <v>0</v>
      </c>
      <c r="LX30">
        <v>0</v>
      </c>
      <c r="LY30">
        <v>0</v>
      </c>
      <c r="LZ30" t="s">
        <v>264</v>
      </c>
      <c r="MC30" t="s">
        <v>577</v>
      </c>
      <c r="MD30" t="s">
        <v>555</v>
      </c>
      <c r="ME30">
        <v>0</v>
      </c>
      <c r="MF30">
        <v>0</v>
      </c>
      <c r="MG30">
        <v>0</v>
      </c>
      <c r="MH30" t="s">
        <v>264</v>
      </c>
      <c r="MK30" t="s">
        <v>578</v>
      </c>
      <c r="ML30" t="s">
        <v>555</v>
      </c>
      <c r="MM30">
        <v>0</v>
      </c>
      <c r="MN30">
        <v>0</v>
      </c>
      <c r="MO30">
        <v>0</v>
      </c>
      <c r="MP30" t="s">
        <v>264</v>
      </c>
      <c r="MS30" t="s">
        <v>579</v>
      </c>
      <c r="MT30" t="s">
        <v>555</v>
      </c>
      <c r="MU30">
        <v>0</v>
      </c>
      <c r="MV30">
        <v>0</v>
      </c>
      <c r="MW30">
        <v>0</v>
      </c>
      <c r="MX30" t="s">
        <v>264</v>
      </c>
      <c r="NA30" t="s">
        <v>580</v>
      </c>
      <c r="NB30" t="s">
        <v>555</v>
      </c>
      <c r="NC30">
        <v>0</v>
      </c>
      <c r="ND30">
        <v>0</v>
      </c>
      <c r="NE30">
        <v>0</v>
      </c>
      <c r="NF30" t="s">
        <v>264</v>
      </c>
      <c r="NI30">
        <v>40</v>
      </c>
      <c r="NJ30">
        <v>-8</v>
      </c>
      <c r="NP30" t="s">
        <v>624</v>
      </c>
    </row>
    <row r="31" spans="1:380" customFormat="1" x14ac:dyDescent="0.2">
      <c r="A31" t="s">
        <v>517</v>
      </c>
      <c r="B31">
        <v>1</v>
      </c>
      <c r="C31" t="s">
        <v>863</v>
      </c>
      <c r="D31">
        <v>646960083</v>
      </c>
      <c r="E31">
        <v>12602</v>
      </c>
      <c r="F31" t="s">
        <v>805</v>
      </c>
      <c r="G31">
        <v>802069</v>
      </c>
      <c r="H31">
        <v>620506</v>
      </c>
      <c r="I31" t="s">
        <v>622</v>
      </c>
      <c r="J31" t="s">
        <v>864</v>
      </c>
      <c r="K31" t="s">
        <v>545</v>
      </c>
      <c r="L31" t="s">
        <v>442</v>
      </c>
      <c r="M31" t="s">
        <v>546</v>
      </c>
      <c r="N31" t="s">
        <v>468</v>
      </c>
      <c r="O31" t="s">
        <v>547</v>
      </c>
      <c r="P31" t="s">
        <v>264</v>
      </c>
      <c r="Q31">
        <v>25.9</v>
      </c>
      <c r="R31">
        <v>250</v>
      </c>
      <c r="S31" t="s">
        <v>264</v>
      </c>
      <c r="T31">
        <v>-9999</v>
      </c>
      <c r="U31">
        <v>757</v>
      </c>
      <c r="V31">
        <v>782</v>
      </c>
      <c r="W31">
        <v>745</v>
      </c>
      <c r="X31" t="s">
        <v>270</v>
      </c>
      <c r="Y31">
        <v>0</v>
      </c>
      <c r="Z31">
        <v>55</v>
      </c>
      <c r="AA31" t="s">
        <v>469</v>
      </c>
      <c r="AB31" t="s">
        <v>548</v>
      </c>
      <c r="AC31">
        <v>1</v>
      </c>
      <c r="AD31" t="s">
        <v>584</v>
      </c>
      <c r="AE31">
        <v>25.1</v>
      </c>
      <c r="AF31">
        <v>1183</v>
      </c>
      <c r="AG31" t="s">
        <v>264</v>
      </c>
      <c r="AH31">
        <v>-9999</v>
      </c>
      <c r="AI31">
        <v>607</v>
      </c>
      <c r="AJ31">
        <v>738</v>
      </c>
      <c r="AK31">
        <v>600</v>
      </c>
      <c r="AL31" t="s">
        <v>270</v>
      </c>
      <c r="AM31">
        <v>0</v>
      </c>
      <c r="AN31">
        <v>55</v>
      </c>
      <c r="AO31" t="s">
        <v>470</v>
      </c>
      <c r="AP31" t="s">
        <v>548</v>
      </c>
      <c r="AQ31">
        <v>2</v>
      </c>
      <c r="AR31" t="s">
        <v>584</v>
      </c>
      <c r="AS31">
        <v>37.1</v>
      </c>
      <c r="AT31">
        <v>342</v>
      </c>
      <c r="AU31" t="s">
        <v>264</v>
      </c>
      <c r="AV31">
        <v>-9999</v>
      </c>
      <c r="AW31">
        <v>418</v>
      </c>
      <c r="AX31">
        <v>437</v>
      </c>
      <c r="AY31">
        <v>417</v>
      </c>
      <c r="AZ31" t="s">
        <v>270</v>
      </c>
      <c r="BA31">
        <v>0</v>
      </c>
      <c r="BB31">
        <v>55</v>
      </c>
      <c r="BC31" t="s">
        <v>550</v>
      </c>
      <c r="BD31" t="s">
        <v>548</v>
      </c>
      <c r="BE31">
        <v>3</v>
      </c>
      <c r="BF31" t="s">
        <v>584</v>
      </c>
      <c r="BG31">
        <v>21.6</v>
      </c>
      <c r="BH31">
        <v>2237</v>
      </c>
      <c r="BI31" t="s">
        <v>264</v>
      </c>
      <c r="BJ31">
        <v>-9999</v>
      </c>
      <c r="BK31">
        <v>24</v>
      </c>
      <c r="BL31">
        <v>51</v>
      </c>
      <c r="BM31">
        <v>27</v>
      </c>
      <c r="BN31" t="s">
        <v>270</v>
      </c>
      <c r="BO31">
        <v>0</v>
      </c>
      <c r="BP31">
        <v>55</v>
      </c>
      <c r="BQ31" t="s">
        <v>504</v>
      </c>
      <c r="BR31" t="s">
        <v>548</v>
      </c>
      <c r="BS31">
        <v>4</v>
      </c>
      <c r="BT31" t="s">
        <v>584</v>
      </c>
      <c r="BU31">
        <v>28.8</v>
      </c>
      <c r="BV31">
        <v>296</v>
      </c>
      <c r="BW31" t="s">
        <v>264</v>
      </c>
      <c r="BX31">
        <v>-9999</v>
      </c>
      <c r="BY31">
        <v>294</v>
      </c>
      <c r="BZ31">
        <v>339</v>
      </c>
      <c r="CA31">
        <v>290</v>
      </c>
      <c r="CB31" t="s">
        <v>270</v>
      </c>
      <c r="CC31">
        <v>0</v>
      </c>
      <c r="CD31">
        <v>55</v>
      </c>
      <c r="CE31" t="s">
        <v>471</v>
      </c>
      <c r="CF31" t="s">
        <v>548</v>
      </c>
      <c r="CG31">
        <v>5</v>
      </c>
      <c r="CH31" t="s">
        <v>584</v>
      </c>
      <c r="CI31">
        <v>35.1</v>
      </c>
      <c r="CJ31">
        <v>205</v>
      </c>
      <c r="CK31" t="s">
        <v>264</v>
      </c>
      <c r="CL31">
        <v>-9999</v>
      </c>
      <c r="CM31">
        <v>557</v>
      </c>
      <c r="CN31">
        <v>652</v>
      </c>
      <c r="CO31">
        <v>555</v>
      </c>
      <c r="CP31" t="s">
        <v>270</v>
      </c>
      <c r="CQ31">
        <v>0</v>
      </c>
      <c r="CR31">
        <v>55</v>
      </c>
      <c r="CS31" t="s">
        <v>472</v>
      </c>
      <c r="CT31" t="s">
        <v>548</v>
      </c>
      <c r="CU31">
        <v>6</v>
      </c>
      <c r="CV31" t="s">
        <v>584</v>
      </c>
      <c r="CW31">
        <v>34.200000000000003</v>
      </c>
      <c r="CX31">
        <v>235</v>
      </c>
      <c r="CY31" t="s">
        <v>264</v>
      </c>
      <c r="CZ31">
        <v>-9999</v>
      </c>
      <c r="DA31">
        <v>866</v>
      </c>
      <c r="DB31">
        <v>984</v>
      </c>
      <c r="DC31">
        <v>853</v>
      </c>
      <c r="DD31" t="s">
        <v>270</v>
      </c>
      <c r="DE31">
        <v>0</v>
      </c>
      <c r="DF31">
        <v>55</v>
      </c>
      <c r="DG31" t="s">
        <v>473</v>
      </c>
      <c r="DH31" t="s">
        <v>548</v>
      </c>
      <c r="DI31">
        <v>7</v>
      </c>
      <c r="DJ31" t="s">
        <v>584</v>
      </c>
      <c r="DK31">
        <v>24.5</v>
      </c>
      <c r="DL31">
        <v>304</v>
      </c>
      <c r="DM31" t="s">
        <v>264</v>
      </c>
      <c r="DN31">
        <v>-9999</v>
      </c>
      <c r="DO31">
        <v>835</v>
      </c>
      <c r="DP31">
        <v>956</v>
      </c>
      <c r="DQ31">
        <v>827</v>
      </c>
      <c r="DR31" t="s">
        <v>270</v>
      </c>
      <c r="DS31">
        <v>0</v>
      </c>
      <c r="DT31">
        <v>55</v>
      </c>
      <c r="DU31" t="s">
        <v>474</v>
      </c>
      <c r="DV31" t="s">
        <v>548</v>
      </c>
      <c r="DW31">
        <v>8</v>
      </c>
      <c r="DX31" t="s">
        <v>584</v>
      </c>
      <c r="DY31">
        <v>21.7</v>
      </c>
      <c r="DZ31">
        <v>465</v>
      </c>
      <c r="EA31" t="s">
        <v>264</v>
      </c>
      <c r="EB31">
        <v>-9999</v>
      </c>
      <c r="EC31">
        <v>111</v>
      </c>
      <c r="ED31">
        <v>136</v>
      </c>
      <c r="EE31">
        <v>110</v>
      </c>
      <c r="EF31" t="s">
        <v>270</v>
      </c>
      <c r="EG31">
        <v>0</v>
      </c>
      <c r="EH31">
        <v>55</v>
      </c>
      <c r="EI31" t="s">
        <v>475</v>
      </c>
      <c r="EJ31" t="s">
        <v>548</v>
      </c>
      <c r="EK31">
        <v>9</v>
      </c>
      <c r="EL31" t="s">
        <v>584</v>
      </c>
      <c r="EM31">
        <v>25.9</v>
      </c>
      <c r="EN31">
        <v>93</v>
      </c>
      <c r="EO31" t="s">
        <v>264</v>
      </c>
      <c r="EP31">
        <v>-9999</v>
      </c>
      <c r="EQ31">
        <v>353</v>
      </c>
      <c r="ER31">
        <v>338</v>
      </c>
      <c r="ES31">
        <v>317</v>
      </c>
      <c r="ET31" t="s">
        <v>270</v>
      </c>
      <c r="EU31">
        <v>0</v>
      </c>
      <c r="EV31">
        <v>55</v>
      </c>
      <c r="EW31" t="s">
        <v>551</v>
      </c>
      <c r="EX31" t="s">
        <v>552</v>
      </c>
      <c r="EY31">
        <v>158</v>
      </c>
      <c r="EZ31">
        <v>158</v>
      </c>
      <c r="FA31">
        <v>158</v>
      </c>
      <c r="FB31" t="s">
        <v>270</v>
      </c>
      <c r="FC31" t="s">
        <v>553</v>
      </c>
      <c r="FD31" t="s">
        <v>552</v>
      </c>
      <c r="FE31">
        <v>372</v>
      </c>
      <c r="FF31">
        <v>370</v>
      </c>
      <c r="FG31">
        <v>369</v>
      </c>
      <c r="FH31" t="s">
        <v>270</v>
      </c>
      <c r="FI31" t="s">
        <v>554</v>
      </c>
      <c r="FJ31" t="s">
        <v>555</v>
      </c>
      <c r="FK31">
        <v>0</v>
      </c>
      <c r="FL31">
        <v>0</v>
      </c>
      <c r="FM31">
        <v>0</v>
      </c>
      <c r="FN31" t="s">
        <v>264</v>
      </c>
      <c r="FO31">
        <v>75.900000000000006</v>
      </c>
      <c r="FP31">
        <v>301.39999999999998</v>
      </c>
      <c r="FQ31" t="s">
        <v>556</v>
      </c>
      <c r="FR31" t="s">
        <v>555</v>
      </c>
      <c r="FS31">
        <v>0</v>
      </c>
      <c r="FT31">
        <v>0</v>
      </c>
      <c r="FU31">
        <v>0</v>
      </c>
      <c r="FV31" t="s">
        <v>264</v>
      </c>
      <c r="FW31">
        <v>73.3</v>
      </c>
      <c r="FX31">
        <v>104.8</v>
      </c>
      <c r="FY31" t="s">
        <v>557</v>
      </c>
      <c r="FZ31" t="s">
        <v>555</v>
      </c>
      <c r="GA31">
        <v>0</v>
      </c>
      <c r="GB31">
        <v>0</v>
      </c>
      <c r="GC31">
        <v>0</v>
      </c>
      <c r="GD31" t="s">
        <v>264</v>
      </c>
      <c r="GE31">
        <v>71.2</v>
      </c>
      <c r="GF31">
        <v>263.7</v>
      </c>
      <c r="GG31" t="s">
        <v>558</v>
      </c>
      <c r="GH31" t="s">
        <v>555</v>
      </c>
      <c r="GI31">
        <v>0</v>
      </c>
      <c r="GJ31">
        <v>0</v>
      </c>
      <c r="GK31">
        <v>0</v>
      </c>
      <c r="GL31" t="s">
        <v>264</v>
      </c>
      <c r="GM31">
        <v>68.400000000000006</v>
      </c>
      <c r="GN31">
        <v>66.5</v>
      </c>
      <c r="GO31" t="s">
        <v>559</v>
      </c>
      <c r="GP31" t="s">
        <v>555</v>
      </c>
      <c r="GQ31">
        <v>0</v>
      </c>
      <c r="GR31">
        <v>0</v>
      </c>
      <c r="GS31">
        <v>0</v>
      </c>
      <c r="GT31" t="s">
        <v>264</v>
      </c>
      <c r="GU31">
        <v>75.8</v>
      </c>
      <c r="GV31">
        <v>73.099999999999994</v>
      </c>
      <c r="GW31" t="s">
        <v>560</v>
      </c>
      <c r="GX31" t="s">
        <v>555</v>
      </c>
      <c r="GY31">
        <v>0</v>
      </c>
      <c r="GZ31">
        <v>0</v>
      </c>
      <c r="HA31">
        <v>0</v>
      </c>
      <c r="HB31" t="s">
        <v>264</v>
      </c>
      <c r="HC31">
        <v>70.099999999999994</v>
      </c>
      <c r="HD31">
        <v>86.7</v>
      </c>
      <c r="HE31" t="s">
        <v>561</v>
      </c>
      <c r="HF31" t="s">
        <v>555</v>
      </c>
      <c r="HG31">
        <v>0</v>
      </c>
      <c r="HH31">
        <v>0</v>
      </c>
      <c r="HI31">
        <v>0</v>
      </c>
      <c r="HJ31" t="s">
        <v>264</v>
      </c>
      <c r="HK31">
        <v>70.8</v>
      </c>
      <c r="HL31">
        <v>160.30000000000001</v>
      </c>
      <c r="HM31" t="s">
        <v>562</v>
      </c>
      <c r="HN31" t="s">
        <v>555</v>
      </c>
      <c r="HO31">
        <v>0</v>
      </c>
      <c r="HP31">
        <v>0</v>
      </c>
      <c r="HQ31">
        <v>0</v>
      </c>
      <c r="HR31" t="s">
        <v>264</v>
      </c>
      <c r="HS31">
        <v>69.2</v>
      </c>
      <c r="HT31">
        <v>133</v>
      </c>
      <c r="HU31" t="s">
        <v>563</v>
      </c>
      <c r="HV31" t="s">
        <v>555</v>
      </c>
      <c r="HW31">
        <v>0</v>
      </c>
      <c r="HX31">
        <v>0</v>
      </c>
      <c r="HY31">
        <v>0</v>
      </c>
      <c r="HZ31" t="s">
        <v>264</v>
      </c>
      <c r="IA31">
        <v>74.599999999999994</v>
      </c>
      <c r="IB31">
        <v>184.3</v>
      </c>
      <c r="IC31" t="s">
        <v>564</v>
      </c>
      <c r="ID31" t="s">
        <v>555</v>
      </c>
      <c r="IE31">
        <v>0</v>
      </c>
      <c r="IF31">
        <v>0</v>
      </c>
      <c r="IG31">
        <v>0</v>
      </c>
      <c r="IH31" t="s">
        <v>264</v>
      </c>
      <c r="II31">
        <v>68.2</v>
      </c>
      <c r="IJ31">
        <v>127.5</v>
      </c>
      <c r="IK31" t="s">
        <v>565</v>
      </c>
      <c r="IL31" t="s">
        <v>555</v>
      </c>
      <c r="IM31">
        <v>0</v>
      </c>
      <c r="IN31">
        <v>0</v>
      </c>
      <c r="IO31">
        <v>0</v>
      </c>
      <c r="IP31" t="s">
        <v>264</v>
      </c>
      <c r="IS31" t="s">
        <v>566</v>
      </c>
      <c r="IT31" t="s">
        <v>555</v>
      </c>
      <c r="IU31">
        <v>0</v>
      </c>
      <c r="IV31">
        <v>0</v>
      </c>
      <c r="IW31">
        <v>0</v>
      </c>
      <c r="IX31" t="s">
        <v>264</v>
      </c>
      <c r="JA31" t="s">
        <v>567</v>
      </c>
      <c r="JB31" t="s">
        <v>555</v>
      </c>
      <c r="JC31">
        <v>0</v>
      </c>
      <c r="JD31">
        <v>0</v>
      </c>
      <c r="JE31">
        <v>0</v>
      </c>
      <c r="JF31" t="s">
        <v>264</v>
      </c>
      <c r="JI31" t="s">
        <v>568</v>
      </c>
      <c r="JJ31" t="s">
        <v>555</v>
      </c>
      <c r="JK31">
        <v>0</v>
      </c>
      <c r="JL31">
        <v>0</v>
      </c>
      <c r="JM31">
        <v>0</v>
      </c>
      <c r="JN31" t="s">
        <v>264</v>
      </c>
      <c r="JQ31" t="s">
        <v>569</v>
      </c>
      <c r="JR31" t="s">
        <v>555</v>
      </c>
      <c r="JS31">
        <v>0</v>
      </c>
      <c r="JT31">
        <v>0</v>
      </c>
      <c r="JU31">
        <v>0</v>
      </c>
      <c r="JV31" t="s">
        <v>264</v>
      </c>
      <c r="JY31" t="s">
        <v>570</v>
      </c>
      <c r="JZ31" t="s">
        <v>555</v>
      </c>
      <c r="KA31">
        <v>0</v>
      </c>
      <c r="KB31">
        <v>0</v>
      </c>
      <c r="KC31">
        <v>0</v>
      </c>
      <c r="KD31" t="s">
        <v>264</v>
      </c>
      <c r="KG31" t="s">
        <v>571</v>
      </c>
      <c r="KH31" t="s">
        <v>555</v>
      </c>
      <c r="KI31">
        <v>0</v>
      </c>
      <c r="KJ31">
        <v>0</v>
      </c>
      <c r="KK31">
        <v>0</v>
      </c>
      <c r="KL31" t="s">
        <v>264</v>
      </c>
      <c r="KO31" t="s">
        <v>572</v>
      </c>
      <c r="KP31" t="s">
        <v>555</v>
      </c>
      <c r="KQ31">
        <v>0</v>
      </c>
      <c r="KR31">
        <v>0</v>
      </c>
      <c r="KS31">
        <v>0</v>
      </c>
      <c r="KT31" t="s">
        <v>264</v>
      </c>
      <c r="KW31" t="s">
        <v>573</v>
      </c>
      <c r="KX31" t="s">
        <v>555</v>
      </c>
      <c r="KY31">
        <v>0</v>
      </c>
      <c r="KZ31">
        <v>0</v>
      </c>
      <c r="LA31">
        <v>0</v>
      </c>
      <c r="LB31" t="s">
        <v>264</v>
      </c>
      <c r="LE31" t="s">
        <v>574</v>
      </c>
      <c r="LF31" t="s">
        <v>555</v>
      </c>
      <c r="LG31">
        <v>0</v>
      </c>
      <c r="LH31">
        <v>0</v>
      </c>
      <c r="LI31">
        <v>0</v>
      </c>
      <c r="LJ31" t="s">
        <v>264</v>
      </c>
      <c r="LM31" t="s">
        <v>575</v>
      </c>
      <c r="LN31" t="s">
        <v>555</v>
      </c>
      <c r="LO31">
        <v>0</v>
      </c>
      <c r="LP31">
        <v>0</v>
      </c>
      <c r="LQ31">
        <v>0</v>
      </c>
      <c r="LR31" t="s">
        <v>264</v>
      </c>
      <c r="LU31" t="s">
        <v>576</v>
      </c>
      <c r="LV31" t="s">
        <v>555</v>
      </c>
      <c r="LW31">
        <v>0</v>
      </c>
      <c r="LX31">
        <v>0</v>
      </c>
      <c r="LY31">
        <v>0</v>
      </c>
      <c r="LZ31" t="s">
        <v>264</v>
      </c>
      <c r="MC31" t="s">
        <v>577</v>
      </c>
      <c r="MD31" t="s">
        <v>555</v>
      </c>
      <c r="ME31">
        <v>0</v>
      </c>
      <c r="MF31">
        <v>0</v>
      </c>
      <c r="MG31">
        <v>0</v>
      </c>
      <c r="MH31" t="s">
        <v>264</v>
      </c>
      <c r="MK31" t="s">
        <v>578</v>
      </c>
      <c r="ML31" t="s">
        <v>555</v>
      </c>
      <c r="MM31">
        <v>0</v>
      </c>
      <c r="MN31">
        <v>0</v>
      </c>
      <c r="MO31">
        <v>0</v>
      </c>
      <c r="MP31" t="s">
        <v>264</v>
      </c>
      <c r="MS31" t="s">
        <v>579</v>
      </c>
      <c r="MT31" t="s">
        <v>555</v>
      </c>
      <c r="MU31">
        <v>0</v>
      </c>
      <c r="MV31">
        <v>0</v>
      </c>
      <c r="MW31">
        <v>0</v>
      </c>
      <c r="MX31" t="s">
        <v>264</v>
      </c>
      <c r="NA31" t="s">
        <v>580</v>
      </c>
      <c r="NB31" t="s">
        <v>555</v>
      </c>
      <c r="NC31">
        <v>0</v>
      </c>
      <c r="ND31">
        <v>0</v>
      </c>
      <c r="NE31">
        <v>0</v>
      </c>
      <c r="NF31" t="s">
        <v>264</v>
      </c>
      <c r="NI31">
        <v>40</v>
      </c>
      <c r="NJ31">
        <v>-4.7</v>
      </c>
      <c r="NP31" t="s">
        <v>624</v>
      </c>
    </row>
    <row r="32" spans="1:380" customFormat="1" x14ac:dyDescent="0.2">
      <c r="A32" t="s">
        <v>517</v>
      </c>
      <c r="B32">
        <v>1</v>
      </c>
      <c r="C32" t="s">
        <v>865</v>
      </c>
      <c r="D32">
        <v>646959399</v>
      </c>
      <c r="E32">
        <v>12602</v>
      </c>
      <c r="F32" t="s">
        <v>805</v>
      </c>
      <c r="G32">
        <v>802069</v>
      </c>
      <c r="H32">
        <v>210069069</v>
      </c>
      <c r="I32" t="s">
        <v>622</v>
      </c>
      <c r="J32" t="s">
        <v>866</v>
      </c>
      <c r="K32" t="s">
        <v>545</v>
      </c>
      <c r="L32" t="s">
        <v>442</v>
      </c>
      <c r="M32" t="s">
        <v>546</v>
      </c>
      <c r="N32" t="s">
        <v>468</v>
      </c>
      <c r="O32" t="s">
        <v>547</v>
      </c>
      <c r="P32" t="s">
        <v>264</v>
      </c>
      <c r="Q32">
        <v>26.4</v>
      </c>
      <c r="R32">
        <v>264</v>
      </c>
      <c r="S32" t="s">
        <v>264</v>
      </c>
      <c r="T32">
        <v>-9999</v>
      </c>
      <c r="U32">
        <v>709</v>
      </c>
      <c r="V32">
        <v>732</v>
      </c>
      <c r="W32">
        <v>698</v>
      </c>
      <c r="X32" t="s">
        <v>270</v>
      </c>
      <c r="Y32">
        <v>0</v>
      </c>
      <c r="Z32">
        <v>55</v>
      </c>
      <c r="AA32" t="s">
        <v>469</v>
      </c>
      <c r="AB32" t="s">
        <v>548</v>
      </c>
      <c r="AC32">
        <v>1</v>
      </c>
      <c r="AD32" t="s">
        <v>584</v>
      </c>
      <c r="AE32">
        <v>25.4</v>
      </c>
      <c r="AF32">
        <v>1217</v>
      </c>
      <c r="AG32" t="s">
        <v>264</v>
      </c>
      <c r="AH32">
        <v>-9999</v>
      </c>
      <c r="AI32">
        <v>492</v>
      </c>
      <c r="AJ32">
        <v>597</v>
      </c>
      <c r="AK32">
        <v>486</v>
      </c>
      <c r="AL32" t="s">
        <v>270</v>
      </c>
      <c r="AM32">
        <v>0</v>
      </c>
      <c r="AN32">
        <v>55</v>
      </c>
      <c r="AO32" t="s">
        <v>470</v>
      </c>
      <c r="AP32" t="s">
        <v>548</v>
      </c>
      <c r="AQ32">
        <v>2</v>
      </c>
      <c r="AR32" t="s">
        <v>584</v>
      </c>
      <c r="AS32">
        <v>36.299999999999997</v>
      </c>
      <c r="AT32">
        <v>373</v>
      </c>
      <c r="AU32" t="s">
        <v>264</v>
      </c>
      <c r="AV32">
        <v>-9999</v>
      </c>
      <c r="AW32">
        <v>406</v>
      </c>
      <c r="AX32">
        <v>431</v>
      </c>
      <c r="AY32">
        <v>404</v>
      </c>
      <c r="AZ32" t="s">
        <v>270</v>
      </c>
      <c r="BA32">
        <v>0</v>
      </c>
      <c r="BB32">
        <v>55</v>
      </c>
      <c r="BC32" t="s">
        <v>550</v>
      </c>
      <c r="BD32" t="s">
        <v>548</v>
      </c>
      <c r="BE32">
        <v>3</v>
      </c>
      <c r="BF32" t="s">
        <v>584</v>
      </c>
      <c r="BG32">
        <v>21.9</v>
      </c>
      <c r="BH32">
        <v>970</v>
      </c>
      <c r="BI32" t="s">
        <v>264</v>
      </c>
      <c r="BJ32">
        <v>-9999</v>
      </c>
      <c r="BK32">
        <v>104</v>
      </c>
      <c r="BL32">
        <v>148</v>
      </c>
      <c r="BM32">
        <v>109</v>
      </c>
      <c r="BN32" t="s">
        <v>270</v>
      </c>
      <c r="BO32">
        <v>0</v>
      </c>
      <c r="BP32">
        <v>55</v>
      </c>
      <c r="BQ32" t="s">
        <v>504</v>
      </c>
      <c r="BR32" t="s">
        <v>548</v>
      </c>
      <c r="BS32">
        <v>4</v>
      </c>
      <c r="BT32" t="s">
        <v>584</v>
      </c>
      <c r="BU32">
        <v>29.7</v>
      </c>
      <c r="BV32">
        <v>300</v>
      </c>
      <c r="BW32" t="s">
        <v>264</v>
      </c>
      <c r="BX32">
        <v>-9999</v>
      </c>
      <c r="BY32">
        <v>208</v>
      </c>
      <c r="BZ32">
        <v>240</v>
      </c>
      <c r="CA32">
        <v>206</v>
      </c>
      <c r="CB32" t="s">
        <v>270</v>
      </c>
      <c r="CC32">
        <v>0</v>
      </c>
      <c r="CD32">
        <v>55</v>
      </c>
      <c r="CE32" t="s">
        <v>471</v>
      </c>
      <c r="CF32" t="s">
        <v>548</v>
      </c>
      <c r="CG32">
        <v>5</v>
      </c>
      <c r="CH32" t="s">
        <v>584</v>
      </c>
      <c r="CI32">
        <v>34.1</v>
      </c>
      <c r="CJ32">
        <v>243</v>
      </c>
      <c r="CK32" t="s">
        <v>264</v>
      </c>
      <c r="CL32">
        <v>-9999</v>
      </c>
      <c r="CM32">
        <v>521</v>
      </c>
      <c r="CN32">
        <v>609</v>
      </c>
      <c r="CO32">
        <v>519</v>
      </c>
      <c r="CP32" t="s">
        <v>270</v>
      </c>
      <c r="CQ32">
        <v>0</v>
      </c>
      <c r="CR32">
        <v>55</v>
      </c>
      <c r="CS32" t="s">
        <v>472</v>
      </c>
      <c r="CT32" t="s">
        <v>548</v>
      </c>
      <c r="CU32">
        <v>6</v>
      </c>
      <c r="CV32" t="s">
        <v>584</v>
      </c>
      <c r="CW32">
        <v>34.299999999999997</v>
      </c>
      <c r="CX32">
        <v>241</v>
      </c>
      <c r="CY32" t="s">
        <v>264</v>
      </c>
      <c r="CZ32">
        <v>-9999</v>
      </c>
      <c r="DA32">
        <v>718</v>
      </c>
      <c r="DB32">
        <v>816</v>
      </c>
      <c r="DC32">
        <v>706</v>
      </c>
      <c r="DD32" t="s">
        <v>270</v>
      </c>
      <c r="DE32">
        <v>0</v>
      </c>
      <c r="DF32">
        <v>55</v>
      </c>
      <c r="DG32" t="s">
        <v>473</v>
      </c>
      <c r="DH32" t="s">
        <v>548</v>
      </c>
      <c r="DI32">
        <v>7</v>
      </c>
      <c r="DJ32" t="s">
        <v>584</v>
      </c>
      <c r="DK32">
        <v>24.3</v>
      </c>
      <c r="DL32">
        <v>237</v>
      </c>
      <c r="DM32" t="s">
        <v>264</v>
      </c>
      <c r="DN32">
        <v>-9999</v>
      </c>
      <c r="DO32">
        <v>577</v>
      </c>
      <c r="DP32">
        <v>662</v>
      </c>
      <c r="DQ32">
        <v>572</v>
      </c>
      <c r="DR32" t="s">
        <v>270</v>
      </c>
      <c r="DS32">
        <v>0</v>
      </c>
      <c r="DT32">
        <v>55</v>
      </c>
      <c r="DU32" t="s">
        <v>474</v>
      </c>
      <c r="DV32" t="s">
        <v>548</v>
      </c>
      <c r="DW32">
        <v>8</v>
      </c>
      <c r="DX32" t="s">
        <v>584</v>
      </c>
      <c r="DY32">
        <v>21.5</v>
      </c>
      <c r="DZ32">
        <v>429</v>
      </c>
      <c r="EA32" t="s">
        <v>264</v>
      </c>
      <c r="EB32">
        <v>-9999</v>
      </c>
      <c r="EC32">
        <v>114</v>
      </c>
      <c r="ED32">
        <v>137</v>
      </c>
      <c r="EE32">
        <v>113</v>
      </c>
      <c r="EF32" t="s">
        <v>270</v>
      </c>
      <c r="EG32">
        <v>0</v>
      </c>
      <c r="EH32">
        <v>55</v>
      </c>
      <c r="EI32" t="s">
        <v>475</v>
      </c>
      <c r="EJ32" t="s">
        <v>548</v>
      </c>
      <c r="EK32">
        <v>9</v>
      </c>
      <c r="EL32" t="s">
        <v>584</v>
      </c>
      <c r="EM32">
        <v>26.2</v>
      </c>
      <c r="EN32">
        <v>100</v>
      </c>
      <c r="EO32" t="s">
        <v>264</v>
      </c>
      <c r="EP32">
        <v>-9999</v>
      </c>
      <c r="EQ32">
        <v>378</v>
      </c>
      <c r="ER32">
        <v>357</v>
      </c>
      <c r="ES32">
        <v>329</v>
      </c>
      <c r="ET32" t="s">
        <v>270</v>
      </c>
      <c r="EU32">
        <v>0</v>
      </c>
      <c r="EV32">
        <v>55</v>
      </c>
      <c r="EW32" t="s">
        <v>551</v>
      </c>
      <c r="EX32" t="s">
        <v>552</v>
      </c>
      <c r="EY32">
        <v>149</v>
      </c>
      <c r="EZ32">
        <v>150</v>
      </c>
      <c r="FA32">
        <v>150</v>
      </c>
      <c r="FB32" t="s">
        <v>270</v>
      </c>
      <c r="FC32" t="s">
        <v>553</v>
      </c>
      <c r="FD32" t="s">
        <v>552</v>
      </c>
      <c r="FE32">
        <v>282</v>
      </c>
      <c r="FF32">
        <v>280</v>
      </c>
      <c r="FG32">
        <v>279</v>
      </c>
      <c r="FH32" t="s">
        <v>270</v>
      </c>
      <c r="FI32" t="s">
        <v>554</v>
      </c>
      <c r="FJ32" t="s">
        <v>555</v>
      </c>
      <c r="FK32">
        <v>0</v>
      </c>
      <c r="FL32">
        <v>0</v>
      </c>
      <c r="FM32">
        <v>0</v>
      </c>
      <c r="FN32" t="s">
        <v>264</v>
      </c>
      <c r="FO32">
        <v>76.099999999999994</v>
      </c>
      <c r="FP32">
        <v>267.10000000000002</v>
      </c>
      <c r="FQ32" t="s">
        <v>556</v>
      </c>
      <c r="FR32" t="s">
        <v>555</v>
      </c>
      <c r="FS32">
        <v>0</v>
      </c>
      <c r="FT32">
        <v>0</v>
      </c>
      <c r="FU32">
        <v>0</v>
      </c>
      <c r="FV32" t="s">
        <v>264</v>
      </c>
      <c r="FW32">
        <v>73.5</v>
      </c>
      <c r="FX32">
        <v>103.1</v>
      </c>
      <c r="FY32" t="s">
        <v>557</v>
      </c>
      <c r="FZ32" t="s">
        <v>555</v>
      </c>
      <c r="GA32">
        <v>0</v>
      </c>
      <c r="GB32">
        <v>0</v>
      </c>
      <c r="GC32">
        <v>0</v>
      </c>
      <c r="GD32" t="s">
        <v>264</v>
      </c>
      <c r="GE32">
        <v>71.3</v>
      </c>
      <c r="GF32">
        <v>250.7</v>
      </c>
      <c r="GG32" t="s">
        <v>558</v>
      </c>
      <c r="GH32" t="s">
        <v>555</v>
      </c>
      <c r="GI32">
        <v>0</v>
      </c>
      <c r="GJ32">
        <v>0</v>
      </c>
      <c r="GK32">
        <v>0</v>
      </c>
      <c r="GL32" t="s">
        <v>264</v>
      </c>
      <c r="GM32">
        <v>68.599999999999994</v>
      </c>
      <c r="GN32">
        <v>63.4</v>
      </c>
      <c r="GO32" t="s">
        <v>559</v>
      </c>
      <c r="GP32" t="s">
        <v>555</v>
      </c>
      <c r="GQ32">
        <v>0</v>
      </c>
      <c r="GR32">
        <v>0</v>
      </c>
      <c r="GS32">
        <v>0</v>
      </c>
      <c r="GT32" t="s">
        <v>264</v>
      </c>
      <c r="GU32">
        <v>76</v>
      </c>
      <c r="GV32">
        <v>55.5</v>
      </c>
      <c r="GW32" t="s">
        <v>560</v>
      </c>
      <c r="GX32" t="s">
        <v>555</v>
      </c>
      <c r="GY32">
        <v>0</v>
      </c>
      <c r="GZ32">
        <v>0</v>
      </c>
      <c r="HA32">
        <v>0</v>
      </c>
      <c r="HB32" t="s">
        <v>264</v>
      </c>
      <c r="HC32">
        <v>70.3</v>
      </c>
      <c r="HD32">
        <v>82</v>
      </c>
      <c r="HE32" t="s">
        <v>561</v>
      </c>
      <c r="HF32" t="s">
        <v>555</v>
      </c>
      <c r="HG32">
        <v>0</v>
      </c>
      <c r="HH32">
        <v>0</v>
      </c>
      <c r="HI32">
        <v>0</v>
      </c>
      <c r="HJ32" t="s">
        <v>264</v>
      </c>
      <c r="HK32">
        <v>70.900000000000006</v>
      </c>
      <c r="HL32">
        <v>128.80000000000001</v>
      </c>
      <c r="HM32" t="s">
        <v>562</v>
      </c>
      <c r="HN32" t="s">
        <v>555</v>
      </c>
      <c r="HO32">
        <v>0</v>
      </c>
      <c r="HP32">
        <v>0</v>
      </c>
      <c r="HQ32">
        <v>0</v>
      </c>
      <c r="HR32" t="s">
        <v>264</v>
      </c>
      <c r="HS32">
        <v>69.3</v>
      </c>
      <c r="HT32">
        <v>94</v>
      </c>
      <c r="HU32" t="s">
        <v>563</v>
      </c>
      <c r="HV32" t="s">
        <v>555</v>
      </c>
      <c r="HW32">
        <v>0</v>
      </c>
      <c r="HX32">
        <v>0</v>
      </c>
      <c r="HY32">
        <v>0</v>
      </c>
      <c r="HZ32" t="s">
        <v>264</v>
      </c>
      <c r="IA32">
        <v>74.8</v>
      </c>
      <c r="IB32">
        <v>173</v>
      </c>
      <c r="IC32" t="s">
        <v>564</v>
      </c>
      <c r="ID32" t="s">
        <v>555</v>
      </c>
      <c r="IE32">
        <v>0</v>
      </c>
      <c r="IF32">
        <v>0</v>
      </c>
      <c r="IG32">
        <v>0</v>
      </c>
      <c r="IH32" t="s">
        <v>264</v>
      </c>
      <c r="II32">
        <v>68.400000000000006</v>
      </c>
      <c r="IJ32">
        <v>111.3</v>
      </c>
      <c r="IK32" t="s">
        <v>565</v>
      </c>
      <c r="IL32" t="s">
        <v>555</v>
      </c>
      <c r="IM32">
        <v>0</v>
      </c>
      <c r="IN32">
        <v>0</v>
      </c>
      <c r="IO32">
        <v>0</v>
      </c>
      <c r="IP32" t="s">
        <v>264</v>
      </c>
      <c r="IS32" t="s">
        <v>566</v>
      </c>
      <c r="IT32" t="s">
        <v>555</v>
      </c>
      <c r="IU32">
        <v>0</v>
      </c>
      <c r="IV32">
        <v>0</v>
      </c>
      <c r="IW32">
        <v>0</v>
      </c>
      <c r="IX32" t="s">
        <v>264</v>
      </c>
      <c r="JA32" t="s">
        <v>567</v>
      </c>
      <c r="JB32" t="s">
        <v>555</v>
      </c>
      <c r="JC32">
        <v>0</v>
      </c>
      <c r="JD32">
        <v>0</v>
      </c>
      <c r="JE32">
        <v>0</v>
      </c>
      <c r="JF32" t="s">
        <v>264</v>
      </c>
      <c r="JI32" t="s">
        <v>568</v>
      </c>
      <c r="JJ32" t="s">
        <v>555</v>
      </c>
      <c r="JK32">
        <v>0</v>
      </c>
      <c r="JL32">
        <v>0</v>
      </c>
      <c r="JM32">
        <v>0</v>
      </c>
      <c r="JN32" t="s">
        <v>264</v>
      </c>
      <c r="JQ32" t="s">
        <v>569</v>
      </c>
      <c r="JR32" t="s">
        <v>555</v>
      </c>
      <c r="JS32">
        <v>0</v>
      </c>
      <c r="JT32">
        <v>0</v>
      </c>
      <c r="JU32">
        <v>0</v>
      </c>
      <c r="JV32" t="s">
        <v>264</v>
      </c>
      <c r="JY32" t="s">
        <v>570</v>
      </c>
      <c r="JZ32" t="s">
        <v>555</v>
      </c>
      <c r="KA32">
        <v>0</v>
      </c>
      <c r="KB32">
        <v>0</v>
      </c>
      <c r="KC32">
        <v>0</v>
      </c>
      <c r="KD32" t="s">
        <v>264</v>
      </c>
      <c r="KG32" t="s">
        <v>571</v>
      </c>
      <c r="KH32" t="s">
        <v>555</v>
      </c>
      <c r="KI32">
        <v>0</v>
      </c>
      <c r="KJ32">
        <v>0</v>
      </c>
      <c r="KK32">
        <v>0</v>
      </c>
      <c r="KL32" t="s">
        <v>264</v>
      </c>
      <c r="KO32" t="s">
        <v>572</v>
      </c>
      <c r="KP32" t="s">
        <v>555</v>
      </c>
      <c r="KQ32">
        <v>0</v>
      </c>
      <c r="KR32">
        <v>0</v>
      </c>
      <c r="KS32">
        <v>0</v>
      </c>
      <c r="KT32" t="s">
        <v>264</v>
      </c>
      <c r="KW32" t="s">
        <v>573</v>
      </c>
      <c r="KX32" t="s">
        <v>555</v>
      </c>
      <c r="KY32">
        <v>0</v>
      </c>
      <c r="KZ32">
        <v>0</v>
      </c>
      <c r="LA32">
        <v>0</v>
      </c>
      <c r="LB32" t="s">
        <v>264</v>
      </c>
      <c r="LE32" t="s">
        <v>574</v>
      </c>
      <c r="LF32" t="s">
        <v>555</v>
      </c>
      <c r="LG32">
        <v>0</v>
      </c>
      <c r="LH32">
        <v>0</v>
      </c>
      <c r="LI32">
        <v>0</v>
      </c>
      <c r="LJ32" t="s">
        <v>264</v>
      </c>
      <c r="LM32" t="s">
        <v>575</v>
      </c>
      <c r="LN32" t="s">
        <v>555</v>
      </c>
      <c r="LO32">
        <v>0</v>
      </c>
      <c r="LP32">
        <v>0</v>
      </c>
      <c r="LQ32">
        <v>0</v>
      </c>
      <c r="LR32" t="s">
        <v>264</v>
      </c>
      <c r="LU32" t="s">
        <v>576</v>
      </c>
      <c r="LV32" t="s">
        <v>555</v>
      </c>
      <c r="LW32">
        <v>0</v>
      </c>
      <c r="LX32">
        <v>0</v>
      </c>
      <c r="LY32">
        <v>0</v>
      </c>
      <c r="LZ32" t="s">
        <v>264</v>
      </c>
      <c r="MC32" t="s">
        <v>577</v>
      </c>
      <c r="MD32" t="s">
        <v>555</v>
      </c>
      <c r="ME32">
        <v>0</v>
      </c>
      <c r="MF32">
        <v>0</v>
      </c>
      <c r="MG32">
        <v>0</v>
      </c>
      <c r="MH32" t="s">
        <v>264</v>
      </c>
      <c r="MK32" t="s">
        <v>578</v>
      </c>
      <c r="ML32" t="s">
        <v>555</v>
      </c>
      <c r="MM32">
        <v>0</v>
      </c>
      <c r="MN32">
        <v>0</v>
      </c>
      <c r="MO32">
        <v>0</v>
      </c>
      <c r="MP32" t="s">
        <v>264</v>
      </c>
      <c r="MS32" t="s">
        <v>579</v>
      </c>
      <c r="MT32" t="s">
        <v>555</v>
      </c>
      <c r="MU32">
        <v>0</v>
      </c>
      <c r="MV32">
        <v>0</v>
      </c>
      <c r="MW32">
        <v>0</v>
      </c>
      <c r="MX32" t="s">
        <v>264</v>
      </c>
      <c r="NA32" t="s">
        <v>580</v>
      </c>
      <c r="NB32" t="s">
        <v>555</v>
      </c>
      <c r="NC32">
        <v>0</v>
      </c>
      <c r="ND32">
        <v>0</v>
      </c>
      <c r="NE32">
        <v>0</v>
      </c>
      <c r="NF32" t="s">
        <v>264</v>
      </c>
      <c r="NI32">
        <v>40</v>
      </c>
      <c r="NJ32">
        <v>-8.6999999999999993</v>
      </c>
      <c r="NP32" t="s">
        <v>624</v>
      </c>
    </row>
    <row r="33" spans="1:380" customFormat="1" x14ac:dyDescent="0.2">
      <c r="A33" t="s">
        <v>517</v>
      </c>
      <c r="B33">
        <v>1</v>
      </c>
      <c r="C33" t="s">
        <v>867</v>
      </c>
      <c r="D33">
        <v>646959751</v>
      </c>
      <c r="E33">
        <v>12602</v>
      </c>
      <c r="F33" t="s">
        <v>805</v>
      </c>
      <c r="G33">
        <v>802069</v>
      </c>
      <c r="H33">
        <v>210017357</v>
      </c>
      <c r="I33" t="s">
        <v>622</v>
      </c>
      <c r="J33" t="s">
        <v>868</v>
      </c>
      <c r="K33" t="s">
        <v>545</v>
      </c>
      <c r="L33" t="s">
        <v>442</v>
      </c>
      <c r="M33" t="s">
        <v>546</v>
      </c>
      <c r="N33" t="s">
        <v>468</v>
      </c>
      <c r="O33" t="s">
        <v>547</v>
      </c>
      <c r="P33" t="s">
        <v>264</v>
      </c>
      <c r="Q33">
        <v>27.1</v>
      </c>
      <c r="R33">
        <v>249</v>
      </c>
      <c r="S33" t="s">
        <v>264</v>
      </c>
      <c r="T33">
        <v>-9999</v>
      </c>
      <c r="U33">
        <v>659</v>
      </c>
      <c r="V33">
        <v>679</v>
      </c>
      <c r="W33">
        <v>648</v>
      </c>
      <c r="X33" t="s">
        <v>270</v>
      </c>
      <c r="Y33">
        <v>0</v>
      </c>
      <c r="Z33">
        <v>55</v>
      </c>
      <c r="AA33" t="s">
        <v>469</v>
      </c>
      <c r="AB33" t="s">
        <v>548</v>
      </c>
      <c r="AC33">
        <v>1</v>
      </c>
      <c r="AD33" t="s">
        <v>584</v>
      </c>
      <c r="AE33">
        <v>26.6</v>
      </c>
      <c r="AF33">
        <v>1334</v>
      </c>
      <c r="AG33" t="s">
        <v>264</v>
      </c>
      <c r="AH33">
        <v>-9999</v>
      </c>
      <c r="AI33">
        <v>499</v>
      </c>
      <c r="AJ33">
        <v>619</v>
      </c>
      <c r="AK33">
        <v>497</v>
      </c>
      <c r="AL33" t="s">
        <v>270</v>
      </c>
      <c r="AM33">
        <v>0</v>
      </c>
      <c r="AN33">
        <v>55</v>
      </c>
      <c r="AO33" t="s">
        <v>470</v>
      </c>
      <c r="AP33" t="s">
        <v>548</v>
      </c>
      <c r="AQ33">
        <v>2</v>
      </c>
      <c r="AR33" t="s">
        <v>584</v>
      </c>
      <c r="AS33">
        <v>38.1</v>
      </c>
      <c r="AT33">
        <v>346</v>
      </c>
      <c r="AU33" t="s">
        <v>264</v>
      </c>
      <c r="AV33">
        <v>-9999</v>
      </c>
      <c r="AW33">
        <v>434</v>
      </c>
      <c r="AX33">
        <v>457</v>
      </c>
      <c r="AY33">
        <v>432</v>
      </c>
      <c r="AZ33" t="s">
        <v>270</v>
      </c>
      <c r="BA33">
        <v>0</v>
      </c>
      <c r="BB33">
        <v>55</v>
      </c>
      <c r="BC33" t="s">
        <v>550</v>
      </c>
      <c r="BD33" t="s">
        <v>548</v>
      </c>
      <c r="BE33">
        <v>3</v>
      </c>
      <c r="BF33" t="s">
        <v>584</v>
      </c>
      <c r="BG33">
        <v>23.1</v>
      </c>
      <c r="BH33">
        <v>752</v>
      </c>
      <c r="BI33" t="s">
        <v>264</v>
      </c>
      <c r="BJ33">
        <v>-9999</v>
      </c>
      <c r="BK33">
        <v>133</v>
      </c>
      <c r="BL33">
        <v>167</v>
      </c>
      <c r="BM33">
        <v>134</v>
      </c>
      <c r="BN33" t="s">
        <v>270</v>
      </c>
      <c r="BO33">
        <v>0</v>
      </c>
      <c r="BP33">
        <v>55</v>
      </c>
      <c r="BQ33" t="s">
        <v>504</v>
      </c>
      <c r="BR33" t="s">
        <v>548</v>
      </c>
      <c r="BS33">
        <v>4</v>
      </c>
      <c r="BT33" t="s">
        <v>584</v>
      </c>
      <c r="BU33">
        <v>31.1</v>
      </c>
      <c r="BV33">
        <v>265</v>
      </c>
      <c r="BW33" t="s">
        <v>264</v>
      </c>
      <c r="BX33">
        <v>-9999</v>
      </c>
      <c r="BY33">
        <v>246</v>
      </c>
      <c r="BZ33">
        <v>284</v>
      </c>
      <c r="CA33">
        <v>244</v>
      </c>
      <c r="CB33" t="s">
        <v>270</v>
      </c>
      <c r="CC33">
        <v>0</v>
      </c>
      <c r="CD33">
        <v>55</v>
      </c>
      <c r="CE33" t="s">
        <v>471</v>
      </c>
      <c r="CF33" t="s">
        <v>548</v>
      </c>
      <c r="CG33">
        <v>5</v>
      </c>
      <c r="CH33" t="s">
        <v>584</v>
      </c>
      <c r="CI33">
        <v>35.700000000000003</v>
      </c>
      <c r="CJ33">
        <v>197</v>
      </c>
      <c r="CK33" t="s">
        <v>264</v>
      </c>
      <c r="CL33">
        <v>-9999</v>
      </c>
      <c r="CM33">
        <v>500</v>
      </c>
      <c r="CN33">
        <v>582</v>
      </c>
      <c r="CO33">
        <v>500</v>
      </c>
      <c r="CP33" t="s">
        <v>270</v>
      </c>
      <c r="CQ33">
        <v>0</v>
      </c>
      <c r="CR33">
        <v>55</v>
      </c>
      <c r="CS33" t="s">
        <v>472</v>
      </c>
      <c r="CT33" t="s">
        <v>548</v>
      </c>
      <c r="CU33">
        <v>6</v>
      </c>
      <c r="CV33" t="s">
        <v>584</v>
      </c>
      <c r="CW33">
        <v>34.200000000000003</v>
      </c>
      <c r="CX33">
        <v>258</v>
      </c>
      <c r="CY33" t="s">
        <v>264</v>
      </c>
      <c r="CZ33">
        <v>-9999</v>
      </c>
      <c r="DA33">
        <v>664</v>
      </c>
      <c r="DB33">
        <v>752</v>
      </c>
      <c r="DC33">
        <v>652</v>
      </c>
      <c r="DD33" t="s">
        <v>270</v>
      </c>
      <c r="DE33">
        <v>0</v>
      </c>
      <c r="DF33">
        <v>55</v>
      </c>
      <c r="DG33" t="s">
        <v>473</v>
      </c>
      <c r="DH33" t="s">
        <v>548</v>
      </c>
      <c r="DI33">
        <v>7</v>
      </c>
      <c r="DJ33" t="s">
        <v>584</v>
      </c>
      <c r="DK33">
        <v>25.3</v>
      </c>
      <c r="DL33">
        <v>189</v>
      </c>
      <c r="DM33" t="s">
        <v>264</v>
      </c>
      <c r="DN33">
        <v>-9999</v>
      </c>
      <c r="DO33">
        <v>577</v>
      </c>
      <c r="DP33">
        <v>661</v>
      </c>
      <c r="DQ33">
        <v>574</v>
      </c>
      <c r="DR33" t="s">
        <v>270</v>
      </c>
      <c r="DS33">
        <v>0</v>
      </c>
      <c r="DT33">
        <v>55</v>
      </c>
      <c r="DU33" t="s">
        <v>474</v>
      </c>
      <c r="DV33" t="s">
        <v>548</v>
      </c>
      <c r="DW33">
        <v>8</v>
      </c>
      <c r="DX33" t="s">
        <v>584</v>
      </c>
      <c r="DY33">
        <v>21.9</v>
      </c>
      <c r="DZ33">
        <v>483</v>
      </c>
      <c r="EA33" t="s">
        <v>264</v>
      </c>
      <c r="EB33">
        <v>-9999</v>
      </c>
      <c r="EC33">
        <v>104</v>
      </c>
      <c r="ED33">
        <v>128</v>
      </c>
      <c r="EE33">
        <v>102</v>
      </c>
      <c r="EF33" t="s">
        <v>270</v>
      </c>
      <c r="EG33">
        <v>0</v>
      </c>
      <c r="EH33">
        <v>55</v>
      </c>
      <c r="EI33" t="s">
        <v>475</v>
      </c>
      <c r="EJ33" t="s">
        <v>548</v>
      </c>
      <c r="EK33">
        <v>9</v>
      </c>
      <c r="EL33" t="s">
        <v>584</v>
      </c>
      <c r="EM33">
        <v>26.9</v>
      </c>
      <c r="EN33">
        <v>72</v>
      </c>
      <c r="EO33" t="s">
        <v>264</v>
      </c>
      <c r="EP33">
        <v>-9999</v>
      </c>
      <c r="EQ33">
        <v>300</v>
      </c>
      <c r="ER33">
        <v>279</v>
      </c>
      <c r="ES33">
        <v>261</v>
      </c>
      <c r="ET33" t="s">
        <v>270</v>
      </c>
      <c r="EU33">
        <v>0</v>
      </c>
      <c r="EV33">
        <v>55</v>
      </c>
      <c r="EW33" t="s">
        <v>551</v>
      </c>
      <c r="EX33" t="s">
        <v>552</v>
      </c>
      <c r="EY33">
        <v>141</v>
      </c>
      <c r="EZ33">
        <v>142</v>
      </c>
      <c r="FA33">
        <v>142</v>
      </c>
      <c r="FB33" t="s">
        <v>270</v>
      </c>
      <c r="FC33" t="s">
        <v>553</v>
      </c>
      <c r="FD33" t="s">
        <v>552</v>
      </c>
      <c r="FE33">
        <v>319</v>
      </c>
      <c r="FF33">
        <v>317</v>
      </c>
      <c r="FG33">
        <v>316</v>
      </c>
      <c r="FH33" t="s">
        <v>270</v>
      </c>
      <c r="FI33" t="s">
        <v>554</v>
      </c>
      <c r="FJ33" t="s">
        <v>555</v>
      </c>
      <c r="FK33">
        <v>0</v>
      </c>
      <c r="FL33">
        <v>0</v>
      </c>
      <c r="FM33">
        <v>0</v>
      </c>
      <c r="FN33" t="s">
        <v>264</v>
      </c>
      <c r="FO33">
        <v>76</v>
      </c>
      <c r="FP33">
        <v>280.2</v>
      </c>
      <c r="FQ33" t="s">
        <v>556</v>
      </c>
      <c r="FR33" t="s">
        <v>555</v>
      </c>
      <c r="FS33">
        <v>0</v>
      </c>
      <c r="FT33">
        <v>0</v>
      </c>
      <c r="FU33">
        <v>0</v>
      </c>
      <c r="FV33" t="s">
        <v>264</v>
      </c>
      <c r="FW33">
        <v>73.400000000000006</v>
      </c>
      <c r="FX33">
        <v>105.7</v>
      </c>
      <c r="FY33" t="s">
        <v>557</v>
      </c>
      <c r="FZ33" t="s">
        <v>555</v>
      </c>
      <c r="GA33">
        <v>0</v>
      </c>
      <c r="GB33">
        <v>0</v>
      </c>
      <c r="GC33">
        <v>0</v>
      </c>
      <c r="GD33" t="s">
        <v>264</v>
      </c>
      <c r="GE33">
        <v>71.2</v>
      </c>
      <c r="GF33">
        <v>246.3</v>
      </c>
      <c r="GG33" t="s">
        <v>558</v>
      </c>
      <c r="GH33" t="s">
        <v>555</v>
      </c>
      <c r="GI33">
        <v>0</v>
      </c>
      <c r="GJ33">
        <v>0</v>
      </c>
      <c r="GK33">
        <v>0</v>
      </c>
      <c r="GL33" t="s">
        <v>264</v>
      </c>
      <c r="GM33">
        <v>68.400000000000006</v>
      </c>
      <c r="GN33">
        <v>59.1</v>
      </c>
      <c r="GO33" t="s">
        <v>559</v>
      </c>
      <c r="GP33" t="s">
        <v>555</v>
      </c>
      <c r="GQ33">
        <v>0</v>
      </c>
      <c r="GR33">
        <v>0</v>
      </c>
      <c r="GS33">
        <v>0</v>
      </c>
      <c r="GT33" t="s">
        <v>264</v>
      </c>
      <c r="GU33">
        <v>75.900000000000006</v>
      </c>
      <c r="GV33">
        <v>63.2</v>
      </c>
      <c r="GW33" t="s">
        <v>560</v>
      </c>
      <c r="GX33" t="s">
        <v>555</v>
      </c>
      <c r="GY33">
        <v>0</v>
      </c>
      <c r="GZ33">
        <v>0</v>
      </c>
      <c r="HA33">
        <v>0</v>
      </c>
      <c r="HB33" t="s">
        <v>264</v>
      </c>
      <c r="HC33">
        <v>70.2</v>
      </c>
      <c r="HD33">
        <v>76</v>
      </c>
      <c r="HE33" t="s">
        <v>561</v>
      </c>
      <c r="HF33" t="s">
        <v>555</v>
      </c>
      <c r="HG33">
        <v>0</v>
      </c>
      <c r="HH33">
        <v>0</v>
      </c>
      <c r="HI33">
        <v>0</v>
      </c>
      <c r="HJ33" t="s">
        <v>264</v>
      </c>
      <c r="HK33">
        <v>70.8</v>
      </c>
      <c r="HL33">
        <v>133.4</v>
      </c>
      <c r="HM33" t="s">
        <v>562</v>
      </c>
      <c r="HN33" t="s">
        <v>555</v>
      </c>
      <c r="HO33">
        <v>0</v>
      </c>
      <c r="HP33">
        <v>0</v>
      </c>
      <c r="HQ33">
        <v>0</v>
      </c>
      <c r="HR33" t="s">
        <v>264</v>
      </c>
      <c r="HS33">
        <v>69.2</v>
      </c>
      <c r="HT33">
        <v>91.2</v>
      </c>
      <c r="HU33" t="s">
        <v>563</v>
      </c>
      <c r="HV33" t="s">
        <v>555</v>
      </c>
      <c r="HW33">
        <v>0</v>
      </c>
      <c r="HX33">
        <v>0</v>
      </c>
      <c r="HY33">
        <v>0</v>
      </c>
      <c r="HZ33" t="s">
        <v>264</v>
      </c>
      <c r="IA33">
        <v>74.7</v>
      </c>
      <c r="IB33">
        <v>187.5</v>
      </c>
      <c r="IC33" t="s">
        <v>564</v>
      </c>
      <c r="ID33" t="s">
        <v>555</v>
      </c>
      <c r="IE33">
        <v>0</v>
      </c>
      <c r="IF33">
        <v>0</v>
      </c>
      <c r="IG33">
        <v>0</v>
      </c>
      <c r="IH33" t="s">
        <v>264</v>
      </c>
      <c r="II33">
        <v>68.2</v>
      </c>
      <c r="IJ33">
        <v>110.5</v>
      </c>
      <c r="IK33" t="s">
        <v>565</v>
      </c>
      <c r="IL33" t="s">
        <v>555</v>
      </c>
      <c r="IM33">
        <v>0</v>
      </c>
      <c r="IN33">
        <v>0</v>
      </c>
      <c r="IO33">
        <v>0</v>
      </c>
      <c r="IP33" t="s">
        <v>264</v>
      </c>
      <c r="IS33" t="s">
        <v>566</v>
      </c>
      <c r="IT33" t="s">
        <v>555</v>
      </c>
      <c r="IU33">
        <v>0</v>
      </c>
      <c r="IV33">
        <v>0</v>
      </c>
      <c r="IW33">
        <v>0</v>
      </c>
      <c r="IX33" t="s">
        <v>264</v>
      </c>
      <c r="JA33" t="s">
        <v>567</v>
      </c>
      <c r="JB33" t="s">
        <v>555</v>
      </c>
      <c r="JC33">
        <v>0</v>
      </c>
      <c r="JD33">
        <v>0</v>
      </c>
      <c r="JE33">
        <v>0</v>
      </c>
      <c r="JF33" t="s">
        <v>264</v>
      </c>
      <c r="JI33" t="s">
        <v>568</v>
      </c>
      <c r="JJ33" t="s">
        <v>555</v>
      </c>
      <c r="JK33">
        <v>0</v>
      </c>
      <c r="JL33">
        <v>0</v>
      </c>
      <c r="JM33">
        <v>0</v>
      </c>
      <c r="JN33" t="s">
        <v>264</v>
      </c>
      <c r="JQ33" t="s">
        <v>569</v>
      </c>
      <c r="JR33" t="s">
        <v>555</v>
      </c>
      <c r="JS33">
        <v>0</v>
      </c>
      <c r="JT33">
        <v>0</v>
      </c>
      <c r="JU33">
        <v>0</v>
      </c>
      <c r="JV33" t="s">
        <v>264</v>
      </c>
      <c r="JY33" t="s">
        <v>570</v>
      </c>
      <c r="JZ33" t="s">
        <v>555</v>
      </c>
      <c r="KA33">
        <v>0</v>
      </c>
      <c r="KB33">
        <v>0</v>
      </c>
      <c r="KC33">
        <v>0</v>
      </c>
      <c r="KD33" t="s">
        <v>264</v>
      </c>
      <c r="KG33" t="s">
        <v>571</v>
      </c>
      <c r="KH33" t="s">
        <v>555</v>
      </c>
      <c r="KI33">
        <v>0</v>
      </c>
      <c r="KJ33">
        <v>0</v>
      </c>
      <c r="KK33">
        <v>0</v>
      </c>
      <c r="KL33" t="s">
        <v>264</v>
      </c>
      <c r="KO33" t="s">
        <v>572</v>
      </c>
      <c r="KP33" t="s">
        <v>555</v>
      </c>
      <c r="KQ33">
        <v>0</v>
      </c>
      <c r="KR33">
        <v>0</v>
      </c>
      <c r="KS33">
        <v>0</v>
      </c>
      <c r="KT33" t="s">
        <v>264</v>
      </c>
      <c r="KW33" t="s">
        <v>573</v>
      </c>
      <c r="KX33" t="s">
        <v>555</v>
      </c>
      <c r="KY33">
        <v>0</v>
      </c>
      <c r="KZ33">
        <v>0</v>
      </c>
      <c r="LA33">
        <v>0</v>
      </c>
      <c r="LB33" t="s">
        <v>264</v>
      </c>
      <c r="LE33" t="s">
        <v>574</v>
      </c>
      <c r="LF33" t="s">
        <v>555</v>
      </c>
      <c r="LG33">
        <v>0</v>
      </c>
      <c r="LH33">
        <v>0</v>
      </c>
      <c r="LI33">
        <v>0</v>
      </c>
      <c r="LJ33" t="s">
        <v>264</v>
      </c>
      <c r="LM33" t="s">
        <v>575</v>
      </c>
      <c r="LN33" t="s">
        <v>555</v>
      </c>
      <c r="LO33">
        <v>0</v>
      </c>
      <c r="LP33">
        <v>0</v>
      </c>
      <c r="LQ33">
        <v>0</v>
      </c>
      <c r="LR33" t="s">
        <v>264</v>
      </c>
      <c r="LU33" t="s">
        <v>576</v>
      </c>
      <c r="LV33" t="s">
        <v>555</v>
      </c>
      <c r="LW33">
        <v>0</v>
      </c>
      <c r="LX33">
        <v>0</v>
      </c>
      <c r="LY33">
        <v>0</v>
      </c>
      <c r="LZ33" t="s">
        <v>264</v>
      </c>
      <c r="MC33" t="s">
        <v>577</v>
      </c>
      <c r="MD33" t="s">
        <v>555</v>
      </c>
      <c r="ME33">
        <v>0</v>
      </c>
      <c r="MF33">
        <v>0</v>
      </c>
      <c r="MG33">
        <v>0</v>
      </c>
      <c r="MH33" t="s">
        <v>264</v>
      </c>
      <c r="MK33" t="s">
        <v>578</v>
      </c>
      <c r="ML33" t="s">
        <v>555</v>
      </c>
      <c r="MM33">
        <v>0</v>
      </c>
      <c r="MN33">
        <v>0</v>
      </c>
      <c r="MO33">
        <v>0</v>
      </c>
      <c r="MP33" t="s">
        <v>264</v>
      </c>
      <c r="MS33" t="s">
        <v>579</v>
      </c>
      <c r="MT33" t="s">
        <v>555</v>
      </c>
      <c r="MU33">
        <v>0</v>
      </c>
      <c r="MV33">
        <v>0</v>
      </c>
      <c r="MW33">
        <v>0</v>
      </c>
      <c r="MX33" t="s">
        <v>264</v>
      </c>
      <c r="NA33" t="s">
        <v>580</v>
      </c>
      <c r="NB33" t="s">
        <v>555</v>
      </c>
      <c r="NC33">
        <v>0</v>
      </c>
      <c r="ND33">
        <v>0</v>
      </c>
      <c r="NE33">
        <v>0</v>
      </c>
      <c r="NF33" t="s">
        <v>264</v>
      </c>
      <c r="NI33">
        <v>40.200000000000003</v>
      </c>
      <c r="NJ33">
        <v>-9.1</v>
      </c>
      <c r="NP33" t="s">
        <v>624</v>
      </c>
    </row>
    <row r="34" spans="1:380" customFormat="1" x14ac:dyDescent="0.2">
      <c r="A34" t="s">
        <v>517</v>
      </c>
      <c r="B34">
        <v>1</v>
      </c>
      <c r="C34" t="s">
        <v>869</v>
      </c>
      <c r="D34">
        <v>646961552</v>
      </c>
      <c r="E34">
        <v>12602</v>
      </c>
      <c r="F34" t="s">
        <v>805</v>
      </c>
      <c r="G34">
        <v>802069</v>
      </c>
      <c r="H34">
        <v>210021860</v>
      </c>
      <c r="I34" t="s">
        <v>622</v>
      </c>
      <c r="J34" t="s">
        <v>870</v>
      </c>
      <c r="K34" t="s">
        <v>545</v>
      </c>
      <c r="L34" t="s">
        <v>442</v>
      </c>
      <c r="M34" t="s">
        <v>546</v>
      </c>
      <c r="N34" t="s">
        <v>468</v>
      </c>
      <c r="O34" t="s">
        <v>547</v>
      </c>
      <c r="P34" t="s">
        <v>264</v>
      </c>
      <c r="Q34">
        <v>27.5</v>
      </c>
      <c r="R34">
        <v>244</v>
      </c>
      <c r="S34" t="s">
        <v>264</v>
      </c>
      <c r="T34">
        <v>-9999</v>
      </c>
      <c r="U34">
        <v>541</v>
      </c>
      <c r="V34">
        <v>557</v>
      </c>
      <c r="W34">
        <v>531</v>
      </c>
      <c r="X34" t="s">
        <v>270</v>
      </c>
      <c r="Y34">
        <v>0</v>
      </c>
      <c r="Z34">
        <v>55</v>
      </c>
      <c r="AA34" t="s">
        <v>469</v>
      </c>
      <c r="AB34" t="s">
        <v>548</v>
      </c>
      <c r="AC34">
        <v>1</v>
      </c>
      <c r="AD34" t="s">
        <v>584</v>
      </c>
      <c r="AE34">
        <v>27.2</v>
      </c>
      <c r="AF34">
        <v>1397</v>
      </c>
      <c r="AG34" t="s">
        <v>264</v>
      </c>
      <c r="AH34">
        <v>-9999</v>
      </c>
      <c r="AI34">
        <v>411</v>
      </c>
      <c r="AJ34">
        <v>516</v>
      </c>
      <c r="AK34">
        <v>410</v>
      </c>
      <c r="AL34" t="s">
        <v>270</v>
      </c>
      <c r="AM34">
        <v>0</v>
      </c>
      <c r="AN34">
        <v>55</v>
      </c>
      <c r="AO34" t="s">
        <v>470</v>
      </c>
      <c r="AP34" t="s">
        <v>548</v>
      </c>
      <c r="AQ34">
        <v>2</v>
      </c>
      <c r="AR34" t="s">
        <v>584</v>
      </c>
      <c r="AS34">
        <v>39.1</v>
      </c>
      <c r="AT34">
        <v>305</v>
      </c>
      <c r="AU34" t="s">
        <v>264</v>
      </c>
      <c r="AV34">
        <v>-9999</v>
      </c>
      <c r="AW34">
        <v>345</v>
      </c>
      <c r="AX34">
        <v>362</v>
      </c>
      <c r="AY34">
        <v>343</v>
      </c>
      <c r="AZ34" t="s">
        <v>270</v>
      </c>
      <c r="BA34">
        <v>0</v>
      </c>
      <c r="BB34">
        <v>55</v>
      </c>
      <c r="BC34" t="s">
        <v>550</v>
      </c>
      <c r="BD34" t="s">
        <v>548</v>
      </c>
      <c r="BE34">
        <v>3</v>
      </c>
      <c r="BF34" t="s">
        <v>584</v>
      </c>
      <c r="BG34">
        <v>24.5</v>
      </c>
      <c r="BH34">
        <v>572</v>
      </c>
      <c r="BI34" t="s">
        <v>264</v>
      </c>
      <c r="BJ34">
        <v>-9999</v>
      </c>
      <c r="BK34">
        <v>204</v>
      </c>
      <c r="BL34">
        <v>250</v>
      </c>
      <c r="BM34">
        <v>202</v>
      </c>
      <c r="BN34" t="s">
        <v>270</v>
      </c>
      <c r="BO34">
        <v>0</v>
      </c>
      <c r="BP34">
        <v>55</v>
      </c>
      <c r="BQ34" t="s">
        <v>504</v>
      </c>
      <c r="BR34" t="s">
        <v>548</v>
      </c>
      <c r="BS34">
        <v>4</v>
      </c>
      <c r="BT34" t="s">
        <v>584</v>
      </c>
      <c r="BU34">
        <v>31.8</v>
      </c>
      <c r="BV34">
        <v>264</v>
      </c>
      <c r="BW34" t="s">
        <v>264</v>
      </c>
      <c r="BX34">
        <v>-9999</v>
      </c>
      <c r="BY34">
        <v>197</v>
      </c>
      <c r="BZ34">
        <v>228</v>
      </c>
      <c r="CA34">
        <v>196</v>
      </c>
      <c r="CB34" t="s">
        <v>270</v>
      </c>
      <c r="CC34">
        <v>0</v>
      </c>
      <c r="CD34">
        <v>55</v>
      </c>
      <c r="CE34" t="s">
        <v>471</v>
      </c>
      <c r="CF34" t="s">
        <v>548</v>
      </c>
      <c r="CG34">
        <v>5</v>
      </c>
      <c r="CH34" t="s">
        <v>584</v>
      </c>
      <c r="CI34">
        <v>36.9</v>
      </c>
      <c r="CJ34">
        <v>180</v>
      </c>
      <c r="CK34" t="s">
        <v>264</v>
      </c>
      <c r="CL34">
        <v>-9999</v>
      </c>
      <c r="CM34">
        <v>485</v>
      </c>
      <c r="CN34">
        <v>568</v>
      </c>
      <c r="CO34">
        <v>484</v>
      </c>
      <c r="CP34" t="s">
        <v>270</v>
      </c>
      <c r="CQ34">
        <v>0</v>
      </c>
      <c r="CR34">
        <v>55</v>
      </c>
      <c r="CS34" t="s">
        <v>472</v>
      </c>
      <c r="CT34" t="s">
        <v>548</v>
      </c>
      <c r="CU34">
        <v>6</v>
      </c>
      <c r="CV34" t="s">
        <v>584</v>
      </c>
      <c r="CW34">
        <v>35</v>
      </c>
      <c r="CX34">
        <v>257</v>
      </c>
      <c r="CY34" t="s">
        <v>264</v>
      </c>
      <c r="CZ34">
        <v>-9999</v>
      </c>
      <c r="DA34">
        <v>620</v>
      </c>
      <c r="DB34">
        <v>704</v>
      </c>
      <c r="DC34">
        <v>609</v>
      </c>
      <c r="DD34" t="s">
        <v>270</v>
      </c>
      <c r="DE34">
        <v>0</v>
      </c>
      <c r="DF34">
        <v>55</v>
      </c>
      <c r="DG34" t="s">
        <v>473</v>
      </c>
      <c r="DH34" t="s">
        <v>548</v>
      </c>
      <c r="DI34">
        <v>7</v>
      </c>
      <c r="DJ34" t="s">
        <v>584</v>
      </c>
      <c r="DK34">
        <v>25.5</v>
      </c>
      <c r="DL34">
        <v>187</v>
      </c>
      <c r="DM34" t="s">
        <v>264</v>
      </c>
      <c r="DN34">
        <v>-9999</v>
      </c>
      <c r="DO34">
        <v>479</v>
      </c>
      <c r="DP34">
        <v>545</v>
      </c>
      <c r="DQ34">
        <v>476</v>
      </c>
      <c r="DR34" t="s">
        <v>270</v>
      </c>
      <c r="DS34">
        <v>0</v>
      </c>
      <c r="DT34">
        <v>55</v>
      </c>
      <c r="DU34" t="s">
        <v>474</v>
      </c>
      <c r="DV34" t="s">
        <v>548</v>
      </c>
      <c r="DW34">
        <v>8</v>
      </c>
      <c r="DX34" t="s">
        <v>584</v>
      </c>
      <c r="DY34">
        <v>22.6</v>
      </c>
      <c r="DZ34">
        <v>447</v>
      </c>
      <c r="EA34" t="s">
        <v>264</v>
      </c>
      <c r="EB34">
        <v>-9999</v>
      </c>
      <c r="EC34">
        <v>105</v>
      </c>
      <c r="ED34">
        <v>129</v>
      </c>
      <c r="EE34">
        <v>104</v>
      </c>
      <c r="EF34" t="s">
        <v>270</v>
      </c>
      <c r="EG34">
        <v>0</v>
      </c>
      <c r="EH34">
        <v>55</v>
      </c>
      <c r="EI34" t="s">
        <v>475</v>
      </c>
      <c r="EJ34" t="s">
        <v>548</v>
      </c>
      <c r="EK34">
        <v>9</v>
      </c>
      <c r="EL34" t="s">
        <v>584</v>
      </c>
      <c r="EM34">
        <v>27.9</v>
      </c>
      <c r="EN34">
        <v>69</v>
      </c>
      <c r="EO34" t="s">
        <v>264</v>
      </c>
      <c r="EP34">
        <v>-9999</v>
      </c>
      <c r="EQ34">
        <v>315</v>
      </c>
      <c r="ER34">
        <v>297</v>
      </c>
      <c r="ES34">
        <v>275</v>
      </c>
      <c r="ET34" t="s">
        <v>270</v>
      </c>
      <c r="EU34">
        <v>0</v>
      </c>
      <c r="EV34">
        <v>55</v>
      </c>
      <c r="EW34" t="s">
        <v>551</v>
      </c>
      <c r="EX34" t="s">
        <v>552</v>
      </c>
      <c r="EY34">
        <v>129</v>
      </c>
      <c r="EZ34">
        <v>129</v>
      </c>
      <c r="FA34">
        <v>129</v>
      </c>
      <c r="FB34" t="s">
        <v>270</v>
      </c>
      <c r="FC34" t="s">
        <v>553</v>
      </c>
      <c r="FD34" t="s">
        <v>552</v>
      </c>
      <c r="FE34">
        <v>255</v>
      </c>
      <c r="FF34">
        <v>254</v>
      </c>
      <c r="FG34">
        <v>253</v>
      </c>
      <c r="FH34" t="s">
        <v>270</v>
      </c>
      <c r="FI34" t="s">
        <v>554</v>
      </c>
      <c r="FJ34" t="s">
        <v>555</v>
      </c>
      <c r="FK34">
        <v>0</v>
      </c>
      <c r="FL34">
        <v>0</v>
      </c>
      <c r="FM34">
        <v>0</v>
      </c>
      <c r="FN34" t="s">
        <v>264</v>
      </c>
      <c r="FO34">
        <v>75.900000000000006</v>
      </c>
      <c r="FP34">
        <v>273.8</v>
      </c>
      <c r="FQ34" t="s">
        <v>556</v>
      </c>
      <c r="FR34" t="s">
        <v>555</v>
      </c>
      <c r="FS34">
        <v>0</v>
      </c>
      <c r="FT34">
        <v>0</v>
      </c>
      <c r="FU34">
        <v>0</v>
      </c>
      <c r="FV34" t="s">
        <v>264</v>
      </c>
      <c r="FW34">
        <v>73.3</v>
      </c>
      <c r="FX34">
        <v>83</v>
      </c>
      <c r="FY34" t="s">
        <v>557</v>
      </c>
      <c r="FZ34" t="s">
        <v>555</v>
      </c>
      <c r="GA34">
        <v>0</v>
      </c>
      <c r="GB34">
        <v>0</v>
      </c>
      <c r="GC34">
        <v>0</v>
      </c>
      <c r="GD34" t="s">
        <v>264</v>
      </c>
      <c r="GE34">
        <v>71.2</v>
      </c>
      <c r="GF34">
        <v>264.2</v>
      </c>
      <c r="GG34" t="s">
        <v>558</v>
      </c>
      <c r="GH34" t="s">
        <v>555</v>
      </c>
      <c r="GI34">
        <v>0</v>
      </c>
      <c r="GJ34">
        <v>0</v>
      </c>
      <c r="GK34">
        <v>0</v>
      </c>
      <c r="GL34" t="s">
        <v>264</v>
      </c>
      <c r="GM34">
        <v>68.3</v>
      </c>
      <c r="GN34">
        <v>51.2</v>
      </c>
      <c r="GO34" t="s">
        <v>559</v>
      </c>
      <c r="GP34" t="s">
        <v>555</v>
      </c>
      <c r="GQ34">
        <v>0</v>
      </c>
      <c r="GR34">
        <v>0</v>
      </c>
      <c r="GS34">
        <v>0</v>
      </c>
      <c r="GT34" t="s">
        <v>264</v>
      </c>
      <c r="GU34">
        <v>75.900000000000006</v>
      </c>
      <c r="GV34">
        <v>48.9</v>
      </c>
      <c r="GW34" t="s">
        <v>560</v>
      </c>
      <c r="GX34" t="s">
        <v>555</v>
      </c>
      <c r="GY34">
        <v>0</v>
      </c>
      <c r="GZ34">
        <v>0</v>
      </c>
      <c r="HA34">
        <v>0</v>
      </c>
      <c r="HB34" t="s">
        <v>264</v>
      </c>
      <c r="HC34">
        <v>70.2</v>
      </c>
      <c r="HD34">
        <v>64.3</v>
      </c>
      <c r="HE34" t="s">
        <v>561</v>
      </c>
      <c r="HF34" t="s">
        <v>555</v>
      </c>
      <c r="HG34">
        <v>0</v>
      </c>
      <c r="HH34">
        <v>0</v>
      </c>
      <c r="HI34">
        <v>0</v>
      </c>
      <c r="HJ34" t="s">
        <v>264</v>
      </c>
      <c r="HK34">
        <v>70.8</v>
      </c>
      <c r="HL34">
        <v>122.4</v>
      </c>
      <c r="HM34" t="s">
        <v>562</v>
      </c>
      <c r="HN34" t="s">
        <v>555</v>
      </c>
      <c r="HO34">
        <v>0</v>
      </c>
      <c r="HP34">
        <v>0</v>
      </c>
      <c r="HQ34">
        <v>0</v>
      </c>
      <c r="HR34" t="s">
        <v>264</v>
      </c>
      <c r="HS34">
        <v>69</v>
      </c>
      <c r="HT34">
        <v>81</v>
      </c>
      <c r="HU34" t="s">
        <v>563</v>
      </c>
      <c r="HV34" t="s">
        <v>555</v>
      </c>
      <c r="HW34">
        <v>0</v>
      </c>
      <c r="HX34">
        <v>0</v>
      </c>
      <c r="HY34">
        <v>0</v>
      </c>
      <c r="HZ34" t="s">
        <v>264</v>
      </c>
      <c r="IA34">
        <v>74.599999999999994</v>
      </c>
      <c r="IB34">
        <v>185.9</v>
      </c>
      <c r="IC34" t="s">
        <v>564</v>
      </c>
      <c r="ID34" t="s">
        <v>555</v>
      </c>
      <c r="IE34">
        <v>0</v>
      </c>
      <c r="IF34">
        <v>0</v>
      </c>
      <c r="IG34">
        <v>0</v>
      </c>
      <c r="IH34" t="s">
        <v>264</v>
      </c>
      <c r="II34">
        <v>68.2</v>
      </c>
      <c r="IJ34">
        <v>106.6</v>
      </c>
      <c r="IK34" t="s">
        <v>565</v>
      </c>
      <c r="IL34" t="s">
        <v>555</v>
      </c>
      <c r="IM34">
        <v>0</v>
      </c>
      <c r="IN34">
        <v>0</v>
      </c>
      <c r="IO34">
        <v>0</v>
      </c>
      <c r="IP34" t="s">
        <v>264</v>
      </c>
      <c r="IS34" t="s">
        <v>566</v>
      </c>
      <c r="IT34" t="s">
        <v>555</v>
      </c>
      <c r="IU34">
        <v>0</v>
      </c>
      <c r="IV34">
        <v>0</v>
      </c>
      <c r="IW34">
        <v>0</v>
      </c>
      <c r="IX34" t="s">
        <v>264</v>
      </c>
      <c r="JA34" t="s">
        <v>567</v>
      </c>
      <c r="JB34" t="s">
        <v>555</v>
      </c>
      <c r="JC34">
        <v>0</v>
      </c>
      <c r="JD34">
        <v>0</v>
      </c>
      <c r="JE34">
        <v>0</v>
      </c>
      <c r="JF34" t="s">
        <v>264</v>
      </c>
      <c r="JI34" t="s">
        <v>568</v>
      </c>
      <c r="JJ34" t="s">
        <v>555</v>
      </c>
      <c r="JK34">
        <v>0</v>
      </c>
      <c r="JL34">
        <v>0</v>
      </c>
      <c r="JM34">
        <v>0</v>
      </c>
      <c r="JN34" t="s">
        <v>264</v>
      </c>
      <c r="JQ34" t="s">
        <v>569</v>
      </c>
      <c r="JR34" t="s">
        <v>555</v>
      </c>
      <c r="JS34">
        <v>0</v>
      </c>
      <c r="JT34">
        <v>0</v>
      </c>
      <c r="JU34">
        <v>0</v>
      </c>
      <c r="JV34" t="s">
        <v>264</v>
      </c>
      <c r="JY34" t="s">
        <v>570</v>
      </c>
      <c r="JZ34" t="s">
        <v>555</v>
      </c>
      <c r="KA34">
        <v>0</v>
      </c>
      <c r="KB34">
        <v>0</v>
      </c>
      <c r="KC34">
        <v>0</v>
      </c>
      <c r="KD34" t="s">
        <v>264</v>
      </c>
      <c r="KG34" t="s">
        <v>571</v>
      </c>
      <c r="KH34" t="s">
        <v>555</v>
      </c>
      <c r="KI34">
        <v>0</v>
      </c>
      <c r="KJ34">
        <v>0</v>
      </c>
      <c r="KK34">
        <v>0</v>
      </c>
      <c r="KL34" t="s">
        <v>264</v>
      </c>
      <c r="KO34" t="s">
        <v>572</v>
      </c>
      <c r="KP34" t="s">
        <v>555</v>
      </c>
      <c r="KQ34">
        <v>0</v>
      </c>
      <c r="KR34">
        <v>0</v>
      </c>
      <c r="KS34">
        <v>0</v>
      </c>
      <c r="KT34" t="s">
        <v>264</v>
      </c>
      <c r="KW34" t="s">
        <v>573</v>
      </c>
      <c r="KX34" t="s">
        <v>555</v>
      </c>
      <c r="KY34">
        <v>0</v>
      </c>
      <c r="KZ34">
        <v>0</v>
      </c>
      <c r="LA34">
        <v>0</v>
      </c>
      <c r="LB34" t="s">
        <v>264</v>
      </c>
      <c r="LE34" t="s">
        <v>574</v>
      </c>
      <c r="LF34" t="s">
        <v>555</v>
      </c>
      <c r="LG34">
        <v>0</v>
      </c>
      <c r="LH34">
        <v>0</v>
      </c>
      <c r="LI34">
        <v>0</v>
      </c>
      <c r="LJ34" t="s">
        <v>264</v>
      </c>
      <c r="LM34" t="s">
        <v>575</v>
      </c>
      <c r="LN34" t="s">
        <v>555</v>
      </c>
      <c r="LO34">
        <v>0</v>
      </c>
      <c r="LP34">
        <v>0</v>
      </c>
      <c r="LQ34">
        <v>0</v>
      </c>
      <c r="LR34" t="s">
        <v>264</v>
      </c>
      <c r="LU34" t="s">
        <v>576</v>
      </c>
      <c r="LV34" t="s">
        <v>555</v>
      </c>
      <c r="LW34">
        <v>0</v>
      </c>
      <c r="LX34">
        <v>0</v>
      </c>
      <c r="LY34">
        <v>0</v>
      </c>
      <c r="LZ34" t="s">
        <v>264</v>
      </c>
      <c r="MC34" t="s">
        <v>577</v>
      </c>
      <c r="MD34" t="s">
        <v>555</v>
      </c>
      <c r="ME34">
        <v>0</v>
      </c>
      <c r="MF34">
        <v>0</v>
      </c>
      <c r="MG34">
        <v>0</v>
      </c>
      <c r="MH34" t="s">
        <v>264</v>
      </c>
      <c r="MK34" t="s">
        <v>578</v>
      </c>
      <c r="ML34" t="s">
        <v>555</v>
      </c>
      <c r="MM34">
        <v>0</v>
      </c>
      <c r="MN34">
        <v>0</v>
      </c>
      <c r="MO34">
        <v>0</v>
      </c>
      <c r="MP34" t="s">
        <v>264</v>
      </c>
      <c r="MS34" t="s">
        <v>579</v>
      </c>
      <c r="MT34" t="s">
        <v>555</v>
      </c>
      <c r="MU34">
        <v>0</v>
      </c>
      <c r="MV34">
        <v>0</v>
      </c>
      <c r="MW34">
        <v>0</v>
      </c>
      <c r="MX34" t="s">
        <v>264</v>
      </c>
      <c r="NA34" t="s">
        <v>580</v>
      </c>
      <c r="NB34" t="s">
        <v>555</v>
      </c>
      <c r="NC34">
        <v>0</v>
      </c>
      <c r="ND34">
        <v>0</v>
      </c>
      <c r="NE34">
        <v>0</v>
      </c>
      <c r="NF34" t="s">
        <v>264</v>
      </c>
      <c r="NI34">
        <v>40.1</v>
      </c>
      <c r="NJ34">
        <v>-10.5</v>
      </c>
      <c r="NP34" t="s">
        <v>624</v>
      </c>
    </row>
    <row r="35" spans="1:380" customFormat="1" x14ac:dyDescent="0.2">
      <c r="A35" t="s">
        <v>517</v>
      </c>
      <c r="B35">
        <v>1</v>
      </c>
      <c r="C35" t="s">
        <v>871</v>
      </c>
      <c r="D35">
        <v>646960646</v>
      </c>
      <c r="E35">
        <v>12602</v>
      </c>
      <c r="F35" t="s">
        <v>805</v>
      </c>
      <c r="G35">
        <v>802069</v>
      </c>
      <c r="H35">
        <v>210017014</v>
      </c>
      <c r="I35" t="s">
        <v>622</v>
      </c>
      <c r="J35" t="s">
        <v>872</v>
      </c>
      <c r="K35" t="s">
        <v>545</v>
      </c>
      <c r="L35" t="s">
        <v>442</v>
      </c>
      <c r="M35" t="s">
        <v>546</v>
      </c>
      <c r="N35" t="s">
        <v>468</v>
      </c>
      <c r="O35" t="s">
        <v>547</v>
      </c>
      <c r="P35" t="s">
        <v>264</v>
      </c>
      <c r="Q35">
        <v>27.3</v>
      </c>
      <c r="R35">
        <v>208</v>
      </c>
      <c r="S35" t="s">
        <v>264</v>
      </c>
      <c r="T35">
        <v>-9999</v>
      </c>
      <c r="U35">
        <v>625</v>
      </c>
      <c r="V35">
        <v>647</v>
      </c>
      <c r="W35">
        <v>618</v>
      </c>
      <c r="X35" t="s">
        <v>270</v>
      </c>
      <c r="Y35">
        <v>0</v>
      </c>
      <c r="Z35">
        <v>55</v>
      </c>
      <c r="AA35" t="s">
        <v>469</v>
      </c>
      <c r="AB35" t="s">
        <v>548</v>
      </c>
      <c r="AC35">
        <v>1</v>
      </c>
      <c r="AD35" t="s">
        <v>584</v>
      </c>
      <c r="AE35">
        <v>27.4</v>
      </c>
      <c r="AF35">
        <v>1113</v>
      </c>
      <c r="AG35" t="s">
        <v>264</v>
      </c>
      <c r="AH35">
        <v>-9999</v>
      </c>
      <c r="AI35">
        <v>528</v>
      </c>
      <c r="AJ35">
        <v>641</v>
      </c>
      <c r="AK35">
        <v>523</v>
      </c>
      <c r="AL35" t="s">
        <v>270</v>
      </c>
      <c r="AM35">
        <v>0</v>
      </c>
      <c r="AN35">
        <v>55</v>
      </c>
      <c r="AO35" t="s">
        <v>470</v>
      </c>
      <c r="AP35" t="s">
        <v>548</v>
      </c>
      <c r="AQ35">
        <v>2</v>
      </c>
      <c r="AR35" t="s">
        <v>584</v>
      </c>
      <c r="AS35">
        <v>38.200000000000003</v>
      </c>
      <c r="AT35">
        <v>330</v>
      </c>
      <c r="AU35" t="s">
        <v>264</v>
      </c>
      <c r="AV35">
        <v>-9999</v>
      </c>
      <c r="AW35">
        <v>451</v>
      </c>
      <c r="AX35">
        <v>479</v>
      </c>
      <c r="AY35">
        <v>449</v>
      </c>
      <c r="AZ35" t="s">
        <v>270</v>
      </c>
      <c r="BA35">
        <v>0</v>
      </c>
      <c r="BB35">
        <v>55</v>
      </c>
      <c r="BC35" t="s">
        <v>550</v>
      </c>
      <c r="BD35" t="s">
        <v>548</v>
      </c>
      <c r="BE35">
        <v>3</v>
      </c>
      <c r="BF35" t="s">
        <v>584</v>
      </c>
      <c r="BG35">
        <v>19.8</v>
      </c>
      <c r="BH35">
        <v>1390</v>
      </c>
      <c r="BI35" t="s">
        <v>264</v>
      </c>
      <c r="BJ35">
        <v>-9999</v>
      </c>
      <c r="BK35">
        <v>53</v>
      </c>
      <c r="BL35">
        <v>84</v>
      </c>
      <c r="BM35">
        <v>58</v>
      </c>
      <c r="BN35" t="s">
        <v>270</v>
      </c>
      <c r="BO35">
        <v>0</v>
      </c>
      <c r="BP35">
        <v>55</v>
      </c>
      <c r="BQ35" t="s">
        <v>504</v>
      </c>
      <c r="BR35" t="s">
        <v>548</v>
      </c>
      <c r="BS35">
        <v>4</v>
      </c>
      <c r="BT35" t="s">
        <v>584</v>
      </c>
      <c r="BU35">
        <v>32</v>
      </c>
      <c r="BV35">
        <v>268</v>
      </c>
      <c r="BW35" t="s">
        <v>264</v>
      </c>
      <c r="BX35">
        <v>-9999</v>
      </c>
      <c r="BY35">
        <v>230</v>
      </c>
      <c r="BZ35">
        <v>267</v>
      </c>
      <c r="CA35">
        <v>229</v>
      </c>
      <c r="CB35" t="s">
        <v>270</v>
      </c>
      <c r="CC35">
        <v>0</v>
      </c>
      <c r="CD35">
        <v>55</v>
      </c>
      <c r="CE35" t="s">
        <v>471</v>
      </c>
      <c r="CF35" t="s">
        <v>548</v>
      </c>
      <c r="CG35">
        <v>5</v>
      </c>
      <c r="CH35" t="s">
        <v>584</v>
      </c>
      <c r="CI35">
        <v>36.799999999999997</v>
      </c>
      <c r="CJ35">
        <v>199</v>
      </c>
      <c r="CK35" t="s">
        <v>264</v>
      </c>
      <c r="CL35">
        <v>-9999</v>
      </c>
      <c r="CM35">
        <v>541</v>
      </c>
      <c r="CN35">
        <v>635</v>
      </c>
      <c r="CO35">
        <v>542</v>
      </c>
      <c r="CP35" t="s">
        <v>270</v>
      </c>
      <c r="CQ35">
        <v>0</v>
      </c>
      <c r="CR35">
        <v>55</v>
      </c>
      <c r="CS35" t="s">
        <v>472</v>
      </c>
      <c r="CT35" t="s">
        <v>548</v>
      </c>
      <c r="CU35">
        <v>6</v>
      </c>
      <c r="CV35" t="s">
        <v>584</v>
      </c>
      <c r="CW35">
        <v>37.6</v>
      </c>
      <c r="CX35">
        <v>175</v>
      </c>
      <c r="CY35" t="s">
        <v>264</v>
      </c>
      <c r="CZ35">
        <v>-9999</v>
      </c>
      <c r="DA35">
        <v>841</v>
      </c>
      <c r="DB35">
        <v>956</v>
      </c>
      <c r="DC35">
        <v>830</v>
      </c>
      <c r="DD35" t="s">
        <v>270</v>
      </c>
      <c r="DE35">
        <v>0</v>
      </c>
      <c r="DF35">
        <v>55</v>
      </c>
      <c r="DG35" t="s">
        <v>473</v>
      </c>
      <c r="DH35" t="s">
        <v>548</v>
      </c>
      <c r="DI35">
        <v>7</v>
      </c>
      <c r="DJ35" t="s">
        <v>584</v>
      </c>
      <c r="DK35">
        <v>25</v>
      </c>
      <c r="DL35">
        <v>232</v>
      </c>
      <c r="DM35" t="s">
        <v>264</v>
      </c>
      <c r="DN35">
        <v>-9999</v>
      </c>
      <c r="DO35">
        <v>608</v>
      </c>
      <c r="DP35">
        <v>696</v>
      </c>
      <c r="DQ35">
        <v>604</v>
      </c>
      <c r="DR35" t="s">
        <v>270</v>
      </c>
      <c r="DS35">
        <v>0</v>
      </c>
      <c r="DT35">
        <v>55</v>
      </c>
      <c r="DU35" t="s">
        <v>474</v>
      </c>
      <c r="DV35" t="s">
        <v>548</v>
      </c>
      <c r="DW35">
        <v>8</v>
      </c>
      <c r="DX35" t="s">
        <v>584</v>
      </c>
      <c r="DY35">
        <v>22.4</v>
      </c>
      <c r="DZ35">
        <v>425</v>
      </c>
      <c r="EA35" t="s">
        <v>264</v>
      </c>
      <c r="EB35">
        <v>-9999</v>
      </c>
      <c r="EC35">
        <v>114</v>
      </c>
      <c r="ED35">
        <v>137</v>
      </c>
      <c r="EE35">
        <v>112</v>
      </c>
      <c r="EF35" t="s">
        <v>270</v>
      </c>
      <c r="EG35">
        <v>0</v>
      </c>
      <c r="EH35">
        <v>55</v>
      </c>
      <c r="EI35" t="s">
        <v>475</v>
      </c>
      <c r="EJ35" t="s">
        <v>548</v>
      </c>
      <c r="EK35">
        <v>9</v>
      </c>
      <c r="EL35" t="s">
        <v>584</v>
      </c>
      <c r="EM35">
        <v>26.2</v>
      </c>
      <c r="EN35">
        <v>88</v>
      </c>
      <c r="EO35" t="s">
        <v>264</v>
      </c>
      <c r="EP35">
        <v>-9999</v>
      </c>
      <c r="EQ35">
        <v>371</v>
      </c>
      <c r="ER35">
        <v>346</v>
      </c>
      <c r="ES35">
        <v>321</v>
      </c>
      <c r="ET35" t="s">
        <v>270</v>
      </c>
      <c r="EU35">
        <v>0</v>
      </c>
      <c r="EV35">
        <v>55</v>
      </c>
      <c r="EW35" t="s">
        <v>551</v>
      </c>
      <c r="EX35" t="s">
        <v>552</v>
      </c>
      <c r="EY35">
        <v>149</v>
      </c>
      <c r="EZ35">
        <v>150</v>
      </c>
      <c r="FA35">
        <v>150</v>
      </c>
      <c r="FB35" t="s">
        <v>270</v>
      </c>
      <c r="FC35" t="s">
        <v>553</v>
      </c>
      <c r="FD35" t="s">
        <v>552</v>
      </c>
      <c r="FE35">
        <v>286</v>
      </c>
      <c r="FF35">
        <v>285</v>
      </c>
      <c r="FG35">
        <v>284</v>
      </c>
      <c r="FH35" t="s">
        <v>270</v>
      </c>
      <c r="FI35" t="s">
        <v>554</v>
      </c>
      <c r="FJ35" t="s">
        <v>555</v>
      </c>
      <c r="FK35">
        <v>0</v>
      </c>
      <c r="FL35">
        <v>0</v>
      </c>
      <c r="FM35">
        <v>0</v>
      </c>
      <c r="FN35" t="s">
        <v>264</v>
      </c>
      <c r="FO35">
        <v>75.900000000000006</v>
      </c>
      <c r="FP35">
        <v>269.7</v>
      </c>
      <c r="FQ35" t="s">
        <v>556</v>
      </c>
      <c r="FR35" t="s">
        <v>555</v>
      </c>
      <c r="FS35">
        <v>0</v>
      </c>
      <c r="FT35">
        <v>0</v>
      </c>
      <c r="FU35">
        <v>0</v>
      </c>
      <c r="FV35" t="s">
        <v>264</v>
      </c>
      <c r="FW35">
        <v>73.400000000000006</v>
      </c>
      <c r="FX35">
        <v>114.2</v>
      </c>
      <c r="FY35" t="s">
        <v>557</v>
      </c>
      <c r="FZ35" t="s">
        <v>555</v>
      </c>
      <c r="GA35">
        <v>0</v>
      </c>
      <c r="GB35">
        <v>0</v>
      </c>
      <c r="GC35">
        <v>0</v>
      </c>
      <c r="GD35" t="s">
        <v>264</v>
      </c>
      <c r="GE35">
        <v>71.2</v>
      </c>
      <c r="GF35">
        <v>251.5</v>
      </c>
      <c r="GG35" t="s">
        <v>558</v>
      </c>
      <c r="GH35" t="s">
        <v>555</v>
      </c>
      <c r="GI35">
        <v>0</v>
      </c>
      <c r="GJ35">
        <v>0</v>
      </c>
      <c r="GK35">
        <v>0</v>
      </c>
      <c r="GL35" t="s">
        <v>264</v>
      </c>
      <c r="GM35">
        <v>68.400000000000006</v>
      </c>
      <c r="GN35">
        <v>55.6</v>
      </c>
      <c r="GO35" t="s">
        <v>559</v>
      </c>
      <c r="GP35" t="s">
        <v>555</v>
      </c>
      <c r="GQ35">
        <v>0</v>
      </c>
      <c r="GR35">
        <v>0</v>
      </c>
      <c r="GS35">
        <v>0</v>
      </c>
      <c r="GT35" t="s">
        <v>264</v>
      </c>
      <c r="GU35">
        <v>76</v>
      </c>
      <c r="GV35">
        <v>62.6</v>
      </c>
      <c r="GW35" t="s">
        <v>560</v>
      </c>
      <c r="GX35" t="s">
        <v>555</v>
      </c>
      <c r="GY35">
        <v>0</v>
      </c>
      <c r="GZ35">
        <v>0</v>
      </c>
      <c r="HA35">
        <v>0</v>
      </c>
      <c r="HB35" t="s">
        <v>264</v>
      </c>
      <c r="HC35">
        <v>70.2</v>
      </c>
      <c r="HD35">
        <v>78.099999999999994</v>
      </c>
      <c r="HE35" t="s">
        <v>561</v>
      </c>
      <c r="HF35" t="s">
        <v>555</v>
      </c>
      <c r="HG35">
        <v>0</v>
      </c>
      <c r="HH35">
        <v>0</v>
      </c>
      <c r="HI35">
        <v>0</v>
      </c>
      <c r="HJ35" t="s">
        <v>264</v>
      </c>
      <c r="HK35">
        <v>70.8</v>
      </c>
      <c r="HL35">
        <v>146.9</v>
      </c>
      <c r="HM35" t="s">
        <v>562</v>
      </c>
      <c r="HN35" t="s">
        <v>555</v>
      </c>
      <c r="HO35">
        <v>0</v>
      </c>
      <c r="HP35">
        <v>0</v>
      </c>
      <c r="HQ35">
        <v>0</v>
      </c>
      <c r="HR35" t="s">
        <v>264</v>
      </c>
      <c r="HS35">
        <v>69.2</v>
      </c>
      <c r="HT35">
        <v>105.6</v>
      </c>
      <c r="HU35" t="s">
        <v>563</v>
      </c>
      <c r="HV35" t="s">
        <v>555</v>
      </c>
      <c r="HW35">
        <v>0</v>
      </c>
      <c r="HX35">
        <v>0</v>
      </c>
      <c r="HY35">
        <v>0</v>
      </c>
      <c r="HZ35" t="s">
        <v>264</v>
      </c>
      <c r="IA35">
        <v>74.599999999999994</v>
      </c>
      <c r="IB35">
        <v>187.4</v>
      </c>
      <c r="IC35" t="s">
        <v>564</v>
      </c>
      <c r="ID35" t="s">
        <v>555</v>
      </c>
      <c r="IE35">
        <v>0</v>
      </c>
      <c r="IF35">
        <v>0</v>
      </c>
      <c r="IG35">
        <v>0</v>
      </c>
      <c r="IH35" t="s">
        <v>264</v>
      </c>
      <c r="II35">
        <v>68.2</v>
      </c>
      <c r="IJ35">
        <v>141</v>
      </c>
      <c r="IK35" t="s">
        <v>565</v>
      </c>
      <c r="IL35" t="s">
        <v>555</v>
      </c>
      <c r="IM35">
        <v>0</v>
      </c>
      <c r="IN35">
        <v>0</v>
      </c>
      <c r="IO35">
        <v>0</v>
      </c>
      <c r="IP35" t="s">
        <v>264</v>
      </c>
      <c r="IS35" t="s">
        <v>566</v>
      </c>
      <c r="IT35" t="s">
        <v>555</v>
      </c>
      <c r="IU35">
        <v>0</v>
      </c>
      <c r="IV35">
        <v>0</v>
      </c>
      <c r="IW35">
        <v>0</v>
      </c>
      <c r="IX35" t="s">
        <v>264</v>
      </c>
      <c r="JA35" t="s">
        <v>567</v>
      </c>
      <c r="JB35" t="s">
        <v>555</v>
      </c>
      <c r="JC35">
        <v>0</v>
      </c>
      <c r="JD35">
        <v>0</v>
      </c>
      <c r="JE35">
        <v>0</v>
      </c>
      <c r="JF35" t="s">
        <v>264</v>
      </c>
      <c r="JI35" t="s">
        <v>568</v>
      </c>
      <c r="JJ35" t="s">
        <v>555</v>
      </c>
      <c r="JK35">
        <v>0</v>
      </c>
      <c r="JL35">
        <v>0</v>
      </c>
      <c r="JM35">
        <v>0</v>
      </c>
      <c r="JN35" t="s">
        <v>264</v>
      </c>
      <c r="JQ35" t="s">
        <v>569</v>
      </c>
      <c r="JR35" t="s">
        <v>555</v>
      </c>
      <c r="JS35">
        <v>0</v>
      </c>
      <c r="JT35">
        <v>0</v>
      </c>
      <c r="JU35">
        <v>0</v>
      </c>
      <c r="JV35" t="s">
        <v>264</v>
      </c>
      <c r="JY35" t="s">
        <v>570</v>
      </c>
      <c r="JZ35" t="s">
        <v>555</v>
      </c>
      <c r="KA35">
        <v>0</v>
      </c>
      <c r="KB35">
        <v>0</v>
      </c>
      <c r="KC35">
        <v>0</v>
      </c>
      <c r="KD35" t="s">
        <v>264</v>
      </c>
      <c r="KG35" t="s">
        <v>571</v>
      </c>
      <c r="KH35" t="s">
        <v>555</v>
      </c>
      <c r="KI35">
        <v>0</v>
      </c>
      <c r="KJ35">
        <v>0</v>
      </c>
      <c r="KK35">
        <v>0</v>
      </c>
      <c r="KL35" t="s">
        <v>264</v>
      </c>
      <c r="KO35" t="s">
        <v>572</v>
      </c>
      <c r="KP35" t="s">
        <v>555</v>
      </c>
      <c r="KQ35">
        <v>0</v>
      </c>
      <c r="KR35">
        <v>0</v>
      </c>
      <c r="KS35">
        <v>0</v>
      </c>
      <c r="KT35" t="s">
        <v>264</v>
      </c>
      <c r="KW35" t="s">
        <v>573</v>
      </c>
      <c r="KX35" t="s">
        <v>555</v>
      </c>
      <c r="KY35">
        <v>0</v>
      </c>
      <c r="KZ35">
        <v>0</v>
      </c>
      <c r="LA35">
        <v>0</v>
      </c>
      <c r="LB35" t="s">
        <v>264</v>
      </c>
      <c r="LE35" t="s">
        <v>574</v>
      </c>
      <c r="LF35" t="s">
        <v>555</v>
      </c>
      <c r="LG35">
        <v>0</v>
      </c>
      <c r="LH35">
        <v>0</v>
      </c>
      <c r="LI35">
        <v>0</v>
      </c>
      <c r="LJ35" t="s">
        <v>264</v>
      </c>
      <c r="LM35" t="s">
        <v>575</v>
      </c>
      <c r="LN35" t="s">
        <v>555</v>
      </c>
      <c r="LO35">
        <v>0</v>
      </c>
      <c r="LP35">
        <v>0</v>
      </c>
      <c r="LQ35">
        <v>0</v>
      </c>
      <c r="LR35" t="s">
        <v>264</v>
      </c>
      <c r="LU35" t="s">
        <v>576</v>
      </c>
      <c r="LV35" t="s">
        <v>555</v>
      </c>
      <c r="LW35">
        <v>0</v>
      </c>
      <c r="LX35">
        <v>0</v>
      </c>
      <c r="LY35">
        <v>0</v>
      </c>
      <c r="LZ35" t="s">
        <v>264</v>
      </c>
      <c r="MC35" t="s">
        <v>577</v>
      </c>
      <c r="MD35" t="s">
        <v>555</v>
      </c>
      <c r="ME35">
        <v>0</v>
      </c>
      <c r="MF35">
        <v>0</v>
      </c>
      <c r="MG35">
        <v>0</v>
      </c>
      <c r="MH35" t="s">
        <v>264</v>
      </c>
      <c r="MK35" t="s">
        <v>578</v>
      </c>
      <c r="ML35" t="s">
        <v>555</v>
      </c>
      <c r="MM35">
        <v>0</v>
      </c>
      <c r="MN35">
        <v>0</v>
      </c>
      <c r="MO35">
        <v>0</v>
      </c>
      <c r="MP35" t="s">
        <v>264</v>
      </c>
      <c r="MS35" t="s">
        <v>579</v>
      </c>
      <c r="MT35" t="s">
        <v>555</v>
      </c>
      <c r="MU35">
        <v>0</v>
      </c>
      <c r="MV35">
        <v>0</v>
      </c>
      <c r="MW35">
        <v>0</v>
      </c>
      <c r="MX35" t="s">
        <v>264</v>
      </c>
      <c r="NA35" t="s">
        <v>580</v>
      </c>
      <c r="NB35" t="s">
        <v>555</v>
      </c>
      <c r="NC35">
        <v>0</v>
      </c>
      <c r="ND35">
        <v>0</v>
      </c>
      <c r="NE35">
        <v>0</v>
      </c>
      <c r="NF35" t="s">
        <v>264</v>
      </c>
      <c r="NI35">
        <v>40</v>
      </c>
      <c r="NJ35">
        <v>-6.6</v>
      </c>
      <c r="NP35" t="s">
        <v>624</v>
      </c>
    </row>
    <row r="36" spans="1:380" customFormat="1" x14ac:dyDescent="0.2">
      <c r="A36" t="s">
        <v>517</v>
      </c>
      <c r="B36">
        <v>1</v>
      </c>
      <c r="C36" t="s">
        <v>873</v>
      </c>
      <c r="D36">
        <v>646960952</v>
      </c>
      <c r="E36">
        <v>12602</v>
      </c>
      <c r="F36" t="s">
        <v>805</v>
      </c>
      <c r="G36">
        <v>802069</v>
      </c>
      <c r="H36">
        <v>677822</v>
      </c>
      <c r="I36" t="s">
        <v>622</v>
      </c>
      <c r="J36" t="s">
        <v>874</v>
      </c>
      <c r="K36" t="s">
        <v>545</v>
      </c>
      <c r="L36" t="s">
        <v>442</v>
      </c>
      <c r="M36" t="s">
        <v>546</v>
      </c>
      <c r="N36" t="s">
        <v>468</v>
      </c>
      <c r="O36" t="s">
        <v>547</v>
      </c>
      <c r="P36" t="s">
        <v>264</v>
      </c>
      <c r="Q36">
        <v>25.5</v>
      </c>
      <c r="R36">
        <v>248</v>
      </c>
      <c r="S36" t="s">
        <v>264</v>
      </c>
      <c r="T36">
        <v>-9999</v>
      </c>
      <c r="U36">
        <v>758</v>
      </c>
      <c r="V36">
        <v>784</v>
      </c>
      <c r="W36">
        <v>748</v>
      </c>
      <c r="X36" t="s">
        <v>270</v>
      </c>
      <c r="Y36">
        <v>0</v>
      </c>
      <c r="Z36">
        <v>55</v>
      </c>
      <c r="AA36" t="s">
        <v>469</v>
      </c>
      <c r="AB36" t="s">
        <v>548</v>
      </c>
      <c r="AC36">
        <v>1</v>
      </c>
      <c r="AD36" t="s">
        <v>584</v>
      </c>
      <c r="AE36">
        <v>24.4</v>
      </c>
      <c r="AF36">
        <v>1400</v>
      </c>
      <c r="AG36" t="s">
        <v>264</v>
      </c>
      <c r="AH36">
        <v>-9999</v>
      </c>
      <c r="AI36">
        <v>461</v>
      </c>
      <c r="AJ36">
        <v>576</v>
      </c>
      <c r="AK36">
        <v>461</v>
      </c>
      <c r="AL36" t="s">
        <v>270</v>
      </c>
      <c r="AM36">
        <v>0</v>
      </c>
      <c r="AN36">
        <v>55</v>
      </c>
      <c r="AO36" t="s">
        <v>470</v>
      </c>
      <c r="AP36" t="s">
        <v>548</v>
      </c>
      <c r="AQ36">
        <v>2</v>
      </c>
      <c r="AR36" t="s">
        <v>584</v>
      </c>
      <c r="AS36">
        <v>35.1</v>
      </c>
      <c r="AT36">
        <v>360</v>
      </c>
      <c r="AU36" t="s">
        <v>264</v>
      </c>
      <c r="AV36">
        <v>-9999</v>
      </c>
      <c r="AW36">
        <v>444</v>
      </c>
      <c r="AX36">
        <v>470</v>
      </c>
      <c r="AY36">
        <v>442</v>
      </c>
      <c r="AZ36" t="s">
        <v>270</v>
      </c>
      <c r="BA36">
        <v>0</v>
      </c>
      <c r="BB36">
        <v>55</v>
      </c>
      <c r="BC36" t="s">
        <v>550</v>
      </c>
      <c r="BD36" t="s">
        <v>548</v>
      </c>
      <c r="BE36">
        <v>3</v>
      </c>
      <c r="BF36" t="s">
        <v>584</v>
      </c>
      <c r="BG36">
        <v>21.8</v>
      </c>
      <c r="BH36">
        <v>647</v>
      </c>
      <c r="BI36" t="s">
        <v>264</v>
      </c>
      <c r="BJ36">
        <v>-9999</v>
      </c>
      <c r="BK36">
        <v>218</v>
      </c>
      <c r="BL36">
        <v>268</v>
      </c>
      <c r="BM36">
        <v>217</v>
      </c>
      <c r="BN36" t="s">
        <v>270</v>
      </c>
      <c r="BO36">
        <v>0</v>
      </c>
      <c r="BP36">
        <v>55</v>
      </c>
      <c r="BQ36" t="s">
        <v>504</v>
      </c>
      <c r="BR36" t="s">
        <v>548</v>
      </c>
      <c r="BS36">
        <v>4</v>
      </c>
      <c r="BT36" t="s">
        <v>584</v>
      </c>
      <c r="BU36">
        <v>28.1</v>
      </c>
      <c r="BV36">
        <v>282</v>
      </c>
      <c r="BW36" t="s">
        <v>264</v>
      </c>
      <c r="BX36">
        <v>-9999</v>
      </c>
      <c r="BY36">
        <v>259</v>
      </c>
      <c r="BZ36">
        <v>300</v>
      </c>
      <c r="CA36">
        <v>256</v>
      </c>
      <c r="CB36" t="s">
        <v>270</v>
      </c>
      <c r="CC36">
        <v>0</v>
      </c>
      <c r="CD36">
        <v>55</v>
      </c>
      <c r="CE36" t="s">
        <v>471</v>
      </c>
      <c r="CF36" t="s">
        <v>548</v>
      </c>
      <c r="CG36">
        <v>5</v>
      </c>
      <c r="CH36" t="s">
        <v>584</v>
      </c>
      <c r="CI36">
        <v>34.6</v>
      </c>
      <c r="CJ36">
        <v>198</v>
      </c>
      <c r="CK36" t="s">
        <v>264</v>
      </c>
      <c r="CL36">
        <v>-9999</v>
      </c>
      <c r="CM36">
        <v>513</v>
      </c>
      <c r="CN36">
        <v>602</v>
      </c>
      <c r="CO36">
        <v>513</v>
      </c>
      <c r="CP36" t="s">
        <v>270</v>
      </c>
      <c r="CQ36">
        <v>0</v>
      </c>
      <c r="CR36">
        <v>55</v>
      </c>
      <c r="CS36" t="s">
        <v>472</v>
      </c>
      <c r="CT36" t="s">
        <v>548</v>
      </c>
      <c r="CU36">
        <v>6</v>
      </c>
      <c r="CV36" t="s">
        <v>584</v>
      </c>
      <c r="CW36">
        <v>32.9</v>
      </c>
      <c r="CX36">
        <v>242</v>
      </c>
      <c r="CY36" t="s">
        <v>264</v>
      </c>
      <c r="CZ36">
        <v>-9999</v>
      </c>
      <c r="DA36">
        <v>682</v>
      </c>
      <c r="DB36">
        <v>773</v>
      </c>
      <c r="DC36">
        <v>672</v>
      </c>
      <c r="DD36" t="s">
        <v>270</v>
      </c>
      <c r="DE36">
        <v>0</v>
      </c>
      <c r="DF36">
        <v>55</v>
      </c>
      <c r="DG36" t="s">
        <v>473</v>
      </c>
      <c r="DH36" t="s">
        <v>548</v>
      </c>
      <c r="DI36">
        <v>7</v>
      </c>
      <c r="DJ36" t="s">
        <v>584</v>
      </c>
      <c r="DK36">
        <v>23.2</v>
      </c>
      <c r="DL36">
        <v>187</v>
      </c>
      <c r="DM36" t="s">
        <v>264</v>
      </c>
      <c r="DN36">
        <v>-9999</v>
      </c>
      <c r="DO36">
        <v>574</v>
      </c>
      <c r="DP36">
        <v>657</v>
      </c>
      <c r="DQ36">
        <v>570</v>
      </c>
      <c r="DR36" t="s">
        <v>270</v>
      </c>
      <c r="DS36">
        <v>0</v>
      </c>
      <c r="DT36">
        <v>55</v>
      </c>
      <c r="DU36" t="s">
        <v>474</v>
      </c>
      <c r="DV36" t="s">
        <v>548</v>
      </c>
      <c r="DW36">
        <v>8</v>
      </c>
      <c r="DX36" t="s">
        <v>584</v>
      </c>
      <c r="DY36">
        <v>19.8</v>
      </c>
      <c r="DZ36">
        <v>458</v>
      </c>
      <c r="EA36" t="s">
        <v>264</v>
      </c>
      <c r="EB36">
        <v>-9999</v>
      </c>
      <c r="EC36">
        <v>112</v>
      </c>
      <c r="ED36">
        <v>136</v>
      </c>
      <c r="EE36">
        <v>110</v>
      </c>
      <c r="EF36" t="s">
        <v>270</v>
      </c>
      <c r="EG36">
        <v>0</v>
      </c>
      <c r="EH36">
        <v>55</v>
      </c>
      <c r="EI36" t="s">
        <v>475</v>
      </c>
      <c r="EJ36" t="s">
        <v>548</v>
      </c>
      <c r="EK36">
        <v>9</v>
      </c>
      <c r="EL36" t="s">
        <v>584</v>
      </c>
      <c r="EM36">
        <v>23.6</v>
      </c>
      <c r="EN36">
        <v>75</v>
      </c>
      <c r="EO36" t="s">
        <v>264</v>
      </c>
      <c r="EP36">
        <v>-9999</v>
      </c>
      <c r="EQ36">
        <v>316</v>
      </c>
      <c r="ER36">
        <v>293</v>
      </c>
      <c r="ES36">
        <v>273</v>
      </c>
      <c r="ET36" t="s">
        <v>270</v>
      </c>
      <c r="EU36">
        <v>0</v>
      </c>
      <c r="EV36">
        <v>55</v>
      </c>
      <c r="EW36" t="s">
        <v>551</v>
      </c>
      <c r="EX36" t="s">
        <v>552</v>
      </c>
      <c r="EY36">
        <v>144</v>
      </c>
      <c r="EZ36">
        <v>145</v>
      </c>
      <c r="FA36">
        <v>145</v>
      </c>
      <c r="FB36" t="s">
        <v>270</v>
      </c>
      <c r="FC36" t="s">
        <v>553</v>
      </c>
      <c r="FD36" t="s">
        <v>552</v>
      </c>
      <c r="FE36">
        <v>329</v>
      </c>
      <c r="FF36">
        <v>328</v>
      </c>
      <c r="FG36">
        <v>327</v>
      </c>
      <c r="FH36" t="s">
        <v>270</v>
      </c>
      <c r="FI36" t="s">
        <v>554</v>
      </c>
      <c r="FJ36" t="s">
        <v>555</v>
      </c>
      <c r="FK36">
        <v>0</v>
      </c>
      <c r="FL36">
        <v>0</v>
      </c>
      <c r="FM36">
        <v>0</v>
      </c>
      <c r="FN36" t="s">
        <v>264</v>
      </c>
      <c r="FO36">
        <v>75.900000000000006</v>
      </c>
      <c r="FP36">
        <v>303.10000000000002</v>
      </c>
      <c r="FQ36" t="s">
        <v>556</v>
      </c>
      <c r="FR36" t="s">
        <v>555</v>
      </c>
      <c r="FS36">
        <v>0</v>
      </c>
      <c r="FT36">
        <v>0</v>
      </c>
      <c r="FU36">
        <v>0</v>
      </c>
      <c r="FV36" t="s">
        <v>264</v>
      </c>
      <c r="FW36">
        <v>73.3</v>
      </c>
      <c r="FX36">
        <v>112.1</v>
      </c>
      <c r="FY36" t="s">
        <v>557</v>
      </c>
      <c r="FZ36" t="s">
        <v>555</v>
      </c>
      <c r="GA36">
        <v>0</v>
      </c>
      <c r="GB36">
        <v>0</v>
      </c>
      <c r="GC36">
        <v>0</v>
      </c>
      <c r="GD36" t="s">
        <v>264</v>
      </c>
      <c r="GE36">
        <v>71.099999999999994</v>
      </c>
      <c r="GF36">
        <v>288.39999999999998</v>
      </c>
      <c r="GG36" t="s">
        <v>558</v>
      </c>
      <c r="GH36" t="s">
        <v>555</v>
      </c>
      <c r="GI36">
        <v>0</v>
      </c>
      <c r="GJ36">
        <v>0</v>
      </c>
      <c r="GK36">
        <v>0</v>
      </c>
      <c r="GL36" t="s">
        <v>264</v>
      </c>
      <c r="GM36">
        <v>68.3</v>
      </c>
      <c r="GN36">
        <v>71</v>
      </c>
      <c r="GO36" t="s">
        <v>559</v>
      </c>
      <c r="GP36" t="s">
        <v>555</v>
      </c>
      <c r="GQ36">
        <v>0</v>
      </c>
      <c r="GR36">
        <v>0</v>
      </c>
      <c r="GS36">
        <v>0</v>
      </c>
      <c r="GT36" t="s">
        <v>264</v>
      </c>
      <c r="GU36">
        <v>75.8</v>
      </c>
      <c r="GV36">
        <v>69.3</v>
      </c>
      <c r="GW36" t="s">
        <v>560</v>
      </c>
      <c r="GX36" t="s">
        <v>555</v>
      </c>
      <c r="GY36">
        <v>0</v>
      </c>
      <c r="GZ36">
        <v>0</v>
      </c>
      <c r="HA36">
        <v>0</v>
      </c>
      <c r="HB36" t="s">
        <v>264</v>
      </c>
      <c r="HC36">
        <v>70.099999999999994</v>
      </c>
      <c r="HD36">
        <v>85.3</v>
      </c>
      <c r="HE36" t="s">
        <v>561</v>
      </c>
      <c r="HF36" t="s">
        <v>555</v>
      </c>
      <c r="HG36">
        <v>0</v>
      </c>
      <c r="HH36">
        <v>0</v>
      </c>
      <c r="HI36">
        <v>0</v>
      </c>
      <c r="HJ36" t="s">
        <v>264</v>
      </c>
      <c r="HK36">
        <v>70.7</v>
      </c>
      <c r="HL36">
        <v>138.69999999999999</v>
      </c>
      <c r="HM36" t="s">
        <v>562</v>
      </c>
      <c r="HN36" t="s">
        <v>555</v>
      </c>
      <c r="HO36">
        <v>0</v>
      </c>
      <c r="HP36">
        <v>0</v>
      </c>
      <c r="HQ36">
        <v>0</v>
      </c>
      <c r="HR36" t="s">
        <v>264</v>
      </c>
      <c r="HS36">
        <v>69.099999999999994</v>
      </c>
      <c r="HT36">
        <v>92.9</v>
      </c>
      <c r="HU36" t="s">
        <v>563</v>
      </c>
      <c r="HV36" t="s">
        <v>555</v>
      </c>
      <c r="HW36">
        <v>0</v>
      </c>
      <c r="HX36">
        <v>0</v>
      </c>
      <c r="HY36">
        <v>0</v>
      </c>
      <c r="HZ36" t="s">
        <v>264</v>
      </c>
      <c r="IA36">
        <v>74.599999999999994</v>
      </c>
      <c r="IB36">
        <v>186.7</v>
      </c>
      <c r="IC36" t="s">
        <v>564</v>
      </c>
      <c r="ID36" t="s">
        <v>555</v>
      </c>
      <c r="IE36">
        <v>0</v>
      </c>
      <c r="IF36">
        <v>0</v>
      </c>
      <c r="IG36">
        <v>0</v>
      </c>
      <c r="IH36" t="s">
        <v>264</v>
      </c>
      <c r="II36">
        <v>68.099999999999994</v>
      </c>
      <c r="IJ36">
        <v>110.3</v>
      </c>
      <c r="IK36" t="s">
        <v>565</v>
      </c>
      <c r="IL36" t="s">
        <v>555</v>
      </c>
      <c r="IM36">
        <v>0</v>
      </c>
      <c r="IN36">
        <v>0</v>
      </c>
      <c r="IO36">
        <v>0</v>
      </c>
      <c r="IP36" t="s">
        <v>264</v>
      </c>
      <c r="IS36" t="s">
        <v>566</v>
      </c>
      <c r="IT36" t="s">
        <v>555</v>
      </c>
      <c r="IU36">
        <v>0</v>
      </c>
      <c r="IV36">
        <v>0</v>
      </c>
      <c r="IW36">
        <v>0</v>
      </c>
      <c r="IX36" t="s">
        <v>264</v>
      </c>
      <c r="JA36" t="s">
        <v>567</v>
      </c>
      <c r="JB36" t="s">
        <v>555</v>
      </c>
      <c r="JC36">
        <v>0</v>
      </c>
      <c r="JD36">
        <v>0</v>
      </c>
      <c r="JE36">
        <v>0</v>
      </c>
      <c r="JF36" t="s">
        <v>264</v>
      </c>
      <c r="JI36" t="s">
        <v>568</v>
      </c>
      <c r="JJ36" t="s">
        <v>555</v>
      </c>
      <c r="JK36">
        <v>0</v>
      </c>
      <c r="JL36">
        <v>0</v>
      </c>
      <c r="JM36">
        <v>0</v>
      </c>
      <c r="JN36" t="s">
        <v>264</v>
      </c>
      <c r="JQ36" t="s">
        <v>569</v>
      </c>
      <c r="JR36" t="s">
        <v>555</v>
      </c>
      <c r="JS36">
        <v>0</v>
      </c>
      <c r="JT36">
        <v>0</v>
      </c>
      <c r="JU36">
        <v>0</v>
      </c>
      <c r="JV36" t="s">
        <v>264</v>
      </c>
      <c r="JY36" t="s">
        <v>570</v>
      </c>
      <c r="JZ36" t="s">
        <v>555</v>
      </c>
      <c r="KA36">
        <v>0</v>
      </c>
      <c r="KB36">
        <v>0</v>
      </c>
      <c r="KC36">
        <v>0</v>
      </c>
      <c r="KD36" t="s">
        <v>264</v>
      </c>
      <c r="KG36" t="s">
        <v>571</v>
      </c>
      <c r="KH36" t="s">
        <v>555</v>
      </c>
      <c r="KI36">
        <v>0</v>
      </c>
      <c r="KJ36">
        <v>0</v>
      </c>
      <c r="KK36">
        <v>0</v>
      </c>
      <c r="KL36" t="s">
        <v>264</v>
      </c>
      <c r="KO36" t="s">
        <v>572</v>
      </c>
      <c r="KP36" t="s">
        <v>555</v>
      </c>
      <c r="KQ36">
        <v>0</v>
      </c>
      <c r="KR36">
        <v>0</v>
      </c>
      <c r="KS36">
        <v>0</v>
      </c>
      <c r="KT36" t="s">
        <v>264</v>
      </c>
      <c r="KW36" t="s">
        <v>573</v>
      </c>
      <c r="KX36" t="s">
        <v>555</v>
      </c>
      <c r="KY36">
        <v>0</v>
      </c>
      <c r="KZ36">
        <v>0</v>
      </c>
      <c r="LA36">
        <v>0</v>
      </c>
      <c r="LB36" t="s">
        <v>264</v>
      </c>
      <c r="LE36" t="s">
        <v>574</v>
      </c>
      <c r="LF36" t="s">
        <v>555</v>
      </c>
      <c r="LG36">
        <v>0</v>
      </c>
      <c r="LH36">
        <v>0</v>
      </c>
      <c r="LI36">
        <v>0</v>
      </c>
      <c r="LJ36" t="s">
        <v>264</v>
      </c>
      <c r="LM36" t="s">
        <v>575</v>
      </c>
      <c r="LN36" t="s">
        <v>555</v>
      </c>
      <c r="LO36">
        <v>0</v>
      </c>
      <c r="LP36">
        <v>0</v>
      </c>
      <c r="LQ36">
        <v>0</v>
      </c>
      <c r="LR36" t="s">
        <v>264</v>
      </c>
      <c r="LU36" t="s">
        <v>576</v>
      </c>
      <c r="LV36" t="s">
        <v>555</v>
      </c>
      <c r="LW36">
        <v>0</v>
      </c>
      <c r="LX36">
        <v>0</v>
      </c>
      <c r="LY36">
        <v>0</v>
      </c>
      <c r="LZ36" t="s">
        <v>264</v>
      </c>
      <c r="MC36" t="s">
        <v>577</v>
      </c>
      <c r="MD36" t="s">
        <v>555</v>
      </c>
      <c r="ME36">
        <v>0</v>
      </c>
      <c r="MF36">
        <v>0</v>
      </c>
      <c r="MG36">
        <v>0</v>
      </c>
      <c r="MH36" t="s">
        <v>264</v>
      </c>
      <c r="MK36" t="s">
        <v>578</v>
      </c>
      <c r="ML36" t="s">
        <v>555</v>
      </c>
      <c r="MM36">
        <v>0</v>
      </c>
      <c r="MN36">
        <v>0</v>
      </c>
      <c r="MO36">
        <v>0</v>
      </c>
      <c r="MP36" t="s">
        <v>264</v>
      </c>
      <c r="MS36" t="s">
        <v>579</v>
      </c>
      <c r="MT36" t="s">
        <v>555</v>
      </c>
      <c r="MU36">
        <v>0</v>
      </c>
      <c r="MV36">
        <v>0</v>
      </c>
      <c r="MW36">
        <v>0</v>
      </c>
      <c r="MX36" t="s">
        <v>264</v>
      </c>
      <c r="NA36" t="s">
        <v>580</v>
      </c>
      <c r="NB36" t="s">
        <v>555</v>
      </c>
      <c r="NC36">
        <v>0</v>
      </c>
      <c r="ND36">
        <v>0</v>
      </c>
      <c r="NE36">
        <v>0</v>
      </c>
      <c r="NF36" t="s">
        <v>264</v>
      </c>
      <c r="NI36">
        <v>40</v>
      </c>
      <c r="NJ36">
        <v>-10.8</v>
      </c>
      <c r="NP36" t="s">
        <v>624</v>
      </c>
    </row>
    <row r="37" spans="1:380" customFormat="1" x14ac:dyDescent="0.2">
      <c r="A37" t="s">
        <v>517</v>
      </c>
      <c r="B37">
        <v>1</v>
      </c>
      <c r="C37" t="s">
        <v>875</v>
      </c>
      <c r="D37">
        <v>646960346</v>
      </c>
      <c r="E37">
        <v>12602</v>
      </c>
      <c r="F37" t="s">
        <v>805</v>
      </c>
      <c r="G37">
        <v>802069</v>
      </c>
      <c r="H37">
        <v>210032965</v>
      </c>
      <c r="I37" t="s">
        <v>622</v>
      </c>
      <c r="J37" t="s">
        <v>876</v>
      </c>
      <c r="K37" t="s">
        <v>545</v>
      </c>
      <c r="L37" t="s">
        <v>442</v>
      </c>
      <c r="M37" t="s">
        <v>546</v>
      </c>
      <c r="N37" t="s">
        <v>468</v>
      </c>
      <c r="O37" t="s">
        <v>547</v>
      </c>
      <c r="P37" t="s">
        <v>264</v>
      </c>
      <c r="Q37">
        <v>25.3</v>
      </c>
      <c r="R37">
        <v>260</v>
      </c>
      <c r="S37" t="s">
        <v>264</v>
      </c>
      <c r="T37">
        <v>-9999</v>
      </c>
      <c r="U37">
        <v>558</v>
      </c>
      <c r="V37">
        <v>573</v>
      </c>
      <c r="W37">
        <v>547</v>
      </c>
      <c r="X37" t="s">
        <v>270</v>
      </c>
      <c r="Y37">
        <v>0</v>
      </c>
      <c r="Z37">
        <v>55</v>
      </c>
      <c r="AA37" t="s">
        <v>469</v>
      </c>
      <c r="AB37" t="s">
        <v>548</v>
      </c>
      <c r="AC37">
        <v>1</v>
      </c>
      <c r="AD37" t="s">
        <v>584</v>
      </c>
      <c r="AE37">
        <v>22.8</v>
      </c>
      <c r="AF37">
        <v>1451</v>
      </c>
      <c r="AG37" t="s">
        <v>264</v>
      </c>
      <c r="AH37">
        <v>-9999</v>
      </c>
      <c r="AI37">
        <v>471</v>
      </c>
      <c r="AJ37">
        <v>587</v>
      </c>
      <c r="AK37">
        <v>467</v>
      </c>
      <c r="AL37" t="s">
        <v>270</v>
      </c>
      <c r="AM37">
        <v>0</v>
      </c>
      <c r="AN37">
        <v>55</v>
      </c>
      <c r="AO37" t="s">
        <v>470</v>
      </c>
      <c r="AP37" t="s">
        <v>548</v>
      </c>
      <c r="AQ37">
        <v>2</v>
      </c>
      <c r="AR37" t="s">
        <v>584</v>
      </c>
      <c r="AS37">
        <v>33.299999999999997</v>
      </c>
      <c r="AT37">
        <v>378</v>
      </c>
      <c r="AU37" t="s">
        <v>264</v>
      </c>
      <c r="AV37">
        <v>-9999</v>
      </c>
      <c r="AW37">
        <v>351</v>
      </c>
      <c r="AX37">
        <v>368</v>
      </c>
      <c r="AY37">
        <v>350</v>
      </c>
      <c r="AZ37" t="s">
        <v>270</v>
      </c>
      <c r="BA37">
        <v>0</v>
      </c>
      <c r="BB37">
        <v>55</v>
      </c>
      <c r="BC37" t="s">
        <v>550</v>
      </c>
      <c r="BD37" t="s">
        <v>548</v>
      </c>
      <c r="BE37">
        <v>3</v>
      </c>
      <c r="BF37" t="s">
        <v>584</v>
      </c>
      <c r="BG37">
        <v>20.3</v>
      </c>
      <c r="BH37">
        <v>799</v>
      </c>
      <c r="BI37" t="s">
        <v>264</v>
      </c>
      <c r="BJ37">
        <v>-9999</v>
      </c>
      <c r="BK37">
        <v>154</v>
      </c>
      <c r="BL37">
        <v>196</v>
      </c>
      <c r="BM37">
        <v>155</v>
      </c>
      <c r="BN37" t="s">
        <v>270</v>
      </c>
      <c r="BO37">
        <v>0</v>
      </c>
      <c r="BP37">
        <v>55</v>
      </c>
      <c r="BQ37" t="s">
        <v>504</v>
      </c>
      <c r="BR37" t="s">
        <v>548</v>
      </c>
      <c r="BS37">
        <v>4</v>
      </c>
      <c r="BT37" t="s">
        <v>584</v>
      </c>
      <c r="BU37">
        <v>27.4</v>
      </c>
      <c r="BV37">
        <v>285</v>
      </c>
      <c r="BW37" t="s">
        <v>264</v>
      </c>
      <c r="BX37">
        <v>-9999</v>
      </c>
      <c r="BY37">
        <v>224</v>
      </c>
      <c r="BZ37">
        <v>259</v>
      </c>
      <c r="CA37">
        <v>222</v>
      </c>
      <c r="CB37" t="s">
        <v>270</v>
      </c>
      <c r="CC37">
        <v>0</v>
      </c>
      <c r="CD37">
        <v>55</v>
      </c>
      <c r="CE37" t="s">
        <v>471</v>
      </c>
      <c r="CF37" t="s">
        <v>548</v>
      </c>
      <c r="CG37">
        <v>5</v>
      </c>
      <c r="CH37" t="s">
        <v>584</v>
      </c>
      <c r="CI37">
        <v>32</v>
      </c>
      <c r="CJ37">
        <v>207</v>
      </c>
      <c r="CK37" t="s">
        <v>264</v>
      </c>
      <c r="CL37">
        <v>-9999</v>
      </c>
      <c r="CM37">
        <v>529</v>
      </c>
      <c r="CN37">
        <v>619</v>
      </c>
      <c r="CO37">
        <v>529</v>
      </c>
      <c r="CP37" t="s">
        <v>270</v>
      </c>
      <c r="CQ37">
        <v>0</v>
      </c>
      <c r="CR37">
        <v>55</v>
      </c>
      <c r="CS37" t="s">
        <v>472</v>
      </c>
      <c r="CT37" t="s">
        <v>548</v>
      </c>
      <c r="CU37">
        <v>6</v>
      </c>
      <c r="CV37" t="s">
        <v>584</v>
      </c>
      <c r="CW37">
        <v>30.3</v>
      </c>
      <c r="CX37">
        <v>293</v>
      </c>
      <c r="CY37" t="s">
        <v>264</v>
      </c>
      <c r="CZ37">
        <v>-9999</v>
      </c>
      <c r="DA37">
        <v>649</v>
      </c>
      <c r="DB37">
        <v>736</v>
      </c>
      <c r="DC37">
        <v>637</v>
      </c>
      <c r="DD37" t="s">
        <v>270</v>
      </c>
      <c r="DE37">
        <v>0</v>
      </c>
      <c r="DF37">
        <v>55</v>
      </c>
      <c r="DG37" t="s">
        <v>473</v>
      </c>
      <c r="DH37" t="s">
        <v>548</v>
      </c>
      <c r="DI37">
        <v>7</v>
      </c>
      <c r="DJ37" t="s">
        <v>584</v>
      </c>
      <c r="DK37">
        <v>23.8</v>
      </c>
      <c r="DL37">
        <v>194</v>
      </c>
      <c r="DM37" t="s">
        <v>264</v>
      </c>
      <c r="DN37">
        <v>-9999</v>
      </c>
      <c r="DO37">
        <v>571</v>
      </c>
      <c r="DP37">
        <v>650</v>
      </c>
      <c r="DQ37">
        <v>566</v>
      </c>
      <c r="DR37" t="s">
        <v>270</v>
      </c>
      <c r="DS37">
        <v>0</v>
      </c>
      <c r="DT37">
        <v>55</v>
      </c>
      <c r="DU37" t="s">
        <v>474</v>
      </c>
      <c r="DV37" t="s">
        <v>548</v>
      </c>
      <c r="DW37">
        <v>8</v>
      </c>
      <c r="DX37" t="s">
        <v>584</v>
      </c>
      <c r="DY37">
        <v>20.100000000000001</v>
      </c>
      <c r="DZ37">
        <v>486</v>
      </c>
      <c r="EA37" t="s">
        <v>264</v>
      </c>
      <c r="EB37">
        <v>-9999</v>
      </c>
      <c r="EC37">
        <v>106</v>
      </c>
      <c r="ED37">
        <v>131</v>
      </c>
      <c r="EE37">
        <v>104</v>
      </c>
      <c r="EF37" t="s">
        <v>270</v>
      </c>
      <c r="EG37">
        <v>0</v>
      </c>
      <c r="EH37">
        <v>55</v>
      </c>
      <c r="EI37" t="s">
        <v>475</v>
      </c>
      <c r="EJ37" t="s">
        <v>548</v>
      </c>
      <c r="EK37">
        <v>9</v>
      </c>
      <c r="EL37" t="s">
        <v>584</v>
      </c>
      <c r="EM37">
        <v>25.6</v>
      </c>
      <c r="EN37">
        <v>65</v>
      </c>
      <c r="EO37" t="s">
        <v>264</v>
      </c>
      <c r="EP37">
        <v>-9999</v>
      </c>
      <c r="EQ37">
        <v>323</v>
      </c>
      <c r="ER37">
        <v>308</v>
      </c>
      <c r="ES37">
        <v>286</v>
      </c>
      <c r="ET37" t="s">
        <v>270</v>
      </c>
      <c r="EU37">
        <v>0</v>
      </c>
      <c r="EV37">
        <v>55</v>
      </c>
      <c r="EW37" t="s">
        <v>551</v>
      </c>
      <c r="EX37" t="s">
        <v>552</v>
      </c>
      <c r="EY37">
        <v>141</v>
      </c>
      <c r="EZ37">
        <v>141</v>
      </c>
      <c r="FA37">
        <v>141</v>
      </c>
      <c r="FB37" t="s">
        <v>270</v>
      </c>
      <c r="FC37" t="s">
        <v>553</v>
      </c>
      <c r="FD37" t="s">
        <v>552</v>
      </c>
      <c r="FE37">
        <v>307</v>
      </c>
      <c r="FF37">
        <v>306</v>
      </c>
      <c r="FG37">
        <v>306</v>
      </c>
      <c r="FH37" t="s">
        <v>270</v>
      </c>
      <c r="FI37" t="s">
        <v>554</v>
      </c>
      <c r="FJ37" t="s">
        <v>555</v>
      </c>
      <c r="FK37">
        <v>0</v>
      </c>
      <c r="FL37">
        <v>0</v>
      </c>
      <c r="FM37">
        <v>0</v>
      </c>
      <c r="FN37" t="s">
        <v>264</v>
      </c>
      <c r="FO37">
        <v>75.8</v>
      </c>
      <c r="FP37">
        <v>284.2</v>
      </c>
      <c r="FQ37" t="s">
        <v>556</v>
      </c>
      <c r="FR37" t="s">
        <v>555</v>
      </c>
      <c r="FS37">
        <v>0</v>
      </c>
      <c r="FT37">
        <v>0</v>
      </c>
      <c r="FU37">
        <v>0</v>
      </c>
      <c r="FV37" t="s">
        <v>264</v>
      </c>
      <c r="FW37">
        <v>73.3</v>
      </c>
      <c r="FX37">
        <v>84.2</v>
      </c>
      <c r="FY37" t="s">
        <v>557</v>
      </c>
      <c r="FZ37" t="s">
        <v>555</v>
      </c>
      <c r="GA37">
        <v>0</v>
      </c>
      <c r="GB37">
        <v>0</v>
      </c>
      <c r="GC37">
        <v>0</v>
      </c>
      <c r="GD37" t="s">
        <v>264</v>
      </c>
      <c r="GE37">
        <v>71.099999999999994</v>
      </c>
      <c r="GF37">
        <v>264.3</v>
      </c>
      <c r="GG37" t="s">
        <v>558</v>
      </c>
      <c r="GH37" t="s">
        <v>555</v>
      </c>
      <c r="GI37">
        <v>0</v>
      </c>
      <c r="GJ37">
        <v>0</v>
      </c>
      <c r="GK37">
        <v>0</v>
      </c>
      <c r="GL37" t="s">
        <v>264</v>
      </c>
      <c r="GM37">
        <v>68.2</v>
      </c>
      <c r="GN37">
        <v>51.6</v>
      </c>
      <c r="GO37" t="s">
        <v>559</v>
      </c>
      <c r="GP37" t="s">
        <v>555</v>
      </c>
      <c r="GQ37">
        <v>0</v>
      </c>
      <c r="GR37">
        <v>0</v>
      </c>
      <c r="GS37">
        <v>0</v>
      </c>
      <c r="GT37" t="s">
        <v>264</v>
      </c>
      <c r="GU37">
        <v>75.8</v>
      </c>
      <c r="GV37">
        <v>55.3</v>
      </c>
      <c r="GW37" t="s">
        <v>560</v>
      </c>
      <c r="GX37" t="s">
        <v>555</v>
      </c>
      <c r="GY37">
        <v>0</v>
      </c>
      <c r="GZ37">
        <v>0</v>
      </c>
      <c r="HA37">
        <v>0</v>
      </c>
      <c r="HB37" t="s">
        <v>264</v>
      </c>
      <c r="HC37">
        <v>70.099999999999994</v>
      </c>
      <c r="HD37">
        <v>87.7</v>
      </c>
      <c r="HE37" t="s">
        <v>561</v>
      </c>
      <c r="HF37" t="s">
        <v>555</v>
      </c>
      <c r="HG37">
        <v>0</v>
      </c>
      <c r="HH37">
        <v>0</v>
      </c>
      <c r="HI37">
        <v>0</v>
      </c>
      <c r="HJ37" t="s">
        <v>264</v>
      </c>
      <c r="HK37">
        <v>70.7</v>
      </c>
      <c r="HL37">
        <v>137.9</v>
      </c>
      <c r="HM37" t="s">
        <v>562</v>
      </c>
      <c r="HN37" t="s">
        <v>555</v>
      </c>
      <c r="HO37">
        <v>0</v>
      </c>
      <c r="HP37">
        <v>0</v>
      </c>
      <c r="HQ37">
        <v>0</v>
      </c>
      <c r="HR37" t="s">
        <v>264</v>
      </c>
      <c r="HS37">
        <v>69</v>
      </c>
      <c r="HT37">
        <v>91</v>
      </c>
      <c r="HU37" t="s">
        <v>563</v>
      </c>
      <c r="HV37" t="s">
        <v>555</v>
      </c>
      <c r="HW37">
        <v>0</v>
      </c>
      <c r="HX37">
        <v>0</v>
      </c>
      <c r="HY37">
        <v>0</v>
      </c>
      <c r="HZ37" t="s">
        <v>264</v>
      </c>
      <c r="IA37">
        <v>74.5</v>
      </c>
      <c r="IB37">
        <v>193</v>
      </c>
      <c r="IC37" t="s">
        <v>564</v>
      </c>
      <c r="ID37" t="s">
        <v>555</v>
      </c>
      <c r="IE37">
        <v>0</v>
      </c>
      <c r="IF37">
        <v>0</v>
      </c>
      <c r="IG37">
        <v>0</v>
      </c>
      <c r="IH37" t="s">
        <v>264</v>
      </c>
      <c r="II37">
        <v>68.099999999999994</v>
      </c>
      <c r="IJ37">
        <v>116.7</v>
      </c>
      <c r="IK37" t="s">
        <v>565</v>
      </c>
      <c r="IL37" t="s">
        <v>555</v>
      </c>
      <c r="IM37">
        <v>0</v>
      </c>
      <c r="IN37">
        <v>0</v>
      </c>
      <c r="IO37">
        <v>0</v>
      </c>
      <c r="IP37" t="s">
        <v>264</v>
      </c>
      <c r="IS37" t="s">
        <v>566</v>
      </c>
      <c r="IT37" t="s">
        <v>555</v>
      </c>
      <c r="IU37">
        <v>0</v>
      </c>
      <c r="IV37">
        <v>0</v>
      </c>
      <c r="IW37">
        <v>0</v>
      </c>
      <c r="IX37" t="s">
        <v>264</v>
      </c>
      <c r="JA37" t="s">
        <v>567</v>
      </c>
      <c r="JB37" t="s">
        <v>555</v>
      </c>
      <c r="JC37">
        <v>0</v>
      </c>
      <c r="JD37">
        <v>0</v>
      </c>
      <c r="JE37">
        <v>0</v>
      </c>
      <c r="JF37" t="s">
        <v>264</v>
      </c>
      <c r="JI37" t="s">
        <v>568</v>
      </c>
      <c r="JJ37" t="s">
        <v>555</v>
      </c>
      <c r="JK37">
        <v>0</v>
      </c>
      <c r="JL37">
        <v>0</v>
      </c>
      <c r="JM37">
        <v>0</v>
      </c>
      <c r="JN37" t="s">
        <v>264</v>
      </c>
      <c r="JQ37" t="s">
        <v>569</v>
      </c>
      <c r="JR37" t="s">
        <v>555</v>
      </c>
      <c r="JS37">
        <v>0</v>
      </c>
      <c r="JT37">
        <v>0</v>
      </c>
      <c r="JU37">
        <v>0</v>
      </c>
      <c r="JV37" t="s">
        <v>264</v>
      </c>
      <c r="JY37" t="s">
        <v>570</v>
      </c>
      <c r="JZ37" t="s">
        <v>555</v>
      </c>
      <c r="KA37">
        <v>0</v>
      </c>
      <c r="KB37">
        <v>0</v>
      </c>
      <c r="KC37">
        <v>0</v>
      </c>
      <c r="KD37" t="s">
        <v>264</v>
      </c>
      <c r="KG37" t="s">
        <v>571</v>
      </c>
      <c r="KH37" t="s">
        <v>555</v>
      </c>
      <c r="KI37">
        <v>0</v>
      </c>
      <c r="KJ37">
        <v>0</v>
      </c>
      <c r="KK37">
        <v>0</v>
      </c>
      <c r="KL37" t="s">
        <v>264</v>
      </c>
      <c r="KO37" t="s">
        <v>572</v>
      </c>
      <c r="KP37" t="s">
        <v>555</v>
      </c>
      <c r="KQ37">
        <v>0</v>
      </c>
      <c r="KR37">
        <v>0</v>
      </c>
      <c r="KS37">
        <v>0</v>
      </c>
      <c r="KT37" t="s">
        <v>264</v>
      </c>
      <c r="KW37" t="s">
        <v>573</v>
      </c>
      <c r="KX37" t="s">
        <v>555</v>
      </c>
      <c r="KY37">
        <v>0</v>
      </c>
      <c r="KZ37">
        <v>0</v>
      </c>
      <c r="LA37">
        <v>0</v>
      </c>
      <c r="LB37" t="s">
        <v>264</v>
      </c>
      <c r="LE37" t="s">
        <v>574</v>
      </c>
      <c r="LF37" t="s">
        <v>555</v>
      </c>
      <c r="LG37">
        <v>0</v>
      </c>
      <c r="LH37">
        <v>0</v>
      </c>
      <c r="LI37">
        <v>0</v>
      </c>
      <c r="LJ37" t="s">
        <v>264</v>
      </c>
      <c r="LM37" t="s">
        <v>575</v>
      </c>
      <c r="LN37" t="s">
        <v>555</v>
      </c>
      <c r="LO37">
        <v>0</v>
      </c>
      <c r="LP37">
        <v>0</v>
      </c>
      <c r="LQ37">
        <v>0</v>
      </c>
      <c r="LR37" t="s">
        <v>264</v>
      </c>
      <c r="LU37" t="s">
        <v>576</v>
      </c>
      <c r="LV37" t="s">
        <v>555</v>
      </c>
      <c r="LW37">
        <v>0</v>
      </c>
      <c r="LX37">
        <v>0</v>
      </c>
      <c r="LY37">
        <v>0</v>
      </c>
      <c r="LZ37" t="s">
        <v>264</v>
      </c>
      <c r="MC37" t="s">
        <v>577</v>
      </c>
      <c r="MD37" t="s">
        <v>555</v>
      </c>
      <c r="ME37">
        <v>0</v>
      </c>
      <c r="MF37">
        <v>0</v>
      </c>
      <c r="MG37">
        <v>0</v>
      </c>
      <c r="MH37" t="s">
        <v>264</v>
      </c>
      <c r="MK37" t="s">
        <v>578</v>
      </c>
      <c r="ML37" t="s">
        <v>555</v>
      </c>
      <c r="MM37">
        <v>0</v>
      </c>
      <c r="MN37">
        <v>0</v>
      </c>
      <c r="MO37">
        <v>0</v>
      </c>
      <c r="MP37" t="s">
        <v>264</v>
      </c>
      <c r="MS37" t="s">
        <v>579</v>
      </c>
      <c r="MT37" t="s">
        <v>555</v>
      </c>
      <c r="MU37">
        <v>0</v>
      </c>
      <c r="MV37">
        <v>0</v>
      </c>
      <c r="MW37">
        <v>0</v>
      </c>
      <c r="MX37" t="s">
        <v>264</v>
      </c>
      <c r="NA37" t="s">
        <v>580</v>
      </c>
      <c r="NB37" t="s">
        <v>555</v>
      </c>
      <c r="NC37">
        <v>0</v>
      </c>
      <c r="ND37">
        <v>0</v>
      </c>
      <c r="NE37">
        <v>0</v>
      </c>
      <c r="NF37" t="s">
        <v>264</v>
      </c>
      <c r="NI37">
        <v>40</v>
      </c>
      <c r="NJ37">
        <v>-6.1</v>
      </c>
      <c r="NP37" t="s">
        <v>624</v>
      </c>
    </row>
    <row r="38" spans="1:380" customFormat="1" x14ac:dyDescent="0.2">
      <c r="A38" t="s">
        <v>517</v>
      </c>
      <c r="B38">
        <v>1</v>
      </c>
      <c r="C38" t="s">
        <v>877</v>
      </c>
      <c r="D38">
        <v>646960347</v>
      </c>
      <c r="E38">
        <v>12602</v>
      </c>
      <c r="F38" t="s">
        <v>805</v>
      </c>
      <c r="G38">
        <v>802069</v>
      </c>
      <c r="H38">
        <v>210055242</v>
      </c>
      <c r="I38" t="s">
        <v>622</v>
      </c>
      <c r="J38" t="s">
        <v>878</v>
      </c>
      <c r="K38" t="s">
        <v>545</v>
      </c>
      <c r="L38" t="s">
        <v>442</v>
      </c>
      <c r="M38" t="s">
        <v>546</v>
      </c>
      <c r="N38" t="s">
        <v>468</v>
      </c>
      <c r="O38" t="s">
        <v>547</v>
      </c>
      <c r="P38" t="s">
        <v>264</v>
      </c>
      <c r="Q38">
        <v>26.2</v>
      </c>
      <c r="R38">
        <v>218</v>
      </c>
      <c r="S38" t="s">
        <v>264</v>
      </c>
      <c r="T38">
        <v>-9999</v>
      </c>
      <c r="U38">
        <v>589</v>
      </c>
      <c r="V38">
        <v>609</v>
      </c>
      <c r="W38">
        <v>581</v>
      </c>
      <c r="X38" t="s">
        <v>270</v>
      </c>
      <c r="Y38">
        <v>0</v>
      </c>
      <c r="Z38">
        <v>55</v>
      </c>
      <c r="AA38" t="s">
        <v>469</v>
      </c>
      <c r="AB38" t="s">
        <v>548</v>
      </c>
      <c r="AC38">
        <v>1</v>
      </c>
      <c r="AD38" t="s">
        <v>584</v>
      </c>
      <c r="AE38">
        <v>25.6</v>
      </c>
      <c r="AF38">
        <v>1280</v>
      </c>
      <c r="AG38" t="s">
        <v>264</v>
      </c>
      <c r="AH38">
        <v>-9999</v>
      </c>
      <c r="AI38">
        <v>491</v>
      </c>
      <c r="AJ38">
        <v>601</v>
      </c>
      <c r="AK38">
        <v>485</v>
      </c>
      <c r="AL38" t="s">
        <v>270</v>
      </c>
      <c r="AM38">
        <v>0</v>
      </c>
      <c r="AN38">
        <v>55</v>
      </c>
      <c r="AO38" t="s">
        <v>470</v>
      </c>
      <c r="AP38" t="s">
        <v>548</v>
      </c>
      <c r="AQ38">
        <v>2</v>
      </c>
      <c r="AR38" t="s">
        <v>584</v>
      </c>
      <c r="AS38">
        <v>37.299999999999997</v>
      </c>
      <c r="AT38">
        <v>337</v>
      </c>
      <c r="AU38" t="s">
        <v>264</v>
      </c>
      <c r="AV38">
        <v>-9999</v>
      </c>
      <c r="AW38">
        <v>345</v>
      </c>
      <c r="AX38">
        <v>362</v>
      </c>
      <c r="AY38">
        <v>343</v>
      </c>
      <c r="AZ38" t="s">
        <v>270</v>
      </c>
      <c r="BA38">
        <v>0</v>
      </c>
      <c r="BB38">
        <v>55</v>
      </c>
      <c r="BC38" t="s">
        <v>550</v>
      </c>
      <c r="BD38" t="s">
        <v>548</v>
      </c>
      <c r="BE38">
        <v>3</v>
      </c>
      <c r="BF38" t="s">
        <v>584</v>
      </c>
      <c r="BG38">
        <v>20.9</v>
      </c>
      <c r="BH38">
        <v>1007</v>
      </c>
      <c r="BI38" t="s">
        <v>264</v>
      </c>
      <c r="BJ38">
        <v>-9999</v>
      </c>
      <c r="BK38">
        <v>91</v>
      </c>
      <c r="BL38">
        <v>126</v>
      </c>
      <c r="BM38">
        <v>97</v>
      </c>
      <c r="BN38" t="s">
        <v>270</v>
      </c>
      <c r="BO38">
        <v>0</v>
      </c>
      <c r="BP38">
        <v>55</v>
      </c>
      <c r="BQ38" t="s">
        <v>504</v>
      </c>
      <c r="BR38" t="s">
        <v>548</v>
      </c>
      <c r="BS38">
        <v>4</v>
      </c>
      <c r="BT38" t="s">
        <v>584</v>
      </c>
      <c r="BU38">
        <v>29.3</v>
      </c>
      <c r="BV38">
        <v>284</v>
      </c>
      <c r="BW38" t="s">
        <v>264</v>
      </c>
      <c r="BX38">
        <v>-9999</v>
      </c>
      <c r="BY38">
        <v>211</v>
      </c>
      <c r="BZ38">
        <v>244</v>
      </c>
      <c r="CA38">
        <v>209</v>
      </c>
      <c r="CB38" t="s">
        <v>270</v>
      </c>
      <c r="CC38">
        <v>0</v>
      </c>
      <c r="CD38">
        <v>55</v>
      </c>
      <c r="CE38" t="s">
        <v>471</v>
      </c>
      <c r="CF38" t="s">
        <v>548</v>
      </c>
      <c r="CG38">
        <v>5</v>
      </c>
      <c r="CH38" t="s">
        <v>584</v>
      </c>
      <c r="CI38">
        <v>34.799999999999997</v>
      </c>
      <c r="CJ38">
        <v>195</v>
      </c>
      <c r="CK38" t="s">
        <v>264</v>
      </c>
      <c r="CL38">
        <v>-9999</v>
      </c>
      <c r="CM38">
        <v>503</v>
      </c>
      <c r="CN38">
        <v>589</v>
      </c>
      <c r="CO38">
        <v>504</v>
      </c>
      <c r="CP38" t="s">
        <v>270</v>
      </c>
      <c r="CQ38">
        <v>0</v>
      </c>
      <c r="CR38">
        <v>55</v>
      </c>
      <c r="CS38" t="s">
        <v>472</v>
      </c>
      <c r="CT38" t="s">
        <v>548</v>
      </c>
      <c r="CU38">
        <v>6</v>
      </c>
      <c r="CV38" t="s">
        <v>584</v>
      </c>
      <c r="CW38">
        <v>34.1</v>
      </c>
      <c r="CX38">
        <v>222</v>
      </c>
      <c r="CY38" t="s">
        <v>264</v>
      </c>
      <c r="CZ38">
        <v>-9999</v>
      </c>
      <c r="DA38">
        <v>694</v>
      </c>
      <c r="DB38">
        <v>786</v>
      </c>
      <c r="DC38">
        <v>684</v>
      </c>
      <c r="DD38" t="s">
        <v>270</v>
      </c>
      <c r="DE38">
        <v>0</v>
      </c>
      <c r="DF38">
        <v>55</v>
      </c>
      <c r="DG38" t="s">
        <v>473</v>
      </c>
      <c r="DH38" t="s">
        <v>548</v>
      </c>
      <c r="DI38">
        <v>7</v>
      </c>
      <c r="DJ38" t="s">
        <v>584</v>
      </c>
      <c r="DK38">
        <v>24.3</v>
      </c>
      <c r="DL38">
        <v>213</v>
      </c>
      <c r="DM38" t="s">
        <v>264</v>
      </c>
      <c r="DN38">
        <v>-9999</v>
      </c>
      <c r="DO38">
        <v>548</v>
      </c>
      <c r="DP38">
        <v>627</v>
      </c>
      <c r="DQ38">
        <v>544</v>
      </c>
      <c r="DR38" t="s">
        <v>270</v>
      </c>
      <c r="DS38">
        <v>0</v>
      </c>
      <c r="DT38">
        <v>55</v>
      </c>
      <c r="DU38" t="s">
        <v>474</v>
      </c>
      <c r="DV38" t="s">
        <v>548</v>
      </c>
      <c r="DW38">
        <v>8</v>
      </c>
      <c r="DX38" t="s">
        <v>584</v>
      </c>
      <c r="DY38">
        <v>21.9</v>
      </c>
      <c r="DZ38">
        <v>417</v>
      </c>
      <c r="EA38" t="s">
        <v>264</v>
      </c>
      <c r="EB38">
        <v>-9999</v>
      </c>
      <c r="EC38">
        <v>109</v>
      </c>
      <c r="ED38">
        <v>131</v>
      </c>
      <c r="EE38">
        <v>107</v>
      </c>
      <c r="EF38" t="s">
        <v>270</v>
      </c>
      <c r="EG38">
        <v>0</v>
      </c>
      <c r="EH38">
        <v>55</v>
      </c>
      <c r="EI38" t="s">
        <v>475</v>
      </c>
      <c r="EJ38" t="s">
        <v>548</v>
      </c>
      <c r="EK38">
        <v>9</v>
      </c>
      <c r="EL38" t="s">
        <v>584</v>
      </c>
      <c r="EM38">
        <v>26.1</v>
      </c>
      <c r="EN38">
        <v>89</v>
      </c>
      <c r="EO38" t="s">
        <v>264</v>
      </c>
      <c r="EP38">
        <v>-9999</v>
      </c>
      <c r="EQ38">
        <v>401</v>
      </c>
      <c r="ER38">
        <v>376</v>
      </c>
      <c r="ES38">
        <v>343</v>
      </c>
      <c r="ET38" t="s">
        <v>270</v>
      </c>
      <c r="EU38">
        <v>0</v>
      </c>
      <c r="EV38">
        <v>55</v>
      </c>
      <c r="EW38" t="s">
        <v>551</v>
      </c>
      <c r="EX38" t="s">
        <v>552</v>
      </c>
      <c r="EY38">
        <v>142</v>
      </c>
      <c r="EZ38">
        <v>142</v>
      </c>
      <c r="FA38">
        <v>142</v>
      </c>
      <c r="FB38" t="s">
        <v>270</v>
      </c>
      <c r="FC38" t="s">
        <v>553</v>
      </c>
      <c r="FD38" t="s">
        <v>552</v>
      </c>
      <c r="FE38">
        <v>296</v>
      </c>
      <c r="FF38">
        <v>295</v>
      </c>
      <c r="FG38">
        <v>294</v>
      </c>
      <c r="FH38" t="s">
        <v>270</v>
      </c>
      <c r="FI38" t="s">
        <v>554</v>
      </c>
      <c r="FJ38" t="s">
        <v>555</v>
      </c>
      <c r="FK38">
        <v>0</v>
      </c>
      <c r="FL38">
        <v>0</v>
      </c>
      <c r="FM38">
        <v>0</v>
      </c>
      <c r="FN38" t="s">
        <v>264</v>
      </c>
      <c r="FO38">
        <v>75.900000000000006</v>
      </c>
      <c r="FP38">
        <v>283.89999999999998</v>
      </c>
      <c r="FQ38" t="s">
        <v>556</v>
      </c>
      <c r="FR38" t="s">
        <v>555</v>
      </c>
      <c r="FS38">
        <v>0</v>
      </c>
      <c r="FT38">
        <v>0</v>
      </c>
      <c r="FU38">
        <v>0</v>
      </c>
      <c r="FV38" t="s">
        <v>264</v>
      </c>
      <c r="FW38">
        <v>73.3</v>
      </c>
      <c r="FX38">
        <v>84.4</v>
      </c>
      <c r="FY38" t="s">
        <v>557</v>
      </c>
      <c r="FZ38" t="s">
        <v>555</v>
      </c>
      <c r="GA38">
        <v>0</v>
      </c>
      <c r="GB38">
        <v>0</v>
      </c>
      <c r="GC38">
        <v>0</v>
      </c>
      <c r="GD38" t="s">
        <v>264</v>
      </c>
      <c r="GE38">
        <v>71.099999999999994</v>
      </c>
      <c r="GF38">
        <v>238.7</v>
      </c>
      <c r="GG38" t="s">
        <v>558</v>
      </c>
      <c r="GH38" t="s">
        <v>555</v>
      </c>
      <c r="GI38">
        <v>0</v>
      </c>
      <c r="GJ38">
        <v>0</v>
      </c>
      <c r="GK38">
        <v>0</v>
      </c>
      <c r="GL38" t="s">
        <v>264</v>
      </c>
      <c r="GM38">
        <v>68.3</v>
      </c>
      <c r="GN38">
        <v>52.1</v>
      </c>
      <c r="GO38" t="s">
        <v>559</v>
      </c>
      <c r="GP38" t="s">
        <v>555</v>
      </c>
      <c r="GQ38">
        <v>0</v>
      </c>
      <c r="GR38">
        <v>0</v>
      </c>
      <c r="GS38">
        <v>0</v>
      </c>
      <c r="GT38" t="s">
        <v>264</v>
      </c>
      <c r="GU38">
        <v>75.8</v>
      </c>
      <c r="GV38">
        <v>55.9</v>
      </c>
      <c r="GW38" t="s">
        <v>560</v>
      </c>
      <c r="GX38" t="s">
        <v>555</v>
      </c>
      <c r="GY38">
        <v>0</v>
      </c>
      <c r="GZ38">
        <v>0</v>
      </c>
      <c r="HA38">
        <v>0</v>
      </c>
      <c r="HB38" t="s">
        <v>264</v>
      </c>
      <c r="HC38">
        <v>70.099999999999994</v>
      </c>
      <c r="HD38">
        <v>81.5</v>
      </c>
      <c r="HE38" t="s">
        <v>561</v>
      </c>
      <c r="HF38" t="s">
        <v>555</v>
      </c>
      <c r="HG38">
        <v>0</v>
      </c>
      <c r="HH38">
        <v>0</v>
      </c>
      <c r="HI38">
        <v>0</v>
      </c>
      <c r="HJ38" t="s">
        <v>264</v>
      </c>
      <c r="HK38">
        <v>70.7</v>
      </c>
      <c r="HL38">
        <v>134.69999999999999</v>
      </c>
      <c r="HM38" t="s">
        <v>562</v>
      </c>
      <c r="HN38" t="s">
        <v>555</v>
      </c>
      <c r="HO38">
        <v>0</v>
      </c>
      <c r="HP38">
        <v>0</v>
      </c>
      <c r="HQ38">
        <v>0</v>
      </c>
      <c r="HR38" t="s">
        <v>264</v>
      </c>
      <c r="HS38">
        <v>69.099999999999994</v>
      </c>
      <c r="HT38">
        <v>89.1</v>
      </c>
      <c r="HU38" t="s">
        <v>563</v>
      </c>
      <c r="HV38" t="s">
        <v>555</v>
      </c>
      <c r="HW38">
        <v>0</v>
      </c>
      <c r="HX38">
        <v>0</v>
      </c>
      <c r="HY38">
        <v>0</v>
      </c>
      <c r="HZ38" t="s">
        <v>264</v>
      </c>
      <c r="IA38">
        <v>74.599999999999994</v>
      </c>
      <c r="IB38">
        <v>169</v>
      </c>
      <c r="IC38" t="s">
        <v>564</v>
      </c>
      <c r="ID38" t="s">
        <v>555</v>
      </c>
      <c r="IE38">
        <v>0</v>
      </c>
      <c r="IF38">
        <v>0</v>
      </c>
      <c r="IG38">
        <v>0</v>
      </c>
      <c r="IH38" t="s">
        <v>264</v>
      </c>
      <c r="II38">
        <v>68.099999999999994</v>
      </c>
      <c r="IJ38">
        <v>125.1</v>
      </c>
      <c r="IK38" t="s">
        <v>565</v>
      </c>
      <c r="IL38" t="s">
        <v>555</v>
      </c>
      <c r="IM38">
        <v>0</v>
      </c>
      <c r="IN38">
        <v>0</v>
      </c>
      <c r="IO38">
        <v>0</v>
      </c>
      <c r="IP38" t="s">
        <v>264</v>
      </c>
      <c r="IS38" t="s">
        <v>566</v>
      </c>
      <c r="IT38" t="s">
        <v>555</v>
      </c>
      <c r="IU38">
        <v>0</v>
      </c>
      <c r="IV38">
        <v>0</v>
      </c>
      <c r="IW38">
        <v>0</v>
      </c>
      <c r="IX38" t="s">
        <v>264</v>
      </c>
      <c r="JA38" t="s">
        <v>567</v>
      </c>
      <c r="JB38" t="s">
        <v>555</v>
      </c>
      <c r="JC38">
        <v>0</v>
      </c>
      <c r="JD38">
        <v>0</v>
      </c>
      <c r="JE38">
        <v>0</v>
      </c>
      <c r="JF38" t="s">
        <v>264</v>
      </c>
      <c r="JI38" t="s">
        <v>568</v>
      </c>
      <c r="JJ38" t="s">
        <v>555</v>
      </c>
      <c r="JK38">
        <v>0</v>
      </c>
      <c r="JL38">
        <v>0</v>
      </c>
      <c r="JM38">
        <v>0</v>
      </c>
      <c r="JN38" t="s">
        <v>264</v>
      </c>
      <c r="JQ38" t="s">
        <v>569</v>
      </c>
      <c r="JR38" t="s">
        <v>555</v>
      </c>
      <c r="JS38">
        <v>0</v>
      </c>
      <c r="JT38">
        <v>0</v>
      </c>
      <c r="JU38">
        <v>0</v>
      </c>
      <c r="JV38" t="s">
        <v>264</v>
      </c>
      <c r="JY38" t="s">
        <v>570</v>
      </c>
      <c r="JZ38" t="s">
        <v>555</v>
      </c>
      <c r="KA38">
        <v>0</v>
      </c>
      <c r="KB38">
        <v>0</v>
      </c>
      <c r="KC38">
        <v>0</v>
      </c>
      <c r="KD38" t="s">
        <v>264</v>
      </c>
      <c r="KG38" t="s">
        <v>571</v>
      </c>
      <c r="KH38" t="s">
        <v>555</v>
      </c>
      <c r="KI38">
        <v>0</v>
      </c>
      <c r="KJ38">
        <v>0</v>
      </c>
      <c r="KK38">
        <v>0</v>
      </c>
      <c r="KL38" t="s">
        <v>264</v>
      </c>
      <c r="KO38" t="s">
        <v>572</v>
      </c>
      <c r="KP38" t="s">
        <v>555</v>
      </c>
      <c r="KQ38">
        <v>0</v>
      </c>
      <c r="KR38">
        <v>0</v>
      </c>
      <c r="KS38">
        <v>0</v>
      </c>
      <c r="KT38" t="s">
        <v>264</v>
      </c>
      <c r="KW38" t="s">
        <v>573</v>
      </c>
      <c r="KX38" t="s">
        <v>555</v>
      </c>
      <c r="KY38">
        <v>0</v>
      </c>
      <c r="KZ38">
        <v>0</v>
      </c>
      <c r="LA38">
        <v>0</v>
      </c>
      <c r="LB38" t="s">
        <v>264</v>
      </c>
      <c r="LE38" t="s">
        <v>574</v>
      </c>
      <c r="LF38" t="s">
        <v>555</v>
      </c>
      <c r="LG38">
        <v>0</v>
      </c>
      <c r="LH38">
        <v>0</v>
      </c>
      <c r="LI38">
        <v>0</v>
      </c>
      <c r="LJ38" t="s">
        <v>264</v>
      </c>
      <c r="LM38" t="s">
        <v>575</v>
      </c>
      <c r="LN38" t="s">
        <v>555</v>
      </c>
      <c r="LO38">
        <v>0</v>
      </c>
      <c r="LP38">
        <v>0</v>
      </c>
      <c r="LQ38">
        <v>0</v>
      </c>
      <c r="LR38" t="s">
        <v>264</v>
      </c>
      <c r="LU38" t="s">
        <v>576</v>
      </c>
      <c r="LV38" t="s">
        <v>555</v>
      </c>
      <c r="LW38">
        <v>0</v>
      </c>
      <c r="LX38">
        <v>0</v>
      </c>
      <c r="LY38">
        <v>0</v>
      </c>
      <c r="LZ38" t="s">
        <v>264</v>
      </c>
      <c r="MC38" t="s">
        <v>577</v>
      </c>
      <c r="MD38" t="s">
        <v>555</v>
      </c>
      <c r="ME38">
        <v>0</v>
      </c>
      <c r="MF38">
        <v>0</v>
      </c>
      <c r="MG38">
        <v>0</v>
      </c>
      <c r="MH38" t="s">
        <v>264</v>
      </c>
      <c r="MK38" t="s">
        <v>578</v>
      </c>
      <c r="ML38" t="s">
        <v>555</v>
      </c>
      <c r="MM38">
        <v>0</v>
      </c>
      <c r="MN38">
        <v>0</v>
      </c>
      <c r="MO38">
        <v>0</v>
      </c>
      <c r="MP38" t="s">
        <v>264</v>
      </c>
      <c r="MS38" t="s">
        <v>579</v>
      </c>
      <c r="MT38" t="s">
        <v>555</v>
      </c>
      <c r="MU38">
        <v>0</v>
      </c>
      <c r="MV38">
        <v>0</v>
      </c>
      <c r="MW38">
        <v>0</v>
      </c>
      <c r="MX38" t="s">
        <v>264</v>
      </c>
      <c r="NA38" t="s">
        <v>580</v>
      </c>
      <c r="NB38" t="s">
        <v>555</v>
      </c>
      <c r="NC38">
        <v>0</v>
      </c>
      <c r="ND38">
        <v>0</v>
      </c>
      <c r="NE38">
        <v>0</v>
      </c>
      <c r="NF38" t="s">
        <v>264</v>
      </c>
      <c r="NI38">
        <v>40</v>
      </c>
      <c r="NJ38">
        <v>-7.6</v>
      </c>
      <c r="NP38" t="s">
        <v>624</v>
      </c>
    </row>
    <row r="39" spans="1:380" customFormat="1" x14ac:dyDescent="0.2">
      <c r="A39" t="s">
        <v>517</v>
      </c>
      <c r="B39">
        <v>1</v>
      </c>
      <c r="C39" t="s">
        <v>879</v>
      </c>
      <c r="D39">
        <v>646960947</v>
      </c>
      <c r="E39">
        <v>12602</v>
      </c>
      <c r="F39" t="s">
        <v>805</v>
      </c>
      <c r="G39">
        <v>802069</v>
      </c>
      <c r="H39">
        <v>701391</v>
      </c>
      <c r="I39" t="s">
        <v>622</v>
      </c>
      <c r="J39" t="s">
        <v>880</v>
      </c>
      <c r="K39" t="s">
        <v>545</v>
      </c>
      <c r="L39" t="s">
        <v>442</v>
      </c>
      <c r="M39" t="s">
        <v>546</v>
      </c>
      <c r="N39" t="s">
        <v>468</v>
      </c>
      <c r="O39" t="s">
        <v>547</v>
      </c>
      <c r="P39" t="s">
        <v>264</v>
      </c>
      <c r="Q39">
        <v>25.3</v>
      </c>
      <c r="R39">
        <v>270</v>
      </c>
      <c r="S39" t="s">
        <v>264</v>
      </c>
      <c r="T39">
        <v>-9999</v>
      </c>
      <c r="U39">
        <v>640</v>
      </c>
      <c r="V39">
        <v>661</v>
      </c>
      <c r="W39">
        <v>629</v>
      </c>
      <c r="X39" t="s">
        <v>270</v>
      </c>
      <c r="Y39">
        <v>0</v>
      </c>
      <c r="Z39">
        <v>55</v>
      </c>
      <c r="AA39" t="s">
        <v>469</v>
      </c>
      <c r="AB39" t="s">
        <v>548</v>
      </c>
      <c r="AC39">
        <v>1</v>
      </c>
      <c r="AD39" t="s">
        <v>584</v>
      </c>
      <c r="AE39">
        <v>23.5</v>
      </c>
      <c r="AF39">
        <v>1459</v>
      </c>
      <c r="AG39" t="s">
        <v>264</v>
      </c>
      <c r="AH39">
        <v>-9999</v>
      </c>
      <c r="AI39">
        <v>484</v>
      </c>
      <c r="AJ39">
        <v>598</v>
      </c>
      <c r="AK39">
        <v>483</v>
      </c>
      <c r="AL39" t="s">
        <v>270</v>
      </c>
      <c r="AM39">
        <v>0</v>
      </c>
      <c r="AN39">
        <v>55</v>
      </c>
      <c r="AO39" t="s">
        <v>470</v>
      </c>
      <c r="AP39" t="s">
        <v>548</v>
      </c>
      <c r="AQ39">
        <v>2</v>
      </c>
      <c r="AR39" t="s">
        <v>584</v>
      </c>
      <c r="AS39">
        <v>33.1</v>
      </c>
      <c r="AT39">
        <v>420</v>
      </c>
      <c r="AU39" t="s">
        <v>264</v>
      </c>
      <c r="AV39">
        <v>-9999</v>
      </c>
      <c r="AW39">
        <v>413</v>
      </c>
      <c r="AX39">
        <v>438</v>
      </c>
      <c r="AY39">
        <v>411</v>
      </c>
      <c r="AZ39" t="s">
        <v>270</v>
      </c>
      <c r="BA39">
        <v>0</v>
      </c>
      <c r="BB39">
        <v>55</v>
      </c>
      <c r="BC39" t="s">
        <v>550</v>
      </c>
      <c r="BD39" t="s">
        <v>548</v>
      </c>
      <c r="BE39">
        <v>3</v>
      </c>
      <c r="BF39" t="s">
        <v>584</v>
      </c>
      <c r="BG39">
        <v>22</v>
      </c>
      <c r="BH39">
        <v>670</v>
      </c>
      <c r="BI39" t="s">
        <v>264</v>
      </c>
      <c r="BJ39">
        <v>-9999</v>
      </c>
      <c r="BK39">
        <v>193</v>
      </c>
      <c r="BL39">
        <v>240</v>
      </c>
      <c r="BM39">
        <v>192</v>
      </c>
      <c r="BN39" t="s">
        <v>270</v>
      </c>
      <c r="BO39">
        <v>0</v>
      </c>
      <c r="BP39">
        <v>55</v>
      </c>
      <c r="BQ39" t="s">
        <v>504</v>
      </c>
      <c r="BR39" t="s">
        <v>548</v>
      </c>
      <c r="BS39">
        <v>4</v>
      </c>
      <c r="BT39" t="s">
        <v>584</v>
      </c>
      <c r="BU39">
        <v>27.9</v>
      </c>
      <c r="BV39">
        <v>313</v>
      </c>
      <c r="BW39" t="s">
        <v>264</v>
      </c>
      <c r="BX39">
        <v>-9999</v>
      </c>
      <c r="BY39">
        <v>243</v>
      </c>
      <c r="BZ39">
        <v>281</v>
      </c>
      <c r="CA39">
        <v>240</v>
      </c>
      <c r="CB39" t="s">
        <v>270</v>
      </c>
      <c r="CC39">
        <v>0</v>
      </c>
      <c r="CD39">
        <v>55</v>
      </c>
      <c r="CE39" t="s">
        <v>471</v>
      </c>
      <c r="CF39" t="s">
        <v>548</v>
      </c>
      <c r="CG39">
        <v>5</v>
      </c>
      <c r="CH39" t="s">
        <v>584</v>
      </c>
      <c r="CI39">
        <v>31.3</v>
      </c>
      <c r="CJ39">
        <v>267</v>
      </c>
      <c r="CK39" t="s">
        <v>264</v>
      </c>
      <c r="CL39">
        <v>-9999</v>
      </c>
      <c r="CM39">
        <v>567</v>
      </c>
      <c r="CN39">
        <v>665</v>
      </c>
      <c r="CO39">
        <v>565</v>
      </c>
      <c r="CP39" t="s">
        <v>270</v>
      </c>
      <c r="CQ39">
        <v>0</v>
      </c>
      <c r="CR39">
        <v>55</v>
      </c>
      <c r="CS39" t="s">
        <v>472</v>
      </c>
      <c r="CT39" t="s">
        <v>548</v>
      </c>
      <c r="CU39">
        <v>6</v>
      </c>
      <c r="CV39" t="s">
        <v>584</v>
      </c>
      <c r="CW39">
        <v>32.799999999999997</v>
      </c>
      <c r="CX39">
        <v>244</v>
      </c>
      <c r="CY39" t="s">
        <v>264</v>
      </c>
      <c r="CZ39">
        <v>-9999</v>
      </c>
      <c r="DA39">
        <v>761</v>
      </c>
      <c r="DB39">
        <v>862</v>
      </c>
      <c r="DC39">
        <v>748</v>
      </c>
      <c r="DD39" t="s">
        <v>270</v>
      </c>
      <c r="DE39">
        <v>0</v>
      </c>
      <c r="DF39">
        <v>55</v>
      </c>
      <c r="DG39" t="s">
        <v>473</v>
      </c>
      <c r="DH39" t="s">
        <v>548</v>
      </c>
      <c r="DI39">
        <v>7</v>
      </c>
      <c r="DJ39" t="s">
        <v>584</v>
      </c>
      <c r="DK39">
        <v>23.8</v>
      </c>
      <c r="DL39">
        <v>200</v>
      </c>
      <c r="DM39" t="s">
        <v>264</v>
      </c>
      <c r="DN39">
        <v>-9999</v>
      </c>
      <c r="DO39">
        <v>574</v>
      </c>
      <c r="DP39">
        <v>657</v>
      </c>
      <c r="DQ39">
        <v>569</v>
      </c>
      <c r="DR39" t="s">
        <v>270</v>
      </c>
      <c r="DS39">
        <v>0</v>
      </c>
      <c r="DT39">
        <v>55</v>
      </c>
      <c r="DU39" t="s">
        <v>474</v>
      </c>
      <c r="DV39" t="s">
        <v>548</v>
      </c>
      <c r="DW39">
        <v>8</v>
      </c>
      <c r="DX39" t="s">
        <v>584</v>
      </c>
      <c r="DY39">
        <v>20.6</v>
      </c>
      <c r="DZ39">
        <v>477</v>
      </c>
      <c r="EA39" t="s">
        <v>264</v>
      </c>
      <c r="EB39">
        <v>-9999</v>
      </c>
      <c r="EC39">
        <v>105</v>
      </c>
      <c r="ED39">
        <v>126</v>
      </c>
      <c r="EE39">
        <v>103</v>
      </c>
      <c r="EF39" t="s">
        <v>270</v>
      </c>
      <c r="EG39">
        <v>0</v>
      </c>
      <c r="EH39">
        <v>55</v>
      </c>
      <c r="EI39" t="s">
        <v>475</v>
      </c>
      <c r="EJ39" t="s">
        <v>548</v>
      </c>
      <c r="EK39">
        <v>9</v>
      </c>
      <c r="EL39" t="s">
        <v>584</v>
      </c>
      <c r="EM39">
        <v>24.3</v>
      </c>
      <c r="EN39">
        <v>94</v>
      </c>
      <c r="EO39" t="s">
        <v>264</v>
      </c>
      <c r="EP39">
        <v>-9999</v>
      </c>
      <c r="EQ39">
        <v>333</v>
      </c>
      <c r="ER39">
        <v>307</v>
      </c>
      <c r="ES39">
        <v>284</v>
      </c>
      <c r="ET39" t="s">
        <v>270</v>
      </c>
      <c r="EU39">
        <v>0</v>
      </c>
      <c r="EV39">
        <v>55</v>
      </c>
      <c r="EW39" t="s">
        <v>551</v>
      </c>
      <c r="EX39" t="s">
        <v>552</v>
      </c>
      <c r="EY39">
        <v>149</v>
      </c>
      <c r="EZ39">
        <v>150</v>
      </c>
      <c r="FA39">
        <v>150</v>
      </c>
      <c r="FB39" t="s">
        <v>270</v>
      </c>
      <c r="FC39" t="s">
        <v>553</v>
      </c>
      <c r="FD39" t="s">
        <v>552</v>
      </c>
      <c r="FE39">
        <v>322</v>
      </c>
      <c r="FF39">
        <v>320</v>
      </c>
      <c r="FG39">
        <v>319</v>
      </c>
      <c r="FH39" t="s">
        <v>270</v>
      </c>
      <c r="FI39" t="s">
        <v>554</v>
      </c>
      <c r="FJ39" t="s">
        <v>555</v>
      </c>
      <c r="FK39">
        <v>0</v>
      </c>
      <c r="FL39">
        <v>0</v>
      </c>
      <c r="FM39">
        <v>0</v>
      </c>
      <c r="FN39" t="s">
        <v>264</v>
      </c>
      <c r="FO39">
        <v>76</v>
      </c>
      <c r="FP39">
        <v>305.39999999999998</v>
      </c>
      <c r="FQ39" t="s">
        <v>556</v>
      </c>
      <c r="FR39" t="s">
        <v>555</v>
      </c>
      <c r="FS39">
        <v>0</v>
      </c>
      <c r="FT39">
        <v>0</v>
      </c>
      <c r="FU39">
        <v>0</v>
      </c>
      <c r="FV39" t="s">
        <v>264</v>
      </c>
      <c r="FW39">
        <v>73.400000000000006</v>
      </c>
      <c r="FX39">
        <v>104.2</v>
      </c>
      <c r="FY39" t="s">
        <v>557</v>
      </c>
      <c r="FZ39" t="s">
        <v>555</v>
      </c>
      <c r="GA39">
        <v>0</v>
      </c>
      <c r="GB39">
        <v>0</v>
      </c>
      <c r="GC39">
        <v>0</v>
      </c>
      <c r="GD39" t="s">
        <v>264</v>
      </c>
      <c r="GE39">
        <v>71.2</v>
      </c>
      <c r="GF39">
        <v>272.5</v>
      </c>
      <c r="GG39" t="s">
        <v>558</v>
      </c>
      <c r="GH39" t="s">
        <v>555</v>
      </c>
      <c r="GI39">
        <v>0</v>
      </c>
      <c r="GJ39">
        <v>0</v>
      </c>
      <c r="GK39">
        <v>0</v>
      </c>
      <c r="GL39" t="s">
        <v>264</v>
      </c>
      <c r="GM39">
        <v>68.5</v>
      </c>
      <c r="GN39">
        <v>57</v>
      </c>
      <c r="GO39" t="s">
        <v>559</v>
      </c>
      <c r="GP39" t="s">
        <v>555</v>
      </c>
      <c r="GQ39">
        <v>0</v>
      </c>
      <c r="GR39">
        <v>0</v>
      </c>
      <c r="GS39">
        <v>0</v>
      </c>
      <c r="GT39" t="s">
        <v>264</v>
      </c>
      <c r="GU39">
        <v>75.900000000000006</v>
      </c>
      <c r="GV39">
        <v>65.099999999999994</v>
      </c>
      <c r="GW39" t="s">
        <v>560</v>
      </c>
      <c r="GX39" t="s">
        <v>555</v>
      </c>
      <c r="GY39">
        <v>0</v>
      </c>
      <c r="GZ39">
        <v>0</v>
      </c>
      <c r="HA39">
        <v>0</v>
      </c>
      <c r="HB39" t="s">
        <v>264</v>
      </c>
      <c r="HC39">
        <v>70.099999999999994</v>
      </c>
      <c r="HD39">
        <v>90.9</v>
      </c>
      <c r="HE39" t="s">
        <v>561</v>
      </c>
      <c r="HF39" t="s">
        <v>555</v>
      </c>
      <c r="HG39">
        <v>0</v>
      </c>
      <c r="HH39">
        <v>0</v>
      </c>
      <c r="HI39">
        <v>0</v>
      </c>
      <c r="HJ39" t="s">
        <v>264</v>
      </c>
      <c r="HK39">
        <v>70.8</v>
      </c>
      <c r="HL39">
        <v>141</v>
      </c>
      <c r="HM39" t="s">
        <v>562</v>
      </c>
      <c r="HN39" t="s">
        <v>555</v>
      </c>
      <c r="HO39">
        <v>0</v>
      </c>
      <c r="HP39">
        <v>0</v>
      </c>
      <c r="HQ39">
        <v>0</v>
      </c>
      <c r="HR39" t="s">
        <v>264</v>
      </c>
      <c r="HS39">
        <v>69.2</v>
      </c>
      <c r="HT39">
        <v>89</v>
      </c>
      <c r="HU39" t="s">
        <v>563</v>
      </c>
      <c r="HV39" t="s">
        <v>555</v>
      </c>
      <c r="HW39">
        <v>0</v>
      </c>
      <c r="HX39">
        <v>0</v>
      </c>
      <c r="HY39">
        <v>0</v>
      </c>
      <c r="HZ39" t="s">
        <v>264</v>
      </c>
      <c r="IA39">
        <v>74.7</v>
      </c>
      <c r="IB39">
        <v>179.6</v>
      </c>
      <c r="IC39" t="s">
        <v>564</v>
      </c>
      <c r="ID39" t="s">
        <v>555</v>
      </c>
      <c r="IE39">
        <v>0</v>
      </c>
      <c r="IF39">
        <v>0</v>
      </c>
      <c r="IG39">
        <v>0</v>
      </c>
      <c r="IH39" t="s">
        <v>264</v>
      </c>
      <c r="II39">
        <v>68.2</v>
      </c>
      <c r="IJ39">
        <v>111</v>
      </c>
      <c r="IK39" t="s">
        <v>565</v>
      </c>
      <c r="IL39" t="s">
        <v>555</v>
      </c>
      <c r="IM39">
        <v>0</v>
      </c>
      <c r="IN39">
        <v>0</v>
      </c>
      <c r="IO39">
        <v>0</v>
      </c>
      <c r="IP39" t="s">
        <v>264</v>
      </c>
      <c r="IS39" t="s">
        <v>566</v>
      </c>
      <c r="IT39" t="s">
        <v>555</v>
      </c>
      <c r="IU39">
        <v>0</v>
      </c>
      <c r="IV39">
        <v>0</v>
      </c>
      <c r="IW39">
        <v>0</v>
      </c>
      <c r="IX39" t="s">
        <v>264</v>
      </c>
      <c r="JA39" t="s">
        <v>567</v>
      </c>
      <c r="JB39" t="s">
        <v>555</v>
      </c>
      <c r="JC39">
        <v>0</v>
      </c>
      <c r="JD39">
        <v>0</v>
      </c>
      <c r="JE39">
        <v>0</v>
      </c>
      <c r="JF39" t="s">
        <v>264</v>
      </c>
      <c r="JI39" t="s">
        <v>568</v>
      </c>
      <c r="JJ39" t="s">
        <v>555</v>
      </c>
      <c r="JK39">
        <v>0</v>
      </c>
      <c r="JL39">
        <v>0</v>
      </c>
      <c r="JM39">
        <v>0</v>
      </c>
      <c r="JN39" t="s">
        <v>264</v>
      </c>
      <c r="JQ39" t="s">
        <v>569</v>
      </c>
      <c r="JR39" t="s">
        <v>555</v>
      </c>
      <c r="JS39">
        <v>0</v>
      </c>
      <c r="JT39">
        <v>0</v>
      </c>
      <c r="JU39">
        <v>0</v>
      </c>
      <c r="JV39" t="s">
        <v>264</v>
      </c>
      <c r="JY39" t="s">
        <v>570</v>
      </c>
      <c r="JZ39" t="s">
        <v>555</v>
      </c>
      <c r="KA39">
        <v>0</v>
      </c>
      <c r="KB39">
        <v>0</v>
      </c>
      <c r="KC39">
        <v>0</v>
      </c>
      <c r="KD39" t="s">
        <v>264</v>
      </c>
      <c r="KG39" t="s">
        <v>571</v>
      </c>
      <c r="KH39" t="s">
        <v>555</v>
      </c>
      <c r="KI39">
        <v>0</v>
      </c>
      <c r="KJ39">
        <v>0</v>
      </c>
      <c r="KK39">
        <v>0</v>
      </c>
      <c r="KL39" t="s">
        <v>264</v>
      </c>
      <c r="KO39" t="s">
        <v>572</v>
      </c>
      <c r="KP39" t="s">
        <v>555</v>
      </c>
      <c r="KQ39">
        <v>0</v>
      </c>
      <c r="KR39">
        <v>0</v>
      </c>
      <c r="KS39">
        <v>0</v>
      </c>
      <c r="KT39" t="s">
        <v>264</v>
      </c>
      <c r="KW39" t="s">
        <v>573</v>
      </c>
      <c r="KX39" t="s">
        <v>555</v>
      </c>
      <c r="KY39">
        <v>0</v>
      </c>
      <c r="KZ39">
        <v>0</v>
      </c>
      <c r="LA39">
        <v>0</v>
      </c>
      <c r="LB39" t="s">
        <v>264</v>
      </c>
      <c r="LE39" t="s">
        <v>574</v>
      </c>
      <c r="LF39" t="s">
        <v>555</v>
      </c>
      <c r="LG39">
        <v>0</v>
      </c>
      <c r="LH39">
        <v>0</v>
      </c>
      <c r="LI39">
        <v>0</v>
      </c>
      <c r="LJ39" t="s">
        <v>264</v>
      </c>
      <c r="LM39" t="s">
        <v>575</v>
      </c>
      <c r="LN39" t="s">
        <v>555</v>
      </c>
      <c r="LO39">
        <v>0</v>
      </c>
      <c r="LP39">
        <v>0</v>
      </c>
      <c r="LQ39">
        <v>0</v>
      </c>
      <c r="LR39" t="s">
        <v>264</v>
      </c>
      <c r="LU39" t="s">
        <v>576</v>
      </c>
      <c r="LV39" t="s">
        <v>555</v>
      </c>
      <c r="LW39">
        <v>0</v>
      </c>
      <c r="LX39">
        <v>0</v>
      </c>
      <c r="LY39">
        <v>0</v>
      </c>
      <c r="LZ39" t="s">
        <v>264</v>
      </c>
      <c r="MC39" t="s">
        <v>577</v>
      </c>
      <c r="MD39" t="s">
        <v>555</v>
      </c>
      <c r="ME39">
        <v>0</v>
      </c>
      <c r="MF39">
        <v>0</v>
      </c>
      <c r="MG39">
        <v>0</v>
      </c>
      <c r="MH39" t="s">
        <v>264</v>
      </c>
      <c r="MK39" t="s">
        <v>578</v>
      </c>
      <c r="ML39" t="s">
        <v>555</v>
      </c>
      <c r="MM39">
        <v>0</v>
      </c>
      <c r="MN39">
        <v>0</v>
      </c>
      <c r="MO39">
        <v>0</v>
      </c>
      <c r="MP39" t="s">
        <v>264</v>
      </c>
      <c r="MS39" t="s">
        <v>579</v>
      </c>
      <c r="MT39" t="s">
        <v>555</v>
      </c>
      <c r="MU39">
        <v>0</v>
      </c>
      <c r="MV39">
        <v>0</v>
      </c>
      <c r="MW39">
        <v>0</v>
      </c>
      <c r="MX39" t="s">
        <v>264</v>
      </c>
      <c r="NA39" t="s">
        <v>580</v>
      </c>
      <c r="NB39" t="s">
        <v>555</v>
      </c>
      <c r="NC39">
        <v>0</v>
      </c>
      <c r="ND39">
        <v>0</v>
      </c>
      <c r="NE39">
        <v>0</v>
      </c>
      <c r="NF39" t="s">
        <v>264</v>
      </c>
      <c r="NI39">
        <v>40</v>
      </c>
      <c r="NJ39">
        <v>-11.8</v>
      </c>
      <c r="NP39" t="s">
        <v>624</v>
      </c>
    </row>
    <row r="40" spans="1:380" customFormat="1" x14ac:dyDescent="0.2">
      <c r="A40" t="s">
        <v>517</v>
      </c>
      <c r="B40">
        <v>1</v>
      </c>
      <c r="C40" t="s">
        <v>881</v>
      </c>
      <c r="D40">
        <v>646960649</v>
      </c>
      <c r="E40">
        <v>12602</v>
      </c>
      <c r="F40" t="s">
        <v>805</v>
      </c>
      <c r="G40">
        <v>802069</v>
      </c>
      <c r="H40">
        <v>210031665</v>
      </c>
      <c r="I40" t="s">
        <v>622</v>
      </c>
      <c r="J40" t="s">
        <v>882</v>
      </c>
      <c r="K40" t="s">
        <v>545</v>
      </c>
      <c r="L40" t="s">
        <v>442</v>
      </c>
      <c r="M40" t="s">
        <v>546</v>
      </c>
      <c r="N40" t="s">
        <v>468</v>
      </c>
      <c r="O40" t="s">
        <v>547</v>
      </c>
      <c r="P40" t="s">
        <v>264</v>
      </c>
      <c r="Q40">
        <v>25.9</v>
      </c>
      <c r="R40">
        <v>219</v>
      </c>
      <c r="S40" t="s">
        <v>264</v>
      </c>
      <c r="T40">
        <v>-9999</v>
      </c>
      <c r="U40">
        <v>678</v>
      </c>
      <c r="V40">
        <v>700</v>
      </c>
      <c r="W40">
        <v>666</v>
      </c>
      <c r="X40" t="s">
        <v>270</v>
      </c>
      <c r="Y40">
        <v>0</v>
      </c>
      <c r="Z40">
        <v>55</v>
      </c>
      <c r="AA40" t="s">
        <v>469</v>
      </c>
      <c r="AB40" t="s">
        <v>548</v>
      </c>
      <c r="AC40">
        <v>1</v>
      </c>
      <c r="AD40" t="s">
        <v>584</v>
      </c>
      <c r="AE40">
        <v>23.1</v>
      </c>
      <c r="AF40">
        <v>1453</v>
      </c>
      <c r="AG40" t="s">
        <v>264</v>
      </c>
      <c r="AH40">
        <v>-9999</v>
      </c>
      <c r="AI40">
        <v>445</v>
      </c>
      <c r="AJ40">
        <v>553</v>
      </c>
      <c r="AK40">
        <v>443</v>
      </c>
      <c r="AL40" t="s">
        <v>270</v>
      </c>
      <c r="AM40">
        <v>0</v>
      </c>
      <c r="AN40">
        <v>55</v>
      </c>
      <c r="AO40" t="s">
        <v>470</v>
      </c>
      <c r="AP40" t="s">
        <v>548</v>
      </c>
      <c r="AQ40">
        <v>2</v>
      </c>
      <c r="AR40" t="s">
        <v>584</v>
      </c>
      <c r="AS40">
        <v>33.4</v>
      </c>
      <c r="AT40">
        <v>378</v>
      </c>
      <c r="AU40" t="s">
        <v>264</v>
      </c>
      <c r="AV40">
        <v>-9999</v>
      </c>
      <c r="AW40">
        <v>380</v>
      </c>
      <c r="AX40">
        <v>400</v>
      </c>
      <c r="AY40">
        <v>379</v>
      </c>
      <c r="AZ40" t="s">
        <v>270</v>
      </c>
      <c r="BA40">
        <v>0</v>
      </c>
      <c r="BB40">
        <v>55</v>
      </c>
      <c r="BC40" t="s">
        <v>550</v>
      </c>
      <c r="BD40" t="s">
        <v>548</v>
      </c>
      <c r="BE40">
        <v>3</v>
      </c>
      <c r="BF40" t="s">
        <v>584</v>
      </c>
      <c r="BG40">
        <v>21.4</v>
      </c>
      <c r="BH40">
        <v>701</v>
      </c>
      <c r="BI40" t="s">
        <v>264</v>
      </c>
      <c r="BJ40">
        <v>-9999</v>
      </c>
      <c r="BK40">
        <v>167</v>
      </c>
      <c r="BL40">
        <v>207</v>
      </c>
      <c r="BM40">
        <v>166</v>
      </c>
      <c r="BN40" t="s">
        <v>270</v>
      </c>
      <c r="BO40">
        <v>0</v>
      </c>
      <c r="BP40">
        <v>55</v>
      </c>
      <c r="BQ40" t="s">
        <v>504</v>
      </c>
      <c r="BR40" t="s">
        <v>548</v>
      </c>
      <c r="BS40">
        <v>4</v>
      </c>
      <c r="BT40" t="s">
        <v>584</v>
      </c>
      <c r="BU40">
        <v>28.4</v>
      </c>
      <c r="BV40">
        <v>282</v>
      </c>
      <c r="BW40" t="s">
        <v>264</v>
      </c>
      <c r="BX40">
        <v>-9999</v>
      </c>
      <c r="BY40">
        <v>211</v>
      </c>
      <c r="BZ40">
        <v>245</v>
      </c>
      <c r="CA40">
        <v>209</v>
      </c>
      <c r="CB40" t="s">
        <v>270</v>
      </c>
      <c r="CC40">
        <v>0</v>
      </c>
      <c r="CD40">
        <v>55</v>
      </c>
      <c r="CE40" t="s">
        <v>471</v>
      </c>
      <c r="CF40" t="s">
        <v>548</v>
      </c>
      <c r="CG40">
        <v>5</v>
      </c>
      <c r="CH40" t="s">
        <v>584</v>
      </c>
      <c r="CI40">
        <v>31.3</v>
      </c>
      <c r="CJ40">
        <v>248</v>
      </c>
      <c r="CK40" t="s">
        <v>264</v>
      </c>
      <c r="CL40">
        <v>-9999</v>
      </c>
      <c r="CM40">
        <v>515</v>
      </c>
      <c r="CN40">
        <v>598</v>
      </c>
      <c r="CO40">
        <v>512</v>
      </c>
      <c r="CP40" t="s">
        <v>270</v>
      </c>
      <c r="CQ40">
        <v>0</v>
      </c>
      <c r="CR40">
        <v>55</v>
      </c>
      <c r="CS40" t="s">
        <v>472</v>
      </c>
      <c r="CT40" t="s">
        <v>548</v>
      </c>
      <c r="CU40">
        <v>6</v>
      </c>
      <c r="CV40" t="s">
        <v>584</v>
      </c>
      <c r="CW40">
        <v>32.9</v>
      </c>
      <c r="CX40">
        <v>224</v>
      </c>
      <c r="CY40" t="s">
        <v>264</v>
      </c>
      <c r="CZ40">
        <v>-9999</v>
      </c>
      <c r="DA40">
        <v>769</v>
      </c>
      <c r="DB40">
        <v>872</v>
      </c>
      <c r="DC40">
        <v>756</v>
      </c>
      <c r="DD40" t="s">
        <v>270</v>
      </c>
      <c r="DE40">
        <v>0</v>
      </c>
      <c r="DF40">
        <v>55</v>
      </c>
      <c r="DG40" t="s">
        <v>473</v>
      </c>
      <c r="DH40" t="s">
        <v>548</v>
      </c>
      <c r="DI40">
        <v>7</v>
      </c>
      <c r="DJ40" t="s">
        <v>584</v>
      </c>
      <c r="DK40">
        <v>24.4</v>
      </c>
      <c r="DL40">
        <v>196</v>
      </c>
      <c r="DM40" t="s">
        <v>264</v>
      </c>
      <c r="DN40">
        <v>-9999</v>
      </c>
      <c r="DO40">
        <v>565</v>
      </c>
      <c r="DP40">
        <v>648</v>
      </c>
      <c r="DQ40">
        <v>561</v>
      </c>
      <c r="DR40" t="s">
        <v>270</v>
      </c>
      <c r="DS40">
        <v>0</v>
      </c>
      <c r="DT40">
        <v>55</v>
      </c>
      <c r="DU40" t="s">
        <v>474</v>
      </c>
      <c r="DV40" t="s">
        <v>548</v>
      </c>
      <c r="DW40">
        <v>8</v>
      </c>
      <c r="DX40" t="s">
        <v>584</v>
      </c>
      <c r="DY40">
        <v>20.8</v>
      </c>
      <c r="DZ40">
        <v>468</v>
      </c>
      <c r="EA40" t="s">
        <v>264</v>
      </c>
      <c r="EB40">
        <v>-9999</v>
      </c>
      <c r="EC40">
        <v>100</v>
      </c>
      <c r="ED40">
        <v>121</v>
      </c>
      <c r="EE40">
        <v>98</v>
      </c>
      <c r="EF40" t="s">
        <v>270</v>
      </c>
      <c r="EG40">
        <v>0</v>
      </c>
      <c r="EH40">
        <v>55</v>
      </c>
      <c r="EI40" t="s">
        <v>475</v>
      </c>
      <c r="EJ40" t="s">
        <v>548</v>
      </c>
      <c r="EK40">
        <v>9</v>
      </c>
      <c r="EL40" t="s">
        <v>584</v>
      </c>
      <c r="EM40">
        <v>26</v>
      </c>
      <c r="EN40">
        <v>80</v>
      </c>
      <c r="EO40" t="s">
        <v>264</v>
      </c>
      <c r="EP40">
        <v>-9999</v>
      </c>
      <c r="EQ40">
        <v>322</v>
      </c>
      <c r="ER40">
        <v>311</v>
      </c>
      <c r="ES40">
        <v>293</v>
      </c>
      <c r="ET40" t="s">
        <v>270</v>
      </c>
      <c r="EU40">
        <v>0</v>
      </c>
      <c r="EV40">
        <v>55</v>
      </c>
      <c r="EW40" t="s">
        <v>551</v>
      </c>
      <c r="EX40" t="s">
        <v>552</v>
      </c>
      <c r="EY40">
        <v>130</v>
      </c>
      <c r="EZ40">
        <v>130</v>
      </c>
      <c r="FA40">
        <v>130</v>
      </c>
      <c r="FB40" t="s">
        <v>270</v>
      </c>
      <c r="FC40" t="s">
        <v>553</v>
      </c>
      <c r="FD40" t="s">
        <v>552</v>
      </c>
      <c r="FE40">
        <v>345</v>
      </c>
      <c r="FF40">
        <v>344</v>
      </c>
      <c r="FG40">
        <v>342</v>
      </c>
      <c r="FH40" t="s">
        <v>270</v>
      </c>
      <c r="FI40" t="s">
        <v>554</v>
      </c>
      <c r="FJ40" t="s">
        <v>555</v>
      </c>
      <c r="FK40">
        <v>0</v>
      </c>
      <c r="FL40">
        <v>0</v>
      </c>
      <c r="FM40">
        <v>0</v>
      </c>
      <c r="FN40" t="s">
        <v>264</v>
      </c>
      <c r="FO40">
        <v>76</v>
      </c>
      <c r="FP40">
        <v>287.3</v>
      </c>
      <c r="FQ40" t="s">
        <v>556</v>
      </c>
      <c r="FR40" t="s">
        <v>555</v>
      </c>
      <c r="FS40">
        <v>0</v>
      </c>
      <c r="FT40">
        <v>0</v>
      </c>
      <c r="FU40">
        <v>0</v>
      </c>
      <c r="FV40" t="s">
        <v>264</v>
      </c>
      <c r="FW40">
        <v>73.400000000000006</v>
      </c>
      <c r="FX40">
        <v>89.8</v>
      </c>
      <c r="FY40" t="s">
        <v>557</v>
      </c>
      <c r="FZ40" t="s">
        <v>555</v>
      </c>
      <c r="GA40">
        <v>0</v>
      </c>
      <c r="GB40">
        <v>0</v>
      </c>
      <c r="GC40">
        <v>0</v>
      </c>
      <c r="GD40" t="s">
        <v>264</v>
      </c>
      <c r="GE40">
        <v>71.2</v>
      </c>
      <c r="GF40">
        <v>249.2</v>
      </c>
      <c r="GG40" t="s">
        <v>558</v>
      </c>
      <c r="GH40" t="s">
        <v>555</v>
      </c>
      <c r="GI40">
        <v>0</v>
      </c>
      <c r="GJ40">
        <v>0</v>
      </c>
      <c r="GK40">
        <v>0</v>
      </c>
      <c r="GL40" t="s">
        <v>264</v>
      </c>
      <c r="GM40">
        <v>68.3</v>
      </c>
      <c r="GN40">
        <v>58.9</v>
      </c>
      <c r="GO40" t="s">
        <v>559</v>
      </c>
      <c r="GP40" t="s">
        <v>555</v>
      </c>
      <c r="GQ40">
        <v>0</v>
      </c>
      <c r="GR40">
        <v>0</v>
      </c>
      <c r="GS40">
        <v>0</v>
      </c>
      <c r="GT40" t="s">
        <v>264</v>
      </c>
      <c r="GU40">
        <v>76</v>
      </c>
      <c r="GV40">
        <v>53.7</v>
      </c>
      <c r="GW40" t="s">
        <v>560</v>
      </c>
      <c r="GX40" t="s">
        <v>555</v>
      </c>
      <c r="GY40">
        <v>0</v>
      </c>
      <c r="GZ40">
        <v>0</v>
      </c>
      <c r="HA40">
        <v>0</v>
      </c>
      <c r="HB40" t="s">
        <v>264</v>
      </c>
      <c r="HC40">
        <v>70.2</v>
      </c>
      <c r="HD40">
        <v>85.8</v>
      </c>
      <c r="HE40" t="s">
        <v>561</v>
      </c>
      <c r="HF40" t="s">
        <v>555</v>
      </c>
      <c r="HG40">
        <v>0</v>
      </c>
      <c r="HH40">
        <v>0</v>
      </c>
      <c r="HI40">
        <v>0</v>
      </c>
      <c r="HJ40" t="s">
        <v>264</v>
      </c>
      <c r="HK40">
        <v>70.8</v>
      </c>
      <c r="HL40">
        <v>149</v>
      </c>
      <c r="HM40" t="s">
        <v>562</v>
      </c>
      <c r="HN40" t="s">
        <v>555</v>
      </c>
      <c r="HO40">
        <v>0</v>
      </c>
      <c r="HP40">
        <v>0</v>
      </c>
      <c r="HQ40">
        <v>0</v>
      </c>
      <c r="HR40" t="s">
        <v>264</v>
      </c>
      <c r="HS40">
        <v>69.099999999999994</v>
      </c>
      <c r="HT40">
        <v>88</v>
      </c>
      <c r="HU40" t="s">
        <v>563</v>
      </c>
      <c r="HV40" t="s">
        <v>555</v>
      </c>
      <c r="HW40">
        <v>0</v>
      </c>
      <c r="HX40">
        <v>0</v>
      </c>
      <c r="HY40">
        <v>0</v>
      </c>
      <c r="HZ40" t="s">
        <v>264</v>
      </c>
      <c r="IA40">
        <v>74.7</v>
      </c>
      <c r="IB40">
        <v>177</v>
      </c>
      <c r="IC40" t="s">
        <v>564</v>
      </c>
      <c r="ID40" t="s">
        <v>555</v>
      </c>
      <c r="IE40">
        <v>0</v>
      </c>
      <c r="IF40">
        <v>0</v>
      </c>
      <c r="IG40">
        <v>0</v>
      </c>
      <c r="IH40" t="s">
        <v>264</v>
      </c>
      <c r="II40">
        <v>68.2</v>
      </c>
      <c r="IJ40">
        <v>133.1</v>
      </c>
      <c r="IK40" t="s">
        <v>565</v>
      </c>
      <c r="IL40" t="s">
        <v>555</v>
      </c>
      <c r="IM40">
        <v>0</v>
      </c>
      <c r="IN40">
        <v>0</v>
      </c>
      <c r="IO40">
        <v>0</v>
      </c>
      <c r="IP40" t="s">
        <v>264</v>
      </c>
      <c r="IS40" t="s">
        <v>566</v>
      </c>
      <c r="IT40" t="s">
        <v>555</v>
      </c>
      <c r="IU40">
        <v>0</v>
      </c>
      <c r="IV40">
        <v>0</v>
      </c>
      <c r="IW40">
        <v>0</v>
      </c>
      <c r="IX40" t="s">
        <v>264</v>
      </c>
      <c r="JA40" t="s">
        <v>567</v>
      </c>
      <c r="JB40" t="s">
        <v>555</v>
      </c>
      <c r="JC40">
        <v>0</v>
      </c>
      <c r="JD40">
        <v>0</v>
      </c>
      <c r="JE40">
        <v>0</v>
      </c>
      <c r="JF40" t="s">
        <v>264</v>
      </c>
      <c r="JI40" t="s">
        <v>568</v>
      </c>
      <c r="JJ40" t="s">
        <v>555</v>
      </c>
      <c r="JK40">
        <v>0</v>
      </c>
      <c r="JL40">
        <v>0</v>
      </c>
      <c r="JM40">
        <v>0</v>
      </c>
      <c r="JN40" t="s">
        <v>264</v>
      </c>
      <c r="JQ40" t="s">
        <v>569</v>
      </c>
      <c r="JR40" t="s">
        <v>555</v>
      </c>
      <c r="JS40">
        <v>0</v>
      </c>
      <c r="JT40">
        <v>0</v>
      </c>
      <c r="JU40">
        <v>0</v>
      </c>
      <c r="JV40" t="s">
        <v>264</v>
      </c>
      <c r="JY40" t="s">
        <v>570</v>
      </c>
      <c r="JZ40" t="s">
        <v>555</v>
      </c>
      <c r="KA40">
        <v>0</v>
      </c>
      <c r="KB40">
        <v>0</v>
      </c>
      <c r="KC40">
        <v>0</v>
      </c>
      <c r="KD40" t="s">
        <v>264</v>
      </c>
      <c r="KG40" t="s">
        <v>571</v>
      </c>
      <c r="KH40" t="s">
        <v>555</v>
      </c>
      <c r="KI40">
        <v>0</v>
      </c>
      <c r="KJ40">
        <v>0</v>
      </c>
      <c r="KK40">
        <v>0</v>
      </c>
      <c r="KL40" t="s">
        <v>264</v>
      </c>
      <c r="KO40" t="s">
        <v>572</v>
      </c>
      <c r="KP40" t="s">
        <v>555</v>
      </c>
      <c r="KQ40">
        <v>0</v>
      </c>
      <c r="KR40">
        <v>0</v>
      </c>
      <c r="KS40">
        <v>0</v>
      </c>
      <c r="KT40" t="s">
        <v>264</v>
      </c>
      <c r="KW40" t="s">
        <v>573</v>
      </c>
      <c r="KX40" t="s">
        <v>555</v>
      </c>
      <c r="KY40">
        <v>0</v>
      </c>
      <c r="KZ40">
        <v>0</v>
      </c>
      <c r="LA40">
        <v>0</v>
      </c>
      <c r="LB40" t="s">
        <v>264</v>
      </c>
      <c r="LE40" t="s">
        <v>574</v>
      </c>
      <c r="LF40" t="s">
        <v>555</v>
      </c>
      <c r="LG40">
        <v>0</v>
      </c>
      <c r="LH40">
        <v>0</v>
      </c>
      <c r="LI40">
        <v>0</v>
      </c>
      <c r="LJ40" t="s">
        <v>264</v>
      </c>
      <c r="LM40" t="s">
        <v>575</v>
      </c>
      <c r="LN40" t="s">
        <v>555</v>
      </c>
      <c r="LO40">
        <v>0</v>
      </c>
      <c r="LP40">
        <v>0</v>
      </c>
      <c r="LQ40">
        <v>0</v>
      </c>
      <c r="LR40" t="s">
        <v>264</v>
      </c>
      <c r="LU40" t="s">
        <v>576</v>
      </c>
      <c r="LV40" t="s">
        <v>555</v>
      </c>
      <c r="LW40">
        <v>0</v>
      </c>
      <c r="LX40">
        <v>0</v>
      </c>
      <c r="LY40">
        <v>0</v>
      </c>
      <c r="LZ40" t="s">
        <v>264</v>
      </c>
      <c r="MC40" t="s">
        <v>577</v>
      </c>
      <c r="MD40" t="s">
        <v>555</v>
      </c>
      <c r="ME40">
        <v>0</v>
      </c>
      <c r="MF40">
        <v>0</v>
      </c>
      <c r="MG40">
        <v>0</v>
      </c>
      <c r="MH40" t="s">
        <v>264</v>
      </c>
      <c r="MK40" t="s">
        <v>578</v>
      </c>
      <c r="ML40" t="s">
        <v>555</v>
      </c>
      <c r="MM40">
        <v>0</v>
      </c>
      <c r="MN40">
        <v>0</v>
      </c>
      <c r="MO40">
        <v>0</v>
      </c>
      <c r="MP40" t="s">
        <v>264</v>
      </c>
      <c r="MS40" t="s">
        <v>579</v>
      </c>
      <c r="MT40" t="s">
        <v>555</v>
      </c>
      <c r="MU40">
        <v>0</v>
      </c>
      <c r="MV40">
        <v>0</v>
      </c>
      <c r="MW40">
        <v>0</v>
      </c>
      <c r="MX40" t="s">
        <v>264</v>
      </c>
      <c r="NA40" t="s">
        <v>580</v>
      </c>
      <c r="NB40" t="s">
        <v>555</v>
      </c>
      <c r="NC40">
        <v>0</v>
      </c>
      <c r="ND40">
        <v>0</v>
      </c>
      <c r="NE40">
        <v>0</v>
      </c>
      <c r="NF40" t="s">
        <v>264</v>
      </c>
      <c r="NI40">
        <v>40.1</v>
      </c>
      <c r="NJ40">
        <v>-7.6</v>
      </c>
      <c r="NP40" t="s">
        <v>624</v>
      </c>
    </row>
    <row r="41" spans="1:380" customFormat="1" x14ac:dyDescent="0.2">
      <c r="A41" t="s">
        <v>517</v>
      </c>
      <c r="B41">
        <v>1</v>
      </c>
      <c r="C41" t="s">
        <v>883</v>
      </c>
      <c r="D41">
        <v>646961553</v>
      </c>
      <c r="E41">
        <v>12602</v>
      </c>
      <c r="F41" t="s">
        <v>805</v>
      </c>
      <c r="G41">
        <v>802069</v>
      </c>
      <c r="H41">
        <v>210122299</v>
      </c>
      <c r="I41" t="s">
        <v>622</v>
      </c>
      <c r="J41" t="s">
        <v>884</v>
      </c>
      <c r="K41" t="s">
        <v>545</v>
      </c>
      <c r="L41" t="s">
        <v>442</v>
      </c>
      <c r="M41" t="s">
        <v>546</v>
      </c>
      <c r="N41" t="s">
        <v>468</v>
      </c>
      <c r="O41" t="s">
        <v>547</v>
      </c>
      <c r="P41" t="s">
        <v>264</v>
      </c>
      <c r="Q41">
        <v>27.2</v>
      </c>
      <c r="R41">
        <v>237</v>
      </c>
      <c r="S41" t="s">
        <v>264</v>
      </c>
      <c r="T41">
        <v>-9999</v>
      </c>
      <c r="U41">
        <v>710</v>
      </c>
      <c r="V41">
        <v>733</v>
      </c>
      <c r="W41">
        <v>698</v>
      </c>
      <c r="X41" t="s">
        <v>270</v>
      </c>
      <c r="Y41">
        <v>0</v>
      </c>
      <c r="Z41">
        <v>55</v>
      </c>
      <c r="AA41" t="s">
        <v>469</v>
      </c>
      <c r="AB41" t="s">
        <v>548</v>
      </c>
      <c r="AC41">
        <v>1</v>
      </c>
      <c r="AD41" t="s">
        <v>584</v>
      </c>
      <c r="AE41">
        <v>26.1</v>
      </c>
      <c r="AF41">
        <v>1277</v>
      </c>
      <c r="AG41" t="s">
        <v>264</v>
      </c>
      <c r="AH41">
        <v>-9999</v>
      </c>
      <c r="AI41">
        <v>549</v>
      </c>
      <c r="AJ41">
        <v>681</v>
      </c>
      <c r="AK41">
        <v>544</v>
      </c>
      <c r="AL41" t="s">
        <v>270</v>
      </c>
      <c r="AM41">
        <v>0</v>
      </c>
      <c r="AN41">
        <v>55</v>
      </c>
      <c r="AO41" t="s">
        <v>470</v>
      </c>
      <c r="AP41" t="s">
        <v>548</v>
      </c>
      <c r="AQ41">
        <v>2</v>
      </c>
      <c r="AR41" t="s">
        <v>584</v>
      </c>
      <c r="AS41">
        <v>38.299999999999997</v>
      </c>
      <c r="AT41">
        <v>354</v>
      </c>
      <c r="AU41" t="s">
        <v>264</v>
      </c>
      <c r="AV41">
        <v>-9999</v>
      </c>
      <c r="AW41">
        <v>368</v>
      </c>
      <c r="AX41">
        <v>386</v>
      </c>
      <c r="AY41">
        <v>365</v>
      </c>
      <c r="AZ41" t="s">
        <v>270</v>
      </c>
      <c r="BA41">
        <v>0</v>
      </c>
      <c r="BB41">
        <v>55</v>
      </c>
      <c r="BC41" t="s">
        <v>550</v>
      </c>
      <c r="BD41" t="s">
        <v>548</v>
      </c>
      <c r="BE41">
        <v>3</v>
      </c>
      <c r="BF41" t="s">
        <v>584</v>
      </c>
      <c r="BG41">
        <v>21.4</v>
      </c>
      <c r="BH41">
        <v>1059</v>
      </c>
      <c r="BI41" t="s">
        <v>264</v>
      </c>
      <c r="BJ41">
        <v>-9999</v>
      </c>
      <c r="BK41">
        <v>80</v>
      </c>
      <c r="BL41">
        <v>109</v>
      </c>
      <c r="BM41">
        <v>83</v>
      </c>
      <c r="BN41" t="s">
        <v>270</v>
      </c>
      <c r="BO41">
        <v>0</v>
      </c>
      <c r="BP41">
        <v>55</v>
      </c>
      <c r="BQ41" t="s">
        <v>504</v>
      </c>
      <c r="BR41" t="s">
        <v>548</v>
      </c>
      <c r="BS41">
        <v>4</v>
      </c>
      <c r="BT41" t="s">
        <v>584</v>
      </c>
      <c r="BU41">
        <v>30.3</v>
      </c>
      <c r="BV41">
        <v>273</v>
      </c>
      <c r="BW41" t="s">
        <v>264</v>
      </c>
      <c r="BX41">
        <v>-9999</v>
      </c>
      <c r="BY41">
        <v>253</v>
      </c>
      <c r="BZ41">
        <v>292</v>
      </c>
      <c r="CA41">
        <v>251</v>
      </c>
      <c r="CB41" t="s">
        <v>270</v>
      </c>
      <c r="CC41">
        <v>0</v>
      </c>
      <c r="CD41">
        <v>55</v>
      </c>
      <c r="CE41" t="s">
        <v>471</v>
      </c>
      <c r="CF41" t="s">
        <v>548</v>
      </c>
      <c r="CG41">
        <v>5</v>
      </c>
      <c r="CH41" t="s">
        <v>584</v>
      </c>
      <c r="CI41">
        <v>31.2</v>
      </c>
      <c r="CJ41">
        <v>256</v>
      </c>
      <c r="CK41" t="s">
        <v>264</v>
      </c>
      <c r="CL41">
        <v>-9999</v>
      </c>
      <c r="CM41">
        <v>530</v>
      </c>
      <c r="CN41">
        <v>622</v>
      </c>
      <c r="CO41">
        <v>529</v>
      </c>
      <c r="CP41" t="s">
        <v>270</v>
      </c>
      <c r="CQ41">
        <v>0</v>
      </c>
      <c r="CR41">
        <v>55</v>
      </c>
      <c r="CS41" t="s">
        <v>472</v>
      </c>
      <c r="CT41" t="s">
        <v>548</v>
      </c>
      <c r="CU41">
        <v>6</v>
      </c>
      <c r="CV41" t="s">
        <v>584</v>
      </c>
      <c r="CW41">
        <v>34.4</v>
      </c>
      <c r="CX41">
        <v>241</v>
      </c>
      <c r="CY41" t="s">
        <v>264</v>
      </c>
      <c r="CZ41">
        <v>-9999</v>
      </c>
      <c r="DA41">
        <v>663</v>
      </c>
      <c r="DB41">
        <v>752</v>
      </c>
      <c r="DC41">
        <v>652</v>
      </c>
      <c r="DD41" t="s">
        <v>270</v>
      </c>
      <c r="DE41">
        <v>0</v>
      </c>
      <c r="DF41">
        <v>55</v>
      </c>
      <c r="DG41" t="s">
        <v>473</v>
      </c>
      <c r="DH41" t="s">
        <v>548</v>
      </c>
      <c r="DI41">
        <v>7</v>
      </c>
      <c r="DJ41" t="s">
        <v>584</v>
      </c>
      <c r="DK41">
        <v>24.5</v>
      </c>
      <c r="DL41">
        <v>220</v>
      </c>
      <c r="DM41" t="s">
        <v>264</v>
      </c>
      <c r="DN41">
        <v>-9999</v>
      </c>
      <c r="DO41">
        <v>623</v>
      </c>
      <c r="DP41">
        <v>711</v>
      </c>
      <c r="DQ41">
        <v>618</v>
      </c>
      <c r="DR41" t="s">
        <v>270</v>
      </c>
      <c r="DS41">
        <v>0</v>
      </c>
      <c r="DT41">
        <v>55</v>
      </c>
      <c r="DU41" t="s">
        <v>474</v>
      </c>
      <c r="DV41" t="s">
        <v>548</v>
      </c>
      <c r="DW41">
        <v>8</v>
      </c>
      <c r="DX41" t="s">
        <v>584</v>
      </c>
      <c r="DY41">
        <v>21.5</v>
      </c>
      <c r="DZ41">
        <v>449</v>
      </c>
      <c r="EA41" t="s">
        <v>264</v>
      </c>
      <c r="EB41">
        <v>-9999</v>
      </c>
      <c r="EC41">
        <v>108</v>
      </c>
      <c r="ED41">
        <v>132</v>
      </c>
      <c r="EE41">
        <v>106</v>
      </c>
      <c r="EF41" t="s">
        <v>270</v>
      </c>
      <c r="EG41">
        <v>0</v>
      </c>
      <c r="EH41">
        <v>55</v>
      </c>
      <c r="EI41" t="s">
        <v>475</v>
      </c>
      <c r="EJ41" t="s">
        <v>548</v>
      </c>
      <c r="EK41">
        <v>9</v>
      </c>
      <c r="EL41" t="s">
        <v>584</v>
      </c>
      <c r="EM41">
        <v>25.7</v>
      </c>
      <c r="EN41">
        <v>92</v>
      </c>
      <c r="EO41" t="s">
        <v>264</v>
      </c>
      <c r="EP41">
        <v>-9999</v>
      </c>
      <c r="EQ41">
        <v>349</v>
      </c>
      <c r="ER41">
        <v>327</v>
      </c>
      <c r="ES41">
        <v>302</v>
      </c>
      <c r="ET41" t="s">
        <v>270</v>
      </c>
      <c r="EU41">
        <v>0</v>
      </c>
      <c r="EV41">
        <v>55</v>
      </c>
      <c r="EW41" t="s">
        <v>551</v>
      </c>
      <c r="EX41" t="s">
        <v>552</v>
      </c>
      <c r="EY41">
        <v>152</v>
      </c>
      <c r="EZ41">
        <v>152</v>
      </c>
      <c r="FA41">
        <v>152</v>
      </c>
      <c r="FB41" t="s">
        <v>270</v>
      </c>
      <c r="FC41" t="s">
        <v>553</v>
      </c>
      <c r="FD41" t="s">
        <v>552</v>
      </c>
      <c r="FE41">
        <v>287</v>
      </c>
      <c r="FF41">
        <v>286</v>
      </c>
      <c r="FG41">
        <v>285</v>
      </c>
      <c r="FH41" t="s">
        <v>270</v>
      </c>
      <c r="FI41" t="s">
        <v>554</v>
      </c>
      <c r="FJ41" t="s">
        <v>555</v>
      </c>
      <c r="FK41">
        <v>0</v>
      </c>
      <c r="FL41">
        <v>0</v>
      </c>
      <c r="FM41">
        <v>0</v>
      </c>
      <c r="FN41" t="s">
        <v>264</v>
      </c>
      <c r="FO41">
        <v>75.900000000000006</v>
      </c>
      <c r="FP41">
        <v>321.5</v>
      </c>
      <c r="FQ41" t="s">
        <v>556</v>
      </c>
      <c r="FR41" t="s">
        <v>555</v>
      </c>
      <c r="FS41">
        <v>0</v>
      </c>
      <c r="FT41">
        <v>0</v>
      </c>
      <c r="FU41">
        <v>0</v>
      </c>
      <c r="FV41" t="s">
        <v>264</v>
      </c>
      <c r="FW41">
        <v>73.3</v>
      </c>
      <c r="FX41">
        <v>92.6</v>
      </c>
      <c r="FY41" t="s">
        <v>557</v>
      </c>
      <c r="FZ41" t="s">
        <v>555</v>
      </c>
      <c r="GA41">
        <v>0</v>
      </c>
      <c r="GB41">
        <v>0</v>
      </c>
      <c r="GC41">
        <v>0</v>
      </c>
      <c r="GD41" t="s">
        <v>264</v>
      </c>
      <c r="GE41">
        <v>71.099999999999994</v>
      </c>
      <c r="GF41">
        <v>247.9</v>
      </c>
      <c r="GG41" t="s">
        <v>558</v>
      </c>
      <c r="GH41" t="s">
        <v>555</v>
      </c>
      <c r="GI41">
        <v>0</v>
      </c>
      <c r="GJ41">
        <v>0</v>
      </c>
      <c r="GK41">
        <v>0</v>
      </c>
      <c r="GL41" t="s">
        <v>264</v>
      </c>
      <c r="GM41">
        <v>68.400000000000006</v>
      </c>
      <c r="GN41">
        <v>64.8</v>
      </c>
      <c r="GO41" t="s">
        <v>559</v>
      </c>
      <c r="GP41" t="s">
        <v>555</v>
      </c>
      <c r="GQ41">
        <v>0</v>
      </c>
      <c r="GR41">
        <v>0</v>
      </c>
      <c r="GS41">
        <v>0</v>
      </c>
      <c r="GT41" t="s">
        <v>264</v>
      </c>
      <c r="GU41">
        <v>75.8</v>
      </c>
      <c r="GV41">
        <v>67.3</v>
      </c>
      <c r="GW41" t="s">
        <v>560</v>
      </c>
      <c r="GX41" t="s">
        <v>555</v>
      </c>
      <c r="GY41">
        <v>0</v>
      </c>
      <c r="GZ41">
        <v>0</v>
      </c>
      <c r="HA41">
        <v>0</v>
      </c>
      <c r="HB41" t="s">
        <v>264</v>
      </c>
      <c r="HC41">
        <v>70.099999999999994</v>
      </c>
      <c r="HD41">
        <v>87.4</v>
      </c>
      <c r="HE41" t="s">
        <v>561</v>
      </c>
      <c r="HF41" t="s">
        <v>555</v>
      </c>
      <c r="HG41">
        <v>0</v>
      </c>
      <c r="HH41">
        <v>0</v>
      </c>
      <c r="HI41">
        <v>0</v>
      </c>
      <c r="HJ41" t="s">
        <v>264</v>
      </c>
      <c r="HK41">
        <v>70.7</v>
      </c>
      <c r="HL41">
        <v>134.6</v>
      </c>
      <c r="HM41" t="s">
        <v>562</v>
      </c>
      <c r="HN41" t="s">
        <v>555</v>
      </c>
      <c r="HO41">
        <v>0</v>
      </c>
      <c r="HP41">
        <v>0</v>
      </c>
      <c r="HQ41">
        <v>0</v>
      </c>
      <c r="HR41" t="s">
        <v>264</v>
      </c>
      <c r="HS41">
        <v>69.099999999999994</v>
      </c>
      <c r="HT41">
        <v>99.7</v>
      </c>
      <c r="HU41" t="s">
        <v>563</v>
      </c>
      <c r="HV41" t="s">
        <v>555</v>
      </c>
      <c r="HW41">
        <v>0</v>
      </c>
      <c r="HX41">
        <v>0</v>
      </c>
      <c r="HY41">
        <v>0</v>
      </c>
      <c r="HZ41" t="s">
        <v>264</v>
      </c>
      <c r="IA41">
        <v>74.599999999999994</v>
      </c>
      <c r="IB41">
        <v>186.9</v>
      </c>
      <c r="IC41" t="s">
        <v>564</v>
      </c>
      <c r="ID41" t="s">
        <v>555</v>
      </c>
      <c r="IE41">
        <v>0</v>
      </c>
      <c r="IF41">
        <v>0</v>
      </c>
      <c r="IG41">
        <v>0</v>
      </c>
      <c r="IH41" t="s">
        <v>264</v>
      </c>
      <c r="II41">
        <v>68.099999999999994</v>
      </c>
      <c r="IJ41">
        <v>130.5</v>
      </c>
      <c r="IK41" t="s">
        <v>565</v>
      </c>
      <c r="IL41" t="s">
        <v>555</v>
      </c>
      <c r="IM41">
        <v>0</v>
      </c>
      <c r="IN41">
        <v>0</v>
      </c>
      <c r="IO41">
        <v>0</v>
      </c>
      <c r="IP41" t="s">
        <v>264</v>
      </c>
      <c r="IS41" t="s">
        <v>566</v>
      </c>
      <c r="IT41" t="s">
        <v>555</v>
      </c>
      <c r="IU41">
        <v>0</v>
      </c>
      <c r="IV41">
        <v>0</v>
      </c>
      <c r="IW41">
        <v>0</v>
      </c>
      <c r="IX41" t="s">
        <v>264</v>
      </c>
      <c r="JA41" t="s">
        <v>567</v>
      </c>
      <c r="JB41" t="s">
        <v>555</v>
      </c>
      <c r="JC41">
        <v>0</v>
      </c>
      <c r="JD41">
        <v>0</v>
      </c>
      <c r="JE41">
        <v>0</v>
      </c>
      <c r="JF41" t="s">
        <v>264</v>
      </c>
      <c r="JI41" t="s">
        <v>568</v>
      </c>
      <c r="JJ41" t="s">
        <v>555</v>
      </c>
      <c r="JK41">
        <v>0</v>
      </c>
      <c r="JL41">
        <v>0</v>
      </c>
      <c r="JM41">
        <v>0</v>
      </c>
      <c r="JN41" t="s">
        <v>264</v>
      </c>
      <c r="JQ41" t="s">
        <v>569</v>
      </c>
      <c r="JR41" t="s">
        <v>555</v>
      </c>
      <c r="JS41">
        <v>0</v>
      </c>
      <c r="JT41">
        <v>0</v>
      </c>
      <c r="JU41">
        <v>0</v>
      </c>
      <c r="JV41" t="s">
        <v>264</v>
      </c>
      <c r="JY41" t="s">
        <v>570</v>
      </c>
      <c r="JZ41" t="s">
        <v>555</v>
      </c>
      <c r="KA41">
        <v>0</v>
      </c>
      <c r="KB41">
        <v>0</v>
      </c>
      <c r="KC41">
        <v>0</v>
      </c>
      <c r="KD41" t="s">
        <v>264</v>
      </c>
      <c r="KG41" t="s">
        <v>571</v>
      </c>
      <c r="KH41" t="s">
        <v>555</v>
      </c>
      <c r="KI41">
        <v>0</v>
      </c>
      <c r="KJ41">
        <v>0</v>
      </c>
      <c r="KK41">
        <v>0</v>
      </c>
      <c r="KL41" t="s">
        <v>264</v>
      </c>
      <c r="KO41" t="s">
        <v>572</v>
      </c>
      <c r="KP41" t="s">
        <v>555</v>
      </c>
      <c r="KQ41">
        <v>0</v>
      </c>
      <c r="KR41">
        <v>0</v>
      </c>
      <c r="KS41">
        <v>0</v>
      </c>
      <c r="KT41" t="s">
        <v>264</v>
      </c>
      <c r="KW41" t="s">
        <v>573</v>
      </c>
      <c r="KX41" t="s">
        <v>555</v>
      </c>
      <c r="KY41">
        <v>0</v>
      </c>
      <c r="KZ41">
        <v>0</v>
      </c>
      <c r="LA41">
        <v>0</v>
      </c>
      <c r="LB41" t="s">
        <v>264</v>
      </c>
      <c r="LE41" t="s">
        <v>574</v>
      </c>
      <c r="LF41" t="s">
        <v>555</v>
      </c>
      <c r="LG41">
        <v>0</v>
      </c>
      <c r="LH41">
        <v>0</v>
      </c>
      <c r="LI41">
        <v>0</v>
      </c>
      <c r="LJ41" t="s">
        <v>264</v>
      </c>
      <c r="LM41" t="s">
        <v>575</v>
      </c>
      <c r="LN41" t="s">
        <v>555</v>
      </c>
      <c r="LO41">
        <v>0</v>
      </c>
      <c r="LP41">
        <v>0</v>
      </c>
      <c r="LQ41">
        <v>0</v>
      </c>
      <c r="LR41" t="s">
        <v>264</v>
      </c>
      <c r="LU41" t="s">
        <v>576</v>
      </c>
      <c r="LV41" t="s">
        <v>555</v>
      </c>
      <c r="LW41">
        <v>0</v>
      </c>
      <c r="LX41">
        <v>0</v>
      </c>
      <c r="LY41">
        <v>0</v>
      </c>
      <c r="LZ41" t="s">
        <v>264</v>
      </c>
      <c r="MC41" t="s">
        <v>577</v>
      </c>
      <c r="MD41" t="s">
        <v>555</v>
      </c>
      <c r="ME41">
        <v>0</v>
      </c>
      <c r="MF41">
        <v>0</v>
      </c>
      <c r="MG41">
        <v>0</v>
      </c>
      <c r="MH41" t="s">
        <v>264</v>
      </c>
      <c r="MK41" t="s">
        <v>578</v>
      </c>
      <c r="ML41" t="s">
        <v>555</v>
      </c>
      <c r="MM41">
        <v>0</v>
      </c>
      <c r="MN41">
        <v>0</v>
      </c>
      <c r="MO41">
        <v>0</v>
      </c>
      <c r="MP41" t="s">
        <v>264</v>
      </c>
      <c r="MS41" t="s">
        <v>579</v>
      </c>
      <c r="MT41" t="s">
        <v>555</v>
      </c>
      <c r="MU41">
        <v>0</v>
      </c>
      <c r="MV41">
        <v>0</v>
      </c>
      <c r="MW41">
        <v>0</v>
      </c>
      <c r="MX41" t="s">
        <v>264</v>
      </c>
      <c r="NA41" t="s">
        <v>580</v>
      </c>
      <c r="NB41" t="s">
        <v>555</v>
      </c>
      <c r="NC41">
        <v>0</v>
      </c>
      <c r="ND41">
        <v>0</v>
      </c>
      <c r="NE41">
        <v>0</v>
      </c>
      <c r="NF41" t="s">
        <v>264</v>
      </c>
      <c r="NI41">
        <v>40</v>
      </c>
      <c r="NJ41">
        <v>-10.4</v>
      </c>
      <c r="NP41" t="s">
        <v>624</v>
      </c>
    </row>
    <row r="42" spans="1:380" customFormat="1" x14ac:dyDescent="0.2">
      <c r="A42" t="s">
        <v>517</v>
      </c>
      <c r="B42">
        <v>1</v>
      </c>
      <c r="C42" t="s">
        <v>885</v>
      </c>
      <c r="D42">
        <v>646963072</v>
      </c>
      <c r="E42">
        <v>12602</v>
      </c>
      <c r="F42" t="s">
        <v>805</v>
      </c>
      <c r="G42">
        <v>802069</v>
      </c>
      <c r="H42">
        <v>220023028</v>
      </c>
      <c r="I42" t="s">
        <v>622</v>
      </c>
      <c r="J42" t="s">
        <v>886</v>
      </c>
      <c r="K42" t="s">
        <v>545</v>
      </c>
      <c r="L42" t="s">
        <v>442</v>
      </c>
      <c r="M42" t="s">
        <v>546</v>
      </c>
      <c r="N42" t="s">
        <v>468</v>
      </c>
      <c r="O42" t="s">
        <v>547</v>
      </c>
      <c r="P42" t="s">
        <v>264</v>
      </c>
      <c r="Q42">
        <v>26.2</v>
      </c>
      <c r="R42">
        <v>276</v>
      </c>
      <c r="S42" t="s">
        <v>264</v>
      </c>
      <c r="T42">
        <v>-9999</v>
      </c>
      <c r="U42">
        <v>560</v>
      </c>
      <c r="V42">
        <v>578</v>
      </c>
      <c r="W42">
        <v>552</v>
      </c>
      <c r="X42" t="s">
        <v>270</v>
      </c>
      <c r="Y42">
        <v>0</v>
      </c>
      <c r="Z42">
        <v>55</v>
      </c>
      <c r="AA42" t="s">
        <v>469</v>
      </c>
      <c r="AB42" t="s">
        <v>548</v>
      </c>
      <c r="AC42">
        <v>1</v>
      </c>
      <c r="AD42" t="s">
        <v>584</v>
      </c>
      <c r="AE42">
        <v>25.4</v>
      </c>
      <c r="AF42">
        <v>1444</v>
      </c>
      <c r="AG42" t="s">
        <v>264</v>
      </c>
      <c r="AH42">
        <v>-9999</v>
      </c>
      <c r="AI42">
        <v>476</v>
      </c>
      <c r="AJ42">
        <v>595</v>
      </c>
      <c r="AK42">
        <v>475</v>
      </c>
      <c r="AL42" t="s">
        <v>270</v>
      </c>
      <c r="AM42">
        <v>0</v>
      </c>
      <c r="AN42">
        <v>55</v>
      </c>
      <c r="AO42" t="s">
        <v>470</v>
      </c>
      <c r="AP42" t="s">
        <v>548</v>
      </c>
      <c r="AQ42">
        <v>2</v>
      </c>
      <c r="AR42" t="s">
        <v>584</v>
      </c>
      <c r="AS42">
        <v>37.200000000000003</v>
      </c>
      <c r="AT42">
        <v>395</v>
      </c>
      <c r="AU42" t="s">
        <v>264</v>
      </c>
      <c r="AV42">
        <v>-9999</v>
      </c>
      <c r="AW42">
        <v>292</v>
      </c>
      <c r="AX42">
        <v>302</v>
      </c>
      <c r="AY42">
        <v>291</v>
      </c>
      <c r="AZ42" t="s">
        <v>270</v>
      </c>
      <c r="BA42">
        <v>0</v>
      </c>
      <c r="BB42">
        <v>55</v>
      </c>
      <c r="BC42" t="s">
        <v>550</v>
      </c>
      <c r="BD42" t="s">
        <v>548</v>
      </c>
      <c r="BE42">
        <v>3</v>
      </c>
      <c r="BF42" t="s">
        <v>584</v>
      </c>
      <c r="BG42">
        <v>22.4</v>
      </c>
      <c r="BH42">
        <v>643</v>
      </c>
      <c r="BI42" t="s">
        <v>264</v>
      </c>
      <c r="BJ42">
        <v>-9999</v>
      </c>
      <c r="BK42">
        <v>250</v>
      </c>
      <c r="BL42">
        <v>302</v>
      </c>
      <c r="BM42">
        <v>246</v>
      </c>
      <c r="BN42" t="s">
        <v>270</v>
      </c>
      <c r="BO42">
        <v>0</v>
      </c>
      <c r="BP42">
        <v>55</v>
      </c>
      <c r="BQ42" t="s">
        <v>504</v>
      </c>
      <c r="BR42" t="s">
        <v>548</v>
      </c>
      <c r="BS42">
        <v>4</v>
      </c>
      <c r="BT42" t="s">
        <v>584</v>
      </c>
      <c r="BU42">
        <v>30.5</v>
      </c>
      <c r="BV42">
        <v>268</v>
      </c>
      <c r="BW42" t="s">
        <v>264</v>
      </c>
      <c r="BX42">
        <v>-9999</v>
      </c>
      <c r="BY42">
        <v>245</v>
      </c>
      <c r="BZ42">
        <v>284</v>
      </c>
      <c r="CA42">
        <v>244</v>
      </c>
      <c r="CB42" t="s">
        <v>270</v>
      </c>
      <c r="CC42">
        <v>0</v>
      </c>
      <c r="CD42">
        <v>55</v>
      </c>
      <c r="CE42" t="s">
        <v>471</v>
      </c>
      <c r="CF42" t="s">
        <v>548</v>
      </c>
      <c r="CG42">
        <v>5</v>
      </c>
      <c r="CH42" t="s">
        <v>584</v>
      </c>
      <c r="CI42">
        <v>39.1</v>
      </c>
      <c r="CJ42">
        <v>135</v>
      </c>
      <c r="CK42" t="s">
        <v>264</v>
      </c>
      <c r="CL42">
        <v>-9999</v>
      </c>
      <c r="CM42">
        <v>483</v>
      </c>
      <c r="CN42">
        <v>564</v>
      </c>
      <c r="CO42">
        <v>482</v>
      </c>
      <c r="CP42" t="s">
        <v>270</v>
      </c>
      <c r="CQ42">
        <v>0</v>
      </c>
      <c r="CR42">
        <v>55</v>
      </c>
      <c r="CS42" t="s">
        <v>472</v>
      </c>
      <c r="CT42" t="s">
        <v>548</v>
      </c>
      <c r="CU42">
        <v>6</v>
      </c>
      <c r="CV42" t="s">
        <v>584</v>
      </c>
      <c r="CW42">
        <v>33.200000000000003</v>
      </c>
      <c r="CX42">
        <v>296</v>
      </c>
      <c r="CY42" t="s">
        <v>264</v>
      </c>
      <c r="CZ42">
        <v>-9999</v>
      </c>
      <c r="DA42">
        <v>611</v>
      </c>
      <c r="DB42">
        <v>694</v>
      </c>
      <c r="DC42">
        <v>600</v>
      </c>
      <c r="DD42" t="s">
        <v>270</v>
      </c>
      <c r="DE42">
        <v>0</v>
      </c>
      <c r="DF42">
        <v>55</v>
      </c>
      <c r="DG42" t="s">
        <v>473</v>
      </c>
      <c r="DH42" t="s">
        <v>548</v>
      </c>
      <c r="DI42">
        <v>7</v>
      </c>
      <c r="DJ42" t="s">
        <v>584</v>
      </c>
      <c r="DK42">
        <v>24.2</v>
      </c>
      <c r="DL42">
        <v>181</v>
      </c>
      <c r="DM42" t="s">
        <v>264</v>
      </c>
      <c r="DN42">
        <v>-9999</v>
      </c>
      <c r="DO42">
        <v>560</v>
      </c>
      <c r="DP42">
        <v>641</v>
      </c>
      <c r="DQ42">
        <v>556</v>
      </c>
      <c r="DR42" t="s">
        <v>270</v>
      </c>
      <c r="DS42">
        <v>0</v>
      </c>
      <c r="DT42">
        <v>55</v>
      </c>
      <c r="DU42" t="s">
        <v>474</v>
      </c>
      <c r="DV42" t="s">
        <v>548</v>
      </c>
      <c r="DW42">
        <v>8</v>
      </c>
      <c r="DX42" t="s">
        <v>584</v>
      </c>
      <c r="DY42">
        <v>21.6</v>
      </c>
      <c r="DZ42">
        <v>439</v>
      </c>
      <c r="EA42" t="s">
        <v>264</v>
      </c>
      <c r="EB42">
        <v>-9999</v>
      </c>
      <c r="EC42">
        <v>118</v>
      </c>
      <c r="ED42">
        <v>144</v>
      </c>
      <c r="EE42">
        <v>117</v>
      </c>
      <c r="EF42" t="s">
        <v>270</v>
      </c>
      <c r="EG42">
        <v>0</v>
      </c>
      <c r="EH42">
        <v>55</v>
      </c>
      <c r="EI42" t="s">
        <v>475</v>
      </c>
      <c r="EJ42" t="s">
        <v>548</v>
      </c>
      <c r="EK42">
        <v>9</v>
      </c>
      <c r="EL42" t="s">
        <v>584</v>
      </c>
      <c r="EM42">
        <v>26</v>
      </c>
      <c r="EN42">
        <v>50</v>
      </c>
      <c r="EO42" t="s">
        <v>264</v>
      </c>
      <c r="EP42">
        <v>-9999</v>
      </c>
      <c r="EQ42">
        <v>279</v>
      </c>
      <c r="ER42">
        <v>263</v>
      </c>
      <c r="ES42">
        <v>249</v>
      </c>
      <c r="ET42" t="s">
        <v>270</v>
      </c>
      <c r="EU42">
        <v>0</v>
      </c>
      <c r="EV42">
        <v>55</v>
      </c>
      <c r="EW42" t="s">
        <v>551</v>
      </c>
      <c r="EX42" t="s">
        <v>552</v>
      </c>
      <c r="EY42">
        <v>147</v>
      </c>
      <c r="EZ42">
        <v>148</v>
      </c>
      <c r="FA42">
        <v>148</v>
      </c>
      <c r="FB42" t="s">
        <v>270</v>
      </c>
      <c r="FC42" t="s">
        <v>553</v>
      </c>
      <c r="FD42" t="s">
        <v>552</v>
      </c>
      <c r="FE42">
        <v>255</v>
      </c>
      <c r="FF42">
        <v>254</v>
      </c>
      <c r="FG42">
        <v>253</v>
      </c>
      <c r="FH42" t="s">
        <v>270</v>
      </c>
      <c r="FI42" t="s">
        <v>554</v>
      </c>
      <c r="FJ42" t="s">
        <v>555</v>
      </c>
      <c r="FK42">
        <v>0</v>
      </c>
      <c r="FL42">
        <v>0</v>
      </c>
      <c r="FM42">
        <v>0</v>
      </c>
      <c r="FN42" t="s">
        <v>264</v>
      </c>
      <c r="FO42">
        <v>76</v>
      </c>
      <c r="FP42">
        <v>307.60000000000002</v>
      </c>
      <c r="FQ42" t="s">
        <v>556</v>
      </c>
      <c r="FR42" t="s">
        <v>555</v>
      </c>
      <c r="FS42">
        <v>0</v>
      </c>
      <c r="FT42">
        <v>0</v>
      </c>
      <c r="FU42">
        <v>0</v>
      </c>
      <c r="FV42" t="s">
        <v>264</v>
      </c>
      <c r="FW42">
        <v>73.400000000000006</v>
      </c>
      <c r="FX42">
        <v>76.7</v>
      </c>
      <c r="FY42" t="s">
        <v>557</v>
      </c>
      <c r="FZ42" t="s">
        <v>555</v>
      </c>
      <c r="GA42">
        <v>0</v>
      </c>
      <c r="GB42">
        <v>0</v>
      </c>
      <c r="GC42">
        <v>0</v>
      </c>
      <c r="GD42" t="s">
        <v>264</v>
      </c>
      <c r="GE42">
        <v>71.2</v>
      </c>
      <c r="GF42">
        <v>293.10000000000002</v>
      </c>
      <c r="GG42" t="s">
        <v>558</v>
      </c>
      <c r="GH42" t="s">
        <v>555</v>
      </c>
      <c r="GI42">
        <v>0</v>
      </c>
      <c r="GJ42">
        <v>0</v>
      </c>
      <c r="GK42">
        <v>0</v>
      </c>
      <c r="GL42" t="s">
        <v>264</v>
      </c>
      <c r="GM42">
        <v>68.400000000000006</v>
      </c>
      <c r="GN42">
        <v>52.6</v>
      </c>
      <c r="GO42" t="s">
        <v>559</v>
      </c>
      <c r="GP42" t="s">
        <v>555</v>
      </c>
      <c r="GQ42">
        <v>0</v>
      </c>
      <c r="GR42">
        <v>0</v>
      </c>
      <c r="GS42">
        <v>0</v>
      </c>
      <c r="GT42" t="s">
        <v>264</v>
      </c>
      <c r="GU42">
        <v>76</v>
      </c>
      <c r="GV42">
        <v>63.8</v>
      </c>
      <c r="GW42" t="s">
        <v>560</v>
      </c>
      <c r="GX42" t="s">
        <v>555</v>
      </c>
      <c r="GY42">
        <v>0</v>
      </c>
      <c r="GZ42">
        <v>0</v>
      </c>
      <c r="HA42">
        <v>0</v>
      </c>
      <c r="HB42" t="s">
        <v>264</v>
      </c>
      <c r="HC42">
        <v>70.2</v>
      </c>
      <c r="HD42">
        <v>81.8</v>
      </c>
      <c r="HE42" t="s">
        <v>561</v>
      </c>
      <c r="HF42" t="s">
        <v>555</v>
      </c>
      <c r="HG42">
        <v>0</v>
      </c>
      <c r="HH42">
        <v>0</v>
      </c>
      <c r="HI42">
        <v>0</v>
      </c>
      <c r="HJ42" t="s">
        <v>264</v>
      </c>
      <c r="HK42">
        <v>70.900000000000006</v>
      </c>
      <c r="HL42">
        <v>130.80000000000001</v>
      </c>
      <c r="HM42" t="s">
        <v>562</v>
      </c>
      <c r="HN42" t="s">
        <v>555</v>
      </c>
      <c r="HO42">
        <v>0</v>
      </c>
      <c r="HP42">
        <v>0</v>
      </c>
      <c r="HQ42">
        <v>0</v>
      </c>
      <c r="HR42" t="s">
        <v>264</v>
      </c>
      <c r="HS42">
        <v>69.2</v>
      </c>
      <c r="HT42">
        <v>85.8</v>
      </c>
      <c r="HU42" t="s">
        <v>563</v>
      </c>
      <c r="HV42" t="s">
        <v>555</v>
      </c>
      <c r="HW42">
        <v>0</v>
      </c>
      <c r="HX42">
        <v>0</v>
      </c>
      <c r="HY42">
        <v>0</v>
      </c>
      <c r="HZ42" t="s">
        <v>264</v>
      </c>
      <c r="IA42">
        <v>74.7</v>
      </c>
      <c r="IB42">
        <v>185.9</v>
      </c>
      <c r="IC42" t="s">
        <v>564</v>
      </c>
      <c r="ID42" t="s">
        <v>555</v>
      </c>
      <c r="IE42">
        <v>0</v>
      </c>
      <c r="IF42">
        <v>0</v>
      </c>
      <c r="IG42">
        <v>0</v>
      </c>
      <c r="IH42" t="s">
        <v>264</v>
      </c>
      <c r="II42">
        <v>68.2</v>
      </c>
      <c r="IJ42">
        <v>111.5</v>
      </c>
      <c r="IK42" t="s">
        <v>565</v>
      </c>
      <c r="IL42" t="s">
        <v>555</v>
      </c>
      <c r="IM42">
        <v>0</v>
      </c>
      <c r="IN42">
        <v>0</v>
      </c>
      <c r="IO42">
        <v>0</v>
      </c>
      <c r="IP42" t="s">
        <v>264</v>
      </c>
      <c r="IS42" t="s">
        <v>566</v>
      </c>
      <c r="IT42" t="s">
        <v>555</v>
      </c>
      <c r="IU42">
        <v>0</v>
      </c>
      <c r="IV42">
        <v>0</v>
      </c>
      <c r="IW42">
        <v>0</v>
      </c>
      <c r="IX42" t="s">
        <v>264</v>
      </c>
      <c r="JA42" t="s">
        <v>567</v>
      </c>
      <c r="JB42" t="s">
        <v>555</v>
      </c>
      <c r="JC42">
        <v>0</v>
      </c>
      <c r="JD42">
        <v>0</v>
      </c>
      <c r="JE42">
        <v>0</v>
      </c>
      <c r="JF42" t="s">
        <v>264</v>
      </c>
      <c r="JI42" t="s">
        <v>568</v>
      </c>
      <c r="JJ42" t="s">
        <v>555</v>
      </c>
      <c r="JK42">
        <v>0</v>
      </c>
      <c r="JL42">
        <v>0</v>
      </c>
      <c r="JM42">
        <v>0</v>
      </c>
      <c r="JN42" t="s">
        <v>264</v>
      </c>
      <c r="JQ42" t="s">
        <v>569</v>
      </c>
      <c r="JR42" t="s">
        <v>555</v>
      </c>
      <c r="JS42">
        <v>0</v>
      </c>
      <c r="JT42">
        <v>0</v>
      </c>
      <c r="JU42">
        <v>0</v>
      </c>
      <c r="JV42" t="s">
        <v>264</v>
      </c>
      <c r="JY42" t="s">
        <v>570</v>
      </c>
      <c r="JZ42" t="s">
        <v>555</v>
      </c>
      <c r="KA42">
        <v>0</v>
      </c>
      <c r="KB42">
        <v>0</v>
      </c>
      <c r="KC42">
        <v>0</v>
      </c>
      <c r="KD42" t="s">
        <v>264</v>
      </c>
      <c r="KG42" t="s">
        <v>571</v>
      </c>
      <c r="KH42" t="s">
        <v>555</v>
      </c>
      <c r="KI42">
        <v>0</v>
      </c>
      <c r="KJ42">
        <v>0</v>
      </c>
      <c r="KK42">
        <v>0</v>
      </c>
      <c r="KL42" t="s">
        <v>264</v>
      </c>
      <c r="KO42" t="s">
        <v>572</v>
      </c>
      <c r="KP42" t="s">
        <v>555</v>
      </c>
      <c r="KQ42">
        <v>0</v>
      </c>
      <c r="KR42">
        <v>0</v>
      </c>
      <c r="KS42">
        <v>0</v>
      </c>
      <c r="KT42" t="s">
        <v>264</v>
      </c>
      <c r="KW42" t="s">
        <v>573</v>
      </c>
      <c r="KX42" t="s">
        <v>555</v>
      </c>
      <c r="KY42">
        <v>0</v>
      </c>
      <c r="KZ42">
        <v>0</v>
      </c>
      <c r="LA42">
        <v>0</v>
      </c>
      <c r="LB42" t="s">
        <v>264</v>
      </c>
      <c r="LE42" t="s">
        <v>574</v>
      </c>
      <c r="LF42" t="s">
        <v>555</v>
      </c>
      <c r="LG42">
        <v>0</v>
      </c>
      <c r="LH42">
        <v>0</v>
      </c>
      <c r="LI42">
        <v>0</v>
      </c>
      <c r="LJ42" t="s">
        <v>264</v>
      </c>
      <c r="LM42" t="s">
        <v>575</v>
      </c>
      <c r="LN42" t="s">
        <v>555</v>
      </c>
      <c r="LO42">
        <v>0</v>
      </c>
      <c r="LP42">
        <v>0</v>
      </c>
      <c r="LQ42">
        <v>0</v>
      </c>
      <c r="LR42" t="s">
        <v>264</v>
      </c>
      <c r="LU42" t="s">
        <v>576</v>
      </c>
      <c r="LV42" t="s">
        <v>555</v>
      </c>
      <c r="LW42">
        <v>0</v>
      </c>
      <c r="LX42">
        <v>0</v>
      </c>
      <c r="LY42">
        <v>0</v>
      </c>
      <c r="LZ42" t="s">
        <v>264</v>
      </c>
      <c r="MC42" t="s">
        <v>577</v>
      </c>
      <c r="MD42" t="s">
        <v>555</v>
      </c>
      <c r="ME42">
        <v>0</v>
      </c>
      <c r="MF42">
        <v>0</v>
      </c>
      <c r="MG42">
        <v>0</v>
      </c>
      <c r="MH42" t="s">
        <v>264</v>
      </c>
      <c r="MK42" t="s">
        <v>578</v>
      </c>
      <c r="ML42" t="s">
        <v>555</v>
      </c>
      <c r="MM42">
        <v>0</v>
      </c>
      <c r="MN42">
        <v>0</v>
      </c>
      <c r="MO42">
        <v>0</v>
      </c>
      <c r="MP42" t="s">
        <v>264</v>
      </c>
      <c r="MS42" t="s">
        <v>579</v>
      </c>
      <c r="MT42" t="s">
        <v>555</v>
      </c>
      <c r="MU42">
        <v>0</v>
      </c>
      <c r="MV42">
        <v>0</v>
      </c>
      <c r="MW42">
        <v>0</v>
      </c>
      <c r="MX42" t="s">
        <v>264</v>
      </c>
      <c r="NA42" t="s">
        <v>580</v>
      </c>
      <c r="NB42" t="s">
        <v>555</v>
      </c>
      <c r="NC42">
        <v>0</v>
      </c>
      <c r="ND42">
        <v>0</v>
      </c>
      <c r="NE42">
        <v>0</v>
      </c>
      <c r="NF42" t="s">
        <v>264</v>
      </c>
      <c r="NI42">
        <v>40.1</v>
      </c>
      <c r="NJ42">
        <v>-11.7</v>
      </c>
      <c r="NP42" t="s">
        <v>624</v>
      </c>
    </row>
    <row r="43" spans="1:380" customFormat="1" x14ac:dyDescent="0.2">
      <c r="A43" t="s">
        <v>517</v>
      </c>
      <c r="B43">
        <v>1</v>
      </c>
      <c r="C43" t="s">
        <v>887</v>
      </c>
      <c r="D43">
        <v>646963232</v>
      </c>
      <c r="E43">
        <v>12602</v>
      </c>
      <c r="F43" t="s">
        <v>805</v>
      </c>
      <c r="G43">
        <v>802069</v>
      </c>
      <c r="H43">
        <v>210013830</v>
      </c>
      <c r="I43" t="s">
        <v>622</v>
      </c>
      <c r="J43" t="s">
        <v>888</v>
      </c>
      <c r="K43" t="s">
        <v>545</v>
      </c>
      <c r="L43" t="s">
        <v>442</v>
      </c>
      <c r="M43" t="s">
        <v>546</v>
      </c>
      <c r="N43" t="s">
        <v>468</v>
      </c>
      <c r="O43" t="s">
        <v>547</v>
      </c>
      <c r="P43" t="s">
        <v>264</v>
      </c>
      <c r="Q43">
        <v>26.9</v>
      </c>
      <c r="R43">
        <v>231</v>
      </c>
      <c r="S43" t="s">
        <v>264</v>
      </c>
      <c r="T43">
        <v>-9999</v>
      </c>
      <c r="U43">
        <v>592</v>
      </c>
      <c r="V43">
        <v>610</v>
      </c>
      <c r="W43">
        <v>582</v>
      </c>
      <c r="X43" t="s">
        <v>270</v>
      </c>
      <c r="Y43">
        <v>0</v>
      </c>
      <c r="Z43">
        <v>55</v>
      </c>
      <c r="AA43" t="s">
        <v>469</v>
      </c>
      <c r="AB43" t="s">
        <v>548</v>
      </c>
      <c r="AC43">
        <v>1</v>
      </c>
      <c r="AD43" t="s">
        <v>584</v>
      </c>
      <c r="AE43">
        <v>24.9</v>
      </c>
      <c r="AF43">
        <v>1358</v>
      </c>
      <c r="AG43" t="s">
        <v>264</v>
      </c>
      <c r="AH43">
        <v>-9999</v>
      </c>
      <c r="AI43">
        <v>476</v>
      </c>
      <c r="AJ43">
        <v>592</v>
      </c>
      <c r="AK43">
        <v>476</v>
      </c>
      <c r="AL43" t="s">
        <v>270</v>
      </c>
      <c r="AM43">
        <v>0</v>
      </c>
      <c r="AN43">
        <v>55</v>
      </c>
      <c r="AO43" t="s">
        <v>470</v>
      </c>
      <c r="AP43" t="s">
        <v>548</v>
      </c>
      <c r="AQ43">
        <v>2</v>
      </c>
      <c r="AR43" t="s">
        <v>584</v>
      </c>
      <c r="AS43">
        <v>35.5</v>
      </c>
      <c r="AT43">
        <v>376</v>
      </c>
      <c r="AU43" t="s">
        <v>264</v>
      </c>
      <c r="AV43">
        <v>-9999</v>
      </c>
      <c r="AW43">
        <v>374</v>
      </c>
      <c r="AX43">
        <v>391</v>
      </c>
      <c r="AY43">
        <v>373</v>
      </c>
      <c r="AZ43" t="s">
        <v>270</v>
      </c>
      <c r="BA43">
        <v>0</v>
      </c>
      <c r="BB43">
        <v>55</v>
      </c>
      <c r="BC43" t="s">
        <v>550</v>
      </c>
      <c r="BD43" t="s">
        <v>548</v>
      </c>
      <c r="BE43">
        <v>3</v>
      </c>
      <c r="BF43" t="s">
        <v>584</v>
      </c>
      <c r="BG43">
        <v>21.7</v>
      </c>
      <c r="BH43">
        <v>707</v>
      </c>
      <c r="BI43" t="s">
        <v>264</v>
      </c>
      <c r="BJ43">
        <v>-9999</v>
      </c>
      <c r="BK43">
        <v>149</v>
      </c>
      <c r="BL43">
        <v>183</v>
      </c>
      <c r="BM43">
        <v>146</v>
      </c>
      <c r="BN43" t="s">
        <v>270</v>
      </c>
      <c r="BO43">
        <v>0</v>
      </c>
      <c r="BP43">
        <v>55</v>
      </c>
      <c r="BQ43" t="s">
        <v>504</v>
      </c>
      <c r="BR43" t="s">
        <v>548</v>
      </c>
      <c r="BS43">
        <v>4</v>
      </c>
      <c r="BT43" t="s">
        <v>584</v>
      </c>
      <c r="BU43">
        <v>30</v>
      </c>
      <c r="BV43">
        <v>257</v>
      </c>
      <c r="BW43" t="s">
        <v>264</v>
      </c>
      <c r="BX43">
        <v>-9999</v>
      </c>
      <c r="BY43">
        <v>228</v>
      </c>
      <c r="BZ43">
        <v>263</v>
      </c>
      <c r="CA43">
        <v>226</v>
      </c>
      <c r="CB43" t="s">
        <v>270</v>
      </c>
      <c r="CC43">
        <v>0</v>
      </c>
      <c r="CD43">
        <v>55</v>
      </c>
      <c r="CE43" t="s">
        <v>471</v>
      </c>
      <c r="CF43" t="s">
        <v>548</v>
      </c>
      <c r="CG43">
        <v>5</v>
      </c>
      <c r="CH43" t="s">
        <v>584</v>
      </c>
      <c r="CI43">
        <v>35.5</v>
      </c>
      <c r="CJ43">
        <v>194</v>
      </c>
      <c r="CK43" t="s">
        <v>264</v>
      </c>
      <c r="CL43">
        <v>-9999</v>
      </c>
      <c r="CM43">
        <v>492</v>
      </c>
      <c r="CN43">
        <v>574</v>
      </c>
      <c r="CO43">
        <v>490</v>
      </c>
      <c r="CP43" t="s">
        <v>270</v>
      </c>
      <c r="CQ43">
        <v>0</v>
      </c>
      <c r="CR43">
        <v>55</v>
      </c>
      <c r="CS43" t="s">
        <v>472</v>
      </c>
      <c r="CT43" t="s">
        <v>548</v>
      </c>
      <c r="CU43">
        <v>6</v>
      </c>
      <c r="CV43" t="s">
        <v>584</v>
      </c>
      <c r="CW43">
        <v>34.1</v>
      </c>
      <c r="CX43">
        <v>234</v>
      </c>
      <c r="CY43" t="s">
        <v>264</v>
      </c>
      <c r="CZ43">
        <v>-9999</v>
      </c>
      <c r="DA43">
        <v>667</v>
      </c>
      <c r="DB43">
        <v>754</v>
      </c>
      <c r="DC43">
        <v>655</v>
      </c>
      <c r="DD43" t="s">
        <v>270</v>
      </c>
      <c r="DE43">
        <v>0</v>
      </c>
      <c r="DF43">
        <v>55</v>
      </c>
      <c r="DG43" t="s">
        <v>473</v>
      </c>
      <c r="DH43" t="s">
        <v>548</v>
      </c>
      <c r="DI43">
        <v>7</v>
      </c>
      <c r="DJ43" t="s">
        <v>584</v>
      </c>
      <c r="DK43">
        <v>24.2</v>
      </c>
      <c r="DL43">
        <v>181</v>
      </c>
      <c r="DM43" t="s">
        <v>264</v>
      </c>
      <c r="DN43">
        <v>-9999</v>
      </c>
      <c r="DO43">
        <v>561</v>
      </c>
      <c r="DP43">
        <v>641</v>
      </c>
      <c r="DQ43">
        <v>557</v>
      </c>
      <c r="DR43" t="s">
        <v>270</v>
      </c>
      <c r="DS43">
        <v>0</v>
      </c>
      <c r="DT43">
        <v>55</v>
      </c>
      <c r="DU43" t="s">
        <v>474</v>
      </c>
      <c r="DV43" t="s">
        <v>548</v>
      </c>
      <c r="DW43">
        <v>8</v>
      </c>
      <c r="DX43" t="s">
        <v>584</v>
      </c>
      <c r="DY43">
        <v>20.399999999999999</v>
      </c>
      <c r="DZ43">
        <v>457</v>
      </c>
      <c r="EA43" t="s">
        <v>264</v>
      </c>
      <c r="EB43">
        <v>-9999</v>
      </c>
      <c r="EC43">
        <v>105</v>
      </c>
      <c r="ED43">
        <v>127</v>
      </c>
      <c r="EE43">
        <v>104</v>
      </c>
      <c r="EF43" t="s">
        <v>270</v>
      </c>
      <c r="EG43">
        <v>0</v>
      </c>
      <c r="EH43">
        <v>55</v>
      </c>
      <c r="EI43" t="s">
        <v>475</v>
      </c>
      <c r="EJ43" t="s">
        <v>548</v>
      </c>
      <c r="EK43">
        <v>9</v>
      </c>
      <c r="EL43" t="s">
        <v>584</v>
      </c>
      <c r="EM43">
        <v>24.1</v>
      </c>
      <c r="EN43">
        <v>90</v>
      </c>
      <c r="EO43" t="s">
        <v>264</v>
      </c>
      <c r="EP43">
        <v>-9999</v>
      </c>
      <c r="EQ43">
        <v>266</v>
      </c>
      <c r="ER43">
        <v>245</v>
      </c>
      <c r="ES43">
        <v>231</v>
      </c>
      <c r="ET43" t="s">
        <v>270</v>
      </c>
      <c r="EU43">
        <v>0</v>
      </c>
      <c r="EV43">
        <v>55</v>
      </c>
      <c r="EW43" t="s">
        <v>551</v>
      </c>
      <c r="EX43" t="s">
        <v>552</v>
      </c>
      <c r="EY43">
        <v>133</v>
      </c>
      <c r="EZ43">
        <v>133</v>
      </c>
      <c r="FA43">
        <v>133</v>
      </c>
      <c r="FB43" t="s">
        <v>270</v>
      </c>
      <c r="FC43" t="s">
        <v>553</v>
      </c>
      <c r="FD43" t="s">
        <v>552</v>
      </c>
      <c r="FE43">
        <v>317</v>
      </c>
      <c r="FF43">
        <v>316</v>
      </c>
      <c r="FG43">
        <v>314</v>
      </c>
      <c r="FH43" t="s">
        <v>270</v>
      </c>
      <c r="FI43" t="s">
        <v>554</v>
      </c>
      <c r="FJ43" t="s">
        <v>555</v>
      </c>
      <c r="FK43">
        <v>0</v>
      </c>
      <c r="FL43">
        <v>0</v>
      </c>
      <c r="FM43">
        <v>0</v>
      </c>
      <c r="FN43" t="s">
        <v>264</v>
      </c>
      <c r="FO43">
        <v>75.900000000000006</v>
      </c>
      <c r="FP43">
        <v>298.5</v>
      </c>
      <c r="FQ43" t="s">
        <v>556</v>
      </c>
      <c r="FR43" t="s">
        <v>555</v>
      </c>
      <c r="FS43">
        <v>0</v>
      </c>
      <c r="FT43">
        <v>0</v>
      </c>
      <c r="FU43">
        <v>0</v>
      </c>
      <c r="FV43" t="s">
        <v>264</v>
      </c>
      <c r="FW43">
        <v>73.3</v>
      </c>
      <c r="FX43">
        <v>99.2</v>
      </c>
      <c r="FY43" t="s">
        <v>557</v>
      </c>
      <c r="FZ43" t="s">
        <v>555</v>
      </c>
      <c r="GA43">
        <v>0</v>
      </c>
      <c r="GB43">
        <v>0</v>
      </c>
      <c r="GC43">
        <v>0</v>
      </c>
      <c r="GD43" t="s">
        <v>264</v>
      </c>
      <c r="GE43">
        <v>71.099999999999994</v>
      </c>
      <c r="GF43">
        <v>245.8</v>
      </c>
      <c r="GG43" t="s">
        <v>558</v>
      </c>
      <c r="GH43" t="s">
        <v>555</v>
      </c>
      <c r="GI43">
        <v>0</v>
      </c>
      <c r="GJ43">
        <v>0</v>
      </c>
      <c r="GK43">
        <v>0</v>
      </c>
      <c r="GL43" t="s">
        <v>264</v>
      </c>
      <c r="GM43">
        <v>68.3</v>
      </c>
      <c r="GN43">
        <v>57.4</v>
      </c>
      <c r="GO43" t="s">
        <v>559</v>
      </c>
      <c r="GP43" t="s">
        <v>555</v>
      </c>
      <c r="GQ43">
        <v>0</v>
      </c>
      <c r="GR43">
        <v>0</v>
      </c>
      <c r="GS43">
        <v>0</v>
      </c>
      <c r="GT43" t="s">
        <v>264</v>
      </c>
      <c r="GU43">
        <v>75.900000000000006</v>
      </c>
      <c r="GV43">
        <v>56.9</v>
      </c>
      <c r="GW43" t="s">
        <v>560</v>
      </c>
      <c r="GX43" t="s">
        <v>555</v>
      </c>
      <c r="GY43">
        <v>0</v>
      </c>
      <c r="GZ43">
        <v>0</v>
      </c>
      <c r="HA43">
        <v>0</v>
      </c>
      <c r="HB43" t="s">
        <v>264</v>
      </c>
      <c r="HC43">
        <v>70.2</v>
      </c>
      <c r="HD43">
        <v>83.3</v>
      </c>
      <c r="HE43" t="s">
        <v>561</v>
      </c>
      <c r="HF43" t="s">
        <v>555</v>
      </c>
      <c r="HG43">
        <v>0</v>
      </c>
      <c r="HH43">
        <v>0</v>
      </c>
      <c r="HI43">
        <v>0</v>
      </c>
      <c r="HJ43" t="s">
        <v>264</v>
      </c>
      <c r="HK43">
        <v>70.7</v>
      </c>
      <c r="HL43">
        <v>130.69999999999999</v>
      </c>
      <c r="HM43" t="s">
        <v>562</v>
      </c>
      <c r="HN43" t="s">
        <v>555</v>
      </c>
      <c r="HO43">
        <v>0</v>
      </c>
      <c r="HP43">
        <v>0</v>
      </c>
      <c r="HQ43">
        <v>0</v>
      </c>
      <c r="HR43" t="s">
        <v>264</v>
      </c>
      <c r="HS43">
        <v>69.099999999999994</v>
      </c>
      <c r="HT43">
        <v>91</v>
      </c>
      <c r="HU43" t="s">
        <v>563</v>
      </c>
      <c r="HV43" t="s">
        <v>555</v>
      </c>
      <c r="HW43">
        <v>0</v>
      </c>
      <c r="HX43">
        <v>0</v>
      </c>
      <c r="HY43">
        <v>0</v>
      </c>
      <c r="HZ43" t="s">
        <v>264</v>
      </c>
      <c r="IA43">
        <v>74.599999999999994</v>
      </c>
      <c r="IB43">
        <v>179.5</v>
      </c>
      <c r="IC43" t="s">
        <v>564</v>
      </c>
      <c r="ID43" t="s">
        <v>555</v>
      </c>
      <c r="IE43">
        <v>0</v>
      </c>
      <c r="IF43">
        <v>0</v>
      </c>
      <c r="IG43">
        <v>0</v>
      </c>
      <c r="IH43" t="s">
        <v>264</v>
      </c>
      <c r="II43">
        <v>68.099999999999994</v>
      </c>
      <c r="IJ43">
        <v>113.4</v>
      </c>
      <c r="IK43" t="s">
        <v>565</v>
      </c>
      <c r="IL43" t="s">
        <v>555</v>
      </c>
      <c r="IM43">
        <v>0</v>
      </c>
      <c r="IN43">
        <v>0</v>
      </c>
      <c r="IO43">
        <v>0</v>
      </c>
      <c r="IP43" t="s">
        <v>264</v>
      </c>
      <c r="IS43" t="s">
        <v>566</v>
      </c>
      <c r="IT43" t="s">
        <v>555</v>
      </c>
      <c r="IU43">
        <v>0</v>
      </c>
      <c r="IV43">
        <v>0</v>
      </c>
      <c r="IW43">
        <v>0</v>
      </c>
      <c r="IX43" t="s">
        <v>264</v>
      </c>
      <c r="JA43" t="s">
        <v>567</v>
      </c>
      <c r="JB43" t="s">
        <v>555</v>
      </c>
      <c r="JC43">
        <v>0</v>
      </c>
      <c r="JD43">
        <v>0</v>
      </c>
      <c r="JE43">
        <v>0</v>
      </c>
      <c r="JF43" t="s">
        <v>264</v>
      </c>
      <c r="JI43" t="s">
        <v>568</v>
      </c>
      <c r="JJ43" t="s">
        <v>555</v>
      </c>
      <c r="JK43">
        <v>0</v>
      </c>
      <c r="JL43">
        <v>0</v>
      </c>
      <c r="JM43">
        <v>0</v>
      </c>
      <c r="JN43" t="s">
        <v>264</v>
      </c>
      <c r="JQ43" t="s">
        <v>569</v>
      </c>
      <c r="JR43" t="s">
        <v>555</v>
      </c>
      <c r="JS43">
        <v>0</v>
      </c>
      <c r="JT43">
        <v>0</v>
      </c>
      <c r="JU43">
        <v>0</v>
      </c>
      <c r="JV43" t="s">
        <v>264</v>
      </c>
      <c r="JY43" t="s">
        <v>570</v>
      </c>
      <c r="JZ43" t="s">
        <v>555</v>
      </c>
      <c r="KA43">
        <v>0</v>
      </c>
      <c r="KB43">
        <v>0</v>
      </c>
      <c r="KC43">
        <v>0</v>
      </c>
      <c r="KD43" t="s">
        <v>264</v>
      </c>
      <c r="KG43" t="s">
        <v>571</v>
      </c>
      <c r="KH43" t="s">
        <v>555</v>
      </c>
      <c r="KI43">
        <v>0</v>
      </c>
      <c r="KJ43">
        <v>0</v>
      </c>
      <c r="KK43">
        <v>0</v>
      </c>
      <c r="KL43" t="s">
        <v>264</v>
      </c>
      <c r="KO43" t="s">
        <v>572</v>
      </c>
      <c r="KP43" t="s">
        <v>555</v>
      </c>
      <c r="KQ43">
        <v>0</v>
      </c>
      <c r="KR43">
        <v>0</v>
      </c>
      <c r="KS43">
        <v>0</v>
      </c>
      <c r="KT43" t="s">
        <v>264</v>
      </c>
      <c r="KW43" t="s">
        <v>573</v>
      </c>
      <c r="KX43" t="s">
        <v>555</v>
      </c>
      <c r="KY43">
        <v>0</v>
      </c>
      <c r="KZ43">
        <v>0</v>
      </c>
      <c r="LA43">
        <v>0</v>
      </c>
      <c r="LB43" t="s">
        <v>264</v>
      </c>
      <c r="LE43" t="s">
        <v>574</v>
      </c>
      <c r="LF43" t="s">
        <v>555</v>
      </c>
      <c r="LG43">
        <v>0</v>
      </c>
      <c r="LH43">
        <v>0</v>
      </c>
      <c r="LI43">
        <v>0</v>
      </c>
      <c r="LJ43" t="s">
        <v>264</v>
      </c>
      <c r="LM43" t="s">
        <v>575</v>
      </c>
      <c r="LN43" t="s">
        <v>555</v>
      </c>
      <c r="LO43">
        <v>0</v>
      </c>
      <c r="LP43">
        <v>0</v>
      </c>
      <c r="LQ43">
        <v>0</v>
      </c>
      <c r="LR43" t="s">
        <v>264</v>
      </c>
      <c r="LU43" t="s">
        <v>576</v>
      </c>
      <c r="LV43" t="s">
        <v>555</v>
      </c>
      <c r="LW43">
        <v>0</v>
      </c>
      <c r="LX43">
        <v>0</v>
      </c>
      <c r="LY43">
        <v>0</v>
      </c>
      <c r="LZ43" t="s">
        <v>264</v>
      </c>
      <c r="MC43" t="s">
        <v>577</v>
      </c>
      <c r="MD43" t="s">
        <v>555</v>
      </c>
      <c r="ME43">
        <v>0</v>
      </c>
      <c r="MF43">
        <v>0</v>
      </c>
      <c r="MG43">
        <v>0</v>
      </c>
      <c r="MH43" t="s">
        <v>264</v>
      </c>
      <c r="MK43" t="s">
        <v>578</v>
      </c>
      <c r="ML43" t="s">
        <v>555</v>
      </c>
      <c r="MM43">
        <v>0</v>
      </c>
      <c r="MN43">
        <v>0</v>
      </c>
      <c r="MO43">
        <v>0</v>
      </c>
      <c r="MP43" t="s">
        <v>264</v>
      </c>
      <c r="MS43" t="s">
        <v>579</v>
      </c>
      <c r="MT43" t="s">
        <v>555</v>
      </c>
      <c r="MU43">
        <v>0</v>
      </c>
      <c r="MV43">
        <v>0</v>
      </c>
      <c r="MW43">
        <v>0</v>
      </c>
      <c r="MX43" t="s">
        <v>264</v>
      </c>
      <c r="NA43" t="s">
        <v>580</v>
      </c>
      <c r="NB43" t="s">
        <v>555</v>
      </c>
      <c r="NC43">
        <v>0</v>
      </c>
      <c r="ND43">
        <v>0</v>
      </c>
      <c r="NE43">
        <v>0</v>
      </c>
      <c r="NF43" t="s">
        <v>264</v>
      </c>
      <c r="NI43">
        <v>40</v>
      </c>
      <c r="NJ43">
        <v>-9.1</v>
      </c>
      <c r="NP43" t="s">
        <v>624</v>
      </c>
    </row>
    <row r="44" spans="1:380" customFormat="1" x14ac:dyDescent="0.2">
      <c r="A44" t="s">
        <v>517</v>
      </c>
      <c r="B44">
        <v>1</v>
      </c>
      <c r="C44" t="s">
        <v>889</v>
      </c>
      <c r="D44">
        <v>646962810</v>
      </c>
      <c r="E44">
        <v>12602</v>
      </c>
      <c r="F44" t="s">
        <v>805</v>
      </c>
      <c r="G44">
        <v>802069</v>
      </c>
      <c r="H44">
        <v>210017601</v>
      </c>
      <c r="I44" t="s">
        <v>622</v>
      </c>
      <c r="J44" t="s">
        <v>890</v>
      </c>
      <c r="K44" t="s">
        <v>545</v>
      </c>
      <c r="L44" t="s">
        <v>442</v>
      </c>
      <c r="M44" t="s">
        <v>546</v>
      </c>
      <c r="N44" t="s">
        <v>468</v>
      </c>
      <c r="O44" t="s">
        <v>547</v>
      </c>
      <c r="P44" t="s">
        <v>264</v>
      </c>
      <c r="Q44">
        <v>26.5</v>
      </c>
      <c r="R44">
        <v>231</v>
      </c>
      <c r="S44" t="s">
        <v>264</v>
      </c>
      <c r="T44">
        <v>-9999</v>
      </c>
      <c r="U44">
        <v>555</v>
      </c>
      <c r="V44">
        <v>570</v>
      </c>
      <c r="W44">
        <v>544</v>
      </c>
      <c r="X44" t="s">
        <v>270</v>
      </c>
      <c r="Y44">
        <v>0</v>
      </c>
      <c r="Z44">
        <v>55</v>
      </c>
      <c r="AA44" t="s">
        <v>469</v>
      </c>
      <c r="AB44" t="s">
        <v>548</v>
      </c>
      <c r="AC44">
        <v>1</v>
      </c>
      <c r="AD44" t="s">
        <v>584</v>
      </c>
      <c r="AE44">
        <v>24.5</v>
      </c>
      <c r="AF44">
        <v>1348</v>
      </c>
      <c r="AG44" t="s">
        <v>264</v>
      </c>
      <c r="AH44">
        <v>-9999</v>
      </c>
      <c r="AI44">
        <v>459</v>
      </c>
      <c r="AJ44">
        <v>572</v>
      </c>
      <c r="AK44">
        <v>455</v>
      </c>
      <c r="AL44" t="s">
        <v>270</v>
      </c>
      <c r="AM44">
        <v>0</v>
      </c>
      <c r="AN44">
        <v>55</v>
      </c>
      <c r="AO44" t="s">
        <v>470</v>
      </c>
      <c r="AP44" t="s">
        <v>548</v>
      </c>
      <c r="AQ44">
        <v>2</v>
      </c>
      <c r="AR44" t="s">
        <v>584</v>
      </c>
      <c r="AS44">
        <v>37.4</v>
      </c>
      <c r="AT44">
        <v>317</v>
      </c>
      <c r="AU44" t="s">
        <v>264</v>
      </c>
      <c r="AV44">
        <v>-9999</v>
      </c>
      <c r="AW44">
        <v>353</v>
      </c>
      <c r="AX44">
        <v>366</v>
      </c>
      <c r="AY44">
        <v>349</v>
      </c>
      <c r="AZ44" t="s">
        <v>270</v>
      </c>
      <c r="BA44">
        <v>0</v>
      </c>
      <c r="BB44">
        <v>55</v>
      </c>
      <c r="BC44" t="s">
        <v>550</v>
      </c>
      <c r="BD44" t="s">
        <v>548</v>
      </c>
      <c r="BE44">
        <v>3</v>
      </c>
      <c r="BF44" t="s">
        <v>584</v>
      </c>
      <c r="BG44">
        <v>22.2</v>
      </c>
      <c r="BH44">
        <v>672</v>
      </c>
      <c r="BI44" t="s">
        <v>264</v>
      </c>
      <c r="BJ44">
        <v>-9999</v>
      </c>
      <c r="BK44">
        <v>142</v>
      </c>
      <c r="BL44">
        <v>176</v>
      </c>
      <c r="BM44">
        <v>141</v>
      </c>
      <c r="BN44" t="s">
        <v>270</v>
      </c>
      <c r="BO44">
        <v>0</v>
      </c>
      <c r="BP44">
        <v>55</v>
      </c>
      <c r="BQ44" t="s">
        <v>504</v>
      </c>
      <c r="BR44" t="s">
        <v>548</v>
      </c>
      <c r="BS44">
        <v>4</v>
      </c>
      <c r="BT44" t="s">
        <v>584</v>
      </c>
      <c r="BU44">
        <v>30</v>
      </c>
      <c r="BV44">
        <v>236</v>
      </c>
      <c r="BW44" t="s">
        <v>264</v>
      </c>
      <c r="BX44">
        <v>-9999</v>
      </c>
      <c r="BY44">
        <v>223</v>
      </c>
      <c r="BZ44">
        <v>258</v>
      </c>
      <c r="CA44">
        <v>221</v>
      </c>
      <c r="CB44" t="s">
        <v>270</v>
      </c>
      <c r="CC44">
        <v>0</v>
      </c>
      <c r="CD44">
        <v>55</v>
      </c>
      <c r="CE44" t="s">
        <v>471</v>
      </c>
      <c r="CF44" t="s">
        <v>548</v>
      </c>
      <c r="CG44">
        <v>5</v>
      </c>
      <c r="CH44" t="s">
        <v>584</v>
      </c>
      <c r="CI44">
        <v>30.2</v>
      </c>
      <c r="CJ44">
        <v>254</v>
      </c>
      <c r="CK44" t="s">
        <v>264</v>
      </c>
      <c r="CL44">
        <v>-9999</v>
      </c>
      <c r="CM44">
        <v>409</v>
      </c>
      <c r="CN44">
        <v>477</v>
      </c>
      <c r="CO44">
        <v>407</v>
      </c>
      <c r="CP44" t="s">
        <v>270</v>
      </c>
      <c r="CQ44">
        <v>0</v>
      </c>
      <c r="CR44">
        <v>55</v>
      </c>
      <c r="CS44" t="s">
        <v>472</v>
      </c>
      <c r="CT44" t="s">
        <v>548</v>
      </c>
      <c r="CU44">
        <v>6</v>
      </c>
      <c r="CV44" t="s">
        <v>584</v>
      </c>
      <c r="CW44">
        <v>29.7</v>
      </c>
      <c r="CX44">
        <v>325</v>
      </c>
      <c r="CY44" t="s">
        <v>264</v>
      </c>
      <c r="CZ44">
        <v>-9999</v>
      </c>
      <c r="DA44">
        <v>550</v>
      </c>
      <c r="DB44">
        <v>620</v>
      </c>
      <c r="DC44">
        <v>539</v>
      </c>
      <c r="DD44" t="s">
        <v>270</v>
      </c>
      <c r="DE44">
        <v>0</v>
      </c>
      <c r="DF44">
        <v>55</v>
      </c>
      <c r="DG44" t="s">
        <v>473</v>
      </c>
      <c r="DH44" t="s">
        <v>548</v>
      </c>
      <c r="DI44">
        <v>7</v>
      </c>
      <c r="DJ44" t="s">
        <v>584</v>
      </c>
      <c r="DK44">
        <v>24.3</v>
      </c>
      <c r="DL44">
        <v>177</v>
      </c>
      <c r="DM44" t="s">
        <v>264</v>
      </c>
      <c r="DN44">
        <v>-9999</v>
      </c>
      <c r="DO44">
        <v>558</v>
      </c>
      <c r="DP44">
        <v>632</v>
      </c>
      <c r="DQ44">
        <v>552</v>
      </c>
      <c r="DR44" t="s">
        <v>270</v>
      </c>
      <c r="DS44">
        <v>0</v>
      </c>
      <c r="DT44">
        <v>55</v>
      </c>
      <c r="DU44" t="s">
        <v>474</v>
      </c>
      <c r="DV44" t="s">
        <v>548</v>
      </c>
      <c r="DW44">
        <v>8</v>
      </c>
      <c r="DX44" t="s">
        <v>584</v>
      </c>
      <c r="DY44">
        <v>20.7</v>
      </c>
      <c r="DZ44">
        <v>484</v>
      </c>
      <c r="EA44" t="s">
        <v>264</v>
      </c>
      <c r="EB44">
        <v>-9999</v>
      </c>
      <c r="EC44">
        <v>96</v>
      </c>
      <c r="ED44">
        <v>119</v>
      </c>
      <c r="EE44">
        <v>94</v>
      </c>
      <c r="EF44" t="s">
        <v>270</v>
      </c>
      <c r="EG44">
        <v>0</v>
      </c>
      <c r="EH44">
        <v>55</v>
      </c>
      <c r="EI44" t="s">
        <v>475</v>
      </c>
      <c r="EJ44" t="s">
        <v>548</v>
      </c>
      <c r="EK44">
        <v>9</v>
      </c>
      <c r="EL44" t="s">
        <v>584</v>
      </c>
      <c r="EM44">
        <v>26.9</v>
      </c>
      <c r="EN44">
        <v>60</v>
      </c>
      <c r="EO44" t="s">
        <v>264</v>
      </c>
      <c r="EP44">
        <v>-9999</v>
      </c>
      <c r="EQ44">
        <v>264</v>
      </c>
      <c r="ER44">
        <v>247</v>
      </c>
      <c r="ES44">
        <v>230</v>
      </c>
      <c r="ET44" t="s">
        <v>270</v>
      </c>
      <c r="EU44">
        <v>0</v>
      </c>
      <c r="EV44">
        <v>55</v>
      </c>
      <c r="EW44" t="s">
        <v>551</v>
      </c>
      <c r="EX44" t="s">
        <v>552</v>
      </c>
      <c r="EY44">
        <v>142</v>
      </c>
      <c r="EZ44">
        <v>142</v>
      </c>
      <c r="FA44">
        <v>142</v>
      </c>
      <c r="FB44" t="s">
        <v>270</v>
      </c>
      <c r="FC44" t="s">
        <v>553</v>
      </c>
      <c r="FD44" t="s">
        <v>552</v>
      </c>
      <c r="FE44">
        <v>289</v>
      </c>
      <c r="FF44">
        <v>287</v>
      </c>
      <c r="FG44">
        <v>286</v>
      </c>
      <c r="FH44" t="s">
        <v>270</v>
      </c>
      <c r="FI44" t="s">
        <v>554</v>
      </c>
      <c r="FJ44" t="s">
        <v>555</v>
      </c>
      <c r="FK44">
        <v>0</v>
      </c>
      <c r="FL44">
        <v>0</v>
      </c>
      <c r="FM44">
        <v>0</v>
      </c>
      <c r="FN44" t="s">
        <v>264</v>
      </c>
      <c r="FO44">
        <v>75.7</v>
      </c>
      <c r="FP44">
        <v>262.5</v>
      </c>
      <c r="FQ44" t="s">
        <v>556</v>
      </c>
      <c r="FR44" t="s">
        <v>555</v>
      </c>
      <c r="FS44">
        <v>0</v>
      </c>
      <c r="FT44">
        <v>0</v>
      </c>
      <c r="FU44">
        <v>0</v>
      </c>
      <c r="FV44" t="s">
        <v>264</v>
      </c>
      <c r="FW44">
        <v>73.2</v>
      </c>
      <c r="FX44">
        <v>81.3</v>
      </c>
      <c r="FY44" t="s">
        <v>557</v>
      </c>
      <c r="FZ44" t="s">
        <v>555</v>
      </c>
      <c r="GA44">
        <v>0</v>
      </c>
      <c r="GB44">
        <v>0</v>
      </c>
      <c r="GC44">
        <v>0</v>
      </c>
      <c r="GD44" t="s">
        <v>264</v>
      </c>
      <c r="GE44">
        <v>71</v>
      </c>
      <c r="GF44">
        <v>210.1</v>
      </c>
      <c r="GG44" t="s">
        <v>558</v>
      </c>
      <c r="GH44" t="s">
        <v>555</v>
      </c>
      <c r="GI44">
        <v>0</v>
      </c>
      <c r="GJ44">
        <v>0</v>
      </c>
      <c r="GK44">
        <v>0</v>
      </c>
      <c r="GL44" t="s">
        <v>264</v>
      </c>
      <c r="GM44">
        <v>68</v>
      </c>
      <c r="GN44">
        <v>52.6</v>
      </c>
      <c r="GO44" t="s">
        <v>559</v>
      </c>
      <c r="GP44" t="s">
        <v>555</v>
      </c>
      <c r="GQ44">
        <v>0</v>
      </c>
      <c r="GR44">
        <v>0</v>
      </c>
      <c r="GS44">
        <v>0</v>
      </c>
      <c r="GT44" t="s">
        <v>264</v>
      </c>
      <c r="GU44">
        <v>75.8</v>
      </c>
      <c r="GV44">
        <v>48.7</v>
      </c>
      <c r="GW44" t="s">
        <v>560</v>
      </c>
      <c r="GX44" t="s">
        <v>555</v>
      </c>
      <c r="GY44">
        <v>0</v>
      </c>
      <c r="GZ44">
        <v>0</v>
      </c>
      <c r="HA44">
        <v>0</v>
      </c>
      <c r="HB44" t="s">
        <v>264</v>
      </c>
      <c r="HC44">
        <v>70.099999999999994</v>
      </c>
      <c r="HD44">
        <v>68.900000000000006</v>
      </c>
      <c r="HE44" t="s">
        <v>561</v>
      </c>
      <c r="HF44" t="s">
        <v>555</v>
      </c>
      <c r="HG44">
        <v>0</v>
      </c>
      <c r="HH44">
        <v>0</v>
      </c>
      <c r="HI44">
        <v>0</v>
      </c>
      <c r="HJ44" t="s">
        <v>264</v>
      </c>
      <c r="HK44">
        <v>70.7</v>
      </c>
      <c r="HL44">
        <v>124.8</v>
      </c>
      <c r="HM44" t="s">
        <v>562</v>
      </c>
      <c r="HN44" t="s">
        <v>555</v>
      </c>
      <c r="HO44">
        <v>0</v>
      </c>
      <c r="HP44">
        <v>0</v>
      </c>
      <c r="HQ44">
        <v>0</v>
      </c>
      <c r="HR44" t="s">
        <v>264</v>
      </c>
      <c r="HS44">
        <v>68.8</v>
      </c>
      <c r="HT44">
        <v>88.2</v>
      </c>
      <c r="HU44" t="s">
        <v>563</v>
      </c>
      <c r="HV44" t="s">
        <v>555</v>
      </c>
      <c r="HW44">
        <v>0</v>
      </c>
      <c r="HX44">
        <v>0</v>
      </c>
      <c r="HY44">
        <v>0</v>
      </c>
      <c r="HZ44" t="s">
        <v>264</v>
      </c>
      <c r="IA44">
        <v>74.400000000000006</v>
      </c>
      <c r="IB44">
        <v>181.9</v>
      </c>
      <c r="IC44" t="s">
        <v>564</v>
      </c>
      <c r="ID44" t="s">
        <v>555</v>
      </c>
      <c r="IE44">
        <v>0</v>
      </c>
      <c r="IF44">
        <v>0</v>
      </c>
      <c r="IG44">
        <v>0</v>
      </c>
      <c r="IH44" t="s">
        <v>264</v>
      </c>
      <c r="II44">
        <v>68</v>
      </c>
      <c r="IJ44">
        <v>106.4</v>
      </c>
      <c r="IK44" t="s">
        <v>565</v>
      </c>
      <c r="IL44" t="s">
        <v>555</v>
      </c>
      <c r="IM44">
        <v>0</v>
      </c>
      <c r="IN44">
        <v>0</v>
      </c>
      <c r="IO44">
        <v>0</v>
      </c>
      <c r="IP44" t="s">
        <v>264</v>
      </c>
      <c r="IS44" t="s">
        <v>566</v>
      </c>
      <c r="IT44" t="s">
        <v>555</v>
      </c>
      <c r="IU44">
        <v>0</v>
      </c>
      <c r="IV44">
        <v>0</v>
      </c>
      <c r="IW44">
        <v>0</v>
      </c>
      <c r="IX44" t="s">
        <v>264</v>
      </c>
      <c r="JA44" t="s">
        <v>567</v>
      </c>
      <c r="JB44" t="s">
        <v>555</v>
      </c>
      <c r="JC44">
        <v>0</v>
      </c>
      <c r="JD44">
        <v>0</v>
      </c>
      <c r="JE44">
        <v>0</v>
      </c>
      <c r="JF44" t="s">
        <v>264</v>
      </c>
      <c r="JI44" t="s">
        <v>568</v>
      </c>
      <c r="JJ44" t="s">
        <v>555</v>
      </c>
      <c r="JK44">
        <v>0</v>
      </c>
      <c r="JL44">
        <v>0</v>
      </c>
      <c r="JM44">
        <v>0</v>
      </c>
      <c r="JN44" t="s">
        <v>264</v>
      </c>
      <c r="JQ44" t="s">
        <v>569</v>
      </c>
      <c r="JR44" t="s">
        <v>555</v>
      </c>
      <c r="JS44">
        <v>0</v>
      </c>
      <c r="JT44">
        <v>0</v>
      </c>
      <c r="JU44">
        <v>0</v>
      </c>
      <c r="JV44" t="s">
        <v>264</v>
      </c>
      <c r="JY44" t="s">
        <v>570</v>
      </c>
      <c r="JZ44" t="s">
        <v>555</v>
      </c>
      <c r="KA44">
        <v>0</v>
      </c>
      <c r="KB44">
        <v>0</v>
      </c>
      <c r="KC44">
        <v>0</v>
      </c>
      <c r="KD44" t="s">
        <v>264</v>
      </c>
      <c r="KG44" t="s">
        <v>571</v>
      </c>
      <c r="KH44" t="s">
        <v>555</v>
      </c>
      <c r="KI44">
        <v>0</v>
      </c>
      <c r="KJ44">
        <v>0</v>
      </c>
      <c r="KK44">
        <v>0</v>
      </c>
      <c r="KL44" t="s">
        <v>264</v>
      </c>
      <c r="KO44" t="s">
        <v>572</v>
      </c>
      <c r="KP44" t="s">
        <v>555</v>
      </c>
      <c r="KQ44">
        <v>0</v>
      </c>
      <c r="KR44">
        <v>0</v>
      </c>
      <c r="KS44">
        <v>0</v>
      </c>
      <c r="KT44" t="s">
        <v>264</v>
      </c>
      <c r="KW44" t="s">
        <v>573</v>
      </c>
      <c r="KX44" t="s">
        <v>555</v>
      </c>
      <c r="KY44">
        <v>0</v>
      </c>
      <c r="KZ44">
        <v>0</v>
      </c>
      <c r="LA44">
        <v>0</v>
      </c>
      <c r="LB44" t="s">
        <v>264</v>
      </c>
      <c r="LE44" t="s">
        <v>574</v>
      </c>
      <c r="LF44" t="s">
        <v>555</v>
      </c>
      <c r="LG44">
        <v>0</v>
      </c>
      <c r="LH44">
        <v>0</v>
      </c>
      <c r="LI44">
        <v>0</v>
      </c>
      <c r="LJ44" t="s">
        <v>264</v>
      </c>
      <c r="LM44" t="s">
        <v>575</v>
      </c>
      <c r="LN44" t="s">
        <v>555</v>
      </c>
      <c r="LO44">
        <v>0</v>
      </c>
      <c r="LP44">
        <v>0</v>
      </c>
      <c r="LQ44">
        <v>0</v>
      </c>
      <c r="LR44" t="s">
        <v>264</v>
      </c>
      <c r="LU44" t="s">
        <v>576</v>
      </c>
      <c r="LV44" t="s">
        <v>555</v>
      </c>
      <c r="LW44">
        <v>0</v>
      </c>
      <c r="LX44">
        <v>0</v>
      </c>
      <c r="LY44">
        <v>0</v>
      </c>
      <c r="LZ44" t="s">
        <v>264</v>
      </c>
      <c r="MC44" t="s">
        <v>577</v>
      </c>
      <c r="MD44" t="s">
        <v>555</v>
      </c>
      <c r="ME44">
        <v>0</v>
      </c>
      <c r="MF44">
        <v>0</v>
      </c>
      <c r="MG44">
        <v>0</v>
      </c>
      <c r="MH44" t="s">
        <v>264</v>
      </c>
      <c r="MK44" t="s">
        <v>578</v>
      </c>
      <c r="ML44" t="s">
        <v>555</v>
      </c>
      <c r="MM44">
        <v>0</v>
      </c>
      <c r="MN44">
        <v>0</v>
      </c>
      <c r="MO44">
        <v>0</v>
      </c>
      <c r="MP44" t="s">
        <v>264</v>
      </c>
      <c r="MS44" t="s">
        <v>579</v>
      </c>
      <c r="MT44" t="s">
        <v>555</v>
      </c>
      <c r="MU44">
        <v>0</v>
      </c>
      <c r="MV44">
        <v>0</v>
      </c>
      <c r="MW44">
        <v>0</v>
      </c>
      <c r="MX44" t="s">
        <v>264</v>
      </c>
      <c r="NA44" t="s">
        <v>580</v>
      </c>
      <c r="NB44" t="s">
        <v>555</v>
      </c>
      <c r="NC44">
        <v>0</v>
      </c>
      <c r="ND44">
        <v>0</v>
      </c>
      <c r="NE44">
        <v>0</v>
      </c>
      <c r="NF44" t="s">
        <v>264</v>
      </c>
      <c r="NI44">
        <v>40</v>
      </c>
      <c r="NJ44">
        <v>-7.4</v>
      </c>
      <c r="NP44" t="s">
        <v>624</v>
      </c>
    </row>
    <row r="45" spans="1:380" customFormat="1" x14ac:dyDescent="0.2">
      <c r="A45" t="s">
        <v>517</v>
      </c>
      <c r="B45">
        <v>1</v>
      </c>
      <c r="C45" t="s">
        <v>891</v>
      </c>
      <c r="D45">
        <v>646962900</v>
      </c>
      <c r="E45">
        <v>12602</v>
      </c>
      <c r="F45" t="s">
        <v>805</v>
      </c>
      <c r="G45">
        <v>802069</v>
      </c>
      <c r="H45">
        <v>210069693</v>
      </c>
      <c r="I45" t="s">
        <v>622</v>
      </c>
      <c r="J45" t="s">
        <v>892</v>
      </c>
      <c r="K45" t="s">
        <v>545</v>
      </c>
      <c r="L45" t="s">
        <v>442</v>
      </c>
      <c r="M45" t="s">
        <v>546</v>
      </c>
      <c r="N45" t="s">
        <v>468</v>
      </c>
      <c r="O45" t="s">
        <v>547</v>
      </c>
      <c r="P45" t="s">
        <v>264</v>
      </c>
      <c r="Q45">
        <v>25.7</v>
      </c>
      <c r="R45">
        <v>254</v>
      </c>
      <c r="S45" t="s">
        <v>264</v>
      </c>
      <c r="T45">
        <v>-9999</v>
      </c>
      <c r="U45">
        <v>675</v>
      </c>
      <c r="V45">
        <v>699</v>
      </c>
      <c r="W45">
        <v>666</v>
      </c>
      <c r="X45" t="s">
        <v>270</v>
      </c>
      <c r="Y45">
        <v>0</v>
      </c>
      <c r="Z45">
        <v>55</v>
      </c>
      <c r="AA45" t="s">
        <v>469</v>
      </c>
      <c r="AB45" t="s">
        <v>548</v>
      </c>
      <c r="AC45">
        <v>1</v>
      </c>
      <c r="AD45" t="s">
        <v>584</v>
      </c>
      <c r="AE45">
        <v>23.8</v>
      </c>
      <c r="AF45">
        <v>1392</v>
      </c>
      <c r="AG45" t="s">
        <v>264</v>
      </c>
      <c r="AH45">
        <v>-9999</v>
      </c>
      <c r="AI45">
        <v>477</v>
      </c>
      <c r="AJ45">
        <v>586</v>
      </c>
      <c r="AK45">
        <v>473</v>
      </c>
      <c r="AL45" t="s">
        <v>270</v>
      </c>
      <c r="AM45">
        <v>0</v>
      </c>
      <c r="AN45">
        <v>55</v>
      </c>
      <c r="AO45" t="s">
        <v>470</v>
      </c>
      <c r="AP45" t="s">
        <v>548</v>
      </c>
      <c r="AQ45">
        <v>2</v>
      </c>
      <c r="AR45" t="s">
        <v>584</v>
      </c>
      <c r="AS45">
        <v>34.200000000000003</v>
      </c>
      <c r="AT45">
        <v>394</v>
      </c>
      <c r="AU45" t="s">
        <v>264</v>
      </c>
      <c r="AV45">
        <v>-9999</v>
      </c>
      <c r="AW45">
        <v>434</v>
      </c>
      <c r="AX45">
        <v>461</v>
      </c>
      <c r="AY45">
        <v>432</v>
      </c>
      <c r="AZ45" t="s">
        <v>270</v>
      </c>
      <c r="BA45">
        <v>0</v>
      </c>
      <c r="BB45">
        <v>55</v>
      </c>
      <c r="BC45" t="s">
        <v>550</v>
      </c>
      <c r="BD45" t="s">
        <v>548</v>
      </c>
      <c r="BE45">
        <v>3</v>
      </c>
      <c r="BF45" t="s">
        <v>584</v>
      </c>
      <c r="BG45">
        <v>20.7</v>
      </c>
      <c r="BH45">
        <v>826</v>
      </c>
      <c r="BI45" t="s">
        <v>264</v>
      </c>
      <c r="BJ45">
        <v>-9999</v>
      </c>
      <c r="BK45">
        <v>152</v>
      </c>
      <c r="BL45">
        <v>200</v>
      </c>
      <c r="BM45">
        <v>155</v>
      </c>
      <c r="BN45" t="s">
        <v>270</v>
      </c>
      <c r="BO45">
        <v>0</v>
      </c>
      <c r="BP45">
        <v>55</v>
      </c>
      <c r="BQ45" t="s">
        <v>504</v>
      </c>
      <c r="BR45" t="s">
        <v>548</v>
      </c>
      <c r="BS45">
        <v>4</v>
      </c>
      <c r="BT45" t="s">
        <v>584</v>
      </c>
      <c r="BU45">
        <v>28</v>
      </c>
      <c r="BV45">
        <v>299</v>
      </c>
      <c r="BW45" t="s">
        <v>264</v>
      </c>
      <c r="BX45">
        <v>-9999</v>
      </c>
      <c r="BY45">
        <v>252</v>
      </c>
      <c r="BZ45">
        <v>292</v>
      </c>
      <c r="CA45">
        <v>251</v>
      </c>
      <c r="CB45" t="s">
        <v>270</v>
      </c>
      <c r="CC45">
        <v>0</v>
      </c>
      <c r="CD45">
        <v>55</v>
      </c>
      <c r="CE45" t="s">
        <v>471</v>
      </c>
      <c r="CF45" t="s">
        <v>548</v>
      </c>
      <c r="CG45">
        <v>5</v>
      </c>
      <c r="CH45" t="s">
        <v>584</v>
      </c>
      <c r="CI45">
        <v>32.700000000000003</v>
      </c>
      <c r="CJ45">
        <v>233</v>
      </c>
      <c r="CK45" t="s">
        <v>264</v>
      </c>
      <c r="CL45">
        <v>-9999</v>
      </c>
      <c r="CM45">
        <v>551</v>
      </c>
      <c r="CN45">
        <v>646</v>
      </c>
      <c r="CO45">
        <v>552</v>
      </c>
      <c r="CP45" t="s">
        <v>270</v>
      </c>
      <c r="CQ45">
        <v>0</v>
      </c>
      <c r="CR45">
        <v>55</v>
      </c>
      <c r="CS45" t="s">
        <v>472</v>
      </c>
      <c r="CT45" t="s">
        <v>548</v>
      </c>
      <c r="CU45">
        <v>6</v>
      </c>
      <c r="CV45" t="s">
        <v>584</v>
      </c>
      <c r="CW45">
        <v>32.6</v>
      </c>
      <c r="CX45">
        <v>253</v>
      </c>
      <c r="CY45" t="s">
        <v>264</v>
      </c>
      <c r="CZ45">
        <v>-9999</v>
      </c>
      <c r="DA45">
        <v>658</v>
      </c>
      <c r="DB45">
        <v>745</v>
      </c>
      <c r="DC45">
        <v>647</v>
      </c>
      <c r="DD45" t="s">
        <v>270</v>
      </c>
      <c r="DE45">
        <v>0</v>
      </c>
      <c r="DF45">
        <v>55</v>
      </c>
      <c r="DG45" t="s">
        <v>473</v>
      </c>
      <c r="DH45" t="s">
        <v>548</v>
      </c>
      <c r="DI45">
        <v>7</v>
      </c>
      <c r="DJ45" t="s">
        <v>584</v>
      </c>
      <c r="DK45">
        <v>23.1</v>
      </c>
      <c r="DL45">
        <v>225</v>
      </c>
      <c r="DM45" t="s">
        <v>264</v>
      </c>
      <c r="DN45">
        <v>-9999</v>
      </c>
      <c r="DO45">
        <v>568</v>
      </c>
      <c r="DP45">
        <v>651</v>
      </c>
      <c r="DQ45">
        <v>565</v>
      </c>
      <c r="DR45" t="s">
        <v>270</v>
      </c>
      <c r="DS45">
        <v>0</v>
      </c>
      <c r="DT45">
        <v>55</v>
      </c>
      <c r="DU45" t="s">
        <v>474</v>
      </c>
      <c r="DV45" t="s">
        <v>548</v>
      </c>
      <c r="DW45">
        <v>8</v>
      </c>
      <c r="DX45" t="s">
        <v>584</v>
      </c>
      <c r="DY45">
        <v>20.100000000000001</v>
      </c>
      <c r="DZ45">
        <v>461</v>
      </c>
      <c r="EA45" t="s">
        <v>264</v>
      </c>
      <c r="EB45">
        <v>-9999</v>
      </c>
      <c r="EC45">
        <v>122</v>
      </c>
      <c r="ED45">
        <v>146</v>
      </c>
      <c r="EE45">
        <v>119</v>
      </c>
      <c r="EF45" t="s">
        <v>270</v>
      </c>
      <c r="EG45">
        <v>0</v>
      </c>
      <c r="EH45">
        <v>55</v>
      </c>
      <c r="EI45" t="s">
        <v>475</v>
      </c>
      <c r="EJ45" t="s">
        <v>548</v>
      </c>
      <c r="EK45">
        <v>9</v>
      </c>
      <c r="EL45" t="s">
        <v>584</v>
      </c>
      <c r="EM45">
        <v>24</v>
      </c>
      <c r="EN45">
        <v>111</v>
      </c>
      <c r="EO45" t="s">
        <v>264</v>
      </c>
      <c r="EP45">
        <v>-9999</v>
      </c>
      <c r="EQ45">
        <v>430</v>
      </c>
      <c r="ER45">
        <v>405</v>
      </c>
      <c r="ES45">
        <v>370</v>
      </c>
      <c r="ET45" t="s">
        <v>270</v>
      </c>
      <c r="EU45">
        <v>0</v>
      </c>
      <c r="EV45">
        <v>55</v>
      </c>
      <c r="EW45" t="s">
        <v>551</v>
      </c>
      <c r="EX45" t="s">
        <v>552</v>
      </c>
      <c r="EY45">
        <v>144</v>
      </c>
      <c r="EZ45">
        <v>143</v>
      </c>
      <c r="FA45">
        <v>143</v>
      </c>
      <c r="FB45" t="s">
        <v>270</v>
      </c>
      <c r="FC45" t="s">
        <v>553</v>
      </c>
      <c r="FD45" t="s">
        <v>552</v>
      </c>
      <c r="FE45">
        <v>327</v>
      </c>
      <c r="FF45">
        <v>326</v>
      </c>
      <c r="FG45">
        <v>325</v>
      </c>
      <c r="FH45" t="s">
        <v>270</v>
      </c>
      <c r="FI45" t="s">
        <v>554</v>
      </c>
      <c r="FJ45" t="s">
        <v>555</v>
      </c>
      <c r="FK45">
        <v>0</v>
      </c>
      <c r="FL45">
        <v>0</v>
      </c>
      <c r="FM45">
        <v>0</v>
      </c>
      <c r="FN45" t="s">
        <v>264</v>
      </c>
      <c r="FO45">
        <v>75.900000000000006</v>
      </c>
      <c r="FP45">
        <v>303.10000000000002</v>
      </c>
      <c r="FQ45" t="s">
        <v>556</v>
      </c>
      <c r="FR45" t="s">
        <v>555</v>
      </c>
      <c r="FS45">
        <v>0</v>
      </c>
      <c r="FT45">
        <v>0</v>
      </c>
      <c r="FU45">
        <v>0</v>
      </c>
      <c r="FV45" t="s">
        <v>264</v>
      </c>
      <c r="FW45">
        <v>73.400000000000006</v>
      </c>
      <c r="FX45">
        <v>105.5</v>
      </c>
      <c r="FY45" t="s">
        <v>557</v>
      </c>
      <c r="FZ45" t="s">
        <v>555</v>
      </c>
      <c r="GA45">
        <v>0</v>
      </c>
      <c r="GB45">
        <v>0</v>
      </c>
      <c r="GC45">
        <v>0</v>
      </c>
      <c r="GD45" t="s">
        <v>264</v>
      </c>
      <c r="GE45">
        <v>71.099999999999994</v>
      </c>
      <c r="GF45">
        <v>274.8</v>
      </c>
      <c r="GG45" t="s">
        <v>558</v>
      </c>
      <c r="GH45" t="s">
        <v>555</v>
      </c>
      <c r="GI45">
        <v>0</v>
      </c>
      <c r="GJ45">
        <v>0</v>
      </c>
      <c r="GK45">
        <v>0</v>
      </c>
      <c r="GL45" t="s">
        <v>264</v>
      </c>
      <c r="GM45">
        <v>68.400000000000006</v>
      </c>
      <c r="GN45">
        <v>60.3</v>
      </c>
      <c r="GO45" t="s">
        <v>559</v>
      </c>
      <c r="GP45" t="s">
        <v>555</v>
      </c>
      <c r="GQ45">
        <v>0</v>
      </c>
      <c r="GR45">
        <v>0</v>
      </c>
      <c r="GS45">
        <v>0</v>
      </c>
      <c r="GT45" t="s">
        <v>264</v>
      </c>
      <c r="GU45">
        <v>75.900000000000006</v>
      </c>
      <c r="GV45">
        <v>67.2</v>
      </c>
      <c r="GW45" t="s">
        <v>560</v>
      </c>
      <c r="GX45" t="s">
        <v>555</v>
      </c>
      <c r="GY45">
        <v>0</v>
      </c>
      <c r="GZ45">
        <v>0</v>
      </c>
      <c r="HA45">
        <v>0</v>
      </c>
      <c r="HB45" t="s">
        <v>264</v>
      </c>
      <c r="HC45">
        <v>70.099999999999994</v>
      </c>
      <c r="HD45">
        <v>94.7</v>
      </c>
      <c r="HE45" t="s">
        <v>561</v>
      </c>
      <c r="HF45" t="s">
        <v>555</v>
      </c>
      <c r="HG45">
        <v>0</v>
      </c>
      <c r="HH45">
        <v>0</v>
      </c>
      <c r="HI45">
        <v>0</v>
      </c>
      <c r="HJ45" t="s">
        <v>264</v>
      </c>
      <c r="HK45">
        <v>70.7</v>
      </c>
      <c r="HL45">
        <v>138.4</v>
      </c>
      <c r="HM45" t="s">
        <v>562</v>
      </c>
      <c r="HN45" t="s">
        <v>555</v>
      </c>
      <c r="HO45">
        <v>0</v>
      </c>
      <c r="HP45">
        <v>0</v>
      </c>
      <c r="HQ45">
        <v>0</v>
      </c>
      <c r="HR45" t="s">
        <v>264</v>
      </c>
      <c r="HS45">
        <v>69.099999999999994</v>
      </c>
      <c r="HT45">
        <v>91.4</v>
      </c>
      <c r="HU45" t="s">
        <v>563</v>
      </c>
      <c r="HV45" t="s">
        <v>555</v>
      </c>
      <c r="HW45">
        <v>0</v>
      </c>
      <c r="HX45">
        <v>0</v>
      </c>
      <c r="HY45">
        <v>0</v>
      </c>
      <c r="HZ45" t="s">
        <v>264</v>
      </c>
      <c r="IA45">
        <v>74.599999999999994</v>
      </c>
      <c r="IB45">
        <v>196.4</v>
      </c>
      <c r="IC45" t="s">
        <v>564</v>
      </c>
      <c r="ID45" t="s">
        <v>555</v>
      </c>
      <c r="IE45">
        <v>0</v>
      </c>
      <c r="IF45">
        <v>0</v>
      </c>
      <c r="IG45">
        <v>0</v>
      </c>
      <c r="IH45" t="s">
        <v>264</v>
      </c>
      <c r="II45">
        <v>68.2</v>
      </c>
      <c r="IJ45">
        <v>151.19999999999999</v>
      </c>
      <c r="IK45" t="s">
        <v>565</v>
      </c>
      <c r="IL45" t="s">
        <v>555</v>
      </c>
      <c r="IM45">
        <v>0</v>
      </c>
      <c r="IN45">
        <v>0</v>
      </c>
      <c r="IO45">
        <v>0</v>
      </c>
      <c r="IP45" t="s">
        <v>264</v>
      </c>
      <c r="IS45" t="s">
        <v>566</v>
      </c>
      <c r="IT45" t="s">
        <v>555</v>
      </c>
      <c r="IU45">
        <v>0</v>
      </c>
      <c r="IV45">
        <v>0</v>
      </c>
      <c r="IW45">
        <v>0</v>
      </c>
      <c r="IX45" t="s">
        <v>264</v>
      </c>
      <c r="JA45" t="s">
        <v>567</v>
      </c>
      <c r="JB45" t="s">
        <v>555</v>
      </c>
      <c r="JC45">
        <v>0</v>
      </c>
      <c r="JD45">
        <v>0</v>
      </c>
      <c r="JE45">
        <v>0</v>
      </c>
      <c r="JF45" t="s">
        <v>264</v>
      </c>
      <c r="JI45" t="s">
        <v>568</v>
      </c>
      <c r="JJ45" t="s">
        <v>555</v>
      </c>
      <c r="JK45">
        <v>0</v>
      </c>
      <c r="JL45">
        <v>0</v>
      </c>
      <c r="JM45">
        <v>0</v>
      </c>
      <c r="JN45" t="s">
        <v>264</v>
      </c>
      <c r="JQ45" t="s">
        <v>569</v>
      </c>
      <c r="JR45" t="s">
        <v>555</v>
      </c>
      <c r="JS45">
        <v>0</v>
      </c>
      <c r="JT45">
        <v>0</v>
      </c>
      <c r="JU45">
        <v>0</v>
      </c>
      <c r="JV45" t="s">
        <v>264</v>
      </c>
      <c r="JY45" t="s">
        <v>570</v>
      </c>
      <c r="JZ45" t="s">
        <v>555</v>
      </c>
      <c r="KA45">
        <v>0</v>
      </c>
      <c r="KB45">
        <v>0</v>
      </c>
      <c r="KC45">
        <v>0</v>
      </c>
      <c r="KD45" t="s">
        <v>264</v>
      </c>
      <c r="KG45" t="s">
        <v>571</v>
      </c>
      <c r="KH45" t="s">
        <v>555</v>
      </c>
      <c r="KI45">
        <v>0</v>
      </c>
      <c r="KJ45">
        <v>0</v>
      </c>
      <c r="KK45">
        <v>0</v>
      </c>
      <c r="KL45" t="s">
        <v>264</v>
      </c>
      <c r="KO45" t="s">
        <v>572</v>
      </c>
      <c r="KP45" t="s">
        <v>555</v>
      </c>
      <c r="KQ45">
        <v>0</v>
      </c>
      <c r="KR45">
        <v>0</v>
      </c>
      <c r="KS45">
        <v>0</v>
      </c>
      <c r="KT45" t="s">
        <v>264</v>
      </c>
      <c r="KW45" t="s">
        <v>573</v>
      </c>
      <c r="KX45" t="s">
        <v>555</v>
      </c>
      <c r="KY45">
        <v>0</v>
      </c>
      <c r="KZ45">
        <v>0</v>
      </c>
      <c r="LA45">
        <v>0</v>
      </c>
      <c r="LB45" t="s">
        <v>264</v>
      </c>
      <c r="LE45" t="s">
        <v>574</v>
      </c>
      <c r="LF45" t="s">
        <v>555</v>
      </c>
      <c r="LG45">
        <v>0</v>
      </c>
      <c r="LH45">
        <v>0</v>
      </c>
      <c r="LI45">
        <v>0</v>
      </c>
      <c r="LJ45" t="s">
        <v>264</v>
      </c>
      <c r="LM45" t="s">
        <v>575</v>
      </c>
      <c r="LN45" t="s">
        <v>555</v>
      </c>
      <c r="LO45">
        <v>0</v>
      </c>
      <c r="LP45">
        <v>0</v>
      </c>
      <c r="LQ45">
        <v>0</v>
      </c>
      <c r="LR45" t="s">
        <v>264</v>
      </c>
      <c r="LU45" t="s">
        <v>576</v>
      </c>
      <c r="LV45" t="s">
        <v>555</v>
      </c>
      <c r="LW45">
        <v>0</v>
      </c>
      <c r="LX45">
        <v>0</v>
      </c>
      <c r="LY45">
        <v>0</v>
      </c>
      <c r="LZ45" t="s">
        <v>264</v>
      </c>
      <c r="MC45" t="s">
        <v>577</v>
      </c>
      <c r="MD45" t="s">
        <v>555</v>
      </c>
      <c r="ME45">
        <v>0</v>
      </c>
      <c r="MF45">
        <v>0</v>
      </c>
      <c r="MG45">
        <v>0</v>
      </c>
      <c r="MH45" t="s">
        <v>264</v>
      </c>
      <c r="MK45" t="s">
        <v>578</v>
      </c>
      <c r="ML45" t="s">
        <v>555</v>
      </c>
      <c r="MM45">
        <v>0</v>
      </c>
      <c r="MN45">
        <v>0</v>
      </c>
      <c r="MO45">
        <v>0</v>
      </c>
      <c r="MP45" t="s">
        <v>264</v>
      </c>
      <c r="MS45" t="s">
        <v>579</v>
      </c>
      <c r="MT45" t="s">
        <v>555</v>
      </c>
      <c r="MU45">
        <v>0</v>
      </c>
      <c r="MV45">
        <v>0</v>
      </c>
      <c r="MW45">
        <v>0</v>
      </c>
      <c r="MX45" t="s">
        <v>264</v>
      </c>
      <c r="NA45" t="s">
        <v>580</v>
      </c>
      <c r="NB45" t="s">
        <v>555</v>
      </c>
      <c r="NC45">
        <v>0</v>
      </c>
      <c r="ND45">
        <v>0</v>
      </c>
      <c r="NE45">
        <v>0</v>
      </c>
      <c r="NF45" t="s">
        <v>264</v>
      </c>
      <c r="NI45">
        <v>40</v>
      </c>
      <c r="NJ45">
        <v>-8.8000000000000007</v>
      </c>
      <c r="NP45" t="s">
        <v>624</v>
      </c>
    </row>
    <row r="46" spans="1:380" customFormat="1" x14ac:dyDescent="0.2">
      <c r="A46" t="s">
        <v>517</v>
      </c>
      <c r="B46">
        <v>1</v>
      </c>
      <c r="C46" t="s">
        <v>893</v>
      </c>
      <c r="D46">
        <v>646962889</v>
      </c>
      <c r="E46">
        <v>12602</v>
      </c>
      <c r="F46" t="s">
        <v>805</v>
      </c>
      <c r="G46">
        <v>802069</v>
      </c>
      <c r="H46">
        <v>210014217</v>
      </c>
      <c r="I46" t="s">
        <v>622</v>
      </c>
      <c r="J46" t="s">
        <v>894</v>
      </c>
      <c r="K46" t="s">
        <v>545</v>
      </c>
      <c r="L46" t="s">
        <v>442</v>
      </c>
      <c r="M46" t="s">
        <v>546</v>
      </c>
      <c r="N46" t="s">
        <v>468</v>
      </c>
      <c r="O46" t="s">
        <v>547</v>
      </c>
      <c r="P46" t="s">
        <v>264</v>
      </c>
      <c r="Q46">
        <v>26.1</v>
      </c>
      <c r="R46">
        <v>269</v>
      </c>
      <c r="S46" t="s">
        <v>264</v>
      </c>
      <c r="T46">
        <v>-9999</v>
      </c>
      <c r="U46">
        <v>691</v>
      </c>
      <c r="V46">
        <v>715</v>
      </c>
      <c r="W46">
        <v>681</v>
      </c>
      <c r="X46" t="s">
        <v>270</v>
      </c>
      <c r="Y46">
        <v>0</v>
      </c>
      <c r="Z46">
        <v>55</v>
      </c>
      <c r="AA46" t="s">
        <v>469</v>
      </c>
      <c r="AB46" t="s">
        <v>548</v>
      </c>
      <c r="AC46">
        <v>1</v>
      </c>
      <c r="AD46" t="s">
        <v>584</v>
      </c>
      <c r="AE46">
        <v>25.1</v>
      </c>
      <c r="AF46">
        <v>1547</v>
      </c>
      <c r="AG46" t="s">
        <v>264</v>
      </c>
      <c r="AH46">
        <v>-9999</v>
      </c>
      <c r="AI46">
        <v>498</v>
      </c>
      <c r="AJ46">
        <v>620</v>
      </c>
      <c r="AK46">
        <v>496</v>
      </c>
      <c r="AL46" t="s">
        <v>270</v>
      </c>
      <c r="AM46">
        <v>0</v>
      </c>
      <c r="AN46">
        <v>55</v>
      </c>
      <c r="AO46" t="s">
        <v>470</v>
      </c>
      <c r="AP46" t="s">
        <v>548</v>
      </c>
      <c r="AQ46">
        <v>2</v>
      </c>
      <c r="AR46" t="s">
        <v>584</v>
      </c>
      <c r="AS46">
        <v>35.700000000000003</v>
      </c>
      <c r="AT46">
        <v>380</v>
      </c>
      <c r="AU46" t="s">
        <v>264</v>
      </c>
      <c r="AV46">
        <v>-9999</v>
      </c>
      <c r="AW46">
        <v>428</v>
      </c>
      <c r="AX46">
        <v>452</v>
      </c>
      <c r="AY46">
        <v>427</v>
      </c>
      <c r="AZ46" t="s">
        <v>270</v>
      </c>
      <c r="BA46">
        <v>0</v>
      </c>
      <c r="BB46">
        <v>55</v>
      </c>
      <c r="BC46" t="s">
        <v>550</v>
      </c>
      <c r="BD46" t="s">
        <v>548</v>
      </c>
      <c r="BE46">
        <v>3</v>
      </c>
      <c r="BF46" t="s">
        <v>584</v>
      </c>
      <c r="BG46">
        <v>23.2</v>
      </c>
      <c r="BH46">
        <v>619</v>
      </c>
      <c r="BI46" t="s">
        <v>264</v>
      </c>
      <c r="BJ46">
        <v>-9999</v>
      </c>
      <c r="BK46">
        <v>204</v>
      </c>
      <c r="BL46">
        <v>251</v>
      </c>
      <c r="BM46">
        <v>203</v>
      </c>
      <c r="BN46" t="s">
        <v>270</v>
      </c>
      <c r="BO46">
        <v>0</v>
      </c>
      <c r="BP46">
        <v>55</v>
      </c>
      <c r="BQ46" t="s">
        <v>504</v>
      </c>
      <c r="BR46" t="s">
        <v>548</v>
      </c>
      <c r="BS46">
        <v>4</v>
      </c>
      <c r="BT46" t="s">
        <v>584</v>
      </c>
      <c r="BU46">
        <v>29.2</v>
      </c>
      <c r="BV46">
        <v>306</v>
      </c>
      <c r="BW46" t="s">
        <v>264</v>
      </c>
      <c r="BX46">
        <v>-9999</v>
      </c>
      <c r="BY46">
        <v>214</v>
      </c>
      <c r="BZ46">
        <v>248</v>
      </c>
      <c r="CA46">
        <v>212</v>
      </c>
      <c r="CB46" t="s">
        <v>270</v>
      </c>
      <c r="CC46">
        <v>0</v>
      </c>
      <c r="CD46">
        <v>55</v>
      </c>
      <c r="CE46" t="s">
        <v>471</v>
      </c>
      <c r="CF46" t="s">
        <v>548</v>
      </c>
      <c r="CG46">
        <v>5</v>
      </c>
      <c r="CH46" t="s">
        <v>584</v>
      </c>
      <c r="CI46">
        <v>33.6</v>
      </c>
      <c r="CJ46">
        <v>247</v>
      </c>
      <c r="CK46" t="s">
        <v>264</v>
      </c>
      <c r="CL46">
        <v>-9999</v>
      </c>
      <c r="CM46">
        <v>565</v>
      </c>
      <c r="CN46">
        <v>659</v>
      </c>
      <c r="CO46">
        <v>564</v>
      </c>
      <c r="CP46" t="s">
        <v>270</v>
      </c>
      <c r="CQ46">
        <v>0</v>
      </c>
      <c r="CR46">
        <v>55</v>
      </c>
      <c r="CS46" t="s">
        <v>472</v>
      </c>
      <c r="CT46" t="s">
        <v>548</v>
      </c>
      <c r="CU46">
        <v>6</v>
      </c>
      <c r="CV46" t="s">
        <v>584</v>
      </c>
      <c r="CW46">
        <v>33.9</v>
      </c>
      <c r="CX46">
        <v>246</v>
      </c>
      <c r="CY46" t="s">
        <v>264</v>
      </c>
      <c r="CZ46">
        <v>-9999</v>
      </c>
      <c r="DA46">
        <v>747</v>
      </c>
      <c r="DB46">
        <v>848</v>
      </c>
      <c r="DC46">
        <v>736</v>
      </c>
      <c r="DD46" t="s">
        <v>270</v>
      </c>
      <c r="DE46">
        <v>0</v>
      </c>
      <c r="DF46">
        <v>55</v>
      </c>
      <c r="DG46" t="s">
        <v>473</v>
      </c>
      <c r="DH46" t="s">
        <v>548</v>
      </c>
      <c r="DI46">
        <v>7</v>
      </c>
      <c r="DJ46" t="s">
        <v>584</v>
      </c>
      <c r="DK46">
        <v>24.9</v>
      </c>
      <c r="DL46">
        <v>209</v>
      </c>
      <c r="DM46" t="s">
        <v>264</v>
      </c>
      <c r="DN46">
        <v>-9999</v>
      </c>
      <c r="DO46">
        <v>545</v>
      </c>
      <c r="DP46">
        <v>625</v>
      </c>
      <c r="DQ46">
        <v>542</v>
      </c>
      <c r="DR46" t="s">
        <v>270</v>
      </c>
      <c r="DS46">
        <v>0</v>
      </c>
      <c r="DT46">
        <v>55</v>
      </c>
      <c r="DU46" t="s">
        <v>474</v>
      </c>
      <c r="DV46" t="s">
        <v>548</v>
      </c>
      <c r="DW46">
        <v>8</v>
      </c>
      <c r="DX46" t="s">
        <v>584</v>
      </c>
      <c r="DY46">
        <v>21.7</v>
      </c>
      <c r="DZ46">
        <v>461</v>
      </c>
      <c r="EA46" t="s">
        <v>264</v>
      </c>
      <c r="EB46">
        <v>-9999</v>
      </c>
      <c r="EC46">
        <v>121</v>
      </c>
      <c r="ED46">
        <v>147</v>
      </c>
      <c r="EE46">
        <v>120</v>
      </c>
      <c r="EF46" t="s">
        <v>270</v>
      </c>
      <c r="EG46">
        <v>0</v>
      </c>
      <c r="EH46">
        <v>55</v>
      </c>
      <c r="EI46" t="s">
        <v>475</v>
      </c>
      <c r="EJ46" t="s">
        <v>548</v>
      </c>
      <c r="EK46">
        <v>9</v>
      </c>
      <c r="EL46" t="s">
        <v>584</v>
      </c>
      <c r="EM46">
        <v>25.6</v>
      </c>
      <c r="EN46">
        <v>85</v>
      </c>
      <c r="EO46" t="s">
        <v>264</v>
      </c>
      <c r="EP46">
        <v>-9999</v>
      </c>
      <c r="EQ46">
        <v>292</v>
      </c>
      <c r="ER46">
        <v>271</v>
      </c>
      <c r="ES46">
        <v>256</v>
      </c>
      <c r="ET46" t="s">
        <v>270</v>
      </c>
      <c r="EU46">
        <v>0</v>
      </c>
      <c r="EV46">
        <v>55</v>
      </c>
      <c r="EW46" t="s">
        <v>551</v>
      </c>
      <c r="EX46" t="s">
        <v>552</v>
      </c>
      <c r="EY46">
        <v>108</v>
      </c>
      <c r="EZ46">
        <v>108</v>
      </c>
      <c r="FA46">
        <v>108</v>
      </c>
      <c r="FB46" t="s">
        <v>270</v>
      </c>
      <c r="FC46" t="s">
        <v>553</v>
      </c>
      <c r="FD46" t="s">
        <v>552</v>
      </c>
      <c r="FE46">
        <v>357</v>
      </c>
      <c r="FF46">
        <v>355</v>
      </c>
      <c r="FG46">
        <v>355</v>
      </c>
      <c r="FH46" t="s">
        <v>270</v>
      </c>
      <c r="FI46" t="s">
        <v>554</v>
      </c>
      <c r="FJ46" t="s">
        <v>555</v>
      </c>
      <c r="FK46">
        <v>0</v>
      </c>
      <c r="FL46">
        <v>0</v>
      </c>
      <c r="FM46">
        <v>0</v>
      </c>
      <c r="FN46" t="s">
        <v>264</v>
      </c>
      <c r="FO46">
        <v>76</v>
      </c>
      <c r="FP46">
        <v>329.1</v>
      </c>
      <c r="FQ46" t="s">
        <v>556</v>
      </c>
      <c r="FR46" t="s">
        <v>555</v>
      </c>
      <c r="FS46">
        <v>0</v>
      </c>
      <c r="FT46">
        <v>0</v>
      </c>
      <c r="FU46">
        <v>0</v>
      </c>
      <c r="FV46" t="s">
        <v>264</v>
      </c>
      <c r="FW46">
        <v>73.400000000000006</v>
      </c>
      <c r="FX46">
        <v>113.3</v>
      </c>
      <c r="FY46" t="s">
        <v>557</v>
      </c>
      <c r="FZ46" t="s">
        <v>555</v>
      </c>
      <c r="GA46">
        <v>0</v>
      </c>
      <c r="GB46">
        <v>0</v>
      </c>
      <c r="GC46">
        <v>0</v>
      </c>
      <c r="GD46" t="s">
        <v>264</v>
      </c>
      <c r="GE46">
        <v>71.2</v>
      </c>
      <c r="GF46">
        <v>262.2</v>
      </c>
      <c r="GG46" t="s">
        <v>558</v>
      </c>
      <c r="GH46" t="s">
        <v>555</v>
      </c>
      <c r="GI46">
        <v>0</v>
      </c>
      <c r="GJ46">
        <v>0</v>
      </c>
      <c r="GK46">
        <v>0</v>
      </c>
      <c r="GL46" t="s">
        <v>264</v>
      </c>
      <c r="GM46">
        <v>68.5</v>
      </c>
      <c r="GN46">
        <v>60.3</v>
      </c>
      <c r="GO46" t="s">
        <v>559</v>
      </c>
      <c r="GP46" t="s">
        <v>555</v>
      </c>
      <c r="GQ46">
        <v>0</v>
      </c>
      <c r="GR46">
        <v>0</v>
      </c>
      <c r="GS46">
        <v>0</v>
      </c>
      <c r="GT46" t="s">
        <v>264</v>
      </c>
      <c r="GU46">
        <v>76</v>
      </c>
      <c r="GV46">
        <v>63.1</v>
      </c>
      <c r="GW46" t="s">
        <v>560</v>
      </c>
      <c r="GX46" t="s">
        <v>555</v>
      </c>
      <c r="GY46">
        <v>0</v>
      </c>
      <c r="GZ46">
        <v>0</v>
      </c>
      <c r="HA46">
        <v>0</v>
      </c>
      <c r="HB46" t="s">
        <v>264</v>
      </c>
      <c r="HC46">
        <v>70.099999999999994</v>
      </c>
      <c r="HD46">
        <v>93.2</v>
      </c>
      <c r="HE46" t="s">
        <v>561</v>
      </c>
      <c r="HF46" t="s">
        <v>555</v>
      </c>
      <c r="HG46">
        <v>0</v>
      </c>
      <c r="HH46">
        <v>0</v>
      </c>
      <c r="HI46">
        <v>0</v>
      </c>
      <c r="HJ46" t="s">
        <v>264</v>
      </c>
      <c r="HK46">
        <v>70.8</v>
      </c>
      <c r="HL46">
        <v>145.9</v>
      </c>
      <c r="HM46" t="s">
        <v>562</v>
      </c>
      <c r="HN46" t="s">
        <v>555</v>
      </c>
      <c r="HO46">
        <v>0</v>
      </c>
      <c r="HP46">
        <v>0</v>
      </c>
      <c r="HQ46">
        <v>0</v>
      </c>
      <c r="HR46" t="s">
        <v>264</v>
      </c>
      <c r="HS46">
        <v>69.2</v>
      </c>
      <c r="HT46">
        <v>88.8</v>
      </c>
      <c r="HU46" t="s">
        <v>563</v>
      </c>
      <c r="HV46" t="s">
        <v>555</v>
      </c>
      <c r="HW46">
        <v>0</v>
      </c>
      <c r="HX46">
        <v>0</v>
      </c>
      <c r="HY46">
        <v>0</v>
      </c>
      <c r="HZ46" t="s">
        <v>264</v>
      </c>
      <c r="IA46">
        <v>74.7</v>
      </c>
      <c r="IB46">
        <v>192.2</v>
      </c>
      <c r="IC46" t="s">
        <v>564</v>
      </c>
      <c r="ID46" t="s">
        <v>555</v>
      </c>
      <c r="IE46">
        <v>0</v>
      </c>
      <c r="IF46">
        <v>0</v>
      </c>
      <c r="IG46">
        <v>0</v>
      </c>
      <c r="IH46" t="s">
        <v>264</v>
      </c>
      <c r="II46">
        <v>68.2</v>
      </c>
      <c r="IJ46">
        <v>116.2</v>
      </c>
      <c r="IK46" t="s">
        <v>565</v>
      </c>
      <c r="IL46" t="s">
        <v>555</v>
      </c>
      <c r="IM46">
        <v>0</v>
      </c>
      <c r="IN46">
        <v>0</v>
      </c>
      <c r="IO46">
        <v>0</v>
      </c>
      <c r="IP46" t="s">
        <v>264</v>
      </c>
      <c r="IS46" t="s">
        <v>566</v>
      </c>
      <c r="IT46" t="s">
        <v>555</v>
      </c>
      <c r="IU46">
        <v>0</v>
      </c>
      <c r="IV46">
        <v>0</v>
      </c>
      <c r="IW46">
        <v>0</v>
      </c>
      <c r="IX46" t="s">
        <v>264</v>
      </c>
      <c r="JA46" t="s">
        <v>567</v>
      </c>
      <c r="JB46" t="s">
        <v>555</v>
      </c>
      <c r="JC46">
        <v>0</v>
      </c>
      <c r="JD46">
        <v>0</v>
      </c>
      <c r="JE46">
        <v>0</v>
      </c>
      <c r="JF46" t="s">
        <v>264</v>
      </c>
      <c r="JI46" t="s">
        <v>568</v>
      </c>
      <c r="JJ46" t="s">
        <v>555</v>
      </c>
      <c r="JK46">
        <v>0</v>
      </c>
      <c r="JL46">
        <v>0</v>
      </c>
      <c r="JM46">
        <v>0</v>
      </c>
      <c r="JN46" t="s">
        <v>264</v>
      </c>
      <c r="JQ46" t="s">
        <v>569</v>
      </c>
      <c r="JR46" t="s">
        <v>555</v>
      </c>
      <c r="JS46">
        <v>0</v>
      </c>
      <c r="JT46">
        <v>0</v>
      </c>
      <c r="JU46">
        <v>0</v>
      </c>
      <c r="JV46" t="s">
        <v>264</v>
      </c>
      <c r="JY46" t="s">
        <v>570</v>
      </c>
      <c r="JZ46" t="s">
        <v>555</v>
      </c>
      <c r="KA46">
        <v>0</v>
      </c>
      <c r="KB46">
        <v>0</v>
      </c>
      <c r="KC46">
        <v>0</v>
      </c>
      <c r="KD46" t="s">
        <v>264</v>
      </c>
      <c r="KG46" t="s">
        <v>571</v>
      </c>
      <c r="KH46" t="s">
        <v>555</v>
      </c>
      <c r="KI46">
        <v>0</v>
      </c>
      <c r="KJ46">
        <v>0</v>
      </c>
      <c r="KK46">
        <v>0</v>
      </c>
      <c r="KL46" t="s">
        <v>264</v>
      </c>
      <c r="KO46" t="s">
        <v>572</v>
      </c>
      <c r="KP46" t="s">
        <v>555</v>
      </c>
      <c r="KQ46">
        <v>0</v>
      </c>
      <c r="KR46">
        <v>0</v>
      </c>
      <c r="KS46">
        <v>0</v>
      </c>
      <c r="KT46" t="s">
        <v>264</v>
      </c>
      <c r="KW46" t="s">
        <v>573</v>
      </c>
      <c r="KX46" t="s">
        <v>555</v>
      </c>
      <c r="KY46">
        <v>0</v>
      </c>
      <c r="KZ46">
        <v>0</v>
      </c>
      <c r="LA46">
        <v>0</v>
      </c>
      <c r="LB46" t="s">
        <v>264</v>
      </c>
      <c r="LE46" t="s">
        <v>574</v>
      </c>
      <c r="LF46" t="s">
        <v>555</v>
      </c>
      <c r="LG46">
        <v>0</v>
      </c>
      <c r="LH46">
        <v>0</v>
      </c>
      <c r="LI46">
        <v>0</v>
      </c>
      <c r="LJ46" t="s">
        <v>264</v>
      </c>
      <c r="LM46" t="s">
        <v>575</v>
      </c>
      <c r="LN46" t="s">
        <v>555</v>
      </c>
      <c r="LO46">
        <v>0</v>
      </c>
      <c r="LP46">
        <v>0</v>
      </c>
      <c r="LQ46">
        <v>0</v>
      </c>
      <c r="LR46" t="s">
        <v>264</v>
      </c>
      <c r="LU46" t="s">
        <v>576</v>
      </c>
      <c r="LV46" t="s">
        <v>555</v>
      </c>
      <c r="LW46">
        <v>0</v>
      </c>
      <c r="LX46">
        <v>0</v>
      </c>
      <c r="LY46">
        <v>0</v>
      </c>
      <c r="LZ46" t="s">
        <v>264</v>
      </c>
      <c r="MC46" t="s">
        <v>577</v>
      </c>
      <c r="MD46" t="s">
        <v>555</v>
      </c>
      <c r="ME46">
        <v>0</v>
      </c>
      <c r="MF46">
        <v>0</v>
      </c>
      <c r="MG46">
        <v>0</v>
      </c>
      <c r="MH46" t="s">
        <v>264</v>
      </c>
      <c r="MK46" t="s">
        <v>578</v>
      </c>
      <c r="ML46" t="s">
        <v>555</v>
      </c>
      <c r="MM46">
        <v>0</v>
      </c>
      <c r="MN46">
        <v>0</v>
      </c>
      <c r="MO46">
        <v>0</v>
      </c>
      <c r="MP46" t="s">
        <v>264</v>
      </c>
      <c r="MS46" t="s">
        <v>579</v>
      </c>
      <c r="MT46" t="s">
        <v>555</v>
      </c>
      <c r="MU46">
        <v>0</v>
      </c>
      <c r="MV46">
        <v>0</v>
      </c>
      <c r="MW46">
        <v>0</v>
      </c>
      <c r="MX46" t="s">
        <v>264</v>
      </c>
      <c r="NA46" t="s">
        <v>580</v>
      </c>
      <c r="NB46" t="s">
        <v>555</v>
      </c>
      <c r="NC46">
        <v>0</v>
      </c>
      <c r="ND46">
        <v>0</v>
      </c>
      <c r="NE46">
        <v>0</v>
      </c>
      <c r="NF46" t="s">
        <v>264</v>
      </c>
      <c r="NI46">
        <v>40</v>
      </c>
      <c r="NJ46">
        <v>-11.9</v>
      </c>
      <c r="NP46" t="s">
        <v>624</v>
      </c>
    </row>
    <row r="47" spans="1:380" customFormat="1" x14ac:dyDescent="0.2">
      <c r="A47" t="s">
        <v>517</v>
      </c>
      <c r="B47">
        <v>1</v>
      </c>
      <c r="C47" t="s">
        <v>895</v>
      </c>
      <c r="D47">
        <v>646963075</v>
      </c>
      <c r="E47">
        <v>12602</v>
      </c>
      <c r="F47" t="s">
        <v>805</v>
      </c>
      <c r="G47">
        <v>802069</v>
      </c>
      <c r="H47">
        <v>620506</v>
      </c>
      <c r="I47" t="s">
        <v>622</v>
      </c>
      <c r="J47" t="s">
        <v>896</v>
      </c>
      <c r="K47" t="s">
        <v>545</v>
      </c>
      <c r="L47" t="s">
        <v>442</v>
      </c>
      <c r="M47" t="s">
        <v>546</v>
      </c>
      <c r="N47" t="s">
        <v>468</v>
      </c>
      <c r="O47" t="s">
        <v>547</v>
      </c>
      <c r="P47" t="s">
        <v>264</v>
      </c>
      <c r="Q47">
        <v>27.3</v>
      </c>
      <c r="R47">
        <v>257</v>
      </c>
      <c r="S47" t="s">
        <v>264</v>
      </c>
      <c r="T47">
        <v>-9999</v>
      </c>
      <c r="U47">
        <v>500</v>
      </c>
      <c r="V47">
        <v>557</v>
      </c>
      <c r="W47">
        <v>573</v>
      </c>
      <c r="X47" t="s">
        <v>270</v>
      </c>
      <c r="Y47">
        <v>0</v>
      </c>
      <c r="Z47">
        <v>55</v>
      </c>
      <c r="AA47" t="s">
        <v>469</v>
      </c>
      <c r="AB47" t="s">
        <v>548</v>
      </c>
      <c r="AC47">
        <v>1</v>
      </c>
      <c r="AD47" t="s">
        <v>584</v>
      </c>
      <c r="AE47">
        <v>25.8</v>
      </c>
      <c r="AF47">
        <v>1370</v>
      </c>
      <c r="AG47" t="s">
        <v>264</v>
      </c>
      <c r="AH47">
        <v>-9999</v>
      </c>
      <c r="AI47">
        <v>495</v>
      </c>
      <c r="AJ47">
        <v>607</v>
      </c>
      <c r="AK47">
        <v>490</v>
      </c>
      <c r="AL47" t="s">
        <v>270</v>
      </c>
      <c r="AM47">
        <v>0</v>
      </c>
      <c r="AN47">
        <v>55</v>
      </c>
      <c r="AO47" t="s">
        <v>470</v>
      </c>
      <c r="AP47" t="s">
        <v>548</v>
      </c>
      <c r="AQ47">
        <v>2</v>
      </c>
      <c r="AR47" t="s">
        <v>584</v>
      </c>
      <c r="AS47">
        <v>39.200000000000003</v>
      </c>
      <c r="AT47">
        <v>330</v>
      </c>
      <c r="AU47" t="s">
        <v>264</v>
      </c>
      <c r="AV47">
        <v>-9999</v>
      </c>
      <c r="AW47">
        <v>356</v>
      </c>
      <c r="AX47">
        <v>352</v>
      </c>
      <c r="AY47">
        <v>322</v>
      </c>
      <c r="AZ47" t="s">
        <v>270</v>
      </c>
      <c r="BA47">
        <v>0</v>
      </c>
      <c r="BB47">
        <v>55</v>
      </c>
      <c r="BC47" t="s">
        <v>550</v>
      </c>
      <c r="BD47" t="s">
        <v>548</v>
      </c>
      <c r="BE47">
        <v>3</v>
      </c>
      <c r="BF47" t="s">
        <v>584</v>
      </c>
      <c r="BG47">
        <v>20.399999999999999</v>
      </c>
      <c r="BH47">
        <v>2576</v>
      </c>
      <c r="BI47" t="s">
        <v>264</v>
      </c>
      <c r="BJ47">
        <v>-9999</v>
      </c>
      <c r="BK47">
        <v>14</v>
      </c>
      <c r="BL47">
        <v>36</v>
      </c>
      <c r="BM47">
        <v>21</v>
      </c>
      <c r="BN47" t="s">
        <v>270</v>
      </c>
      <c r="BO47">
        <v>0</v>
      </c>
      <c r="BP47">
        <v>55</v>
      </c>
      <c r="BQ47" t="s">
        <v>504</v>
      </c>
      <c r="BR47" t="s">
        <v>548</v>
      </c>
      <c r="BS47">
        <v>4</v>
      </c>
      <c r="BT47" t="s">
        <v>584</v>
      </c>
      <c r="BU47">
        <v>28.3</v>
      </c>
      <c r="BV47">
        <v>346</v>
      </c>
      <c r="BW47" t="s">
        <v>264</v>
      </c>
      <c r="BX47">
        <v>-9999</v>
      </c>
      <c r="BY47">
        <v>218</v>
      </c>
      <c r="BZ47">
        <v>244</v>
      </c>
      <c r="CA47">
        <v>207</v>
      </c>
      <c r="CB47" t="s">
        <v>270</v>
      </c>
      <c r="CC47">
        <v>0</v>
      </c>
      <c r="CD47">
        <v>55</v>
      </c>
      <c r="CE47" t="s">
        <v>471</v>
      </c>
      <c r="CF47" t="s">
        <v>548</v>
      </c>
      <c r="CG47">
        <v>5</v>
      </c>
      <c r="CH47" t="s">
        <v>584</v>
      </c>
      <c r="CI47">
        <v>35.6</v>
      </c>
      <c r="CJ47">
        <v>193</v>
      </c>
      <c r="CK47" t="s">
        <v>264</v>
      </c>
      <c r="CL47">
        <v>-9999</v>
      </c>
      <c r="CM47">
        <v>433</v>
      </c>
      <c r="CN47">
        <v>502</v>
      </c>
      <c r="CO47">
        <v>423</v>
      </c>
      <c r="CP47" t="s">
        <v>270</v>
      </c>
      <c r="CQ47">
        <v>0</v>
      </c>
      <c r="CR47">
        <v>55</v>
      </c>
      <c r="CS47" t="s">
        <v>472</v>
      </c>
      <c r="CT47" t="s">
        <v>548</v>
      </c>
      <c r="CU47">
        <v>6</v>
      </c>
      <c r="CV47" t="s">
        <v>584</v>
      </c>
      <c r="CW47">
        <v>33.200000000000003</v>
      </c>
      <c r="CX47">
        <v>293</v>
      </c>
      <c r="CY47" t="s">
        <v>264</v>
      </c>
      <c r="CZ47">
        <v>-9999</v>
      </c>
      <c r="DA47">
        <v>620</v>
      </c>
      <c r="DB47">
        <v>702</v>
      </c>
      <c r="DC47">
        <v>612</v>
      </c>
      <c r="DD47" t="s">
        <v>270</v>
      </c>
      <c r="DE47">
        <v>0</v>
      </c>
      <c r="DF47">
        <v>55</v>
      </c>
      <c r="DG47" t="s">
        <v>473</v>
      </c>
      <c r="DH47" t="s">
        <v>548</v>
      </c>
      <c r="DI47">
        <v>7</v>
      </c>
      <c r="DJ47" t="s">
        <v>584</v>
      </c>
      <c r="DK47">
        <v>23.3</v>
      </c>
      <c r="DL47">
        <v>358</v>
      </c>
      <c r="DM47" t="s">
        <v>264</v>
      </c>
      <c r="DN47">
        <v>-9999</v>
      </c>
      <c r="DO47">
        <v>619</v>
      </c>
      <c r="DP47">
        <v>712</v>
      </c>
      <c r="DQ47">
        <v>636</v>
      </c>
      <c r="DR47" t="s">
        <v>270</v>
      </c>
      <c r="DS47">
        <v>0</v>
      </c>
      <c r="DT47">
        <v>55</v>
      </c>
      <c r="DU47" t="s">
        <v>474</v>
      </c>
      <c r="DV47" t="s">
        <v>548</v>
      </c>
      <c r="DW47">
        <v>8</v>
      </c>
      <c r="DX47" t="s">
        <v>584</v>
      </c>
      <c r="DY47">
        <v>21.5</v>
      </c>
      <c r="DZ47">
        <v>517</v>
      </c>
      <c r="EA47" t="s">
        <v>264</v>
      </c>
      <c r="EB47">
        <v>-9999</v>
      </c>
      <c r="EC47">
        <v>91</v>
      </c>
      <c r="ED47">
        <v>109</v>
      </c>
      <c r="EE47">
        <v>84</v>
      </c>
      <c r="EF47" t="s">
        <v>270</v>
      </c>
      <c r="EG47">
        <v>0</v>
      </c>
      <c r="EH47">
        <v>55</v>
      </c>
      <c r="EI47" t="s">
        <v>475</v>
      </c>
      <c r="EJ47" t="s">
        <v>548</v>
      </c>
      <c r="EK47">
        <v>9</v>
      </c>
      <c r="EL47" t="s">
        <v>584</v>
      </c>
      <c r="EM47">
        <v>26.5</v>
      </c>
      <c r="EN47">
        <v>77</v>
      </c>
      <c r="EO47" t="s">
        <v>264</v>
      </c>
      <c r="EP47">
        <v>-9999</v>
      </c>
      <c r="EQ47">
        <v>269</v>
      </c>
      <c r="ER47">
        <v>256</v>
      </c>
      <c r="ES47">
        <v>238</v>
      </c>
      <c r="ET47" t="s">
        <v>270</v>
      </c>
      <c r="EU47">
        <v>0</v>
      </c>
      <c r="EV47">
        <v>55</v>
      </c>
      <c r="EW47" t="s">
        <v>551</v>
      </c>
      <c r="EX47" t="s">
        <v>552</v>
      </c>
      <c r="EY47">
        <v>137</v>
      </c>
      <c r="EZ47">
        <v>137</v>
      </c>
      <c r="FA47">
        <v>137</v>
      </c>
      <c r="FB47" t="s">
        <v>270</v>
      </c>
      <c r="FC47" t="s">
        <v>553</v>
      </c>
      <c r="FD47" t="s">
        <v>552</v>
      </c>
      <c r="FE47">
        <v>339</v>
      </c>
      <c r="FF47">
        <v>338</v>
      </c>
      <c r="FG47">
        <v>337</v>
      </c>
      <c r="FH47" t="s">
        <v>270</v>
      </c>
      <c r="FI47" t="s">
        <v>554</v>
      </c>
      <c r="FJ47" t="s">
        <v>555</v>
      </c>
      <c r="FK47">
        <v>0</v>
      </c>
      <c r="FL47">
        <v>0</v>
      </c>
      <c r="FM47">
        <v>0</v>
      </c>
      <c r="FN47" t="s">
        <v>264</v>
      </c>
      <c r="FO47">
        <v>75.7</v>
      </c>
      <c r="FP47">
        <v>280.10000000000002</v>
      </c>
      <c r="FQ47" t="s">
        <v>556</v>
      </c>
      <c r="FR47" t="s">
        <v>555</v>
      </c>
      <c r="FS47">
        <v>0</v>
      </c>
      <c r="FT47">
        <v>0</v>
      </c>
      <c r="FU47">
        <v>0</v>
      </c>
      <c r="FV47" t="s">
        <v>264</v>
      </c>
      <c r="FW47">
        <v>73.099999999999994</v>
      </c>
      <c r="FX47">
        <v>95.2</v>
      </c>
      <c r="FY47" t="s">
        <v>557</v>
      </c>
      <c r="FZ47" t="s">
        <v>555</v>
      </c>
      <c r="GA47">
        <v>0</v>
      </c>
      <c r="GB47">
        <v>0</v>
      </c>
      <c r="GC47">
        <v>0</v>
      </c>
      <c r="GD47" t="s">
        <v>264</v>
      </c>
      <c r="GE47">
        <v>71</v>
      </c>
      <c r="GF47">
        <v>252.6</v>
      </c>
      <c r="GG47" t="s">
        <v>558</v>
      </c>
      <c r="GH47" t="s">
        <v>555</v>
      </c>
      <c r="GI47">
        <v>0</v>
      </c>
      <c r="GJ47">
        <v>0</v>
      </c>
      <c r="GK47">
        <v>0</v>
      </c>
      <c r="GL47" t="s">
        <v>264</v>
      </c>
      <c r="GM47">
        <v>68</v>
      </c>
      <c r="GN47">
        <v>66.8</v>
      </c>
      <c r="GO47" t="s">
        <v>559</v>
      </c>
      <c r="GP47" t="s">
        <v>555</v>
      </c>
      <c r="GQ47">
        <v>0</v>
      </c>
      <c r="GR47">
        <v>0</v>
      </c>
      <c r="GS47">
        <v>0</v>
      </c>
      <c r="GT47" t="s">
        <v>264</v>
      </c>
      <c r="GU47">
        <v>75.599999999999994</v>
      </c>
      <c r="GV47">
        <v>62.6</v>
      </c>
      <c r="GW47" t="s">
        <v>560</v>
      </c>
      <c r="GX47" t="s">
        <v>555</v>
      </c>
      <c r="GY47">
        <v>0</v>
      </c>
      <c r="GZ47">
        <v>0</v>
      </c>
      <c r="HA47">
        <v>0</v>
      </c>
      <c r="HB47" t="s">
        <v>264</v>
      </c>
      <c r="HC47">
        <v>70.099999999999994</v>
      </c>
      <c r="HD47">
        <v>77.400000000000006</v>
      </c>
      <c r="HE47" t="s">
        <v>561</v>
      </c>
      <c r="HF47" t="s">
        <v>555</v>
      </c>
      <c r="HG47">
        <v>0</v>
      </c>
      <c r="HH47">
        <v>0</v>
      </c>
      <c r="HI47">
        <v>0</v>
      </c>
      <c r="HJ47" t="s">
        <v>264</v>
      </c>
      <c r="HK47">
        <v>70.599999999999994</v>
      </c>
      <c r="HL47">
        <v>145.80000000000001</v>
      </c>
      <c r="HM47" t="s">
        <v>562</v>
      </c>
      <c r="HN47" t="s">
        <v>555</v>
      </c>
      <c r="HO47">
        <v>0</v>
      </c>
      <c r="HP47">
        <v>0</v>
      </c>
      <c r="HQ47">
        <v>0</v>
      </c>
      <c r="HR47" t="s">
        <v>264</v>
      </c>
      <c r="HS47">
        <v>68.900000000000006</v>
      </c>
      <c r="HT47">
        <v>132.80000000000001</v>
      </c>
      <c r="HU47" t="s">
        <v>563</v>
      </c>
      <c r="HV47" t="s">
        <v>555</v>
      </c>
      <c r="HW47">
        <v>0</v>
      </c>
      <c r="HX47">
        <v>0</v>
      </c>
      <c r="HY47">
        <v>0</v>
      </c>
      <c r="HZ47" t="s">
        <v>264</v>
      </c>
      <c r="IA47">
        <v>74.400000000000006</v>
      </c>
      <c r="IB47">
        <v>187.6</v>
      </c>
      <c r="IC47" t="s">
        <v>564</v>
      </c>
      <c r="ID47" t="s">
        <v>555</v>
      </c>
      <c r="IE47">
        <v>0</v>
      </c>
      <c r="IF47">
        <v>0</v>
      </c>
      <c r="IG47">
        <v>0</v>
      </c>
      <c r="IH47" t="s">
        <v>264</v>
      </c>
      <c r="II47">
        <v>68.099999999999994</v>
      </c>
      <c r="IJ47">
        <v>116.6</v>
      </c>
      <c r="IK47" t="s">
        <v>565</v>
      </c>
      <c r="IL47" t="s">
        <v>555</v>
      </c>
      <c r="IM47">
        <v>0</v>
      </c>
      <c r="IN47">
        <v>0</v>
      </c>
      <c r="IO47">
        <v>0</v>
      </c>
      <c r="IP47" t="s">
        <v>264</v>
      </c>
      <c r="IS47" t="s">
        <v>566</v>
      </c>
      <c r="IT47" t="s">
        <v>555</v>
      </c>
      <c r="IU47">
        <v>0</v>
      </c>
      <c r="IV47">
        <v>0</v>
      </c>
      <c r="IW47">
        <v>0</v>
      </c>
      <c r="IX47" t="s">
        <v>264</v>
      </c>
      <c r="JA47" t="s">
        <v>567</v>
      </c>
      <c r="JB47" t="s">
        <v>555</v>
      </c>
      <c r="JC47">
        <v>0</v>
      </c>
      <c r="JD47">
        <v>0</v>
      </c>
      <c r="JE47">
        <v>0</v>
      </c>
      <c r="JF47" t="s">
        <v>264</v>
      </c>
      <c r="JI47" t="s">
        <v>568</v>
      </c>
      <c r="JJ47" t="s">
        <v>555</v>
      </c>
      <c r="JK47">
        <v>0</v>
      </c>
      <c r="JL47">
        <v>0</v>
      </c>
      <c r="JM47">
        <v>0</v>
      </c>
      <c r="JN47" t="s">
        <v>264</v>
      </c>
      <c r="JQ47" t="s">
        <v>569</v>
      </c>
      <c r="JR47" t="s">
        <v>555</v>
      </c>
      <c r="JS47">
        <v>0</v>
      </c>
      <c r="JT47">
        <v>0</v>
      </c>
      <c r="JU47">
        <v>0</v>
      </c>
      <c r="JV47" t="s">
        <v>264</v>
      </c>
      <c r="JY47" t="s">
        <v>570</v>
      </c>
      <c r="JZ47" t="s">
        <v>555</v>
      </c>
      <c r="KA47">
        <v>0</v>
      </c>
      <c r="KB47">
        <v>0</v>
      </c>
      <c r="KC47">
        <v>0</v>
      </c>
      <c r="KD47" t="s">
        <v>264</v>
      </c>
      <c r="KG47" t="s">
        <v>571</v>
      </c>
      <c r="KH47" t="s">
        <v>555</v>
      </c>
      <c r="KI47">
        <v>0</v>
      </c>
      <c r="KJ47">
        <v>0</v>
      </c>
      <c r="KK47">
        <v>0</v>
      </c>
      <c r="KL47" t="s">
        <v>264</v>
      </c>
      <c r="KO47" t="s">
        <v>572</v>
      </c>
      <c r="KP47" t="s">
        <v>555</v>
      </c>
      <c r="KQ47">
        <v>0</v>
      </c>
      <c r="KR47">
        <v>0</v>
      </c>
      <c r="KS47">
        <v>0</v>
      </c>
      <c r="KT47" t="s">
        <v>264</v>
      </c>
      <c r="KW47" t="s">
        <v>573</v>
      </c>
      <c r="KX47" t="s">
        <v>555</v>
      </c>
      <c r="KY47">
        <v>0</v>
      </c>
      <c r="KZ47">
        <v>0</v>
      </c>
      <c r="LA47">
        <v>0</v>
      </c>
      <c r="LB47" t="s">
        <v>264</v>
      </c>
      <c r="LE47" t="s">
        <v>574</v>
      </c>
      <c r="LF47" t="s">
        <v>555</v>
      </c>
      <c r="LG47">
        <v>0</v>
      </c>
      <c r="LH47">
        <v>0</v>
      </c>
      <c r="LI47">
        <v>0</v>
      </c>
      <c r="LJ47" t="s">
        <v>264</v>
      </c>
      <c r="LM47" t="s">
        <v>575</v>
      </c>
      <c r="LN47" t="s">
        <v>555</v>
      </c>
      <c r="LO47">
        <v>0</v>
      </c>
      <c r="LP47">
        <v>0</v>
      </c>
      <c r="LQ47">
        <v>0</v>
      </c>
      <c r="LR47" t="s">
        <v>264</v>
      </c>
      <c r="LU47" t="s">
        <v>576</v>
      </c>
      <c r="LV47" t="s">
        <v>555</v>
      </c>
      <c r="LW47">
        <v>0</v>
      </c>
      <c r="LX47">
        <v>0</v>
      </c>
      <c r="LY47">
        <v>0</v>
      </c>
      <c r="LZ47" t="s">
        <v>264</v>
      </c>
      <c r="MC47" t="s">
        <v>577</v>
      </c>
      <c r="MD47" t="s">
        <v>555</v>
      </c>
      <c r="ME47">
        <v>0</v>
      </c>
      <c r="MF47">
        <v>0</v>
      </c>
      <c r="MG47">
        <v>0</v>
      </c>
      <c r="MH47" t="s">
        <v>264</v>
      </c>
      <c r="MK47" t="s">
        <v>578</v>
      </c>
      <c r="ML47" t="s">
        <v>555</v>
      </c>
      <c r="MM47">
        <v>0</v>
      </c>
      <c r="MN47">
        <v>0</v>
      </c>
      <c r="MO47">
        <v>0</v>
      </c>
      <c r="MP47" t="s">
        <v>264</v>
      </c>
      <c r="MS47" t="s">
        <v>579</v>
      </c>
      <c r="MT47" t="s">
        <v>555</v>
      </c>
      <c r="MU47">
        <v>0</v>
      </c>
      <c r="MV47">
        <v>0</v>
      </c>
      <c r="MW47">
        <v>0</v>
      </c>
      <c r="MX47" t="s">
        <v>264</v>
      </c>
      <c r="NA47" t="s">
        <v>580</v>
      </c>
      <c r="NB47" t="s">
        <v>555</v>
      </c>
      <c r="NC47">
        <v>0</v>
      </c>
      <c r="ND47">
        <v>0</v>
      </c>
      <c r="NE47">
        <v>0</v>
      </c>
      <c r="NF47" t="s">
        <v>264</v>
      </c>
      <c r="NI47">
        <v>40</v>
      </c>
      <c r="NJ47">
        <v>-9.8000000000000007</v>
      </c>
      <c r="NP47" t="s">
        <v>624</v>
      </c>
    </row>
    <row r="48" spans="1:380" customFormat="1" x14ac:dyDescent="0.2">
      <c r="A48" t="s">
        <v>517</v>
      </c>
      <c r="B48">
        <v>1</v>
      </c>
      <c r="C48" t="s">
        <v>897</v>
      </c>
      <c r="D48">
        <v>646963361</v>
      </c>
      <c r="E48">
        <v>12602</v>
      </c>
      <c r="F48" t="s">
        <v>805</v>
      </c>
      <c r="G48">
        <v>802069</v>
      </c>
      <c r="H48">
        <v>210069069</v>
      </c>
      <c r="I48" t="s">
        <v>622</v>
      </c>
      <c r="J48" t="s">
        <v>898</v>
      </c>
      <c r="K48" t="s">
        <v>545</v>
      </c>
      <c r="L48" t="s">
        <v>442</v>
      </c>
      <c r="M48" t="s">
        <v>546</v>
      </c>
      <c r="N48" t="s">
        <v>468</v>
      </c>
      <c r="O48" t="s">
        <v>547</v>
      </c>
      <c r="P48" t="s">
        <v>264</v>
      </c>
      <c r="Q48">
        <v>27.3</v>
      </c>
      <c r="R48">
        <v>210</v>
      </c>
      <c r="S48" t="s">
        <v>264</v>
      </c>
      <c r="T48">
        <v>-9999</v>
      </c>
      <c r="U48">
        <v>686</v>
      </c>
      <c r="V48">
        <v>708</v>
      </c>
      <c r="W48">
        <v>674</v>
      </c>
      <c r="X48" t="s">
        <v>270</v>
      </c>
      <c r="Y48">
        <v>0</v>
      </c>
      <c r="Z48">
        <v>55</v>
      </c>
      <c r="AA48" t="s">
        <v>469</v>
      </c>
      <c r="AB48" t="s">
        <v>548</v>
      </c>
      <c r="AC48">
        <v>1</v>
      </c>
      <c r="AD48" t="s">
        <v>584</v>
      </c>
      <c r="AE48">
        <v>24.1</v>
      </c>
      <c r="AF48">
        <v>1352</v>
      </c>
      <c r="AG48" t="s">
        <v>264</v>
      </c>
      <c r="AH48">
        <v>-9999</v>
      </c>
      <c r="AI48">
        <v>440</v>
      </c>
      <c r="AJ48">
        <v>540</v>
      </c>
      <c r="AK48">
        <v>435</v>
      </c>
      <c r="AL48" t="s">
        <v>270</v>
      </c>
      <c r="AM48">
        <v>0</v>
      </c>
      <c r="AN48">
        <v>55</v>
      </c>
      <c r="AO48" t="s">
        <v>470</v>
      </c>
      <c r="AP48" t="s">
        <v>548</v>
      </c>
      <c r="AQ48">
        <v>2</v>
      </c>
      <c r="AR48" t="s">
        <v>584</v>
      </c>
      <c r="AS48">
        <v>35.5</v>
      </c>
      <c r="AT48">
        <v>308</v>
      </c>
      <c r="AU48" t="s">
        <v>264</v>
      </c>
      <c r="AV48">
        <v>-9999</v>
      </c>
      <c r="AW48">
        <v>407</v>
      </c>
      <c r="AX48">
        <v>428</v>
      </c>
      <c r="AY48">
        <v>406</v>
      </c>
      <c r="AZ48" t="s">
        <v>270</v>
      </c>
      <c r="BA48">
        <v>0</v>
      </c>
      <c r="BB48">
        <v>55</v>
      </c>
      <c r="BC48" t="s">
        <v>550</v>
      </c>
      <c r="BD48" t="s">
        <v>548</v>
      </c>
      <c r="BE48">
        <v>3</v>
      </c>
      <c r="BF48" t="s">
        <v>584</v>
      </c>
      <c r="BG48">
        <v>21.7</v>
      </c>
      <c r="BH48">
        <v>893</v>
      </c>
      <c r="BI48" t="s">
        <v>264</v>
      </c>
      <c r="BJ48">
        <v>-9999</v>
      </c>
      <c r="BK48">
        <v>94</v>
      </c>
      <c r="BL48">
        <v>130</v>
      </c>
      <c r="BM48">
        <v>99</v>
      </c>
      <c r="BN48" t="s">
        <v>270</v>
      </c>
      <c r="BO48">
        <v>0</v>
      </c>
      <c r="BP48">
        <v>55</v>
      </c>
      <c r="BQ48" t="s">
        <v>504</v>
      </c>
      <c r="BR48" t="s">
        <v>548</v>
      </c>
      <c r="BS48">
        <v>4</v>
      </c>
      <c r="BT48" t="s">
        <v>584</v>
      </c>
      <c r="BU48">
        <v>28.6</v>
      </c>
      <c r="BV48">
        <v>283</v>
      </c>
      <c r="BW48" t="s">
        <v>264</v>
      </c>
      <c r="BX48">
        <v>-9999</v>
      </c>
      <c r="BY48">
        <v>181</v>
      </c>
      <c r="BZ48">
        <v>210</v>
      </c>
      <c r="CA48">
        <v>179</v>
      </c>
      <c r="CB48" t="s">
        <v>270</v>
      </c>
      <c r="CC48">
        <v>0</v>
      </c>
      <c r="CD48">
        <v>55</v>
      </c>
      <c r="CE48" t="s">
        <v>471</v>
      </c>
      <c r="CF48" t="s">
        <v>548</v>
      </c>
      <c r="CG48">
        <v>5</v>
      </c>
      <c r="CH48" t="s">
        <v>584</v>
      </c>
      <c r="CI48">
        <v>32.6</v>
      </c>
      <c r="CJ48">
        <v>215</v>
      </c>
      <c r="CK48" t="s">
        <v>264</v>
      </c>
      <c r="CL48">
        <v>-9999</v>
      </c>
      <c r="CM48">
        <v>460</v>
      </c>
      <c r="CN48">
        <v>539</v>
      </c>
      <c r="CO48">
        <v>459</v>
      </c>
      <c r="CP48" t="s">
        <v>270</v>
      </c>
      <c r="CQ48">
        <v>0</v>
      </c>
      <c r="CR48">
        <v>55</v>
      </c>
      <c r="CS48" t="s">
        <v>472</v>
      </c>
      <c r="CT48" t="s">
        <v>548</v>
      </c>
      <c r="CU48">
        <v>6</v>
      </c>
      <c r="CV48" t="s">
        <v>584</v>
      </c>
      <c r="CW48">
        <v>32.700000000000003</v>
      </c>
      <c r="CX48">
        <v>236</v>
      </c>
      <c r="CY48" t="s">
        <v>264</v>
      </c>
      <c r="CZ48">
        <v>-9999</v>
      </c>
      <c r="DA48">
        <v>617</v>
      </c>
      <c r="DB48">
        <v>700</v>
      </c>
      <c r="DC48">
        <v>607</v>
      </c>
      <c r="DD48" t="s">
        <v>270</v>
      </c>
      <c r="DE48">
        <v>0</v>
      </c>
      <c r="DF48">
        <v>55</v>
      </c>
      <c r="DG48" t="s">
        <v>473</v>
      </c>
      <c r="DH48" t="s">
        <v>548</v>
      </c>
      <c r="DI48">
        <v>7</v>
      </c>
      <c r="DJ48" t="s">
        <v>584</v>
      </c>
      <c r="DK48">
        <v>24.9</v>
      </c>
      <c r="DL48">
        <v>211</v>
      </c>
      <c r="DM48" t="s">
        <v>264</v>
      </c>
      <c r="DN48">
        <v>-9999</v>
      </c>
      <c r="DO48">
        <v>541</v>
      </c>
      <c r="DP48">
        <v>621</v>
      </c>
      <c r="DQ48">
        <v>537</v>
      </c>
      <c r="DR48" t="s">
        <v>270</v>
      </c>
      <c r="DS48">
        <v>0</v>
      </c>
      <c r="DT48">
        <v>55</v>
      </c>
      <c r="DU48" t="s">
        <v>474</v>
      </c>
      <c r="DV48" t="s">
        <v>548</v>
      </c>
      <c r="DW48">
        <v>8</v>
      </c>
      <c r="DX48" t="s">
        <v>584</v>
      </c>
      <c r="DY48">
        <v>21.4</v>
      </c>
      <c r="DZ48">
        <v>416</v>
      </c>
      <c r="EA48" t="s">
        <v>264</v>
      </c>
      <c r="EB48">
        <v>-9999</v>
      </c>
      <c r="EC48">
        <v>103</v>
      </c>
      <c r="ED48">
        <v>124</v>
      </c>
      <c r="EE48">
        <v>102</v>
      </c>
      <c r="EF48" t="s">
        <v>270</v>
      </c>
      <c r="EG48">
        <v>0</v>
      </c>
      <c r="EH48">
        <v>55</v>
      </c>
      <c r="EI48" t="s">
        <v>475</v>
      </c>
      <c r="EJ48" t="s">
        <v>548</v>
      </c>
      <c r="EK48">
        <v>9</v>
      </c>
      <c r="EL48" t="s">
        <v>584</v>
      </c>
      <c r="EM48">
        <v>27.7</v>
      </c>
      <c r="EN48">
        <v>65</v>
      </c>
      <c r="EO48" t="s">
        <v>264</v>
      </c>
      <c r="EP48">
        <v>-9999</v>
      </c>
      <c r="EQ48">
        <v>340</v>
      </c>
      <c r="ER48">
        <v>324</v>
      </c>
      <c r="ES48">
        <v>298</v>
      </c>
      <c r="ET48" t="s">
        <v>270</v>
      </c>
      <c r="EU48">
        <v>0</v>
      </c>
      <c r="EV48">
        <v>55</v>
      </c>
      <c r="EW48" t="s">
        <v>551</v>
      </c>
      <c r="EX48" t="s">
        <v>552</v>
      </c>
      <c r="EY48">
        <v>130</v>
      </c>
      <c r="EZ48">
        <v>130</v>
      </c>
      <c r="FA48">
        <v>130</v>
      </c>
      <c r="FB48" t="s">
        <v>270</v>
      </c>
      <c r="FC48" t="s">
        <v>553</v>
      </c>
      <c r="FD48" t="s">
        <v>552</v>
      </c>
      <c r="FE48">
        <v>338</v>
      </c>
      <c r="FF48">
        <v>336</v>
      </c>
      <c r="FG48">
        <v>335</v>
      </c>
      <c r="FH48" t="s">
        <v>270</v>
      </c>
      <c r="FI48" t="s">
        <v>554</v>
      </c>
      <c r="FJ48" t="s">
        <v>555</v>
      </c>
      <c r="FK48">
        <v>0</v>
      </c>
      <c r="FL48">
        <v>0</v>
      </c>
      <c r="FM48">
        <v>0</v>
      </c>
      <c r="FN48" t="s">
        <v>264</v>
      </c>
      <c r="FO48">
        <v>76</v>
      </c>
      <c r="FP48">
        <v>249.8</v>
      </c>
      <c r="FQ48" t="s">
        <v>556</v>
      </c>
      <c r="FR48" t="s">
        <v>555</v>
      </c>
      <c r="FS48">
        <v>0</v>
      </c>
      <c r="FT48">
        <v>0</v>
      </c>
      <c r="FU48">
        <v>0</v>
      </c>
      <c r="FV48" t="s">
        <v>264</v>
      </c>
      <c r="FW48">
        <v>73.5</v>
      </c>
      <c r="FX48">
        <v>92.4</v>
      </c>
      <c r="FY48" t="s">
        <v>557</v>
      </c>
      <c r="FZ48" t="s">
        <v>555</v>
      </c>
      <c r="GA48">
        <v>0</v>
      </c>
      <c r="GB48">
        <v>0</v>
      </c>
      <c r="GC48">
        <v>0</v>
      </c>
      <c r="GD48" t="s">
        <v>264</v>
      </c>
      <c r="GE48">
        <v>71.2</v>
      </c>
      <c r="GF48">
        <v>223.2</v>
      </c>
      <c r="GG48" t="s">
        <v>558</v>
      </c>
      <c r="GH48" t="s">
        <v>555</v>
      </c>
      <c r="GI48">
        <v>0</v>
      </c>
      <c r="GJ48">
        <v>0</v>
      </c>
      <c r="GK48">
        <v>0</v>
      </c>
      <c r="GL48" t="s">
        <v>264</v>
      </c>
      <c r="GM48">
        <v>68.400000000000006</v>
      </c>
      <c r="GN48">
        <v>60.7</v>
      </c>
      <c r="GO48" t="s">
        <v>559</v>
      </c>
      <c r="GP48" t="s">
        <v>555</v>
      </c>
      <c r="GQ48">
        <v>0</v>
      </c>
      <c r="GR48">
        <v>0</v>
      </c>
      <c r="GS48">
        <v>0</v>
      </c>
      <c r="GT48" t="s">
        <v>264</v>
      </c>
      <c r="GU48">
        <v>76</v>
      </c>
      <c r="GV48">
        <v>46.3</v>
      </c>
      <c r="GW48" t="s">
        <v>560</v>
      </c>
      <c r="GX48" t="s">
        <v>555</v>
      </c>
      <c r="GY48">
        <v>0</v>
      </c>
      <c r="GZ48">
        <v>0</v>
      </c>
      <c r="HA48">
        <v>0</v>
      </c>
      <c r="HB48" t="s">
        <v>264</v>
      </c>
      <c r="HC48">
        <v>70.3</v>
      </c>
      <c r="HD48">
        <v>75.8</v>
      </c>
      <c r="HE48" t="s">
        <v>561</v>
      </c>
      <c r="HF48" t="s">
        <v>555</v>
      </c>
      <c r="HG48">
        <v>0</v>
      </c>
      <c r="HH48">
        <v>0</v>
      </c>
      <c r="HI48">
        <v>0</v>
      </c>
      <c r="HJ48" t="s">
        <v>264</v>
      </c>
      <c r="HK48">
        <v>70.8</v>
      </c>
      <c r="HL48">
        <v>117.3</v>
      </c>
      <c r="HM48" t="s">
        <v>562</v>
      </c>
      <c r="HN48" t="s">
        <v>555</v>
      </c>
      <c r="HO48">
        <v>0</v>
      </c>
      <c r="HP48">
        <v>0</v>
      </c>
      <c r="HQ48">
        <v>0</v>
      </c>
      <c r="HR48" t="s">
        <v>264</v>
      </c>
      <c r="HS48">
        <v>69.2</v>
      </c>
      <c r="HT48">
        <v>82.1</v>
      </c>
      <c r="HU48" t="s">
        <v>563</v>
      </c>
      <c r="HV48" t="s">
        <v>555</v>
      </c>
      <c r="HW48">
        <v>0</v>
      </c>
      <c r="HX48">
        <v>0</v>
      </c>
      <c r="HY48">
        <v>0</v>
      </c>
      <c r="HZ48" t="s">
        <v>264</v>
      </c>
      <c r="IA48">
        <v>74.7</v>
      </c>
      <c r="IB48">
        <v>170</v>
      </c>
      <c r="IC48" t="s">
        <v>564</v>
      </c>
      <c r="ID48" t="s">
        <v>555</v>
      </c>
      <c r="IE48">
        <v>0</v>
      </c>
      <c r="IF48">
        <v>0</v>
      </c>
      <c r="IG48">
        <v>0</v>
      </c>
      <c r="IH48" t="s">
        <v>264</v>
      </c>
      <c r="II48">
        <v>68.3</v>
      </c>
      <c r="IJ48">
        <v>106.4</v>
      </c>
      <c r="IK48" t="s">
        <v>565</v>
      </c>
      <c r="IL48" t="s">
        <v>555</v>
      </c>
      <c r="IM48">
        <v>0</v>
      </c>
      <c r="IN48">
        <v>0</v>
      </c>
      <c r="IO48">
        <v>0</v>
      </c>
      <c r="IP48" t="s">
        <v>264</v>
      </c>
      <c r="IS48" t="s">
        <v>566</v>
      </c>
      <c r="IT48" t="s">
        <v>555</v>
      </c>
      <c r="IU48">
        <v>0</v>
      </c>
      <c r="IV48">
        <v>0</v>
      </c>
      <c r="IW48">
        <v>0</v>
      </c>
      <c r="IX48" t="s">
        <v>264</v>
      </c>
      <c r="JA48" t="s">
        <v>567</v>
      </c>
      <c r="JB48" t="s">
        <v>555</v>
      </c>
      <c r="JC48">
        <v>0</v>
      </c>
      <c r="JD48">
        <v>0</v>
      </c>
      <c r="JE48">
        <v>0</v>
      </c>
      <c r="JF48" t="s">
        <v>264</v>
      </c>
      <c r="JI48" t="s">
        <v>568</v>
      </c>
      <c r="JJ48" t="s">
        <v>555</v>
      </c>
      <c r="JK48">
        <v>0</v>
      </c>
      <c r="JL48">
        <v>0</v>
      </c>
      <c r="JM48">
        <v>0</v>
      </c>
      <c r="JN48" t="s">
        <v>264</v>
      </c>
      <c r="JQ48" t="s">
        <v>569</v>
      </c>
      <c r="JR48" t="s">
        <v>555</v>
      </c>
      <c r="JS48">
        <v>0</v>
      </c>
      <c r="JT48">
        <v>0</v>
      </c>
      <c r="JU48">
        <v>0</v>
      </c>
      <c r="JV48" t="s">
        <v>264</v>
      </c>
      <c r="JY48" t="s">
        <v>570</v>
      </c>
      <c r="JZ48" t="s">
        <v>555</v>
      </c>
      <c r="KA48">
        <v>0</v>
      </c>
      <c r="KB48">
        <v>0</v>
      </c>
      <c r="KC48">
        <v>0</v>
      </c>
      <c r="KD48" t="s">
        <v>264</v>
      </c>
      <c r="KG48" t="s">
        <v>571</v>
      </c>
      <c r="KH48" t="s">
        <v>555</v>
      </c>
      <c r="KI48">
        <v>0</v>
      </c>
      <c r="KJ48">
        <v>0</v>
      </c>
      <c r="KK48">
        <v>0</v>
      </c>
      <c r="KL48" t="s">
        <v>264</v>
      </c>
      <c r="KO48" t="s">
        <v>572</v>
      </c>
      <c r="KP48" t="s">
        <v>555</v>
      </c>
      <c r="KQ48">
        <v>0</v>
      </c>
      <c r="KR48">
        <v>0</v>
      </c>
      <c r="KS48">
        <v>0</v>
      </c>
      <c r="KT48" t="s">
        <v>264</v>
      </c>
      <c r="KW48" t="s">
        <v>573</v>
      </c>
      <c r="KX48" t="s">
        <v>555</v>
      </c>
      <c r="KY48">
        <v>0</v>
      </c>
      <c r="KZ48">
        <v>0</v>
      </c>
      <c r="LA48">
        <v>0</v>
      </c>
      <c r="LB48" t="s">
        <v>264</v>
      </c>
      <c r="LE48" t="s">
        <v>574</v>
      </c>
      <c r="LF48" t="s">
        <v>555</v>
      </c>
      <c r="LG48">
        <v>0</v>
      </c>
      <c r="LH48">
        <v>0</v>
      </c>
      <c r="LI48">
        <v>0</v>
      </c>
      <c r="LJ48" t="s">
        <v>264</v>
      </c>
      <c r="LM48" t="s">
        <v>575</v>
      </c>
      <c r="LN48" t="s">
        <v>555</v>
      </c>
      <c r="LO48">
        <v>0</v>
      </c>
      <c r="LP48">
        <v>0</v>
      </c>
      <c r="LQ48">
        <v>0</v>
      </c>
      <c r="LR48" t="s">
        <v>264</v>
      </c>
      <c r="LU48" t="s">
        <v>576</v>
      </c>
      <c r="LV48" t="s">
        <v>555</v>
      </c>
      <c r="LW48">
        <v>0</v>
      </c>
      <c r="LX48">
        <v>0</v>
      </c>
      <c r="LY48">
        <v>0</v>
      </c>
      <c r="LZ48" t="s">
        <v>264</v>
      </c>
      <c r="MC48" t="s">
        <v>577</v>
      </c>
      <c r="MD48" t="s">
        <v>555</v>
      </c>
      <c r="ME48">
        <v>0</v>
      </c>
      <c r="MF48">
        <v>0</v>
      </c>
      <c r="MG48">
        <v>0</v>
      </c>
      <c r="MH48" t="s">
        <v>264</v>
      </c>
      <c r="MK48" t="s">
        <v>578</v>
      </c>
      <c r="ML48" t="s">
        <v>555</v>
      </c>
      <c r="MM48">
        <v>0</v>
      </c>
      <c r="MN48">
        <v>0</v>
      </c>
      <c r="MO48">
        <v>0</v>
      </c>
      <c r="MP48" t="s">
        <v>264</v>
      </c>
      <c r="MS48" t="s">
        <v>579</v>
      </c>
      <c r="MT48" t="s">
        <v>555</v>
      </c>
      <c r="MU48">
        <v>0</v>
      </c>
      <c r="MV48">
        <v>0</v>
      </c>
      <c r="MW48">
        <v>0</v>
      </c>
      <c r="MX48" t="s">
        <v>264</v>
      </c>
      <c r="NA48" t="s">
        <v>580</v>
      </c>
      <c r="NB48" t="s">
        <v>555</v>
      </c>
      <c r="NC48">
        <v>0</v>
      </c>
      <c r="ND48">
        <v>0</v>
      </c>
      <c r="NE48">
        <v>0</v>
      </c>
      <c r="NF48" t="s">
        <v>264</v>
      </c>
      <c r="NI48">
        <v>40</v>
      </c>
      <c r="NJ48">
        <v>-8.1</v>
      </c>
      <c r="NP48" t="s">
        <v>624</v>
      </c>
    </row>
    <row r="49" spans="1:380" customFormat="1" x14ac:dyDescent="0.2">
      <c r="A49" t="s">
        <v>517</v>
      </c>
      <c r="B49">
        <v>1</v>
      </c>
      <c r="C49" t="s">
        <v>899</v>
      </c>
      <c r="D49">
        <v>646962811</v>
      </c>
      <c r="E49">
        <v>12602</v>
      </c>
      <c r="F49" t="s">
        <v>805</v>
      </c>
      <c r="G49">
        <v>802069</v>
      </c>
      <c r="H49">
        <v>210017357</v>
      </c>
      <c r="I49" t="s">
        <v>622</v>
      </c>
      <c r="J49" t="s">
        <v>900</v>
      </c>
      <c r="K49" t="s">
        <v>545</v>
      </c>
      <c r="L49" t="s">
        <v>442</v>
      </c>
      <c r="M49" t="s">
        <v>546</v>
      </c>
      <c r="N49" t="s">
        <v>468</v>
      </c>
      <c r="O49" t="s">
        <v>547</v>
      </c>
      <c r="P49" t="s">
        <v>264</v>
      </c>
      <c r="Q49">
        <v>26.9</v>
      </c>
      <c r="R49">
        <v>249</v>
      </c>
      <c r="S49" t="s">
        <v>264</v>
      </c>
      <c r="T49">
        <v>-9999</v>
      </c>
      <c r="U49">
        <v>641</v>
      </c>
      <c r="V49">
        <v>659</v>
      </c>
      <c r="W49">
        <v>629</v>
      </c>
      <c r="X49" t="s">
        <v>270</v>
      </c>
      <c r="Y49">
        <v>0</v>
      </c>
      <c r="Z49">
        <v>55</v>
      </c>
      <c r="AA49" t="s">
        <v>469</v>
      </c>
      <c r="AB49" t="s">
        <v>548</v>
      </c>
      <c r="AC49">
        <v>1</v>
      </c>
      <c r="AD49" t="s">
        <v>584</v>
      </c>
      <c r="AE49">
        <v>28.4</v>
      </c>
      <c r="AF49">
        <v>1235</v>
      </c>
      <c r="AG49" t="s">
        <v>264</v>
      </c>
      <c r="AH49">
        <v>-9999</v>
      </c>
      <c r="AI49">
        <v>527</v>
      </c>
      <c r="AJ49">
        <v>659</v>
      </c>
      <c r="AK49">
        <v>526</v>
      </c>
      <c r="AL49" t="s">
        <v>270</v>
      </c>
      <c r="AM49">
        <v>0</v>
      </c>
      <c r="AN49">
        <v>55</v>
      </c>
      <c r="AO49" t="s">
        <v>470</v>
      </c>
      <c r="AP49" t="s">
        <v>548</v>
      </c>
      <c r="AQ49">
        <v>2</v>
      </c>
      <c r="AR49" t="s">
        <v>584</v>
      </c>
      <c r="AS49">
        <v>40</v>
      </c>
      <c r="AT49">
        <v>341</v>
      </c>
      <c r="AU49" t="s">
        <v>264</v>
      </c>
      <c r="AV49">
        <v>-9999</v>
      </c>
      <c r="AW49">
        <v>412</v>
      </c>
      <c r="AX49">
        <v>434</v>
      </c>
      <c r="AY49">
        <v>409</v>
      </c>
      <c r="AZ49" t="s">
        <v>270</v>
      </c>
      <c r="BA49">
        <v>0</v>
      </c>
      <c r="BB49">
        <v>55</v>
      </c>
      <c r="BC49" t="s">
        <v>550</v>
      </c>
      <c r="BD49" t="s">
        <v>548</v>
      </c>
      <c r="BE49">
        <v>3</v>
      </c>
      <c r="BF49" t="s">
        <v>584</v>
      </c>
      <c r="BG49">
        <v>23.8</v>
      </c>
      <c r="BH49">
        <v>741</v>
      </c>
      <c r="BI49" t="s">
        <v>264</v>
      </c>
      <c r="BJ49">
        <v>-9999</v>
      </c>
      <c r="BK49">
        <v>131</v>
      </c>
      <c r="BL49">
        <v>164</v>
      </c>
      <c r="BM49">
        <v>131</v>
      </c>
      <c r="BN49" t="s">
        <v>270</v>
      </c>
      <c r="BO49">
        <v>0</v>
      </c>
      <c r="BP49">
        <v>55</v>
      </c>
      <c r="BQ49" t="s">
        <v>504</v>
      </c>
      <c r="BR49" t="s">
        <v>548</v>
      </c>
      <c r="BS49">
        <v>4</v>
      </c>
      <c r="BT49" t="s">
        <v>584</v>
      </c>
      <c r="BU49">
        <v>32.200000000000003</v>
      </c>
      <c r="BV49">
        <v>265</v>
      </c>
      <c r="BW49" t="s">
        <v>264</v>
      </c>
      <c r="BX49">
        <v>-9999</v>
      </c>
      <c r="BY49">
        <v>242</v>
      </c>
      <c r="BZ49">
        <v>281</v>
      </c>
      <c r="CA49">
        <v>241</v>
      </c>
      <c r="CB49" t="s">
        <v>270</v>
      </c>
      <c r="CC49">
        <v>0</v>
      </c>
      <c r="CD49">
        <v>55</v>
      </c>
      <c r="CE49" t="s">
        <v>471</v>
      </c>
      <c r="CF49" t="s">
        <v>548</v>
      </c>
      <c r="CG49">
        <v>5</v>
      </c>
      <c r="CH49" t="s">
        <v>584</v>
      </c>
      <c r="CI49">
        <v>36.4</v>
      </c>
      <c r="CJ49">
        <v>204</v>
      </c>
      <c r="CK49" t="s">
        <v>264</v>
      </c>
      <c r="CL49">
        <v>-9999</v>
      </c>
      <c r="CM49">
        <v>516</v>
      </c>
      <c r="CN49">
        <v>603</v>
      </c>
      <c r="CO49">
        <v>515</v>
      </c>
      <c r="CP49" t="s">
        <v>270</v>
      </c>
      <c r="CQ49">
        <v>0</v>
      </c>
      <c r="CR49">
        <v>55</v>
      </c>
      <c r="CS49" t="s">
        <v>472</v>
      </c>
      <c r="CT49" t="s">
        <v>548</v>
      </c>
      <c r="CU49">
        <v>6</v>
      </c>
      <c r="CV49" t="s">
        <v>584</v>
      </c>
      <c r="CW49">
        <v>35.5</v>
      </c>
      <c r="CX49">
        <v>238</v>
      </c>
      <c r="CY49" t="s">
        <v>264</v>
      </c>
      <c r="CZ49">
        <v>-9999</v>
      </c>
      <c r="DA49">
        <v>713</v>
      </c>
      <c r="DB49">
        <v>811</v>
      </c>
      <c r="DC49">
        <v>702</v>
      </c>
      <c r="DD49" t="s">
        <v>270</v>
      </c>
      <c r="DE49">
        <v>0</v>
      </c>
      <c r="DF49">
        <v>55</v>
      </c>
      <c r="DG49" t="s">
        <v>473</v>
      </c>
      <c r="DH49" t="s">
        <v>548</v>
      </c>
      <c r="DI49">
        <v>7</v>
      </c>
      <c r="DJ49" t="s">
        <v>584</v>
      </c>
      <c r="DK49">
        <v>25.6</v>
      </c>
      <c r="DL49">
        <v>183</v>
      </c>
      <c r="DM49" t="s">
        <v>264</v>
      </c>
      <c r="DN49">
        <v>-9999</v>
      </c>
      <c r="DO49">
        <v>569</v>
      </c>
      <c r="DP49">
        <v>649</v>
      </c>
      <c r="DQ49">
        <v>566</v>
      </c>
      <c r="DR49" t="s">
        <v>270</v>
      </c>
      <c r="DS49">
        <v>0</v>
      </c>
      <c r="DT49">
        <v>55</v>
      </c>
      <c r="DU49" t="s">
        <v>474</v>
      </c>
      <c r="DV49" t="s">
        <v>548</v>
      </c>
      <c r="DW49">
        <v>8</v>
      </c>
      <c r="DX49" t="s">
        <v>584</v>
      </c>
      <c r="DY49">
        <v>22.5</v>
      </c>
      <c r="DZ49">
        <v>465</v>
      </c>
      <c r="EA49" t="s">
        <v>264</v>
      </c>
      <c r="EB49">
        <v>-9999</v>
      </c>
      <c r="EC49">
        <v>111</v>
      </c>
      <c r="ED49">
        <v>136</v>
      </c>
      <c r="EE49">
        <v>109</v>
      </c>
      <c r="EF49" t="s">
        <v>270</v>
      </c>
      <c r="EG49">
        <v>0</v>
      </c>
      <c r="EH49">
        <v>55</v>
      </c>
      <c r="EI49" t="s">
        <v>475</v>
      </c>
      <c r="EJ49" t="s">
        <v>548</v>
      </c>
      <c r="EK49">
        <v>9</v>
      </c>
      <c r="EL49" t="s">
        <v>584</v>
      </c>
      <c r="EM49">
        <v>27.5</v>
      </c>
      <c r="EN49">
        <v>66</v>
      </c>
      <c r="EO49" t="s">
        <v>264</v>
      </c>
      <c r="EP49">
        <v>-9999</v>
      </c>
      <c r="EQ49">
        <v>300</v>
      </c>
      <c r="ER49">
        <v>279</v>
      </c>
      <c r="ES49">
        <v>261</v>
      </c>
      <c r="ET49" t="s">
        <v>270</v>
      </c>
      <c r="EU49">
        <v>0</v>
      </c>
      <c r="EV49">
        <v>55</v>
      </c>
      <c r="EW49" t="s">
        <v>551</v>
      </c>
      <c r="EX49" t="s">
        <v>552</v>
      </c>
      <c r="EY49">
        <v>155</v>
      </c>
      <c r="EZ49">
        <v>155</v>
      </c>
      <c r="FA49">
        <v>156</v>
      </c>
      <c r="FB49" t="s">
        <v>270</v>
      </c>
      <c r="FC49" t="s">
        <v>553</v>
      </c>
      <c r="FD49" t="s">
        <v>552</v>
      </c>
      <c r="FE49">
        <v>260</v>
      </c>
      <c r="FF49">
        <v>259</v>
      </c>
      <c r="FG49">
        <v>259</v>
      </c>
      <c r="FH49" t="s">
        <v>270</v>
      </c>
      <c r="FI49" t="s">
        <v>554</v>
      </c>
      <c r="FJ49" t="s">
        <v>555</v>
      </c>
      <c r="FK49">
        <v>0</v>
      </c>
      <c r="FL49">
        <v>0</v>
      </c>
      <c r="FM49">
        <v>0</v>
      </c>
      <c r="FN49" t="s">
        <v>264</v>
      </c>
      <c r="FO49">
        <v>75.900000000000006</v>
      </c>
      <c r="FP49">
        <v>293</v>
      </c>
      <c r="FQ49" t="s">
        <v>556</v>
      </c>
      <c r="FR49" t="s">
        <v>555</v>
      </c>
      <c r="FS49">
        <v>0</v>
      </c>
      <c r="FT49">
        <v>0</v>
      </c>
      <c r="FU49">
        <v>0</v>
      </c>
      <c r="FV49" t="s">
        <v>264</v>
      </c>
      <c r="FW49">
        <v>73.400000000000006</v>
      </c>
      <c r="FX49">
        <v>114.2</v>
      </c>
      <c r="FY49" t="s">
        <v>557</v>
      </c>
      <c r="FZ49" t="s">
        <v>555</v>
      </c>
      <c r="GA49">
        <v>0</v>
      </c>
      <c r="GB49">
        <v>0</v>
      </c>
      <c r="GC49">
        <v>0</v>
      </c>
      <c r="GD49" t="s">
        <v>264</v>
      </c>
      <c r="GE49">
        <v>71.2</v>
      </c>
      <c r="GF49">
        <v>250.4</v>
      </c>
      <c r="GG49" t="s">
        <v>558</v>
      </c>
      <c r="GH49" t="s">
        <v>555</v>
      </c>
      <c r="GI49">
        <v>0</v>
      </c>
      <c r="GJ49">
        <v>0</v>
      </c>
      <c r="GK49">
        <v>0</v>
      </c>
      <c r="GL49" t="s">
        <v>264</v>
      </c>
      <c r="GM49">
        <v>68.3</v>
      </c>
      <c r="GN49">
        <v>62.2</v>
      </c>
      <c r="GO49" t="s">
        <v>559</v>
      </c>
      <c r="GP49" t="s">
        <v>555</v>
      </c>
      <c r="GQ49">
        <v>0</v>
      </c>
      <c r="GR49">
        <v>0</v>
      </c>
      <c r="GS49">
        <v>0</v>
      </c>
      <c r="GT49" t="s">
        <v>264</v>
      </c>
      <c r="GU49">
        <v>75.900000000000006</v>
      </c>
      <c r="GV49">
        <v>62</v>
      </c>
      <c r="GW49" t="s">
        <v>560</v>
      </c>
      <c r="GX49" t="s">
        <v>555</v>
      </c>
      <c r="GY49">
        <v>0</v>
      </c>
      <c r="GZ49">
        <v>0</v>
      </c>
      <c r="HA49">
        <v>0</v>
      </c>
      <c r="HB49" t="s">
        <v>264</v>
      </c>
      <c r="HC49">
        <v>70.2</v>
      </c>
      <c r="HD49">
        <v>78.599999999999994</v>
      </c>
      <c r="HE49" t="s">
        <v>561</v>
      </c>
      <c r="HF49" t="s">
        <v>555</v>
      </c>
      <c r="HG49">
        <v>0</v>
      </c>
      <c r="HH49">
        <v>0</v>
      </c>
      <c r="HI49">
        <v>0</v>
      </c>
      <c r="HJ49" t="s">
        <v>264</v>
      </c>
      <c r="HK49">
        <v>70.8</v>
      </c>
      <c r="HL49">
        <v>135.6</v>
      </c>
      <c r="HM49" t="s">
        <v>562</v>
      </c>
      <c r="HN49" t="s">
        <v>555</v>
      </c>
      <c r="HO49">
        <v>0</v>
      </c>
      <c r="HP49">
        <v>0</v>
      </c>
      <c r="HQ49">
        <v>0</v>
      </c>
      <c r="HR49" t="s">
        <v>264</v>
      </c>
      <c r="HS49">
        <v>69.099999999999994</v>
      </c>
      <c r="HT49">
        <v>94.6</v>
      </c>
      <c r="HU49" t="s">
        <v>563</v>
      </c>
      <c r="HV49" t="s">
        <v>555</v>
      </c>
      <c r="HW49">
        <v>0</v>
      </c>
      <c r="HX49">
        <v>0</v>
      </c>
      <c r="HY49">
        <v>0</v>
      </c>
      <c r="HZ49" t="s">
        <v>264</v>
      </c>
      <c r="IA49">
        <v>74.599999999999994</v>
      </c>
      <c r="IB49">
        <v>200.1</v>
      </c>
      <c r="IC49" t="s">
        <v>564</v>
      </c>
      <c r="ID49" t="s">
        <v>555</v>
      </c>
      <c r="IE49">
        <v>0</v>
      </c>
      <c r="IF49">
        <v>0</v>
      </c>
      <c r="IG49">
        <v>0</v>
      </c>
      <c r="IH49" t="s">
        <v>264</v>
      </c>
      <c r="II49">
        <v>68.2</v>
      </c>
      <c r="IJ49">
        <v>114.6</v>
      </c>
      <c r="IK49" t="s">
        <v>565</v>
      </c>
      <c r="IL49" t="s">
        <v>555</v>
      </c>
      <c r="IM49">
        <v>0</v>
      </c>
      <c r="IN49">
        <v>0</v>
      </c>
      <c r="IO49">
        <v>0</v>
      </c>
      <c r="IP49" t="s">
        <v>264</v>
      </c>
      <c r="IS49" t="s">
        <v>566</v>
      </c>
      <c r="IT49" t="s">
        <v>555</v>
      </c>
      <c r="IU49">
        <v>0</v>
      </c>
      <c r="IV49">
        <v>0</v>
      </c>
      <c r="IW49">
        <v>0</v>
      </c>
      <c r="IX49" t="s">
        <v>264</v>
      </c>
      <c r="JA49" t="s">
        <v>567</v>
      </c>
      <c r="JB49" t="s">
        <v>555</v>
      </c>
      <c r="JC49">
        <v>0</v>
      </c>
      <c r="JD49">
        <v>0</v>
      </c>
      <c r="JE49">
        <v>0</v>
      </c>
      <c r="JF49" t="s">
        <v>264</v>
      </c>
      <c r="JI49" t="s">
        <v>568</v>
      </c>
      <c r="JJ49" t="s">
        <v>555</v>
      </c>
      <c r="JK49">
        <v>0</v>
      </c>
      <c r="JL49">
        <v>0</v>
      </c>
      <c r="JM49">
        <v>0</v>
      </c>
      <c r="JN49" t="s">
        <v>264</v>
      </c>
      <c r="JQ49" t="s">
        <v>569</v>
      </c>
      <c r="JR49" t="s">
        <v>555</v>
      </c>
      <c r="JS49">
        <v>0</v>
      </c>
      <c r="JT49">
        <v>0</v>
      </c>
      <c r="JU49">
        <v>0</v>
      </c>
      <c r="JV49" t="s">
        <v>264</v>
      </c>
      <c r="JY49" t="s">
        <v>570</v>
      </c>
      <c r="JZ49" t="s">
        <v>555</v>
      </c>
      <c r="KA49">
        <v>0</v>
      </c>
      <c r="KB49">
        <v>0</v>
      </c>
      <c r="KC49">
        <v>0</v>
      </c>
      <c r="KD49" t="s">
        <v>264</v>
      </c>
      <c r="KG49" t="s">
        <v>571</v>
      </c>
      <c r="KH49" t="s">
        <v>555</v>
      </c>
      <c r="KI49">
        <v>0</v>
      </c>
      <c r="KJ49">
        <v>0</v>
      </c>
      <c r="KK49">
        <v>0</v>
      </c>
      <c r="KL49" t="s">
        <v>264</v>
      </c>
      <c r="KO49" t="s">
        <v>572</v>
      </c>
      <c r="KP49" t="s">
        <v>555</v>
      </c>
      <c r="KQ49">
        <v>0</v>
      </c>
      <c r="KR49">
        <v>0</v>
      </c>
      <c r="KS49">
        <v>0</v>
      </c>
      <c r="KT49" t="s">
        <v>264</v>
      </c>
      <c r="KW49" t="s">
        <v>573</v>
      </c>
      <c r="KX49" t="s">
        <v>555</v>
      </c>
      <c r="KY49">
        <v>0</v>
      </c>
      <c r="KZ49">
        <v>0</v>
      </c>
      <c r="LA49">
        <v>0</v>
      </c>
      <c r="LB49" t="s">
        <v>264</v>
      </c>
      <c r="LE49" t="s">
        <v>574</v>
      </c>
      <c r="LF49" t="s">
        <v>555</v>
      </c>
      <c r="LG49">
        <v>0</v>
      </c>
      <c r="LH49">
        <v>0</v>
      </c>
      <c r="LI49">
        <v>0</v>
      </c>
      <c r="LJ49" t="s">
        <v>264</v>
      </c>
      <c r="LM49" t="s">
        <v>575</v>
      </c>
      <c r="LN49" t="s">
        <v>555</v>
      </c>
      <c r="LO49">
        <v>0</v>
      </c>
      <c r="LP49">
        <v>0</v>
      </c>
      <c r="LQ49">
        <v>0</v>
      </c>
      <c r="LR49" t="s">
        <v>264</v>
      </c>
      <c r="LU49" t="s">
        <v>576</v>
      </c>
      <c r="LV49" t="s">
        <v>555</v>
      </c>
      <c r="LW49">
        <v>0</v>
      </c>
      <c r="LX49">
        <v>0</v>
      </c>
      <c r="LY49">
        <v>0</v>
      </c>
      <c r="LZ49" t="s">
        <v>264</v>
      </c>
      <c r="MC49" t="s">
        <v>577</v>
      </c>
      <c r="MD49" t="s">
        <v>555</v>
      </c>
      <c r="ME49">
        <v>0</v>
      </c>
      <c r="MF49">
        <v>0</v>
      </c>
      <c r="MG49">
        <v>0</v>
      </c>
      <c r="MH49" t="s">
        <v>264</v>
      </c>
      <c r="MK49" t="s">
        <v>578</v>
      </c>
      <c r="ML49" t="s">
        <v>555</v>
      </c>
      <c r="MM49">
        <v>0</v>
      </c>
      <c r="MN49">
        <v>0</v>
      </c>
      <c r="MO49">
        <v>0</v>
      </c>
      <c r="MP49" t="s">
        <v>264</v>
      </c>
      <c r="MS49" t="s">
        <v>579</v>
      </c>
      <c r="MT49" t="s">
        <v>555</v>
      </c>
      <c r="MU49">
        <v>0</v>
      </c>
      <c r="MV49">
        <v>0</v>
      </c>
      <c r="MW49">
        <v>0</v>
      </c>
      <c r="MX49" t="s">
        <v>264</v>
      </c>
      <c r="NA49" t="s">
        <v>580</v>
      </c>
      <c r="NB49" t="s">
        <v>555</v>
      </c>
      <c r="NC49">
        <v>0</v>
      </c>
      <c r="ND49">
        <v>0</v>
      </c>
      <c r="NE49">
        <v>0</v>
      </c>
      <c r="NF49" t="s">
        <v>264</v>
      </c>
      <c r="NI49">
        <v>40.1</v>
      </c>
      <c r="NJ49">
        <v>-9.3000000000000007</v>
      </c>
      <c r="NP49" t="s">
        <v>624</v>
      </c>
    </row>
    <row r="50" spans="1:380" customFormat="1" x14ac:dyDescent="0.2">
      <c r="A50" t="s">
        <v>517</v>
      </c>
      <c r="B50">
        <v>1</v>
      </c>
      <c r="C50" t="s">
        <v>901</v>
      </c>
      <c r="D50">
        <v>646964546</v>
      </c>
      <c r="E50">
        <v>12602</v>
      </c>
      <c r="F50" t="s">
        <v>805</v>
      </c>
      <c r="G50">
        <v>802069</v>
      </c>
      <c r="H50">
        <v>210077169</v>
      </c>
      <c r="I50" t="s">
        <v>622</v>
      </c>
      <c r="J50" t="s">
        <v>902</v>
      </c>
      <c r="K50" t="s">
        <v>545</v>
      </c>
      <c r="L50" t="s">
        <v>442</v>
      </c>
      <c r="M50" t="s">
        <v>546</v>
      </c>
      <c r="N50" t="s">
        <v>468</v>
      </c>
      <c r="O50" t="s">
        <v>547</v>
      </c>
      <c r="P50" t="s">
        <v>264</v>
      </c>
      <c r="Q50">
        <v>26</v>
      </c>
      <c r="R50">
        <v>229</v>
      </c>
      <c r="S50" t="s">
        <v>264</v>
      </c>
      <c r="T50">
        <v>-9999</v>
      </c>
      <c r="U50">
        <v>720</v>
      </c>
      <c r="V50">
        <v>741</v>
      </c>
      <c r="W50">
        <v>707</v>
      </c>
      <c r="X50" t="s">
        <v>270</v>
      </c>
      <c r="Y50">
        <v>0</v>
      </c>
      <c r="Z50">
        <v>55</v>
      </c>
      <c r="AA50" t="s">
        <v>469</v>
      </c>
      <c r="AB50" t="s">
        <v>548</v>
      </c>
      <c r="AC50">
        <v>1</v>
      </c>
      <c r="AD50" t="s">
        <v>584</v>
      </c>
      <c r="AE50">
        <v>24.2</v>
      </c>
      <c r="AF50">
        <v>1381</v>
      </c>
      <c r="AG50" t="s">
        <v>264</v>
      </c>
      <c r="AH50">
        <v>-9999</v>
      </c>
      <c r="AI50">
        <v>523</v>
      </c>
      <c r="AJ50">
        <v>651</v>
      </c>
      <c r="AK50">
        <v>522</v>
      </c>
      <c r="AL50" t="s">
        <v>270</v>
      </c>
      <c r="AM50">
        <v>0</v>
      </c>
      <c r="AN50">
        <v>55</v>
      </c>
      <c r="AO50" t="s">
        <v>470</v>
      </c>
      <c r="AP50" t="s">
        <v>548</v>
      </c>
      <c r="AQ50">
        <v>2</v>
      </c>
      <c r="AR50" t="s">
        <v>584</v>
      </c>
      <c r="AS50">
        <v>35.799999999999997</v>
      </c>
      <c r="AT50">
        <v>308</v>
      </c>
      <c r="AU50" t="s">
        <v>264</v>
      </c>
      <c r="AV50">
        <v>-9999</v>
      </c>
      <c r="AW50">
        <v>424</v>
      </c>
      <c r="AX50">
        <v>445</v>
      </c>
      <c r="AY50">
        <v>420</v>
      </c>
      <c r="AZ50" t="s">
        <v>270</v>
      </c>
      <c r="BA50">
        <v>0</v>
      </c>
      <c r="BB50">
        <v>55</v>
      </c>
      <c r="BC50" t="s">
        <v>550</v>
      </c>
      <c r="BD50" t="s">
        <v>548</v>
      </c>
      <c r="BE50">
        <v>3</v>
      </c>
      <c r="BF50" t="s">
        <v>584</v>
      </c>
      <c r="BG50">
        <v>22.2</v>
      </c>
      <c r="BH50">
        <v>652</v>
      </c>
      <c r="BI50" t="s">
        <v>264</v>
      </c>
      <c r="BJ50">
        <v>-9999</v>
      </c>
      <c r="BK50">
        <v>144</v>
      </c>
      <c r="BL50">
        <v>181</v>
      </c>
      <c r="BM50">
        <v>144</v>
      </c>
      <c r="BN50" t="s">
        <v>270</v>
      </c>
      <c r="BO50">
        <v>0</v>
      </c>
      <c r="BP50">
        <v>55</v>
      </c>
      <c r="BQ50" t="s">
        <v>504</v>
      </c>
      <c r="BR50" t="s">
        <v>548</v>
      </c>
      <c r="BS50">
        <v>4</v>
      </c>
      <c r="BT50" t="s">
        <v>584</v>
      </c>
      <c r="BU50">
        <v>28.6</v>
      </c>
      <c r="BV50">
        <v>277</v>
      </c>
      <c r="BW50" t="s">
        <v>264</v>
      </c>
      <c r="BX50">
        <v>-9999</v>
      </c>
      <c r="BY50">
        <v>233</v>
      </c>
      <c r="BZ50">
        <v>268</v>
      </c>
      <c r="CA50">
        <v>231</v>
      </c>
      <c r="CB50" t="s">
        <v>270</v>
      </c>
      <c r="CC50">
        <v>0</v>
      </c>
      <c r="CD50">
        <v>55</v>
      </c>
      <c r="CE50" t="s">
        <v>471</v>
      </c>
      <c r="CF50" t="s">
        <v>548</v>
      </c>
      <c r="CG50">
        <v>5</v>
      </c>
      <c r="CH50" t="s">
        <v>584</v>
      </c>
      <c r="CI50">
        <v>34</v>
      </c>
      <c r="CJ50">
        <v>195</v>
      </c>
      <c r="CK50" t="s">
        <v>264</v>
      </c>
      <c r="CL50">
        <v>-9999</v>
      </c>
      <c r="CM50">
        <v>499</v>
      </c>
      <c r="CN50">
        <v>584</v>
      </c>
      <c r="CO50">
        <v>498</v>
      </c>
      <c r="CP50" t="s">
        <v>270</v>
      </c>
      <c r="CQ50">
        <v>0</v>
      </c>
      <c r="CR50">
        <v>55</v>
      </c>
      <c r="CS50" t="s">
        <v>472</v>
      </c>
      <c r="CT50" t="s">
        <v>548</v>
      </c>
      <c r="CU50">
        <v>6</v>
      </c>
      <c r="CV50" t="s">
        <v>584</v>
      </c>
      <c r="CW50">
        <v>32.299999999999997</v>
      </c>
      <c r="CX50">
        <v>256</v>
      </c>
      <c r="CY50" t="s">
        <v>264</v>
      </c>
      <c r="CZ50">
        <v>-9999</v>
      </c>
      <c r="DA50">
        <v>597</v>
      </c>
      <c r="DB50">
        <v>676</v>
      </c>
      <c r="DC50">
        <v>588</v>
      </c>
      <c r="DD50" t="s">
        <v>270</v>
      </c>
      <c r="DE50">
        <v>0</v>
      </c>
      <c r="DF50">
        <v>55</v>
      </c>
      <c r="DG50" t="s">
        <v>473</v>
      </c>
      <c r="DH50" t="s">
        <v>548</v>
      </c>
      <c r="DI50">
        <v>7</v>
      </c>
      <c r="DJ50" t="s">
        <v>584</v>
      </c>
      <c r="DK50">
        <v>24.3</v>
      </c>
      <c r="DL50">
        <v>210</v>
      </c>
      <c r="DM50" t="s">
        <v>264</v>
      </c>
      <c r="DN50">
        <v>-9999</v>
      </c>
      <c r="DO50">
        <v>526</v>
      </c>
      <c r="DP50">
        <v>597</v>
      </c>
      <c r="DQ50">
        <v>524</v>
      </c>
      <c r="DR50" t="s">
        <v>270</v>
      </c>
      <c r="DS50">
        <v>0</v>
      </c>
      <c r="DT50">
        <v>55</v>
      </c>
      <c r="DU50" t="s">
        <v>474</v>
      </c>
      <c r="DV50" t="s">
        <v>548</v>
      </c>
      <c r="DW50">
        <v>8</v>
      </c>
      <c r="DX50" t="s">
        <v>584</v>
      </c>
      <c r="DY50">
        <v>21.1</v>
      </c>
      <c r="DZ50">
        <v>470</v>
      </c>
      <c r="EA50" t="s">
        <v>264</v>
      </c>
      <c r="EB50">
        <v>-9999</v>
      </c>
      <c r="EC50">
        <v>100</v>
      </c>
      <c r="ED50">
        <v>121</v>
      </c>
      <c r="EE50">
        <v>98</v>
      </c>
      <c r="EF50" t="s">
        <v>270</v>
      </c>
      <c r="EG50">
        <v>0</v>
      </c>
      <c r="EH50">
        <v>55</v>
      </c>
      <c r="EI50" t="s">
        <v>475</v>
      </c>
      <c r="EJ50" t="s">
        <v>548</v>
      </c>
      <c r="EK50">
        <v>9</v>
      </c>
      <c r="EL50" t="s">
        <v>584</v>
      </c>
      <c r="EM50">
        <v>24.5</v>
      </c>
      <c r="EN50">
        <v>90</v>
      </c>
      <c r="EO50" t="s">
        <v>264</v>
      </c>
      <c r="EP50">
        <v>-9999</v>
      </c>
      <c r="EQ50">
        <v>277</v>
      </c>
      <c r="ER50">
        <v>256</v>
      </c>
      <c r="ES50">
        <v>239</v>
      </c>
      <c r="ET50" t="s">
        <v>270</v>
      </c>
      <c r="EU50">
        <v>0</v>
      </c>
      <c r="EV50">
        <v>55</v>
      </c>
      <c r="EW50" t="s">
        <v>551</v>
      </c>
      <c r="EX50" t="s">
        <v>552</v>
      </c>
      <c r="EY50">
        <v>148</v>
      </c>
      <c r="EZ50">
        <v>148</v>
      </c>
      <c r="FA50">
        <v>148</v>
      </c>
      <c r="FB50" t="s">
        <v>270</v>
      </c>
      <c r="FC50" t="s">
        <v>553</v>
      </c>
      <c r="FD50" t="s">
        <v>552</v>
      </c>
      <c r="FE50">
        <v>338</v>
      </c>
      <c r="FF50">
        <v>335</v>
      </c>
      <c r="FG50">
        <v>335</v>
      </c>
      <c r="FH50" t="s">
        <v>270</v>
      </c>
      <c r="FI50" t="s">
        <v>554</v>
      </c>
      <c r="FJ50" t="s">
        <v>555</v>
      </c>
      <c r="FK50">
        <v>0</v>
      </c>
      <c r="FL50">
        <v>0</v>
      </c>
      <c r="FM50">
        <v>0</v>
      </c>
      <c r="FN50" t="s">
        <v>264</v>
      </c>
      <c r="FO50">
        <v>75.8</v>
      </c>
      <c r="FP50">
        <v>281</v>
      </c>
      <c r="FQ50" t="s">
        <v>556</v>
      </c>
      <c r="FR50" t="s">
        <v>555</v>
      </c>
      <c r="FS50">
        <v>0</v>
      </c>
      <c r="FT50">
        <v>0</v>
      </c>
      <c r="FU50">
        <v>0</v>
      </c>
      <c r="FV50" t="s">
        <v>264</v>
      </c>
      <c r="FW50">
        <v>73.3</v>
      </c>
      <c r="FX50">
        <v>89.2</v>
      </c>
      <c r="FY50" t="s">
        <v>557</v>
      </c>
      <c r="FZ50" t="s">
        <v>555</v>
      </c>
      <c r="GA50">
        <v>0</v>
      </c>
      <c r="GB50">
        <v>0</v>
      </c>
      <c r="GC50">
        <v>0</v>
      </c>
      <c r="GD50" t="s">
        <v>264</v>
      </c>
      <c r="GE50">
        <v>71.099999999999994</v>
      </c>
      <c r="GF50">
        <v>227</v>
      </c>
      <c r="GG50" t="s">
        <v>558</v>
      </c>
      <c r="GH50" t="s">
        <v>555</v>
      </c>
      <c r="GI50">
        <v>0</v>
      </c>
      <c r="GJ50">
        <v>0</v>
      </c>
      <c r="GK50">
        <v>0</v>
      </c>
      <c r="GL50" t="s">
        <v>264</v>
      </c>
      <c r="GM50">
        <v>68.2</v>
      </c>
      <c r="GN50">
        <v>65.2</v>
      </c>
      <c r="GO50" t="s">
        <v>559</v>
      </c>
      <c r="GP50" t="s">
        <v>555</v>
      </c>
      <c r="GQ50">
        <v>0</v>
      </c>
      <c r="GR50">
        <v>0</v>
      </c>
      <c r="GS50">
        <v>0</v>
      </c>
      <c r="GT50" t="s">
        <v>264</v>
      </c>
      <c r="GU50">
        <v>75.8</v>
      </c>
      <c r="GV50">
        <v>53.3</v>
      </c>
      <c r="GW50" t="s">
        <v>560</v>
      </c>
      <c r="GX50" t="s">
        <v>555</v>
      </c>
      <c r="GY50">
        <v>0</v>
      </c>
      <c r="GZ50">
        <v>0</v>
      </c>
      <c r="HA50">
        <v>0</v>
      </c>
      <c r="HB50" t="s">
        <v>264</v>
      </c>
      <c r="HC50">
        <v>70.2</v>
      </c>
      <c r="HD50">
        <v>78.2</v>
      </c>
      <c r="HE50" t="s">
        <v>561</v>
      </c>
      <c r="HF50" t="s">
        <v>555</v>
      </c>
      <c r="HG50">
        <v>0</v>
      </c>
      <c r="HH50">
        <v>0</v>
      </c>
      <c r="HI50">
        <v>0</v>
      </c>
      <c r="HJ50" t="s">
        <v>264</v>
      </c>
      <c r="HK50">
        <v>70.8</v>
      </c>
      <c r="HL50">
        <v>120.4</v>
      </c>
      <c r="HM50" t="s">
        <v>562</v>
      </c>
      <c r="HN50" t="s">
        <v>555</v>
      </c>
      <c r="HO50">
        <v>0</v>
      </c>
      <c r="HP50">
        <v>0</v>
      </c>
      <c r="HQ50">
        <v>0</v>
      </c>
      <c r="HR50" t="s">
        <v>264</v>
      </c>
      <c r="HS50">
        <v>69</v>
      </c>
      <c r="HT50">
        <v>86.9</v>
      </c>
      <c r="HU50" t="s">
        <v>563</v>
      </c>
      <c r="HV50" t="s">
        <v>555</v>
      </c>
      <c r="HW50">
        <v>0</v>
      </c>
      <c r="HX50">
        <v>0</v>
      </c>
      <c r="HY50">
        <v>0</v>
      </c>
      <c r="HZ50" t="s">
        <v>264</v>
      </c>
      <c r="IA50">
        <v>74.599999999999994</v>
      </c>
      <c r="IB50">
        <v>182.4</v>
      </c>
      <c r="IC50" t="s">
        <v>564</v>
      </c>
      <c r="ID50" t="s">
        <v>555</v>
      </c>
      <c r="IE50">
        <v>0</v>
      </c>
      <c r="IF50">
        <v>0</v>
      </c>
      <c r="IG50">
        <v>0</v>
      </c>
      <c r="IH50" t="s">
        <v>264</v>
      </c>
      <c r="II50">
        <v>68.2</v>
      </c>
      <c r="IJ50">
        <v>108.4</v>
      </c>
      <c r="IK50" t="s">
        <v>565</v>
      </c>
      <c r="IL50" t="s">
        <v>555</v>
      </c>
      <c r="IM50">
        <v>0</v>
      </c>
      <c r="IN50">
        <v>0</v>
      </c>
      <c r="IO50">
        <v>0</v>
      </c>
      <c r="IP50" t="s">
        <v>264</v>
      </c>
      <c r="IS50" t="s">
        <v>566</v>
      </c>
      <c r="IT50" t="s">
        <v>555</v>
      </c>
      <c r="IU50">
        <v>0</v>
      </c>
      <c r="IV50">
        <v>0</v>
      </c>
      <c r="IW50">
        <v>0</v>
      </c>
      <c r="IX50" t="s">
        <v>264</v>
      </c>
      <c r="JA50" t="s">
        <v>567</v>
      </c>
      <c r="JB50" t="s">
        <v>555</v>
      </c>
      <c r="JC50">
        <v>0</v>
      </c>
      <c r="JD50">
        <v>0</v>
      </c>
      <c r="JE50">
        <v>0</v>
      </c>
      <c r="JF50" t="s">
        <v>264</v>
      </c>
      <c r="JI50" t="s">
        <v>568</v>
      </c>
      <c r="JJ50" t="s">
        <v>555</v>
      </c>
      <c r="JK50">
        <v>0</v>
      </c>
      <c r="JL50">
        <v>0</v>
      </c>
      <c r="JM50">
        <v>0</v>
      </c>
      <c r="JN50" t="s">
        <v>264</v>
      </c>
      <c r="JQ50" t="s">
        <v>569</v>
      </c>
      <c r="JR50" t="s">
        <v>555</v>
      </c>
      <c r="JS50">
        <v>0</v>
      </c>
      <c r="JT50">
        <v>0</v>
      </c>
      <c r="JU50">
        <v>0</v>
      </c>
      <c r="JV50" t="s">
        <v>264</v>
      </c>
      <c r="JY50" t="s">
        <v>570</v>
      </c>
      <c r="JZ50" t="s">
        <v>555</v>
      </c>
      <c r="KA50">
        <v>0</v>
      </c>
      <c r="KB50">
        <v>0</v>
      </c>
      <c r="KC50">
        <v>0</v>
      </c>
      <c r="KD50" t="s">
        <v>264</v>
      </c>
      <c r="KG50" t="s">
        <v>571</v>
      </c>
      <c r="KH50" t="s">
        <v>555</v>
      </c>
      <c r="KI50">
        <v>0</v>
      </c>
      <c r="KJ50">
        <v>0</v>
      </c>
      <c r="KK50">
        <v>0</v>
      </c>
      <c r="KL50" t="s">
        <v>264</v>
      </c>
      <c r="KO50" t="s">
        <v>572</v>
      </c>
      <c r="KP50" t="s">
        <v>555</v>
      </c>
      <c r="KQ50">
        <v>0</v>
      </c>
      <c r="KR50">
        <v>0</v>
      </c>
      <c r="KS50">
        <v>0</v>
      </c>
      <c r="KT50" t="s">
        <v>264</v>
      </c>
      <c r="KW50" t="s">
        <v>573</v>
      </c>
      <c r="KX50" t="s">
        <v>555</v>
      </c>
      <c r="KY50">
        <v>0</v>
      </c>
      <c r="KZ50">
        <v>0</v>
      </c>
      <c r="LA50">
        <v>0</v>
      </c>
      <c r="LB50" t="s">
        <v>264</v>
      </c>
      <c r="LE50" t="s">
        <v>574</v>
      </c>
      <c r="LF50" t="s">
        <v>555</v>
      </c>
      <c r="LG50">
        <v>0</v>
      </c>
      <c r="LH50">
        <v>0</v>
      </c>
      <c r="LI50">
        <v>0</v>
      </c>
      <c r="LJ50" t="s">
        <v>264</v>
      </c>
      <c r="LM50" t="s">
        <v>575</v>
      </c>
      <c r="LN50" t="s">
        <v>555</v>
      </c>
      <c r="LO50">
        <v>0</v>
      </c>
      <c r="LP50">
        <v>0</v>
      </c>
      <c r="LQ50">
        <v>0</v>
      </c>
      <c r="LR50" t="s">
        <v>264</v>
      </c>
      <c r="LU50" t="s">
        <v>576</v>
      </c>
      <c r="LV50" t="s">
        <v>555</v>
      </c>
      <c r="LW50">
        <v>0</v>
      </c>
      <c r="LX50">
        <v>0</v>
      </c>
      <c r="LY50">
        <v>0</v>
      </c>
      <c r="LZ50" t="s">
        <v>264</v>
      </c>
      <c r="MC50" t="s">
        <v>577</v>
      </c>
      <c r="MD50" t="s">
        <v>555</v>
      </c>
      <c r="ME50">
        <v>0</v>
      </c>
      <c r="MF50">
        <v>0</v>
      </c>
      <c r="MG50">
        <v>0</v>
      </c>
      <c r="MH50" t="s">
        <v>264</v>
      </c>
      <c r="MK50" t="s">
        <v>578</v>
      </c>
      <c r="ML50" t="s">
        <v>555</v>
      </c>
      <c r="MM50">
        <v>0</v>
      </c>
      <c r="MN50">
        <v>0</v>
      </c>
      <c r="MO50">
        <v>0</v>
      </c>
      <c r="MP50" t="s">
        <v>264</v>
      </c>
      <c r="MS50" t="s">
        <v>579</v>
      </c>
      <c r="MT50" t="s">
        <v>555</v>
      </c>
      <c r="MU50">
        <v>0</v>
      </c>
      <c r="MV50">
        <v>0</v>
      </c>
      <c r="MW50">
        <v>0</v>
      </c>
      <c r="MX50" t="s">
        <v>264</v>
      </c>
      <c r="NA50" t="s">
        <v>580</v>
      </c>
      <c r="NB50" t="s">
        <v>555</v>
      </c>
      <c r="NC50">
        <v>0</v>
      </c>
      <c r="ND50">
        <v>0</v>
      </c>
      <c r="NE50">
        <v>0</v>
      </c>
      <c r="NF50" t="s">
        <v>264</v>
      </c>
      <c r="NI50">
        <v>40.1</v>
      </c>
      <c r="NJ50">
        <v>-8.4</v>
      </c>
      <c r="NP50" t="s">
        <v>624</v>
      </c>
    </row>
    <row r="51" spans="1:380" customFormat="1" x14ac:dyDescent="0.2">
      <c r="A51" t="s">
        <v>517</v>
      </c>
      <c r="B51">
        <v>1</v>
      </c>
      <c r="C51" t="s">
        <v>903</v>
      </c>
      <c r="D51">
        <v>646964002</v>
      </c>
      <c r="E51">
        <v>12602</v>
      </c>
      <c r="F51" t="s">
        <v>805</v>
      </c>
      <c r="G51">
        <v>802069</v>
      </c>
      <c r="H51">
        <v>210019068</v>
      </c>
      <c r="I51" t="s">
        <v>622</v>
      </c>
      <c r="J51" t="s">
        <v>904</v>
      </c>
      <c r="K51" t="s">
        <v>545</v>
      </c>
      <c r="L51" t="s">
        <v>442</v>
      </c>
      <c r="M51" t="s">
        <v>546</v>
      </c>
      <c r="N51" t="s">
        <v>468</v>
      </c>
      <c r="O51" t="s">
        <v>547</v>
      </c>
      <c r="P51" t="s">
        <v>264</v>
      </c>
      <c r="Q51">
        <v>26.7</v>
      </c>
      <c r="R51">
        <v>249</v>
      </c>
      <c r="S51" t="s">
        <v>264</v>
      </c>
      <c r="T51">
        <v>-9999</v>
      </c>
      <c r="U51">
        <v>578</v>
      </c>
      <c r="V51">
        <v>596</v>
      </c>
      <c r="W51">
        <v>570</v>
      </c>
      <c r="X51" t="s">
        <v>270</v>
      </c>
      <c r="Y51">
        <v>0</v>
      </c>
      <c r="Z51">
        <v>55</v>
      </c>
      <c r="AA51" t="s">
        <v>469</v>
      </c>
      <c r="AB51" t="s">
        <v>548</v>
      </c>
      <c r="AC51">
        <v>1</v>
      </c>
      <c r="AD51" t="s">
        <v>584</v>
      </c>
      <c r="AE51">
        <v>26</v>
      </c>
      <c r="AF51">
        <v>1369</v>
      </c>
      <c r="AG51" t="s">
        <v>264</v>
      </c>
      <c r="AH51">
        <v>-9999</v>
      </c>
      <c r="AI51">
        <v>490</v>
      </c>
      <c r="AJ51">
        <v>614</v>
      </c>
      <c r="AK51">
        <v>488</v>
      </c>
      <c r="AL51" t="s">
        <v>270</v>
      </c>
      <c r="AM51">
        <v>0</v>
      </c>
      <c r="AN51">
        <v>55</v>
      </c>
      <c r="AO51" t="s">
        <v>470</v>
      </c>
      <c r="AP51" t="s">
        <v>548</v>
      </c>
      <c r="AQ51">
        <v>2</v>
      </c>
      <c r="AR51" t="s">
        <v>584</v>
      </c>
      <c r="AS51">
        <v>36.6</v>
      </c>
      <c r="AT51">
        <v>343</v>
      </c>
      <c r="AU51" t="s">
        <v>264</v>
      </c>
      <c r="AV51">
        <v>-9999</v>
      </c>
      <c r="AW51">
        <v>414</v>
      </c>
      <c r="AX51">
        <v>435</v>
      </c>
      <c r="AY51">
        <v>411</v>
      </c>
      <c r="AZ51" t="s">
        <v>270</v>
      </c>
      <c r="BA51">
        <v>0</v>
      </c>
      <c r="BB51">
        <v>55</v>
      </c>
      <c r="BC51" t="s">
        <v>550</v>
      </c>
      <c r="BD51" t="s">
        <v>548</v>
      </c>
      <c r="BE51">
        <v>3</v>
      </c>
      <c r="BF51" t="s">
        <v>584</v>
      </c>
      <c r="BG51">
        <v>22.6</v>
      </c>
      <c r="BH51">
        <v>697</v>
      </c>
      <c r="BI51" t="s">
        <v>264</v>
      </c>
      <c r="BJ51">
        <v>-9999</v>
      </c>
      <c r="BK51">
        <v>174</v>
      </c>
      <c r="BL51">
        <v>218</v>
      </c>
      <c r="BM51">
        <v>174</v>
      </c>
      <c r="BN51" t="s">
        <v>270</v>
      </c>
      <c r="BO51">
        <v>0</v>
      </c>
      <c r="BP51">
        <v>55</v>
      </c>
      <c r="BQ51" t="s">
        <v>504</v>
      </c>
      <c r="BR51" t="s">
        <v>548</v>
      </c>
      <c r="BS51">
        <v>4</v>
      </c>
      <c r="BT51" t="s">
        <v>584</v>
      </c>
      <c r="BU51">
        <v>30.1</v>
      </c>
      <c r="BV51">
        <v>279</v>
      </c>
      <c r="BW51" t="s">
        <v>264</v>
      </c>
      <c r="BX51">
        <v>-9999</v>
      </c>
      <c r="BY51">
        <v>241</v>
      </c>
      <c r="BZ51">
        <v>277</v>
      </c>
      <c r="CA51">
        <v>238</v>
      </c>
      <c r="CB51" t="s">
        <v>270</v>
      </c>
      <c r="CC51">
        <v>0</v>
      </c>
      <c r="CD51">
        <v>55</v>
      </c>
      <c r="CE51" t="s">
        <v>471</v>
      </c>
      <c r="CF51" t="s">
        <v>548</v>
      </c>
      <c r="CG51">
        <v>5</v>
      </c>
      <c r="CH51" t="s">
        <v>549</v>
      </c>
      <c r="CI51">
        <v>40.4</v>
      </c>
      <c r="CJ51">
        <v>125</v>
      </c>
      <c r="CK51" t="s">
        <v>264</v>
      </c>
      <c r="CL51">
        <v>-9999</v>
      </c>
      <c r="CM51">
        <v>462</v>
      </c>
      <c r="CN51">
        <v>540</v>
      </c>
      <c r="CO51">
        <v>461</v>
      </c>
      <c r="CP51" t="s">
        <v>270</v>
      </c>
      <c r="CQ51">
        <v>0</v>
      </c>
      <c r="CR51">
        <v>55</v>
      </c>
      <c r="CS51" t="s">
        <v>472</v>
      </c>
      <c r="CT51" t="s">
        <v>548</v>
      </c>
      <c r="CU51">
        <v>6</v>
      </c>
      <c r="CV51" t="s">
        <v>584</v>
      </c>
      <c r="CW51">
        <v>33.799999999999997</v>
      </c>
      <c r="CX51">
        <v>258</v>
      </c>
      <c r="CY51" t="s">
        <v>264</v>
      </c>
      <c r="CZ51">
        <v>-9999</v>
      </c>
      <c r="DA51">
        <v>649</v>
      </c>
      <c r="DB51">
        <v>736</v>
      </c>
      <c r="DC51">
        <v>637</v>
      </c>
      <c r="DD51" t="s">
        <v>270</v>
      </c>
      <c r="DE51">
        <v>0</v>
      </c>
      <c r="DF51">
        <v>55</v>
      </c>
      <c r="DG51" t="s">
        <v>473</v>
      </c>
      <c r="DH51" t="s">
        <v>548</v>
      </c>
      <c r="DI51">
        <v>7</v>
      </c>
      <c r="DJ51" t="s">
        <v>584</v>
      </c>
      <c r="DK51">
        <v>25.2</v>
      </c>
      <c r="DL51">
        <v>181</v>
      </c>
      <c r="DM51" t="s">
        <v>264</v>
      </c>
      <c r="DN51">
        <v>-9999</v>
      </c>
      <c r="DO51">
        <v>561</v>
      </c>
      <c r="DP51">
        <v>636</v>
      </c>
      <c r="DQ51">
        <v>556</v>
      </c>
      <c r="DR51" t="s">
        <v>270</v>
      </c>
      <c r="DS51">
        <v>0</v>
      </c>
      <c r="DT51">
        <v>55</v>
      </c>
      <c r="DU51" t="s">
        <v>474</v>
      </c>
      <c r="DV51" t="s">
        <v>548</v>
      </c>
      <c r="DW51">
        <v>8</v>
      </c>
      <c r="DX51" t="s">
        <v>584</v>
      </c>
      <c r="DY51">
        <v>21.7</v>
      </c>
      <c r="DZ51">
        <v>437</v>
      </c>
      <c r="EA51" t="s">
        <v>264</v>
      </c>
      <c r="EB51">
        <v>-9999</v>
      </c>
      <c r="EC51">
        <v>115</v>
      </c>
      <c r="ED51">
        <v>141</v>
      </c>
      <c r="EE51">
        <v>113</v>
      </c>
      <c r="EF51" t="s">
        <v>270</v>
      </c>
      <c r="EG51">
        <v>0</v>
      </c>
      <c r="EH51">
        <v>55</v>
      </c>
      <c r="EI51" t="s">
        <v>475</v>
      </c>
      <c r="EJ51" t="s">
        <v>548</v>
      </c>
      <c r="EK51">
        <v>9</v>
      </c>
      <c r="EL51" t="s">
        <v>584</v>
      </c>
      <c r="EM51">
        <v>27.2</v>
      </c>
      <c r="EN51">
        <v>56</v>
      </c>
      <c r="EO51" t="s">
        <v>264</v>
      </c>
      <c r="EP51">
        <v>-9999</v>
      </c>
      <c r="EQ51">
        <v>332</v>
      </c>
      <c r="ER51">
        <v>319</v>
      </c>
      <c r="ES51">
        <v>295</v>
      </c>
      <c r="ET51" t="s">
        <v>270</v>
      </c>
      <c r="EU51">
        <v>0</v>
      </c>
      <c r="EV51">
        <v>55</v>
      </c>
      <c r="EW51" t="s">
        <v>551</v>
      </c>
      <c r="EX51" t="s">
        <v>552</v>
      </c>
      <c r="EY51">
        <v>150</v>
      </c>
      <c r="EZ51">
        <v>151</v>
      </c>
      <c r="FA51">
        <v>150</v>
      </c>
      <c r="FB51" t="s">
        <v>270</v>
      </c>
      <c r="FC51" t="s">
        <v>553</v>
      </c>
      <c r="FD51" t="s">
        <v>552</v>
      </c>
      <c r="FE51">
        <v>311</v>
      </c>
      <c r="FF51">
        <v>309</v>
      </c>
      <c r="FG51">
        <v>308</v>
      </c>
      <c r="FH51" t="s">
        <v>270</v>
      </c>
      <c r="FI51" t="s">
        <v>554</v>
      </c>
      <c r="FJ51" t="s">
        <v>555</v>
      </c>
      <c r="FK51">
        <v>0</v>
      </c>
      <c r="FL51">
        <v>0</v>
      </c>
      <c r="FM51">
        <v>0</v>
      </c>
      <c r="FN51" t="s">
        <v>264</v>
      </c>
      <c r="FO51">
        <v>75.8</v>
      </c>
      <c r="FP51">
        <v>315.8</v>
      </c>
      <c r="FQ51" t="s">
        <v>556</v>
      </c>
      <c r="FR51" t="s">
        <v>555</v>
      </c>
      <c r="FS51">
        <v>0</v>
      </c>
      <c r="FT51">
        <v>0</v>
      </c>
      <c r="FU51">
        <v>0</v>
      </c>
      <c r="FV51" t="s">
        <v>264</v>
      </c>
      <c r="FW51">
        <v>73.2</v>
      </c>
      <c r="FX51">
        <v>105.2</v>
      </c>
      <c r="FY51" t="s">
        <v>557</v>
      </c>
      <c r="FZ51" t="s">
        <v>555</v>
      </c>
      <c r="GA51">
        <v>0</v>
      </c>
      <c r="GB51">
        <v>0</v>
      </c>
      <c r="GC51">
        <v>0</v>
      </c>
      <c r="GD51" t="s">
        <v>264</v>
      </c>
      <c r="GE51">
        <v>71</v>
      </c>
      <c r="GF51">
        <v>276.3</v>
      </c>
      <c r="GG51" t="s">
        <v>558</v>
      </c>
      <c r="GH51" t="s">
        <v>555</v>
      </c>
      <c r="GI51">
        <v>0</v>
      </c>
      <c r="GJ51">
        <v>0</v>
      </c>
      <c r="GK51">
        <v>0</v>
      </c>
      <c r="GL51" t="s">
        <v>264</v>
      </c>
      <c r="GM51">
        <v>68.2</v>
      </c>
      <c r="GN51">
        <v>55.6</v>
      </c>
      <c r="GO51" t="s">
        <v>559</v>
      </c>
      <c r="GP51" t="s">
        <v>555</v>
      </c>
      <c r="GQ51">
        <v>0</v>
      </c>
      <c r="GR51">
        <v>0</v>
      </c>
      <c r="GS51">
        <v>0</v>
      </c>
      <c r="GT51" t="s">
        <v>264</v>
      </c>
      <c r="GU51">
        <v>75.7</v>
      </c>
      <c r="GV51">
        <v>59.6</v>
      </c>
      <c r="GW51" t="s">
        <v>560</v>
      </c>
      <c r="GX51" t="s">
        <v>555</v>
      </c>
      <c r="GY51">
        <v>0</v>
      </c>
      <c r="GZ51">
        <v>0</v>
      </c>
      <c r="HA51">
        <v>0</v>
      </c>
      <c r="HB51" t="s">
        <v>264</v>
      </c>
      <c r="HC51">
        <v>70.099999999999994</v>
      </c>
      <c r="HD51">
        <v>76.2</v>
      </c>
      <c r="HE51" t="s">
        <v>561</v>
      </c>
      <c r="HF51" t="s">
        <v>555</v>
      </c>
      <c r="HG51">
        <v>0</v>
      </c>
      <c r="HH51">
        <v>0</v>
      </c>
      <c r="HI51">
        <v>0</v>
      </c>
      <c r="HJ51" t="s">
        <v>264</v>
      </c>
      <c r="HK51">
        <v>70.7</v>
      </c>
      <c r="HL51">
        <v>138</v>
      </c>
      <c r="HM51" t="s">
        <v>562</v>
      </c>
      <c r="HN51" t="s">
        <v>555</v>
      </c>
      <c r="HO51">
        <v>0</v>
      </c>
      <c r="HP51">
        <v>0</v>
      </c>
      <c r="HQ51">
        <v>0</v>
      </c>
      <c r="HR51" t="s">
        <v>264</v>
      </c>
      <c r="HS51">
        <v>68.900000000000006</v>
      </c>
      <c r="HT51">
        <v>92.8</v>
      </c>
      <c r="HU51" t="s">
        <v>563</v>
      </c>
      <c r="HV51" t="s">
        <v>555</v>
      </c>
      <c r="HW51">
        <v>0</v>
      </c>
      <c r="HX51">
        <v>0</v>
      </c>
      <c r="HY51">
        <v>0</v>
      </c>
      <c r="HZ51" t="s">
        <v>264</v>
      </c>
      <c r="IA51">
        <v>74.5</v>
      </c>
      <c r="IB51">
        <v>189.8</v>
      </c>
      <c r="IC51" t="s">
        <v>564</v>
      </c>
      <c r="ID51" t="s">
        <v>555</v>
      </c>
      <c r="IE51">
        <v>0</v>
      </c>
      <c r="IF51">
        <v>0</v>
      </c>
      <c r="IG51">
        <v>0</v>
      </c>
      <c r="IH51" t="s">
        <v>264</v>
      </c>
      <c r="II51">
        <v>68</v>
      </c>
      <c r="IJ51">
        <v>120.2</v>
      </c>
      <c r="IK51" t="s">
        <v>565</v>
      </c>
      <c r="IL51" t="s">
        <v>555</v>
      </c>
      <c r="IM51">
        <v>0</v>
      </c>
      <c r="IN51">
        <v>0</v>
      </c>
      <c r="IO51">
        <v>0</v>
      </c>
      <c r="IP51" t="s">
        <v>264</v>
      </c>
      <c r="IS51" t="s">
        <v>566</v>
      </c>
      <c r="IT51" t="s">
        <v>555</v>
      </c>
      <c r="IU51">
        <v>0</v>
      </c>
      <c r="IV51">
        <v>0</v>
      </c>
      <c r="IW51">
        <v>0</v>
      </c>
      <c r="IX51" t="s">
        <v>264</v>
      </c>
      <c r="JA51" t="s">
        <v>567</v>
      </c>
      <c r="JB51" t="s">
        <v>555</v>
      </c>
      <c r="JC51">
        <v>0</v>
      </c>
      <c r="JD51">
        <v>0</v>
      </c>
      <c r="JE51">
        <v>0</v>
      </c>
      <c r="JF51" t="s">
        <v>264</v>
      </c>
      <c r="JI51" t="s">
        <v>568</v>
      </c>
      <c r="JJ51" t="s">
        <v>555</v>
      </c>
      <c r="JK51">
        <v>0</v>
      </c>
      <c r="JL51">
        <v>0</v>
      </c>
      <c r="JM51">
        <v>0</v>
      </c>
      <c r="JN51" t="s">
        <v>264</v>
      </c>
      <c r="JQ51" t="s">
        <v>569</v>
      </c>
      <c r="JR51" t="s">
        <v>555</v>
      </c>
      <c r="JS51">
        <v>0</v>
      </c>
      <c r="JT51">
        <v>0</v>
      </c>
      <c r="JU51">
        <v>0</v>
      </c>
      <c r="JV51" t="s">
        <v>264</v>
      </c>
      <c r="JY51" t="s">
        <v>570</v>
      </c>
      <c r="JZ51" t="s">
        <v>555</v>
      </c>
      <c r="KA51">
        <v>0</v>
      </c>
      <c r="KB51">
        <v>0</v>
      </c>
      <c r="KC51">
        <v>0</v>
      </c>
      <c r="KD51" t="s">
        <v>264</v>
      </c>
      <c r="KG51" t="s">
        <v>571</v>
      </c>
      <c r="KH51" t="s">
        <v>555</v>
      </c>
      <c r="KI51">
        <v>0</v>
      </c>
      <c r="KJ51">
        <v>0</v>
      </c>
      <c r="KK51">
        <v>0</v>
      </c>
      <c r="KL51" t="s">
        <v>264</v>
      </c>
      <c r="KO51" t="s">
        <v>572</v>
      </c>
      <c r="KP51" t="s">
        <v>555</v>
      </c>
      <c r="KQ51">
        <v>0</v>
      </c>
      <c r="KR51">
        <v>0</v>
      </c>
      <c r="KS51">
        <v>0</v>
      </c>
      <c r="KT51" t="s">
        <v>264</v>
      </c>
      <c r="KW51" t="s">
        <v>573</v>
      </c>
      <c r="KX51" t="s">
        <v>555</v>
      </c>
      <c r="KY51">
        <v>0</v>
      </c>
      <c r="KZ51">
        <v>0</v>
      </c>
      <c r="LA51">
        <v>0</v>
      </c>
      <c r="LB51" t="s">
        <v>264</v>
      </c>
      <c r="LE51" t="s">
        <v>574</v>
      </c>
      <c r="LF51" t="s">
        <v>555</v>
      </c>
      <c r="LG51">
        <v>0</v>
      </c>
      <c r="LH51">
        <v>0</v>
      </c>
      <c r="LI51">
        <v>0</v>
      </c>
      <c r="LJ51" t="s">
        <v>264</v>
      </c>
      <c r="LM51" t="s">
        <v>575</v>
      </c>
      <c r="LN51" t="s">
        <v>555</v>
      </c>
      <c r="LO51">
        <v>0</v>
      </c>
      <c r="LP51">
        <v>0</v>
      </c>
      <c r="LQ51">
        <v>0</v>
      </c>
      <c r="LR51" t="s">
        <v>264</v>
      </c>
      <c r="LU51" t="s">
        <v>576</v>
      </c>
      <c r="LV51" t="s">
        <v>555</v>
      </c>
      <c r="LW51">
        <v>0</v>
      </c>
      <c r="LX51">
        <v>0</v>
      </c>
      <c r="LY51">
        <v>0</v>
      </c>
      <c r="LZ51" t="s">
        <v>264</v>
      </c>
      <c r="MC51" t="s">
        <v>577</v>
      </c>
      <c r="MD51" t="s">
        <v>555</v>
      </c>
      <c r="ME51">
        <v>0</v>
      </c>
      <c r="MF51">
        <v>0</v>
      </c>
      <c r="MG51">
        <v>0</v>
      </c>
      <c r="MH51" t="s">
        <v>264</v>
      </c>
      <c r="MK51" t="s">
        <v>578</v>
      </c>
      <c r="ML51" t="s">
        <v>555</v>
      </c>
      <c r="MM51">
        <v>0</v>
      </c>
      <c r="MN51">
        <v>0</v>
      </c>
      <c r="MO51">
        <v>0</v>
      </c>
      <c r="MP51" t="s">
        <v>264</v>
      </c>
      <c r="MS51" t="s">
        <v>579</v>
      </c>
      <c r="MT51" t="s">
        <v>555</v>
      </c>
      <c r="MU51">
        <v>0</v>
      </c>
      <c r="MV51">
        <v>0</v>
      </c>
      <c r="MW51">
        <v>0</v>
      </c>
      <c r="MX51" t="s">
        <v>264</v>
      </c>
      <c r="NA51" t="s">
        <v>580</v>
      </c>
      <c r="NB51" t="s">
        <v>555</v>
      </c>
      <c r="NC51">
        <v>0</v>
      </c>
      <c r="ND51">
        <v>0</v>
      </c>
      <c r="NE51">
        <v>0</v>
      </c>
      <c r="NF51" t="s">
        <v>264</v>
      </c>
      <c r="NI51">
        <v>40</v>
      </c>
      <c r="NJ51">
        <v>-13.5</v>
      </c>
      <c r="NP51" t="s">
        <v>624</v>
      </c>
    </row>
    <row r="52" spans="1:380" customFormat="1" x14ac:dyDescent="0.2">
      <c r="A52" t="s">
        <v>517</v>
      </c>
      <c r="B52">
        <v>1</v>
      </c>
      <c r="C52" t="s">
        <v>905</v>
      </c>
      <c r="D52">
        <v>646963826</v>
      </c>
      <c r="E52">
        <v>12602</v>
      </c>
      <c r="F52" t="s">
        <v>805</v>
      </c>
      <c r="G52">
        <v>802069</v>
      </c>
      <c r="H52">
        <v>677614</v>
      </c>
      <c r="I52" t="s">
        <v>622</v>
      </c>
      <c r="J52" t="s">
        <v>906</v>
      </c>
      <c r="K52" t="s">
        <v>545</v>
      </c>
      <c r="L52" t="s">
        <v>442</v>
      </c>
      <c r="M52" t="s">
        <v>546</v>
      </c>
      <c r="N52" t="s">
        <v>468</v>
      </c>
      <c r="O52" t="s">
        <v>547</v>
      </c>
      <c r="P52" t="s">
        <v>264</v>
      </c>
      <c r="Q52">
        <v>28.4</v>
      </c>
      <c r="R52">
        <v>255</v>
      </c>
      <c r="S52" t="s">
        <v>264</v>
      </c>
      <c r="T52">
        <v>-9999</v>
      </c>
      <c r="U52">
        <v>682</v>
      </c>
      <c r="V52">
        <v>704</v>
      </c>
      <c r="W52">
        <v>670</v>
      </c>
      <c r="X52" t="s">
        <v>270</v>
      </c>
      <c r="Y52">
        <v>0</v>
      </c>
      <c r="Z52">
        <v>55</v>
      </c>
      <c r="AA52" t="s">
        <v>469</v>
      </c>
      <c r="AB52" t="s">
        <v>548</v>
      </c>
      <c r="AC52">
        <v>1</v>
      </c>
      <c r="AD52" t="s">
        <v>584</v>
      </c>
      <c r="AE52">
        <v>26.5</v>
      </c>
      <c r="AF52">
        <v>1313</v>
      </c>
      <c r="AG52" t="s">
        <v>264</v>
      </c>
      <c r="AH52">
        <v>-9999</v>
      </c>
      <c r="AI52">
        <v>487</v>
      </c>
      <c r="AJ52">
        <v>595</v>
      </c>
      <c r="AK52">
        <v>481</v>
      </c>
      <c r="AL52" t="s">
        <v>270</v>
      </c>
      <c r="AM52">
        <v>0</v>
      </c>
      <c r="AN52">
        <v>55</v>
      </c>
      <c r="AO52" t="s">
        <v>470</v>
      </c>
      <c r="AP52" t="s">
        <v>548</v>
      </c>
      <c r="AQ52">
        <v>2</v>
      </c>
      <c r="AR52" t="s">
        <v>584</v>
      </c>
      <c r="AS52">
        <v>36</v>
      </c>
      <c r="AT52">
        <v>361</v>
      </c>
      <c r="AU52" t="s">
        <v>264</v>
      </c>
      <c r="AV52">
        <v>-9999</v>
      </c>
      <c r="AW52">
        <v>471</v>
      </c>
      <c r="AX52">
        <v>500</v>
      </c>
      <c r="AY52">
        <v>469</v>
      </c>
      <c r="AZ52" t="s">
        <v>270</v>
      </c>
      <c r="BA52">
        <v>0</v>
      </c>
      <c r="BB52">
        <v>55</v>
      </c>
      <c r="BC52" t="s">
        <v>550</v>
      </c>
      <c r="BD52" t="s">
        <v>548</v>
      </c>
      <c r="BE52">
        <v>3</v>
      </c>
      <c r="BF52" t="s">
        <v>584</v>
      </c>
      <c r="BG52">
        <v>22.2</v>
      </c>
      <c r="BH52">
        <v>905</v>
      </c>
      <c r="BI52" t="s">
        <v>264</v>
      </c>
      <c r="BJ52">
        <v>-9999</v>
      </c>
      <c r="BK52">
        <v>112</v>
      </c>
      <c r="BL52">
        <v>155</v>
      </c>
      <c r="BM52">
        <v>119</v>
      </c>
      <c r="BN52" t="s">
        <v>270</v>
      </c>
      <c r="BO52">
        <v>0</v>
      </c>
      <c r="BP52">
        <v>55</v>
      </c>
      <c r="BQ52" t="s">
        <v>504</v>
      </c>
      <c r="BR52" t="s">
        <v>548</v>
      </c>
      <c r="BS52">
        <v>4</v>
      </c>
      <c r="BT52" t="s">
        <v>584</v>
      </c>
      <c r="BU52">
        <v>31.4</v>
      </c>
      <c r="BV52">
        <v>308</v>
      </c>
      <c r="BW52" t="s">
        <v>264</v>
      </c>
      <c r="BX52">
        <v>-9999</v>
      </c>
      <c r="BY52">
        <v>225</v>
      </c>
      <c r="BZ52">
        <v>260</v>
      </c>
      <c r="CA52">
        <v>222</v>
      </c>
      <c r="CB52" t="s">
        <v>270</v>
      </c>
      <c r="CC52">
        <v>0</v>
      </c>
      <c r="CD52">
        <v>55</v>
      </c>
      <c r="CE52" t="s">
        <v>471</v>
      </c>
      <c r="CF52" t="s">
        <v>548</v>
      </c>
      <c r="CG52">
        <v>5</v>
      </c>
      <c r="CH52" t="s">
        <v>584</v>
      </c>
      <c r="CI52">
        <v>36.5</v>
      </c>
      <c r="CJ52">
        <v>243</v>
      </c>
      <c r="CK52" t="s">
        <v>264</v>
      </c>
      <c r="CL52">
        <v>-9999</v>
      </c>
      <c r="CM52">
        <v>540</v>
      </c>
      <c r="CN52">
        <v>633</v>
      </c>
      <c r="CO52">
        <v>540</v>
      </c>
      <c r="CP52" t="s">
        <v>270</v>
      </c>
      <c r="CQ52">
        <v>0</v>
      </c>
      <c r="CR52">
        <v>55</v>
      </c>
      <c r="CS52" t="s">
        <v>472</v>
      </c>
      <c r="CT52" t="s">
        <v>548</v>
      </c>
      <c r="CU52">
        <v>6</v>
      </c>
      <c r="CV52" t="s">
        <v>584</v>
      </c>
      <c r="CW52">
        <v>36.1</v>
      </c>
      <c r="CX52">
        <v>253</v>
      </c>
      <c r="CY52" t="s">
        <v>264</v>
      </c>
      <c r="CZ52">
        <v>-9999</v>
      </c>
      <c r="DA52">
        <v>714</v>
      </c>
      <c r="DB52">
        <v>808</v>
      </c>
      <c r="DC52">
        <v>703</v>
      </c>
      <c r="DD52" t="s">
        <v>270</v>
      </c>
      <c r="DE52">
        <v>0</v>
      </c>
      <c r="DF52">
        <v>55</v>
      </c>
      <c r="DG52" t="s">
        <v>473</v>
      </c>
      <c r="DH52" t="s">
        <v>548</v>
      </c>
      <c r="DI52">
        <v>7</v>
      </c>
      <c r="DJ52" t="s">
        <v>584</v>
      </c>
      <c r="DK52">
        <v>26.3</v>
      </c>
      <c r="DL52">
        <v>213</v>
      </c>
      <c r="DM52" t="s">
        <v>264</v>
      </c>
      <c r="DN52">
        <v>-9999</v>
      </c>
      <c r="DO52">
        <v>583</v>
      </c>
      <c r="DP52">
        <v>667</v>
      </c>
      <c r="DQ52">
        <v>579</v>
      </c>
      <c r="DR52" t="s">
        <v>270</v>
      </c>
      <c r="DS52">
        <v>0</v>
      </c>
      <c r="DT52">
        <v>55</v>
      </c>
      <c r="DU52" t="s">
        <v>474</v>
      </c>
      <c r="DV52" t="s">
        <v>548</v>
      </c>
      <c r="DW52">
        <v>8</v>
      </c>
      <c r="DX52" t="s">
        <v>584</v>
      </c>
      <c r="DY52">
        <v>23.2</v>
      </c>
      <c r="DZ52">
        <v>433</v>
      </c>
      <c r="EA52" t="s">
        <v>264</v>
      </c>
      <c r="EB52">
        <v>-9999</v>
      </c>
      <c r="EC52">
        <v>125</v>
      </c>
      <c r="ED52">
        <v>150</v>
      </c>
      <c r="EE52">
        <v>122</v>
      </c>
      <c r="EF52" t="s">
        <v>270</v>
      </c>
      <c r="EG52">
        <v>0</v>
      </c>
      <c r="EH52">
        <v>55</v>
      </c>
      <c r="EI52" t="s">
        <v>475</v>
      </c>
      <c r="EJ52" t="s">
        <v>548</v>
      </c>
      <c r="EK52">
        <v>9</v>
      </c>
      <c r="EL52" t="s">
        <v>584</v>
      </c>
      <c r="EM52">
        <v>28.3</v>
      </c>
      <c r="EN52">
        <v>94</v>
      </c>
      <c r="EO52" t="s">
        <v>264</v>
      </c>
      <c r="EP52">
        <v>-9999</v>
      </c>
      <c r="EQ52">
        <v>406</v>
      </c>
      <c r="ER52">
        <v>387</v>
      </c>
      <c r="ES52">
        <v>356</v>
      </c>
      <c r="ET52" t="s">
        <v>270</v>
      </c>
      <c r="EU52">
        <v>0</v>
      </c>
      <c r="EV52">
        <v>55</v>
      </c>
      <c r="EW52" t="s">
        <v>551</v>
      </c>
      <c r="EX52" t="s">
        <v>552</v>
      </c>
      <c r="EY52">
        <v>139</v>
      </c>
      <c r="EZ52">
        <v>138</v>
      </c>
      <c r="FA52">
        <v>139</v>
      </c>
      <c r="FB52" t="s">
        <v>270</v>
      </c>
      <c r="FC52" t="s">
        <v>553</v>
      </c>
      <c r="FD52" t="s">
        <v>552</v>
      </c>
      <c r="FE52">
        <v>365</v>
      </c>
      <c r="FF52">
        <v>364</v>
      </c>
      <c r="FG52">
        <v>363</v>
      </c>
      <c r="FH52" t="s">
        <v>270</v>
      </c>
      <c r="FI52" t="s">
        <v>554</v>
      </c>
      <c r="FJ52" t="s">
        <v>555</v>
      </c>
      <c r="FK52">
        <v>0</v>
      </c>
      <c r="FL52">
        <v>0</v>
      </c>
      <c r="FM52">
        <v>0</v>
      </c>
      <c r="FN52" t="s">
        <v>264</v>
      </c>
      <c r="FO52">
        <v>75.900000000000006</v>
      </c>
      <c r="FP52">
        <v>283.7</v>
      </c>
      <c r="FQ52" t="s">
        <v>556</v>
      </c>
      <c r="FR52" t="s">
        <v>555</v>
      </c>
      <c r="FS52">
        <v>0</v>
      </c>
      <c r="FT52">
        <v>0</v>
      </c>
      <c r="FU52">
        <v>0</v>
      </c>
      <c r="FV52" t="s">
        <v>264</v>
      </c>
      <c r="FW52">
        <v>73.3</v>
      </c>
      <c r="FX52">
        <v>113.6</v>
      </c>
      <c r="FY52" t="s">
        <v>557</v>
      </c>
      <c r="FZ52" t="s">
        <v>555</v>
      </c>
      <c r="GA52">
        <v>0</v>
      </c>
      <c r="GB52">
        <v>0</v>
      </c>
      <c r="GC52">
        <v>0</v>
      </c>
      <c r="GD52" t="s">
        <v>264</v>
      </c>
      <c r="GE52">
        <v>71.099999999999994</v>
      </c>
      <c r="GF52">
        <v>255.9</v>
      </c>
      <c r="GG52" t="s">
        <v>558</v>
      </c>
      <c r="GH52" t="s">
        <v>555</v>
      </c>
      <c r="GI52">
        <v>0</v>
      </c>
      <c r="GJ52">
        <v>0</v>
      </c>
      <c r="GK52">
        <v>0</v>
      </c>
      <c r="GL52" t="s">
        <v>264</v>
      </c>
      <c r="GM52">
        <v>68.400000000000006</v>
      </c>
      <c r="GN52">
        <v>59.4</v>
      </c>
      <c r="GO52" t="s">
        <v>559</v>
      </c>
      <c r="GP52" t="s">
        <v>555</v>
      </c>
      <c r="GQ52">
        <v>0</v>
      </c>
      <c r="GR52">
        <v>0</v>
      </c>
      <c r="GS52">
        <v>0</v>
      </c>
      <c r="GT52" t="s">
        <v>264</v>
      </c>
      <c r="GU52">
        <v>75.8</v>
      </c>
      <c r="GV52">
        <v>62.1</v>
      </c>
      <c r="GW52" t="s">
        <v>560</v>
      </c>
      <c r="GX52" t="s">
        <v>555</v>
      </c>
      <c r="GY52">
        <v>0</v>
      </c>
      <c r="GZ52">
        <v>0</v>
      </c>
      <c r="HA52">
        <v>0</v>
      </c>
      <c r="HB52" t="s">
        <v>264</v>
      </c>
      <c r="HC52">
        <v>70.099999999999994</v>
      </c>
      <c r="HD52">
        <v>81.599999999999994</v>
      </c>
      <c r="HE52" t="s">
        <v>561</v>
      </c>
      <c r="HF52" t="s">
        <v>555</v>
      </c>
      <c r="HG52">
        <v>0</v>
      </c>
      <c r="HH52">
        <v>0</v>
      </c>
      <c r="HI52">
        <v>0</v>
      </c>
      <c r="HJ52" t="s">
        <v>264</v>
      </c>
      <c r="HK52">
        <v>70.7</v>
      </c>
      <c r="HL52">
        <v>131.6</v>
      </c>
      <c r="HM52" t="s">
        <v>562</v>
      </c>
      <c r="HN52" t="s">
        <v>555</v>
      </c>
      <c r="HO52">
        <v>0</v>
      </c>
      <c r="HP52">
        <v>0</v>
      </c>
      <c r="HQ52">
        <v>0</v>
      </c>
      <c r="HR52" t="s">
        <v>264</v>
      </c>
      <c r="HS52">
        <v>69.099999999999994</v>
      </c>
      <c r="HT52">
        <v>97.7</v>
      </c>
      <c r="HU52" t="s">
        <v>563</v>
      </c>
      <c r="HV52" t="s">
        <v>555</v>
      </c>
      <c r="HW52">
        <v>0</v>
      </c>
      <c r="HX52">
        <v>0</v>
      </c>
      <c r="HY52">
        <v>0</v>
      </c>
      <c r="HZ52" t="s">
        <v>264</v>
      </c>
      <c r="IA52">
        <v>74.599999999999994</v>
      </c>
      <c r="IB52">
        <v>191.3</v>
      </c>
      <c r="IC52" t="s">
        <v>564</v>
      </c>
      <c r="ID52" t="s">
        <v>555</v>
      </c>
      <c r="IE52">
        <v>0</v>
      </c>
      <c r="IF52">
        <v>0</v>
      </c>
      <c r="IG52">
        <v>0</v>
      </c>
      <c r="IH52" t="s">
        <v>264</v>
      </c>
      <c r="II52">
        <v>68.2</v>
      </c>
      <c r="IJ52">
        <v>126.9</v>
      </c>
      <c r="IK52" t="s">
        <v>565</v>
      </c>
      <c r="IL52" t="s">
        <v>555</v>
      </c>
      <c r="IM52">
        <v>0</v>
      </c>
      <c r="IN52">
        <v>0</v>
      </c>
      <c r="IO52">
        <v>0</v>
      </c>
      <c r="IP52" t="s">
        <v>264</v>
      </c>
      <c r="IS52" t="s">
        <v>566</v>
      </c>
      <c r="IT52" t="s">
        <v>555</v>
      </c>
      <c r="IU52">
        <v>0</v>
      </c>
      <c r="IV52">
        <v>0</v>
      </c>
      <c r="IW52">
        <v>0</v>
      </c>
      <c r="IX52" t="s">
        <v>264</v>
      </c>
      <c r="JA52" t="s">
        <v>567</v>
      </c>
      <c r="JB52" t="s">
        <v>555</v>
      </c>
      <c r="JC52">
        <v>0</v>
      </c>
      <c r="JD52">
        <v>0</v>
      </c>
      <c r="JE52">
        <v>0</v>
      </c>
      <c r="JF52" t="s">
        <v>264</v>
      </c>
      <c r="JI52" t="s">
        <v>568</v>
      </c>
      <c r="JJ52" t="s">
        <v>555</v>
      </c>
      <c r="JK52">
        <v>0</v>
      </c>
      <c r="JL52">
        <v>0</v>
      </c>
      <c r="JM52">
        <v>0</v>
      </c>
      <c r="JN52" t="s">
        <v>264</v>
      </c>
      <c r="JQ52" t="s">
        <v>569</v>
      </c>
      <c r="JR52" t="s">
        <v>555</v>
      </c>
      <c r="JS52">
        <v>0</v>
      </c>
      <c r="JT52">
        <v>0</v>
      </c>
      <c r="JU52">
        <v>0</v>
      </c>
      <c r="JV52" t="s">
        <v>264</v>
      </c>
      <c r="JY52" t="s">
        <v>570</v>
      </c>
      <c r="JZ52" t="s">
        <v>555</v>
      </c>
      <c r="KA52">
        <v>0</v>
      </c>
      <c r="KB52">
        <v>0</v>
      </c>
      <c r="KC52">
        <v>0</v>
      </c>
      <c r="KD52" t="s">
        <v>264</v>
      </c>
      <c r="KG52" t="s">
        <v>571</v>
      </c>
      <c r="KH52" t="s">
        <v>555</v>
      </c>
      <c r="KI52">
        <v>0</v>
      </c>
      <c r="KJ52">
        <v>0</v>
      </c>
      <c r="KK52">
        <v>0</v>
      </c>
      <c r="KL52" t="s">
        <v>264</v>
      </c>
      <c r="KO52" t="s">
        <v>572</v>
      </c>
      <c r="KP52" t="s">
        <v>555</v>
      </c>
      <c r="KQ52">
        <v>0</v>
      </c>
      <c r="KR52">
        <v>0</v>
      </c>
      <c r="KS52">
        <v>0</v>
      </c>
      <c r="KT52" t="s">
        <v>264</v>
      </c>
      <c r="KW52" t="s">
        <v>573</v>
      </c>
      <c r="KX52" t="s">
        <v>555</v>
      </c>
      <c r="KY52">
        <v>0</v>
      </c>
      <c r="KZ52">
        <v>0</v>
      </c>
      <c r="LA52">
        <v>0</v>
      </c>
      <c r="LB52" t="s">
        <v>264</v>
      </c>
      <c r="LE52" t="s">
        <v>574</v>
      </c>
      <c r="LF52" t="s">
        <v>555</v>
      </c>
      <c r="LG52">
        <v>0</v>
      </c>
      <c r="LH52">
        <v>0</v>
      </c>
      <c r="LI52">
        <v>0</v>
      </c>
      <c r="LJ52" t="s">
        <v>264</v>
      </c>
      <c r="LM52" t="s">
        <v>575</v>
      </c>
      <c r="LN52" t="s">
        <v>555</v>
      </c>
      <c r="LO52">
        <v>0</v>
      </c>
      <c r="LP52">
        <v>0</v>
      </c>
      <c r="LQ52">
        <v>0</v>
      </c>
      <c r="LR52" t="s">
        <v>264</v>
      </c>
      <c r="LU52" t="s">
        <v>576</v>
      </c>
      <c r="LV52" t="s">
        <v>555</v>
      </c>
      <c r="LW52">
        <v>0</v>
      </c>
      <c r="LX52">
        <v>0</v>
      </c>
      <c r="LY52">
        <v>0</v>
      </c>
      <c r="LZ52" t="s">
        <v>264</v>
      </c>
      <c r="MC52" t="s">
        <v>577</v>
      </c>
      <c r="MD52" t="s">
        <v>555</v>
      </c>
      <c r="ME52">
        <v>0</v>
      </c>
      <c r="MF52">
        <v>0</v>
      </c>
      <c r="MG52">
        <v>0</v>
      </c>
      <c r="MH52" t="s">
        <v>264</v>
      </c>
      <c r="MK52" t="s">
        <v>578</v>
      </c>
      <c r="ML52" t="s">
        <v>555</v>
      </c>
      <c r="MM52">
        <v>0</v>
      </c>
      <c r="MN52">
        <v>0</v>
      </c>
      <c r="MO52">
        <v>0</v>
      </c>
      <c r="MP52" t="s">
        <v>264</v>
      </c>
      <c r="MS52" t="s">
        <v>579</v>
      </c>
      <c r="MT52" t="s">
        <v>555</v>
      </c>
      <c r="MU52">
        <v>0</v>
      </c>
      <c r="MV52">
        <v>0</v>
      </c>
      <c r="MW52">
        <v>0</v>
      </c>
      <c r="MX52" t="s">
        <v>264</v>
      </c>
      <c r="NA52" t="s">
        <v>580</v>
      </c>
      <c r="NB52" t="s">
        <v>555</v>
      </c>
      <c r="NC52">
        <v>0</v>
      </c>
      <c r="ND52">
        <v>0</v>
      </c>
      <c r="NE52">
        <v>0</v>
      </c>
      <c r="NF52" t="s">
        <v>264</v>
      </c>
      <c r="NI52">
        <v>40</v>
      </c>
      <c r="NJ52">
        <v>-10.4</v>
      </c>
      <c r="NP52" t="s">
        <v>624</v>
      </c>
    </row>
    <row r="53" spans="1:380" customFormat="1" x14ac:dyDescent="0.2">
      <c r="A53" t="s">
        <v>517</v>
      </c>
      <c r="B53">
        <v>1</v>
      </c>
      <c r="C53" t="s">
        <v>907</v>
      </c>
      <c r="D53">
        <v>646964278</v>
      </c>
      <c r="E53">
        <v>12602</v>
      </c>
      <c r="F53" t="s">
        <v>805</v>
      </c>
      <c r="G53">
        <v>802069</v>
      </c>
      <c r="H53">
        <v>210082244</v>
      </c>
      <c r="I53" t="s">
        <v>622</v>
      </c>
      <c r="J53" t="s">
        <v>908</v>
      </c>
      <c r="K53" t="s">
        <v>545</v>
      </c>
      <c r="L53" t="s">
        <v>442</v>
      </c>
      <c r="M53" t="s">
        <v>546</v>
      </c>
      <c r="N53" t="s">
        <v>468</v>
      </c>
      <c r="O53" t="s">
        <v>547</v>
      </c>
      <c r="P53" t="s">
        <v>264</v>
      </c>
      <c r="Q53">
        <v>27</v>
      </c>
      <c r="R53">
        <v>261</v>
      </c>
      <c r="S53" t="s">
        <v>264</v>
      </c>
      <c r="T53">
        <v>-9999</v>
      </c>
      <c r="U53">
        <v>593</v>
      </c>
      <c r="V53">
        <v>610</v>
      </c>
      <c r="W53">
        <v>583</v>
      </c>
      <c r="X53" t="s">
        <v>270</v>
      </c>
      <c r="Y53">
        <v>0</v>
      </c>
      <c r="Z53">
        <v>55</v>
      </c>
      <c r="AA53" t="s">
        <v>469</v>
      </c>
      <c r="AB53" t="s">
        <v>548</v>
      </c>
      <c r="AC53">
        <v>1</v>
      </c>
      <c r="AD53" t="s">
        <v>584</v>
      </c>
      <c r="AE53">
        <v>29</v>
      </c>
      <c r="AF53">
        <v>1256</v>
      </c>
      <c r="AG53" t="s">
        <v>264</v>
      </c>
      <c r="AH53">
        <v>-9999</v>
      </c>
      <c r="AI53">
        <v>511</v>
      </c>
      <c r="AJ53">
        <v>632</v>
      </c>
      <c r="AK53">
        <v>511</v>
      </c>
      <c r="AL53" t="s">
        <v>270</v>
      </c>
      <c r="AM53">
        <v>0</v>
      </c>
      <c r="AN53">
        <v>55</v>
      </c>
      <c r="AO53" t="s">
        <v>470</v>
      </c>
      <c r="AP53" t="s">
        <v>548</v>
      </c>
      <c r="AQ53">
        <v>2</v>
      </c>
      <c r="AR53" t="s">
        <v>549</v>
      </c>
      <c r="AS53">
        <v>40.1</v>
      </c>
      <c r="AT53">
        <v>338</v>
      </c>
      <c r="AU53" t="s">
        <v>264</v>
      </c>
      <c r="AV53">
        <v>-9999</v>
      </c>
      <c r="AW53">
        <v>356</v>
      </c>
      <c r="AX53">
        <v>374</v>
      </c>
      <c r="AY53">
        <v>356</v>
      </c>
      <c r="AZ53" t="s">
        <v>270</v>
      </c>
      <c r="BA53">
        <v>0</v>
      </c>
      <c r="BB53">
        <v>55</v>
      </c>
      <c r="BC53" t="s">
        <v>550</v>
      </c>
      <c r="BD53" t="s">
        <v>548</v>
      </c>
      <c r="BE53">
        <v>3</v>
      </c>
      <c r="BF53" t="s">
        <v>584</v>
      </c>
      <c r="BG53">
        <v>25.8</v>
      </c>
      <c r="BH53">
        <v>598</v>
      </c>
      <c r="BI53" t="s">
        <v>264</v>
      </c>
      <c r="BJ53">
        <v>-9999</v>
      </c>
      <c r="BK53">
        <v>155</v>
      </c>
      <c r="BL53">
        <v>191</v>
      </c>
      <c r="BM53">
        <v>150</v>
      </c>
      <c r="BN53" t="s">
        <v>270</v>
      </c>
      <c r="BO53">
        <v>0</v>
      </c>
      <c r="BP53">
        <v>55</v>
      </c>
      <c r="BQ53" t="s">
        <v>504</v>
      </c>
      <c r="BR53" t="s">
        <v>548</v>
      </c>
      <c r="BS53">
        <v>4</v>
      </c>
      <c r="BT53" t="s">
        <v>584</v>
      </c>
      <c r="BU53">
        <v>32.4</v>
      </c>
      <c r="BV53">
        <v>278</v>
      </c>
      <c r="BW53" t="s">
        <v>264</v>
      </c>
      <c r="BX53">
        <v>-9999</v>
      </c>
      <c r="BY53">
        <v>221</v>
      </c>
      <c r="BZ53">
        <v>255</v>
      </c>
      <c r="CA53">
        <v>218</v>
      </c>
      <c r="CB53" t="s">
        <v>270</v>
      </c>
      <c r="CC53">
        <v>0</v>
      </c>
      <c r="CD53">
        <v>55</v>
      </c>
      <c r="CE53" t="s">
        <v>471</v>
      </c>
      <c r="CF53" t="s">
        <v>548</v>
      </c>
      <c r="CG53">
        <v>5</v>
      </c>
      <c r="CH53" t="s">
        <v>584</v>
      </c>
      <c r="CI53">
        <v>37.1</v>
      </c>
      <c r="CJ53">
        <v>211</v>
      </c>
      <c r="CK53" t="s">
        <v>264</v>
      </c>
      <c r="CL53">
        <v>-9999</v>
      </c>
      <c r="CM53">
        <v>529</v>
      </c>
      <c r="CN53">
        <v>618</v>
      </c>
      <c r="CO53">
        <v>528</v>
      </c>
      <c r="CP53" t="s">
        <v>270</v>
      </c>
      <c r="CQ53">
        <v>0</v>
      </c>
      <c r="CR53">
        <v>55</v>
      </c>
      <c r="CS53" t="s">
        <v>472</v>
      </c>
      <c r="CT53" t="s">
        <v>548</v>
      </c>
      <c r="CU53">
        <v>6</v>
      </c>
      <c r="CV53" t="s">
        <v>584</v>
      </c>
      <c r="CW53">
        <v>36.700000000000003</v>
      </c>
      <c r="CX53">
        <v>232</v>
      </c>
      <c r="CY53" t="s">
        <v>264</v>
      </c>
      <c r="CZ53">
        <v>-9999</v>
      </c>
      <c r="DA53">
        <v>696</v>
      </c>
      <c r="DB53">
        <v>786</v>
      </c>
      <c r="DC53">
        <v>684</v>
      </c>
      <c r="DD53" t="s">
        <v>270</v>
      </c>
      <c r="DE53">
        <v>0</v>
      </c>
      <c r="DF53">
        <v>55</v>
      </c>
      <c r="DG53" t="s">
        <v>473</v>
      </c>
      <c r="DH53" t="s">
        <v>548</v>
      </c>
      <c r="DI53">
        <v>7</v>
      </c>
      <c r="DJ53" t="s">
        <v>584</v>
      </c>
      <c r="DK53">
        <v>26.1</v>
      </c>
      <c r="DL53">
        <v>196</v>
      </c>
      <c r="DM53" t="s">
        <v>264</v>
      </c>
      <c r="DN53">
        <v>-9999</v>
      </c>
      <c r="DO53">
        <v>577</v>
      </c>
      <c r="DP53">
        <v>660</v>
      </c>
      <c r="DQ53">
        <v>574</v>
      </c>
      <c r="DR53" t="s">
        <v>270</v>
      </c>
      <c r="DS53">
        <v>0</v>
      </c>
      <c r="DT53">
        <v>55</v>
      </c>
      <c r="DU53" t="s">
        <v>474</v>
      </c>
      <c r="DV53" t="s">
        <v>548</v>
      </c>
      <c r="DW53">
        <v>8</v>
      </c>
      <c r="DX53" t="s">
        <v>584</v>
      </c>
      <c r="DY53">
        <v>22.7</v>
      </c>
      <c r="DZ53">
        <v>465</v>
      </c>
      <c r="EA53" t="s">
        <v>264</v>
      </c>
      <c r="EB53">
        <v>-9999</v>
      </c>
      <c r="EC53">
        <v>97</v>
      </c>
      <c r="ED53">
        <v>119</v>
      </c>
      <c r="EE53">
        <v>95</v>
      </c>
      <c r="EF53" t="s">
        <v>270</v>
      </c>
      <c r="EG53">
        <v>0</v>
      </c>
      <c r="EH53">
        <v>55</v>
      </c>
      <c r="EI53" t="s">
        <v>475</v>
      </c>
      <c r="EJ53" t="s">
        <v>548</v>
      </c>
      <c r="EK53">
        <v>9</v>
      </c>
      <c r="EL53" t="s">
        <v>584</v>
      </c>
      <c r="EM53">
        <v>26.5</v>
      </c>
      <c r="EN53">
        <v>79</v>
      </c>
      <c r="EO53" t="s">
        <v>264</v>
      </c>
      <c r="EP53">
        <v>-9999</v>
      </c>
      <c r="EQ53">
        <v>290</v>
      </c>
      <c r="ER53">
        <v>273</v>
      </c>
      <c r="ES53">
        <v>259</v>
      </c>
      <c r="ET53" t="s">
        <v>270</v>
      </c>
      <c r="EU53">
        <v>0</v>
      </c>
      <c r="EV53">
        <v>55</v>
      </c>
      <c r="EW53" t="s">
        <v>551</v>
      </c>
      <c r="EX53" t="s">
        <v>552</v>
      </c>
      <c r="EY53">
        <v>150</v>
      </c>
      <c r="EZ53">
        <v>151</v>
      </c>
      <c r="FA53">
        <v>151</v>
      </c>
      <c r="FB53" t="s">
        <v>270</v>
      </c>
      <c r="FC53" t="s">
        <v>553</v>
      </c>
      <c r="FD53" t="s">
        <v>552</v>
      </c>
      <c r="FE53">
        <v>271</v>
      </c>
      <c r="FF53">
        <v>269</v>
      </c>
      <c r="FG53">
        <v>269</v>
      </c>
      <c r="FH53" t="s">
        <v>270</v>
      </c>
      <c r="FI53" t="s">
        <v>554</v>
      </c>
      <c r="FJ53" t="s">
        <v>555</v>
      </c>
      <c r="FK53">
        <v>0</v>
      </c>
      <c r="FL53">
        <v>0</v>
      </c>
      <c r="FM53">
        <v>0</v>
      </c>
      <c r="FN53" t="s">
        <v>264</v>
      </c>
      <c r="FO53">
        <v>76</v>
      </c>
      <c r="FP53">
        <v>294.3</v>
      </c>
      <c r="FQ53" t="s">
        <v>556</v>
      </c>
      <c r="FR53" t="s">
        <v>555</v>
      </c>
      <c r="FS53">
        <v>0</v>
      </c>
      <c r="FT53">
        <v>0</v>
      </c>
      <c r="FU53">
        <v>0</v>
      </c>
      <c r="FV53" t="s">
        <v>264</v>
      </c>
      <c r="FW53">
        <v>73.400000000000006</v>
      </c>
      <c r="FX53">
        <v>98.5</v>
      </c>
      <c r="FY53" t="s">
        <v>557</v>
      </c>
      <c r="FZ53" t="s">
        <v>555</v>
      </c>
      <c r="GA53">
        <v>0</v>
      </c>
      <c r="GB53">
        <v>0</v>
      </c>
      <c r="GC53">
        <v>0</v>
      </c>
      <c r="GD53" t="s">
        <v>264</v>
      </c>
      <c r="GE53">
        <v>71.2</v>
      </c>
      <c r="GF53">
        <v>236.2</v>
      </c>
      <c r="GG53" t="s">
        <v>558</v>
      </c>
      <c r="GH53" t="s">
        <v>555</v>
      </c>
      <c r="GI53">
        <v>0</v>
      </c>
      <c r="GJ53">
        <v>0</v>
      </c>
      <c r="GK53">
        <v>0</v>
      </c>
      <c r="GL53" t="s">
        <v>264</v>
      </c>
      <c r="GM53">
        <v>68.400000000000006</v>
      </c>
      <c r="GN53">
        <v>56.2</v>
      </c>
      <c r="GO53" t="s">
        <v>559</v>
      </c>
      <c r="GP53" t="s">
        <v>555</v>
      </c>
      <c r="GQ53">
        <v>0</v>
      </c>
      <c r="GR53">
        <v>0</v>
      </c>
      <c r="GS53">
        <v>0</v>
      </c>
      <c r="GT53" t="s">
        <v>264</v>
      </c>
      <c r="GU53">
        <v>75.900000000000006</v>
      </c>
      <c r="GV53">
        <v>62.4</v>
      </c>
      <c r="GW53" t="s">
        <v>560</v>
      </c>
      <c r="GX53" t="s">
        <v>555</v>
      </c>
      <c r="GY53">
        <v>0</v>
      </c>
      <c r="GZ53">
        <v>0</v>
      </c>
      <c r="HA53">
        <v>0</v>
      </c>
      <c r="HB53" t="s">
        <v>264</v>
      </c>
      <c r="HC53">
        <v>70.099999999999994</v>
      </c>
      <c r="HD53">
        <v>78.7</v>
      </c>
      <c r="HE53" t="s">
        <v>561</v>
      </c>
      <c r="HF53" t="s">
        <v>555</v>
      </c>
      <c r="HG53">
        <v>0</v>
      </c>
      <c r="HH53">
        <v>0</v>
      </c>
      <c r="HI53">
        <v>0</v>
      </c>
      <c r="HJ53" t="s">
        <v>264</v>
      </c>
      <c r="HK53">
        <v>70.7</v>
      </c>
      <c r="HL53">
        <v>131.30000000000001</v>
      </c>
      <c r="HM53" t="s">
        <v>562</v>
      </c>
      <c r="HN53" t="s">
        <v>555</v>
      </c>
      <c r="HO53">
        <v>0</v>
      </c>
      <c r="HP53">
        <v>0</v>
      </c>
      <c r="HQ53">
        <v>0</v>
      </c>
      <c r="HR53" t="s">
        <v>264</v>
      </c>
      <c r="HS53">
        <v>69.2</v>
      </c>
      <c r="HT53">
        <v>95.1</v>
      </c>
      <c r="HU53" t="s">
        <v>563</v>
      </c>
      <c r="HV53" t="s">
        <v>555</v>
      </c>
      <c r="HW53">
        <v>0</v>
      </c>
      <c r="HX53">
        <v>0</v>
      </c>
      <c r="HY53">
        <v>0</v>
      </c>
      <c r="HZ53" t="s">
        <v>264</v>
      </c>
      <c r="IA53">
        <v>74.599999999999994</v>
      </c>
      <c r="IB53">
        <v>176.7</v>
      </c>
      <c r="IC53" t="s">
        <v>564</v>
      </c>
      <c r="ID53" t="s">
        <v>555</v>
      </c>
      <c r="IE53">
        <v>0</v>
      </c>
      <c r="IF53">
        <v>0</v>
      </c>
      <c r="IG53">
        <v>0</v>
      </c>
      <c r="IH53" t="s">
        <v>264</v>
      </c>
      <c r="II53">
        <v>68.099999999999994</v>
      </c>
      <c r="IJ53">
        <v>112.2</v>
      </c>
      <c r="IK53" t="s">
        <v>565</v>
      </c>
      <c r="IL53" t="s">
        <v>555</v>
      </c>
      <c r="IM53">
        <v>0</v>
      </c>
      <c r="IN53">
        <v>0</v>
      </c>
      <c r="IO53">
        <v>0</v>
      </c>
      <c r="IP53" t="s">
        <v>264</v>
      </c>
      <c r="IS53" t="s">
        <v>566</v>
      </c>
      <c r="IT53" t="s">
        <v>555</v>
      </c>
      <c r="IU53">
        <v>0</v>
      </c>
      <c r="IV53">
        <v>0</v>
      </c>
      <c r="IW53">
        <v>0</v>
      </c>
      <c r="IX53" t="s">
        <v>264</v>
      </c>
      <c r="JA53" t="s">
        <v>567</v>
      </c>
      <c r="JB53" t="s">
        <v>555</v>
      </c>
      <c r="JC53">
        <v>0</v>
      </c>
      <c r="JD53">
        <v>0</v>
      </c>
      <c r="JE53">
        <v>0</v>
      </c>
      <c r="JF53" t="s">
        <v>264</v>
      </c>
      <c r="JI53" t="s">
        <v>568</v>
      </c>
      <c r="JJ53" t="s">
        <v>555</v>
      </c>
      <c r="JK53">
        <v>0</v>
      </c>
      <c r="JL53">
        <v>0</v>
      </c>
      <c r="JM53">
        <v>0</v>
      </c>
      <c r="JN53" t="s">
        <v>264</v>
      </c>
      <c r="JQ53" t="s">
        <v>569</v>
      </c>
      <c r="JR53" t="s">
        <v>555</v>
      </c>
      <c r="JS53">
        <v>0</v>
      </c>
      <c r="JT53">
        <v>0</v>
      </c>
      <c r="JU53">
        <v>0</v>
      </c>
      <c r="JV53" t="s">
        <v>264</v>
      </c>
      <c r="JY53" t="s">
        <v>570</v>
      </c>
      <c r="JZ53" t="s">
        <v>555</v>
      </c>
      <c r="KA53">
        <v>0</v>
      </c>
      <c r="KB53">
        <v>0</v>
      </c>
      <c r="KC53">
        <v>0</v>
      </c>
      <c r="KD53" t="s">
        <v>264</v>
      </c>
      <c r="KG53" t="s">
        <v>571</v>
      </c>
      <c r="KH53" t="s">
        <v>555</v>
      </c>
      <c r="KI53">
        <v>0</v>
      </c>
      <c r="KJ53">
        <v>0</v>
      </c>
      <c r="KK53">
        <v>0</v>
      </c>
      <c r="KL53" t="s">
        <v>264</v>
      </c>
      <c r="KO53" t="s">
        <v>572</v>
      </c>
      <c r="KP53" t="s">
        <v>555</v>
      </c>
      <c r="KQ53">
        <v>0</v>
      </c>
      <c r="KR53">
        <v>0</v>
      </c>
      <c r="KS53">
        <v>0</v>
      </c>
      <c r="KT53" t="s">
        <v>264</v>
      </c>
      <c r="KW53" t="s">
        <v>573</v>
      </c>
      <c r="KX53" t="s">
        <v>555</v>
      </c>
      <c r="KY53">
        <v>0</v>
      </c>
      <c r="KZ53">
        <v>0</v>
      </c>
      <c r="LA53">
        <v>0</v>
      </c>
      <c r="LB53" t="s">
        <v>264</v>
      </c>
      <c r="LE53" t="s">
        <v>574</v>
      </c>
      <c r="LF53" t="s">
        <v>555</v>
      </c>
      <c r="LG53">
        <v>0</v>
      </c>
      <c r="LH53">
        <v>0</v>
      </c>
      <c r="LI53">
        <v>0</v>
      </c>
      <c r="LJ53" t="s">
        <v>264</v>
      </c>
      <c r="LM53" t="s">
        <v>575</v>
      </c>
      <c r="LN53" t="s">
        <v>555</v>
      </c>
      <c r="LO53">
        <v>0</v>
      </c>
      <c r="LP53">
        <v>0</v>
      </c>
      <c r="LQ53">
        <v>0</v>
      </c>
      <c r="LR53" t="s">
        <v>264</v>
      </c>
      <c r="LU53" t="s">
        <v>576</v>
      </c>
      <c r="LV53" t="s">
        <v>555</v>
      </c>
      <c r="LW53">
        <v>0</v>
      </c>
      <c r="LX53">
        <v>0</v>
      </c>
      <c r="LY53">
        <v>0</v>
      </c>
      <c r="LZ53" t="s">
        <v>264</v>
      </c>
      <c r="MC53" t="s">
        <v>577</v>
      </c>
      <c r="MD53" t="s">
        <v>555</v>
      </c>
      <c r="ME53">
        <v>0</v>
      </c>
      <c r="MF53">
        <v>0</v>
      </c>
      <c r="MG53">
        <v>0</v>
      </c>
      <c r="MH53" t="s">
        <v>264</v>
      </c>
      <c r="MK53" t="s">
        <v>578</v>
      </c>
      <c r="ML53" t="s">
        <v>555</v>
      </c>
      <c r="MM53">
        <v>0</v>
      </c>
      <c r="MN53">
        <v>0</v>
      </c>
      <c r="MO53">
        <v>0</v>
      </c>
      <c r="MP53" t="s">
        <v>264</v>
      </c>
      <c r="MS53" t="s">
        <v>579</v>
      </c>
      <c r="MT53" t="s">
        <v>555</v>
      </c>
      <c r="MU53">
        <v>0</v>
      </c>
      <c r="MV53">
        <v>0</v>
      </c>
      <c r="MW53">
        <v>0</v>
      </c>
      <c r="MX53" t="s">
        <v>264</v>
      </c>
      <c r="NA53" t="s">
        <v>580</v>
      </c>
      <c r="NB53" t="s">
        <v>555</v>
      </c>
      <c r="NC53">
        <v>0</v>
      </c>
      <c r="ND53">
        <v>0</v>
      </c>
      <c r="NE53">
        <v>0</v>
      </c>
      <c r="NF53" t="s">
        <v>264</v>
      </c>
      <c r="NI53">
        <v>40</v>
      </c>
      <c r="NJ53">
        <v>-11.8</v>
      </c>
      <c r="NP53" t="s">
        <v>624</v>
      </c>
    </row>
    <row r="54" spans="1:380" customFormat="1" x14ac:dyDescent="0.2">
      <c r="A54" t="s">
        <v>517</v>
      </c>
      <c r="B54">
        <v>1</v>
      </c>
      <c r="C54" t="s">
        <v>909</v>
      </c>
      <c r="D54">
        <v>646964003</v>
      </c>
      <c r="E54">
        <v>12602</v>
      </c>
      <c r="F54" t="s">
        <v>805</v>
      </c>
      <c r="G54">
        <v>802069</v>
      </c>
      <c r="H54">
        <v>210014666</v>
      </c>
      <c r="I54" t="s">
        <v>622</v>
      </c>
      <c r="J54" t="s">
        <v>910</v>
      </c>
      <c r="K54" t="s">
        <v>545</v>
      </c>
      <c r="L54" t="s">
        <v>442</v>
      </c>
      <c r="M54" t="s">
        <v>546</v>
      </c>
      <c r="N54" t="s">
        <v>468</v>
      </c>
      <c r="O54" t="s">
        <v>547</v>
      </c>
      <c r="P54" t="s">
        <v>264</v>
      </c>
      <c r="Q54">
        <v>26.2</v>
      </c>
      <c r="R54">
        <v>200</v>
      </c>
      <c r="S54" t="s">
        <v>264</v>
      </c>
      <c r="T54">
        <v>-9999</v>
      </c>
      <c r="U54">
        <v>721</v>
      </c>
      <c r="V54">
        <v>741</v>
      </c>
      <c r="W54">
        <v>712</v>
      </c>
      <c r="X54" t="s">
        <v>270</v>
      </c>
      <c r="Y54">
        <v>0</v>
      </c>
      <c r="Z54">
        <v>55</v>
      </c>
      <c r="AA54" t="s">
        <v>469</v>
      </c>
      <c r="AB54" t="s">
        <v>548</v>
      </c>
      <c r="AC54">
        <v>1</v>
      </c>
      <c r="AD54" t="s">
        <v>584</v>
      </c>
      <c r="AE54">
        <v>24.5</v>
      </c>
      <c r="AF54">
        <v>1150</v>
      </c>
      <c r="AG54" t="s">
        <v>264</v>
      </c>
      <c r="AH54">
        <v>-9999</v>
      </c>
      <c r="AI54">
        <v>640</v>
      </c>
      <c r="AJ54">
        <v>790</v>
      </c>
      <c r="AK54">
        <v>635</v>
      </c>
      <c r="AL54" t="s">
        <v>270</v>
      </c>
      <c r="AM54">
        <v>0</v>
      </c>
      <c r="AN54">
        <v>55</v>
      </c>
      <c r="AO54" t="s">
        <v>470</v>
      </c>
      <c r="AP54" t="s">
        <v>548</v>
      </c>
      <c r="AQ54">
        <v>2</v>
      </c>
      <c r="AR54" t="s">
        <v>584</v>
      </c>
      <c r="AS54">
        <v>34.9</v>
      </c>
      <c r="AT54">
        <v>309</v>
      </c>
      <c r="AU54" t="s">
        <v>264</v>
      </c>
      <c r="AV54">
        <v>-9999</v>
      </c>
      <c r="AW54">
        <v>501</v>
      </c>
      <c r="AX54">
        <v>535</v>
      </c>
      <c r="AY54">
        <v>499</v>
      </c>
      <c r="AZ54" t="s">
        <v>270</v>
      </c>
      <c r="BA54">
        <v>0</v>
      </c>
      <c r="BB54">
        <v>55</v>
      </c>
      <c r="BC54" t="s">
        <v>550</v>
      </c>
      <c r="BD54" t="s">
        <v>548</v>
      </c>
      <c r="BE54">
        <v>3</v>
      </c>
      <c r="BF54" t="s">
        <v>584</v>
      </c>
      <c r="BG54">
        <v>20.399999999999999</v>
      </c>
      <c r="BH54">
        <v>953</v>
      </c>
      <c r="BI54" t="s">
        <v>264</v>
      </c>
      <c r="BJ54">
        <v>-9999</v>
      </c>
      <c r="BK54">
        <v>87</v>
      </c>
      <c r="BL54">
        <v>125</v>
      </c>
      <c r="BM54">
        <v>92</v>
      </c>
      <c r="BN54" t="s">
        <v>270</v>
      </c>
      <c r="BO54">
        <v>0</v>
      </c>
      <c r="BP54">
        <v>55</v>
      </c>
      <c r="BQ54" t="s">
        <v>504</v>
      </c>
      <c r="BR54" t="s">
        <v>548</v>
      </c>
      <c r="BS54">
        <v>4</v>
      </c>
      <c r="BT54" t="s">
        <v>584</v>
      </c>
      <c r="BU54">
        <v>29.6</v>
      </c>
      <c r="BV54">
        <v>243</v>
      </c>
      <c r="BW54" t="s">
        <v>264</v>
      </c>
      <c r="BX54">
        <v>-9999</v>
      </c>
      <c r="BY54">
        <v>259</v>
      </c>
      <c r="BZ54">
        <v>299</v>
      </c>
      <c r="CA54">
        <v>257</v>
      </c>
      <c r="CB54" t="s">
        <v>270</v>
      </c>
      <c r="CC54">
        <v>0</v>
      </c>
      <c r="CD54">
        <v>55</v>
      </c>
      <c r="CE54" t="s">
        <v>471</v>
      </c>
      <c r="CF54" t="s">
        <v>548</v>
      </c>
      <c r="CG54">
        <v>5</v>
      </c>
      <c r="CH54" t="s">
        <v>584</v>
      </c>
      <c r="CI54">
        <v>36.9</v>
      </c>
      <c r="CJ54">
        <v>147</v>
      </c>
      <c r="CK54" t="s">
        <v>264</v>
      </c>
      <c r="CL54">
        <v>-9999</v>
      </c>
      <c r="CM54">
        <v>542</v>
      </c>
      <c r="CN54">
        <v>638</v>
      </c>
      <c r="CO54">
        <v>543</v>
      </c>
      <c r="CP54" t="s">
        <v>270</v>
      </c>
      <c r="CQ54">
        <v>0</v>
      </c>
      <c r="CR54">
        <v>55</v>
      </c>
      <c r="CS54" t="s">
        <v>472</v>
      </c>
      <c r="CT54" t="s">
        <v>548</v>
      </c>
      <c r="CU54">
        <v>6</v>
      </c>
      <c r="CV54" t="s">
        <v>584</v>
      </c>
      <c r="CW54">
        <v>34.1</v>
      </c>
      <c r="CX54">
        <v>191</v>
      </c>
      <c r="CY54" t="s">
        <v>264</v>
      </c>
      <c r="CZ54">
        <v>-9999</v>
      </c>
      <c r="DA54">
        <v>769</v>
      </c>
      <c r="DB54">
        <v>878</v>
      </c>
      <c r="DC54">
        <v>759</v>
      </c>
      <c r="DD54" t="s">
        <v>270</v>
      </c>
      <c r="DE54">
        <v>0</v>
      </c>
      <c r="DF54">
        <v>55</v>
      </c>
      <c r="DG54" t="s">
        <v>473</v>
      </c>
      <c r="DH54" t="s">
        <v>548</v>
      </c>
      <c r="DI54">
        <v>7</v>
      </c>
      <c r="DJ54" t="s">
        <v>584</v>
      </c>
      <c r="DK54">
        <v>25.4</v>
      </c>
      <c r="DL54">
        <v>178</v>
      </c>
      <c r="DM54" t="s">
        <v>264</v>
      </c>
      <c r="DN54">
        <v>-9999</v>
      </c>
      <c r="DO54">
        <v>566</v>
      </c>
      <c r="DP54">
        <v>637</v>
      </c>
      <c r="DQ54">
        <v>563</v>
      </c>
      <c r="DR54" t="s">
        <v>270</v>
      </c>
      <c r="DS54">
        <v>0</v>
      </c>
      <c r="DT54">
        <v>55</v>
      </c>
      <c r="DU54" t="s">
        <v>474</v>
      </c>
      <c r="DV54" t="s">
        <v>548</v>
      </c>
      <c r="DW54">
        <v>8</v>
      </c>
      <c r="DX54" t="s">
        <v>584</v>
      </c>
      <c r="DY54">
        <v>21.8</v>
      </c>
      <c r="DZ54">
        <v>439</v>
      </c>
      <c r="EA54" t="s">
        <v>264</v>
      </c>
      <c r="EB54">
        <v>-9999</v>
      </c>
      <c r="EC54">
        <v>114</v>
      </c>
      <c r="ED54">
        <v>143</v>
      </c>
      <c r="EE54">
        <v>113</v>
      </c>
      <c r="EF54" t="s">
        <v>270</v>
      </c>
      <c r="EG54">
        <v>0</v>
      </c>
      <c r="EH54">
        <v>55</v>
      </c>
      <c r="EI54" t="s">
        <v>475</v>
      </c>
      <c r="EJ54" t="s">
        <v>548</v>
      </c>
      <c r="EK54">
        <v>9</v>
      </c>
      <c r="EL54" t="s">
        <v>584</v>
      </c>
      <c r="EM54">
        <v>26.6</v>
      </c>
      <c r="EN54">
        <v>62</v>
      </c>
      <c r="EO54" t="s">
        <v>264</v>
      </c>
      <c r="EP54">
        <v>-9999</v>
      </c>
      <c r="EQ54">
        <v>356</v>
      </c>
      <c r="ER54">
        <v>341</v>
      </c>
      <c r="ES54">
        <v>316</v>
      </c>
      <c r="ET54" t="s">
        <v>270</v>
      </c>
      <c r="EU54">
        <v>0</v>
      </c>
      <c r="EV54">
        <v>55</v>
      </c>
      <c r="EW54" t="s">
        <v>551</v>
      </c>
      <c r="EX54" t="s">
        <v>552</v>
      </c>
      <c r="EY54">
        <v>131</v>
      </c>
      <c r="EZ54">
        <v>131</v>
      </c>
      <c r="FA54">
        <v>131</v>
      </c>
      <c r="FB54" t="s">
        <v>270</v>
      </c>
      <c r="FC54" t="s">
        <v>553</v>
      </c>
      <c r="FD54" t="s">
        <v>552</v>
      </c>
      <c r="FE54">
        <v>402</v>
      </c>
      <c r="FF54">
        <v>400</v>
      </c>
      <c r="FG54">
        <v>399</v>
      </c>
      <c r="FH54" t="s">
        <v>270</v>
      </c>
      <c r="FI54" t="s">
        <v>554</v>
      </c>
      <c r="FJ54" t="s">
        <v>555</v>
      </c>
      <c r="FK54">
        <v>0</v>
      </c>
      <c r="FL54">
        <v>0</v>
      </c>
      <c r="FM54">
        <v>0</v>
      </c>
      <c r="FN54" t="s">
        <v>264</v>
      </c>
      <c r="FO54">
        <v>75.7</v>
      </c>
      <c r="FP54">
        <v>288.3</v>
      </c>
      <c r="FQ54" t="s">
        <v>556</v>
      </c>
      <c r="FR54" t="s">
        <v>555</v>
      </c>
      <c r="FS54">
        <v>0</v>
      </c>
      <c r="FT54">
        <v>0</v>
      </c>
      <c r="FU54">
        <v>0</v>
      </c>
      <c r="FV54" t="s">
        <v>264</v>
      </c>
      <c r="FW54">
        <v>73.3</v>
      </c>
      <c r="FX54">
        <v>109.5</v>
      </c>
      <c r="FY54" t="s">
        <v>557</v>
      </c>
      <c r="FZ54" t="s">
        <v>555</v>
      </c>
      <c r="GA54">
        <v>0</v>
      </c>
      <c r="GB54">
        <v>0</v>
      </c>
      <c r="GC54">
        <v>0</v>
      </c>
      <c r="GD54" t="s">
        <v>264</v>
      </c>
      <c r="GE54">
        <v>71.099999999999994</v>
      </c>
      <c r="GF54">
        <v>232.2</v>
      </c>
      <c r="GG54" t="s">
        <v>558</v>
      </c>
      <c r="GH54" t="s">
        <v>555</v>
      </c>
      <c r="GI54">
        <v>0</v>
      </c>
      <c r="GJ54">
        <v>0</v>
      </c>
      <c r="GK54">
        <v>0</v>
      </c>
      <c r="GL54" t="s">
        <v>264</v>
      </c>
      <c r="GM54">
        <v>68</v>
      </c>
      <c r="GN54">
        <v>62.5</v>
      </c>
      <c r="GO54" t="s">
        <v>559</v>
      </c>
      <c r="GP54" t="s">
        <v>555</v>
      </c>
      <c r="GQ54">
        <v>0</v>
      </c>
      <c r="GR54">
        <v>0</v>
      </c>
      <c r="GS54">
        <v>0</v>
      </c>
      <c r="GT54" t="s">
        <v>264</v>
      </c>
      <c r="GU54">
        <v>75.8</v>
      </c>
      <c r="GV54">
        <v>57.4</v>
      </c>
      <c r="GW54" t="s">
        <v>560</v>
      </c>
      <c r="GX54" t="s">
        <v>555</v>
      </c>
      <c r="GY54">
        <v>0</v>
      </c>
      <c r="GZ54">
        <v>0</v>
      </c>
      <c r="HA54">
        <v>0</v>
      </c>
      <c r="HB54" t="s">
        <v>264</v>
      </c>
      <c r="HC54">
        <v>70.2</v>
      </c>
      <c r="HD54">
        <v>75.599999999999994</v>
      </c>
      <c r="HE54" t="s">
        <v>561</v>
      </c>
      <c r="HF54" t="s">
        <v>555</v>
      </c>
      <c r="HG54">
        <v>0</v>
      </c>
      <c r="HH54">
        <v>0</v>
      </c>
      <c r="HI54">
        <v>0</v>
      </c>
      <c r="HJ54" t="s">
        <v>264</v>
      </c>
      <c r="HK54">
        <v>70.8</v>
      </c>
      <c r="HL54">
        <v>131.80000000000001</v>
      </c>
      <c r="HM54" t="s">
        <v>562</v>
      </c>
      <c r="HN54" t="s">
        <v>555</v>
      </c>
      <c r="HO54">
        <v>0</v>
      </c>
      <c r="HP54">
        <v>0</v>
      </c>
      <c r="HQ54">
        <v>0</v>
      </c>
      <c r="HR54" t="s">
        <v>264</v>
      </c>
      <c r="HS54">
        <v>68.8</v>
      </c>
      <c r="HT54">
        <v>87.1</v>
      </c>
      <c r="HU54" t="s">
        <v>563</v>
      </c>
      <c r="HV54" t="s">
        <v>555</v>
      </c>
      <c r="HW54">
        <v>0</v>
      </c>
      <c r="HX54">
        <v>0</v>
      </c>
      <c r="HY54">
        <v>0</v>
      </c>
      <c r="HZ54" t="s">
        <v>264</v>
      </c>
      <c r="IA54">
        <v>74.5</v>
      </c>
      <c r="IB54">
        <v>202.7</v>
      </c>
      <c r="IC54" t="s">
        <v>564</v>
      </c>
      <c r="ID54" t="s">
        <v>555</v>
      </c>
      <c r="IE54">
        <v>0</v>
      </c>
      <c r="IF54">
        <v>0</v>
      </c>
      <c r="IG54">
        <v>0</v>
      </c>
      <c r="IH54" t="s">
        <v>264</v>
      </c>
      <c r="II54">
        <v>68.099999999999994</v>
      </c>
      <c r="IJ54">
        <v>108.9</v>
      </c>
      <c r="IK54" t="s">
        <v>565</v>
      </c>
      <c r="IL54" t="s">
        <v>555</v>
      </c>
      <c r="IM54">
        <v>0</v>
      </c>
      <c r="IN54">
        <v>0</v>
      </c>
      <c r="IO54">
        <v>0</v>
      </c>
      <c r="IP54" t="s">
        <v>264</v>
      </c>
      <c r="IS54" t="s">
        <v>566</v>
      </c>
      <c r="IT54" t="s">
        <v>555</v>
      </c>
      <c r="IU54">
        <v>0</v>
      </c>
      <c r="IV54">
        <v>0</v>
      </c>
      <c r="IW54">
        <v>0</v>
      </c>
      <c r="IX54" t="s">
        <v>264</v>
      </c>
      <c r="JA54" t="s">
        <v>567</v>
      </c>
      <c r="JB54" t="s">
        <v>555</v>
      </c>
      <c r="JC54">
        <v>0</v>
      </c>
      <c r="JD54">
        <v>0</v>
      </c>
      <c r="JE54">
        <v>0</v>
      </c>
      <c r="JF54" t="s">
        <v>264</v>
      </c>
      <c r="JI54" t="s">
        <v>568</v>
      </c>
      <c r="JJ54" t="s">
        <v>555</v>
      </c>
      <c r="JK54">
        <v>0</v>
      </c>
      <c r="JL54">
        <v>0</v>
      </c>
      <c r="JM54">
        <v>0</v>
      </c>
      <c r="JN54" t="s">
        <v>264</v>
      </c>
      <c r="JQ54" t="s">
        <v>569</v>
      </c>
      <c r="JR54" t="s">
        <v>555</v>
      </c>
      <c r="JS54">
        <v>0</v>
      </c>
      <c r="JT54">
        <v>0</v>
      </c>
      <c r="JU54">
        <v>0</v>
      </c>
      <c r="JV54" t="s">
        <v>264</v>
      </c>
      <c r="JY54" t="s">
        <v>570</v>
      </c>
      <c r="JZ54" t="s">
        <v>555</v>
      </c>
      <c r="KA54">
        <v>0</v>
      </c>
      <c r="KB54">
        <v>0</v>
      </c>
      <c r="KC54">
        <v>0</v>
      </c>
      <c r="KD54" t="s">
        <v>264</v>
      </c>
      <c r="KG54" t="s">
        <v>571</v>
      </c>
      <c r="KH54" t="s">
        <v>555</v>
      </c>
      <c r="KI54">
        <v>0</v>
      </c>
      <c r="KJ54">
        <v>0</v>
      </c>
      <c r="KK54">
        <v>0</v>
      </c>
      <c r="KL54" t="s">
        <v>264</v>
      </c>
      <c r="KO54" t="s">
        <v>572</v>
      </c>
      <c r="KP54" t="s">
        <v>555</v>
      </c>
      <c r="KQ54">
        <v>0</v>
      </c>
      <c r="KR54">
        <v>0</v>
      </c>
      <c r="KS54">
        <v>0</v>
      </c>
      <c r="KT54" t="s">
        <v>264</v>
      </c>
      <c r="KW54" t="s">
        <v>573</v>
      </c>
      <c r="KX54" t="s">
        <v>555</v>
      </c>
      <c r="KY54">
        <v>0</v>
      </c>
      <c r="KZ54">
        <v>0</v>
      </c>
      <c r="LA54">
        <v>0</v>
      </c>
      <c r="LB54" t="s">
        <v>264</v>
      </c>
      <c r="LE54" t="s">
        <v>574</v>
      </c>
      <c r="LF54" t="s">
        <v>555</v>
      </c>
      <c r="LG54">
        <v>0</v>
      </c>
      <c r="LH54">
        <v>0</v>
      </c>
      <c r="LI54">
        <v>0</v>
      </c>
      <c r="LJ54" t="s">
        <v>264</v>
      </c>
      <c r="LM54" t="s">
        <v>575</v>
      </c>
      <c r="LN54" t="s">
        <v>555</v>
      </c>
      <c r="LO54">
        <v>0</v>
      </c>
      <c r="LP54">
        <v>0</v>
      </c>
      <c r="LQ54">
        <v>0</v>
      </c>
      <c r="LR54" t="s">
        <v>264</v>
      </c>
      <c r="LU54" t="s">
        <v>576</v>
      </c>
      <c r="LV54" t="s">
        <v>555</v>
      </c>
      <c r="LW54">
        <v>0</v>
      </c>
      <c r="LX54">
        <v>0</v>
      </c>
      <c r="LY54">
        <v>0</v>
      </c>
      <c r="LZ54" t="s">
        <v>264</v>
      </c>
      <c r="MC54" t="s">
        <v>577</v>
      </c>
      <c r="MD54" t="s">
        <v>555</v>
      </c>
      <c r="ME54">
        <v>0</v>
      </c>
      <c r="MF54">
        <v>0</v>
      </c>
      <c r="MG54">
        <v>0</v>
      </c>
      <c r="MH54" t="s">
        <v>264</v>
      </c>
      <c r="MK54" t="s">
        <v>578</v>
      </c>
      <c r="ML54" t="s">
        <v>555</v>
      </c>
      <c r="MM54">
        <v>0</v>
      </c>
      <c r="MN54">
        <v>0</v>
      </c>
      <c r="MO54">
        <v>0</v>
      </c>
      <c r="MP54" t="s">
        <v>264</v>
      </c>
      <c r="MS54" t="s">
        <v>579</v>
      </c>
      <c r="MT54" t="s">
        <v>555</v>
      </c>
      <c r="MU54">
        <v>0</v>
      </c>
      <c r="MV54">
        <v>0</v>
      </c>
      <c r="MW54">
        <v>0</v>
      </c>
      <c r="MX54" t="s">
        <v>264</v>
      </c>
      <c r="NA54" t="s">
        <v>580</v>
      </c>
      <c r="NB54" t="s">
        <v>555</v>
      </c>
      <c r="NC54">
        <v>0</v>
      </c>
      <c r="ND54">
        <v>0</v>
      </c>
      <c r="NE54">
        <v>0</v>
      </c>
      <c r="NF54" t="s">
        <v>264</v>
      </c>
      <c r="NI54">
        <v>40.1</v>
      </c>
      <c r="NJ54">
        <v>-8.3000000000000007</v>
      </c>
      <c r="NP54" t="s">
        <v>624</v>
      </c>
    </row>
    <row r="55" spans="1:380" customFormat="1" x14ac:dyDescent="0.2">
      <c r="A55" t="s">
        <v>517</v>
      </c>
      <c r="B55">
        <v>1</v>
      </c>
      <c r="C55" t="s">
        <v>911</v>
      </c>
      <c r="D55">
        <v>646963827</v>
      </c>
      <c r="E55">
        <v>12602</v>
      </c>
      <c r="F55" t="s">
        <v>805</v>
      </c>
      <c r="G55">
        <v>802069</v>
      </c>
      <c r="H55">
        <v>210024004</v>
      </c>
      <c r="I55" t="s">
        <v>622</v>
      </c>
      <c r="J55" t="s">
        <v>912</v>
      </c>
      <c r="K55" t="s">
        <v>545</v>
      </c>
      <c r="L55" t="s">
        <v>442</v>
      </c>
      <c r="M55" t="s">
        <v>546</v>
      </c>
      <c r="N55" t="s">
        <v>468</v>
      </c>
      <c r="O55" t="s">
        <v>547</v>
      </c>
      <c r="P55" t="s">
        <v>264</v>
      </c>
      <c r="Q55">
        <v>25.5</v>
      </c>
      <c r="R55">
        <v>229</v>
      </c>
      <c r="S55" t="s">
        <v>264</v>
      </c>
      <c r="T55">
        <v>-9999</v>
      </c>
      <c r="U55">
        <v>535</v>
      </c>
      <c r="V55">
        <v>553</v>
      </c>
      <c r="W55">
        <v>528</v>
      </c>
      <c r="X55" t="s">
        <v>270</v>
      </c>
      <c r="Y55">
        <v>0</v>
      </c>
      <c r="Z55">
        <v>55</v>
      </c>
      <c r="AA55" t="s">
        <v>469</v>
      </c>
      <c r="AB55" t="s">
        <v>548</v>
      </c>
      <c r="AC55">
        <v>1</v>
      </c>
      <c r="AD55" t="s">
        <v>584</v>
      </c>
      <c r="AE55">
        <v>22.3</v>
      </c>
      <c r="AF55">
        <v>1506</v>
      </c>
      <c r="AG55" t="s">
        <v>264</v>
      </c>
      <c r="AH55">
        <v>-9999</v>
      </c>
      <c r="AI55">
        <v>451</v>
      </c>
      <c r="AJ55">
        <v>557</v>
      </c>
      <c r="AK55">
        <v>450</v>
      </c>
      <c r="AL55" t="s">
        <v>270</v>
      </c>
      <c r="AM55">
        <v>0</v>
      </c>
      <c r="AN55">
        <v>55</v>
      </c>
      <c r="AO55" t="s">
        <v>470</v>
      </c>
      <c r="AP55" t="s">
        <v>548</v>
      </c>
      <c r="AQ55">
        <v>2</v>
      </c>
      <c r="AR55" t="s">
        <v>584</v>
      </c>
      <c r="AS55">
        <v>32.700000000000003</v>
      </c>
      <c r="AT55">
        <v>351</v>
      </c>
      <c r="AU55" t="s">
        <v>264</v>
      </c>
      <c r="AV55">
        <v>-9999</v>
      </c>
      <c r="AW55">
        <v>401</v>
      </c>
      <c r="AX55">
        <v>421</v>
      </c>
      <c r="AY55">
        <v>399</v>
      </c>
      <c r="AZ55" t="s">
        <v>270</v>
      </c>
      <c r="BA55">
        <v>0</v>
      </c>
      <c r="BB55">
        <v>55</v>
      </c>
      <c r="BC55" t="s">
        <v>550</v>
      </c>
      <c r="BD55" t="s">
        <v>548</v>
      </c>
      <c r="BE55">
        <v>3</v>
      </c>
      <c r="BF55" t="s">
        <v>584</v>
      </c>
      <c r="BG55">
        <v>21.2</v>
      </c>
      <c r="BH55">
        <v>761</v>
      </c>
      <c r="BI55" t="s">
        <v>264</v>
      </c>
      <c r="BJ55">
        <v>-9999</v>
      </c>
      <c r="BK55">
        <v>133</v>
      </c>
      <c r="BL55">
        <v>168</v>
      </c>
      <c r="BM55">
        <v>133</v>
      </c>
      <c r="BN55" t="s">
        <v>270</v>
      </c>
      <c r="BO55">
        <v>0</v>
      </c>
      <c r="BP55">
        <v>55</v>
      </c>
      <c r="BQ55" t="s">
        <v>504</v>
      </c>
      <c r="BR55" t="s">
        <v>548</v>
      </c>
      <c r="BS55">
        <v>4</v>
      </c>
      <c r="BT55" t="s">
        <v>584</v>
      </c>
      <c r="BU55">
        <v>27.3</v>
      </c>
      <c r="BV55">
        <v>292</v>
      </c>
      <c r="BW55" t="s">
        <v>264</v>
      </c>
      <c r="BX55">
        <v>-9999</v>
      </c>
      <c r="BY55">
        <v>215</v>
      </c>
      <c r="BZ55">
        <v>249</v>
      </c>
      <c r="CA55">
        <v>214</v>
      </c>
      <c r="CB55" t="s">
        <v>270</v>
      </c>
      <c r="CC55">
        <v>0</v>
      </c>
      <c r="CD55">
        <v>55</v>
      </c>
      <c r="CE55" t="s">
        <v>471</v>
      </c>
      <c r="CF55" t="s">
        <v>548</v>
      </c>
      <c r="CG55">
        <v>5</v>
      </c>
      <c r="CH55" t="s">
        <v>584</v>
      </c>
      <c r="CI55">
        <v>32.200000000000003</v>
      </c>
      <c r="CJ55">
        <v>226</v>
      </c>
      <c r="CK55" t="s">
        <v>264</v>
      </c>
      <c r="CL55">
        <v>-9999</v>
      </c>
      <c r="CM55">
        <v>443</v>
      </c>
      <c r="CN55">
        <v>517</v>
      </c>
      <c r="CO55">
        <v>443</v>
      </c>
      <c r="CP55" t="s">
        <v>270</v>
      </c>
      <c r="CQ55">
        <v>0</v>
      </c>
      <c r="CR55">
        <v>55</v>
      </c>
      <c r="CS55" t="s">
        <v>472</v>
      </c>
      <c r="CT55" t="s">
        <v>548</v>
      </c>
      <c r="CU55">
        <v>6</v>
      </c>
      <c r="CV55" t="s">
        <v>584</v>
      </c>
      <c r="CW55">
        <v>31.3</v>
      </c>
      <c r="CX55">
        <v>259</v>
      </c>
      <c r="CY55" t="s">
        <v>264</v>
      </c>
      <c r="CZ55">
        <v>-9999</v>
      </c>
      <c r="DA55">
        <v>687</v>
      </c>
      <c r="DB55">
        <v>782</v>
      </c>
      <c r="DC55">
        <v>678</v>
      </c>
      <c r="DD55" t="s">
        <v>270</v>
      </c>
      <c r="DE55">
        <v>0</v>
      </c>
      <c r="DF55">
        <v>55</v>
      </c>
      <c r="DG55" t="s">
        <v>473</v>
      </c>
      <c r="DH55" t="s">
        <v>548</v>
      </c>
      <c r="DI55">
        <v>7</v>
      </c>
      <c r="DJ55" t="s">
        <v>584</v>
      </c>
      <c r="DK55">
        <v>23.7</v>
      </c>
      <c r="DL55">
        <v>234</v>
      </c>
      <c r="DM55" t="s">
        <v>264</v>
      </c>
      <c r="DN55">
        <v>-9999</v>
      </c>
      <c r="DO55">
        <v>547</v>
      </c>
      <c r="DP55">
        <v>628</v>
      </c>
      <c r="DQ55">
        <v>543</v>
      </c>
      <c r="DR55" t="s">
        <v>270</v>
      </c>
      <c r="DS55">
        <v>0</v>
      </c>
      <c r="DT55">
        <v>55</v>
      </c>
      <c r="DU55" t="s">
        <v>474</v>
      </c>
      <c r="DV55" t="s">
        <v>548</v>
      </c>
      <c r="DW55">
        <v>8</v>
      </c>
      <c r="DX55" t="s">
        <v>584</v>
      </c>
      <c r="DY55">
        <v>20.7</v>
      </c>
      <c r="DZ55">
        <v>471</v>
      </c>
      <c r="EA55" t="s">
        <v>264</v>
      </c>
      <c r="EB55">
        <v>-9999</v>
      </c>
      <c r="EC55">
        <v>106</v>
      </c>
      <c r="ED55">
        <v>127</v>
      </c>
      <c r="EE55">
        <v>104</v>
      </c>
      <c r="EF55" t="s">
        <v>270</v>
      </c>
      <c r="EG55">
        <v>0</v>
      </c>
      <c r="EH55">
        <v>55</v>
      </c>
      <c r="EI55" t="s">
        <v>475</v>
      </c>
      <c r="EJ55" t="s">
        <v>548</v>
      </c>
      <c r="EK55">
        <v>9</v>
      </c>
      <c r="EL55" t="s">
        <v>584</v>
      </c>
      <c r="EM55">
        <v>24.8</v>
      </c>
      <c r="EN55">
        <v>99</v>
      </c>
      <c r="EO55" t="s">
        <v>264</v>
      </c>
      <c r="EP55">
        <v>-9999</v>
      </c>
      <c r="EQ55">
        <v>302</v>
      </c>
      <c r="ER55">
        <v>283</v>
      </c>
      <c r="ES55">
        <v>264</v>
      </c>
      <c r="ET55" t="s">
        <v>270</v>
      </c>
      <c r="EU55">
        <v>0</v>
      </c>
      <c r="EV55">
        <v>55</v>
      </c>
      <c r="EW55" t="s">
        <v>551</v>
      </c>
      <c r="EX55" t="s">
        <v>552</v>
      </c>
      <c r="EY55">
        <v>123</v>
      </c>
      <c r="EZ55">
        <v>123</v>
      </c>
      <c r="FA55">
        <v>122</v>
      </c>
      <c r="FB55" t="s">
        <v>270</v>
      </c>
      <c r="FC55" t="s">
        <v>553</v>
      </c>
      <c r="FD55" t="s">
        <v>552</v>
      </c>
      <c r="FE55">
        <v>378</v>
      </c>
      <c r="FF55">
        <v>377</v>
      </c>
      <c r="FG55">
        <v>376</v>
      </c>
      <c r="FH55" t="s">
        <v>270</v>
      </c>
      <c r="FI55" t="s">
        <v>554</v>
      </c>
      <c r="FJ55" t="s">
        <v>555</v>
      </c>
      <c r="FK55">
        <v>0</v>
      </c>
      <c r="FL55">
        <v>0</v>
      </c>
      <c r="FM55">
        <v>0</v>
      </c>
      <c r="FN55" t="s">
        <v>264</v>
      </c>
      <c r="FO55">
        <v>76.099999999999994</v>
      </c>
      <c r="FP55">
        <v>259.39999999999998</v>
      </c>
      <c r="FQ55" t="s">
        <v>556</v>
      </c>
      <c r="FR55" t="s">
        <v>555</v>
      </c>
      <c r="FS55">
        <v>0</v>
      </c>
      <c r="FT55">
        <v>0</v>
      </c>
      <c r="FU55">
        <v>0</v>
      </c>
      <c r="FV55" t="s">
        <v>264</v>
      </c>
      <c r="FW55">
        <v>73.599999999999994</v>
      </c>
      <c r="FX55">
        <v>84.6</v>
      </c>
      <c r="FY55" t="s">
        <v>557</v>
      </c>
      <c r="FZ55" t="s">
        <v>555</v>
      </c>
      <c r="GA55">
        <v>0</v>
      </c>
      <c r="GB55">
        <v>0</v>
      </c>
      <c r="GC55">
        <v>0</v>
      </c>
      <c r="GD55" t="s">
        <v>264</v>
      </c>
      <c r="GE55">
        <v>71.3</v>
      </c>
      <c r="GF55">
        <v>229</v>
      </c>
      <c r="GG55" t="s">
        <v>558</v>
      </c>
      <c r="GH55" t="s">
        <v>555</v>
      </c>
      <c r="GI55">
        <v>0</v>
      </c>
      <c r="GJ55">
        <v>0</v>
      </c>
      <c r="GK55">
        <v>0</v>
      </c>
      <c r="GL55" t="s">
        <v>264</v>
      </c>
      <c r="GM55">
        <v>68.5</v>
      </c>
      <c r="GN55">
        <v>46</v>
      </c>
      <c r="GO55" t="s">
        <v>559</v>
      </c>
      <c r="GP55" t="s">
        <v>555</v>
      </c>
      <c r="GQ55">
        <v>0</v>
      </c>
      <c r="GR55">
        <v>0</v>
      </c>
      <c r="GS55">
        <v>0</v>
      </c>
      <c r="GT55" t="s">
        <v>264</v>
      </c>
      <c r="GU55">
        <v>76.099999999999994</v>
      </c>
      <c r="GV55">
        <v>51.9</v>
      </c>
      <c r="GW55" t="s">
        <v>560</v>
      </c>
      <c r="GX55" t="s">
        <v>555</v>
      </c>
      <c r="GY55">
        <v>0</v>
      </c>
      <c r="GZ55">
        <v>0</v>
      </c>
      <c r="HA55">
        <v>0</v>
      </c>
      <c r="HB55" t="s">
        <v>264</v>
      </c>
      <c r="HC55">
        <v>70.400000000000006</v>
      </c>
      <c r="HD55">
        <v>82.1</v>
      </c>
      <c r="HE55" t="s">
        <v>561</v>
      </c>
      <c r="HF55" t="s">
        <v>555</v>
      </c>
      <c r="HG55">
        <v>0</v>
      </c>
      <c r="HH55">
        <v>0</v>
      </c>
      <c r="HI55">
        <v>0</v>
      </c>
      <c r="HJ55" t="s">
        <v>264</v>
      </c>
      <c r="HK55">
        <v>71</v>
      </c>
      <c r="HL55">
        <v>139.6</v>
      </c>
      <c r="HM55" t="s">
        <v>562</v>
      </c>
      <c r="HN55" t="s">
        <v>555</v>
      </c>
      <c r="HO55">
        <v>0</v>
      </c>
      <c r="HP55">
        <v>0</v>
      </c>
      <c r="HQ55">
        <v>0</v>
      </c>
      <c r="HR55" t="s">
        <v>264</v>
      </c>
      <c r="HS55">
        <v>69.2</v>
      </c>
      <c r="HT55">
        <v>83.9</v>
      </c>
      <c r="HU55" t="s">
        <v>563</v>
      </c>
      <c r="HV55" t="s">
        <v>555</v>
      </c>
      <c r="HW55">
        <v>0</v>
      </c>
      <c r="HX55">
        <v>0</v>
      </c>
      <c r="HY55">
        <v>0</v>
      </c>
      <c r="HZ55" t="s">
        <v>264</v>
      </c>
      <c r="IA55">
        <v>74.8</v>
      </c>
      <c r="IB55">
        <v>178.8</v>
      </c>
      <c r="IC55" t="s">
        <v>564</v>
      </c>
      <c r="ID55" t="s">
        <v>555</v>
      </c>
      <c r="IE55">
        <v>0</v>
      </c>
      <c r="IF55">
        <v>0</v>
      </c>
      <c r="IG55">
        <v>0</v>
      </c>
      <c r="IH55" t="s">
        <v>264</v>
      </c>
      <c r="II55">
        <v>68.3</v>
      </c>
      <c r="IJ55">
        <v>120.2</v>
      </c>
      <c r="IK55" t="s">
        <v>565</v>
      </c>
      <c r="IL55" t="s">
        <v>555</v>
      </c>
      <c r="IM55">
        <v>0</v>
      </c>
      <c r="IN55">
        <v>0</v>
      </c>
      <c r="IO55">
        <v>0</v>
      </c>
      <c r="IP55" t="s">
        <v>264</v>
      </c>
      <c r="IS55" t="s">
        <v>566</v>
      </c>
      <c r="IT55" t="s">
        <v>555</v>
      </c>
      <c r="IU55">
        <v>0</v>
      </c>
      <c r="IV55">
        <v>0</v>
      </c>
      <c r="IW55">
        <v>0</v>
      </c>
      <c r="IX55" t="s">
        <v>264</v>
      </c>
      <c r="JA55" t="s">
        <v>567</v>
      </c>
      <c r="JB55" t="s">
        <v>555</v>
      </c>
      <c r="JC55">
        <v>0</v>
      </c>
      <c r="JD55">
        <v>0</v>
      </c>
      <c r="JE55">
        <v>0</v>
      </c>
      <c r="JF55" t="s">
        <v>264</v>
      </c>
      <c r="JI55" t="s">
        <v>568</v>
      </c>
      <c r="JJ55" t="s">
        <v>555</v>
      </c>
      <c r="JK55">
        <v>0</v>
      </c>
      <c r="JL55">
        <v>0</v>
      </c>
      <c r="JM55">
        <v>0</v>
      </c>
      <c r="JN55" t="s">
        <v>264</v>
      </c>
      <c r="JQ55" t="s">
        <v>569</v>
      </c>
      <c r="JR55" t="s">
        <v>555</v>
      </c>
      <c r="JS55">
        <v>0</v>
      </c>
      <c r="JT55">
        <v>0</v>
      </c>
      <c r="JU55">
        <v>0</v>
      </c>
      <c r="JV55" t="s">
        <v>264</v>
      </c>
      <c r="JY55" t="s">
        <v>570</v>
      </c>
      <c r="JZ55" t="s">
        <v>555</v>
      </c>
      <c r="KA55">
        <v>0</v>
      </c>
      <c r="KB55">
        <v>0</v>
      </c>
      <c r="KC55">
        <v>0</v>
      </c>
      <c r="KD55" t="s">
        <v>264</v>
      </c>
      <c r="KG55" t="s">
        <v>571</v>
      </c>
      <c r="KH55" t="s">
        <v>555</v>
      </c>
      <c r="KI55">
        <v>0</v>
      </c>
      <c r="KJ55">
        <v>0</v>
      </c>
      <c r="KK55">
        <v>0</v>
      </c>
      <c r="KL55" t="s">
        <v>264</v>
      </c>
      <c r="KO55" t="s">
        <v>572</v>
      </c>
      <c r="KP55" t="s">
        <v>555</v>
      </c>
      <c r="KQ55">
        <v>0</v>
      </c>
      <c r="KR55">
        <v>0</v>
      </c>
      <c r="KS55">
        <v>0</v>
      </c>
      <c r="KT55" t="s">
        <v>264</v>
      </c>
      <c r="KW55" t="s">
        <v>573</v>
      </c>
      <c r="KX55" t="s">
        <v>555</v>
      </c>
      <c r="KY55">
        <v>0</v>
      </c>
      <c r="KZ55">
        <v>0</v>
      </c>
      <c r="LA55">
        <v>0</v>
      </c>
      <c r="LB55" t="s">
        <v>264</v>
      </c>
      <c r="LE55" t="s">
        <v>574</v>
      </c>
      <c r="LF55" t="s">
        <v>555</v>
      </c>
      <c r="LG55">
        <v>0</v>
      </c>
      <c r="LH55">
        <v>0</v>
      </c>
      <c r="LI55">
        <v>0</v>
      </c>
      <c r="LJ55" t="s">
        <v>264</v>
      </c>
      <c r="LM55" t="s">
        <v>575</v>
      </c>
      <c r="LN55" t="s">
        <v>555</v>
      </c>
      <c r="LO55">
        <v>0</v>
      </c>
      <c r="LP55">
        <v>0</v>
      </c>
      <c r="LQ55">
        <v>0</v>
      </c>
      <c r="LR55" t="s">
        <v>264</v>
      </c>
      <c r="LU55" t="s">
        <v>576</v>
      </c>
      <c r="LV55" t="s">
        <v>555</v>
      </c>
      <c r="LW55">
        <v>0</v>
      </c>
      <c r="LX55">
        <v>0</v>
      </c>
      <c r="LY55">
        <v>0</v>
      </c>
      <c r="LZ55" t="s">
        <v>264</v>
      </c>
      <c r="MC55" t="s">
        <v>577</v>
      </c>
      <c r="MD55" t="s">
        <v>555</v>
      </c>
      <c r="ME55">
        <v>0</v>
      </c>
      <c r="MF55">
        <v>0</v>
      </c>
      <c r="MG55">
        <v>0</v>
      </c>
      <c r="MH55" t="s">
        <v>264</v>
      </c>
      <c r="MK55" t="s">
        <v>578</v>
      </c>
      <c r="ML55" t="s">
        <v>555</v>
      </c>
      <c r="MM55">
        <v>0</v>
      </c>
      <c r="MN55">
        <v>0</v>
      </c>
      <c r="MO55">
        <v>0</v>
      </c>
      <c r="MP55" t="s">
        <v>264</v>
      </c>
      <c r="MS55" t="s">
        <v>579</v>
      </c>
      <c r="MT55" t="s">
        <v>555</v>
      </c>
      <c r="MU55">
        <v>0</v>
      </c>
      <c r="MV55">
        <v>0</v>
      </c>
      <c r="MW55">
        <v>0</v>
      </c>
      <c r="MX55" t="s">
        <v>264</v>
      </c>
      <c r="NA55" t="s">
        <v>580</v>
      </c>
      <c r="NB55" t="s">
        <v>555</v>
      </c>
      <c r="NC55">
        <v>0</v>
      </c>
      <c r="ND55">
        <v>0</v>
      </c>
      <c r="NE55">
        <v>0</v>
      </c>
      <c r="NF55" t="s">
        <v>264</v>
      </c>
      <c r="NI55">
        <v>40</v>
      </c>
      <c r="NJ55">
        <v>-7.3</v>
      </c>
      <c r="NP55" t="s">
        <v>624</v>
      </c>
    </row>
    <row r="56" spans="1:380" customFormat="1" x14ac:dyDescent="0.2">
      <c r="A56" t="s">
        <v>517</v>
      </c>
      <c r="B56">
        <v>1</v>
      </c>
      <c r="C56" t="s">
        <v>913</v>
      </c>
      <c r="D56">
        <v>646964279</v>
      </c>
      <c r="E56">
        <v>12602</v>
      </c>
      <c r="F56" t="s">
        <v>805</v>
      </c>
      <c r="G56">
        <v>802069</v>
      </c>
      <c r="H56">
        <v>210010428</v>
      </c>
      <c r="I56" t="s">
        <v>622</v>
      </c>
      <c r="J56" t="s">
        <v>914</v>
      </c>
      <c r="K56" t="s">
        <v>545</v>
      </c>
      <c r="L56" t="s">
        <v>442</v>
      </c>
      <c r="M56" t="s">
        <v>546</v>
      </c>
      <c r="N56" t="s">
        <v>468</v>
      </c>
      <c r="O56" t="s">
        <v>547</v>
      </c>
      <c r="P56" t="s">
        <v>264</v>
      </c>
      <c r="Q56">
        <v>26.3</v>
      </c>
      <c r="R56">
        <v>250</v>
      </c>
      <c r="S56" t="s">
        <v>264</v>
      </c>
      <c r="T56">
        <v>-9999</v>
      </c>
      <c r="U56">
        <v>518</v>
      </c>
      <c r="V56">
        <v>534</v>
      </c>
      <c r="W56">
        <v>508</v>
      </c>
      <c r="X56" t="s">
        <v>270</v>
      </c>
      <c r="Y56">
        <v>0</v>
      </c>
      <c r="Z56">
        <v>55</v>
      </c>
      <c r="AA56" t="s">
        <v>469</v>
      </c>
      <c r="AB56" t="s">
        <v>548</v>
      </c>
      <c r="AC56">
        <v>1</v>
      </c>
      <c r="AD56" t="s">
        <v>584</v>
      </c>
      <c r="AE56">
        <v>25.2</v>
      </c>
      <c r="AF56">
        <v>1374</v>
      </c>
      <c r="AG56" t="s">
        <v>264</v>
      </c>
      <c r="AH56">
        <v>-9999</v>
      </c>
      <c r="AI56">
        <v>446</v>
      </c>
      <c r="AJ56">
        <v>549</v>
      </c>
      <c r="AK56">
        <v>443</v>
      </c>
      <c r="AL56" t="s">
        <v>270</v>
      </c>
      <c r="AM56">
        <v>0</v>
      </c>
      <c r="AN56">
        <v>55</v>
      </c>
      <c r="AO56" t="s">
        <v>470</v>
      </c>
      <c r="AP56" t="s">
        <v>548</v>
      </c>
      <c r="AQ56">
        <v>2</v>
      </c>
      <c r="AR56" t="s">
        <v>584</v>
      </c>
      <c r="AS56">
        <v>36.700000000000003</v>
      </c>
      <c r="AT56">
        <v>338</v>
      </c>
      <c r="AU56" t="s">
        <v>264</v>
      </c>
      <c r="AV56">
        <v>-9999</v>
      </c>
      <c r="AW56">
        <v>375</v>
      </c>
      <c r="AX56">
        <v>397</v>
      </c>
      <c r="AY56">
        <v>374</v>
      </c>
      <c r="AZ56" t="s">
        <v>270</v>
      </c>
      <c r="BA56">
        <v>0</v>
      </c>
      <c r="BB56">
        <v>55</v>
      </c>
      <c r="BC56" t="s">
        <v>550</v>
      </c>
      <c r="BD56" t="s">
        <v>548</v>
      </c>
      <c r="BE56">
        <v>3</v>
      </c>
      <c r="BF56" t="s">
        <v>584</v>
      </c>
      <c r="BG56">
        <v>21.8</v>
      </c>
      <c r="BH56">
        <v>798</v>
      </c>
      <c r="BI56" t="s">
        <v>264</v>
      </c>
      <c r="BJ56">
        <v>-9999</v>
      </c>
      <c r="BK56">
        <v>128</v>
      </c>
      <c r="BL56">
        <v>164</v>
      </c>
      <c r="BM56">
        <v>129</v>
      </c>
      <c r="BN56" t="s">
        <v>270</v>
      </c>
      <c r="BO56">
        <v>0</v>
      </c>
      <c r="BP56">
        <v>55</v>
      </c>
      <c r="BQ56" t="s">
        <v>504</v>
      </c>
      <c r="BR56" t="s">
        <v>548</v>
      </c>
      <c r="BS56">
        <v>4</v>
      </c>
      <c r="BT56" t="s">
        <v>584</v>
      </c>
      <c r="BU56">
        <v>30</v>
      </c>
      <c r="BV56">
        <v>265</v>
      </c>
      <c r="BW56" t="s">
        <v>264</v>
      </c>
      <c r="BX56">
        <v>-9999</v>
      </c>
      <c r="BY56">
        <v>209</v>
      </c>
      <c r="BZ56">
        <v>242</v>
      </c>
      <c r="CA56">
        <v>207</v>
      </c>
      <c r="CB56" t="s">
        <v>270</v>
      </c>
      <c r="CC56">
        <v>0</v>
      </c>
      <c r="CD56">
        <v>55</v>
      </c>
      <c r="CE56" t="s">
        <v>471</v>
      </c>
      <c r="CF56" t="s">
        <v>548</v>
      </c>
      <c r="CG56">
        <v>5</v>
      </c>
      <c r="CH56" t="s">
        <v>584</v>
      </c>
      <c r="CI56">
        <v>34</v>
      </c>
      <c r="CJ56">
        <v>215</v>
      </c>
      <c r="CK56" t="s">
        <v>264</v>
      </c>
      <c r="CL56">
        <v>-9999</v>
      </c>
      <c r="CM56">
        <v>484</v>
      </c>
      <c r="CN56">
        <v>565</v>
      </c>
      <c r="CO56">
        <v>483</v>
      </c>
      <c r="CP56" t="s">
        <v>270</v>
      </c>
      <c r="CQ56">
        <v>0</v>
      </c>
      <c r="CR56">
        <v>55</v>
      </c>
      <c r="CS56" t="s">
        <v>472</v>
      </c>
      <c r="CT56" t="s">
        <v>548</v>
      </c>
      <c r="CU56">
        <v>6</v>
      </c>
      <c r="CV56" t="s">
        <v>584</v>
      </c>
      <c r="CW56">
        <v>33.4</v>
      </c>
      <c r="CX56">
        <v>274</v>
      </c>
      <c r="CY56" t="s">
        <v>264</v>
      </c>
      <c r="CZ56">
        <v>-9999</v>
      </c>
      <c r="DA56">
        <v>559</v>
      </c>
      <c r="DB56">
        <v>635</v>
      </c>
      <c r="DC56">
        <v>550</v>
      </c>
      <c r="DD56" t="s">
        <v>270</v>
      </c>
      <c r="DE56">
        <v>0</v>
      </c>
      <c r="DF56">
        <v>55</v>
      </c>
      <c r="DG56" t="s">
        <v>473</v>
      </c>
      <c r="DH56" t="s">
        <v>548</v>
      </c>
      <c r="DI56">
        <v>7</v>
      </c>
      <c r="DJ56" t="s">
        <v>584</v>
      </c>
      <c r="DK56">
        <v>24.2</v>
      </c>
      <c r="DL56">
        <v>207</v>
      </c>
      <c r="DM56" t="s">
        <v>264</v>
      </c>
      <c r="DN56">
        <v>-9999</v>
      </c>
      <c r="DO56">
        <v>506</v>
      </c>
      <c r="DP56">
        <v>580</v>
      </c>
      <c r="DQ56">
        <v>501</v>
      </c>
      <c r="DR56" t="s">
        <v>270</v>
      </c>
      <c r="DS56">
        <v>0</v>
      </c>
      <c r="DT56">
        <v>55</v>
      </c>
      <c r="DU56" t="s">
        <v>474</v>
      </c>
      <c r="DV56" t="s">
        <v>548</v>
      </c>
      <c r="DW56">
        <v>8</v>
      </c>
      <c r="DX56" t="s">
        <v>584</v>
      </c>
      <c r="DY56">
        <v>20.9</v>
      </c>
      <c r="DZ56">
        <v>492</v>
      </c>
      <c r="EA56" t="s">
        <v>264</v>
      </c>
      <c r="EB56">
        <v>-9999</v>
      </c>
      <c r="EC56">
        <v>88</v>
      </c>
      <c r="ED56">
        <v>107</v>
      </c>
      <c r="EE56">
        <v>87</v>
      </c>
      <c r="EF56" t="s">
        <v>270</v>
      </c>
      <c r="EG56">
        <v>0</v>
      </c>
      <c r="EH56">
        <v>55</v>
      </c>
      <c r="EI56" t="s">
        <v>475</v>
      </c>
      <c r="EJ56" t="s">
        <v>548</v>
      </c>
      <c r="EK56">
        <v>9</v>
      </c>
      <c r="EL56" t="s">
        <v>584</v>
      </c>
      <c r="EM56">
        <v>26.4</v>
      </c>
      <c r="EN56">
        <v>62</v>
      </c>
      <c r="EO56" t="s">
        <v>264</v>
      </c>
      <c r="EP56">
        <v>-9999</v>
      </c>
      <c r="EQ56">
        <v>301</v>
      </c>
      <c r="ER56">
        <v>277</v>
      </c>
      <c r="ES56">
        <v>257</v>
      </c>
      <c r="ET56" t="s">
        <v>270</v>
      </c>
      <c r="EU56">
        <v>0</v>
      </c>
      <c r="EV56">
        <v>55</v>
      </c>
      <c r="EW56" t="s">
        <v>551</v>
      </c>
      <c r="EX56" t="s">
        <v>552</v>
      </c>
      <c r="EY56">
        <v>127</v>
      </c>
      <c r="EZ56">
        <v>128</v>
      </c>
      <c r="FA56">
        <v>128</v>
      </c>
      <c r="FB56" t="s">
        <v>270</v>
      </c>
      <c r="FC56" t="s">
        <v>553</v>
      </c>
      <c r="FD56" t="s">
        <v>552</v>
      </c>
      <c r="FE56">
        <v>277</v>
      </c>
      <c r="FF56">
        <v>275</v>
      </c>
      <c r="FG56">
        <v>274</v>
      </c>
      <c r="FH56" t="s">
        <v>270</v>
      </c>
      <c r="FI56" t="s">
        <v>554</v>
      </c>
      <c r="FJ56" t="s">
        <v>555</v>
      </c>
      <c r="FK56">
        <v>0</v>
      </c>
      <c r="FL56">
        <v>0</v>
      </c>
      <c r="FM56">
        <v>0</v>
      </c>
      <c r="FN56" t="s">
        <v>264</v>
      </c>
      <c r="FO56">
        <v>75.900000000000006</v>
      </c>
      <c r="FP56">
        <v>256.3</v>
      </c>
      <c r="FQ56" t="s">
        <v>556</v>
      </c>
      <c r="FR56" t="s">
        <v>555</v>
      </c>
      <c r="FS56">
        <v>0</v>
      </c>
      <c r="FT56">
        <v>0</v>
      </c>
      <c r="FU56">
        <v>0</v>
      </c>
      <c r="FV56" t="s">
        <v>264</v>
      </c>
      <c r="FW56">
        <v>73.3</v>
      </c>
      <c r="FX56">
        <v>88.3</v>
      </c>
      <c r="FY56" t="s">
        <v>557</v>
      </c>
      <c r="FZ56" t="s">
        <v>555</v>
      </c>
      <c r="GA56">
        <v>0</v>
      </c>
      <c r="GB56">
        <v>0</v>
      </c>
      <c r="GC56">
        <v>0</v>
      </c>
      <c r="GD56" t="s">
        <v>264</v>
      </c>
      <c r="GE56">
        <v>71.099999999999994</v>
      </c>
      <c r="GF56">
        <v>225.6</v>
      </c>
      <c r="GG56" t="s">
        <v>558</v>
      </c>
      <c r="GH56" t="s">
        <v>555</v>
      </c>
      <c r="GI56">
        <v>0</v>
      </c>
      <c r="GJ56">
        <v>0</v>
      </c>
      <c r="GK56">
        <v>0</v>
      </c>
      <c r="GL56" t="s">
        <v>264</v>
      </c>
      <c r="GM56">
        <v>68.3</v>
      </c>
      <c r="GN56">
        <v>47.1</v>
      </c>
      <c r="GO56" t="s">
        <v>559</v>
      </c>
      <c r="GP56" t="s">
        <v>555</v>
      </c>
      <c r="GQ56">
        <v>0</v>
      </c>
      <c r="GR56">
        <v>0</v>
      </c>
      <c r="GS56">
        <v>0</v>
      </c>
      <c r="GT56" t="s">
        <v>264</v>
      </c>
      <c r="GU56">
        <v>75.900000000000006</v>
      </c>
      <c r="GV56">
        <v>53.2</v>
      </c>
      <c r="GW56" t="s">
        <v>560</v>
      </c>
      <c r="GX56" t="s">
        <v>555</v>
      </c>
      <c r="GY56">
        <v>0</v>
      </c>
      <c r="GZ56">
        <v>0</v>
      </c>
      <c r="HA56">
        <v>0</v>
      </c>
      <c r="HB56" t="s">
        <v>264</v>
      </c>
      <c r="HC56">
        <v>70.2</v>
      </c>
      <c r="HD56">
        <v>71.5</v>
      </c>
      <c r="HE56" t="s">
        <v>561</v>
      </c>
      <c r="HF56" t="s">
        <v>555</v>
      </c>
      <c r="HG56">
        <v>0</v>
      </c>
      <c r="HH56">
        <v>0</v>
      </c>
      <c r="HI56">
        <v>0</v>
      </c>
      <c r="HJ56" t="s">
        <v>264</v>
      </c>
      <c r="HK56">
        <v>70.8</v>
      </c>
      <c r="HL56">
        <v>114.8</v>
      </c>
      <c r="HM56" t="s">
        <v>562</v>
      </c>
      <c r="HN56" t="s">
        <v>555</v>
      </c>
      <c r="HO56">
        <v>0</v>
      </c>
      <c r="HP56">
        <v>0</v>
      </c>
      <c r="HQ56">
        <v>0</v>
      </c>
      <c r="HR56" t="s">
        <v>264</v>
      </c>
      <c r="HS56">
        <v>69.099999999999994</v>
      </c>
      <c r="HT56">
        <v>78.900000000000006</v>
      </c>
      <c r="HU56" t="s">
        <v>563</v>
      </c>
      <c r="HV56" t="s">
        <v>555</v>
      </c>
      <c r="HW56">
        <v>0</v>
      </c>
      <c r="HX56">
        <v>0</v>
      </c>
      <c r="HY56">
        <v>0</v>
      </c>
      <c r="HZ56" t="s">
        <v>264</v>
      </c>
      <c r="IA56">
        <v>74.599999999999994</v>
      </c>
      <c r="IB56">
        <v>163</v>
      </c>
      <c r="IC56" t="s">
        <v>564</v>
      </c>
      <c r="ID56" t="s">
        <v>555</v>
      </c>
      <c r="IE56">
        <v>0</v>
      </c>
      <c r="IF56">
        <v>0</v>
      </c>
      <c r="IG56">
        <v>0</v>
      </c>
      <c r="IH56" t="s">
        <v>264</v>
      </c>
      <c r="II56">
        <v>68.2</v>
      </c>
      <c r="IJ56">
        <v>100.5</v>
      </c>
      <c r="IK56" t="s">
        <v>565</v>
      </c>
      <c r="IL56" t="s">
        <v>555</v>
      </c>
      <c r="IM56">
        <v>0</v>
      </c>
      <c r="IN56">
        <v>0</v>
      </c>
      <c r="IO56">
        <v>0</v>
      </c>
      <c r="IP56" t="s">
        <v>264</v>
      </c>
      <c r="IS56" t="s">
        <v>566</v>
      </c>
      <c r="IT56" t="s">
        <v>555</v>
      </c>
      <c r="IU56">
        <v>0</v>
      </c>
      <c r="IV56">
        <v>0</v>
      </c>
      <c r="IW56">
        <v>0</v>
      </c>
      <c r="IX56" t="s">
        <v>264</v>
      </c>
      <c r="JA56" t="s">
        <v>567</v>
      </c>
      <c r="JB56" t="s">
        <v>555</v>
      </c>
      <c r="JC56">
        <v>0</v>
      </c>
      <c r="JD56">
        <v>0</v>
      </c>
      <c r="JE56">
        <v>0</v>
      </c>
      <c r="JF56" t="s">
        <v>264</v>
      </c>
      <c r="JI56" t="s">
        <v>568</v>
      </c>
      <c r="JJ56" t="s">
        <v>555</v>
      </c>
      <c r="JK56">
        <v>0</v>
      </c>
      <c r="JL56">
        <v>0</v>
      </c>
      <c r="JM56">
        <v>0</v>
      </c>
      <c r="JN56" t="s">
        <v>264</v>
      </c>
      <c r="JQ56" t="s">
        <v>569</v>
      </c>
      <c r="JR56" t="s">
        <v>555</v>
      </c>
      <c r="JS56">
        <v>0</v>
      </c>
      <c r="JT56">
        <v>0</v>
      </c>
      <c r="JU56">
        <v>0</v>
      </c>
      <c r="JV56" t="s">
        <v>264</v>
      </c>
      <c r="JY56" t="s">
        <v>570</v>
      </c>
      <c r="JZ56" t="s">
        <v>555</v>
      </c>
      <c r="KA56">
        <v>0</v>
      </c>
      <c r="KB56">
        <v>0</v>
      </c>
      <c r="KC56">
        <v>0</v>
      </c>
      <c r="KD56" t="s">
        <v>264</v>
      </c>
      <c r="KG56" t="s">
        <v>571</v>
      </c>
      <c r="KH56" t="s">
        <v>555</v>
      </c>
      <c r="KI56">
        <v>0</v>
      </c>
      <c r="KJ56">
        <v>0</v>
      </c>
      <c r="KK56">
        <v>0</v>
      </c>
      <c r="KL56" t="s">
        <v>264</v>
      </c>
      <c r="KO56" t="s">
        <v>572</v>
      </c>
      <c r="KP56" t="s">
        <v>555</v>
      </c>
      <c r="KQ56">
        <v>0</v>
      </c>
      <c r="KR56">
        <v>0</v>
      </c>
      <c r="KS56">
        <v>0</v>
      </c>
      <c r="KT56" t="s">
        <v>264</v>
      </c>
      <c r="KW56" t="s">
        <v>573</v>
      </c>
      <c r="KX56" t="s">
        <v>555</v>
      </c>
      <c r="KY56">
        <v>0</v>
      </c>
      <c r="KZ56">
        <v>0</v>
      </c>
      <c r="LA56">
        <v>0</v>
      </c>
      <c r="LB56" t="s">
        <v>264</v>
      </c>
      <c r="LE56" t="s">
        <v>574</v>
      </c>
      <c r="LF56" t="s">
        <v>555</v>
      </c>
      <c r="LG56">
        <v>0</v>
      </c>
      <c r="LH56">
        <v>0</v>
      </c>
      <c r="LI56">
        <v>0</v>
      </c>
      <c r="LJ56" t="s">
        <v>264</v>
      </c>
      <c r="LM56" t="s">
        <v>575</v>
      </c>
      <c r="LN56" t="s">
        <v>555</v>
      </c>
      <c r="LO56">
        <v>0</v>
      </c>
      <c r="LP56">
        <v>0</v>
      </c>
      <c r="LQ56">
        <v>0</v>
      </c>
      <c r="LR56" t="s">
        <v>264</v>
      </c>
      <c r="LU56" t="s">
        <v>576</v>
      </c>
      <c r="LV56" t="s">
        <v>555</v>
      </c>
      <c r="LW56">
        <v>0</v>
      </c>
      <c r="LX56">
        <v>0</v>
      </c>
      <c r="LY56">
        <v>0</v>
      </c>
      <c r="LZ56" t="s">
        <v>264</v>
      </c>
      <c r="MC56" t="s">
        <v>577</v>
      </c>
      <c r="MD56" t="s">
        <v>555</v>
      </c>
      <c r="ME56">
        <v>0</v>
      </c>
      <c r="MF56">
        <v>0</v>
      </c>
      <c r="MG56">
        <v>0</v>
      </c>
      <c r="MH56" t="s">
        <v>264</v>
      </c>
      <c r="MK56" t="s">
        <v>578</v>
      </c>
      <c r="ML56" t="s">
        <v>555</v>
      </c>
      <c r="MM56">
        <v>0</v>
      </c>
      <c r="MN56">
        <v>0</v>
      </c>
      <c r="MO56">
        <v>0</v>
      </c>
      <c r="MP56" t="s">
        <v>264</v>
      </c>
      <c r="MS56" t="s">
        <v>579</v>
      </c>
      <c r="MT56" t="s">
        <v>555</v>
      </c>
      <c r="MU56">
        <v>0</v>
      </c>
      <c r="MV56">
        <v>0</v>
      </c>
      <c r="MW56">
        <v>0</v>
      </c>
      <c r="MX56" t="s">
        <v>264</v>
      </c>
      <c r="NA56" t="s">
        <v>580</v>
      </c>
      <c r="NB56" t="s">
        <v>555</v>
      </c>
      <c r="NC56">
        <v>0</v>
      </c>
      <c r="ND56">
        <v>0</v>
      </c>
      <c r="NE56">
        <v>0</v>
      </c>
      <c r="NF56" t="s">
        <v>264</v>
      </c>
      <c r="NI56">
        <v>40</v>
      </c>
      <c r="NJ56">
        <v>-6.1</v>
      </c>
      <c r="NP56" t="s">
        <v>624</v>
      </c>
    </row>
    <row r="57" spans="1:380" customFormat="1" x14ac:dyDescent="0.2">
      <c r="A57" t="s">
        <v>517</v>
      </c>
      <c r="B57">
        <v>1</v>
      </c>
      <c r="C57" t="s">
        <v>915</v>
      </c>
      <c r="D57">
        <v>646964547</v>
      </c>
      <c r="E57">
        <v>12602</v>
      </c>
      <c r="F57" t="s">
        <v>805</v>
      </c>
      <c r="G57">
        <v>802069</v>
      </c>
      <c r="H57">
        <v>210038232</v>
      </c>
      <c r="I57" t="s">
        <v>622</v>
      </c>
      <c r="J57" t="s">
        <v>916</v>
      </c>
      <c r="K57" t="s">
        <v>545</v>
      </c>
      <c r="L57" t="s">
        <v>442</v>
      </c>
      <c r="M57" t="s">
        <v>546</v>
      </c>
      <c r="N57" t="s">
        <v>468</v>
      </c>
      <c r="O57" t="s">
        <v>547</v>
      </c>
      <c r="P57" t="s">
        <v>264</v>
      </c>
      <c r="Q57">
        <v>24.9</v>
      </c>
      <c r="R57">
        <v>232</v>
      </c>
      <c r="S57" t="s">
        <v>264</v>
      </c>
      <c r="T57">
        <v>-9999</v>
      </c>
      <c r="U57">
        <v>572</v>
      </c>
      <c r="V57">
        <v>589</v>
      </c>
      <c r="W57">
        <v>561</v>
      </c>
      <c r="X57" t="s">
        <v>270</v>
      </c>
      <c r="Y57">
        <v>0</v>
      </c>
      <c r="Z57">
        <v>55</v>
      </c>
      <c r="AA57" t="s">
        <v>469</v>
      </c>
      <c r="AB57" t="s">
        <v>548</v>
      </c>
      <c r="AC57">
        <v>1</v>
      </c>
      <c r="AD57" t="s">
        <v>584</v>
      </c>
      <c r="AE57">
        <v>23.1</v>
      </c>
      <c r="AF57">
        <v>1592</v>
      </c>
      <c r="AG57" t="s">
        <v>264</v>
      </c>
      <c r="AH57">
        <v>-9999</v>
      </c>
      <c r="AI57">
        <v>432</v>
      </c>
      <c r="AJ57">
        <v>544</v>
      </c>
      <c r="AK57">
        <v>435</v>
      </c>
      <c r="AL57" t="s">
        <v>270</v>
      </c>
      <c r="AM57">
        <v>0</v>
      </c>
      <c r="AN57">
        <v>55</v>
      </c>
      <c r="AO57" t="s">
        <v>470</v>
      </c>
      <c r="AP57" t="s">
        <v>548</v>
      </c>
      <c r="AQ57">
        <v>2</v>
      </c>
      <c r="AR57" t="s">
        <v>584</v>
      </c>
      <c r="AS57">
        <v>34.799999999999997</v>
      </c>
      <c r="AT57">
        <v>379</v>
      </c>
      <c r="AU57" t="s">
        <v>264</v>
      </c>
      <c r="AV57">
        <v>-9999</v>
      </c>
      <c r="AW57">
        <v>358</v>
      </c>
      <c r="AX57">
        <v>375</v>
      </c>
      <c r="AY57">
        <v>356</v>
      </c>
      <c r="AZ57" t="s">
        <v>270</v>
      </c>
      <c r="BA57">
        <v>0</v>
      </c>
      <c r="BB57">
        <v>55</v>
      </c>
      <c r="BC57" t="s">
        <v>550</v>
      </c>
      <c r="BD57" t="s">
        <v>548</v>
      </c>
      <c r="BE57">
        <v>3</v>
      </c>
      <c r="BF57" t="s">
        <v>584</v>
      </c>
      <c r="BG57">
        <v>22.1</v>
      </c>
      <c r="BH57">
        <v>570</v>
      </c>
      <c r="BI57" t="s">
        <v>264</v>
      </c>
      <c r="BJ57">
        <v>-9999</v>
      </c>
      <c r="BK57">
        <v>272</v>
      </c>
      <c r="BL57">
        <v>323</v>
      </c>
      <c r="BM57">
        <v>266</v>
      </c>
      <c r="BN57" t="s">
        <v>270</v>
      </c>
      <c r="BO57">
        <v>0</v>
      </c>
      <c r="BP57">
        <v>55</v>
      </c>
      <c r="BQ57" t="s">
        <v>504</v>
      </c>
      <c r="BR57" t="s">
        <v>548</v>
      </c>
      <c r="BS57">
        <v>4</v>
      </c>
      <c r="BT57" t="s">
        <v>584</v>
      </c>
      <c r="BU57">
        <v>27.9</v>
      </c>
      <c r="BV57">
        <v>300</v>
      </c>
      <c r="BW57" t="s">
        <v>264</v>
      </c>
      <c r="BX57">
        <v>-9999</v>
      </c>
      <c r="BY57">
        <v>211</v>
      </c>
      <c r="BZ57">
        <v>245</v>
      </c>
      <c r="CA57">
        <v>209</v>
      </c>
      <c r="CB57" t="s">
        <v>270</v>
      </c>
      <c r="CC57">
        <v>0</v>
      </c>
      <c r="CD57">
        <v>55</v>
      </c>
      <c r="CE57" t="s">
        <v>471</v>
      </c>
      <c r="CF57" t="s">
        <v>548</v>
      </c>
      <c r="CG57">
        <v>5</v>
      </c>
      <c r="CH57" t="s">
        <v>584</v>
      </c>
      <c r="CI57">
        <v>26.3</v>
      </c>
      <c r="CJ57">
        <v>305</v>
      </c>
      <c r="CK57" t="s">
        <v>264</v>
      </c>
      <c r="CL57">
        <v>-9999</v>
      </c>
      <c r="CM57">
        <v>464</v>
      </c>
      <c r="CN57">
        <v>542</v>
      </c>
      <c r="CO57">
        <v>462</v>
      </c>
      <c r="CP57" t="s">
        <v>270</v>
      </c>
      <c r="CQ57">
        <v>0</v>
      </c>
      <c r="CR57">
        <v>55</v>
      </c>
      <c r="CS57" t="s">
        <v>472</v>
      </c>
      <c r="CT57" t="s">
        <v>548</v>
      </c>
      <c r="CU57">
        <v>6</v>
      </c>
      <c r="CV57" t="s">
        <v>584</v>
      </c>
      <c r="CW57">
        <v>31.9</v>
      </c>
      <c r="CX57">
        <v>248</v>
      </c>
      <c r="CY57" t="s">
        <v>264</v>
      </c>
      <c r="CZ57">
        <v>-9999</v>
      </c>
      <c r="DA57">
        <v>745</v>
      </c>
      <c r="DB57">
        <v>848</v>
      </c>
      <c r="DC57">
        <v>737</v>
      </c>
      <c r="DD57" t="s">
        <v>270</v>
      </c>
      <c r="DE57">
        <v>0</v>
      </c>
      <c r="DF57">
        <v>55</v>
      </c>
      <c r="DG57" t="s">
        <v>473</v>
      </c>
      <c r="DH57" t="s">
        <v>548</v>
      </c>
      <c r="DI57">
        <v>7</v>
      </c>
      <c r="DJ57" t="s">
        <v>584</v>
      </c>
      <c r="DK57">
        <v>22.6</v>
      </c>
      <c r="DL57">
        <v>239</v>
      </c>
      <c r="DM57" t="s">
        <v>264</v>
      </c>
      <c r="DN57">
        <v>-9999</v>
      </c>
      <c r="DO57">
        <v>552</v>
      </c>
      <c r="DP57">
        <v>635</v>
      </c>
      <c r="DQ57">
        <v>550</v>
      </c>
      <c r="DR57" t="s">
        <v>270</v>
      </c>
      <c r="DS57">
        <v>0</v>
      </c>
      <c r="DT57">
        <v>55</v>
      </c>
      <c r="DU57" t="s">
        <v>474</v>
      </c>
      <c r="DV57" t="s">
        <v>548</v>
      </c>
      <c r="DW57">
        <v>8</v>
      </c>
      <c r="DX57" t="s">
        <v>584</v>
      </c>
      <c r="DY57">
        <v>21.1</v>
      </c>
      <c r="DZ57">
        <v>435</v>
      </c>
      <c r="EA57" t="s">
        <v>264</v>
      </c>
      <c r="EB57">
        <v>-9999</v>
      </c>
      <c r="EC57">
        <v>110</v>
      </c>
      <c r="ED57">
        <v>132</v>
      </c>
      <c r="EE57">
        <v>108</v>
      </c>
      <c r="EF57" t="s">
        <v>270</v>
      </c>
      <c r="EG57">
        <v>0</v>
      </c>
      <c r="EH57">
        <v>55</v>
      </c>
      <c r="EI57" t="s">
        <v>475</v>
      </c>
      <c r="EJ57" t="s">
        <v>548</v>
      </c>
      <c r="EK57">
        <v>9</v>
      </c>
      <c r="EL57" t="s">
        <v>584</v>
      </c>
      <c r="EM57">
        <v>22.2</v>
      </c>
      <c r="EN57">
        <v>134</v>
      </c>
      <c r="EO57" t="s">
        <v>264</v>
      </c>
      <c r="EP57">
        <v>-9999</v>
      </c>
      <c r="EQ57">
        <v>256</v>
      </c>
      <c r="ER57">
        <v>234</v>
      </c>
      <c r="ES57">
        <v>222</v>
      </c>
      <c r="ET57" t="s">
        <v>270</v>
      </c>
      <c r="EU57">
        <v>0</v>
      </c>
      <c r="EV57">
        <v>55</v>
      </c>
      <c r="EW57" t="s">
        <v>551</v>
      </c>
      <c r="EX57" t="s">
        <v>552</v>
      </c>
      <c r="EY57">
        <v>163</v>
      </c>
      <c r="EZ57">
        <v>164</v>
      </c>
      <c r="FA57">
        <v>164</v>
      </c>
      <c r="FB57" t="s">
        <v>270</v>
      </c>
      <c r="FC57" t="s">
        <v>553</v>
      </c>
      <c r="FD57" t="s">
        <v>552</v>
      </c>
      <c r="FE57">
        <v>318</v>
      </c>
      <c r="FF57">
        <v>317</v>
      </c>
      <c r="FG57">
        <v>316</v>
      </c>
      <c r="FH57" t="s">
        <v>270</v>
      </c>
      <c r="FI57" t="s">
        <v>554</v>
      </c>
      <c r="FJ57" t="s">
        <v>555</v>
      </c>
      <c r="FK57">
        <v>0</v>
      </c>
      <c r="FL57">
        <v>0</v>
      </c>
      <c r="FM57">
        <v>0</v>
      </c>
      <c r="FN57" t="s">
        <v>264</v>
      </c>
      <c r="FO57">
        <v>76.2</v>
      </c>
      <c r="FP57">
        <v>306.89999999999998</v>
      </c>
      <c r="FQ57" t="s">
        <v>556</v>
      </c>
      <c r="FR57" t="s">
        <v>555</v>
      </c>
      <c r="FS57">
        <v>0</v>
      </c>
      <c r="FT57">
        <v>0</v>
      </c>
      <c r="FU57">
        <v>0</v>
      </c>
      <c r="FV57" t="s">
        <v>264</v>
      </c>
      <c r="FW57">
        <v>73.599999999999994</v>
      </c>
      <c r="FX57">
        <v>85.3</v>
      </c>
      <c r="FY57" t="s">
        <v>557</v>
      </c>
      <c r="FZ57" t="s">
        <v>555</v>
      </c>
      <c r="GA57">
        <v>0</v>
      </c>
      <c r="GB57">
        <v>0</v>
      </c>
      <c r="GC57">
        <v>0</v>
      </c>
      <c r="GD57" t="s">
        <v>264</v>
      </c>
      <c r="GE57">
        <v>71.400000000000006</v>
      </c>
      <c r="GF57">
        <v>268.89999999999998</v>
      </c>
      <c r="GG57" t="s">
        <v>558</v>
      </c>
      <c r="GH57" t="s">
        <v>555</v>
      </c>
      <c r="GI57">
        <v>0</v>
      </c>
      <c r="GJ57">
        <v>0</v>
      </c>
      <c r="GK57">
        <v>0</v>
      </c>
      <c r="GL57" t="s">
        <v>264</v>
      </c>
      <c r="GM57">
        <v>68.7</v>
      </c>
      <c r="GN57">
        <v>50.2</v>
      </c>
      <c r="GO57" t="s">
        <v>559</v>
      </c>
      <c r="GP57" t="s">
        <v>555</v>
      </c>
      <c r="GQ57">
        <v>0</v>
      </c>
      <c r="GR57">
        <v>0</v>
      </c>
      <c r="GS57">
        <v>0</v>
      </c>
      <c r="GT57" t="s">
        <v>264</v>
      </c>
      <c r="GU57">
        <v>76.2</v>
      </c>
      <c r="GV57">
        <v>58.7</v>
      </c>
      <c r="GW57" t="s">
        <v>560</v>
      </c>
      <c r="GX57" t="s">
        <v>555</v>
      </c>
      <c r="GY57">
        <v>0</v>
      </c>
      <c r="GZ57">
        <v>0</v>
      </c>
      <c r="HA57">
        <v>0</v>
      </c>
      <c r="HB57" t="s">
        <v>264</v>
      </c>
      <c r="HC57">
        <v>70.400000000000006</v>
      </c>
      <c r="HD57">
        <v>95.3</v>
      </c>
      <c r="HE57" t="s">
        <v>561</v>
      </c>
      <c r="HF57" t="s">
        <v>555</v>
      </c>
      <c r="HG57">
        <v>0</v>
      </c>
      <c r="HH57">
        <v>0</v>
      </c>
      <c r="HI57">
        <v>0</v>
      </c>
      <c r="HJ57" t="s">
        <v>264</v>
      </c>
      <c r="HK57">
        <v>71</v>
      </c>
      <c r="HL57">
        <v>151</v>
      </c>
      <c r="HM57" t="s">
        <v>562</v>
      </c>
      <c r="HN57" t="s">
        <v>555</v>
      </c>
      <c r="HO57">
        <v>0</v>
      </c>
      <c r="HP57">
        <v>0</v>
      </c>
      <c r="HQ57">
        <v>0</v>
      </c>
      <c r="HR57" t="s">
        <v>264</v>
      </c>
      <c r="HS57">
        <v>69.400000000000006</v>
      </c>
      <c r="HT57">
        <v>90.7</v>
      </c>
      <c r="HU57" t="s">
        <v>563</v>
      </c>
      <c r="HV57" t="s">
        <v>555</v>
      </c>
      <c r="HW57">
        <v>0</v>
      </c>
      <c r="HX57">
        <v>0</v>
      </c>
      <c r="HY57">
        <v>0</v>
      </c>
      <c r="HZ57" t="s">
        <v>264</v>
      </c>
      <c r="IA57">
        <v>74.900000000000006</v>
      </c>
      <c r="IB57">
        <v>183</v>
      </c>
      <c r="IC57" t="s">
        <v>564</v>
      </c>
      <c r="ID57" t="s">
        <v>555</v>
      </c>
      <c r="IE57">
        <v>0</v>
      </c>
      <c r="IF57">
        <v>0</v>
      </c>
      <c r="IG57">
        <v>0</v>
      </c>
      <c r="IH57" t="s">
        <v>264</v>
      </c>
      <c r="II57">
        <v>68.400000000000006</v>
      </c>
      <c r="IJ57">
        <v>123.1</v>
      </c>
      <c r="IK57" t="s">
        <v>565</v>
      </c>
      <c r="IL57" t="s">
        <v>555</v>
      </c>
      <c r="IM57">
        <v>0</v>
      </c>
      <c r="IN57">
        <v>0</v>
      </c>
      <c r="IO57">
        <v>0</v>
      </c>
      <c r="IP57" t="s">
        <v>264</v>
      </c>
      <c r="IS57" t="s">
        <v>566</v>
      </c>
      <c r="IT57" t="s">
        <v>555</v>
      </c>
      <c r="IU57">
        <v>0</v>
      </c>
      <c r="IV57">
        <v>0</v>
      </c>
      <c r="IW57">
        <v>0</v>
      </c>
      <c r="IX57" t="s">
        <v>264</v>
      </c>
      <c r="JA57" t="s">
        <v>567</v>
      </c>
      <c r="JB57" t="s">
        <v>555</v>
      </c>
      <c r="JC57">
        <v>0</v>
      </c>
      <c r="JD57">
        <v>0</v>
      </c>
      <c r="JE57">
        <v>0</v>
      </c>
      <c r="JF57" t="s">
        <v>264</v>
      </c>
      <c r="JI57" t="s">
        <v>568</v>
      </c>
      <c r="JJ57" t="s">
        <v>555</v>
      </c>
      <c r="JK57">
        <v>0</v>
      </c>
      <c r="JL57">
        <v>0</v>
      </c>
      <c r="JM57">
        <v>0</v>
      </c>
      <c r="JN57" t="s">
        <v>264</v>
      </c>
      <c r="JQ57" t="s">
        <v>569</v>
      </c>
      <c r="JR57" t="s">
        <v>555</v>
      </c>
      <c r="JS57">
        <v>0</v>
      </c>
      <c r="JT57">
        <v>0</v>
      </c>
      <c r="JU57">
        <v>0</v>
      </c>
      <c r="JV57" t="s">
        <v>264</v>
      </c>
      <c r="JY57" t="s">
        <v>570</v>
      </c>
      <c r="JZ57" t="s">
        <v>555</v>
      </c>
      <c r="KA57">
        <v>0</v>
      </c>
      <c r="KB57">
        <v>0</v>
      </c>
      <c r="KC57">
        <v>0</v>
      </c>
      <c r="KD57" t="s">
        <v>264</v>
      </c>
      <c r="KG57" t="s">
        <v>571</v>
      </c>
      <c r="KH57" t="s">
        <v>555</v>
      </c>
      <c r="KI57">
        <v>0</v>
      </c>
      <c r="KJ57">
        <v>0</v>
      </c>
      <c r="KK57">
        <v>0</v>
      </c>
      <c r="KL57" t="s">
        <v>264</v>
      </c>
      <c r="KO57" t="s">
        <v>572</v>
      </c>
      <c r="KP57" t="s">
        <v>555</v>
      </c>
      <c r="KQ57">
        <v>0</v>
      </c>
      <c r="KR57">
        <v>0</v>
      </c>
      <c r="KS57">
        <v>0</v>
      </c>
      <c r="KT57" t="s">
        <v>264</v>
      </c>
      <c r="KW57" t="s">
        <v>573</v>
      </c>
      <c r="KX57" t="s">
        <v>555</v>
      </c>
      <c r="KY57">
        <v>0</v>
      </c>
      <c r="KZ57">
        <v>0</v>
      </c>
      <c r="LA57">
        <v>0</v>
      </c>
      <c r="LB57" t="s">
        <v>264</v>
      </c>
      <c r="LE57" t="s">
        <v>574</v>
      </c>
      <c r="LF57" t="s">
        <v>555</v>
      </c>
      <c r="LG57">
        <v>0</v>
      </c>
      <c r="LH57">
        <v>0</v>
      </c>
      <c r="LI57">
        <v>0</v>
      </c>
      <c r="LJ57" t="s">
        <v>264</v>
      </c>
      <c r="LM57" t="s">
        <v>575</v>
      </c>
      <c r="LN57" t="s">
        <v>555</v>
      </c>
      <c r="LO57">
        <v>0</v>
      </c>
      <c r="LP57">
        <v>0</v>
      </c>
      <c r="LQ57">
        <v>0</v>
      </c>
      <c r="LR57" t="s">
        <v>264</v>
      </c>
      <c r="LU57" t="s">
        <v>576</v>
      </c>
      <c r="LV57" t="s">
        <v>555</v>
      </c>
      <c r="LW57">
        <v>0</v>
      </c>
      <c r="LX57">
        <v>0</v>
      </c>
      <c r="LY57">
        <v>0</v>
      </c>
      <c r="LZ57" t="s">
        <v>264</v>
      </c>
      <c r="MC57" t="s">
        <v>577</v>
      </c>
      <c r="MD57" t="s">
        <v>555</v>
      </c>
      <c r="ME57">
        <v>0</v>
      </c>
      <c r="MF57">
        <v>0</v>
      </c>
      <c r="MG57">
        <v>0</v>
      </c>
      <c r="MH57" t="s">
        <v>264</v>
      </c>
      <c r="MK57" t="s">
        <v>578</v>
      </c>
      <c r="ML57" t="s">
        <v>555</v>
      </c>
      <c r="MM57">
        <v>0</v>
      </c>
      <c r="MN57">
        <v>0</v>
      </c>
      <c r="MO57">
        <v>0</v>
      </c>
      <c r="MP57" t="s">
        <v>264</v>
      </c>
      <c r="MS57" t="s">
        <v>579</v>
      </c>
      <c r="MT57" t="s">
        <v>555</v>
      </c>
      <c r="MU57">
        <v>0</v>
      </c>
      <c r="MV57">
        <v>0</v>
      </c>
      <c r="MW57">
        <v>0</v>
      </c>
      <c r="MX57" t="s">
        <v>264</v>
      </c>
      <c r="NA57" t="s">
        <v>580</v>
      </c>
      <c r="NB57" t="s">
        <v>555</v>
      </c>
      <c r="NC57">
        <v>0</v>
      </c>
      <c r="ND57">
        <v>0</v>
      </c>
      <c r="NE57">
        <v>0</v>
      </c>
      <c r="NF57" t="s">
        <v>264</v>
      </c>
      <c r="NI57">
        <v>40.1</v>
      </c>
      <c r="NJ57">
        <v>-6.6</v>
      </c>
      <c r="NP57" t="s">
        <v>624</v>
      </c>
    </row>
    <row r="58" spans="1:380" customFormat="1" x14ac:dyDescent="0.2">
      <c r="A58" t="s">
        <v>517</v>
      </c>
      <c r="B58">
        <v>1</v>
      </c>
      <c r="C58" t="s">
        <v>917</v>
      </c>
      <c r="D58">
        <v>646966392</v>
      </c>
      <c r="E58">
        <v>12602</v>
      </c>
      <c r="F58" t="s">
        <v>805</v>
      </c>
      <c r="G58">
        <v>709951</v>
      </c>
      <c r="H58">
        <v>914273</v>
      </c>
      <c r="I58" t="s">
        <v>543</v>
      </c>
      <c r="J58" t="s">
        <v>918</v>
      </c>
      <c r="K58" t="s">
        <v>545</v>
      </c>
      <c r="L58" t="s">
        <v>442</v>
      </c>
      <c r="M58" t="s">
        <v>546</v>
      </c>
      <c r="N58" t="s">
        <v>468</v>
      </c>
      <c r="O58" t="s">
        <v>547</v>
      </c>
      <c r="P58" t="s">
        <v>264</v>
      </c>
      <c r="Q58">
        <v>25.2</v>
      </c>
      <c r="R58">
        <v>277</v>
      </c>
      <c r="S58" t="s">
        <v>264</v>
      </c>
      <c r="T58">
        <v>-9999</v>
      </c>
      <c r="U58">
        <v>543</v>
      </c>
      <c r="V58">
        <v>558</v>
      </c>
      <c r="W58">
        <v>532</v>
      </c>
      <c r="X58" t="s">
        <v>270</v>
      </c>
      <c r="Y58">
        <v>0</v>
      </c>
      <c r="Z58">
        <v>55</v>
      </c>
      <c r="AA58" t="s">
        <v>469</v>
      </c>
      <c r="AB58" t="s">
        <v>548</v>
      </c>
      <c r="AC58">
        <v>1</v>
      </c>
      <c r="AD58" t="s">
        <v>584</v>
      </c>
      <c r="AE58">
        <v>21.9</v>
      </c>
      <c r="AF58">
        <v>1777</v>
      </c>
      <c r="AG58" t="s">
        <v>264</v>
      </c>
      <c r="AH58">
        <v>-9999</v>
      </c>
      <c r="AI58">
        <v>414</v>
      </c>
      <c r="AJ58">
        <v>534</v>
      </c>
      <c r="AK58">
        <v>419</v>
      </c>
      <c r="AL58" t="s">
        <v>270</v>
      </c>
      <c r="AM58">
        <v>0</v>
      </c>
      <c r="AN58">
        <v>55</v>
      </c>
      <c r="AO58" t="s">
        <v>470</v>
      </c>
      <c r="AP58" t="s">
        <v>548</v>
      </c>
      <c r="AQ58">
        <v>2</v>
      </c>
      <c r="AR58" t="s">
        <v>584</v>
      </c>
      <c r="AS58">
        <v>32</v>
      </c>
      <c r="AT58">
        <v>396</v>
      </c>
      <c r="AU58" t="s">
        <v>264</v>
      </c>
      <c r="AV58">
        <v>-9999</v>
      </c>
      <c r="AW58">
        <v>342</v>
      </c>
      <c r="AX58">
        <v>357</v>
      </c>
      <c r="AY58">
        <v>341</v>
      </c>
      <c r="AZ58" t="s">
        <v>270</v>
      </c>
      <c r="BA58">
        <v>0</v>
      </c>
      <c r="BB58">
        <v>55</v>
      </c>
      <c r="BC58" t="s">
        <v>550</v>
      </c>
      <c r="BD58" t="s">
        <v>548</v>
      </c>
      <c r="BE58">
        <v>3</v>
      </c>
      <c r="BF58" t="s">
        <v>584</v>
      </c>
      <c r="BG58">
        <v>21.3</v>
      </c>
      <c r="BH58">
        <v>546</v>
      </c>
      <c r="BI58" t="s">
        <v>264</v>
      </c>
      <c r="BJ58">
        <v>-9999</v>
      </c>
      <c r="BK58">
        <v>342</v>
      </c>
      <c r="BL58">
        <v>399</v>
      </c>
      <c r="BM58">
        <v>330</v>
      </c>
      <c r="BN58" t="s">
        <v>270</v>
      </c>
      <c r="BO58">
        <v>0</v>
      </c>
      <c r="BP58">
        <v>55</v>
      </c>
      <c r="BQ58" t="s">
        <v>504</v>
      </c>
      <c r="BR58" t="s">
        <v>548</v>
      </c>
      <c r="BS58">
        <v>4</v>
      </c>
      <c r="BT58" t="s">
        <v>584</v>
      </c>
      <c r="BU58">
        <v>26.7</v>
      </c>
      <c r="BV58">
        <v>305</v>
      </c>
      <c r="BW58" t="s">
        <v>264</v>
      </c>
      <c r="BX58">
        <v>-9999</v>
      </c>
      <c r="BY58">
        <v>202</v>
      </c>
      <c r="BZ58">
        <v>233</v>
      </c>
      <c r="CA58">
        <v>200</v>
      </c>
      <c r="CB58" t="s">
        <v>270</v>
      </c>
      <c r="CC58">
        <v>0</v>
      </c>
      <c r="CD58">
        <v>55</v>
      </c>
      <c r="CE58" t="s">
        <v>471</v>
      </c>
      <c r="CF58" t="s">
        <v>548</v>
      </c>
      <c r="CG58">
        <v>5</v>
      </c>
      <c r="CH58" t="s">
        <v>584</v>
      </c>
      <c r="CI58">
        <v>31.8</v>
      </c>
      <c r="CJ58">
        <v>221</v>
      </c>
      <c r="CK58" t="s">
        <v>264</v>
      </c>
      <c r="CL58">
        <v>-9999</v>
      </c>
      <c r="CM58">
        <v>420</v>
      </c>
      <c r="CN58">
        <v>488</v>
      </c>
      <c r="CO58">
        <v>417</v>
      </c>
      <c r="CP58" t="s">
        <v>270</v>
      </c>
      <c r="CQ58">
        <v>0</v>
      </c>
      <c r="CR58">
        <v>55</v>
      </c>
      <c r="CS58" t="s">
        <v>472</v>
      </c>
      <c r="CT58" t="s">
        <v>548</v>
      </c>
      <c r="CU58">
        <v>6</v>
      </c>
      <c r="CV58" t="s">
        <v>584</v>
      </c>
      <c r="CW58">
        <v>28.3</v>
      </c>
      <c r="CX58">
        <v>334</v>
      </c>
      <c r="CY58" t="s">
        <v>264</v>
      </c>
      <c r="CZ58">
        <v>-9999</v>
      </c>
      <c r="DA58">
        <v>655</v>
      </c>
      <c r="DB58">
        <v>743</v>
      </c>
      <c r="DC58">
        <v>642</v>
      </c>
      <c r="DD58" t="s">
        <v>270</v>
      </c>
      <c r="DE58">
        <v>0</v>
      </c>
      <c r="DF58">
        <v>55</v>
      </c>
      <c r="DG58" t="s">
        <v>473</v>
      </c>
      <c r="DH58" t="s">
        <v>548</v>
      </c>
      <c r="DI58">
        <v>7</v>
      </c>
      <c r="DJ58" t="s">
        <v>584</v>
      </c>
      <c r="DK58">
        <v>24.4</v>
      </c>
      <c r="DL58">
        <v>188</v>
      </c>
      <c r="DM58" t="s">
        <v>264</v>
      </c>
      <c r="DN58">
        <v>-9999</v>
      </c>
      <c r="DO58">
        <v>469</v>
      </c>
      <c r="DP58">
        <v>536</v>
      </c>
      <c r="DQ58">
        <v>466</v>
      </c>
      <c r="DR58" t="s">
        <v>270</v>
      </c>
      <c r="DS58">
        <v>0</v>
      </c>
      <c r="DT58">
        <v>55</v>
      </c>
      <c r="DU58" t="s">
        <v>474</v>
      </c>
      <c r="DV58" t="s">
        <v>548</v>
      </c>
      <c r="DW58">
        <v>8</v>
      </c>
      <c r="DX58" t="s">
        <v>584</v>
      </c>
      <c r="DY58">
        <v>20.3</v>
      </c>
      <c r="DZ58">
        <v>502</v>
      </c>
      <c r="EA58" t="s">
        <v>264</v>
      </c>
      <c r="EB58">
        <v>-9999</v>
      </c>
      <c r="EC58">
        <v>98</v>
      </c>
      <c r="ED58">
        <v>120</v>
      </c>
      <c r="EE58">
        <v>96</v>
      </c>
      <c r="EF58" t="s">
        <v>270</v>
      </c>
      <c r="EG58">
        <v>0</v>
      </c>
      <c r="EH58">
        <v>55</v>
      </c>
      <c r="EI58" t="s">
        <v>475</v>
      </c>
      <c r="EJ58" t="s">
        <v>548</v>
      </c>
      <c r="EK58">
        <v>9</v>
      </c>
      <c r="EL58" t="s">
        <v>584</v>
      </c>
      <c r="EM58">
        <v>29.1</v>
      </c>
      <c r="EN58">
        <v>32</v>
      </c>
      <c r="EO58" t="s">
        <v>264</v>
      </c>
      <c r="EP58">
        <v>-9999</v>
      </c>
      <c r="EQ58">
        <v>214</v>
      </c>
      <c r="ER58">
        <v>182</v>
      </c>
      <c r="ES58">
        <v>173</v>
      </c>
      <c r="ET58" t="s">
        <v>270</v>
      </c>
      <c r="EU58">
        <v>0</v>
      </c>
      <c r="EV58">
        <v>55</v>
      </c>
      <c r="EW58" t="s">
        <v>551</v>
      </c>
      <c r="EX58" t="s">
        <v>552</v>
      </c>
      <c r="EY58">
        <v>135</v>
      </c>
      <c r="EZ58">
        <v>135</v>
      </c>
      <c r="FA58">
        <v>135</v>
      </c>
      <c r="FB58" t="s">
        <v>270</v>
      </c>
      <c r="FC58" t="s">
        <v>553</v>
      </c>
      <c r="FD58" t="s">
        <v>552</v>
      </c>
      <c r="FE58">
        <v>359</v>
      </c>
      <c r="FF58">
        <v>357</v>
      </c>
      <c r="FG58">
        <v>355</v>
      </c>
      <c r="FH58" t="s">
        <v>270</v>
      </c>
      <c r="FI58" t="s">
        <v>554</v>
      </c>
      <c r="FJ58" t="s">
        <v>555</v>
      </c>
      <c r="FK58">
        <v>0</v>
      </c>
      <c r="FL58">
        <v>0</v>
      </c>
      <c r="FM58">
        <v>0</v>
      </c>
      <c r="FN58" t="s">
        <v>264</v>
      </c>
      <c r="FO58">
        <v>76</v>
      </c>
      <c r="FP58">
        <v>328.9</v>
      </c>
      <c r="FQ58" t="s">
        <v>556</v>
      </c>
      <c r="FR58" t="s">
        <v>555</v>
      </c>
      <c r="FS58">
        <v>0</v>
      </c>
      <c r="FT58">
        <v>0</v>
      </c>
      <c r="FU58">
        <v>0</v>
      </c>
      <c r="FV58" t="s">
        <v>264</v>
      </c>
      <c r="FW58">
        <v>73.5</v>
      </c>
      <c r="FX58">
        <v>79.2</v>
      </c>
      <c r="FY58" t="s">
        <v>557</v>
      </c>
      <c r="FZ58" t="s">
        <v>555</v>
      </c>
      <c r="GA58">
        <v>0</v>
      </c>
      <c r="GB58">
        <v>0</v>
      </c>
      <c r="GC58">
        <v>0</v>
      </c>
      <c r="GD58" t="s">
        <v>264</v>
      </c>
      <c r="GE58">
        <v>71.2</v>
      </c>
      <c r="GF58">
        <v>268.7</v>
      </c>
      <c r="GG58" t="s">
        <v>558</v>
      </c>
      <c r="GH58" t="s">
        <v>555</v>
      </c>
      <c r="GI58">
        <v>0</v>
      </c>
      <c r="GJ58">
        <v>0</v>
      </c>
      <c r="GK58">
        <v>0</v>
      </c>
      <c r="GL58" t="s">
        <v>264</v>
      </c>
      <c r="GM58">
        <v>68.400000000000006</v>
      </c>
      <c r="GN58">
        <v>51.9</v>
      </c>
      <c r="GO58" t="s">
        <v>559</v>
      </c>
      <c r="GP58" t="s">
        <v>555</v>
      </c>
      <c r="GQ58">
        <v>0</v>
      </c>
      <c r="GR58">
        <v>0</v>
      </c>
      <c r="GS58">
        <v>0</v>
      </c>
      <c r="GT58" t="s">
        <v>264</v>
      </c>
      <c r="GU58">
        <v>76</v>
      </c>
      <c r="GV58">
        <v>49.5</v>
      </c>
      <c r="GW58" t="s">
        <v>560</v>
      </c>
      <c r="GX58" t="s">
        <v>555</v>
      </c>
      <c r="GY58">
        <v>0</v>
      </c>
      <c r="GZ58">
        <v>0</v>
      </c>
      <c r="HA58">
        <v>0</v>
      </c>
      <c r="HB58" t="s">
        <v>264</v>
      </c>
      <c r="HC58">
        <v>70.3</v>
      </c>
      <c r="HD58">
        <v>78.400000000000006</v>
      </c>
      <c r="HE58" t="s">
        <v>561</v>
      </c>
      <c r="HF58" t="s">
        <v>555</v>
      </c>
      <c r="HG58">
        <v>0</v>
      </c>
      <c r="HH58">
        <v>0</v>
      </c>
      <c r="HI58">
        <v>0</v>
      </c>
      <c r="HJ58" t="s">
        <v>264</v>
      </c>
      <c r="HK58">
        <v>70.900000000000006</v>
      </c>
      <c r="HL58">
        <v>139.9</v>
      </c>
      <c r="HM58" t="s">
        <v>562</v>
      </c>
      <c r="HN58" t="s">
        <v>555</v>
      </c>
      <c r="HO58">
        <v>0</v>
      </c>
      <c r="HP58">
        <v>0</v>
      </c>
      <c r="HQ58">
        <v>0</v>
      </c>
      <c r="HR58" t="s">
        <v>264</v>
      </c>
      <c r="HS58">
        <v>69.2</v>
      </c>
      <c r="HT58">
        <v>73.099999999999994</v>
      </c>
      <c r="HU58" t="s">
        <v>563</v>
      </c>
      <c r="HV58" t="s">
        <v>555</v>
      </c>
      <c r="HW58">
        <v>0</v>
      </c>
      <c r="HX58">
        <v>0</v>
      </c>
      <c r="HY58">
        <v>0</v>
      </c>
      <c r="HZ58" t="s">
        <v>264</v>
      </c>
      <c r="IA58">
        <v>74.7</v>
      </c>
      <c r="IB58">
        <v>181.7</v>
      </c>
      <c r="IC58" t="s">
        <v>564</v>
      </c>
      <c r="ID58" t="s">
        <v>555</v>
      </c>
      <c r="IE58">
        <v>0</v>
      </c>
      <c r="IF58">
        <v>0</v>
      </c>
      <c r="IG58">
        <v>0</v>
      </c>
      <c r="IH58" t="s">
        <v>264</v>
      </c>
      <c r="II58">
        <v>68.2</v>
      </c>
      <c r="IJ58">
        <v>97.4</v>
      </c>
      <c r="IK58" t="s">
        <v>565</v>
      </c>
      <c r="IL58" t="s">
        <v>555</v>
      </c>
      <c r="IM58">
        <v>0</v>
      </c>
      <c r="IN58">
        <v>0</v>
      </c>
      <c r="IO58">
        <v>0</v>
      </c>
      <c r="IP58" t="s">
        <v>264</v>
      </c>
      <c r="IS58" t="s">
        <v>566</v>
      </c>
      <c r="IT58" t="s">
        <v>555</v>
      </c>
      <c r="IU58">
        <v>0</v>
      </c>
      <c r="IV58">
        <v>0</v>
      </c>
      <c r="IW58">
        <v>0</v>
      </c>
      <c r="IX58" t="s">
        <v>264</v>
      </c>
      <c r="JA58" t="s">
        <v>567</v>
      </c>
      <c r="JB58" t="s">
        <v>555</v>
      </c>
      <c r="JC58">
        <v>0</v>
      </c>
      <c r="JD58">
        <v>0</v>
      </c>
      <c r="JE58">
        <v>0</v>
      </c>
      <c r="JF58" t="s">
        <v>264</v>
      </c>
      <c r="JI58" t="s">
        <v>568</v>
      </c>
      <c r="JJ58" t="s">
        <v>555</v>
      </c>
      <c r="JK58">
        <v>0</v>
      </c>
      <c r="JL58">
        <v>0</v>
      </c>
      <c r="JM58">
        <v>0</v>
      </c>
      <c r="JN58" t="s">
        <v>264</v>
      </c>
      <c r="JQ58" t="s">
        <v>569</v>
      </c>
      <c r="JR58" t="s">
        <v>555</v>
      </c>
      <c r="JS58">
        <v>0</v>
      </c>
      <c r="JT58">
        <v>0</v>
      </c>
      <c r="JU58">
        <v>0</v>
      </c>
      <c r="JV58" t="s">
        <v>264</v>
      </c>
      <c r="JY58" t="s">
        <v>570</v>
      </c>
      <c r="JZ58" t="s">
        <v>555</v>
      </c>
      <c r="KA58">
        <v>0</v>
      </c>
      <c r="KB58">
        <v>0</v>
      </c>
      <c r="KC58">
        <v>0</v>
      </c>
      <c r="KD58" t="s">
        <v>264</v>
      </c>
      <c r="KG58" t="s">
        <v>571</v>
      </c>
      <c r="KH58" t="s">
        <v>555</v>
      </c>
      <c r="KI58">
        <v>0</v>
      </c>
      <c r="KJ58">
        <v>0</v>
      </c>
      <c r="KK58">
        <v>0</v>
      </c>
      <c r="KL58" t="s">
        <v>264</v>
      </c>
      <c r="KO58" t="s">
        <v>572</v>
      </c>
      <c r="KP58" t="s">
        <v>555</v>
      </c>
      <c r="KQ58">
        <v>0</v>
      </c>
      <c r="KR58">
        <v>0</v>
      </c>
      <c r="KS58">
        <v>0</v>
      </c>
      <c r="KT58" t="s">
        <v>264</v>
      </c>
      <c r="KW58" t="s">
        <v>573</v>
      </c>
      <c r="KX58" t="s">
        <v>555</v>
      </c>
      <c r="KY58">
        <v>0</v>
      </c>
      <c r="KZ58">
        <v>0</v>
      </c>
      <c r="LA58">
        <v>0</v>
      </c>
      <c r="LB58" t="s">
        <v>264</v>
      </c>
      <c r="LE58" t="s">
        <v>574</v>
      </c>
      <c r="LF58" t="s">
        <v>555</v>
      </c>
      <c r="LG58">
        <v>0</v>
      </c>
      <c r="LH58">
        <v>0</v>
      </c>
      <c r="LI58">
        <v>0</v>
      </c>
      <c r="LJ58" t="s">
        <v>264</v>
      </c>
      <c r="LM58" t="s">
        <v>575</v>
      </c>
      <c r="LN58" t="s">
        <v>555</v>
      </c>
      <c r="LO58">
        <v>0</v>
      </c>
      <c r="LP58">
        <v>0</v>
      </c>
      <c r="LQ58">
        <v>0</v>
      </c>
      <c r="LR58" t="s">
        <v>264</v>
      </c>
      <c r="LU58" t="s">
        <v>576</v>
      </c>
      <c r="LV58" t="s">
        <v>555</v>
      </c>
      <c r="LW58">
        <v>0</v>
      </c>
      <c r="LX58">
        <v>0</v>
      </c>
      <c r="LY58">
        <v>0</v>
      </c>
      <c r="LZ58" t="s">
        <v>264</v>
      </c>
      <c r="MC58" t="s">
        <v>577</v>
      </c>
      <c r="MD58" t="s">
        <v>555</v>
      </c>
      <c r="ME58">
        <v>0</v>
      </c>
      <c r="MF58">
        <v>0</v>
      </c>
      <c r="MG58">
        <v>0</v>
      </c>
      <c r="MH58" t="s">
        <v>264</v>
      </c>
      <c r="MK58" t="s">
        <v>578</v>
      </c>
      <c r="ML58" t="s">
        <v>555</v>
      </c>
      <c r="MM58">
        <v>0</v>
      </c>
      <c r="MN58">
        <v>0</v>
      </c>
      <c r="MO58">
        <v>0</v>
      </c>
      <c r="MP58" t="s">
        <v>264</v>
      </c>
      <c r="MS58" t="s">
        <v>579</v>
      </c>
      <c r="MT58" t="s">
        <v>555</v>
      </c>
      <c r="MU58">
        <v>0</v>
      </c>
      <c r="MV58">
        <v>0</v>
      </c>
      <c r="MW58">
        <v>0</v>
      </c>
      <c r="MX58" t="s">
        <v>264</v>
      </c>
      <c r="NA58" t="s">
        <v>580</v>
      </c>
      <c r="NB58" t="s">
        <v>555</v>
      </c>
      <c r="NC58">
        <v>0</v>
      </c>
      <c r="ND58">
        <v>0</v>
      </c>
      <c r="NE58">
        <v>0</v>
      </c>
      <c r="NF58" t="s">
        <v>264</v>
      </c>
      <c r="NI58">
        <v>40</v>
      </c>
      <c r="NJ58">
        <v>-9.6999999999999993</v>
      </c>
      <c r="NP58" t="s">
        <v>581</v>
      </c>
    </row>
    <row r="59" spans="1:380" customFormat="1" x14ac:dyDescent="0.2">
      <c r="A59" t="s">
        <v>517</v>
      </c>
      <c r="B59">
        <v>1</v>
      </c>
      <c r="C59" t="s">
        <v>919</v>
      </c>
      <c r="D59">
        <v>646965972</v>
      </c>
      <c r="E59">
        <v>12602</v>
      </c>
      <c r="F59" t="s">
        <v>805</v>
      </c>
      <c r="G59">
        <v>709951</v>
      </c>
      <c r="H59">
        <v>210074818</v>
      </c>
      <c r="I59" t="s">
        <v>543</v>
      </c>
      <c r="J59" t="s">
        <v>920</v>
      </c>
      <c r="K59" t="s">
        <v>545</v>
      </c>
      <c r="L59" t="s">
        <v>442</v>
      </c>
      <c r="M59" t="s">
        <v>546</v>
      </c>
      <c r="N59" t="s">
        <v>468</v>
      </c>
      <c r="O59" t="s">
        <v>547</v>
      </c>
      <c r="P59" t="s">
        <v>264</v>
      </c>
      <c r="Q59">
        <v>26.3</v>
      </c>
      <c r="R59">
        <v>245</v>
      </c>
      <c r="S59" t="s">
        <v>264</v>
      </c>
      <c r="T59">
        <v>-9999</v>
      </c>
      <c r="U59">
        <v>450</v>
      </c>
      <c r="V59">
        <v>461</v>
      </c>
      <c r="W59">
        <v>442</v>
      </c>
      <c r="X59" t="s">
        <v>270</v>
      </c>
      <c r="Y59">
        <v>0</v>
      </c>
      <c r="Z59">
        <v>55</v>
      </c>
      <c r="AA59" t="s">
        <v>469</v>
      </c>
      <c r="AB59" t="s">
        <v>548</v>
      </c>
      <c r="AC59">
        <v>1</v>
      </c>
      <c r="AD59" t="s">
        <v>584</v>
      </c>
      <c r="AE59">
        <v>25.8</v>
      </c>
      <c r="AF59">
        <v>1275</v>
      </c>
      <c r="AG59" t="s">
        <v>264</v>
      </c>
      <c r="AH59">
        <v>-9999</v>
      </c>
      <c r="AI59">
        <v>448</v>
      </c>
      <c r="AJ59">
        <v>547</v>
      </c>
      <c r="AK59">
        <v>444</v>
      </c>
      <c r="AL59" t="s">
        <v>270</v>
      </c>
      <c r="AM59">
        <v>0</v>
      </c>
      <c r="AN59">
        <v>55</v>
      </c>
      <c r="AO59" t="s">
        <v>470</v>
      </c>
      <c r="AP59" t="s">
        <v>548</v>
      </c>
      <c r="AQ59">
        <v>2</v>
      </c>
      <c r="AR59" t="s">
        <v>584</v>
      </c>
      <c r="AS59">
        <v>36.6</v>
      </c>
      <c r="AT59">
        <v>390</v>
      </c>
      <c r="AU59" t="s">
        <v>264</v>
      </c>
      <c r="AV59">
        <v>-9999</v>
      </c>
      <c r="AW59">
        <v>363</v>
      </c>
      <c r="AX59">
        <v>383</v>
      </c>
      <c r="AY59">
        <v>361</v>
      </c>
      <c r="AZ59" t="s">
        <v>270</v>
      </c>
      <c r="BA59">
        <v>0</v>
      </c>
      <c r="BB59">
        <v>55</v>
      </c>
      <c r="BC59" t="s">
        <v>550</v>
      </c>
      <c r="BD59" t="s">
        <v>548</v>
      </c>
      <c r="BE59">
        <v>3</v>
      </c>
      <c r="BF59" t="s">
        <v>584</v>
      </c>
      <c r="BG59">
        <v>22.7</v>
      </c>
      <c r="BH59">
        <v>807</v>
      </c>
      <c r="BI59" t="s">
        <v>264</v>
      </c>
      <c r="BJ59">
        <v>-9999</v>
      </c>
      <c r="BK59">
        <v>104</v>
      </c>
      <c r="BL59">
        <v>135</v>
      </c>
      <c r="BM59">
        <v>106</v>
      </c>
      <c r="BN59" t="s">
        <v>270</v>
      </c>
      <c r="BO59">
        <v>0</v>
      </c>
      <c r="BP59">
        <v>55</v>
      </c>
      <c r="BQ59" t="s">
        <v>504</v>
      </c>
      <c r="BR59" t="s">
        <v>548</v>
      </c>
      <c r="BS59">
        <v>4</v>
      </c>
      <c r="BT59" t="s">
        <v>584</v>
      </c>
      <c r="BU59">
        <v>29.8</v>
      </c>
      <c r="BV59">
        <v>302</v>
      </c>
      <c r="BW59" t="s">
        <v>264</v>
      </c>
      <c r="BX59">
        <v>-9999</v>
      </c>
      <c r="BY59">
        <v>192</v>
      </c>
      <c r="BZ59">
        <v>223</v>
      </c>
      <c r="CA59">
        <v>190</v>
      </c>
      <c r="CB59" t="s">
        <v>270</v>
      </c>
      <c r="CC59">
        <v>0</v>
      </c>
      <c r="CD59">
        <v>55</v>
      </c>
      <c r="CE59" t="s">
        <v>471</v>
      </c>
      <c r="CF59" t="s">
        <v>548</v>
      </c>
      <c r="CG59">
        <v>5</v>
      </c>
      <c r="CH59" t="s">
        <v>584</v>
      </c>
      <c r="CI59">
        <v>34.299999999999997</v>
      </c>
      <c r="CJ59">
        <v>254</v>
      </c>
      <c r="CK59" t="s">
        <v>264</v>
      </c>
      <c r="CL59">
        <v>-9999</v>
      </c>
      <c r="CM59">
        <v>442</v>
      </c>
      <c r="CN59">
        <v>517</v>
      </c>
      <c r="CO59">
        <v>441</v>
      </c>
      <c r="CP59" t="s">
        <v>270</v>
      </c>
      <c r="CQ59">
        <v>0</v>
      </c>
      <c r="CR59">
        <v>55</v>
      </c>
      <c r="CS59" t="s">
        <v>472</v>
      </c>
      <c r="CT59" t="s">
        <v>548</v>
      </c>
      <c r="CU59">
        <v>6</v>
      </c>
      <c r="CV59" t="s">
        <v>584</v>
      </c>
      <c r="CW59">
        <v>35.1</v>
      </c>
      <c r="CX59">
        <v>222</v>
      </c>
      <c r="CY59" t="s">
        <v>264</v>
      </c>
      <c r="CZ59">
        <v>-9999</v>
      </c>
      <c r="DA59">
        <v>671</v>
      </c>
      <c r="DB59">
        <v>762</v>
      </c>
      <c r="DC59">
        <v>661</v>
      </c>
      <c r="DD59" t="s">
        <v>270</v>
      </c>
      <c r="DE59">
        <v>0</v>
      </c>
      <c r="DF59">
        <v>55</v>
      </c>
      <c r="DG59" t="s">
        <v>473</v>
      </c>
      <c r="DH59" t="s">
        <v>548</v>
      </c>
      <c r="DI59">
        <v>7</v>
      </c>
      <c r="DJ59" t="s">
        <v>584</v>
      </c>
      <c r="DK59">
        <v>24.3</v>
      </c>
      <c r="DL59">
        <v>231</v>
      </c>
      <c r="DM59" t="s">
        <v>264</v>
      </c>
      <c r="DN59">
        <v>-9999</v>
      </c>
      <c r="DO59">
        <v>461</v>
      </c>
      <c r="DP59">
        <v>529</v>
      </c>
      <c r="DQ59">
        <v>455</v>
      </c>
      <c r="DR59" t="s">
        <v>270</v>
      </c>
      <c r="DS59">
        <v>0</v>
      </c>
      <c r="DT59">
        <v>55</v>
      </c>
      <c r="DU59" t="s">
        <v>474</v>
      </c>
      <c r="DV59" t="s">
        <v>548</v>
      </c>
      <c r="DW59">
        <v>8</v>
      </c>
      <c r="DX59" t="s">
        <v>584</v>
      </c>
      <c r="DY59">
        <v>21.5</v>
      </c>
      <c r="DZ59">
        <v>450</v>
      </c>
      <c r="EA59" t="s">
        <v>264</v>
      </c>
      <c r="EB59">
        <v>-9999</v>
      </c>
      <c r="EC59">
        <v>94</v>
      </c>
      <c r="ED59">
        <v>115</v>
      </c>
      <c r="EE59">
        <v>92</v>
      </c>
      <c r="EF59" t="s">
        <v>270</v>
      </c>
      <c r="EG59">
        <v>0</v>
      </c>
      <c r="EH59">
        <v>55</v>
      </c>
      <c r="EI59" t="s">
        <v>475</v>
      </c>
      <c r="EJ59" t="s">
        <v>548</v>
      </c>
      <c r="EK59">
        <v>9</v>
      </c>
      <c r="EL59" t="s">
        <v>584</v>
      </c>
      <c r="EM59">
        <v>26.1</v>
      </c>
      <c r="EN59">
        <v>93</v>
      </c>
      <c r="EO59" t="s">
        <v>264</v>
      </c>
      <c r="EP59">
        <v>-9999</v>
      </c>
      <c r="EQ59">
        <v>281</v>
      </c>
      <c r="ER59">
        <v>257</v>
      </c>
      <c r="ES59">
        <v>237</v>
      </c>
      <c r="ET59" t="s">
        <v>270</v>
      </c>
      <c r="EU59">
        <v>0</v>
      </c>
      <c r="EV59">
        <v>55</v>
      </c>
      <c r="EW59" t="s">
        <v>551</v>
      </c>
      <c r="EX59" t="s">
        <v>552</v>
      </c>
      <c r="EY59">
        <v>120</v>
      </c>
      <c r="EZ59">
        <v>120</v>
      </c>
      <c r="FA59">
        <v>120</v>
      </c>
      <c r="FB59" t="s">
        <v>270</v>
      </c>
      <c r="FC59" t="s">
        <v>553</v>
      </c>
      <c r="FD59" t="s">
        <v>552</v>
      </c>
      <c r="FE59">
        <v>263</v>
      </c>
      <c r="FF59">
        <v>263</v>
      </c>
      <c r="FG59">
        <v>262</v>
      </c>
      <c r="FH59" t="s">
        <v>270</v>
      </c>
      <c r="FI59" t="s">
        <v>554</v>
      </c>
      <c r="FJ59" t="s">
        <v>555</v>
      </c>
      <c r="FK59">
        <v>0</v>
      </c>
      <c r="FL59">
        <v>0</v>
      </c>
      <c r="FM59">
        <v>0</v>
      </c>
      <c r="FN59" t="s">
        <v>264</v>
      </c>
      <c r="FO59">
        <v>76.099999999999994</v>
      </c>
      <c r="FP59">
        <v>233.5</v>
      </c>
      <c r="FQ59" t="s">
        <v>556</v>
      </c>
      <c r="FR59" t="s">
        <v>555</v>
      </c>
      <c r="FS59">
        <v>0</v>
      </c>
      <c r="FT59">
        <v>0</v>
      </c>
      <c r="FU59">
        <v>0</v>
      </c>
      <c r="FV59" t="s">
        <v>264</v>
      </c>
      <c r="FW59">
        <v>73.5</v>
      </c>
      <c r="FX59">
        <v>97.2</v>
      </c>
      <c r="FY59" t="s">
        <v>557</v>
      </c>
      <c r="FZ59" t="s">
        <v>555</v>
      </c>
      <c r="GA59">
        <v>0</v>
      </c>
      <c r="GB59">
        <v>0</v>
      </c>
      <c r="GC59">
        <v>0</v>
      </c>
      <c r="GD59" t="s">
        <v>264</v>
      </c>
      <c r="GE59">
        <v>71.3</v>
      </c>
      <c r="GF59">
        <v>197.9</v>
      </c>
      <c r="GG59" t="s">
        <v>558</v>
      </c>
      <c r="GH59" t="s">
        <v>555</v>
      </c>
      <c r="GI59">
        <v>0</v>
      </c>
      <c r="GJ59">
        <v>0</v>
      </c>
      <c r="GK59">
        <v>0</v>
      </c>
      <c r="GL59" t="s">
        <v>264</v>
      </c>
      <c r="GM59">
        <v>68.5</v>
      </c>
      <c r="GN59">
        <v>39.700000000000003</v>
      </c>
      <c r="GO59" t="s">
        <v>559</v>
      </c>
      <c r="GP59" t="s">
        <v>555</v>
      </c>
      <c r="GQ59">
        <v>0</v>
      </c>
      <c r="GR59">
        <v>0</v>
      </c>
      <c r="GS59">
        <v>0</v>
      </c>
      <c r="GT59" t="s">
        <v>264</v>
      </c>
      <c r="GU59">
        <v>76.099999999999994</v>
      </c>
      <c r="GV59">
        <v>53.2</v>
      </c>
      <c r="GW59" t="s">
        <v>560</v>
      </c>
      <c r="GX59" t="s">
        <v>555</v>
      </c>
      <c r="GY59">
        <v>0</v>
      </c>
      <c r="GZ59">
        <v>0</v>
      </c>
      <c r="HA59">
        <v>0</v>
      </c>
      <c r="HB59" t="s">
        <v>264</v>
      </c>
      <c r="HC59">
        <v>70.3</v>
      </c>
      <c r="HD59">
        <v>69</v>
      </c>
      <c r="HE59" t="s">
        <v>561</v>
      </c>
      <c r="HF59" t="s">
        <v>555</v>
      </c>
      <c r="HG59">
        <v>0</v>
      </c>
      <c r="HH59">
        <v>0</v>
      </c>
      <c r="HI59">
        <v>0</v>
      </c>
      <c r="HJ59" t="s">
        <v>264</v>
      </c>
      <c r="HK59">
        <v>70.900000000000006</v>
      </c>
      <c r="HL59">
        <v>112.5</v>
      </c>
      <c r="HM59" t="s">
        <v>562</v>
      </c>
      <c r="HN59" t="s">
        <v>555</v>
      </c>
      <c r="HO59">
        <v>0</v>
      </c>
      <c r="HP59">
        <v>0</v>
      </c>
      <c r="HQ59">
        <v>0</v>
      </c>
      <c r="HR59" t="s">
        <v>264</v>
      </c>
      <c r="HS59">
        <v>69.3</v>
      </c>
      <c r="HT59">
        <v>71.8</v>
      </c>
      <c r="HU59" t="s">
        <v>563</v>
      </c>
      <c r="HV59" t="s">
        <v>555</v>
      </c>
      <c r="HW59">
        <v>0</v>
      </c>
      <c r="HX59">
        <v>0</v>
      </c>
      <c r="HY59">
        <v>0</v>
      </c>
      <c r="HZ59" t="s">
        <v>264</v>
      </c>
      <c r="IA59">
        <v>74.8</v>
      </c>
      <c r="IB59">
        <v>146</v>
      </c>
      <c r="IC59" t="s">
        <v>564</v>
      </c>
      <c r="ID59" t="s">
        <v>555</v>
      </c>
      <c r="IE59">
        <v>0</v>
      </c>
      <c r="IF59">
        <v>0</v>
      </c>
      <c r="IG59">
        <v>0</v>
      </c>
      <c r="IH59" t="s">
        <v>264</v>
      </c>
      <c r="II59">
        <v>68.3</v>
      </c>
      <c r="IJ59">
        <v>102.3</v>
      </c>
      <c r="IK59" t="s">
        <v>565</v>
      </c>
      <c r="IL59" t="s">
        <v>555</v>
      </c>
      <c r="IM59">
        <v>0</v>
      </c>
      <c r="IN59">
        <v>0</v>
      </c>
      <c r="IO59">
        <v>0</v>
      </c>
      <c r="IP59" t="s">
        <v>264</v>
      </c>
      <c r="IS59" t="s">
        <v>566</v>
      </c>
      <c r="IT59" t="s">
        <v>555</v>
      </c>
      <c r="IU59">
        <v>0</v>
      </c>
      <c r="IV59">
        <v>0</v>
      </c>
      <c r="IW59">
        <v>0</v>
      </c>
      <c r="IX59" t="s">
        <v>264</v>
      </c>
      <c r="JA59" t="s">
        <v>567</v>
      </c>
      <c r="JB59" t="s">
        <v>555</v>
      </c>
      <c r="JC59">
        <v>0</v>
      </c>
      <c r="JD59">
        <v>0</v>
      </c>
      <c r="JE59">
        <v>0</v>
      </c>
      <c r="JF59" t="s">
        <v>264</v>
      </c>
      <c r="JI59" t="s">
        <v>568</v>
      </c>
      <c r="JJ59" t="s">
        <v>555</v>
      </c>
      <c r="JK59">
        <v>0</v>
      </c>
      <c r="JL59">
        <v>0</v>
      </c>
      <c r="JM59">
        <v>0</v>
      </c>
      <c r="JN59" t="s">
        <v>264</v>
      </c>
      <c r="JQ59" t="s">
        <v>569</v>
      </c>
      <c r="JR59" t="s">
        <v>555</v>
      </c>
      <c r="JS59">
        <v>0</v>
      </c>
      <c r="JT59">
        <v>0</v>
      </c>
      <c r="JU59">
        <v>0</v>
      </c>
      <c r="JV59" t="s">
        <v>264</v>
      </c>
      <c r="JY59" t="s">
        <v>570</v>
      </c>
      <c r="JZ59" t="s">
        <v>555</v>
      </c>
      <c r="KA59">
        <v>0</v>
      </c>
      <c r="KB59">
        <v>0</v>
      </c>
      <c r="KC59">
        <v>0</v>
      </c>
      <c r="KD59" t="s">
        <v>264</v>
      </c>
      <c r="KG59" t="s">
        <v>571</v>
      </c>
      <c r="KH59" t="s">
        <v>555</v>
      </c>
      <c r="KI59">
        <v>0</v>
      </c>
      <c r="KJ59">
        <v>0</v>
      </c>
      <c r="KK59">
        <v>0</v>
      </c>
      <c r="KL59" t="s">
        <v>264</v>
      </c>
      <c r="KO59" t="s">
        <v>572</v>
      </c>
      <c r="KP59" t="s">
        <v>555</v>
      </c>
      <c r="KQ59">
        <v>0</v>
      </c>
      <c r="KR59">
        <v>0</v>
      </c>
      <c r="KS59">
        <v>0</v>
      </c>
      <c r="KT59" t="s">
        <v>264</v>
      </c>
      <c r="KW59" t="s">
        <v>573</v>
      </c>
      <c r="KX59" t="s">
        <v>555</v>
      </c>
      <c r="KY59">
        <v>0</v>
      </c>
      <c r="KZ59">
        <v>0</v>
      </c>
      <c r="LA59">
        <v>0</v>
      </c>
      <c r="LB59" t="s">
        <v>264</v>
      </c>
      <c r="LE59" t="s">
        <v>574</v>
      </c>
      <c r="LF59" t="s">
        <v>555</v>
      </c>
      <c r="LG59">
        <v>0</v>
      </c>
      <c r="LH59">
        <v>0</v>
      </c>
      <c r="LI59">
        <v>0</v>
      </c>
      <c r="LJ59" t="s">
        <v>264</v>
      </c>
      <c r="LM59" t="s">
        <v>575</v>
      </c>
      <c r="LN59" t="s">
        <v>555</v>
      </c>
      <c r="LO59">
        <v>0</v>
      </c>
      <c r="LP59">
        <v>0</v>
      </c>
      <c r="LQ59">
        <v>0</v>
      </c>
      <c r="LR59" t="s">
        <v>264</v>
      </c>
      <c r="LU59" t="s">
        <v>576</v>
      </c>
      <c r="LV59" t="s">
        <v>555</v>
      </c>
      <c r="LW59">
        <v>0</v>
      </c>
      <c r="LX59">
        <v>0</v>
      </c>
      <c r="LY59">
        <v>0</v>
      </c>
      <c r="LZ59" t="s">
        <v>264</v>
      </c>
      <c r="MC59" t="s">
        <v>577</v>
      </c>
      <c r="MD59" t="s">
        <v>555</v>
      </c>
      <c r="ME59">
        <v>0</v>
      </c>
      <c r="MF59">
        <v>0</v>
      </c>
      <c r="MG59">
        <v>0</v>
      </c>
      <c r="MH59" t="s">
        <v>264</v>
      </c>
      <c r="MK59" t="s">
        <v>578</v>
      </c>
      <c r="ML59" t="s">
        <v>555</v>
      </c>
      <c r="MM59">
        <v>0</v>
      </c>
      <c r="MN59">
        <v>0</v>
      </c>
      <c r="MO59">
        <v>0</v>
      </c>
      <c r="MP59" t="s">
        <v>264</v>
      </c>
      <c r="MS59" t="s">
        <v>579</v>
      </c>
      <c r="MT59" t="s">
        <v>555</v>
      </c>
      <c r="MU59">
        <v>0</v>
      </c>
      <c r="MV59">
        <v>0</v>
      </c>
      <c r="MW59">
        <v>0</v>
      </c>
      <c r="MX59" t="s">
        <v>264</v>
      </c>
      <c r="NA59" t="s">
        <v>580</v>
      </c>
      <c r="NB59" t="s">
        <v>555</v>
      </c>
      <c r="NC59">
        <v>0</v>
      </c>
      <c r="ND59">
        <v>0</v>
      </c>
      <c r="NE59">
        <v>0</v>
      </c>
      <c r="NF59" t="s">
        <v>264</v>
      </c>
      <c r="NI59">
        <v>40.1</v>
      </c>
      <c r="NJ59">
        <v>-6.5</v>
      </c>
      <c r="NP59" t="s">
        <v>581</v>
      </c>
    </row>
    <row r="60" spans="1:380" customFormat="1" x14ac:dyDescent="0.2">
      <c r="A60" t="s">
        <v>517</v>
      </c>
      <c r="B60">
        <v>1</v>
      </c>
      <c r="C60" t="s">
        <v>921</v>
      </c>
      <c r="D60">
        <v>646966068</v>
      </c>
      <c r="E60">
        <v>12602</v>
      </c>
      <c r="F60" t="s">
        <v>805</v>
      </c>
      <c r="G60">
        <v>709951</v>
      </c>
      <c r="H60">
        <v>603960</v>
      </c>
      <c r="I60" t="s">
        <v>543</v>
      </c>
      <c r="J60" t="s">
        <v>922</v>
      </c>
      <c r="K60" t="s">
        <v>545</v>
      </c>
      <c r="L60" t="s">
        <v>442</v>
      </c>
      <c r="M60" t="s">
        <v>546</v>
      </c>
      <c r="N60" t="s">
        <v>468</v>
      </c>
      <c r="O60" t="s">
        <v>547</v>
      </c>
      <c r="P60" t="s">
        <v>264</v>
      </c>
      <c r="Q60">
        <v>25.2</v>
      </c>
      <c r="R60">
        <v>295</v>
      </c>
      <c r="S60" t="s">
        <v>264</v>
      </c>
      <c r="T60">
        <v>-9999</v>
      </c>
      <c r="U60">
        <v>533</v>
      </c>
      <c r="V60">
        <v>550</v>
      </c>
      <c r="W60">
        <v>522</v>
      </c>
      <c r="X60" t="s">
        <v>270</v>
      </c>
      <c r="Y60">
        <v>0</v>
      </c>
      <c r="Z60">
        <v>55</v>
      </c>
      <c r="AA60" t="s">
        <v>469</v>
      </c>
      <c r="AB60" t="s">
        <v>548</v>
      </c>
      <c r="AC60">
        <v>1</v>
      </c>
      <c r="AD60" t="s">
        <v>584</v>
      </c>
      <c r="AE60">
        <v>25.3</v>
      </c>
      <c r="AF60">
        <v>1520</v>
      </c>
      <c r="AG60" t="s">
        <v>264</v>
      </c>
      <c r="AH60">
        <v>-9999</v>
      </c>
      <c r="AI60">
        <v>384</v>
      </c>
      <c r="AJ60">
        <v>483</v>
      </c>
      <c r="AK60">
        <v>386</v>
      </c>
      <c r="AL60" t="s">
        <v>270</v>
      </c>
      <c r="AM60">
        <v>0</v>
      </c>
      <c r="AN60">
        <v>55</v>
      </c>
      <c r="AO60" t="s">
        <v>470</v>
      </c>
      <c r="AP60" t="s">
        <v>548</v>
      </c>
      <c r="AQ60">
        <v>2</v>
      </c>
      <c r="AR60" t="s">
        <v>584</v>
      </c>
      <c r="AS60">
        <v>36.6</v>
      </c>
      <c r="AT60">
        <v>375</v>
      </c>
      <c r="AU60" t="s">
        <v>264</v>
      </c>
      <c r="AV60">
        <v>-9999</v>
      </c>
      <c r="AW60">
        <v>320</v>
      </c>
      <c r="AX60">
        <v>337</v>
      </c>
      <c r="AY60">
        <v>319</v>
      </c>
      <c r="AZ60" t="s">
        <v>270</v>
      </c>
      <c r="BA60">
        <v>0</v>
      </c>
      <c r="BB60">
        <v>55</v>
      </c>
      <c r="BC60" t="s">
        <v>550</v>
      </c>
      <c r="BD60" t="s">
        <v>548</v>
      </c>
      <c r="BE60">
        <v>3</v>
      </c>
      <c r="BF60" t="s">
        <v>584</v>
      </c>
      <c r="BG60">
        <v>23.6</v>
      </c>
      <c r="BH60">
        <v>522</v>
      </c>
      <c r="BI60" t="s">
        <v>264</v>
      </c>
      <c r="BJ60">
        <v>-9999</v>
      </c>
      <c r="BK60">
        <v>269</v>
      </c>
      <c r="BL60">
        <v>322</v>
      </c>
      <c r="BM60">
        <v>264</v>
      </c>
      <c r="BN60" t="s">
        <v>270</v>
      </c>
      <c r="BO60">
        <v>0</v>
      </c>
      <c r="BP60">
        <v>55</v>
      </c>
      <c r="BQ60" t="s">
        <v>504</v>
      </c>
      <c r="BR60" t="s">
        <v>548</v>
      </c>
      <c r="BS60">
        <v>4</v>
      </c>
      <c r="BT60" t="s">
        <v>584</v>
      </c>
      <c r="BU60">
        <v>29.5</v>
      </c>
      <c r="BV60">
        <v>301</v>
      </c>
      <c r="BW60" t="s">
        <v>264</v>
      </c>
      <c r="BX60">
        <v>-9999</v>
      </c>
      <c r="BY60">
        <v>183</v>
      </c>
      <c r="BZ60">
        <v>212</v>
      </c>
      <c r="CA60">
        <v>181</v>
      </c>
      <c r="CB60" t="s">
        <v>270</v>
      </c>
      <c r="CC60">
        <v>0</v>
      </c>
      <c r="CD60">
        <v>55</v>
      </c>
      <c r="CE60" t="s">
        <v>471</v>
      </c>
      <c r="CF60" t="s">
        <v>548</v>
      </c>
      <c r="CG60">
        <v>5</v>
      </c>
      <c r="CH60" t="s">
        <v>584</v>
      </c>
      <c r="CI60">
        <v>34.5</v>
      </c>
      <c r="CJ60">
        <v>240</v>
      </c>
      <c r="CK60" t="s">
        <v>264</v>
      </c>
      <c r="CL60">
        <v>-9999</v>
      </c>
      <c r="CM60">
        <v>407</v>
      </c>
      <c r="CN60">
        <v>475</v>
      </c>
      <c r="CO60">
        <v>406</v>
      </c>
      <c r="CP60" t="s">
        <v>270</v>
      </c>
      <c r="CQ60">
        <v>0</v>
      </c>
      <c r="CR60">
        <v>55</v>
      </c>
      <c r="CS60" t="s">
        <v>472</v>
      </c>
      <c r="CT60" t="s">
        <v>548</v>
      </c>
      <c r="CU60">
        <v>6</v>
      </c>
      <c r="CV60" t="s">
        <v>584</v>
      </c>
      <c r="CW60">
        <v>33.4</v>
      </c>
      <c r="CX60">
        <v>271</v>
      </c>
      <c r="CY60" t="s">
        <v>264</v>
      </c>
      <c r="CZ60">
        <v>-9999</v>
      </c>
      <c r="DA60">
        <v>579</v>
      </c>
      <c r="DB60">
        <v>657</v>
      </c>
      <c r="DC60">
        <v>571</v>
      </c>
      <c r="DD60" t="s">
        <v>270</v>
      </c>
      <c r="DE60">
        <v>0</v>
      </c>
      <c r="DF60">
        <v>55</v>
      </c>
      <c r="DG60" t="s">
        <v>473</v>
      </c>
      <c r="DH60" t="s">
        <v>548</v>
      </c>
      <c r="DI60">
        <v>7</v>
      </c>
      <c r="DJ60" t="s">
        <v>584</v>
      </c>
      <c r="DK60">
        <v>23.3</v>
      </c>
      <c r="DL60">
        <v>234</v>
      </c>
      <c r="DM60" t="s">
        <v>264</v>
      </c>
      <c r="DN60">
        <v>-9999</v>
      </c>
      <c r="DO60">
        <v>472</v>
      </c>
      <c r="DP60">
        <v>540</v>
      </c>
      <c r="DQ60">
        <v>469</v>
      </c>
      <c r="DR60" t="s">
        <v>270</v>
      </c>
      <c r="DS60">
        <v>0</v>
      </c>
      <c r="DT60">
        <v>55</v>
      </c>
      <c r="DU60" t="s">
        <v>474</v>
      </c>
      <c r="DV60" t="s">
        <v>548</v>
      </c>
      <c r="DW60">
        <v>8</v>
      </c>
      <c r="DX60" t="s">
        <v>584</v>
      </c>
      <c r="DY60">
        <v>21.2</v>
      </c>
      <c r="DZ60">
        <v>435</v>
      </c>
      <c r="EA60" t="s">
        <v>264</v>
      </c>
      <c r="EB60">
        <v>-9999</v>
      </c>
      <c r="EC60">
        <v>103</v>
      </c>
      <c r="ED60">
        <v>125</v>
      </c>
      <c r="EE60">
        <v>102</v>
      </c>
      <c r="EF60" t="s">
        <v>270</v>
      </c>
      <c r="EG60">
        <v>0</v>
      </c>
      <c r="EH60">
        <v>55</v>
      </c>
      <c r="EI60" t="s">
        <v>475</v>
      </c>
      <c r="EJ60" t="s">
        <v>548</v>
      </c>
      <c r="EK60">
        <v>9</v>
      </c>
      <c r="EL60" t="s">
        <v>584</v>
      </c>
      <c r="EM60">
        <v>23.4</v>
      </c>
      <c r="EN60">
        <v>127</v>
      </c>
      <c r="EO60" t="s">
        <v>264</v>
      </c>
      <c r="EP60">
        <v>-9999</v>
      </c>
      <c r="EQ60">
        <v>244</v>
      </c>
      <c r="ER60">
        <v>233</v>
      </c>
      <c r="ES60">
        <v>222</v>
      </c>
      <c r="ET60" t="s">
        <v>270</v>
      </c>
      <c r="EU60">
        <v>0</v>
      </c>
      <c r="EV60">
        <v>55</v>
      </c>
      <c r="EW60" t="s">
        <v>551</v>
      </c>
      <c r="EX60" t="s">
        <v>552</v>
      </c>
      <c r="EY60">
        <v>130</v>
      </c>
      <c r="EZ60">
        <v>131</v>
      </c>
      <c r="FA60">
        <v>131</v>
      </c>
      <c r="FB60" t="s">
        <v>270</v>
      </c>
      <c r="FC60" t="s">
        <v>553</v>
      </c>
      <c r="FD60" t="s">
        <v>552</v>
      </c>
      <c r="FE60">
        <v>247</v>
      </c>
      <c r="FF60">
        <v>245</v>
      </c>
      <c r="FG60">
        <v>245</v>
      </c>
      <c r="FH60" t="s">
        <v>270</v>
      </c>
      <c r="FI60" t="s">
        <v>554</v>
      </c>
      <c r="FJ60" t="s">
        <v>555</v>
      </c>
      <c r="FK60">
        <v>0</v>
      </c>
      <c r="FL60">
        <v>0</v>
      </c>
      <c r="FM60">
        <v>0</v>
      </c>
      <c r="FN60" t="s">
        <v>264</v>
      </c>
      <c r="FO60">
        <v>76.099999999999994</v>
      </c>
      <c r="FP60">
        <v>280.8</v>
      </c>
      <c r="FQ60" t="s">
        <v>556</v>
      </c>
      <c r="FR60" t="s">
        <v>555</v>
      </c>
      <c r="FS60">
        <v>0</v>
      </c>
      <c r="FT60">
        <v>0</v>
      </c>
      <c r="FU60">
        <v>0</v>
      </c>
      <c r="FV60" t="s">
        <v>264</v>
      </c>
      <c r="FW60">
        <v>73.599999999999994</v>
      </c>
      <c r="FX60">
        <v>89.2</v>
      </c>
      <c r="FY60" t="s">
        <v>557</v>
      </c>
      <c r="FZ60" t="s">
        <v>555</v>
      </c>
      <c r="GA60">
        <v>0</v>
      </c>
      <c r="GB60">
        <v>0</v>
      </c>
      <c r="GC60">
        <v>0</v>
      </c>
      <c r="GD60" t="s">
        <v>264</v>
      </c>
      <c r="GE60">
        <v>71.400000000000006</v>
      </c>
      <c r="GF60">
        <v>261.60000000000002</v>
      </c>
      <c r="GG60" t="s">
        <v>558</v>
      </c>
      <c r="GH60" t="s">
        <v>555</v>
      </c>
      <c r="GI60">
        <v>0</v>
      </c>
      <c r="GJ60">
        <v>0</v>
      </c>
      <c r="GK60">
        <v>0</v>
      </c>
      <c r="GL60" t="s">
        <v>264</v>
      </c>
      <c r="GM60">
        <v>68.599999999999994</v>
      </c>
      <c r="GN60">
        <v>54.1</v>
      </c>
      <c r="GO60" t="s">
        <v>559</v>
      </c>
      <c r="GP60" t="s">
        <v>555</v>
      </c>
      <c r="GQ60">
        <v>0</v>
      </c>
      <c r="GR60">
        <v>0</v>
      </c>
      <c r="GS60">
        <v>0</v>
      </c>
      <c r="GT60" t="s">
        <v>264</v>
      </c>
      <c r="GU60">
        <v>76.099999999999994</v>
      </c>
      <c r="GV60">
        <v>53.3</v>
      </c>
      <c r="GW60" t="s">
        <v>560</v>
      </c>
      <c r="GX60" t="s">
        <v>555</v>
      </c>
      <c r="GY60">
        <v>0</v>
      </c>
      <c r="GZ60">
        <v>0</v>
      </c>
      <c r="HA60">
        <v>0</v>
      </c>
      <c r="HB60" t="s">
        <v>264</v>
      </c>
      <c r="HC60">
        <v>70.400000000000006</v>
      </c>
      <c r="HD60">
        <v>74.8</v>
      </c>
      <c r="HE60" t="s">
        <v>561</v>
      </c>
      <c r="HF60" t="s">
        <v>555</v>
      </c>
      <c r="HG60">
        <v>0</v>
      </c>
      <c r="HH60">
        <v>0</v>
      </c>
      <c r="HI60">
        <v>0</v>
      </c>
      <c r="HJ60" t="s">
        <v>264</v>
      </c>
      <c r="HK60">
        <v>71</v>
      </c>
      <c r="HL60">
        <v>124.4</v>
      </c>
      <c r="HM60" t="s">
        <v>562</v>
      </c>
      <c r="HN60" t="s">
        <v>555</v>
      </c>
      <c r="HO60">
        <v>0</v>
      </c>
      <c r="HP60">
        <v>0</v>
      </c>
      <c r="HQ60">
        <v>0</v>
      </c>
      <c r="HR60" t="s">
        <v>264</v>
      </c>
      <c r="HS60">
        <v>69.3</v>
      </c>
      <c r="HT60">
        <v>80.599999999999994</v>
      </c>
      <c r="HU60" t="s">
        <v>563</v>
      </c>
      <c r="HV60" t="s">
        <v>555</v>
      </c>
      <c r="HW60">
        <v>0</v>
      </c>
      <c r="HX60">
        <v>0</v>
      </c>
      <c r="HY60">
        <v>0</v>
      </c>
      <c r="HZ60" t="s">
        <v>264</v>
      </c>
      <c r="IA60">
        <v>74.8</v>
      </c>
      <c r="IB60">
        <v>167</v>
      </c>
      <c r="IC60" t="s">
        <v>564</v>
      </c>
      <c r="ID60" t="s">
        <v>555</v>
      </c>
      <c r="IE60">
        <v>0</v>
      </c>
      <c r="IF60">
        <v>0</v>
      </c>
      <c r="IG60">
        <v>0</v>
      </c>
      <c r="IH60" t="s">
        <v>264</v>
      </c>
      <c r="II60">
        <v>68.400000000000006</v>
      </c>
      <c r="IJ60">
        <v>100.9</v>
      </c>
      <c r="IK60" t="s">
        <v>565</v>
      </c>
      <c r="IL60" t="s">
        <v>555</v>
      </c>
      <c r="IM60">
        <v>0</v>
      </c>
      <c r="IN60">
        <v>0</v>
      </c>
      <c r="IO60">
        <v>0</v>
      </c>
      <c r="IP60" t="s">
        <v>264</v>
      </c>
      <c r="IS60" t="s">
        <v>566</v>
      </c>
      <c r="IT60" t="s">
        <v>555</v>
      </c>
      <c r="IU60">
        <v>0</v>
      </c>
      <c r="IV60">
        <v>0</v>
      </c>
      <c r="IW60">
        <v>0</v>
      </c>
      <c r="IX60" t="s">
        <v>264</v>
      </c>
      <c r="JA60" t="s">
        <v>567</v>
      </c>
      <c r="JB60" t="s">
        <v>555</v>
      </c>
      <c r="JC60">
        <v>0</v>
      </c>
      <c r="JD60">
        <v>0</v>
      </c>
      <c r="JE60">
        <v>0</v>
      </c>
      <c r="JF60" t="s">
        <v>264</v>
      </c>
      <c r="JI60" t="s">
        <v>568</v>
      </c>
      <c r="JJ60" t="s">
        <v>555</v>
      </c>
      <c r="JK60">
        <v>0</v>
      </c>
      <c r="JL60">
        <v>0</v>
      </c>
      <c r="JM60">
        <v>0</v>
      </c>
      <c r="JN60" t="s">
        <v>264</v>
      </c>
      <c r="JQ60" t="s">
        <v>569</v>
      </c>
      <c r="JR60" t="s">
        <v>555</v>
      </c>
      <c r="JS60">
        <v>0</v>
      </c>
      <c r="JT60">
        <v>0</v>
      </c>
      <c r="JU60">
        <v>0</v>
      </c>
      <c r="JV60" t="s">
        <v>264</v>
      </c>
      <c r="JY60" t="s">
        <v>570</v>
      </c>
      <c r="JZ60" t="s">
        <v>555</v>
      </c>
      <c r="KA60">
        <v>0</v>
      </c>
      <c r="KB60">
        <v>0</v>
      </c>
      <c r="KC60">
        <v>0</v>
      </c>
      <c r="KD60" t="s">
        <v>264</v>
      </c>
      <c r="KG60" t="s">
        <v>571</v>
      </c>
      <c r="KH60" t="s">
        <v>555</v>
      </c>
      <c r="KI60">
        <v>0</v>
      </c>
      <c r="KJ60">
        <v>0</v>
      </c>
      <c r="KK60">
        <v>0</v>
      </c>
      <c r="KL60" t="s">
        <v>264</v>
      </c>
      <c r="KO60" t="s">
        <v>572</v>
      </c>
      <c r="KP60" t="s">
        <v>555</v>
      </c>
      <c r="KQ60">
        <v>0</v>
      </c>
      <c r="KR60">
        <v>0</v>
      </c>
      <c r="KS60">
        <v>0</v>
      </c>
      <c r="KT60" t="s">
        <v>264</v>
      </c>
      <c r="KW60" t="s">
        <v>573</v>
      </c>
      <c r="KX60" t="s">
        <v>555</v>
      </c>
      <c r="KY60">
        <v>0</v>
      </c>
      <c r="KZ60">
        <v>0</v>
      </c>
      <c r="LA60">
        <v>0</v>
      </c>
      <c r="LB60" t="s">
        <v>264</v>
      </c>
      <c r="LE60" t="s">
        <v>574</v>
      </c>
      <c r="LF60" t="s">
        <v>555</v>
      </c>
      <c r="LG60">
        <v>0</v>
      </c>
      <c r="LH60">
        <v>0</v>
      </c>
      <c r="LI60">
        <v>0</v>
      </c>
      <c r="LJ60" t="s">
        <v>264</v>
      </c>
      <c r="LM60" t="s">
        <v>575</v>
      </c>
      <c r="LN60" t="s">
        <v>555</v>
      </c>
      <c r="LO60">
        <v>0</v>
      </c>
      <c r="LP60">
        <v>0</v>
      </c>
      <c r="LQ60">
        <v>0</v>
      </c>
      <c r="LR60" t="s">
        <v>264</v>
      </c>
      <c r="LU60" t="s">
        <v>576</v>
      </c>
      <c r="LV60" t="s">
        <v>555</v>
      </c>
      <c r="LW60">
        <v>0</v>
      </c>
      <c r="LX60">
        <v>0</v>
      </c>
      <c r="LY60">
        <v>0</v>
      </c>
      <c r="LZ60" t="s">
        <v>264</v>
      </c>
      <c r="MC60" t="s">
        <v>577</v>
      </c>
      <c r="MD60" t="s">
        <v>555</v>
      </c>
      <c r="ME60">
        <v>0</v>
      </c>
      <c r="MF60">
        <v>0</v>
      </c>
      <c r="MG60">
        <v>0</v>
      </c>
      <c r="MH60" t="s">
        <v>264</v>
      </c>
      <c r="MK60" t="s">
        <v>578</v>
      </c>
      <c r="ML60" t="s">
        <v>555</v>
      </c>
      <c r="MM60">
        <v>0</v>
      </c>
      <c r="MN60">
        <v>0</v>
      </c>
      <c r="MO60">
        <v>0</v>
      </c>
      <c r="MP60" t="s">
        <v>264</v>
      </c>
      <c r="MS60" t="s">
        <v>579</v>
      </c>
      <c r="MT60" t="s">
        <v>555</v>
      </c>
      <c r="MU60">
        <v>0</v>
      </c>
      <c r="MV60">
        <v>0</v>
      </c>
      <c r="MW60">
        <v>0</v>
      </c>
      <c r="MX60" t="s">
        <v>264</v>
      </c>
      <c r="NA60" t="s">
        <v>580</v>
      </c>
      <c r="NB60" t="s">
        <v>555</v>
      </c>
      <c r="NC60">
        <v>0</v>
      </c>
      <c r="ND60">
        <v>0</v>
      </c>
      <c r="NE60">
        <v>0</v>
      </c>
      <c r="NF60" t="s">
        <v>264</v>
      </c>
      <c r="NI60">
        <v>40.1</v>
      </c>
      <c r="NJ60">
        <v>-9.4</v>
      </c>
      <c r="NP60" t="s">
        <v>581</v>
      </c>
    </row>
    <row r="61" spans="1:380" customFormat="1" x14ac:dyDescent="0.2">
      <c r="A61" t="s">
        <v>517</v>
      </c>
      <c r="B61">
        <v>1</v>
      </c>
      <c r="C61" t="s">
        <v>923</v>
      </c>
      <c r="D61">
        <v>646966324</v>
      </c>
      <c r="E61">
        <v>12602</v>
      </c>
      <c r="F61" t="s">
        <v>805</v>
      </c>
      <c r="G61">
        <v>709952</v>
      </c>
      <c r="H61">
        <v>210012925</v>
      </c>
      <c r="I61" t="s">
        <v>543</v>
      </c>
      <c r="J61" t="s">
        <v>924</v>
      </c>
      <c r="K61" t="s">
        <v>545</v>
      </c>
      <c r="L61" t="s">
        <v>442</v>
      </c>
      <c r="M61" t="s">
        <v>546</v>
      </c>
      <c r="N61" t="s">
        <v>468</v>
      </c>
      <c r="O61" t="s">
        <v>547</v>
      </c>
      <c r="P61" t="s">
        <v>264</v>
      </c>
      <c r="Q61">
        <v>28</v>
      </c>
      <c r="R61">
        <v>215</v>
      </c>
      <c r="S61" t="s">
        <v>264</v>
      </c>
      <c r="T61">
        <v>-9999</v>
      </c>
      <c r="U61">
        <v>440</v>
      </c>
      <c r="V61">
        <v>455</v>
      </c>
      <c r="W61">
        <v>434</v>
      </c>
      <c r="X61" t="s">
        <v>270</v>
      </c>
      <c r="Y61">
        <v>0</v>
      </c>
      <c r="Z61">
        <v>55</v>
      </c>
      <c r="AA61" t="s">
        <v>469</v>
      </c>
      <c r="AB61" t="s">
        <v>548</v>
      </c>
      <c r="AC61">
        <v>1</v>
      </c>
      <c r="AD61" t="s">
        <v>584</v>
      </c>
      <c r="AE61">
        <v>28.6</v>
      </c>
      <c r="AF61">
        <v>1153</v>
      </c>
      <c r="AG61" t="s">
        <v>264</v>
      </c>
      <c r="AH61">
        <v>-9999</v>
      </c>
      <c r="AI61">
        <v>471</v>
      </c>
      <c r="AJ61">
        <v>579</v>
      </c>
      <c r="AK61">
        <v>469</v>
      </c>
      <c r="AL61" t="s">
        <v>270</v>
      </c>
      <c r="AM61">
        <v>0</v>
      </c>
      <c r="AN61">
        <v>55</v>
      </c>
      <c r="AO61" t="s">
        <v>470</v>
      </c>
      <c r="AP61" t="s">
        <v>548</v>
      </c>
      <c r="AQ61">
        <v>2</v>
      </c>
      <c r="AR61" t="s">
        <v>549</v>
      </c>
      <c r="AS61">
        <v>40.200000000000003</v>
      </c>
      <c r="AT61">
        <v>297</v>
      </c>
      <c r="AU61" t="s">
        <v>264</v>
      </c>
      <c r="AV61">
        <v>-9999</v>
      </c>
      <c r="AW61">
        <v>365</v>
      </c>
      <c r="AX61">
        <v>385</v>
      </c>
      <c r="AY61">
        <v>364</v>
      </c>
      <c r="AZ61" t="s">
        <v>270</v>
      </c>
      <c r="BA61">
        <v>0</v>
      </c>
      <c r="BB61">
        <v>55</v>
      </c>
      <c r="BC61" t="s">
        <v>550</v>
      </c>
      <c r="BD61" t="s">
        <v>548</v>
      </c>
      <c r="BE61">
        <v>3</v>
      </c>
      <c r="BF61" t="s">
        <v>584</v>
      </c>
      <c r="BG61">
        <v>23.2</v>
      </c>
      <c r="BH61">
        <v>1018</v>
      </c>
      <c r="BI61" t="s">
        <v>264</v>
      </c>
      <c r="BJ61">
        <v>-9999</v>
      </c>
      <c r="BK61">
        <v>71</v>
      </c>
      <c r="BL61">
        <v>96</v>
      </c>
      <c r="BM61">
        <v>71</v>
      </c>
      <c r="BN61" t="s">
        <v>270</v>
      </c>
      <c r="BO61">
        <v>0</v>
      </c>
      <c r="BP61">
        <v>55</v>
      </c>
      <c r="BQ61" t="s">
        <v>504</v>
      </c>
      <c r="BR61" t="s">
        <v>548</v>
      </c>
      <c r="BS61">
        <v>4</v>
      </c>
      <c r="BT61" t="s">
        <v>584</v>
      </c>
      <c r="BU61">
        <v>33.1</v>
      </c>
      <c r="BV61">
        <v>241</v>
      </c>
      <c r="BW61" t="s">
        <v>264</v>
      </c>
      <c r="BX61">
        <v>-9999</v>
      </c>
      <c r="BY61">
        <v>214</v>
      </c>
      <c r="BZ61">
        <v>248</v>
      </c>
      <c r="CA61">
        <v>212</v>
      </c>
      <c r="CB61" t="s">
        <v>270</v>
      </c>
      <c r="CC61">
        <v>0</v>
      </c>
      <c r="CD61">
        <v>55</v>
      </c>
      <c r="CE61" t="s">
        <v>471</v>
      </c>
      <c r="CF61" t="s">
        <v>548</v>
      </c>
      <c r="CG61">
        <v>5</v>
      </c>
      <c r="CH61" t="s">
        <v>584</v>
      </c>
      <c r="CI61">
        <v>37</v>
      </c>
      <c r="CJ61">
        <v>211</v>
      </c>
      <c r="CK61" t="s">
        <v>264</v>
      </c>
      <c r="CL61">
        <v>-9999</v>
      </c>
      <c r="CM61">
        <v>429</v>
      </c>
      <c r="CN61">
        <v>502</v>
      </c>
      <c r="CO61">
        <v>428</v>
      </c>
      <c r="CP61" t="s">
        <v>270</v>
      </c>
      <c r="CQ61">
        <v>0</v>
      </c>
      <c r="CR61">
        <v>55</v>
      </c>
      <c r="CS61" t="s">
        <v>472</v>
      </c>
      <c r="CT61" t="s">
        <v>548</v>
      </c>
      <c r="CU61">
        <v>6</v>
      </c>
      <c r="CV61" t="s">
        <v>584</v>
      </c>
      <c r="CW61">
        <v>37.700000000000003</v>
      </c>
      <c r="CX61">
        <v>201</v>
      </c>
      <c r="CY61" t="s">
        <v>264</v>
      </c>
      <c r="CZ61">
        <v>-9999</v>
      </c>
      <c r="DA61">
        <v>554</v>
      </c>
      <c r="DB61">
        <v>628</v>
      </c>
      <c r="DC61">
        <v>546</v>
      </c>
      <c r="DD61" t="s">
        <v>270</v>
      </c>
      <c r="DE61">
        <v>0</v>
      </c>
      <c r="DF61">
        <v>55</v>
      </c>
      <c r="DG61" t="s">
        <v>473</v>
      </c>
      <c r="DH61" t="s">
        <v>548</v>
      </c>
      <c r="DI61">
        <v>7</v>
      </c>
      <c r="DJ61" t="s">
        <v>584</v>
      </c>
      <c r="DK61">
        <v>26.4</v>
      </c>
      <c r="DL61">
        <v>219</v>
      </c>
      <c r="DM61" t="s">
        <v>264</v>
      </c>
      <c r="DN61">
        <v>-9999</v>
      </c>
      <c r="DO61">
        <v>472</v>
      </c>
      <c r="DP61">
        <v>539</v>
      </c>
      <c r="DQ61">
        <v>469</v>
      </c>
      <c r="DR61" t="s">
        <v>270</v>
      </c>
      <c r="DS61">
        <v>0</v>
      </c>
      <c r="DT61">
        <v>55</v>
      </c>
      <c r="DU61" t="s">
        <v>474</v>
      </c>
      <c r="DV61" t="s">
        <v>548</v>
      </c>
      <c r="DW61">
        <v>8</v>
      </c>
      <c r="DX61" t="s">
        <v>584</v>
      </c>
      <c r="DY61">
        <v>23.3</v>
      </c>
      <c r="DZ61">
        <v>449</v>
      </c>
      <c r="EA61" t="s">
        <v>264</v>
      </c>
      <c r="EB61">
        <v>-9999</v>
      </c>
      <c r="EC61">
        <v>88</v>
      </c>
      <c r="ED61">
        <v>107</v>
      </c>
      <c r="EE61">
        <v>87</v>
      </c>
      <c r="EF61" t="s">
        <v>270</v>
      </c>
      <c r="EG61">
        <v>0</v>
      </c>
      <c r="EH61">
        <v>55</v>
      </c>
      <c r="EI61" t="s">
        <v>475</v>
      </c>
      <c r="EJ61" t="s">
        <v>548</v>
      </c>
      <c r="EK61">
        <v>9</v>
      </c>
      <c r="EL61" t="s">
        <v>584</v>
      </c>
      <c r="EM61">
        <v>26.9</v>
      </c>
      <c r="EN61">
        <v>115</v>
      </c>
      <c r="EO61" t="s">
        <v>264</v>
      </c>
      <c r="EP61">
        <v>-9999</v>
      </c>
      <c r="EQ61">
        <v>296</v>
      </c>
      <c r="ER61">
        <v>282</v>
      </c>
      <c r="ES61">
        <v>262</v>
      </c>
      <c r="ET61" t="s">
        <v>270</v>
      </c>
      <c r="EU61">
        <v>0</v>
      </c>
      <c r="EV61">
        <v>55</v>
      </c>
      <c r="EW61" t="s">
        <v>551</v>
      </c>
      <c r="EX61" t="s">
        <v>552</v>
      </c>
      <c r="EY61">
        <v>104</v>
      </c>
      <c r="EZ61">
        <v>104</v>
      </c>
      <c r="FA61">
        <v>104</v>
      </c>
      <c r="FB61" t="s">
        <v>270</v>
      </c>
      <c r="FC61" t="s">
        <v>553</v>
      </c>
      <c r="FD61" t="s">
        <v>552</v>
      </c>
      <c r="FE61">
        <v>281</v>
      </c>
      <c r="FF61">
        <v>280</v>
      </c>
      <c r="FG61">
        <v>280</v>
      </c>
      <c r="FH61" t="s">
        <v>270</v>
      </c>
      <c r="FI61" t="s">
        <v>554</v>
      </c>
      <c r="FJ61" t="s">
        <v>555</v>
      </c>
      <c r="FK61">
        <v>0</v>
      </c>
      <c r="FL61">
        <v>0</v>
      </c>
      <c r="FM61">
        <v>0</v>
      </c>
      <c r="FN61" t="s">
        <v>264</v>
      </c>
      <c r="FO61">
        <v>75.900000000000006</v>
      </c>
      <c r="FP61">
        <v>254.4</v>
      </c>
      <c r="FQ61" t="s">
        <v>556</v>
      </c>
      <c r="FR61" t="s">
        <v>555</v>
      </c>
      <c r="FS61">
        <v>0</v>
      </c>
      <c r="FT61">
        <v>0</v>
      </c>
      <c r="FU61">
        <v>0</v>
      </c>
      <c r="FV61" t="s">
        <v>264</v>
      </c>
      <c r="FW61">
        <v>73.400000000000006</v>
      </c>
      <c r="FX61">
        <v>88.4</v>
      </c>
      <c r="FY61" t="s">
        <v>557</v>
      </c>
      <c r="FZ61" t="s">
        <v>555</v>
      </c>
      <c r="GA61">
        <v>0</v>
      </c>
      <c r="GB61">
        <v>0</v>
      </c>
      <c r="GC61">
        <v>0</v>
      </c>
      <c r="GD61" t="s">
        <v>264</v>
      </c>
      <c r="GE61">
        <v>71.2</v>
      </c>
      <c r="GF61">
        <v>213.1</v>
      </c>
      <c r="GG61" t="s">
        <v>558</v>
      </c>
      <c r="GH61" t="s">
        <v>555</v>
      </c>
      <c r="GI61">
        <v>0</v>
      </c>
      <c r="GJ61">
        <v>0</v>
      </c>
      <c r="GK61">
        <v>0</v>
      </c>
      <c r="GL61" t="s">
        <v>264</v>
      </c>
      <c r="GM61">
        <v>68.3</v>
      </c>
      <c r="GN61">
        <v>43.6</v>
      </c>
      <c r="GO61" t="s">
        <v>559</v>
      </c>
      <c r="GP61" t="s">
        <v>555</v>
      </c>
      <c r="GQ61">
        <v>0</v>
      </c>
      <c r="GR61">
        <v>0</v>
      </c>
      <c r="GS61">
        <v>0</v>
      </c>
      <c r="GT61" t="s">
        <v>264</v>
      </c>
      <c r="GU61">
        <v>75.900000000000006</v>
      </c>
      <c r="GV61">
        <v>55.3</v>
      </c>
      <c r="GW61" t="s">
        <v>560</v>
      </c>
      <c r="GX61" t="s">
        <v>555</v>
      </c>
      <c r="GY61">
        <v>0</v>
      </c>
      <c r="GZ61">
        <v>0</v>
      </c>
      <c r="HA61">
        <v>0</v>
      </c>
      <c r="HB61" t="s">
        <v>264</v>
      </c>
      <c r="HC61">
        <v>70.2</v>
      </c>
      <c r="HD61">
        <v>64</v>
      </c>
      <c r="HE61" t="s">
        <v>561</v>
      </c>
      <c r="HF61" t="s">
        <v>555</v>
      </c>
      <c r="HG61">
        <v>0</v>
      </c>
      <c r="HH61">
        <v>0</v>
      </c>
      <c r="HI61">
        <v>0</v>
      </c>
      <c r="HJ61" t="s">
        <v>264</v>
      </c>
      <c r="HK61">
        <v>70.8</v>
      </c>
      <c r="HL61">
        <v>106.9</v>
      </c>
      <c r="HM61" t="s">
        <v>562</v>
      </c>
      <c r="HN61" t="s">
        <v>555</v>
      </c>
      <c r="HO61">
        <v>0</v>
      </c>
      <c r="HP61">
        <v>0</v>
      </c>
      <c r="HQ61">
        <v>0</v>
      </c>
      <c r="HR61" t="s">
        <v>264</v>
      </c>
      <c r="HS61">
        <v>69.099999999999994</v>
      </c>
      <c r="HT61">
        <v>80.099999999999994</v>
      </c>
      <c r="HU61" t="s">
        <v>563</v>
      </c>
      <c r="HV61" t="s">
        <v>555</v>
      </c>
      <c r="HW61">
        <v>0</v>
      </c>
      <c r="HX61">
        <v>0</v>
      </c>
      <c r="HY61">
        <v>0</v>
      </c>
      <c r="HZ61" t="s">
        <v>264</v>
      </c>
      <c r="IA61">
        <v>74.599999999999994</v>
      </c>
      <c r="IB61">
        <v>159.5</v>
      </c>
      <c r="IC61" t="s">
        <v>564</v>
      </c>
      <c r="ID61" t="s">
        <v>555</v>
      </c>
      <c r="IE61">
        <v>0</v>
      </c>
      <c r="IF61">
        <v>0</v>
      </c>
      <c r="IG61">
        <v>0</v>
      </c>
      <c r="IH61" t="s">
        <v>264</v>
      </c>
      <c r="II61">
        <v>68.2</v>
      </c>
      <c r="IJ61">
        <v>113.5</v>
      </c>
      <c r="IK61" t="s">
        <v>565</v>
      </c>
      <c r="IL61" t="s">
        <v>555</v>
      </c>
      <c r="IM61">
        <v>0</v>
      </c>
      <c r="IN61">
        <v>0</v>
      </c>
      <c r="IO61">
        <v>0</v>
      </c>
      <c r="IP61" t="s">
        <v>264</v>
      </c>
      <c r="IS61" t="s">
        <v>566</v>
      </c>
      <c r="IT61" t="s">
        <v>555</v>
      </c>
      <c r="IU61">
        <v>0</v>
      </c>
      <c r="IV61">
        <v>0</v>
      </c>
      <c r="IW61">
        <v>0</v>
      </c>
      <c r="IX61" t="s">
        <v>264</v>
      </c>
      <c r="JA61" t="s">
        <v>567</v>
      </c>
      <c r="JB61" t="s">
        <v>555</v>
      </c>
      <c r="JC61">
        <v>0</v>
      </c>
      <c r="JD61">
        <v>0</v>
      </c>
      <c r="JE61">
        <v>0</v>
      </c>
      <c r="JF61" t="s">
        <v>264</v>
      </c>
      <c r="JI61" t="s">
        <v>568</v>
      </c>
      <c r="JJ61" t="s">
        <v>555</v>
      </c>
      <c r="JK61">
        <v>0</v>
      </c>
      <c r="JL61">
        <v>0</v>
      </c>
      <c r="JM61">
        <v>0</v>
      </c>
      <c r="JN61" t="s">
        <v>264</v>
      </c>
      <c r="JQ61" t="s">
        <v>569</v>
      </c>
      <c r="JR61" t="s">
        <v>555</v>
      </c>
      <c r="JS61">
        <v>0</v>
      </c>
      <c r="JT61">
        <v>0</v>
      </c>
      <c r="JU61">
        <v>0</v>
      </c>
      <c r="JV61" t="s">
        <v>264</v>
      </c>
      <c r="JY61" t="s">
        <v>570</v>
      </c>
      <c r="JZ61" t="s">
        <v>555</v>
      </c>
      <c r="KA61">
        <v>0</v>
      </c>
      <c r="KB61">
        <v>0</v>
      </c>
      <c r="KC61">
        <v>0</v>
      </c>
      <c r="KD61" t="s">
        <v>264</v>
      </c>
      <c r="KG61" t="s">
        <v>571</v>
      </c>
      <c r="KH61" t="s">
        <v>555</v>
      </c>
      <c r="KI61">
        <v>0</v>
      </c>
      <c r="KJ61">
        <v>0</v>
      </c>
      <c r="KK61">
        <v>0</v>
      </c>
      <c r="KL61" t="s">
        <v>264</v>
      </c>
      <c r="KO61" t="s">
        <v>572</v>
      </c>
      <c r="KP61" t="s">
        <v>555</v>
      </c>
      <c r="KQ61">
        <v>0</v>
      </c>
      <c r="KR61">
        <v>0</v>
      </c>
      <c r="KS61">
        <v>0</v>
      </c>
      <c r="KT61" t="s">
        <v>264</v>
      </c>
      <c r="KW61" t="s">
        <v>573</v>
      </c>
      <c r="KX61" t="s">
        <v>555</v>
      </c>
      <c r="KY61">
        <v>0</v>
      </c>
      <c r="KZ61">
        <v>0</v>
      </c>
      <c r="LA61">
        <v>0</v>
      </c>
      <c r="LB61" t="s">
        <v>264</v>
      </c>
      <c r="LE61" t="s">
        <v>574</v>
      </c>
      <c r="LF61" t="s">
        <v>555</v>
      </c>
      <c r="LG61">
        <v>0</v>
      </c>
      <c r="LH61">
        <v>0</v>
      </c>
      <c r="LI61">
        <v>0</v>
      </c>
      <c r="LJ61" t="s">
        <v>264</v>
      </c>
      <c r="LM61" t="s">
        <v>575</v>
      </c>
      <c r="LN61" t="s">
        <v>555</v>
      </c>
      <c r="LO61">
        <v>0</v>
      </c>
      <c r="LP61">
        <v>0</v>
      </c>
      <c r="LQ61">
        <v>0</v>
      </c>
      <c r="LR61" t="s">
        <v>264</v>
      </c>
      <c r="LU61" t="s">
        <v>576</v>
      </c>
      <c r="LV61" t="s">
        <v>555</v>
      </c>
      <c r="LW61">
        <v>0</v>
      </c>
      <c r="LX61">
        <v>0</v>
      </c>
      <c r="LY61">
        <v>0</v>
      </c>
      <c r="LZ61" t="s">
        <v>264</v>
      </c>
      <c r="MC61" t="s">
        <v>577</v>
      </c>
      <c r="MD61" t="s">
        <v>555</v>
      </c>
      <c r="ME61">
        <v>0</v>
      </c>
      <c r="MF61">
        <v>0</v>
      </c>
      <c r="MG61">
        <v>0</v>
      </c>
      <c r="MH61" t="s">
        <v>264</v>
      </c>
      <c r="MK61" t="s">
        <v>578</v>
      </c>
      <c r="ML61" t="s">
        <v>555</v>
      </c>
      <c r="MM61">
        <v>0</v>
      </c>
      <c r="MN61">
        <v>0</v>
      </c>
      <c r="MO61">
        <v>0</v>
      </c>
      <c r="MP61" t="s">
        <v>264</v>
      </c>
      <c r="MS61" t="s">
        <v>579</v>
      </c>
      <c r="MT61" t="s">
        <v>555</v>
      </c>
      <c r="MU61">
        <v>0</v>
      </c>
      <c r="MV61">
        <v>0</v>
      </c>
      <c r="MW61">
        <v>0</v>
      </c>
      <c r="MX61" t="s">
        <v>264</v>
      </c>
      <c r="NA61" t="s">
        <v>580</v>
      </c>
      <c r="NB61" t="s">
        <v>555</v>
      </c>
      <c r="NC61">
        <v>0</v>
      </c>
      <c r="ND61">
        <v>0</v>
      </c>
      <c r="NE61">
        <v>0</v>
      </c>
      <c r="NF61" t="s">
        <v>264</v>
      </c>
      <c r="NI61">
        <v>40</v>
      </c>
      <c r="NJ61">
        <v>-10.6</v>
      </c>
      <c r="NP61" t="s">
        <v>581</v>
      </c>
    </row>
    <row r="62" spans="1:380" customFormat="1" x14ac:dyDescent="0.2">
      <c r="A62" t="s">
        <v>517</v>
      </c>
      <c r="B62">
        <v>1</v>
      </c>
      <c r="C62" t="s">
        <v>925</v>
      </c>
      <c r="D62">
        <v>646965784</v>
      </c>
      <c r="E62">
        <v>12602</v>
      </c>
      <c r="F62" t="s">
        <v>805</v>
      </c>
      <c r="G62">
        <v>709952</v>
      </c>
      <c r="H62">
        <v>210014485</v>
      </c>
      <c r="I62" t="s">
        <v>543</v>
      </c>
      <c r="J62" t="s">
        <v>926</v>
      </c>
      <c r="K62" t="s">
        <v>545</v>
      </c>
      <c r="L62" t="s">
        <v>442</v>
      </c>
      <c r="M62" t="s">
        <v>546</v>
      </c>
      <c r="N62" t="s">
        <v>468</v>
      </c>
      <c r="O62" t="s">
        <v>547</v>
      </c>
      <c r="P62" t="s">
        <v>264</v>
      </c>
      <c r="Q62">
        <v>27.1</v>
      </c>
      <c r="R62">
        <v>213</v>
      </c>
      <c r="S62" t="s">
        <v>264</v>
      </c>
      <c r="T62">
        <v>-9999</v>
      </c>
      <c r="U62">
        <v>448</v>
      </c>
      <c r="V62">
        <v>461</v>
      </c>
      <c r="W62">
        <v>442</v>
      </c>
      <c r="X62" t="s">
        <v>270</v>
      </c>
      <c r="Y62">
        <v>0</v>
      </c>
      <c r="Z62">
        <v>55</v>
      </c>
      <c r="AA62" t="s">
        <v>469</v>
      </c>
      <c r="AB62" t="s">
        <v>548</v>
      </c>
      <c r="AC62">
        <v>1</v>
      </c>
      <c r="AD62" t="s">
        <v>584</v>
      </c>
      <c r="AE62">
        <v>26.3</v>
      </c>
      <c r="AF62">
        <v>1126</v>
      </c>
      <c r="AG62" t="s">
        <v>264</v>
      </c>
      <c r="AH62">
        <v>-9999</v>
      </c>
      <c r="AI62">
        <v>506</v>
      </c>
      <c r="AJ62">
        <v>616</v>
      </c>
      <c r="AK62">
        <v>497</v>
      </c>
      <c r="AL62" t="s">
        <v>270</v>
      </c>
      <c r="AM62">
        <v>0</v>
      </c>
      <c r="AN62">
        <v>55</v>
      </c>
      <c r="AO62" t="s">
        <v>470</v>
      </c>
      <c r="AP62" t="s">
        <v>548</v>
      </c>
      <c r="AQ62">
        <v>2</v>
      </c>
      <c r="AR62" t="s">
        <v>584</v>
      </c>
      <c r="AS62">
        <v>38.200000000000003</v>
      </c>
      <c r="AT62">
        <v>312</v>
      </c>
      <c r="AU62" t="s">
        <v>264</v>
      </c>
      <c r="AV62">
        <v>-9999</v>
      </c>
      <c r="AW62">
        <v>326</v>
      </c>
      <c r="AX62">
        <v>344</v>
      </c>
      <c r="AY62">
        <v>324</v>
      </c>
      <c r="AZ62" t="s">
        <v>270</v>
      </c>
      <c r="BA62">
        <v>0</v>
      </c>
      <c r="BB62">
        <v>55</v>
      </c>
      <c r="BC62" t="s">
        <v>550</v>
      </c>
      <c r="BD62" t="s">
        <v>548</v>
      </c>
      <c r="BE62">
        <v>3</v>
      </c>
      <c r="BF62" t="s">
        <v>584</v>
      </c>
      <c r="BG62">
        <v>20.3</v>
      </c>
      <c r="BH62">
        <v>1647</v>
      </c>
      <c r="BI62" t="s">
        <v>264</v>
      </c>
      <c r="BJ62">
        <v>-9999</v>
      </c>
      <c r="BK62">
        <v>30</v>
      </c>
      <c r="BL62">
        <v>58</v>
      </c>
      <c r="BM62">
        <v>39</v>
      </c>
      <c r="BN62" t="s">
        <v>270</v>
      </c>
      <c r="BO62">
        <v>0</v>
      </c>
      <c r="BP62">
        <v>55</v>
      </c>
      <c r="BQ62" t="s">
        <v>504</v>
      </c>
      <c r="BR62" t="s">
        <v>548</v>
      </c>
      <c r="BS62">
        <v>4</v>
      </c>
      <c r="BT62" t="s">
        <v>584</v>
      </c>
      <c r="BU62">
        <v>30.3</v>
      </c>
      <c r="BV62">
        <v>249</v>
      </c>
      <c r="BW62" t="s">
        <v>264</v>
      </c>
      <c r="BX62">
        <v>-9999</v>
      </c>
      <c r="BY62">
        <v>188</v>
      </c>
      <c r="BZ62">
        <v>218</v>
      </c>
      <c r="CA62">
        <v>187</v>
      </c>
      <c r="CB62" t="s">
        <v>270</v>
      </c>
      <c r="CC62">
        <v>0</v>
      </c>
      <c r="CD62">
        <v>55</v>
      </c>
      <c r="CE62" t="s">
        <v>471</v>
      </c>
      <c r="CF62" t="s">
        <v>548</v>
      </c>
      <c r="CG62">
        <v>5</v>
      </c>
      <c r="CH62" t="s">
        <v>584</v>
      </c>
      <c r="CI62">
        <v>37.299999999999997</v>
      </c>
      <c r="CJ62">
        <v>153</v>
      </c>
      <c r="CK62" t="s">
        <v>264</v>
      </c>
      <c r="CL62">
        <v>-9999</v>
      </c>
      <c r="CM62">
        <v>468</v>
      </c>
      <c r="CN62">
        <v>548</v>
      </c>
      <c r="CO62">
        <v>468</v>
      </c>
      <c r="CP62" t="s">
        <v>270</v>
      </c>
      <c r="CQ62">
        <v>0</v>
      </c>
      <c r="CR62">
        <v>55</v>
      </c>
      <c r="CS62" t="s">
        <v>472</v>
      </c>
      <c r="CT62" t="s">
        <v>548</v>
      </c>
      <c r="CU62">
        <v>6</v>
      </c>
      <c r="CV62" t="s">
        <v>584</v>
      </c>
      <c r="CW62">
        <v>34.299999999999997</v>
      </c>
      <c r="CX62">
        <v>228</v>
      </c>
      <c r="CY62" t="s">
        <v>264</v>
      </c>
      <c r="CZ62">
        <v>-9999</v>
      </c>
      <c r="DA62">
        <v>553</v>
      </c>
      <c r="DB62">
        <v>628</v>
      </c>
      <c r="DC62">
        <v>545</v>
      </c>
      <c r="DD62" t="s">
        <v>270</v>
      </c>
      <c r="DE62">
        <v>0</v>
      </c>
      <c r="DF62">
        <v>55</v>
      </c>
      <c r="DG62" t="s">
        <v>473</v>
      </c>
      <c r="DH62" t="s">
        <v>548</v>
      </c>
      <c r="DI62">
        <v>7</v>
      </c>
      <c r="DJ62" t="s">
        <v>584</v>
      </c>
      <c r="DK62">
        <v>24.8</v>
      </c>
      <c r="DL62">
        <v>226</v>
      </c>
      <c r="DM62" t="s">
        <v>264</v>
      </c>
      <c r="DN62">
        <v>-9999</v>
      </c>
      <c r="DO62">
        <v>498</v>
      </c>
      <c r="DP62">
        <v>566</v>
      </c>
      <c r="DQ62">
        <v>493</v>
      </c>
      <c r="DR62" t="s">
        <v>270</v>
      </c>
      <c r="DS62">
        <v>0</v>
      </c>
      <c r="DT62">
        <v>55</v>
      </c>
      <c r="DU62" t="s">
        <v>474</v>
      </c>
      <c r="DV62" t="s">
        <v>548</v>
      </c>
      <c r="DW62">
        <v>8</v>
      </c>
      <c r="DX62" t="s">
        <v>584</v>
      </c>
      <c r="DY62">
        <v>21.5</v>
      </c>
      <c r="DZ62">
        <v>428</v>
      </c>
      <c r="EA62" t="s">
        <v>264</v>
      </c>
      <c r="EB62">
        <v>-9999</v>
      </c>
      <c r="EC62">
        <v>99</v>
      </c>
      <c r="ED62">
        <v>120</v>
      </c>
      <c r="EE62">
        <v>97</v>
      </c>
      <c r="EF62" t="s">
        <v>270</v>
      </c>
      <c r="EG62">
        <v>0</v>
      </c>
      <c r="EH62">
        <v>55</v>
      </c>
      <c r="EI62" t="s">
        <v>475</v>
      </c>
      <c r="EJ62" t="s">
        <v>548</v>
      </c>
      <c r="EK62">
        <v>9</v>
      </c>
      <c r="EL62" t="s">
        <v>584</v>
      </c>
      <c r="EM62">
        <v>26.8</v>
      </c>
      <c r="EN62">
        <v>67</v>
      </c>
      <c r="EO62" t="s">
        <v>264</v>
      </c>
      <c r="EP62">
        <v>-9999</v>
      </c>
      <c r="EQ62">
        <v>351</v>
      </c>
      <c r="ER62">
        <v>339</v>
      </c>
      <c r="ES62">
        <v>309</v>
      </c>
      <c r="ET62" t="s">
        <v>270</v>
      </c>
      <c r="EU62">
        <v>0</v>
      </c>
      <c r="EV62">
        <v>55</v>
      </c>
      <c r="EW62" t="s">
        <v>551</v>
      </c>
      <c r="EX62" t="s">
        <v>552</v>
      </c>
      <c r="EY62">
        <v>127</v>
      </c>
      <c r="EZ62">
        <v>127</v>
      </c>
      <c r="FA62">
        <v>128</v>
      </c>
      <c r="FB62" t="s">
        <v>270</v>
      </c>
      <c r="FC62" t="s">
        <v>553</v>
      </c>
      <c r="FD62" t="s">
        <v>552</v>
      </c>
      <c r="FE62">
        <v>232</v>
      </c>
      <c r="FF62">
        <v>231</v>
      </c>
      <c r="FG62">
        <v>231</v>
      </c>
      <c r="FH62" t="s">
        <v>270</v>
      </c>
      <c r="FI62" t="s">
        <v>554</v>
      </c>
      <c r="FJ62" t="s">
        <v>555</v>
      </c>
      <c r="FK62">
        <v>0</v>
      </c>
      <c r="FL62">
        <v>0</v>
      </c>
      <c r="FM62">
        <v>0</v>
      </c>
      <c r="FN62" t="s">
        <v>264</v>
      </c>
      <c r="FO62">
        <v>75.900000000000006</v>
      </c>
      <c r="FP62">
        <v>249.1</v>
      </c>
      <c r="FQ62" t="s">
        <v>556</v>
      </c>
      <c r="FR62" t="s">
        <v>555</v>
      </c>
      <c r="FS62">
        <v>0</v>
      </c>
      <c r="FT62">
        <v>0</v>
      </c>
      <c r="FU62">
        <v>0</v>
      </c>
      <c r="FV62" t="s">
        <v>264</v>
      </c>
      <c r="FW62">
        <v>73.400000000000006</v>
      </c>
      <c r="FX62">
        <v>78.2</v>
      </c>
      <c r="FY62" t="s">
        <v>557</v>
      </c>
      <c r="FZ62" t="s">
        <v>555</v>
      </c>
      <c r="GA62">
        <v>0</v>
      </c>
      <c r="GB62">
        <v>0</v>
      </c>
      <c r="GC62">
        <v>0</v>
      </c>
      <c r="GD62" t="s">
        <v>264</v>
      </c>
      <c r="GE62">
        <v>71.3</v>
      </c>
      <c r="GF62">
        <v>202</v>
      </c>
      <c r="GG62" t="s">
        <v>558</v>
      </c>
      <c r="GH62" t="s">
        <v>555</v>
      </c>
      <c r="GI62">
        <v>0</v>
      </c>
      <c r="GJ62">
        <v>0</v>
      </c>
      <c r="GK62">
        <v>0</v>
      </c>
      <c r="GL62" t="s">
        <v>264</v>
      </c>
      <c r="GM62">
        <v>68.3</v>
      </c>
      <c r="GN62">
        <v>41.9</v>
      </c>
      <c r="GO62" t="s">
        <v>559</v>
      </c>
      <c r="GP62" t="s">
        <v>555</v>
      </c>
      <c r="GQ62">
        <v>0</v>
      </c>
      <c r="GR62">
        <v>0</v>
      </c>
      <c r="GS62">
        <v>0</v>
      </c>
      <c r="GT62" t="s">
        <v>264</v>
      </c>
      <c r="GU62">
        <v>76</v>
      </c>
      <c r="GV62">
        <v>47</v>
      </c>
      <c r="GW62" t="s">
        <v>560</v>
      </c>
      <c r="GX62" t="s">
        <v>555</v>
      </c>
      <c r="GY62">
        <v>0</v>
      </c>
      <c r="GZ62">
        <v>0</v>
      </c>
      <c r="HA62">
        <v>0</v>
      </c>
      <c r="HB62" t="s">
        <v>264</v>
      </c>
      <c r="HC62">
        <v>70.3</v>
      </c>
      <c r="HD62">
        <v>69.900000000000006</v>
      </c>
      <c r="HE62" t="s">
        <v>561</v>
      </c>
      <c r="HF62" t="s">
        <v>555</v>
      </c>
      <c r="HG62">
        <v>0</v>
      </c>
      <c r="HH62">
        <v>0</v>
      </c>
      <c r="HI62">
        <v>0</v>
      </c>
      <c r="HJ62" t="s">
        <v>264</v>
      </c>
      <c r="HK62">
        <v>70.900000000000006</v>
      </c>
      <c r="HL62">
        <v>105.5</v>
      </c>
      <c r="HM62" t="s">
        <v>562</v>
      </c>
      <c r="HN62" t="s">
        <v>555</v>
      </c>
      <c r="HO62">
        <v>0</v>
      </c>
      <c r="HP62">
        <v>0</v>
      </c>
      <c r="HQ62">
        <v>0</v>
      </c>
      <c r="HR62" t="s">
        <v>264</v>
      </c>
      <c r="HS62">
        <v>69.099999999999994</v>
      </c>
      <c r="HT62">
        <v>75.7</v>
      </c>
      <c r="HU62" t="s">
        <v>563</v>
      </c>
      <c r="HV62" t="s">
        <v>555</v>
      </c>
      <c r="HW62">
        <v>0</v>
      </c>
      <c r="HX62">
        <v>0</v>
      </c>
      <c r="HY62">
        <v>0</v>
      </c>
      <c r="HZ62" t="s">
        <v>264</v>
      </c>
      <c r="IA62">
        <v>74.7</v>
      </c>
      <c r="IB62">
        <v>164.2</v>
      </c>
      <c r="IC62" t="s">
        <v>564</v>
      </c>
      <c r="ID62" t="s">
        <v>555</v>
      </c>
      <c r="IE62">
        <v>0</v>
      </c>
      <c r="IF62">
        <v>0</v>
      </c>
      <c r="IG62">
        <v>0</v>
      </c>
      <c r="IH62" t="s">
        <v>264</v>
      </c>
      <c r="II62">
        <v>68.3</v>
      </c>
      <c r="IJ62">
        <v>103.3</v>
      </c>
      <c r="IK62" t="s">
        <v>565</v>
      </c>
      <c r="IL62" t="s">
        <v>555</v>
      </c>
      <c r="IM62">
        <v>0</v>
      </c>
      <c r="IN62">
        <v>0</v>
      </c>
      <c r="IO62">
        <v>0</v>
      </c>
      <c r="IP62" t="s">
        <v>264</v>
      </c>
      <c r="IS62" t="s">
        <v>566</v>
      </c>
      <c r="IT62" t="s">
        <v>555</v>
      </c>
      <c r="IU62">
        <v>0</v>
      </c>
      <c r="IV62">
        <v>0</v>
      </c>
      <c r="IW62">
        <v>0</v>
      </c>
      <c r="IX62" t="s">
        <v>264</v>
      </c>
      <c r="JA62" t="s">
        <v>567</v>
      </c>
      <c r="JB62" t="s">
        <v>555</v>
      </c>
      <c r="JC62">
        <v>0</v>
      </c>
      <c r="JD62">
        <v>0</v>
      </c>
      <c r="JE62">
        <v>0</v>
      </c>
      <c r="JF62" t="s">
        <v>264</v>
      </c>
      <c r="JI62" t="s">
        <v>568</v>
      </c>
      <c r="JJ62" t="s">
        <v>555</v>
      </c>
      <c r="JK62">
        <v>0</v>
      </c>
      <c r="JL62">
        <v>0</v>
      </c>
      <c r="JM62">
        <v>0</v>
      </c>
      <c r="JN62" t="s">
        <v>264</v>
      </c>
      <c r="JQ62" t="s">
        <v>569</v>
      </c>
      <c r="JR62" t="s">
        <v>555</v>
      </c>
      <c r="JS62">
        <v>0</v>
      </c>
      <c r="JT62">
        <v>0</v>
      </c>
      <c r="JU62">
        <v>0</v>
      </c>
      <c r="JV62" t="s">
        <v>264</v>
      </c>
      <c r="JY62" t="s">
        <v>570</v>
      </c>
      <c r="JZ62" t="s">
        <v>555</v>
      </c>
      <c r="KA62">
        <v>0</v>
      </c>
      <c r="KB62">
        <v>0</v>
      </c>
      <c r="KC62">
        <v>0</v>
      </c>
      <c r="KD62" t="s">
        <v>264</v>
      </c>
      <c r="KG62" t="s">
        <v>571</v>
      </c>
      <c r="KH62" t="s">
        <v>555</v>
      </c>
      <c r="KI62">
        <v>0</v>
      </c>
      <c r="KJ62">
        <v>0</v>
      </c>
      <c r="KK62">
        <v>0</v>
      </c>
      <c r="KL62" t="s">
        <v>264</v>
      </c>
      <c r="KO62" t="s">
        <v>572</v>
      </c>
      <c r="KP62" t="s">
        <v>555</v>
      </c>
      <c r="KQ62">
        <v>0</v>
      </c>
      <c r="KR62">
        <v>0</v>
      </c>
      <c r="KS62">
        <v>0</v>
      </c>
      <c r="KT62" t="s">
        <v>264</v>
      </c>
      <c r="KW62" t="s">
        <v>573</v>
      </c>
      <c r="KX62" t="s">
        <v>555</v>
      </c>
      <c r="KY62">
        <v>0</v>
      </c>
      <c r="KZ62">
        <v>0</v>
      </c>
      <c r="LA62">
        <v>0</v>
      </c>
      <c r="LB62" t="s">
        <v>264</v>
      </c>
      <c r="LE62" t="s">
        <v>574</v>
      </c>
      <c r="LF62" t="s">
        <v>555</v>
      </c>
      <c r="LG62">
        <v>0</v>
      </c>
      <c r="LH62">
        <v>0</v>
      </c>
      <c r="LI62">
        <v>0</v>
      </c>
      <c r="LJ62" t="s">
        <v>264</v>
      </c>
      <c r="LM62" t="s">
        <v>575</v>
      </c>
      <c r="LN62" t="s">
        <v>555</v>
      </c>
      <c r="LO62">
        <v>0</v>
      </c>
      <c r="LP62">
        <v>0</v>
      </c>
      <c r="LQ62">
        <v>0</v>
      </c>
      <c r="LR62" t="s">
        <v>264</v>
      </c>
      <c r="LU62" t="s">
        <v>576</v>
      </c>
      <c r="LV62" t="s">
        <v>555</v>
      </c>
      <c r="LW62">
        <v>0</v>
      </c>
      <c r="LX62">
        <v>0</v>
      </c>
      <c r="LY62">
        <v>0</v>
      </c>
      <c r="LZ62" t="s">
        <v>264</v>
      </c>
      <c r="MC62" t="s">
        <v>577</v>
      </c>
      <c r="MD62" t="s">
        <v>555</v>
      </c>
      <c r="ME62">
        <v>0</v>
      </c>
      <c r="MF62">
        <v>0</v>
      </c>
      <c r="MG62">
        <v>0</v>
      </c>
      <c r="MH62" t="s">
        <v>264</v>
      </c>
      <c r="MK62" t="s">
        <v>578</v>
      </c>
      <c r="ML62" t="s">
        <v>555</v>
      </c>
      <c r="MM62">
        <v>0</v>
      </c>
      <c r="MN62">
        <v>0</v>
      </c>
      <c r="MO62">
        <v>0</v>
      </c>
      <c r="MP62" t="s">
        <v>264</v>
      </c>
      <c r="MS62" t="s">
        <v>579</v>
      </c>
      <c r="MT62" t="s">
        <v>555</v>
      </c>
      <c r="MU62">
        <v>0</v>
      </c>
      <c r="MV62">
        <v>0</v>
      </c>
      <c r="MW62">
        <v>0</v>
      </c>
      <c r="MX62" t="s">
        <v>264</v>
      </c>
      <c r="NA62" t="s">
        <v>580</v>
      </c>
      <c r="NB62" t="s">
        <v>555</v>
      </c>
      <c r="NC62">
        <v>0</v>
      </c>
      <c r="ND62">
        <v>0</v>
      </c>
      <c r="NE62">
        <v>0</v>
      </c>
      <c r="NF62" t="s">
        <v>264</v>
      </c>
      <c r="NI62">
        <v>40</v>
      </c>
      <c r="NJ62">
        <v>-9.1999999999999993</v>
      </c>
      <c r="NP62" t="s">
        <v>581</v>
      </c>
    </row>
    <row r="63" spans="1:380" customFormat="1" x14ac:dyDescent="0.2">
      <c r="A63" t="s">
        <v>517</v>
      </c>
      <c r="B63">
        <v>1</v>
      </c>
      <c r="C63" t="s">
        <v>927</v>
      </c>
      <c r="D63">
        <v>646966325</v>
      </c>
      <c r="E63">
        <v>12602</v>
      </c>
      <c r="F63" t="s">
        <v>805</v>
      </c>
      <c r="G63">
        <v>709952</v>
      </c>
      <c r="H63">
        <v>210062049</v>
      </c>
      <c r="I63" t="s">
        <v>543</v>
      </c>
      <c r="J63" t="s">
        <v>928</v>
      </c>
      <c r="K63" t="s">
        <v>545</v>
      </c>
      <c r="L63" t="s">
        <v>442</v>
      </c>
      <c r="M63" t="s">
        <v>546</v>
      </c>
      <c r="N63" t="s">
        <v>468</v>
      </c>
      <c r="O63" t="s">
        <v>547</v>
      </c>
      <c r="P63" t="s">
        <v>264</v>
      </c>
      <c r="Q63">
        <v>29.7</v>
      </c>
      <c r="R63">
        <v>307</v>
      </c>
      <c r="S63" t="s">
        <v>264</v>
      </c>
      <c r="T63">
        <v>-9999</v>
      </c>
      <c r="U63">
        <v>556</v>
      </c>
      <c r="V63">
        <v>575</v>
      </c>
      <c r="W63">
        <v>546</v>
      </c>
      <c r="X63" t="s">
        <v>270</v>
      </c>
      <c r="Y63">
        <v>0</v>
      </c>
      <c r="Z63">
        <v>55</v>
      </c>
      <c r="AA63" t="s">
        <v>469</v>
      </c>
      <c r="AB63" t="s">
        <v>548</v>
      </c>
      <c r="AC63">
        <v>1</v>
      </c>
      <c r="AD63" t="s">
        <v>584</v>
      </c>
      <c r="AE63">
        <v>33.299999999999997</v>
      </c>
      <c r="AF63">
        <v>1151</v>
      </c>
      <c r="AG63" t="s">
        <v>264</v>
      </c>
      <c r="AH63">
        <v>-9999</v>
      </c>
      <c r="AI63">
        <v>461</v>
      </c>
      <c r="AJ63">
        <v>564</v>
      </c>
      <c r="AK63">
        <v>461</v>
      </c>
      <c r="AL63" t="s">
        <v>270</v>
      </c>
      <c r="AM63">
        <v>0</v>
      </c>
      <c r="AN63">
        <v>55</v>
      </c>
      <c r="AO63" t="s">
        <v>470</v>
      </c>
      <c r="AP63" t="s">
        <v>548</v>
      </c>
      <c r="AQ63">
        <v>2</v>
      </c>
      <c r="AR63" t="s">
        <v>549</v>
      </c>
      <c r="AS63">
        <v>43.3</v>
      </c>
      <c r="AT63">
        <v>337</v>
      </c>
      <c r="AU63" t="s">
        <v>264</v>
      </c>
      <c r="AV63">
        <v>-9999</v>
      </c>
      <c r="AW63">
        <v>324</v>
      </c>
      <c r="AX63">
        <v>343</v>
      </c>
      <c r="AY63">
        <v>325</v>
      </c>
      <c r="AZ63" t="s">
        <v>270</v>
      </c>
      <c r="BA63">
        <v>0</v>
      </c>
      <c r="BB63">
        <v>55</v>
      </c>
      <c r="BC63" t="s">
        <v>550</v>
      </c>
      <c r="BD63" t="s">
        <v>548</v>
      </c>
      <c r="BE63">
        <v>3</v>
      </c>
      <c r="BF63" t="s">
        <v>584</v>
      </c>
      <c r="BG63">
        <v>28.2</v>
      </c>
      <c r="BH63">
        <v>671</v>
      </c>
      <c r="BI63" t="s">
        <v>264</v>
      </c>
      <c r="BJ63">
        <v>-9999</v>
      </c>
      <c r="BK63">
        <v>173</v>
      </c>
      <c r="BL63">
        <v>217</v>
      </c>
      <c r="BM63">
        <v>173</v>
      </c>
      <c r="BN63" t="s">
        <v>270</v>
      </c>
      <c r="BO63">
        <v>0</v>
      </c>
      <c r="BP63">
        <v>55</v>
      </c>
      <c r="BQ63" t="s">
        <v>504</v>
      </c>
      <c r="BR63" t="s">
        <v>548</v>
      </c>
      <c r="BS63">
        <v>4</v>
      </c>
      <c r="BT63" t="s">
        <v>584</v>
      </c>
      <c r="BU63">
        <v>35.700000000000003</v>
      </c>
      <c r="BV63">
        <v>281</v>
      </c>
      <c r="BW63" t="s">
        <v>264</v>
      </c>
      <c r="BX63">
        <v>-9999</v>
      </c>
      <c r="BY63">
        <v>207</v>
      </c>
      <c r="BZ63">
        <v>242</v>
      </c>
      <c r="CA63">
        <v>205</v>
      </c>
      <c r="CB63" t="s">
        <v>270</v>
      </c>
      <c r="CC63">
        <v>0</v>
      </c>
      <c r="CD63">
        <v>55</v>
      </c>
      <c r="CE63" t="s">
        <v>471</v>
      </c>
      <c r="CF63" t="s">
        <v>548</v>
      </c>
      <c r="CG63">
        <v>5</v>
      </c>
      <c r="CH63" t="s">
        <v>549</v>
      </c>
      <c r="CI63">
        <v>41</v>
      </c>
      <c r="CJ63">
        <v>202</v>
      </c>
      <c r="CK63" t="s">
        <v>264</v>
      </c>
      <c r="CL63">
        <v>-9999</v>
      </c>
      <c r="CM63">
        <v>442</v>
      </c>
      <c r="CN63">
        <v>516</v>
      </c>
      <c r="CO63">
        <v>442</v>
      </c>
      <c r="CP63" t="s">
        <v>270</v>
      </c>
      <c r="CQ63">
        <v>0</v>
      </c>
      <c r="CR63">
        <v>55</v>
      </c>
      <c r="CS63" t="s">
        <v>472</v>
      </c>
      <c r="CT63" t="s">
        <v>548</v>
      </c>
      <c r="CU63">
        <v>6</v>
      </c>
      <c r="CV63" t="s">
        <v>549</v>
      </c>
      <c r="CW63">
        <v>40.299999999999997</v>
      </c>
      <c r="CX63">
        <v>230</v>
      </c>
      <c r="CY63" t="s">
        <v>264</v>
      </c>
      <c r="CZ63">
        <v>-9999</v>
      </c>
      <c r="DA63">
        <v>586</v>
      </c>
      <c r="DB63">
        <v>668</v>
      </c>
      <c r="DC63">
        <v>580</v>
      </c>
      <c r="DD63" t="s">
        <v>270</v>
      </c>
      <c r="DE63">
        <v>0</v>
      </c>
      <c r="DF63">
        <v>55</v>
      </c>
      <c r="DG63" t="s">
        <v>473</v>
      </c>
      <c r="DH63" t="s">
        <v>548</v>
      </c>
      <c r="DI63">
        <v>7</v>
      </c>
      <c r="DJ63" t="s">
        <v>584</v>
      </c>
      <c r="DK63">
        <v>27.1</v>
      </c>
      <c r="DL63">
        <v>260</v>
      </c>
      <c r="DM63" t="s">
        <v>264</v>
      </c>
      <c r="DN63">
        <v>-9999</v>
      </c>
      <c r="DO63">
        <v>557</v>
      </c>
      <c r="DP63">
        <v>645</v>
      </c>
      <c r="DQ63">
        <v>555</v>
      </c>
      <c r="DR63" t="s">
        <v>270</v>
      </c>
      <c r="DS63">
        <v>0</v>
      </c>
      <c r="DT63">
        <v>55</v>
      </c>
      <c r="DU63" t="s">
        <v>474</v>
      </c>
      <c r="DV63" t="s">
        <v>548</v>
      </c>
      <c r="DW63">
        <v>8</v>
      </c>
      <c r="DX63" t="s">
        <v>584</v>
      </c>
      <c r="DY63">
        <v>25.5</v>
      </c>
      <c r="DZ63">
        <v>422</v>
      </c>
      <c r="EA63" t="s">
        <v>264</v>
      </c>
      <c r="EB63">
        <v>-9999</v>
      </c>
      <c r="EC63">
        <v>104</v>
      </c>
      <c r="ED63">
        <v>125</v>
      </c>
      <c r="EE63">
        <v>102</v>
      </c>
      <c r="EF63" t="s">
        <v>270</v>
      </c>
      <c r="EG63">
        <v>0</v>
      </c>
      <c r="EH63">
        <v>55</v>
      </c>
      <c r="EI63" t="s">
        <v>475</v>
      </c>
      <c r="EJ63" t="s">
        <v>548</v>
      </c>
      <c r="EK63">
        <v>9</v>
      </c>
      <c r="EL63" t="s">
        <v>584</v>
      </c>
      <c r="EM63">
        <v>27.6</v>
      </c>
      <c r="EN63">
        <v>142</v>
      </c>
      <c r="EO63" t="s">
        <v>264</v>
      </c>
      <c r="EP63">
        <v>-9999</v>
      </c>
      <c r="EQ63">
        <v>295</v>
      </c>
      <c r="ER63">
        <v>279</v>
      </c>
      <c r="ES63">
        <v>261</v>
      </c>
      <c r="ET63" t="s">
        <v>270</v>
      </c>
      <c r="EU63">
        <v>0</v>
      </c>
      <c r="EV63">
        <v>55</v>
      </c>
      <c r="EW63" t="s">
        <v>551</v>
      </c>
      <c r="EX63" t="s">
        <v>552</v>
      </c>
      <c r="EY63">
        <v>156</v>
      </c>
      <c r="EZ63">
        <v>158</v>
      </c>
      <c r="FA63">
        <v>159</v>
      </c>
      <c r="FB63" t="s">
        <v>270</v>
      </c>
      <c r="FC63" t="s">
        <v>553</v>
      </c>
      <c r="FD63" t="s">
        <v>552</v>
      </c>
      <c r="FE63">
        <v>161</v>
      </c>
      <c r="FF63">
        <v>161</v>
      </c>
      <c r="FG63">
        <v>160</v>
      </c>
      <c r="FH63" t="s">
        <v>270</v>
      </c>
      <c r="FI63" t="s">
        <v>554</v>
      </c>
      <c r="FJ63" t="s">
        <v>555</v>
      </c>
      <c r="FK63">
        <v>0</v>
      </c>
      <c r="FL63">
        <v>0</v>
      </c>
      <c r="FM63">
        <v>0</v>
      </c>
      <c r="FN63" t="s">
        <v>264</v>
      </c>
      <c r="FO63">
        <v>76.3</v>
      </c>
      <c r="FP63">
        <v>277.8</v>
      </c>
      <c r="FQ63" t="s">
        <v>556</v>
      </c>
      <c r="FR63" t="s">
        <v>555</v>
      </c>
      <c r="FS63">
        <v>0</v>
      </c>
      <c r="FT63">
        <v>0</v>
      </c>
      <c r="FU63">
        <v>0</v>
      </c>
      <c r="FV63" t="s">
        <v>264</v>
      </c>
      <c r="FW63">
        <v>73.599999999999994</v>
      </c>
      <c r="FX63">
        <v>81.2</v>
      </c>
      <c r="FY63" t="s">
        <v>557</v>
      </c>
      <c r="FZ63" t="s">
        <v>555</v>
      </c>
      <c r="GA63">
        <v>0</v>
      </c>
      <c r="GB63">
        <v>0</v>
      </c>
      <c r="GC63">
        <v>0</v>
      </c>
      <c r="GD63" t="s">
        <v>264</v>
      </c>
      <c r="GE63">
        <v>71.400000000000006</v>
      </c>
      <c r="GF63">
        <v>246.8</v>
      </c>
      <c r="GG63" t="s">
        <v>558</v>
      </c>
      <c r="GH63" t="s">
        <v>555</v>
      </c>
      <c r="GI63">
        <v>0</v>
      </c>
      <c r="GJ63">
        <v>0</v>
      </c>
      <c r="GK63">
        <v>0</v>
      </c>
      <c r="GL63" t="s">
        <v>264</v>
      </c>
      <c r="GM63">
        <v>68.7</v>
      </c>
      <c r="GN63">
        <v>52.4</v>
      </c>
      <c r="GO63" t="s">
        <v>559</v>
      </c>
      <c r="GP63" t="s">
        <v>555</v>
      </c>
      <c r="GQ63">
        <v>0</v>
      </c>
      <c r="GR63">
        <v>0</v>
      </c>
      <c r="GS63">
        <v>0</v>
      </c>
      <c r="GT63" t="s">
        <v>264</v>
      </c>
      <c r="GU63">
        <v>76.099999999999994</v>
      </c>
      <c r="GV63">
        <v>65.400000000000006</v>
      </c>
      <c r="GW63" t="s">
        <v>560</v>
      </c>
      <c r="GX63" t="s">
        <v>555</v>
      </c>
      <c r="GY63">
        <v>0</v>
      </c>
      <c r="GZ63">
        <v>0</v>
      </c>
      <c r="HA63">
        <v>0</v>
      </c>
      <c r="HB63" t="s">
        <v>264</v>
      </c>
      <c r="HC63">
        <v>70.3</v>
      </c>
      <c r="HD63">
        <v>57.6</v>
      </c>
      <c r="HE63" t="s">
        <v>561</v>
      </c>
      <c r="HF63" t="s">
        <v>555</v>
      </c>
      <c r="HG63">
        <v>0</v>
      </c>
      <c r="HH63">
        <v>0</v>
      </c>
      <c r="HI63">
        <v>0</v>
      </c>
      <c r="HJ63" t="s">
        <v>264</v>
      </c>
      <c r="HK63">
        <v>71</v>
      </c>
      <c r="HL63">
        <v>104.3</v>
      </c>
      <c r="HM63" t="s">
        <v>562</v>
      </c>
      <c r="HN63" t="s">
        <v>555</v>
      </c>
      <c r="HO63">
        <v>0</v>
      </c>
      <c r="HP63">
        <v>0</v>
      </c>
      <c r="HQ63">
        <v>0</v>
      </c>
      <c r="HR63" t="s">
        <v>264</v>
      </c>
      <c r="HS63">
        <v>69.5</v>
      </c>
      <c r="HT63">
        <v>104.5</v>
      </c>
      <c r="HU63" t="s">
        <v>563</v>
      </c>
      <c r="HV63" t="s">
        <v>555</v>
      </c>
      <c r="HW63">
        <v>0</v>
      </c>
      <c r="HX63">
        <v>0</v>
      </c>
      <c r="HY63">
        <v>0</v>
      </c>
      <c r="HZ63" t="s">
        <v>264</v>
      </c>
      <c r="IA63">
        <v>74.900000000000006</v>
      </c>
      <c r="IB63">
        <v>164.5</v>
      </c>
      <c r="IC63" t="s">
        <v>564</v>
      </c>
      <c r="ID63" t="s">
        <v>555</v>
      </c>
      <c r="IE63">
        <v>0</v>
      </c>
      <c r="IF63">
        <v>0</v>
      </c>
      <c r="IG63">
        <v>0</v>
      </c>
      <c r="IH63" t="s">
        <v>264</v>
      </c>
      <c r="II63">
        <v>68.400000000000006</v>
      </c>
      <c r="IJ63">
        <v>121.9</v>
      </c>
      <c r="IK63" t="s">
        <v>565</v>
      </c>
      <c r="IL63" t="s">
        <v>555</v>
      </c>
      <c r="IM63">
        <v>0</v>
      </c>
      <c r="IN63">
        <v>0</v>
      </c>
      <c r="IO63">
        <v>0</v>
      </c>
      <c r="IP63" t="s">
        <v>264</v>
      </c>
      <c r="IS63" t="s">
        <v>566</v>
      </c>
      <c r="IT63" t="s">
        <v>555</v>
      </c>
      <c r="IU63">
        <v>0</v>
      </c>
      <c r="IV63">
        <v>0</v>
      </c>
      <c r="IW63">
        <v>0</v>
      </c>
      <c r="IX63" t="s">
        <v>264</v>
      </c>
      <c r="JA63" t="s">
        <v>567</v>
      </c>
      <c r="JB63" t="s">
        <v>555</v>
      </c>
      <c r="JC63">
        <v>0</v>
      </c>
      <c r="JD63">
        <v>0</v>
      </c>
      <c r="JE63">
        <v>0</v>
      </c>
      <c r="JF63" t="s">
        <v>264</v>
      </c>
      <c r="JI63" t="s">
        <v>568</v>
      </c>
      <c r="JJ63" t="s">
        <v>555</v>
      </c>
      <c r="JK63">
        <v>0</v>
      </c>
      <c r="JL63">
        <v>0</v>
      </c>
      <c r="JM63">
        <v>0</v>
      </c>
      <c r="JN63" t="s">
        <v>264</v>
      </c>
      <c r="JQ63" t="s">
        <v>569</v>
      </c>
      <c r="JR63" t="s">
        <v>555</v>
      </c>
      <c r="JS63">
        <v>0</v>
      </c>
      <c r="JT63">
        <v>0</v>
      </c>
      <c r="JU63">
        <v>0</v>
      </c>
      <c r="JV63" t="s">
        <v>264</v>
      </c>
      <c r="JY63" t="s">
        <v>570</v>
      </c>
      <c r="JZ63" t="s">
        <v>555</v>
      </c>
      <c r="KA63">
        <v>0</v>
      </c>
      <c r="KB63">
        <v>0</v>
      </c>
      <c r="KC63">
        <v>0</v>
      </c>
      <c r="KD63" t="s">
        <v>264</v>
      </c>
      <c r="KG63" t="s">
        <v>571</v>
      </c>
      <c r="KH63" t="s">
        <v>555</v>
      </c>
      <c r="KI63">
        <v>0</v>
      </c>
      <c r="KJ63">
        <v>0</v>
      </c>
      <c r="KK63">
        <v>0</v>
      </c>
      <c r="KL63" t="s">
        <v>264</v>
      </c>
      <c r="KO63" t="s">
        <v>572</v>
      </c>
      <c r="KP63" t="s">
        <v>555</v>
      </c>
      <c r="KQ63">
        <v>0</v>
      </c>
      <c r="KR63">
        <v>0</v>
      </c>
      <c r="KS63">
        <v>0</v>
      </c>
      <c r="KT63" t="s">
        <v>264</v>
      </c>
      <c r="KW63" t="s">
        <v>573</v>
      </c>
      <c r="KX63" t="s">
        <v>555</v>
      </c>
      <c r="KY63">
        <v>0</v>
      </c>
      <c r="KZ63">
        <v>0</v>
      </c>
      <c r="LA63">
        <v>0</v>
      </c>
      <c r="LB63" t="s">
        <v>264</v>
      </c>
      <c r="LE63" t="s">
        <v>574</v>
      </c>
      <c r="LF63" t="s">
        <v>555</v>
      </c>
      <c r="LG63">
        <v>0</v>
      </c>
      <c r="LH63">
        <v>0</v>
      </c>
      <c r="LI63">
        <v>0</v>
      </c>
      <c r="LJ63" t="s">
        <v>264</v>
      </c>
      <c r="LM63" t="s">
        <v>575</v>
      </c>
      <c r="LN63" t="s">
        <v>555</v>
      </c>
      <c r="LO63">
        <v>0</v>
      </c>
      <c r="LP63">
        <v>0</v>
      </c>
      <c r="LQ63">
        <v>0</v>
      </c>
      <c r="LR63" t="s">
        <v>264</v>
      </c>
      <c r="LU63" t="s">
        <v>576</v>
      </c>
      <c r="LV63" t="s">
        <v>555</v>
      </c>
      <c r="LW63">
        <v>0</v>
      </c>
      <c r="LX63">
        <v>0</v>
      </c>
      <c r="LY63">
        <v>0</v>
      </c>
      <c r="LZ63" t="s">
        <v>264</v>
      </c>
      <c r="MC63" t="s">
        <v>577</v>
      </c>
      <c r="MD63" t="s">
        <v>555</v>
      </c>
      <c r="ME63">
        <v>0</v>
      </c>
      <c r="MF63">
        <v>0</v>
      </c>
      <c r="MG63">
        <v>0</v>
      </c>
      <c r="MH63" t="s">
        <v>264</v>
      </c>
      <c r="MK63" t="s">
        <v>578</v>
      </c>
      <c r="ML63" t="s">
        <v>555</v>
      </c>
      <c r="MM63">
        <v>0</v>
      </c>
      <c r="MN63">
        <v>0</v>
      </c>
      <c r="MO63">
        <v>0</v>
      </c>
      <c r="MP63" t="s">
        <v>264</v>
      </c>
      <c r="MS63" t="s">
        <v>579</v>
      </c>
      <c r="MT63" t="s">
        <v>555</v>
      </c>
      <c r="MU63">
        <v>0</v>
      </c>
      <c r="MV63">
        <v>0</v>
      </c>
      <c r="MW63">
        <v>0</v>
      </c>
      <c r="MX63" t="s">
        <v>264</v>
      </c>
      <c r="NA63" t="s">
        <v>580</v>
      </c>
      <c r="NB63" t="s">
        <v>555</v>
      </c>
      <c r="NC63">
        <v>0</v>
      </c>
      <c r="ND63">
        <v>0</v>
      </c>
      <c r="NE63">
        <v>0</v>
      </c>
      <c r="NF63" t="s">
        <v>264</v>
      </c>
      <c r="NI63">
        <v>40.1</v>
      </c>
      <c r="NJ63">
        <v>-7.6</v>
      </c>
      <c r="NP63" t="s">
        <v>581</v>
      </c>
    </row>
    <row r="64" spans="1:380" customFormat="1" x14ac:dyDescent="0.2">
      <c r="A64" t="s">
        <v>517</v>
      </c>
      <c r="B64">
        <v>1</v>
      </c>
      <c r="C64" t="s">
        <v>929</v>
      </c>
      <c r="D64">
        <v>646966069</v>
      </c>
      <c r="E64">
        <v>12602</v>
      </c>
      <c r="F64" t="s">
        <v>805</v>
      </c>
      <c r="G64">
        <v>709952</v>
      </c>
      <c r="H64">
        <v>210054964</v>
      </c>
      <c r="I64" t="s">
        <v>543</v>
      </c>
      <c r="J64" t="s">
        <v>930</v>
      </c>
      <c r="K64" t="s">
        <v>545</v>
      </c>
      <c r="L64" t="s">
        <v>442</v>
      </c>
      <c r="M64" t="s">
        <v>546</v>
      </c>
      <c r="N64" t="s">
        <v>468</v>
      </c>
      <c r="O64" t="s">
        <v>547</v>
      </c>
      <c r="P64" t="s">
        <v>264</v>
      </c>
      <c r="Q64">
        <v>26.5</v>
      </c>
      <c r="R64">
        <v>222</v>
      </c>
      <c r="S64" t="s">
        <v>264</v>
      </c>
      <c r="T64">
        <v>-9999</v>
      </c>
      <c r="U64">
        <v>552</v>
      </c>
      <c r="V64">
        <v>571</v>
      </c>
      <c r="W64">
        <v>544</v>
      </c>
      <c r="X64" t="s">
        <v>270</v>
      </c>
      <c r="Y64">
        <v>0</v>
      </c>
      <c r="Z64">
        <v>55</v>
      </c>
      <c r="AA64" t="s">
        <v>469</v>
      </c>
      <c r="AB64" t="s">
        <v>548</v>
      </c>
      <c r="AC64">
        <v>1</v>
      </c>
      <c r="AD64" t="s">
        <v>584</v>
      </c>
      <c r="AE64">
        <v>25.4</v>
      </c>
      <c r="AF64">
        <v>1467</v>
      </c>
      <c r="AG64" t="s">
        <v>264</v>
      </c>
      <c r="AH64">
        <v>-9999</v>
      </c>
      <c r="AI64">
        <v>430</v>
      </c>
      <c r="AJ64">
        <v>533</v>
      </c>
      <c r="AK64">
        <v>429</v>
      </c>
      <c r="AL64" t="s">
        <v>270</v>
      </c>
      <c r="AM64">
        <v>0</v>
      </c>
      <c r="AN64">
        <v>55</v>
      </c>
      <c r="AO64" t="s">
        <v>470</v>
      </c>
      <c r="AP64" t="s">
        <v>548</v>
      </c>
      <c r="AQ64">
        <v>2</v>
      </c>
      <c r="AR64" t="s">
        <v>584</v>
      </c>
      <c r="AS64">
        <v>38.200000000000003</v>
      </c>
      <c r="AT64">
        <v>300</v>
      </c>
      <c r="AU64" t="s">
        <v>264</v>
      </c>
      <c r="AV64">
        <v>-9999</v>
      </c>
      <c r="AW64">
        <v>420</v>
      </c>
      <c r="AX64">
        <v>447</v>
      </c>
      <c r="AY64">
        <v>419</v>
      </c>
      <c r="AZ64" t="s">
        <v>270</v>
      </c>
      <c r="BA64">
        <v>0</v>
      </c>
      <c r="BB64">
        <v>55</v>
      </c>
      <c r="BC64" t="s">
        <v>550</v>
      </c>
      <c r="BD64" t="s">
        <v>548</v>
      </c>
      <c r="BE64">
        <v>3</v>
      </c>
      <c r="BF64" t="s">
        <v>584</v>
      </c>
      <c r="BG64">
        <v>23.5</v>
      </c>
      <c r="BH64">
        <v>589</v>
      </c>
      <c r="BI64" t="s">
        <v>264</v>
      </c>
      <c r="BJ64">
        <v>-9999</v>
      </c>
      <c r="BK64">
        <v>184</v>
      </c>
      <c r="BL64">
        <v>227</v>
      </c>
      <c r="BM64">
        <v>182</v>
      </c>
      <c r="BN64" t="s">
        <v>270</v>
      </c>
      <c r="BO64">
        <v>0</v>
      </c>
      <c r="BP64">
        <v>55</v>
      </c>
      <c r="BQ64" t="s">
        <v>504</v>
      </c>
      <c r="BR64" t="s">
        <v>548</v>
      </c>
      <c r="BS64">
        <v>4</v>
      </c>
      <c r="BT64" t="s">
        <v>584</v>
      </c>
      <c r="BU64">
        <v>30.2</v>
      </c>
      <c r="BV64">
        <v>280</v>
      </c>
      <c r="BW64" t="s">
        <v>264</v>
      </c>
      <c r="BX64">
        <v>-9999</v>
      </c>
      <c r="BY64">
        <v>193</v>
      </c>
      <c r="BZ64">
        <v>223</v>
      </c>
      <c r="CA64">
        <v>191</v>
      </c>
      <c r="CB64" t="s">
        <v>270</v>
      </c>
      <c r="CC64">
        <v>0</v>
      </c>
      <c r="CD64">
        <v>55</v>
      </c>
      <c r="CE64" t="s">
        <v>471</v>
      </c>
      <c r="CF64" t="s">
        <v>548</v>
      </c>
      <c r="CG64">
        <v>5</v>
      </c>
      <c r="CH64" t="s">
        <v>584</v>
      </c>
      <c r="CI64">
        <v>31.4</v>
      </c>
      <c r="CJ64">
        <v>268</v>
      </c>
      <c r="CK64" t="s">
        <v>264</v>
      </c>
      <c r="CL64">
        <v>-9999</v>
      </c>
      <c r="CM64">
        <v>449</v>
      </c>
      <c r="CN64">
        <v>526</v>
      </c>
      <c r="CO64">
        <v>449</v>
      </c>
      <c r="CP64" t="s">
        <v>270</v>
      </c>
      <c r="CQ64">
        <v>0</v>
      </c>
      <c r="CR64">
        <v>55</v>
      </c>
      <c r="CS64" t="s">
        <v>472</v>
      </c>
      <c r="CT64" t="s">
        <v>548</v>
      </c>
      <c r="CU64">
        <v>6</v>
      </c>
      <c r="CV64" t="s">
        <v>584</v>
      </c>
      <c r="CW64">
        <v>34.200000000000003</v>
      </c>
      <c r="CX64">
        <v>236</v>
      </c>
      <c r="CY64" t="s">
        <v>264</v>
      </c>
      <c r="CZ64">
        <v>-9999</v>
      </c>
      <c r="DA64">
        <v>673</v>
      </c>
      <c r="DB64">
        <v>766</v>
      </c>
      <c r="DC64">
        <v>664</v>
      </c>
      <c r="DD64" t="s">
        <v>270</v>
      </c>
      <c r="DE64">
        <v>0</v>
      </c>
      <c r="DF64">
        <v>55</v>
      </c>
      <c r="DG64" t="s">
        <v>473</v>
      </c>
      <c r="DH64" t="s">
        <v>548</v>
      </c>
      <c r="DI64">
        <v>7</v>
      </c>
      <c r="DJ64" t="s">
        <v>584</v>
      </c>
      <c r="DK64">
        <v>24.4</v>
      </c>
      <c r="DL64">
        <v>218</v>
      </c>
      <c r="DM64" t="s">
        <v>264</v>
      </c>
      <c r="DN64">
        <v>-9999</v>
      </c>
      <c r="DO64">
        <v>477</v>
      </c>
      <c r="DP64">
        <v>547</v>
      </c>
      <c r="DQ64">
        <v>473</v>
      </c>
      <c r="DR64" t="s">
        <v>270</v>
      </c>
      <c r="DS64">
        <v>0</v>
      </c>
      <c r="DT64">
        <v>55</v>
      </c>
      <c r="DU64" t="s">
        <v>474</v>
      </c>
      <c r="DV64" t="s">
        <v>548</v>
      </c>
      <c r="DW64">
        <v>8</v>
      </c>
      <c r="DX64" t="s">
        <v>584</v>
      </c>
      <c r="DY64">
        <v>21.9</v>
      </c>
      <c r="DZ64">
        <v>419</v>
      </c>
      <c r="EA64" t="s">
        <v>264</v>
      </c>
      <c r="EB64">
        <v>-9999</v>
      </c>
      <c r="EC64">
        <v>99</v>
      </c>
      <c r="ED64">
        <v>120</v>
      </c>
      <c r="EE64">
        <v>97</v>
      </c>
      <c r="EF64" t="s">
        <v>270</v>
      </c>
      <c r="EG64">
        <v>0</v>
      </c>
      <c r="EH64">
        <v>55</v>
      </c>
      <c r="EI64" t="s">
        <v>475</v>
      </c>
      <c r="EJ64" t="s">
        <v>548</v>
      </c>
      <c r="EK64">
        <v>9</v>
      </c>
      <c r="EL64" t="s">
        <v>584</v>
      </c>
      <c r="EM64">
        <v>27.1</v>
      </c>
      <c r="EN64">
        <v>85</v>
      </c>
      <c r="EO64" t="s">
        <v>264</v>
      </c>
      <c r="EP64">
        <v>-9999</v>
      </c>
      <c r="EQ64">
        <v>294</v>
      </c>
      <c r="ER64">
        <v>268</v>
      </c>
      <c r="ES64">
        <v>250</v>
      </c>
      <c r="ET64" t="s">
        <v>270</v>
      </c>
      <c r="EU64">
        <v>0</v>
      </c>
      <c r="EV64">
        <v>55</v>
      </c>
      <c r="EW64" t="s">
        <v>551</v>
      </c>
      <c r="EX64" t="s">
        <v>552</v>
      </c>
      <c r="EY64">
        <v>149</v>
      </c>
      <c r="EZ64">
        <v>150</v>
      </c>
      <c r="FA64">
        <v>151</v>
      </c>
      <c r="FB64" t="s">
        <v>270</v>
      </c>
      <c r="FC64" t="s">
        <v>553</v>
      </c>
      <c r="FD64" t="s">
        <v>552</v>
      </c>
      <c r="FE64">
        <v>296</v>
      </c>
      <c r="FF64">
        <v>295</v>
      </c>
      <c r="FG64">
        <v>294</v>
      </c>
      <c r="FH64" t="s">
        <v>270</v>
      </c>
      <c r="FI64" t="s">
        <v>554</v>
      </c>
      <c r="FJ64" t="s">
        <v>555</v>
      </c>
      <c r="FK64">
        <v>0</v>
      </c>
      <c r="FL64">
        <v>0</v>
      </c>
      <c r="FM64">
        <v>0</v>
      </c>
      <c r="FN64" t="s">
        <v>264</v>
      </c>
      <c r="FO64">
        <v>76</v>
      </c>
      <c r="FP64">
        <v>278.2</v>
      </c>
      <c r="FQ64" t="s">
        <v>556</v>
      </c>
      <c r="FR64" t="s">
        <v>555</v>
      </c>
      <c r="FS64">
        <v>0</v>
      </c>
      <c r="FT64">
        <v>0</v>
      </c>
      <c r="FU64">
        <v>0</v>
      </c>
      <c r="FV64" t="s">
        <v>264</v>
      </c>
      <c r="FW64">
        <v>73.5</v>
      </c>
      <c r="FX64">
        <v>96.3</v>
      </c>
      <c r="FY64" t="s">
        <v>557</v>
      </c>
      <c r="FZ64" t="s">
        <v>555</v>
      </c>
      <c r="GA64">
        <v>0</v>
      </c>
      <c r="GB64">
        <v>0</v>
      </c>
      <c r="GC64">
        <v>0</v>
      </c>
      <c r="GD64" t="s">
        <v>264</v>
      </c>
      <c r="GE64">
        <v>71.3</v>
      </c>
      <c r="GF64">
        <v>242.5</v>
      </c>
      <c r="GG64" t="s">
        <v>558</v>
      </c>
      <c r="GH64" t="s">
        <v>555</v>
      </c>
      <c r="GI64">
        <v>0</v>
      </c>
      <c r="GJ64">
        <v>0</v>
      </c>
      <c r="GK64">
        <v>0</v>
      </c>
      <c r="GL64" t="s">
        <v>264</v>
      </c>
      <c r="GM64">
        <v>68.400000000000006</v>
      </c>
      <c r="GN64">
        <v>50.6</v>
      </c>
      <c r="GO64" t="s">
        <v>559</v>
      </c>
      <c r="GP64" t="s">
        <v>555</v>
      </c>
      <c r="GQ64">
        <v>0</v>
      </c>
      <c r="GR64">
        <v>0</v>
      </c>
      <c r="GS64">
        <v>0</v>
      </c>
      <c r="GT64" t="s">
        <v>264</v>
      </c>
      <c r="GU64">
        <v>76</v>
      </c>
      <c r="GV64">
        <v>51.6</v>
      </c>
      <c r="GW64" t="s">
        <v>560</v>
      </c>
      <c r="GX64" t="s">
        <v>555</v>
      </c>
      <c r="GY64">
        <v>0</v>
      </c>
      <c r="GZ64">
        <v>0</v>
      </c>
      <c r="HA64">
        <v>0</v>
      </c>
      <c r="HB64" t="s">
        <v>264</v>
      </c>
      <c r="HC64">
        <v>70.2</v>
      </c>
      <c r="HD64">
        <v>77.8</v>
      </c>
      <c r="HE64" t="s">
        <v>561</v>
      </c>
      <c r="HF64" t="s">
        <v>555</v>
      </c>
      <c r="HG64">
        <v>0</v>
      </c>
      <c r="HH64">
        <v>0</v>
      </c>
      <c r="HI64">
        <v>0</v>
      </c>
      <c r="HJ64" t="s">
        <v>264</v>
      </c>
      <c r="HK64">
        <v>70.900000000000006</v>
      </c>
      <c r="HL64">
        <v>130.1</v>
      </c>
      <c r="HM64" t="s">
        <v>562</v>
      </c>
      <c r="HN64" t="s">
        <v>555</v>
      </c>
      <c r="HO64">
        <v>0</v>
      </c>
      <c r="HP64">
        <v>0</v>
      </c>
      <c r="HQ64">
        <v>0</v>
      </c>
      <c r="HR64" t="s">
        <v>264</v>
      </c>
      <c r="HS64">
        <v>69.2</v>
      </c>
      <c r="HT64">
        <v>80.5</v>
      </c>
      <c r="HU64" t="s">
        <v>563</v>
      </c>
      <c r="HV64" t="s">
        <v>555</v>
      </c>
      <c r="HW64">
        <v>0</v>
      </c>
      <c r="HX64">
        <v>0</v>
      </c>
      <c r="HY64">
        <v>0</v>
      </c>
      <c r="HZ64" t="s">
        <v>264</v>
      </c>
      <c r="IA64">
        <v>74.7</v>
      </c>
      <c r="IB64">
        <v>167.8</v>
      </c>
      <c r="IC64" t="s">
        <v>564</v>
      </c>
      <c r="ID64" t="s">
        <v>555</v>
      </c>
      <c r="IE64">
        <v>0</v>
      </c>
      <c r="IF64">
        <v>0</v>
      </c>
      <c r="IG64">
        <v>0</v>
      </c>
      <c r="IH64" t="s">
        <v>264</v>
      </c>
      <c r="II64">
        <v>68.3</v>
      </c>
      <c r="IJ64">
        <v>113</v>
      </c>
      <c r="IK64" t="s">
        <v>565</v>
      </c>
      <c r="IL64" t="s">
        <v>555</v>
      </c>
      <c r="IM64">
        <v>0</v>
      </c>
      <c r="IN64">
        <v>0</v>
      </c>
      <c r="IO64">
        <v>0</v>
      </c>
      <c r="IP64" t="s">
        <v>264</v>
      </c>
      <c r="IS64" t="s">
        <v>566</v>
      </c>
      <c r="IT64" t="s">
        <v>555</v>
      </c>
      <c r="IU64">
        <v>0</v>
      </c>
      <c r="IV64">
        <v>0</v>
      </c>
      <c r="IW64">
        <v>0</v>
      </c>
      <c r="IX64" t="s">
        <v>264</v>
      </c>
      <c r="JA64" t="s">
        <v>567</v>
      </c>
      <c r="JB64" t="s">
        <v>555</v>
      </c>
      <c r="JC64">
        <v>0</v>
      </c>
      <c r="JD64">
        <v>0</v>
      </c>
      <c r="JE64">
        <v>0</v>
      </c>
      <c r="JF64" t="s">
        <v>264</v>
      </c>
      <c r="JI64" t="s">
        <v>568</v>
      </c>
      <c r="JJ64" t="s">
        <v>555</v>
      </c>
      <c r="JK64">
        <v>0</v>
      </c>
      <c r="JL64">
        <v>0</v>
      </c>
      <c r="JM64">
        <v>0</v>
      </c>
      <c r="JN64" t="s">
        <v>264</v>
      </c>
      <c r="JQ64" t="s">
        <v>569</v>
      </c>
      <c r="JR64" t="s">
        <v>555</v>
      </c>
      <c r="JS64">
        <v>0</v>
      </c>
      <c r="JT64">
        <v>0</v>
      </c>
      <c r="JU64">
        <v>0</v>
      </c>
      <c r="JV64" t="s">
        <v>264</v>
      </c>
      <c r="JY64" t="s">
        <v>570</v>
      </c>
      <c r="JZ64" t="s">
        <v>555</v>
      </c>
      <c r="KA64">
        <v>0</v>
      </c>
      <c r="KB64">
        <v>0</v>
      </c>
      <c r="KC64">
        <v>0</v>
      </c>
      <c r="KD64" t="s">
        <v>264</v>
      </c>
      <c r="KG64" t="s">
        <v>571</v>
      </c>
      <c r="KH64" t="s">
        <v>555</v>
      </c>
      <c r="KI64">
        <v>0</v>
      </c>
      <c r="KJ64">
        <v>0</v>
      </c>
      <c r="KK64">
        <v>0</v>
      </c>
      <c r="KL64" t="s">
        <v>264</v>
      </c>
      <c r="KO64" t="s">
        <v>572</v>
      </c>
      <c r="KP64" t="s">
        <v>555</v>
      </c>
      <c r="KQ64">
        <v>0</v>
      </c>
      <c r="KR64">
        <v>0</v>
      </c>
      <c r="KS64">
        <v>0</v>
      </c>
      <c r="KT64" t="s">
        <v>264</v>
      </c>
      <c r="KW64" t="s">
        <v>573</v>
      </c>
      <c r="KX64" t="s">
        <v>555</v>
      </c>
      <c r="KY64">
        <v>0</v>
      </c>
      <c r="KZ64">
        <v>0</v>
      </c>
      <c r="LA64">
        <v>0</v>
      </c>
      <c r="LB64" t="s">
        <v>264</v>
      </c>
      <c r="LE64" t="s">
        <v>574</v>
      </c>
      <c r="LF64" t="s">
        <v>555</v>
      </c>
      <c r="LG64">
        <v>0</v>
      </c>
      <c r="LH64">
        <v>0</v>
      </c>
      <c r="LI64">
        <v>0</v>
      </c>
      <c r="LJ64" t="s">
        <v>264</v>
      </c>
      <c r="LM64" t="s">
        <v>575</v>
      </c>
      <c r="LN64" t="s">
        <v>555</v>
      </c>
      <c r="LO64">
        <v>0</v>
      </c>
      <c r="LP64">
        <v>0</v>
      </c>
      <c r="LQ64">
        <v>0</v>
      </c>
      <c r="LR64" t="s">
        <v>264</v>
      </c>
      <c r="LU64" t="s">
        <v>576</v>
      </c>
      <c r="LV64" t="s">
        <v>555</v>
      </c>
      <c r="LW64">
        <v>0</v>
      </c>
      <c r="LX64">
        <v>0</v>
      </c>
      <c r="LY64">
        <v>0</v>
      </c>
      <c r="LZ64" t="s">
        <v>264</v>
      </c>
      <c r="MC64" t="s">
        <v>577</v>
      </c>
      <c r="MD64" t="s">
        <v>555</v>
      </c>
      <c r="ME64">
        <v>0</v>
      </c>
      <c r="MF64">
        <v>0</v>
      </c>
      <c r="MG64">
        <v>0</v>
      </c>
      <c r="MH64" t="s">
        <v>264</v>
      </c>
      <c r="MK64" t="s">
        <v>578</v>
      </c>
      <c r="ML64" t="s">
        <v>555</v>
      </c>
      <c r="MM64">
        <v>0</v>
      </c>
      <c r="MN64">
        <v>0</v>
      </c>
      <c r="MO64">
        <v>0</v>
      </c>
      <c r="MP64" t="s">
        <v>264</v>
      </c>
      <c r="MS64" t="s">
        <v>579</v>
      </c>
      <c r="MT64" t="s">
        <v>555</v>
      </c>
      <c r="MU64">
        <v>0</v>
      </c>
      <c r="MV64">
        <v>0</v>
      </c>
      <c r="MW64">
        <v>0</v>
      </c>
      <c r="MX64" t="s">
        <v>264</v>
      </c>
      <c r="NA64" t="s">
        <v>580</v>
      </c>
      <c r="NB64" t="s">
        <v>555</v>
      </c>
      <c r="NC64">
        <v>0</v>
      </c>
      <c r="ND64">
        <v>0</v>
      </c>
      <c r="NE64">
        <v>0</v>
      </c>
      <c r="NF64" t="s">
        <v>264</v>
      </c>
      <c r="NI64">
        <v>40</v>
      </c>
      <c r="NJ64">
        <v>-9.9</v>
      </c>
      <c r="NP64" t="s">
        <v>581</v>
      </c>
    </row>
    <row r="65" spans="1:380" customFormat="1" x14ac:dyDescent="0.2">
      <c r="A65" t="s">
        <v>517</v>
      </c>
      <c r="B65">
        <v>1</v>
      </c>
      <c r="C65" t="s">
        <v>931</v>
      </c>
      <c r="D65">
        <v>646965975</v>
      </c>
      <c r="E65">
        <v>12602</v>
      </c>
      <c r="F65" t="s">
        <v>805</v>
      </c>
      <c r="G65">
        <v>709953</v>
      </c>
      <c r="H65">
        <v>210014183</v>
      </c>
      <c r="I65" t="s">
        <v>543</v>
      </c>
      <c r="J65" t="s">
        <v>932</v>
      </c>
      <c r="K65" t="s">
        <v>545</v>
      </c>
      <c r="L65" t="s">
        <v>442</v>
      </c>
      <c r="M65" t="s">
        <v>546</v>
      </c>
      <c r="N65" t="s">
        <v>468</v>
      </c>
      <c r="O65" t="s">
        <v>547</v>
      </c>
      <c r="P65" t="s">
        <v>264</v>
      </c>
      <c r="Q65">
        <v>26.3</v>
      </c>
      <c r="R65">
        <v>244</v>
      </c>
      <c r="S65" t="s">
        <v>264</v>
      </c>
      <c r="T65">
        <v>-9999</v>
      </c>
      <c r="U65">
        <v>463</v>
      </c>
      <c r="V65">
        <v>477</v>
      </c>
      <c r="W65">
        <v>454</v>
      </c>
      <c r="X65" t="s">
        <v>270</v>
      </c>
      <c r="Y65">
        <v>0</v>
      </c>
      <c r="Z65">
        <v>55</v>
      </c>
      <c r="AA65" t="s">
        <v>469</v>
      </c>
      <c r="AB65" t="s">
        <v>548</v>
      </c>
      <c r="AC65">
        <v>1</v>
      </c>
      <c r="AD65" t="s">
        <v>584</v>
      </c>
      <c r="AE65">
        <v>23.7</v>
      </c>
      <c r="AF65">
        <v>1492</v>
      </c>
      <c r="AG65" t="s">
        <v>264</v>
      </c>
      <c r="AH65">
        <v>-9999</v>
      </c>
      <c r="AI65">
        <v>489</v>
      </c>
      <c r="AJ65">
        <v>614</v>
      </c>
      <c r="AK65">
        <v>488</v>
      </c>
      <c r="AL65" t="s">
        <v>270</v>
      </c>
      <c r="AM65">
        <v>0</v>
      </c>
      <c r="AN65">
        <v>55</v>
      </c>
      <c r="AO65" t="s">
        <v>470</v>
      </c>
      <c r="AP65" t="s">
        <v>548</v>
      </c>
      <c r="AQ65">
        <v>2</v>
      </c>
      <c r="AR65" t="s">
        <v>584</v>
      </c>
      <c r="AS65">
        <v>36.799999999999997</v>
      </c>
      <c r="AT65">
        <v>364</v>
      </c>
      <c r="AU65" t="s">
        <v>264</v>
      </c>
      <c r="AV65">
        <v>-9999</v>
      </c>
      <c r="AW65">
        <v>293</v>
      </c>
      <c r="AX65">
        <v>306</v>
      </c>
      <c r="AY65">
        <v>292</v>
      </c>
      <c r="AZ65" t="s">
        <v>270</v>
      </c>
      <c r="BA65">
        <v>0</v>
      </c>
      <c r="BB65">
        <v>55</v>
      </c>
      <c r="BC65" t="s">
        <v>550</v>
      </c>
      <c r="BD65" t="s">
        <v>548</v>
      </c>
      <c r="BE65">
        <v>3</v>
      </c>
      <c r="BF65" t="s">
        <v>584</v>
      </c>
      <c r="BG65">
        <v>22.7</v>
      </c>
      <c r="BH65">
        <v>517</v>
      </c>
      <c r="BI65" t="s">
        <v>264</v>
      </c>
      <c r="BJ65">
        <v>-9999</v>
      </c>
      <c r="BK65">
        <v>198</v>
      </c>
      <c r="BL65">
        <v>236</v>
      </c>
      <c r="BM65">
        <v>195</v>
      </c>
      <c r="BN65" t="s">
        <v>270</v>
      </c>
      <c r="BO65">
        <v>0</v>
      </c>
      <c r="BP65">
        <v>55</v>
      </c>
      <c r="BQ65" t="s">
        <v>504</v>
      </c>
      <c r="BR65" t="s">
        <v>548</v>
      </c>
      <c r="BS65">
        <v>4</v>
      </c>
      <c r="BT65" t="s">
        <v>584</v>
      </c>
      <c r="BU65">
        <v>28.6</v>
      </c>
      <c r="BV65">
        <v>288</v>
      </c>
      <c r="BW65" t="s">
        <v>264</v>
      </c>
      <c r="BX65">
        <v>-9999</v>
      </c>
      <c r="BY65">
        <v>186</v>
      </c>
      <c r="BZ65">
        <v>215</v>
      </c>
      <c r="CA65">
        <v>184</v>
      </c>
      <c r="CB65" t="s">
        <v>270</v>
      </c>
      <c r="CC65">
        <v>0</v>
      </c>
      <c r="CD65">
        <v>55</v>
      </c>
      <c r="CE65" t="s">
        <v>471</v>
      </c>
      <c r="CF65" t="s">
        <v>548</v>
      </c>
      <c r="CG65">
        <v>5</v>
      </c>
      <c r="CH65" t="s">
        <v>584</v>
      </c>
      <c r="CI65">
        <v>23.1</v>
      </c>
      <c r="CJ65">
        <v>325</v>
      </c>
      <c r="CK65" t="s">
        <v>264</v>
      </c>
      <c r="CL65">
        <v>-9999</v>
      </c>
      <c r="CM65">
        <v>521</v>
      </c>
      <c r="CN65">
        <v>604</v>
      </c>
      <c r="CO65">
        <v>518</v>
      </c>
      <c r="CP65" t="s">
        <v>270</v>
      </c>
      <c r="CQ65">
        <v>0</v>
      </c>
      <c r="CR65">
        <v>55</v>
      </c>
      <c r="CS65" t="s">
        <v>472</v>
      </c>
      <c r="CT65" t="s">
        <v>548</v>
      </c>
      <c r="CU65">
        <v>6</v>
      </c>
      <c r="CV65" t="s">
        <v>584</v>
      </c>
      <c r="CW65">
        <v>30.8</v>
      </c>
      <c r="CX65">
        <v>296</v>
      </c>
      <c r="CY65" t="s">
        <v>264</v>
      </c>
      <c r="CZ65">
        <v>-9999</v>
      </c>
      <c r="DA65">
        <v>764</v>
      </c>
      <c r="DB65">
        <v>865</v>
      </c>
      <c r="DC65">
        <v>750</v>
      </c>
      <c r="DD65" t="s">
        <v>270</v>
      </c>
      <c r="DE65">
        <v>0</v>
      </c>
      <c r="DF65">
        <v>55</v>
      </c>
      <c r="DG65" t="s">
        <v>473</v>
      </c>
      <c r="DH65" t="s">
        <v>548</v>
      </c>
      <c r="DI65">
        <v>7</v>
      </c>
      <c r="DJ65" t="s">
        <v>584</v>
      </c>
      <c r="DK65">
        <v>24</v>
      </c>
      <c r="DL65">
        <v>205</v>
      </c>
      <c r="DM65" t="s">
        <v>264</v>
      </c>
      <c r="DN65">
        <v>-9999</v>
      </c>
      <c r="DO65">
        <v>482</v>
      </c>
      <c r="DP65">
        <v>552</v>
      </c>
      <c r="DQ65">
        <v>477</v>
      </c>
      <c r="DR65" t="s">
        <v>270</v>
      </c>
      <c r="DS65">
        <v>0</v>
      </c>
      <c r="DT65">
        <v>55</v>
      </c>
      <c r="DU65" t="s">
        <v>474</v>
      </c>
      <c r="DV65" t="s">
        <v>548</v>
      </c>
      <c r="DW65">
        <v>8</v>
      </c>
      <c r="DX65" t="s">
        <v>584</v>
      </c>
      <c r="DY65">
        <v>20.399999999999999</v>
      </c>
      <c r="DZ65">
        <v>528</v>
      </c>
      <c r="EA65" t="s">
        <v>264</v>
      </c>
      <c r="EB65">
        <v>-9999</v>
      </c>
      <c r="EC65">
        <v>77</v>
      </c>
      <c r="ED65">
        <v>95</v>
      </c>
      <c r="EE65">
        <v>75</v>
      </c>
      <c r="EF65" t="s">
        <v>270</v>
      </c>
      <c r="EG65">
        <v>0</v>
      </c>
      <c r="EH65">
        <v>55</v>
      </c>
      <c r="EI65" t="s">
        <v>475</v>
      </c>
      <c r="EJ65" t="s">
        <v>548</v>
      </c>
      <c r="EK65">
        <v>9</v>
      </c>
      <c r="EL65" t="s">
        <v>549</v>
      </c>
      <c r="EM65">
        <v>41.2</v>
      </c>
      <c r="EN65">
        <v>35</v>
      </c>
      <c r="EO65" t="s">
        <v>264</v>
      </c>
      <c r="EP65">
        <v>-9999</v>
      </c>
      <c r="EQ65">
        <v>230</v>
      </c>
      <c r="ER65">
        <v>203</v>
      </c>
      <c r="ES65">
        <v>192</v>
      </c>
      <c r="ET65" t="s">
        <v>270</v>
      </c>
      <c r="EU65">
        <v>0</v>
      </c>
      <c r="EV65">
        <v>55</v>
      </c>
      <c r="EW65" t="s">
        <v>551</v>
      </c>
      <c r="EX65" t="s">
        <v>552</v>
      </c>
      <c r="EY65">
        <v>164</v>
      </c>
      <c r="EZ65">
        <v>166</v>
      </c>
      <c r="FA65">
        <v>168</v>
      </c>
      <c r="FB65" t="s">
        <v>270</v>
      </c>
      <c r="FC65" t="s">
        <v>553</v>
      </c>
      <c r="FD65" t="s">
        <v>552</v>
      </c>
      <c r="FE65">
        <v>261</v>
      </c>
      <c r="FF65">
        <v>260</v>
      </c>
      <c r="FG65">
        <v>259</v>
      </c>
      <c r="FH65" t="s">
        <v>270</v>
      </c>
      <c r="FI65" t="s">
        <v>554</v>
      </c>
      <c r="FJ65" t="s">
        <v>555</v>
      </c>
      <c r="FK65">
        <v>0</v>
      </c>
      <c r="FL65">
        <v>0</v>
      </c>
      <c r="FM65">
        <v>0</v>
      </c>
      <c r="FN65" t="s">
        <v>264</v>
      </c>
      <c r="FO65">
        <v>76.099999999999994</v>
      </c>
      <c r="FP65">
        <v>318</v>
      </c>
      <c r="FQ65" t="s">
        <v>556</v>
      </c>
      <c r="FR65" t="s">
        <v>555</v>
      </c>
      <c r="FS65">
        <v>0</v>
      </c>
      <c r="FT65">
        <v>0</v>
      </c>
      <c r="FU65">
        <v>0</v>
      </c>
      <c r="FV65" t="s">
        <v>264</v>
      </c>
      <c r="FW65">
        <v>73.599999999999994</v>
      </c>
      <c r="FX65">
        <v>78.599999999999994</v>
      </c>
      <c r="FY65" t="s">
        <v>557</v>
      </c>
      <c r="FZ65" t="s">
        <v>555</v>
      </c>
      <c r="GA65">
        <v>0</v>
      </c>
      <c r="GB65">
        <v>0</v>
      </c>
      <c r="GC65">
        <v>0</v>
      </c>
      <c r="GD65" t="s">
        <v>264</v>
      </c>
      <c r="GE65">
        <v>71.3</v>
      </c>
      <c r="GF65">
        <v>225.7</v>
      </c>
      <c r="GG65" t="s">
        <v>558</v>
      </c>
      <c r="GH65" t="s">
        <v>555</v>
      </c>
      <c r="GI65">
        <v>0</v>
      </c>
      <c r="GJ65">
        <v>0</v>
      </c>
      <c r="GK65">
        <v>0</v>
      </c>
      <c r="GL65" t="s">
        <v>264</v>
      </c>
      <c r="GM65">
        <v>68.5</v>
      </c>
      <c r="GN65">
        <v>43</v>
      </c>
      <c r="GO65" t="s">
        <v>559</v>
      </c>
      <c r="GP65" t="s">
        <v>555</v>
      </c>
      <c r="GQ65">
        <v>0</v>
      </c>
      <c r="GR65">
        <v>0</v>
      </c>
      <c r="GS65">
        <v>0</v>
      </c>
      <c r="GT65" t="s">
        <v>264</v>
      </c>
      <c r="GU65">
        <v>76.099999999999994</v>
      </c>
      <c r="GV65">
        <v>53.6</v>
      </c>
      <c r="GW65" t="s">
        <v>560</v>
      </c>
      <c r="GX65" t="s">
        <v>555</v>
      </c>
      <c r="GY65">
        <v>0</v>
      </c>
      <c r="GZ65">
        <v>0</v>
      </c>
      <c r="HA65">
        <v>0</v>
      </c>
      <c r="HB65" t="s">
        <v>264</v>
      </c>
      <c r="HC65">
        <v>70.2</v>
      </c>
      <c r="HD65">
        <v>93.6</v>
      </c>
      <c r="HE65" t="s">
        <v>561</v>
      </c>
      <c r="HF65" t="s">
        <v>555</v>
      </c>
      <c r="HG65">
        <v>0</v>
      </c>
      <c r="HH65">
        <v>0</v>
      </c>
      <c r="HI65">
        <v>0</v>
      </c>
      <c r="HJ65" t="s">
        <v>264</v>
      </c>
      <c r="HK65">
        <v>70.900000000000006</v>
      </c>
      <c r="HL65">
        <v>155</v>
      </c>
      <c r="HM65" t="s">
        <v>562</v>
      </c>
      <c r="HN65" t="s">
        <v>555</v>
      </c>
      <c r="HO65">
        <v>0</v>
      </c>
      <c r="HP65">
        <v>0</v>
      </c>
      <c r="HQ65">
        <v>0</v>
      </c>
      <c r="HR65" t="s">
        <v>264</v>
      </c>
      <c r="HS65">
        <v>69.3</v>
      </c>
      <c r="HT65">
        <v>77.3</v>
      </c>
      <c r="HU65" t="s">
        <v>563</v>
      </c>
      <c r="HV65" t="s">
        <v>555</v>
      </c>
      <c r="HW65">
        <v>0</v>
      </c>
      <c r="HX65">
        <v>0</v>
      </c>
      <c r="HY65">
        <v>0</v>
      </c>
      <c r="HZ65" t="s">
        <v>264</v>
      </c>
      <c r="IA65">
        <v>74.8</v>
      </c>
      <c r="IB65">
        <v>169.7</v>
      </c>
      <c r="IC65" t="s">
        <v>564</v>
      </c>
      <c r="ID65" t="s">
        <v>555</v>
      </c>
      <c r="IE65">
        <v>0</v>
      </c>
      <c r="IF65">
        <v>0</v>
      </c>
      <c r="IG65">
        <v>0</v>
      </c>
      <c r="IH65" t="s">
        <v>264</v>
      </c>
      <c r="II65">
        <v>68.3</v>
      </c>
      <c r="IJ65">
        <v>104.4</v>
      </c>
      <c r="IK65" t="s">
        <v>565</v>
      </c>
      <c r="IL65" t="s">
        <v>555</v>
      </c>
      <c r="IM65">
        <v>0</v>
      </c>
      <c r="IN65">
        <v>0</v>
      </c>
      <c r="IO65">
        <v>0</v>
      </c>
      <c r="IP65" t="s">
        <v>264</v>
      </c>
      <c r="IS65" t="s">
        <v>566</v>
      </c>
      <c r="IT65" t="s">
        <v>555</v>
      </c>
      <c r="IU65">
        <v>0</v>
      </c>
      <c r="IV65">
        <v>0</v>
      </c>
      <c r="IW65">
        <v>0</v>
      </c>
      <c r="IX65" t="s">
        <v>264</v>
      </c>
      <c r="JA65" t="s">
        <v>567</v>
      </c>
      <c r="JB65" t="s">
        <v>555</v>
      </c>
      <c r="JC65">
        <v>0</v>
      </c>
      <c r="JD65">
        <v>0</v>
      </c>
      <c r="JE65">
        <v>0</v>
      </c>
      <c r="JF65" t="s">
        <v>264</v>
      </c>
      <c r="JI65" t="s">
        <v>568</v>
      </c>
      <c r="JJ65" t="s">
        <v>555</v>
      </c>
      <c r="JK65">
        <v>0</v>
      </c>
      <c r="JL65">
        <v>0</v>
      </c>
      <c r="JM65">
        <v>0</v>
      </c>
      <c r="JN65" t="s">
        <v>264</v>
      </c>
      <c r="JQ65" t="s">
        <v>569</v>
      </c>
      <c r="JR65" t="s">
        <v>555</v>
      </c>
      <c r="JS65">
        <v>0</v>
      </c>
      <c r="JT65">
        <v>0</v>
      </c>
      <c r="JU65">
        <v>0</v>
      </c>
      <c r="JV65" t="s">
        <v>264</v>
      </c>
      <c r="JY65" t="s">
        <v>570</v>
      </c>
      <c r="JZ65" t="s">
        <v>555</v>
      </c>
      <c r="KA65">
        <v>0</v>
      </c>
      <c r="KB65">
        <v>0</v>
      </c>
      <c r="KC65">
        <v>0</v>
      </c>
      <c r="KD65" t="s">
        <v>264</v>
      </c>
      <c r="KG65" t="s">
        <v>571</v>
      </c>
      <c r="KH65" t="s">
        <v>555</v>
      </c>
      <c r="KI65">
        <v>0</v>
      </c>
      <c r="KJ65">
        <v>0</v>
      </c>
      <c r="KK65">
        <v>0</v>
      </c>
      <c r="KL65" t="s">
        <v>264</v>
      </c>
      <c r="KO65" t="s">
        <v>572</v>
      </c>
      <c r="KP65" t="s">
        <v>555</v>
      </c>
      <c r="KQ65">
        <v>0</v>
      </c>
      <c r="KR65">
        <v>0</v>
      </c>
      <c r="KS65">
        <v>0</v>
      </c>
      <c r="KT65" t="s">
        <v>264</v>
      </c>
      <c r="KW65" t="s">
        <v>573</v>
      </c>
      <c r="KX65" t="s">
        <v>555</v>
      </c>
      <c r="KY65">
        <v>0</v>
      </c>
      <c r="KZ65">
        <v>0</v>
      </c>
      <c r="LA65">
        <v>0</v>
      </c>
      <c r="LB65" t="s">
        <v>264</v>
      </c>
      <c r="LE65" t="s">
        <v>574</v>
      </c>
      <c r="LF65" t="s">
        <v>555</v>
      </c>
      <c r="LG65">
        <v>0</v>
      </c>
      <c r="LH65">
        <v>0</v>
      </c>
      <c r="LI65">
        <v>0</v>
      </c>
      <c r="LJ65" t="s">
        <v>264</v>
      </c>
      <c r="LM65" t="s">
        <v>575</v>
      </c>
      <c r="LN65" t="s">
        <v>555</v>
      </c>
      <c r="LO65">
        <v>0</v>
      </c>
      <c r="LP65">
        <v>0</v>
      </c>
      <c r="LQ65">
        <v>0</v>
      </c>
      <c r="LR65" t="s">
        <v>264</v>
      </c>
      <c r="LU65" t="s">
        <v>576</v>
      </c>
      <c r="LV65" t="s">
        <v>555</v>
      </c>
      <c r="LW65">
        <v>0</v>
      </c>
      <c r="LX65">
        <v>0</v>
      </c>
      <c r="LY65">
        <v>0</v>
      </c>
      <c r="LZ65" t="s">
        <v>264</v>
      </c>
      <c r="MC65" t="s">
        <v>577</v>
      </c>
      <c r="MD65" t="s">
        <v>555</v>
      </c>
      <c r="ME65">
        <v>0</v>
      </c>
      <c r="MF65">
        <v>0</v>
      </c>
      <c r="MG65">
        <v>0</v>
      </c>
      <c r="MH65" t="s">
        <v>264</v>
      </c>
      <c r="MK65" t="s">
        <v>578</v>
      </c>
      <c r="ML65" t="s">
        <v>555</v>
      </c>
      <c r="MM65">
        <v>0</v>
      </c>
      <c r="MN65">
        <v>0</v>
      </c>
      <c r="MO65">
        <v>0</v>
      </c>
      <c r="MP65" t="s">
        <v>264</v>
      </c>
      <c r="MS65" t="s">
        <v>579</v>
      </c>
      <c r="MT65" t="s">
        <v>555</v>
      </c>
      <c r="MU65">
        <v>0</v>
      </c>
      <c r="MV65">
        <v>0</v>
      </c>
      <c r="MW65">
        <v>0</v>
      </c>
      <c r="MX65" t="s">
        <v>264</v>
      </c>
      <c r="NA65" t="s">
        <v>580</v>
      </c>
      <c r="NB65" t="s">
        <v>555</v>
      </c>
      <c r="NC65">
        <v>0</v>
      </c>
      <c r="ND65">
        <v>0</v>
      </c>
      <c r="NE65">
        <v>0</v>
      </c>
      <c r="NF65" t="s">
        <v>264</v>
      </c>
      <c r="NI65">
        <v>40.1</v>
      </c>
      <c r="NJ65">
        <v>-26.6</v>
      </c>
      <c r="NP65" t="s">
        <v>581</v>
      </c>
    </row>
    <row r="66" spans="1:380" customFormat="1" x14ac:dyDescent="0.2">
      <c r="A66" t="s">
        <v>517</v>
      </c>
      <c r="B66">
        <v>1</v>
      </c>
      <c r="C66" t="s">
        <v>933</v>
      </c>
      <c r="D66">
        <v>647064824</v>
      </c>
      <c r="E66">
        <v>12602</v>
      </c>
      <c r="F66" t="s">
        <v>805</v>
      </c>
      <c r="G66">
        <v>709953</v>
      </c>
      <c r="H66">
        <v>210014497</v>
      </c>
      <c r="I66" t="s">
        <v>543</v>
      </c>
      <c r="J66" t="s">
        <v>934</v>
      </c>
      <c r="K66" t="s">
        <v>545</v>
      </c>
      <c r="L66" t="s">
        <v>442</v>
      </c>
      <c r="M66" t="s">
        <v>546</v>
      </c>
      <c r="N66" t="s">
        <v>468</v>
      </c>
      <c r="O66" t="s">
        <v>547</v>
      </c>
      <c r="P66" t="s">
        <v>264</v>
      </c>
      <c r="Q66">
        <v>25.7</v>
      </c>
      <c r="R66">
        <v>278</v>
      </c>
      <c r="S66" t="s">
        <v>264</v>
      </c>
      <c r="T66">
        <v>-9999</v>
      </c>
      <c r="U66">
        <v>593</v>
      </c>
      <c r="V66">
        <v>614</v>
      </c>
      <c r="W66">
        <v>585</v>
      </c>
      <c r="X66" t="s">
        <v>270</v>
      </c>
      <c r="Y66">
        <v>0</v>
      </c>
      <c r="Z66">
        <v>55</v>
      </c>
      <c r="AA66" t="s">
        <v>469</v>
      </c>
      <c r="AB66" t="s">
        <v>548</v>
      </c>
      <c r="AC66">
        <v>1</v>
      </c>
      <c r="AD66" t="s">
        <v>584</v>
      </c>
      <c r="AE66">
        <v>25.3</v>
      </c>
      <c r="AF66">
        <v>1410</v>
      </c>
      <c r="AG66" t="s">
        <v>264</v>
      </c>
      <c r="AH66">
        <v>-9999</v>
      </c>
      <c r="AI66">
        <v>466</v>
      </c>
      <c r="AJ66">
        <v>576</v>
      </c>
      <c r="AK66">
        <v>465</v>
      </c>
      <c r="AL66" t="s">
        <v>270</v>
      </c>
      <c r="AM66">
        <v>0</v>
      </c>
      <c r="AN66">
        <v>55</v>
      </c>
      <c r="AO66" t="s">
        <v>470</v>
      </c>
      <c r="AP66" t="s">
        <v>548</v>
      </c>
      <c r="AQ66">
        <v>2</v>
      </c>
      <c r="AR66" t="s">
        <v>584</v>
      </c>
      <c r="AS66">
        <v>36.5</v>
      </c>
      <c r="AT66">
        <v>393</v>
      </c>
      <c r="AU66" t="s">
        <v>264</v>
      </c>
      <c r="AV66">
        <v>-9999</v>
      </c>
      <c r="AW66">
        <v>401</v>
      </c>
      <c r="AX66">
        <v>424</v>
      </c>
      <c r="AY66">
        <v>400</v>
      </c>
      <c r="AZ66" t="s">
        <v>270</v>
      </c>
      <c r="BA66">
        <v>0</v>
      </c>
      <c r="BB66">
        <v>55</v>
      </c>
      <c r="BC66" t="s">
        <v>550</v>
      </c>
      <c r="BD66" t="s">
        <v>548</v>
      </c>
      <c r="BE66">
        <v>3</v>
      </c>
      <c r="BF66" t="s">
        <v>584</v>
      </c>
      <c r="BG66">
        <v>23</v>
      </c>
      <c r="BH66">
        <v>655</v>
      </c>
      <c r="BI66" t="s">
        <v>264</v>
      </c>
      <c r="BJ66">
        <v>-9999</v>
      </c>
      <c r="BK66">
        <v>223</v>
      </c>
      <c r="BL66">
        <v>276</v>
      </c>
      <c r="BM66">
        <v>223</v>
      </c>
      <c r="BN66" t="s">
        <v>270</v>
      </c>
      <c r="BO66">
        <v>0</v>
      </c>
      <c r="BP66">
        <v>55</v>
      </c>
      <c r="BQ66" t="s">
        <v>504</v>
      </c>
      <c r="BR66" t="s">
        <v>548</v>
      </c>
      <c r="BS66">
        <v>4</v>
      </c>
      <c r="BT66" t="s">
        <v>584</v>
      </c>
      <c r="BU66">
        <v>29.4</v>
      </c>
      <c r="BV66">
        <v>299</v>
      </c>
      <c r="BW66" t="s">
        <v>264</v>
      </c>
      <c r="BX66">
        <v>-9999</v>
      </c>
      <c r="BY66">
        <v>222</v>
      </c>
      <c r="BZ66">
        <v>258</v>
      </c>
      <c r="CA66">
        <v>221</v>
      </c>
      <c r="CB66" t="s">
        <v>270</v>
      </c>
      <c r="CC66">
        <v>0</v>
      </c>
      <c r="CD66">
        <v>55</v>
      </c>
      <c r="CE66" t="s">
        <v>471</v>
      </c>
      <c r="CF66" t="s">
        <v>548</v>
      </c>
      <c r="CG66">
        <v>5</v>
      </c>
      <c r="CH66" t="s">
        <v>584</v>
      </c>
      <c r="CI66">
        <v>33.799999999999997</v>
      </c>
      <c r="CJ66">
        <v>253</v>
      </c>
      <c r="CK66" t="s">
        <v>264</v>
      </c>
      <c r="CL66">
        <v>-9999</v>
      </c>
      <c r="CM66">
        <v>511</v>
      </c>
      <c r="CN66">
        <v>599</v>
      </c>
      <c r="CO66">
        <v>511</v>
      </c>
      <c r="CP66" t="s">
        <v>270</v>
      </c>
      <c r="CQ66">
        <v>0</v>
      </c>
      <c r="CR66">
        <v>55</v>
      </c>
      <c r="CS66" t="s">
        <v>472</v>
      </c>
      <c r="CT66" t="s">
        <v>548</v>
      </c>
      <c r="CU66">
        <v>6</v>
      </c>
      <c r="CV66" t="s">
        <v>584</v>
      </c>
      <c r="CW66">
        <v>34.299999999999997</v>
      </c>
      <c r="CX66">
        <v>246</v>
      </c>
      <c r="CY66" t="s">
        <v>264</v>
      </c>
      <c r="CZ66">
        <v>-9999</v>
      </c>
      <c r="DA66">
        <v>798</v>
      </c>
      <c r="DB66">
        <v>908</v>
      </c>
      <c r="DC66">
        <v>788</v>
      </c>
      <c r="DD66" t="s">
        <v>270</v>
      </c>
      <c r="DE66">
        <v>0</v>
      </c>
      <c r="DF66">
        <v>55</v>
      </c>
      <c r="DG66" t="s">
        <v>473</v>
      </c>
      <c r="DH66" t="s">
        <v>548</v>
      </c>
      <c r="DI66">
        <v>7</v>
      </c>
      <c r="DJ66" t="s">
        <v>584</v>
      </c>
      <c r="DK66">
        <v>24</v>
      </c>
      <c r="DL66">
        <v>229</v>
      </c>
      <c r="DM66" t="s">
        <v>264</v>
      </c>
      <c r="DN66">
        <v>-9999</v>
      </c>
      <c r="DO66">
        <v>525</v>
      </c>
      <c r="DP66">
        <v>604</v>
      </c>
      <c r="DQ66">
        <v>522</v>
      </c>
      <c r="DR66" t="s">
        <v>270</v>
      </c>
      <c r="DS66">
        <v>0</v>
      </c>
      <c r="DT66">
        <v>55</v>
      </c>
      <c r="DU66" t="s">
        <v>474</v>
      </c>
      <c r="DV66" t="s">
        <v>548</v>
      </c>
      <c r="DW66">
        <v>8</v>
      </c>
      <c r="DX66" t="s">
        <v>584</v>
      </c>
      <c r="DY66">
        <v>21.5</v>
      </c>
      <c r="DZ66">
        <v>450</v>
      </c>
      <c r="EA66" t="s">
        <v>264</v>
      </c>
      <c r="EB66">
        <v>-9999</v>
      </c>
      <c r="EC66">
        <v>111</v>
      </c>
      <c r="ED66">
        <v>134</v>
      </c>
      <c r="EE66">
        <v>110</v>
      </c>
      <c r="EF66" t="s">
        <v>270</v>
      </c>
      <c r="EG66">
        <v>0</v>
      </c>
      <c r="EH66">
        <v>55</v>
      </c>
      <c r="EI66" t="s">
        <v>475</v>
      </c>
      <c r="EJ66" t="s">
        <v>548</v>
      </c>
      <c r="EK66">
        <v>9</v>
      </c>
      <c r="EL66" t="s">
        <v>584</v>
      </c>
      <c r="EM66">
        <v>24.5</v>
      </c>
      <c r="EN66">
        <v>123</v>
      </c>
      <c r="EO66" t="s">
        <v>264</v>
      </c>
      <c r="EP66">
        <v>-9999</v>
      </c>
      <c r="EQ66">
        <v>324</v>
      </c>
      <c r="ER66">
        <v>299</v>
      </c>
      <c r="ES66">
        <v>279</v>
      </c>
      <c r="ET66" t="s">
        <v>270</v>
      </c>
      <c r="EU66">
        <v>0</v>
      </c>
      <c r="EV66">
        <v>55</v>
      </c>
      <c r="EW66" t="s">
        <v>551</v>
      </c>
      <c r="EX66" t="s">
        <v>552</v>
      </c>
      <c r="EY66">
        <v>143</v>
      </c>
      <c r="EZ66">
        <v>144</v>
      </c>
      <c r="FA66">
        <v>144</v>
      </c>
      <c r="FB66" t="s">
        <v>270</v>
      </c>
      <c r="FC66" t="s">
        <v>553</v>
      </c>
      <c r="FD66" t="s">
        <v>552</v>
      </c>
      <c r="FE66">
        <v>316</v>
      </c>
      <c r="FF66">
        <v>315</v>
      </c>
      <c r="FG66">
        <v>314</v>
      </c>
      <c r="FH66" t="s">
        <v>270</v>
      </c>
      <c r="FI66" t="s">
        <v>554</v>
      </c>
      <c r="FJ66" t="s">
        <v>555</v>
      </c>
      <c r="FK66">
        <v>0</v>
      </c>
      <c r="FL66">
        <v>0</v>
      </c>
      <c r="FM66">
        <v>0</v>
      </c>
      <c r="FN66" t="s">
        <v>264</v>
      </c>
      <c r="FO66">
        <v>76.099999999999994</v>
      </c>
      <c r="FP66">
        <v>304</v>
      </c>
      <c r="FQ66" t="s">
        <v>556</v>
      </c>
      <c r="FR66" t="s">
        <v>555</v>
      </c>
      <c r="FS66">
        <v>0</v>
      </c>
      <c r="FT66">
        <v>0</v>
      </c>
      <c r="FU66">
        <v>0</v>
      </c>
      <c r="FV66" t="s">
        <v>264</v>
      </c>
      <c r="FW66">
        <v>73.599999999999994</v>
      </c>
      <c r="FX66">
        <v>108.5</v>
      </c>
      <c r="FY66" t="s">
        <v>557</v>
      </c>
      <c r="FZ66" t="s">
        <v>555</v>
      </c>
      <c r="GA66">
        <v>0</v>
      </c>
      <c r="GB66">
        <v>0</v>
      </c>
      <c r="GC66">
        <v>0</v>
      </c>
      <c r="GD66" t="s">
        <v>264</v>
      </c>
      <c r="GE66">
        <v>71.3</v>
      </c>
      <c r="GF66">
        <v>283.39999999999998</v>
      </c>
      <c r="GG66" t="s">
        <v>558</v>
      </c>
      <c r="GH66" t="s">
        <v>555</v>
      </c>
      <c r="GI66">
        <v>0</v>
      </c>
      <c r="GJ66">
        <v>0</v>
      </c>
      <c r="GK66">
        <v>0</v>
      </c>
      <c r="GL66" t="s">
        <v>264</v>
      </c>
      <c r="GM66">
        <v>68.5</v>
      </c>
      <c r="GN66">
        <v>53.7</v>
      </c>
      <c r="GO66" t="s">
        <v>559</v>
      </c>
      <c r="GP66" t="s">
        <v>555</v>
      </c>
      <c r="GQ66">
        <v>0</v>
      </c>
      <c r="GR66">
        <v>0</v>
      </c>
      <c r="GS66">
        <v>0</v>
      </c>
      <c r="GT66" t="s">
        <v>264</v>
      </c>
      <c r="GU66">
        <v>76.099999999999994</v>
      </c>
      <c r="GV66">
        <v>61.8</v>
      </c>
      <c r="GW66" t="s">
        <v>560</v>
      </c>
      <c r="GX66" t="s">
        <v>555</v>
      </c>
      <c r="GY66">
        <v>0</v>
      </c>
      <c r="GZ66">
        <v>0</v>
      </c>
      <c r="HA66">
        <v>0</v>
      </c>
      <c r="HB66" t="s">
        <v>264</v>
      </c>
      <c r="HC66">
        <v>70.3</v>
      </c>
      <c r="HD66">
        <v>88.1</v>
      </c>
      <c r="HE66" t="s">
        <v>561</v>
      </c>
      <c r="HF66" t="s">
        <v>555</v>
      </c>
      <c r="HG66">
        <v>0</v>
      </c>
      <c r="HH66">
        <v>0</v>
      </c>
      <c r="HI66">
        <v>0</v>
      </c>
      <c r="HJ66" t="s">
        <v>264</v>
      </c>
      <c r="HK66">
        <v>70.900000000000006</v>
      </c>
      <c r="HL66">
        <v>154.4</v>
      </c>
      <c r="HM66" t="s">
        <v>562</v>
      </c>
      <c r="HN66" t="s">
        <v>555</v>
      </c>
      <c r="HO66">
        <v>0</v>
      </c>
      <c r="HP66">
        <v>0</v>
      </c>
      <c r="HQ66">
        <v>0</v>
      </c>
      <c r="HR66" t="s">
        <v>264</v>
      </c>
      <c r="HS66">
        <v>69.3</v>
      </c>
      <c r="HT66">
        <v>87.9</v>
      </c>
      <c r="HU66" t="s">
        <v>563</v>
      </c>
      <c r="HV66" t="s">
        <v>555</v>
      </c>
      <c r="HW66">
        <v>0</v>
      </c>
      <c r="HX66">
        <v>0</v>
      </c>
      <c r="HY66">
        <v>0</v>
      </c>
      <c r="HZ66" t="s">
        <v>264</v>
      </c>
      <c r="IA66">
        <v>74.8</v>
      </c>
      <c r="IB66">
        <v>181.9</v>
      </c>
      <c r="IC66" t="s">
        <v>564</v>
      </c>
      <c r="ID66" t="s">
        <v>555</v>
      </c>
      <c r="IE66">
        <v>0</v>
      </c>
      <c r="IF66">
        <v>0</v>
      </c>
      <c r="IG66">
        <v>0</v>
      </c>
      <c r="IH66" t="s">
        <v>264</v>
      </c>
      <c r="II66">
        <v>68.400000000000006</v>
      </c>
      <c r="IJ66">
        <v>130.9</v>
      </c>
      <c r="IK66" t="s">
        <v>565</v>
      </c>
      <c r="IL66" t="s">
        <v>555</v>
      </c>
      <c r="IM66">
        <v>0</v>
      </c>
      <c r="IN66">
        <v>0</v>
      </c>
      <c r="IO66">
        <v>0</v>
      </c>
      <c r="IP66" t="s">
        <v>264</v>
      </c>
      <c r="IS66" t="s">
        <v>566</v>
      </c>
      <c r="IT66" t="s">
        <v>555</v>
      </c>
      <c r="IU66">
        <v>0</v>
      </c>
      <c r="IV66">
        <v>0</v>
      </c>
      <c r="IW66">
        <v>0</v>
      </c>
      <c r="IX66" t="s">
        <v>264</v>
      </c>
      <c r="JA66" t="s">
        <v>567</v>
      </c>
      <c r="JB66" t="s">
        <v>555</v>
      </c>
      <c r="JC66">
        <v>0</v>
      </c>
      <c r="JD66">
        <v>0</v>
      </c>
      <c r="JE66">
        <v>0</v>
      </c>
      <c r="JF66" t="s">
        <v>264</v>
      </c>
      <c r="JI66" t="s">
        <v>568</v>
      </c>
      <c r="JJ66" t="s">
        <v>555</v>
      </c>
      <c r="JK66">
        <v>0</v>
      </c>
      <c r="JL66">
        <v>0</v>
      </c>
      <c r="JM66">
        <v>0</v>
      </c>
      <c r="JN66" t="s">
        <v>264</v>
      </c>
      <c r="JQ66" t="s">
        <v>569</v>
      </c>
      <c r="JR66" t="s">
        <v>555</v>
      </c>
      <c r="JS66">
        <v>0</v>
      </c>
      <c r="JT66">
        <v>0</v>
      </c>
      <c r="JU66">
        <v>0</v>
      </c>
      <c r="JV66" t="s">
        <v>264</v>
      </c>
      <c r="JY66" t="s">
        <v>570</v>
      </c>
      <c r="JZ66" t="s">
        <v>555</v>
      </c>
      <c r="KA66">
        <v>0</v>
      </c>
      <c r="KB66">
        <v>0</v>
      </c>
      <c r="KC66">
        <v>0</v>
      </c>
      <c r="KD66" t="s">
        <v>264</v>
      </c>
      <c r="KG66" t="s">
        <v>571</v>
      </c>
      <c r="KH66" t="s">
        <v>555</v>
      </c>
      <c r="KI66">
        <v>0</v>
      </c>
      <c r="KJ66">
        <v>0</v>
      </c>
      <c r="KK66">
        <v>0</v>
      </c>
      <c r="KL66" t="s">
        <v>264</v>
      </c>
      <c r="KO66" t="s">
        <v>572</v>
      </c>
      <c r="KP66" t="s">
        <v>555</v>
      </c>
      <c r="KQ66">
        <v>0</v>
      </c>
      <c r="KR66">
        <v>0</v>
      </c>
      <c r="KS66">
        <v>0</v>
      </c>
      <c r="KT66" t="s">
        <v>264</v>
      </c>
      <c r="KW66" t="s">
        <v>573</v>
      </c>
      <c r="KX66" t="s">
        <v>555</v>
      </c>
      <c r="KY66">
        <v>0</v>
      </c>
      <c r="KZ66">
        <v>0</v>
      </c>
      <c r="LA66">
        <v>0</v>
      </c>
      <c r="LB66" t="s">
        <v>264</v>
      </c>
      <c r="LE66" t="s">
        <v>574</v>
      </c>
      <c r="LF66" t="s">
        <v>555</v>
      </c>
      <c r="LG66">
        <v>0</v>
      </c>
      <c r="LH66">
        <v>0</v>
      </c>
      <c r="LI66">
        <v>0</v>
      </c>
      <c r="LJ66" t="s">
        <v>264</v>
      </c>
      <c r="LM66" t="s">
        <v>575</v>
      </c>
      <c r="LN66" t="s">
        <v>555</v>
      </c>
      <c r="LO66">
        <v>0</v>
      </c>
      <c r="LP66">
        <v>0</v>
      </c>
      <c r="LQ66">
        <v>0</v>
      </c>
      <c r="LR66" t="s">
        <v>264</v>
      </c>
      <c r="LU66" t="s">
        <v>576</v>
      </c>
      <c r="LV66" t="s">
        <v>555</v>
      </c>
      <c r="LW66">
        <v>0</v>
      </c>
      <c r="LX66">
        <v>0</v>
      </c>
      <c r="LY66">
        <v>0</v>
      </c>
      <c r="LZ66" t="s">
        <v>264</v>
      </c>
      <c r="MC66" t="s">
        <v>577</v>
      </c>
      <c r="MD66" t="s">
        <v>555</v>
      </c>
      <c r="ME66">
        <v>0</v>
      </c>
      <c r="MF66">
        <v>0</v>
      </c>
      <c r="MG66">
        <v>0</v>
      </c>
      <c r="MH66" t="s">
        <v>264</v>
      </c>
      <c r="MK66" t="s">
        <v>578</v>
      </c>
      <c r="ML66" t="s">
        <v>555</v>
      </c>
      <c r="MM66">
        <v>0</v>
      </c>
      <c r="MN66">
        <v>0</v>
      </c>
      <c r="MO66">
        <v>0</v>
      </c>
      <c r="MP66" t="s">
        <v>264</v>
      </c>
      <c r="MS66" t="s">
        <v>579</v>
      </c>
      <c r="MT66" t="s">
        <v>555</v>
      </c>
      <c r="MU66">
        <v>0</v>
      </c>
      <c r="MV66">
        <v>0</v>
      </c>
      <c r="MW66">
        <v>0</v>
      </c>
      <c r="MX66" t="s">
        <v>264</v>
      </c>
      <c r="NA66" t="s">
        <v>580</v>
      </c>
      <c r="NB66" t="s">
        <v>555</v>
      </c>
      <c r="NC66">
        <v>0</v>
      </c>
      <c r="ND66">
        <v>0</v>
      </c>
      <c r="NE66">
        <v>0</v>
      </c>
      <c r="NF66" t="s">
        <v>264</v>
      </c>
      <c r="NI66">
        <v>40</v>
      </c>
      <c r="NJ66">
        <v>-8.3000000000000007</v>
      </c>
      <c r="NP66" t="s">
        <v>581</v>
      </c>
    </row>
    <row r="67" spans="1:380" customFormat="1" x14ac:dyDescent="0.2">
      <c r="A67" t="s">
        <v>517</v>
      </c>
      <c r="B67">
        <v>1</v>
      </c>
      <c r="C67" t="s">
        <v>935</v>
      </c>
      <c r="D67">
        <v>647064494</v>
      </c>
      <c r="E67">
        <v>12602</v>
      </c>
      <c r="F67" t="s">
        <v>805</v>
      </c>
      <c r="G67">
        <v>709953</v>
      </c>
      <c r="H67">
        <v>700291</v>
      </c>
      <c r="I67" t="s">
        <v>543</v>
      </c>
      <c r="J67" t="s">
        <v>936</v>
      </c>
      <c r="K67" t="s">
        <v>545</v>
      </c>
      <c r="L67" t="s">
        <v>442</v>
      </c>
      <c r="M67" t="s">
        <v>546</v>
      </c>
      <c r="N67" t="s">
        <v>468</v>
      </c>
      <c r="O67" t="s">
        <v>547</v>
      </c>
      <c r="P67" t="s">
        <v>264</v>
      </c>
      <c r="Q67">
        <v>25.2</v>
      </c>
      <c r="R67">
        <v>246</v>
      </c>
      <c r="S67" t="s">
        <v>264</v>
      </c>
      <c r="T67">
        <v>-9999</v>
      </c>
      <c r="U67">
        <v>630</v>
      </c>
      <c r="V67">
        <v>647</v>
      </c>
      <c r="W67">
        <v>615</v>
      </c>
      <c r="X67" t="s">
        <v>270</v>
      </c>
      <c r="Y67">
        <v>0</v>
      </c>
      <c r="Z67">
        <v>55</v>
      </c>
      <c r="AA67" t="s">
        <v>469</v>
      </c>
      <c r="AB67" t="s">
        <v>548</v>
      </c>
      <c r="AC67">
        <v>1</v>
      </c>
      <c r="AD67" t="s">
        <v>584</v>
      </c>
      <c r="AE67">
        <v>24.6</v>
      </c>
      <c r="AF67">
        <v>1393</v>
      </c>
      <c r="AG67" t="s">
        <v>264</v>
      </c>
      <c r="AH67">
        <v>-9999</v>
      </c>
      <c r="AI67">
        <v>466</v>
      </c>
      <c r="AJ67">
        <v>570</v>
      </c>
      <c r="AK67">
        <v>464</v>
      </c>
      <c r="AL67" t="s">
        <v>270</v>
      </c>
      <c r="AM67">
        <v>0</v>
      </c>
      <c r="AN67">
        <v>55</v>
      </c>
      <c r="AO67" t="s">
        <v>470</v>
      </c>
      <c r="AP67" t="s">
        <v>548</v>
      </c>
      <c r="AQ67">
        <v>2</v>
      </c>
      <c r="AR67" t="s">
        <v>584</v>
      </c>
      <c r="AS67">
        <v>35.700000000000003</v>
      </c>
      <c r="AT67">
        <v>372</v>
      </c>
      <c r="AU67" t="s">
        <v>264</v>
      </c>
      <c r="AV67">
        <v>-9999</v>
      </c>
      <c r="AW67">
        <v>451</v>
      </c>
      <c r="AX67">
        <v>476</v>
      </c>
      <c r="AY67">
        <v>449</v>
      </c>
      <c r="AZ67" t="s">
        <v>270</v>
      </c>
      <c r="BA67">
        <v>0</v>
      </c>
      <c r="BB67">
        <v>55</v>
      </c>
      <c r="BC67" t="s">
        <v>550</v>
      </c>
      <c r="BD67" t="s">
        <v>548</v>
      </c>
      <c r="BE67">
        <v>3</v>
      </c>
      <c r="BF67" t="s">
        <v>584</v>
      </c>
      <c r="BG67">
        <v>22.1</v>
      </c>
      <c r="BH67">
        <v>711</v>
      </c>
      <c r="BI67" t="s">
        <v>264</v>
      </c>
      <c r="BJ67">
        <v>-9999</v>
      </c>
      <c r="BK67">
        <v>165</v>
      </c>
      <c r="BL67">
        <v>209</v>
      </c>
      <c r="BM67">
        <v>163</v>
      </c>
      <c r="BN67" t="s">
        <v>270</v>
      </c>
      <c r="BO67">
        <v>0</v>
      </c>
      <c r="BP67">
        <v>55</v>
      </c>
      <c r="BQ67" t="s">
        <v>504</v>
      </c>
      <c r="BR67" t="s">
        <v>548</v>
      </c>
      <c r="BS67">
        <v>4</v>
      </c>
      <c r="BT67" t="s">
        <v>584</v>
      </c>
      <c r="BU67">
        <v>29</v>
      </c>
      <c r="BV67">
        <v>285</v>
      </c>
      <c r="BW67" t="s">
        <v>264</v>
      </c>
      <c r="BX67">
        <v>-9999</v>
      </c>
      <c r="BY67">
        <v>251</v>
      </c>
      <c r="BZ67">
        <v>292</v>
      </c>
      <c r="CA67">
        <v>249</v>
      </c>
      <c r="CB67" t="s">
        <v>270</v>
      </c>
      <c r="CC67">
        <v>0</v>
      </c>
      <c r="CD67">
        <v>55</v>
      </c>
      <c r="CE67" t="s">
        <v>471</v>
      </c>
      <c r="CF67" t="s">
        <v>548</v>
      </c>
      <c r="CG67">
        <v>5</v>
      </c>
      <c r="CH67" t="s">
        <v>584</v>
      </c>
      <c r="CI67">
        <v>32.9</v>
      </c>
      <c r="CJ67">
        <v>252</v>
      </c>
      <c r="CK67" t="s">
        <v>264</v>
      </c>
      <c r="CL67">
        <v>-9999</v>
      </c>
      <c r="CM67">
        <v>512</v>
      </c>
      <c r="CN67">
        <v>595</v>
      </c>
      <c r="CO67">
        <v>509</v>
      </c>
      <c r="CP67" t="s">
        <v>270</v>
      </c>
      <c r="CQ67">
        <v>0</v>
      </c>
      <c r="CR67">
        <v>55</v>
      </c>
      <c r="CS67" t="s">
        <v>472</v>
      </c>
      <c r="CT67" t="s">
        <v>548</v>
      </c>
      <c r="CU67">
        <v>6</v>
      </c>
      <c r="CV67" t="s">
        <v>584</v>
      </c>
      <c r="CW67">
        <v>34.200000000000003</v>
      </c>
      <c r="CX67">
        <v>196</v>
      </c>
      <c r="CY67" t="s">
        <v>264</v>
      </c>
      <c r="CZ67">
        <v>-9999</v>
      </c>
      <c r="DA67">
        <v>755</v>
      </c>
      <c r="DB67">
        <v>856</v>
      </c>
      <c r="DC67">
        <v>743</v>
      </c>
      <c r="DD67" t="s">
        <v>270</v>
      </c>
      <c r="DE67">
        <v>0</v>
      </c>
      <c r="DF67">
        <v>55</v>
      </c>
      <c r="DG67" t="s">
        <v>473</v>
      </c>
      <c r="DH67" t="s">
        <v>548</v>
      </c>
      <c r="DI67">
        <v>7</v>
      </c>
      <c r="DJ67" t="s">
        <v>584</v>
      </c>
      <c r="DK67">
        <v>23.9</v>
      </c>
      <c r="DL67">
        <v>215</v>
      </c>
      <c r="DM67" t="s">
        <v>264</v>
      </c>
      <c r="DN67">
        <v>-9999</v>
      </c>
      <c r="DO67">
        <v>591</v>
      </c>
      <c r="DP67">
        <v>681</v>
      </c>
      <c r="DQ67">
        <v>586</v>
      </c>
      <c r="DR67" t="s">
        <v>270</v>
      </c>
      <c r="DS67">
        <v>0</v>
      </c>
      <c r="DT67">
        <v>55</v>
      </c>
      <c r="DU67" t="s">
        <v>474</v>
      </c>
      <c r="DV67" t="s">
        <v>548</v>
      </c>
      <c r="DW67">
        <v>8</v>
      </c>
      <c r="DX67" t="s">
        <v>584</v>
      </c>
      <c r="DY67">
        <v>20.9</v>
      </c>
      <c r="DZ67">
        <v>447</v>
      </c>
      <c r="EA67" t="s">
        <v>264</v>
      </c>
      <c r="EB67">
        <v>-9999</v>
      </c>
      <c r="EC67">
        <v>111</v>
      </c>
      <c r="ED67">
        <v>134</v>
      </c>
      <c r="EE67">
        <v>110</v>
      </c>
      <c r="EF67" t="s">
        <v>270</v>
      </c>
      <c r="EG67">
        <v>0</v>
      </c>
      <c r="EH67">
        <v>55</v>
      </c>
      <c r="EI67" t="s">
        <v>475</v>
      </c>
      <c r="EJ67" t="s">
        <v>548</v>
      </c>
      <c r="EK67">
        <v>9</v>
      </c>
      <c r="EL67" t="s">
        <v>584</v>
      </c>
      <c r="EM67">
        <v>24.5</v>
      </c>
      <c r="EN67">
        <v>135</v>
      </c>
      <c r="EO67" t="s">
        <v>264</v>
      </c>
      <c r="EP67">
        <v>-9999</v>
      </c>
      <c r="EQ67">
        <v>343</v>
      </c>
      <c r="ER67">
        <v>333</v>
      </c>
      <c r="ES67">
        <v>313</v>
      </c>
      <c r="ET67" t="s">
        <v>270</v>
      </c>
      <c r="EU67">
        <v>0</v>
      </c>
      <c r="EV67">
        <v>55</v>
      </c>
      <c r="EW67" t="s">
        <v>551</v>
      </c>
      <c r="EX67" t="s">
        <v>552</v>
      </c>
      <c r="EY67">
        <v>139</v>
      </c>
      <c r="EZ67">
        <v>140</v>
      </c>
      <c r="FA67">
        <v>139</v>
      </c>
      <c r="FB67" t="s">
        <v>270</v>
      </c>
      <c r="FC67" t="s">
        <v>553</v>
      </c>
      <c r="FD67" t="s">
        <v>552</v>
      </c>
      <c r="FE67">
        <v>358</v>
      </c>
      <c r="FF67">
        <v>356</v>
      </c>
      <c r="FG67">
        <v>354</v>
      </c>
      <c r="FH67" t="s">
        <v>270</v>
      </c>
      <c r="FI67" t="s">
        <v>554</v>
      </c>
      <c r="FJ67" t="s">
        <v>555</v>
      </c>
      <c r="FK67">
        <v>0</v>
      </c>
      <c r="FL67">
        <v>0</v>
      </c>
      <c r="FM67">
        <v>0</v>
      </c>
      <c r="FN67" t="s">
        <v>264</v>
      </c>
      <c r="FO67">
        <v>76.2</v>
      </c>
      <c r="FP67">
        <v>288.8</v>
      </c>
      <c r="FQ67" t="s">
        <v>556</v>
      </c>
      <c r="FR67" t="s">
        <v>555</v>
      </c>
      <c r="FS67">
        <v>0</v>
      </c>
      <c r="FT67">
        <v>0</v>
      </c>
      <c r="FU67">
        <v>0</v>
      </c>
      <c r="FV67" t="s">
        <v>264</v>
      </c>
      <c r="FW67">
        <v>73.7</v>
      </c>
      <c r="FX67">
        <v>117</v>
      </c>
      <c r="FY67" t="s">
        <v>557</v>
      </c>
      <c r="FZ67" t="s">
        <v>555</v>
      </c>
      <c r="GA67">
        <v>0</v>
      </c>
      <c r="GB67">
        <v>0</v>
      </c>
      <c r="GC67">
        <v>0</v>
      </c>
      <c r="GD67" t="s">
        <v>264</v>
      </c>
      <c r="GE67">
        <v>71.400000000000006</v>
      </c>
      <c r="GF67">
        <v>242.7</v>
      </c>
      <c r="GG67" t="s">
        <v>558</v>
      </c>
      <c r="GH67" t="s">
        <v>555</v>
      </c>
      <c r="GI67">
        <v>0</v>
      </c>
      <c r="GJ67">
        <v>0</v>
      </c>
      <c r="GK67">
        <v>0</v>
      </c>
      <c r="GL67" t="s">
        <v>264</v>
      </c>
      <c r="GM67">
        <v>68.7</v>
      </c>
      <c r="GN67">
        <v>56.2</v>
      </c>
      <c r="GO67" t="s">
        <v>559</v>
      </c>
      <c r="GP67" t="s">
        <v>555</v>
      </c>
      <c r="GQ67">
        <v>0</v>
      </c>
      <c r="GR67">
        <v>0</v>
      </c>
      <c r="GS67">
        <v>0</v>
      </c>
      <c r="GT67" t="s">
        <v>264</v>
      </c>
      <c r="GU67">
        <v>76.099999999999994</v>
      </c>
      <c r="GV67">
        <v>66.8</v>
      </c>
      <c r="GW67" t="s">
        <v>560</v>
      </c>
      <c r="GX67" t="s">
        <v>555</v>
      </c>
      <c r="GY67">
        <v>0</v>
      </c>
      <c r="GZ67">
        <v>0</v>
      </c>
      <c r="HA67">
        <v>0</v>
      </c>
      <c r="HB67" t="s">
        <v>264</v>
      </c>
      <c r="HC67">
        <v>70.400000000000006</v>
      </c>
      <c r="HD67">
        <v>93.6</v>
      </c>
      <c r="HE67" t="s">
        <v>561</v>
      </c>
      <c r="HF67" t="s">
        <v>555</v>
      </c>
      <c r="HG67">
        <v>0</v>
      </c>
      <c r="HH67">
        <v>0</v>
      </c>
      <c r="HI67">
        <v>0</v>
      </c>
      <c r="HJ67" t="s">
        <v>264</v>
      </c>
      <c r="HK67">
        <v>71</v>
      </c>
      <c r="HL67">
        <v>149.69999999999999</v>
      </c>
      <c r="HM67" t="s">
        <v>562</v>
      </c>
      <c r="HN67" t="s">
        <v>555</v>
      </c>
      <c r="HO67">
        <v>0</v>
      </c>
      <c r="HP67">
        <v>0</v>
      </c>
      <c r="HQ67">
        <v>0</v>
      </c>
      <c r="HR67" t="s">
        <v>264</v>
      </c>
      <c r="HS67">
        <v>69.5</v>
      </c>
      <c r="HT67">
        <v>88.4</v>
      </c>
      <c r="HU67" t="s">
        <v>563</v>
      </c>
      <c r="HV67" t="s">
        <v>555</v>
      </c>
      <c r="HW67">
        <v>0</v>
      </c>
      <c r="HX67">
        <v>0</v>
      </c>
      <c r="HY67">
        <v>0</v>
      </c>
      <c r="HZ67" t="s">
        <v>264</v>
      </c>
      <c r="IA67">
        <v>74.900000000000006</v>
      </c>
      <c r="IB67">
        <v>192</v>
      </c>
      <c r="IC67" t="s">
        <v>564</v>
      </c>
      <c r="ID67" t="s">
        <v>555</v>
      </c>
      <c r="IE67">
        <v>0</v>
      </c>
      <c r="IF67">
        <v>0</v>
      </c>
      <c r="IG67">
        <v>0</v>
      </c>
      <c r="IH67" t="s">
        <v>264</v>
      </c>
      <c r="II67">
        <v>68.5</v>
      </c>
      <c r="IJ67">
        <v>127.2</v>
      </c>
      <c r="IK67" t="s">
        <v>565</v>
      </c>
      <c r="IL67" t="s">
        <v>555</v>
      </c>
      <c r="IM67">
        <v>0</v>
      </c>
      <c r="IN67">
        <v>0</v>
      </c>
      <c r="IO67">
        <v>0</v>
      </c>
      <c r="IP67" t="s">
        <v>264</v>
      </c>
      <c r="IS67" t="s">
        <v>566</v>
      </c>
      <c r="IT67" t="s">
        <v>555</v>
      </c>
      <c r="IU67">
        <v>0</v>
      </c>
      <c r="IV67">
        <v>0</v>
      </c>
      <c r="IW67">
        <v>0</v>
      </c>
      <c r="IX67" t="s">
        <v>264</v>
      </c>
      <c r="JA67" t="s">
        <v>567</v>
      </c>
      <c r="JB67" t="s">
        <v>555</v>
      </c>
      <c r="JC67">
        <v>0</v>
      </c>
      <c r="JD67">
        <v>0</v>
      </c>
      <c r="JE67">
        <v>0</v>
      </c>
      <c r="JF67" t="s">
        <v>264</v>
      </c>
      <c r="JI67" t="s">
        <v>568</v>
      </c>
      <c r="JJ67" t="s">
        <v>555</v>
      </c>
      <c r="JK67">
        <v>0</v>
      </c>
      <c r="JL67">
        <v>0</v>
      </c>
      <c r="JM67">
        <v>0</v>
      </c>
      <c r="JN67" t="s">
        <v>264</v>
      </c>
      <c r="JQ67" t="s">
        <v>569</v>
      </c>
      <c r="JR67" t="s">
        <v>555</v>
      </c>
      <c r="JS67">
        <v>0</v>
      </c>
      <c r="JT67">
        <v>0</v>
      </c>
      <c r="JU67">
        <v>0</v>
      </c>
      <c r="JV67" t="s">
        <v>264</v>
      </c>
      <c r="JY67" t="s">
        <v>570</v>
      </c>
      <c r="JZ67" t="s">
        <v>555</v>
      </c>
      <c r="KA67">
        <v>0</v>
      </c>
      <c r="KB67">
        <v>0</v>
      </c>
      <c r="KC67">
        <v>0</v>
      </c>
      <c r="KD67" t="s">
        <v>264</v>
      </c>
      <c r="KG67" t="s">
        <v>571</v>
      </c>
      <c r="KH67" t="s">
        <v>555</v>
      </c>
      <c r="KI67">
        <v>0</v>
      </c>
      <c r="KJ67">
        <v>0</v>
      </c>
      <c r="KK67">
        <v>0</v>
      </c>
      <c r="KL67" t="s">
        <v>264</v>
      </c>
      <c r="KO67" t="s">
        <v>572</v>
      </c>
      <c r="KP67" t="s">
        <v>555</v>
      </c>
      <c r="KQ67">
        <v>0</v>
      </c>
      <c r="KR67">
        <v>0</v>
      </c>
      <c r="KS67">
        <v>0</v>
      </c>
      <c r="KT67" t="s">
        <v>264</v>
      </c>
      <c r="KW67" t="s">
        <v>573</v>
      </c>
      <c r="KX67" t="s">
        <v>555</v>
      </c>
      <c r="KY67">
        <v>0</v>
      </c>
      <c r="KZ67">
        <v>0</v>
      </c>
      <c r="LA67">
        <v>0</v>
      </c>
      <c r="LB67" t="s">
        <v>264</v>
      </c>
      <c r="LE67" t="s">
        <v>574</v>
      </c>
      <c r="LF67" t="s">
        <v>555</v>
      </c>
      <c r="LG67">
        <v>0</v>
      </c>
      <c r="LH67">
        <v>0</v>
      </c>
      <c r="LI67">
        <v>0</v>
      </c>
      <c r="LJ67" t="s">
        <v>264</v>
      </c>
      <c r="LM67" t="s">
        <v>575</v>
      </c>
      <c r="LN67" t="s">
        <v>555</v>
      </c>
      <c r="LO67">
        <v>0</v>
      </c>
      <c r="LP67">
        <v>0</v>
      </c>
      <c r="LQ67">
        <v>0</v>
      </c>
      <c r="LR67" t="s">
        <v>264</v>
      </c>
      <c r="LU67" t="s">
        <v>576</v>
      </c>
      <c r="LV67" t="s">
        <v>555</v>
      </c>
      <c r="LW67">
        <v>0</v>
      </c>
      <c r="LX67">
        <v>0</v>
      </c>
      <c r="LY67">
        <v>0</v>
      </c>
      <c r="LZ67" t="s">
        <v>264</v>
      </c>
      <c r="MC67" t="s">
        <v>577</v>
      </c>
      <c r="MD67" t="s">
        <v>555</v>
      </c>
      <c r="ME67">
        <v>0</v>
      </c>
      <c r="MF67">
        <v>0</v>
      </c>
      <c r="MG67">
        <v>0</v>
      </c>
      <c r="MH67" t="s">
        <v>264</v>
      </c>
      <c r="MK67" t="s">
        <v>578</v>
      </c>
      <c r="ML67" t="s">
        <v>555</v>
      </c>
      <c r="MM67">
        <v>0</v>
      </c>
      <c r="MN67">
        <v>0</v>
      </c>
      <c r="MO67">
        <v>0</v>
      </c>
      <c r="MP67" t="s">
        <v>264</v>
      </c>
      <c r="MS67" t="s">
        <v>579</v>
      </c>
      <c r="MT67" t="s">
        <v>555</v>
      </c>
      <c r="MU67">
        <v>0</v>
      </c>
      <c r="MV67">
        <v>0</v>
      </c>
      <c r="MW67">
        <v>0</v>
      </c>
      <c r="MX67" t="s">
        <v>264</v>
      </c>
      <c r="NA67" t="s">
        <v>580</v>
      </c>
      <c r="NB67" t="s">
        <v>555</v>
      </c>
      <c r="NC67">
        <v>0</v>
      </c>
      <c r="ND67">
        <v>0</v>
      </c>
      <c r="NE67">
        <v>0</v>
      </c>
      <c r="NF67" t="s">
        <v>264</v>
      </c>
      <c r="NI67">
        <v>40.1</v>
      </c>
      <c r="NJ67">
        <v>-7.7</v>
      </c>
      <c r="NP67" t="s">
        <v>581</v>
      </c>
    </row>
    <row r="68" spans="1:380" customFormat="1" x14ac:dyDescent="0.2">
      <c r="A68" t="s">
        <v>517</v>
      </c>
      <c r="B68">
        <v>1</v>
      </c>
      <c r="C68" t="s">
        <v>937</v>
      </c>
      <c r="D68">
        <v>646968458</v>
      </c>
      <c r="E68">
        <v>12602</v>
      </c>
      <c r="F68" s="409" t="s">
        <v>938</v>
      </c>
      <c r="G68">
        <v>709953</v>
      </c>
      <c r="H68">
        <v>210081694</v>
      </c>
      <c r="I68" t="s">
        <v>543</v>
      </c>
      <c r="J68" t="s">
        <v>939</v>
      </c>
      <c r="K68" t="s">
        <v>545</v>
      </c>
      <c r="L68" t="s">
        <v>442</v>
      </c>
      <c r="M68" t="s">
        <v>546</v>
      </c>
      <c r="N68" t="s">
        <v>468</v>
      </c>
      <c r="O68" t="s">
        <v>547</v>
      </c>
      <c r="P68" t="s">
        <v>264</v>
      </c>
      <c r="Q68">
        <v>25.1</v>
      </c>
      <c r="R68">
        <v>284</v>
      </c>
      <c r="S68" t="s">
        <v>264</v>
      </c>
      <c r="T68">
        <v>-9999</v>
      </c>
      <c r="U68">
        <v>539</v>
      </c>
      <c r="V68">
        <v>559</v>
      </c>
      <c r="W68">
        <v>532</v>
      </c>
      <c r="X68" t="s">
        <v>270</v>
      </c>
      <c r="Y68">
        <v>0</v>
      </c>
      <c r="Z68">
        <v>55</v>
      </c>
      <c r="AA68" t="s">
        <v>469</v>
      </c>
      <c r="AB68" t="s">
        <v>548</v>
      </c>
      <c r="AC68">
        <v>1</v>
      </c>
      <c r="AD68" t="s">
        <v>584</v>
      </c>
      <c r="AE68">
        <v>25.2</v>
      </c>
      <c r="AF68">
        <v>1388</v>
      </c>
      <c r="AG68" t="s">
        <v>264</v>
      </c>
      <c r="AH68">
        <v>-9999</v>
      </c>
      <c r="AI68">
        <v>463</v>
      </c>
      <c r="AJ68">
        <v>568</v>
      </c>
      <c r="AK68">
        <v>460</v>
      </c>
      <c r="AL68" t="s">
        <v>270</v>
      </c>
      <c r="AM68">
        <v>0</v>
      </c>
      <c r="AN68">
        <v>55</v>
      </c>
      <c r="AO68" t="s">
        <v>470</v>
      </c>
      <c r="AP68" t="s">
        <v>548</v>
      </c>
      <c r="AQ68">
        <v>2</v>
      </c>
      <c r="AR68" t="s">
        <v>584</v>
      </c>
      <c r="AS68">
        <v>36.700000000000003</v>
      </c>
      <c r="AT68">
        <v>387</v>
      </c>
      <c r="AU68" t="s">
        <v>264</v>
      </c>
      <c r="AV68">
        <v>-9999</v>
      </c>
      <c r="AW68">
        <v>318</v>
      </c>
      <c r="AX68">
        <v>333</v>
      </c>
      <c r="AY68">
        <v>316</v>
      </c>
      <c r="AZ68" t="s">
        <v>270</v>
      </c>
      <c r="BA68">
        <v>0</v>
      </c>
      <c r="BB68">
        <v>55</v>
      </c>
      <c r="BC68" t="s">
        <v>550</v>
      </c>
      <c r="BD68" t="s">
        <v>548</v>
      </c>
      <c r="BE68">
        <v>3</v>
      </c>
      <c r="BF68" t="s">
        <v>584</v>
      </c>
      <c r="BG68">
        <v>20.6</v>
      </c>
      <c r="BH68">
        <v>910</v>
      </c>
      <c r="BI68" t="s">
        <v>264</v>
      </c>
      <c r="BJ68">
        <v>-9999</v>
      </c>
      <c r="BK68">
        <v>105</v>
      </c>
      <c r="BL68">
        <v>137</v>
      </c>
      <c r="BM68">
        <v>107</v>
      </c>
      <c r="BN68" t="s">
        <v>270</v>
      </c>
      <c r="BO68">
        <v>0</v>
      </c>
      <c r="BP68">
        <v>55</v>
      </c>
      <c r="BQ68" t="s">
        <v>504</v>
      </c>
      <c r="BR68" t="s">
        <v>548</v>
      </c>
      <c r="BS68">
        <v>4</v>
      </c>
      <c r="BT68" t="s">
        <v>584</v>
      </c>
      <c r="BU68">
        <v>29.1</v>
      </c>
      <c r="BV68">
        <v>303</v>
      </c>
      <c r="BW68" t="s">
        <v>264</v>
      </c>
      <c r="BX68">
        <v>-9999</v>
      </c>
      <c r="BY68">
        <v>192</v>
      </c>
      <c r="BZ68">
        <v>222</v>
      </c>
      <c r="CA68">
        <v>190</v>
      </c>
      <c r="CB68" t="s">
        <v>270</v>
      </c>
      <c r="CC68">
        <v>0</v>
      </c>
      <c r="CD68">
        <v>55</v>
      </c>
      <c r="CE68" t="s">
        <v>471</v>
      </c>
      <c r="CF68" t="s">
        <v>548</v>
      </c>
      <c r="CG68">
        <v>5</v>
      </c>
      <c r="CH68" t="s">
        <v>584</v>
      </c>
      <c r="CI68">
        <v>34.1</v>
      </c>
      <c r="CJ68">
        <v>239</v>
      </c>
      <c r="CK68" t="s">
        <v>264</v>
      </c>
      <c r="CL68">
        <v>-9999</v>
      </c>
      <c r="CM68">
        <v>474</v>
      </c>
      <c r="CN68">
        <v>552</v>
      </c>
      <c r="CO68">
        <v>475</v>
      </c>
      <c r="CP68" t="s">
        <v>270</v>
      </c>
      <c r="CQ68">
        <v>0</v>
      </c>
      <c r="CR68">
        <v>55</v>
      </c>
      <c r="CS68" t="s">
        <v>472</v>
      </c>
      <c r="CT68" t="s">
        <v>548</v>
      </c>
      <c r="CU68">
        <v>6</v>
      </c>
      <c r="CV68" t="s">
        <v>584</v>
      </c>
      <c r="CW68">
        <v>34</v>
      </c>
      <c r="CX68">
        <v>243</v>
      </c>
      <c r="CY68" t="s">
        <v>264</v>
      </c>
      <c r="CZ68">
        <v>-9999</v>
      </c>
      <c r="DA68">
        <v>791</v>
      </c>
      <c r="DB68">
        <v>898</v>
      </c>
      <c r="DC68">
        <v>779</v>
      </c>
      <c r="DD68" t="s">
        <v>270</v>
      </c>
      <c r="DE68">
        <v>0</v>
      </c>
      <c r="DF68">
        <v>55</v>
      </c>
      <c r="DG68" t="s">
        <v>473</v>
      </c>
      <c r="DH68" t="s">
        <v>548</v>
      </c>
      <c r="DI68">
        <v>7</v>
      </c>
      <c r="DJ68" t="s">
        <v>584</v>
      </c>
      <c r="DK68">
        <v>23.7</v>
      </c>
      <c r="DL68">
        <v>247</v>
      </c>
      <c r="DM68" t="s">
        <v>264</v>
      </c>
      <c r="DN68">
        <v>-9999</v>
      </c>
      <c r="DO68">
        <v>531</v>
      </c>
      <c r="DP68">
        <v>612</v>
      </c>
      <c r="DQ68">
        <v>527</v>
      </c>
      <c r="DR68" t="s">
        <v>270</v>
      </c>
      <c r="DS68">
        <v>0</v>
      </c>
      <c r="DT68">
        <v>55</v>
      </c>
      <c r="DU68" t="s">
        <v>474</v>
      </c>
      <c r="DV68" t="s">
        <v>548</v>
      </c>
      <c r="DW68">
        <v>8</v>
      </c>
      <c r="DX68" t="s">
        <v>584</v>
      </c>
      <c r="DY68">
        <v>20.7</v>
      </c>
      <c r="DZ68">
        <v>601</v>
      </c>
      <c r="EA68" t="s">
        <v>264</v>
      </c>
      <c r="EB68">
        <v>-9999</v>
      </c>
      <c r="EC68">
        <v>70</v>
      </c>
      <c r="ED68">
        <v>88</v>
      </c>
      <c r="EE68">
        <v>68</v>
      </c>
      <c r="EF68" t="s">
        <v>270</v>
      </c>
      <c r="EG68">
        <v>0</v>
      </c>
      <c r="EH68">
        <v>55</v>
      </c>
      <c r="EI68" t="s">
        <v>475</v>
      </c>
      <c r="EJ68" t="s">
        <v>548</v>
      </c>
      <c r="EK68">
        <v>9</v>
      </c>
      <c r="EL68" t="s">
        <v>584</v>
      </c>
      <c r="EM68">
        <v>24.8</v>
      </c>
      <c r="EN68">
        <v>106</v>
      </c>
      <c r="EO68" t="s">
        <v>264</v>
      </c>
      <c r="EP68">
        <v>-9999</v>
      </c>
      <c r="EQ68">
        <v>294</v>
      </c>
      <c r="ER68">
        <v>277</v>
      </c>
      <c r="ES68">
        <v>257</v>
      </c>
      <c r="ET68" t="s">
        <v>270</v>
      </c>
      <c r="EU68">
        <v>0</v>
      </c>
      <c r="EV68">
        <v>55</v>
      </c>
      <c r="EW68" t="s">
        <v>551</v>
      </c>
      <c r="EX68" t="s">
        <v>552</v>
      </c>
      <c r="EY68">
        <v>123</v>
      </c>
      <c r="EZ68">
        <v>125</v>
      </c>
      <c r="FA68">
        <v>125</v>
      </c>
      <c r="FB68" t="s">
        <v>270</v>
      </c>
      <c r="FC68" t="s">
        <v>553</v>
      </c>
      <c r="FD68" t="s">
        <v>552</v>
      </c>
      <c r="FE68">
        <v>278</v>
      </c>
      <c r="FF68">
        <v>277</v>
      </c>
      <c r="FG68">
        <v>275</v>
      </c>
      <c r="FH68" t="s">
        <v>270</v>
      </c>
      <c r="FI68" t="s">
        <v>554</v>
      </c>
      <c r="FJ68" t="s">
        <v>555</v>
      </c>
      <c r="FK68">
        <v>0</v>
      </c>
      <c r="FL68">
        <v>0</v>
      </c>
      <c r="FM68">
        <v>0</v>
      </c>
      <c r="FN68" t="s">
        <v>264</v>
      </c>
      <c r="FO68">
        <v>76.3</v>
      </c>
      <c r="FP68">
        <v>296.10000000000002</v>
      </c>
      <c r="FQ68" t="s">
        <v>556</v>
      </c>
      <c r="FR68" t="s">
        <v>555</v>
      </c>
      <c r="FS68">
        <v>0</v>
      </c>
      <c r="FT68">
        <v>0</v>
      </c>
      <c r="FU68">
        <v>0</v>
      </c>
      <c r="FV68" t="s">
        <v>264</v>
      </c>
      <c r="FW68">
        <v>73.7</v>
      </c>
      <c r="FX68">
        <v>89.2</v>
      </c>
      <c r="FY68" t="s">
        <v>557</v>
      </c>
      <c r="FZ68" t="s">
        <v>555</v>
      </c>
      <c r="GA68">
        <v>0</v>
      </c>
      <c r="GB68">
        <v>0</v>
      </c>
      <c r="GC68">
        <v>0</v>
      </c>
      <c r="GD68" t="s">
        <v>264</v>
      </c>
      <c r="GE68">
        <v>71.5</v>
      </c>
      <c r="GF68">
        <v>220.7</v>
      </c>
      <c r="GG68" t="s">
        <v>558</v>
      </c>
      <c r="GH68" t="s">
        <v>555</v>
      </c>
      <c r="GI68">
        <v>0</v>
      </c>
      <c r="GJ68">
        <v>0</v>
      </c>
      <c r="GK68">
        <v>0</v>
      </c>
      <c r="GL68" t="s">
        <v>264</v>
      </c>
      <c r="GM68">
        <v>68.7</v>
      </c>
      <c r="GN68">
        <v>49.2</v>
      </c>
      <c r="GO68" t="s">
        <v>559</v>
      </c>
      <c r="GP68" t="s">
        <v>555</v>
      </c>
      <c r="GQ68">
        <v>0</v>
      </c>
      <c r="GR68">
        <v>0</v>
      </c>
      <c r="GS68">
        <v>0</v>
      </c>
      <c r="GT68" t="s">
        <v>264</v>
      </c>
      <c r="GU68">
        <v>76.2</v>
      </c>
      <c r="GV68">
        <v>54.7</v>
      </c>
      <c r="GW68" t="s">
        <v>560</v>
      </c>
      <c r="GX68" t="s">
        <v>555</v>
      </c>
      <c r="GY68">
        <v>0</v>
      </c>
      <c r="GZ68">
        <v>0</v>
      </c>
      <c r="HA68">
        <v>0</v>
      </c>
      <c r="HB68" t="s">
        <v>264</v>
      </c>
      <c r="HC68">
        <v>70.400000000000006</v>
      </c>
      <c r="HD68">
        <v>82.5</v>
      </c>
      <c r="HE68" t="s">
        <v>561</v>
      </c>
      <c r="HF68" t="s">
        <v>555</v>
      </c>
      <c r="HG68">
        <v>0</v>
      </c>
      <c r="HH68">
        <v>0</v>
      </c>
      <c r="HI68">
        <v>0</v>
      </c>
      <c r="HJ68" t="s">
        <v>264</v>
      </c>
      <c r="HK68">
        <v>71.099999999999994</v>
      </c>
      <c r="HL68">
        <v>162</v>
      </c>
      <c r="HM68" t="s">
        <v>562</v>
      </c>
      <c r="HN68" t="s">
        <v>555</v>
      </c>
      <c r="HO68">
        <v>0</v>
      </c>
      <c r="HP68">
        <v>0</v>
      </c>
      <c r="HQ68">
        <v>0</v>
      </c>
      <c r="HR68" t="s">
        <v>264</v>
      </c>
      <c r="HS68">
        <v>69.5</v>
      </c>
      <c r="HT68">
        <v>84.6</v>
      </c>
      <c r="HU68" t="s">
        <v>563</v>
      </c>
      <c r="HV68" t="s">
        <v>555</v>
      </c>
      <c r="HW68">
        <v>0</v>
      </c>
      <c r="HX68">
        <v>0</v>
      </c>
      <c r="HY68">
        <v>0</v>
      </c>
      <c r="HZ68" t="s">
        <v>264</v>
      </c>
      <c r="IA68">
        <v>75</v>
      </c>
      <c r="IB68">
        <v>165.9</v>
      </c>
      <c r="IC68" t="s">
        <v>564</v>
      </c>
      <c r="ID68" t="s">
        <v>555</v>
      </c>
      <c r="IE68">
        <v>0</v>
      </c>
      <c r="IF68">
        <v>0</v>
      </c>
      <c r="IG68">
        <v>0</v>
      </c>
      <c r="IH68" t="s">
        <v>264</v>
      </c>
      <c r="II68">
        <v>68.5</v>
      </c>
      <c r="IJ68">
        <v>109.1</v>
      </c>
      <c r="IK68" t="s">
        <v>565</v>
      </c>
      <c r="IL68" t="s">
        <v>555</v>
      </c>
      <c r="IM68">
        <v>0</v>
      </c>
      <c r="IN68">
        <v>0</v>
      </c>
      <c r="IO68">
        <v>0</v>
      </c>
      <c r="IP68" t="s">
        <v>264</v>
      </c>
      <c r="IS68" t="s">
        <v>566</v>
      </c>
      <c r="IT68" t="s">
        <v>555</v>
      </c>
      <c r="IU68">
        <v>0</v>
      </c>
      <c r="IV68">
        <v>0</v>
      </c>
      <c r="IW68">
        <v>0</v>
      </c>
      <c r="IX68" t="s">
        <v>264</v>
      </c>
      <c r="JA68" t="s">
        <v>567</v>
      </c>
      <c r="JB68" t="s">
        <v>555</v>
      </c>
      <c r="JC68">
        <v>0</v>
      </c>
      <c r="JD68">
        <v>0</v>
      </c>
      <c r="JE68">
        <v>0</v>
      </c>
      <c r="JF68" t="s">
        <v>264</v>
      </c>
      <c r="JI68" t="s">
        <v>568</v>
      </c>
      <c r="JJ68" t="s">
        <v>555</v>
      </c>
      <c r="JK68">
        <v>0</v>
      </c>
      <c r="JL68">
        <v>0</v>
      </c>
      <c r="JM68">
        <v>0</v>
      </c>
      <c r="JN68" t="s">
        <v>264</v>
      </c>
      <c r="JQ68" t="s">
        <v>569</v>
      </c>
      <c r="JR68" t="s">
        <v>555</v>
      </c>
      <c r="JS68">
        <v>0</v>
      </c>
      <c r="JT68">
        <v>0</v>
      </c>
      <c r="JU68">
        <v>0</v>
      </c>
      <c r="JV68" t="s">
        <v>264</v>
      </c>
      <c r="JY68" t="s">
        <v>570</v>
      </c>
      <c r="JZ68" t="s">
        <v>555</v>
      </c>
      <c r="KA68">
        <v>0</v>
      </c>
      <c r="KB68">
        <v>0</v>
      </c>
      <c r="KC68">
        <v>0</v>
      </c>
      <c r="KD68" t="s">
        <v>264</v>
      </c>
      <c r="KG68" t="s">
        <v>571</v>
      </c>
      <c r="KH68" t="s">
        <v>555</v>
      </c>
      <c r="KI68">
        <v>0</v>
      </c>
      <c r="KJ68">
        <v>0</v>
      </c>
      <c r="KK68">
        <v>0</v>
      </c>
      <c r="KL68" t="s">
        <v>264</v>
      </c>
      <c r="KO68" t="s">
        <v>572</v>
      </c>
      <c r="KP68" t="s">
        <v>555</v>
      </c>
      <c r="KQ68">
        <v>0</v>
      </c>
      <c r="KR68">
        <v>0</v>
      </c>
      <c r="KS68">
        <v>0</v>
      </c>
      <c r="KT68" t="s">
        <v>264</v>
      </c>
      <c r="KW68" t="s">
        <v>573</v>
      </c>
      <c r="KX68" t="s">
        <v>555</v>
      </c>
      <c r="KY68">
        <v>0</v>
      </c>
      <c r="KZ68">
        <v>0</v>
      </c>
      <c r="LA68">
        <v>0</v>
      </c>
      <c r="LB68" t="s">
        <v>264</v>
      </c>
      <c r="LE68" t="s">
        <v>574</v>
      </c>
      <c r="LF68" t="s">
        <v>555</v>
      </c>
      <c r="LG68">
        <v>0</v>
      </c>
      <c r="LH68">
        <v>0</v>
      </c>
      <c r="LI68">
        <v>0</v>
      </c>
      <c r="LJ68" t="s">
        <v>264</v>
      </c>
      <c r="LM68" t="s">
        <v>575</v>
      </c>
      <c r="LN68" t="s">
        <v>555</v>
      </c>
      <c r="LO68">
        <v>0</v>
      </c>
      <c r="LP68">
        <v>0</v>
      </c>
      <c r="LQ68">
        <v>0</v>
      </c>
      <c r="LR68" t="s">
        <v>264</v>
      </c>
      <c r="LU68" t="s">
        <v>576</v>
      </c>
      <c r="LV68" t="s">
        <v>555</v>
      </c>
      <c r="LW68">
        <v>0</v>
      </c>
      <c r="LX68">
        <v>0</v>
      </c>
      <c r="LY68">
        <v>0</v>
      </c>
      <c r="LZ68" t="s">
        <v>264</v>
      </c>
      <c r="MC68" t="s">
        <v>577</v>
      </c>
      <c r="MD68" t="s">
        <v>555</v>
      </c>
      <c r="ME68">
        <v>0</v>
      </c>
      <c r="MF68">
        <v>0</v>
      </c>
      <c r="MG68">
        <v>0</v>
      </c>
      <c r="MH68" t="s">
        <v>264</v>
      </c>
      <c r="MK68" t="s">
        <v>578</v>
      </c>
      <c r="ML68" t="s">
        <v>555</v>
      </c>
      <c r="MM68">
        <v>0</v>
      </c>
      <c r="MN68">
        <v>0</v>
      </c>
      <c r="MO68">
        <v>0</v>
      </c>
      <c r="MP68" t="s">
        <v>264</v>
      </c>
      <c r="MS68" t="s">
        <v>579</v>
      </c>
      <c r="MT68" t="s">
        <v>555</v>
      </c>
      <c r="MU68">
        <v>0</v>
      </c>
      <c r="MV68">
        <v>0</v>
      </c>
      <c r="MW68">
        <v>0</v>
      </c>
      <c r="MX68" t="s">
        <v>264</v>
      </c>
      <c r="NA68" t="s">
        <v>580</v>
      </c>
      <c r="NB68" t="s">
        <v>555</v>
      </c>
      <c r="NC68">
        <v>0</v>
      </c>
      <c r="ND68">
        <v>0</v>
      </c>
      <c r="NE68">
        <v>0</v>
      </c>
      <c r="NF68" t="s">
        <v>264</v>
      </c>
      <c r="NI68">
        <v>40.1</v>
      </c>
      <c r="NJ68">
        <v>-9.1999999999999993</v>
      </c>
      <c r="NP68" t="s">
        <v>581</v>
      </c>
    </row>
    <row r="69" spans="1:380" customFormat="1" x14ac:dyDescent="0.2">
      <c r="A69" t="s">
        <v>517</v>
      </c>
      <c r="B69">
        <v>1</v>
      </c>
      <c r="C69" t="s">
        <v>940</v>
      </c>
      <c r="D69">
        <v>647064198</v>
      </c>
      <c r="E69">
        <v>12602</v>
      </c>
      <c r="F69" s="409" t="s">
        <v>938</v>
      </c>
      <c r="G69">
        <v>709954</v>
      </c>
      <c r="H69">
        <v>210077135</v>
      </c>
      <c r="I69" t="s">
        <v>543</v>
      </c>
      <c r="J69" t="s">
        <v>941</v>
      </c>
      <c r="K69" t="s">
        <v>545</v>
      </c>
      <c r="L69" t="s">
        <v>442</v>
      </c>
      <c r="M69" t="s">
        <v>546</v>
      </c>
      <c r="N69" t="s">
        <v>468</v>
      </c>
      <c r="O69" t="s">
        <v>547</v>
      </c>
      <c r="P69" t="s">
        <v>264</v>
      </c>
      <c r="Q69">
        <v>25.7</v>
      </c>
      <c r="R69">
        <v>214</v>
      </c>
      <c r="S69" t="s">
        <v>264</v>
      </c>
      <c r="T69">
        <v>-9999</v>
      </c>
      <c r="U69">
        <v>418</v>
      </c>
      <c r="V69">
        <v>429</v>
      </c>
      <c r="W69">
        <v>409</v>
      </c>
      <c r="X69" t="s">
        <v>270</v>
      </c>
      <c r="Y69">
        <v>0</v>
      </c>
      <c r="Z69">
        <v>55</v>
      </c>
      <c r="AA69" t="s">
        <v>469</v>
      </c>
      <c r="AB69" t="s">
        <v>548</v>
      </c>
      <c r="AC69">
        <v>1</v>
      </c>
      <c r="AD69" t="s">
        <v>584</v>
      </c>
      <c r="AE69">
        <v>22.5</v>
      </c>
      <c r="AF69">
        <v>1366</v>
      </c>
      <c r="AG69" t="s">
        <v>264</v>
      </c>
      <c r="AH69">
        <v>-9999</v>
      </c>
      <c r="AI69">
        <v>440</v>
      </c>
      <c r="AJ69">
        <v>542</v>
      </c>
      <c r="AK69">
        <v>434</v>
      </c>
      <c r="AL69" t="s">
        <v>270</v>
      </c>
      <c r="AM69">
        <v>0</v>
      </c>
      <c r="AN69">
        <v>55</v>
      </c>
      <c r="AO69" t="s">
        <v>470</v>
      </c>
      <c r="AP69" t="s">
        <v>548</v>
      </c>
      <c r="AQ69">
        <v>2</v>
      </c>
      <c r="AR69" t="s">
        <v>584</v>
      </c>
      <c r="AS69">
        <v>33.299999999999997</v>
      </c>
      <c r="AT69">
        <v>337</v>
      </c>
      <c r="AU69" t="s">
        <v>264</v>
      </c>
      <c r="AV69">
        <v>-9999</v>
      </c>
      <c r="AW69">
        <v>326</v>
      </c>
      <c r="AX69">
        <v>341</v>
      </c>
      <c r="AY69">
        <v>325</v>
      </c>
      <c r="AZ69" t="s">
        <v>270</v>
      </c>
      <c r="BA69">
        <v>0</v>
      </c>
      <c r="BB69">
        <v>55</v>
      </c>
      <c r="BC69" t="s">
        <v>550</v>
      </c>
      <c r="BD69" t="s">
        <v>548</v>
      </c>
      <c r="BE69">
        <v>3</v>
      </c>
      <c r="BF69" t="s">
        <v>584</v>
      </c>
      <c r="BG69">
        <v>18.8</v>
      </c>
      <c r="BH69">
        <v>1293</v>
      </c>
      <c r="BI69" t="s">
        <v>264</v>
      </c>
      <c r="BJ69">
        <v>-9999</v>
      </c>
      <c r="BK69">
        <v>51</v>
      </c>
      <c r="BL69">
        <v>74</v>
      </c>
      <c r="BM69">
        <v>55</v>
      </c>
      <c r="BN69" t="s">
        <v>270</v>
      </c>
      <c r="BO69">
        <v>0</v>
      </c>
      <c r="BP69">
        <v>55</v>
      </c>
      <c r="BQ69" t="s">
        <v>504</v>
      </c>
      <c r="BR69" t="s">
        <v>548</v>
      </c>
      <c r="BS69">
        <v>4</v>
      </c>
      <c r="BT69" t="s">
        <v>584</v>
      </c>
      <c r="BU69">
        <v>26.7</v>
      </c>
      <c r="BV69">
        <v>293</v>
      </c>
      <c r="BW69" t="s">
        <v>264</v>
      </c>
      <c r="BX69">
        <v>-9999</v>
      </c>
      <c r="BY69">
        <v>168</v>
      </c>
      <c r="BZ69">
        <v>194</v>
      </c>
      <c r="CA69">
        <v>166</v>
      </c>
      <c r="CB69" t="s">
        <v>270</v>
      </c>
      <c r="CC69">
        <v>0</v>
      </c>
      <c r="CD69">
        <v>55</v>
      </c>
      <c r="CE69" t="s">
        <v>471</v>
      </c>
      <c r="CF69" t="s">
        <v>548</v>
      </c>
      <c r="CG69">
        <v>5</v>
      </c>
      <c r="CH69" t="s">
        <v>584</v>
      </c>
      <c r="CI69">
        <v>29.7</v>
      </c>
      <c r="CJ69">
        <v>248</v>
      </c>
      <c r="CK69" t="s">
        <v>264</v>
      </c>
      <c r="CL69">
        <v>-9999</v>
      </c>
      <c r="CM69">
        <v>457</v>
      </c>
      <c r="CN69">
        <v>531</v>
      </c>
      <c r="CO69">
        <v>456</v>
      </c>
      <c r="CP69" t="s">
        <v>270</v>
      </c>
      <c r="CQ69">
        <v>0</v>
      </c>
      <c r="CR69">
        <v>55</v>
      </c>
      <c r="CS69" t="s">
        <v>472</v>
      </c>
      <c r="CT69" t="s">
        <v>548</v>
      </c>
      <c r="CU69">
        <v>6</v>
      </c>
      <c r="CV69" t="s">
        <v>584</v>
      </c>
      <c r="CW69">
        <v>31.6</v>
      </c>
      <c r="CX69">
        <v>232</v>
      </c>
      <c r="CY69" t="s">
        <v>264</v>
      </c>
      <c r="CZ69">
        <v>-9999</v>
      </c>
      <c r="DA69">
        <v>517</v>
      </c>
      <c r="DB69">
        <v>587</v>
      </c>
      <c r="DC69">
        <v>508</v>
      </c>
      <c r="DD69" t="s">
        <v>270</v>
      </c>
      <c r="DE69">
        <v>0</v>
      </c>
      <c r="DF69">
        <v>55</v>
      </c>
      <c r="DG69" t="s">
        <v>473</v>
      </c>
      <c r="DH69" t="s">
        <v>548</v>
      </c>
      <c r="DI69">
        <v>7</v>
      </c>
      <c r="DJ69" t="s">
        <v>584</v>
      </c>
      <c r="DK69">
        <v>22.5</v>
      </c>
      <c r="DL69">
        <v>264</v>
      </c>
      <c r="DM69" t="s">
        <v>264</v>
      </c>
      <c r="DN69">
        <v>-9999</v>
      </c>
      <c r="DO69">
        <v>449</v>
      </c>
      <c r="DP69">
        <v>514</v>
      </c>
      <c r="DQ69">
        <v>446</v>
      </c>
      <c r="DR69" t="s">
        <v>270</v>
      </c>
      <c r="DS69">
        <v>0</v>
      </c>
      <c r="DT69">
        <v>55</v>
      </c>
      <c r="DU69" t="s">
        <v>474</v>
      </c>
      <c r="DV69" t="s">
        <v>548</v>
      </c>
      <c r="DW69">
        <v>8</v>
      </c>
      <c r="DX69" t="s">
        <v>584</v>
      </c>
      <c r="DY69">
        <v>19.399999999999999</v>
      </c>
      <c r="DZ69">
        <v>663</v>
      </c>
      <c r="EA69" t="s">
        <v>264</v>
      </c>
      <c r="EB69">
        <v>-9999</v>
      </c>
      <c r="EC69">
        <v>54</v>
      </c>
      <c r="ED69">
        <v>71</v>
      </c>
      <c r="EE69">
        <v>54</v>
      </c>
      <c r="EF69" t="s">
        <v>270</v>
      </c>
      <c r="EG69">
        <v>0</v>
      </c>
      <c r="EH69">
        <v>55</v>
      </c>
      <c r="EI69" t="s">
        <v>475</v>
      </c>
      <c r="EJ69" t="s">
        <v>548</v>
      </c>
      <c r="EK69">
        <v>9</v>
      </c>
      <c r="EL69" t="s">
        <v>584</v>
      </c>
      <c r="EM69">
        <v>23.1</v>
      </c>
      <c r="EN69">
        <v>132</v>
      </c>
      <c r="EO69" t="s">
        <v>264</v>
      </c>
      <c r="EP69">
        <v>-9999</v>
      </c>
      <c r="EQ69">
        <v>265</v>
      </c>
      <c r="ER69">
        <v>250</v>
      </c>
      <c r="ES69">
        <v>229</v>
      </c>
      <c r="ET69" t="s">
        <v>270</v>
      </c>
      <c r="EU69">
        <v>0</v>
      </c>
      <c r="EV69">
        <v>55</v>
      </c>
      <c r="EW69" t="s">
        <v>551</v>
      </c>
      <c r="EX69" t="s">
        <v>552</v>
      </c>
      <c r="EY69">
        <v>115</v>
      </c>
      <c r="EZ69">
        <v>116</v>
      </c>
      <c r="FA69">
        <v>116</v>
      </c>
      <c r="FB69" t="s">
        <v>270</v>
      </c>
      <c r="FC69" t="s">
        <v>553</v>
      </c>
      <c r="FD69" t="s">
        <v>552</v>
      </c>
      <c r="FE69">
        <v>299</v>
      </c>
      <c r="FF69">
        <v>298</v>
      </c>
      <c r="FG69">
        <v>298</v>
      </c>
      <c r="FH69" t="s">
        <v>270</v>
      </c>
      <c r="FI69" t="s">
        <v>554</v>
      </c>
      <c r="FJ69" t="s">
        <v>555</v>
      </c>
      <c r="FK69">
        <v>0</v>
      </c>
      <c r="FL69">
        <v>0</v>
      </c>
      <c r="FM69">
        <v>0</v>
      </c>
      <c r="FN69" t="s">
        <v>264</v>
      </c>
      <c r="FO69">
        <v>76.099999999999994</v>
      </c>
      <c r="FP69">
        <v>261.60000000000002</v>
      </c>
      <c r="FQ69" t="s">
        <v>556</v>
      </c>
      <c r="FR69" t="s">
        <v>555</v>
      </c>
      <c r="FS69">
        <v>0</v>
      </c>
      <c r="FT69">
        <v>0</v>
      </c>
      <c r="FU69">
        <v>0</v>
      </c>
      <c r="FV69" t="s">
        <v>264</v>
      </c>
      <c r="FW69">
        <v>73.599999999999994</v>
      </c>
      <c r="FX69">
        <v>69.2</v>
      </c>
      <c r="FY69" t="s">
        <v>557</v>
      </c>
      <c r="FZ69" t="s">
        <v>555</v>
      </c>
      <c r="GA69">
        <v>0</v>
      </c>
      <c r="GB69">
        <v>0</v>
      </c>
      <c r="GC69">
        <v>0</v>
      </c>
      <c r="GD69" t="s">
        <v>264</v>
      </c>
      <c r="GE69">
        <v>71.400000000000006</v>
      </c>
      <c r="GF69">
        <v>193</v>
      </c>
      <c r="GG69" t="s">
        <v>558</v>
      </c>
      <c r="GH69" t="s">
        <v>555</v>
      </c>
      <c r="GI69">
        <v>0</v>
      </c>
      <c r="GJ69">
        <v>0</v>
      </c>
      <c r="GK69">
        <v>0</v>
      </c>
      <c r="GL69" t="s">
        <v>264</v>
      </c>
      <c r="GM69">
        <v>68.400000000000006</v>
      </c>
      <c r="GN69">
        <v>36.9</v>
      </c>
      <c r="GO69" t="s">
        <v>559</v>
      </c>
      <c r="GP69" t="s">
        <v>555</v>
      </c>
      <c r="GQ69">
        <v>0</v>
      </c>
      <c r="GR69">
        <v>0</v>
      </c>
      <c r="GS69">
        <v>0</v>
      </c>
      <c r="GT69" t="s">
        <v>264</v>
      </c>
      <c r="GU69">
        <v>76.2</v>
      </c>
      <c r="GV69">
        <v>43.6</v>
      </c>
      <c r="GW69" t="s">
        <v>560</v>
      </c>
      <c r="GX69" t="s">
        <v>555</v>
      </c>
      <c r="GY69">
        <v>0</v>
      </c>
      <c r="GZ69">
        <v>0</v>
      </c>
      <c r="HA69">
        <v>0</v>
      </c>
      <c r="HB69" t="s">
        <v>264</v>
      </c>
      <c r="HC69">
        <v>70.599999999999994</v>
      </c>
      <c r="HD69">
        <v>82.5</v>
      </c>
      <c r="HE69" t="s">
        <v>561</v>
      </c>
      <c r="HF69" t="s">
        <v>555</v>
      </c>
      <c r="HG69">
        <v>0</v>
      </c>
      <c r="HH69">
        <v>0</v>
      </c>
      <c r="HI69">
        <v>0</v>
      </c>
      <c r="HJ69" t="s">
        <v>264</v>
      </c>
      <c r="HK69">
        <v>71.099999999999994</v>
      </c>
      <c r="HL69">
        <v>106.4</v>
      </c>
      <c r="HM69" t="s">
        <v>562</v>
      </c>
      <c r="HN69" t="s">
        <v>555</v>
      </c>
      <c r="HO69">
        <v>0</v>
      </c>
      <c r="HP69">
        <v>0</v>
      </c>
      <c r="HQ69">
        <v>0</v>
      </c>
      <c r="HR69" t="s">
        <v>264</v>
      </c>
      <c r="HS69">
        <v>69.2</v>
      </c>
      <c r="HT69">
        <v>71.7</v>
      </c>
      <c r="HU69" t="s">
        <v>563</v>
      </c>
      <c r="HV69" t="s">
        <v>555</v>
      </c>
      <c r="HW69">
        <v>0</v>
      </c>
      <c r="HX69">
        <v>0</v>
      </c>
      <c r="HY69">
        <v>0</v>
      </c>
      <c r="HZ69" t="s">
        <v>264</v>
      </c>
      <c r="IA69">
        <v>74.8</v>
      </c>
      <c r="IB69">
        <v>160.30000000000001</v>
      </c>
      <c r="IC69" t="s">
        <v>564</v>
      </c>
      <c r="ID69" t="s">
        <v>555</v>
      </c>
      <c r="IE69">
        <v>0</v>
      </c>
      <c r="IF69">
        <v>0</v>
      </c>
      <c r="IG69">
        <v>0</v>
      </c>
      <c r="IH69" t="s">
        <v>264</v>
      </c>
      <c r="II69">
        <v>68.5</v>
      </c>
      <c r="IJ69">
        <v>98</v>
      </c>
      <c r="IK69" t="s">
        <v>565</v>
      </c>
      <c r="IL69" t="s">
        <v>555</v>
      </c>
      <c r="IM69">
        <v>0</v>
      </c>
      <c r="IN69">
        <v>0</v>
      </c>
      <c r="IO69">
        <v>0</v>
      </c>
      <c r="IP69" t="s">
        <v>264</v>
      </c>
      <c r="IS69" t="s">
        <v>566</v>
      </c>
      <c r="IT69" t="s">
        <v>555</v>
      </c>
      <c r="IU69">
        <v>0</v>
      </c>
      <c r="IV69">
        <v>0</v>
      </c>
      <c r="IW69">
        <v>0</v>
      </c>
      <c r="IX69" t="s">
        <v>264</v>
      </c>
      <c r="JA69" t="s">
        <v>567</v>
      </c>
      <c r="JB69" t="s">
        <v>555</v>
      </c>
      <c r="JC69">
        <v>0</v>
      </c>
      <c r="JD69">
        <v>0</v>
      </c>
      <c r="JE69">
        <v>0</v>
      </c>
      <c r="JF69" t="s">
        <v>264</v>
      </c>
      <c r="JI69" t="s">
        <v>568</v>
      </c>
      <c r="JJ69" t="s">
        <v>555</v>
      </c>
      <c r="JK69">
        <v>0</v>
      </c>
      <c r="JL69">
        <v>0</v>
      </c>
      <c r="JM69">
        <v>0</v>
      </c>
      <c r="JN69" t="s">
        <v>264</v>
      </c>
      <c r="JQ69" t="s">
        <v>569</v>
      </c>
      <c r="JR69" t="s">
        <v>555</v>
      </c>
      <c r="JS69">
        <v>0</v>
      </c>
      <c r="JT69">
        <v>0</v>
      </c>
      <c r="JU69">
        <v>0</v>
      </c>
      <c r="JV69" t="s">
        <v>264</v>
      </c>
      <c r="JY69" t="s">
        <v>570</v>
      </c>
      <c r="JZ69" t="s">
        <v>555</v>
      </c>
      <c r="KA69">
        <v>0</v>
      </c>
      <c r="KB69">
        <v>0</v>
      </c>
      <c r="KC69">
        <v>0</v>
      </c>
      <c r="KD69" t="s">
        <v>264</v>
      </c>
      <c r="KG69" t="s">
        <v>571</v>
      </c>
      <c r="KH69" t="s">
        <v>555</v>
      </c>
      <c r="KI69">
        <v>0</v>
      </c>
      <c r="KJ69">
        <v>0</v>
      </c>
      <c r="KK69">
        <v>0</v>
      </c>
      <c r="KL69" t="s">
        <v>264</v>
      </c>
      <c r="KO69" t="s">
        <v>572</v>
      </c>
      <c r="KP69" t="s">
        <v>555</v>
      </c>
      <c r="KQ69">
        <v>0</v>
      </c>
      <c r="KR69">
        <v>0</v>
      </c>
      <c r="KS69">
        <v>0</v>
      </c>
      <c r="KT69" t="s">
        <v>264</v>
      </c>
      <c r="KW69" t="s">
        <v>573</v>
      </c>
      <c r="KX69" t="s">
        <v>555</v>
      </c>
      <c r="KY69">
        <v>0</v>
      </c>
      <c r="KZ69">
        <v>0</v>
      </c>
      <c r="LA69">
        <v>0</v>
      </c>
      <c r="LB69" t="s">
        <v>264</v>
      </c>
      <c r="LE69" t="s">
        <v>574</v>
      </c>
      <c r="LF69" t="s">
        <v>555</v>
      </c>
      <c r="LG69">
        <v>0</v>
      </c>
      <c r="LH69">
        <v>0</v>
      </c>
      <c r="LI69">
        <v>0</v>
      </c>
      <c r="LJ69" t="s">
        <v>264</v>
      </c>
      <c r="LM69" t="s">
        <v>575</v>
      </c>
      <c r="LN69" t="s">
        <v>555</v>
      </c>
      <c r="LO69">
        <v>0</v>
      </c>
      <c r="LP69">
        <v>0</v>
      </c>
      <c r="LQ69">
        <v>0</v>
      </c>
      <c r="LR69" t="s">
        <v>264</v>
      </c>
      <c r="LU69" t="s">
        <v>576</v>
      </c>
      <c r="LV69" t="s">
        <v>555</v>
      </c>
      <c r="LW69">
        <v>0</v>
      </c>
      <c r="LX69">
        <v>0</v>
      </c>
      <c r="LY69">
        <v>0</v>
      </c>
      <c r="LZ69" t="s">
        <v>264</v>
      </c>
      <c r="MC69" t="s">
        <v>577</v>
      </c>
      <c r="MD69" t="s">
        <v>555</v>
      </c>
      <c r="ME69">
        <v>0</v>
      </c>
      <c r="MF69">
        <v>0</v>
      </c>
      <c r="MG69">
        <v>0</v>
      </c>
      <c r="MH69" t="s">
        <v>264</v>
      </c>
      <c r="MK69" t="s">
        <v>578</v>
      </c>
      <c r="ML69" t="s">
        <v>555</v>
      </c>
      <c r="MM69">
        <v>0</v>
      </c>
      <c r="MN69">
        <v>0</v>
      </c>
      <c r="MO69">
        <v>0</v>
      </c>
      <c r="MP69" t="s">
        <v>264</v>
      </c>
      <c r="MS69" t="s">
        <v>579</v>
      </c>
      <c r="MT69" t="s">
        <v>555</v>
      </c>
      <c r="MU69">
        <v>0</v>
      </c>
      <c r="MV69">
        <v>0</v>
      </c>
      <c r="MW69">
        <v>0</v>
      </c>
      <c r="MX69" t="s">
        <v>264</v>
      </c>
      <c r="NA69" t="s">
        <v>580</v>
      </c>
      <c r="NB69" t="s">
        <v>555</v>
      </c>
      <c r="NC69">
        <v>0</v>
      </c>
      <c r="ND69">
        <v>0</v>
      </c>
      <c r="NE69">
        <v>0</v>
      </c>
      <c r="NF69" t="s">
        <v>264</v>
      </c>
      <c r="NI69">
        <v>40.1</v>
      </c>
      <c r="NJ69">
        <v>-7.7</v>
      </c>
      <c r="NP69" t="s">
        <v>581</v>
      </c>
    </row>
    <row r="70" spans="1:380" customFormat="1" x14ac:dyDescent="0.2">
      <c r="A70" t="s">
        <v>517</v>
      </c>
      <c r="B70">
        <v>1</v>
      </c>
      <c r="C70" t="s">
        <v>942</v>
      </c>
      <c r="D70">
        <v>647064507</v>
      </c>
      <c r="E70">
        <v>12602</v>
      </c>
      <c r="F70" t="s">
        <v>805</v>
      </c>
      <c r="G70">
        <v>709954</v>
      </c>
      <c r="H70">
        <v>868924</v>
      </c>
      <c r="I70" t="s">
        <v>543</v>
      </c>
      <c r="J70" t="s">
        <v>943</v>
      </c>
      <c r="K70" t="s">
        <v>545</v>
      </c>
      <c r="L70" t="s">
        <v>442</v>
      </c>
      <c r="M70" t="s">
        <v>546</v>
      </c>
      <c r="N70" t="s">
        <v>468</v>
      </c>
      <c r="O70" t="s">
        <v>547</v>
      </c>
      <c r="P70" t="s">
        <v>264</v>
      </c>
      <c r="Q70">
        <v>25.4</v>
      </c>
      <c r="R70">
        <v>210</v>
      </c>
      <c r="S70" t="s">
        <v>264</v>
      </c>
      <c r="T70">
        <v>-9999</v>
      </c>
      <c r="U70">
        <v>556</v>
      </c>
      <c r="V70">
        <v>569</v>
      </c>
      <c r="W70">
        <v>544</v>
      </c>
      <c r="X70" t="s">
        <v>270</v>
      </c>
      <c r="Y70">
        <v>0</v>
      </c>
      <c r="Z70">
        <v>55</v>
      </c>
      <c r="AA70" t="s">
        <v>469</v>
      </c>
      <c r="AB70" t="s">
        <v>548</v>
      </c>
      <c r="AC70">
        <v>1</v>
      </c>
      <c r="AD70" t="s">
        <v>584</v>
      </c>
      <c r="AE70">
        <v>25</v>
      </c>
      <c r="AF70">
        <v>1212</v>
      </c>
      <c r="AG70" t="s">
        <v>264</v>
      </c>
      <c r="AH70">
        <v>-9999</v>
      </c>
      <c r="AI70">
        <v>523</v>
      </c>
      <c r="AJ70">
        <v>642</v>
      </c>
      <c r="AK70">
        <v>519</v>
      </c>
      <c r="AL70" t="s">
        <v>270</v>
      </c>
      <c r="AM70">
        <v>0</v>
      </c>
      <c r="AN70">
        <v>55</v>
      </c>
      <c r="AO70" t="s">
        <v>470</v>
      </c>
      <c r="AP70" t="s">
        <v>548</v>
      </c>
      <c r="AQ70">
        <v>2</v>
      </c>
      <c r="AR70" t="s">
        <v>584</v>
      </c>
      <c r="AS70">
        <v>36.6</v>
      </c>
      <c r="AT70">
        <v>318</v>
      </c>
      <c r="AU70" t="s">
        <v>264</v>
      </c>
      <c r="AV70">
        <v>-9999</v>
      </c>
      <c r="AW70">
        <v>338</v>
      </c>
      <c r="AX70">
        <v>354</v>
      </c>
      <c r="AY70">
        <v>335</v>
      </c>
      <c r="AZ70" t="s">
        <v>270</v>
      </c>
      <c r="BA70">
        <v>0</v>
      </c>
      <c r="BB70">
        <v>55</v>
      </c>
      <c r="BC70" t="s">
        <v>550</v>
      </c>
      <c r="BD70" t="s">
        <v>548</v>
      </c>
      <c r="BE70">
        <v>3</v>
      </c>
      <c r="BF70" t="s">
        <v>584</v>
      </c>
      <c r="BG70">
        <v>20.100000000000001</v>
      </c>
      <c r="BH70">
        <v>1286</v>
      </c>
      <c r="BI70" t="s">
        <v>264</v>
      </c>
      <c r="BJ70">
        <v>-9999</v>
      </c>
      <c r="BK70">
        <v>55</v>
      </c>
      <c r="BL70">
        <v>78</v>
      </c>
      <c r="BM70">
        <v>56</v>
      </c>
      <c r="BN70" t="s">
        <v>270</v>
      </c>
      <c r="BO70">
        <v>0</v>
      </c>
      <c r="BP70">
        <v>55</v>
      </c>
      <c r="BQ70" t="s">
        <v>504</v>
      </c>
      <c r="BR70" t="s">
        <v>548</v>
      </c>
      <c r="BS70">
        <v>4</v>
      </c>
      <c r="BT70" t="s">
        <v>584</v>
      </c>
      <c r="BU70">
        <v>29</v>
      </c>
      <c r="BV70">
        <v>248</v>
      </c>
      <c r="BW70" t="s">
        <v>264</v>
      </c>
      <c r="BX70">
        <v>-9999</v>
      </c>
      <c r="BY70">
        <v>216</v>
      </c>
      <c r="BZ70">
        <v>251</v>
      </c>
      <c r="CA70">
        <v>215</v>
      </c>
      <c r="CB70" t="s">
        <v>270</v>
      </c>
      <c r="CC70">
        <v>0</v>
      </c>
      <c r="CD70">
        <v>55</v>
      </c>
      <c r="CE70" t="s">
        <v>471</v>
      </c>
      <c r="CF70" t="s">
        <v>548</v>
      </c>
      <c r="CG70">
        <v>5</v>
      </c>
      <c r="CH70" t="s">
        <v>584</v>
      </c>
      <c r="CI70">
        <v>34.1</v>
      </c>
      <c r="CJ70">
        <v>188</v>
      </c>
      <c r="CK70" t="s">
        <v>264</v>
      </c>
      <c r="CL70">
        <v>-9999</v>
      </c>
      <c r="CM70">
        <v>485</v>
      </c>
      <c r="CN70">
        <v>567</v>
      </c>
      <c r="CO70">
        <v>484</v>
      </c>
      <c r="CP70" t="s">
        <v>270</v>
      </c>
      <c r="CQ70">
        <v>0</v>
      </c>
      <c r="CR70">
        <v>55</v>
      </c>
      <c r="CS70" t="s">
        <v>472</v>
      </c>
      <c r="CT70" t="s">
        <v>548</v>
      </c>
      <c r="CU70">
        <v>6</v>
      </c>
      <c r="CV70" t="s">
        <v>584</v>
      </c>
      <c r="CW70">
        <v>34.200000000000003</v>
      </c>
      <c r="CX70">
        <v>200</v>
      </c>
      <c r="CY70" t="s">
        <v>264</v>
      </c>
      <c r="CZ70">
        <v>-9999</v>
      </c>
      <c r="DA70">
        <v>573</v>
      </c>
      <c r="DB70">
        <v>649</v>
      </c>
      <c r="DC70">
        <v>564</v>
      </c>
      <c r="DD70" t="s">
        <v>270</v>
      </c>
      <c r="DE70">
        <v>0</v>
      </c>
      <c r="DF70">
        <v>55</v>
      </c>
      <c r="DG70" t="s">
        <v>473</v>
      </c>
      <c r="DH70" t="s">
        <v>548</v>
      </c>
      <c r="DI70">
        <v>7</v>
      </c>
      <c r="DJ70" t="s">
        <v>584</v>
      </c>
      <c r="DK70">
        <v>23.6</v>
      </c>
      <c r="DL70">
        <v>222</v>
      </c>
      <c r="DM70" t="s">
        <v>264</v>
      </c>
      <c r="DN70">
        <v>-9999</v>
      </c>
      <c r="DO70">
        <v>530</v>
      </c>
      <c r="DP70">
        <v>605</v>
      </c>
      <c r="DQ70">
        <v>526</v>
      </c>
      <c r="DR70" t="s">
        <v>270</v>
      </c>
      <c r="DS70">
        <v>0</v>
      </c>
      <c r="DT70">
        <v>55</v>
      </c>
      <c r="DU70" t="s">
        <v>474</v>
      </c>
      <c r="DV70" t="s">
        <v>548</v>
      </c>
      <c r="DW70">
        <v>8</v>
      </c>
      <c r="DX70" t="s">
        <v>584</v>
      </c>
      <c r="DY70">
        <v>20.5</v>
      </c>
      <c r="DZ70">
        <v>498</v>
      </c>
      <c r="EA70" t="s">
        <v>264</v>
      </c>
      <c r="EB70">
        <v>-9999</v>
      </c>
      <c r="EC70">
        <v>86</v>
      </c>
      <c r="ED70">
        <v>105</v>
      </c>
      <c r="EE70">
        <v>84</v>
      </c>
      <c r="EF70" t="s">
        <v>270</v>
      </c>
      <c r="EG70">
        <v>0</v>
      </c>
      <c r="EH70">
        <v>55</v>
      </c>
      <c r="EI70" t="s">
        <v>475</v>
      </c>
      <c r="EJ70" t="s">
        <v>548</v>
      </c>
      <c r="EK70">
        <v>9</v>
      </c>
      <c r="EL70" t="s">
        <v>584</v>
      </c>
      <c r="EM70">
        <v>24.9</v>
      </c>
      <c r="EN70">
        <v>91</v>
      </c>
      <c r="EO70" t="s">
        <v>264</v>
      </c>
      <c r="EP70">
        <v>-9999</v>
      </c>
      <c r="EQ70">
        <v>308</v>
      </c>
      <c r="ER70">
        <v>293</v>
      </c>
      <c r="ES70">
        <v>270</v>
      </c>
      <c r="ET70" t="s">
        <v>270</v>
      </c>
      <c r="EU70">
        <v>0</v>
      </c>
      <c r="EV70">
        <v>55</v>
      </c>
      <c r="EW70" t="s">
        <v>551</v>
      </c>
      <c r="EX70" t="s">
        <v>552</v>
      </c>
      <c r="EY70">
        <v>128</v>
      </c>
      <c r="EZ70">
        <v>128</v>
      </c>
      <c r="FA70">
        <v>129</v>
      </c>
      <c r="FB70" t="s">
        <v>270</v>
      </c>
      <c r="FC70" t="s">
        <v>553</v>
      </c>
      <c r="FD70" t="s">
        <v>552</v>
      </c>
      <c r="FE70">
        <v>275</v>
      </c>
      <c r="FF70">
        <v>274</v>
      </c>
      <c r="FG70">
        <v>274</v>
      </c>
      <c r="FH70" t="s">
        <v>270</v>
      </c>
      <c r="FI70" t="s">
        <v>554</v>
      </c>
      <c r="FJ70" t="s">
        <v>555</v>
      </c>
      <c r="FK70">
        <v>0</v>
      </c>
      <c r="FL70">
        <v>0</v>
      </c>
      <c r="FM70">
        <v>0</v>
      </c>
      <c r="FN70" t="s">
        <v>264</v>
      </c>
      <c r="FO70">
        <v>75.900000000000006</v>
      </c>
      <c r="FP70">
        <v>276.60000000000002</v>
      </c>
      <c r="FQ70" t="s">
        <v>556</v>
      </c>
      <c r="FR70" t="s">
        <v>555</v>
      </c>
      <c r="FS70">
        <v>0</v>
      </c>
      <c r="FT70">
        <v>0</v>
      </c>
      <c r="FU70">
        <v>0</v>
      </c>
      <c r="FV70" t="s">
        <v>264</v>
      </c>
      <c r="FW70">
        <v>73.400000000000006</v>
      </c>
      <c r="FX70">
        <v>78.2</v>
      </c>
      <c r="FY70" t="s">
        <v>557</v>
      </c>
      <c r="FZ70" t="s">
        <v>555</v>
      </c>
      <c r="GA70">
        <v>0</v>
      </c>
      <c r="GB70">
        <v>0</v>
      </c>
      <c r="GC70">
        <v>0</v>
      </c>
      <c r="GD70" t="s">
        <v>264</v>
      </c>
      <c r="GE70">
        <v>71.2</v>
      </c>
      <c r="GF70">
        <v>204.5</v>
      </c>
      <c r="GG70" t="s">
        <v>558</v>
      </c>
      <c r="GH70" t="s">
        <v>555</v>
      </c>
      <c r="GI70">
        <v>0</v>
      </c>
      <c r="GJ70">
        <v>0</v>
      </c>
      <c r="GK70">
        <v>0</v>
      </c>
      <c r="GL70" t="s">
        <v>264</v>
      </c>
      <c r="GM70">
        <v>68.3</v>
      </c>
      <c r="GN70">
        <v>54.9</v>
      </c>
      <c r="GO70" t="s">
        <v>559</v>
      </c>
      <c r="GP70" t="s">
        <v>555</v>
      </c>
      <c r="GQ70">
        <v>0</v>
      </c>
      <c r="GR70">
        <v>0</v>
      </c>
      <c r="GS70">
        <v>0</v>
      </c>
      <c r="GT70" t="s">
        <v>264</v>
      </c>
      <c r="GU70">
        <v>75.900000000000006</v>
      </c>
      <c r="GV70">
        <v>51.2</v>
      </c>
      <c r="GW70" t="s">
        <v>560</v>
      </c>
      <c r="GX70" t="s">
        <v>555</v>
      </c>
      <c r="GY70">
        <v>0</v>
      </c>
      <c r="GZ70">
        <v>0</v>
      </c>
      <c r="HA70">
        <v>0</v>
      </c>
      <c r="HB70" t="s">
        <v>264</v>
      </c>
      <c r="HC70">
        <v>70.400000000000006</v>
      </c>
      <c r="HD70">
        <v>76.2</v>
      </c>
      <c r="HE70" t="s">
        <v>561</v>
      </c>
      <c r="HF70" t="s">
        <v>555</v>
      </c>
      <c r="HG70">
        <v>0</v>
      </c>
      <c r="HH70">
        <v>0</v>
      </c>
      <c r="HI70">
        <v>0</v>
      </c>
      <c r="HJ70" t="s">
        <v>264</v>
      </c>
      <c r="HK70">
        <v>70.900000000000006</v>
      </c>
      <c r="HL70">
        <v>112.8</v>
      </c>
      <c r="HM70" t="s">
        <v>562</v>
      </c>
      <c r="HN70" t="s">
        <v>555</v>
      </c>
      <c r="HO70">
        <v>0</v>
      </c>
      <c r="HP70">
        <v>0</v>
      </c>
      <c r="HQ70">
        <v>0</v>
      </c>
      <c r="HR70" t="s">
        <v>264</v>
      </c>
      <c r="HS70">
        <v>69.099999999999994</v>
      </c>
      <c r="HT70">
        <v>82.6</v>
      </c>
      <c r="HU70" t="s">
        <v>563</v>
      </c>
      <c r="HV70" t="s">
        <v>555</v>
      </c>
      <c r="HW70">
        <v>0</v>
      </c>
      <c r="HX70">
        <v>0</v>
      </c>
      <c r="HY70">
        <v>0</v>
      </c>
      <c r="HZ70" t="s">
        <v>264</v>
      </c>
      <c r="IA70">
        <v>74.7</v>
      </c>
      <c r="IB70">
        <v>177.6</v>
      </c>
      <c r="IC70" t="s">
        <v>564</v>
      </c>
      <c r="ID70" t="s">
        <v>555</v>
      </c>
      <c r="IE70">
        <v>0</v>
      </c>
      <c r="IF70">
        <v>0</v>
      </c>
      <c r="IG70">
        <v>0</v>
      </c>
      <c r="IH70" t="s">
        <v>264</v>
      </c>
      <c r="II70">
        <v>68.3</v>
      </c>
      <c r="IJ70">
        <v>108.5</v>
      </c>
      <c r="IK70" t="s">
        <v>565</v>
      </c>
      <c r="IL70" t="s">
        <v>555</v>
      </c>
      <c r="IM70">
        <v>0</v>
      </c>
      <c r="IN70">
        <v>0</v>
      </c>
      <c r="IO70">
        <v>0</v>
      </c>
      <c r="IP70" t="s">
        <v>264</v>
      </c>
      <c r="IS70" t="s">
        <v>566</v>
      </c>
      <c r="IT70" t="s">
        <v>555</v>
      </c>
      <c r="IU70">
        <v>0</v>
      </c>
      <c r="IV70">
        <v>0</v>
      </c>
      <c r="IW70">
        <v>0</v>
      </c>
      <c r="IX70" t="s">
        <v>264</v>
      </c>
      <c r="JA70" t="s">
        <v>567</v>
      </c>
      <c r="JB70" t="s">
        <v>555</v>
      </c>
      <c r="JC70">
        <v>0</v>
      </c>
      <c r="JD70">
        <v>0</v>
      </c>
      <c r="JE70">
        <v>0</v>
      </c>
      <c r="JF70" t="s">
        <v>264</v>
      </c>
      <c r="JI70" t="s">
        <v>568</v>
      </c>
      <c r="JJ70" t="s">
        <v>555</v>
      </c>
      <c r="JK70">
        <v>0</v>
      </c>
      <c r="JL70">
        <v>0</v>
      </c>
      <c r="JM70">
        <v>0</v>
      </c>
      <c r="JN70" t="s">
        <v>264</v>
      </c>
      <c r="JQ70" t="s">
        <v>569</v>
      </c>
      <c r="JR70" t="s">
        <v>555</v>
      </c>
      <c r="JS70">
        <v>0</v>
      </c>
      <c r="JT70">
        <v>0</v>
      </c>
      <c r="JU70">
        <v>0</v>
      </c>
      <c r="JV70" t="s">
        <v>264</v>
      </c>
      <c r="JY70" t="s">
        <v>570</v>
      </c>
      <c r="JZ70" t="s">
        <v>555</v>
      </c>
      <c r="KA70">
        <v>0</v>
      </c>
      <c r="KB70">
        <v>0</v>
      </c>
      <c r="KC70">
        <v>0</v>
      </c>
      <c r="KD70" t="s">
        <v>264</v>
      </c>
      <c r="KG70" t="s">
        <v>571</v>
      </c>
      <c r="KH70" t="s">
        <v>555</v>
      </c>
      <c r="KI70">
        <v>0</v>
      </c>
      <c r="KJ70">
        <v>0</v>
      </c>
      <c r="KK70">
        <v>0</v>
      </c>
      <c r="KL70" t="s">
        <v>264</v>
      </c>
      <c r="KO70" t="s">
        <v>572</v>
      </c>
      <c r="KP70" t="s">
        <v>555</v>
      </c>
      <c r="KQ70">
        <v>0</v>
      </c>
      <c r="KR70">
        <v>0</v>
      </c>
      <c r="KS70">
        <v>0</v>
      </c>
      <c r="KT70" t="s">
        <v>264</v>
      </c>
      <c r="KW70" t="s">
        <v>573</v>
      </c>
      <c r="KX70" t="s">
        <v>555</v>
      </c>
      <c r="KY70">
        <v>0</v>
      </c>
      <c r="KZ70">
        <v>0</v>
      </c>
      <c r="LA70">
        <v>0</v>
      </c>
      <c r="LB70" t="s">
        <v>264</v>
      </c>
      <c r="LE70" t="s">
        <v>574</v>
      </c>
      <c r="LF70" t="s">
        <v>555</v>
      </c>
      <c r="LG70">
        <v>0</v>
      </c>
      <c r="LH70">
        <v>0</v>
      </c>
      <c r="LI70">
        <v>0</v>
      </c>
      <c r="LJ70" t="s">
        <v>264</v>
      </c>
      <c r="LM70" t="s">
        <v>575</v>
      </c>
      <c r="LN70" t="s">
        <v>555</v>
      </c>
      <c r="LO70">
        <v>0</v>
      </c>
      <c r="LP70">
        <v>0</v>
      </c>
      <c r="LQ70">
        <v>0</v>
      </c>
      <c r="LR70" t="s">
        <v>264</v>
      </c>
      <c r="LU70" t="s">
        <v>576</v>
      </c>
      <c r="LV70" t="s">
        <v>555</v>
      </c>
      <c r="LW70">
        <v>0</v>
      </c>
      <c r="LX70">
        <v>0</v>
      </c>
      <c r="LY70">
        <v>0</v>
      </c>
      <c r="LZ70" t="s">
        <v>264</v>
      </c>
      <c r="MC70" t="s">
        <v>577</v>
      </c>
      <c r="MD70" t="s">
        <v>555</v>
      </c>
      <c r="ME70">
        <v>0</v>
      </c>
      <c r="MF70">
        <v>0</v>
      </c>
      <c r="MG70">
        <v>0</v>
      </c>
      <c r="MH70" t="s">
        <v>264</v>
      </c>
      <c r="MK70" t="s">
        <v>578</v>
      </c>
      <c r="ML70" t="s">
        <v>555</v>
      </c>
      <c r="MM70">
        <v>0</v>
      </c>
      <c r="MN70">
        <v>0</v>
      </c>
      <c r="MO70">
        <v>0</v>
      </c>
      <c r="MP70" t="s">
        <v>264</v>
      </c>
      <c r="MS70" t="s">
        <v>579</v>
      </c>
      <c r="MT70" t="s">
        <v>555</v>
      </c>
      <c r="MU70">
        <v>0</v>
      </c>
      <c r="MV70">
        <v>0</v>
      </c>
      <c r="MW70">
        <v>0</v>
      </c>
      <c r="MX70" t="s">
        <v>264</v>
      </c>
      <c r="NA70" t="s">
        <v>580</v>
      </c>
      <c r="NB70" t="s">
        <v>555</v>
      </c>
      <c r="NC70">
        <v>0</v>
      </c>
      <c r="ND70">
        <v>0</v>
      </c>
      <c r="NE70">
        <v>0</v>
      </c>
      <c r="NF70" t="s">
        <v>264</v>
      </c>
      <c r="NI70">
        <v>40.1</v>
      </c>
      <c r="NJ70">
        <v>-12.6</v>
      </c>
      <c r="NP70" t="s">
        <v>581</v>
      </c>
    </row>
    <row r="71" spans="1:380" customFormat="1" x14ac:dyDescent="0.2">
      <c r="A71" t="s">
        <v>517</v>
      </c>
      <c r="B71">
        <v>1</v>
      </c>
      <c r="C71" t="s">
        <v>944</v>
      </c>
      <c r="D71">
        <v>647064379</v>
      </c>
      <c r="E71">
        <v>12602</v>
      </c>
      <c r="F71" t="s">
        <v>805</v>
      </c>
      <c r="G71">
        <v>709954</v>
      </c>
      <c r="H71">
        <v>210016882</v>
      </c>
      <c r="I71" t="s">
        <v>543</v>
      </c>
      <c r="J71" t="s">
        <v>945</v>
      </c>
      <c r="K71" t="s">
        <v>545</v>
      </c>
      <c r="L71" t="s">
        <v>442</v>
      </c>
      <c r="M71" t="s">
        <v>546</v>
      </c>
      <c r="N71" t="s">
        <v>468</v>
      </c>
      <c r="O71" t="s">
        <v>547</v>
      </c>
      <c r="P71" t="s">
        <v>264</v>
      </c>
      <c r="Q71">
        <v>25.1</v>
      </c>
      <c r="R71">
        <v>272</v>
      </c>
      <c r="S71" t="s">
        <v>264</v>
      </c>
      <c r="T71">
        <v>-9999</v>
      </c>
      <c r="U71">
        <v>437</v>
      </c>
      <c r="V71">
        <v>449</v>
      </c>
      <c r="W71">
        <v>427</v>
      </c>
      <c r="X71" t="s">
        <v>270</v>
      </c>
      <c r="Y71">
        <v>0</v>
      </c>
      <c r="Z71">
        <v>55</v>
      </c>
      <c r="AA71" t="s">
        <v>469</v>
      </c>
      <c r="AB71" t="s">
        <v>548</v>
      </c>
      <c r="AC71">
        <v>1</v>
      </c>
      <c r="AD71" t="s">
        <v>584</v>
      </c>
      <c r="AE71">
        <v>22.5</v>
      </c>
      <c r="AF71">
        <v>1393</v>
      </c>
      <c r="AG71" t="s">
        <v>264</v>
      </c>
      <c r="AH71">
        <v>-9999</v>
      </c>
      <c r="AI71">
        <v>497</v>
      </c>
      <c r="AJ71">
        <v>608</v>
      </c>
      <c r="AK71">
        <v>493</v>
      </c>
      <c r="AL71" t="s">
        <v>270</v>
      </c>
      <c r="AM71">
        <v>0</v>
      </c>
      <c r="AN71">
        <v>55</v>
      </c>
      <c r="AO71" t="s">
        <v>470</v>
      </c>
      <c r="AP71" t="s">
        <v>548</v>
      </c>
      <c r="AQ71">
        <v>2</v>
      </c>
      <c r="AR71" t="s">
        <v>584</v>
      </c>
      <c r="AS71">
        <v>32.9</v>
      </c>
      <c r="AT71">
        <v>394</v>
      </c>
      <c r="AU71" t="s">
        <v>264</v>
      </c>
      <c r="AV71">
        <v>-9999</v>
      </c>
      <c r="AW71">
        <v>315</v>
      </c>
      <c r="AX71">
        <v>331</v>
      </c>
      <c r="AY71">
        <v>312</v>
      </c>
      <c r="AZ71" t="s">
        <v>270</v>
      </c>
      <c r="BA71">
        <v>0</v>
      </c>
      <c r="BB71">
        <v>55</v>
      </c>
      <c r="BC71" t="s">
        <v>550</v>
      </c>
      <c r="BD71" t="s">
        <v>548</v>
      </c>
      <c r="BE71">
        <v>3</v>
      </c>
      <c r="BF71" t="s">
        <v>584</v>
      </c>
      <c r="BG71">
        <v>20.6</v>
      </c>
      <c r="BH71">
        <v>766</v>
      </c>
      <c r="BI71" t="s">
        <v>264</v>
      </c>
      <c r="BJ71">
        <v>-9999</v>
      </c>
      <c r="BK71">
        <v>115</v>
      </c>
      <c r="BL71">
        <v>150</v>
      </c>
      <c r="BM71">
        <v>116</v>
      </c>
      <c r="BN71" t="s">
        <v>270</v>
      </c>
      <c r="BO71">
        <v>0</v>
      </c>
      <c r="BP71">
        <v>55</v>
      </c>
      <c r="BQ71" t="s">
        <v>504</v>
      </c>
      <c r="BR71" t="s">
        <v>548</v>
      </c>
      <c r="BS71">
        <v>4</v>
      </c>
      <c r="BT71" t="s">
        <v>584</v>
      </c>
      <c r="BU71">
        <v>27.4</v>
      </c>
      <c r="BV71">
        <v>298</v>
      </c>
      <c r="BW71" t="s">
        <v>264</v>
      </c>
      <c r="BX71">
        <v>-9999</v>
      </c>
      <c r="BY71">
        <v>184</v>
      </c>
      <c r="BZ71">
        <v>213</v>
      </c>
      <c r="CA71">
        <v>183</v>
      </c>
      <c r="CB71" t="s">
        <v>270</v>
      </c>
      <c r="CC71">
        <v>0</v>
      </c>
      <c r="CD71">
        <v>55</v>
      </c>
      <c r="CE71" t="s">
        <v>471</v>
      </c>
      <c r="CF71" t="s">
        <v>548</v>
      </c>
      <c r="CG71">
        <v>5</v>
      </c>
      <c r="CH71" t="s">
        <v>584</v>
      </c>
      <c r="CI71">
        <v>31.3</v>
      </c>
      <c r="CJ71">
        <v>251</v>
      </c>
      <c r="CK71" t="s">
        <v>264</v>
      </c>
      <c r="CL71">
        <v>-9999</v>
      </c>
      <c r="CM71">
        <v>454</v>
      </c>
      <c r="CN71">
        <v>527</v>
      </c>
      <c r="CO71">
        <v>452</v>
      </c>
      <c r="CP71" t="s">
        <v>270</v>
      </c>
      <c r="CQ71">
        <v>0</v>
      </c>
      <c r="CR71">
        <v>55</v>
      </c>
      <c r="CS71" t="s">
        <v>472</v>
      </c>
      <c r="CT71" t="s">
        <v>548</v>
      </c>
      <c r="CU71">
        <v>6</v>
      </c>
      <c r="CV71" t="s">
        <v>584</v>
      </c>
      <c r="CW71">
        <v>31.1</v>
      </c>
      <c r="CX71">
        <v>279</v>
      </c>
      <c r="CY71" t="s">
        <v>264</v>
      </c>
      <c r="CZ71">
        <v>-9999</v>
      </c>
      <c r="DA71">
        <v>567</v>
      </c>
      <c r="DB71">
        <v>642</v>
      </c>
      <c r="DC71">
        <v>555</v>
      </c>
      <c r="DD71" t="s">
        <v>270</v>
      </c>
      <c r="DE71">
        <v>0</v>
      </c>
      <c r="DF71">
        <v>55</v>
      </c>
      <c r="DG71" t="s">
        <v>473</v>
      </c>
      <c r="DH71" t="s">
        <v>548</v>
      </c>
      <c r="DI71">
        <v>7</v>
      </c>
      <c r="DJ71" t="s">
        <v>584</v>
      </c>
      <c r="DK71">
        <v>23</v>
      </c>
      <c r="DL71">
        <v>247</v>
      </c>
      <c r="DM71" t="s">
        <v>264</v>
      </c>
      <c r="DN71">
        <v>-9999</v>
      </c>
      <c r="DO71">
        <v>481</v>
      </c>
      <c r="DP71">
        <v>551</v>
      </c>
      <c r="DQ71">
        <v>476</v>
      </c>
      <c r="DR71" t="s">
        <v>270</v>
      </c>
      <c r="DS71">
        <v>0</v>
      </c>
      <c r="DT71">
        <v>55</v>
      </c>
      <c r="DU71" t="s">
        <v>474</v>
      </c>
      <c r="DV71" t="s">
        <v>548</v>
      </c>
      <c r="DW71">
        <v>8</v>
      </c>
      <c r="DX71" t="s">
        <v>584</v>
      </c>
      <c r="DY71">
        <v>19.399999999999999</v>
      </c>
      <c r="DZ71">
        <v>583</v>
      </c>
      <c r="EA71" t="s">
        <v>264</v>
      </c>
      <c r="EB71">
        <v>-9999</v>
      </c>
      <c r="EC71">
        <v>73</v>
      </c>
      <c r="ED71">
        <v>91</v>
      </c>
      <c r="EE71">
        <v>71</v>
      </c>
      <c r="EF71" t="s">
        <v>270</v>
      </c>
      <c r="EG71">
        <v>0</v>
      </c>
      <c r="EH71">
        <v>55</v>
      </c>
      <c r="EI71" t="s">
        <v>475</v>
      </c>
      <c r="EJ71" t="s">
        <v>548</v>
      </c>
      <c r="EK71">
        <v>9</v>
      </c>
      <c r="EL71" t="s">
        <v>584</v>
      </c>
      <c r="EM71">
        <v>24.4</v>
      </c>
      <c r="EN71">
        <v>104</v>
      </c>
      <c r="EO71" t="s">
        <v>264</v>
      </c>
      <c r="EP71">
        <v>-9999</v>
      </c>
      <c r="EQ71">
        <v>297</v>
      </c>
      <c r="ER71">
        <v>279</v>
      </c>
      <c r="ES71">
        <v>258</v>
      </c>
      <c r="ET71" t="s">
        <v>270</v>
      </c>
      <c r="EU71">
        <v>0</v>
      </c>
      <c r="EV71">
        <v>55</v>
      </c>
      <c r="EW71" t="s">
        <v>551</v>
      </c>
      <c r="EX71" t="s">
        <v>552</v>
      </c>
      <c r="EY71">
        <v>153</v>
      </c>
      <c r="EZ71">
        <v>153</v>
      </c>
      <c r="FA71">
        <v>153</v>
      </c>
      <c r="FB71" t="s">
        <v>270</v>
      </c>
      <c r="FC71" t="s">
        <v>553</v>
      </c>
      <c r="FD71" t="s">
        <v>552</v>
      </c>
      <c r="FE71">
        <v>270</v>
      </c>
      <c r="FF71">
        <v>269</v>
      </c>
      <c r="FG71">
        <v>268</v>
      </c>
      <c r="FH71" t="s">
        <v>270</v>
      </c>
      <c r="FI71" t="s">
        <v>554</v>
      </c>
      <c r="FJ71" t="s">
        <v>555</v>
      </c>
      <c r="FK71">
        <v>0</v>
      </c>
      <c r="FL71">
        <v>0</v>
      </c>
      <c r="FM71">
        <v>0</v>
      </c>
      <c r="FN71" t="s">
        <v>264</v>
      </c>
      <c r="FO71">
        <v>76.2</v>
      </c>
      <c r="FP71">
        <v>277</v>
      </c>
      <c r="FQ71" t="s">
        <v>556</v>
      </c>
      <c r="FR71" t="s">
        <v>555</v>
      </c>
      <c r="FS71">
        <v>0</v>
      </c>
      <c r="FT71">
        <v>0</v>
      </c>
      <c r="FU71">
        <v>0</v>
      </c>
      <c r="FV71" t="s">
        <v>264</v>
      </c>
      <c r="FW71">
        <v>73.599999999999994</v>
      </c>
      <c r="FX71">
        <v>75.400000000000006</v>
      </c>
      <c r="FY71" t="s">
        <v>557</v>
      </c>
      <c r="FZ71" t="s">
        <v>555</v>
      </c>
      <c r="GA71">
        <v>0</v>
      </c>
      <c r="GB71">
        <v>0</v>
      </c>
      <c r="GC71">
        <v>0</v>
      </c>
      <c r="GD71" t="s">
        <v>264</v>
      </c>
      <c r="GE71">
        <v>71.400000000000006</v>
      </c>
      <c r="GF71">
        <v>210.5</v>
      </c>
      <c r="GG71" t="s">
        <v>558</v>
      </c>
      <c r="GH71" t="s">
        <v>555</v>
      </c>
      <c r="GI71">
        <v>0</v>
      </c>
      <c r="GJ71">
        <v>0</v>
      </c>
      <c r="GK71">
        <v>0</v>
      </c>
      <c r="GL71" t="s">
        <v>264</v>
      </c>
      <c r="GM71">
        <v>68.5</v>
      </c>
      <c r="GN71">
        <v>39</v>
      </c>
      <c r="GO71" t="s">
        <v>559</v>
      </c>
      <c r="GP71" t="s">
        <v>555</v>
      </c>
      <c r="GQ71">
        <v>0</v>
      </c>
      <c r="GR71">
        <v>0</v>
      </c>
      <c r="GS71">
        <v>0</v>
      </c>
      <c r="GT71" t="s">
        <v>264</v>
      </c>
      <c r="GU71">
        <v>76.2</v>
      </c>
      <c r="GV71">
        <v>45.2</v>
      </c>
      <c r="GW71" t="s">
        <v>560</v>
      </c>
      <c r="GX71" t="s">
        <v>555</v>
      </c>
      <c r="GY71">
        <v>0</v>
      </c>
      <c r="GZ71">
        <v>0</v>
      </c>
      <c r="HA71">
        <v>0</v>
      </c>
      <c r="HB71" t="s">
        <v>264</v>
      </c>
      <c r="HC71">
        <v>70.400000000000006</v>
      </c>
      <c r="HD71">
        <v>84</v>
      </c>
      <c r="HE71" t="s">
        <v>561</v>
      </c>
      <c r="HF71" t="s">
        <v>555</v>
      </c>
      <c r="HG71">
        <v>0</v>
      </c>
      <c r="HH71">
        <v>0</v>
      </c>
      <c r="HI71">
        <v>0</v>
      </c>
      <c r="HJ71" t="s">
        <v>264</v>
      </c>
      <c r="HK71">
        <v>71</v>
      </c>
      <c r="HL71">
        <v>117.3</v>
      </c>
      <c r="HM71" t="s">
        <v>562</v>
      </c>
      <c r="HN71" t="s">
        <v>555</v>
      </c>
      <c r="HO71">
        <v>0</v>
      </c>
      <c r="HP71">
        <v>0</v>
      </c>
      <c r="HQ71">
        <v>0</v>
      </c>
      <c r="HR71" t="s">
        <v>264</v>
      </c>
      <c r="HS71">
        <v>69.3</v>
      </c>
      <c r="HT71">
        <v>72.099999999999994</v>
      </c>
      <c r="HU71" t="s">
        <v>563</v>
      </c>
      <c r="HV71" t="s">
        <v>555</v>
      </c>
      <c r="HW71">
        <v>0</v>
      </c>
      <c r="HX71">
        <v>0</v>
      </c>
      <c r="HY71">
        <v>0</v>
      </c>
      <c r="HZ71" t="s">
        <v>264</v>
      </c>
      <c r="IA71">
        <v>74.900000000000006</v>
      </c>
      <c r="IB71">
        <v>171.8</v>
      </c>
      <c r="IC71" t="s">
        <v>564</v>
      </c>
      <c r="ID71" t="s">
        <v>555</v>
      </c>
      <c r="IE71">
        <v>0</v>
      </c>
      <c r="IF71">
        <v>0</v>
      </c>
      <c r="IG71">
        <v>0</v>
      </c>
      <c r="IH71" t="s">
        <v>264</v>
      </c>
      <c r="II71">
        <v>68.400000000000006</v>
      </c>
      <c r="IJ71">
        <v>115.4</v>
      </c>
      <c r="IK71" t="s">
        <v>565</v>
      </c>
      <c r="IL71" t="s">
        <v>555</v>
      </c>
      <c r="IM71">
        <v>0</v>
      </c>
      <c r="IN71">
        <v>0</v>
      </c>
      <c r="IO71">
        <v>0</v>
      </c>
      <c r="IP71" t="s">
        <v>264</v>
      </c>
      <c r="IS71" t="s">
        <v>566</v>
      </c>
      <c r="IT71" t="s">
        <v>555</v>
      </c>
      <c r="IU71">
        <v>0</v>
      </c>
      <c r="IV71">
        <v>0</v>
      </c>
      <c r="IW71">
        <v>0</v>
      </c>
      <c r="IX71" t="s">
        <v>264</v>
      </c>
      <c r="JA71" t="s">
        <v>567</v>
      </c>
      <c r="JB71" t="s">
        <v>555</v>
      </c>
      <c r="JC71">
        <v>0</v>
      </c>
      <c r="JD71">
        <v>0</v>
      </c>
      <c r="JE71">
        <v>0</v>
      </c>
      <c r="JF71" t="s">
        <v>264</v>
      </c>
      <c r="JI71" t="s">
        <v>568</v>
      </c>
      <c r="JJ71" t="s">
        <v>555</v>
      </c>
      <c r="JK71">
        <v>0</v>
      </c>
      <c r="JL71">
        <v>0</v>
      </c>
      <c r="JM71">
        <v>0</v>
      </c>
      <c r="JN71" t="s">
        <v>264</v>
      </c>
      <c r="JQ71" t="s">
        <v>569</v>
      </c>
      <c r="JR71" t="s">
        <v>555</v>
      </c>
      <c r="JS71">
        <v>0</v>
      </c>
      <c r="JT71">
        <v>0</v>
      </c>
      <c r="JU71">
        <v>0</v>
      </c>
      <c r="JV71" t="s">
        <v>264</v>
      </c>
      <c r="JY71" t="s">
        <v>570</v>
      </c>
      <c r="JZ71" t="s">
        <v>555</v>
      </c>
      <c r="KA71">
        <v>0</v>
      </c>
      <c r="KB71">
        <v>0</v>
      </c>
      <c r="KC71">
        <v>0</v>
      </c>
      <c r="KD71" t="s">
        <v>264</v>
      </c>
      <c r="KG71" t="s">
        <v>571</v>
      </c>
      <c r="KH71" t="s">
        <v>555</v>
      </c>
      <c r="KI71">
        <v>0</v>
      </c>
      <c r="KJ71">
        <v>0</v>
      </c>
      <c r="KK71">
        <v>0</v>
      </c>
      <c r="KL71" t="s">
        <v>264</v>
      </c>
      <c r="KO71" t="s">
        <v>572</v>
      </c>
      <c r="KP71" t="s">
        <v>555</v>
      </c>
      <c r="KQ71">
        <v>0</v>
      </c>
      <c r="KR71">
        <v>0</v>
      </c>
      <c r="KS71">
        <v>0</v>
      </c>
      <c r="KT71" t="s">
        <v>264</v>
      </c>
      <c r="KW71" t="s">
        <v>573</v>
      </c>
      <c r="KX71" t="s">
        <v>555</v>
      </c>
      <c r="KY71">
        <v>0</v>
      </c>
      <c r="KZ71">
        <v>0</v>
      </c>
      <c r="LA71">
        <v>0</v>
      </c>
      <c r="LB71" t="s">
        <v>264</v>
      </c>
      <c r="LE71" t="s">
        <v>574</v>
      </c>
      <c r="LF71" t="s">
        <v>555</v>
      </c>
      <c r="LG71">
        <v>0</v>
      </c>
      <c r="LH71">
        <v>0</v>
      </c>
      <c r="LI71">
        <v>0</v>
      </c>
      <c r="LJ71" t="s">
        <v>264</v>
      </c>
      <c r="LM71" t="s">
        <v>575</v>
      </c>
      <c r="LN71" t="s">
        <v>555</v>
      </c>
      <c r="LO71">
        <v>0</v>
      </c>
      <c r="LP71">
        <v>0</v>
      </c>
      <c r="LQ71">
        <v>0</v>
      </c>
      <c r="LR71" t="s">
        <v>264</v>
      </c>
      <c r="LU71" t="s">
        <v>576</v>
      </c>
      <c r="LV71" t="s">
        <v>555</v>
      </c>
      <c r="LW71">
        <v>0</v>
      </c>
      <c r="LX71">
        <v>0</v>
      </c>
      <c r="LY71">
        <v>0</v>
      </c>
      <c r="LZ71" t="s">
        <v>264</v>
      </c>
      <c r="MC71" t="s">
        <v>577</v>
      </c>
      <c r="MD71" t="s">
        <v>555</v>
      </c>
      <c r="ME71">
        <v>0</v>
      </c>
      <c r="MF71">
        <v>0</v>
      </c>
      <c r="MG71">
        <v>0</v>
      </c>
      <c r="MH71" t="s">
        <v>264</v>
      </c>
      <c r="MK71" t="s">
        <v>578</v>
      </c>
      <c r="ML71" t="s">
        <v>555</v>
      </c>
      <c r="MM71">
        <v>0</v>
      </c>
      <c r="MN71">
        <v>0</v>
      </c>
      <c r="MO71">
        <v>0</v>
      </c>
      <c r="MP71" t="s">
        <v>264</v>
      </c>
      <c r="MS71" t="s">
        <v>579</v>
      </c>
      <c r="MT71" t="s">
        <v>555</v>
      </c>
      <c r="MU71">
        <v>0</v>
      </c>
      <c r="MV71">
        <v>0</v>
      </c>
      <c r="MW71">
        <v>0</v>
      </c>
      <c r="MX71" t="s">
        <v>264</v>
      </c>
      <c r="NA71" t="s">
        <v>580</v>
      </c>
      <c r="NB71" t="s">
        <v>555</v>
      </c>
      <c r="NC71">
        <v>0</v>
      </c>
      <c r="ND71">
        <v>0</v>
      </c>
      <c r="NE71">
        <v>0</v>
      </c>
      <c r="NF71" t="s">
        <v>264</v>
      </c>
      <c r="NI71">
        <v>40</v>
      </c>
      <c r="NJ71">
        <v>-7.9</v>
      </c>
      <c r="NP71" t="s">
        <v>581</v>
      </c>
    </row>
    <row r="72" spans="1:380" customFormat="1" x14ac:dyDescent="0.2">
      <c r="A72" t="s">
        <v>517</v>
      </c>
      <c r="B72">
        <v>1</v>
      </c>
      <c r="C72" t="s">
        <v>946</v>
      </c>
      <c r="D72">
        <v>646968457</v>
      </c>
      <c r="E72">
        <v>12602</v>
      </c>
      <c r="F72" t="s">
        <v>805</v>
      </c>
      <c r="G72">
        <v>709954</v>
      </c>
      <c r="H72">
        <v>210069694</v>
      </c>
      <c r="I72" t="s">
        <v>543</v>
      </c>
      <c r="J72" t="s">
        <v>947</v>
      </c>
      <c r="K72" t="s">
        <v>545</v>
      </c>
      <c r="L72" t="s">
        <v>442</v>
      </c>
      <c r="M72" t="s">
        <v>546</v>
      </c>
      <c r="N72" t="s">
        <v>468</v>
      </c>
      <c r="O72" t="s">
        <v>547</v>
      </c>
      <c r="P72" t="s">
        <v>264</v>
      </c>
      <c r="Q72">
        <v>25.7</v>
      </c>
      <c r="R72">
        <v>388</v>
      </c>
      <c r="S72" t="s">
        <v>264</v>
      </c>
      <c r="T72">
        <v>-9999</v>
      </c>
      <c r="U72">
        <v>330</v>
      </c>
      <c r="V72">
        <v>339</v>
      </c>
      <c r="W72">
        <v>323</v>
      </c>
      <c r="X72" t="s">
        <v>270</v>
      </c>
      <c r="Y72">
        <v>0</v>
      </c>
      <c r="Z72">
        <v>55</v>
      </c>
      <c r="AA72" t="s">
        <v>469</v>
      </c>
      <c r="AB72" t="s">
        <v>548</v>
      </c>
      <c r="AC72">
        <v>1</v>
      </c>
      <c r="AD72" t="s">
        <v>584</v>
      </c>
      <c r="AE72">
        <v>25.6</v>
      </c>
      <c r="AF72">
        <v>1753</v>
      </c>
      <c r="AG72" t="s">
        <v>264</v>
      </c>
      <c r="AH72">
        <v>-9999</v>
      </c>
      <c r="AI72">
        <v>350</v>
      </c>
      <c r="AJ72">
        <v>420</v>
      </c>
      <c r="AK72">
        <v>343</v>
      </c>
      <c r="AL72" t="s">
        <v>270</v>
      </c>
      <c r="AM72">
        <v>0</v>
      </c>
      <c r="AN72">
        <v>55</v>
      </c>
      <c r="AO72" t="s">
        <v>470</v>
      </c>
      <c r="AP72" t="s">
        <v>548</v>
      </c>
      <c r="AQ72">
        <v>2</v>
      </c>
      <c r="AR72" t="s">
        <v>584</v>
      </c>
      <c r="AS72">
        <v>37.6</v>
      </c>
      <c r="AT72">
        <v>385</v>
      </c>
      <c r="AU72" t="s">
        <v>264</v>
      </c>
      <c r="AV72">
        <v>-9999</v>
      </c>
      <c r="AW72">
        <v>323</v>
      </c>
      <c r="AX72">
        <v>339</v>
      </c>
      <c r="AY72">
        <v>320</v>
      </c>
      <c r="AZ72" t="s">
        <v>270</v>
      </c>
      <c r="BA72">
        <v>0</v>
      </c>
      <c r="BB72">
        <v>55</v>
      </c>
      <c r="BC72" t="s">
        <v>550</v>
      </c>
      <c r="BD72" t="s">
        <v>548</v>
      </c>
      <c r="BE72">
        <v>3</v>
      </c>
      <c r="BF72" t="s">
        <v>584</v>
      </c>
      <c r="BG72">
        <v>21.7</v>
      </c>
      <c r="BH72">
        <v>964</v>
      </c>
      <c r="BI72" t="s">
        <v>264</v>
      </c>
      <c r="BJ72">
        <v>-9999</v>
      </c>
      <c r="BK72">
        <v>94</v>
      </c>
      <c r="BL72">
        <v>128</v>
      </c>
      <c r="BM72">
        <v>99</v>
      </c>
      <c r="BN72" t="s">
        <v>270</v>
      </c>
      <c r="BO72">
        <v>0</v>
      </c>
      <c r="BP72">
        <v>55</v>
      </c>
      <c r="BQ72" t="s">
        <v>504</v>
      </c>
      <c r="BR72" t="s">
        <v>548</v>
      </c>
      <c r="BS72">
        <v>4</v>
      </c>
      <c r="BT72" t="s">
        <v>584</v>
      </c>
      <c r="BU72">
        <v>29.3</v>
      </c>
      <c r="BV72">
        <v>396</v>
      </c>
      <c r="BW72" t="s">
        <v>264</v>
      </c>
      <c r="BX72">
        <v>-9999</v>
      </c>
      <c r="BY72">
        <v>133</v>
      </c>
      <c r="BZ72">
        <v>153</v>
      </c>
      <c r="CA72">
        <v>131</v>
      </c>
      <c r="CB72" t="s">
        <v>270</v>
      </c>
      <c r="CC72">
        <v>0</v>
      </c>
      <c r="CD72">
        <v>55</v>
      </c>
      <c r="CE72" t="s">
        <v>471</v>
      </c>
      <c r="CF72" t="s">
        <v>548</v>
      </c>
      <c r="CG72">
        <v>5</v>
      </c>
      <c r="CH72" t="s">
        <v>584</v>
      </c>
      <c r="CI72">
        <v>34</v>
      </c>
      <c r="CJ72">
        <v>278</v>
      </c>
      <c r="CK72" t="s">
        <v>264</v>
      </c>
      <c r="CL72">
        <v>-9999</v>
      </c>
      <c r="CM72">
        <v>386</v>
      </c>
      <c r="CN72">
        <v>449</v>
      </c>
      <c r="CO72">
        <v>385</v>
      </c>
      <c r="CP72" t="s">
        <v>270</v>
      </c>
      <c r="CQ72">
        <v>0</v>
      </c>
      <c r="CR72">
        <v>55</v>
      </c>
      <c r="CS72" t="s">
        <v>472</v>
      </c>
      <c r="CT72" t="s">
        <v>548</v>
      </c>
      <c r="CU72">
        <v>6</v>
      </c>
      <c r="CV72" t="s">
        <v>584</v>
      </c>
      <c r="CW72">
        <v>34.6</v>
      </c>
      <c r="CX72">
        <v>280</v>
      </c>
      <c r="CY72" t="s">
        <v>264</v>
      </c>
      <c r="CZ72">
        <v>-9999</v>
      </c>
      <c r="DA72">
        <v>501</v>
      </c>
      <c r="DB72">
        <v>566</v>
      </c>
      <c r="DC72">
        <v>492</v>
      </c>
      <c r="DD72" t="s">
        <v>270</v>
      </c>
      <c r="DE72">
        <v>0</v>
      </c>
      <c r="DF72">
        <v>55</v>
      </c>
      <c r="DG72" t="s">
        <v>473</v>
      </c>
      <c r="DH72" t="s">
        <v>548</v>
      </c>
      <c r="DI72">
        <v>7</v>
      </c>
      <c r="DJ72" t="s">
        <v>584</v>
      </c>
      <c r="DK72">
        <v>22.1</v>
      </c>
      <c r="DL72">
        <v>347</v>
      </c>
      <c r="DM72" t="s">
        <v>264</v>
      </c>
      <c r="DN72">
        <v>-9999</v>
      </c>
      <c r="DO72">
        <v>368</v>
      </c>
      <c r="DP72">
        <v>419</v>
      </c>
      <c r="DQ72">
        <v>364</v>
      </c>
      <c r="DR72" t="s">
        <v>270</v>
      </c>
      <c r="DS72">
        <v>0</v>
      </c>
      <c r="DT72">
        <v>55</v>
      </c>
      <c r="DU72" t="s">
        <v>474</v>
      </c>
      <c r="DV72" t="s">
        <v>548</v>
      </c>
      <c r="DW72">
        <v>8</v>
      </c>
      <c r="DX72" t="s">
        <v>584</v>
      </c>
      <c r="DY72">
        <v>20.9</v>
      </c>
      <c r="DZ72">
        <v>524</v>
      </c>
      <c r="EA72" t="s">
        <v>264</v>
      </c>
      <c r="EB72">
        <v>-9999</v>
      </c>
      <c r="EC72">
        <v>83</v>
      </c>
      <c r="ED72">
        <v>101</v>
      </c>
      <c r="EE72">
        <v>81</v>
      </c>
      <c r="EF72" t="s">
        <v>270</v>
      </c>
      <c r="EG72">
        <v>0</v>
      </c>
      <c r="EH72">
        <v>55</v>
      </c>
      <c r="EI72" t="s">
        <v>475</v>
      </c>
      <c r="EJ72" t="s">
        <v>548</v>
      </c>
      <c r="EK72">
        <v>9</v>
      </c>
      <c r="EL72" t="s">
        <v>584</v>
      </c>
      <c r="EM72">
        <v>23.8</v>
      </c>
      <c r="EN72">
        <v>141</v>
      </c>
      <c r="EO72" t="s">
        <v>264</v>
      </c>
      <c r="EP72">
        <v>-9999</v>
      </c>
      <c r="EQ72">
        <v>271</v>
      </c>
      <c r="ER72">
        <v>255</v>
      </c>
      <c r="ES72">
        <v>233</v>
      </c>
      <c r="ET72" t="s">
        <v>270</v>
      </c>
      <c r="EU72">
        <v>0</v>
      </c>
      <c r="EV72">
        <v>55</v>
      </c>
      <c r="EW72" t="s">
        <v>551</v>
      </c>
      <c r="EX72" t="s">
        <v>552</v>
      </c>
      <c r="EY72">
        <v>126</v>
      </c>
      <c r="EZ72">
        <v>126</v>
      </c>
      <c r="FA72">
        <v>127</v>
      </c>
      <c r="FB72" t="s">
        <v>270</v>
      </c>
      <c r="FC72" t="s">
        <v>553</v>
      </c>
      <c r="FD72" t="s">
        <v>552</v>
      </c>
      <c r="FE72">
        <v>284</v>
      </c>
      <c r="FF72">
        <v>283</v>
      </c>
      <c r="FG72">
        <v>283</v>
      </c>
      <c r="FH72" t="s">
        <v>270</v>
      </c>
      <c r="FI72" t="s">
        <v>554</v>
      </c>
      <c r="FJ72" t="s">
        <v>555</v>
      </c>
      <c r="FK72">
        <v>0</v>
      </c>
      <c r="FL72">
        <v>0</v>
      </c>
      <c r="FM72">
        <v>0</v>
      </c>
      <c r="FN72" t="s">
        <v>264</v>
      </c>
      <c r="FO72">
        <v>76.099999999999994</v>
      </c>
      <c r="FP72">
        <v>267.2</v>
      </c>
      <c r="FQ72" t="s">
        <v>556</v>
      </c>
      <c r="FR72" t="s">
        <v>555</v>
      </c>
      <c r="FS72">
        <v>0</v>
      </c>
      <c r="FT72">
        <v>0</v>
      </c>
      <c r="FU72">
        <v>0</v>
      </c>
      <c r="FV72" t="s">
        <v>264</v>
      </c>
      <c r="FW72">
        <v>73.599999999999994</v>
      </c>
      <c r="FX72">
        <v>98.1</v>
      </c>
      <c r="FY72" t="s">
        <v>557</v>
      </c>
      <c r="FZ72" t="s">
        <v>555</v>
      </c>
      <c r="GA72">
        <v>0</v>
      </c>
      <c r="GB72">
        <v>0</v>
      </c>
      <c r="GC72">
        <v>0</v>
      </c>
      <c r="GD72" t="s">
        <v>264</v>
      </c>
      <c r="GE72">
        <v>71.2</v>
      </c>
      <c r="GF72">
        <v>234.9</v>
      </c>
      <c r="GG72" t="s">
        <v>558</v>
      </c>
      <c r="GH72" t="s">
        <v>555</v>
      </c>
      <c r="GI72">
        <v>0</v>
      </c>
      <c r="GJ72">
        <v>0</v>
      </c>
      <c r="GK72">
        <v>0</v>
      </c>
      <c r="GL72" t="s">
        <v>264</v>
      </c>
      <c r="GM72">
        <v>68.5</v>
      </c>
      <c r="GN72">
        <v>47.3</v>
      </c>
      <c r="GO72" t="s">
        <v>559</v>
      </c>
      <c r="GP72" t="s">
        <v>555</v>
      </c>
      <c r="GQ72">
        <v>0</v>
      </c>
      <c r="GR72">
        <v>0</v>
      </c>
      <c r="GS72">
        <v>0</v>
      </c>
      <c r="GT72" t="s">
        <v>264</v>
      </c>
      <c r="GU72">
        <v>76</v>
      </c>
      <c r="GV72">
        <v>52</v>
      </c>
      <c r="GW72" t="s">
        <v>560</v>
      </c>
      <c r="GX72" t="s">
        <v>555</v>
      </c>
      <c r="GY72">
        <v>0</v>
      </c>
      <c r="GZ72">
        <v>0</v>
      </c>
      <c r="HA72">
        <v>0</v>
      </c>
      <c r="HB72" t="s">
        <v>264</v>
      </c>
      <c r="HC72">
        <v>70.3</v>
      </c>
      <c r="HD72">
        <v>73.2</v>
      </c>
      <c r="HE72" t="s">
        <v>561</v>
      </c>
      <c r="HF72" t="s">
        <v>555</v>
      </c>
      <c r="HG72">
        <v>0</v>
      </c>
      <c r="HH72">
        <v>0</v>
      </c>
      <c r="HI72">
        <v>0</v>
      </c>
      <c r="HJ72" t="s">
        <v>264</v>
      </c>
      <c r="HK72">
        <v>70.900000000000006</v>
      </c>
      <c r="HL72">
        <v>122.7</v>
      </c>
      <c r="HM72" t="s">
        <v>562</v>
      </c>
      <c r="HN72" t="s">
        <v>555</v>
      </c>
      <c r="HO72">
        <v>0</v>
      </c>
      <c r="HP72">
        <v>0</v>
      </c>
      <c r="HQ72">
        <v>0</v>
      </c>
      <c r="HR72" t="s">
        <v>264</v>
      </c>
      <c r="HS72">
        <v>69.2</v>
      </c>
      <c r="HT72">
        <v>79.7</v>
      </c>
      <c r="HU72" t="s">
        <v>563</v>
      </c>
      <c r="HV72" t="s">
        <v>555</v>
      </c>
      <c r="HW72">
        <v>0</v>
      </c>
      <c r="HX72">
        <v>0</v>
      </c>
      <c r="HY72">
        <v>0</v>
      </c>
      <c r="HZ72" t="s">
        <v>264</v>
      </c>
      <c r="IA72">
        <v>74.8</v>
      </c>
      <c r="IB72">
        <v>166.9</v>
      </c>
      <c r="IC72" t="s">
        <v>564</v>
      </c>
      <c r="ID72" t="s">
        <v>555</v>
      </c>
      <c r="IE72">
        <v>0</v>
      </c>
      <c r="IF72">
        <v>0</v>
      </c>
      <c r="IG72">
        <v>0</v>
      </c>
      <c r="IH72" t="s">
        <v>264</v>
      </c>
      <c r="II72">
        <v>68.3</v>
      </c>
      <c r="IJ72">
        <v>111.3</v>
      </c>
      <c r="IK72" t="s">
        <v>565</v>
      </c>
      <c r="IL72" t="s">
        <v>555</v>
      </c>
      <c r="IM72">
        <v>0</v>
      </c>
      <c r="IN72">
        <v>0</v>
      </c>
      <c r="IO72">
        <v>0</v>
      </c>
      <c r="IP72" t="s">
        <v>264</v>
      </c>
      <c r="IS72" t="s">
        <v>566</v>
      </c>
      <c r="IT72" t="s">
        <v>555</v>
      </c>
      <c r="IU72">
        <v>0</v>
      </c>
      <c r="IV72">
        <v>0</v>
      </c>
      <c r="IW72">
        <v>0</v>
      </c>
      <c r="IX72" t="s">
        <v>264</v>
      </c>
      <c r="JA72" t="s">
        <v>567</v>
      </c>
      <c r="JB72" t="s">
        <v>555</v>
      </c>
      <c r="JC72">
        <v>0</v>
      </c>
      <c r="JD72">
        <v>0</v>
      </c>
      <c r="JE72">
        <v>0</v>
      </c>
      <c r="JF72" t="s">
        <v>264</v>
      </c>
      <c r="JI72" t="s">
        <v>568</v>
      </c>
      <c r="JJ72" t="s">
        <v>555</v>
      </c>
      <c r="JK72">
        <v>0</v>
      </c>
      <c r="JL72">
        <v>0</v>
      </c>
      <c r="JM72">
        <v>0</v>
      </c>
      <c r="JN72" t="s">
        <v>264</v>
      </c>
      <c r="JQ72" t="s">
        <v>569</v>
      </c>
      <c r="JR72" t="s">
        <v>555</v>
      </c>
      <c r="JS72">
        <v>0</v>
      </c>
      <c r="JT72">
        <v>0</v>
      </c>
      <c r="JU72">
        <v>0</v>
      </c>
      <c r="JV72" t="s">
        <v>264</v>
      </c>
      <c r="JY72" t="s">
        <v>570</v>
      </c>
      <c r="JZ72" t="s">
        <v>555</v>
      </c>
      <c r="KA72">
        <v>0</v>
      </c>
      <c r="KB72">
        <v>0</v>
      </c>
      <c r="KC72">
        <v>0</v>
      </c>
      <c r="KD72" t="s">
        <v>264</v>
      </c>
      <c r="KG72" t="s">
        <v>571</v>
      </c>
      <c r="KH72" t="s">
        <v>555</v>
      </c>
      <c r="KI72">
        <v>0</v>
      </c>
      <c r="KJ72">
        <v>0</v>
      </c>
      <c r="KK72">
        <v>0</v>
      </c>
      <c r="KL72" t="s">
        <v>264</v>
      </c>
      <c r="KO72" t="s">
        <v>572</v>
      </c>
      <c r="KP72" t="s">
        <v>555</v>
      </c>
      <c r="KQ72">
        <v>0</v>
      </c>
      <c r="KR72">
        <v>0</v>
      </c>
      <c r="KS72">
        <v>0</v>
      </c>
      <c r="KT72" t="s">
        <v>264</v>
      </c>
      <c r="KW72" t="s">
        <v>573</v>
      </c>
      <c r="KX72" t="s">
        <v>555</v>
      </c>
      <c r="KY72">
        <v>0</v>
      </c>
      <c r="KZ72">
        <v>0</v>
      </c>
      <c r="LA72">
        <v>0</v>
      </c>
      <c r="LB72" t="s">
        <v>264</v>
      </c>
      <c r="LE72" t="s">
        <v>574</v>
      </c>
      <c r="LF72" t="s">
        <v>555</v>
      </c>
      <c r="LG72">
        <v>0</v>
      </c>
      <c r="LH72">
        <v>0</v>
      </c>
      <c r="LI72">
        <v>0</v>
      </c>
      <c r="LJ72" t="s">
        <v>264</v>
      </c>
      <c r="LM72" t="s">
        <v>575</v>
      </c>
      <c r="LN72" t="s">
        <v>555</v>
      </c>
      <c r="LO72">
        <v>0</v>
      </c>
      <c r="LP72">
        <v>0</v>
      </c>
      <c r="LQ72">
        <v>0</v>
      </c>
      <c r="LR72" t="s">
        <v>264</v>
      </c>
      <c r="LU72" t="s">
        <v>576</v>
      </c>
      <c r="LV72" t="s">
        <v>555</v>
      </c>
      <c r="LW72">
        <v>0</v>
      </c>
      <c r="LX72">
        <v>0</v>
      </c>
      <c r="LY72">
        <v>0</v>
      </c>
      <c r="LZ72" t="s">
        <v>264</v>
      </c>
      <c r="MC72" t="s">
        <v>577</v>
      </c>
      <c r="MD72" t="s">
        <v>555</v>
      </c>
      <c r="ME72">
        <v>0</v>
      </c>
      <c r="MF72">
        <v>0</v>
      </c>
      <c r="MG72">
        <v>0</v>
      </c>
      <c r="MH72" t="s">
        <v>264</v>
      </c>
      <c r="MK72" t="s">
        <v>578</v>
      </c>
      <c r="ML72" t="s">
        <v>555</v>
      </c>
      <c r="MM72">
        <v>0</v>
      </c>
      <c r="MN72">
        <v>0</v>
      </c>
      <c r="MO72">
        <v>0</v>
      </c>
      <c r="MP72" t="s">
        <v>264</v>
      </c>
      <c r="MS72" t="s">
        <v>579</v>
      </c>
      <c r="MT72" t="s">
        <v>555</v>
      </c>
      <c r="MU72">
        <v>0</v>
      </c>
      <c r="MV72">
        <v>0</v>
      </c>
      <c r="MW72">
        <v>0</v>
      </c>
      <c r="MX72" t="s">
        <v>264</v>
      </c>
      <c r="NA72" t="s">
        <v>580</v>
      </c>
      <c r="NB72" t="s">
        <v>555</v>
      </c>
      <c r="NC72">
        <v>0</v>
      </c>
      <c r="ND72">
        <v>0</v>
      </c>
      <c r="NE72">
        <v>0</v>
      </c>
      <c r="NF72" t="s">
        <v>264</v>
      </c>
      <c r="NI72">
        <v>40.1</v>
      </c>
      <c r="NJ72">
        <v>-7.2</v>
      </c>
      <c r="NP72" t="s">
        <v>581</v>
      </c>
    </row>
    <row r="73" spans="1:380" customFormat="1" x14ac:dyDescent="0.2">
      <c r="A73" t="s">
        <v>517</v>
      </c>
      <c r="B73">
        <v>1</v>
      </c>
      <c r="C73" t="s">
        <v>948</v>
      </c>
      <c r="D73">
        <v>647064687</v>
      </c>
      <c r="E73">
        <v>12602</v>
      </c>
      <c r="F73" t="s">
        <v>805</v>
      </c>
      <c r="G73">
        <v>750170</v>
      </c>
      <c r="H73">
        <v>872824</v>
      </c>
      <c r="I73" t="s">
        <v>543</v>
      </c>
      <c r="J73" t="s">
        <v>949</v>
      </c>
      <c r="K73" t="s">
        <v>545</v>
      </c>
      <c r="L73" t="s">
        <v>442</v>
      </c>
      <c r="M73" t="s">
        <v>546</v>
      </c>
      <c r="N73" t="s">
        <v>468</v>
      </c>
      <c r="O73" t="s">
        <v>547</v>
      </c>
      <c r="P73" t="s">
        <v>264</v>
      </c>
      <c r="Q73">
        <v>26.3</v>
      </c>
      <c r="R73">
        <v>238</v>
      </c>
      <c r="S73" t="s">
        <v>264</v>
      </c>
      <c r="T73">
        <v>-9999</v>
      </c>
      <c r="U73">
        <v>505</v>
      </c>
      <c r="V73">
        <v>517</v>
      </c>
      <c r="W73">
        <v>492</v>
      </c>
      <c r="X73" t="s">
        <v>270</v>
      </c>
      <c r="Y73">
        <v>0</v>
      </c>
      <c r="Z73">
        <v>55</v>
      </c>
      <c r="AA73" t="s">
        <v>469</v>
      </c>
      <c r="AB73" t="s">
        <v>548</v>
      </c>
      <c r="AC73">
        <v>1</v>
      </c>
      <c r="AD73" t="s">
        <v>584</v>
      </c>
      <c r="AE73">
        <v>24.5</v>
      </c>
      <c r="AF73">
        <v>1258</v>
      </c>
      <c r="AG73" t="s">
        <v>264</v>
      </c>
      <c r="AH73">
        <v>-9999</v>
      </c>
      <c r="AI73">
        <v>536</v>
      </c>
      <c r="AJ73">
        <v>650</v>
      </c>
      <c r="AK73">
        <v>528</v>
      </c>
      <c r="AL73" t="s">
        <v>270</v>
      </c>
      <c r="AM73">
        <v>0</v>
      </c>
      <c r="AN73">
        <v>55</v>
      </c>
      <c r="AO73" t="s">
        <v>470</v>
      </c>
      <c r="AP73" t="s">
        <v>548</v>
      </c>
      <c r="AQ73">
        <v>2</v>
      </c>
      <c r="AR73" t="s">
        <v>584</v>
      </c>
      <c r="AS73">
        <v>35.299999999999997</v>
      </c>
      <c r="AT73">
        <v>344</v>
      </c>
      <c r="AU73" t="s">
        <v>264</v>
      </c>
      <c r="AV73">
        <v>-9999</v>
      </c>
      <c r="AW73">
        <v>371</v>
      </c>
      <c r="AX73">
        <v>391</v>
      </c>
      <c r="AY73">
        <v>368</v>
      </c>
      <c r="AZ73" t="s">
        <v>270</v>
      </c>
      <c r="BA73">
        <v>0</v>
      </c>
      <c r="BB73">
        <v>55</v>
      </c>
      <c r="BC73" t="s">
        <v>550</v>
      </c>
      <c r="BD73" t="s">
        <v>548</v>
      </c>
      <c r="BE73">
        <v>3</v>
      </c>
      <c r="BF73" t="s">
        <v>584</v>
      </c>
      <c r="BG73">
        <v>21</v>
      </c>
      <c r="BH73">
        <v>1341</v>
      </c>
      <c r="BI73" t="s">
        <v>264</v>
      </c>
      <c r="BJ73">
        <v>-9999</v>
      </c>
      <c r="BK73">
        <v>43</v>
      </c>
      <c r="BL73">
        <v>73</v>
      </c>
      <c r="BM73">
        <v>49</v>
      </c>
      <c r="BN73" t="s">
        <v>270</v>
      </c>
      <c r="BO73">
        <v>0</v>
      </c>
      <c r="BP73">
        <v>55</v>
      </c>
      <c r="BQ73" t="s">
        <v>504</v>
      </c>
      <c r="BR73" t="s">
        <v>548</v>
      </c>
      <c r="BS73">
        <v>4</v>
      </c>
      <c r="BT73" t="s">
        <v>584</v>
      </c>
      <c r="BU73">
        <v>29.5</v>
      </c>
      <c r="BV73">
        <v>282</v>
      </c>
      <c r="BW73" t="s">
        <v>264</v>
      </c>
      <c r="BX73">
        <v>-9999</v>
      </c>
      <c r="BY73">
        <v>219</v>
      </c>
      <c r="BZ73">
        <v>254</v>
      </c>
      <c r="CA73">
        <v>216</v>
      </c>
      <c r="CB73" t="s">
        <v>270</v>
      </c>
      <c r="CC73">
        <v>0</v>
      </c>
      <c r="CD73">
        <v>55</v>
      </c>
      <c r="CE73" t="s">
        <v>471</v>
      </c>
      <c r="CF73" t="s">
        <v>548</v>
      </c>
      <c r="CG73">
        <v>5</v>
      </c>
      <c r="CH73" t="s">
        <v>584</v>
      </c>
      <c r="CI73">
        <v>33</v>
      </c>
      <c r="CJ73">
        <v>228</v>
      </c>
      <c r="CK73" t="s">
        <v>264</v>
      </c>
      <c r="CL73">
        <v>-9999</v>
      </c>
      <c r="CM73">
        <v>539</v>
      </c>
      <c r="CN73">
        <v>630</v>
      </c>
      <c r="CO73">
        <v>539</v>
      </c>
      <c r="CP73" t="s">
        <v>270</v>
      </c>
      <c r="CQ73">
        <v>0</v>
      </c>
      <c r="CR73">
        <v>55</v>
      </c>
      <c r="CS73" t="s">
        <v>472</v>
      </c>
      <c r="CT73" t="s">
        <v>548</v>
      </c>
      <c r="CU73">
        <v>6</v>
      </c>
      <c r="CV73" t="s">
        <v>584</v>
      </c>
      <c r="CW73">
        <v>33.799999999999997</v>
      </c>
      <c r="CX73">
        <v>248</v>
      </c>
      <c r="CY73" t="s">
        <v>264</v>
      </c>
      <c r="CZ73">
        <v>-9999</v>
      </c>
      <c r="DA73">
        <v>575</v>
      </c>
      <c r="DB73">
        <v>649</v>
      </c>
      <c r="DC73">
        <v>564</v>
      </c>
      <c r="DD73" t="s">
        <v>270</v>
      </c>
      <c r="DE73">
        <v>0</v>
      </c>
      <c r="DF73">
        <v>55</v>
      </c>
      <c r="DG73" t="s">
        <v>473</v>
      </c>
      <c r="DH73" t="s">
        <v>548</v>
      </c>
      <c r="DI73">
        <v>7</v>
      </c>
      <c r="DJ73" t="s">
        <v>584</v>
      </c>
      <c r="DK73">
        <v>24</v>
      </c>
      <c r="DL73">
        <v>244</v>
      </c>
      <c r="DM73" t="s">
        <v>264</v>
      </c>
      <c r="DN73">
        <v>-9999</v>
      </c>
      <c r="DO73">
        <v>529</v>
      </c>
      <c r="DP73">
        <v>604</v>
      </c>
      <c r="DQ73">
        <v>524</v>
      </c>
      <c r="DR73" t="s">
        <v>270</v>
      </c>
      <c r="DS73">
        <v>0</v>
      </c>
      <c r="DT73">
        <v>55</v>
      </c>
      <c r="DU73" t="s">
        <v>474</v>
      </c>
      <c r="DV73" t="s">
        <v>548</v>
      </c>
      <c r="DW73">
        <v>8</v>
      </c>
      <c r="DX73" t="s">
        <v>584</v>
      </c>
      <c r="DY73">
        <v>21.4</v>
      </c>
      <c r="DZ73">
        <v>418</v>
      </c>
      <c r="EA73" t="s">
        <v>264</v>
      </c>
      <c r="EB73">
        <v>-9999</v>
      </c>
      <c r="EC73">
        <v>111</v>
      </c>
      <c r="ED73">
        <v>134</v>
      </c>
      <c r="EE73">
        <v>109</v>
      </c>
      <c r="EF73" t="s">
        <v>270</v>
      </c>
      <c r="EG73">
        <v>0</v>
      </c>
      <c r="EH73">
        <v>55</v>
      </c>
      <c r="EI73" t="s">
        <v>475</v>
      </c>
      <c r="EJ73" t="s">
        <v>548</v>
      </c>
      <c r="EK73">
        <v>9</v>
      </c>
      <c r="EL73" t="s">
        <v>584</v>
      </c>
      <c r="EM73">
        <v>25.9</v>
      </c>
      <c r="EN73">
        <v>81</v>
      </c>
      <c r="EO73" t="s">
        <v>264</v>
      </c>
      <c r="EP73">
        <v>-9999</v>
      </c>
      <c r="EQ73">
        <v>370</v>
      </c>
      <c r="ER73">
        <v>355</v>
      </c>
      <c r="ES73">
        <v>328</v>
      </c>
      <c r="ET73" t="s">
        <v>270</v>
      </c>
      <c r="EU73">
        <v>0</v>
      </c>
      <c r="EV73">
        <v>55</v>
      </c>
      <c r="EW73" t="s">
        <v>551</v>
      </c>
      <c r="EX73" t="s">
        <v>552</v>
      </c>
      <c r="EY73">
        <v>124</v>
      </c>
      <c r="EZ73">
        <v>124</v>
      </c>
      <c r="FA73">
        <v>125</v>
      </c>
      <c r="FB73" t="s">
        <v>270</v>
      </c>
      <c r="FC73" t="s">
        <v>553</v>
      </c>
      <c r="FD73" t="s">
        <v>552</v>
      </c>
      <c r="FE73">
        <v>309</v>
      </c>
      <c r="FF73">
        <v>308</v>
      </c>
      <c r="FG73">
        <v>307</v>
      </c>
      <c r="FH73" t="s">
        <v>270</v>
      </c>
      <c r="FI73" t="s">
        <v>554</v>
      </c>
      <c r="FJ73" t="s">
        <v>555</v>
      </c>
      <c r="FK73">
        <v>0</v>
      </c>
      <c r="FL73">
        <v>0</v>
      </c>
      <c r="FM73">
        <v>0</v>
      </c>
      <c r="FN73" t="s">
        <v>264</v>
      </c>
      <c r="FO73">
        <v>76.099999999999994</v>
      </c>
      <c r="FP73">
        <v>271.10000000000002</v>
      </c>
      <c r="FQ73" t="s">
        <v>556</v>
      </c>
      <c r="FR73" t="s">
        <v>555</v>
      </c>
      <c r="FS73">
        <v>0</v>
      </c>
      <c r="FT73">
        <v>0</v>
      </c>
      <c r="FU73">
        <v>0</v>
      </c>
      <c r="FV73" t="s">
        <v>264</v>
      </c>
      <c r="FW73">
        <v>73.5</v>
      </c>
      <c r="FX73">
        <v>84.9</v>
      </c>
      <c r="FY73" t="s">
        <v>557</v>
      </c>
      <c r="FZ73" t="s">
        <v>555</v>
      </c>
      <c r="GA73">
        <v>0</v>
      </c>
      <c r="GB73">
        <v>0</v>
      </c>
      <c r="GC73">
        <v>0</v>
      </c>
      <c r="GD73" t="s">
        <v>264</v>
      </c>
      <c r="GE73">
        <v>71.3</v>
      </c>
      <c r="GF73">
        <v>206.1</v>
      </c>
      <c r="GG73" t="s">
        <v>558</v>
      </c>
      <c r="GH73" t="s">
        <v>555</v>
      </c>
      <c r="GI73">
        <v>0</v>
      </c>
      <c r="GJ73">
        <v>0</v>
      </c>
      <c r="GK73">
        <v>0</v>
      </c>
      <c r="GL73" t="s">
        <v>264</v>
      </c>
      <c r="GM73">
        <v>68.400000000000006</v>
      </c>
      <c r="GN73">
        <v>44.6</v>
      </c>
      <c r="GO73" t="s">
        <v>559</v>
      </c>
      <c r="GP73" t="s">
        <v>555</v>
      </c>
      <c r="GQ73">
        <v>0</v>
      </c>
      <c r="GR73">
        <v>0</v>
      </c>
      <c r="GS73">
        <v>0</v>
      </c>
      <c r="GT73" t="s">
        <v>264</v>
      </c>
      <c r="GU73">
        <v>76</v>
      </c>
      <c r="GV73">
        <v>57.9</v>
      </c>
      <c r="GW73" t="s">
        <v>560</v>
      </c>
      <c r="GX73" t="s">
        <v>555</v>
      </c>
      <c r="GY73">
        <v>0</v>
      </c>
      <c r="GZ73">
        <v>0</v>
      </c>
      <c r="HA73">
        <v>0</v>
      </c>
      <c r="HB73" t="s">
        <v>264</v>
      </c>
      <c r="HC73">
        <v>70.400000000000006</v>
      </c>
      <c r="HD73">
        <v>86.9</v>
      </c>
      <c r="HE73" t="s">
        <v>561</v>
      </c>
      <c r="HF73" t="s">
        <v>555</v>
      </c>
      <c r="HG73">
        <v>0</v>
      </c>
      <c r="HH73">
        <v>0</v>
      </c>
      <c r="HI73">
        <v>0</v>
      </c>
      <c r="HJ73" t="s">
        <v>264</v>
      </c>
      <c r="HK73">
        <v>70.900000000000006</v>
      </c>
      <c r="HL73">
        <v>120.3</v>
      </c>
      <c r="HM73" t="s">
        <v>562</v>
      </c>
      <c r="HN73" t="s">
        <v>555</v>
      </c>
      <c r="HO73">
        <v>0</v>
      </c>
      <c r="HP73">
        <v>0</v>
      </c>
      <c r="HQ73">
        <v>0</v>
      </c>
      <c r="HR73" t="s">
        <v>264</v>
      </c>
      <c r="HS73">
        <v>69.2</v>
      </c>
      <c r="HT73">
        <v>81.7</v>
      </c>
      <c r="HU73" t="s">
        <v>563</v>
      </c>
      <c r="HV73" t="s">
        <v>555</v>
      </c>
      <c r="HW73">
        <v>0</v>
      </c>
      <c r="HX73">
        <v>0</v>
      </c>
      <c r="HY73">
        <v>0</v>
      </c>
      <c r="HZ73" t="s">
        <v>264</v>
      </c>
      <c r="IA73">
        <v>74.8</v>
      </c>
      <c r="IB73">
        <v>183.9</v>
      </c>
      <c r="IC73" t="s">
        <v>564</v>
      </c>
      <c r="ID73" t="s">
        <v>555</v>
      </c>
      <c r="IE73">
        <v>0</v>
      </c>
      <c r="IF73">
        <v>0</v>
      </c>
      <c r="IG73">
        <v>0</v>
      </c>
      <c r="IH73" t="s">
        <v>264</v>
      </c>
      <c r="II73">
        <v>68.400000000000006</v>
      </c>
      <c r="IJ73">
        <v>118.5</v>
      </c>
      <c r="IK73" t="s">
        <v>565</v>
      </c>
      <c r="IL73" t="s">
        <v>555</v>
      </c>
      <c r="IM73">
        <v>0</v>
      </c>
      <c r="IN73">
        <v>0</v>
      </c>
      <c r="IO73">
        <v>0</v>
      </c>
      <c r="IP73" t="s">
        <v>264</v>
      </c>
      <c r="IS73" t="s">
        <v>566</v>
      </c>
      <c r="IT73" t="s">
        <v>555</v>
      </c>
      <c r="IU73">
        <v>0</v>
      </c>
      <c r="IV73">
        <v>0</v>
      </c>
      <c r="IW73">
        <v>0</v>
      </c>
      <c r="IX73" t="s">
        <v>264</v>
      </c>
      <c r="JA73" t="s">
        <v>567</v>
      </c>
      <c r="JB73" t="s">
        <v>555</v>
      </c>
      <c r="JC73">
        <v>0</v>
      </c>
      <c r="JD73">
        <v>0</v>
      </c>
      <c r="JE73">
        <v>0</v>
      </c>
      <c r="JF73" t="s">
        <v>264</v>
      </c>
      <c r="JI73" t="s">
        <v>568</v>
      </c>
      <c r="JJ73" t="s">
        <v>555</v>
      </c>
      <c r="JK73">
        <v>0</v>
      </c>
      <c r="JL73">
        <v>0</v>
      </c>
      <c r="JM73">
        <v>0</v>
      </c>
      <c r="JN73" t="s">
        <v>264</v>
      </c>
      <c r="JQ73" t="s">
        <v>569</v>
      </c>
      <c r="JR73" t="s">
        <v>555</v>
      </c>
      <c r="JS73">
        <v>0</v>
      </c>
      <c r="JT73">
        <v>0</v>
      </c>
      <c r="JU73">
        <v>0</v>
      </c>
      <c r="JV73" t="s">
        <v>264</v>
      </c>
      <c r="JY73" t="s">
        <v>570</v>
      </c>
      <c r="JZ73" t="s">
        <v>555</v>
      </c>
      <c r="KA73">
        <v>0</v>
      </c>
      <c r="KB73">
        <v>0</v>
      </c>
      <c r="KC73">
        <v>0</v>
      </c>
      <c r="KD73" t="s">
        <v>264</v>
      </c>
      <c r="KG73" t="s">
        <v>571</v>
      </c>
      <c r="KH73" t="s">
        <v>555</v>
      </c>
      <c r="KI73">
        <v>0</v>
      </c>
      <c r="KJ73">
        <v>0</v>
      </c>
      <c r="KK73">
        <v>0</v>
      </c>
      <c r="KL73" t="s">
        <v>264</v>
      </c>
      <c r="KO73" t="s">
        <v>572</v>
      </c>
      <c r="KP73" t="s">
        <v>555</v>
      </c>
      <c r="KQ73">
        <v>0</v>
      </c>
      <c r="KR73">
        <v>0</v>
      </c>
      <c r="KS73">
        <v>0</v>
      </c>
      <c r="KT73" t="s">
        <v>264</v>
      </c>
      <c r="KW73" t="s">
        <v>573</v>
      </c>
      <c r="KX73" t="s">
        <v>555</v>
      </c>
      <c r="KY73">
        <v>0</v>
      </c>
      <c r="KZ73">
        <v>0</v>
      </c>
      <c r="LA73">
        <v>0</v>
      </c>
      <c r="LB73" t="s">
        <v>264</v>
      </c>
      <c r="LE73" t="s">
        <v>574</v>
      </c>
      <c r="LF73" t="s">
        <v>555</v>
      </c>
      <c r="LG73">
        <v>0</v>
      </c>
      <c r="LH73">
        <v>0</v>
      </c>
      <c r="LI73">
        <v>0</v>
      </c>
      <c r="LJ73" t="s">
        <v>264</v>
      </c>
      <c r="LM73" t="s">
        <v>575</v>
      </c>
      <c r="LN73" t="s">
        <v>555</v>
      </c>
      <c r="LO73">
        <v>0</v>
      </c>
      <c r="LP73">
        <v>0</v>
      </c>
      <c r="LQ73">
        <v>0</v>
      </c>
      <c r="LR73" t="s">
        <v>264</v>
      </c>
      <c r="LU73" t="s">
        <v>576</v>
      </c>
      <c r="LV73" t="s">
        <v>555</v>
      </c>
      <c r="LW73">
        <v>0</v>
      </c>
      <c r="LX73">
        <v>0</v>
      </c>
      <c r="LY73">
        <v>0</v>
      </c>
      <c r="LZ73" t="s">
        <v>264</v>
      </c>
      <c r="MC73" t="s">
        <v>577</v>
      </c>
      <c r="MD73" t="s">
        <v>555</v>
      </c>
      <c r="ME73">
        <v>0</v>
      </c>
      <c r="MF73">
        <v>0</v>
      </c>
      <c r="MG73">
        <v>0</v>
      </c>
      <c r="MH73" t="s">
        <v>264</v>
      </c>
      <c r="MK73" t="s">
        <v>578</v>
      </c>
      <c r="ML73" t="s">
        <v>555</v>
      </c>
      <c r="MM73">
        <v>0</v>
      </c>
      <c r="MN73">
        <v>0</v>
      </c>
      <c r="MO73">
        <v>0</v>
      </c>
      <c r="MP73" t="s">
        <v>264</v>
      </c>
      <c r="MS73" t="s">
        <v>579</v>
      </c>
      <c r="MT73" t="s">
        <v>555</v>
      </c>
      <c r="MU73">
        <v>0</v>
      </c>
      <c r="MV73">
        <v>0</v>
      </c>
      <c r="MW73">
        <v>0</v>
      </c>
      <c r="MX73" t="s">
        <v>264</v>
      </c>
      <c r="NA73" t="s">
        <v>580</v>
      </c>
      <c r="NB73" t="s">
        <v>555</v>
      </c>
      <c r="NC73">
        <v>0</v>
      </c>
      <c r="ND73">
        <v>0</v>
      </c>
      <c r="NE73">
        <v>0</v>
      </c>
      <c r="NF73" t="s">
        <v>264</v>
      </c>
      <c r="NI73">
        <v>40.1</v>
      </c>
      <c r="NJ73">
        <v>-9.3000000000000007</v>
      </c>
      <c r="NP73" t="s">
        <v>581</v>
      </c>
    </row>
    <row r="74" spans="1:380" customFormat="1" x14ac:dyDescent="0.2">
      <c r="A74" t="s">
        <v>517</v>
      </c>
      <c r="B74">
        <v>1</v>
      </c>
      <c r="C74" t="s">
        <v>950</v>
      </c>
      <c r="D74">
        <v>647066050</v>
      </c>
      <c r="E74">
        <v>12602</v>
      </c>
      <c r="F74" t="s">
        <v>805</v>
      </c>
      <c r="G74">
        <v>710084</v>
      </c>
      <c r="H74">
        <v>210022825</v>
      </c>
      <c r="I74" t="s">
        <v>543</v>
      </c>
      <c r="J74" t="s">
        <v>951</v>
      </c>
      <c r="K74" t="s">
        <v>545</v>
      </c>
      <c r="L74" t="s">
        <v>442</v>
      </c>
      <c r="M74" t="s">
        <v>546</v>
      </c>
      <c r="N74" t="s">
        <v>468</v>
      </c>
      <c r="O74" t="s">
        <v>547</v>
      </c>
      <c r="P74" t="s">
        <v>264</v>
      </c>
      <c r="Q74">
        <v>25.6</v>
      </c>
      <c r="R74">
        <v>319</v>
      </c>
      <c r="S74" t="s">
        <v>264</v>
      </c>
      <c r="T74">
        <v>-9999</v>
      </c>
      <c r="U74">
        <v>467</v>
      </c>
      <c r="V74">
        <v>482</v>
      </c>
      <c r="W74">
        <v>457</v>
      </c>
      <c r="X74" t="s">
        <v>270</v>
      </c>
      <c r="Y74">
        <v>0</v>
      </c>
      <c r="Z74">
        <v>55</v>
      </c>
      <c r="AA74" t="s">
        <v>469</v>
      </c>
      <c r="AB74" t="s">
        <v>548</v>
      </c>
      <c r="AC74">
        <v>1</v>
      </c>
      <c r="AD74" t="s">
        <v>584</v>
      </c>
      <c r="AE74">
        <v>25.5</v>
      </c>
      <c r="AF74">
        <v>1414</v>
      </c>
      <c r="AG74" t="s">
        <v>264</v>
      </c>
      <c r="AH74">
        <v>-9999</v>
      </c>
      <c r="AI74">
        <v>431</v>
      </c>
      <c r="AJ74">
        <v>530</v>
      </c>
      <c r="AK74">
        <v>429</v>
      </c>
      <c r="AL74" t="s">
        <v>270</v>
      </c>
      <c r="AM74">
        <v>0</v>
      </c>
      <c r="AN74">
        <v>55</v>
      </c>
      <c r="AO74" t="s">
        <v>470</v>
      </c>
      <c r="AP74" t="s">
        <v>548</v>
      </c>
      <c r="AQ74">
        <v>2</v>
      </c>
      <c r="AR74" t="s">
        <v>584</v>
      </c>
      <c r="AS74">
        <v>36</v>
      </c>
      <c r="AT74">
        <v>406</v>
      </c>
      <c r="AU74" t="s">
        <v>264</v>
      </c>
      <c r="AV74">
        <v>-9999</v>
      </c>
      <c r="AW74">
        <v>319</v>
      </c>
      <c r="AX74">
        <v>335</v>
      </c>
      <c r="AY74">
        <v>317</v>
      </c>
      <c r="AZ74" t="s">
        <v>270</v>
      </c>
      <c r="BA74">
        <v>0</v>
      </c>
      <c r="BB74">
        <v>55</v>
      </c>
      <c r="BC74" t="s">
        <v>550</v>
      </c>
      <c r="BD74" t="s">
        <v>548</v>
      </c>
      <c r="BE74">
        <v>3</v>
      </c>
      <c r="BF74" t="s">
        <v>584</v>
      </c>
      <c r="BG74">
        <v>21.9</v>
      </c>
      <c r="BH74">
        <v>677</v>
      </c>
      <c r="BI74" t="s">
        <v>264</v>
      </c>
      <c r="BJ74">
        <v>-9999</v>
      </c>
      <c r="BK74">
        <v>169</v>
      </c>
      <c r="BL74">
        <v>210</v>
      </c>
      <c r="BM74">
        <v>169</v>
      </c>
      <c r="BN74" t="s">
        <v>270</v>
      </c>
      <c r="BO74">
        <v>0</v>
      </c>
      <c r="BP74">
        <v>55</v>
      </c>
      <c r="BQ74" t="s">
        <v>504</v>
      </c>
      <c r="BR74" t="s">
        <v>548</v>
      </c>
      <c r="BS74">
        <v>4</v>
      </c>
      <c r="BT74" t="s">
        <v>584</v>
      </c>
      <c r="BU74">
        <v>28.8</v>
      </c>
      <c r="BV74">
        <v>310</v>
      </c>
      <c r="BW74" t="s">
        <v>264</v>
      </c>
      <c r="BX74">
        <v>-9999</v>
      </c>
      <c r="BY74">
        <v>193</v>
      </c>
      <c r="BZ74">
        <v>223</v>
      </c>
      <c r="CA74">
        <v>191</v>
      </c>
      <c r="CB74" t="s">
        <v>270</v>
      </c>
      <c r="CC74">
        <v>0</v>
      </c>
      <c r="CD74">
        <v>55</v>
      </c>
      <c r="CE74" t="s">
        <v>471</v>
      </c>
      <c r="CF74" t="s">
        <v>548</v>
      </c>
      <c r="CG74">
        <v>5</v>
      </c>
      <c r="CH74" t="s">
        <v>584</v>
      </c>
      <c r="CI74">
        <v>34.5</v>
      </c>
      <c r="CJ74">
        <v>224</v>
      </c>
      <c r="CK74" t="s">
        <v>264</v>
      </c>
      <c r="CL74">
        <v>-9999</v>
      </c>
      <c r="CM74">
        <v>445</v>
      </c>
      <c r="CN74">
        <v>517</v>
      </c>
      <c r="CO74">
        <v>444</v>
      </c>
      <c r="CP74" t="s">
        <v>270</v>
      </c>
      <c r="CQ74">
        <v>0</v>
      </c>
      <c r="CR74">
        <v>55</v>
      </c>
      <c r="CS74" t="s">
        <v>472</v>
      </c>
      <c r="CT74" t="s">
        <v>548</v>
      </c>
      <c r="CU74">
        <v>6</v>
      </c>
      <c r="CV74" t="s">
        <v>584</v>
      </c>
      <c r="CW74">
        <v>32.9</v>
      </c>
      <c r="CX74">
        <v>309</v>
      </c>
      <c r="CY74" t="s">
        <v>264</v>
      </c>
      <c r="CZ74">
        <v>-9999</v>
      </c>
      <c r="DA74">
        <v>529</v>
      </c>
      <c r="DB74">
        <v>600</v>
      </c>
      <c r="DC74">
        <v>520</v>
      </c>
      <c r="DD74" t="s">
        <v>270</v>
      </c>
      <c r="DE74">
        <v>0</v>
      </c>
      <c r="DF74">
        <v>55</v>
      </c>
      <c r="DG74" t="s">
        <v>473</v>
      </c>
      <c r="DH74" t="s">
        <v>548</v>
      </c>
      <c r="DI74">
        <v>7</v>
      </c>
      <c r="DJ74" t="s">
        <v>584</v>
      </c>
      <c r="DK74">
        <v>22.9</v>
      </c>
      <c r="DL74">
        <v>224</v>
      </c>
      <c r="DM74" t="s">
        <v>264</v>
      </c>
      <c r="DN74">
        <v>-9999</v>
      </c>
      <c r="DO74">
        <v>497</v>
      </c>
      <c r="DP74">
        <v>570</v>
      </c>
      <c r="DQ74">
        <v>493</v>
      </c>
      <c r="DR74" t="s">
        <v>270</v>
      </c>
      <c r="DS74">
        <v>0</v>
      </c>
      <c r="DT74">
        <v>55</v>
      </c>
      <c r="DU74" t="s">
        <v>474</v>
      </c>
      <c r="DV74" t="s">
        <v>548</v>
      </c>
      <c r="DW74">
        <v>8</v>
      </c>
      <c r="DX74" t="s">
        <v>584</v>
      </c>
      <c r="DY74">
        <v>20.9</v>
      </c>
      <c r="DZ74">
        <v>442</v>
      </c>
      <c r="EA74" t="s">
        <v>264</v>
      </c>
      <c r="EB74">
        <v>-9999</v>
      </c>
      <c r="EC74">
        <v>110</v>
      </c>
      <c r="ED74">
        <v>132</v>
      </c>
      <c r="EE74">
        <v>107</v>
      </c>
      <c r="EF74" t="s">
        <v>270</v>
      </c>
      <c r="EG74">
        <v>0</v>
      </c>
      <c r="EH74">
        <v>55</v>
      </c>
      <c r="EI74" t="s">
        <v>475</v>
      </c>
      <c r="EJ74" t="s">
        <v>548</v>
      </c>
      <c r="EK74">
        <v>9</v>
      </c>
      <c r="EL74" t="s">
        <v>584</v>
      </c>
      <c r="EM74">
        <v>23.5</v>
      </c>
      <c r="EN74">
        <v>111</v>
      </c>
      <c r="EO74" t="s">
        <v>264</v>
      </c>
      <c r="EP74">
        <v>-9999</v>
      </c>
      <c r="EQ74">
        <v>308</v>
      </c>
      <c r="ER74">
        <v>281</v>
      </c>
      <c r="ES74">
        <v>260</v>
      </c>
      <c r="ET74" t="s">
        <v>270</v>
      </c>
      <c r="EU74">
        <v>0</v>
      </c>
      <c r="EV74">
        <v>55</v>
      </c>
      <c r="EW74" t="s">
        <v>551</v>
      </c>
      <c r="EX74" t="s">
        <v>552</v>
      </c>
      <c r="EY74">
        <v>118</v>
      </c>
      <c r="EZ74">
        <v>119</v>
      </c>
      <c r="FA74">
        <v>118</v>
      </c>
      <c r="FB74" t="s">
        <v>270</v>
      </c>
      <c r="FC74" t="s">
        <v>553</v>
      </c>
      <c r="FD74" t="s">
        <v>552</v>
      </c>
      <c r="FE74">
        <v>243</v>
      </c>
      <c r="FF74">
        <v>242</v>
      </c>
      <c r="FG74">
        <v>241</v>
      </c>
      <c r="FH74" t="s">
        <v>270</v>
      </c>
      <c r="FI74" t="s">
        <v>554</v>
      </c>
      <c r="FJ74" t="s">
        <v>555</v>
      </c>
      <c r="FK74">
        <v>0</v>
      </c>
      <c r="FL74">
        <v>0</v>
      </c>
      <c r="FM74">
        <v>0</v>
      </c>
      <c r="FN74" t="s">
        <v>264</v>
      </c>
      <c r="FO74">
        <v>76.099999999999994</v>
      </c>
      <c r="FP74">
        <v>265.5</v>
      </c>
      <c r="FQ74" t="s">
        <v>556</v>
      </c>
      <c r="FR74" t="s">
        <v>555</v>
      </c>
      <c r="FS74">
        <v>0</v>
      </c>
      <c r="FT74">
        <v>0</v>
      </c>
      <c r="FU74">
        <v>0</v>
      </c>
      <c r="FV74" t="s">
        <v>264</v>
      </c>
      <c r="FW74">
        <v>73.5</v>
      </c>
      <c r="FX74">
        <v>88.4</v>
      </c>
      <c r="FY74" t="s">
        <v>557</v>
      </c>
      <c r="FZ74" t="s">
        <v>555</v>
      </c>
      <c r="GA74">
        <v>0</v>
      </c>
      <c r="GB74">
        <v>0</v>
      </c>
      <c r="GC74">
        <v>0</v>
      </c>
      <c r="GD74" t="s">
        <v>264</v>
      </c>
      <c r="GE74">
        <v>71.3</v>
      </c>
      <c r="GF74">
        <v>243.2</v>
      </c>
      <c r="GG74" t="s">
        <v>558</v>
      </c>
      <c r="GH74" t="s">
        <v>555</v>
      </c>
      <c r="GI74">
        <v>0</v>
      </c>
      <c r="GJ74">
        <v>0</v>
      </c>
      <c r="GK74">
        <v>0</v>
      </c>
      <c r="GL74" t="s">
        <v>264</v>
      </c>
      <c r="GM74">
        <v>68.599999999999994</v>
      </c>
      <c r="GN74">
        <v>43.7</v>
      </c>
      <c r="GO74" t="s">
        <v>559</v>
      </c>
      <c r="GP74" t="s">
        <v>555</v>
      </c>
      <c r="GQ74">
        <v>0</v>
      </c>
      <c r="GR74">
        <v>0</v>
      </c>
      <c r="GS74">
        <v>0</v>
      </c>
      <c r="GT74" t="s">
        <v>264</v>
      </c>
      <c r="GU74">
        <v>76</v>
      </c>
      <c r="GV74">
        <v>56.5</v>
      </c>
      <c r="GW74" t="s">
        <v>560</v>
      </c>
      <c r="GX74" t="s">
        <v>555</v>
      </c>
      <c r="GY74">
        <v>0</v>
      </c>
      <c r="GZ74">
        <v>0</v>
      </c>
      <c r="HA74">
        <v>0</v>
      </c>
      <c r="HB74" t="s">
        <v>264</v>
      </c>
      <c r="HC74">
        <v>70.2</v>
      </c>
      <c r="HD74">
        <v>71.3</v>
      </c>
      <c r="HE74" t="s">
        <v>561</v>
      </c>
      <c r="HF74" t="s">
        <v>555</v>
      </c>
      <c r="HG74">
        <v>0</v>
      </c>
      <c r="HH74">
        <v>0</v>
      </c>
      <c r="HI74">
        <v>0</v>
      </c>
      <c r="HJ74" t="s">
        <v>264</v>
      </c>
      <c r="HK74">
        <v>70.900000000000006</v>
      </c>
      <c r="HL74">
        <v>115.7</v>
      </c>
      <c r="HM74" t="s">
        <v>562</v>
      </c>
      <c r="HN74" t="s">
        <v>555</v>
      </c>
      <c r="HO74">
        <v>0</v>
      </c>
      <c r="HP74">
        <v>0</v>
      </c>
      <c r="HQ74">
        <v>0</v>
      </c>
      <c r="HR74" t="s">
        <v>264</v>
      </c>
      <c r="HS74">
        <v>69.3</v>
      </c>
      <c r="HT74">
        <v>81.7</v>
      </c>
      <c r="HU74" t="s">
        <v>563</v>
      </c>
      <c r="HV74" t="s">
        <v>555</v>
      </c>
      <c r="HW74">
        <v>0</v>
      </c>
      <c r="HX74">
        <v>0</v>
      </c>
      <c r="HY74">
        <v>0</v>
      </c>
      <c r="HZ74" t="s">
        <v>264</v>
      </c>
      <c r="IA74">
        <v>74.8</v>
      </c>
      <c r="IB74">
        <v>173.4</v>
      </c>
      <c r="IC74" t="s">
        <v>564</v>
      </c>
      <c r="ID74" t="s">
        <v>555</v>
      </c>
      <c r="IE74">
        <v>0</v>
      </c>
      <c r="IF74">
        <v>0</v>
      </c>
      <c r="IG74">
        <v>0</v>
      </c>
      <c r="IH74" t="s">
        <v>264</v>
      </c>
      <c r="II74">
        <v>68.3</v>
      </c>
      <c r="IJ74">
        <v>107.1</v>
      </c>
      <c r="IK74" t="s">
        <v>565</v>
      </c>
      <c r="IL74" t="s">
        <v>555</v>
      </c>
      <c r="IM74">
        <v>0</v>
      </c>
      <c r="IN74">
        <v>0</v>
      </c>
      <c r="IO74">
        <v>0</v>
      </c>
      <c r="IP74" t="s">
        <v>264</v>
      </c>
      <c r="IS74" t="s">
        <v>566</v>
      </c>
      <c r="IT74" t="s">
        <v>555</v>
      </c>
      <c r="IU74">
        <v>0</v>
      </c>
      <c r="IV74">
        <v>0</v>
      </c>
      <c r="IW74">
        <v>0</v>
      </c>
      <c r="IX74" t="s">
        <v>264</v>
      </c>
      <c r="JA74" t="s">
        <v>567</v>
      </c>
      <c r="JB74" t="s">
        <v>555</v>
      </c>
      <c r="JC74">
        <v>0</v>
      </c>
      <c r="JD74">
        <v>0</v>
      </c>
      <c r="JE74">
        <v>0</v>
      </c>
      <c r="JF74" t="s">
        <v>264</v>
      </c>
      <c r="JI74" t="s">
        <v>568</v>
      </c>
      <c r="JJ74" t="s">
        <v>555</v>
      </c>
      <c r="JK74">
        <v>0</v>
      </c>
      <c r="JL74">
        <v>0</v>
      </c>
      <c r="JM74">
        <v>0</v>
      </c>
      <c r="JN74" t="s">
        <v>264</v>
      </c>
      <c r="JQ74" t="s">
        <v>569</v>
      </c>
      <c r="JR74" t="s">
        <v>555</v>
      </c>
      <c r="JS74">
        <v>0</v>
      </c>
      <c r="JT74">
        <v>0</v>
      </c>
      <c r="JU74">
        <v>0</v>
      </c>
      <c r="JV74" t="s">
        <v>264</v>
      </c>
      <c r="JY74" t="s">
        <v>570</v>
      </c>
      <c r="JZ74" t="s">
        <v>555</v>
      </c>
      <c r="KA74">
        <v>0</v>
      </c>
      <c r="KB74">
        <v>0</v>
      </c>
      <c r="KC74">
        <v>0</v>
      </c>
      <c r="KD74" t="s">
        <v>264</v>
      </c>
      <c r="KG74" t="s">
        <v>571</v>
      </c>
      <c r="KH74" t="s">
        <v>555</v>
      </c>
      <c r="KI74">
        <v>0</v>
      </c>
      <c r="KJ74">
        <v>0</v>
      </c>
      <c r="KK74">
        <v>0</v>
      </c>
      <c r="KL74" t="s">
        <v>264</v>
      </c>
      <c r="KO74" t="s">
        <v>572</v>
      </c>
      <c r="KP74" t="s">
        <v>555</v>
      </c>
      <c r="KQ74">
        <v>0</v>
      </c>
      <c r="KR74">
        <v>0</v>
      </c>
      <c r="KS74">
        <v>0</v>
      </c>
      <c r="KT74" t="s">
        <v>264</v>
      </c>
      <c r="KW74" t="s">
        <v>573</v>
      </c>
      <c r="KX74" t="s">
        <v>555</v>
      </c>
      <c r="KY74">
        <v>0</v>
      </c>
      <c r="KZ74">
        <v>0</v>
      </c>
      <c r="LA74">
        <v>0</v>
      </c>
      <c r="LB74" t="s">
        <v>264</v>
      </c>
      <c r="LE74" t="s">
        <v>574</v>
      </c>
      <c r="LF74" t="s">
        <v>555</v>
      </c>
      <c r="LG74">
        <v>0</v>
      </c>
      <c r="LH74">
        <v>0</v>
      </c>
      <c r="LI74">
        <v>0</v>
      </c>
      <c r="LJ74" t="s">
        <v>264</v>
      </c>
      <c r="LM74" t="s">
        <v>575</v>
      </c>
      <c r="LN74" t="s">
        <v>555</v>
      </c>
      <c r="LO74">
        <v>0</v>
      </c>
      <c r="LP74">
        <v>0</v>
      </c>
      <c r="LQ74">
        <v>0</v>
      </c>
      <c r="LR74" t="s">
        <v>264</v>
      </c>
      <c r="LU74" t="s">
        <v>576</v>
      </c>
      <c r="LV74" t="s">
        <v>555</v>
      </c>
      <c r="LW74">
        <v>0</v>
      </c>
      <c r="LX74">
        <v>0</v>
      </c>
      <c r="LY74">
        <v>0</v>
      </c>
      <c r="LZ74" t="s">
        <v>264</v>
      </c>
      <c r="MC74" t="s">
        <v>577</v>
      </c>
      <c r="MD74" t="s">
        <v>555</v>
      </c>
      <c r="ME74">
        <v>0</v>
      </c>
      <c r="MF74">
        <v>0</v>
      </c>
      <c r="MG74">
        <v>0</v>
      </c>
      <c r="MH74" t="s">
        <v>264</v>
      </c>
      <c r="MK74" t="s">
        <v>578</v>
      </c>
      <c r="ML74" t="s">
        <v>555</v>
      </c>
      <c r="MM74">
        <v>0</v>
      </c>
      <c r="MN74">
        <v>0</v>
      </c>
      <c r="MO74">
        <v>0</v>
      </c>
      <c r="MP74" t="s">
        <v>264</v>
      </c>
      <c r="MS74" t="s">
        <v>579</v>
      </c>
      <c r="MT74" t="s">
        <v>555</v>
      </c>
      <c r="MU74">
        <v>0</v>
      </c>
      <c r="MV74">
        <v>0</v>
      </c>
      <c r="MW74">
        <v>0</v>
      </c>
      <c r="MX74" t="s">
        <v>264</v>
      </c>
      <c r="NA74" t="s">
        <v>580</v>
      </c>
      <c r="NB74" t="s">
        <v>555</v>
      </c>
      <c r="NC74">
        <v>0</v>
      </c>
      <c r="ND74">
        <v>0</v>
      </c>
      <c r="NE74">
        <v>0</v>
      </c>
      <c r="NF74" t="s">
        <v>264</v>
      </c>
      <c r="NI74">
        <v>40</v>
      </c>
      <c r="NJ74">
        <v>-8.6</v>
      </c>
      <c r="NP74" t="s">
        <v>581</v>
      </c>
    </row>
    <row r="75" spans="1:380" customFormat="1" x14ac:dyDescent="0.2">
      <c r="A75" t="s">
        <v>517</v>
      </c>
      <c r="B75">
        <v>1</v>
      </c>
      <c r="C75" t="s">
        <v>952</v>
      </c>
      <c r="D75">
        <v>647065086</v>
      </c>
      <c r="E75">
        <v>12602</v>
      </c>
      <c r="F75" t="s">
        <v>805</v>
      </c>
      <c r="G75">
        <v>710085</v>
      </c>
      <c r="H75">
        <v>210038188</v>
      </c>
      <c r="I75" t="s">
        <v>543</v>
      </c>
      <c r="J75" t="s">
        <v>953</v>
      </c>
      <c r="K75" t="s">
        <v>545</v>
      </c>
      <c r="L75" t="s">
        <v>442</v>
      </c>
      <c r="M75" t="s">
        <v>546</v>
      </c>
      <c r="N75" t="s">
        <v>468</v>
      </c>
      <c r="O75" t="s">
        <v>547</v>
      </c>
      <c r="P75" t="s">
        <v>264</v>
      </c>
      <c r="Q75">
        <v>26.8</v>
      </c>
      <c r="R75">
        <v>232</v>
      </c>
      <c r="S75" t="s">
        <v>264</v>
      </c>
      <c r="T75">
        <v>-9999</v>
      </c>
      <c r="U75">
        <v>489</v>
      </c>
      <c r="V75">
        <v>503</v>
      </c>
      <c r="W75">
        <v>479</v>
      </c>
      <c r="X75" t="s">
        <v>270</v>
      </c>
      <c r="Y75">
        <v>0</v>
      </c>
      <c r="Z75">
        <v>55</v>
      </c>
      <c r="AA75" t="s">
        <v>469</v>
      </c>
      <c r="AB75" t="s">
        <v>548</v>
      </c>
      <c r="AC75">
        <v>1</v>
      </c>
      <c r="AD75" t="s">
        <v>584</v>
      </c>
      <c r="AE75">
        <v>24.9</v>
      </c>
      <c r="AF75">
        <v>1365</v>
      </c>
      <c r="AG75" t="s">
        <v>264</v>
      </c>
      <c r="AH75">
        <v>-9999</v>
      </c>
      <c r="AI75">
        <v>511</v>
      </c>
      <c r="AJ75">
        <v>627</v>
      </c>
      <c r="AK75">
        <v>505</v>
      </c>
      <c r="AL75" t="s">
        <v>270</v>
      </c>
      <c r="AM75">
        <v>0</v>
      </c>
      <c r="AN75">
        <v>55</v>
      </c>
      <c r="AO75" t="s">
        <v>470</v>
      </c>
      <c r="AP75" t="s">
        <v>548</v>
      </c>
      <c r="AQ75">
        <v>2</v>
      </c>
      <c r="AR75" t="s">
        <v>584</v>
      </c>
      <c r="AS75">
        <v>35.9</v>
      </c>
      <c r="AT75">
        <v>318</v>
      </c>
      <c r="AU75" t="s">
        <v>264</v>
      </c>
      <c r="AV75">
        <v>-9999</v>
      </c>
      <c r="AW75">
        <v>362</v>
      </c>
      <c r="AX75">
        <v>382</v>
      </c>
      <c r="AY75">
        <v>360</v>
      </c>
      <c r="AZ75" t="s">
        <v>270</v>
      </c>
      <c r="BA75">
        <v>0</v>
      </c>
      <c r="BB75">
        <v>55</v>
      </c>
      <c r="BC75" t="s">
        <v>550</v>
      </c>
      <c r="BD75" t="s">
        <v>548</v>
      </c>
      <c r="BE75">
        <v>3</v>
      </c>
      <c r="BF75" t="s">
        <v>584</v>
      </c>
      <c r="BG75">
        <v>18</v>
      </c>
      <c r="BH75">
        <v>1151</v>
      </c>
      <c r="BI75" t="s">
        <v>264</v>
      </c>
      <c r="BJ75">
        <v>-9999</v>
      </c>
      <c r="BK75">
        <v>56</v>
      </c>
      <c r="BL75">
        <v>83</v>
      </c>
      <c r="BM75">
        <v>59</v>
      </c>
      <c r="BN75" t="s">
        <v>270</v>
      </c>
      <c r="BO75">
        <v>0</v>
      </c>
      <c r="BP75">
        <v>55</v>
      </c>
      <c r="BQ75" t="s">
        <v>504</v>
      </c>
      <c r="BR75" t="s">
        <v>548</v>
      </c>
      <c r="BS75">
        <v>4</v>
      </c>
      <c r="BT75" t="s">
        <v>584</v>
      </c>
      <c r="BU75">
        <v>29.9</v>
      </c>
      <c r="BV75">
        <v>284</v>
      </c>
      <c r="BW75" t="s">
        <v>264</v>
      </c>
      <c r="BX75">
        <v>-9999</v>
      </c>
      <c r="BY75">
        <v>194</v>
      </c>
      <c r="BZ75">
        <v>226</v>
      </c>
      <c r="CA75">
        <v>192</v>
      </c>
      <c r="CB75" t="s">
        <v>270</v>
      </c>
      <c r="CC75">
        <v>0</v>
      </c>
      <c r="CD75">
        <v>55</v>
      </c>
      <c r="CE75" t="s">
        <v>471</v>
      </c>
      <c r="CF75" t="s">
        <v>548</v>
      </c>
      <c r="CG75">
        <v>5</v>
      </c>
      <c r="CH75" t="s">
        <v>584</v>
      </c>
      <c r="CI75">
        <v>35.5</v>
      </c>
      <c r="CJ75">
        <v>184</v>
      </c>
      <c r="CK75" t="s">
        <v>264</v>
      </c>
      <c r="CL75">
        <v>-9999</v>
      </c>
      <c r="CM75">
        <v>487</v>
      </c>
      <c r="CN75">
        <v>567</v>
      </c>
      <c r="CO75">
        <v>487</v>
      </c>
      <c r="CP75" t="s">
        <v>270</v>
      </c>
      <c r="CQ75">
        <v>0</v>
      </c>
      <c r="CR75">
        <v>55</v>
      </c>
      <c r="CS75" t="s">
        <v>472</v>
      </c>
      <c r="CT75" t="s">
        <v>548</v>
      </c>
      <c r="CU75">
        <v>6</v>
      </c>
      <c r="CV75" t="s">
        <v>584</v>
      </c>
      <c r="CW75">
        <v>34.299999999999997</v>
      </c>
      <c r="CX75">
        <v>250</v>
      </c>
      <c r="CY75" t="s">
        <v>264</v>
      </c>
      <c r="CZ75">
        <v>-9999</v>
      </c>
      <c r="DA75">
        <v>494</v>
      </c>
      <c r="DB75">
        <v>560</v>
      </c>
      <c r="DC75">
        <v>486</v>
      </c>
      <c r="DD75" t="s">
        <v>270</v>
      </c>
      <c r="DE75">
        <v>0</v>
      </c>
      <c r="DF75">
        <v>55</v>
      </c>
      <c r="DG75" t="s">
        <v>473</v>
      </c>
      <c r="DH75" t="s">
        <v>548</v>
      </c>
      <c r="DI75">
        <v>7</v>
      </c>
      <c r="DJ75" t="s">
        <v>584</v>
      </c>
      <c r="DK75">
        <v>23.6</v>
      </c>
      <c r="DL75">
        <v>236</v>
      </c>
      <c r="DM75" t="s">
        <v>264</v>
      </c>
      <c r="DN75">
        <v>-9999</v>
      </c>
      <c r="DO75">
        <v>472</v>
      </c>
      <c r="DP75">
        <v>541</v>
      </c>
      <c r="DQ75">
        <v>469</v>
      </c>
      <c r="DR75" t="s">
        <v>270</v>
      </c>
      <c r="DS75">
        <v>0</v>
      </c>
      <c r="DT75">
        <v>55</v>
      </c>
      <c r="DU75" t="s">
        <v>474</v>
      </c>
      <c r="DV75" t="s">
        <v>548</v>
      </c>
      <c r="DW75">
        <v>8</v>
      </c>
      <c r="DX75" t="s">
        <v>584</v>
      </c>
      <c r="DY75">
        <v>20.6</v>
      </c>
      <c r="DZ75">
        <v>479</v>
      </c>
      <c r="EA75" t="s">
        <v>264</v>
      </c>
      <c r="EB75">
        <v>-9999</v>
      </c>
      <c r="EC75">
        <v>108</v>
      </c>
      <c r="ED75">
        <v>131</v>
      </c>
      <c r="EE75">
        <v>106</v>
      </c>
      <c r="EF75" t="s">
        <v>270</v>
      </c>
      <c r="EG75">
        <v>0</v>
      </c>
      <c r="EH75">
        <v>55</v>
      </c>
      <c r="EI75" t="s">
        <v>475</v>
      </c>
      <c r="EJ75" t="s">
        <v>548</v>
      </c>
      <c r="EK75">
        <v>9</v>
      </c>
      <c r="EL75" t="s">
        <v>584</v>
      </c>
      <c r="EM75">
        <v>26</v>
      </c>
      <c r="EN75">
        <v>65</v>
      </c>
      <c r="EO75" t="s">
        <v>264</v>
      </c>
      <c r="EP75">
        <v>-9999</v>
      </c>
      <c r="EQ75">
        <v>313</v>
      </c>
      <c r="ER75">
        <v>294</v>
      </c>
      <c r="ES75">
        <v>273</v>
      </c>
      <c r="ET75" t="s">
        <v>270</v>
      </c>
      <c r="EU75">
        <v>0</v>
      </c>
      <c r="EV75">
        <v>55</v>
      </c>
      <c r="EW75" t="s">
        <v>551</v>
      </c>
      <c r="EX75" t="s">
        <v>552</v>
      </c>
      <c r="EY75">
        <v>126</v>
      </c>
      <c r="EZ75">
        <v>126</v>
      </c>
      <c r="FA75">
        <v>126</v>
      </c>
      <c r="FB75" t="s">
        <v>270</v>
      </c>
      <c r="FC75" t="s">
        <v>553</v>
      </c>
      <c r="FD75" t="s">
        <v>552</v>
      </c>
      <c r="FE75">
        <v>280</v>
      </c>
      <c r="FF75">
        <v>279</v>
      </c>
      <c r="FG75">
        <v>278</v>
      </c>
      <c r="FH75" t="s">
        <v>270</v>
      </c>
      <c r="FI75" t="s">
        <v>554</v>
      </c>
      <c r="FJ75" t="s">
        <v>555</v>
      </c>
      <c r="FK75">
        <v>0</v>
      </c>
      <c r="FL75">
        <v>0</v>
      </c>
      <c r="FM75">
        <v>0</v>
      </c>
      <c r="FN75" t="s">
        <v>264</v>
      </c>
      <c r="FO75">
        <v>76.099999999999994</v>
      </c>
      <c r="FP75">
        <v>289</v>
      </c>
      <c r="FQ75" t="s">
        <v>556</v>
      </c>
      <c r="FR75" t="s">
        <v>555</v>
      </c>
      <c r="FS75">
        <v>0</v>
      </c>
      <c r="FT75">
        <v>0</v>
      </c>
      <c r="FU75">
        <v>0</v>
      </c>
      <c r="FV75" t="s">
        <v>264</v>
      </c>
      <c r="FW75">
        <v>73.599999999999994</v>
      </c>
      <c r="FX75">
        <v>86.5</v>
      </c>
      <c r="FY75" t="s">
        <v>557</v>
      </c>
      <c r="FZ75" t="s">
        <v>555</v>
      </c>
      <c r="GA75">
        <v>0</v>
      </c>
      <c r="GB75">
        <v>0</v>
      </c>
      <c r="GC75">
        <v>0</v>
      </c>
      <c r="GD75" t="s">
        <v>264</v>
      </c>
      <c r="GE75">
        <v>71.400000000000006</v>
      </c>
      <c r="GF75">
        <v>198.3</v>
      </c>
      <c r="GG75" t="s">
        <v>558</v>
      </c>
      <c r="GH75" t="s">
        <v>555</v>
      </c>
      <c r="GI75">
        <v>0</v>
      </c>
      <c r="GJ75">
        <v>0</v>
      </c>
      <c r="GK75">
        <v>0</v>
      </c>
      <c r="GL75" t="s">
        <v>264</v>
      </c>
      <c r="GM75">
        <v>68.5</v>
      </c>
      <c r="GN75">
        <v>46.9</v>
      </c>
      <c r="GO75" t="s">
        <v>559</v>
      </c>
      <c r="GP75" t="s">
        <v>555</v>
      </c>
      <c r="GQ75">
        <v>0</v>
      </c>
      <c r="GR75">
        <v>0</v>
      </c>
      <c r="GS75">
        <v>0</v>
      </c>
      <c r="GT75" t="s">
        <v>264</v>
      </c>
      <c r="GU75">
        <v>76.099999999999994</v>
      </c>
      <c r="GV75">
        <v>52</v>
      </c>
      <c r="GW75" t="s">
        <v>560</v>
      </c>
      <c r="GX75" t="s">
        <v>555</v>
      </c>
      <c r="GY75">
        <v>0</v>
      </c>
      <c r="GZ75">
        <v>0</v>
      </c>
      <c r="HA75">
        <v>0</v>
      </c>
      <c r="HB75" t="s">
        <v>264</v>
      </c>
      <c r="HC75">
        <v>70.400000000000006</v>
      </c>
      <c r="HD75">
        <v>77.3</v>
      </c>
      <c r="HE75" t="s">
        <v>561</v>
      </c>
      <c r="HF75" t="s">
        <v>555</v>
      </c>
      <c r="HG75">
        <v>0</v>
      </c>
      <c r="HH75">
        <v>0</v>
      </c>
      <c r="HI75">
        <v>0</v>
      </c>
      <c r="HJ75" t="s">
        <v>264</v>
      </c>
      <c r="HK75">
        <v>71</v>
      </c>
      <c r="HL75">
        <v>99.4</v>
      </c>
      <c r="HM75" t="s">
        <v>562</v>
      </c>
      <c r="HN75" t="s">
        <v>555</v>
      </c>
      <c r="HO75">
        <v>0</v>
      </c>
      <c r="HP75">
        <v>0</v>
      </c>
      <c r="HQ75">
        <v>0</v>
      </c>
      <c r="HR75" t="s">
        <v>264</v>
      </c>
      <c r="HS75">
        <v>69.3</v>
      </c>
      <c r="HT75">
        <v>82</v>
      </c>
      <c r="HU75" t="s">
        <v>563</v>
      </c>
      <c r="HV75" t="s">
        <v>555</v>
      </c>
      <c r="HW75">
        <v>0</v>
      </c>
      <c r="HX75">
        <v>0</v>
      </c>
      <c r="HY75">
        <v>0</v>
      </c>
      <c r="HZ75" t="s">
        <v>264</v>
      </c>
      <c r="IA75">
        <v>74.8</v>
      </c>
      <c r="IB75">
        <v>207.2</v>
      </c>
      <c r="IC75" t="s">
        <v>564</v>
      </c>
      <c r="ID75" t="s">
        <v>555</v>
      </c>
      <c r="IE75">
        <v>0</v>
      </c>
      <c r="IF75">
        <v>0</v>
      </c>
      <c r="IG75">
        <v>0</v>
      </c>
      <c r="IH75" t="s">
        <v>264</v>
      </c>
      <c r="II75">
        <v>68.400000000000006</v>
      </c>
      <c r="IJ75">
        <v>111.4</v>
      </c>
      <c r="IK75" t="s">
        <v>565</v>
      </c>
      <c r="IL75" t="s">
        <v>555</v>
      </c>
      <c r="IM75">
        <v>0</v>
      </c>
      <c r="IN75">
        <v>0</v>
      </c>
      <c r="IO75">
        <v>0</v>
      </c>
      <c r="IP75" t="s">
        <v>264</v>
      </c>
      <c r="IS75" t="s">
        <v>566</v>
      </c>
      <c r="IT75" t="s">
        <v>555</v>
      </c>
      <c r="IU75">
        <v>0</v>
      </c>
      <c r="IV75">
        <v>0</v>
      </c>
      <c r="IW75">
        <v>0</v>
      </c>
      <c r="IX75" t="s">
        <v>264</v>
      </c>
      <c r="JA75" t="s">
        <v>567</v>
      </c>
      <c r="JB75" t="s">
        <v>555</v>
      </c>
      <c r="JC75">
        <v>0</v>
      </c>
      <c r="JD75">
        <v>0</v>
      </c>
      <c r="JE75">
        <v>0</v>
      </c>
      <c r="JF75" t="s">
        <v>264</v>
      </c>
      <c r="JI75" t="s">
        <v>568</v>
      </c>
      <c r="JJ75" t="s">
        <v>555</v>
      </c>
      <c r="JK75">
        <v>0</v>
      </c>
      <c r="JL75">
        <v>0</v>
      </c>
      <c r="JM75">
        <v>0</v>
      </c>
      <c r="JN75" t="s">
        <v>264</v>
      </c>
      <c r="JQ75" t="s">
        <v>569</v>
      </c>
      <c r="JR75" t="s">
        <v>555</v>
      </c>
      <c r="JS75">
        <v>0</v>
      </c>
      <c r="JT75">
        <v>0</v>
      </c>
      <c r="JU75">
        <v>0</v>
      </c>
      <c r="JV75" t="s">
        <v>264</v>
      </c>
      <c r="JY75" t="s">
        <v>570</v>
      </c>
      <c r="JZ75" t="s">
        <v>555</v>
      </c>
      <c r="KA75">
        <v>0</v>
      </c>
      <c r="KB75">
        <v>0</v>
      </c>
      <c r="KC75">
        <v>0</v>
      </c>
      <c r="KD75" t="s">
        <v>264</v>
      </c>
      <c r="KG75" t="s">
        <v>571</v>
      </c>
      <c r="KH75" t="s">
        <v>555</v>
      </c>
      <c r="KI75">
        <v>0</v>
      </c>
      <c r="KJ75">
        <v>0</v>
      </c>
      <c r="KK75">
        <v>0</v>
      </c>
      <c r="KL75" t="s">
        <v>264</v>
      </c>
      <c r="KO75" t="s">
        <v>572</v>
      </c>
      <c r="KP75" t="s">
        <v>555</v>
      </c>
      <c r="KQ75">
        <v>0</v>
      </c>
      <c r="KR75">
        <v>0</v>
      </c>
      <c r="KS75">
        <v>0</v>
      </c>
      <c r="KT75" t="s">
        <v>264</v>
      </c>
      <c r="KW75" t="s">
        <v>573</v>
      </c>
      <c r="KX75" t="s">
        <v>555</v>
      </c>
      <c r="KY75">
        <v>0</v>
      </c>
      <c r="KZ75">
        <v>0</v>
      </c>
      <c r="LA75">
        <v>0</v>
      </c>
      <c r="LB75" t="s">
        <v>264</v>
      </c>
      <c r="LE75" t="s">
        <v>574</v>
      </c>
      <c r="LF75" t="s">
        <v>555</v>
      </c>
      <c r="LG75">
        <v>0</v>
      </c>
      <c r="LH75">
        <v>0</v>
      </c>
      <c r="LI75">
        <v>0</v>
      </c>
      <c r="LJ75" t="s">
        <v>264</v>
      </c>
      <c r="LM75" t="s">
        <v>575</v>
      </c>
      <c r="LN75" t="s">
        <v>555</v>
      </c>
      <c r="LO75">
        <v>0</v>
      </c>
      <c r="LP75">
        <v>0</v>
      </c>
      <c r="LQ75">
        <v>0</v>
      </c>
      <c r="LR75" t="s">
        <v>264</v>
      </c>
      <c r="LU75" t="s">
        <v>576</v>
      </c>
      <c r="LV75" t="s">
        <v>555</v>
      </c>
      <c r="LW75">
        <v>0</v>
      </c>
      <c r="LX75">
        <v>0</v>
      </c>
      <c r="LY75">
        <v>0</v>
      </c>
      <c r="LZ75" t="s">
        <v>264</v>
      </c>
      <c r="MC75" t="s">
        <v>577</v>
      </c>
      <c r="MD75" t="s">
        <v>555</v>
      </c>
      <c r="ME75">
        <v>0</v>
      </c>
      <c r="MF75">
        <v>0</v>
      </c>
      <c r="MG75">
        <v>0</v>
      </c>
      <c r="MH75" t="s">
        <v>264</v>
      </c>
      <c r="MK75" t="s">
        <v>578</v>
      </c>
      <c r="ML75" t="s">
        <v>555</v>
      </c>
      <c r="MM75">
        <v>0</v>
      </c>
      <c r="MN75">
        <v>0</v>
      </c>
      <c r="MO75">
        <v>0</v>
      </c>
      <c r="MP75" t="s">
        <v>264</v>
      </c>
      <c r="MS75" t="s">
        <v>579</v>
      </c>
      <c r="MT75" t="s">
        <v>555</v>
      </c>
      <c r="MU75">
        <v>0</v>
      </c>
      <c r="MV75">
        <v>0</v>
      </c>
      <c r="MW75">
        <v>0</v>
      </c>
      <c r="MX75" t="s">
        <v>264</v>
      </c>
      <c r="NA75" t="s">
        <v>580</v>
      </c>
      <c r="NB75" t="s">
        <v>555</v>
      </c>
      <c r="NC75">
        <v>0</v>
      </c>
      <c r="ND75">
        <v>0</v>
      </c>
      <c r="NE75">
        <v>0</v>
      </c>
      <c r="NF75" t="s">
        <v>264</v>
      </c>
      <c r="NI75">
        <v>40.1</v>
      </c>
      <c r="NJ75">
        <v>-8.1999999999999993</v>
      </c>
      <c r="NP75" t="s">
        <v>581</v>
      </c>
    </row>
    <row r="76" spans="1:380" customFormat="1" x14ac:dyDescent="0.2">
      <c r="A76" t="s">
        <v>517</v>
      </c>
      <c r="B76">
        <v>1</v>
      </c>
      <c r="C76" t="s">
        <v>954</v>
      </c>
      <c r="D76">
        <v>647066032</v>
      </c>
      <c r="E76">
        <v>12602</v>
      </c>
      <c r="F76" t="s">
        <v>805</v>
      </c>
      <c r="G76">
        <v>710085</v>
      </c>
      <c r="H76">
        <v>210048218</v>
      </c>
      <c r="I76" t="s">
        <v>543</v>
      </c>
      <c r="J76" t="s">
        <v>955</v>
      </c>
      <c r="K76" t="s">
        <v>545</v>
      </c>
      <c r="L76" t="s">
        <v>442</v>
      </c>
      <c r="M76" t="s">
        <v>546</v>
      </c>
      <c r="N76" t="s">
        <v>468</v>
      </c>
      <c r="O76" t="s">
        <v>547</v>
      </c>
      <c r="P76" t="s">
        <v>264</v>
      </c>
      <c r="Q76">
        <v>25.5</v>
      </c>
      <c r="R76">
        <v>254</v>
      </c>
      <c r="S76" t="s">
        <v>264</v>
      </c>
      <c r="T76">
        <v>-9999</v>
      </c>
      <c r="U76">
        <v>429</v>
      </c>
      <c r="V76">
        <v>440</v>
      </c>
      <c r="W76">
        <v>420</v>
      </c>
      <c r="X76" t="s">
        <v>270</v>
      </c>
      <c r="Y76">
        <v>0</v>
      </c>
      <c r="Z76">
        <v>55</v>
      </c>
      <c r="AA76" t="s">
        <v>469</v>
      </c>
      <c r="AB76" t="s">
        <v>548</v>
      </c>
      <c r="AC76">
        <v>1</v>
      </c>
      <c r="AD76" t="s">
        <v>584</v>
      </c>
      <c r="AE76">
        <v>24.4</v>
      </c>
      <c r="AF76">
        <v>1162</v>
      </c>
      <c r="AG76" t="s">
        <v>264</v>
      </c>
      <c r="AH76">
        <v>-9999</v>
      </c>
      <c r="AI76">
        <v>541</v>
      </c>
      <c r="AJ76">
        <v>648</v>
      </c>
      <c r="AK76">
        <v>533</v>
      </c>
      <c r="AL76" t="s">
        <v>270</v>
      </c>
      <c r="AM76">
        <v>0</v>
      </c>
      <c r="AN76">
        <v>55</v>
      </c>
      <c r="AO76" t="s">
        <v>470</v>
      </c>
      <c r="AP76" t="s">
        <v>548</v>
      </c>
      <c r="AQ76">
        <v>2</v>
      </c>
      <c r="AR76" t="s">
        <v>584</v>
      </c>
      <c r="AS76">
        <v>34.9</v>
      </c>
      <c r="AT76">
        <v>364</v>
      </c>
      <c r="AU76" t="s">
        <v>264</v>
      </c>
      <c r="AV76">
        <v>-9999</v>
      </c>
      <c r="AW76">
        <v>365</v>
      </c>
      <c r="AX76">
        <v>388</v>
      </c>
      <c r="AY76">
        <v>364</v>
      </c>
      <c r="AZ76" t="s">
        <v>270</v>
      </c>
      <c r="BA76">
        <v>0</v>
      </c>
      <c r="BB76">
        <v>55</v>
      </c>
      <c r="BC76" t="s">
        <v>550</v>
      </c>
      <c r="BD76" t="s">
        <v>548</v>
      </c>
      <c r="BE76">
        <v>3</v>
      </c>
      <c r="BF76" t="s">
        <v>584</v>
      </c>
      <c r="BG76">
        <v>18.100000000000001</v>
      </c>
      <c r="BH76">
        <v>1840</v>
      </c>
      <c r="BI76" t="s">
        <v>264</v>
      </c>
      <c r="BJ76">
        <v>-9999</v>
      </c>
      <c r="BK76">
        <v>21</v>
      </c>
      <c r="BL76">
        <v>51</v>
      </c>
      <c r="BM76">
        <v>29</v>
      </c>
      <c r="BN76" t="s">
        <v>270</v>
      </c>
      <c r="BO76">
        <v>0</v>
      </c>
      <c r="BP76">
        <v>55</v>
      </c>
      <c r="BQ76" t="s">
        <v>504</v>
      </c>
      <c r="BR76" t="s">
        <v>548</v>
      </c>
      <c r="BS76">
        <v>4</v>
      </c>
      <c r="BT76" t="s">
        <v>584</v>
      </c>
      <c r="BU76">
        <v>28.7</v>
      </c>
      <c r="BV76">
        <v>290</v>
      </c>
      <c r="BW76" t="s">
        <v>264</v>
      </c>
      <c r="BX76">
        <v>-9999</v>
      </c>
      <c r="BY76">
        <v>202</v>
      </c>
      <c r="BZ76">
        <v>233</v>
      </c>
      <c r="CA76">
        <v>200</v>
      </c>
      <c r="CB76" t="s">
        <v>270</v>
      </c>
      <c r="CC76">
        <v>0</v>
      </c>
      <c r="CD76">
        <v>55</v>
      </c>
      <c r="CE76" t="s">
        <v>471</v>
      </c>
      <c r="CF76" t="s">
        <v>548</v>
      </c>
      <c r="CG76">
        <v>5</v>
      </c>
      <c r="CH76" t="s">
        <v>584</v>
      </c>
      <c r="CI76">
        <v>32.200000000000003</v>
      </c>
      <c r="CJ76">
        <v>234</v>
      </c>
      <c r="CK76" t="s">
        <v>264</v>
      </c>
      <c r="CL76">
        <v>-9999</v>
      </c>
      <c r="CM76">
        <v>510</v>
      </c>
      <c r="CN76">
        <v>597</v>
      </c>
      <c r="CO76">
        <v>511</v>
      </c>
      <c r="CP76" t="s">
        <v>270</v>
      </c>
      <c r="CQ76">
        <v>0</v>
      </c>
      <c r="CR76">
        <v>55</v>
      </c>
      <c r="CS76" t="s">
        <v>472</v>
      </c>
      <c r="CT76" t="s">
        <v>548</v>
      </c>
      <c r="CU76">
        <v>6</v>
      </c>
      <c r="CV76" t="s">
        <v>584</v>
      </c>
      <c r="CW76">
        <v>34.4</v>
      </c>
      <c r="CX76">
        <v>202</v>
      </c>
      <c r="CY76" t="s">
        <v>264</v>
      </c>
      <c r="CZ76">
        <v>-9999</v>
      </c>
      <c r="DA76">
        <v>547</v>
      </c>
      <c r="DB76">
        <v>621</v>
      </c>
      <c r="DC76">
        <v>539</v>
      </c>
      <c r="DD76" t="s">
        <v>270</v>
      </c>
      <c r="DE76">
        <v>0</v>
      </c>
      <c r="DF76">
        <v>55</v>
      </c>
      <c r="DG76" t="s">
        <v>473</v>
      </c>
      <c r="DH76" t="s">
        <v>548</v>
      </c>
      <c r="DI76">
        <v>7</v>
      </c>
      <c r="DJ76" t="s">
        <v>584</v>
      </c>
      <c r="DK76">
        <v>23.4</v>
      </c>
      <c r="DL76">
        <v>273</v>
      </c>
      <c r="DM76" t="s">
        <v>264</v>
      </c>
      <c r="DN76">
        <v>-9999</v>
      </c>
      <c r="DO76">
        <v>621</v>
      </c>
      <c r="DP76">
        <v>711</v>
      </c>
      <c r="DQ76">
        <v>615</v>
      </c>
      <c r="DR76" t="s">
        <v>270</v>
      </c>
      <c r="DS76">
        <v>0</v>
      </c>
      <c r="DT76">
        <v>55</v>
      </c>
      <c r="DU76" t="s">
        <v>474</v>
      </c>
      <c r="DV76" t="s">
        <v>548</v>
      </c>
      <c r="DW76">
        <v>8</v>
      </c>
      <c r="DX76" t="s">
        <v>584</v>
      </c>
      <c r="DY76">
        <v>20.6</v>
      </c>
      <c r="DZ76">
        <v>453</v>
      </c>
      <c r="EA76" t="s">
        <v>264</v>
      </c>
      <c r="EB76">
        <v>-9999</v>
      </c>
      <c r="EC76">
        <v>103</v>
      </c>
      <c r="ED76">
        <v>126</v>
      </c>
      <c r="EE76">
        <v>101</v>
      </c>
      <c r="EF76" t="s">
        <v>270</v>
      </c>
      <c r="EG76">
        <v>0</v>
      </c>
      <c r="EH76">
        <v>55</v>
      </c>
      <c r="EI76" t="s">
        <v>475</v>
      </c>
      <c r="EJ76" t="s">
        <v>548</v>
      </c>
      <c r="EK76">
        <v>9</v>
      </c>
      <c r="EL76" t="s">
        <v>584</v>
      </c>
      <c r="EM76">
        <v>24.7</v>
      </c>
      <c r="EN76">
        <v>111</v>
      </c>
      <c r="EO76" t="s">
        <v>264</v>
      </c>
      <c r="EP76">
        <v>-9999</v>
      </c>
      <c r="EQ76">
        <v>363</v>
      </c>
      <c r="ER76">
        <v>345</v>
      </c>
      <c r="ES76">
        <v>314</v>
      </c>
      <c r="ET76" t="s">
        <v>270</v>
      </c>
      <c r="EU76">
        <v>0</v>
      </c>
      <c r="EV76">
        <v>55</v>
      </c>
      <c r="EW76" t="s">
        <v>551</v>
      </c>
      <c r="EX76" t="s">
        <v>552</v>
      </c>
      <c r="EY76">
        <v>120</v>
      </c>
      <c r="EZ76">
        <v>120</v>
      </c>
      <c r="FA76">
        <v>121</v>
      </c>
      <c r="FB76" t="s">
        <v>270</v>
      </c>
      <c r="FC76" t="s">
        <v>553</v>
      </c>
      <c r="FD76" t="s">
        <v>552</v>
      </c>
      <c r="FE76">
        <v>314</v>
      </c>
      <c r="FF76">
        <v>313</v>
      </c>
      <c r="FG76">
        <v>312</v>
      </c>
      <c r="FH76" t="s">
        <v>270</v>
      </c>
      <c r="FI76" t="s">
        <v>554</v>
      </c>
      <c r="FJ76" t="s">
        <v>555</v>
      </c>
      <c r="FK76">
        <v>0</v>
      </c>
      <c r="FL76">
        <v>0</v>
      </c>
      <c r="FM76">
        <v>0</v>
      </c>
      <c r="FN76" t="s">
        <v>264</v>
      </c>
      <c r="FO76">
        <v>76</v>
      </c>
      <c r="FP76">
        <v>286</v>
      </c>
      <c r="FQ76" t="s">
        <v>556</v>
      </c>
      <c r="FR76" t="s">
        <v>555</v>
      </c>
      <c r="FS76">
        <v>0</v>
      </c>
      <c r="FT76">
        <v>0</v>
      </c>
      <c r="FU76">
        <v>0</v>
      </c>
      <c r="FV76" t="s">
        <v>264</v>
      </c>
      <c r="FW76">
        <v>73.5</v>
      </c>
      <c r="FX76">
        <v>94.6</v>
      </c>
      <c r="FY76" t="s">
        <v>557</v>
      </c>
      <c r="FZ76" t="s">
        <v>555</v>
      </c>
      <c r="GA76">
        <v>0</v>
      </c>
      <c r="GB76">
        <v>0</v>
      </c>
      <c r="GC76">
        <v>0</v>
      </c>
      <c r="GD76" t="s">
        <v>264</v>
      </c>
      <c r="GE76">
        <v>71.3</v>
      </c>
      <c r="GF76">
        <v>205.9</v>
      </c>
      <c r="GG76" t="s">
        <v>558</v>
      </c>
      <c r="GH76" t="s">
        <v>555</v>
      </c>
      <c r="GI76">
        <v>0</v>
      </c>
      <c r="GJ76">
        <v>0</v>
      </c>
      <c r="GK76">
        <v>0</v>
      </c>
      <c r="GL76" t="s">
        <v>264</v>
      </c>
      <c r="GM76">
        <v>68.400000000000006</v>
      </c>
      <c r="GN76">
        <v>40.9</v>
      </c>
      <c r="GO76" t="s">
        <v>559</v>
      </c>
      <c r="GP76" t="s">
        <v>555</v>
      </c>
      <c r="GQ76">
        <v>0</v>
      </c>
      <c r="GR76">
        <v>0</v>
      </c>
      <c r="GS76">
        <v>0</v>
      </c>
      <c r="GT76" t="s">
        <v>264</v>
      </c>
      <c r="GU76">
        <v>76</v>
      </c>
      <c r="GV76">
        <v>54.8</v>
      </c>
      <c r="GW76" t="s">
        <v>560</v>
      </c>
      <c r="GX76" t="s">
        <v>555</v>
      </c>
      <c r="GY76">
        <v>0</v>
      </c>
      <c r="GZ76">
        <v>0</v>
      </c>
      <c r="HA76">
        <v>0</v>
      </c>
      <c r="HB76" t="s">
        <v>264</v>
      </c>
      <c r="HC76">
        <v>70.2</v>
      </c>
      <c r="HD76">
        <v>81.2</v>
      </c>
      <c r="HE76" t="s">
        <v>561</v>
      </c>
      <c r="HF76" t="s">
        <v>555</v>
      </c>
      <c r="HG76">
        <v>0</v>
      </c>
      <c r="HH76">
        <v>0</v>
      </c>
      <c r="HI76">
        <v>0</v>
      </c>
      <c r="HJ76" t="s">
        <v>264</v>
      </c>
      <c r="HK76">
        <v>70.8</v>
      </c>
      <c r="HL76">
        <v>115.4</v>
      </c>
      <c r="HM76" t="s">
        <v>562</v>
      </c>
      <c r="HN76" t="s">
        <v>555</v>
      </c>
      <c r="HO76">
        <v>0</v>
      </c>
      <c r="HP76">
        <v>0</v>
      </c>
      <c r="HQ76">
        <v>0</v>
      </c>
      <c r="HR76" t="s">
        <v>264</v>
      </c>
      <c r="HS76">
        <v>69.3</v>
      </c>
      <c r="HT76">
        <v>99.5</v>
      </c>
      <c r="HU76" t="s">
        <v>563</v>
      </c>
      <c r="HV76" t="s">
        <v>555</v>
      </c>
      <c r="HW76">
        <v>0</v>
      </c>
      <c r="HX76">
        <v>0</v>
      </c>
      <c r="HY76">
        <v>0</v>
      </c>
      <c r="HZ76" t="s">
        <v>264</v>
      </c>
      <c r="IA76">
        <v>74.7</v>
      </c>
      <c r="IB76">
        <v>183.1</v>
      </c>
      <c r="IC76" t="s">
        <v>564</v>
      </c>
      <c r="ID76" t="s">
        <v>555</v>
      </c>
      <c r="IE76">
        <v>0</v>
      </c>
      <c r="IF76">
        <v>0</v>
      </c>
      <c r="IG76">
        <v>0</v>
      </c>
      <c r="IH76" t="s">
        <v>264</v>
      </c>
      <c r="II76">
        <v>68.3</v>
      </c>
      <c r="IJ76">
        <v>118.3</v>
      </c>
      <c r="IK76" t="s">
        <v>565</v>
      </c>
      <c r="IL76" t="s">
        <v>555</v>
      </c>
      <c r="IM76">
        <v>0</v>
      </c>
      <c r="IN76">
        <v>0</v>
      </c>
      <c r="IO76">
        <v>0</v>
      </c>
      <c r="IP76" t="s">
        <v>264</v>
      </c>
      <c r="IS76" t="s">
        <v>566</v>
      </c>
      <c r="IT76" t="s">
        <v>555</v>
      </c>
      <c r="IU76">
        <v>0</v>
      </c>
      <c r="IV76">
        <v>0</v>
      </c>
      <c r="IW76">
        <v>0</v>
      </c>
      <c r="IX76" t="s">
        <v>264</v>
      </c>
      <c r="JA76" t="s">
        <v>567</v>
      </c>
      <c r="JB76" t="s">
        <v>555</v>
      </c>
      <c r="JC76">
        <v>0</v>
      </c>
      <c r="JD76">
        <v>0</v>
      </c>
      <c r="JE76">
        <v>0</v>
      </c>
      <c r="JF76" t="s">
        <v>264</v>
      </c>
      <c r="JI76" t="s">
        <v>568</v>
      </c>
      <c r="JJ76" t="s">
        <v>555</v>
      </c>
      <c r="JK76">
        <v>0</v>
      </c>
      <c r="JL76">
        <v>0</v>
      </c>
      <c r="JM76">
        <v>0</v>
      </c>
      <c r="JN76" t="s">
        <v>264</v>
      </c>
      <c r="JQ76" t="s">
        <v>569</v>
      </c>
      <c r="JR76" t="s">
        <v>555</v>
      </c>
      <c r="JS76">
        <v>0</v>
      </c>
      <c r="JT76">
        <v>0</v>
      </c>
      <c r="JU76">
        <v>0</v>
      </c>
      <c r="JV76" t="s">
        <v>264</v>
      </c>
      <c r="JY76" t="s">
        <v>570</v>
      </c>
      <c r="JZ76" t="s">
        <v>555</v>
      </c>
      <c r="KA76">
        <v>0</v>
      </c>
      <c r="KB76">
        <v>0</v>
      </c>
      <c r="KC76">
        <v>0</v>
      </c>
      <c r="KD76" t="s">
        <v>264</v>
      </c>
      <c r="KG76" t="s">
        <v>571</v>
      </c>
      <c r="KH76" t="s">
        <v>555</v>
      </c>
      <c r="KI76">
        <v>0</v>
      </c>
      <c r="KJ76">
        <v>0</v>
      </c>
      <c r="KK76">
        <v>0</v>
      </c>
      <c r="KL76" t="s">
        <v>264</v>
      </c>
      <c r="KO76" t="s">
        <v>572</v>
      </c>
      <c r="KP76" t="s">
        <v>555</v>
      </c>
      <c r="KQ76">
        <v>0</v>
      </c>
      <c r="KR76">
        <v>0</v>
      </c>
      <c r="KS76">
        <v>0</v>
      </c>
      <c r="KT76" t="s">
        <v>264</v>
      </c>
      <c r="KW76" t="s">
        <v>573</v>
      </c>
      <c r="KX76" t="s">
        <v>555</v>
      </c>
      <c r="KY76">
        <v>0</v>
      </c>
      <c r="KZ76">
        <v>0</v>
      </c>
      <c r="LA76">
        <v>0</v>
      </c>
      <c r="LB76" t="s">
        <v>264</v>
      </c>
      <c r="LE76" t="s">
        <v>574</v>
      </c>
      <c r="LF76" t="s">
        <v>555</v>
      </c>
      <c r="LG76">
        <v>0</v>
      </c>
      <c r="LH76">
        <v>0</v>
      </c>
      <c r="LI76">
        <v>0</v>
      </c>
      <c r="LJ76" t="s">
        <v>264</v>
      </c>
      <c r="LM76" t="s">
        <v>575</v>
      </c>
      <c r="LN76" t="s">
        <v>555</v>
      </c>
      <c r="LO76">
        <v>0</v>
      </c>
      <c r="LP76">
        <v>0</v>
      </c>
      <c r="LQ76">
        <v>0</v>
      </c>
      <c r="LR76" t="s">
        <v>264</v>
      </c>
      <c r="LU76" t="s">
        <v>576</v>
      </c>
      <c r="LV76" t="s">
        <v>555</v>
      </c>
      <c r="LW76">
        <v>0</v>
      </c>
      <c r="LX76">
        <v>0</v>
      </c>
      <c r="LY76">
        <v>0</v>
      </c>
      <c r="LZ76" t="s">
        <v>264</v>
      </c>
      <c r="MC76" t="s">
        <v>577</v>
      </c>
      <c r="MD76" t="s">
        <v>555</v>
      </c>
      <c r="ME76">
        <v>0</v>
      </c>
      <c r="MF76">
        <v>0</v>
      </c>
      <c r="MG76">
        <v>0</v>
      </c>
      <c r="MH76" t="s">
        <v>264</v>
      </c>
      <c r="MK76" t="s">
        <v>578</v>
      </c>
      <c r="ML76" t="s">
        <v>555</v>
      </c>
      <c r="MM76">
        <v>0</v>
      </c>
      <c r="MN76">
        <v>0</v>
      </c>
      <c r="MO76">
        <v>0</v>
      </c>
      <c r="MP76" t="s">
        <v>264</v>
      </c>
      <c r="MS76" t="s">
        <v>579</v>
      </c>
      <c r="MT76" t="s">
        <v>555</v>
      </c>
      <c r="MU76">
        <v>0</v>
      </c>
      <c r="MV76">
        <v>0</v>
      </c>
      <c r="MW76">
        <v>0</v>
      </c>
      <c r="MX76" t="s">
        <v>264</v>
      </c>
      <c r="NA76" t="s">
        <v>580</v>
      </c>
      <c r="NB76" t="s">
        <v>555</v>
      </c>
      <c r="NC76">
        <v>0</v>
      </c>
      <c r="ND76">
        <v>0</v>
      </c>
      <c r="NE76">
        <v>0</v>
      </c>
      <c r="NF76" t="s">
        <v>264</v>
      </c>
      <c r="NI76">
        <v>40.1</v>
      </c>
      <c r="NJ76">
        <v>-8.9</v>
      </c>
      <c r="NP76" t="s">
        <v>581</v>
      </c>
    </row>
    <row r="77" spans="1:380" customFormat="1" x14ac:dyDescent="0.2">
      <c r="A77" t="s">
        <v>517</v>
      </c>
      <c r="B77">
        <v>1</v>
      </c>
      <c r="C77" t="s">
        <v>956</v>
      </c>
      <c r="D77">
        <v>647066048</v>
      </c>
      <c r="E77">
        <v>12602</v>
      </c>
      <c r="F77" t="s">
        <v>805</v>
      </c>
      <c r="G77">
        <v>710085</v>
      </c>
      <c r="H77">
        <v>210070695</v>
      </c>
      <c r="I77" t="s">
        <v>543</v>
      </c>
      <c r="J77" t="s">
        <v>957</v>
      </c>
      <c r="K77" t="s">
        <v>545</v>
      </c>
      <c r="L77" t="s">
        <v>442</v>
      </c>
      <c r="M77" t="s">
        <v>546</v>
      </c>
      <c r="N77" t="s">
        <v>468</v>
      </c>
      <c r="O77" t="s">
        <v>547</v>
      </c>
      <c r="P77" t="s">
        <v>264</v>
      </c>
      <c r="Q77">
        <v>28.8</v>
      </c>
      <c r="R77">
        <v>243</v>
      </c>
      <c r="S77" t="s">
        <v>264</v>
      </c>
      <c r="T77">
        <v>-9999</v>
      </c>
      <c r="U77">
        <v>452</v>
      </c>
      <c r="V77">
        <v>466</v>
      </c>
      <c r="W77">
        <v>445</v>
      </c>
      <c r="X77" t="s">
        <v>270</v>
      </c>
      <c r="Y77">
        <v>0</v>
      </c>
      <c r="Z77">
        <v>55</v>
      </c>
      <c r="AA77" t="s">
        <v>469</v>
      </c>
      <c r="AB77" t="s">
        <v>548</v>
      </c>
      <c r="AC77">
        <v>1</v>
      </c>
      <c r="AD77" t="s">
        <v>584</v>
      </c>
      <c r="AE77">
        <v>29.8</v>
      </c>
      <c r="AF77">
        <v>1313</v>
      </c>
      <c r="AG77" t="s">
        <v>264</v>
      </c>
      <c r="AH77">
        <v>-9999</v>
      </c>
      <c r="AI77">
        <v>452</v>
      </c>
      <c r="AJ77">
        <v>557</v>
      </c>
      <c r="AK77">
        <v>450</v>
      </c>
      <c r="AL77" t="s">
        <v>270</v>
      </c>
      <c r="AM77">
        <v>0</v>
      </c>
      <c r="AN77">
        <v>55</v>
      </c>
      <c r="AO77" t="s">
        <v>470</v>
      </c>
      <c r="AP77" t="s">
        <v>548</v>
      </c>
      <c r="AQ77">
        <v>2</v>
      </c>
      <c r="AR77" t="s">
        <v>549</v>
      </c>
      <c r="AS77">
        <v>41.2</v>
      </c>
      <c r="AT77">
        <v>317</v>
      </c>
      <c r="AU77" t="s">
        <v>264</v>
      </c>
      <c r="AV77">
        <v>-9999</v>
      </c>
      <c r="AW77">
        <v>349</v>
      </c>
      <c r="AX77">
        <v>368</v>
      </c>
      <c r="AY77">
        <v>348</v>
      </c>
      <c r="AZ77" t="s">
        <v>270</v>
      </c>
      <c r="BA77">
        <v>0</v>
      </c>
      <c r="BB77">
        <v>55</v>
      </c>
      <c r="BC77" t="s">
        <v>550</v>
      </c>
      <c r="BD77" t="s">
        <v>548</v>
      </c>
      <c r="BE77">
        <v>3</v>
      </c>
      <c r="BF77" t="s">
        <v>584</v>
      </c>
      <c r="BG77">
        <v>26.4</v>
      </c>
      <c r="BH77">
        <v>576</v>
      </c>
      <c r="BI77" t="s">
        <v>264</v>
      </c>
      <c r="BJ77">
        <v>-9999</v>
      </c>
      <c r="BK77">
        <v>150</v>
      </c>
      <c r="BL77">
        <v>186</v>
      </c>
      <c r="BM77">
        <v>150</v>
      </c>
      <c r="BN77" t="s">
        <v>270</v>
      </c>
      <c r="BO77">
        <v>0</v>
      </c>
      <c r="BP77">
        <v>55</v>
      </c>
      <c r="BQ77" t="s">
        <v>504</v>
      </c>
      <c r="BR77" t="s">
        <v>548</v>
      </c>
      <c r="BS77">
        <v>4</v>
      </c>
      <c r="BT77" t="s">
        <v>584</v>
      </c>
      <c r="BU77">
        <v>33.6</v>
      </c>
      <c r="BV77">
        <v>281</v>
      </c>
      <c r="BW77" t="s">
        <v>264</v>
      </c>
      <c r="BX77">
        <v>-9999</v>
      </c>
      <c r="BY77">
        <v>173</v>
      </c>
      <c r="BZ77">
        <v>201</v>
      </c>
      <c r="CA77">
        <v>172</v>
      </c>
      <c r="CB77" t="s">
        <v>270</v>
      </c>
      <c r="CC77">
        <v>0</v>
      </c>
      <c r="CD77">
        <v>55</v>
      </c>
      <c r="CE77" t="s">
        <v>471</v>
      </c>
      <c r="CF77" t="s">
        <v>548</v>
      </c>
      <c r="CG77">
        <v>5</v>
      </c>
      <c r="CH77" t="s">
        <v>584</v>
      </c>
      <c r="CI77">
        <v>35.700000000000003</v>
      </c>
      <c r="CJ77">
        <v>251</v>
      </c>
      <c r="CK77" t="s">
        <v>264</v>
      </c>
      <c r="CL77">
        <v>-9999</v>
      </c>
      <c r="CM77">
        <v>477</v>
      </c>
      <c r="CN77">
        <v>556</v>
      </c>
      <c r="CO77">
        <v>477</v>
      </c>
      <c r="CP77" t="s">
        <v>270</v>
      </c>
      <c r="CQ77">
        <v>0</v>
      </c>
      <c r="CR77">
        <v>55</v>
      </c>
      <c r="CS77" t="s">
        <v>472</v>
      </c>
      <c r="CT77" t="s">
        <v>548</v>
      </c>
      <c r="CU77">
        <v>6</v>
      </c>
      <c r="CV77" t="s">
        <v>584</v>
      </c>
      <c r="CW77">
        <v>38.700000000000003</v>
      </c>
      <c r="CX77">
        <v>196</v>
      </c>
      <c r="CY77" t="s">
        <v>264</v>
      </c>
      <c r="CZ77">
        <v>-9999</v>
      </c>
      <c r="DA77">
        <v>677</v>
      </c>
      <c r="DB77">
        <v>771</v>
      </c>
      <c r="DC77">
        <v>667</v>
      </c>
      <c r="DD77" t="s">
        <v>270</v>
      </c>
      <c r="DE77">
        <v>0</v>
      </c>
      <c r="DF77">
        <v>55</v>
      </c>
      <c r="DG77" t="s">
        <v>473</v>
      </c>
      <c r="DH77" t="s">
        <v>548</v>
      </c>
      <c r="DI77">
        <v>7</v>
      </c>
      <c r="DJ77" t="s">
        <v>584</v>
      </c>
      <c r="DK77">
        <v>26.5</v>
      </c>
      <c r="DL77">
        <v>229</v>
      </c>
      <c r="DM77" t="s">
        <v>264</v>
      </c>
      <c r="DN77">
        <v>-9999</v>
      </c>
      <c r="DO77">
        <v>440</v>
      </c>
      <c r="DP77">
        <v>507</v>
      </c>
      <c r="DQ77">
        <v>437</v>
      </c>
      <c r="DR77" t="s">
        <v>270</v>
      </c>
      <c r="DS77">
        <v>0</v>
      </c>
      <c r="DT77">
        <v>55</v>
      </c>
      <c r="DU77" t="s">
        <v>474</v>
      </c>
      <c r="DV77" t="s">
        <v>548</v>
      </c>
      <c r="DW77">
        <v>8</v>
      </c>
      <c r="DX77" t="s">
        <v>584</v>
      </c>
      <c r="DY77">
        <v>24.2</v>
      </c>
      <c r="DZ77">
        <v>557</v>
      </c>
      <c r="EA77" t="s">
        <v>264</v>
      </c>
      <c r="EB77">
        <v>-9999</v>
      </c>
      <c r="EC77">
        <v>67</v>
      </c>
      <c r="ED77">
        <v>86</v>
      </c>
      <c r="EE77">
        <v>66</v>
      </c>
      <c r="EF77" t="s">
        <v>270</v>
      </c>
      <c r="EG77">
        <v>0</v>
      </c>
      <c r="EH77">
        <v>55</v>
      </c>
      <c r="EI77" t="s">
        <v>475</v>
      </c>
      <c r="EJ77" t="s">
        <v>548</v>
      </c>
      <c r="EK77">
        <v>9</v>
      </c>
      <c r="EL77" t="s">
        <v>584</v>
      </c>
      <c r="EM77">
        <v>28.5</v>
      </c>
      <c r="EN77">
        <v>102</v>
      </c>
      <c r="EO77" t="s">
        <v>264</v>
      </c>
      <c r="EP77">
        <v>-9999</v>
      </c>
      <c r="EQ77">
        <v>255</v>
      </c>
      <c r="ER77">
        <v>233</v>
      </c>
      <c r="ES77">
        <v>217</v>
      </c>
      <c r="ET77" t="s">
        <v>270</v>
      </c>
      <c r="EU77">
        <v>0</v>
      </c>
      <c r="EV77">
        <v>55</v>
      </c>
      <c r="EW77" t="s">
        <v>551</v>
      </c>
      <c r="EX77" t="s">
        <v>552</v>
      </c>
      <c r="EY77">
        <v>122</v>
      </c>
      <c r="EZ77">
        <v>122</v>
      </c>
      <c r="FA77">
        <v>122</v>
      </c>
      <c r="FB77" t="s">
        <v>270</v>
      </c>
      <c r="FC77" t="s">
        <v>553</v>
      </c>
      <c r="FD77" t="s">
        <v>552</v>
      </c>
      <c r="FE77">
        <v>257</v>
      </c>
      <c r="FF77">
        <v>256</v>
      </c>
      <c r="FG77">
        <v>255</v>
      </c>
      <c r="FH77" t="s">
        <v>270</v>
      </c>
      <c r="FI77" t="s">
        <v>554</v>
      </c>
      <c r="FJ77" t="s">
        <v>555</v>
      </c>
      <c r="FK77">
        <v>0</v>
      </c>
      <c r="FL77">
        <v>0</v>
      </c>
      <c r="FM77">
        <v>0</v>
      </c>
      <c r="FN77" t="s">
        <v>264</v>
      </c>
      <c r="FO77">
        <v>76.2</v>
      </c>
      <c r="FP77">
        <v>250</v>
      </c>
      <c r="FQ77" t="s">
        <v>556</v>
      </c>
      <c r="FR77" t="s">
        <v>555</v>
      </c>
      <c r="FS77">
        <v>0</v>
      </c>
      <c r="FT77">
        <v>0</v>
      </c>
      <c r="FU77">
        <v>0</v>
      </c>
      <c r="FV77" t="s">
        <v>264</v>
      </c>
      <c r="FW77">
        <v>73.599999999999994</v>
      </c>
      <c r="FX77">
        <v>92.6</v>
      </c>
      <c r="FY77" t="s">
        <v>557</v>
      </c>
      <c r="FZ77" t="s">
        <v>555</v>
      </c>
      <c r="GA77">
        <v>0</v>
      </c>
      <c r="GB77">
        <v>0</v>
      </c>
      <c r="GC77">
        <v>0</v>
      </c>
      <c r="GD77" t="s">
        <v>264</v>
      </c>
      <c r="GE77">
        <v>71.400000000000006</v>
      </c>
      <c r="GF77">
        <v>199.2</v>
      </c>
      <c r="GG77" t="s">
        <v>558</v>
      </c>
      <c r="GH77" t="s">
        <v>555</v>
      </c>
      <c r="GI77">
        <v>0</v>
      </c>
      <c r="GJ77">
        <v>0</v>
      </c>
      <c r="GK77">
        <v>0</v>
      </c>
      <c r="GL77" t="s">
        <v>264</v>
      </c>
      <c r="GM77">
        <v>68.7</v>
      </c>
      <c r="GN77">
        <v>38.700000000000003</v>
      </c>
      <c r="GO77" t="s">
        <v>559</v>
      </c>
      <c r="GP77" t="s">
        <v>555</v>
      </c>
      <c r="GQ77">
        <v>0</v>
      </c>
      <c r="GR77">
        <v>0</v>
      </c>
      <c r="GS77">
        <v>0</v>
      </c>
      <c r="GT77" t="s">
        <v>264</v>
      </c>
      <c r="GU77">
        <v>76.099999999999994</v>
      </c>
      <c r="GV77">
        <v>51.3</v>
      </c>
      <c r="GW77" t="s">
        <v>560</v>
      </c>
      <c r="GX77" t="s">
        <v>555</v>
      </c>
      <c r="GY77">
        <v>0</v>
      </c>
      <c r="GZ77">
        <v>0</v>
      </c>
      <c r="HA77">
        <v>0</v>
      </c>
      <c r="HB77" t="s">
        <v>264</v>
      </c>
      <c r="HC77">
        <v>70.3</v>
      </c>
      <c r="HD77">
        <v>66.599999999999994</v>
      </c>
      <c r="HE77" t="s">
        <v>561</v>
      </c>
      <c r="HF77" t="s">
        <v>555</v>
      </c>
      <c r="HG77">
        <v>0</v>
      </c>
      <c r="HH77">
        <v>0</v>
      </c>
      <c r="HI77">
        <v>0</v>
      </c>
      <c r="HJ77" t="s">
        <v>264</v>
      </c>
      <c r="HK77">
        <v>71</v>
      </c>
      <c r="HL77">
        <v>114.5</v>
      </c>
      <c r="HM77" t="s">
        <v>562</v>
      </c>
      <c r="HN77" t="s">
        <v>555</v>
      </c>
      <c r="HO77">
        <v>0</v>
      </c>
      <c r="HP77">
        <v>0</v>
      </c>
      <c r="HQ77">
        <v>0</v>
      </c>
      <c r="HR77" t="s">
        <v>264</v>
      </c>
      <c r="HS77">
        <v>69.400000000000006</v>
      </c>
      <c r="HT77">
        <v>75.099999999999994</v>
      </c>
      <c r="HU77" t="s">
        <v>563</v>
      </c>
      <c r="HV77" t="s">
        <v>555</v>
      </c>
      <c r="HW77">
        <v>0</v>
      </c>
      <c r="HX77">
        <v>0</v>
      </c>
      <c r="HY77">
        <v>0</v>
      </c>
      <c r="HZ77" t="s">
        <v>264</v>
      </c>
      <c r="IA77">
        <v>74.900000000000006</v>
      </c>
      <c r="IB77">
        <v>150.5</v>
      </c>
      <c r="IC77" t="s">
        <v>564</v>
      </c>
      <c r="ID77" t="s">
        <v>555</v>
      </c>
      <c r="IE77">
        <v>0</v>
      </c>
      <c r="IF77">
        <v>0</v>
      </c>
      <c r="IG77">
        <v>0</v>
      </c>
      <c r="IH77" t="s">
        <v>264</v>
      </c>
      <c r="II77">
        <v>68.400000000000006</v>
      </c>
      <c r="IJ77">
        <v>96.9</v>
      </c>
      <c r="IK77" t="s">
        <v>565</v>
      </c>
      <c r="IL77" t="s">
        <v>555</v>
      </c>
      <c r="IM77">
        <v>0</v>
      </c>
      <c r="IN77">
        <v>0</v>
      </c>
      <c r="IO77">
        <v>0</v>
      </c>
      <c r="IP77" t="s">
        <v>264</v>
      </c>
      <c r="IS77" t="s">
        <v>566</v>
      </c>
      <c r="IT77" t="s">
        <v>555</v>
      </c>
      <c r="IU77">
        <v>0</v>
      </c>
      <c r="IV77">
        <v>0</v>
      </c>
      <c r="IW77">
        <v>0</v>
      </c>
      <c r="IX77" t="s">
        <v>264</v>
      </c>
      <c r="JA77" t="s">
        <v>567</v>
      </c>
      <c r="JB77" t="s">
        <v>555</v>
      </c>
      <c r="JC77">
        <v>0</v>
      </c>
      <c r="JD77">
        <v>0</v>
      </c>
      <c r="JE77">
        <v>0</v>
      </c>
      <c r="JF77" t="s">
        <v>264</v>
      </c>
      <c r="JI77" t="s">
        <v>568</v>
      </c>
      <c r="JJ77" t="s">
        <v>555</v>
      </c>
      <c r="JK77">
        <v>0</v>
      </c>
      <c r="JL77">
        <v>0</v>
      </c>
      <c r="JM77">
        <v>0</v>
      </c>
      <c r="JN77" t="s">
        <v>264</v>
      </c>
      <c r="JQ77" t="s">
        <v>569</v>
      </c>
      <c r="JR77" t="s">
        <v>555</v>
      </c>
      <c r="JS77">
        <v>0</v>
      </c>
      <c r="JT77">
        <v>0</v>
      </c>
      <c r="JU77">
        <v>0</v>
      </c>
      <c r="JV77" t="s">
        <v>264</v>
      </c>
      <c r="JY77" t="s">
        <v>570</v>
      </c>
      <c r="JZ77" t="s">
        <v>555</v>
      </c>
      <c r="KA77">
        <v>0</v>
      </c>
      <c r="KB77">
        <v>0</v>
      </c>
      <c r="KC77">
        <v>0</v>
      </c>
      <c r="KD77" t="s">
        <v>264</v>
      </c>
      <c r="KG77" t="s">
        <v>571</v>
      </c>
      <c r="KH77" t="s">
        <v>555</v>
      </c>
      <c r="KI77">
        <v>0</v>
      </c>
      <c r="KJ77">
        <v>0</v>
      </c>
      <c r="KK77">
        <v>0</v>
      </c>
      <c r="KL77" t="s">
        <v>264</v>
      </c>
      <c r="KO77" t="s">
        <v>572</v>
      </c>
      <c r="KP77" t="s">
        <v>555</v>
      </c>
      <c r="KQ77">
        <v>0</v>
      </c>
      <c r="KR77">
        <v>0</v>
      </c>
      <c r="KS77">
        <v>0</v>
      </c>
      <c r="KT77" t="s">
        <v>264</v>
      </c>
      <c r="KW77" t="s">
        <v>573</v>
      </c>
      <c r="KX77" t="s">
        <v>555</v>
      </c>
      <c r="KY77">
        <v>0</v>
      </c>
      <c r="KZ77">
        <v>0</v>
      </c>
      <c r="LA77">
        <v>0</v>
      </c>
      <c r="LB77" t="s">
        <v>264</v>
      </c>
      <c r="LE77" t="s">
        <v>574</v>
      </c>
      <c r="LF77" t="s">
        <v>555</v>
      </c>
      <c r="LG77">
        <v>0</v>
      </c>
      <c r="LH77">
        <v>0</v>
      </c>
      <c r="LI77">
        <v>0</v>
      </c>
      <c r="LJ77" t="s">
        <v>264</v>
      </c>
      <c r="LM77" t="s">
        <v>575</v>
      </c>
      <c r="LN77" t="s">
        <v>555</v>
      </c>
      <c r="LO77">
        <v>0</v>
      </c>
      <c r="LP77">
        <v>0</v>
      </c>
      <c r="LQ77">
        <v>0</v>
      </c>
      <c r="LR77" t="s">
        <v>264</v>
      </c>
      <c r="LU77" t="s">
        <v>576</v>
      </c>
      <c r="LV77" t="s">
        <v>555</v>
      </c>
      <c r="LW77">
        <v>0</v>
      </c>
      <c r="LX77">
        <v>0</v>
      </c>
      <c r="LY77">
        <v>0</v>
      </c>
      <c r="LZ77" t="s">
        <v>264</v>
      </c>
      <c r="MC77" t="s">
        <v>577</v>
      </c>
      <c r="MD77" t="s">
        <v>555</v>
      </c>
      <c r="ME77">
        <v>0</v>
      </c>
      <c r="MF77">
        <v>0</v>
      </c>
      <c r="MG77">
        <v>0</v>
      </c>
      <c r="MH77" t="s">
        <v>264</v>
      </c>
      <c r="MK77" t="s">
        <v>578</v>
      </c>
      <c r="ML77" t="s">
        <v>555</v>
      </c>
      <c r="MM77">
        <v>0</v>
      </c>
      <c r="MN77">
        <v>0</v>
      </c>
      <c r="MO77">
        <v>0</v>
      </c>
      <c r="MP77" t="s">
        <v>264</v>
      </c>
      <c r="MS77" t="s">
        <v>579</v>
      </c>
      <c r="MT77" t="s">
        <v>555</v>
      </c>
      <c r="MU77">
        <v>0</v>
      </c>
      <c r="MV77">
        <v>0</v>
      </c>
      <c r="MW77">
        <v>0</v>
      </c>
      <c r="MX77" t="s">
        <v>264</v>
      </c>
      <c r="NA77" t="s">
        <v>580</v>
      </c>
      <c r="NB77" t="s">
        <v>555</v>
      </c>
      <c r="NC77">
        <v>0</v>
      </c>
      <c r="ND77">
        <v>0</v>
      </c>
      <c r="NE77">
        <v>0</v>
      </c>
      <c r="NF77" t="s">
        <v>264</v>
      </c>
      <c r="NI77">
        <v>40</v>
      </c>
      <c r="NJ77">
        <v>-10.7</v>
      </c>
      <c r="NP77" t="s">
        <v>581</v>
      </c>
    </row>
    <row r="78" spans="1:380" customFormat="1" x14ac:dyDescent="0.2">
      <c r="A78" t="s">
        <v>517</v>
      </c>
      <c r="B78">
        <v>1</v>
      </c>
      <c r="C78" t="s">
        <v>958</v>
      </c>
      <c r="D78">
        <v>647065273</v>
      </c>
      <c r="E78">
        <v>12602</v>
      </c>
      <c r="F78" t="s">
        <v>805</v>
      </c>
      <c r="G78">
        <v>710085</v>
      </c>
      <c r="H78">
        <v>210070045</v>
      </c>
      <c r="I78" t="s">
        <v>543</v>
      </c>
      <c r="J78" t="s">
        <v>959</v>
      </c>
      <c r="K78" t="s">
        <v>545</v>
      </c>
      <c r="L78" t="s">
        <v>442</v>
      </c>
      <c r="M78" t="s">
        <v>546</v>
      </c>
      <c r="N78" t="s">
        <v>468</v>
      </c>
      <c r="O78" t="s">
        <v>547</v>
      </c>
      <c r="P78" t="s">
        <v>264</v>
      </c>
      <c r="Q78">
        <v>29.6</v>
      </c>
      <c r="R78">
        <v>215</v>
      </c>
      <c r="S78" t="s">
        <v>264</v>
      </c>
      <c r="T78">
        <v>-9999</v>
      </c>
      <c r="U78">
        <v>634</v>
      </c>
      <c r="V78">
        <v>655</v>
      </c>
      <c r="W78">
        <v>625</v>
      </c>
      <c r="X78" t="s">
        <v>270</v>
      </c>
      <c r="Y78">
        <v>0</v>
      </c>
      <c r="Z78">
        <v>55</v>
      </c>
      <c r="AA78" t="s">
        <v>469</v>
      </c>
      <c r="AB78" t="s">
        <v>548</v>
      </c>
      <c r="AC78">
        <v>1</v>
      </c>
      <c r="AD78" t="s">
        <v>584</v>
      </c>
      <c r="AE78">
        <v>28</v>
      </c>
      <c r="AF78">
        <v>1226</v>
      </c>
      <c r="AG78" t="s">
        <v>264</v>
      </c>
      <c r="AH78">
        <v>-9999</v>
      </c>
      <c r="AI78">
        <v>460</v>
      </c>
      <c r="AJ78">
        <v>565</v>
      </c>
      <c r="AK78">
        <v>457</v>
      </c>
      <c r="AL78" t="s">
        <v>270</v>
      </c>
      <c r="AM78">
        <v>0</v>
      </c>
      <c r="AN78">
        <v>55</v>
      </c>
      <c r="AO78" t="s">
        <v>470</v>
      </c>
      <c r="AP78" t="s">
        <v>548</v>
      </c>
      <c r="AQ78">
        <v>2</v>
      </c>
      <c r="AR78" t="s">
        <v>584</v>
      </c>
      <c r="AS78">
        <v>38.299999999999997</v>
      </c>
      <c r="AT78">
        <v>321</v>
      </c>
      <c r="AU78" t="s">
        <v>264</v>
      </c>
      <c r="AV78">
        <v>-9999</v>
      </c>
      <c r="AW78">
        <v>353</v>
      </c>
      <c r="AX78">
        <v>372</v>
      </c>
      <c r="AY78">
        <v>351</v>
      </c>
      <c r="AZ78" t="s">
        <v>270</v>
      </c>
      <c r="BA78">
        <v>0</v>
      </c>
      <c r="BB78">
        <v>55</v>
      </c>
      <c r="BC78" t="s">
        <v>550</v>
      </c>
      <c r="BD78" t="s">
        <v>548</v>
      </c>
      <c r="BE78">
        <v>3</v>
      </c>
      <c r="BF78" t="s">
        <v>584</v>
      </c>
      <c r="BG78">
        <v>20.6</v>
      </c>
      <c r="BH78">
        <v>949</v>
      </c>
      <c r="BI78" t="s">
        <v>264</v>
      </c>
      <c r="BJ78">
        <v>-9999</v>
      </c>
      <c r="BK78">
        <v>92</v>
      </c>
      <c r="BL78">
        <v>122</v>
      </c>
      <c r="BM78">
        <v>94</v>
      </c>
      <c r="BN78" t="s">
        <v>270</v>
      </c>
      <c r="BO78">
        <v>0</v>
      </c>
      <c r="BP78">
        <v>55</v>
      </c>
      <c r="BQ78" t="s">
        <v>504</v>
      </c>
      <c r="BR78" t="s">
        <v>548</v>
      </c>
      <c r="BS78">
        <v>4</v>
      </c>
      <c r="BT78" t="s">
        <v>584</v>
      </c>
      <c r="BU78">
        <v>31.4</v>
      </c>
      <c r="BV78">
        <v>267</v>
      </c>
      <c r="BW78" t="s">
        <v>264</v>
      </c>
      <c r="BX78">
        <v>-9999</v>
      </c>
      <c r="BY78">
        <v>211</v>
      </c>
      <c r="BZ78">
        <v>245</v>
      </c>
      <c r="CA78">
        <v>210</v>
      </c>
      <c r="CB78" t="s">
        <v>270</v>
      </c>
      <c r="CC78">
        <v>0</v>
      </c>
      <c r="CD78">
        <v>55</v>
      </c>
      <c r="CE78" t="s">
        <v>471</v>
      </c>
      <c r="CF78" t="s">
        <v>548</v>
      </c>
      <c r="CG78">
        <v>5</v>
      </c>
      <c r="CH78" t="s">
        <v>584</v>
      </c>
      <c r="CI78">
        <v>35.700000000000003</v>
      </c>
      <c r="CJ78">
        <v>216</v>
      </c>
      <c r="CK78" t="s">
        <v>264</v>
      </c>
      <c r="CL78">
        <v>-9999</v>
      </c>
      <c r="CM78">
        <v>416</v>
      </c>
      <c r="CN78">
        <v>488</v>
      </c>
      <c r="CO78">
        <v>417</v>
      </c>
      <c r="CP78" t="s">
        <v>270</v>
      </c>
      <c r="CQ78">
        <v>0</v>
      </c>
      <c r="CR78">
        <v>55</v>
      </c>
      <c r="CS78" t="s">
        <v>472</v>
      </c>
      <c r="CT78" t="s">
        <v>548</v>
      </c>
      <c r="CU78">
        <v>6</v>
      </c>
      <c r="CV78" t="s">
        <v>584</v>
      </c>
      <c r="CW78">
        <v>36.9</v>
      </c>
      <c r="CX78">
        <v>183</v>
      </c>
      <c r="CY78" t="s">
        <v>264</v>
      </c>
      <c r="CZ78">
        <v>-9999</v>
      </c>
      <c r="DA78">
        <v>618</v>
      </c>
      <c r="DB78">
        <v>704</v>
      </c>
      <c r="DC78">
        <v>610</v>
      </c>
      <c r="DD78" t="s">
        <v>270</v>
      </c>
      <c r="DE78">
        <v>0</v>
      </c>
      <c r="DF78">
        <v>55</v>
      </c>
      <c r="DG78" t="s">
        <v>473</v>
      </c>
      <c r="DH78" t="s">
        <v>548</v>
      </c>
      <c r="DI78">
        <v>7</v>
      </c>
      <c r="DJ78" t="s">
        <v>584</v>
      </c>
      <c r="DK78">
        <v>25.6</v>
      </c>
      <c r="DL78">
        <v>235</v>
      </c>
      <c r="DM78" t="s">
        <v>264</v>
      </c>
      <c r="DN78">
        <v>-9999</v>
      </c>
      <c r="DO78">
        <v>484</v>
      </c>
      <c r="DP78">
        <v>558</v>
      </c>
      <c r="DQ78">
        <v>483</v>
      </c>
      <c r="DR78" t="s">
        <v>270</v>
      </c>
      <c r="DS78">
        <v>0</v>
      </c>
      <c r="DT78">
        <v>55</v>
      </c>
      <c r="DU78" t="s">
        <v>474</v>
      </c>
      <c r="DV78" t="s">
        <v>548</v>
      </c>
      <c r="DW78">
        <v>8</v>
      </c>
      <c r="DX78" t="s">
        <v>584</v>
      </c>
      <c r="DY78">
        <v>23</v>
      </c>
      <c r="DZ78">
        <v>448</v>
      </c>
      <c r="EA78" t="s">
        <v>264</v>
      </c>
      <c r="EB78">
        <v>-9999</v>
      </c>
      <c r="EC78">
        <v>78</v>
      </c>
      <c r="ED78">
        <v>94</v>
      </c>
      <c r="EE78">
        <v>77</v>
      </c>
      <c r="EF78" t="s">
        <v>270</v>
      </c>
      <c r="EG78">
        <v>0</v>
      </c>
      <c r="EH78">
        <v>55</v>
      </c>
      <c r="EI78" t="s">
        <v>475</v>
      </c>
      <c r="EJ78" t="s">
        <v>548</v>
      </c>
      <c r="EK78">
        <v>9</v>
      </c>
      <c r="EL78" t="s">
        <v>584</v>
      </c>
      <c r="EM78">
        <v>24.3</v>
      </c>
      <c r="EN78">
        <v>143</v>
      </c>
      <c r="EO78" t="s">
        <v>264</v>
      </c>
      <c r="EP78">
        <v>-9999</v>
      </c>
      <c r="EQ78">
        <v>244</v>
      </c>
      <c r="ER78">
        <v>216</v>
      </c>
      <c r="ES78">
        <v>198</v>
      </c>
      <c r="ET78" t="s">
        <v>270</v>
      </c>
      <c r="EU78">
        <v>0</v>
      </c>
      <c r="EV78">
        <v>55</v>
      </c>
      <c r="EW78" t="s">
        <v>551</v>
      </c>
      <c r="EX78" t="s">
        <v>552</v>
      </c>
      <c r="EY78">
        <v>113</v>
      </c>
      <c r="EZ78">
        <v>114</v>
      </c>
      <c r="FA78">
        <v>114</v>
      </c>
      <c r="FB78" t="s">
        <v>270</v>
      </c>
      <c r="FC78" t="s">
        <v>553</v>
      </c>
      <c r="FD78" t="s">
        <v>552</v>
      </c>
      <c r="FE78">
        <v>286</v>
      </c>
      <c r="FF78">
        <v>285</v>
      </c>
      <c r="FG78">
        <v>285</v>
      </c>
      <c r="FH78" t="s">
        <v>270</v>
      </c>
      <c r="FI78" t="s">
        <v>554</v>
      </c>
      <c r="FJ78" t="s">
        <v>555</v>
      </c>
      <c r="FK78">
        <v>0</v>
      </c>
      <c r="FL78">
        <v>0</v>
      </c>
      <c r="FM78">
        <v>0</v>
      </c>
      <c r="FN78" t="s">
        <v>264</v>
      </c>
      <c r="FO78">
        <v>76</v>
      </c>
      <c r="FP78">
        <v>246.7</v>
      </c>
      <c r="FQ78" t="s">
        <v>556</v>
      </c>
      <c r="FR78" t="s">
        <v>555</v>
      </c>
      <c r="FS78">
        <v>0</v>
      </c>
      <c r="FT78">
        <v>0</v>
      </c>
      <c r="FU78">
        <v>0</v>
      </c>
      <c r="FV78" t="s">
        <v>264</v>
      </c>
      <c r="FW78">
        <v>73.5</v>
      </c>
      <c r="FX78">
        <v>90.9</v>
      </c>
      <c r="FY78" t="s">
        <v>557</v>
      </c>
      <c r="FZ78" t="s">
        <v>555</v>
      </c>
      <c r="GA78">
        <v>0</v>
      </c>
      <c r="GB78">
        <v>0</v>
      </c>
      <c r="GC78">
        <v>0</v>
      </c>
      <c r="GD78" t="s">
        <v>264</v>
      </c>
      <c r="GE78">
        <v>71.2</v>
      </c>
      <c r="GF78">
        <v>225.2</v>
      </c>
      <c r="GG78" t="s">
        <v>558</v>
      </c>
      <c r="GH78" t="s">
        <v>555</v>
      </c>
      <c r="GI78">
        <v>0</v>
      </c>
      <c r="GJ78">
        <v>0</v>
      </c>
      <c r="GK78">
        <v>0</v>
      </c>
      <c r="GL78" t="s">
        <v>264</v>
      </c>
      <c r="GM78">
        <v>68.5</v>
      </c>
      <c r="GN78">
        <v>58.8</v>
      </c>
      <c r="GO78" t="s">
        <v>559</v>
      </c>
      <c r="GP78" t="s">
        <v>555</v>
      </c>
      <c r="GQ78">
        <v>0</v>
      </c>
      <c r="GR78">
        <v>0</v>
      </c>
      <c r="GS78">
        <v>0</v>
      </c>
      <c r="GT78" t="s">
        <v>264</v>
      </c>
      <c r="GU78">
        <v>76</v>
      </c>
      <c r="GV78">
        <v>55.9</v>
      </c>
      <c r="GW78" t="s">
        <v>560</v>
      </c>
      <c r="GX78" t="s">
        <v>555</v>
      </c>
      <c r="GY78">
        <v>0</v>
      </c>
      <c r="GZ78">
        <v>0</v>
      </c>
      <c r="HA78">
        <v>0</v>
      </c>
      <c r="HB78" t="s">
        <v>264</v>
      </c>
      <c r="HC78">
        <v>70.3</v>
      </c>
      <c r="HD78">
        <v>62.6</v>
      </c>
      <c r="HE78" t="s">
        <v>561</v>
      </c>
      <c r="HF78" t="s">
        <v>555</v>
      </c>
      <c r="HG78">
        <v>0</v>
      </c>
      <c r="HH78">
        <v>0</v>
      </c>
      <c r="HI78">
        <v>0</v>
      </c>
      <c r="HJ78" t="s">
        <v>264</v>
      </c>
      <c r="HK78">
        <v>70.900000000000006</v>
      </c>
      <c r="HL78">
        <v>114.1</v>
      </c>
      <c r="HM78" t="s">
        <v>562</v>
      </c>
      <c r="HN78" t="s">
        <v>555</v>
      </c>
      <c r="HO78">
        <v>0</v>
      </c>
      <c r="HP78">
        <v>0</v>
      </c>
      <c r="HQ78">
        <v>0</v>
      </c>
      <c r="HR78" t="s">
        <v>264</v>
      </c>
      <c r="HS78">
        <v>69.3</v>
      </c>
      <c r="HT78">
        <v>83.2</v>
      </c>
      <c r="HU78" t="s">
        <v>563</v>
      </c>
      <c r="HV78" t="s">
        <v>555</v>
      </c>
      <c r="HW78">
        <v>0</v>
      </c>
      <c r="HX78">
        <v>0</v>
      </c>
      <c r="HY78">
        <v>0</v>
      </c>
      <c r="HZ78" t="s">
        <v>264</v>
      </c>
      <c r="IA78">
        <v>74.7</v>
      </c>
      <c r="IB78">
        <v>140.69999999999999</v>
      </c>
      <c r="IC78" t="s">
        <v>564</v>
      </c>
      <c r="ID78" t="s">
        <v>555</v>
      </c>
      <c r="IE78">
        <v>0</v>
      </c>
      <c r="IF78">
        <v>0</v>
      </c>
      <c r="IG78">
        <v>0</v>
      </c>
      <c r="IH78" t="s">
        <v>264</v>
      </c>
      <c r="II78">
        <v>68.3</v>
      </c>
      <c r="IJ78">
        <v>93.1</v>
      </c>
      <c r="IK78" t="s">
        <v>565</v>
      </c>
      <c r="IL78" t="s">
        <v>555</v>
      </c>
      <c r="IM78">
        <v>0</v>
      </c>
      <c r="IN78">
        <v>0</v>
      </c>
      <c r="IO78">
        <v>0</v>
      </c>
      <c r="IP78" t="s">
        <v>264</v>
      </c>
      <c r="IS78" t="s">
        <v>566</v>
      </c>
      <c r="IT78" t="s">
        <v>555</v>
      </c>
      <c r="IU78">
        <v>0</v>
      </c>
      <c r="IV78">
        <v>0</v>
      </c>
      <c r="IW78">
        <v>0</v>
      </c>
      <c r="IX78" t="s">
        <v>264</v>
      </c>
      <c r="JA78" t="s">
        <v>567</v>
      </c>
      <c r="JB78" t="s">
        <v>555</v>
      </c>
      <c r="JC78">
        <v>0</v>
      </c>
      <c r="JD78">
        <v>0</v>
      </c>
      <c r="JE78">
        <v>0</v>
      </c>
      <c r="JF78" t="s">
        <v>264</v>
      </c>
      <c r="JI78" t="s">
        <v>568</v>
      </c>
      <c r="JJ78" t="s">
        <v>555</v>
      </c>
      <c r="JK78">
        <v>0</v>
      </c>
      <c r="JL78">
        <v>0</v>
      </c>
      <c r="JM78">
        <v>0</v>
      </c>
      <c r="JN78" t="s">
        <v>264</v>
      </c>
      <c r="JQ78" t="s">
        <v>569</v>
      </c>
      <c r="JR78" t="s">
        <v>555</v>
      </c>
      <c r="JS78">
        <v>0</v>
      </c>
      <c r="JT78">
        <v>0</v>
      </c>
      <c r="JU78">
        <v>0</v>
      </c>
      <c r="JV78" t="s">
        <v>264</v>
      </c>
      <c r="JY78" t="s">
        <v>570</v>
      </c>
      <c r="JZ78" t="s">
        <v>555</v>
      </c>
      <c r="KA78">
        <v>0</v>
      </c>
      <c r="KB78">
        <v>0</v>
      </c>
      <c r="KC78">
        <v>0</v>
      </c>
      <c r="KD78" t="s">
        <v>264</v>
      </c>
      <c r="KG78" t="s">
        <v>571</v>
      </c>
      <c r="KH78" t="s">
        <v>555</v>
      </c>
      <c r="KI78">
        <v>0</v>
      </c>
      <c r="KJ78">
        <v>0</v>
      </c>
      <c r="KK78">
        <v>0</v>
      </c>
      <c r="KL78" t="s">
        <v>264</v>
      </c>
      <c r="KO78" t="s">
        <v>572</v>
      </c>
      <c r="KP78" t="s">
        <v>555</v>
      </c>
      <c r="KQ78">
        <v>0</v>
      </c>
      <c r="KR78">
        <v>0</v>
      </c>
      <c r="KS78">
        <v>0</v>
      </c>
      <c r="KT78" t="s">
        <v>264</v>
      </c>
      <c r="KW78" t="s">
        <v>573</v>
      </c>
      <c r="KX78" t="s">
        <v>555</v>
      </c>
      <c r="KY78">
        <v>0</v>
      </c>
      <c r="KZ78">
        <v>0</v>
      </c>
      <c r="LA78">
        <v>0</v>
      </c>
      <c r="LB78" t="s">
        <v>264</v>
      </c>
      <c r="LE78" t="s">
        <v>574</v>
      </c>
      <c r="LF78" t="s">
        <v>555</v>
      </c>
      <c r="LG78">
        <v>0</v>
      </c>
      <c r="LH78">
        <v>0</v>
      </c>
      <c r="LI78">
        <v>0</v>
      </c>
      <c r="LJ78" t="s">
        <v>264</v>
      </c>
      <c r="LM78" t="s">
        <v>575</v>
      </c>
      <c r="LN78" t="s">
        <v>555</v>
      </c>
      <c r="LO78">
        <v>0</v>
      </c>
      <c r="LP78">
        <v>0</v>
      </c>
      <c r="LQ78">
        <v>0</v>
      </c>
      <c r="LR78" t="s">
        <v>264</v>
      </c>
      <c r="LU78" t="s">
        <v>576</v>
      </c>
      <c r="LV78" t="s">
        <v>555</v>
      </c>
      <c r="LW78">
        <v>0</v>
      </c>
      <c r="LX78">
        <v>0</v>
      </c>
      <c r="LY78">
        <v>0</v>
      </c>
      <c r="LZ78" t="s">
        <v>264</v>
      </c>
      <c r="MC78" t="s">
        <v>577</v>
      </c>
      <c r="MD78" t="s">
        <v>555</v>
      </c>
      <c r="ME78">
        <v>0</v>
      </c>
      <c r="MF78">
        <v>0</v>
      </c>
      <c r="MG78">
        <v>0</v>
      </c>
      <c r="MH78" t="s">
        <v>264</v>
      </c>
      <c r="MK78" t="s">
        <v>578</v>
      </c>
      <c r="ML78" t="s">
        <v>555</v>
      </c>
      <c r="MM78">
        <v>0</v>
      </c>
      <c r="MN78">
        <v>0</v>
      </c>
      <c r="MO78">
        <v>0</v>
      </c>
      <c r="MP78" t="s">
        <v>264</v>
      </c>
      <c r="MS78" t="s">
        <v>579</v>
      </c>
      <c r="MT78" t="s">
        <v>555</v>
      </c>
      <c r="MU78">
        <v>0</v>
      </c>
      <c r="MV78">
        <v>0</v>
      </c>
      <c r="MW78">
        <v>0</v>
      </c>
      <c r="MX78" t="s">
        <v>264</v>
      </c>
      <c r="NA78" t="s">
        <v>580</v>
      </c>
      <c r="NB78" t="s">
        <v>555</v>
      </c>
      <c r="NC78">
        <v>0</v>
      </c>
      <c r="ND78">
        <v>0</v>
      </c>
      <c r="NE78">
        <v>0</v>
      </c>
      <c r="NF78" t="s">
        <v>264</v>
      </c>
      <c r="NI78">
        <v>40</v>
      </c>
      <c r="NJ78">
        <v>-5.5</v>
      </c>
      <c r="NP78" t="s">
        <v>581</v>
      </c>
    </row>
    <row r="79" spans="1:380" customFormat="1" x14ac:dyDescent="0.2">
      <c r="A79" t="s">
        <v>517</v>
      </c>
      <c r="B79">
        <v>1</v>
      </c>
      <c r="C79" t="s">
        <v>960</v>
      </c>
      <c r="D79">
        <v>647065621</v>
      </c>
      <c r="E79">
        <v>12602</v>
      </c>
      <c r="F79" t="s">
        <v>805</v>
      </c>
      <c r="G79">
        <v>710086</v>
      </c>
      <c r="H79">
        <v>210090125</v>
      </c>
      <c r="I79" t="s">
        <v>543</v>
      </c>
      <c r="J79" t="s">
        <v>961</v>
      </c>
      <c r="K79" t="s">
        <v>545</v>
      </c>
      <c r="L79" t="s">
        <v>442</v>
      </c>
      <c r="M79" t="s">
        <v>546</v>
      </c>
      <c r="N79" t="s">
        <v>468</v>
      </c>
      <c r="O79" t="s">
        <v>547</v>
      </c>
      <c r="P79" t="s">
        <v>264</v>
      </c>
      <c r="Q79">
        <v>26.1</v>
      </c>
      <c r="R79">
        <v>215</v>
      </c>
      <c r="S79" t="s">
        <v>264</v>
      </c>
      <c r="T79">
        <v>-9999</v>
      </c>
      <c r="U79">
        <v>558</v>
      </c>
      <c r="V79">
        <v>570</v>
      </c>
      <c r="W79">
        <v>546</v>
      </c>
      <c r="X79" t="s">
        <v>270</v>
      </c>
      <c r="Y79">
        <v>0</v>
      </c>
      <c r="Z79">
        <v>55</v>
      </c>
      <c r="AA79" t="s">
        <v>469</v>
      </c>
      <c r="AB79" t="s">
        <v>548</v>
      </c>
      <c r="AC79">
        <v>1</v>
      </c>
      <c r="AD79" t="s">
        <v>584</v>
      </c>
      <c r="AE79">
        <v>23.5</v>
      </c>
      <c r="AF79">
        <v>1098</v>
      </c>
      <c r="AG79" t="s">
        <v>264</v>
      </c>
      <c r="AH79">
        <v>-9999</v>
      </c>
      <c r="AI79">
        <v>599</v>
      </c>
      <c r="AJ79">
        <v>727</v>
      </c>
      <c r="AK79">
        <v>587</v>
      </c>
      <c r="AL79" t="s">
        <v>270</v>
      </c>
      <c r="AM79">
        <v>0</v>
      </c>
      <c r="AN79">
        <v>55</v>
      </c>
      <c r="AO79" t="s">
        <v>470</v>
      </c>
      <c r="AP79" t="s">
        <v>548</v>
      </c>
      <c r="AQ79">
        <v>2</v>
      </c>
      <c r="AR79" t="s">
        <v>584</v>
      </c>
      <c r="AS79">
        <v>33.6</v>
      </c>
      <c r="AT79">
        <v>343</v>
      </c>
      <c r="AU79" t="s">
        <v>264</v>
      </c>
      <c r="AV79">
        <v>-9999</v>
      </c>
      <c r="AW79">
        <v>355</v>
      </c>
      <c r="AX79">
        <v>375</v>
      </c>
      <c r="AY79">
        <v>352</v>
      </c>
      <c r="AZ79" t="s">
        <v>270</v>
      </c>
      <c r="BA79">
        <v>0</v>
      </c>
      <c r="BB79">
        <v>55</v>
      </c>
      <c r="BC79" t="s">
        <v>550</v>
      </c>
      <c r="BD79" t="s">
        <v>548</v>
      </c>
      <c r="BE79">
        <v>3</v>
      </c>
      <c r="BF79" t="s">
        <v>584</v>
      </c>
      <c r="BG79">
        <v>20.9</v>
      </c>
      <c r="BH79">
        <v>570</v>
      </c>
      <c r="BI79" t="s">
        <v>264</v>
      </c>
      <c r="BJ79">
        <v>-9999</v>
      </c>
      <c r="BK79">
        <v>-52</v>
      </c>
      <c r="BL79">
        <v>-32</v>
      </c>
      <c r="BM79">
        <v>-40</v>
      </c>
      <c r="BN79" t="s">
        <v>270</v>
      </c>
      <c r="BO79">
        <v>0</v>
      </c>
      <c r="BP79">
        <v>55</v>
      </c>
      <c r="BQ79" t="s">
        <v>504</v>
      </c>
      <c r="BR79" t="s">
        <v>548</v>
      </c>
      <c r="BS79">
        <v>4</v>
      </c>
      <c r="BT79" t="s">
        <v>584</v>
      </c>
      <c r="BU79">
        <v>28.3</v>
      </c>
      <c r="BV79">
        <v>250</v>
      </c>
      <c r="BW79" t="s">
        <v>264</v>
      </c>
      <c r="BX79">
        <v>-9999</v>
      </c>
      <c r="BY79">
        <v>231</v>
      </c>
      <c r="BZ79">
        <v>267</v>
      </c>
      <c r="CA79">
        <v>228</v>
      </c>
      <c r="CB79" t="s">
        <v>270</v>
      </c>
      <c r="CC79">
        <v>0</v>
      </c>
      <c r="CD79">
        <v>55</v>
      </c>
      <c r="CE79" t="s">
        <v>471</v>
      </c>
      <c r="CF79" t="s">
        <v>548</v>
      </c>
      <c r="CG79">
        <v>5</v>
      </c>
      <c r="CH79" t="s">
        <v>584</v>
      </c>
      <c r="CI79">
        <v>31.7</v>
      </c>
      <c r="CJ79">
        <v>205</v>
      </c>
      <c r="CK79" t="s">
        <v>264</v>
      </c>
      <c r="CL79">
        <v>-9999</v>
      </c>
      <c r="CM79">
        <v>550</v>
      </c>
      <c r="CN79">
        <v>649</v>
      </c>
      <c r="CO79">
        <v>551</v>
      </c>
      <c r="CP79" t="s">
        <v>270</v>
      </c>
      <c r="CQ79">
        <v>0</v>
      </c>
      <c r="CR79">
        <v>55</v>
      </c>
      <c r="CS79" t="s">
        <v>472</v>
      </c>
      <c r="CT79" t="s">
        <v>548</v>
      </c>
      <c r="CU79">
        <v>6</v>
      </c>
      <c r="CV79" t="s">
        <v>584</v>
      </c>
      <c r="CW79">
        <v>32.6</v>
      </c>
      <c r="CX79">
        <v>210</v>
      </c>
      <c r="CY79" t="s">
        <v>264</v>
      </c>
      <c r="CZ79">
        <v>-9999</v>
      </c>
      <c r="DA79">
        <v>551</v>
      </c>
      <c r="DB79">
        <v>622</v>
      </c>
      <c r="DC79">
        <v>539</v>
      </c>
      <c r="DD79" t="s">
        <v>270</v>
      </c>
      <c r="DE79">
        <v>0</v>
      </c>
      <c r="DF79">
        <v>55</v>
      </c>
      <c r="DG79" t="s">
        <v>473</v>
      </c>
      <c r="DH79" t="s">
        <v>548</v>
      </c>
      <c r="DI79">
        <v>7</v>
      </c>
      <c r="DJ79" t="s">
        <v>584</v>
      </c>
      <c r="DK79">
        <v>25.3</v>
      </c>
      <c r="DL79">
        <v>163</v>
      </c>
      <c r="DM79" t="s">
        <v>264</v>
      </c>
      <c r="DN79">
        <v>-9999</v>
      </c>
      <c r="DO79">
        <v>550</v>
      </c>
      <c r="DP79">
        <v>619</v>
      </c>
      <c r="DQ79">
        <v>544</v>
      </c>
      <c r="DR79" t="s">
        <v>270</v>
      </c>
      <c r="DS79">
        <v>0</v>
      </c>
      <c r="DT79">
        <v>55</v>
      </c>
      <c r="DU79" t="s">
        <v>474</v>
      </c>
      <c r="DV79" t="s">
        <v>548</v>
      </c>
      <c r="DW79">
        <v>8</v>
      </c>
      <c r="DX79" t="s">
        <v>584</v>
      </c>
      <c r="DY79">
        <v>20.7</v>
      </c>
      <c r="DZ79">
        <v>429</v>
      </c>
      <c r="EA79" t="s">
        <v>264</v>
      </c>
      <c r="EB79">
        <v>-9999</v>
      </c>
      <c r="EC79">
        <v>107</v>
      </c>
      <c r="ED79">
        <v>133</v>
      </c>
      <c r="EE79">
        <v>106</v>
      </c>
      <c r="EF79" t="s">
        <v>270</v>
      </c>
      <c r="EG79">
        <v>0</v>
      </c>
      <c r="EH79">
        <v>55</v>
      </c>
      <c r="EI79" t="s">
        <v>475</v>
      </c>
      <c r="EJ79" t="s">
        <v>548</v>
      </c>
      <c r="EK79">
        <v>9</v>
      </c>
      <c r="EL79" t="s">
        <v>584</v>
      </c>
      <c r="EM79">
        <v>25.6</v>
      </c>
      <c r="EN79">
        <v>88</v>
      </c>
      <c r="EO79" t="s">
        <v>264</v>
      </c>
      <c r="EP79">
        <v>-9999</v>
      </c>
      <c r="EQ79">
        <v>432</v>
      </c>
      <c r="ER79">
        <v>423</v>
      </c>
      <c r="ES79">
        <v>383</v>
      </c>
      <c r="ET79" t="s">
        <v>270</v>
      </c>
      <c r="EU79">
        <v>0</v>
      </c>
      <c r="EV79">
        <v>55</v>
      </c>
      <c r="EW79" t="s">
        <v>551</v>
      </c>
      <c r="EX79" t="s">
        <v>552</v>
      </c>
      <c r="EY79">
        <v>103</v>
      </c>
      <c r="EZ79">
        <v>103</v>
      </c>
      <c r="FA79">
        <v>103</v>
      </c>
      <c r="FB79" t="s">
        <v>270</v>
      </c>
      <c r="FC79" t="s">
        <v>553</v>
      </c>
      <c r="FD79" t="s">
        <v>552</v>
      </c>
      <c r="FE79">
        <v>308</v>
      </c>
      <c r="FF79">
        <v>306</v>
      </c>
      <c r="FG79">
        <v>305</v>
      </c>
      <c r="FH79" t="s">
        <v>270</v>
      </c>
      <c r="FI79" t="s">
        <v>554</v>
      </c>
      <c r="FJ79" t="s">
        <v>555</v>
      </c>
      <c r="FK79">
        <v>0</v>
      </c>
      <c r="FL79">
        <v>0</v>
      </c>
      <c r="FM79">
        <v>0</v>
      </c>
      <c r="FN79" t="s">
        <v>264</v>
      </c>
      <c r="FO79">
        <v>75.8</v>
      </c>
      <c r="FP79">
        <v>248.9</v>
      </c>
      <c r="FQ79" t="s">
        <v>556</v>
      </c>
      <c r="FR79" t="s">
        <v>555</v>
      </c>
      <c r="FS79">
        <v>0</v>
      </c>
      <c r="FT79">
        <v>0</v>
      </c>
      <c r="FU79">
        <v>0</v>
      </c>
      <c r="FV79" t="s">
        <v>264</v>
      </c>
      <c r="FW79">
        <v>73.3</v>
      </c>
      <c r="FX79">
        <v>76.3</v>
      </c>
      <c r="FY79" t="s">
        <v>557</v>
      </c>
      <c r="FZ79" t="s">
        <v>555</v>
      </c>
      <c r="GA79">
        <v>0</v>
      </c>
      <c r="GB79">
        <v>0</v>
      </c>
      <c r="GC79">
        <v>0</v>
      </c>
      <c r="GD79" t="s">
        <v>264</v>
      </c>
      <c r="GE79">
        <v>71.2</v>
      </c>
      <c r="GF79">
        <v>176.9</v>
      </c>
      <c r="GG79" t="s">
        <v>558</v>
      </c>
      <c r="GH79" t="s">
        <v>555</v>
      </c>
      <c r="GI79">
        <v>0</v>
      </c>
      <c r="GJ79">
        <v>0</v>
      </c>
      <c r="GK79">
        <v>0</v>
      </c>
      <c r="GL79" t="s">
        <v>264</v>
      </c>
      <c r="GM79">
        <v>68.099999999999994</v>
      </c>
      <c r="GN79">
        <v>52.9</v>
      </c>
      <c r="GO79" t="s">
        <v>559</v>
      </c>
      <c r="GP79" t="s">
        <v>555</v>
      </c>
      <c r="GQ79">
        <v>0</v>
      </c>
      <c r="GR79">
        <v>0</v>
      </c>
      <c r="GS79">
        <v>0</v>
      </c>
      <c r="GT79" t="s">
        <v>264</v>
      </c>
      <c r="GU79">
        <v>76</v>
      </c>
      <c r="GV79">
        <v>51.7</v>
      </c>
      <c r="GW79" t="s">
        <v>560</v>
      </c>
      <c r="GX79" t="s">
        <v>555</v>
      </c>
      <c r="GY79">
        <v>0</v>
      </c>
      <c r="GZ79">
        <v>0</v>
      </c>
      <c r="HA79">
        <v>0</v>
      </c>
      <c r="HB79" t="s">
        <v>264</v>
      </c>
      <c r="HC79">
        <v>70.400000000000006</v>
      </c>
      <c r="HD79">
        <v>85.8</v>
      </c>
      <c r="HE79" t="s">
        <v>561</v>
      </c>
      <c r="HF79" t="s">
        <v>555</v>
      </c>
      <c r="HG79">
        <v>0</v>
      </c>
      <c r="HH79">
        <v>0</v>
      </c>
      <c r="HI79">
        <v>0</v>
      </c>
      <c r="HJ79" t="s">
        <v>264</v>
      </c>
      <c r="HK79">
        <v>70.900000000000006</v>
      </c>
      <c r="HL79">
        <v>109.8</v>
      </c>
      <c r="HM79" t="s">
        <v>562</v>
      </c>
      <c r="HN79" t="s">
        <v>555</v>
      </c>
      <c r="HO79">
        <v>0</v>
      </c>
      <c r="HP79">
        <v>0</v>
      </c>
      <c r="HQ79">
        <v>0</v>
      </c>
      <c r="HR79" t="s">
        <v>264</v>
      </c>
      <c r="HS79">
        <v>68.900000000000006</v>
      </c>
      <c r="HT79">
        <v>83</v>
      </c>
      <c r="HU79" t="s">
        <v>563</v>
      </c>
      <c r="HV79" t="s">
        <v>555</v>
      </c>
      <c r="HW79">
        <v>0</v>
      </c>
      <c r="HX79">
        <v>0</v>
      </c>
      <c r="HY79">
        <v>0</v>
      </c>
      <c r="HZ79" t="s">
        <v>264</v>
      </c>
      <c r="IA79">
        <v>74.5</v>
      </c>
      <c r="IB79">
        <v>195.9</v>
      </c>
      <c r="IC79" t="s">
        <v>564</v>
      </c>
      <c r="ID79" t="s">
        <v>555</v>
      </c>
      <c r="IE79">
        <v>0</v>
      </c>
      <c r="IF79">
        <v>0</v>
      </c>
      <c r="IG79">
        <v>0</v>
      </c>
      <c r="IH79" t="s">
        <v>264</v>
      </c>
      <c r="II79">
        <v>68.3</v>
      </c>
      <c r="IJ79">
        <v>128.30000000000001</v>
      </c>
      <c r="IK79" t="s">
        <v>565</v>
      </c>
      <c r="IL79" t="s">
        <v>555</v>
      </c>
      <c r="IM79">
        <v>0</v>
      </c>
      <c r="IN79">
        <v>0</v>
      </c>
      <c r="IO79">
        <v>0</v>
      </c>
      <c r="IP79" t="s">
        <v>264</v>
      </c>
      <c r="IS79" t="s">
        <v>566</v>
      </c>
      <c r="IT79" t="s">
        <v>555</v>
      </c>
      <c r="IU79">
        <v>0</v>
      </c>
      <c r="IV79">
        <v>0</v>
      </c>
      <c r="IW79">
        <v>0</v>
      </c>
      <c r="IX79" t="s">
        <v>264</v>
      </c>
      <c r="JA79" t="s">
        <v>567</v>
      </c>
      <c r="JB79" t="s">
        <v>555</v>
      </c>
      <c r="JC79">
        <v>0</v>
      </c>
      <c r="JD79">
        <v>0</v>
      </c>
      <c r="JE79">
        <v>0</v>
      </c>
      <c r="JF79" t="s">
        <v>264</v>
      </c>
      <c r="JI79" t="s">
        <v>568</v>
      </c>
      <c r="JJ79" t="s">
        <v>555</v>
      </c>
      <c r="JK79">
        <v>0</v>
      </c>
      <c r="JL79">
        <v>0</v>
      </c>
      <c r="JM79">
        <v>0</v>
      </c>
      <c r="JN79" t="s">
        <v>264</v>
      </c>
      <c r="JQ79" t="s">
        <v>569</v>
      </c>
      <c r="JR79" t="s">
        <v>555</v>
      </c>
      <c r="JS79">
        <v>0</v>
      </c>
      <c r="JT79">
        <v>0</v>
      </c>
      <c r="JU79">
        <v>0</v>
      </c>
      <c r="JV79" t="s">
        <v>264</v>
      </c>
      <c r="JY79" t="s">
        <v>570</v>
      </c>
      <c r="JZ79" t="s">
        <v>555</v>
      </c>
      <c r="KA79">
        <v>0</v>
      </c>
      <c r="KB79">
        <v>0</v>
      </c>
      <c r="KC79">
        <v>0</v>
      </c>
      <c r="KD79" t="s">
        <v>264</v>
      </c>
      <c r="KG79" t="s">
        <v>571</v>
      </c>
      <c r="KH79" t="s">
        <v>555</v>
      </c>
      <c r="KI79">
        <v>0</v>
      </c>
      <c r="KJ79">
        <v>0</v>
      </c>
      <c r="KK79">
        <v>0</v>
      </c>
      <c r="KL79" t="s">
        <v>264</v>
      </c>
      <c r="KO79" t="s">
        <v>572</v>
      </c>
      <c r="KP79" t="s">
        <v>555</v>
      </c>
      <c r="KQ79">
        <v>0</v>
      </c>
      <c r="KR79">
        <v>0</v>
      </c>
      <c r="KS79">
        <v>0</v>
      </c>
      <c r="KT79" t="s">
        <v>264</v>
      </c>
      <c r="KW79" t="s">
        <v>573</v>
      </c>
      <c r="KX79" t="s">
        <v>555</v>
      </c>
      <c r="KY79">
        <v>0</v>
      </c>
      <c r="KZ79">
        <v>0</v>
      </c>
      <c r="LA79">
        <v>0</v>
      </c>
      <c r="LB79" t="s">
        <v>264</v>
      </c>
      <c r="LE79" t="s">
        <v>574</v>
      </c>
      <c r="LF79" t="s">
        <v>555</v>
      </c>
      <c r="LG79">
        <v>0</v>
      </c>
      <c r="LH79">
        <v>0</v>
      </c>
      <c r="LI79">
        <v>0</v>
      </c>
      <c r="LJ79" t="s">
        <v>264</v>
      </c>
      <c r="LM79" t="s">
        <v>575</v>
      </c>
      <c r="LN79" t="s">
        <v>555</v>
      </c>
      <c r="LO79">
        <v>0</v>
      </c>
      <c r="LP79">
        <v>0</v>
      </c>
      <c r="LQ79">
        <v>0</v>
      </c>
      <c r="LR79" t="s">
        <v>264</v>
      </c>
      <c r="LU79" t="s">
        <v>576</v>
      </c>
      <c r="LV79" t="s">
        <v>555</v>
      </c>
      <c r="LW79">
        <v>0</v>
      </c>
      <c r="LX79">
        <v>0</v>
      </c>
      <c r="LY79">
        <v>0</v>
      </c>
      <c r="LZ79" t="s">
        <v>264</v>
      </c>
      <c r="MC79" t="s">
        <v>577</v>
      </c>
      <c r="MD79" t="s">
        <v>555</v>
      </c>
      <c r="ME79">
        <v>0</v>
      </c>
      <c r="MF79">
        <v>0</v>
      </c>
      <c r="MG79">
        <v>0</v>
      </c>
      <c r="MH79" t="s">
        <v>264</v>
      </c>
      <c r="MK79" t="s">
        <v>578</v>
      </c>
      <c r="ML79" t="s">
        <v>555</v>
      </c>
      <c r="MM79">
        <v>0</v>
      </c>
      <c r="MN79">
        <v>0</v>
      </c>
      <c r="MO79">
        <v>0</v>
      </c>
      <c r="MP79" t="s">
        <v>264</v>
      </c>
      <c r="MS79" t="s">
        <v>579</v>
      </c>
      <c r="MT79" t="s">
        <v>555</v>
      </c>
      <c r="MU79">
        <v>0</v>
      </c>
      <c r="MV79">
        <v>0</v>
      </c>
      <c r="MW79">
        <v>0</v>
      </c>
      <c r="MX79" t="s">
        <v>264</v>
      </c>
      <c r="NA79" t="s">
        <v>580</v>
      </c>
      <c r="NB79" t="s">
        <v>555</v>
      </c>
      <c r="NC79">
        <v>0</v>
      </c>
      <c r="ND79">
        <v>0</v>
      </c>
      <c r="NE79">
        <v>0</v>
      </c>
      <c r="NF79" t="s">
        <v>264</v>
      </c>
      <c r="NI79">
        <v>40.1</v>
      </c>
      <c r="NJ79">
        <v>-9.6999999999999993</v>
      </c>
      <c r="NP79" t="s">
        <v>581</v>
      </c>
    </row>
    <row r="80" spans="1:380" customFormat="1" x14ac:dyDescent="0.2">
      <c r="A80" t="s">
        <v>517</v>
      </c>
      <c r="B80">
        <v>1</v>
      </c>
      <c r="C80" t="s">
        <v>962</v>
      </c>
      <c r="D80">
        <v>647066049</v>
      </c>
      <c r="E80">
        <v>12602</v>
      </c>
      <c r="F80" t="s">
        <v>805</v>
      </c>
      <c r="G80">
        <v>710086</v>
      </c>
      <c r="H80">
        <v>914339</v>
      </c>
      <c r="I80" t="s">
        <v>543</v>
      </c>
      <c r="J80" t="s">
        <v>963</v>
      </c>
      <c r="K80" t="s">
        <v>545</v>
      </c>
      <c r="L80" t="s">
        <v>442</v>
      </c>
      <c r="M80" t="s">
        <v>546</v>
      </c>
      <c r="N80" t="s">
        <v>468</v>
      </c>
      <c r="O80" t="s">
        <v>547</v>
      </c>
      <c r="P80" t="s">
        <v>264</v>
      </c>
      <c r="Q80">
        <v>27</v>
      </c>
      <c r="R80">
        <v>237</v>
      </c>
      <c r="S80" t="s">
        <v>264</v>
      </c>
      <c r="T80">
        <v>-9999</v>
      </c>
      <c r="U80">
        <v>481</v>
      </c>
      <c r="V80">
        <v>495</v>
      </c>
      <c r="W80">
        <v>473</v>
      </c>
      <c r="X80" t="s">
        <v>270</v>
      </c>
      <c r="Y80">
        <v>0</v>
      </c>
      <c r="Z80">
        <v>55</v>
      </c>
      <c r="AA80" t="s">
        <v>469</v>
      </c>
      <c r="AB80" t="s">
        <v>548</v>
      </c>
      <c r="AC80">
        <v>1</v>
      </c>
      <c r="AD80" t="s">
        <v>584</v>
      </c>
      <c r="AE80">
        <v>25.6</v>
      </c>
      <c r="AF80">
        <v>1376</v>
      </c>
      <c r="AG80" t="s">
        <v>264</v>
      </c>
      <c r="AH80">
        <v>-9999</v>
      </c>
      <c r="AI80">
        <v>438</v>
      </c>
      <c r="AJ80">
        <v>539</v>
      </c>
      <c r="AK80">
        <v>432</v>
      </c>
      <c r="AL80" t="s">
        <v>270</v>
      </c>
      <c r="AM80">
        <v>0</v>
      </c>
      <c r="AN80">
        <v>55</v>
      </c>
      <c r="AO80" t="s">
        <v>470</v>
      </c>
      <c r="AP80" t="s">
        <v>548</v>
      </c>
      <c r="AQ80">
        <v>2</v>
      </c>
      <c r="AR80" t="s">
        <v>584</v>
      </c>
      <c r="AS80">
        <v>37.5</v>
      </c>
      <c r="AT80">
        <v>309</v>
      </c>
      <c r="AU80" t="s">
        <v>264</v>
      </c>
      <c r="AV80">
        <v>-9999</v>
      </c>
      <c r="AW80">
        <v>389</v>
      </c>
      <c r="AX80">
        <v>410</v>
      </c>
      <c r="AY80">
        <v>387</v>
      </c>
      <c r="AZ80" t="s">
        <v>270</v>
      </c>
      <c r="BA80">
        <v>0</v>
      </c>
      <c r="BB80">
        <v>55</v>
      </c>
      <c r="BC80" t="s">
        <v>550</v>
      </c>
      <c r="BD80" t="s">
        <v>548</v>
      </c>
      <c r="BE80">
        <v>3</v>
      </c>
      <c r="BF80" t="s">
        <v>584</v>
      </c>
      <c r="BG80">
        <v>22.1</v>
      </c>
      <c r="BH80">
        <v>706</v>
      </c>
      <c r="BI80" t="s">
        <v>264</v>
      </c>
      <c r="BJ80">
        <v>-9999</v>
      </c>
      <c r="BK80">
        <v>153</v>
      </c>
      <c r="BL80">
        <v>195</v>
      </c>
      <c r="BM80">
        <v>156</v>
      </c>
      <c r="BN80" t="s">
        <v>270</v>
      </c>
      <c r="BO80">
        <v>0</v>
      </c>
      <c r="BP80">
        <v>55</v>
      </c>
      <c r="BQ80" t="s">
        <v>504</v>
      </c>
      <c r="BR80" t="s">
        <v>548</v>
      </c>
      <c r="BS80">
        <v>4</v>
      </c>
      <c r="BT80" t="s">
        <v>584</v>
      </c>
      <c r="BU80">
        <v>30.4</v>
      </c>
      <c r="BV80">
        <v>291</v>
      </c>
      <c r="BW80" t="s">
        <v>264</v>
      </c>
      <c r="BX80">
        <v>-9999</v>
      </c>
      <c r="BY80">
        <v>180</v>
      </c>
      <c r="BZ80">
        <v>208</v>
      </c>
      <c r="CA80">
        <v>178</v>
      </c>
      <c r="CB80" t="s">
        <v>270</v>
      </c>
      <c r="CC80">
        <v>0</v>
      </c>
      <c r="CD80">
        <v>55</v>
      </c>
      <c r="CE80" t="s">
        <v>471</v>
      </c>
      <c r="CF80" t="s">
        <v>548</v>
      </c>
      <c r="CG80">
        <v>5</v>
      </c>
      <c r="CH80" t="s">
        <v>584</v>
      </c>
      <c r="CI80">
        <v>36.799999999999997</v>
      </c>
      <c r="CJ80">
        <v>168</v>
      </c>
      <c r="CK80" t="s">
        <v>264</v>
      </c>
      <c r="CL80">
        <v>-9999</v>
      </c>
      <c r="CM80">
        <v>438</v>
      </c>
      <c r="CN80">
        <v>511</v>
      </c>
      <c r="CO80">
        <v>438</v>
      </c>
      <c r="CP80" t="s">
        <v>270</v>
      </c>
      <c r="CQ80">
        <v>0</v>
      </c>
      <c r="CR80">
        <v>55</v>
      </c>
      <c r="CS80" t="s">
        <v>472</v>
      </c>
      <c r="CT80" t="s">
        <v>548</v>
      </c>
      <c r="CU80">
        <v>6</v>
      </c>
      <c r="CV80" t="s">
        <v>584</v>
      </c>
      <c r="CW80">
        <v>35</v>
      </c>
      <c r="CX80">
        <v>219</v>
      </c>
      <c r="CY80" t="s">
        <v>264</v>
      </c>
      <c r="CZ80">
        <v>-9999</v>
      </c>
      <c r="DA80">
        <v>636</v>
      </c>
      <c r="DB80">
        <v>721</v>
      </c>
      <c r="DC80">
        <v>625</v>
      </c>
      <c r="DD80" t="s">
        <v>270</v>
      </c>
      <c r="DE80">
        <v>0</v>
      </c>
      <c r="DF80">
        <v>55</v>
      </c>
      <c r="DG80" t="s">
        <v>473</v>
      </c>
      <c r="DH80" t="s">
        <v>548</v>
      </c>
      <c r="DI80">
        <v>7</v>
      </c>
      <c r="DJ80" t="s">
        <v>584</v>
      </c>
      <c r="DK80">
        <v>23.8</v>
      </c>
      <c r="DL80">
        <v>221</v>
      </c>
      <c r="DM80" t="s">
        <v>264</v>
      </c>
      <c r="DN80">
        <v>-9999</v>
      </c>
      <c r="DO80">
        <v>474</v>
      </c>
      <c r="DP80">
        <v>543</v>
      </c>
      <c r="DQ80">
        <v>469</v>
      </c>
      <c r="DR80" t="s">
        <v>270</v>
      </c>
      <c r="DS80">
        <v>0</v>
      </c>
      <c r="DT80">
        <v>55</v>
      </c>
      <c r="DU80" t="s">
        <v>474</v>
      </c>
      <c r="DV80" t="s">
        <v>548</v>
      </c>
      <c r="DW80">
        <v>8</v>
      </c>
      <c r="DX80" t="s">
        <v>584</v>
      </c>
      <c r="DY80">
        <v>21.4</v>
      </c>
      <c r="DZ80">
        <v>444</v>
      </c>
      <c r="EA80" t="s">
        <v>264</v>
      </c>
      <c r="EB80">
        <v>-9999</v>
      </c>
      <c r="EC80">
        <v>98</v>
      </c>
      <c r="ED80">
        <v>118</v>
      </c>
      <c r="EE80">
        <v>95</v>
      </c>
      <c r="EF80" t="s">
        <v>270</v>
      </c>
      <c r="EG80">
        <v>0</v>
      </c>
      <c r="EH80">
        <v>55</v>
      </c>
      <c r="EI80" t="s">
        <v>475</v>
      </c>
      <c r="EJ80" t="s">
        <v>548</v>
      </c>
      <c r="EK80">
        <v>9</v>
      </c>
      <c r="EL80" t="s">
        <v>584</v>
      </c>
      <c r="EM80">
        <v>25.6</v>
      </c>
      <c r="EN80">
        <v>83</v>
      </c>
      <c r="EO80" t="s">
        <v>264</v>
      </c>
      <c r="EP80">
        <v>-9999</v>
      </c>
      <c r="EQ80">
        <v>327</v>
      </c>
      <c r="ER80">
        <v>307</v>
      </c>
      <c r="ES80">
        <v>282</v>
      </c>
      <c r="ET80" t="s">
        <v>270</v>
      </c>
      <c r="EU80">
        <v>0</v>
      </c>
      <c r="EV80">
        <v>55</v>
      </c>
      <c r="EW80" t="s">
        <v>551</v>
      </c>
      <c r="EX80" t="s">
        <v>552</v>
      </c>
      <c r="EY80">
        <v>126</v>
      </c>
      <c r="EZ80">
        <v>126</v>
      </c>
      <c r="FA80">
        <v>126</v>
      </c>
      <c r="FB80" t="s">
        <v>270</v>
      </c>
      <c r="FC80" t="s">
        <v>553</v>
      </c>
      <c r="FD80" t="s">
        <v>552</v>
      </c>
      <c r="FE80">
        <v>307</v>
      </c>
      <c r="FF80">
        <v>305</v>
      </c>
      <c r="FG80">
        <v>304</v>
      </c>
      <c r="FH80" t="s">
        <v>270</v>
      </c>
      <c r="FI80" t="s">
        <v>554</v>
      </c>
      <c r="FJ80" t="s">
        <v>555</v>
      </c>
      <c r="FK80">
        <v>0</v>
      </c>
      <c r="FL80">
        <v>0</v>
      </c>
      <c r="FM80">
        <v>0</v>
      </c>
      <c r="FN80" t="s">
        <v>264</v>
      </c>
      <c r="FO80">
        <v>76.099999999999994</v>
      </c>
      <c r="FP80">
        <v>268.3</v>
      </c>
      <c r="FQ80" t="s">
        <v>556</v>
      </c>
      <c r="FR80" t="s">
        <v>555</v>
      </c>
      <c r="FS80">
        <v>0</v>
      </c>
      <c r="FT80">
        <v>0</v>
      </c>
      <c r="FU80">
        <v>0</v>
      </c>
      <c r="FV80" t="s">
        <v>264</v>
      </c>
      <c r="FW80">
        <v>73.599999999999994</v>
      </c>
      <c r="FX80">
        <v>98.4</v>
      </c>
      <c r="FY80" t="s">
        <v>557</v>
      </c>
      <c r="FZ80" t="s">
        <v>555</v>
      </c>
      <c r="GA80">
        <v>0</v>
      </c>
      <c r="GB80">
        <v>0</v>
      </c>
      <c r="GC80">
        <v>0</v>
      </c>
      <c r="GD80" t="s">
        <v>264</v>
      </c>
      <c r="GE80">
        <v>71.400000000000006</v>
      </c>
      <c r="GF80">
        <v>227.8</v>
      </c>
      <c r="GG80" t="s">
        <v>558</v>
      </c>
      <c r="GH80" t="s">
        <v>555</v>
      </c>
      <c r="GI80">
        <v>0</v>
      </c>
      <c r="GJ80">
        <v>0</v>
      </c>
      <c r="GK80">
        <v>0</v>
      </c>
      <c r="GL80" t="s">
        <v>264</v>
      </c>
      <c r="GM80">
        <v>68.599999999999994</v>
      </c>
      <c r="GN80">
        <v>43.7</v>
      </c>
      <c r="GO80" t="s">
        <v>559</v>
      </c>
      <c r="GP80" t="s">
        <v>555</v>
      </c>
      <c r="GQ80">
        <v>0</v>
      </c>
      <c r="GR80">
        <v>0</v>
      </c>
      <c r="GS80">
        <v>0</v>
      </c>
      <c r="GT80" t="s">
        <v>264</v>
      </c>
      <c r="GU80">
        <v>76.099999999999994</v>
      </c>
      <c r="GV80">
        <v>52.4</v>
      </c>
      <c r="GW80" t="s">
        <v>560</v>
      </c>
      <c r="GX80" t="s">
        <v>555</v>
      </c>
      <c r="GY80">
        <v>0</v>
      </c>
      <c r="GZ80">
        <v>0</v>
      </c>
      <c r="HA80">
        <v>0</v>
      </c>
      <c r="HB80" t="s">
        <v>264</v>
      </c>
      <c r="HC80">
        <v>70.3</v>
      </c>
      <c r="HD80">
        <v>68</v>
      </c>
      <c r="HE80" t="s">
        <v>561</v>
      </c>
      <c r="HF80" t="s">
        <v>555</v>
      </c>
      <c r="HG80">
        <v>0</v>
      </c>
      <c r="HH80">
        <v>0</v>
      </c>
      <c r="HI80">
        <v>0</v>
      </c>
      <c r="HJ80" t="s">
        <v>264</v>
      </c>
      <c r="HK80">
        <v>71</v>
      </c>
      <c r="HL80">
        <v>123.4</v>
      </c>
      <c r="HM80" t="s">
        <v>562</v>
      </c>
      <c r="HN80" t="s">
        <v>555</v>
      </c>
      <c r="HO80">
        <v>0</v>
      </c>
      <c r="HP80">
        <v>0</v>
      </c>
      <c r="HQ80">
        <v>0</v>
      </c>
      <c r="HR80" t="s">
        <v>264</v>
      </c>
      <c r="HS80">
        <v>69.400000000000006</v>
      </c>
      <c r="HT80">
        <v>79.099999999999994</v>
      </c>
      <c r="HU80" t="s">
        <v>563</v>
      </c>
      <c r="HV80" t="s">
        <v>555</v>
      </c>
      <c r="HW80">
        <v>0</v>
      </c>
      <c r="HX80">
        <v>0</v>
      </c>
      <c r="HY80">
        <v>0</v>
      </c>
      <c r="HZ80" t="s">
        <v>264</v>
      </c>
      <c r="IA80">
        <v>74.8</v>
      </c>
      <c r="IB80">
        <v>161.30000000000001</v>
      </c>
      <c r="IC80" t="s">
        <v>564</v>
      </c>
      <c r="ID80" t="s">
        <v>555</v>
      </c>
      <c r="IE80">
        <v>0</v>
      </c>
      <c r="IF80">
        <v>0</v>
      </c>
      <c r="IG80">
        <v>0</v>
      </c>
      <c r="IH80" t="s">
        <v>264</v>
      </c>
      <c r="II80">
        <v>68.5</v>
      </c>
      <c r="IJ80">
        <v>109.6</v>
      </c>
      <c r="IK80" t="s">
        <v>565</v>
      </c>
      <c r="IL80" t="s">
        <v>555</v>
      </c>
      <c r="IM80">
        <v>0</v>
      </c>
      <c r="IN80">
        <v>0</v>
      </c>
      <c r="IO80">
        <v>0</v>
      </c>
      <c r="IP80" t="s">
        <v>264</v>
      </c>
      <c r="IS80" t="s">
        <v>566</v>
      </c>
      <c r="IT80" t="s">
        <v>555</v>
      </c>
      <c r="IU80">
        <v>0</v>
      </c>
      <c r="IV80">
        <v>0</v>
      </c>
      <c r="IW80">
        <v>0</v>
      </c>
      <c r="IX80" t="s">
        <v>264</v>
      </c>
      <c r="JA80" t="s">
        <v>567</v>
      </c>
      <c r="JB80" t="s">
        <v>555</v>
      </c>
      <c r="JC80">
        <v>0</v>
      </c>
      <c r="JD80">
        <v>0</v>
      </c>
      <c r="JE80">
        <v>0</v>
      </c>
      <c r="JF80" t="s">
        <v>264</v>
      </c>
      <c r="JI80" t="s">
        <v>568</v>
      </c>
      <c r="JJ80" t="s">
        <v>555</v>
      </c>
      <c r="JK80">
        <v>0</v>
      </c>
      <c r="JL80">
        <v>0</v>
      </c>
      <c r="JM80">
        <v>0</v>
      </c>
      <c r="JN80" t="s">
        <v>264</v>
      </c>
      <c r="JQ80" t="s">
        <v>569</v>
      </c>
      <c r="JR80" t="s">
        <v>555</v>
      </c>
      <c r="JS80">
        <v>0</v>
      </c>
      <c r="JT80">
        <v>0</v>
      </c>
      <c r="JU80">
        <v>0</v>
      </c>
      <c r="JV80" t="s">
        <v>264</v>
      </c>
      <c r="JY80" t="s">
        <v>570</v>
      </c>
      <c r="JZ80" t="s">
        <v>555</v>
      </c>
      <c r="KA80">
        <v>0</v>
      </c>
      <c r="KB80">
        <v>0</v>
      </c>
      <c r="KC80">
        <v>0</v>
      </c>
      <c r="KD80" t="s">
        <v>264</v>
      </c>
      <c r="KG80" t="s">
        <v>571</v>
      </c>
      <c r="KH80" t="s">
        <v>555</v>
      </c>
      <c r="KI80">
        <v>0</v>
      </c>
      <c r="KJ80">
        <v>0</v>
      </c>
      <c r="KK80">
        <v>0</v>
      </c>
      <c r="KL80" t="s">
        <v>264</v>
      </c>
      <c r="KO80" t="s">
        <v>572</v>
      </c>
      <c r="KP80" t="s">
        <v>555</v>
      </c>
      <c r="KQ80">
        <v>0</v>
      </c>
      <c r="KR80">
        <v>0</v>
      </c>
      <c r="KS80">
        <v>0</v>
      </c>
      <c r="KT80" t="s">
        <v>264</v>
      </c>
      <c r="KW80" t="s">
        <v>573</v>
      </c>
      <c r="KX80" t="s">
        <v>555</v>
      </c>
      <c r="KY80">
        <v>0</v>
      </c>
      <c r="KZ80">
        <v>0</v>
      </c>
      <c r="LA80">
        <v>0</v>
      </c>
      <c r="LB80" t="s">
        <v>264</v>
      </c>
      <c r="LE80" t="s">
        <v>574</v>
      </c>
      <c r="LF80" t="s">
        <v>555</v>
      </c>
      <c r="LG80">
        <v>0</v>
      </c>
      <c r="LH80">
        <v>0</v>
      </c>
      <c r="LI80">
        <v>0</v>
      </c>
      <c r="LJ80" t="s">
        <v>264</v>
      </c>
      <c r="LM80" t="s">
        <v>575</v>
      </c>
      <c r="LN80" t="s">
        <v>555</v>
      </c>
      <c r="LO80">
        <v>0</v>
      </c>
      <c r="LP80">
        <v>0</v>
      </c>
      <c r="LQ80">
        <v>0</v>
      </c>
      <c r="LR80" t="s">
        <v>264</v>
      </c>
      <c r="LU80" t="s">
        <v>576</v>
      </c>
      <c r="LV80" t="s">
        <v>555</v>
      </c>
      <c r="LW80">
        <v>0</v>
      </c>
      <c r="LX80">
        <v>0</v>
      </c>
      <c r="LY80">
        <v>0</v>
      </c>
      <c r="LZ80" t="s">
        <v>264</v>
      </c>
      <c r="MC80" t="s">
        <v>577</v>
      </c>
      <c r="MD80" t="s">
        <v>555</v>
      </c>
      <c r="ME80">
        <v>0</v>
      </c>
      <c r="MF80">
        <v>0</v>
      </c>
      <c r="MG80">
        <v>0</v>
      </c>
      <c r="MH80" t="s">
        <v>264</v>
      </c>
      <c r="MK80" t="s">
        <v>578</v>
      </c>
      <c r="ML80" t="s">
        <v>555</v>
      </c>
      <c r="MM80">
        <v>0</v>
      </c>
      <c r="MN80">
        <v>0</v>
      </c>
      <c r="MO80">
        <v>0</v>
      </c>
      <c r="MP80" t="s">
        <v>264</v>
      </c>
      <c r="MS80" t="s">
        <v>579</v>
      </c>
      <c r="MT80" t="s">
        <v>555</v>
      </c>
      <c r="MU80">
        <v>0</v>
      </c>
      <c r="MV80">
        <v>0</v>
      </c>
      <c r="MW80">
        <v>0</v>
      </c>
      <c r="MX80" t="s">
        <v>264</v>
      </c>
      <c r="NA80" t="s">
        <v>580</v>
      </c>
      <c r="NB80" t="s">
        <v>555</v>
      </c>
      <c r="NC80">
        <v>0</v>
      </c>
      <c r="ND80">
        <v>0</v>
      </c>
      <c r="NE80">
        <v>0</v>
      </c>
      <c r="NF80" t="s">
        <v>264</v>
      </c>
      <c r="NI80">
        <v>40</v>
      </c>
      <c r="NJ80">
        <v>-13.3</v>
      </c>
      <c r="NP80" t="s">
        <v>581</v>
      </c>
    </row>
    <row r="81" spans="1:380" customFormat="1" x14ac:dyDescent="0.2">
      <c r="A81" t="s">
        <v>517</v>
      </c>
      <c r="B81">
        <v>1</v>
      </c>
      <c r="C81" t="s">
        <v>964</v>
      </c>
      <c r="D81">
        <v>647065081</v>
      </c>
      <c r="E81">
        <v>12602</v>
      </c>
      <c r="F81" t="s">
        <v>805</v>
      </c>
      <c r="G81">
        <v>710086</v>
      </c>
      <c r="H81">
        <v>210053696</v>
      </c>
      <c r="I81" t="s">
        <v>543</v>
      </c>
      <c r="J81" t="s">
        <v>965</v>
      </c>
      <c r="K81" t="s">
        <v>545</v>
      </c>
      <c r="L81" t="s">
        <v>442</v>
      </c>
      <c r="M81" t="s">
        <v>546</v>
      </c>
      <c r="N81" t="s">
        <v>468</v>
      </c>
      <c r="O81" t="s">
        <v>547</v>
      </c>
      <c r="P81" t="s">
        <v>264</v>
      </c>
      <c r="Q81">
        <v>27.3</v>
      </c>
      <c r="R81">
        <v>258</v>
      </c>
      <c r="S81" t="s">
        <v>264</v>
      </c>
      <c r="T81">
        <v>-9999</v>
      </c>
      <c r="U81">
        <v>517</v>
      </c>
      <c r="V81">
        <v>531</v>
      </c>
      <c r="W81">
        <v>507</v>
      </c>
      <c r="X81" t="s">
        <v>270</v>
      </c>
      <c r="Y81">
        <v>0</v>
      </c>
      <c r="Z81">
        <v>55</v>
      </c>
      <c r="AA81" t="s">
        <v>469</v>
      </c>
      <c r="AB81" t="s">
        <v>548</v>
      </c>
      <c r="AC81">
        <v>1</v>
      </c>
      <c r="AD81" t="s">
        <v>584</v>
      </c>
      <c r="AE81">
        <v>27.9</v>
      </c>
      <c r="AF81">
        <v>1543</v>
      </c>
      <c r="AG81" t="s">
        <v>264</v>
      </c>
      <c r="AH81">
        <v>-9999</v>
      </c>
      <c r="AI81">
        <v>367</v>
      </c>
      <c r="AJ81">
        <v>465</v>
      </c>
      <c r="AK81">
        <v>369</v>
      </c>
      <c r="AL81" t="s">
        <v>270</v>
      </c>
      <c r="AM81">
        <v>0</v>
      </c>
      <c r="AN81">
        <v>55</v>
      </c>
      <c r="AO81" t="s">
        <v>470</v>
      </c>
      <c r="AP81" t="s">
        <v>548</v>
      </c>
      <c r="AQ81">
        <v>2</v>
      </c>
      <c r="AR81" t="s">
        <v>584</v>
      </c>
      <c r="AS81">
        <v>39</v>
      </c>
      <c r="AT81">
        <v>346</v>
      </c>
      <c r="AU81" t="s">
        <v>264</v>
      </c>
      <c r="AV81">
        <v>-9999</v>
      </c>
      <c r="AW81">
        <v>341</v>
      </c>
      <c r="AX81">
        <v>357</v>
      </c>
      <c r="AY81">
        <v>341</v>
      </c>
      <c r="AZ81" t="s">
        <v>270</v>
      </c>
      <c r="BA81">
        <v>0</v>
      </c>
      <c r="BB81">
        <v>55</v>
      </c>
      <c r="BC81" t="s">
        <v>550</v>
      </c>
      <c r="BD81" t="s">
        <v>548</v>
      </c>
      <c r="BE81">
        <v>3</v>
      </c>
      <c r="BF81" t="s">
        <v>584</v>
      </c>
      <c r="BG81">
        <v>24.6</v>
      </c>
      <c r="BH81">
        <v>524</v>
      </c>
      <c r="BI81" t="s">
        <v>264</v>
      </c>
      <c r="BJ81">
        <v>-9999</v>
      </c>
      <c r="BK81">
        <v>281</v>
      </c>
      <c r="BL81">
        <v>332</v>
      </c>
      <c r="BM81">
        <v>274</v>
      </c>
      <c r="BN81" t="s">
        <v>270</v>
      </c>
      <c r="BO81">
        <v>0</v>
      </c>
      <c r="BP81">
        <v>55</v>
      </c>
      <c r="BQ81" t="s">
        <v>504</v>
      </c>
      <c r="BR81" t="s">
        <v>548</v>
      </c>
      <c r="BS81">
        <v>4</v>
      </c>
      <c r="BT81" t="s">
        <v>584</v>
      </c>
      <c r="BU81">
        <v>31.7</v>
      </c>
      <c r="BV81">
        <v>274</v>
      </c>
      <c r="BW81" t="s">
        <v>264</v>
      </c>
      <c r="BX81">
        <v>-9999</v>
      </c>
      <c r="BY81">
        <v>191</v>
      </c>
      <c r="BZ81">
        <v>222</v>
      </c>
      <c r="CA81">
        <v>190</v>
      </c>
      <c r="CB81" t="s">
        <v>270</v>
      </c>
      <c r="CC81">
        <v>0</v>
      </c>
      <c r="CD81">
        <v>55</v>
      </c>
      <c r="CE81" t="s">
        <v>471</v>
      </c>
      <c r="CF81" t="s">
        <v>548</v>
      </c>
      <c r="CG81">
        <v>5</v>
      </c>
      <c r="CH81" t="s">
        <v>584</v>
      </c>
      <c r="CI81">
        <v>36.799999999999997</v>
      </c>
      <c r="CJ81">
        <v>214</v>
      </c>
      <c r="CK81" t="s">
        <v>264</v>
      </c>
      <c r="CL81">
        <v>-9999</v>
      </c>
      <c r="CM81">
        <v>445</v>
      </c>
      <c r="CN81">
        <v>516</v>
      </c>
      <c r="CO81">
        <v>443</v>
      </c>
      <c r="CP81" t="s">
        <v>270</v>
      </c>
      <c r="CQ81">
        <v>0</v>
      </c>
      <c r="CR81">
        <v>55</v>
      </c>
      <c r="CS81" t="s">
        <v>472</v>
      </c>
      <c r="CT81" t="s">
        <v>548</v>
      </c>
      <c r="CU81">
        <v>6</v>
      </c>
      <c r="CV81" t="s">
        <v>584</v>
      </c>
      <c r="CW81">
        <v>35.6</v>
      </c>
      <c r="CX81">
        <v>245</v>
      </c>
      <c r="CY81" t="s">
        <v>264</v>
      </c>
      <c r="CZ81">
        <v>-9999</v>
      </c>
      <c r="DA81">
        <v>638</v>
      </c>
      <c r="DB81">
        <v>725</v>
      </c>
      <c r="DC81">
        <v>629</v>
      </c>
      <c r="DD81" t="s">
        <v>270</v>
      </c>
      <c r="DE81">
        <v>0</v>
      </c>
      <c r="DF81">
        <v>55</v>
      </c>
      <c r="DG81" t="s">
        <v>473</v>
      </c>
      <c r="DH81" t="s">
        <v>548</v>
      </c>
      <c r="DI81">
        <v>7</v>
      </c>
      <c r="DJ81" t="s">
        <v>584</v>
      </c>
      <c r="DK81">
        <v>23.8</v>
      </c>
      <c r="DL81">
        <v>239</v>
      </c>
      <c r="DM81" t="s">
        <v>264</v>
      </c>
      <c r="DN81">
        <v>-9999</v>
      </c>
      <c r="DO81">
        <v>456</v>
      </c>
      <c r="DP81">
        <v>522</v>
      </c>
      <c r="DQ81">
        <v>453</v>
      </c>
      <c r="DR81" t="s">
        <v>270</v>
      </c>
      <c r="DS81">
        <v>0</v>
      </c>
      <c r="DT81">
        <v>55</v>
      </c>
      <c r="DU81" t="s">
        <v>474</v>
      </c>
      <c r="DV81" t="s">
        <v>548</v>
      </c>
      <c r="DW81">
        <v>8</v>
      </c>
      <c r="DX81" t="s">
        <v>584</v>
      </c>
      <c r="DY81">
        <v>21.3</v>
      </c>
      <c r="DZ81">
        <v>551</v>
      </c>
      <c r="EA81" t="s">
        <v>264</v>
      </c>
      <c r="EB81">
        <v>-9999</v>
      </c>
      <c r="EC81">
        <v>78</v>
      </c>
      <c r="ED81">
        <v>96</v>
      </c>
      <c r="EE81">
        <v>76</v>
      </c>
      <c r="EF81" t="s">
        <v>270</v>
      </c>
      <c r="EG81">
        <v>0</v>
      </c>
      <c r="EH81">
        <v>55</v>
      </c>
      <c r="EI81" t="s">
        <v>475</v>
      </c>
      <c r="EJ81" t="s">
        <v>548</v>
      </c>
      <c r="EK81">
        <v>9</v>
      </c>
      <c r="EL81" t="s">
        <v>584</v>
      </c>
      <c r="EM81">
        <v>22.3</v>
      </c>
      <c r="EN81">
        <v>179</v>
      </c>
      <c r="EO81" t="s">
        <v>264</v>
      </c>
      <c r="EP81">
        <v>-9999</v>
      </c>
      <c r="EQ81">
        <v>217</v>
      </c>
      <c r="ER81">
        <v>192</v>
      </c>
      <c r="ES81">
        <v>184</v>
      </c>
      <c r="ET81" t="s">
        <v>270</v>
      </c>
      <c r="EU81">
        <v>0</v>
      </c>
      <c r="EV81">
        <v>55</v>
      </c>
      <c r="EW81" t="s">
        <v>551</v>
      </c>
      <c r="EX81" t="s">
        <v>552</v>
      </c>
      <c r="EY81">
        <v>122</v>
      </c>
      <c r="EZ81">
        <v>123</v>
      </c>
      <c r="FA81">
        <v>123</v>
      </c>
      <c r="FB81" t="s">
        <v>270</v>
      </c>
      <c r="FC81" t="s">
        <v>553</v>
      </c>
      <c r="FD81" t="s">
        <v>552</v>
      </c>
      <c r="FE81">
        <v>239</v>
      </c>
      <c r="FF81">
        <v>238</v>
      </c>
      <c r="FG81">
        <v>237</v>
      </c>
      <c r="FH81" t="s">
        <v>270</v>
      </c>
      <c r="FI81" t="s">
        <v>554</v>
      </c>
      <c r="FJ81" t="s">
        <v>555</v>
      </c>
      <c r="FK81">
        <v>0</v>
      </c>
      <c r="FL81">
        <v>0</v>
      </c>
      <c r="FM81">
        <v>0</v>
      </c>
      <c r="FN81" t="s">
        <v>264</v>
      </c>
      <c r="FO81">
        <v>76.099999999999994</v>
      </c>
      <c r="FP81">
        <v>271.39999999999998</v>
      </c>
      <c r="FQ81" t="s">
        <v>556</v>
      </c>
      <c r="FR81" t="s">
        <v>555</v>
      </c>
      <c r="FS81">
        <v>0</v>
      </c>
      <c r="FT81">
        <v>0</v>
      </c>
      <c r="FU81">
        <v>0</v>
      </c>
      <c r="FV81" t="s">
        <v>264</v>
      </c>
      <c r="FW81">
        <v>73.599999999999994</v>
      </c>
      <c r="FX81">
        <v>93</v>
      </c>
      <c r="FY81" t="s">
        <v>557</v>
      </c>
      <c r="FZ81" t="s">
        <v>555</v>
      </c>
      <c r="GA81">
        <v>0</v>
      </c>
      <c r="GB81">
        <v>0</v>
      </c>
      <c r="GC81">
        <v>0</v>
      </c>
      <c r="GD81" t="s">
        <v>264</v>
      </c>
      <c r="GE81">
        <v>71.400000000000006</v>
      </c>
      <c r="GF81">
        <v>243.8</v>
      </c>
      <c r="GG81" t="s">
        <v>558</v>
      </c>
      <c r="GH81" t="s">
        <v>555</v>
      </c>
      <c r="GI81">
        <v>0</v>
      </c>
      <c r="GJ81">
        <v>0</v>
      </c>
      <c r="GK81">
        <v>0</v>
      </c>
      <c r="GL81" t="s">
        <v>264</v>
      </c>
      <c r="GM81">
        <v>68.5</v>
      </c>
      <c r="GN81">
        <v>48.4</v>
      </c>
      <c r="GO81" t="s">
        <v>559</v>
      </c>
      <c r="GP81" t="s">
        <v>555</v>
      </c>
      <c r="GQ81">
        <v>0</v>
      </c>
      <c r="GR81">
        <v>0</v>
      </c>
      <c r="GS81">
        <v>0</v>
      </c>
      <c r="GT81" t="s">
        <v>264</v>
      </c>
      <c r="GU81">
        <v>76.2</v>
      </c>
      <c r="GV81">
        <v>51.2</v>
      </c>
      <c r="GW81" t="s">
        <v>560</v>
      </c>
      <c r="GX81" t="s">
        <v>555</v>
      </c>
      <c r="GY81">
        <v>0</v>
      </c>
      <c r="GZ81">
        <v>0</v>
      </c>
      <c r="HA81">
        <v>0</v>
      </c>
      <c r="HB81" t="s">
        <v>264</v>
      </c>
      <c r="HC81">
        <v>70.400000000000006</v>
      </c>
      <c r="HD81">
        <v>70.7</v>
      </c>
      <c r="HE81" t="s">
        <v>561</v>
      </c>
      <c r="HF81" t="s">
        <v>555</v>
      </c>
      <c r="HG81">
        <v>0</v>
      </c>
      <c r="HH81">
        <v>0</v>
      </c>
      <c r="HI81">
        <v>0</v>
      </c>
      <c r="HJ81" t="s">
        <v>264</v>
      </c>
      <c r="HK81">
        <v>71</v>
      </c>
      <c r="HL81">
        <v>127.6</v>
      </c>
      <c r="HM81" t="s">
        <v>562</v>
      </c>
      <c r="HN81" t="s">
        <v>555</v>
      </c>
      <c r="HO81">
        <v>0</v>
      </c>
      <c r="HP81">
        <v>0</v>
      </c>
      <c r="HQ81">
        <v>0</v>
      </c>
      <c r="HR81" t="s">
        <v>264</v>
      </c>
      <c r="HS81">
        <v>69.3</v>
      </c>
      <c r="HT81">
        <v>80.099999999999994</v>
      </c>
      <c r="HU81" t="s">
        <v>563</v>
      </c>
      <c r="HV81" t="s">
        <v>555</v>
      </c>
      <c r="HW81">
        <v>0</v>
      </c>
      <c r="HX81">
        <v>0</v>
      </c>
      <c r="HY81">
        <v>0</v>
      </c>
      <c r="HZ81" t="s">
        <v>264</v>
      </c>
      <c r="IA81">
        <v>74.8</v>
      </c>
      <c r="IB81">
        <v>170.7</v>
      </c>
      <c r="IC81" t="s">
        <v>564</v>
      </c>
      <c r="ID81" t="s">
        <v>555</v>
      </c>
      <c r="IE81">
        <v>0</v>
      </c>
      <c r="IF81">
        <v>0</v>
      </c>
      <c r="IG81">
        <v>0</v>
      </c>
      <c r="IH81" t="s">
        <v>264</v>
      </c>
      <c r="II81">
        <v>68.400000000000006</v>
      </c>
      <c r="IJ81">
        <v>96.1</v>
      </c>
      <c r="IK81" t="s">
        <v>565</v>
      </c>
      <c r="IL81" t="s">
        <v>555</v>
      </c>
      <c r="IM81">
        <v>0</v>
      </c>
      <c r="IN81">
        <v>0</v>
      </c>
      <c r="IO81">
        <v>0</v>
      </c>
      <c r="IP81" t="s">
        <v>264</v>
      </c>
      <c r="IS81" t="s">
        <v>566</v>
      </c>
      <c r="IT81" t="s">
        <v>555</v>
      </c>
      <c r="IU81">
        <v>0</v>
      </c>
      <c r="IV81">
        <v>0</v>
      </c>
      <c r="IW81">
        <v>0</v>
      </c>
      <c r="IX81" t="s">
        <v>264</v>
      </c>
      <c r="JA81" t="s">
        <v>567</v>
      </c>
      <c r="JB81" t="s">
        <v>555</v>
      </c>
      <c r="JC81">
        <v>0</v>
      </c>
      <c r="JD81">
        <v>0</v>
      </c>
      <c r="JE81">
        <v>0</v>
      </c>
      <c r="JF81" t="s">
        <v>264</v>
      </c>
      <c r="JI81" t="s">
        <v>568</v>
      </c>
      <c r="JJ81" t="s">
        <v>555</v>
      </c>
      <c r="JK81">
        <v>0</v>
      </c>
      <c r="JL81">
        <v>0</v>
      </c>
      <c r="JM81">
        <v>0</v>
      </c>
      <c r="JN81" t="s">
        <v>264</v>
      </c>
      <c r="JQ81" t="s">
        <v>569</v>
      </c>
      <c r="JR81" t="s">
        <v>555</v>
      </c>
      <c r="JS81">
        <v>0</v>
      </c>
      <c r="JT81">
        <v>0</v>
      </c>
      <c r="JU81">
        <v>0</v>
      </c>
      <c r="JV81" t="s">
        <v>264</v>
      </c>
      <c r="JY81" t="s">
        <v>570</v>
      </c>
      <c r="JZ81" t="s">
        <v>555</v>
      </c>
      <c r="KA81">
        <v>0</v>
      </c>
      <c r="KB81">
        <v>0</v>
      </c>
      <c r="KC81">
        <v>0</v>
      </c>
      <c r="KD81" t="s">
        <v>264</v>
      </c>
      <c r="KG81" t="s">
        <v>571</v>
      </c>
      <c r="KH81" t="s">
        <v>555</v>
      </c>
      <c r="KI81">
        <v>0</v>
      </c>
      <c r="KJ81">
        <v>0</v>
      </c>
      <c r="KK81">
        <v>0</v>
      </c>
      <c r="KL81" t="s">
        <v>264</v>
      </c>
      <c r="KO81" t="s">
        <v>572</v>
      </c>
      <c r="KP81" t="s">
        <v>555</v>
      </c>
      <c r="KQ81">
        <v>0</v>
      </c>
      <c r="KR81">
        <v>0</v>
      </c>
      <c r="KS81">
        <v>0</v>
      </c>
      <c r="KT81" t="s">
        <v>264</v>
      </c>
      <c r="KW81" t="s">
        <v>573</v>
      </c>
      <c r="KX81" t="s">
        <v>555</v>
      </c>
      <c r="KY81">
        <v>0</v>
      </c>
      <c r="KZ81">
        <v>0</v>
      </c>
      <c r="LA81">
        <v>0</v>
      </c>
      <c r="LB81" t="s">
        <v>264</v>
      </c>
      <c r="LE81" t="s">
        <v>574</v>
      </c>
      <c r="LF81" t="s">
        <v>555</v>
      </c>
      <c r="LG81">
        <v>0</v>
      </c>
      <c r="LH81">
        <v>0</v>
      </c>
      <c r="LI81">
        <v>0</v>
      </c>
      <c r="LJ81" t="s">
        <v>264</v>
      </c>
      <c r="LM81" t="s">
        <v>575</v>
      </c>
      <c r="LN81" t="s">
        <v>555</v>
      </c>
      <c r="LO81">
        <v>0</v>
      </c>
      <c r="LP81">
        <v>0</v>
      </c>
      <c r="LQ81">
        <v>0</v>
      </c>
      <c r="LR81" t="s">
        <v>264</v>
      </c>
      <c r="LU81" t="s">
        <v>576</v>
      </c>
      <c r="LV81" t="s">
        <v>555</v>
      </c>
      <c r="LW81">
        <v>0</v>
      </c>
      <c r="LX81">
        <v>0</v>
      </c>
      <c r="LY81">
        <v>0</v>
      </c>
      <c r="LZ81" t="s">
        <v>264</v>
      </c>
      <c r="MC81" t="s">
        <v>577</v>
      </c>
      <c r="MD81" t="s">
        <v>555</v>
      </c>
      <c r="ME81">
        <v>0</v>
      </c>
      <c r="MF81">
        <v>0</v>
      </c>
      <c r="MG81">
        <v>0</v>
      </c>
      <c r="MH81" t="s">
        <v>264</v>
      </c>
      <c r="MK81" t="s">
        <v>578</v>
      </c>
      <c r="ML81" t="s">
        <v>555</v>
      </c>
      <c r="MM81">
        <v>0</v>
      </c>
      <c r="MN81">
        <v>0</v>
      </c>
      <c r="MO81">
        <v>0</v>
      </c>
      <c r="MP81" t="s">
        <v>264</v>
      </c>
      <c r="MS81" t="s">
        <v>579</v>
      </c>
      <c r="MT81" t="s">
        <v>555</v>
      </c>
      <c r="MU81">
        <v>0</v>
      </c>
      <c r="MV81">
        <v>0</v>
      </c>
      <c r="MW81">
        <v>0</v>
      </c>
      <c r="MX81" t="s">
        <v>264</v>
      </c>
      <c r="NA81" t="s">
        <v>580</v>
      </c>
      <c r="NB81" t="s">
        <v>555</v>
      </c>
      <c r="NC81">
        <v>0</v>
      </c>
      <c r="ND81">
        <v>0</v>
      </c>
      <c r="NE81">
        <v>0</v>
      </c>
      <c r="NF81" t="s">
        <v>264</v>
      </c>
      <c r="NI81">
        <v>40.1</v>
      </c>
      <c r="NJ81">
        <v>-8.8000000000000007</v>
      </c>
      <c r="NP81" t="s">
        <v>581</v>
      </c>
    </row>
    <row r="82" spans="1:380" customFormat="1" ht="15" x14ac:dyDescent="0.2">
      <c r="A82" t="s">
        <v>432</v>
      </c>
      <c r="C82" s="82"/>
      <c r="D82" s="82"/>
      <c r="J82" s="149"/>
    </row>
    <row r="83" spans="1:380" s="188" customFormat="1" ht="51" x14ac:dyDescent="0.2">
      <c r="A83" s="186" t="s">
        <v>98</v>
      </c>
      <c r="B83" s="186" t="s">
        <v>99</v>
      </c>
      <c r="C83" s="186" t="s">
        <v>100</v>
      </c>
      <c r="D83" s="186" t="s">
        <v>101</v>
      </c>
      <c r="E83" s="186" t="s">
        <v>102</v>
      </c>
      <c r="F83" s="186" t="s">
        <v>103</v>
      </c>
      <c r="G83" s="186" t="s">
        <v>104</v>
      </c>
      <c r="H83" s="186" t="s">
        <v>105</v>
      </c>
      <c r="I83" s="186" t="s">
        <v>106</v>
      </c>
      <c r="J83" s="186" t="s">
        <v>107</v>
      </c>
      <c r="K83" s="186" t="s">
        <v>108</v>
      </c>
      <c r="L83" s="186" t="s">
        <v>109</v>
      </c>
      <c r="M83" s="186" t="s">
        <v>110</v>
      </c>
      <c r="N83" s="186" t="s">
        <v>111</v>
      </c>
      <c r="O83" s="186" t="s">
        <v>112</v>
      </c>
      <c r="P83" s="186" t="s">
        <v>113</v>
      </c>
      <c r="Q83" s="186" t="s">
        <v>114</v>
      </c>
      <c r="R83" s="186" t="s">
        <v>115</v>
      </c>
      <c r="S83" s="186" t="s">
        <v>116</v>
      </c>
      <c r="T83" s="186" t="s">
        <v>117</v>
      </c>
      <c r="U83" s="186" t="s">
        <v>118</v>
      </c>
      <c r="V83" s="186" t="s">
        <v>119</v>
      </c>
      <c r="W83" s="186" t="s">
        <v>120</v>
      </c>
      <c r="X83" s="186" t="s">
        <v>121</v>
      </c>
      <c r="Y83" s="186" t="s">
        <v>122</v>
      </c>
      <c r="Z83" s="186" t="s">
        <v>123</v>
      </c>
      <c r="AA83" s="186" t="s">
        <v>110</v>
      </c>
      <c r="AB83" s="186" t="s">
        <v>111</v>
      </c>
      <c r="AC83" s="186" t="s">
        <v>112</v>
      </c>
      <c r="AD83" s="186" t="s">
        <v>113</v>
      </c>
      <c r="AE83" s="186" t="s">
        <v>114</v>
      </c>
      <c r="AF83" s="186" t="s">
        <v>115</v>
      </c>
      <c r="AG83" s="186" t="s">
        <v>116</v>
      </c>
      <c r="AH83" s="186" t="s">
        <v>117</v>
      </c>
      <c r="AI83" s="186" t="s">
        <v>118</v>
      </c>
      <c r="AJ83" s="186" t="s">
        <v>119</v>
      </c>
      <c r="AK83" s="186" t="s">
        <v>120</v>
      </c>
      <c r="AL83" s="186" t="s">
        <v>121</v>
      </c>
      <c r="AM83" s="186" t="s">
        <v>122</v>
      </c>
      <c r="AN83" s="186" t="s">
        <v>123</v>
      </c>
      <c r="AO83" s="186" t="s">
        <v>110</v>
      </c>
      <c r="AP83" s="186" t="s">
        <v>111</v>
      </c>
      <c r="AQ83" s="186" t="s">
        <v>112</v>
      </c>
      <c r="AR83" s="186" t="s">
        <v>113</v>
      </c>
      <c r="AS83" s="186" t="s">
        <v>114</v>
      </c>
      <c r="AT83" s="186" t="s">
        <v>115</v>
      </c>
      <c r="AU83" s="186" t="s">
        <v>116</v>
      </c>
      <c r="AV83" s="186" t="s">
        <v>117</v>
      </c>
      <c r="AW83" s="186" t="s">
        <v>118</v>
      </c>
      <c r="AX83" s="186" t="s">
        <v>119</v>
      </c>
      <c r="AY83" s="186" t="s">
        <v>120</v>
      </c>
      <c r="AZ83" s="186" t="s">
        <v>121</v>
      </c>
      <c r="BA83" s="186" t="s">
        <v>122</v>
      </c>
      <c r="BB83" s="186" t="s">
        <v>123</v>
      </c>
      <c r="BC83" s="186" t="s">
        <v>110</v>
      </c>
      <c r="BD83" s="186" t="s">
        <v>111</v>
      </c>
      <c r="BE83" s="186" t="s">
        <v>112</v>
      </c>
      <c r="BF83" s="186" t="s">
        <v>113</v>
      </c>
      <c r="BG83" s="186" t="s">
        <v>114</v>
      </c>
      <c r="BH83" s="186" t="s">
        <v>115</v>
      </c>
      <c r="BI83" s="186" t="s">
        <v>116</v>
      </c>
      <c r="BJ83" s="186" t="s">
        <v>117</v>
      </c>
      <c r="BK83" s="186" t="s">
        <v>118</v>
      </c>
      <c r="BL83" s="186" t="s">
        <v>119</v>
      </c>
      <c r="BM83" s="186" t="s">
        <v>120</v>
      </c>
      <c r="BN83" s="186" t="s">
        <v>121</v>
      </c>
      <c r="BO83" s="186" t="s">
        <v>122</v>
      </c>
      <c r="BP83" s="186" t="s">
        <v>123</v>
      </c>
      <c r="BQ83" s="186" t="s">
        <v>110</v>
      </c>
      <c r="BR83" s="186" t="s">
        <v>111</v>
      </c>
      <c r="BS83" s="186" t="s">
        <v>112</v>
      </c>
      <c r="BT83" s="187" t="s">
        <v>113</v>
      </c>
      <c r="BU83" s="187" t="s">
        <v>114</v>
      </c>
      <c r="BV83" s="187" t="s">
        <v>115</v>
      </c>
      <c r="BW83" s="187" t="s">
        <v>116</v>
      </c>
      <c r="BX83" s="187" t="s">
        <v>117</v>
      </c>
      <c r="BY83" s="187" t="s">
        <v>118</v>
      </c>
      <c r="BZ83" s="187" t="s">
        <v>119</v>
      </c>
      <c r="CA83" s="187" t="s">
        <v>120</v>
      </c>
      <c r="CB83" s="187" t="s">
        <v>121</v>
      </c>
      <c r="CC83" s="187" t="s">
        <v>122</v>
      </c>
      <c r="CD83" s="187" t="s">
        <v>123</v>
      </c>
      <c r="CE83" s="187" t="s">
        <v>110</v>
      </c>
      <c r="CF83" s="187" t="s">
        <v>111</v>
      </c>
      <c r="CG83" s="187" t="s">
        <v>112</v>
      </c>
      <c r="CH83" s="187" t="s">
        <v>113</v>
      </c>
      <c r="CI83" s="187" t="s">
        <v>114</v>
      </c>
      <c r="CJ83" s="187" t="s">
        <v>115</v>
      </c>
      <c r="CK83" s="187" t="s">
        <v>116</v>
      </c>
      <c r="CL83" s="187" t="s">
        <v>117</v>
      </c>
      <c r="CM83" s="187" t="s">
        <v>118</v>
      </c>
      <c r="CN83" s="187" t="s">
        <v>119</v>
      </c>
      <c r="CO83" s="187" t="s">
        <v>120</v>
      </c>
      <c r="CP83" s="187" t="s">
        <v>121</v>
      </c>
      <c r="CQ83" s="187" t="s">
        <v>122</v>
      </c>
      <c r="CR83" s="187" t="s">
        <v>123</v>
      </c>
      <c r="CS83" s="187" t="s">
        <v>110</v>
      </c>
      <c r="CT83" s="187" t="s">
        <v>111</v>
      </c>
      <c r="CU83" s="187" t="s">
        <v>112</v>
      </c>
      <c r="CV83" s="187" t="s">
        <v>113</v>
      </c>
      <c r="CW83" s="187" t="s">
        <v>114</v>
      </c>
      <c r="CX83" s="187" t="s">
        <v>115</v>
      </c>
      <c r="CY83" s="187" t="s">
        <v>116</v>
      </c>
      <c r="CZ83" s="187" t="s">
        <v>117</v>
      </c>
      <c r="DA83" s="187" t="s">
        <v>118</v>
      </c>
      <c r="DB83" s="187" t="s">
        <v>119</v>
      </c>
      <c r="DC83" s="187" t="s">
        <v>120</v>
      </c>
      <c r="DD83" s="187" t="s">
        <v>121</v>
      </c>
      <c r="DE83" s="187" t="s">
        <v>122</v>
      </c>
      <c r="DF83" s="187" t="s">
        <v>123</v>
      </c>
      <c r="DG83" s="187" t="s">
        <v>110</v>
      </c>
      <c r="DH83" s="187" t="s">
        <v>111</v>
      </c>
      <c r="DI83" s="187" t="s">
        <v>112</v>
      </c>
      <c r="DJ83" s="187" t="s">
        <v>113</v>
      </c>
      <c r="DK83" s="187" t="s">
        <v>114</v>
      </c>
      <c r="DL83" s="187" t="s">
        <v>115</v>
      </c>
      <c r="DM83" s="187" t="s">
        <v>116</v>
      </c>
      <c r="DN83" s="187" t="s">
        <v>117</v>
      </c>
      <c r="DO83" s="187" t="s">
        <v>118</v>
      </c>
      <c r="DP83" s="187" t="s">
        <v>119</v>
      </c>
      <c r="DQ83" s="187" t="s">
        <v>120</v>
      </c>
      <c r="DR83" s="187" t="s">
        <v>121</v>
      </c>
      <c r="DS83" s="187" t="s">
        <v>122</v>
      </c>
      <c r="DT83" s="187" t="s">
        <v>123</v>
      </c>
      <c r="DU83" s="187" t="s">
        <v>110</v>
      </c>
      <c r="DV83" s="187" t="s">
        <v>111</v>
      </c>
      <c r="DW83" s="187" t="s">
        <v>112</v>
      </c>
      <c r="DX83" s="187" t="s">
        <v>113</v>
      </c>
      <c r="DY83" s="187" t="s">
        <v>114</v>
      </c>
      <c r="DZ83" s="187" t="s">
        <v>115</v>
      </c>
      <c r="EA83" s="187" t="s">
        <v>116</v>
      </c>
      <c r="EB83" s="187" t="s">
        <v>117</v>
      </c>
      <c r="EC83" s="187" t="s">
        <v>118</v>
      </c>
      <c r="ED83" s="187" t="s">
        <v>119</v>
      </c>
      <c r="EE83" s="187" t="s">
        <v>120</v>
      </c>
      <c r="EF83" s="187" t="s">
        <v>121</v>
      </c>
      <c r="EG83" s="187" t="s">
        <v>122</v>
      </c>
      <c r="EH83" s="187" t="s">
        <v>123</v>
      </c>
      <c r="EI83" s="187" t="s">
        <v>110</v>
      </c>
      <c r="EJ83" s="187" t="s">
        <v>111</v>
      </c>
      <c r="EK83" s="187" t="s">
        <v>112</v>
      </c>
      <c r="EL83" s="187" t="s">
        <v>113</v>
      </c>
      <c r="EM83" s="187" t="s">
        <v>114</v>
      </c>
      <c r="EN83" s="187" t="s">
        <v>115</v>
      </c>
      <c r="EO83" s="187" t="s">
        <v>116</v>
      </c>
      <c r="EP83" s="187" t="s">
        <v>117</v>
      </c>
      <c r="EQ83" s="187" t="s">
        <v>118</v>
      </c>
      <c r="ER83" s="187" t="s">
        <v>119</v>
      </c>
      <c r="ES83" s="187" t="s">
        <v>120</v>
      </c>
      <c r="ET83" s="187" t="s">
        <v>121</v>
      </c>
      <c r="EU83" s="187" t="s">
        <v>122</v>
      </c>
      <c r="EV83" s="187" t="s">
        <v>123</v>
      </c>
      <c r="EW83" s="187" t="s">
        <v>110</v>
      </c>
      <c r="EX83" s="187" t="s">
        <v>111</v>
      </c>
      <c r="EY83" s="187" t="s">
        <v>118</v>
      </c>
      <c r="EZ83" s="187" t="s">
        <v>119</v>
      </c>
      <c r="FA83" s="187" t="s">
        <v>120</v>
      </c>
      <c r="FB83" s="187" t="s">
        <v>121</v>
      </c>
      <c r="FC83" s="187" t="s">
        <v>110</v>
      </c>
      <c r="FD83" s="187" t="s">
        <v>111</v>
      </c>
      <c r="FE83" s="187" t="s">
        <v>118</v>
      </c>
      <c r="FF83" s="187" t="s">
        <v>119</v>
      </c>
      <c r="FG83" s="187" t="s">
        <v>120</v>
      </c>
      <c r="FH83" s="187" t="s">
        <v>121</v>
      </c>
      <c r="FI83" s="187" t="s">
        <v>110</v>
      </c>
      <c r="FJ83" s="187" t="s">
        <v>111</v>
      </c>
      <c r="FK83" s="187" t="s">
        <v>118</v>
      </c>
      <c r="FL83" s="187" t="s">
        <v>119</v>
      </c>
      <c r="FM83" s="187" t="s">
        <v>120</v>
      </c>
      <c r="FN83" s="187" t="s">
        <v>121</v>
      </c>
      <c r="FO83" s="187" t="s">
        <v>298</v>
      </c>
      <c r="FP83" s="187" t="s">
        <v>299</v>
      </c>
      <c r="FQ83" s="187" t="s">
        <v>110</v>
      </c>
      <c r="FR83" s="187" t="s">
        <v>111</v>
      </c>
      <c r="FS83" s="187" t="s">
        <v>118</v>
      </c>
      <c r="FT83" s="187" t="s">
        <v>119</v>
      </c>
      <c r="FU83" s="187" t="s">
        <v>120</v>
      </c>
      <c r="FV83" s="187" t="s">
        <v>121</v>
      </c>
      <c r="FW83" s="187" t="s">
        <v>298</v>
      </c>
      <c r="FX83" s="187" t="s">
        <v>299</v>
      </c>
      <c r="FY83" s="187" t="s">
        <v>110</v>
      </c>
      <c r="FZ83" s="187" t="s">
        <v>111</v>
      </c>
      <c r="GA83" s="187" t="s">
        <v>118</v>
      </c>
      <c r="GB83" s="187" t="s">
        <v>119</v>
      </c>
      <c r="GC83" s="187" t="s">
        <v>120</v>
      </c>
      <c r="GD83" s="187" t="s">
        <v>121</v>
      </c>
      <c r="GE83" s="187" t="s">
        <v>298</v>
      </c>
      <c r="GF83" s="187" t="s">
        <v>299</v>
      </c>
      <c r="GG83" s="187" t="s">
        <v>110</v>
      </c>
      <c r="GH83" s="187" t="s">
        <v>111</v>
      </c>
      <c r="GI83" s="187" t="s">
        <v>118</v>
      </c>
      <c r="GJ83" s="187" t="s">
        <v>119</v>
      </c>
      <c r="GK83" s="187" t="s">
        <v>120</v>
      </c>
      <c r="GL83" s="187" t="s">
        <v>121</v>
      </c>
      <c r="GM83" s="187" t="s">
        <v>298</v>
      </c>
      <c r="GN83" s="187" t="s">
        <v>299</v>
      </c>
      <c r="GO83" s="187" t="s">
        <v>110</v>
      </c>
      <c r="GP83" s="187" t="s">
        <v>111</v>
      </c>
      <c r="GQ83" s="187" t="s">
        <v>118</v>
      </c>
      <c r="GR83" s="187" t="s">
        <v>119</v>
      </c>
      <c r="GS83" s="187" t="s">
        <v>120</v>
      </c>
      <c r="GT83" s="187" t="s">
        <v>121</v>
      </c>
      <c r="GU83" s="187" t="s">
        <v>298</v>
      </c>
      <c r="GV83" s="187" t="s">
        <v>299</v>
      </c>
      <c r="GW83" s="187" t="s">
        <v>110</v>
      </c>
      <c r="GX83" s="187" t="s">
        <v>111</v>
      </c>
      <c r="GY83" s="187" t="s">
        <v>118</v>
      </c>
      <c r="GZ83" s="187" t="s">
        <v>119</v>
      </c>
      <c r="HA83" s="187" t="s">
        <v>120</v>
      </c>
      <c r="HB83" s="187" t="s">
        <v>121</v>
      </c>
      <c r="HC83" s="187" t="s">
        <v>298</v>
      </c>
      <c r="HD83" s="187" t="s">
        <v>299</v>
      </c>
      <c r="HE83" s="187" t="s">
        <v>110</v>
      </c>
      <c r="HF83" s="187" t="s">
        <v>111</v>
      </c>
      <c r="HG83" s="187" t="s">
        <v>118</v>
      </c>
      <c r="HH83" s="187" t="s">
        <v>119</v>
      </c>
      <c r="HI83" s="187" t="s">
        <v>120</v>
      </c>
      <c r="HJ83" s="187" t="s">
        <v>121</v>
      </c>
      <c r="HK83" s="187" t="s">
        <v>298</v>
      </c>
      <c r="HL83" s="187" t="s">
        <v>299</v>
      </c>
      <c r="HM83" s="187" t="s">
        <v>110</v>
      </c>
      <c r="HN83" s="187" t="s">
        <v>111</v>
      </c>
      <c r="HO83" s="187" t="s">
        <v>118</v>
      </c>
      <c r="HP83" s="187" t="s">
        <v>119</v>
      </c>
      <c r="HQ83" s="187" t="s">
        <v>120</v>
      </c>
      <c r="HR83" s="187" t="s">
        <v>121</v>
      </c>
      <c r="HS83" s="187" t="s">
        <v>298</v>
      </c>
      <c r="HT83" s="187" t="s">
        <v>299</v>
      </c>
      <c r="HU83" s="187" t="s">
        <v>110</v>
      </c>
      <c r="HV83" s="187" t="s">
        <v>111</v>
      </c>
      <c r="HW83" s="187" t="s">
        <v>118</v>
      </c>
      <c r="HX83" s="187" t="s">
        <v>119</v>
      </c>
      <c r="HY83" s="187" t="s">
        <v>120</v>
      </c>
      <c r="HZ83" s="187" t="s">
        <v>121</v>
      </c>
      <c r="IA83" s="187" t="s">
        <v>298</v>
      </c>
      <c r="IB83" s="187" t="s">
        <v>299</v>
      </c>
      <c r="IC83" s="187" t="s">
        <v>110</v>
      </c>
      <c r="ID83" s="187" t="s">
        <v>111</v>
      </c>
      <c r="IE83" s="187" t="s">
        <v>118</v>
      </c>
      <c r="IF83" s="187" t="s">
        <v>119</v>
      </c>
      <c r="IG83" s="187" t="s">
        <v>120</v>
      </c>
      <c r="IH83" s="187" t="s">
        <v>121</v>
      </c>
      <c r="II83" s="187" t="s">
        <v>298</v>
      </c>
      <c r="IJ83" s="187" t="s">
        <v>299</v>
      </c>
      <c r="IK83" s="187" t="s">
        <v>110</v>
      </c>
      <c r="IL83" s="187" t="s">
        <v>111</v>
      </c>
      <c r="IM83" s="187" t="s">
        <v>118</v>
      </c>
      <c r="IN83" s="187" t="s">
        <v>119</v>
      </c>
      <c r="IO83" s="187" t="s">
        <v>120</v>
      </c>
      <c r="IP83" s="187" t="s">
        <v>121</v>
      </c>
      <c r="IQ83" s="187" t="s">
        <v>298</v>
      </c>
      <c r="IR83" s="187" t="s">
        <v>299</v>
      </c>
      <c r="IS83" s="187" t="s">
        <v>110</v>
      </c>
      <c r="IT83" s="187" t="s">
        <v>111</v>
      </c>
      <c r="IU83" s="187" t="s">
        <v>118</v>
      </c>
      <c r="IV83" s="187" t="s">
        <v>119</v>
      </c>
      <c r="IW83" s="187" t="s">
        <v>120</v>
      </c>
      <c r="IX83" s="187" t="s">
        <v>121</v>
      </c>
      <c r="IY83" s="187" t="s">
        <v>298</v>
      </c>
      <c r="IZ83" s="187" t="s">
        <v>299</v>
      </c>
      <c r="JA83" s="187" t="s">
        <v>110</v>
      </c>
      <c r="JB83" s="187" t="s">
        <v>111</v>
      </c>
      <c r="JC83" s="187" t="s">
        <v>118</v>
      </c>
      <c r="JD83" s="187" t="s">
        <v>119</v>
      </c>
      <c r="JE83" s="187" t="s">
        <v>120</v>
      </c>
      <c r="JF83" s="187" t="s">
        <v>121</v>
      </c>
      <c r="JG83" s="187" t="s">
        <v>298</v>
      </c>
      <c r="JH83" s="187" t="s">
        <v>299</v>
      </c>
      <c r="JI83" s="187" t="s">
        <v>110</v>
      </c>
      <c r="JJ83" s="187" t="s">
        <v>111</v>
      </c>
      <c r="JK83" s="187" t="s">
        <v>118</v>
      </c>
      <c r="JL83" s="187" t="s">
        <v>119</v>
      </c>
      <c r="JM83" s="187" t="s">
        <v>120</v>
      </c>
      <c r="JN83" s="187" t="s">
        <v>121</v>
      </c>
      <c r="JO83" s="187" t="s">
        <v>298</v>
      </c>
      <c r="JP83" s="187" t="s">
        <v>299</v>
      </c>
      <c r="JQ83" s="187" t="s">
        <v>110</v>
      </c>
      <c r="JR83" s="187" t="s">
        <v>111</v>
      </c>
      <c r="JS83" s="187" t="s">
        <v>118</v>
      </c>
      <c r="JT83" s="187" t="s">
        <v>119</v>
      </c>
      <c r="JU83" s="187" t="s">
        <v>120</v>
      </c>
      <c r="JV83" s="187" t="s">
        <v>121</v>
      </c>
      <c r="JW83" s="187" t="s">
        <v>298</v>
      </c>
      <c r="JX83" s="187" t="s">
        <v>299</v>
      </c>
      <c r="JY83" s="187" t="s">
        <v>110</v>
      </c>
      <c r="JZ83" s="187" t="s">
        <v>111</v>
      </c>
      <c r="KA83" s="187" t="s">
        <v>118</v>
      </c>
      <c r="KB83" s="187" t="s">
        <v>119</v>
      </c>
      <c r="KC83" s="187" t="s">
        <v>120</v>
      </c>
      <c r="KD83" s="187" t="s">
        <v>121</v>
      </c>
      <c r="KE83" s="187" t="s">
        <v>298</v>
      </c>
      <c r="KF83" s="187" t="s">
        <v>299</v>
      </c>
      <c r="KG83" s="187" t="s">
        <v>110</v>
      </c>
      <c r="KH83" s="187" t="s">
        <v>111</v>
      </c>
      <c r="KI83" s="187" t="s">
        <v>118</v>
      </c>
      <c r="KJ83" s="187" t="s">
        <v>119</v>
      </c>
      <c r="KK83" s="187" t="s">
        <v>120</v>
      </c>
      <c r="KL83" s="187" t="s">
        <v>121</v>
      </c>
      <c r="KM83" s="187" t="s">
        <v>298</v>
      </c>
      <c r="KN83" s="187" t="s">
        <v>299</v>
      </c>
      <c r="KO83" s="187" t="s">
        <v>110</v>
      </c>
      <c r="KP83" s="187" t="s">
        <v>111</v>
      </c>
      <c r="KQ83" s="187" t="s">
        <v>118</v>
      </c>
      <c r="KR83" s="187" t="s">
        <v>119</v>
      </c>
      <c r="KS83" s="187" t="s">
        <v>120</v>
      </c>
      <c r="KT83" s="187" t="s">
        <v>121</v>
      </c>
      <c r="KU83" s="187" t="s">
        <v>298</v>
      </c>
      <c r="KV83" s="187" t="s">
        <v>299</v>
      </c>
      <c r="KW83" s="187" t="s">
        <v>110</v>
      </c>
      <c r="KX83" s="187" t="s">
        <v>111</v>
      </c>
      <c r="KY83" s="187" t="s">
        <v>118</v>
      </c>
      <c r="KZ83" s="187" t="s">
        <v>119</v>
      </c>
      <c r="LA83" s="187" t="s">
        <v>120</v>
      </c>
      <c r="LB83" s="187" t="s">
        <v>121</v>
      </c>
      <c r="LC83" s="187" t="s">
        <v>298</v>
      </c>
      <c r="LD83" s="187" t="s">
        <v>299</v>
      </c>
      <c r="LE83" s="187" t="s">
        <v>110</v>
      </c>
      <c r="LF83" s="187" t="s">
        <v>111</v>
      </c>
      <c r="LG83" s="187" t="s">
        <v>118</v>
      </c>
      <c r="LH83" s="187" t="s">
        <v>119</v>
      </c>
      <c r="LI83" s="187" t="s">
        <v>120</v>
      </c>
      <c r="LJ83" s="187" t="s">
        <v>121</v>
      </c>
      <c r="LK83" s="187" t="s">
        <v>298</v>
      </c>
      <c r="LL83" s="187" t="s">
        <v>299</v>
      </c>
      <c r="LM83" s="187" t="s">
        <v>110</v>
      </c>
      <c r="LN83" s="187" t="s">
        <v>111</v>
      </c>
      <c r="LO83" s="187" t="s">
        <v>118</v>
      </c>
      <c r="LP83" s="187" t="s">
        <v>119</v>
      </c>
      <c r="LQ83" s="187" t="s">
        <v>120</v>
      </c>
      <c r="LR83" s="187" t="s">
        <v>121</v>
      </c>
      <c r="LS83" s="187" t="s">
        <v>298</v>
      </c>
      <c r="LT83" s="187" t="s">
        <v>299</v>
      </c>
      <c r="LU83" s="187" t="s">
        <v>110</v>
      </c>
      <c r="LV83" s="187" t="s">
        <v>111</v>
      </c>
      <c r="LW83" s="187" t="s">
        <v>118</v>
      </c>
      <c r="LX83" s="187" t="s">
        <v>119</v>
      </c>
      <c r="LY83" s="187" t="s">
        <v>120</v>
      </c>
      <c r="LZ83" s="187" t="s">
        <v>121</v>
      </c>
      <c r="MA83" s="187" t="s">
        <v>298</v>
      </c>
      <c r="MB83" s="187" t="s">
        <v>299</v>
      </c>
      <c r="MC83" s="187" t="s">
        <v>110</v>
      </c>
      <c r="MD83" s="187" t="s">
        <v>111</v>
      </c>
      <c r="ME83" s="187" t="s">
        <v>118</v>
      </c>
      <c r="MF83" s="187" t="s">
        <v>119</v>
      </c>
      <c r="MG83" s="187" t="s">
        <v>120</v>
      </c>
      <c r="MH83" s="187" t="s">
        <v>121</v>
      </c>
      <c r="MI83" s="187" t="s">
        <v>298</v>
      </c>
      <c r="MJ83" s="187" t="s">
        <v>299</v>
      </c>
      <c r="MK83" s="187" t="s">
        <v>110</v>
      </c>
      <c r="ML83" s="187" t="s">
        <v>111</v>
      </c>
      <c r="MM83" s="187" t="s">
        <v>118</v>
      </c>
      <c r="MN83" s="187" t="s">
        <v>119</v>
      </c>
      <c r="MO83" s="187" t="s">
        <v>120</v>
      </c>
      <c r="MP83" s="187" t="s">
        <v>121</v>
      </c>
      <c r="MQ83" s="187" t="s">
        <v>298</v>
      </c>
      <c r="MR83" s="187" t="s">
        <v>299</v>
      </c>
      <c r="MS83" s="187" t="s">
        <v>110</v>
      </c>
      <c r="MT83" s="187" t="s">
        <v>111</v>
      </c>
      <c r="MU83" s="187" t="s">
        <v>118</v>
      </c>
      <c r="MV83" s="187" t="s">
        <v>119</v>
      </c>
      <c r="MW83" s="187" t="s">
        <v>120</v>
      </c>
      <c r="MX83" s="187" t="s">
        <v>121</v>
      </c>
      <c r="MY83" s="187" t="s">
        <v>298</v>
      </c>
      <c r="MZ83" s="187" t="s">
        <v>299</v>
      </c>
      <c r="NA83" s="187" t="s">
        <v>110</v>
      </c>
      <c r="NB83" s="187" t="s">
        <v>111</v>
      </c>
      <c r="NC83" s="187" t="s">
        <v>118</v>
      </c>
      <c r="ND83" s="187" t="s">
        <v>119</v>
      </c>
      <c r="NE83" s="187" t="s">
        <v>120</v>
      </c>
      <c r="NF83" s="187" t="s">
        <v>121</v>
      </c>
      <c r="NG83" s="187" t="s">
        <v>298</v>
      </c>
      <c r="NH83" s="187" t="s">
        <v>299</v>
      </c>
      <c r="NI83" s="187" t="s">
        <v>124</v>
      </c>
      <c r="NJ83" s="187" t="s">
        <v>125</v>
      </c>
      <c r="NK83" s="187" t="s">
        <v>126</v>
      </c>
      <c r="NL83" s="187" t="s">
        <v>244</v>
      </c>
      <c r="NM83" s="187" t="s">
        <v>245</v>
      </c>
      <c r="NN83" s="187" t="s">
        <v>246</v>
      </c>
      <c r="NO83" s="187" t="s">
        <v>247</v>
      </c>
      <c r="NP83" s="187" t="s">
        <v>248</v>
      </c>
    </row>
    <row r="84" spans="1:380" x14ac:dyDescent="0.2">
      <c r="J84" s="61"/>
    </row>
    <row r="85" spans="1:380" x14ac:dyDescent="0.2">
      <c r="J85" s="61"/>
    </row>
    <row r="86" spans="1:380" x14ac:dyDescent="0.2">
      <c r="J86" s="61"/>
    </row>
    <row r="87" spans="1:380" x14ac:dyDescent="0.2">
      <c r="J87" s="61"/>
    </row>
    <row r="88" spans="1:380" x14ac:dyDescent="0.2">
      <c r="J88" s="61"/>
    </row>
    <row r="89" spans="1:380" x14ac:dyDescent="0.2">
      <c r="J89" s="61"/>
    </row>
    <row r="90" spans="1:380" x14ac:dyDescent="0.2">
      <c r="J90" s="61"/>
    </row>
    <row r="91" spans="1:380" x14ac:dyDescent="0.2">
      <c r="J91" s="61"/>
    </row>
    <row r="92" spans="1:380" x14ac:dyDescent="0.2">
      <c r="J92" s="61"/>
    </row>
    <row r="93" spans="1:380" x14ac:dyDescent="0.2">
      <c r="J93" s="61"/>
    </row>
    <row r="94" spans="1:380" x14ac:dyDescent="0.2">
      <c r="J94" s="61"/>
    </row>
    <row r="95" spans="1:380" x14ac:dyDescent="0.2">
      <c r="J95" s="61"/>
    </row>
    <row r="96" spans="1:380" x14ac:dyDescent="0.2">
      <c r="J96" s="61"/>
    </row>
    <row r="97" spans="10:10" x14ac:dyDescent="0.2">
      <c r="J97" s="61"/>
    </row>
    <row r="98" spans="10:10" x14ac:dyDescent="0.2">
      <c r="J98" s="61"/>
    </row>
    <row r="99" spans="10:10" x14ac:dyDescent="0.2">
      <c r="J99" s="61"/>
    </row>
    <row r="100" spans="10:10" x14ac:dyDescent="0.2">
      <c r="J100" s="61"/>
    </row>
    <row r="101" spans="10:10" x14ac:dyDescent="0.2">
      <c r="J101" s="61"/>
    </row>
    <row r="102" spans="10:10" x14ac:dyDescent="0.2">
      <c r="J102" s="61"/>
    </row>
    <row r="103" spans="10:10" x14ac:dyDescent="0.2">
      <c r="J103" s="61"/>
    </row>
    <row r="104" spans="10:10" x14ac:dyDescent="0.2">
      <c r="J104" s="61"/>
    </row>
    <row r="105" spans="10:10" x14ac:dyDescent="0.2">
      <c r="J105" s="61"/>
    </row>
    <row r="106" spans="10:10" x14ac:dyDescent="0.2">
      <c r="J106" s="61"/>
    </row>
    <row r="107" spans="10:10" x14ac:dyDescent="0.2">
      <c r="J107" s="61"/>
    </row>
    <row r="108" spans="10:10" x14ac:dyDescent="0.2">
      <c r="J108" s="61"/>
    </row>
    <row r="109" spans="10:10" x14ac:dyDescent="0.2">
      <c r="J109" s="61"/>
    </row>
    <row r="110" spans="10:10" x14ac:dyDescent="0.2">
      <c r="J110" s="61"/>
    </row>
    <row r="111" spans="10:10" x14ac:dyDescent="0.2">
      <c r="J111" s="61"/>
    </row>
    <row r="112" spans="10:10" x14ac:dyDescent="0.2">
      <c r="J112" s="61"/>
    </row>
    <row r="113" spans="10:10" x14ac:dyDescent="0.2">
      <c r="J113" s="61"/>
    </row>
    <row r="114" spans="10:10" x14ac:dyDescent="0.2">
      <c r="J114" s="61"/>
    </row>
    <row r="115" spans="10:10" x14ac:dyDescent="0.2">
      <c r="J115" s="61"/>
    </row>
    <row r="116" spans="10:10" x14ac:dyDescent="0.2">
      <c r="J116" s="61"/>
    </row>
    <row r="117" spans="10:10" x14ac:dyDescent="0.2">
      <c r="J117" s="61"/>
    </row>
    <row r="118" spans="10:10" x14ac:dyDescent="0.2">
      <c r="J118" s="61"/>
    </row>
    <row r="119" spans="10:10" x14ac:dyDescent="0.2">
      <c r="J119" s="61"/>
    </row>
    <row r="120" spans="10:10" x14ac:dyDescent="0.2">
      <c r="J120" s="61"/>
    </row>
    <row r="121" spans="10:10" x14ac:dyDescent="0.2">
      <c r="J121" s="61"/>
    </row>
    <row r="122" spans="10:10" x14ac:dyDescent="0.2">
      <c r="J122" s="61"/>
    </row>
    <row r="123" spans="10:10" x14ac:dyDescent="0.2">
      <c r="J123" s="61"/>
    </row>
    <row r="124" spans="10:10" x14ac:dyDescent="0.2">
      <c r="J124" s="61"/>
    </row>
    <row r="125" spans="10:10" x14ac:dyDescent="0.2">
      <c r="J125" s="61"/>
    </row>
    <row r="126" spans="10:10" x14ac:dyDescent="0.2">
      <c r="J126" s="61"/>
    </row>
    <row r="127" spans="10:10" x14ac:dyDescent="0.2">
      <c r="J127" s="61"/>
    </row>
    <row r="128" spans="10:10" x14ac:dyDescent="0.2">
      <c r="J128" s="61"/>
    </row>
    <row r="129" spans="10:10" x14ac:dyDescent="0.2">
      <c r="J129" s="61"/>
    </row>
    <row r="130" spans="10:10" x14ac:dyDescent="0.2">
      <c r="J130" s="61"/>
    </row>
    <row r="131" spans="10:10" x14ac:dyDescent="0.2">
      <c r="J131" s="61"/>
    </row>
    <row r="132" spans="10:10" x14ac:dyDescent="0.2">
      <c r="J132" s="61"/>
    </row>
    <row r="133" spans="10:10" x14ac:dyDescent="0.2">
      <c r="J133" s="61"/>
    </row>
    <row r="134" spans="10:10" x14ac:dyDescent="0.2">
      <c r="J134" s="61"/>
    </row>
    <row r="135" spans="10:10" x14ac:dyDescent="0.2">
      <c r="J135" s="61"/>
    </row>
    <row r="136" spans="10:10" x14ac:dyDescent="0.2">
      <c r="J136" s="61"/>
    </row>
    <row r="137" spans="10:10" x14ac:dyDescent="0.2">
      <c r="J137" s="61"/>
    </row>
    <row r="138" spans="10:10" x14ac:dyDescent="0.2">
      <c r="J138" s="61"/>
    </row>
    <row r="139" spans="10:10" x14ac:dyDescent="0.2">
      <c r="J139" s="61"/>
    </row>
    <row r="140" spans="10:10" x14ac:dyDescent="0.2">
      <c r="J140" s="61"/>
    </row>
    <row r="141" spans="10:10" x14ac:dyDescent="0.2">
      <c r="J141" s="61"/>
    </row>
    <row r="142" spans="10:10" x14ac:dyDescent="0.2">
      <c r="J142" s="61"/>
    </row>
    <row r="143" spans="10:10" x14ac:dyDescent="0.2">
      <c r="J143" s="61"/>
    </row>
    <row r="144" spans="10:10" x14ac:dyDescent="0.2">
      <c r="J144" s="61"/>
    </row>
    <row r="145" spans="10:10" x14ac:dyDescent="0.2">
      <c r="J145" s="61"/>
    </row>
    <row r="146" spans="10:10" x14ac:dyDescent="0.2">
      <c r="J146" s="61"/>
    </row>
    <row r="147" spans="10:10" x14ac:dyDescent="0.2">
      <c r="J147" s="61"/>
    </row>
    <row r="148" spans="10:10" x14ac:dyDescent="0.2">
      <c r="J148" s="61"/>
    </row>
    <row r="149" spans="10:10" x14ac:dyDescent="0.2">
      <c r="J149" s="61"/>
    </row>
    <row r="150" spans="10:10" x14ac:dyDescent="0.2">
      <c r="J150" s="61"/>
    </row>
    <row r="151" spans="10:10" x14ac:dyDescent="0.2">
      <c r="J151" s="61"/>
    </row>
    <row r="152" spans="10:10" x14ac:dyDescent="0.2">
      <c r="J152" s="61"/>
    </row>
    <row r="153" spans="10:10" x14ac:dyDescent="0.2">
      <c r="J153" s="61"/>
    </row>
    <row r="154" spans="10:10" x14ac:dyDescent="0.2">
      <c r="J154" s="61"/>
    </row>
    <row r="155" spans="10:10" x14ac:dyDescent="0.2">
      <c r="J155" s="61"/>
    </row>
    <row r="156" spans="10:10" x14ac:dyDescent="0.2">
      <c r="J156" s="61"/>
    </row>
    <row r="157" spans="10:10" x14ac:dyDescent="0.2">
      <c r="J157" s="61"/>
    </row>
    <row r="158" spans="10:10" x14ac:dyDescent="0.2">
      <c r="J158" s="61"/>
    </row>
    <row r="159" spans="10:10" x14ac:dyDescent="0.2">
      <c r="J159" s="61"/>
    </row>
    <row r="160" spans="10:10" x14ac:dyDescent="0.2">
      <c r="J160" s="61"/>
    </row>
    <row r="161" spans="10:10" x14ac:dyDescent="0.2">
      <c r="J161" s="61"/>
    </row>
    <row r="162" spans="10:10" x14ac:dyDescent="0.2">
      <c r="J162" s="61"/>
    </row>
    <row r="163" spans="10:10" x14ac:dyDescent="0.2">
      <c r="J163" s="61"/>
    </row>
    <row r="165" spans="10:10" x14ac:dyDescent="0.2">
      <c r="J165" s="98"/>
    </row>
    <row r="166" spans="10:10" x14ac:dyDescent="0.2">
      <c r="J166" s="98"/>
    </row>
    <row r="167" spans="10:10" x14ac:dyDescent="0.2">
      <c r="J167" s="98"/>
    </row>
    <row r="168" spans="10:10" x14ac:dyDescent="0.2">
      <c r="J168" s="98"/>
    </row>
    <row r="169" spans="10:10" x14ac:dyDescent="0.2">
      <c r="J169" s="98"/>
    </row>
    <row r="170" spans="10:10" x14ac:dyDescent="0.2">
      <c r="J170" s="98"/>
    </row>
    <row r="171" spans="10:10" x14ac:dyDescent="0.2">
      <c r="J171" s="98"/>
    </row>
    <row r="172" spans="10:10" x14ac:dyDescent="0.2">
      <c r="J172" s="98"/>
    </row>
    <row r="173" spans="10:10" x14ac:dyDescent="0.2">
      <c r="J173" s="98"/>
    </row>
    <row r="174" spans="10:10" x14ac:dyDescent="0.2">
      <c r="J174" s="98"/>
    </row>
    <row r="175" spans="10:10" x14ac:dyDescent="0.2">
      <c r="J175" s="98"/>
    </row>
    <row r="176" spans="10:10" x14ac:dyDescent="0.2">
      <c r="J176" s="61"/>
    </row>
    <row r="177" spans="10:10" x14ac:dyDescent="0.2">
      <c r="J177" s="61"/>
    </row>
    <row r="178" spans="10:10" x14ac:dyDescent="0.2">
      <c r="J178" s="61"/>
    </row>
    <row r="179" spans="10:10" x14ac:dyDescent="0.2">
      <c r="J179" s="61"/>
    </row>
    <row r="180" spans="10:10" x14ac:dyDescent="0.2">
      <c r="J180" s="61"/>
    </row>
    <row r="181" spans="10:10" x14ac:dyDescent="0.2">
      <c r="J181" s="61"/>
    </row>
    <row r="182" spans="10:10" x14ac:dyDescent="0.2">
      <c r="J182" s="61"/>
    </row>
    <row r="183" spans="10:10" x14ac:dyDescent="0.2">
      <c r="J183" s="61"/>
    </row>
    <row r="184" spans="10:10" x14ac:dyDescent="0.2">
      <c r="J184" s="61"/>
    </row>
    <row r="185" spans="10:10" x14ac:dyDescent="0.2">
      <c r="J185" s="61"/>
    </row>
    <row r="186" spans="10:10" x14ac:dyDescent="0.2">
      <c r="J186" s="61"/>
    </row>
    <row r="187" spans="10:10" x14ac:dyDescent="0.2">
      <c r="J187" s="61"/>
    </row>
    <row r="188" spans="10:10" x14ac:dyDescent="0.2">
      <c r="J188" s="61"/>
    </row>
    <row r="189" spans="10:10" x14ac:dyDescent="0.2">
      <c r="J189" s="61"/>
    </row>
    <row r="190" spans="10:10" x14ac:dyDescent="0.2">
      <c r="J190" s="61"/>
    </row>
    <row r="191" spans="10:10" x14ac:dyDescent="0.2">
      <c r="J191" s="61"/>
    </row>
    <row r="192" spans="10:10" x14ac:dyDescent="0.2">
      <c r="J192" s="61"/>
    </row>
    <row r="193" spans="10:10" x14ac:dyDescent="0.2">
      <c r="J193" s="61"/>
    </row>
    <row r="194" spans="10:10" x14ac:dyDescent="0.2">
      <c r="J194" s="61"/>
    </row>
    <row r="195" spans="10:10" x14ac:dyDescent="0.2">
      <c r="J195" s="61"/>
    </row>
    <row r="196" spans="10:10" x14ac:dyDescent="0.2">
      <c r="J196" s="61"/>
    </row>
    <row r="197" spans="10:10" x14ac:dyDescent="0.2">
      <c r="J197" s="61"/>
    </row>
    <row r="198" spans="10:10" x14ac:dyDescent="0.2">
      <c r="J198" s="61"/>
    </row>
    <row r="199" spans="10:10" x14ac:dyDescent="0.2">
      <c r="J199" s="61"/>
    </row>
    <row r="200" spans="10:10" x14ac:dyDescent="0.2">
      <c r="J200" s="61"/>
    </row>
    <row r="201" spans="10:10" x14ac:dyDescent="0.2">
      <c r="J201" s="61"/>
    </row>
    <row r="202" spans="10:10" x14ac:dyDescent="0.2">
      <c r="J202" s="61"/>
    </row>
    <row r="203" spans="10:10" x14ac:dyDescent="0.2">
      <c r="J203" s="61"/>
    </row>
    <row r="204" spans="10:10" x14ac:dyDescent="0.2">
      <c r="J204" s="61"/>
    </row>
    <row r="205" spans="10:10" x14ac:dyDescent="0.2">
      <c r="J205" s="61"/>
    </row>
    <row r="206" spans="10:10" x14ac:dyDescent="0.2">
      <c r="J206" s="61"/>
    </row>
    <row r="207" spans="10:10" x14ac:dyDescent="0.2">
      <c r="J207" s="61"/>
    </row>
    <row r="208" spans="10:10" x14ac:dyDescent="0.2">
      <c r="J208" s="61"/>
    </row>
    <row r="209" spans="10:10" x14ac:dyDescent="0.2">
      <c r="J209" s="61"/>
    </row>
    <row r="210" spans="10:10" x14ac:dyDescent="0.2">
      <c r="J210" s="61"/>
    </row>
    <row r="211" spans="10:10" x14ac:dyDescent="0.2">
      <c r="J211" s="61"/>
    </row>
    <row r="212" spans="10:10" x14ac:dyDescent="0.2">
      <c r="J212" s="61"/>
    </row>
  </sheetData>
  <sheetProtection formatColumns="0" formatRows="0"/>
  <phoneticPr fontId="4" type="noConversion"/>
  <pageMargins left="0.5" right="0.5" top="1" bottom="1" header="0.25" footer="0.25"/>
  <pageSetup scale="58" orientation="landscape" r:id="rId1"/>
  <headerFooter alignWithMargins="0">
    <oddHeader>&amp;LPart No.:
Batch No(s).: 
Cartridge No. (LSP): &amp;C&amp;12Product QC Testing Worksheet-MTB/XDR&amp;RDocument Number: D37339 Attachment 1
Rev: M
Effective: 5/21/2026
p. &amp;P of &amp;N</oddHeader>
    <oddFooter>&amp;C User is responsible for using the current revision. The controlled current released revision of this document resides in the Agile PLM system.
Cepheid Confidential    Date Printed: &amp;D      &amp;T</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5121" r:id="rId4" name="Check Box 1">
              <controlPr defaultSize="0" autoFill="0" autoLine="0" autoPict="0" altText="N/A">
                <anchor moveWithCells="1">
                  <from>
                    <xdr:col>2</xdr:col>
                    <xdr:colOff>0</xdr:colOff>
                    <xdr:row>80</xdr:row>
                    <xdr:rowOff>142875</xdr:rowOff>
                  </from>
                  <to>
                    <xdr:col>2</xdr:col>
                    <xdr:colOff>1038225</xdr:colOff>
                    <xdr:row>82</xdr:row>
                    <xdr:rowOff>28575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P211"/>
  <sheetViews>
    <sheetView zoomScaleNormal="100" workbookViewId="0">
      <selection activeCell="A2" sqref="A2:XFD21"/>
    </sheetView>
  </sheetViews>
  <sheetFormatPr defaultColWidth="9.140625" defaultRowHeight="12.75" x14ac:dyDescent="0.2"/>
  <cols>
    <col min="1" max="1" width="25.42578125" style="60" bestFit="1" customWidth="1"/>
    <col min="2" max="2" width="7.85546875" style="60" bestFit="1" customWidth="1"/>
    <col min="3" max="3" width="20.5703125" style="60" bestFit="1" customWidth="1"/>
    <col min="4" max="4" width="13.42578125" style="60" bestFit="1" customWidth="1"/>
    <col min="5" max="5" width="14.5703125" style="60" bestFit="1" customWidth="1"/>
    <col min="6" max="6" width="15.5703125" style="60" bestFit="1" customWidth="1"/>
    <col min="7" max="7" width="14.42578125" style="60" bestFit="1" customWidth="1"/>
    <col min="8" max="8" width="11.42578125" style="60" bestFit="1" customWidth="1"/>
    <col min="9" max="9" width="12.140625" style="60" bestFit="1" customWidth="1"/>
    <col min="10" max="10" width="13.42578125" style="60" bestFit="1" customWidth="1"/>
    <col min="11" max="11" width="7.42578125" style="60" bestFit="1" customWidth="1"/>
    <col min="12" max="12" width="42.7109375" style="60" customWidth="1"/>
    <col min="13" max="13" width="13.85546875" style="60" bestFit="1" customWidth="1"/>
    <col min="14" max="14" width="6.5703125" style="60" bestFit="1" customWidth="1"/>
    <col min="15" max="15" width="14.5703125" style="60" bestFit="1" customWidth="1"/>
    <col min="16" max="16" width="14.140625" style="60" bestFit="1" customWidth="1"/>
    <col min="17" max="17" width="5" style="60" bestFit="1" customWidth="1"/>
    <col min="18" max="18" width="6.42578125" style="60" bestFit="1" customWidth="1"/>
    <col min="19" max="19" width="9.140625" style="60" bestFit="1" customWidth="1"/>
    <col min="20" max="20" width="12.140625" style="60" bestFit="1" customWidth="1"/>
    <col min="21" max="23" width="8.140625" style="60" bestFit="1" customWidth="1"/>
    <col min="24" max="24" width="19" style="60" bestFit="1" customWidth="1"/>
    <col min="25" max="25" width="21.5703125" style="60" bestFit="1" customWidth="1"/>
    <col min="26" max="26" width="6.85546875" style="60" bestFit="1" customWidth="1"/>
    <col min="27" max="27" width="13.85546875" style="60" bestFit="1" customWidth="1"/>
    <col min="28" max="28" width="6.5703125" style="60" bestFit="1" customWidth="1"/>
    <col min="29" max="29" width="8.42578125" style="60" bestFit="1" customWidth="1"/>
    <col min="30" max="30" width="14.140625" style="60" bestFit="1" customWidth="1"/>
    <col min="31" max="31" width="5" style="60" bestFit="1" customWidth="1"/>
    <col min="32" max="32" width="6.42578125" style="60" bestFit="1" customWidth="1"/>
    <col min="33" max="33" width="9.140625" style="60" bestFit="1" customWidth="1"/>
    <col min="34" max="34" width="12.140625" style="60" bestFit="1" customWidth="1"/>
    <col min="35" max="37" width="8.140625" style="60" bestFit="1" customWidth="1"/>
    <col min="38" max="38" width="19" style="60" bestFit="1" customWidth="1"/>
    <col min="39" max="39" width="21.5703125" style="60" bestFit="1" customWidth="1"/>
    <col min="40" max="40" width="6.85546875" style="60" bestFit="1" customWidth="1"/>
    <col min="41" max="41" width="13.85546875" style="60" bestFit="1" customWidth="1"/>
    <col min="42" max="42" width="6.5703125" style="60" bestFit="1" customWidth="1"/>
    <col min="43" max="43" width="8.42578125" style="60" bestFit="1" customWidth="1"/>
    <col min="44" max="44" width="14.140625" style="60" bestFit="1" customWidth="1"/>
    <col min="45" max="45" width="5" style="60" bestFit="1" customWidth="1"/>
    <col min="46" max="46" width="6.42578125" style="60" bestFit="1" customWidth="1"/>
    <col min="47" max="47" width="9.140625" style="60" bestFit="1" customWidth="1"/>
    <col min="48" max="48" width="12.140625" style="60" bestFit="1" customWidth="1"/>
    <col min="49" max="51" width="8.140625" style="60" bestFit="1" customWidth="1"/>
    <col min="52" max="52" width="19" style="60" bestFit="1" customWidth="1"/>
    <col min="53" max="53" width="21.5703125" style="60" bestFit="1" customWidth="1"/>
    <col min="54" max="54" width="6.85546875" style="60" bestFit="1" customWidth="1"/>
    <col min="55" max="55" width="13.85546875" style="60" bestFit="1" customWidth="1"/>
    <col min="56" max="56" width="6.5703125" style="60" bestFit="1" customWidth="1"/>
    <col min="57" max="57" width="5.140625" style="60" bestFit="1" customWidth="1"/>
    <col min="58" max="58" width="11.42578125" style="60" bestFit="1" customWidth="1"/>
    <col min="59" max="59" width="5" style="60" bestFit="1" customWidth="1"/>
    <col min="60" max="60" width="6.42578125" style="60" bestFit="1" customWidth="1"/>
    <col min="61" max="61" width="9.140625" style="60" bestFit="1" customWidth="1"/>
    <col min="62" max="65" width="8.140625" style="60" bestFit="1" customWidth="1"/>
    <col min="66" max="66" width="6.5703125" style="60" bestFit="1" customWidth="1"/>
    <col min="67" max="68" width="6.85546875" style="60" bestFit="1" customWidth="1"/>
    <col min="69" max="69" width="7.85546875" style="60" bestFit="1" customWidth="1"/>
    <col min="70" max="70" width="6.5703125" style="60" bestFit="1" customWidth="1"/>
    <col min="71" max="71" width="8.42578125" style="60" bestFit="1" customWidth="1"/>
    <col min="72" max="72" width="11.42578125" style="60" bestFit="1" customWidth="1"/>
    <col min="73" max="73" width="5" style="60" bestFit="1" customWidth="1"/>
    <col min="74" max="74" width="6.42578125" style="60" bestFit="1" customWidth="1"/>
    <col min="75" max="75" width="9.140625" style="60"/>
    <col min="76" max="79" width="8.140625" style="60" bestFit="1" customWidth="1"/>
    <col min="80" max="80" width="6.5703125" style="60" bestFit="1" customWidth="1"/>
    <col min="81" max="82" width="6.85546875" style="60" bestFit="1" customWidth="1"/>
    <col min="83" max="83" width="7.85546875" style="60" bestFit="1" customWidth="1"/>
    <col min="84" max="84" width="6.5703125" style="60" bestFit="1" customWidth="1"/>
    <col min="85" max="85" width="8.42578125" style="60" bestFit="1" customWidth="1"/>
    <col min="86" max="86" width="11.42578125" style="60" bestFit="1" customWidth="1"/>
    <col min="87" max="87" width="5" style="60" bestFit="1" customWidth="1"/>
    <col min="88" max="88" width="6.42578125" style="60" bestFit="1" customWidth="1"/>
    <col min="89" max="89" width="9.140625" style="60"/>
    <col min="90" max="93" width="8.140625" style="60" bestFit="1" customWidth="1"/>
    <col min="94" max="94" width="6.5703125" style="60" bestFit="1" customWidth="1"/>
    <col min="95" max="96" width="6.85546875" style="60" bestFit="1" customWidth="1"/>
    <col min="97" max="97" width="7.85546875" style="60" bestFit="1" customWidth="1"/>
    <col min="98" max="98" width="6.5703125" style="60" bestFit="1" customWidth="1"/>
    <col min="99" max="99" width="8.42578125" style="60" bestFit="1" customWidth="1"/>
    <col min="100" max="100" width="11.42578125" style="60" bestFit="1" customWidth="1"/>
    <col min="101" max="101" width="5" style="60" bestFit="1" customWidth="1"/>
    <col min="102" max="102" width="6.42578125" style="60" bestFit="1" customWidth="1"/>
    <col min="103" max="103" width="9.140625" style="60"/>
    <col min="104" max="107" width="8.140625" style="60" bestFit="1" customWidth="1"/>
    <col min="108" max="108" width="6.5703125" style="60" bestFit="1" customWidth="1"/>
    <col min="109" max="110" width="6.85546875" style="60" bestFit="1" customWidth="1"/>
    <col min="111" max="111" width="7.85546875" style="60" bestFit="1" customWidth="1"/>
    <col min="112" max="112" width="6.5703125" style="60" bestFit="1" customWidth="1"/>
    <col min="113" max="113" width="8.42578125" style="60" bestFit="1" customWidth="1"/>
    <col min="114" max="114" width="11.42578125" style="60" bestFit="1" customWidth="1"/>
    <col min="115" max="115" width="5" style="60" bestFit="1" customWidth="1"/>
    <col min="116" max="116" width="6.42578125" style="60" bestFit="1" customWidth="1"/>
    <col min="117" max="117" width="9.140625" style="60"/>
    <col min="118" max="121" width="8.140625" style="60" bestFit="1" customWidth="1"/>
    <col min="122" max="122" width="6.5703125" style="60" bestFit="1" customWidth="1"/>
    <col min="123" max="124" width="6.85546875" style="60" bestFit="1" customWidth="1"/>
    <col min="125" max="125" width="7.85546875" style="60" bestFit="1" customWidth="1"/>
    <col min="126" max="126" width="6.5703125" style="60" bestFit="1" customWidth="1"/>
    <col min="127" max="127" width="8.42578125" style="60" bestFit="1" customWidth="1"/>
    <col min="128" max="128" width="11.42578125" style="60" bestFit="1" customWidth="1"/>
    <col min="129" max="129" width="5" style="60" bestFit="1" customWidth="1"/>
    <col min="130" max="130" width="6.42578125" style="60" bestFit="1" customWidth="1"/>
    <col min="131" max="131" width="9.140625" style="60"/>
    <col min="132" max="135" width="8.140625" style="60" bestFit="1" customWidth="1"/>
    <col min="136" max="136" width="6.5703125" style="60" bestFit="1" customWidth="1"/>
    <col min="137" max="138" width="6.85546875" style="60" bestFit="1" customWidth="1"/>
    <col min="139" max="139" width="7.85546875" style="60" bestFit="1" customWidth="1"/>
    <col min="140" max="140" width="6.5703125" style="60" bestFit="1" customWidth="1"/>
    <col min="141" max="141" width="8.42578125" style="60" bestFit="1" customWidth="1"/>
    <col min="142" max="142" width="11.42578125" style="60" bestFit="1" customWidth="1"/>
    <col min="143" max="143" width="5" style="60" bestFit="1" customWidth="1"/>
    <col min="144" max="144" width="6.42578125" style="60" bestFit="1" customWidth="1"/>
    <col min="145" max="145" width="9.140625" style="60"/>
    <col min="146" max="149" width="8.140625" style="60" bestFit="1" customWidth="1"/>
    <col min="150" max="150" width="6.5703125" style="60" bestFit="1" customWidth="1"/>
    <col min="151" max="152" width="6.85546875" style="60" bestFit="1" customWidth="1"/>
    <col min="153" max="153" width="7.85546875" style="60" bestFit="1" customWidth="1"/>
    <col min="154" max="154" width="6.5703125" style="60" bestFit="1" customWidth="1"/>
    <col min="155" max="157" width="8.140625" style="60" bestFit="1" customWidth="1"/>
    <col min="158" max="158" width="6.5703125" style="60" bestFit="1" customWidth="1"/>
    <col min="159" max="159" width="7.85546875" style="60" bestFit="1" customWidth="1"/>
    <col min="160" max="160" width="6.5703125" style="60" bestFit="1" customWidth="1"/>
    <col min="161" max="163" width="8.140625" style="60" bestFit="1" customWidth="1"/>
    <col min="164" max="164" width="6.5703125" style="60" bestFit="1" customWidth="1"/>
    <col min="165" max="165" width="8.85546875" style="60" bestFit="1" customWidth="1"/>
    <col min="166" max="166" width="10.42578125" style="60" bestFit="1" customWidth="1"/>
    <col min="167" max="169" width="8.140625" style="60" bestFit="1" customWidth="1"/>
    <col min="170" max="170" width="6.5703125" style="60" bestFit="1" customWidth="1"/>
    <col min="171" max="171" width="9.140625" style="60"/>
    <col min="172" max="172" width="6.85546875" style="60" bestFit="1" customWidth="1"/>
    <col min="173" max="173" width="9.140625" style="60"/>
    <col min="174" max="174" width="10.42578125" style="60" bestFit="1" customWidth="1"/>
    <col min="175" max="177" width="8.140625" style="60" bestFit="1" customWidth="1"/>
    <col min="178" max="178" width="6.5703125" style="60" bestFit="1" customWidth="1"/>
    <col min="179" max="179" width="9.140625" style="60"/>
    <col min="180" max="180" width="6.85546875" style="60" bestFit="1" customWidth="1"/>
    <col min="181" max="181" width="10" style="60" bestFit="1" customWidth="1"/>
    <col min="182" max="182" width="10.42578125" style="60" bestFit="1" customWidth="1"/>
    <col min="183" max="185" width="8.140625" style="60" bestFit="1" customWidth="1"/>
    <col min="186" max="186" width="6.5703125" style="60" bestFit="1" customWidth="1"/>
    <col min="187" max="187" width="9.140625" style="60"/>
    <col min="188" max="188" width="6.85546875" style="60" bestFit="1" customWidth="1"/>
    <col min="189" max="189" width="9.42578125" style="60" bestFit="1" customWidth="1"/>
    <col min="190" max="190" width="10.42578125" style="60" bestFit="1" customWidth="1"/>
    <col min="191" max="193" width="8.140625" style="60" bestFit="1" customWidth="1"/>
    <col min="194" max="194" width="6.5703125" style="60" bestFit="1" customWidth="1"/>
    <col min="195" max="195" width="9.140625" style="60"/>
    <col min="196" max="196" width="6.85546875" style="60" bestFit="1" customWidth="1"/>
    <col min="197" max="197" width="10" style="60" bestFit="1" customWidth="1"/>
    <col min="198" max="198" width="10.42578125" style="60" bestFit="1" customWidth="1"/>
    <col min="199" max="201" width="8.140625" style="60" bestFit="1" customWidth="1"/>
    <col min="202" max="202" width="6.5703125" style="60" bestFit="1" customWidth="1"/>
    <col min="203" max="203" width="9.140625" style="60"/>
    <col min="204" max="204" width="6.85546875" style="60" bestFit="1" customWidth="1"/>
    <col min="205" max="205" width="10" style="60" bestFit="1" customWidth="1"/>
    <col min="206" max="206" width="10.42578125" style="60" bestFit="1" customWidth="1"/>
    <col min="207" max="209" width="8.140625" style="60" bestFit="1" customWidth="1"/>
    <col min="210" max="210" width="6.5703125" style="60" bestFit="1" customWidth="1"/>
    <col min="211" max="211" width="9.140625" style="60"/>
    <col min="212" max="212" width="6.85546875" style="60" bestFit="1" customWidth="1"/>
    <col min="213" max="213" width="10" style="60" bestFit="1" customWidth="1"/>
    <col min="214" max="214" width="10.42578125" style="60" bestFit="1" customWidth="1"/>
    <col min="215" max="217" width="8.140625" style="60" bestFit="1" customWidth="1"/>
    <col min="218" max="218" width="6.5703125" style="60" bestFit="1" customWidth="1"/>
    <col min="219" max="219" width="9.140625" style="60"/>
    <col min="220" max="220" width="6.85546875" style="60" bestFit="1" customWidth="1"/>
    <col min="221" max="221" width="10" style="60" bestFit="1" customWidth="1"/>
    <col min="222" max="222" width="10.42578125" style="60" bestFit="1" customWidth="1"/>
    <col min="223" max="225" width="8.140625" style="60" bestFit="1" customWidth="1"/>
    <col min="226" max="226" width="6.5703125" style="60" bestFit="1" customWidth="1"/>
    <col min="227" max="227" width="9.140625" style="60"/>
    <col min="228" max="228" width="6.85546875" style="60" bestFit="1" customWidth="1"/>
    <col min="229" max="229" width="7.85546875" style="60" bestFit="1" customWidth="1"/>
    <col min="230" max="230" width="10.42578125" style="60" bestFit="1" customWidth="1"/>
    <col min="231" max="233" width="8.140625" style="60" bestFit="1" customWidth="1"/>
    <col min="234" max="234" width="6.5703125" style="60" bestFit="1" customWidth="1"/>
    <col min="235" max="235" width="9.140625" style="60"/>
    <col min="236" max="236" width="6.85546875" style="60" bestFit="1" customWidth="1"/>
    <col min="237" max="237" width="7.85546875" style="60" bestFit="1" customWidth="1"/>
    <col min="238" max="238" width="10.42578125" style="60" bestFit="1" customWidth="1"/>
    <col min="239" max="241" width="8.140625" style="60" bestFit="1" customWidth="1"/>
    <col min="242" max="242" width="6.5703125" style="60" bestFit="1" customWidth="1"/>
    <col min="243" max="243" width="9.140625" style="60"/>
    <col min="244" max="244" width="6.85546875" style="60" bestFit="1" customWidth="1"/>
    <col min="245" max="245" width="12.5703125" style="60" bestFit="1" customWidth="1"/>
    <col min="246" max="246" width="10.42578125" style="60" bestFit="1" customWidth="1"/>
    <col min="247" max="249" width="8.140625" style="60" bestFit="1" customWidth="1"/>
    <col min="250" max="250" width="6.5703125" style="60" bestFit="1" customWidth="1"/>
    <col min="251" max="251" width="9.140625" style="60"/>
    <col min="252" max="252" width="6.85546875" style="60" bestFit="1" customWidth="1"/>
    <col min="253" max="253" width="12.85546875" style="60" bestFit="1" customWidth="1"/>
    <col min="254" max="254" width="10.42578125" style="60" bestFit="1" customWidth="1"/>
    <col min="255" max="257" width="8.140625" style="60" bestFit="1" customWidth="1"/>
    <col min="258" max="258" width="6.5703125" style="60" bestFit="1" customWidth="1"/>
    <col min="259" max="259" width="9.140625" style="60"/>
    <col min="260" max="260" width="6.85546875" style="60" bestFit="1" customWidth="1"/>
    <col min="261" max="261" width="13.85546875" style="60" bestFit="1" customWidth="1"/>
    <col min="262" max="262" width="10.42578125" style="60" bestFit="1" customWidth="1"/>
    <col min="263" max="265" width="8.140625" style="60" bestFit="1" customWidth="1"/>
    <col min="266" max="266" width="6.5703125" style="60" bestFit="1" customWidth="1"/>
    <col min="267" max="267" width="9.140625" style="60"/>
    <col min="268" max="268" width="6.85546875" style="60" bestFit="1" customWidth="1"/>
    <col min="269" max="269" width="13.42578125" style="60" bestFit="1" customWidth="1"/>
    <col min="270" max="270" width="10.42578125" style="60" bestFit="1" customWidth="1"/>
    <col min="271" max="273" width="8.140625" style="60" bestFit="1" customWidth="1"/>
    <col min="274" max="274" width="6.5703125" style="60" bestFit="1" customWidth="1"/>
    <col min="275" max="275" width="9.140625" style="60"/>
    <col min="276" max="276" width="6.85546875" style="60" bestFit="1" customWidth="1"/>
    <col min="277" max="277" width="15.140625" style="60" bestFit="1" customWidth="1"/>
    <col min="278" max="278" width="10.42578125" style="60" bestFit="1" customWidth="1"/>
    <col min="279" max="281" width="8.140625" style="60" bestFit="1" customWidth="1"/>
    <col min="282" max="282" width="6.5703125" style="60" bestFit="1" customWidth="1"/>
    <col min="283" max="283" width="9.140625" style="60"/>
    <col min="284" max="284" width="6.85546875" style="60" bestFit="1" customWidth="1"/>
    <col min="285" max="285" width="15.140625" style="60" bestFit="1" customWidth="1"/>
    <col min="286" max="286" width="10.42578125" style="60" bestFit="1" customWidth="1"/>
    <col min="287" max="289" width="8.140625" style="60" bestFit="1" customWidth="1"/>
    <col min="290" max="290" width="6.5703125" style="60" bestFit="1" customWidth="1"/>
    <col min="291" max="291" width="9.140625" style="60"/>
    <col min="292" max="292" width="6.85546875" style="60" bestFit="1" customWidth="1"/>
    <col min="293" max="293" width="15.140625" style="60" bestFit="1" customWidth="1"/>
    <col min="294" max="294" width="10.42578125" style="60" bestFit="1" customWidth="1"/>
    <col min="295" max="297" width="8.140625" style="60" bestFit="1" customWidth="1"/>
    <col min="298" max="298" width="6.5703125" style="60" bestFit="1" customWidth="1"/>
    <col min="299" max="299" width="9.140625" style="60"/>
    <col min="300" max="300" width="6.85546875" style="60" bestFit="1" customWidth="1"/>
    <col min="301" max="301" width="15.140625" style="60" bestFit="1" customWidth="1"/>
    <col min="302" max="302" width="10.42578125" style="60" bestFit="1" customWidth="1"/>
    <col min="303" max="305" width="8.140625" style="60" bestFit="1" customWidth="1"/>
    <col min="306" max="306" width="6.5703125" style="60" bestFit="1" customWidth="1"/>
    <col min="307" max="307" width="9.140625" style="60"/>
    <col min="308" max="308" width="6.85546875" style="60" bestFit="1" customWidth="1"/>
    <col min="309" max="309" width="15.140625" style="60" bestFit="1" customWidth="1"/>
    <col min="310" max="310" width="10.42578125" style="60" bestFit="1" customWidth="1"/>
    <col min="311" max="313" width="8.140625" style="60" bestFit="1" customWidth="1"/>
    <col min="314" max="314" width="6.5703125" style="60" bestFit="1" customWidth="1"/>
    <col min="315" max="315" width="9.140625" style="60"/>
    <col min="316" max="316" width="6.85546875" style="60" bestFit="1" customWidth="1"/>
    <col min="317" max="317" width="15.140625" style="60" bestFit="1" customWidth="1"/>
    <col min="318" max="318" width="10.42578125" style="60" bestFit="1" customWidth="1"/>
    <col min="319" max="321" width="8.140625" style="60" bestFit="1" customWidth="1"/>
    <col min="322" max="322" width="6.5703125" style="60" bestFit="1" customWidth="1"/>
    <col min="323" max="323" width="9.140625" style="60"/>
    <col min="324" max="324" width="6.85546875" style="60" bestFit="1" customWidth="1"/>
    <col min="325" max="325" width="15.140625" style="60" bestFit="1" customWidth="1"/>
    <col min="326" max="326" width="10.42578125" style="60" bestFit="1" customWidth="1"/>
    <col min="327" max="329" width="8.140625" style="60" bestFit="1" customWidth="1"/>
    <col min="330" max="330" width="6.5703125" style="60" bestFit="1" customWidth="1"/>
    <col min="331" max="331" width="9.140625" style="60"/>
    <col min="332" max="332" width="6.85546875" style="60" bestFit="1" customWidth="1"/>
    <col min="333" max="333" width="15.140625" style="60" bestFit="1" customWidth="1"/>
    <col min="334" max="334" width="10.42578125" style="60" bestFit="1" customWidth="1"/>
    <col min="335" max="337" width="8.140625" style="60" bestFit="1" customWidth="1"/>
    <col min="338" max="338" width="6.5703125" style="60" bestFit="1" customWidth="1"/>
    <col min="339" max="339" width="9.140625" style="60"/>
    <col min="340" max="340" width="6.85546875" style="60" bestFit="1" customWidth="1"/>
    <col min="341" max="341" width="13.85546875" style="60" bestFit="1" customWidth="1"/>
    <col min="342" max="342" width="10.42578125" style="60" bestFit="1" customWidth="1"/>
    <col min="343" max="345" width="8.140625" style="60" bestFit="1" customWidth="1"/>
    <col min="346" max="346" width="6.5703125" style="60" bestFit="1" customWidth="1"/>
    <col min="347" max="347" width="9.140625" style="60"/>
    <col min="348" max="348" width="6.85546875" style="60" bestFit="1" customWidth="1"/>
    <col min="349" max="349" width="11" style="60" bestFit="1" customWidth="1"/>
    <col min="350" max="350" width="10.42578125" style="60" bestFit="1" customWidth="1"/>
    <col min="351" max="353" width="8.140625" style="60" bestFit="1" customWidth="1"/>
    <col min="354" max="354" width="6.5703125" style="60" bestFit="1" customWidth="1"/>
    <col min="355" max="355" width="9.140625" style="60"/>
    <col min="356" max="356" width="6.85546875" style="60" bestFit="1" customWidth="1"/>
    <col min="357" max="357" width="12.5703125" style="60" bestFit="1" customWidth="1"/>
    <col min="358" max="358" width="10.42578125" style="60" bestFit="1" customWidth="1"/>
    <col min="359" max="361" width="8.140625" style="60" bestFit="1" customWidth="1"/>
    <col min="362" max="362" width="6.5703125" style="60" bestFit="1" customWidth="1"/>
    <col min="363" max="363" width="9.140625" style="60"/>
    <col min="364" max="364" width="6.85546875" style="60" bestFit="1" customWidth="1"/>
    <col min="365" max="365" width="12.5703125" style="60" bestFit="1" customWidth="1"/>
    <col min="366" max="366" width="10.42578125" style="60" bestFit="1" customWidth="1"/>
    <col min="367" max="369" width="8.140625" style="60" bestFit="1" customWidth="1"/>
    <col min="370" max="370" width="6.5703125" style="60" bestFit="1" customWidth="1"/>
    <col min="371" max="371" width="9.140625" style="60"/>
    <col min="372" max="372" width="6.85546875" style="60" bestFit="1" customWidth="1"/>
    <col min="373" max="374" width="8.85546875" style="60" bestFit="1" customWidth="1"/>
    <col min="375" max="375" width="14.28515625" style="60" customWidth="1"/>
    <col min="376" max="376" width="7.42578125" style="60" bestFit="1" customWidth="1"/>
    <col min="377" max="379" width="8.5703125" style="60" bestFit="1" customWidth="1"/>
    <col min="380" max="380" width="18" style="60" bestFit="1" customWidth="1"/>
    <col min="381" max="16384" width="9.140625" style="60"/>
  </cols>
  <sheetData>
    <row r="1" spans="1:380" s="188" customFormat="1" ht="51" x14ac:dyDescent="0.2">
      <c r="A1" s="186" t="s">
        <v>98</v>
      </c>
      <c r="B1" s="186" t="s">
        <v>99</v>
      </c>
      <c r="C1" s="186" t="s">
        <v>100</v>
      </c>
      <c r="D1" s="186" t="s">
        <v>101</v>
      </c>
      <c r="E1" s="186" t="s">
        <v>102</v>
      </c>
      <c r="F1" s="186" t="s">
        <v>103</v>
      </c>
      <c r="G1" s="186" t="s">
        <v>104</v>
      </c>
      <c r="H1" s="186" t="s">
        <v>105</v>
      </c>
      <c r="I1" s="186" t="s">
        <v>106</v>
      </c>
      <c r="J1" s="186" t="s">
        <v>107</v>
      </c>
      <c r="K1" s="186" t="s">
        <v>108</v>
      </c>
      <c r="L1" s="186" t="s">
        <v>109</v>
      </c>
      <c r="M1" s="186" t="s">
        <v>110</v>
      </c>
      <c r="N1" s="186" t="s">
        <v>111</v>
      </c>
      <c r="O1" s="186" t="s">
        <v>112</v>
      </c>
      <c r="P1" s="186" t="s">
        <v>113</v>
      </c>
      <c r="Q1" s="186" t="s">
        <v>114</v>
      </c>
      <c r="R1" s="186" t="s">
        <v>115</v>
      </c>
      <c r="S1" s="186" t="s">
        <v>116</v>
      </c>
      <c r="T1" s="186" t="s">
        <v>117</v>
      </c>
      <c r="U1" s="186" t="s">
        <v>118</v>
      </c>
      <c r="V1" s="186" t="s">
        <v>119</v>
      </c>
      <c r="W1" s="186" t="s">
        <v>120</v>
      </c>
      <c r="X1" s="186" t="s">
        <v>121</v>
      </c>
      <c r="Y1" s="186" t="s">
        <v>122</v>
      </c>
      <c r="Z1" s="186" t="s">
        <v>123</v>
      </c>
      <c r="AA1" s="186" t="s">
        <v>110</v>
      </c>
      <c r="AB1" s="186" t="s">
        <v>111</v>
      </c>
      <c r="AC1" s="186" t="s">
        <v>112</v>
      </c>
      <c r="AD1" s="186" t="s">
        <v>113</v>
      </c>
      <c r="AE1" s="186" t="s">
        <v>114</v>
      </c>
      <c r="AF1" s="186" t="s">
        <v>115</v>
      </c>
      <c r="AG1" s="186" t="s">
        <v>116</v>
      </c>
      <c r="AH1" s="186" t="s">
        <v>117</v>
      </c>
      <c r="AI1" s="186" t="s">
        <v>118</v>
      </c>
      <c r="AJ1" s="186" t="s">
        <v>119</v>
      </c>
      <c r="AK1" s="186" t="s">
        <v>120</v>
      </c>
      <c r="AL1" s="186" t="s">
        <v>121</v>
      </c>
      <c r="AM1" s="186" t="s">
        <v>122</v>
      </c>
      <c r="AN1" s="186" t="s">
        <v>123</v>
      </c>
      <c r="AO1" s="186" t="s">
        <v>110</v>
      </c>
      <c r="AP1" s="186" t="s">
        <v>111</v>
      </c>
      <c r="AQ1" s="186" t="s">
        <v>112</v>
      </c>
      <c r="AR1" s="186" t="s">
        <v>113</v>
      </c>
      <c r="AS1" s="186" t="s">
        <v>114</v>
      </c>
      <c r="AT1" s="186" t="s">
        <v>115</v>
      </c>
      <c r="AU1" s="186" t="s">
        <v>116</v>
      </c>
      <c r="AV1" s="186" t="s">
        <v>117</v>
      </c>
      <c r="AW1" s="186" t="s">
        <v>118</v>
      </c>
      <c r="AX1" s="186" t="s">
        <v>119</v>
      </c>
      <c r="AY1" s="186" t="s">
        <v>120</v>
      </c>
      <c r="AZ1" s="186" t="s">
        <v>121</v>
      </c>
      <c r="BA1" s="186" t="s">
        <v>122</v>
      </c>
      <c r="BB1" s="186" t="s">
        <v>123</v>
      </c>
      <c r="BC1" s="186" t="s">
        <v>110</v>
      </c>
      <c r="BD1" s="186" t="s">
        <v>111</v>
      </c>
      <c r="BE1" s="186" t="s">
        <v>112</v>
      </c>
      <c r="BF1" s="186" t="s">
        <v>113</v>
      </c>
      <c r="BG1" s="186" t="s">
        <v>114</v>
      </c>
      <c r="BH1" s="186" t="s">
        <v>115</v>
      </c>
      <c r="BI1" s="186" t="s">
        <v>116</v>
      </c>
      <c r="BJ1" s="186" t="s">
        <v>117</v>
      </c>
      <c r="BK1" s="186" t="s">
        <v>118</v>
      </c>
      <c r="BL1" s="186" t="s">
        <v>119</v>
      </c>
      <c r="BM1" s="186" t="s">
        <v>120</v>
      </c>
      <c r="BN1" s="186" t="s">
        <v>121</v>
      </c>
      <c r="BO1" s="186" t="s">
        <v>122</v>
      </c>
      <c r="BP1" s="186" t="s">
        <v>123</v>
      </c>
      <c r="BQ1" s="186" t="s">
        <v>110</v>
      </c>
      <c r="BR1" s="186" t="s">
        <v>111</v>
      </c>
      <c r="BS1" s="186" t="s">
        <v>112</v>
      </c>
      <c r="BT1" s="187" t="s">
        <v>113</v>
      </c>
      <c r="BU1" s="187" t="s">
        <v>114</v>
      </c>
      <c r="BV1" s="187" t="s">
        <v>115</v>
      </c>
      <c r="BW1" s="187" t="s">
        <v>116</v>
      </c>
      <c r="BX1" s="187" t="s">
        <v>117</v>
      </c>
      <c r="BY1" s="187" t="s">
        <v>118</v>
      </c>
      <c r="BZ1" s="187" t="s">
        <v>119</v>
      </c>
      <c r="CA1" s="187" t="s">
        <v>120</v>
      </c>
      <c r="CB1" s="187" t="s">
        <v>121</v>
      </c>
      <c r="CC1" s="187" t="s">
        <v>122</v>
      </c>
      <c r="CD1" s="187" t="s">
        <v>123</v>
      </c>
      <c r="CE1" s="187" t="s">
        <v>110</v>
      </c>
      <c r="CF1" s="187" t="s">
        <v>111</v>
      </c>
      <c r="CG1" s="187" t="s">
        <v>112</v>
      </c>
      <c r="CH1" s="187" t="s">
        <v>113</v>
      </c>
      <c r="CI1" s="187" t="s">
        <v>114</v>
      </c>
      <c r="CJ1" s="187" t="s">
        <v>115</v>
      </c>
      <c r="CK1" s="187" t="s">
        <v>116</v>
      </c>
      <c r="CL1" s="187" t="s">
        <v>117</v>
      </c>
      <c r="CM1" s="187" t="s">
        <v>118</v>
      </c>
      <c r="CN1" s="187" t="s">
        <v>119</v>
      </c>
      <c r="CO1" s="187" t="s">
        <v>120</v>
      </c>
      <c r="CP1" s="187" t="s">
        <v>121</v>
      </c>
      <c r="CQ1" s="187" t="s">
        <v>122</v>
      </c>
      <c r="CR1" s="187" t="s">
        <v>123</v>
      </c>
      <c r="CS1" s="187" t="s">
        <v>110</v>
      </c>
      <c r="CT1" s="187" t="s">
        <v>111</v>
      </c>
      <c r="CU1" s="187" t="s">
        <v>112</v>
      </c>
      <c r="CV1" s="187" t="s">
        <v>113</v>
      </c>
      <c r="CW1" s="187" t="s">
        <v>114</v>
      </c>
      <c r="CX1" s="187" t="s">
        <v>115</v>
      </c>
      <c r="CY1" s="187" t="s">
        <v>116</v>
      </c>
      <c r="CZ1" s="187" t="s">
        <v>117</v>
      </c>
      <c r="DA1" s="187" t="s">
        <v>118</v>
      </c>
      <c r="DB1" s="187" t="s">
        <v>119</v>
      </c>
      <c r="DC1" s="187" t="s">
        <v>120</v>
      </c>
      <c r="DD1" s="187" t="s">
        <v>121</v>
      </c>
      <c r="DE1" s="187" t="s">
        <v>122</v>
      </c>
      <c r="DF1" s="187" t="s">
        <v>123</v>
      </c>
      <c r="DG1" s="187" t="s">
        <v>110</v>
      </c>
      <c r="DH1" s="187" t="s">
        <v>111</v>
      </c>
      <c r="DI1" s="187" t="s">
        <v>112</v>
      </c>
      <c r="DJ1" s="187" t="s">
        <v>113</v>
      </c>
      <c r="DK1" s="187" t="s">
        <v>114</v>
      </c>
      <c r="DL1" s="187" t="s">
        <v>115</v>
      </c>
      <c r="DM1" s="187" t="s">
        <v>116</v>
      </c>
      <c r="DN1" s="187" t="s">
        <v>117</v>
      </c>
      <c r="DO1" s="187" t="s">
        <v>118</v>
      </c>
      <c r="DP1" s="187" t="s">
        <v>119</v>
      </c>
      <c r="DQ1" s="187" t="s">
        <v>120</v>
      </c>
      <c r="DR1" s="187" t="s">
        <v>121</v>
      </c>
      <c r="DS1" s="187" t="s">
        <v>122</v>
      </c>
      <c r="DT1" s="187" t="s">
        <v>123</v>
      </c>
      <c r="DU1" s="187" t="s">
        <v>110</v>
      </c>
      <c r="DV1" s="187" t="s">
        <v>111</v>
      </c>
      <c r="DW1" s="187" t="s">
        <v>112</v>
      </c>
      <c r="DX1" s="187" t="s">
        <v>113</v>
      </c>
      <c r="DY1" s="187" t="s">
        <v>114</v>
      </c>
      <c r="DZ1" s="187" t="s">
        <v>115</v>
      </c>
      <c r="EA1" s="187" t="s">
        <v>116</v>
      </c>
      <c r="EB1" s="187" t="s">
        <v>117</v>
      </c>
      <c r="EC1" s="187" t="s">
        <v>118</v>
      </c>
      <c r="ED1" s="187" t="s">
        <v>119</v>
      </c>
      <c r="EE1" s="187" t="s">
        <v>120</v>
      </c>
      <c r="EF1" s="187" t="s">
        <v>121</v>
      </c>
      <c r="EG1" s="187" t="s">
        <v>122</v>
      </c>
      <c r="EH1" s="187" t="s">
        <v>123</v>
      </c>
      <c r="EI1" s="187" t="s">
        <v>110</v>
      </c>
      <c r="EJ1" s="187" t="s">
        <v>111</v>
      </c>
      <c r="EK1" s="187" t="s">
        <v>112</v>
      </c>
      <c r="EL1" s="187" t="s">
        <v>113</v>
      </c>
      <c r="EM1" s="187" t="s">
        <v>114</v>
      </c>
      <c r="EN1" s="187" t="s">
        <v>115</v>
      </c>
      <c r="EO1" s="187" t="s">
        <v>116</v>
      </c>
      <c r="EP1" s="187" t="s">
        <v>117</v>
      </c>
      <c r="EQ1" s="187" t="s">
        <v>118</v>
      </c>
      <c r="ER1" s="187" t="s">
        <v>119</v>
      </c>
      <c r="ES1" s="187" t="s">
        <v>120</v>
      </c>
      <c r="ET1" s="187" t="s">
        <v>121</v>
      </c>
      <c r="EU1" s="187" t="s">
        <v>122</v>
      </c>
      <c r="EV1" s="187" t="s">
        <v>123</v>
      </c>
      <c r="EW1" s="187" t="s">
        <v>110</v>
      </c>
      <c r="EX1" s="187" t="s">
        <v>111</v>
      </c>
      <c r="EY1" s="187" t="s">
        <v>118</v>
      </c>
      <c r="EZ1" s="187" t="s">
        <v>119</v>
      </c>
      <c r="FA1" s="187" t="s">
        <v>120</v>
      </c>
      <c r="FB1" s="187" t="s">
        <v>121</v>
      </c>
      <c r="FC1" s="187" t="s">
        <v>110</v>
      </c>
      <c r="FD1" s="187" t="s">
        <v>111</v>
      </c>
      <c r="FE1" s="187" t="s">
        <v>118</v>
      </c>
      <c r="FF1" s="187" t="s">
        <v>119</v>
      </c>
      <c r="FG1" s="187" t="s">
        <v>120</v>
      </c>
      <c r="FH1" s="187" t="s">
        <v>121</v>
      </c>
      <c r="FI1" s="187" t="s">
        <v>110</v>
      </c>
      <c r="FJ1" s="187" t="s">
        <v>111</v>
      </c>
      <c r="FK1" s="187" t="s">
        <v>118</v>
      </c>
      <c r="FL1" s="187" t="s">
        <v>119</v>
      </c>
      <c r="FM1" s="187" t="s">
        <v>120</v>
      </c>
      <c r="FN1" s="187" t="s">
        <v>121</v>
      </c>
      <c r="FO1" s="187" t="s">
        <v>298</v>
      </c>
      <c r="FP1" s="187" t="s">
        <v>299</v>
      </c>
      <c r="FQ1" s="187" t="s">
        <v>110</v>
      </c>
      <c r="FR1" s="187" t="s">
        <v>111</v>
      </c>
      <c r="FS1" s="187" t="s">
        <v>118</v>
      </c>
      <c r="FT1" s="187" t="s">
        <v>119</v>
      </c>
      <c r="FU1" s="187" t="s">
        <v>120</v>
      </c>
      <c r="FV1" s="187" t="s">
        <v>121</v>
      </c>
      <c r="FW1" s="187" t="s">
        <v>298</v>
      </c>
      <c r="FX1" s="187" t="s">
        <v>299</v>
      </c>
      <c r="FY1" s="187" t="s">
        <v>110</v>
      </c>
      <c r="FZ1" s="187" t="s">
        <v>111</v>
      </c>
      <c r="GA1" s="187" t="s">
        <v>118</v>
      </c>
      <c r="GB1" s="187" t="s">
        <v>119</v>
      </c>
      <c r="GC1" s="187" t="s">
        <v>120</v>
      </c>
      <c r="GD1" s="187" t="s">
        <v>121</v>
      </c>
      <c r="GE1" s="187" t="s">
        <v>298</v>
      </c>
      <c r="GF1" s="187" t="s">
        <v>299</v>
      </c>
      <c r="GG1" s="187" t="s">
        <v>110</v>
      </c>
      <c r="GH1" s="187" t="s">
        <v>111</v>
      </c>
      <c r="GI1" s="187" t="s">
        <v>118</v>
      </c>
      <c r="GJ1" s="187" t="s">
        <v>119</v>
      </c>
      <c r="GK1" s="187" t="s">
        <v>120</v>
      </c>
      <c r="GL1" s="187" t="s">
        <v>121</v>
      </c>
      <c r="GM1" s="187" t="s">
        <v>298</v>
      </c>
      <c r="GN1" s="187" t="s">
        <v>299</v>
      </c>
      <c r="GO1" s="187" t="s">
        <v>110</v>
      </c>
      <c r="GP1" s="187" t="s">
        <v>111</v>
      </c>
      <c r="GQ1" s="187" t="s">
        <v>118</v>
      </c>
      <c r="GR1" s="187" t="s">
        <v>119</v>
      </c>
      <c r="GS1" s="187" t="s">
        <v>120</v>
      </c>
      <c r="GT1" s="187" t="s">
        <v>121</v>
      </c>
      <c r="GU1" s="187" t="s">
        <v>298</v>
      </c>
      <c r="GV1" s="187" t="s">
        <v>299</v>
      </c>
      <c r="GW1" s="187" t="s">
        <v>110</v>
      </c>
      <c r="GX1" s="187" t="s">
        <v>111</v>
      </c>
      <c r="GY1" s="187" t="s">
        <v>118</v>
      </c>
      <c r="GZ1" s="187" t="s">
        <v>119</v>
      </c>
      <c r="HA1" s="187" t="s">
        <v>120</v>
      </c>
      <c r="HB1" s="187" t="s">
        <v>121</v>
      </c>
      <c r="HC1" s="187" t="s">
        <v>298</v>
      </c>
      <c r="HD1" s="187" t="s">
        <v>299</v>
      </c>
      <c r="HE1" s="187" t="s">
        <v>110</v>
      </c>
      <c r="HF1" s="187" t="s">
        <v>111</v>
      </c>
      <c r="HG1" s="187" t="s">
        <v>118</v>
      </c>
      <c r="HH1" s="187" t="s">
        <v>119</v>
      </c>
      <c r="HI1" s="187" t="s">
        <v>120</v>
      </c>
      <c r="HJ1" s="187" t="s">
        <v>121</v>
      </c>
      <c r="HK1" s="187" t="s">
        <v>298</v>
      </c>
      <c r="HL1" s="187" t="s">
        <v>299</v>
      </c>
      <c r="HM1" s="187" t="s">
        <v>110</v>
      </c>
      <c r="HN1" s="187" t="s">
        <v>111</v>
      </c>
      <c r="HO1" s="187" t="s">
        <v>118</v>
      </c>
      <c r="HP1" s="187" t="s">
        <v>119</v>
      </c>
      <c r="HQ1" s="187" t="s">
        <v>120</v>
      </c>
      <c r="HR1" s="187" t="s">
        <v>121</v>
      </c>
      <c r="HS1" s="187" t="s">
        <v>298</v>
      </c>
      <c r="HT1" s="187" t="s">
        <v>299</v>
      </c>
      <c r="HU1" s="187" t="s">
        <v>110</v>
      </c>
      <c r="HV1" s="187" t="s">
        <v>111</v>
      </c>
      <c r="HW1" s="187" t="s">
        <v>118</v>
      </c>
      <c r="HX1" s="187" t="s">
        <v>119</v>
      </c>
      <c r="HY1" s="187" t="s">
        <v>120</v>
      </c>
      <c r="HZ1" s="187" t="s">
        <v>121</v>
      </c>
      <c r="IA1" s="187" t="s">
        <v>298</v>
      </c>
      <c r="IB1" s="187" t="s">
        <v>299</v>
      </c>
      <c r="IC1" s="187" t="s">
        <v>110</v>
      </c>
      <c r="ID1" s="187" t="s">
        <v>111</v>
      </c>
      <c r="IE1" s="187" t="s">
        <v>118</v>
      </c>
      <c r="IF1" s="187" t="s">
        <v>119</v>
      </c>
      <c r="IG1" s="187" t="s">
        <v>120</v>
      </c>
      <c r="IH1" s="187" t="s">
        <v>121</v>
      </c>
      <c r="II1" s="187" t="s">
        <v>298</v>
      </c>
      <c r="IJ1" s="187" t="s">
        <v>299</v>
      </c>
      <c r="IK1" s="187" t="s">
        <v>110</v>
      </c>
      <c r="IL1" s="187" t="s">
        <v>111</v>
      </c>
      <c r="IM1" s="187" t="s">
        <v>118</v>
      </c>
      <c r="IN1" s="187" t="s">
        <v>119</v>
      </c>
      <c r="IO1" s="187" t="s">
        <v>120</v>
      </c>
      <c r="IP1" s="187" t="s">
        <v>121</v>
      </c>
      <c r="IQ1" s="187" t="s">
        <v>298</v>
      </c>
      <c r="IR1" s="187" t="s">
        <v>299</v>
      </c>
      <c r="IS1" s="187" t="s">
        <v>110</v>
      </c>
      <c r="IT1" s="187" t="s">
        <v>111</v>
      </c>
      <c r="IU1" s="187" t="s">
        <v>118</v>
      </c>
      <c r="IV1" s="187" t="s">
        <v>119</v>
      </c>
      <c r="IW1" s="187" t="s">
        <v>120</v>
      </c>
      <c r="IX1" s="187" t="s">
        <v>121</v>
      </c>
      <c r="IY1" s="187" t="s">
        <v>298</v>
      </c>
      <c r="IZ1" s="187" t="s">
        <v>299</v>
      </c>
      <c r="JA1" s="187" t="s">
        <v>110</v>
      </c>
      <c r="JB1" s="187" t="s">
        <v>111</v>
      </c>
      <c r="JC1" s="187" t="s">
        <v>118</v>
      </c>
      <c r="JD1" s="187" t="s">
        <v>119</v>
      </c>
      <c r="JE1" s="187" t="s">
        <v>120</v>
      </c>
      <c r="JF1" s="187" t="s">
        <v>121</v>
      </c>
      <c r="JG1" s="187" t="s">
        <v>298</v>
      </c>
      <c r="JH1" s="187" t="s">
        <v>299</v>
      </c>
      <c r="JI1" s="187" t="s">
        <v>110</v>
      </c>
      <c r="JJ1" s="187" t="s">
        <v>111</v>
      </c>
      <c r="JK1" s="187" t="s">
        <v>118</v>
      </c>
      <c r="JL1" s="187" t="s">
        <v>119</v>
      </c>
      <c r="JM1" s="187" t="s">
        <v>120</v>
      </c>
      <c r="JN1" s="187" t="s">
        <v>121</v>
      </c>
      <c r="JO1" s="187" t="s">
        <v>298</v>
      </c>
      <c r="JP1" s="187" t="s">
        <v>299</v>
      </c>
      <c r="JQ1" s="187" t="s">
        <v>110</v>
      </c>
      <c r="JR1" s="187" t="s">
        <v>111</v>
      </c>
      <c r="JS1" s="187" t="s">
        <v>118</v>
      </c>
      <c r="JT1" s="187" t="s">
        <v>119</v>
      </c>
      <c r="JU1" s="187" t="s">
        <v>120</v>
      </c>
      <c r="JV1" s="187" t="s">
        <v>121</v>
      </c>
      <c r="JW1" s="187" t="s">
        <v>298</v>
      </c>
      <c r="JX1" s="187" t="s">
        <v>299</v>
      </c>
      <c r="JY1" s="187" t="s">
        <v>110</v>
      </c>
      <c r="JZ1" s="187" t="s">
        <v>111</v>
      </c>
      <c r="KA1" s="187" t="s">
        <v>118</v>
      </c>
      <c r="KB1" s="187" t="s">
        <v>119</v>
      </c>
      <c r="KC1" s="187" t="s">
        <v>120</v>
      </c>
      <c r="KD1" s="187" t="s">
        <v>121</v>
      </c>
      <c r="KE1" s="187" t="s">
        <v>298</v>
      </c>
      <c r="KF1" s="187" t="s">
        <v>299</v>
      </c>
      <c r="KG1" s="187" t="s">
        <v>110</v>
      </c>
      <c r="KH1" s="187" t="s">
        <v>111</v>
      </c>
      <c r="KI1" s="187" t="s">
        <v>118</v>
      </c>
      <c r="KJ1" s="187" t="s">
        <v>119</v>
      </c>
      <c r="KK1" s="187" t="s">
        <v>120</v>
      </c>
      <c r="KL1" s="187" t="s">
        <v>121</v>
      </c>
      <c r="KM1" s="187" t="s">
        <v>298</v>
      </c>
      <c r="KN1" s="187" t="s">
        <v>299</v>
      </c>
      <c r="KO1" s="187" t="s">
        <v>110</v>
      </c>
      <c r="KP1" s="187" t="s">
        <v>111</v>
      </c>
      <c r="KQ1" s="187" t="s">
        <v>118</v>
      </c>
      <c r="KR1" s="187" t="s">
        <v>119</v>
      </c>
      <c r="KS1" s="187" t="s">
        <v>120</v>
      </c>
      <c r="KT1" s="187" t="s">
        <v>121</v>
      </c>
      <c r="KU1" s="187" t="s">
        <v>298</v>
      </c>
      <c r="KV1" s="187" t="s">
        <v>299</v>
      </c>
      <c r="KW1" s="187" t="s">
        <v>110</v>
      </c>
      <c r="KX1" s="187" t="s">
        <v>111</v>
      </c>
      <c r="KY1" s="187" t="s">
        <v>118</v>
      </c>
      <c r="KZ1" s="187" t="s">
        <v>119</v>
      </c>
      <c r="LA1" s="187" t="s">
        <v>120</v>
      </c>
      <c r="LB1" s="187" t="s">
        <v>121</v>
      </c>
      <c r="LC1" s="187" t="s">
        <v>298</v>
      </c>
      <c r="LD1" s="187" t="s">
        <v>299</v>
      </c>
      <c r="LE1" s="187" t="s">
        <v>110</v>
      </c>
      <c r="LF1" s="187" t="s">
        <v>111</v>
      </c>
      <c r="LG1" s="187" t="s">
        <v>118</v>
      </c>
      <c r="LH1" s="187" t="s">
        <v>119</v>
      </c>
      <c r="LI1" s="187" t="s">
        <v>120</v>
      </c>
      <c r="LJ1" s="187" t="s">
        <v>121</v>
      </c>
      <c r="LK1" s="187" t="s">
        <v>298</v>
      </c>
      <c r="LL1" s="187" t="s">
        <v>299</v>
      </c>
      <c r="LM1" s="187" t="s">
        <v>110</v>
      </c>
      <c r="LN1" s="187" t="s">
        <v>111</v>
      </c>
      <c r="LO1" s="187" t="s">
        <v>118</v>
      </c>
      <c r="LP1" s="187" t="s">
        <v>119</v>
      </c>
      <c r="LQ1" s="187" t="s">
        <v>120</v>
      </c>
      <c r="LR1" s="187" t="s">
        <v>121</v>
      </c>
      <c r="LS1" s="187" t="s">
        <v>298</v>
      </c>
      <c r="LT1" s="187" t="s">
        <v>299</v>
      </c>
      <c r="LU1" s="187" t="s">
        <v>110</v>
      </c>
      <c r="LV1" s="187" t="s">
        <v>111</v>
      </c>
      <c r="LW1" s="187" t="s">
        <v>118</v>
      </c>
      <c r="LX1" s="187" t="s">
        <v>119</v>
      </c>
      <c r="LY1" s="187" t="s">
        <v>120</v>
      </c>
      <c r="LZ1" s="187" t="s">
        <v>121</v>
      </c>
      <c r="MA1" s="187" t="s">
        <v>298</v>
      </c>
      <c r="MB1" s="187" t="s">
        <v>299</v>
      </c>
      <c r="MC1" s="187" t="s">
        <v>110</v>
      </c>
      <c r="MD1" s="187" t="s">
        <v>111</v>
      </c>
      <c r="ME1" s="187" t="s">
        <v>118</v>
      </c>
      <c r="MF1" s="187" t="s">
        <v>119</v>
      </c>
      <c r="MG1" s="187" t="s">
        <v>120</v>
      </c>
      <c r="MH1" s="187" t="s">
        <v>121</v>
      </c>
      <c r="MI1" s="187" t="s">
        <v>298</v>
      </c>
      <c r="MJ1" s="187" t="s">
        <v>299</v>
      </c>
      <c r="MK1" s="187" t="s">
        <v>110</v>
      </c>
      <c r="ML1" s="187" t="s">
        <v>111</v>
      </c>
      <c r="MM1" s="187" t="s">
        <v>118</v>
      </c>
      <c r="MN1" s="187" t="s">
        <v>119</v>
      </c>
      <c r="MO1" s="187" t="s">
        <v>120</v>
      </c>
      <c r="MP1" s="187" t="s">
        <v>121</v>
      </c>
      <c r="MQ1" s="187" t="s">
        <v>298</v>
      </c>
      <c r="MR1" s="187" t="s">
        <v>299</v>
      </c>
      <c r="MS1" s="187" t="s">
        <v>110</v>
      </c>
      <c r="MT1" s="187" t="s">
        <v>111</v>
      </c>
      <c r="MU1" s="187" t="s">
        <v>118</v>
      </c>
      <c r="MV1" s="187" t="s">
        <v>119</v>
      </c>
      <c r="MW1" s="187" t="s">
        <v>120</v>
      </c>
      <c r="MX1" s="187" t="s">
        <v>121</v>
      </c>
      <c r="MY1" s="187" t="s">
        <v>298</v>
      </c>
      <c r="MZ1" s="187" t="s">
        <v>299</v>
      </c>
      <c r="NA1" s="187" t="s">
        <v>110</v>
      </c>
      <c r="NB1" s="187" t="s">
        <v>111</v>
      </c>
      <c r="NC1" s="187" t="s">
        <v>118</v>
      </c>
      <c r="ND1" s="187" t="s">
        <v>119</v>
      </c>
      <c r="NE1" s="187" t="s">
        <v>120</v>
      </c>
      <c r="NF1" s="187" t="s">
        <v>121</v>
      </c>
      <c r="NG1" s="187" t="s">
        <v>298</v>
      </c>
      <c r="NH1" s="187" t="s">
        <v>299</v>
      </c>
      <c r="NI1" s="187" t="s">
        <v>124</v>
      </c>
      <c r="NJ1" s="187" t="s">
        <v>125</v>
      </c>
      <c r="NK1" s="187" t="s">
        <v>126</v>
      </c>
      <c r="NL1" s="187" t="s">
        <v>244</v>
      </c>
      <c r="NM1" s="187" t="s">
        <v>245</v>
      </c>
      <c r="NN1" s="187" t="s">
        <v>246</v>
      </c>
      <c r="NO1" s="187" t="s">
        <v>247</v>
      </c>
      <c r="NP1" s="187" t="s">
        <v>248</v>
      </c>
    </row>
    <row r="2" spans="1:380" customFormat="1" x14ac:dyDescent="0.2">
      <c r="A2" t="s">
        <v>517</v>
      </c>
      <c r="B2">
        <v>1</v>
      </c>
      <c r="C2" s="409" t="s">
        <v>966</v>
      </c>
      <c r="D2">
        <v>646950346</v>
      </c>
      <c r="E2">
        <v>12602</v>
      </c>
      <c r="F2" t="s">
        <v>967</v>
      </c>
      <c r="G2">
        <v>802069</v>
      </c>
      <c r="H2">
        <v>886901</v>
      </c>
      <c r="I2" t="s">
        <v>622</v>
      </c>
      <c r="J2" t="s">
        <v>968</v>
      </c>
      <c r="K2" t="s">
        <v>545</v>
      </c>
      <c r="L2" t="s">
        <v>518</v>
      </c>
      <c r="M2" t="s">
        <v>546</v>
      </c>
      <c r="N2" t="s">
        <v>468</v>
      </c>
      <c r="O2" t="s">
        <v>547</v>
      </c>
      <c r="P2" t="s">
        <v>264</v>
      </c>
      <c r="Q2">
        <v>27.1</v>
      </c>
      <c r="R2">
        <v>201</v>
      </c>
      <c r="S2" t="s">
        <v>264</v>
      </c>
      <c r="T2">
        <v>-9999</v>
      </c>
      <c r="U2">
        <v>596</v>
      </c>
      <c r="V2">
        <v>614</v>
      </c>
      <c r="W2">
        <v>587</v>
      </c>
      <c r="X2" t="s">
        <v>270</v>
      </c>
      <c r="Y2">
        <v>0</v>
      </c>
      <c r="Z2">
        <v>55</v>
      </c>
      <c r="AA2" t="s">
        <v>469</v>
      </c>
      <c r="AB2" t="s">
        <v>548</v>
      </c>
      <c r="AC2">
        <v>1</v>
      </c>
      <c r="AD2" t="s">
        <v>584</v>
      </c>
      <c r="AE2">
        <v>29.5</v>
      </c>
      <c r="AF2">
        <v>762</v>
      </c>
      <c r="AG2" t="s">
        <v>264</v>
      </c>
      <c r="AH2">
        <v>-9999</v>
      </c>
      <c r="AI2">
        <v>443</v>
      </c>
      <c r="AJ2">
        <v>556</v>
      </c>
      <c r="AK2">
        <v>441</v>
      </c>
      <c r="AL2" t="s">
        <v>270</v>
      </c>
      <c r="AM2">
        <v>0</v>
      </c>
      <c r="AN2">
        <v>55</v>
      </c>
      <c r="AO2" t="s">
        <v>470</v>
      </c>
      <c r="AP2" t="s">
        <v>548</v>
      </c>
      <c r="AQ2">
        <v>2</v>
      </c>
      <c r="AR2" t="s">
        <v>549</v>
      </c>
      <c r="AS2">
        <v>45</v>
      </c>
      <c r="AT2">
        <v>74</v>
      </c>
      <c r="AU2" t="s">
        <v>264</v>
      </c>
      <c r="AV2">
        <v>-9999</v>
      </c>
      <c r="AW2">
        <v>410</v>
      </c>
      <c r="AX2">
        <v>433</v>
      </c>
      <c r="AY2">
        <v>409</v>
      </c>
      <c r="AZ2" t="s">
        <v>270</v>
      </c>
      <c r="BA2">
        <v>0</v>
      </c>
      <c r="BB2">
        <v>55</v>
      </c>
      <c r="BC2" t="s">
        <v>550</v>
      </c>
      <c r="BD2" t="s">
        <v>548</v>
      </c>
      <c r="BE2">
        <v>3</v>
      </c>
      <c r="BF2" t="s">
        <v>584</v>
      </c>
      <c r="BG2">
        <v>24</v>
      </c>
      <c r="BH2">
        <v>684</v>
      </c>
      <c r="BI2" t="s">
        <v>264</v>
      </c>
      <c r="BJ2">
        <v>-9999</v>
      </c>
      <c r="BK2">
        <v>261</v>
      </c>
      <c r="BL2">
        <v>319</v>
      </c>
      <c r="BM2">
        <v>261</v>
      </c>
      <c r="BN2" t="s">
        <v>270</v>
      </c>
      <c r="BO2">
        <v>0</v>
      </c>
      <c r="BP2">
        <v>55</v>
      </c>
      <c r="BQ2" t="s">
        <v>504</v>
      </c>
      <c r="BR2" t="s">
        <v>548</v>
      </c>
      <c r="BS2">
        <v>4</v>
      </c>
      <c r="BT2" t="s">
        <v>584</v>
      </c>
      <c r="BU2">
        <v>32.200000000000003</v>
      </c>
      <c r="BV2">
        <v>265</v>
      </c>
      <c r="BW2" t="s">
        <v>264</v>
      </c>
      <c r="BX2">
        <v>-9999</v>
      </c>
      <c r="BY2">
        <v>208</v>
      </c>
      <c r="BZ2">
        <v>241</v>
      </c>
      <c r="CA2">
        <v>206</v>
      </c>
      <c r="CB2" t="s">
        <v>270</v>
      </c>
      <c r="CC2">
        <v>0</v>
      </c>
      <c r="CD2">
        <v>55</v>
      </c>
      <c r="CE2" t="s">
        <v>471</v>
      </c>
      <c r="CF2" t="s">
        <v>548</v>
      </c>
      <c r="CG2">
        <v>5</v>
      </c>
      <c r="CH2" t="s">
        <v>584</v>
      </c>
      <c r="CI2">
        <v>40</v>
      </c>
      <c r="CJ2">
        <v>135</v>
      </c>
      <c r="CK2" t="s">
        <v>264</v>
      </c>
      <c r="CL2">
        <v>-9999</v>
      </c>
      <c r="CM2">
        <v>494</v>
      </c>
      <c r="CN2">
        <v>578</v>
      </c>
      <c r="CO2">
        <v>493</v>
      </c>
      <c r="CP2" t="s">
        <v>270</v>
      </c>
      <c r="CQ2">
        <v>0</v>
      </c>
      <c r="CR2">
        <v>55</v>
      </c>
      <c r="CS2" t="s">
        <v>472</v>
      </c>
      <c r="CT2" t="s">
        <v>548</v>
      </c>
      <c r="CU2">
        <v>6</v>
      </c>
      <c r="CV2" t="s">
        <v>584</v>
      </c>
      <c r="CW2">
        <v>34</v>
      </c>
      <c r="CX2">
        <v>332</v>
      </c>
      <c r="CY2" t="s">
        <v>264</v>
      </c>
      <c r="CZ2">
        <v>-9999</v>
      </c>
      <c r="DA2">
        <v>674</v>
      </c>
      <c r="DB2">
        <v>767</v>
      </c>
      <c r="DC2">
        <v>665</v>
      </c>
      <c r="DD2" t="s">
        <v>270</v>
      </c>
      <c r="DE2">
        <v>0</v>
      </c>
      <c r="DF2">
        <v>55</v>
      </c>
      <c r="DG2" t="s">
        <v>473</v>
      </c>
      <c r="DH2" t="s">
        <v>548</v>
      </c>
      <c r="DI2">
        <v>7</v>
      </c>
      <c r="DJ2" t="s">
        <v>549</v>
      </c>
      <c r="DK2">
        <v>52.6</v>
      </c>
      <c r="DL2">
        <v>55</v>
      </c>
      <c r="DM2" t="s">
        <v>264</v>
      </c>
      <c r="DN2">
        <v>-9999</v>
      </c>
      <c r="DO2">
        <v>536</v>
      </c>
      <c r="DP2">
        <v>610</v>
      </c>
      <c r="DQ2">
        <v>532</v>
      </c>
      <c r="DR2" t="s">
        <v>270</v>
      </c>
      <c r="DS2">
        <v>0</v>
      </c>
      <c r="DT2">
        <v>55</v>
      </c>
      <c r="DU2" t="s">
        <v>474</v>
      </c>
      <c r="DV2" t="s">
        <v>548</v>
      </c>
      <c r="DW2">
        <v>8</v>
      </c>
      <c r="DX2" t="s">
        <v>584</v>
      </c>
      <c r="DY2">
        <v>24.1</v>
      </c>
      <c r="DZ2">
        <v>225</v>
      </c>
      <c r="EA2" t="s">
        <v>264</v>
      </c>
      <c r="EB2">
        <v>-9999</v>
      </c>
      <c r="EC2">
        <v>122</v>
      </c>
      <c r="ED2">
        <v>150</v>
      </c>
      <c r="EE2">
        <v>121</v>
      </c>
      <c r="EF2" t="s">
        <v>270</v>
      </c>
      <c r="EG2">
        <v>0</v>
      </c>
      <c r="EH2">
        <v>55</v>
      </c>
      <c r="EI2" t="s">
        <v>475</v>
      </c>
      <c r="EJ2" t="s">
        <v>548</v>
      </c>
      <c r="EK2">
        <v>9</v>
      </c>
      <c r="EL2" t="s">
        <v>584</v>
      </c>
      <c r="EM2">
        <v>25</v>
      </c>
      <c r="EN2">
        <v>316</v>
      </c>
      <c r="EO2" t="s">
        <v>264</v>
      </c>
      <c r="EP2">
        <v>-9999</v>
      </c>
      <c r="EQ2">
        <v>339</v>
      </c>
      <c r="ER2">
        <v>325</v>
      </c>
      <c r="ES2">
        <v>305</v>
      </c>
      <c r="ET2" t="s">
        <v>270</v>
      </c>
      <c r="EU2">
        <v>0</v>
      </c>
      <c r="EV2">
        <v>55</v>
      </c>
      <c r="EW2" t="s">
        <v>551</v>
      </c>
      <c r="EX2" t="s">
        <v>552</v>
      </c>
      <c r="EY2">
        <v>169</v>
      </c>
      <c r="EZ2">
        <v>171</v>
      </c>
      <c r="FA2">
        <v>172</v>
      </c>
      <c r="FB2" t="s">
        <v>270</v>
      </c>
      <c r="FC2" t="s">
        <v>553</v>
      </c>
      <c r="FD2" t="s">
        <v>552</v>
      </c>
      <c r="FE2">
        <v>253</v>
      </c>
      <c r="FF2">
        <v>253</v>
      </c>
      <c r="FG2">
        <v>252</v>
      </c>
      <c r="FH2" t="s">
        <v>270</v>
      </c>
      <c r="FI2" t="s">
        <v>554</v>
      </c>
      <c r="FJ2" t="s">
        <v>555</v>
      </c>
      <c r="FK2">
        <v>0</v>
      </c>
      <c r="FL2">
        <v>0</v>
      </c>
      <c r="FM2">
        <v>0</v>
      </c>
      <c r="FN2" t="s">
        <v>264</v>
      </c>
      <c r="FQ2" t="s">
        <v>556</v>
      </c>
      <c r="FR2" t="s">
        <v>555</v>
      </c>
      <c r="FS2">
        <v>0</v>
      </c>
      <c r="FT2">
        <v>0</v>
      </c>
      <c r="FU2">
        <v>0</v>
      </c>
      <c r="FV2" t="s">
        <v>264</v>
      </c>
      <c r="FY2" t="s">
        <v>557</v>
      </c>
      <c r="FZ2" t="s">
        <v>555</v>
      </c>
      <c r="GA2">
        <v>0</v>
      </c>
      <c r="GB2">
        <v>0</v>
      </c>
      <c r="GC2">
        <v>0</v>
      </c>
      <c r="GD2" t="s">
        <v>264</v>
      </c>
      <c r="GG2" t="s">
        <v>558</v>
      </c>
      <c r="GH2" t="s">
        <v>555</v>
      </c>
      <c r="GI2">
        <v>0</v>
      </c>
      <c r="GJ2">
        <v>0</v>
      </c>
      <c r="GK2">
        <v>0</v>
      </c>
      <c r="GL2" t="s">
        <v>264</v>
      </c>
      <c r="GO2" t="s">
        <v>559</v>
      </c>
      <c r="GP2" t="s">
        <v>555</v>
      </c>
      <c r="GQ2">
        <v>0</v>
      </c>
      <c r="GR2">
        <v>0</v>
      </c>
      <c r="GS2">
        <v>0</v>
      </c>
      <c r="GT2" t="s">
        <v>264</v>
      </c>
      <c r="GU2">
        <v>75.7</v>
      </c>
      <c r="GV2">
        <v>61.2</v>
      </c>
      <c r="GW2" t="s">
        <v>560</v>
      </c>
      <c r="GX2" t="s">
        <v>555</v>
      </c>
      <c r="GY2">
        <v>0</v>
      </c>
      <c r="GZ2">
        <v>0</v>
      </c>
      <c r="HA2">
        <v>0</v>
      </c>
      <c r="HB2" t="s">
        <v>264</v>
      </c>
      <c r="HC2">
        <v>69.400000000000006</v>
      </c>
      <c r="HD2">
        <v>35.1</v>
      </c>
      <c r="HE2" t="s">
        <v>561</v>
      </c>
      <c r="HF2" t="s">
        <v>555</v>
      </c>
      <c r="HG2">
        <v>0</v>
      </c>
      <c r="HH2">
        <v>0</v>
      </c>
      <c r="HI2">
        <v>0</v>
      </c>
      <c r="HJ2" t="s">
        <v>264</v>
      </c>
      <c r="HM2" t="s">
        <v>562</v>
      </c>
      <c r="HN2" t="s">
        <v>555</v>
      </c>
      <c r="HO2">
        <v>0</v>
      </c>
      <c r="HP2">
        <v>0</v>
      </c>
      <c r="HQ2">
        <v>0</v>
      </c>
      <c r="HR2" t="s">
        <v>264</v>
      </c>
      <c r="HU2" t="s">
        <v>563</v>
      </c>
      <c r="HV2" t="s">
        <v>555</v>
      </c>
      <c r="HW2">
        <v>0</v>
      </c>
      <c r="HX2">
        <v>0</v>
      </c>
      <c r="HY2">
        <v>0</v>
      </c>
      <c r="HZ2" t="s">
        <v>264</v>
      </c>
      <c r="IC2" t="s">
        <v>564</v>
      </c>
      <c r="ID2" t="s">
        <v>555</v>
      </c>
      <c r="IE2">
        <v>0</v>
      </c>
      <c r="IF2">
        <v>0</v>
      </c>
      <c r="IG2">
        <v>0</v>
      </c>
      <c r="IH2" t="s">
        <v>264</v>
      </c>
      <c r="IK2" t="s">
        <v>565</v>
      </c>
      <c r="IL2" t="s">
        <v>555</v>
      </c>
      <c r="IM2">
        <v>0</v>
      </c>
      <c r="IN2">
        <v>0</v>
      </c>
      <c r="IO2">
        <v>0</v>
      </c>
      <c r="IP2" t="s">
        <v>264</v>
      </c>
      <c r="IQ2">
        <v>70.5</v>
      </c>
      <c r="IR2">
        <v>284.89999999999998</v>
      </c>
      <c r="IS2" t="s">
        <v>566</v>
      </c>
      <c r="IT2" t="s">
        <v>555</v>
      </c>
      <c r="IU2">
        <v>0</v>
      </c>
      <c r="IV2">
        <v>0</v>
      </c>
      <c r="IW2">
        <v>0</v>
      </c>
      <c r="IX2" t="s">
        <v>264</v>
      </c>
      <c r="IY2">
        <v>67.8</v>
      </c>
      <c r="IZ2">
        <v>133.4</v>
      </c>
      <c r="JA2" t="s">
        <v>567</v>
      </c>
      <c r="JB2" t="s">
        <v>555</v>
      </c>
      <c r="JC2">
        <v>0</v>
      </c>
      <c r="JD2">
        <v>0</v>
      </c>
      <c r="JE2">
        <v>0</v>
      </c>
      <c r="JF2" t="s">
        <v>264</v>
      </c>
      <c r="JG2">
        <v>75.599999999999994</v>
      </c>
      <c r="JH2">
        <v>173.4</v>
      </c>
      <c r="JI2" t="s">
        <v>568</v>
      </c>
      <c r="JJ2" t="s">
        <v>555</v>
      </c>
      <c r="JK2">
        <v>0</v>
      </c>
      <c r="JL2">
        <v>0</v>
      </c>
      <c r="JM2">
        <v>0</v>
      </c>
      <c r="JN2" t="s">
        <v>264</v>
      </c>
      <c r="JO2">
        <v>65.599999999999994</v>
      </c>
      <c r="JP2">
        <v>60.6</v>
      </c>
      <c r="JQ2" t="s">
        <v>569</v>
      </c>
      <c r="JR2" t="s">
        <v>555</v>
      </c>
      <c r="JS2">
        <v>0</v>
      </c>
      <c r="JT2">
        <v>0</v>
      </c>
      <c r="JU2">
        <v>0</v>
      </c>
      <c r="JV2" t="s">
        <v>264</v>
      </c>
      <c r="JY2" t="s">
        <v>570</v>
      </c>
      <c r="JZ2" t="s">
        <v>555</v>
      </c>
      <c r="KA2">
        <v>0</v>
      </c>
      <c r="KB2">
        <v>0</v>
      </c>
      <c r="KC2">
        <v>0</v>
      </c>
      <c r="KD2" t="s">
        <v>264</v>
      </c>
      <c r="KG2" t="s">
        <v>571</v>
      </c>
      <c r="KH2" t="s">
        <v>555</v>
      </c>
      <c r="KI2">
        <v>0</v>
      </c>
      <c r="KJ2">
        <v>0</v>
      </c>
      <c r="KK2">
        <v>0</v>
      </c>
      <c r="KL2" t="s">
        <v>264</v>
      </c>
      <c r="KO2" t="s">
        <v>572</v>
      </c>
      <c r="KP2" t="s">
        <v>555</v>
      </c>
      <c r="KQ2">
        <v>0</v>
      </c>
      <c r="KR2">
        <v>0</v>
      </c>
      <c r="KS2">
        <v>0</v>
      </c>
      <c r="KT2" t="s">
        <v>264</v>
      </c>
      <c r="KW2" t="s">
        <v>573</v>
      </c>
      <c r="KX2" t="s">
        <v>555</v>
      </c>
      <c r="KY2">
        <v>0</v>
      </c>
      <c r="KZ2">
        <v>0</v>
      </c>
      <c r="LA2">
        <v>0</v>
      </c>
      <c r="LB2" t="s">
        <v>264</v>
      </c>
      <c r="LE2" t="s">
        <v>574</v>
      </c>
      <c r="LF2" t="s">
        <v>555</v>
      </c>
      <c r="LG2">
        <v>0</v>
      </c>
      <c r="LH2">
        <v>0</v>
      </c>
      <c r="LI2">
        <v>0</v>
      </c>
      <c r="LJ2" t="s">
        <v>264</v>
      </c>
      <c r="LM2" t="s">
        <v>575</v>
      </c>
      <c r="LN2" t="s">
        <v>555</v>
      </c>
      <c r="LO2">
        <v>0</v>
      </c>
      <c r="LP2">
        <v>0</v>
      </c>
      <c r="LQ2">
        <v>0</v>
      </c>
      <c r="LR2" t="s">
        <v>264</v>
      </c>
      <c r="LS2">
        <v>75.599999999999994</v>
      </c>
      <c r="LT2">
        <v>116.1</v>
      </c>
      <c r="LU2" t="s">
        <v>576</v>
      </c>
      <c r="LV2" t="s">
        <v>555</v>
      </c>
      <c r="LW2">
        <v>0</v>
      </c>
      <c r="LX2">
        <v>0</v>
      </c>
      <c r="LY2">
        <v>0</v>
      </c>
      <c r="LZ2" t="s">
        <v>264</v>
      </c>
      <c r="MC2" t="s">
        <v>577</v>
      </c>
      <c r="MD2" t="s">
        <v>555</v>
      </c>
      <c r="ME2">
        <v>0</v>
      </c>
      <c r="MF2">
        <v>0</v>
      </c>
      <c r="MG2">
        <v>0</v>
      </c>
      <c r="MH2" t="s">
        <v>264</v>
      </c>
      <c r="MI2">
        <v>65.400000000000006</v>
      </c>
      <c r="MJ2">
        <v>98.5</v>
      </c>
      <c r="MK2" t="s">
        <v>578</v>
      </c>
      <c r="ML2" t="s">
        <v>555</v>
      </c>
      <c r="MM2">
        <v>0</v>
      </c>
      <c r="MN2">
        <v>0</v>
      </c>
      <c r="MO2">
        <v>0</v>
      </c>
      <c r="MP2" t="s">
        <v>264</v>
      </c>
      <c r="MS2" t="s">
        <v>579</v>
      </c>
      <c r="MT2" t="s">
        <v>555</v>
      </c>
      <c r="MU2">
        <v>0</v>
      </c>
      <c r="MV2">
        <v>0</v>
      </c>
      <c r="MW2">
        <v>0</v>
      </c>
      <c r="MX2" t="s">
        <v>264</v>
      </c>
      <c r="MY2">
        <v>71.099999999999994</v>
      </c>
      <c r="MZ2">
        <v>156.80000000000001</v>
      </c>
      <c r="NA2" t="s">
        <v>580</v>
      </c>
      <c r="NB2" t="s">
        <v>555</v>
      </c>
      <c r="NC2">
        <v>0</v>
      </c>
      <c r="ND2">
        <v>0</v>
      </c>
      <c r="NE2">
        <v>0</v>
      </c>
      <c r="NF2" t="s">
        <v>264</v>
      </c>
      <c r="NI2">
        <v>40.1</v>
      </c>
      <c r="NJ2">
        <v>-10.9</v>
      </c>
      <c r="NP2" t="s">
        <v>624</v>
      </c>
    </row>
    <row r="3" spans="1:380" customFormat="1" x14ac:dyDescent="0.2">
      <c r="A3" t="s">
        <v>517</v>
      </c>
      <c r="B3">
        <v>1</v>
      </c>
      <c r="C3" s="409" t="s">
        <v>969</v>
      </c>
      <c r="D3">
        <v>646950303</v>
      </c>
      <c r="E3">
        <v>12602</v>
      </c>
      <c r="F3" t="s">
        <v>967</v>
      </c>
      <c r="G3">
        <v>802069</v>
      </c>
      <c r="H3">
        <v>210076211</v>
      </c>
      <c r="I3" t="s">
        <v>622</v>
      </c>
      <c r="J3" t="s">
        <v>970</v>
      </c>
      <c r="K3" t="s">
        <v>545</v>
      </c>
      <c r="L3" t="s">
        <v>447</v>
      </c>
      <c r="M3" t="s">
        <v>546</v>
      </c>
      <c r="N3" t="s">
        <v>468</v>
      </c>
      <c r="O3" t="s">
        <v>547</v>
      </c>
      <c r="P3" t="s">
        <v>264</v>
      </c>
      <c r="Q3">
        <v>28.2</v>
      </c>
      <c r="R3">
        <v>230</v>
      </c>
      <c r="S3" t="s">
        <v>264</v>
      </c>
      <c r="T3">
        <v>-9999</v>
      </c>
      <c r="U3">
        <v>599</v>
      </c>
      <c r="V3">
        <v>619</v>
      </c>
      <c r="W3">
        <v>590</v>
      </c>
      <c r="X3" t="s">
        <v>270</v>
      </c>
      <c r="Y3">
        <v>0</v>
      </c>
      <c r="Z3">
        <v>55</v>
      </c>
      <c r="AA3" t="s">
        <v>469</v>
      </c>
      <c r="AB3" t="s">
        <v>548</v>
      </c>
      <c r="AC3">
        <v>1</v>
      </c>
      <c r="AD3" t="s">
        <v>584</v>
      </c>
      <c r="AE3">
        <v>28.7</v>
      </c>
      <c r="AF3">
        <v>881</v>
      </c>
      <c r="AG3" t="s">
        <v>264</v>
      </c>
      <c r="AH3">
        <v>-9999</v>
      </c>
      <c r="AI3">
        <v>371</v>
      </c>
      <c r="AJ3">
        <v>472</v>
      </c>
      <c r="AK3">
        <v>376</v>
      </c>
      <c r="AL3" t="s">
        <v>270</v>
      </c>
      <c r="AM3">
        <v>0</v>
      </c>
      <c r="AN3">
        <v>55</v>
      </c>
      <c r="AO3" t="s">
        <v>470</v>
      </c>
      <c r="AP3" t="s">
        <v>548</v>
      </c>
      <c r="AQ3">
        <v>2</v>
      </c>
      <c r="AR3" t="s">
        <v>549</v>
      </c>
      <c r="AS3">
        <v>44</v>
      </c>
      <c r="AT3">
        <v>73</v>
      </c>
      <c r="AU3" t="s">
        <v>264</v>
      </c>
      <c r="AV3">
        <v>-9999</v>
      </c>
      <c r="AW3">
        <v>377</v>
      </c>
      <c r="AX3">
        <v>397</v>
      </c>
      <c r="AY3">
        <v>377</v>
      </c>
      <c r="AZ3" t="s">
        <v>270</v>
      </c>
      <c r="BA3">
        <v>0</v>
      </c>
      <c r="BB3">
        <v>55</v>
      </c>
      <c r="BC3" t="s">
        <v>550</v>
      </c>
      <c r="BD3" t="s">
        <v>548</v>
      </c>
      <c r="BE3">
        <v>3</v>
      </c>
      <c r="BF3" t="s">
        <v>584</v>
      </c>
      <c r="BG3">
        <v>24.4</v>
      </c>
      <c r="BH3">
        <v>645</v>
      </c>
      <c r="BI3" t="s">
        <v>264</v>
      </c>
      <c r="BJ3">
        <v>-9999</v>
      </c>
      <c r="BK3">
        <v>284</v>
      </c>
      <c r="BL3">
        <v>337</v>
      </c>
      <c r="BM3">
        <v>276</v>
      </c>
      <c r="BN3" t="s">
        <v>270</v>
      </c>
      <c r="BO3">
        <v>0</v>
      </c>
      <c r="BP3">
        <v>55</v>
      </c>
      <c r="BQ3" t="s">
        <v>504</v>
      </c>
      <c r="BR3" t="s">
        <v>548</v>
      </c>
      <c r="BS3">
        <v>4</v>
      </c>
      <c r="BT3" t="s">
        <v>584</v>
      </c>
      <c r="BU3">
        <v>32</v>
      </c>
      <c r="BV3">
        <v>271</v>
      </c>
      <c r="BW3" t="s">
        <v>264</v>
      </c>
      <c r="BX3">
        <v>-9999</v>
      </c>
      <c r="BY3">
        <v>207</v>
      </c>
      <c r="BZ3">
        <v>239</v>
      </c>
      <c r="CA3">
        <v>205</v>
      </c>
      <c r="CB3" t="s">
        <v>270</v>
      </c>
      <c r="CC3">
        <v>0</v>
      </c>
      <c r="CD3">
        <v>55</v>
      </c>
      <c r="CE3" t="s">
        <v>471</v>
      </c>
      <c r="CF3" t="s">
        <v>548</v>
      </c>
      <c r="CG3">
        <v>5</v>
      </c>
      <c r="CH3" t="s">
        <v>549</v>
      </c>
      <c r="CI3">
        <v>42.2</v>
      </c>
      <c r="CJ3">
        <v>127</v>
      </c>
      <c r="CK3" t="s">
        <v>264</v>
      </c>
      <c r="CL3">
        <v>-9999</v>
      </c>
      <c r="CM3">
        <v>424</v>
      </c>
      <c r="CN3">
        <v>494</v>
      </c>
      <c r="CO3">
        <v>422</v>
      </c>
      <c r="CP3" t="s">
        <v>270</v>
      </c>
      <c r="CQ3">
        <v>0</v>
      </c>
      <c r="CR3">
        <v>55</v>
      </c>
      <c r="CS3" t="s">
        <v>472</v>
      </c>
      <c r="CT3" t="s">
        <v>548</v>
      </c>
      <c r="CU3">
        <v>6</v>
      </c>
      <c r="CV3" t="s">
        <v>584</v>
      </c>
      <c r="CW3">
        <v>33.9</v>
      </c>
      <c r="CX3">
        <v>369</v>
      </c>
      <c r="CY3" t="s">
        <v>264</v>
      </c>
      <c r="CZ3">
        <v>-9999</v>
      </c>
      <c r="DA3">
        <v>646</v>
      </c>
      <c r="DB3">
        <v>734</v>
      </c>
      <c r="DC3">
        <v>636</v>
      </c>
      <c r="DD3" t="s">
        <v>270</v>
      </c>
      <c r="DE3">
        <v>0</v>
      </c>
      <c r="DF3">
        <v>55</v>
      </c>
      <c r="DG3" t="s">
        <v>473</v>
      </c>
      <c r="DH3" t="s">
        <v>548</v>
      </c>
      <c r="DI3">
        <v>7</v>
      </c>
      <c r="DJ3" t="s">
        <v>549</v>
      </c>
      <c r="DK3">
        <v>54.5</v>
      </c>
      <c r="DL3">
        <v>51</v>
      </c>
      <c r="DM3" t="s">
        <v>264</v>
      </c>
      <c r="DN3">
        <v>-9999</v>
      </c>
      <c r="DO3">
        <v>475</v>
      </c>
      <c r="DP3">
        <v>544</v>
      </c>
      <c r="DQ3">
        <v>474</v>
      </c>
      <c r="DR3" t="s">
        <v>270</v>
      </c>
      <c r="DS3">
        <v>0</v>
      </c>
      <c r="DT3">
        <v>55</v>
      </c>
      <c r="DU3" t="s">
        <v>474</v>
      </c>
      <c r="DV3" t="s">
        <v>548</v>
      </c>
      <c r="DW3">
        <v>8</v>
      </c>
      <c r="DX3" t="s">
        <v>584</v>
      </c>
      <c r="DY3">
        <v>24.7</v>
      </c>
      <c r="DZ3">
        <v>218</v>
      </c>
      <c r="EA3" t="s">
        <v>264</v>
      </c>
      <c r="EB3">
        <v>-9999</v>
      </c>
      <c r="EC3">
        <v>132</v>
      </c>
      <c r="ED3">
        <v>160</v>
      </c>
      <c r="EE3">
        <v>131</v>
      </c>
      <c r="EF3" t="s">
        <v>270</v>
      </c>
      <c r="EG3">
        <v>0</v>
      </c>
      <c r="EH3">
        <v>55</v>
      </c>
      <c r="EI3" t="s">
        <v>475</v>
      </c>
      <c r="EJ3" t="s">
        <v>548</v>
      </c>
      <c r="EK3">
        <v>9</v>
      </c>
      <c r="EL3" t="s">
        <v>584</v>
      </c>
      <c r="EM3">
        <v>24.3</v>
      </c>
      <c r="EN3">
        <v>365</v>
      </c>
      <c r="EO3" t="s">
        <v>264</v>
      </c>
      <c r="EP3">
        <v>-9999</v>
      </c>
      <c r="EQ3">
        <v>250</v>
      </c>
      <c r="ER3">
        <v>226</v>
      </c>
      <c r="ES3">
        <v>213</v>
      </c>
      <c r="ET3" t="s">
        <v>270</v>
      </c>
      <c r="EU3">
        <v>0</v>
      </c>
      <c r="EV3">
        <v>55</v>
      </c>
      <c r="EW3" t="s">
        <v>551</v>
      </c>
      <c r="EX3" t="s">
        <v>552</v>
      </c>
      <c r="EY3">
        <v>135</v>
      </c>
      <c r="EZ3">
        <v>135</v>
      </c>
      <c r="FA3">
        <v>135</v>
      </c>
      <c r="FB3" t="s">
        <v>270</v>
      </c>
      <c r="FC3" t="s">
        <v>553</v>
      </c>
      <c r="FD3" t="s">
        <v>552</v>
      </c>
      <c r="FE3">
        <v>294</v>
      </c>
      <c r="FF3">
        <v>292</v>
      </c>
      <c r="FG3">
        <v>291</v>
      </c>
      <c r="FH3" t="s">
        <v>270</v>
      </c>
      <c r="FI3" t="s">
        <v>554</v>
      </c>
      <c r="FJ3" t="s">
        <v>555</v>
      </c>
      <c r="FK3">
        <v>0</v>
      </c>
      <c r="FL3">
        <v>0</v>
      </c>
      <c r="FM3">
        <v>0</v>
      </c>
      <c r="FN3" t="s">
        <v>264</v>
      </c>
      <c r="FQ3" t="s">
        <v>556</v>
      </c>
      <c r="FR3" t="s">
        <v>555</v>
      </c>
      <c r="FS3">
        <v>0</v>
      </c>
      <c r="FT3">
        <v>0</v>
      </c>
      <c r="FU3">
        <v>0</v>
      </c>
      <c r="FV3" t="s">
        <v>264</v>
      </c>
      <c r="FY3" t="s">
        <v>557</v>
      </c>
      <c r="FZ3" t="s">
        <v>555</v>
      </c>
      <c r="GA3">
        <v>0</v>
      </c>
      <c r="GB3">
        <v>0</v>
      </c>
      <c r="GC3">
        <v>0</v>
      </c>
      <c r="GD3" t="s">
        <v>264</v>
      </c>
      <c r="GG3" t="s">
        <v>558</v>
      </c>
      <c r="GH3" t="s">
        <v>555</v>
      </c>
      <c r="GI3">
        <v>0</v>
      </c>
      <c r="GJ3">
        <v>0</v>
      </c>
      <c r="GK3">
        <v>0</v>
      </c>
      <c r="GL3" t="s">
        <v>264</v>
      </c>
      <c r="GO3" t="s">
        <v>559</v>
      </c>
      <c r="GP3" t="s">
        <v>555</v>
      </c>
      <c r="GQ3">
        <v>0</v>
      </c>
      <c r="GR3">
        <v>0</v>
      </c>
      <c r="GS3">
        <v>0</v>
      </c>
      <c r="GT3" t="s">
        <v>264</v>
      </c>
      <c r="GU3">
        <v>75.599999999999994</v>
      </c>
      <c r="GV3">
        <v>60.8</v>
      </c>
      <c r="GW3" t="s">
        <v>560</v>
      </c>
      <c r="GX3" t="s">
        <v>555</v>
      </c>
      <c r="GY3">
        <v>0</v>
      </c>
      <c r="GZ3">
        <v>0</v>
      </c>
      <c r="HA3">
        <v>0</v>
      </c>
      <c r="HB3" t="s">
        <v>264</v>
      </c>
      <c r="HC3">
        <v>69.2</v>
      </c>
      <c r="HD3">
        <v>32.200000000000003</v>
      </c>
      <c r="HE3" t="s">
        <v>561</v>
      </c>
      <c r="HF3" t="s">
        <v>555</v>
      </c>
      <c r="HG3">
        <v>0</v>
      </c>
      <c r="HH3">
        <v>0</v>
      </c>
      <c r="HI3">
        <v>0</v>
      </c>
      <c r="HJ3" t="s">
        <v>264</v>
      </c>
      <c r="HM3" t="s">
        <v>562</v>
      </c>
      <c r="HN3" t="s">
        <v>555</v>
      </c>
      <c r="HO3">
        <v>0</v>
      </c>
      <c r="HP3">
        <v>0</v>
      </c>
      <c r="HQ3">
        <v>0</v>
      </c>
      <c r="HR3" t="s">
        <v>264</v>
      </c>
      <c r="HU3" t="s">
        <v>563</v>
      </c>
      <c r="HV3" t="s">
        <v>555</v>
      </c>
      <c r="HW3">
        <v>0</v>
      </c>
      <c r="HX3">
        <v>0</v>
      </c>
      <c r="HY3">
        <v>0</v>
      </c>
      <c r="HZ3" t="s">
        <v>264</v>
      </c>
      <c r="IC3" t="s">
        <v>564</v>
      </c>
      <c r="ID3" t="s">
        <v>555</v>
      </c>
      <c r="IE3">
        <v>0</v>
      </c>
      <c r="IF3">
        <v>0</v>
      </c>
      <c r="IG3">
        <v>0</v>
      </c>
      <c r="IH3" t="s">
        <v>264</v>
      </c>
      <c r="IK3" t="s">
        <v>565</v>
      </c>
      <c r="IL3" t="s">
        <v>555</v>
      </c>
      <c r="IM3">
        <v>0</v>
      </c>
      <c r="IN3">
        <v>0</v>
      </c>
      <c r="IO3">
        <v>0</v>
      </c>
      <c r="IP3" t="s">
        <v>264</v>
      </c>
      <c r="IQ3">
        <v>70.599999999999994</v>
      </c>
      <c r="IR3">
        <v>250.6</v>
      </c>
      <c r="IS3" t="s">
        <v>566</v>
      </c>
      <c r="IT3" t="s">
        <v>555</v>
      </c>
      <c r="IU3">
        <v>0</v>
      </c>
      <c r="IV3">
        <v>0</v>
      </c>
      <c r="IW3">
        <v>0</v>
      </c>
      <c r="IX3" t="s">
        <v>264</v>
      </c>
      <c r="IY3">
        <v>67.900000000000006</v>
      </c>
      <c r="IZ3">
        <v>138.9</v>
      </c>
      <c r="JA3" t="s">
        <v>567</v>
      </c>
      <c r="JB3" t="s">
        <v>555</v>
      </c>
      <c r="JC3">
        <v>0</v>
      </c>
      <c r="JD3">
        <v>0</v>
      </c>
      <c r="JE3">
        <v>0</v>
      </c>
      <c r="JF3" t="s">
        <v>264</v>
      </c>
      <c r="JG3">
        <v>75.5</v>
      </c>
      <c r="JH3">
        <v>176.2</v>
      </c>
      <c r="JI3" t="s">
        <v>568</v>
      </c>
      <c r="JJ3" t="s">
        <v>555</v>
      </c>
      <c r="JK3">
        <v>0</v>
      </c>
      <c r="JL3">
        <v>0</v>
      </c>
      <c r="JM3">
        <v>0</v>
      </c>
      <c r="JN3" t="s">
        <v>264</v>
      </c>
      <c r="JO3">
        <v>65.7</v>
      </c>
      <c r="JP3">
        <v>60.6</v>
      </c>
      <c r="JQ3" t="s">
        <v>569</v>
      </c>
      <c r="JR3" t="s">
        <v>555</v>
      </c>
      <c r="JS3">
        <v>0</v>
      </c>
      <c r="JT3">
        <v>0</v>
      </c>
      <c r="JU3">
        <v>0</v>
      </c>
      <c r="JV3" t="s">
        <v>264</v>
      </c>
      <c r="JY3" t="s">
        <v>570</v>
      </c>
      <c r="JZ3" t="s">
        <v>555</v>
      </c>
      <c r="KA3">
        <v>0</v>
      </c>
      <c r="KB3">
        <v>0</v>
      </c>
      <c r="KC3">
        <v>0</v>
      </c>
      <c r="KD3" t="s">
        <v>264</v>
      </c>
      <c r="KG3" t="s">
        <v>571</v>
      </c>
      <c r="KH3" t="s">
        <v>555</v>
      </c>
      <c r="KI3">
        <v>0</v>
      </c>
      <c r="KJ3">
        <v>0</v>
      </c>
      <c r="KK3">
        <v>0</v>
      </c>
      <c r="KL3" t="s">
        <v>264</v>
      </c>
      <c r="KO3" t="s">
        <v>572</v>
      </c>
      <c r="KP3" t="s">
        <v>555</v>
      </c>
      <c r="KQ3">
        <v>0</v>
      </c>
      <c r="KR3">
        <v>0</v>
      </c>
      <c r="KS3">
        <v>0</v>
      </c>
      <c r="KT3" t="s">
        <v>264</v>
      </c>
      <c r="KW3" t="s">
        <v>573</v>
      </c>
      <c r="KX3" t="s">
        <v>555</v>
      </c>
      <c r="KY3">
        <v>0</v>
      </c>
      <c r="KZ3">
        <v>0</v>
      </c>
      <c r="LA3">
        <v>0</v>
      </c>
      <c r="LB3" t="s">
        <v>264</v>
      </c>
      <c r="LE3" t="s">
        <v>574</v>
      </c>
      <c r="LF3" t="s">
        <v>555</v>
      </c>
      <c r="LG3">
        <v>0</v>
      </c>
      <c r="LH3">
        <v>0</v>
      </c>
      <c r="LI3">
        <v>0</v>
      </c>
      <c r="LJ3" t="s">
        <v>264</v>
      </c>
      <c r="LM3" t="s">
        <v>575</v>
      </c>
      <c r="LN3" t="s">
        <v>555</v>
      </c>
      <c r="LO3">
        <v>0</v>
      </c>
      <c r="LP3">
        <v>0</v>
      </c>
      <c r="LQ3">
        <v>0</v>
      </c>
      <c r="LR3" t="s">
        <v>264</v>
      </c>
      <c r="LS3">
        <v>75.599999999999994</v>
      </c>
      <c r="LT3">
        <v>136.4</v>
      </c>
      <c r="LU3" t="s">
        <v>576</v>
      </c>
      <c r="LV3" t="s">
        <v>555</v>
      </c>
      <c r="LW3">
        <v>0</v>
      </c>
      <c r="LX3">
        <v>0</v>
      </c>
      <c r="LY3">
        <v>0</v>
      </c>
      <c r="LZ3" t="s">
        <v>264</v>
      </c>
      <c r="MC3" t="s">
        <v>577</v>
      </c>
      <c r="MD3" t="s">
        <v>555</v>
      </c>
      <c r="ME3">
        <v>0</v>
      </c>
      <c r="MF3">
        <v>0</v>
      </c>
      <c r="MG3">
        <v>0</v>
      </c>
      <c r="MH3" t="s">
        <v>264</v>
      </c>
      <c r="MI3">
        <v>65.5</v>
      </c>
      <c r="MJ3">
        <v>90.2</v>
      </c>
      <c r="MK3" t="s">
        <v>578</v>
      </c>
      <c r="ML3" t="s">
        <v>555</v>
      </c>
      <c r="MM3">
        <v>0</v>
      </c>
      <c r="MN3">
        <v>0</v>
      </c>
      <c r="MO3">
        <v>0</v>
      </c>
      <c r="MP3" t="s">
        <v>264</v>
      </c>
      <c r="MQ3">
        <v>70.599999999999994</v>
      </c>
      <c r="MR3">
        <v>115.5</v>
      </c>
      <c r="MS3" t="s">
        <v>579</v>
      </c>
      <c r="MT3" t="s">
        <v>555</v>
      </c>
      <c r="MU3">
        <v>0</v>
      </c>
      <c r="MV3">
        <v>0</v>
      </c>
      <c r="MW3">
        <v>0</v>
      </c>
      <c r="MX3" t="s">
        <v>264</v>
      </c>
      <c r="MY3">
        <v>71</v>
      </c>
      <c r="MZ3">
        <v>127.6</v>
      </c>
      <c r="NA3" t="s">
        <v>580</v>
      </c>
      <c r="NB3" t="s">
        <v>555</v>
      </c>
      <c r="NC3">
        <v>0</v>
      </c>
      <c r="ND3">
        <v>0</v>
      </c>
      <c r="NE3">
        <v>0</v>
      </c>
      <c r="NF3" t="s">
        <v>264</v>
      </c>
      <c r="NI3">
        <v>40.1</v>
      </c>
      <c r="NJ3">
        <v>-7.9</v>
      </c>
      <c r="NP3" t="s">
        <v>624</v>
      </c>
    </row>
    <row r="4" spans="1:380" customFormat="1" x14ac:dyDescent="0.2">
      <c r="A4" t="s">
        <v>517</v>
      </c>
      <c r="B4">
        <v>1</v>
      </c>
      <c r="C4" s="409" t="s">
        <v>971</v>
      </c>
      <c r="D4">
        <v>646951208</v>
      </c>
      <c r="E4">
        <v>12602</v>
      </c>
      <c r="F4" t="s">
        <v>967</v>
      </c>
      <c r="G4">
        <v>802069</v>
      </c>
      <c r="H4">
        <v>210021772</v>
      </c>
      <c r="I4" t="s">
        <v>622</v>
      </c>
      <c r="J4" t="s">
        <v>972</v>
      </c>
      <c r="K4" t="s">
        <v>545</v>
      </c>
      <c r="L4" t="s">
        <v>447</v>
      </c>
      <c r="M4" t="s">
        <v>546</v>
      </c>
      <c r="N4" t="s">
        <v>468</v>
      </c>
      <c r="O4" t="s">
        <v>547</v>
      </c>
      <c r="P4" t="s">
        <v>264</v>
      </c>
      <c r="Q4">
        <v>27.1</v>
      </c>
      <c r="R4">
        <v>197</v>
      </c>
      <c r="S4" t="s">
        <v>264</v>
      </c>
      <c r="T4">
        <v>-9999</v>
      </c>
      <c r="U4">
        <v>642</v>
      </c>
      <c r="V4">
        <v>665</v>
      </c>
      <c r="W4">
        <v>635</v>
      </c>
      <c r="X4" t="s">
        <v>270</v>
      </c>
      <c r="Y4">
        <v>0</v>
      </c>
      <c r="Z4">
        <v>55</v>
      </c>
      <c r="AA4" t="s">
        <v>469</v>
      </c>
      <c r="AB4" t="s">
        <v>548</v>
      </c>
      <c r="AC4">
        <v>1</v>
      </c>
      <c r="AD4" t="s">
        <v>584</v>
      </c>
      <c r="AE4">
        <v>26.9</v>
      </c>
      <c r="AF4">
        <v>561</v>
      </c>
      <c r="AG4" t="s">
        <v>264</v>
      </c>
      <c r="AH4">
        <v>-9999</v>
      </c>
      <c r="AI4">
        <v>534</v>
      </c>
      <c r="AJ4">
        <v>659</v>
      </c>
      <c r="AK4">
        <v>532</v>
      </c>
      <c r="AL4" t="s">
        <v>270</v>
      </c>
      <c r="AM4">
        <v>0</v>
      </c>
      <c r="AN4">
        <v>55</v>
      </c>
      <c r="AO4" t="s">
        <v>470</v>
      </c>
      <c r="AP4" t="s">
        <v>548</v>
      </c>
      <c r="AQ4">
        <v>2</v>
      </c>
      <c r="AR4" t="s">
        <v>549</v>
      </c>
      <c r="AS4">
        <v>0</v>
      </c>
      <c r="AT4">
        <v>34</v>
      </c>
      <c r="AU4" t="s">
        <v>264</v>
      </c>
      <c r="AV4">
        <v>-9999</v>
      </c>
      <c r="AW4">
        <v>343</v>
      </c>
      <c r="AX4">
        <v>354</v>
      </c>
      <c r="AY4">
        <v>341</v>
      </c>
      <c r="AZ4" t="s">
        <v>270</v>
      </c>
      <c r="BA4">
        <v>0</v>
      </c>
      <c r="BB4">
        <v>55</v>
      </c>
      <c r="BC4" t="s">
        <v>550</v>
      </c>
      <c r="BD4" t="s">
        <v>548</v>
      </c>
      <c r="BE4">
        <v>3</v>
      </c>
      <c r="BF4" t="s">
        <v>584</v>
      </c>
      <c r="BG4">
        <v>18</v>
      </c>
      <c r="BH4">
        <v>4382</v>
      </c>
      <c r="BI4" t="s">
        <v>264</v>
      </c>
      <c r="BJ4">
        <v>-9999</v>
      </c>
      <c r="BK4">
        <v>30</v>
      </c>
      <c r="BL4">
        <v>46</v>
      </c>
      <c r="BM4">
        <v>31</v>
      </c>
      <c r="BN4" t="s">
        <v>270</v>
      </c>
      <c r="BO4">
        <v>0</v>
      </c>
      <c r="BP4">
        <v>55</v>
      </c>
      <c r="BQ4" t="s">
        <v>504</v>
      </c>
      <c r="BR4" t="s">
        <v>548</v>
      </c>
      <c r="BS4">
        <v>4</v>
      </c>
      <c r="BT4" t="s">
        <v>584</v>
      </c>
      <c r="BU4">
        <v>29.4</v>
      </c>
      <c r="BV4">
        <v>263</v>
      </c>
      <c r="BW4" t="s">
        <v>264</v>
      </c>
      <c r="BX4">
        <v>-9999</v>
      </c>
      <c r="BY4">
        <v>268</v>
      </c>
      <c r="BZ4">
        <v>309</v>
      </c>
      <c r="CA4">
        <v>265</v>
      </c>
      <c r="CB4" t="s">
        <v>270</v>
      </c>
      <c r="CC4">
        <v>0</v>
      </c>
      <c r="CD4">
        <v>55</v>
      </c>
      <c r="CE4" t="s">
        <v>471</v>
      </c>
      <c r="CF4" t="s">
        <v>548</v>
      </c>
      <c r="CG4">
        <v>5</v>
      </c>
      <c r="CH4" t="s">
        <v>549</v>
      </c>
      <c r="CI4">
        <v>0</v>
      </c>
      <c r="CJ4">
        <v>-5</v>
      </c>
      <c r="CK4" t="s">
        <v>264</v>
      </c>
      <c r="CL4">
        <v>-9999</v>
      </c>
      <c r="CM4">
        <v>364</v>
      </c>
      <c r="CN4">
        <v>423</v>
      </c>
      <c r="CO4">
        <v>365</v>
      </c>
      <c r="CP4" t="s">
        <v>270</v>
      </c>
      <c r="CQ4">
        <v>0</v>
      </c>
      <c r="CR4">
        <v>55</v>
      </c>
      <c r="CS4" t="s">
        <v>472</v>
      </c>
      <c r="CT4" t="s">
        <v>548</v>
      </c>
      <c r="CU4">
        <v>6</v>
      </c>
      <c r="CV4" t="s">
        <v>584</v>
      </c>
      <c r="CW4">
        <v>29.6</v>
      </c>
      <c r="CX4">
        <v>407</v>
      </c>
      <c r="CY4" t="s">
        <v>264</v>
      </c>
      <c r="CZ4">
        <v>-9999</v>
      </c>
      <c r="DA4">
        <v>699</v>
      </c>
      <c r="DB4">
        <v>794</v>
      </c>
      <c r="DC4">
        <v>690</v>
      </c>
      <c r="DD4" t="s">
        <v>270</v>
      </c>
      <c r="DE4">
        <v>0</v>
      </c>
      <c r="DF4">
        <v>55</v>
      </c>
      <c r="DG4" t="s">
        <v>473</v>
      </c>
      <c r="DH4" t="s">
        <v>548</v>
      </c>
      <c r="DI4">
        <v>7</v>
      </c>
      <c r="DJ4" t="s">
        <v>584</v>
      </c>
      <c r="DK4">
        <v>25</v>
      </c>
      <c r="DL4">
        <v>260</v>
      </c>
      <c r="DM4" t="s">
        <v>264</v>
      </c>
      <c r="DN4">
        <v>-9999</v>
      </c>
      <c r="DO4">
        <v>662</v>
      </c>
      <c r="DP4">
        <v>758</v>
      </c>
      <c r="DQ4">
        <v>658</v>
      </c>
      <c r="DR4" t="s">
        <v>270</v>
      </c>
      <c r="DS4">
        <v>0</v>
      </c>
      <c r="DT4">
        <v>55</v>
      </c>
      <c r="DU4" t="s">
        <v>474</v>
      </c>
      <c r="DV4" t="s">
        <v>548</v>
      </c>
      <c r="DW4">
        <v>8</v>
      </c>
      <c r="DX4" t="s">
        <v>584</v>
      </c>
      <c r="DY4">
        <v>22.6</v>
      </c>
      <c r="DZ4">
        <v>246</v>
      </c>
      <c r="EA4" t="s">
        <v>264</v>
      </c>
      <c r="EB4">
        <v>-9999</v>
      </c>
      <c r="EC4">
        <v>105</v>
      </c>
      <c r="ED4">
        <v>128</v>
      </c>
      <c r="EE4">
        <v>103</v>
      </c>
      <c r="EF4" t="s">
        <v>270</v>
      </c>
      <c r="EG4">
        <v>0</v>
      </c>
      <c r="EH4">
        <v>55</v>
      </c>
      <c r="EI4" t="s">
        <v>475</v>
      </c>
      <c r="EJ4" t="s">
        <v>548</v>
      </c>
      <c r="EK4">
        <v>9</v>
      </c>
      <c r="EL4" t="s">
        <v>584</v>
      </c>
      <c r="EM4">
        <v>23.8</v>
      </c>
      <c r="EN4">
        <v>245</v>
      </c>
      <c r="EO4" t="s">
        <v>264</v>
      </c>
      <c r="EP4">
        <v>-9999</v>
      </c>
      <c r="EQ4">
        <v>232</v>
      </c>
      <c r="ER4">
        <v>216</v>
      </c>
      <c r="ES4">
        <v>205</v>
      </c>
      <c r="ET4" t="s">
        <v>270</v>
      </c>
      <c r="EU4">
        <v>0</v>
      </c>
      <c r="EV4">
        <v>55</v>
      </c>
      <c r="EW4" t="s">
        <v>551</v>
      </c>
      <c r="EX4" t="s">
        <v>552</v>
      </c>
      <c r="EY4">
        <v>147</v>
      </c>
      <c r="EZ4">
        <v>147</v>
      </c>
      <c r="FA4">
        <v>148</v>
      </c>
      <c r="FB4" t="s">
        <v>270</v>
      </c>
      <c r="FC4" t="s">
        <v>553</v>
      </c>
      <c r="FD4" t="s">
        <v>552</v>
      </c>
      <c r="FE4">
        <v>342</v>
      </c>
      <c r="FF4">
        <v>341</v>
      </c>
      <c r="FG4">
        <v>340</v>
      </c>
      <c r="FH4" t="s">
        <v>270</v>
      </c>
      <c r="FI4" t="s">
        <v>554</v>
      </c>
      <c r="FJ4" t="s">
        <v>555</v>
      </c>
      <c r="FK4">
        <v>0</v>
      </c>
      <c r="FL4">
        <v>0</v>
      </c>
      <c r="FM4">
        <v>0</v>
      </c>
      <c r="FN4" t="s">
        <v>264</v>
      </c>
      <c r="FQ4" t="s">
        <v>556</v>
      </c>
      <c r="FR4" t="s">
        <v>555</v>
      </c>
      <c r="FS4">
        <v>0</v>
      </c>
      <c r="FT4">
        <v>0</v>
      </c>
      <c r="FU4">
        <v>0</v>
      </c>
      <c r="FV4" t="s">
        <v>264</v>
      </c>
      <c r="FY4" t="s">
        <v>557</v>
      </c>
      <c r="FZ4" t="s">
        <v>555</v>
      </c>
      <c r="GA4">
        <v>0</v>
      </c>
      <c r="GB4">
        <v>0</v>
      </c>
      <c r="GC4">
        <v>0</v>
      </c>
      <c r="GD4" t="s">
        <v>264</v>
      </c>
      <c r="GG4" t="s">
        <v>558</v>
      </c>
      <c r="GH4" t="s">
        <v>555</v>
      </c>
      <c r="GI4">
        <v>0</v>
      </c>
      <c r="GJ4">
        <v>0</v>
      </c>
      <c r="GK4">
        <v>0</v>
      </c>
      <c r="GL4" t="s">
        <v>264</v>
      </c>
      <c r="GO4" t="s">
        <v>559</v>
      </c>
      <c r="GP4" t="s">
        <v>555</v>
      </c>
      <c r="GQ4">
        <v>0</v>
      </c>
      <c r="GR4">
        <v>0</v>
      </c>
      <c r="GS4">
        <v>0</v>
      </c>
      <c r="GT4" t="s">
        <v>264</v>
      </c>
      <c r="GU4">
        <v>75.400000000000006</v>
      </c>
      <c r="GV4">
        <v>56.2</v>
      </c>
      <c r="GW4" t="s">
        <v>560</v>
      </c>
      <c r="GX4" t="s">
        <v>555</v>
      </c>
      <c r="GY4">
        <v>0</v>
      </c>
      <c r="GZ4">
        <v>0</v>
      </c>
      <c r="HA4">
        <v>0</v>
      </c>
      <c r="HB4" t="s">
        <v>264</v>
      </c>
      <c r="HC4">
        <v>68.8</v>
      </c>
      <c r="HD4">
        <v>20.7</v>
      </c>
      <c r="HE4" t="s">
        <v>561</v>
      </c>
      <c r="HF4" t="s">
        <v>555</v>
      </c>
      <c r="HG4">
        <v>0</v>
      </c>
      <c r="HH4">
        <v>0</v>
      </c>
      <c r="HI4">
        <v>0</v>
      </c>
      <c r="HJ4" t="s">
        <v>264</v>
      </c>
      <c r="HM4" t="s">
        <v>562</v>
      </c>
      <c r="HN4" t="s">
        <v>555</v>
      </c>
      <c r="HO4">
        <v>0</v>
      </c>
      <c r="HP4">
        <v>0</v>
      </c>
      <c r="HQ4">
        <v>0</v>
      </c>
      <c r="HR4" t="s">
        <v>264</v>
      </c>
      <c r="HU4" t="s">
        <v>563</v>
      </c>
      <c r="HV4" t="s">
        <v>555</v>
      </c>
      <c r="HW4">
        <v>0</v>
      </c>
      <c r="HX4">
        <v>0</v>
      </c>
      <c r="HY4">
        <v>0</v>
      </c>
      <c r="HZ4" t="s">
        <v>264</v>
      </c>
      <c r="IC4" t="s">
        <v>564</v>
      </c>
      <c r="ID4" t="s">
        <v>555</v>
      </c>
      <c r="IE4">
        <v>0</v>
      </c>
      <c r="IF4">
        <v>0</v>
      </c>
      <c r="IG4">
        <v>0</v>
      </c>
      <c r="IH4" t="s">
        <v>264</v>
      </c>
      <c r="IK4" t="s">
        <v>565</v>
      </c>
      <c r="IL4" t="s">
        <v>555</v>
      </c>
      <c r="IM4">
        <v>0</v>
      </c>
      <c r="IN4">
        <v>0</v>
      </c>
      <c r="IO4">
        <v>0</v>
      </c>
      <c r="IP4" t="s">
        <v>264</v>
      </c>
      <c r="IQ4">
        <v>70.400000000000006</v>
      </c>
      <c r="IR4">
        <v>284</v>
      </c>
      <c r="IS4" t="s">
        <v>566</v>
      </c>
      <c r="IT4" t="s">
        <v>555</v>
      </c>
      <c r="IU4">
        <v>0</v>
      </c>
      <c r="IV4">
        <v>0</v>
      </c>
      <c r="IW4">
        <v>0</v>
      </c>
      <c r="IX4" t="s">
        <v>264</v>
      </c>
      <c r="IY4">
        <v>67.7</v>
      </c>
      <c r="IZ4">
        <v>144.6</v>
      </c>
      <c r="JA4" t="s">
        <v>567</v>
      </c>
      <c r="JB4" t="s">
        <v>555</v>
      </c>
      <c r="JC4">
        <v>0</v>
      </c>
      <c r="JD4">
        <v>0</v>
      </c>
      <c r="JE4">
        <v>0</v>
      </c>
      <c r="JF4" t="s">
        <v>264</v>
      </c>
      <c r="JG4">
        <v>75.3</v>
      </c>
      <c r="JH4">
        <v>153.30000000000001</v>
      </c>
      <c r="JI4" t="s">
        <v>568</v>
      </c>
      <c r="JJ4" t="s">
        <v>555</v>
      </c>
      <c r="JK4">
        <v>0</v>
      </c>
      <c r="JL4">
        <v>0</v>
      </c>
      <c r="JM4">
        <v>0</v>
      </c>
      <c r="JN4" t="s">
        <v>264</v>
      </c>
      <c r="JO4">
        <v>65.5</v>
      </c>
      <c r="JP4">
        <v>65.5</v>
      </c>
      <c r="JQ4" t="s">
        <v>569</v>
      </c>
      <c r="JR4" t="s">
        <v>555</v>
      </c>
      <c r="JS4">
        <v>0</v>
      </c>
      <c r="JT4">
        <v>0</v>
      </c>
      <c r="JU4">
        <v>0</v>
      </c>
      <c r="JV4" t="s">
        <v>264</v>
      </c>
      <c r="JY4" t="s">
        <v>570</v>
      </c>
      <c r="JZ4" t="s">
        <v>555</v>
      </c>
      <c r="KA4">
        <v>0</v>
      </c>
      <c r="KB4">
        <v>0</v>
      </c>
      <c r="KC4">
        <v>0</v>
      </c>
      <c r="KD4" t="s">
        <v>264</v>
      </c>
      <c r="KG4" t="s">
        <v>571</v>
      </c>
      <c r="KH4" t="s">
        <v>555</v>
      </c>
      <c r="KI4">
        <v>0</v>
      </c>
      <c r="KJ4">
        <v>0</v>
      </c>
      <c r="KK4">
        <v>0</v>
      </c>
      <c r="KL4" t="s">
        <v>264</v>
      </c>
      <c r="KO4" t="s">
        <v>572</v>
      </c>
      <c r="KP4" t="s">
        <v>555</v>
      </c>
      <c r="KQ4">
        <v>0</v>
      </c>
      <c r="KR4">
        <v>0</v>
      </c>
      <c r="KS4">
        <v>0</v>
      </c>
      <c r="KT4" t="s">
        <v>264</v>
      </c>
      <c r="KW4" t="s">
        <v>573</v>
      </c>
      <c r="KX4" t="s">
        <v>555</v>
      </c>
      <c r="KY4">
        <v>0</v>
      </c>
      <c r="KZ4">
        <v>0</v>
      </c>
      <c r="LA4">
        <v>0</v>
      </c>
      <c r="LB4" t="s">
        <v>264</v>
      </c>
      <c r="LE4" t="s">
        <v>574</v>
      </c>
      <c r="LF4" t="s">
        <v>555</v>
      </c>
      <c r="LG4">
        <v>0</v>
      </c>
      <c r="LH4">
        <v>0</v>
      </c>
      <c r="LI4">
        <v>0</v>
      </c>
      <c r="LJ4" t="s">
        <v>264</v>
      </c>
      <c r="LM4" t="s">
        <v>575</v>
      </c>
      <c r="LN4" t="s">
        <v>555</v>
      </c>
      <c r="LO4">
        <v>0</v>
      </c>
      <c r="LP4">
        <v>0</v>
      </c>
      <c r="LQ4">
        <v>0</v>
      </c>
      <c r="LR4" t="s">
        <v>264</v>
      </c>
      <c r="LS4">
        <v>75.5</v>
      </c>
      <c r="LT4">
        <v>125.8</v>
      </c>
      <c r="LU4" t="s">
        <v>576</v>
      </c>
      <c r="LV4" t="s">
        <v>555</v>
      </c>
      <c r="LW4">
        <v>0</v>
      </c>
      <c r="LX4">
        <v>0</v>
      </c>
      <c r="LY4">
        <v>0</v>
      </c>
      <c r="LZ4" t="s">
        <v>264</v>
      </c>
      <c r="MC4" t="s">
        <v>577</v>
      </c>
      <c r="MD4" t="s">
        <v>555</v>
      </c>
      <c r="ME4">
        <v>0</v>
      </c>
      <c r="MF4">
        <v>0</v>
      </c>
      <c r="MG4">
        <v>0</v>
      </c>
      <c r="MH4" t="s">
        <v>264</v>
      </c>
      <c r="MI4">
        <v>65.400000000000006</v>
      </c>
      <c r="MJ4">
        <v>115.9</v>
      </c>
      <c r="MK4" t="s">
        <v>578</v>
      </c>
      <c r="ML4" t="s">
        <v>555</v>
      </c>
      <c r="MM4">
        <v>0</v>
      </c>
      <c r="MN4">
        <v>0</v>
      </c>
      <c r="MO4">
        <v>0</v>
      </c>
      <c r="MP4" t="s">
        <v>264</v>
      </c>
      <c r="MQ4">
        <v>70.5</v>
      </c>
      <c r="MR4">
        <v>116.4</v>
      </c>
      <c r="MS4" t="s">
        <v>579</v>
      </c>
      <c r="MT4" t="s">
        <v>555</v>
      </c>
      <c r="MU4">
        <v>0</v>
      </c>
      <c r="MV4">
        <v>0</v>
      </c>
      <c r="MW4">
        <v>0</v>
      </c>
      <c r="MX4" t="s">
        <v>264</v>
      </c>
      <c r="MY4">
        <v>70.900000000000006</v>
      </c>
      <c r="MZ4">
        <v>127.9</v>
      </c>
      <c r="NA4" t="s">
        <v>580</v>
      </c>
      <c r="NB4" t="s">
        <v>555</v>
      </c>
      <c r="NC4">
        <v>0</v>
      </c>
      <c r="ND4">
        <v>0</v>
      </c>
      <c r="NE4">
        <v>0</v>
      </c>
      <c r="NF4" t="s">
        <v>264</v>
      </c>
      <c r="NI4">
        <v>40.1</v>
      </c>
      <c r="NJ4">
        <v>-6.9</v>
      </c>
      <c r="NP4" t="s">
        <v>624</v>
      </c>
    </row>
    <row r="5" spans="1:380" customFormat="1" x14ac:dyDescent="0.2">
      <c r="A5" t="s">
        <v>517</v>
      </c>
      <c r="B5">
        <v>1</v>
      </c>
      <c r="C5" s="409" t="s">
        <v>973</v>
      </c>
      <c r="D5">
        <v>646951325</v>
      </c>
      <c r="E5">
        <v>12602</v>
      </c>
      <c r="F5" t="s">
        <v>967</v>
      </c>
      <c r="G5">
        <v>802069</v>
      </c>
      <c r="H5">
        <v>210077169</v>
      </c>
      <c r="I5" t="s">
        <v>622</v>
      </c>
      <c r="J5" t="s">
        <v>974</v>
      </c>
      <c r="K5" t="s">
        <v>545</v>
      </c>
      <c r="L5" t="s">
        <v>518</v>
      </c>
      <c r="M5" t="s">
        <v>546</v>
      </c>
      <c r="N5" t="s">
        <v>468</v>
      </c>
      <c r="O5" t="s">
        <v>547</v>
      </c>
      <c r="P5" t="s">
        <v>264</v>
      </c>
      <c r="Q5">
        <v>25.4</v>
      </c>
      <c r="R5">
        <v>225</v>
      </c>
      <c r="S5" t="s">
        <v>264</v>
      </c>
      <c r="T5">
        <v>-9999</v>
      </c>
      <c r="U5">
        <v>802</v>
      </c>
      <c r="V5">
        <v>828</v>
      </c>
      <c r="W5">
        <v>789</v>
      </c>
      <c r="X5" t="s">
        <v>270</v>
      </c>
      <c r="Y5">
        <v>0</v>
      </c>
      <c r="Z5">
        <v>55</v>
      </c>
      <c r="AA5" t="s">
        <v>469</v>
      </c>
      <c r="AB5" t="s">
        <v>548</v>
      </c>
      <c r="AC5">
        <v>1</v>
      </c>
      <c r="AD5" t="s">
        <v>584</v>
      </c>
      <c r="AE5">
        <v>26.6</v>
      </c>
      <c r="AF5">
        <v>823</v>
      </c>
      <c r="AG5" t="s">
        <v>264</v>
      </c>
      <c r="AH5">
        <v>-9999</v>
      </c>
      <c r="AI5">
        <v>551</v>
      </c>
      <c r="AJ5">
        <v>681</v>
      </c>
      <c r="AK5">
        <v>549</v>
      </c>
      <c r="AL5" t="s">
        <v>270</v>
      </c>
      <c r="AM5">
        <v>0</v>
      </c>
      <c r="AN5">
        <v>55</v>
      </c>
      <c r="AO5" t="s">
        <v>470</v>
      </c>
      <c r="AP5" t="s">
        <v>548</v>
      </c>
      <c r="AQ5">
        <v>2</v>
      </c>
      <c r="AR5" t="s">
        <v>584</v>
      </c>
      <c r="AS5">
        <v>39.6</v>
      </c>
      <c r="AT5">
        <v>110</v>
      </c>
      <c r="AU5" t="s">
        <v>264</v>
      </c>
      <c r="AV5">
        <v>-9999</v>
      </c>
      <c r="AW5">
        <v>453</v>
      </c>
      <c r="AX5">
        <v>478</v>
      </c>
      <c r="AY5">
        <v>449</v>
      </c>
      <c r="AZ5" t="s">
        <v>270</v>
      </c>
      <c r="BA5">
        <v>0</v>
      </c>
      <c r="BB5">
        <v>55</v>
      </c>
      <c r="BC5" t="s">
        <v>550</v>
      </c>
      <c r="BD5" t="s">
        <v>548</v>
      </c>
      <c r="BE5">
        <v>3</v>
      </c>
      <c r="BF5" t="s">
        <v>584</v>
      </c>
      <c r="BG5">
        <v>21.6</v>
      </c>
      <c r="BH5">
        <v>963</v>
      </c>
      <c r="BI5" t="s">
        <v>264</v>
      </c>
      <c r="BJ5">
        <v>-9999</v>
      </c>
      <c r="BK5">
        <v>153</v>
      </c>
      <c r="BL5">
        <v>192</v>
      </c>
      <c r="BM5">
        <v>151</v>
      </c>
      <c r="BN5" t="s">
        <v>270</v>
      </c>
      <c r="BO5">
        <v>0</v>
      </c>
      <c r="BP5">
        <v>55</v>
      </c>
      <c r="BQ5" t="s">
        <v>504</v>
      </c>
      <c r="BR5" t="s">
        <v>548</v>
      </c>
      <c r="BS5">
        <v>4</v>
      </c>
      <c r="BT5" t="s">
        <v>584</v>
      </c>
      <c r="BU5">
        <v>29.7</v>
      </c>
      <c r="BV5">
        <v>273</v>
      </c>
      <c r="BW5" t="s">
        <v>264</v>
      </c>
      <c r="BX5">
        <v>-9999</v>
      </c>
      <c r="BY5">
        <v>262</v>
      </c>
      <c r="BZ5">
        <v>303</v>
      </c>
      <c r="CA5">
        <v>259</v>
      </c>
      <c r="CB5" t="s">
        <v>270</v>
      </c>
      <c r="CC5">
        <v>0</v>
      </c>
      <c r="CD5">
        <v>55</v>
      </c>
      <c r="CE5" t="s">
        <v>471</v>
      </c>
      <c r="CF5" t="s">
        <v>548</v>
      </c>
      <c r="CG5">
        <v>5</v>
      </c>
      <c r="CH5" t="s">
        <v>584</v>
      </c>
      <c r="CI5">
        <v>35.700000000000003</v>
      </c>
      <c r="CJ5">
        <v>188</v>
      </c>
      <c r="CK5" t="s">
        <v>264</v>
      </c>
      <c r="CL5">
        <v>-9999</v>
      </c>
      <c r="CM5">
        <v>554</v>
      </c>
      <c r="CN5">
        <v>647</v>
      </c>
      <c r="CO5">
        <v>552</v>
      </c>
      <c r="CP5" t="s">
        <v>270</v>
      </c>
      <c r="CQ5">
        <v>0</v>
      </c>
      <c r="CR5">
        <v>55</v>
      </c>
      <c r="CS5" t="s">
        <v>472</v>
      </c>
      <c r="CT5" t="s">
        <v>548</v>
      </c>
      <c r="CU5">
        <v>6</v>
      </c>
      <c r="CV5" t="s">
        <v>584</v>
      </c>
      <c r="CW5">
        <v>32.200000000000003</v>
      </c>
      <c r="CX5">
        <v>365</v>
      </c>
      <c r="CY5" t="s">
        <v>264</v>
      </c>
      <c r="CZ5">
        <v>-9999</v>
      </c>
      <c r="DA5">
        <v>681</v>
      </c>
      <c r="DB5">
        <v>771</v>
      </c>
      <c r="DC5">
        <v>668</v>
      </c>
      <c r="DD5" t="s">
        <v>270</v>
      </c>
      <c r="DE5">
        <v>0</v>
      </c>
      <c r="DF5">
        <v>55</v>
      </c>
      <c r="DG5" t="s">
        <v>473</v>
      </c>
      <c r="DH5" t="s">
        <v>548</v>
      </c>
      <c r="DI5">
        <v>7</v>
      </c>
      <c r="DJ5" t="s">
        <v>584</v>
      </c>
      <c r="DK5">
        <v>29.5</v>
      </c>
      <c r="DL5">
        <v>106</v>
      </c>
      <c r="DM5" t="s">
        <v>264</v>
      </c>
      <c r="DN5">
        <v>-9999</v>
      </c>
      <c r="DO5">
        <v>569</v>
      </c>
      <c r="DP5">
        <v>649</v>
      </c>
      <c r="DQ5">
        <v>565</v>
      </c>
      <c r="DR5" t="s">
        <v>270</v>
      </c>
      <c r="DS5">
        <v>0</v>
      </c>
      <c r="DT5">
        <v>55</v>
      </c>
      <c r="DU5" t="s">
        <v>474</v>
      </c>
      <c r="DV5" t="s">
        <v>548</v>
      </c>
      <c r="DW5">
        <v>8</v>
      </c>
      <c r="DX5" t="s">
        <v>584</v>
      </c>
      <c r="DY5">
        <v>22.6</v>
      </c>
      <c r="DZ5">
        <v>269</v>
      </c>
      <c r="EA5" t="s">
        <v>264</v>
      </c>
      <c r="EB5">
        <v>-9999</v>
      </c>
      <c r="EC5">
        <v>106</v>
      </c>
      <c r="ED5">
        <v>130</v>
      </c>
      <c r="EE5">
        <v>104</v>
      </c>
      <c r="EF5" t="s">
        <v>270</v>
      </c>
      <c r="EG5">
        <v>0</v>
      </c>
      <c r="EH5">
        <v>55</v>
      </c>
      <c r="EI5" t="s">
        <v>475</v>
      </c>
      <c r="EJ5" t="s">
        <v>548</v>
      </c>
      <c r="EK5">
        <v>9</v>
      </c>
      <c r="EL5" t="s">
        <v>584</v>
      </c>
      <c r="EM5">
        <v>22.6</v>
      </c>
      <c r="EN5">
        <v>397</v>
      </c>
      <c r="EO5" t="s">
        <v>264</v>
      </c>
      <c r="EP5">
        <v>-9999</v>
      </c>
      <c r="EQ5">
        <v>316</v>
      </c>
      <c r="ER5">
        <v>293</v>
      </c>
      <c r="ES5">
        <v>275</v>
      </c>
      <c r="ET5" t="s">
        <v>270</v>
      </c>
      <c r="EU5">
        <v>0</v>
      </c>
      <c r="EV5">
        <v>55</v>
      </c>
      <c r="EW5" t="s">
        <v>551</v>
      </c>
      <c r="EX5" t="s">
        <v>552</v>
      </c>
      <c r="EY5">
        <v>181</v>
      </c>
      <c r="EZ5">
        <v>181</v>
      </c>
      <c r="FA5">
        <v>182</v>
      </c>
      <c r="FB5" t="s">
        <v>270</v>
      </c>
      <c r="FC5" t="s">
        <v>553</v>
      </c>
      <c r="FD5" t="s">
        <v>552</v>
      </c>
      <c r="FE5">
        <v>334</v>
      </c>
      <c r="FF5">
        <v>332</v>
      </c>
      <c r="FG5">
        <v>331</v>
      </c>
      <c r="FH5" t="s">
        <v>270</v>
      </c>
      <c r="FI5" t="s">
        <v>554</v>
      </c>
      <c r="FJ5" t="s">
        <v>555</v>
      </c>
      <c r="FK5">
        <v>0</v>
      </c>
      <c r="FL5">
        <v>0</v>
      </c>
      <c r="FM5">
        <v>0</v>
      </c>
      <c r="FN5" t="s">
        <v>264</v>
      </c>
      <c r="FQ5" t="s">
        <v>556</v>
      </c>
      <c r="FR5" t="s">
        <v>555</v>
      </c>
      <c r="FS5">
        <v>0</v>
      </c>
      <c r="FT5">
        <v>0</v>
      </c>
      <c r="FU5">
        <v>0</v>
      </c>
      <c r="FV5" t="s">
        <v>264</v>
      </c>
      <c r="FY5" t="s">
        <v>557</v>
      </c>
      <c r="FZ5" t="s">
        <v>555</v>
      </c>
      <c r="GA5">
        <v>0</v>
      </c>
      <c r="GB5">
        <v>0</v>
      </c>
      <c r="GC5">
        <v>0</v>
      </c>
      <c r="GD5" t="s">
        <v>264</v>
      </c>
      <c r="GG5" t="s">
        <v>558</v>
      </c>
      <c r="GH5" t="s">
        <v>555</v>
      </c>
      <c r="GI5">
        <v>0</v>
      </c>
      <c r="GJ5">
        <v>0</v>
      </c>
      <c r="GK5">
        <v>0</v>
      </c>
      <c r="GL5" t="s">
        <v>264</v>
      </c>
      <c r="GO5" t="s">
        <v>559</v>
      </c>
      <c r="GP5" t="s">
        <v>555</v>
      </c>
      <c r="GQ5">
        <v>0</v>
      </c>
      <c r="GR5">
        <v>0</v>
      </c>
      <c r="GS5">
        <v>0</v>
      </c>
      <c r="GT5" t="s">
        <v>264</v>
      </c>
      <c r="GU5">
        <v>75.599999999999994</v>
      </c>
      <c r="GV5">
        <v>59.5</v>
      </c>
      <c r="GW5" t="s">
        <v>560</v>
      </c>
      <c r="GX5" t="s">
        <v>555</v>
      </c>
      <c r="GY5">
        <v>0</v>
      </c>
      <c r="GZ5">
        <v>0</v>
      </c>
      <c r="HA5">
        <v>0</v>
      </c>
      <c r="HB5" t="s">
        <v>264</v>
      </c>
      <c r="HC5">
        <v>69.599999999999994</v>
      </c>
      <c r="HD5">
        <v>53.9</v>
      </c>
      <c r="HE5" t="s">
        <v>561</v>
      </c>
      <c r="HF5" t="s">
        <v>555</v>
      </c>
      <c r="HG5">
        <v>0</v>
      </c>
      <c r="HH5">
        <v>0</v>
      </c>
      <c r="HI5">
        <v>0</v>
      </c>
      <c r="HJ5" t="s">
        <v>264</v>
      </c>
      <c r="HM5" t="s">
        <v>562</v>
      </c>
      <c r="HN5" t="s">
        <v>555</v>
      </c>
      <c r="HO5">
        <v>0</v>
      </c>
      <c r="HP5">
        <v>0</v>
      </c>
      <c r="HQ5">
        <v>0</v>
      </c>
      <c r="HR5" t="s">
        <v>264</v>
      </c>
      <c r="HU5" t="s">
        <v>563</v>
      </c>
      <c r="HV5" t="s">
        <v>555</v>
      </c>
      <c r="HW5">
        <v>0</v>
      </c>
      <c r="HX5">
        <v>0</v>
      </c>
      <c r="HY5">
        <v>0</v>
      </c>
      <c r="HZ5" t="s">
        <v>264</v>
      </c>
      <c r="IC5" t="s">
        <v>564</v>
      </c>
      <c r="ID5" t="s">
        <v>555</v>
      </c>
      <c r="IE5">
        <v>0</v>
      </c>
      <c r="IF5">
        <v>0</v>
      </c>
      <c r="IG5">
        <v>0</v>
      </c>
      <c r="IH5" t="s">
        <v>264</v>
      </c>
      <c r="IK5" t="s">
        <v>565</v>
      </c>
      <c r="IL5" t="s">
        <v>555</v>
      </c>
      <c r="IM5">
        <v>0</v>
      </c>
      <c r="IN5">
        <v>0</v>
      </c>
      <c r="IO5">
        <v>0</v>
      </c>
      <c r="IP5" t="s">
        <v>264</v>
      </c>
      <c r="IQ5">
        <v>70.599999999999994</v>
      </c>
      <c r="IR5">
        <v>310.60000000000002</v>
      </c>
      <c r="IS5" t="s">
        <v>566</v>
      </c>
      <c r="IT5" t="s">
        <v>555</v>
      </c>
      <c r="IU5">
        <v>0</v>
      </c>
      <c r="IV5">
        <v>0</v>
      </c>
      <c r="IW5">
        <v>0</v>
      </c>
      <c r="IX5" t="s">
        <v>264</v>
      </c>
      <c r="IY5">
        <v>67.900000000000006</v>
      </c>
      <c r="IZ5">
        <v>150.30000000000001</v>
      </c>
      <c r="JA5" t="s">
        <v>567</v>
      </c>
      <c r="JB5" t="s">
        <v>555</v>
      </c>
      <c r="JC5">
        <v>0</v>
      </c>
      <c r="JD5">
        <v>0</v>
      </c>
      <c r="JE5">
        <v>0</v>
      </c>
      <c r="JF5" t="s">
        <v>264</v>
      </c>
      <c r="JG5">
        <v>75.599999999999994</v>
      </c>
      <c r="JH5">
        <v>160.69999999999999</v>
      </c>
      <c r="JI5" t="s">
        <v>568</v>
      </c>
      <c r="JJ5" t="s">
        <v>555</v>
      </c>
      <c r="JK5">
        <v>0</v>
      </c>
      <c r="JL5">
        <v>0</v>
      </c>
      <c r="JM5">
        <v>0</v>
      </c>
      <c r="JN5" t="s">
        <v>264</v>
      </c>
      <c r="JO5">
        <v>65.7</v>
      </c>
      <c r="JP5">
        <v>79.2</v>
      </c>
      <c r="JQ5" t="s">
        <v>569</v>
      </c>
      <c r="JR5" t="s">
        <v>555</v>
      </c>
      <c r="JS5">
        <v>0</v>
      </c>
      <c r="JT5">
        <v>0</v>
      </c>
      <c r="JU5">
        <v>0</v>
      </c>
      <c r="JV5" t="s">
        <v>264</v>
      </c>
      <c r="JY5" t="s">
        <v>570</v>
      </c>
      <c r="JZ5" t="s">
        <v>555</v>
      </c>
      <c r="KA5">
        <v>0</v>
      </c>
      <c r="KB5">
        <v>0</v>
      </c>
      <c r="KC5">
        <v>0</v>
      </c>
      <c r="KD5" t="s">
        <v>264</v>
      </c>
      <c r="KG5" t="s">
        <v>571</v>
      </c>
      <c r="KH5" t="s">
        <v>555</v>
      </c>
      <c r="KI5">
        <v>0</v>
      </c>
      <c r="KJ5">
        <v>0</v>
      </c>
      <c r="KK5">
        <v>0</v>
      </c>
      <c r="KL5" t="s">
        <v>264</v>
      </c>
      <c r="KO5" t="s">
        <v>572</v>
      </c>
      <c r="KP5" t="s">
        <v>555</v>
      </c>
      <c r="KQ5">
        <v>0</v>
      </c>
      <c r="KR5">
        <v>0</v>
      </c>
      <c r="KS5">
        <v>0</v>
      </c>
      <c r="KT5" t="s">
        <v>264</v>
      </c>
      <c r="KW5" t="s">
        <v>573</v>
      </c>
      <c r="KX5" t="s">
        <v>555</v>
      </c>
      <c r="KY5">
        <v>0</v>
      </c>
      <c r="KZ5">
        <v>0</v>
      </c>
      <c r="LA5">
        <v>0</v>
      </c>
      <c r="LB5" t="s">
        <v>264</v>
      </c>
      <c r="LE5" t="s">
        <v>574</v>
      </c>
      <c r="LF5" t="s">
        <v>555</v>
      </c>
      <c r="LG5">
        <v>0</v>
      </c>
      <c r="LH5">
        <v>0</v>
      </c>
      <c r="LI5">
        <v>0</v>
      </c>
      <c r="LJ5" t="s">
        <v>264</v>
      </c>
      <c r="LM5" t="s">
        <v>575</v>
      </c>
      <c r="LN5" t="s">
        <v>555</v>
      </c>
      <c r="LO5">
        <v>0</v>
      </c>
      <c r="LP5">
        <v>0</v>
      </c>
      <c r="LQ5">
        <v>0</v>
      </c>
      <c r="LR5" t="s">
        <v>264</v>
      </c>
      <c r="LS5">
        <v>75.599999999999994</v>
      </c>
      <c r="LT5">
        <v>113.6</v>
      </c>
      <c r="LU5" t="s">
        <v>576</v>
      </c>
      <c r="LV5" t="s">
        <v>555</v>
      </c>
      <c r="LW5">
        <v>0</v>
      </c>
      <c r="LX5">
        <v>0</v>
      </c>
      <c r="LY5">
        <v>0</v>
      </c>
      <c r="LZ5" t="s">
        <v>264</v>
      </c>
      <c r="MC5" t="s">
        <v>577</v>
      </c>
      <c r="MD5" t="s">
        <v>555</v>
      </c>
      <c r="ME5">
        <v>0</v>
      </c>
      <c r="MF5">
        <v>0</v>
      </c>
      <c r="MG5">
        <v>0</v>
      </c>
      <c r="MH5" t="s">
        <v>264</v>
      </c>
      <c r="MI5">
        <v>65.5</v>
      </c>
      <c r="MJ5">
        <v>101.3</v>
      </c>
      <c r="MK5" t="s">
        <v>578</v>
      </c>
      <c r="ML5" t="s">
        <v>555</v>
      </c>
      <c r="MM5">
        <v>0</v>
      </c>
      <c r="MN5">
        <v>0</v>
      </c>
      <c r="MO5">
        <v>0</v>
      </c>
      <c r="MP5" t="s">
        <v>264</v>
      </c>
      <c r="MS5" t="s">
        <v>579</v>
      </c>
      <c r="MT5" t="s">
        <v>555</v>
      </c>
      <c r="MU5">
        <v>0</v>
      </c>
      <c r="MV5">
        <v>0</v>
      </c>
      <c r="MW5">
        <v>0</v>
      </c>
      <c r="MX5" t="s">
        <v>264</v>
      </c>
      <c r="MY5">
        <v>71.099999999999994</v>
      </c>
      <c r="MZ5">
        <v>141.4</v>
      </c>
      <c r="NA5" t="s">
        <v>580</v>
      </c>
      <c r="NB5" t="s">
        <v>555</v>
      </c>
      <c r="NC5">
        <v>0</v>
      </c>
      <c r="ND5">
        <v>0</v>
      </c>
      <c r="NE5">
        <v>0</v>
      </c>
      <c r="NF5" t="s">
        <v>264</v>
      </c>
      <c r="NI5">
        <v>40.1</v>
      </c>
      <c r="NJ5">
        <v>-8.3000000000000007</v>
      </c>
      <c r="NP5" t="s">
        <v>624</v>
      </c>
    </row>
    <row r="6" spans="1:380" customFormat="1" x14ac:dyDescent="0.2">
      <c r="A6" t="s">
        <v>517</v>
      </c>
      <c r="B6">
        <v>1</v>
      </c>
      <c r="C6" s="409" t="s">
        <v>975</v>
      </c>
      <c r="D6">
        <v>646957784</v>
      </c>
      <c r="E6">
        <v>12602</v>
      </c>
      <c r="F6" t="s">
        <v>967</v>
      </c>
      <c r="G6">
        <v>802069</v>
      </c>
      <c r="H6">
        <v>210081711</v>
      </c>
      <c r="I6" t="s">
        <v>622</v>
      </c>
      <c r="J6" t="s">
        <v>976</v>
      </c>
      <c r="K6" t="s">
        <v>545</v>
      </c>
      <c r="L6" t="s">
        <v>447</v>
      </c>
      <c r="M6" t="s">
        <v>546</v>
      </c>
      <c r="N6" t="s">
        <v>468</v>
      </c>
      <c r="O6" t="s">
        <v>547</v>
      </c>
      <c r="P6" t="s">
        <v>264</v>
      </c>
      <c r="Q6">
        <v>27</v>
      </c>
      <c r="R6">
        <v>213</v>
      </c>
      <c r="S6" t="s">
        <v>264</v>
      </c>
      <c r="T6">
        <v>-9999</v>
      </c>
      <c r="U6">
        <v>744</v>
      </c>
      <c r="V6">
        <v>768</v>
      </c>
      <c r="W6">
        <v>732</v>
      </c>
      <c r="X6" t="s">
        <v>270</v>
      </c>
      <c r="Y6">
        <v>0</v>
      </c>
      <c r="Z6">
        <v>55</v>
      </c>
      <c r="AA6" t="s">
        <v>469</v>
      </c>
      <c r="AB6" t="s">
        <v>548</v>
      </c>
      <c r="AC6">
        <v>1</v>
      </c>
      <c r="AD6" t="s">
        <v>584</v>
      </c>
      <c r="AE6">
        <v>26.8</v>
      </c>
      <c r="AF6">
        <v>929</v>
      </c>
      <c r="AG6" t="s">
        <v>264</v>
      </c>
      <c r="AH6">
        <v>-9999</v>
      </c>
      <c r="AI6">
        <v>410</v>
      </c>
      <c r="AJ6">
        <v>522</v>
      </c>
      <c r="AK6">
        <v>412</v>
      </c>
      <c r="AL6" t="s">
        <v>270</v>
      </c>
      <c r="AM6">
        <v>0</v>
      </c>
      <c r="AN6">
        <v>55</v>
      </c>
      <c r="AO6" t="s">
        <v>470</v>
      </c>
      <c r="AP6" t="s">
        <v>548</v>
      </c>
      <c r="AQ6">
        <v>2</v>
      </c>
      <c r="AR6" t="s">
        <v>584</v>
      </c>
      <c r="AS6">
        <v>38.299999999999997</v>
      </c>
      <c r="AT6">
        <v>113</v>
      </c>
      <c r="AU6" t="s">
        <v>264</v>
      </c>
      <c r="AV6">
        <v>-9999</v>
      </c>
      <c r="AW6">
        <v>402</v>
      </c>
      <c r="AX6">
        <v>425</v>
      </c>
      <c r="AY6">
        <v>401</v>
      </c>
      <c r="AZ6" t="s">
        <v>270</v>
      </c>
      <c r="BA6">
        <v>0</v>
      </c>
      <c r="BB6">
        <v>55</v>
      </c>
      <c r="BC6" t="s">
        <v>550</v>
      </c>
      <c r="BD6" t="s">
        <v>548</v>
      </c>
      <c r="BE6">
        <v>3</v>
      </c>
      <c r="BF6" t="s">
        <v>584</v>
      </c>
      <c r="BG6">
        <v>21.7</v>
      </c>
      <c r="BH6">
        <v>617</v>
      </c>
      <c r="BI6" t="s">
        <v>264</v>
      </c>
      <c r="BJ6">
        <v>-9999</v>
      </c>
      <c r="BK6">
        <v>329</v>
      </c>
      <c r="BL6">
        <v>389</v>
      </c>
      <c r="BM6">
        <v>323</v>
      </c>
      <c r="BN6" t="s">
        <v>270</v>
      </c>
      <c r="BO6">
        <v>0</v>
      </c>
      <c r="BP6">
        <v>55</v>
      </c>
      <c r="BQ6" t="s">
        <v>504</v>
      </c>
      <c r="BR6" t="s">
        <v>548</v>
      </c>
      <c r="BS6">
        <v>4</v>
      </c>
      <c r="BT6" t="s">
        <v>584</v>
      </c>
      <c r="BU6">
        <v>29.1</v>
      </c>
      <c r="BV6">
        <v>291</v>
      </c>
      <c r="BW6" t="s">
        <v>264</v>
      </c>
      <c r="BX6">
        <v>-9999</v>
      </c>
      <c r="BY6">
        <v>196</v>
      </c>
      <c r="BZ6">
        <v>226</v>
      </c>
      <c r="CA6">
        <v>194</v>
      </c>
      <c r="CB6" t="s">
        <v>270</v>
      </c>
      <c r="CC6">
        <v>0</v>
      </c>
      <c r="CD6">
        <v>55</v>
      </c>
      <c r="CE6" t="s">
        <v>471</v>
      </c>
      <c r="CF6" t="s">
        <v>548</v>
      </c>
      <c r="CG6">
        <v>5</v>
      </c>
      <c r="CH6" t="s">
        <v>549</v>
      </c>
      <c r="CI6">
        <v>41.1</v>
      </c>
      <c r="CJ6">
        <v>124</v>
      </c>
      <c r="CK6" t="s">
        <v>264</v>
      </c>
      <c r="CL6">
        <v>-9999</v>
      </c>
      <c r="CM6">
        <v>502</v>
      </c>
      <c r="CN6">
        <v>582</v>
      </c>
      <c r="CO6">
        <v>499</v>
      </c>
      <c r="CP6" t="s">
        <v>270</v>
      </c>
      <c r="CQ6">
        <v>0</v>
      </c>
      <c r="CR6">
        <v>55</v>
      </c>
      <c r="CS6" t="s">
        <v>472</v>
      </c>
      <c r="CT6" t="s">
        <v>548</v>
      </c>
      <c r="CU6">
        <v>6</v>
      </c>
      <c r="CV6" t="s">
        <v>584</v>
      </c>
      <c r="CW6">
        <v>31.6</v>
      </c>
      <c r="CX6">
        <v>378</v>
      </c>
      <c r="CY6" t="s">
        <v>264</v>
      </c>
      <c r="CZ6">
        <v>-9999</v>
      </c>
      <c r="DA6">
        <v>719</v>
      </c>
      <c r="DB6">
        <v>812</v>
      </c>
      <c r="DC6">
        <v>705</v>
      </c>
      <c r="DD6" t="s">
        <v>270</v>
      </c>
      <c r="DE6">
        <v>0</v>
      </c>
      <c r="DF6">
        <v>55</v>
      </c>
      <c r="DG6" t="s">
        <v>473</v>
      </c>
      <c r="DH6" t="s">
        <v>548</v>
      </c>
      <c r="DI6">
        <v>7</v>
      </c>
      <c r="DJ6" t="s">
        <v>549</v>
      </c>
      <c r="DK6">
        <v>0</v>
      </c>
      <c r="DL6">
        <v>47</v>
      </c>
      <c r="DM6" t="s">
        <v>264</v>
      </c>
      <c r="DN6">
        <v>-9999</v>
      </c>
      <c r="DO6">
        <v>517</v>
      </c>
      <c r="DP6">
        <v>589</v>
      </c>
      <c r="DQ6">
        <v>514</v>
      </c>
      <c r="DR6" t="s">
        <v>270</v>
      </c>
      <c r="DS6">
        <v>0</v>
      </c>
      <c r="DT6">
        <v>55</v>
      </c>
      <c r="DU6" t="s">
        <v>474</v>
      </c>
      <c r="DV6" t="s">
        <v>548</v>
      </c>
      <c r="DW6">
        <v>8</v>
      </c>
      <c r="DX6" t="s">
        <v>584</v>
      </c>
      <c r="DY6">
        <v>21.6</v>
      </c>
      <c r="DZ6">
        <v>267</v>
      </c>
      <c r="EA6" t="s">
        <v>264</v>
      </c>
      <c r="EB6">
        <v>-9999</v>
      </c>
      <c r="EC6">
        <v>111</v>
      </c>
      <c r="ED6">
        <v>135</v>
      </c>
      <c r="EE6">
        <v>110</v>
      </c>
      <c r="EF6" t="s">
        <v>270</v>
      </c>
      <c r="EG6">
        <v>0</v>
      </c>
      <c r="EH6">
        <v>55</v>
      </c>
      <c r="EI6" t="s">
        <v>475</v>
      </c>
      <c r="EJ6" t="s">
        <v>548</v>
      </c>
      <c r="EK6">
        <v>9</v>
      </c>
      <c r="EL6" t="s">
        <v>584</v>
      </c>
      <c r="EM6">
        <v>20.8</v>
      </c>
      <c r="EN6">
        <v>471</v>
      </c>
      <c r="EO6" t="s">
        <v>264</v>
      </c>
      <c r="EP6">
        <v>-9999</v>
      </c>
      <c r="EQ6">
        <v>252</v>
      </c>
      <c r="ER6">
        <v>227</v>
      </c>
      <c r="ES6">
        <v>216</v>
      </c>
      <c r="ET6" t="s">
        <v>270</v>
      </c>
      <c r="EU6">
        <v>0</v>
      </c>
      <c r="EV6">
        <v>55</v>
      </c>
      <c r="EW6" t="s">
        <v>551</v>
      </c>
      <c r="EX6" t="s">
        <v>552</v>
      </c>
      <c r="EY6">
        <v>169</v>
      </c>
      <c r="EZ6">
        <v>168</v>
      </c>
      <c r="FA6">
        <v>169</v>
      </c>
      <c r="FB6" t="s">
        <v>270</v>
      </c>
      <c r="FC6" t="s">
        <v>553</v>
      </c>
      <c r="FD6" t="s">
        <v>552</v>
      </c>
      <c r="FE6">
        <v>302</v>
      </c>
      <c r="FF6">
        <v>301</v>
      </c>
      <c r="FG6">
        <v>301</v>
      </c>
      <c r="FH6" t="s">
        <v>270</v>
      </c>
      <c r="FI6" t="s">
        <v>554</v>
      </c>
      <c r="FJ6" t="s">
        <v>555</v>
      </c>
      <c r="FK6">
        <v>0</v>
      </c>
      <c r="FL6">
        <v>0</v>
      </c>
      <c r="FM6">
        <v>0</v>
      </c>
      <c r="FN6" t="s">
        <v>264</v>
      </c>
      <c r="FQ6" t="s">
        <v>556</v>
      </c>
      <c r="FR6" t="s">
        <v>555</v>
      </c>
      <c r="FS6">
        <v>0</v>
      </c>
      <c r="FT6">
        <v>0</v>
      </c>
      <c r="FU6">
        <v>0</v>
      </c>
      <c r="FV6" t="s">
        <v>264</v>
      </c>
      <c r="FY6" t="s">
        <v>557</v>
      </c>
      <c r="FZ6" t="s">
        <v>555</v>
      </c>
      <c r="GA6">
        <v>0</v>
      </c>
      <c r="GB6">
        <v>0</v>
      </c>
      <c r="GC6">
        <v>0</v>
      </c>
      <c r="GD6" t="s">
        <v>264</v>
      </c>
      <c r="GG6" t="s">
        <v>558</v>
      </c>
      <c r="GH6" t="s">
        <v>555</v>
      </c>
      <c r="GI6">
        <v>0</v>
      </c>
      <c r="GJ6">
        <v>0</v>
      </c>
      <c r="GK6">
        <v>0</v>
      </c>
      <c r="GL6" t="s">
        <v>264</v>
      </c>
      <c r="GO6" t="s">
        <v>559</v>
      </c>
      <c r="GP6" t="s">
        <v>555</v>
      </c>
      <c r="GQ6">
        <v>0</v>
      </c>
      <c r="GR6">
        <v>0</v>
      </c>
      <c r="GS6">
        <v>0</v>
      </c>
      <c r="GT6" t="s">
        <v>264</v>
      </c>
      <c r="GU6">
        <v>75.5</v>
      </c>
      <c r="GV6">
        <v>56</v>
      </c>
      <c r="GW6" t="s">
        <v>560</v>
      </c>
      <c r="GX6" t="s">
        <v>555</v>
      </c>
      <c r="GY6">
        <v>0</v>
      </c>
      <c r="GZ6">
        <v>0</v>
      </c>
      <c r="HA6">
        <v>0</v>
      </c>
      <c r="HB6" t="s">
        <v>264</v>
      </c>
      <c r="HC6">
        <v>69.2</v>
      </c>
      <c r="HD6">
        <v>38.4</v>
      </c>
      <c r="HE6" t="s">
        <v>561</v>
      </c>
      <c r="HF6" t="s">
        <v>555</v>
      </c>
      <c r="HG6">
        <v>0</v>
      </c>
      <c r="HH6">
        <v>0</v>
      </c>
      <c r="HI6">
        <v>0</v>
      </c>
      <c r="HJ6" t="s">
        <v>264</v>
      </c>
      <c r="HM6" t="s">
        <v>562</v>
      </c>
      <c r="HN6" t="s">
        <v>555</v>
      </c>
      <c r="HO6">
        <v>0</v>
      </c>
      <c r="HP6">
        <v>0</v>
      </c>
      <c r="HQ6">
        <v>0</v>
      </c>
      <c r="HR6" t="s">
        <v>264</v>
      </c>
      <c r="HU6" t="s">
        <v>563</v>
      </c>
      <c r="HV6" t="s">
        <v>555</v>
      </c>
      <c r="HW6">
        <v>0</v>
      </c>
      <c r="HX6">
        <v>0</v>
      </c>
      <c r="HY6">
        <v>0</v>
      </c>
      <c r="HZ6" t="s">
        <v>264</v>
      </c>
      <c r="IC6" t="s">
        <v>564</v>
      </c>
      <c r="ID6" t="s">
        <v>555</v>
      </c>
      <c r="IE6">
        <v>0</v>
      </c>
      <c r="IF6">
        <v>0</v>
      </c>
      <c r="IG6">
        <v>0</v>
      </c>
      <c r="IH6" t="s">
        <v>264</v>
      </c>
      <c r="IK6" t="s">
        <v>565</v>
      </c>
      <c r="IL6" t="s">
        <v>555</v>
      </c>
      <c r="IM6">
        <v>0</v>
      </c>
      <c r="IN6">
        <v>0</v>
      </c>
      <c r="IO6">
        <v>0</v>
      </c>
      <c r="IP6" t="s">
        <v>264</v>
      </c>
      <c r="IQ6">
        <v>70.400000000000006</v>
      </c>
      <c r="IR6">
        <v>312.39999999999998</v>
      </c>
      <c r="IS6" t="s">
        <v>566</v>
      </c>
      <c r="IT6" t="s">
        <v>555</v>
      </c>
      <c r="IU6">
        <v>0</v>
      </c>
      <c r="IV6">
        <v>0</v>
      </c>
      <c r="IW6">
        <v>0</v>
      </c>
      <c r="IX6" t="s">
        <v>264</v>
      </c>
      <c r="IY6">
        <v>67.8</v>
      </c>
      <c r="IZ6">
        <v>136.80000000000001</v>
      </c>
      <c r="JA6" t="s">
        <v>567</v>
      </c>
      <c r="JB6" t="s">
        <v>555</v>
      </c>
      <c r="JC6">
        <v>0</v>
      </c>
      <c r="JD6">
        <v>0</v>
      </c>
      <c r="JE6">
        <v>0</v>
      </c>
      <c r="JF6" t="s">
        <v>264</v>
      </c>
      <c r="JI6" t="s">
        <v>568</v>
      </c>
      <c r="JJ6" t="s">
        <v>555</v>
      </c>
      <c r="JK6">
        <v>0</v>
      </c>
      <c r="JL6">
        <v>0</v>
      </c>
      <c r="JM6">
        <v>0</v>
      </c>
      <c r="JN6" t="s">
        <v>264</v>
      </c>
      <c r="JO6">
        <v>65.5</v>
      </c>
      <c r="JP6">
        <v>74.900000000000006</v>
      </c>
      <c r="JQ6" t="s">
        <v>569</v>
      </c>
      <c r="JR6" t="s">
        <v>555</v>
      </c>
      <c r="JS6">
        <v>0</v>
      </c>
      <c r="JT6">
        <v>0</v>
      </c>
      <c r="JU6">
        <v>0</v>
      </c>
      <c r="JV6" t="s">
        <v>264</v>
      </c>
      <c r="JY6" t="s">
        <v>570</v>
      </c>
      <c r="JZ6" t="s">
        <v>555</v>
      </c>
      <c r="KA6">
        <v>0</v>
      </c>
      <c r="KB6">
        <v>0</v>
      </c>
      <c r="KC6">
        <v>0</v>
      </c>
      <c r="KD6" t="s">
        <v>264</v>
      </c>
      <c r="KG6" t="s">
        <v>571</v>
      </c>
      <c r="KH6" t="s">
        <v>555</v>
      </c>
      <c r="KI6">
        <v>0</v>
      </c>
      <c r="KJ6">
        <v>0</v>
      </c>
      <c r="KK6">
        <v>0</v>
      </c>
      <c r="KL6" t="s">
        <v>264</v>
      </c>
      <c r="KO6" t="s">
        <v>572</v>
      </c>
      <c r="KP6" t="s">
        <v>555</v>
      </c>
      <c r="KQ6">
        <v>0</v>
      </c>
      <c r="KR6">
        <v>0</v>
      </c>
      <c r="KS6">
        <v>0</v>
      </c>
      <c r="KT6" t="s">
        <v>264</v>
      </c>
      <c r="KW6" t="s">
        <v>573</v>
      </c>
      <c r="KX6" t="s">
        <v>555</v>
      </c>
      <c r="KY6">
        <v>0</v>
      </c>
      <c r="KZ6">
        <v>0</v>
      </c>
      <c r="LA6">
        <v>0</v>
      </c>
      <c r="LB6" t="s">
        <v>264</v>
      </c>
      <c r="LE6" t="s">
        <v>574</v>
      </c>
      <c r="LF6" t="s">
        <v>555</v>
      </c>
      <c r="LG6">
        <v>0</v>
      </c>
      <c r="LH6">
        <v>0</v>
      </c>
      <c r="LI6">
        <v>0</v>
      </c>
      <c r="LJ6" t="s">
        <v>264</v>
      </c>
      <c r="LM6" t="s">
        <v>575</v>
      </c>
      <c r="LN6" t="s">
        <v>555</v>
      </c>
      <c r="LO6">
        <v>0</v>
      </c>
      <c r="LP6">
        <v>0</v>
      </c>
      <c r="LQ6">
        <v>0</v>
      </c>
      <c r="LR6" t="s">
        <v>264</v>
      </c>
      <c r="LS6">
        <v>75.5</v>
      </c>
      <c r="LT6">
        <v>132.80000000000001</v>
      </c>
      <c r="LU6" t="s">
        <v>576</v>
      </c>
      <c r="LV6" t="s">
        <v>555</v>
      </c>
      <c r="LW6">
        <v>0</v>
      </c>
      <c r="LX6">
        <v>0</v>
      </c>
      <c r="LY6">
        <v>0</v>
      </c>
      <c r="LZ6" t="s">
        <v>264</v>
      </c>
      <c r="MC6" t="s">
        <v>577</v>
      </c>
      <c r="MD6" t="s">
        <v>555</v>
      </c>
      <c r="ME6">
        <v>0</v>
      </c>
      <c r="MF6">
        <v>0</v>
      </c>
      <c r="MG6">
        <v>0</v>
      </c>
      <c r="MH6" t="s">
        <v>264</v>
      </c>
      <c r="MI6">
        <v>65.3</v>
      </c>
      <c r="MJ6">
        <v>94.4</v>
      </c>
      <c r="MK6" t="s">
        <v>578</v>
      </c>
      <c r="ML6" t="s">
        <v>555</v>
      </c>
      <c r="MM6">
        <v>0</v>
      </c>
      <c r="MN6">
        <v>0</v>
      </c>
      <c r="MO6">
        <v>0</v>
      </c>
      <c r="MP6" t="s">
        <v>264</v>
      </c>
      <c r="MQ6">
        <v>70.5</v>
      </c>
      <c r="MR6">
        <v>132</v>
      </c>
      <c r="MS6" t="s">
        <v>579</v>
      </c>
      <c r="MT6" t="s">
        <v>555</v>
      </c>
      <c r="MU6">
        <v>0</v>
      </c>
      <c r="MV6">
        <v>0</v>
      </c>
      <c r="MW6">
        <v>0</v>
      </c>
      <c r="MX6" t="s">
        <v>264</v>
      </c>
      <c r="MY6">
        <v>70.900000000000006</v>
      </c>
      <c r="MZ6">
        <v>145.80000000000001</v>
      </c>
      <c r="NA6" t="s">
        <v>580</v>
      </c>
      <c r="NB6" t="s">
        <v>555</v>
      </c>
      <c r="NC6">
        <v>0</v>
      </c>
      <c r="ND6">
        <v>0</v>
      </c>
      <c r="NE6">
        <v>0</v>
      </c>
      <c r="NF6" t="s">
        <v>264</v>
      </c>
      <c r="NI6">
        <v>40</v>
      </c>
      <c r="NJ6">
        <v>-9.1999999999999993</v>
      </c>
      <c r="NP6" t="s">
        <v>624</v>
      </c>
    </row>
    <row r="7" spans="1:380" customFormat="1" x14ac:dyDescent="0.2">
      <c r="A7" t="s">
        <v>517</v>
      </c>
      <c r="B7">
        <v>1</v>
      </c>
      <c r="C7" s="409" t="s">
        <v>977</v>
      </c>
      <c r="D7">
        <v>646958165</v>
      </c>
      <c r="E7">
        <v>12602</v>
      </c>
      <c r="F7" t="s">
        <v>967</v>
      </c>
      <c r="G7">
        <v>802069</v>
      </c>
      <c r="H7">
        <v>210019068</v>
      </c>
      <c r="I7" t="s">
        <v>622</v>
      </c>
      <c r="J7" t="s">
        <v>978</v>
      </c>
      <c r="K7" t="s">
        <v>545</v>
      </c>
      <c r="L7" t="s">
        <v>447</v>
      </c>
      <c r="M7" t="s">
        <v>546</v>
      </c>
      <c r="N7" t="s">
        <v>468</v>
      </c>
      <c r="O7" t="s">
        <v>547</v>
      </c>
      <c r="P7" t="s">
        <v>264</v>
      </c>
      <c r="Q7">
        <v>27.2</v>
      </c>
      <c r="R7">
        <v>205</v>
      </c>
      <c r="S7" t="s">
        <v>264</v>
      </c>
      <c r="T7">
        <v>-9999</v>
      </c>
      <c r="U7">
        <v>574</v>
      </c>
      <c r="V7">
        <v>590</v>
      </c>
      <c r="W7">
        <v>564</v>
      </c>
      <c r="X7" t="s">
        <v>270</v>
      </c>
      <c r="Y7">
        <v>0</v>
      </c>
      <c r="Z7">
        <v>55</v>
      </c>
      <c r="AA7" t="s">
        <v>469</v>
      </c>
      <c r="AB7" t="s">
        <v>548</v>
      </c>
      <c r="AC7">
        <v>1</v>
      </c>
      <c r="AD7" t="s">
        <v>584</v>
      </c>
      <c r="AE7">
        <v>27.3</v>
      </c>
      <c r="AF7">
        <v>722</v>
      </c>
      <c r="AG7" t="s">
        <v>264</v>
      </c>
      <c r="AH7">
        <v>-9999</v>
      </c>
      <c r="AI7">
        <v>515</v>
      </c>
      <c r="AJ7">
        <v>649</v>
      </c>
      <c r="AK7">
        <v>514</v>
      </c>
      <c r="AL7" t="s">
        <v>270</v>
      </c>
      <c r="AM7">
        <v>0</v>
      </c>
      <c r="AN7">
        <v>55</v>
      </c>
      <c r="AO7" t="s">
        <v>470</v>
      </c>
      <c r="AP7" t="s">
        <v>548</v>
      </c>
      <c r="AQ7">
        <v>2</v>
      </c>
      <c r="AR7" t="s">
        <v>549</v>
      </c>
      <c r="AS7">
        <v>41.8</v>
      </c>
      <c r="AT7">
        <v>78</v>
      </c>
      <c r="AU7" t="s">
        <v>264</v>
      </c>
      <c r="AV7">
        <v>-9999</v>
      </c>
      <c r="AW7">
        <v>392</v>
      </c>
      <c r="AX7">
        <v>412</v>
      </c>
      <c r="AY7">
        <v>390</v>
      </c>
      <c r="AZ7" t="s">
        <v>270</v>
      </c>
      <c r="BA7">
        <v>0</v>
      </c>
      <c r="BB7">
        <v>55</v>
      </c>
      <c r="BC7" t="s">
        <v>550</v>
      </c>
      <c r="BD7" t="s">
        <v>548</v>
      </c>
      <c r="BE7">
        <v>3</v>
      </c>
      <c r="BF7" t="s">
        <v>584</v>
      </c>
      <c r="BG7">
        <v>21.7</v>
      </c>
      <c r="BH7">
        <v>931</v>
      </c>
      <c r="BI7" t="s">
        <v>264</v>
      </c>
      <c r="BJ7">
        <v>-9999</v>
      </c>
      <c r="BK7">
        <v>178</v>
      </c>
      <c r="BL7">
        <v>222</v>
      </c>
      <c r="BM7">
        <v>178</v>
      </c>
      <c r="BN7" t="s">
        <v>270</v>
      </c>
      <c r="BO7">
        <v>0</v>
      </c>
      <c r="BP7">
        <v>55</v>
      </c>
      <c r="BQ7" t="s">
        <v>504</v>
      </c>
      <c r="BR7" t="s">
        <v>548</v>
      </c>
      <c r="BS7">
        <v>4</v>
      </c>
      <c r="BT7" t="s">
        <v>584</v>
      </c>
      <c r="BU7">
        <v>30</v>
      </c>
      <c r="BV7">
        <v>266</v>
      </c>
      <c r="BW7" t="s">
        <v>264</v>
      </c>
      <c r="BX7">
        <v>-9999</v>
      </c>
      <c r="BY7">
        <v>228</v>
      </c>
      <c r="BZ7">
        <v>264</v>
      </c>
      <c r="CA7">
        <v>226</v>
      </c>
      <c r="CB7" t="s">
        <v>270</v>
      </c>
      <c r="CC7">
        <v>0</v>
      </c>
      <c r="CD7">
        <v>55</v>
      </c>
      <c r="CE7" t="s">
        <v>471</v>
      </c>
      <c r="CF7" t="s">
        <v>548</v>
      </c>
      <c r="CG7">
        <v>5</v>
      </c>
      <c r="CH7" t="s">
        <v>549</v>
      </c>
      <c r="CI7">
        <v>44</v>
      </c>
      <c r="CJ7">
        <v>103</v>
      </c>
      <c r="CK7" t="s">
        <v>264</v>
      </c>
      <c r="CL7">
        <v>-9999</v>
      </c>
      <c r="CM7">
        <v>455</v>
      </c>
      <c r="CN7">
        <v>532</v>
      </c>
      <c r="CO7">
        <v>454</v>
      </c>
      <c r="CP7" t="s">
        <v>270</v>
      </c>
      <c r="CQ7">
        <v>0</v>
      </c>
      <c r="CR7">
        <v>55</v>
      </c>
      <c r="CS7" t="s">
        <v>472</v>
      </c>
      <c r="CT7" t="s">
        <v>548</v>
      </c>
      <c r="CU7">
        <v>6</v>
      </c>
      <c r="CV7" t="s">
        <v>584</v>
      </c>
      <c r="CW7">
        <v>32</v>
      </c>
      <c r="CX7">
        <v>363</v>
      </c>
      <c r="CY7" t="s">
        <v>264</v>
      </c>
      <c r="CZ7">
        <v>-9999</v>
      </c>
      <c r="DA7">
        <v>629</v>
      </c>
      <c r="DB7">
        <v>712</v>
      </c>
      <c r="DC7">
        <v>616</v>
      </c>
      <c r="DD7" t="s">
        <v>270</v>
      </c>
      <c r="DE7">
        <v>0</v>
      </c>
      <c r="DF7">
        <v>55</v>
      </c>
      <c r="DG7" t="s">
        <v>473</v>
      </c>
      <c r="DH7" t="s">
        <v>548</v>
      </c>
      <c r="DI7">
        <v>7</v>
      </c>
      <c r="DJ7" t="s">
        <v>584</v>
      </c>
      <c r="DK7">
        <v>37.799999999999997</v>
      </c>
      <c r="DL7">
        <v>78</v>
      </c>
      <c r="DM7" t="s">
        <v>264</v>
      </c>
      <c r="DN7">
        <v>-9999</v>
      </c>
      <c r="DO7">
        <v>557</v>
      </c>
      <c r="DP7">
        <v>631</v>
      </c>
      <c r="DQ7">
        <v>553</v>
      </c>
      <c r="DR7" t="s">
        <v>270</v>
      </c>
      <c r="DS7">
        <v>0</v>
      </c>
      <c r="DT7">
        <v>55</v>
      </c>
      <c r="DU7" t="s">
        <v>474</v>
      </c>
      <c r="DV7" t="s">
        <v>548</v>
      </c>
      <c r="DW7">
        <v>8</v>
      </c>
      <c r="DX7" t="s">
        <v>584</v>
      </c>
      <c r="DY7">
        <v>22.8</v>
      </c>
      <c r="DZ7">
        <v>239</v>
      </c>
      <c r="EA7" t="s">
        <v>264</v>
      </c>
      <c r="EB7">
        <v>-9999</v>
      </c>
      <c r="EC7">
        <v>109</v>
      </c>
      <c r="ED7">
        <v>135</v>
      </c>
      <c r="EE7">
        <v>108</v>
      </c>
      <c r="EF7" t="s">
        <v>270</v>
      </c>
      <c r="EG7">
        <v>0</v>
      </c>
      <c r="EH7">
        <v>55</v>
      </c>
      <c r="EI7" t="s">
        <v>475</v>
      </c>
      <c r="EJ7" t="s">
        <v>548</v>
      </c>
      <c r="EK7">
        <v>9</v>
      </c>
      <c r="EL7" t="s">
        <v>584</v>
      </c>
      <c r="EM7">
        <v>23.6</v>
      </c>
      <c r="EN7">
        <v>307</v>
      </c>
      <c r="EO7" t="s">
        <v>264</v>
      </c>
      <c r="EP7">
        <v>-9999</v>
      </c>
      <c r="EQ7">
        <v>314</v>
      </c>
      <c r="ER7">
        <v>298</v>
      </c>
      <c r="ES7">
        <v>277</v>
      </c>
      <c r="ET7" t="s">
        <v>270</v>
      </c>
      <c r="EU7">
        <v>0</v>
      </c>
      <c r="EV7">
        <v>55</v>
      </c>
      <c r="EW7" t="s">
        <v>551</v>
      </c>
      <c r="EX7" t="s">
        <v>552</v>
      </c>
      <c r="EY7">
        <v>155</v>
      </c>
      <c r="EZ7">
        <v>156</v>
      </c>
      <c r="FA7">
        <v>156</v>
      </c>
      <c r="FB7" t="s">
        <v>270</v>
      </c>
      <c r="FC7" t="s">
        <v>553</v>
      </c>
      <c r="FD7" t="s">
        <v>552</v>
      </c>
      <c r="FE7">
        <v>323</v>
      </c>
      <c r="FF7">
        <v>321</v>
      </c>
      <c r="FG7">
        <v>320</v>
      </c>
      <c r="FH7" t="s">
        <v>270</v>
      </c>
      <c r="FI7" t="s">
        <v>554</v>
      </c>
      <c r="FJ7" t="s">
        <v>555</v>
      </c>
      <c r="FK7">
        <v>0</v>
      </c>
      <c r="FL7">
        <v>0</v>
      </c>
      <c r="FM7">
        <v>0</v>
      </c>
      <c r="FN7" t="s">
        <v>264</v>
      </c>
      <c r="FQ7" t="s">
        <v>556</v>
      </c>
      <c r="FR7" t="s">
        <v>555</v>
      </c>
      <c r="FS7">
        <v>0</v>
      </c>
      <c r="FT7">
        <v>0</v>
      </c>
      <c r="FU7">
        <v>0</v>
      </c>
      <c r="FV7" t="s">
        <v>264</v>
      </c>
      <c r="FY7" t="s">
        <v>557</v>
      </c>
      <c r="FZ7" t="s">
        <v>555</v>
      </c>
      <c r="GA7">
        <v>0</v>
      </c>
      <c r="GB7">
        <v>0</v>
      </c>
      <c r="GC7">
        <v>0</v>
      </c>
      <c r="GD7" t="s">
        <v>264</v>
      </c>
      <c r="GG7" t="s">
        <v>558</v>
      </c>
      <c r="GH7" t="s">
        <v>555</v>
      </c>
      <c r="GI7">
        <v>0</v>
      </c>
      <c r="GJ7">
        <v>0</v>
      </c>
      <c r="GK7">
        <v>0</v>
      </c>
      <c r="GL7" t="s">
        <v>264</v>
      </c>
      <c r="GO7" t="s">
        <v>559</v>
      </c>
      <c r="GP7" t="s">
        <v>555</v>
      </c>
      <c r="GQ7">
        <v>0</v>
      </c>
      <c r="GR7">
        <v>0</v>
      </c>
      <c r="GS7">
        <v>0</v>
      </c>
      <c r="GT7" t="s">
        <v>264</v>
      </c>
      <c r="GU7">
        <v>75.400000000000006</v>
      </c>
      <c r="GV7">
        <v>56.7</v>
      </c>
      <c r="GW7" t="s">
        <v>560</v>
      </c>
      <c r="GX7" t="s">
        <v>555</v>
      </c>
      <c r="GY7">
        <v>0</v>
      </c>
      <c r="GZ7">
        <v>0</v>
      </c>
      <c r="HA7">
        <v>0</v>
      </c>
      <c r="HB7" t="s">
        <v>264</v>
      </c>
      <c r="HC7">
        <v>69.2</v>
      </c>
      <c r="HD7">
        <v>33.6</v>
      </c>
      <c r="HE7" t="s">
        <v>561</v>
      </c>
      <c r="HF7" t="s">
        <v>555</v>
      </c>
      <c r="HG7">
        <v>0</v>
      </c>
      <c r="HH7">
        <v>0</v>
      </c>
      <c r="HI7">
        <v>0</v>
      </c>
      <c r="HJ7" t="s">
        <v>264</v>
      </c>
      <c r="HM7" t="s">
        <v>562</v>
      </c>
      <c r="HN7" t="s">
        <v>555</v>
      </c>
      <c r="HO7">
        <v>0</v>
      </c>
      <c r="HP7">
        <v>0</v>
      </c>
      <c r="HQ7">
        <v>0</v>
      </c>
      <c r="HR7" t="s">
        <v>264</v>
      </c>
      <c r="HU7" t="s">
        <v>563</v>
      </c>
      <c r="HV7" t="s">
        <v>555</v>
      </c>
      <c r="HW7">
        <v>0</v>
      </c>
      <c r="HX7">
        <v>0</v>
      </c>
      <c r="HY7">
        <v>0</v>
      </c>
      <c r="HZ7" t="s">
        <v>264</v>
      </c>
      <c r="IC7" t="s">
        <v>564</v>
      </c>
      <c r="ID7" t="s">
        <v>555</v>
      </c>
      <c r="IE7">
        <v>0</v>
      </c>
      <c r="IF7">
        <v>0</v>
      </c>
      <c r="IG7">
        <v>0</v>
      </c>
      <c r="IH7" t="s">
        <v>264</v>
      </c>
      <c r="IK7" t="s">
        <v>565</v>
      </c>
      <c r="IL7" t="s">
        <v>555</v>
      </c>
      <c r="IM7">
        <v>0</v>
      </c>
      <c r="IN7">
        <v>0</v>
      </c>
      <c r="IO7">
        <v>0</v>
      </c>
      <c r="IP7" t="s">
        <v>264</v>
      </c>
      <c r="IQ7">
        <v>70.3</v>
      </c>
      <c r="IR7">
        <v>321</v>
      </c>
      <c r="IS7" t="s">
        <v>566</v>
      </c>
      <c r="IT7" t="s">
        <v>555</v>
      </c>
      <c r="IU7">
        <v>0</v>
      </c>
      <c r="IV7">
        <v>0</v>
      </c>
      <c r="IW7">
        <v>0</v>
      </c>
      <c r="IX7" t="s">
        <v>264</v>
      </c>
      <c r="IY7">
        <v>67.599999999999994</v>
      </c>
      <c r="IZ7">
        <v>143.4</v>
      </c>
      <c r="JA7" t="s">
        <v>567</v>
      </c>
      <c r="JB7" t="s">
        <v>555</v>
      </c>
      <c r="JC7">
        <v>0</v>
      </c>
      <c r="JD7">
        <v>0</v>
      </c>
      <c r="JE7">
        <v>0</v>
      </c>
      <c r="JF7" t="s">
        <v>264</v>
      </c>
      <c r="JG7">
        <v>75.400000000000006</v>
      </c>
      <c r="JH7">
        <v>172.2</v>
      </c>
      <c r="JI7" t="s">
        <v>568</v>
      </c>
      <c r="JJ7" t="s">
        <v>555</v>
      </c>
      <c r="JK7">
        <v>0</v>
      </c>
      <c r="JL7">
        <v>0</v>
      </c>
      <c r="JM7">
        <v>0</v>
      </c>
      <c r="JN7" t="s">
        <v>264</v>
      </c>
      <c r="JO7">
        <v>65.3</v>
      </c>
      <c r="JP7">
        <v>58.1</v>
      </c>
      <c r="JQ7" t="s">
        <v>569</v>
      </c>
      <c r="JR7" t="s">
        <v>555</v>
      </c>
      <c r="JS7">
        <v>0</v>
      </c>
      <c r="JT7">
        <v>0</v>
      </c>
      <c r="JU7">
        <v>0</v>
      </c>
      <c r="JV7" t="s">
        <v>264</v>
      </c>
      <c r="JY7" t="s">
        <v>570</v>
      </c>
      <c r="JZ7" t="s">
        <v>555</v>
      </c>
      <c r="KA7">
        <v>0</v>
      </c>
      <c r="KB7">
        <v>0</v>
      </c>
      <c r="KC7">
        <v>0</v>
      </c>
      <c r="KD7" t="s">
        <v>264</v>
      </c>
      <c r="KG7" t="s">
        <v>571</v>
      </c>
      <c r="KH7" t="s">
        <v>555</v>
      </c>
      <c r="KI7">
        <v>0</v>
      </c>
      <c r="KJ7">
        <v>0</v>
      </c>
      <c r="KK7">
        <v>0</v>
      </c>
      <c r="KL7" t="s">
        <v>264</v>
      </c>
      <c r="KO7" t="s">
        <v>572</v>
      </c>
      <c r="KP7" t="s">
        <v>555</v>
      </c>
      <c r="KQ7">
        <v>0</v>
      </c>
      <c r="KR7">
        <v>0</v>
      </c>
      <c r="KS7">
        <v>0</v>
      </c>
      <c r="KT7" t="s">
        <v>264</v>
      </c>
      <c r="KW7" t="s">
        <v>573</v>
      </c>
      <c r="KX7" t="s">
        <v>555</v>
      </c>
      <c r="KY7">
        <v>0</v>
      </c>
      <c r="KZ7">
        <v>0</v>
      </c>
      <c r="LA7">
        <v>0</v>
      </c>
      <c r="LB7" t="s">
        <v>264</v>
      </c>
      <c r="LE7" t="s">
        <v>574</v>
      </c>
      <c r="LF7" t="s">
        <v>555</v>
      </c>
      <c r="LG7">
        <v>0</v>
      </c>
      <c r="LH7">
        <v>0</v>
      </c>
      <c r="LI7">
        <v>0</v>
      </c>
      <c r="LJ7" t="s">
        <v>264</v>
      </c>
      <c r="LM7" t="s">
        <v>575</v>
      </c>
      <c r="LN7" t="s">
        <v>555</v>
      </c>
      <c r="LO7">
        <v>0</v>
      </c>
      <c r="LP7">
        <v>0</v>
      </c>
      <c r="LQ7">
        <v>0</v>
      </c>
      <c r="LR7" t="s">
        <v>264</v>
      </c>
      <c r="LS7">
        <v>75.5</v>
      </c>
      <c r="LT7">
        <v>104.7</v>
      </c>
      <c r="LU7" t="s">
        <v>576</v>
      </c>
      <c r="LV7" t="s">
        <v>555</v>
      </c>
      <c r="LW7">
        <v>0</v>
      </c>
      <c r="LX7">
        <v>0</v>
      </c>
      <c r="LY7">
        <v>0</v>
      </c>
      <c r="LZ7" t="s">
        <v>264</v>
      </c>
      <c r="MC7" t="s">
        <v>577</v>
      </c>
      <c r="MD7" t="s">
        <v>555</v>
      </c>
      <c r="ME7">
        <v>0</v>
      </c>
      <c r="MF7">
        <v>0</v>
      </c>
      <c r="MG7">
        <v>0</v>
      </c>
      <c r="MH7" t="s">
        <v>264</v>
      </c>
      <c r="MI7">
        <v>65.2</v>
      </c>
      <c r="MJ7">
        <v>99.7</v>
      </c>
      <c r="MK7" t="s">
        <v>578</v>
      </c>
      <c r="ML7" t="s">
        <v>555</v>
      </c>
      <c r="MM7">
        <v>0</v>
      </c>
      <c r="MN7">
        <v>0</v>
      </c>
      <c r="MO7">
        <v>0</v>
      </c>
      <c r="MP7" t="s">
        <v>264</v>
      </c>
      <c r="MQ7">
        <v>70.400000000000006</v>
      </c>
      <c r="MR7">
        <v>129.6</v>
      </c>
      <c r="MS7" t="s">
        <v>579</v>
      </c>
      <c r="MT7" t="s">
        <v>555</v>
      </c>
      <c r="MU7">
        <v>0</v>
      </c>
      <c r="MV7">
        <v>0</v>
      </c>
      <c r="MW7">
        <v>0</v>
      </c>
      <c r="MX7" t="s">
        <v>264</v>
      </c>
      <c r="MY7">
        <v>70.8</v>
      </c>
      <c r="MZ7">
        <v>153.4</v>
      </c>
      <c r="NA7" t="s">
        <v>580</v>
      </c>
      <c r="NB7" t="s">
        <v>555</v>
      </c>
      <c r="NC7">
        <v>0</v>
      </c>
      <c r="ND7">
        <v>0</v>
      </c>
      <c r="NE7">
        <v>0</v>
      </c>
      <c r="NF7" t="s">
        <v>264</v>
      </c>
      <c r="NI7">
        <v>40</v>
      </c>
      <c r="NJ7">
        <v>-11.9</v>
      </c>
      <c r="NP7" t="s">
        <v>624</v>
      </c>
    </row>
    <row r="8" spans="1:380" customFormat="1" x14ac:dyDescent="0.2">
      <c r="A8" t="s">
        <v>517</v>
      </c>
      <c r="B8">
        <v>1</v>
      </c>
      <c r="C8" s="409" t="s">
        <v>979</v>
      </c>
      <c r="D8">
        <v>646959890</v>
      </c>
      <c r="E8">
        <v>12602</v>
      </c>
      <c r="F8" t="s">
        <v>967</v>
      </c>
      <c r="G8">
        <v>802069</v>
      </c>
      <c r="H8">
        <v>210022090</v>
      </c>
      <c r="I8" t="s">
        <v>622</v>
      </c>
      <c r="J8" t="s">
        <v>980</v>
      </c>
      <c r="K8" t="s">
        <v>545</v>
      </c>
      <c r="L8" t="s">
        <v>518</v>
      </c>
      <c r="M8" t="s">
        <v>546</v>
      </c>
      <c r="N8" t="s">
        <v>468</v>
      </c>
      <c r="O8" t="s">
        <v>547</v>
      </c>
      <c r="P8" t="s">
        <v>264</v>
      </c>
      <c r="Q8">
        <v>26.8</v>
      </c>
      <c r="R8">
        <v>202</v>
      </c>
      <c r="S8" t="s">
        <v>264</v>
      </c>
      <c r="T8">
        <v>-9999</v>
      </c>
      <c r="U8">
        <v>807</v>
      </c>
      <c r="V8">
        <v>835</v>
      </c>
      <c r="W8">
        <v>794</v>
      </c>
      <c r="X8" t="s">
        <v>270</v>
      </c>
      <c r="Y8">
        <v>0</v>
      </c>
      <c r="Z8">
        <v>55</v>
      </c>
      <c r="AA8" t="s">
        <v>469</v>
      </c>
      <c r="AB8" t="s">
        <v>548</v>
      </c>
      <c r="AC8">
        <v>1</v>
      </c>
      <c r="AD8" t="s">
        <v>584</v>
      </c>
      <c r="AE8">
        <v>27.3</v>
      </c>
      <c r="AF8">
        <v>897</v>
      </c>
      <c r="AG8" t="s">
        <v>264</v>
      </c>
      <c r="AH8">
        <v>-9999</v>
      </c>
      <c r="AI8">
        <v>311</v>
      </c>
      <c r="AJ8">
        <v>401</v>
      </c>
      <c r="AK8">
        <v>312</v>
      </c>
      <c r="AL8" t="s">
        <v>270</v>
      </c>
      <c r="AM8">
        <v>0</v>
      </c>
      <c r="AN8">
        <v>55</v>
      </c>
      <c r="AO8" t="s">
        <v>470</v>
      </c>
      <c r="AP8" t="s">
        <v>548</v>
      </c>
      <c r="AQ8">
        <v>2</v>
      </c>
      <c r="AR8" t="s">
        <v>549</v>
      </c>
      <c r="AS8">
        <v>41</v>
      </c>
      <c r="AT8">
        <v>94</v>
      </c>
      <c r="AU8" t="s">
        <v>264</v>
      </c>
      <c r="AV8">
        <v>-9999</v>
      </c>
      <c r="AW8">
        <v>422</v>
      </c>
      <c r="AX8">
        <v>445</v>
      </c>
      <c r="AY8">
        <v>419</v>
      </c>
      <c r="AZ8" t="s">
        <v>270</v>
      </c>
      <c r="BA8">
        <v>0</v>
      </c>
      <c r="BB8">
        <v>55</v>
      </c>
      <c r="BC8" t="s">
        <v>550</v>
      </c>
      <c r="BD8" t="s">
        <v>548</v>
      </c>
      <c r="BE8">
        <v>3</v>
      </c>
      <c r="BF8" t="s">
        <v>584</v>
      </c>
      <c r="BG8">
        <v>22.7</v>
      </c>
      <c r="BH8">
        <v>583</v>
      </c>
      <c r="BI8" t="s">
        <v>264</v>
      </c>
      <c r="BJ8">
        <v>-9999</v>
      </c>
      <c r="BK8">
        <v>367</v>
      </c>
      <c r="BL8">
        <v>435</v>
      </c>
      <c r="BM8">
        <v>360</v>
      </c>
      <c r="BN8" t="s">
        <v>270</v>
      </c>
      <c r="BO8">
        <v>0</v>
      </c>
      <c r="BP8">
        <v>55</v>
      </c>
      <c r="BQ8" t="s">
        <v>504</v>
      </c>
      <c r="BR8" t="s">
        <v>548</v>
      </c>
      <c r="BS8">
        <v>4</v>
      </c>
      <c r="BT8" t="s">
        <v>584</v>
      </c>
      <c r="BU8">
        <v>30.9</v>
      </c>
      <c r="BV8">
        <v>243</v>
      </c>
      <c r="BW8" t="s">
        <v>264</v>
      </c>
      <c r="BX8">
        <v>-9999</v>
      </c>
      <c r="BY8">
        <v>253</v>
      </c>
      <c r="BZ8">
        <v>291</v>
      </c>
      <c r="CA8">
        <v>249</v>
      </c>
      <c r="CB8" t="s">
        <v>270</v>
      </c>
      <c r="CC8">
        <v>0</v>
      </c>
      <c r="CD8">
        <v>55</v>
      </c>
      <c r="CE8" t="s">
        <v>471</v>
      </c>
      <c r="CF8" t="s">
        <v>548</v>
      </c>
      <c r="CG8">
        <v>5</v>
      </c>
      <c r="CH8" t="s">
        <v>584</v>
      </c>
      <c r="CI8">
        <v>35.6</v>
      </c>
      <c r="CJ8">
        <v>181</v>
      </c>
      <c r="CK8" t="s">
        <v>264</v>
      </c>
      <c r="CL8">
        <v>-9999</v>
      </c>
      <c r="CM8">
        <v>435</v>
      </c>
      <c r="CN8">
        <v>509</v>
      </c>
      <c r="CO8">
        <v>433</v>
      </c>
      <c r="CP8" t="s">
        <v>270</v>
      </c>
      <c r="CQ8">
        <v>0</v>
      </c>
      <c r="CR8">
        <v>55</v>
      </c>
      <c r="CS8" t="s">
        <v>472</v>
      </c>
      <c r="CT8" t="s">
        <v>548</v>
      </c>
      <c r="CU8">
        <v>6</v>
      </c>
      <c r="CV8" t="s">
        <v>584</v>
      </c>
      <c r="CW8">
        <v>31.5</v>
      </c>
      <c r="CX8">
        <v>373</v>
      </c>
      <c r="CY8" t="s">
        <v>264</v>
      </c>
      <c r="CZ8">
        <v>-9999</v>
      </c>
      <c r="DA8">
        <v>607</v>
      </c>
      <c r="DB8">
        <v>689</v>
      </c>
      <c r="DC8">
        <v>596</v>
      </c>
      <c r="DD8" t="s">
        <v>270</v>
      </c>
      <c r="DE8">
        <v>0</v>
      </c>
      <c r="DF8">
        <v>55</v>
      </c>
      <c r="DG8" t="s">
        <v>473</v>
      </c>
      <c r="DH8" t="s">
        <v>548</v>
      </c>
      <c r="DI8">
        <v>7</v>
      </c>
      <c r="DJ8" t="s">
        <v>549</v>
      </c>
      <c r="DK8">
        <v>0</v>
      </c>
      <c r="DL8">
        <v>40</v>
      </c>
      <c r="DM8" t="s">
        <v>264</v>
      </c>
      <c r="DN8">
        <v>-9999</v>
      </c>
      <c r="DO8">
        <v>451</v>
      </c>
      <c r="DP8">
        <v>514</v>
      </c>
      <c r="DQ8">
        <v>447</v>
      </c>
      <c r="DR8" t="s">
        <v>270</v>
      </c>
      <c r="DS8">
        <v>0</v>
      </c>
      <c r="DT8">
        <v>55</v>
      </c>
      <c r="DU8" t="s">
        <v>474</v>
      </c>
      <c r="DV8" t="s">
        <v>548</v>
      </c>
      <c r="DW8">
        <v>8</v>
      </c>
      <c r="DX8" t="s">
        <v>584</v>
      </c>
      <c r="DY8">
        <v>23.1</v>
      </c>
      <c r="DZ8">
        <v>225</v>
      </c>
      <c r="EA8" t="s">
        <v>264</v>
      </c>
      <c r="EB8">
        <v>-9999</v>
      </c>
      <c r="EC8">
        <v>122</v>
      </c>
      <c r="ED8">
        <v>148</v>
      </c>
      <c r="EE8">
        <v>120</v>
      </c>
      <c r="EF8" t="s">
        <v>270</v>
      </c>
      <c r="EG8">
        <v>0</v>
      </c>
      <c r="EH8">
        <v>55</v>
      </c>
      <c r="EI8" t="s">
        <v>475</v>
      </c>
      <c r="EJ8" t="s">
        <v>548</v>
      </c>
      <c r="EK8">
        <v>9</v>
      </c>
      <c r="EL8" t="s">
        <v>584</v>
      </c>
      <c r="EM8">
        <v>23.4</v>
      </c>
      <c r="EN8">
        <v>354</v>
      </c>
      <c r="EO8" t="s">
        <v>264</v>
      </c>
      <c r="EP8">
        <v>-9999</v>
      </c>
      <c r="EQ8">
        <v>291</v>
      </c>
      <c r="ER8">
        <v>275</v>
      </c>
      <c r="ES8">
        <v>258</v>
      </c>
      <c r="ET8" t="s">
        <v>270</v>
      </c>
      <c r="EU8">
        <v>0</v>
      </c>
      <c r="EV8">
        <v>55</v>
      </c>
      <c r="EW8" t="s">
        <v>551</v>
      </c>
      <c r="EX8" t="s">
        <v>552</v>
      </c>
      <c r="EY8">
        <v>153</v>
      </c>
      <c r="EZ8">
        <v>154</v>
      </c>
      <c r="FA8">
        <v>154</v>
      </c>
      <c r="FB8" t="s">
        <v>270</v>
      </c>
      <c r="FC8" t="s">
        <v>553</v>
      </c>
      <c r="FD8" t="s">
        <v>552</v>
      </c>
      <c r="FE8">
        <v>313</v>
      </c>
      <c r="FF8">
        <v>311</v>
      </c>
      <c r="FG8">
        <v>310</v>
      </c>
      <c r="FH8" t="s">
        <v>270</v>
      </c>
      <c r="FI8" t="s">
        <v>554</v>
      </c>
      <c r="FJ8" t="s">
        <v>555</v>
      </c>
      <c r="FK8">
        <v>0</v>
      </c>
      <c r="FL8">
        <v>0</v>
      </c>
      <c r="FM8">
        <v>0</v>
      </c>
      <c r="FN8" t="s">
        <v>264</v>
      </c>
      <c r="FQ8" t="s">
        <v>556</v>
      </c>
      <c r="FR8" t="s">
        <v>555</v>
      </c>
      <c r="FS8">
        <v>0</v>
      </c>
      <c r="FT8">
        <v>0</v>
      </c>
      <c r="FU8">
        <v>0</v>
      </c>
      <c r="FV8" t="s">
        <v>264</v>
      </c>
      <c r="FY8" t="s">
        <v>557</v>
      </c>
      <c r="FZ8" t="s">
        <v>555</v>
      </c>
      <c r="GA8">
        <v>0</v>
      </c>
      <c r="GB8">
        <v>0</v>
      </c>
      <c r="GC8">
        <v>0</v>
      </c>
      <c r="GD8" t="s">
        <v>264</v>
      </c>
      <c r="GG8" t="s">
        <v>558</v>
      </c>
      <c r="GH8" t="s">
        <v>555</v>
      </c>
      <c r="GI8">
        <v>0</v>
      </c>
      <c r="GJ8">
        <v>0</v>
      </c>
      <c r="GK8">
        <v>0</v>
      </c>
      <c r="GL8" t="s">
        <v>264</v>
      </c>
      <c r="GO8" t="s">
        <v>559</v>
      </c>
      <c r="GP8" t="s">
        <v>555</v>
      </c>
      <c r="GQ8">
        <v>0</v>
      </c>
      <c r="GR8">
        <v>0</v>
      </c>
      <c r="GS8">
        <v>0</v>
      </c>
      <c r="GT8" t="s">
        <v>264</v>
      </c>
      <c r="GU8">
        <v>75.599999999999994</v>
      </c>
      <c r="GV8">
        <v>59.7</v>
      </c>
      <c r="GW8" t="s">
        <v>560</v>
      </c>
      <c r="GX8" t="s">
        <v>555</v>
      </c>
      <c r="GY8">
        <v>0</v>
      </c>
      <c r="GZ8">
        <v>0</v>
      </c>
      <c r="HA8">
        <v>0</v>
      </c>
      <c r="HB8" t="s">
        <v>264</v>
      </c>
      <c r="HC8">
        <v>69.3</v>
      </c>
      <c r="HD8">
        <v>34.9</v>
      </c>
      <c r="HE8" t="s">
        <v>561</v>
      </c>
      <c r="HF8" t="s">
        <v>555</v>
      </c>
      <c r="HG8">
        <v>0</v>
      </c>
      <c r="HH8">
        <v>0</v>
      </c>
      <c r="HI8">
        <v>0</v>
      </c>
      <c r="HJ8" t="s">
        <v>264</v>
      </c>
      <c r="HM8" t="s">
        <v>562</v>
      </c>
      <c r="HN8" t="s">
        <v>555</v>
      </c>
      <c r="HO8">
        <v>0</v>
      </c>
      <c r="HP8">
        <v>0</v>
      </c>
      <c r="HQ8">
        <v>0</v>
      </c>
      <c r="HR8" t="s">
        <v>264</v>
      </c>
      <c r="HU8" t="s">
        <v>563</v>
      </c>
      <c r="HV8" t="s">
        <v>555</v>
      </c>
      <c r="HW8">
        <v>0</v>
      </c>
      <c r="HX8">
        <v>0</v>
      </c>
      <c r="HY8">
        <v>0</v>
      </c>
      <c r="HZ8" t="s">
        <v>264</v>
      </c>
      <c r="IC8" t="s">
        <v>564</v>
      </c>
      <c r="ID8" t="s">
        <v>555</v>
      </c>
      <c r="IE8">
        <v>0</v>
      </c>
      <c r="IF8">
        <v>0</v>
      </c>
      <c r="IG8">
        <v>0</v>
      </c>
      <c r="IH8" t="s">
        <v>264</v>
      </c>
      <c r="IK8" t="s">
        <v>565</v>
      </c>
      <c r="IL8" t="s">
        <v>555</v>
      </c>
      <c r="IM8">
        <v>0</v>
      </c>
      <c r="IN8">
        <v>0</v>
      </c>
      <c r="IO8">
        <v>0</v>
      </c>
      <c r="IP8" t="s">
        <v>264</v>
      </c>
      <c r="IQ8">
        <v>70.5</v>
      </c>
      <c r="IR8">
        <v>256.7</v>
      </c>
      <c r="IS8" t="s">
        <v>566</v>
      </c>
      <c r="IT8" t="s">
        <v>555</v>
      </c>
      <c r="IU8">
        <v>0</v>
      </c>
      <c r="IV8">
        <v>0</v>
      </c>
      <c r="IW8">
        <v>0</v>
      </c>
      <c r="IX8" t="s">
        <v>264</v>
      </c>
      <c r="IY8">
        <v>67.8</v>
      </c>
      <c r="IZ8">
        <v>140.80000000000001</v>
      </c>
      <c r="JA8" t="s">
        <v>567</v>
      </c>
      <c r="JB8" t="s">
        <v>555</v>
      </c>
      <c r="JC8">
        <v>0</v>
      </c>
      <c r="JD8">
        <v>0</v>
      </c>
      <c r="JE8">
        <v>0</v>
      </c>
      <c r="JF8" t="s">
        <v>264</v>
      </c>
      <c r="JI8" t="s">
        <v>568</v>
      </c>
      <c r="JJ8" t="s">
        <v>555</v>
      </c>
      <c r="JK8">
        <v>0</v>
      </c>
      <c r="JL8">
        <v>0</v>
      </c>
      <c r="JM8">
        <v>0</v>
      </c>
      <c r="JN8" t="s">
        <v>264</v>
      </c>
      <c r="JO8">
        <v>65.599999999999994</v>
      </c>
      <c r="JP8">
        <v>78.2</v>
      </c>
      <c r="JQ8" t="s">
        <v>569</v>
      </c>
      <c r="JR8" t="s">
        <v>555</v>
      </c>
      <c r="JS8">
        <v>0</v>
      </c>
      <c r="JT8">
        <v>0</v>
      </c>
      <c r="JU8">
        <v>0</v>
      </c>
      <c r="JV8" t="s">
        <v>264</v>
      </c>
      <c r="JY8" t="s">
        <v>570</v>
      </c>
      <c r="JZ8" t="s">
        <v>555</v>
      </c>
      <c r="KA8">
        <v>0</v>
      </c>
      <c r="KB8">
        <v>0</v>
      </c>
      <c r="KC8">
        <v>0</v>
      </c>
      <c r="KD8" t="s">
        <v>264</v>
      </c>
      <c r="KG8" t="s">
        <v>571</v>
      </c>
      <c r="KH8" t="s">
        <v>555</v>
      </c>
      <c r="KI8">
        <v>0</v>
      </c>
      <c r="KJ8">
        <v>0</v>
      </c>
      <c r="KK8">
        <v>0</v>
      </c>
      <c r="KL8" t="s">
        <v>264</v>
      </c>
      <c r="KO8" t="s">
        <v>572</v>
      </c>
      <c r="KP8" t="s">
        <v>555</v>
      </c>
      <c r="KQ8">
        <v>0</v>
      </c>
      <c r="KR8">
        <v>0</v>
      </c>
      <c r="KS8">
        <v>0</v>
      </c>
      <c r="KT8" t="s">
        <v>264</v>
      </c>
      <c r="KW8" t="s">
        <v>573</v>
      </c>
      <c r="KX8" t="s">
        <v>555</v>
      </c>
      <c r="KY8">
        <v>0</v>
      </c>
      <c r="KZ8">
        <v>0</v>
      </c>
      <c r="LA8">
        <v>0</v>
      </c>
      <c r="LB8" t="s">
        <v>264</v>
      </c>
      <c r="LE8" t="s">
        <v>574</v>
      </c>
      <c r="LF8" t="s">
        <v>555</v>
      </c>
      <c r="LG8">
        <v>0</v>
      </c>
      <c r="LH8">
        <v>0</v>
      </c>
      <c r="LI8">
        <v>0</v>
      </c>
      <c r="LJ8" t="s">
        <v>264</v>
      </c>
      <c r="LM8" t="s">
        <v>575</v>
      </c>
      <c r="LN8" t="s">
        <v>555</v>
      </c>
      <c r="LO8">
        <v>0</v>
      </c>
      <c r="LP8">
        <v>0</v>
      </c>
      <c r="LQ8">
        <v>0</v>
      </c>
      <c r="LR8" t="s">
        <v>264</v>
      </c>
      <c r="LS8">
        <v>75.599999999999994</v>
      </c>
      <c r="LT8">
        <v>119.7</v>
      </c>
      <c r="LU8" t="s">
        <v>576</v>
      </c>
      <c r="LV8" t="s">
        <v>555</v>
      </c>
      <c r="LW8">
        <v>0</v>
      </c>
      <c r="LX8">
        <v>0</v>
      </c>
      <c r="LY8">
        <v>0</v>
      </c>
      <c r="LZ8" t="s">
        <v>264</v>
      </c>
      <c r="MC8" t="s">
        <v>577</v>
      </c>
      <c r="MD8" t="s">
        <v>555</v>
      </c>
      <c r="ME8">
        <v>0</v>
      </c>
      <c r="MF8">
        <v>0</v>
      </c>
      <c r="MG8">
        <v>0</v>
      </c>
      <c r="MH8" t="s">
        <v>264</v>
      </c>
      <c r="MI8">
        <v>65.400000000000006</v>
      </c>
      <c r="MJ8">
        <v>81.7</v>
      </c>
      <c r="MK8" t="s">
        <v>578</v>
      </c>
      <c r="ML8" t="s">
        <v>555</v>
      </c>
      <c r="MM8">
        <v>0</v>
      </c>
      <c r="MN8">
        <v>0</v>
      </c>
      <c r="MO8">
        <v>0</v>
      </c>
      <c r="MP8" t="s">
        <v>264</v>
      </c>
      <c r="MS8" t="s">
        <v>579</v>
      </c>
      <c r="MT8" t="s">
        <v>555</v>
      </c>
      <c r="MU8">
        <v>0</v>
      </c>
      <c r="MV8">
        <v>0</v>
      </c>
      <c r="MW8">
        <v>0</v>
      </c>
      <c r="MX8" t="s">
        <v>264</v>
      </c>
      <c r="MY8">
        <v>71</v>
      </c>
      <c r="MZ8">
        <v>147.30000000000001</v>
      </c>
      <c r="NA8" t="s">
        <v>580</v>
      </c>
      <c r="NB8" t="s">
        <v>555</v>
      </c>
      <c r="NC8">
        <v>0</v>
      </c>
      <c r="ND8">
        <v>0</v>
      </c>
      <c r="NE8">
        <v>0</v>
      </c>
      <c r="NF8" t="s">
        <v>264</v>
      </c>
      <c r="NI8">
        <v>40</v>
      </c>
      <c r="NJ8">
        <v>-7.3</v>
      </c>
      <c r="NP8" t="s">
        <v>624</v>
      </c>
    </row>
    <row r="9" spans="1:380" customFormat="1" x14ac:dyDescent="0.2">
      <c r="A9" t="s">
        <v>517</v>
      </c>
      <c r="B9">
        <v>1</v>
      </c>
      <c r="C9" s="409" t="s">
        <v>981</v>
      </c>
      <c r="D9">
        <v>646959287</v>
      </c>
      <c r="E9">
        <v>12602</v>
      </c>
      <c r="F9" t="s">
        <v>967</v>
      </c>
      <c r="G9">
        <v>802069</v>
      </c>
      <c r="H9">
        <v>677614</v>
      </c>
      <c r="I9" t="s">
        <v>622</v>
      </c>
      <c r="J9" t="s">
        <v>982</v>
      </c>
      <c r="K9" t="s">
        <v>545</v>
      </c>
      <c r="L9" t="s">
        <v>447</v>
      </c>
      <c r="M9" t="s">
        <v>546</v>
      </c>
      <c r="N9" t="s">
        <v>468</v>
      </c>
      <c r="O9" t="s">
        <v>547</v>
      </c>
      <c r="P9" t="s">
        <v>264</v>
      </c>
      <c r="Q9">
        <v>26.9</v>
      </c>
      <c r="R9">
        <v>219</v>
      </c>
      <c r="S9" t="s">
        <v>264</v>
      </c>
      <c r="T9">
        <v>-9999</v>
      </c>
      <c r="U9">
        <v>661</v>
      </c>
      <c r="V9">
        <v>681</v>
      </c>
      <c r="W9">
        <v>649</v>
      </c>
      <c r="X9" t="s">
        <v>270</v>
      </c>
      <c r="Y9">
        <v>0</v>
      </c>
      <c r="Z9">
        <v>55</v>
      </c>
      <c r="AA9" t="s">
        <v>469</v>
      </c>
      <c r="AB9" t="s">
        <v>548</v>
      </c>
      <c r="AC9">
        <v>1</v>
      </c>
      <c r="AD9" t="s">
        <v>584</v>
      </c>
      <c r="AE9">
        <v>28.4</v>
      </c>
      <c r="AF9">
        <v>726</v>
      </c>
      <c r="AG9" t="s">
        <v>264</v>
      </c>
      <c r="AH9">
        <v>-9999</v>
      </c>
      <c r="AI9">
        <v>516</v>
      </c>
      <c r="AJ9">
        <v>634</v>
      </c>
      <c r="AK9">
        <v>511</v>
      </c>
      <c r="AL9" t="s">
        <v>270</v>
      </c>
      <c r="AM9">
        <v>0</v>
      </c>
      <c r="AN9">
        <v>55</v>
      </c>
      <c r="AO9" t="s">
        <v>470</v>
      </c>
      <c r="AP9" t="s">
        <v>548</v>
      </c>
      <c r="AQ9">
        <v>2</v>
      </c>
      <c r="AR9" t="s">
        <v>549</v>
      </c>
      <c r="AS9">
        <v>42.1</v>
      </c>
      <c r="AT9">
        <v>92</v>
      </c>
      <c r="AU9" t="s">
        <v>264</v>
      </c>
      <c r="AV9">
        <v>-9999</v>
      </c>
      <c r="AW9">
        <v>469</v>
      </c>
      <c r="AX9">
        <v>497</v>
      </c>
      <c r="AY9">
        <v>467</v>
      </c>
      <c r="AZ9" t="s">
        <v>270</v>
      </c>
      <c r="BA9">
        <v>0</v>
      </c>
      <c r="BB9">
        <v>55</v>
      </c>
      <c r="BC9" t="s">
        <v>550</v>
      </c>
      <c r="BD9" t="s">
        <v>548</v>
      </c>
      <c r="BE9">
        <v>3</v>
      </c>
      <c r="BF9" t="s">
        <v>584</v>
      </c>
      <c r="BG9">
        <v>21.9</v>
      </c>
      <c r="BH9">
        <v>1285</v>
      </c>
      <c r="BI9" t="s">
        <v>264</v>
      </c>
      <c r="BJ9">
        <v>-9999</v>
      </c>
      <c r="BK9">
        <v>112</v>
      </c>
      <c r="BL9">
        <v>153</v>
      </c>
      <c r="BM9">
        <v>117</v>
      </c>
      <c r="BN9" t="s">
        <v>270</v>
      </c>
      <c r="BO9">
        <v>0</v>
      </c>
      <c r="BP9">
        <v>55</v>
      </c>
      <c r="BQ9" t="s">
        <v>504</v>
      </c>
      <c r="BR9" t="s">
        <v>548</v>
      </c>
      <c r="BS9">
        <v>4</v>
      </c>
      <c r="BT9" t="s">
        <v>584</v>
      </c>
      <c r="BU9">
        <v>31.9</v>
      </c>
      <c r="BV9">
        <v>291</v>
      </c>
      <c r="BW9" t="s">
        <v>264</v>
      </c>
      <c r="BX9">
        <v>-9999</v>
      </c>
      <c r="BY9">
        <v>216</v>
      </c>
      <c r="BZ9">
        <v>251</v>
      </c>
      <c r="CA9">
        <v>214</v>
      </c>
      <c r="CB9" t="s">
        <v>270</v>
      </c>
      <c r="CC9">
        <v>0</v>
      </c>
      <c r="CD9">
        <v>55</v>
      </c>
      <c r="CE9" t="s">
        <v>471</v>
      </c>
      <c r="CF9" t="s">
        <v>548</v>
      </c>
      <c r="CG9">
        <v>5</v>
      </c>
      <c r="CH9" t="s">
        <v>584</v>
      </c>
      <c r="CI9">
        <v>38.9</v>
      </c>
      <c r="CJ9">
        <v>167</v>
      </c>
      <c r="CK9" t="s">
        <v>264</v>
      </c>
      <c r="CL9">
        <v>-9999</v>
      </c>
      <c r="CM9">
        <v>529</v>
      </c>
      <c r="CN9">
        <v>622</v>
      </c>
      <c r="CO9">
        <v>530</v>
      </c>
      <c r="CP9" t="s">
        <v>270</v>
      </c>
      <c r="CQ9">
        <v>0</v>
      </c>
      <c r="CR9">
        <v>55</v>
      </c>
      <c r="CS9" t="s">
        <v>472</v>
      </c>
      <c r="CT9" t="s">
        <v>548</v>
      </c>
      <c r="CU9">
        <v>6</v>
      </c>
      <c r="CV9" t="s">
        <v>584</v>
      </c>
      <c r="CW9">
        <v>34.9</v>
      </c>
      <c r="CX9">
        <v>330</v>
      </c>
      <c r="CY9" t="s">
        <v>264</v>
      </c>
      <c r="CZ9">
        <v>-9999</v>
      </c>
      <c r="DA9">
        <v>735</v>
      </c>
      <c r="DB9">
        <v>834</v>
      </c>
      <c r="DC9">
        <v>725</v>
      </c>
      <c r="DD9" t="s">
        <v>270</v>
      </c>
      <c r="DE9">
        <v>0</v>
      </c>
      <c r="DF9">
        <v>55</v>
      </c>
      <c r="DG9" t="s">
        <v>473</v>
      </c>
      <c r="DH9" t="s">
        <v>548</v>
      </c>
      <c r="DI9">
        <v>7</v>
      </c>
      <c r="DJ9" t="s">
        <v>584</v>
      </c>
      <c r="DK9">
        <v>34.9</v>
      </c>
      <c r="DL9">
        <v>86</v>
      </c>
      <c r="DM9" t="s">
        <v>264</v>
      </c>
      <c r="DN9">
        <v>-9999</v>
      </c>
      <c r="DO9">
        <v>588</v>
      </c>
      <c r="DP9">
        <v>672</v>
      </c>
      <c r="DQ9">
        <v>584</v>
      </c>
      <c r="DR9" t="s">
        <v>270</v>
      </c>
      <c r="DS9">
        <v>0</v>
      </c>
      <c r="DT9">
        <v>55</v>
      </c>
      <c r="DU9" t="s">
        <v>474</v>
      </c>
      <c r="DV9" t="s">
        <v>548</v>
      </c>
      <c r="DW9">
        <v>8</v>
      </c>
      <c r="DX9" t="s">
        <v>584</v>
      </c>
      <c r="DY9">
        <v>23.7</v>
      </c>
      <c r="DZ9">
        <v>236</v>
      </c>
      <c r="EA9" t="s">
        <v>264</v>
      </c>
      <c r="EB9">
        <v>-9999</v>
      </c>
      <c r="EC9">
        <v>126</v>
      </c>
      <c r="ED9">
        <v>153</v>
      </c>
      <c r="EE9">
        <v>124</v>
      </c>
      <c r="EF9" t="s">
        <v>270</v>
      </c>
      <c r="EG9">
        <v>0</v>
      </c>
      <c r="EH9">
        <v>55</v>
      </c>
      <c r="EI9" t="s">
        <v>475</v>
      </c>
      <c r="EJ9" t="s">
        <v>548</v>
      </c>
      <c r="EK9">
        <v>9</v>
      </c>
      <c r="EL9" t="s">
        <v>584</v>
      </c>
      <c r="EM9">
        <v>24.9</v>
      </c>
      <c r="EN9">
        <v>330</v>
      </c>
      <c r="EO9" t="s">
        <v>264</v>
      </c>
      <c r="EP9">
        <v>-9999</v>
      </c>
      <c r="EQ9">
        <v>387</v>
      </c>
      <c r="ER9">
        <v>368</v>
      </c>
      <c r="ES9">
        <v>339</v>
      </c>
      <c r="ET9" t="s">
        <v>270</v>
      </c>
      <c r="EU9">
        <v>0</v>
      </c>
      <c r="EV9">
        <v>55</v>
      </c>
      <c r="EW9" t="s">
        <v>551</v>
      </c>
      <c r="EX9" t="s">
        <v>552</v>
      </c>
      <c r="EY9">
        <v>152</v>
      </c>
      <c r="EZ9">
        <v>152</v>
      </c>
      <c r="FA9">
        <v>153</v>
      </c>
      <c r="FB9" t="s">
        <v>270</v>
      </c>
      <c r="FC9" t="s">
        <v>553</v>
      </c>
      <c r="FD9" t="s">
        <v>552</v>
      </c>
      <c r="FE9">
        <v>329</v>
      </c>
      <c r="FF9">
        <v>328</v>
      </c>
      <c r="FG9">
        <v>327</v>
      </c>
      <c r="FH9" t="s">
        <v>270</v>
      </c>
      <c r="FI9" t="s">
        <v>554</v>
      </c>
      <c r="FJ9" t="s">
        <v>555</v>
      </c>
      <c r="FK9">
        <v>0</v>
      </c>
      <c r="FL9">
        <v>0</v>
      </c>
      <c r="FM9">
        <v>0</v>
      </c>
      <c r="FN9" t="s">
        <v>264</v>
      </c>
      <c r="FQ9" t="s">
        <v>556</v>
      </c>
      <c r="FR9" t="s">
        <v>555</v>
      </c>
      <c r="FS9">
        <v>0</v>
      </c>
      <c r="FT9">
        <v>0</v>
      </c>
      <c r="FU9">
        <v>0</v>
      </c>
      <c r="FV9" t="s">
        <v>264</v>
      </c>
      <c r="FY9" t="s">
        <v>557</v>
      </c>
      <c r="FZ9" t="s">
        <v>555</v>
      </c>
      <c r="GA9">
        <v>0</v>
      </c>
      <c r="GB9">
        <v>0</v>
      </c>
      <c r="GC9">
        <v>0</v>
      </c>
      <c r="GD9" t="s">
        <v>264</v>
      </c>
      <c r="GG9" t="s">
        <v>558</v>
      </c>
      <c r="GH9" t="s">
        <v>555</v>
      </c>
      <c r="GI9">
        <v>0</v>
      </c>
      <c r="GJ9">
        <v>0</v>
      </c>
      <c r="GK9">
        <v>0</v>
      </c>
      <c r="GL9" t="s">
        <v>264</v>
      </c>
      <c r="GO9" t="s">
        <v>559</v>
      </c>
      <c r="GP9" t="s">
        <v>555</v>
      </c>
      <c r="GQ9">
        <v>0</v>
      </c>
      <c r="GR9">
        <v>0</v>
      </c>
      <c r="GS9">
        <v>0</v>
      </c>
      <c r="GT9" t="s">
        <v>264</v>
      </c>
      <c r="GU9">
        <v>75.5</v>
      </c>
      <c r="GV9">
        <v>61.9</v>
      </c>
      <c r="GW9" t="s">
        <v>560</v>
      </c>
      <c r="GX9" t="s">
        <v>555</v>
      </c>
      <c r="GY9">
        <v>0</v>
      </c>
      <c r="GZ9">
        <v>0</v>
      </c>
      <c r="HA9">
        <v>0</v>
      </c>
      <c r="HB9" t="s">
        <v>264</v>
      </c>
      <c r="HC9">
        <v>69.3</v>
      </c>
      <c r="HD9">
        <v>45.9</v>
      </c>
      <c r="HE9" t="s">
        <v>561</v>
      </c>
      <c r="HF9" t="s">
        <v>555</v>
      </c>
      <c r="HG9">
        <v>0</v>
      </c>
      <c r="HH9">
        <v>0</v>
      </c>
      <c r="HI9">
        <v>0</v>
      </c>
      <c r="HJ9" t="s">
        <v>264</v>
      </c>
      <c r="HM9" t="s">
        <v>562</v>
      </c>
      <c r="HN9" t="s">
        <v>555</v>
      </c>
      <c r="HO9">
        <v>0</v>
      </c>
      <c r="HP9">
        <v>0</v>
      </c>
      <c r="HQ9">
        <v>0</v>
      </c>
      <c r="HR9" t="s">
        <v>264</v>
      </c>
      <c r="HU9" t="s">
        <v>563</v>
      </c>
      <c r="HV9" t="s">
        <v>555</v>
      </c>
      <c r="HW9">
        <v>0</v>
      </c>
      <c r="HX9">
        <v>0</v>
      </c>
      <c r="HY9">
        <v>0</v>
      </c>
      <c r="HZ9" t="s">
        <v>264</v>
      </c>
      <c r="IC9" t="s">
        <v>564</v>
      </c>
      <c r="ID9" t="s">
        <v>555</v>
      </c>
      <c r="IE9">
        <v>0</v>
      </c>
      <c r="IF9">
        <v>0</v>
      </c>
      <c r="IG9">
        <v>0</v>
      </c>
      <c r="IH9" t="s">
        <v>264</v>
      </c>
      <c r="IK9" t="s">
        <v>565</v>
      </c>
      <c r="IL9" t="s">
        <v>555</v>
      </c>
      <c r="IM9">
        <v>0</v>
      </c>
      <c r="IN9">
        <v>0</v>
      </c>
      <c r="IO9">
        <v>0</v>
      </c>
      <c r="IP9" t="s">
        <v>264</v>
      </c>
      <c r="IQ9">
        <v>70.5</v>
      </c>
      <c r="IR9">
        <v>294.7</v>
      </c>
      <c r="IS9" t="s">
        <v>566</v>
      </c>
      <c r="IT9" t="s">
        <v>555</v>
      </c>
      <c r="IU9">
        <v>0</v>
      </c>
      <c r="IV9">
        <v>0</v>
      </c>
      <c r="IW9">
        <v>0</v>
      </c>
      <c r="IX9" t="s">
        <v>264</v>
      </c>
      <c r="IY9">
        <v>67.8</v>
      </c>
      <c r="IZ9">
        <v>154.30000000000001</v>
      </c>
      <c r="JA9" t="s">
        <v>567</v>
      </c>
      <c r="JB9" t="s">
        <v>555</v>
      </c>
      <c r="JC9">
        <v>0</v>
      </c>
      <c r="JD9">
        <v>0</v>
      </c>
      <c r="JE9">
        <v>0</v>
      </c>
      <c r="JF9" t="s">
        <v>264</v>
      </c>
      <c r="JG9">
        <v>75.400000000000006</v>
      </c>
      <c r="JH9">
        <v>162.80000000000001</v>
      </c>
      <c r="JI9" t="s">
        <v>568</v>
      </c>
      <c r="JJ9" t="s">
        <v>555</v>
      </c>
      <c r="JK9">
        <v>0</v>
      </c>
      <c r="JL9">
        <v>0</v>
      </c>
      <c r="JM9">
        <v>0</v>
      </c>
      <c r="JN9" t="s">
        <v>264</v>
      </c>
      <c r="JO9">
        <v>65.599999999999994</v>
      </c>
      <c r="JP9">
        <v>67.400000000000006</v>
      </c>
      <c r="JQ9" t="s">
        <v>569</v>
      </c>
      <c r="JR9" t="s">
        <v>555</v>
      </c>
      <c r="JS9">
        <v>0</v>
      </c>
      <c r="JT9">
        <v>0</v>
      </c>
      <c r="JU9">
        <v>0</v>
      </c>
      <c r="JV9" t="s">
        <v>264</v>
      </c>
      <c r="JY9" t="s">
        <v>570</v>
      </c>
      <c r="JZ9" t="s">
        <v>555</v>
      </c>
      <c r="KA9">
        <v>0</v>
      </c>
      <c r="KB9">
        <v>0</v>
      </c>
      <c r="KC9">
        <v>0</v>
      </c>
      <c r="KD9" t="s">
        <v>264</v>
      </c>
      <c r="KG9" t="s">
        <v>571</v>
      </c>
      <c r="KH9" t="s">
        <v>555</v>
      </c>
      <c r="KI9">
        <v>0</v>
      </c>
      <c r="KJ9">
        <v>0</v>
      </c>
      <c r="KK9">
        <v>0</v>
      </c>
      <c r="KL9" t="s">
        <v>264</v>
      </c>
      <c r="KO9" t="s">
        <v>572</v>
      </c>
      <c r="KP9" t="s">
        <v>555</v>
      </c>
      <c r="KQ9">
        <v>0</v>
      </c>
      <c r="KR9">
        <v>0</v>
      </c>
      <c r="KS9">
        <v>0</v>
      </c>
      <c r="KT9" t="s">
        <v>264</v>
      </c>
      <c r="KW9" t="s">
        <v>573</v>
      </c>
      <c r="KX9" t="s">
        <v>555</v>
      </c>
      <c r="KY9">
        <v>0</v>
      </c>
      <c r="KZ9">
        <v>0</v>
      </c>
      <c r="LA9">
        <v>0</v>
      </c>
      <c r="LB9" t="s">
        <v>264</v>
      </c>
      <c r="LE9" t="s">
        <v>574</v>
      </c>
      <c r="LF9" t="s">
        <v>555</v>
      </c>
      <c r="LG9">
        <v>0</v>
      </c>
      <c r="LH9">
        <v>0</v>
      </c>
      <c r="LI9">
        <v>0</v>
      </c>
      <c r="LJ9" t="s">
        <v>264</v>
      </c>
      <c r="LM9" t="s">
        <v>575</v>
      </c>
      <c r="LN9" t="s">
        <v>555</v>
      </c>
      <c r="LO9">
        <v>0</v>
      </c>
      <c r="LP9">
        <v>0</v>
      </c>
      <c r="LQ9">
        <v>0</v>
      </c>
      <c r="LR9" t="s">
        <v>264</v>
      </c>
      <c r="LS9">
        <v>75.5</v>
      </c>
      <c r="LT9">
        <v>118.1</v>
      </c>
      <c r="LU9" t="s">
        <v>576</v>
      </c>
      <c r="LV9" t="s">
        <v>555</v>
      </c>
      <c r="LW9">
        <v>0</v>
      </c>
      <c r="LX9">
        <v>0</v>
      </c>
      <c r="LY9">
        <v>0</v>
      </c>
      <c r="LZ9" t="s">
        <v>264</v>
      </c>
      <c r="MC9" t="s">
        <v>577</v>
      </c>
      <c r="MD9" t="s">
        <v>555</v>
      </c>
      <c r="ME9">
        <v>0</v>
      </c>
      <c r="MF9">
        <v>0</v>
      </c>
      <c r="MG9">
        <v>0</v>
      </c>
      <c r="MH9" t="s">
        <v>264</v>
      </c>
      <c r="MI9">
        <v>65.5</v>
      </c>
      <c r="MJ9">
        <v>107.5</v>
      </c>
      <c r="MK9" t="s">
        <v>578</v>
      </c>
      <c r="ML9" t="s">
        <v>555</v>
      </c>
      <c r="MM9">
        <v>0</v>
      </c>
      <c r="MN9">
        <v>0</v>
      </c>
      <c r="MO9">
        <v>0</v>
      </c>
      <c r="MP9" t="s">
        <v>264</v>
      </c>
      <c r="MQ9">
        <v>70.599999999999994</v>
      </c>
      <c r="MR9">
        <v>123.7</v>
      </c>
      <c r="MS9" t="s">
        <v>579</v>
      </c>
      <c r="MT9" t="s">
        <v>555</v>
      </c>
      <c r="MU9">
        <v>0</v>
      </c>
      <c r="MV9">
        <v>0</v>
      </c>
      <c r="MW9">
        <v>0</v>
      </c>
      <c r="MX9" t="s">
        <v>264</v>
      </c>
      <c r="MY9">
        <v>71</v>
      </c>
      <c r="MZ9">
        <v>164.1</v>
      </c>
      <c r="NA9" t="s">
        <v>580</v>
      </c>
      <c r="NB9" t="s">
        <v>555</v>
      </c>
      <c r="NC9">
        <v>0</v>
      </c>
      <c r="ND9">
        <v>0</v>
      </c>
      <c r="NE9">
        <v>0</v>
      </c>
      <c r="NF9" t="s">
        <v>264</v>
      </c>
      <c r="NI9">
        <v>40</v>
      </c>
      <c r="NJ9">
        <v>-8.9</v>
      </c>
      <c r="NP9" t="s">
        <v>624</v>
      </c>
    </row>
    <row r="10" spans="1:380" customFormat="1" x14ac:dyDescent="0.2">
      <c r="A10" t="s">
        <v>517</v>
      </c>
      <c r="B10">
        <v>1</v>
      </c>
      <c r="C10" s="409" t="s">
        <v>983</v>
      </c>
      <c r="D10">
        <v>646961232</v>
      </c>
      <c r="E10">
        <v>12602</v>
      </c>
      <c r="F10" t="s">
        <v>967</v>
      </c>
      <c r="G10">
        <v>802069</v>
      </c>
      <c r="H10">
        <v>210017611</v>
      </c>
      <c r="I10" t="s">
        <v>622</v>
      </c>
      <c r="J10" t="s">
        <v>984</v>
      </c>
      <c r="K10" t="s">
        <v>545</v>
      </c>
      <c r="L10" t="s">
        <v>518</v>
      </c>
      <c r="M10" t="s">
        <v>546</v>
      </c>
      <c r="N10" t="s">
        <v>468</v>
      </c>
      <c r="O10" t="s">
        <v>547</v>
      </c>
      <c r="P10" t="s">
        <v>264</v>
      </c>
      <c r="Q10">
        <v>27.5</v>
      </c>
      <c r="R10">
        <v>196</v>
      </c>
      <c r="S10" t="s">
        <v>264</v>
      </c>
      <c r="T10">
        <v>-9999</v>
      </c>
      <c r="U10">
        <v>743</v>
      </c>
      <c r="V10">
        <v>771</v>
      </c>
      <c r="W10">
        <v>734</v>
      </c>
      <c r="X10" t="s">
        <v>270</v>
      </c>
      <c r="Y10">
        <v>0</v>
      </c>
      <c r="Z10">
        <v>55</v>
      </c>
      <c r="AA10" t="s">
        <v>469</v>
      </c>
      <c r="AB10" t="s">
        <v>548</v>
      </c>
      <c r="AC10">
        <v>1</v>
      </c>
      <c r="AD10" t="s">
        <v>584</v>
      </c>
      <c r="AE10">
        <v>27.4</v>
      </c>
      <c r="AF10">
        <v>803</v>
      </c>
      <c r="AG10" t="s">
        <v>264</v>
      </c>
      <c r="AH10">
        <v>-9999</v>
      </c>
      <c r="AI10">
        <v>478</v>
      </c>
      <c r="AJ10">
        <v>598</v>
      </c>
      <c r="AK10">
        <v>480</v>
      </c>
      <c r="AL10" t="s">
        <v>270</v>
      </c>
      <c r="AM10">
        <v>0</v>
      </c>
      <c r="AN10">
        <v>55</v>
      </c>
      <c r="AO10" t="s">
        <v>470</v>
      </c>
      <c r="AP10" t="s">
        <v>548</v>
      </c>
      <c r="AQ10">
        <v>2</v>
      </c>
      <c r="AR10" t="s">
        <v>549</v>
      </c>
      <c r="AS10">
        <v>44</v>
      </c>
      <c r="AT10">
        <v>75</v>
      </c>
      <c r="AU10" t="s">
        <v>264</v>
      </c>
      <c r="AV10">
        <v>-9999</v>
      </c>
      <c r="AW10">
        <v>430</v>
      </c>
      <c r="AX10">
        <v>452</v>
      </c>
      <c r="AY10">
        <v>427</v>
      </c>
      <c r="AZ10" t="s">
        <v>270</v>
      </c>
      <c r="BA10">
        <v>0</v>
      </c>
      <c r="BB10">
        <v>55</v>
      </c>
      <c r="BC10" t="s">
        <v>550</v>
      </c>
      <c r="BD10" t="s">
        <v>548</v>
      </c>
      <c r="BE10">
        <v>3</v>
      </c>
      <c r="BF10" t="s">
        <v>584</v>
      </c>
      <c r="BG10">
        <v>22</v>
      </c>
      <c r="BH10">
        <v>852</v>
      </c>
      <c r="BI10" t="s">
        <v>264</v>
      </c>
      <c r="BJ10">
        <v>-9999</v>
      </c>
      <c r="BK10">
        <v>205</v>
      </c>
      <c r="BL10">
        <v>252</v>
      </c>
      <c r="BM10">
        <v>202</v>
      </c>
      <c r="BN10" t="s">
        <v>270</v>
      </c>
      <c r="BO10">
        <v>0</v>
      </c>
      <c r="BP10">
        <v>55</v>
      </c>
      <c r="BQ10" t="s">
        <v>504</v>
      </c>
      <c r="BR10" t="s">
        <v>548</v>
      </c>
      <c r="BS10">
        <v>4</v>
      </c>
      <c r="BT10" t="s">
        <v>584</v>
      </c>
      <c r="BU10">
        <v>30.5</v>
      </c>
      <c r="BV10">
        <v>265</v>
      </c>
      <c r="BW10" t="s">
        <v>264</v>
      </c>
      <c r="BX10">
        <v>-9999</v>
      </c>
      <c r="BY10">
        <v>236</v>
      </c>
      <c r="BZ10">
        <v>272</v>
      </c>
      <c r="CA10">
        <v>234</v>
      </c>
      <c r="CB10" t="s">
        <v>270</v>
      </c>
      <c r="CC10">
        <v>0</v>
      </c>
      <c r="CD10">
        <v>55</v>
      </c>
      <c r="CE10" t="s">
        <v>471</v>
      </c>
      <c r="CF10" t="s">
        <v>548</v>
      </c>
      <c r="CG10">
        <v>5</v>
      </c>
      <c r="CH10" t="s">
        <v>584</v>
      </c>
      <c r="CI10">
        <v>39.799999999999997</v>
      </c>
      <c r="CJ10">
        <v>159</v>
      </c>
      <c r="CK10" t="s">
        <v>264</v>
      </c>
      <c r="CL10">
        <v>-9999</v>
      </c>
      <c r="CM10">
        <v>487</v>
      </c>
      <c r="CN10">
        <v>571</v>
      </c>
      <c r="CO10">
        <v>488</v>
      </c>
      <c r="CP10" t="s">
        <v>270</v>
      </c>
      <c r="CQ10">
        <v>0</v>
      </c>
      <c r="CR10">
        <v>55</v>
      </c>
      <c r="CS10" t="s">
        <v>472</v>
      </c>
      <c r="CT10" t="s">
        <v>548</v>
      </c>
      <c r="CU10">
        <v>6</v>
      </c>
      <c r="CV10" t="s">
        <v>584</v>
      </c>
      <c r="CW10">
        <v>32.4</v>
      </c>
      <c r="CX10">
        <v>375</v>
      </c>
      <c r="CY10" t="s">
        <v>264</v>
      </c>
      <c r="CZ10">
        <v>-9999</v>
      </c>
      <c r="DA10">
        <v>730</v>
      </c>
      <c r="DB10">
        <v>828</v>
      </c>
      <c r="DC10">
        <v>719</v>
      </c>
      <c r="DD10" t="s">
        <v>270</v>
      </c>
      <c r="DE10">
        <v>0</v>
      </c>
      <c r="DF10">
        <v>55</v>
      </c>
      <c r="DG10" t="s">
        <v>473</v>
      </c>
      <c r="DH10" t="s">
        <v>548</v>
      </c>
      <c r="DI10">
        <v>7</v>
      </c>
      <c r="DJ10" t="s">
        <v>584</v>
      </c>
      <c r="DK10">
        <v>35</v>
      </c>
      <c r="DL10">
        <v>95</v>
      </c>
      <c r="DM10" t="s">
        <v>264</v>
      </c>
      <c r="DN10">
        <v>-9999</v>
      </c>
      <c r="DO10">
        <v>601</v>
      </c>
      <c r="DP10">
        <v>687</v>
      </c>
      <c r="DQ10">
        <v>597</v>
      </c>
      <c r="DR10" t="s">
        <v>270</v>
      </c>
      <c r="DS10">
        <v>0</v>
      </c>
      <c r="DT10">
        <v>55</v>
      </c>
      <c r="DU10" t="s">
        <v>474</v>
      </c>
      <c r="DV10" t="s">
        <v>548</v>
      </c>
      <c r="DW10">
        <v>8</v>
      </c>
      <c r="DX10" t="s">
        <v>584</v>
      </c>
      <c r="DY10">
        <v>22.6</v>
      </c>
      <c r="DZ10">
        <v>257</v>
      </c>
      <c r="EA10" t="s">
        <v>264</v>
      </c>
      <c r="EB10">
        <v>-9999</v>
      </c>
      <c r="EC10">
        <v>112</v>
      </c>
      <c r="ED10">
        <v>135</v>
      </c>
      <c r="EE10">
        <v>111</v>
      </c>
      <c r="EF10" t="s">
        <v>270</v>
      </c>
      <c r="EG10">
        <v>0</v>
      </c>
      <c r="EH10">
        <v>55</v>
      </c>
      <c r="EI10" t="s">
        <v>475</v>
      </c>
      <c r="EJ10" t="s">
        <v>548</v>
      </c>
      <c r="EK10">
        <v>9</v>
      </c>
      <c r="EL10" t="s">
        <v>584</v>
      </c>
      <c r="EM10">
        <v>22.5</v>
      </c>
      <c r="EN10">
        <v>360</v>
      </c>
      <c r="EO10" t="s">
        <v>264</v>
      </c>
      <c r="EP10">
        <v>-9999</v>
      </c>
      <c r="EQ10">
        <v>341</v>
      </c>
      <c r="ER10">
        <v>310</v>
      </c>
      <c r="ES10">
        <v>285</v>
      </c>
      <c r="ET10" t="s">
        <v>270</v>
      </c>
      <c r="EU10">
        <v>0</v>
      </c>
      <c r="EV10">
        <v>55</v>
      </c>
      <c r="EW10" t="s">
        <v>551</v>
      </c>
      <c r="EX10" t="s">
        <v>552</v>
      </c>
      <c r="EY10">
        <v>148</v>
      </c>
      <c r="EZ10">
        <v>148</v>
      </c>
      <c r="FA10">
        <v>148</v>
      </c>
      <c r="FB10" t="s">
        <v>270</v>
      </c>
      <c r="FC10" t="s">
        <v>553</v>
      </c>
      <c r="FD10" t="s">
        <v>552</v>
      </c>
      <c r="FE10">
        <v>324</v>
      </c>
      <c r="FF10">
        <v>323</v>
      </c>
      <c r="FG10">
        <v>322</v>
      </c>
      <c r="FH10" t="s">
        <v>270</v>
      </c>
      <c r="FI10" t="s">
        <v>554</v>
      </c>
      <c r="FJ10" t="s">
        <v>555</v>
      </c>
      <c r="FK10">
        <v>0</v>
      </c>
      <c r="FL10">
        <v>0</v>
      </c>
      <c r="FM10">
        <v>0</v>
      </c>
      <c r="FN10" t="s">
        <v>264</v>
      </c>
      <c r="FQ10" t="s">
        <v>556</v>
      </c>
      <c r="FR10" t="s">
        <v>555</v>
      </c>
      <c r="FS10">
        <v>0</v>
      </c>
      <c r="FT10">
        <v>0</v>
      </c>
      <c r="FU10">
        <v>0</v>
      </c>
      <c r="FV10" t="s">
        <v>264</v>
      </c>
      <c r="FY10" t="s">
        <v>557</v>
      </c>
      <c r="FZ10" t="s">
        <v>555</v>
      </c>
      <c r="GA10">
        <v>0</v>
      </c>
      <c r="GB10">
        <v>0</v>
      </c>
      <c r="GC10">
        <v>0</v>
      </c>
      <c r="GD10" t="s">
        <v>264</v>
      </c>
      <c r="GG10" t="s">
        <v>558</v>
      </c>
      <c r="GH10" t="s">
        <v>555</v>
      </c>
      <c r="GI10">
        <v>0</v>
      </c>
      <c r="GJ10">
        <v>0</v>
      </c>
      <c r="GK10">
        <v>0</v>
      </c>
      <c r="GL10" t="s">
        <v>264</v>
      </c>
      <c r="GO10" t="s">
        <v>559</v>
      </c>
      <c r="GP10" t="s">
        <v>555</v>
      </c>
      <c r="GQ10">
        <v>0</v>
      </c>
      <c r="GR10">
        <v>0</v>
      </c>
      <c r="GS10">
        <v>0</v>
      </c>
      <c r="GT10" t="s">
        <v>264</v>
      </c>
      <c r="GU10">
        <v>75.599999999999994</v>
      </c>
      <c r="GV10">
        <v>59.4</v>
      </c>
      <c r="GW10" t="s">
        <v>560</v>
      </c>
      <c r="GX10" t="s">
        <v>555</v>
      </c>
      <c r="GY10">
        <v>0</v>
      </c>
      <c r="GZ10">
        <v>0</v>
      </c>
      <c r="HA10">
        <v>0</v>
      </c>
      <c r="HB10" t="s">
        <v>264</v>
      </c>
      <c r="HC10">
        <v>69.3</v>
      </c>
      <c r="HD10">
        <v>37.299999999999997</v>
      </c>
      <c r="HE10" t="s">
        <v>561</v>
      </c>
      <c r="HF10" t="s">
        <v>555</v>
      </c>
      <c r="HG10">
        <v>0</v>
      </c>
      <c r="HH10">
        <v>0</v>
      </c>
      <c r="HI10">
        <v>0</v>
      </c>
      <c r="HJ10" t="s">
        <v>264</v>
      </c>
      <c r="HM10" t="s">
        <v>562</v>
      </c>
      <c r="HN10" t="s">
        <v>555</v>
      </c>
      <c r="HO10">
        <v>0</v>
      </c>
      <c r="HP10">
        <v>0</v>
      </c>
      <c r="HQ10">
        <v>0</v>
      </c>
      <c r="HR10" t="s">
        <v>264</v>
      </c>
      <c r="HU10" t="s">
        <v>563</v>
      </c>
      <c r="HV10" t="s">
        <v>555</v>
      </c>
      <c r="HW10">
        <v>0</v>
      </c>
      <c r="HX10">
        <v>0</v>
      </c>
      <c r="HY10">
        <v>0</v>
      </c>
      <c r="HZ10" t="s">
        <v>264</v>
      </c>
      <c r="IC10" t="s">
        <v>564</v>
      </c>
      <c r="ID10" t="s">
        <v>555</v>
      </c>
      <c r="IE10">
        <v>0</v>
      </c>
      <c r="IF10">
        <v>0</v>
      </c>
      <c r="IG10">
        <v>0</v>
      </c>
      <c r="IH10" t="s">
        <v>264</v>
      </c>
      <c r="IK10" t="s">
        <v>565</v>
      </c>
      <c r="IL10" t="s">
        <v>555</v>
      </c>
      <c r="IM10">
        <v>0</v>
      </c>
      <c r="IN10">
        <v>0</v>
      </c>
      <c r="IO10">
        <v>0</v>
      </c>
      <c r="IP10" t="s">
        <v>264</v>
      </c>
      <c r="IQ10">
        <v>70.5</v>
      </c>
      <c r="IR10">
        <v>303</v>
      </c>
      <c r="IS10" t="s">
        <v>566</v>
      </c>
      <c r="IT10" t="s">
        <v>555</v>
      </c>
      <c r="IU10">
        <v>0</v>
      </c>
      <c r="IV10">
        <v>0</v>
      </c>
      <c r="IW10">
        <v>0</v>
      </c>
      <c r="IX10" t="s">
        <v>264</v>
      </c>
      <c r="IY10">
        <v>67.900000000000006</v>
      </c>
      <c r="IZ10">
        <v>150.4</v>
      </c>
      <c r="JA10" t="s">
        <v>567</v>
      </c>
      <c r="JB10" t="s">
        <v>555</v>
      </c>
      <c r="JC10">
        <v>0</v>
      </c>
      <c r="JD10">
        <v>0</v>
      </c>
      <c r="JE10">
        <v>0</v>
      </c>
      <c r="JF10" t="s">
        <v>264</v>
      </c>
      <c r="JG10">
        <v>75.5</v>
      </c>
      <c r="JH10">
        <v>151.19999999999999</v>
      </c>
      <c r="JI10" t="s">
        <v>568</v>
      </c>
      <c r="JJ10" t="s">
        <v>555</v>
      </c>
      <c r="JK10">
        <v>0</v>
      </c>
      <c r="JL10">
        <v>0</v>
      </c>
      <c r="JM10">
        <v>0</v>
      </c>
      <c r="JN10" t="s">
        <v>264</v>
      </c>
      <c r="JO10">
        <v>65.599999999999994</v>
      </c>
      <c r="JP10">
        <v>71.7</v>
      </c>
      <c r="JQ10" t="s">
        <v>569</v>
      </c>
      <c r="JR10" t="s">
        <v>555</v>
      </c>
      <c r="JS10">
        <v>0</v>
      </c>
      <c r="JT10">
        <v>0</v>
      </c>
      <c r="JU10">
        <v>0</v>
      </c>
      <c r="JV10" t="s">
        <v>264</v>
      </c>
      <c r="JY10" t="s">
        <v>570</v>
      </c>
      <c r="JZ10" t="s">
        <v>555</v>
      </c>
      <c r="KA10">
        <v>0</v>
      </c>
      <c r="KB10">
        <v>0</v>
      </c>
      <c r="KC10">
        <v>0</v>
      </c>
      <c r="KD10" t="s">
        <v>264</v>
      </c>
      <c r="KG10" t="s">
        <v>571</v>
      </c>
      <c r="KH10" t="s">
        <v>555</v>
      </c>
      <c r="KI10">
        <v>0</v>
      </c>
      <c r="KJ10">
        <v>0</v>
      </c>
      <c r="KK10">
        <v>0</v>
      </c>
      <c r="KL10" t="s">
        <v>264</v>
      </c>
      <c r="KO10" t="s">
        <v>572</v>
      </c>
      <c r="KP10" t="s">
        <v>555</v>
      </c>
      <c r="KQ10">
        <v>0</v>
      </c>
      <c r="KR10">
        <v>0</v>
      </c>
      <c r="KS10">
        <v>0</v>
      </c>
      <c r="KT10" t="s">
        <v>264</v>
      </c>
      <c r="KW10" t="s">
        <v>573</v>
      </c>
      <c r="KX10" t="s">
        <v>555</v>
      </c>
      <c r="KY10">
        <v>0</v>
      </c>
      <c r="KZ10">
        <v>0</v>
      </c>
      <c r="LA10">
        <v>0</v>
      </c>
      <c r="LB10" t="s">
        <v>264</v>
      </c>
      <c r="LE10" t="s">
        <v>574</v>
      </c>
      <c r="LF10" t="s">
        <v>555</v>
      </c>
      <c r="LG10">
        <v>0</v>
      </c>
      <c r="LH10">
        <v>0</v>
      </c>
      <c r="LI10">
        <v>0</v>
      </c>
      <c r="LJ10" t="s">
        <v>264</v>
      </c>
      <c r="LM10" t="s">
        <v>575</v>
      </c>
      <c r="LN10" t="s">
        <v>555</v>
      </c>
      <c r="LO10">
        <v>0</v>
      </c>
      <c r="LP10">
        <v>0</v>
      </c>
      <c r="LQ10">
        <v>0</v>
      </c>
      <c r="LR10" t="s">
        <v>264</v>
      </c>
      <c r="LS10">
        <v>75.599999999999994</v>
      </c>
      <c r="LT10">
        <v>127.8</v>
      </c>
      <c r="LU10" t="s">
        <v>576</v>
      </c>
      <c r="LV10" t="s">
        <v>555</v>
      </c>
      <c r="LW10">
        <v>0</v>
      </c>
      <c r="LX10">
        <v>0</v>
      </c>
      <c r="LY10">
        <v>0</v>
      </c>
      <c r="LZ10" t="s">
        <v>264</v>
      </c>
      <c r="MC10" t="s">
        <v>577</v>
      </c>
      <c r="MD10" t="s">
        <v>555</v>
      </c>
      <c r="ME10">
        <v>0</v>
      </c>
      <c r="MF10">
        <v>0</v>
      </c>
      <c r="MG10">
        <v>0</v>
      </c>
      <c r="MH10" t="s">
        <v>264</v>
      </c>
      <c r="MI10">
        <v>65.400000000000006</v>
      </c>
      <c r="MJ10">
        <v>108</v>
      </c>
      <c r="MK10" t="s">
        <v>578</v>
      </c>
      <c r="ML10" t="s">
        <v>555</v>
      </c>
      <c r="MM10">
        <v>0</v>
      </c>
      <c r="MN10">
        <v>0</v>
      </c>
      <c r="MO10">
        <v>0</v>
      </c>
      <c r="MP10" t="s">
        <v>264</v>
      </c>
      <c r="MS10" t="s">
        <v>579</v>
      </c>
      <c r="MT10" t="s">
        <v>555</v>
      </c>
      <c r="MU10">
        <v>0</v>
      </c>
      <c r="MV10">
        <v>0</v>
      </c>
      <c r="MW10">
        <v>0</v>
      </c>
      <c r="MX10" t="s">
        <v>264</v>
      </c>
      <c r="MY10">
        <v>71</v>
      </c>
      <c r="MZ10">
        <v>143</v>
      </c>
      <c r="NA10" t="s">
        <v>580</v>
      </c>
      <c r="NB10" t="s">
        <v>555</v>
      </c>
      <c r="NC10">
        <v>0</v>
      </c>
      <c r="ND10">
        <v>0</v>
      </c>
      <c r="NE10">
        <v>0</v>
      </c>
      <c r="NF10" t="s">
        <v>264</v>
      </c>
      <c r="NI10">
        <v>40</v>
      </c>
      <c r="NJ10">
        <v>-12.1</v>
      </c>
      <c r="NP10" t="s">
        <v>624</v>
      </c>
    </row>
    <row r="11" spans="1:380" customFormat="1" x14ac:dyDescent="0.2">
      <c r="A11" t="s">
        <v>517</v>
      </c>
      <c r="B11">
        <v>1</v>
      </c>
      <c r="C11" s="409" t="s">
        <v>985</v>
      </c>
      <c r="D11">
        <v>646961233</v>
      </c>
      <c r="E11">
        <v>12602</v>
      </c>
      <c r="F11" t="s">
        <v>967</v>
      </c>
      <c r="G11">
        <v>802069</v>
      </c>
      <c r="H11">
        <v>210082244</v>
      </c>
      <c r="I11" t="s">
        <v>622</v>
      </c>
      <c r="J11" t="s">
        <v>986</v>
      </c>
      <c r="K11" t="s">
        <v>545</v>
      </c>
      <c r="L11" t="s">
        <v>447</v>
      </c>
      <c r="M11" t="s">
        <v>546</v>
      </c>
      <c r="N11" t="s">
        <v>468</v>
      </c>
      <c r="O11" t="s">
        <v>547</v>
      </c>
      <c r="P11" t="s">
        <v>264</v>
      </c>
      <c r="Q11">
        <v>26.7</v>
      </c>
      <c r="R11">
        <v>221</v>
      </c>
      <c r="S11" t="s">
        <v>264</v>
      </c>
      <c r="T11">
        <v>-9999</v>
      </c>
      <c r="U11">
        <v>616</v>
      </c>
      <c r="V11">
        <v>637</v>
      </c>
      <c r="W11">
        <v>607</v>
      </c>
      <c r="X11" t="s">
        <v>270</v>
      </c>
      <c r="Y11">
        <v>0</v>
      </c>
      <c r="Z11">
        <v>55</v>
      </c>
      <c r="AA11" t="s">
        <v>469</v>
      </c>
      <c r="AB11" t="s">
        <v>548</v>
      </c>
      <c r="AC11">
        <v>1</v>
      </c>
      <c r="AD11" t="s">
        <v>584</v>
      </c>
      <c r="AE11">
        <v>30.3</v>
      </c>
      <c r="AF11">
        <v>743</v>
      </c>
      <c r="AG11" t="s">
        <v>264</v>
      </c>
      <c r="AH11">
        <v>-9999</v>
      </c>
      <c r="AI11">
        <v>480</v>
      </c>
      <c r="AJ11">
        <v>589</v>
      </c>
      <c r="AK11">
        <v>480</v>
      </c>
      <c r="AL11" t="s">
        <v>270</v>
      </c>
      <c r="AM11">
        <v>0</v>
      </c>
      <c r="AN11">
        <v>55</v>
      </c>
      <c r="AO11" t="s">
        <v>470</v>
      </c>
      <c r="AP11" t="s">
        <v>548</v>
      </c>
      <c r="AQ11">
        <v>2</v>
      </c>
      <c r="AR11" t="s">
        <v>549</v>
      </c>
      <c r="AS11">
        <v>44.6</v>
      </c>
      <c r="AT11">
        <v>84</v>
      </c>
      <c r="AU11" t="s">
        <v>264</v>
      </c>
      <c r="AV11">
        <v>-9999</v>
      </c>
      <c r="AW11">
        <v>366</v>
      </c>
      <c r="AX11">
        <v>385</v>
      </c>
      <c r="AY11">
        <v>365</v>
      </c>
      <c r="AZ11" t="s">
        <v>270</v>
      </c>
      <c r="BA11">
        <v>0</v>
      </c>
      <c r="BB11">
        <v>55</v>
      </c>
      <c r="BC11" t="s">
        <v>550</v>
      </c>
      <c r="BD11" t="s">
        <v>548</v>
      </c>
      <c r="BE11">
        <v>3</v>
      </c>
      <c r="BF11" t="s">
        <v>584</v>
      </c>
      <c r="BG11">
        <v>24.2</v>
      </c>
      <c r="BH11">
        <v>876</v>
      </c>
      <c r="BI11" t="s">
        <v>264</v>
      </c>
      <c r="BJ11">
        <v>-9999</v>
      </c>
      <c r="BK11">
        <v>170</v>
      </c>
      <c r="BL11">
        <v>213</v>
      </c>
      <c r="BM11">
        <v>168</v>
      </c>
      <c r="BN11" t="s">
        <v>270</v>
      </c>
      <c r="BO11">
        <v>0</v>
      </c>
      <c r="BP11">
        <v>55</v>
      </c>
      <c r="BQ11" t="s">
        <v>504</v>
      </c>
      <c r="BR11" t="s">
        <v>548</v>
      </c>
      <c r="BS11">
        <v>4</v>
      </c>
      <c r="BT11" t="s">
        <v>584</v>
      </c>
      <c r="BU11">
        <v>33.200000000000003</v>
      </c>
      <c r="BV11">
        <v>257</v>
      </c>
      <c r="BW11" t="s">
        <v>264</v>
      </c>
      <c r="BX11">
        <v>-9999</v>
      </c>
      <c r="BY11">
        <v>228</v>
      </c>
      <c r="BZ11">
        <v>265</v>
      </c>
      <c r="CA11">
        <v>228</v>
      </c>
      <c r="CB11" t="s">
        <v>270</v>
      </c>
      <c r="CC11">
        <v>0</v>
      </c>
      <c r="CD11">
        <v>55</v>
      </c>
      <c r="CE11" t="s">
        <v>471</v>
      </c>
      <c r="CF11" t="s">
        <v>548</v>
      </c>
      <c r="CG11">
        <v>5</v>
      </c>
      <c r="CH11" t="s">
        <v>584</v>
      </c>
      <c r="CI11">
        <v>39.5</v>
      </c>
      <c r="CJ11">
        <v>168</v>
      </c>
      <c r="CK11" t="s">
        <v>264</v>
      </c>
      <c r="CL11">
        <v>-9999</v>
      </c>
      <c r="CM11">
        <v>551</v>
      </c>
      <c r="CN11">
        <v>646</v>
      </c>
      <c r="CO11">
        <v>550</v>
      </c>
      <c r="CP11" t="s">
        <v>270</v>
      </c>
      <c r="CQ11">
        <v>0</v>
      </c>
      <c r="CR11">
        <v>55</v>
      </c>
      <c r="CS11" t="s">
        <v>472</v>
      </c>
      <c r="CT11" t="s">
        <v>548</v>
      </c>
      <c r="CU11">
        <v>6</v>
      </c>
      <c r="CV11" t="s">
        <v>584</v>
      </c>
      <c r="CW11">
        <v>35.4</v>
      </c>
      <c r="CX11">
        <v>346</v>
      </c>
      <c r="CY11" t="s">
        <v>264</v>
      </c>
      <c r="CZ11">
        <v>-9999</v>
      </c>
      <c r="DA11">
        <v>726</v>
      </c>
      <c r="DB11">
        <v>825</v>
      </c>
      <c r="DC11">
        <v>717</v>
      </c>
      <c r="DD11" t="s">
        <v>270</v>
      </c>
      <c r="DE11">
        <v>0</v>
      </c>
      <c r="DF11">
        <v>55</v>
      </c>
      <c r="DG11" t="s">
        <v>473</v>
      </c>
      <c r="DH11" t="s">
        <v>548</v>
      </c>
      <c r="DI11">
        <v>7</v>
      </c>
      <c r="DJ11" t="s">
        <v>584</v>
      </c>
      <c r="DK11">
        <v>36.700000000000003</v>
      </c>
      <c r="DL11">
        <v>85</v>
      </c>
      <c r="DM11" t="s">
        <v>264</v>
      </c>
      <c r="DN11">
        <v>-9999</v>
      </c>
      <c r="DO11">
        <v>560</v>
      </c>
      <c r="DP11">
        <v>641</v>
      </c>
      <c r="DQ11">
        <v>558</v>
      </c>
      <c r="DR11" t="s">
        <v>270</v>
      </c>
      <c r="DS11">
        <v>0</v>
      </c>
      <c r="DT11">
        <v>55</v>
      </c>
      <c r="DU11" t="s">
        <v>474</v>
      </c>
      <c r="DV11" t="s">
        <v>548</v>
      </c>
      <c r="DW11">
        <v>8</v>
      </c>
      <c r="DX11" t="s">
        <v>584</v>
      </c>
      <c r="DY11">
        <v>24.2</v>
      </c>
      <c r="DZ11">
        <v>244</v>
      </c>
      <c r="EA11" t="s">
        <v>264</v>
      </c>
      <c r="EB11">
        <v>-9999</v>
      </c>
      <c r="EC11">
        <v>114</v>
      </c>
      <c r="ED11">
        <v>139</v>
      </c>
      <c r="EE11">
        <v>113</v>
      </c>
      <c r="EF11" t="s">
        <v>270</v>
      </c>
      <c r="EG11">
        <v>0</v>
      </c>
      <c r="EH11">
        <v>55</v>
      </c>
      <c r="EI11" t="s">
        <v>475</v>
      </c>
      <c r="EJ11" t="s">
        <v>548</v>
      </c>
      <c r="EK11">
        <v>9</v>
      </c>
      <c r="EL11" t="s">
        <v>584</v>
      </c>
      <c r="EM11">
        <v>24.3</v>
      </c>
      <c r="EN11">
        <v>388</v>
      </c>
      <c r="EO11" t="s">
        <v>264</v>
      </c>
      <c r="EP11">
        <v>-9999</v>
      </c>
      <c r="EQ11">
        <v>313</v>
      </c>
      <c r="ER11">
        <v>296</v>
      </c>
      <c r="ES11">
        <v>280</v>
      </c>
      <c r="ET11" t="s">
        <v>270</v>
      </c>
      <c r="EU11">
        <v>0</v>
      </c>
      <c r="EV11">
        <v>55</v>
      </c>
      <c r="EW11" t="s">
        <v>551</v>
      </c>
      <c r="EX11" t="s">
        <v>552</v>
      </c>
      <c r="EY11">
        <v>153</v>
      </c>
      <c r="EZ11">
        <v>154</v>
      </c>
      <c r="FA11">
        <v>155</v>
      </c>
      <c r="FB11" t="s">
        <v>270</v>
      </c>
      <c r="FC11" t="s">
        <v>553</v>
      </c>
      <c r="FD11" t="s">
        <v>552</v>
      </c>
      <c r="FE11">
        <v>258</v>
      </c>
      <c r="FF11">
        <v>257</v>
      </c>
      <c r="FG11">
        <v>257</v>
      </c>
      <c r="FH11" t="s">
        <v>270</v>
      </c>
      <c r="FI11" t="s">
        <v>554</v>
      </c>
      <c r="FJ11" t="s">
        <v>555</v>
      </c>
      <c r="FK11">
        <v>0</v>
      </c>
      <c r="FL11">
        <v>0</v>
      </c>
      <c r="FM11">
        <v>0</v>
      </c>
      <c r="FN11" t="s">
        <v>264</v>
      </c>
      <c r="FQ11" t="s">
        <v>556</v>
      </c>
      <c r="FR11" t="s">
        <v>555</v>
      </c>
      <c r="FS11">
        <v>0</v>
      </c>
      <c r="FT11">
        <v>0</v>
      </c>
      <c r="FU11">
        <v>0</v>
      </c>
      <c r="FV11" t="s">
        <v>264</v>
      </c>
      <c r="FY11" t="s">
        <v>557</v>
      </c>
      <c r="FZ11" t="s">
        <v>555</v>
      </c>
      <c r="GA11">
        <v>0</v>
      </c>
      <c r="GB11">
        <v>0</v>
      </c>
      <c r="GC11">
        <v>0</v>
      </c>
      <c r="GD11" t="s">
        <v>264</v>
      </c>
      <c r="GG11" t="s">
        <v>558</v>
      </c>
      <c r="GH11" t="s">
        <v>555</v>
      </c>
      <c r="GI11">
        <v>0</v>
      </c>
      <c r="GJ11">
        <v>0</v>
      </c>
      <c r="GK11">
        <v>0</v>
      </c>
      <c r="GL11" t="s">
        <v>264</v>
      </c>
      <c r="GO11" t="s">
        <v>559</v>
      </c>
      <c r="GP11" t="s">
        <v>555</v>
      </c>
      <c r="GQ11">
        <v>0</v>
      </c>
      <c r="GR11">
        <v>0</v>
      </c>
      <c r="GS11">
        <v>0</v>
      </c>
      <c r="GT11" t="s">
        <v>264</v>
      </c>
      <c r="GU11">
        <v>75.599999999999994</v>
      </c>
      <c r="GV11">
        <v>62.2</v>
      </c>
      <c r="GW11" t="s">
        <v>560</v>
      </c>
      <c r="GX11" t="s">
        <v>555</v>
      </c>
      <c r="GY11">
        <v>0</v>
      </c>
      <c r="GZ11">
        <v>0</v>
      </c>
      <c r="HA11">
        <v>0</v>
      </c>
      <c r="HB11" t="s">
        <v>264</v>
      </c>
      <c r="HC11">
        <v>69.5</v>
      </c>
      <c r="HD11">
        <v>46.9</v>
      </c>
      <c r="HE11" t="s">
        <v>561</v>
      </c>
      <c r="HF11" t="s">
        <v>555</v>
      </c>
      <c r="HG11">
        <v>0</v>
      </c>
      <c r="HH11">
        <v>0</v>
      </c>
      <c r="HI11">
        <v>0</v>
      </c>
      <c r="HJ11" t="s">
        <v>264</v>
      </c>
      <c r="HM11" t="s">
        <v>562</v>
      </c>
      <c r="HN11" t="s">
        <v>555</v>
      </c>
      <c r="HO11">
        <v>0</v>
      </c>
      <c r="HP11">
        <v>0</v>
      </c>
      <c r="HQ11">
        <v>0</v>
      </c>
      <c r="HR11" t="s">
        <v>264</v>
      </c>
      <c r="HU11" t="s">
        <v>563</v>
      </c>
      <c r="HV11" t="s">
        <v>555</v>
      </c>
      <c r="HW11">
        <v>0</v>
      </c>
      <c r="HX11">
        <v>0</v>
      </c>
      <c r="HY11">
        <v>0</v>
      </c>
      <c r="HZ11" t="s">
        <v>264</v>
      </c>
      <c r="IC11" t="s">
        <v>564</v>
      </c>
      <c r="ID11" t="s">
        <v>555</v>
      </c>
      <c r="IE11">
        <v>0</v>
      </c>
      <c r="IF11">
        <v>0</v>
      </c>
      <c r="IG11">
        <v>0</v>
      </c>
      <c r="IH11" t="s">
        <v>264</v>
      </c>
      <c r="IK11" t="s">
        <v>565</v>
      </c>
      <c r="IL11" t="s">
        <v>555</v>
      </c>
      <c r="IM11">
        <v>0</v>
      </c>
      <c r="IN11">
        <v>0</v>
      </c>
      <c r="IO11">
        <v>0</v>
      </c>
      <c r="IP11" t="s">
        <v>264</v>
      </c>
      <c r="IQ11">
        <v>70.599999999999994</v>
      </c>
      <c r="IR11">
        <v>279</v>
      </c>
      <c r="IS11" t="s">
        <v>566</v>
      </c>
      <c r="IT11" t="s">
        <v>555</v>
      </c>
      <c r="IU11">
        <v>0</v>
      </c>
      <c r="IV11">
        <v>0</v>
      </c>
      <c r="IW11">
        <v>0</v>
      </c>
      <c r="IX11" t="s">
        <v>264</v>
      </c>
      <c r="IY11">
        <v>67.900000000000006</v>
      </c>
      <c r="IZ11">
        <v>132.80000000000001</v>
      </c>
      <c r="JA11" t="s">
        <v>567</v>
      </c>
      <c r="JB11" t="s">
        <v>555</v>
      </c>
      <c r="JC11">
        <v>0</v>
      </c>
      <c r="JD11">
        <v>0</v>
      </c>
      <c r="JE11">
        <v>0</v>
      </c>
      <c r="JF11" t="s">
        <v>264</v>
      </c>
      <c r="JG11">
        <v>75.5</v>
      </c>
      <c r="JH11">
        <v>173</v>
      </c>
      <c r="JI11" t="s">
        <v>568</v>
      </c>
      <c r="JJ11" t="s">
        <v>555</v>
      </c>
      <c r="JK11">
        <v>0</v>
      </c>
      <c r="JL11">
        <v>0</v>
      </c>
      <c r="JM11">
        <v>0</v>
      </c>
      <c r="JN11" t="s">
        <v>264</v>
      </c>
      <c r="JO11">
        <v>65.7</v>
      </c>
      <c r="JP11">
        <v>60.8</v>
      </c>
      <c r="JQ11" t="s">
        <v>569</v>
      </c>
      <c r="JR11" t="s">
        <v>555</v>
      </c>
      <c r="JS11">
        <v>0</v>
      </c>
      <c r="JT11">
        <v>0</v>
      </c>
      <c r="JU11">
        <v>0</v>
      </c>
      <c r="JV11" t="s">
        <v>264</v>
      </c>
      <c r="JY11" t="s">
        <v>570</v>
      </c>
      <c r="JZ11" t="s">
        <v>555</v>
      </c>
      <c r="KA11">
        <v>0</v>
      </c>
      <c r="KB11">
        <v>0</v>
      </c>
      <c r="KC11">
        <v>0</v>
      </c>
      <c r="KD11" t="s">
        <v>264</v>
      </c>
      <c r="KG11" t="s">
        <v>571</v>
      </c>
      <c r="KH11" t="s">
        <v>555</v>
      </c>
      <c r="KI11">
        <v>0</v>
      </c>
      <c r="KJ11">
        <v>0</v>
      </c>
      <c r="KK11">
        <v>0</v>
      </c>
      <c r="KL11" t="s">
        <v>264</v>
      </c>
      <c r="KO11" t="s">
        <v>572</v>
      </c>
      <c r="KP11" t="s">
        <v>555</v>
      </c>
      <c r="KQ11">
        <v>0</v>
      </c>
      <c r="KR11">
        <v>0</v>
      </c>
      <c r="KS11">
        <v>0</v>
      </c>
      <c r="KT11" t="s">
        <v>264</v>
      </c>
      <c r="KW11" t="s">
        <v>573</v>
      </c>
      <c r="KX11" t="s">
        <v>555</v>
      </c>
      <c r="KY11">
        <v>0</v>
      </c>
      <c r="KZ11">
        <v>0</v>
      </c>
      <c r="LA11">
        <v>0</v>
      </c>
      <c r="LB11" t="s">
        <v>264</v>
      </c>
      <c r="LE11" t="s">
        <v>574</v>
      </c>
      <c r="LF11" t="s">
        <v>555</v>
      </c>
      <c r="LG11">
        <v>0</v>
      </c>
      <c r="LH11">
        <v>0</v>
      </c>
      <c r="LI11">
        <v>0</v>
      </c>
      <c r="LJ11" t="s">
        <v>264</v>
      </c>
      <c r="LM11" t="s">
        <v>575</v>
      </c>
      <c r="LN11" t="s">
        <v>555</v>
      </c>
      <c r="LO11">
        <v>0</v>
      </c>
      <c r="LP11">
        <v>0</v>
      </c>
      <c r="LQ11">
        <v>0</v>
      </c>
      <c r="LR11" t="s">
        <v>264</v>
      </c>
      <c r="LS11">
        <v>75.599999999999994</v>
      </c>
      <c r="LT11">
        <v>124</v>
      </c>
      <c r="LU11" t="s">
        <v>576</v>
      </c>
      <c r="LV11" t="s">
        <v>555</v>
      </c>
      <c r="LW11">
        <v>0</v>
      </c>
      <c r="LX11">
        <v>0</v>
      </c>
      <c r="LY11">
        <v>0</v>
      </c>
      <c r="LZ11" t="s">
        <v>264</v>
      </c>
      <c r="MC11" t="s">
        <v>577</v>
      </c>
      <c r="MD11" t="s">
        <v>555</v>
      </c>
      <c r="ME11">
        <v>0</v>
      </c>
      <c r="MF11">
        <v>0</v>
      </c>
      <c r="MG11">
        <v>0</v>
      </c>
      <c r="MH11" t="s">
        <v>264</v>
      </c>
      <c r="MI11">
        <v>65.5</v>
      </c>
      <c r="MJ11">
        <v>101</v>
      </c>
      <c r="MK11" t="s">
        <v>578</v>
      </c>
      <c r="ML11" t="s">
        <v>555</v>
      </c>
      <c r="MM11">
        <v>0</v>
      </c>
      <c r="MN11">
        <v>0</v>
      </c>
      <c r="MO11">
        <v>0</v>
      </c>
      <c r="MP11" t="s">
        <v>264</v>
      </c>
      <c r="MQ11">
        <v>70.599999999999994</v>
      </c>
      <c r="MR11">
        <v>122.4</v>
      </c>
      <c r="MS11" t="s">
        <v>579</v>
      </c>
      <c r="MT11" t="s">
        <v>555</v>
      </c>
      <c r="MU11">
        <v>0</v>
      </c>
      <c r="MV11">
        <v>0</v>
      </c>
      <c r="MW11">
        <v>0</v>
      </c>
      <c r="MX11" t="s">
        <v>264</v>
      </c>
      <c r="MY11">
        <v>71</v>
      </c>
      <c r="MZ11">
        <v>143.69999999999999</v>
      </c>
      <c r="NA11" t="s">
        <v>580</v>
      </c>
      <c r="NB11" t="s">
        <v>555</v>
      </c>
      <c r="NC11">
        <v>0</v>
      </c>
      <c r="ND11">
        <v>0</v>
      </c>
      <c r="NE11">
        <v>0</v>
      </c>
      <c r="NF11" t="s">
        <v>264</v>
      </c>
      <c r="NI11">
        <v>40</v>
      </c>
      <c r="NJ11">
        <v>-11.5</v>
      </c>
      <c r="NP11" t="s">
        <v>624</v>
      </c>
    </row>
    <row r="12" spans="1:380" customFormat="1" x14ac:dyDescent="0.2">
      <c r="A12" t="s">
        <v>517</v>
      </c>
      <c r="B12">
        <v>1</v>
      </c>
      <c r="C12" t="s">
        <v>987</v>
      </c>
      <c r="D12">
        <v>646963552</v>
      </c>
      <c r="E12">
        <v>12602</v>
      </c>
      <c r="F12" t="s">
        <v>967</v>
      </c>
      <c r="G12">
        <v>710086</v>
      </c>
      <c r="H12">
        <v>771867</v>
      </c>
      <c r="I12" t="s">
        <v>543</v>
      </c>
      <c r="J12" t="s">
        <v>988</v>
      </c>
      <c r="K12" t="s">
        <v>545</v>
      </c>
      <c r="L12" t="s">
        <v>447</v>
      </c>
      <c r="M12" t="s">
        <v>546</v>
      </c>
      <c r="N12" t="s">
        <v>468</v>
      </c>
      <c r="O12" t="s">
        <v>547</v>
      </c>
      <c r="P12" t="s">
        <v>264</v>
      </c>
      <c r="Q12">
        <v>26.1</v>
      </c>
      <c r="R12">
        <v>240</v>
      </c>
      <c r="S12" t="s">
        <v>264</v>
      </c>
      <c r="T12">
        <v>-9999</v>
      </c>
      <c r="U12">
        <v>461</v>
      </c>
      <c r="V12">
        <v>476</v>
      </c>
      <c r="W12">
        <v>453</v>
      </c>
      <c r="X12" t="s">
        <v>270</v>
      </c>
      <c r="Y12">
        <v>0</v>
      </c>
      <c r="Z12">
        <v>55</v>
      </c>
      <c r="AA12" t="s">
        <v>469</v>
      </c>
      <c r="AB12" t="s">
        <v>548</v>
      </c>
      <c r="AC12">
        <v>1</v>
      </c>
      <c r="AD12" t="s">
        <v>584</v>
      </c>
      <c r="AE12">
        <v>25</v>
      </c>
      <c r="AF12">
        <v>883</v>
      </c>
      <c r="AG12" t="s">
        <v>264</v>
      </c>
      <c r="AH12">
        <v>-9999</v>
      </c>
      <c r="AI12">
        <v>472</v>
      </c>
      <c r="AJ12">
        <v>585</v>
      </c>
      <c r="AK12">
        <v>471</v>
      </c>
      <c r="AL12" t="s">
        <v>270</v>
      </c>
      <c r="AM12">
        <v>0</v>
      </c>
      <c r="AN12">
        <v>55</v>
      </c>
      <c r="AO12" t="s">
        <v>470</v>
      </c>
      <c r="AP12" t="s">
        <v>548</v>
      </c>
      <c r="AQ12">
        <v>2</v>
      </c>
      <c r="AR12" t="s">
        <v>584</v>
      </c>
      <c r="AS12">
        <v>38.4</v>
      </c>
      <c r="AT12">
        <v>121</v>
      </c>
      <c r="AU12" t="s">
        <v>264</v>
      </c>
      <c r="AV12">
        <v>-9999</v>
      </c>
      <c r="AW12">
        <v>318</v>
      </c>
      <c r="AX12">
        <v>332</v>
      </c>
      <c r="AY12">
        <v>317</v>
      </c>
      <c r="AZ12" t="s">
        <v>270</v>
      </c>
      <c r="BA12">
        <v>0</v>
      </c>
      <c r="BB12">
        <v>55</v>
      </c>
      <c r="BC12" t="s">
        <v>550</v>
      </c>
      <c r="BD12" t="s">
        <v>548</v>
      </c>
      <c r="BE12">
        <v>3</v>
      </c>
      <c r="BF12" t="s">
        <v>584</v>
      </c>
      <c r="BG12">
        <v>20.9</v>
      </c>
      <c r="BH12">
        <v>940</v>
      </c>
      <c r="BI12" t="s">
        <v>264</v>
      </c>
      <c r="BJ12">
        <v>-9999</v>
      </c>
      <c r="BK12">
        <v>164</v>
      </c>
      <c r="BL12">
        <v>201</v>
      </c>
      <c r="BM12">
        <v>158</v>
      </c>
      <c r="BN12" t="s">
        <v>270</v>
      </c>
      <c r="BO12">
        <v>0</v>
      </c>
      <c r="BP12">
        <v>55</v>
      </c>
      <c r="BQ12" t="s">
        <v>504</v>
      </c>
      <c r="BR12" t="s">
        <v>548</v>
      </c>
      <c r="BS12">
        <v>4</v>
      </c>
      <c r="BT12" t="s">
        <v>584</v>
      </c>
      <c r="BU12">
        <v>28.7</v>
      </c>
      <c r="BV12">
        <v>282</v>
      </c>
      <c r="BW12" t="s">
        <v>264</v>
      </c>
      <c r="BX12">
        <v>-9999</v>
      </c>
      <c r="BY12">
        <v>205</v>
      </c>
      <c r="BZ12">
        <v>239</v>
      </c>
      <c r="CA12">
        <v>204</v>
      </c>
      <c r="CB12" t="s">
        <v>270</v>
      </c>
      <c r="CC12">
        <v>0</v>
      </c>
      <c r="CD12">
        <v>55</v>
      </c>
      <c r="CE12" t="s">
        <v>471</v>
      </c>
      <c r="CF12" t="s">
        <v>548</v>
      </c>
      <c r="CG12">
        <v>5</v>
      </c>
      <c r="CH12" t="s">
        <v>584</v>
      </c>
      <c r="CI12">
        <v>33.700000000000003</v>
      </c>
      <c r="CJ12">
        <v>204</v>
      </c>
      <c r="CK12" t="s">
        <v>264</v>
      </c>
      <c r="CL12">
        <v>-9999</v>
      </c>
      <c r="CM12">
        <v>433</v>
      </c>
      <c r="CN12">
        <v>501</v>
      </c>
      <c r="CO12">
        <v>428</v>
      </c>
      <c r="CP12" t="s">
        <v>270</v>
      </c>
      <c r="CQ12">
        <v>0</v>
      </c>
      <c r="CR12">
        <v>55</v>
      </c>
      <c r="CS12" t="s">
        <v>472</v>
      </c>
      <c r="CT12" t="s">
        <v>548</v>
      </c>
      <c r="CU12">
        <v>6</v>
      </c>
      <c r="CV12" t="s">
        <v>584</v>
      </c>
      <c r="CW12">
        <v>30.3</v>
      </c>
      <c r="CX12">
        <v>398</v>
      </c>
      <c r="CY12" t="s">
        <v>264</v>
      </c>
      <c r="CZ12">
        <v>-9999</v>
      </c>
      <c r="DA12">
        <v>615</v>
      </c>
      <c r="DB12">
        <v>697</v>
      </c>
      <c r="DC12">
        <v>603</v>
      </c>
      <c r="DD12" t="s">
        <v>270</v>
      </c>
      <c r="DE12">
        <v>0</v>
      </c>
      <c r="DF12">
        <v>55</v>
      </c>
      <c r="DG12" t="s">
        <v>473</v>
      </c>
      <c r="DH12" t="s">
        <v>548</v>
      </c>
      <c r="DI12">
        <v>7</v>
      </c>
      <c r="DJ12" t="s">
        <v>584</v>
      </c>
      <c r="DK12">
        <v>31.8</v>
      </c>
      <c r="DL12">
        <v>96</v>
      </c>
      <c r="DM12" t="s">
        <v>264</v>
      </c>
      <c r="DN12">
        <v>-9999</v>
      </c>
      <c r="DO12">
        <v>523</v>
      </c>
      <c r="DP12">
        <v>597</v>
      </c>
      <c r="DQ12">
        <v>517</v>
      </c>
      <c r="DR12" t="s">
        <v>270</v>
      </c>
      <c r="DS12">
        <v>0</v>
      </c>
      <c r="DT12">
        <v>55</v>
      </c>
      <c r="DU12" t="s">
        <v>474</v>
      </c>
      <c r="DV12" t="s">
        <v>548</v>
      </c>
      <c r="DW12">
        <v>8</v>
      </c>
      <c r="DX12" t="s">
        <v>584</v>
      </c>
      <c r="DY12">
        <v>22.2</v>
      </c>
      <c r="DZ12">
        <v>282</v>
      </c>
      <c r="EA12" t="s">
        <v>264</v>
      </c>
      <c r="EB12">
        <v>-9999</v>
      </c>
      <c r="EC12">
        <v>105</v>
      </c>
      <c r="ED12">
        <v>128</v>
      </c>
      <c r="EE12">
        <v>103</v>
      </c>
      <c r="EF12" t="s">
        <v>270</v>
      </c>
      <c r="EG12">
        <v>0</v>
      </c>
      <c r="EH12">
        <v>55</v>
      </c>
      <c r="EI12" t="s">
        <v>475</v>
      </c>
      <c r="EJ12" t="s">
        <v>548</v>
      </c>
      <c r="EK12">
        <v>9</v>
      </c>
      <c r="EL12" t="s">
        <v>584</v>
      </c>
      <c r="EM12">
        <v>22.2</v>
      </c>
      <c r="EN12">
        <v>419</v>
      </c>
      <c r="EO12" t="s">
        <v>264</v>
      </c>
      <c r="EP12">
        <v>-9999</v>
      </c>
      <c r="EQ12">
        <v>270</v>
      </c>
      <c r="ER12">
        <v>252</v>
      </c>
      <c r="ES12">
        <v>236</v>
      </c>
      <c r="ET12" t="s">
        <v>270</v>
      </c>
      <c r="EU12">
        <v>0</v>
      </c>
      <c r="EV12">
        <v>55</v>
      </c>
      <c r="EW12" t="s">
        <v>551</v>
      </c>
      <c r="EX12" t="s">
        <v>552</v>
      </c>
      <c r="EY12">
        <v>135</v>
      </c>
      <c r="EZ12">
        <v>135</v>
      </c>
      <c r="FA12">
        <v>136</v>
      </c>
      <c r="FB12" t="s">
        <v>270</v>
      </c>
      <c r="FC12" t="s">
        <v>553</v>
      </c>
      <c r="FD12" t="s">
        <v>552</v>
      </c>
      <c r="FE12">
        <v>290</v>
      </c>
      <c r="FF12">
        <v>289</v>
      </c>
      <c r="FG12">
        <v>289</v>
      </c>
      <c r="FH12" t="s">
        <v>270</v>
      </c>
      <c r="FI12" t="s">
        <v>554</v>
      </c>
      <c r="FJ12" t="s">
        <v>555</v>
      </c>
      <c r="FK12">
        <v>0</v>
      </c>
      <c r="FL12">
        <v>0</v>
      </c>
      <c r="FM12">
        <v>0</v>
      </c>
      <c r="FN12" t="s">
        <v>264</v>
      </c>
      <c r="FQ12" t="s">
        <v>556</v>
      </c>
      <c r="FR12" t="s">
        <v>555</v>
      </c>
      <c r="FS12">
        <v>0</v>
      </c>
      <c r="FT12">
        <v>0</v>
      </c>
      <c r="FU12">
        <v>0</v>
      </c>
      <c r="FV12" t="s">
        <v>264</v>
      </c>
      <c r="FY12" t="s">
        <v>557</v>
      </c>
      <c r="FZ12" t="s">
        <v>555</v>
      </c>
      <c r="GA12">
        <v>0</v>
      </c>
      <c r="GB12">
        <v>0</v>
      </c>
      <c r="GC12">
        <v>0</v>
      </c>
      <c r="GD12" t="s">
        <v>264</v>
      </c>
      <c r="GG12" t="s">
        <v>558</v>
      </c>
      <c r="GH12" t="s">
        <v>555</v>
      </c>
      <c r="GI12">
        <v>0</v>
      </c>
      <c r="GJ12">
        <v>0</v>
      </c>
      <c r="GK12">
        <v>0</v>
      </c>
      <c r="GL12" t="s">
        <v>264</v>
      </c>
      <c r="GO12" t="s">
        <v>559</v>
      </c>
      <c r="GP12" t="s">
        <v>555</v>
      </c>
      <c r="GQ12">
        <v>0</v>
      </c>
      <c r="GR12">
        <v>0</v>
      </c>
      <c r="GS12">
        <v>0</v>
      </c>
      <c r="GT12" t="s">
        <v>264</v>
      </c>
      <c r="GU12">
        <v>75.900000000000006</v>
      </c>
      <c r="GV12">
        <v>53</v>
      </c>
      <c r="GW12" t="s">
        <v>560</v>
      </c>
      <c r="GX12" t="s">
        <v>555</v>
      </c>
      <c r="GY12">
        <v>0</v>
      </c>
      <c r="GZ12">
        <v>0</v>
      </c>
      <c r="HA12">
        <v>0</v>
      </c>
      <c r="HB12" t="s">
        <v>264</v>
      </c>
      <c r="HC12">
        <v>69.8</v>
      </c>
      <c r="HD12">
        <v>47.9</v>
      </c>
      <c r="HE12" t="s">
        <v>561</v>
      </c>
      <c r="HF12" t="s">
        <v>555</v>
      </c>
      <c r="HG12">
        <v>0</v>
      </c>
      <c r="HH12">
        <v>0</v>
      </c>
      <c r="HI12">
        <v>0</v>
      </c>
      <c r="HJ12" t="s">
        <v>264</v>
      </c>
      <c r="HM12" t="s">
        <v>562</v>
      </c>
      <c r="HN12" t="s">
        <v>555</v>
      </c>
      <c r="HO12">
        <v>0</v>
      </c>
      <c r="HP12">
        <v>0</v>
      </c>
      <c r="HQ12">
        <v>0</v>
      </c>
      <c r="HR12" t="s">
        <v>264</v>
      </c>
      <c r="HU12" t="s">
        <v>563</v>
      </c>
      <c r="HV12" t="s">
        <v>555</v>
      </c>
      <c r="HW12">
        <v>0</v>
      </c>
      <c r="HX12">
        <v>0</v>
      </c>
      <c r="HY12">
        <v>0</v>
      </c>
      <c r="HZ12" t="s">
        <v>264</v>
      </c>
      <c r="IC12" t="s">
        <v>564</v>
      </c>
      <c r="ID12" t="s">
        <v>555</v>
      </c>
      <c r="IE12">
        <v>0</v>
      </c>
      <c r="IF12">
        <v>0</v>
      </c>
      <c r="IG12">
        <v>0</v>
      </c>
      <c r="IH12" t="s">
        <v>264</v>
      </c>
      <c r="IK12" t="s">
        <v>565</v>
      </c>
      <c r="IL12" t="s">
        <v>555</v>
      </c>
      <c r="IM12">
        <v>0</v>
      </c>
      <c r="IN12">
        <v>0</v>
      </c>
      <c r="IO12">
        <v>0</v>
      </c>
      <c r="IP12" t="s">
        <v>264</v>
      </c>
      <c r="IQ12">
        <v>70.7</v>
      </c>
      <c r="IR12">
        <v>281</v>
      </c>
      <c r="IS12" t="s">
        <v>566</v>
      </c>
      <c r="IT12" t="s">
        <v>555</v>
      </c>
      <c r="IU12">
        <v>0</v>
      </c>
      <c r="IV12">
        <v>0</v>
      </c>
      <c r="IW12">
        <v>0</v>
      </c>
      <c r="IX12" t="s">
        <v>264</v>
      </c>
      <c r="IY12">
        <v>68</v>
      </c>
      <c r="IZ12">
        <v>130.9</v>
      </c>
      <c r="JA12" t="s">
        <v>567</v>
      </c>
      <c r="JB12" t="s">
        <v>555</v>
      </c>
      <c r="JC12">
        <v>0</v>
      </c>
      <c r="JD12">
        <v>0</v>
      </c>
      <c r="JE12">
        <v>0</v>
      </c>
      <c r="JF12" t="s">
        <v>264</v>
      </c>
      <c r="JG12">
        <v>75.8</v>
      </c>
      <c r="JH12">
        <v>140.5</v>
      </c>
      <c r="JI12" t="s">
        <v>568</v>
      </c>
      <c r="JJ12" t="s">
        <v>555</v>
      </c>
      <c r="JK12">
        <v>0</v>
      </c>
      <c r="JL12">
        <v>0</v>
      </c>
      <c r="JM12">
        <v>0</v>
      </c>
      <c r="JN12" t="s">
        <v>264</v>
      </c>
      <c r="JO12">
        <v>65.8</v>
      </c>
      <c r="JP12">
        <v>49.1</v>
      </c>
      <c r="JQ12" t="s">
        <v>569</v>
      </c>
      <c r="JR12" t="s">
        <v>555</v>
      </c>
      <c r="JS12">
        <v>0</v>
      </c>
      <c r="JT12">
        <v>0</v>
      </c>
      <c r="JU12">
        <v>0</v>
      </c>
      <c r="JV12" t="s">
        <v>264</v>
      </c>
      <c r="JY12" t="s">
        <v>570</v>
      </c>
      <c r="JZ12" t="s">
        <v>555</v>
      </c>
      <c r="KA12">
        <v>0</v>
      </c>
      <c r="KB12">
        <v>0</v>
      </c>
      <c r="KC12">
        <v>0</v>
      </c>
      <c r="KD12" t="s">
        <v>264</v>
      </c>
      <c r="KG12" t="s">
        <v>571</v>
      </c>
      <c r="KH12" t="s">
        <v>555</v>
      </c>
      <c r="KI12">
        <v>0</v>
      </c>
      <c r="KJ12">
        <v>0</v>
      </c>
      <c r="KK12">
        <v>0</v>
      </c>
      <c r="KL12" t="s">
        <v>264</v>
      </c>
      <c r="KO12" t="s">
        <v>572</v>
      </c>
      <c r="KP12" t="s">
        <v>555</v>
      </c>
      <c r="KQ12">
        <v>0</v>
      </c>
      <c r="KR12">
        <v>0</v>
      </c>
      <c r="KS12">
        <v>0</v>
      </c>
      <c r="KT12" t="s">
        <v>264</v>
      </c>
      <c r="KW12" t="s">
        <v>573</v>
      </c>
      <c r="KX12" t="s">
        <v>555</v>
      </c>
      <c r="KY12">
        <v>0</v>
      </c>
      <c r="KZ12">
        <v>0</v>
      </c>
      <c r="LA12">
        <v>0</v>
      </c>
      <c r="LB12" t="s">
        <v>264</v>
      </c>
      <c r="LE12" t="s">
        <v>574</v>
      </c>
      <c r="LF12" t="s">
        <v>555</v>
      </c>
      <c r="LG12">
        <v>0</v>
      </c>
      <c r="LH12">
        <v>0</v>
      </c>
      <c r="LI12">
        <v>0</v>
      </c>
      <c r="LJ12" t="s">
        <v>264</v>
      </c>
      <c r="LM12" t="s">
        <v>575</v>
      </c>
      <c r="LN12" t="s">
        <v>555</v>
      </c>
      <c r="LO12">
        <v>0</v>
      </c>
      <c r="LP12">
        <v>0</v>
      </c>
      <c r="LQ12">
        <v>0</v>
      </c>
      <c r="LR12" t="s">
        <v>264</v>
      </c>
      <c r="LS12">
        <v>75.900000000000006</v>
      </c>
      <c r="LT12">
        <v>103.2</v>
      </c>
      <c r="LU12" t="s">
        <v>576</v>
      </c>
      <c r="LV12" t="s">
        <v>555</v>
      </c>
      <c r="LW12">
        <v>0</v>
      </c>
      <c r="LX12">
        <v>0</v>
      </c>
      <c r="LY12">
        <v>0</v>
      </c>
      <c r="LZ12" t="s">
        <v>264</v>
      </c>
      <c r="MC12" t="s">
        <v>577</v>
      </c>
      <c r="MD12" t="s">
        <v>555</v>
      </c>
      <c r="ME12">
        <v>0</v>
      </c>
      <c r="MF12">
        <v>0</v>
      </c>
      <c r="MG12">
        <v>0</v>
      </c>
      <c r="MH12" t="s">
        <v>264</v>
      </c>
      <c r="MI12">
        <v>65.599999999999994</v>
      </c>
      <c r="MJ12">
        <v>83.1</v>
      </c>
      <c r="MK12" t="s">
        <v>578</v>
      </c>
      <c r="ML12" t="s">
        <v>555</v>
      </c>
      <c r="MM12">
        <v>0</v>
      </c>
      <c r="MN12">
        <v>0</v>
      </c>
      <c r="MO12">
        <v>0</v>
      </c>
      <c r="MP12" t="s">
        <v>264</v>
      </c>
      <c r="MQ12">
        <v>70.8</v>
      </c>
      <c r="MR12">
        <v>113.7</v>
      </c>
      <c r="MS12" t="s">
        <v>579</v>
      </c>
      <c r="MT12" t="s">
        <v>555</v>
      </c>
      <c r="MU12">
        <v>0</v>
      </c>
      <c r="MV12">
        <v>0</v>
      </c>
      <c r="MW12">
        <v>0</v>
      </c>
      <c r="MX12" t="s">
        <v>264</v>
      </c>
      <c r="MY12">
        <v>71.3</v>
      </c>
      <c r="MZ12">
        <v>132.30000000000001</v>
      </c>
      <c r="NA12" t="s">
        <v>580</v>
      </c>
      <c r="NB12" t="s">
        <v>555</v>
      </c>
      <c r="NC12">
        <v>0</v>
      </c>
      <c r="ND12">
        <v>0</v>
      </c>
      <c r="NE12">
        <v>0</v>
      </c>
      <c r="NF12" t="s">
        <v>264</v>
      </c>
      <c r="NI12">
        <v>40.1</v>
      </c>
      <c r="NJ12">
        <v>-7.3</v>
      </c>
      <c r="NP12" t="s">
        <v>581</v>
      </c>
    </row>
    <row r="13" spans="1:380" customFormat="1" x14ac:dyDescent="0.2">
      <c r="A13" t="s">
        <v>517</v>
      </c>
      <c r="B13">
        <v>1</v>
      </c>
      <c r="C13" t="s">
        <v>989</v>
      </c>
      <c r="D13">
        <v>646963683</v>
      </c>
      <c r="E13">
        <v>12602</v>
      </c>
      <c r="F13" t="s">
        <v>967</v>
      </c>
      <c r="G13">
        <v>709863</v>
      </c>
      <c r="H13">
        <v>899306</v>
      </c>
      <c r="I13" t="s">
        <v>543</v>
      </c>
      <c r="J13" t="s">
        <v>990</v>
      </c>
      <c r="K13" t="s">
        <v>545</v>
      </c>
      <c r="L13" t="s">
        <v>447</v>
      </c>
      <c r="M13" t="s">
        <v>546</v>
      </c>
      <c r="N13" t="s">
        <v>468</v>
      </c>
      <c r="O13" t="s">
        <v>547</v>
      </c>
      <c r="P13" t="s">
        <v>264</v>
      </c>
      <c r="Q13">
        <v>25.8</v>
      </c>
      <c r="R13">
        <v>209</v>
      </c>
      <c r="S13" t="s">
        <v>264</v>
      </c>
      <c r="T13">
        <v>-9999</v>
      </c>
      <c r="U13">
        <v>602</v>
      </c>
      <c r="V13">
        <v>622</v>
      </c>
      <c r="W13">
        <v>594</v>
      </c>
      <c r="X13" t="s">
        <v>270</v>
      </c>
      <c r="Y13">
        <v>0</v>
      </c>
      <c r="Z13">
        <v>55</v>
      </c>
      <c r="AA13" t="s">
        <v>469</v>
      </c>
      <c r="AB13" t="s">
        <v>548</v>
      </c>
      <c r="AC13">
        <v>1</v>
      </c>
      <c r="AD13" t="s">
        <v>584</v>
      </c>
      <c r="AE13">
        <v>27.7</v>
      </c>
      <c r="AF13">
        <v>808</v>
      </c>
      <c r="AG13" t="s">
        <v>264</v>
      </c>
      <c r="AH13">
        <v>-9999</v>
      </c>
      <c r="AI13">
        <v>552</v>
      </c>
      <c r="AJ13">
        <v>680</v>
      </c>
      <c r="AK13">
        <v>548</v>
      </c>
      <c r="AL13" t="s">
        <v>270</v>
      </c>
      <c r="AM13">
        <v>0</v>
      </c>
      <c r="AN13">
        <v>55</v>
      </c>
      <c r="AO13" t="s">
        <v>470</v>
      </c>
      <c r="AP13" t="s">
        <v>548</v>
      </c>
      <c r="AQ13">
        <v>2</v>
      </c>
      <c r="AR13" t="s">
        <v>584</v>
      </c>
      <c r="AS13">
        <v>39.299999999999997</v>
      </c>
      <c r="AT13">
        <v>109</v>
      </c>
      <c r="AU13" t="s">
        <v>264</v>
      </c>
      <c r="AV13">
        <v>-9999</v>
      </c>
      <c r="AW13">
        <v>466</v>
      </c>
      <c r="AX13">
        <v>492</v>
      </c>
      <c r="AY13">
        <v>463</v>
      </c>
      <c r="AZ13" t="s">
        <v>270</v>
      </c>
      <c r="BA13">
        <v>0</v>
      </c>
      <c r="BB13">
        <v>55</v>
      </c>
      <c r="BC13" t="s">
        <v>550</v>
      </c>
      <c r="BD13" t="s">
        <v>548</v>
      </c>
      <c r="BE13">
        <v>3</v>
      </c>
      <c r="BF13" t="s">
        <v>584</v>
      </c>
      <c r="BG13">
        <v>22</v>
      </c>
      <c r="BH13">
        <v>985</v>
      </c>
      <c r="BI13" t="s">
        <v>264</v>
      </c>
      <c r="BJ13">
        <v>-9999</v>
      </c>
      <c r="BK13">
        <v>141</v>
      </c>
      <c r="BL13">
        <v>184</v>
      </c>
      <c r="BM13">
        <v>143</v>
      </c>
      <c r="BN13" t="s">
        <v>270</v>
      </c>
      <c r="BO13">
        <v>0</v>
      </c>
      <c r="BP13">
        <v>55</v>
      </c>
      <c r="BQ13" t="s">
        <v>504</v>
      </c>
      <c r="BR13" t="s">
        <v>548</v>
      </c>
      <c r="BS13">
        <v>4</v>
      </c>
      <c r="BT13" t="s">
        <v>584</v>
      </c>
      <c r="BU13">
        <v>30</v>
      </c>
      <c r="BV13">
        <v>279</v>
      </c>
      <c r="BW13" t="s">
        <v>264</v>
      </c>
      <c r="BX13">
        <v>-9999</v>
      </c>
      <c r="BY13">
        <v>219</v>
      </c>
      <c r="BZ13">
        <v>253</v>
      </c>
      <c r="CA13">
        <v>216</v>
      </c>
      <c r="CB13" t="s">
        <v>270</v>
      </c>
      <c r="CC13">
        <v>0</v>
      </c>
      <c r="CD13">
        <v>55</v>
      </c>
      <c r="CE13" t="s">
        <v>471</v>
      </c>
      <c r="CF13" t="s">
        <v>548</v>
      </c>
      <c r="CG13">
        <v>5</v>
      </c>
      <c r="CH13" t="s">
        <v>584</v>
      </c>
      <c r="CI13">
        <v>35.200000000000003</v>
      </c>
      <c r="CJ13">
        <v>198</v>
      </c>
      <c r="CK13" t="s">
        <v>264</v>
      </c>
      <c r="CL13">
        <v>-9999</v>
      </c>
      <c r="CM13">
        <v>529</v>
      </c>
      <c r="CN13">
        <v>622</v>
      </c>
      <c r="CO13">
        <v>529</v>
      </c>
      <c r="CP13" t="s">
        <v>270</v>
      </c>
      <c r="CQ13">
        <v>0</v>
      </c>
      <c r="CR13">
        <v>55</v>
      </c>
      <c r="CS13" t="s">
        <v>472</v>
      </c>
      <c r="CT13" t="s">
        <v>548</v>
      </c>
      <c r="CU13">
        <v>6</v>
      </c>
      <c r="CV13" t="s">
        <v>584</v>
      </c>
      <c r="CW13">
        <v>33.799999999999997</v>
      </c>
      <c r="CX13">
        <v>324</v>
      </c>
      <c r="CY13" t="s">
        <v>264</v>
      </c>
      <c r="CZ13">
        <v>-9999</v>
      </c>
      <c r="DA13">
        <v>741</v>
      </c>
      <c r="DB13">
        <v>846</v>
      </c>
      <c r="DC13">
        <v>732</v>
      </c>
      <c r="DD13" t="s">
        <v>270</v>
      </c>
      <c r="DE13">
        <v>0</v>
      </c>
      <c r="DF13">
        <v>55</v>
      </c>
      <c r="DG13" t="s">
        <v>473</v>
      </c>
      <c r="DH13" t="s">
        <v>548</v>
      </c>
      <c r="DI13">
        <v>7</v>
      </c>
      <c r="DJ13" t="s">
        <v>584</v>
      </c>
      <c r="DK13">
        <v>34.9</v>
      </c>
      <c r="DL13">
        <v>89</v>
      </c>
      <c r="DM13" t="s">
        <v>264</v>
      </c>
      <c r="DN13">
        <v>-9999</v>
      </c>
      <c r="DO13">
        <v>526</v>
      </c>
      <c r="DP13">
        <v>601</v>
      </c>
      <c r="DQ13">
        <v>523</v>
      </c>
      <c r="DR13" t="s">
        <v>270</v>
      </c>
      <c r="DS13">
        <v>0</v>
      </c>
      <c r="DT13">
        <v>55</v>
      </c>
      <c r="DU13" t="s">
        <v>474</v>
      </c>
      <c r="DV13" t="s">
        <v>548</v>
      </c>
      <c r="DW13">
        <v>8</v>
      </c>
      <c r="DX13" t="s">
        <v>584</v>
      </c>
      <c r="DY13">
        <v>23.5</v>
      </c>
      <c r="DZ13">
        <v>249</v>
      </c>
      <c r="EA13" t="s">
        <v>264</v>
      </c>
      <c r="EB13">
        <v>-9999</v>
      </c>
      <c r="EC13">
        <v>107</v>
      </c>
      <c r="ED13">
        <v>130</v>
      </c>
      <c r="EE13">
        <v>106</v>
      </c>
      <c r="EF13" t="s">
        <v>270</v>
      </c>
      <c r="EG13">
        <v>0</v>
      </c>
      <c r="EH13">
        <v>55</v>
      </c>
      <c r="EI13" t="s">
        <v>475</v>
      </c>
      <c r="EJ13" t="s">
        <v>548</v>
      </c>
      <c r="EK13">
        <v>9</v>
      </c>
      <c r="EL13" t="s">
        <v>584</v>
      </c>
      <c r="EM13">
        <v>24.2</v>
      </c>
      <c r="EN13">
        <v>366</v>
      </c>
      <c r="EO13" t="s">
        <v>264</v>
      </c>
      <c r="EP13">
        <v>-9999</v>
      </c>
      <c r="EQ13">
        <v>376</v>
      </c>
      <c r="ER13">
        <v>357</v>
      </c>
      <c r="ES13">
        <v>329</v>
      </c>
      <c r="ET13" t="s">
        <v>270</v>
      </c>
      <c r="EU13">
        <v>0</v>
      </c>
      <c r="EV13">
        <v>55</v>
      </c>
      <c r="EW13" t="s">
        <v>551</v>
      </c>
      <c r="EX13" t="s">
        <v>552</v>
      </c>
      <c r="EY13">
        <v>155</v>
      </c>
      <c r="EZ13">
        <v>156</v>
      </c>
      <c r="FA13">
        <v>157</v>
      </c>
      <c r="FB13" t="s">
        <v>270</v>
      </c>
      <c r="FC13" t="s">
        <v>553</v>
      </c>
      <c r="FD13" t="s">
        <v>552</v>
      </c>
      <c r="FE13">
        <v>330</v>
      </c>
      <c r="FF13">
        <v>328</v>
      </c>
      <c r="FG13">
        <v>328</v>
      </c>
      <c r="FH13" t="s">
        <v>270</v>
      </c>
      <c r="FI13" t="s">
        <v>554</v>
      </c>
      <c r="FJ13" t="s">
        <v>555</v>
      </c>
      <c r="FK13">
        <v>0</v>
      </c>
      <c r="FL13">
        <v>0</v>
      </c>
      <c r="FM13">
        <v>0</v>
      </c>
      <c r="FN13" t="s">
        <v>264</v>
      </c>
      <c r="FQ13" t="s">
        <v>556</v>
      </c>
      <c r="FR13" t="s">
        <v>555</v>
      </c>
      <c r="FS13">
        <v>0</v>
      </c>
      <c r="FT13">
        <v>0</v>
      </c>
      <c r="FU13">
        <v>0</v>
      </c>
      <c r="FV13" t="s">
        <v>264</v>
      </c>
      <c r="FY13" t="s">
        <v>557</v>
      </c>
      <c r="FZ13" t="s">
        <v>555</v>
      </c>
      <c r="GA13">
        <v>0</v>
      </c>
      <c r="GB13">
        <v>0</v>
      </c>
      <c r="GC13">
        <v>0</v>
      </c>
      <c r="GD13" t="s">
        <v>264</v>
      </c>
      <c r="GG13" t="s">
        <v>558</v>
      </c>
      <c r="GH13" t="s">
        <v>555</v>
      </c>
      <c r="GI13">
        <v>0</v>
      </c>
      <c r="GJ13">
        <v>0</v>
      </c>
      <c r="GK13">
        <v>0</v>
      </c>
      <c r="GL13" t="s">
        <v>264</v>
      </c>
      <c r="GO13" t="s">
        <v>559</v>
      </c>
      <c r="GP13" t="s">
        <v>555</v>
      </c>
      <c r="GQ13">
        <v>0</v>
      </c>
      <c r="GR13">
        <v>0</v>
      </c>
      <c r="GS13">
        <v>0</v>
      </c>
      <c r="GT13" t="s">
        <v>264</v>
      </c>
      <c r="GU13">
        <v>75.8</v>
      </c>
      <c r="GV13">
        <v>61.8</v>
      </c>
      <c r="GW13" t="s">
        <v>560</v>
      </c>
      <c r="GX13" t="s">
        <v>555</v>
      </c>
      <c r="GY13">
        <v>0</v>
      </c>
      <c r="GZ13">
        <v>0</v>
      </c>
      <c r="HA13">
        <v>0</v>
      </c>
      <c r="HB13" t="s">
        <v>264</v>
      </c>
      <c r="HC13">
        <v>69.8</v>
      </c>
      <c r="HD13">
        <v>48.4</v>
      </c>
      <c r="HE13" t="s">
        <v>561</v>
      </c>
      <c r="HF13" t="s">
        <v>555</v>
      </c>
      <c r="HG13">
        <v>0</v>
      </c>
      <c r="HH13">
        <v>0</v>
      </c>
      <c r="HI13">
        <v>0</v>
      </c>
      <c r="HJ13" t="s">
        <v>264</v>
      </c>
      <c r="HM13" t="s">
        <v>562</v>
      </c>
      <c r="HN13" t="s">
        <v>555</v>
      </c>
      <c r="HO13">
        <v>0</v>
      </c>
      <c r="HP13">
        <v>0</v>
      </c>
      <c r="HQ13">
        <v>0</v>
      </c>
      <c r="HR13" t="s">
        <v>264</v>
      </c>
      <c r="HU13" t="s">
        <v>563</v>
      </c>
      <c r="HV13" t="s">
        <v>555</v>
      </c>
      <c r="HW13">
        <v>0</v>
      </c>
      <c r="HX13">
        <v>0</v>
      </c>
      <c r="HY13">
        <v>0</v>
      </c>
      <c r="HZ13" t="s">
        <v>264</v>
      </c>
      <c r="IC13" t="s">
        <v>564</v>
      </c>
      <c r="ID13" t="s">
        <v>555</v>
      </c>
      <c r="IE13">
        <v>0</v>
      </c>
      <c r="IF13">
        <v>0</v>
      </c>
      <c r="IG13">
        <v>0</v>
      </c>
      <c r="IH13" t="s">
        <v>264</v>
      </c>
      <c r="IK13" t="s">
        <v>565</v>
      </c>
      <c r="IL13" t="s">
        <v>555</v>
      </c>
      <c r="IM13">
        <v>0</v>
      </c>
      <c r="IN13">
        <v>0</v>
      </c>
      <c r="IO13">
        <v>0</v>
      </c>
      <c r="IP13" t="s">
        <v>264</v>
      </c>
      <c r="IQ13">
        <v>70.7</v>
      </c>
      <c r="IR13">
        <v>326.3</v>
      </c>
      <c r="IS13" t="s">
        <v>566</v>
      </c>
      <c r="IT13" t="s">
        <v>555</v>
      </c>
      <c r="IU13">
        <v>0</v>
      </c>
      <c r="IV13">
        <v>0</v>
      </c>
      <c r="IW13">
        <v>0</v>
      </c>
      <c r="IX13" t="s">
        <v>264</v>
      </c>
      <c r="IY13">
        <v>68</v>
      </c>
      <c r="IZ13">
        <v>157.9</v>
      </c>
      <c r="JA13" t="s">
        <v>567</v>
      </c>
      <c r="JB13" t="s">
        <v>555</v>
      </c>
      <c r="JC13">
        <v>0</v>
      </c>
      <c r="JD13">
        <v>0</v>
      </c>
      <c r="JE13">
        <v>0</v>
      </c>
      <c r="JF13" t="s">
        <v>264</v>
      </c>
      <c r="JG13">
        <v>75.7</v>
      </c>
      <c r="JH13">
        <v>151.9</v>
      </c>
      <c r="JI13" t="s">
        <v>568</v>
      </c>
      <c r="JJ13" t="s">
        <v>555</v>
      </c>
      <c r="JK13">
        <v>0</v>
      </c>
      <c r="JL13">
        <v>0</v>
      </c>
      <c r="JM13">
        <v>0</v>
      </c>
      <c r="JN13" t="s">
        <v>264</v>
      </c>
      <c r="JO13">
        <v>65.8</v>
      </c>
      <c r="JP13">
        <v>59.8</v>
      </c>
      <c r="JQ13" t="s">
        <v>569</v>
      </c>
      <c r="JR13" t="s">
        <v>555</v>
      </c>
      <c r="JS13">
        <v>0</v>
      </c>
      <c r="JT13">
        <v>0</v>
      </c>
      <c r="JU13">
        <v>0</v>
      </c>
      <c r="JV13" t="s">
        <v>264</v>
      </c>
      <c r="JY13" t="s">
        <v>570</v>
      </c>
      <c r="JZ13" t="s">
        <v>555</v>
      </c>
      <c r="KA13">
        <v>0</v>
      </c>
      <c r="KB13">
        <v>0</v>
      </c>
      <c r="KC13">
        <v>0</v>
      </c>
      <c r="KD13" t="s">
        <v>264</v>
      </c>
      <c r="KG13" t="s">
        <v>571</v>
      </c>
      <c r="KH13" t="s">
        <v>555</v>
      </c>
      <c r="KI13">
        <v>0</v>
      </c>
      <c r="KJ13">
        <v>0</v>
      </c>
      <c r="KK13">
        <v>0</v>
      </c>
      <c r="KL13" t="s">
        <v>264</v>
      </c>
      <c r="KO13" t="s">
        <v>572</v>
      </c>
      <c r="KP13" t="s">
        <v>555</v>
      </c>
      <c r="KQ13">
        <v>0</v>
      </c>
      <c r="KR13">
        <v>0</v>
      </c>
      <c r="KS13">
        <v>0</v>
      </c>
      <c r="KT13" t="s">
        <v>264</v>
      </c>
      <c r="KW13" t="s">
        <v>573</v>
      </c>
      <c r="KX13" t="s">
        <v>555</v>
      </c>
      <c r="KY13">
        <v>0</v>
      </c>
      <c r="KZ13">
        <v>0</v>
      </c>
      <c r="LA13">
        <v>0</v>
      </c>
      <c r="LB13" t="s">
        <v>264</v>
      </c>
      <c r="LE13" t="s">
        <v>574</v>
      </c>
      <c r="LF13" t="s">
        <v>555</v>
      </c>
      <c r="LG13">
        <v>0</v>
      </c>
      <c r="LH13">
        <v>0</v>
      </c>
      <c r="LI13">
        <v>0</v>
      </c>
      <c r="LJ13" t="s">
        <v>264</v>
      </c>
      <c r="LM13" t="s">
        <v>575</v>
      </c>
      <c r="LN13" t="s">
        <v>555</v>
      </c>
      <c r="LO13">
        <v>0</v>
      </c>
      <c r="LP13">
        <v>0</v>
      </c>
      <c r="LQ13">
        <v>0</v>
      </c>
      <c r="LR13" t="s">
        <v>264</v>
      </c>
      <c r="LS13">
        <v>75.900000000000006</v>
      </c>
      <c r="LT13">
        <v>130.9</v>
      </c>
      <c r="LU13" t="s">
        <v>576</v>
      </c>
      <c r="LV13" t="s">
        <v>555</v>
      </c>
      <c r="LW13">
        <v>0</v>
      </c>
      <c r="LX13">
        <v>0</v>
      </c>
      <c r="LY13">
        <v>0</v>
      </c>
      <c r="LZ13" t="s">
        <v>264</v>
      </c>
      <c r="MC13" t="s">
        <v>577</v>
      </c>
      <c r="MD13" t="s">
        <v>555</v>
      </c>
      <c r="ME13">
        <v>0</v>
      </c>
      <c r="MF13">
        <v>0</v>
      </c>
      <c r="MG13">
        <v>0</v>
      </c>
      <c r="MH13" t="s">
        <v>264</v>
      </c>
      <c r="MI13">
        <v>65.599999999999994</v>
      </c>
      <c r="MJ13">
        <v>94.3</v>
      </c>
      <c r="MK13" t="s">
        <v>578</v>
      </c>
      <c r="ML13" t="s">
        <v>555</v>
      </c>
      <c r="MM13">
        <v>0</v>
      </c>
      <c r="MN13">
        <v>0</v>
      </c>
      <c r="MO13">
        <v>0</v>
      </c>
      <c r="MP13" t="s">
        <v>264</v>
      </c>
      <c r="MQ13">
        <v>70.8</v>
      </c>
      <c r="MR13">
        <v>122.1</v>
      </c>
      <c r="MS13" t="s">
        <v>579</v>
      </c>
      <c r="MT13" t="s">
        <v>555</v>
      </c>
      <c r="MU13">
        <v>0</v>
      </c>
      <c r="MV13">
        <v>0</v>
      </c>
      <c r="MW13">
        <v>0</v>
      </c>
      <c r="MX13" t="s">
        <v>264</v>
      </c>
      <c r="MY13">
        <v>71.2</v>
      </c>
      <c r="MZ13">
        <v>153.30000000000001</v>
      </c>
      <c r="NA13" t="s">
        <v>580</v>
      </c>
      <c r="NB13" t="s">
        <v>555</v>
      </c>
      <c r="NC13">
        <v>0</v>
      </c>
      <c r="ND13">
        <v>0</v>
      </c>
      <c r="NE13">
        <v>0</v>
      </c>
      <c r="NF13" t="s">
        <v>264</v>
      </c>
      <c r="NI13">
        <v>40.1</v>
      </c>
      <c r="NJ13">
        <v>-7</v>
      </c>
      <c r="NP13" t="s">
        <v>581</v>
      </c>
    </row>
    <row r="14" spans="1:380" customFormat="1" x14ac:dyDescent="0.2">
      <c r="A14" t="s">
        <v>517</v>
      </c>
      <c r="B14">
        <v>1</v>
      </c>
      <c r="C14" t="s">
        <v>991</v>
      </c>
      <c r="D14">
        <v>646964392</v>
      </c>
      <c r="E14">
        <v>12602</v>
      </c>
      <c r="F14" t="s">
        <v>967</v>
      </c>
      <c r="G14">
        <v>710087</v>
      </c>
      <c r="H14">
        <v>210069453</v>
      </c>
      <c r="I14" t="s">
        <v>543</v>
      </c>
      <c r="J14" t="s">
        <v>992</v>
      </c>
      <c r="K14" t="s">
        <v>545</v>
      </c>
      <c r="L14" t="s">
        <v>447</v>
      </c>
      <c r="M14" t="s">
        <v>546</v>
      </c>
      <c r="N14" t="s">
        <v>468</v>
      </c>
      <c r="O14" t="s">
        <v>547</v>
      </c>
      <c r="P14" t="s">
        <v>264</v>
      </c>
      <c r="Q14">
        <v>28.4</v>
      </c>
      <c r="R14">
        <v>220</v>
      </c>
      <c r="S14" t="s">
        <v>264</v>
      </c>
      <c r="T14">
        <v>-9999</v>
      </c>
      <c r="U14">
        <v>593</v>
      </c>
      <c r="V14">
        <v>613</v>
      </c>
      <c r="W14">
        <v>585</v>
      </c>
      <c r="X14" t="s">
        <v>270</v>
      </c>
      <c r="Y14">
        <v>0</v>
      </c>
      <c r="Z14">
        <v>55</v>
      </c>
      <c r="AA14" t="s">
        <v>469</v>
      </c>
      <c r="AB14" t="s">
        <v>548</v>
      </c>
      <c r="AC14">
        <v>1</v>
      </c>
      <c r="AD14" t="s">
        <v>584</v>
      </c>
      <c r="AE14">
        <v>31.2</v>
      </c>
      <c r="AF14">
        <v>712</v>
      </c>
      <c r="AG14" t="s">
        <v>264</v>
      </c>
      <c r="AH14">
        <v>-9999</v>
      </c>
      <c r="AI14">
        <v>496</v>
      </c>
      <c r="AJ14">
        <v>614</v>
      </c>
      <c r="AK14">
        <v>494</v>
      </c>
      <c r="AL14" t="s">
        <v>270</v>
      </c>
      <c r="AM14">
        <v>0</v>
      </c>
      <c r="AN14">
        <v>55</v>
      </c>
      <c r="AO14" t="s">
        <v>470</v>
      </c>
      <c r="AP14" t="s">
        <v>548</v>
      </c>
      <c r="AQ14">
        <v>2</v>
      </c>
      <c r="AR14" t="s">
        <v>549</v>
      </c>
      <c r="AS14">
        <v>46.7</v>
      </c>
      <c r="AT14">
        <v>69</v>
      </c>
      <c r="AU14" t="s">
        <v>264</v>
      </c>
      <c r="AV14">
        <v>-9999</v>
      </c>
      <c r="AW14">
        <v>368</v>
      </c>
      <c r="AX14">
        <v>388</v>
      </c>
      <c r="AY14">
        <v>367</v>
      </c>
      <c r="AZ14" t="s">
        <v>270</v>
      </c>
      <c r="BA14">
        <v>0</v>
      </c>
      <c r="BB14">
        <v>55</v>
      </c>
      <c r="BC14" t="s">
        <v>550</v>
      </c>
      <c r="BD14" t="s">
        <v>548</v>
      </c>
      <c r="BE14">
        <v>3</v>
      </c>
      <c r="BF14" t="s">
        <v>584</v>
      </c>
      <c r="BG14">
        <v>25</v>
      </c>
      <c r="BH14">
        <v>864</v>
      </c>
      <c r="BI14" t="s">
        <v>264</v>
      </c>
      <c r="BJ14">
        <v>-9999</v>
      </c>
      <c r="BK14">
        <v>164</v>
      </c>
      <c r="BL14">
        <v>206</v>
      </c>
      <c r="BM14">
        <v>162</v>
      </c>
      <c r="BN14" t="s">
        <v>270</v>
      </c>
      <c r="BO14">
        <v>0</v>
      </c>
      <c r="BP14">
        <v>55</v>
      </c>
      <c r="BQ14" t="s">
        <v>504</v>
      </c>
      <c r="BR14" t="s">
        <v>548</v>
      </c>
      <c r="BS14">
        <v>4</v>
      </c>
      <c r="BT14" t="s">
        <v>584</v>
      </c>
      <c r="BU14">
        <v>34.4</v>
      </c>
      <c r="BV14">
        <v>239</v>
      </c>
      <c r="BW14" t="s">
        <v>264</v>
      </c>
      <c r="BX14">
        <v>-9999</v>
      </c>
      <c r="BY14">
        <v>225</v>
      </c>
      <c r="BZ14">
        <v>259</v>
      </c>
      <c r="CA14">
        <v>223</v>
      </c>
      <c r="CB14" t="s">
        <v>270</v>
      </c>
      <c r="CC14">
        <v>0</v>
      </c>
      <c r="CD14">
        <v>55</v>
      </c>
      <c r="CE14" t="s">
        <v>471</v>
      </c>
      <c r="CF14" t="s">
        <v>548</v>
      </c>
      <c r="CG14">
        <v>5</v>
      </c>
      <c r="CH14" t="s">
        <v>584</v>
      </c>
      <c r="CI14">
        <v>38.4</v>
      </c>
      <c r="CJ14">
        <v>187</v>
      </c>
      <c r="CK14" t="s">
        <v>264</v>
      </c>
      <c r="CL14">
        <v>-9999</v>
      </c>
      <c r="CM14">
        <v>549</v>
      </c>
      <c r="CN14">
        <v>642</v>
      </c>
      <c r="CO14">
        <v>547</v>
      </c>
      <c r="CP14" t="s">
        <v>270</v>
      </c>
      <c r="CQ14">
        <v>0</v>
      </c>
      <c r="CR14">
        <v>55</v>
      </c>
      <c r="CS14" t="s">
        <v>472</v>
      </c>
      <c r="CT14" t="s">
        <v>548</v>
      </c>
      <c r="CU14">
        <v>6</v>
      </c>
      <c r="CV14" t="s">
        <v>584</v>
      </c>
      <c r="CW14">
        <v>36.9</v>
      </c>
      <c r="CX14">
        <v>316</v>
      </c>
      <c r="CY14" t="s">
        <v>264</v>
      </c>
      <c r="CZ14">
        <v>-9999</v>
      </c>
      <c r="DA14">
        <v>721</v>
      </c>
      <c r="DB14">
        <v>816</v>
      </c>
      <c r="DC14">
        <v>710</v>
      </c>
      <c r="DD14" t="s">
        <v>270</v>
      </c>
      <c r="DE14">
        <v>0</v>
      </c>
      <c r="DF14">
        <v>55</v>
      </c>
      <c r="DG14" t="s">
        <v>473</v>
      </c>
      <c r="DH14" t="s">
        <v>548</v>
      </c>
      <c r="DI14">
        <v>7</v>
      </c>
      <c r="DJ14" t="s">
        <v>549</v>
      </c>
      <c r="DK14">
        <v>38.4</v>
      </c>
      <c r="DL14">
        <v>78</v>
      </c>
      <c r="DM14" t="s">
        <v>264</v>
      </c>
      <c r="DN14">
        <v>-9999</v>
      </c>
      <c r="DO14">
        <v>511</v>
      </c>
      <c r="DP14">
        <v>583</v>
      </c>
      <c r="DQ14">
        <v>508</v>
      </c>
      <c r="DR14" t="s">
        <v>270</v>
      </c>
      <c r="DS14">
        <v>0</v>
      </c>
      <c r="DT14">
        <v>55</v>
      </c>
      <c r="DU14" t="s">
        <v>474</v>
      </c>
      <c r="DV14" t="s">
        <v>548</v>
      </c>
      <c r="DW14">
        <v>8</v>
      </c>
      <c r="DX14" t="s">
        <v>584</v>
      </c>
      <c r="DY14">
        <v>25.1</v>
      </c>
      <c r="DZ14">
        <v>256</v>
      </c>
      <c r="EA14" t="s">
        <v>264</v>
      </c>
      <c r="EB14">
        <v>-9999</v>
      </c>
      <c r="EC14">
        <v>100</v>
      </c>
      <c r="ED14">
        <v>121</v>
      </c>
      <c r="EE14">
        <v>98</v>
      </c>
      <c r="EF14" t="s">
        <v>270</v>
      </c>
      <c r="EG14">
        <v>0</v>
      </c>
      <c r="EH14">
        <v>55</v>
      </c>
      <c r="EI14" t="s">
        <v>475</v>
      </c>
      <c r="EJ14" t="s">
        <v>548</v>
      </c>
      <c r="EK14">
        <v>9</v>
      </c>
      <c r="EL14" t="s">
        <v>584</v>
      </c>
      <c r="EM14">
        <v>25.1</v>
      </c>
      <c r="EN14">
        <v>395</v>
      </c>
      <c r="EO14" t="s">
        <v>264</v>
      </c>
      <c r="EP14">
        <v>-9999</v>
      </c>
      <c r="EQ14">
        <v>328</v>
      </c>
      <c r="ER14">
        <v>301</v>
      </c>
      <c r="ES14">
        <v>280</v>
      </c>
      <c r="ET14" t="s">
        <v>270</v>
      </c>
      <c r="EU14">
        <v>0</v>
      </c>
      <c r="EV14">
        <v>55</v>
      </c>
      <c r="EW14" t="s">
        <v>551</v>
      </c>
      <c r="EX14" t="s">
        <v>552</v>
      </c>
      <c r="EY14">
        <v>129</v>
      </c>
      <c r="EZ14">
        <v>130</v>
      </c>
      <c r="FA14">
        <v>130</v>
      </c>
      <c r="FB14" t="s">
        <v>270</v>
      </c>
      <c r="FC14" t="s">
        <v>553</v>
      </c>
      <c r="FD14" t="s">
        <v>552</v>
      </c>
      <c r="FE14">
        <v>262</v>
      </c>
      <c r="FF14">
        <v>261</v>
      </c>
      <c r="FG14">
        <v>261</v>
      </c>
      <c r="FH14" t="s">
        <v>270</v>
      </c>
      <c r="FI14" t="s">
        <v>554</v>
      </c>
      <c r="FJ14" t="s">
        <v>555</v>
      </c>
      <c r="FK14">
        <v>0</v>
      </c>
      <c r="FL14">
        <v>0</v>
      </c>
      <c r="FM14">
        <v>0</v>
      </c>
      <c r="FN14" t="s">
        <v>264</v>
      </c>
      <c r="FQ14" t="s">
        <v>556</v>
      </c>
      <c r="FR14" t="s">
        <v>555</v>
      </c>
      <c r="FS14">
        <v>0</v>
      </c>
      <c r="FT14">
        <v>0</v>
      </c>
      <c r="FU14">
        <v>0</v>
      </c>
      <c r="FV14" t="s">
        <v>264</v>
      </c>
      <c r="FY14" t="s">
        <v>557</v>
      </c>
      <c r="FZ14" t="s">
        <v>555</v>
      </c>
      <c r="GA14">
        <v>0</v>
      </c>
      <c r="GB14">
        <v>0</v>
      </c>
      <c r="GC14">
        <v>0</v>
      </c>
      <c r="GD14" t="s">
        <v>264</v>
      </c>
      <c r="GG14" t="s">
        <v>558</v>
      </c>
      <c r="GH14" t="s">
        <v>555</v>
      </c>
      <c r="GI14">
        <v>0</v>
      </c>
      <c r="GJ14">
        <v>0</v>
      </c>
      <c r="GK14">
        <v>0</v>
      </c>
      <c r="GL14" t="s">
        <v>264</v>
      </c>
      <c r="GO14" t="s">
        <v>559</v>
      </c>
      <c r="GP14" t="s">
        <v>555</v>
      </c>
      <c r="GQ14">
        <v>0</v>
      </c>
      <c r="GR14">
        <v>0</v>
      </c>
      <c r="GS14">
        <v>0</v>
      </c>
      <c r="GT14" t="s">
        <v>264</v>
      </c>
      <c r="GU14">
        <v>75.599999999999994</v>
      </c>
      <c r="GV14">
        <v>61.2</v>
      </c>
      <c r="GW14" t="s">
        <v>560</v>
      </c>
      <c r="GX14" t="s">
        <v>555</v>
      </c>
      <c r="GY14">
        <v>0</v>
      </c>
      <c r="GZ14">
        <v>0</v>
      </c>
      <c r="HA14">
        <v>0</v>
      </c>
      <c r="HB14" t="s">
        <v>264</v>
      </c>
      <c r="HC14">
        <v>69.5</v>
      </c>
      <c r="HD14">
        <v>49</v>
      </c>
      <c r="HE14" t="s">
        <v>561</v>
      </c>
      <c r="HF14" t="s">
        <v>555</v>
      </c>
      <c r="HG14">
        <v>0</v>
      </c>
      <c r="HH14">
        <v>0</v>
      </c>
      <c r="HI14">
        <v>0</v>
      </c>
      <c r="HJ14" t="s">
        <v>264</v>
      </c>
      <c r="HM14" t="s">
        <v>562</v>
      </c>
      <c r="HN14" t="s">
        <v>555</v>
      </c>
      <c r="HO14">
        <v>0</v>
      </c>
      <c r="HP14">
        <v>0</v>
      </c>
      <c r="HQ14">
        <v>0</v>
      </c>
      <c r="HR14" t="s">
        <v>264</v>
      </c>
      <c r="HU14" t="s">
        <v>563</v>
      </c>
      <c r="HV14" t="s">
        <v>555</v>
      </c>
      <c r="HW14">
        <v>0</v>
      </c>
      <c r="HX14">
        <v>0</v>
      </c>
      <c r="HY14">
        <v>0</v>
      </c>
      <c r="HZ14" t="s">
        <v>264</v>
      </c>
      <c r="IC14" t="s">
        <v>564</v>
      </c>
      <c r="ID14" t="s">
        <v>555</v>
      </c>
      <c r="IE14">
        <v>0</v>
      </c>
      <c r="IF14">
        <v>0</v>
      </c>
      <c r="IG14">
        <v>0</v>
      </c>
      <c r="IH14" t="s">
        <v>264</v>
      </c>
      <c r="IK14" t="s">
        <v>565</v>
      </c>
      <c r="IL14" t="s">
        <v>555</v>
      </c>
      <c r="IM14">
        <v>0</v>
      </c>
      <c r="IN14">
        <v>0</v>
      </c>
      <c r="IO14">
        <v>0</v>
      </c>
      <c r="IP14" t="s">
        <v>264</v>
      </c>
      <c r="IQ14">
        <v>70.5</v>
      </c>
      <c r="IR14">
        <v>263.2</v>
      </c>
      <c r="IS14" t="s">
        <v>566</v>
      </c>
      <c r="IT14" t="s">
        <v>555</v>
      </c>
      <c r="IU14">
        <v>0</v>
      </c>
      <c r="IV14">
        <v>0</v>
      </c>
      <c r="IW14">
        <v>0</v>
      </c>
      <c r="IX14" t="s">
        <v>264</v>
      </c>
      <c r="IY14">
        <v>67.8</v>
      </c>
      <c r="IZ14">
        <v>126.5</v>
      </c>
      <c r="JA14" t="s">
        <v>567</v>
      </c>
      <c r="JB14" t="s">
        <v>555</v>
      </c>
      <c r="JC14">
        <v>0</v>
      </c>
      <c r="JD14">
        <v>0</v>
      </c>
      <c r="JE14">
        <v>0</v>
      </c>
      <c r="JF14" t="s">
        <v>264</v>
      </c>
      <c r="JG14">
        <v>75.400000000000006</v>
      </c>
      <c r="JH14">
        <v>165</v>
      </c>
      <c r="JI14" t="s">
        <v>568</v>
      </c>
      <c r="JJ14" t="s">
        <v>555</v>
      </c>
      <c r="JK14">
        <v>0</v>
      </c>
      <c r="JL14">
        <v>0</v>
      </c>
      <c r="JM14">
        <v>0</v>
      </c>
      <c r="JN14" t="s">
        <v>264</v>
      </c>
      <c r="JO14">
        <v>65.7</v>
      </c>
      <c r="JP14">
        <v>58.3</v>
      </c>
      <c r="JQ14" t="s">
        <v>569</v>
      </c>
      <c r="JR14" t="s">
        <v>555</v>
      </c>
      <c r="JS14">
        <v>0</v>
      </c>
      <c r="JT14">
        <v>0</v>
      </c>
      <c r="JU14">
        <v>0</v>
      </c>
      <c r="JV14" t="s">
        <v>264</v>
      </c>
      <c r="JY14" t="s">
        <v>570</v>
      </c>
      <c r="JZ14" t="s">
        <v>555</v>
      </c>
      <c r="KA14">
        <v>0</v>
      </c>
      <c r="KB14">
        <v>0</v>
      </c>
      <c r="KC14">
        <v>0</v>
      </c>
      <c r="KD14" t="s">
        <v>264</v>
      </c>
      <c r="KG14" t="s">
        <v>571</v>
      </c>
      <c r="KH14" t="s">
        <v>555</v>
      </c>
      <c r="KI14">
        <v>0</v>
      </c>
      <c r="KJ14">
        <v>0</v>
      </c>
      <c r="KK14">
        <v>0</v>
      </c>
      <c r="KL14" t="s">
        <v>264</v>
      </c>
      <c r="KO14" t="s">
        <v>572</v>
      </c>
      <c r="KP14" t="s">
        <v>555</v>
      </c>
      <c r="KQ14">
        <v>0</v>
      </c>
      <c r="KR14">
        <v>0</v>
      </c>
      <c r="KS14">
        <v>0</v>
      </c>
      <c r="KT14" t="s">
        <v>264</v>
      </c>
      <c r="KW14" t="s">
        <v>573</v>
      </c>
      <c r="KX14" t="s">
        <v>555</v>
      </c>
      <c r="KY14">
        <v>0</v>
      </c>
      <c r="KZ14">
        <v>0</v>
      </c>
      <c r="LA14">
        <v>0</v>
      </c>
      <c r="LB14" t="s">
        <v>264</v>
      </c>
      <c r="LE14" t="s">
        <v>574</v>
      </c>
      <c r="LF14" t="s">
        <v>555</v>
      </c>
      <c r="LG14">
        <v>0</v>
      </c>
      <c r="LH14">
        <v>0</v>
      </c>
      <c r="LI14">
        <v>0</v>
      </c>
      <c r="LJ14" t="s">
        <v>264</v>
      </c>
      <c r="LM14" t="s">
        <v>575</v>
      </c>
      <c r="LN14" t="s">
        <v>555</v>
      </c>
      <c r="LO14">
        <v>0</v>
      </c>
      <c r="LP14">
        <v>0</v>
      </c>
      <c r="LQ14">
        <v>0</v>
      </c>
      <c r="LR14" t="s">
        <v>264</v>
      </c>
      <c r="LS14">
        <v>75.5</v>
      </c>
      <c r="LT14">
        <v>120.7</v>
      </c>
      <c r="LU14" t="s">
        <v>576</v>
      </c>
      <c r="LV14" t="s">
        <v>555</v>
      </c>
      <c r="LW14">
        <v>0</v>
      </c>
      <c r="LX14">
        <v>0</v>
      </c>
      <c r="LY14">
        <v>0</v>
      </c>
      <c r="LZ14" t="s">
        <v>264</v>
      </c>
      <c r="MC14" t="s">
        <v>577</v>
      </c>
      <c r="MD14" t="s">
        <v>555</v>
      </c>
      <c r="ME14">
        <v>0</v>
      </c>
      <c r="MF14">
        <v>0</v>
      </c>
      <c r="MG14">
        <v>0</v>
      </c>
      <c r="MH14" t="s">
        <v>264</v>
      </c>
      <c r="MI14">
        <v>65.5</v>
      </c>
      <c r="MJ14">
        <v>88.2</v>
      </c>
      <c r="MK14" t="s">
        <v>578</v>
      </c>
      <c r="ML14" t="s">
        <v>555</v>
      </c>
      <c r="MM14">
        <v>0</v>
      </c>
      <c r="MN14">
        <v>0</v>
      </c>
      <c r="MO14">
        <v>0</v>
      </c>
      <c r="MP14" t="s">
        <v>264</v>
      </c>
      <c r="MQ14">
        <v>70.599999999999994</v>
      </c>
      <c r="MR14">
        <v>114.7</v>
      </c>
      <c r="MS14" t="s">
        <v>579</v>
      </c>
      <c r="MT14" t="s">
        <v>555</v>
      </c>
      <c r="MU14">
        <v>0</v>
      </c>
      <c r="MV14">
        <v>0</v>
      </c>
      <c r="MW14">
        <v>0</v>
      </c>
      <c r="MX14" t="s">
        <v>264</v>
      </c>
      <c r="MY14">
        <v>71</v>
      </c>
      <c r="MZ14">
        <v>142.1</v>
      </c>
      <c r="NA14" t="s">
        <v>580</v>
      </c>
      <c r="NB14" t="s">
        <v>555</v>
      </c>
      <c r="NC14">
        <v>0</v>
      </c>
      <c r="ND14">
        <v>0</v>
      </c>
      <c r="NE14">
        <v>0</v>
      </c>
      <c r="NF14" t="s">
        <v>264</v>
      </c>
      <c r="NI14">
        <v>40</v>
      </c>
      <c r="NJ14">
        <v>-8</v>
      </c>
      <c r="NP14" t="s">
        <v>581</v>
      </c>
    </row>
    <row r="15" spans="1:380" customFormat="1" x14ac:dyDescent="0.2">
      <c r="A15" t="s">
        <v>517</v>
      </c>
      <c r="B15">
        <v>1</v>
      </c>
      <c r="C15" t="s">
        <v>993</v>
      </c>
      <c r="D15">
        <v>646964393</v>
      </c>
      <c r="E15">
        <v>12602</v>
      </c>
      <c r="F15" t="s">
        <v>967</v>
      </c>
      <c r="G15">
        <v>709863</v>
      </c>
      <c r="H15">
        <v>220011903</v>
      </c>
      <c r="I15" t="s">
        <v>543</v>
      </c>
      <c r="J15" t="s">
        <v>994</v>
      </c>
      <c r="K15" t="s">
        <v>545</v>
      </c>
      <c r="L15" t="s">
        <v>447</v>
      </c>
      <c r="M15" t="s">
        <v>546</v>
      </c>
      <c r="N15" t="s">
        <v>468</v>
      </c>
      <c r="O15" t="s">
        <v>547</v>
      </c>
      <c r="P15" t="s">
        <v>264</v>
      </c>
      <c r="Q15">
        <v>27.2</v>
      </c>
      <c r="R15">
        <v>239</v>
      </c>
      <c r="S15" t="s">
        <v>264</v>
      </c>
      <c r="T15">
        <v>-9999</v>
      </c>
      <c r="U15">
        <v>451</v>
      </c>
      <c r="V15">
        <v>463</v>
      </c>
      <c r="W15">
        <v>440</v>
      </c>
      <c r="X15" t="s">
        <v>270</v>
      </c>
      <c r="Y15">
        <v>0</v>
      </c>
      <c r="Z15">
        <v>55</v>
      </c>
      <c r="AA15" t="s">
        <v>469</v>
      </c>
      <c r="AB15" t="s">
        <v>548</v>
      </c>
      <c r="AC15">
        <v>1</v>
      </c>
      <c r="AD15" t="s">
        <v>584</v>
      </c>
      <c r="AE15">
        <v>31</v>
      </c>
      <c r="AF15">
        <v>814</v>
      </c>
      <c r="AG15" t="s">
        <v>264</v>
      </c>
      <c r="AH15">
        <v>-9999</v>
      </c>
      <c r="AI15">
        <v>426</v>
      </c>
      <c r="AJ15">
        <v>526</v>
      </c>
      <c r="AK15">
        <v>422</v>
      </c>
      <c r="AL15" t="s">
        <v>270</v>
      </c>
      <c r="AM15">
        <v>0</v>
      </c>
      <c r="AN15">
        <v>55</v>
      </c>
      <c r="AO15" t="s">
        <v>470</v>
      </c>
      <c r="AP15" t="s">
        <v>548</v>
      </c>
      <c r="AQ15">
        <v>2</v>
      </c>
      <c r="AR15" t="s">
        <v>549</v>
      </c>
      <c r="AS15">
        <v>42.1</v>
      </c>
      <c r="AT15">
        <v>125</v>
      </c>
      <c r="AU15" t="s">
        <v>264</v>
      </c>
      <c r="AV15">
        <v>-9999</v>
      </c>
      <c r="AW15">
        <v>359</v>
      </c>
      <c r="AX15">
        <v>380</v>
      </c>
      <c r="AY15">
        <v>356</v>
      </c>
      <c r="AZ15" t="s">
        <v>270</v>
      </c>
      <c r="BA15">
        <v>0</v>
      </c>
      <c r="BB15">
        <v>55</v>
      </c>
      <c r="BC15" t="s">
        <v>550</v>
      </c>
      <c r="BD15" t="s">
        <v>548</v>
      </c>
      <c r="BE15">
        <v>3</v>
      </c>
      <c r="BF15" t="s">
        <v>584</v>
      </c>
      <c r="BG15">
        <v>24</v>
      </c>
      <c r="BH15">
        <v>733</v>
      </c>
      <c r="BI15" t="s">
        <v>264</v>
      </c>
      <c r="BJ15">
        <v>-9999</v>
      </c>
      <c r="BK15">
        <v>212</v>
      </c>
      <c r="BL15">
        <v>261</v>
      </c>
      <c r="BM15">
        <v>213</v>
      </c>
      <c r="BN15" t="s">
        <v>270</v>
      </c>
      <c r="BO15">
        <v>0</v>
      </c>
      <c r="BP15">
        <v>55</v>
      </c>
      <c r="BQ15" t="s">
        <v>504</v>
      </c>
      <c r="BR15" t="s">
        <v>548</v>
      </c>
      <c r="BS15">
        <v>4</v>
      </c>
      <c r="BT15" t="s">
        <v>584</v>
      </c>
      <c r="BU15">
        <v>33.700000000000003</v>
      </c>
      <c r="BV15">
        <v>273</v>
      </c>
      <c r="BW15" t="s">
        <v>264</v>
      </c>
      <c r="BX15">
        <v>-9999</v>
      </c>
      <c r="BY15">
        <v>185</v>
      </c>
      <c r="BZ15">
        <v>214</v>
      </c>
      <c r="CA15">
        <v>182</v>
      </c>
      <c r="CB15" t="s">
        <v>270</v>
      </c>
      <c r="CC15">
        <v>0</v>
      </c>
      <c r="CD15">
        <v>55</v>
      </c>
      <c r="CE15" t="s">
        <v>471</v>
      </c>
      <c r="CF15" t="s">
        <v>548</v>
      </c>
      <c r="CG15">
        <v>5</v>
      </c>
      <c r="CH15" t="s">
        <v>549</v>
      </c>
      <c r="CI15">
        <v>41.6</v>
      </c>
      <c r="CJ15">
        <v>162</v>
      </c>
      <c r="CK15" t="s">
        <v>264</v>
      </c>
      <c r="CL15">
        <v>-9999</v>
      </c>
      <c r="CM15">
        <v>465</v>
      </c>
      <c r="CN15">
        <v>541</v>
      </c>
      <c r="CO15">
        <v>464</v>
      </c>
      <c r="CP15" t="s">
        <v>270</v>
      </c>
      <c r="CQ15">
        <v>0</v>
      </c>
      <c r="CR15">
        <v>55</v>
      </c>
      <c r="CS15" t="s">
        <v>472</v>
      </c>
      <c r="CT15" t="s">
        <v>548</v>
      </c>
      <c r="CU15">
        <v>6</v>
      </c>
      <c r="CV15" t="s">
        <v>584</v>
      </c>
      <c r="CW15">
        <v>36.5</v>
      </c>
      <c r="CX15">
        <v>338</v>
      </c>
      <c r="CY15" t="s">
        <v>264</v>
      </c>
      <c r="CZ15">
        <v>-9999</v>
      </c>
      <c r="DA15">
        <v>558</v>
      </c>
      <c r="DB15">
        <v>632</v>
      </c>
      <c r="DC15">
        <v>547</v>
      </c>
      <c r="DD15" t="s">
        <v>270</v>
      </c>
      <c r="DE15">
        <v>0</v>
      </c>
      <c r="DF15">
        <v>55</v>
      </c>
      <c r="DG15" t="s">
        <v>473</v>
      </c>
      <c r="DH15" t="s">
        <v>548</v>
      </c>
      <c r="DI15">
        <v>7</v>
      </c>
      <c r="DJ15" t="s">
        <v>549</v>
      </c>
      <c r="DK15">
        <v>0</v>
      </c>
      <c r="DL15">
        <v>50</v>
      </c>
      <c r="DM15" t="s">
        <v>264</v>
      </c>
      <c r="DN15">
        <v>-9999</v>
      </c>
      <c r="DO15">
        <v>448</v>
      </c>
      <c r="DP15">
        <v>513</v>
      </c>
      <c r="DQ15">
        <v>443</v>
      </c>
      <c r="DR15" t="s">
        <v>270</v>
      </c>
      <c r="DS15">
        <v>0</v>
      </c>
      <c r="DT15">
        <v>55</v>
      </c>
      <c r="DU15" t="s">
        <v>474</v>
      </c>
      <c r="DV15" t="s">
        <v>548</v>
      </c>
      <c r="DW15">
        <v>8</v>
      </c>
      <c r="DX15" t="s">
        <v>584</v>
      </c>
      <c r="DY15">
        <v>24.3</v>
      </c>
      <c r="DZ15">
        <v>253</v>
      </c>
      <c r="EA15" t="s">
        <v>264</v>
      </c>
      <c r="EB15">
        <v>-9999</v>
      </c>
      <c r="EC15">
        <v>106</v>
      </c>
      <c r="ED15">
        <v>129</v>
      </c>
      <c r="EE15">
        <v>104</v>
      </c>
      <c r="EF15" t="s">
        <v>270</v>
      </c>
      <c r="EG15">
        <v>0</v>
      </c>
      <c r="EH15">
        <v>55</v>
      </c>
      <c r="EI15" t="s">
        <v>475</v>
      </c>
      <c r="EJ15" t="s">
        <v>548</v>
      </c>
      <c r="EK15">
        <v>9</v>
      </c>
      <c r="EL15" t="s">
        <v>584</v>
      </c>
      <c r="EM15">
        <v>25.4</v>
      </c>
      <c r="EN15">
        <v>351</v>
      </c>
      <c r="EO15" t="s">
        <v>264</v>
      </c>
      <c r="EP15">
        <v>-9999</v>
      </c>
      <c r="EQ15">
        <v>328</v>
      </c>
      <c r="ER15">
        <v>311</v>
      </c>
      <c r="ES15">
        <v>287</v>
      </c>
      <c r="ET15" t="s">
        <v>270</v>
      </c>
      <c r="EU15">
        <v>0</v>
      </c>
      <c r="EV15">
        <v>55</v>
      </c>
      <c r="EW15" t="s">
        <v>551</v>
      </c>
      <c r="EX15" t="s">
        <v>552</v>
      </c>
      <c r="EY15">
        <v>141</v>
      </c>
      <c r="EZ15">
        <v>142</v>
      </c>
      <c r="FA15">
        <v>142</v>
      </c>
      <c r="FB15" t="s">
        <v>270</v>
      </c>
      <c r="FC15" t="s">
        <v>553</v>
      </c>
      <c r="FD15" t="s">
        <v>552</v>
      </c>
      <c r="FE15">
        <v>223</v>
      </c>
      <c r="FF15">
        <v>222</v>
      </c>
      <c r="FG15">
        <v>221</v>
      </c>
      <c r="FH15" t="s">
        <v>270</v>
      </c>
      <c r="FI15" t="s">
        <v>554</v>
      </c>
      <c r="FJ15" t="s">
        <v>555</v>
      </c>
      <c r="FK15">
        <v>0</v>
      </c>
      <c r="FL15">
        <v>0</v>
      </c>
      <c r="FM15">
        <v>0</v>
      </c>
      <c r="FN15" t="s">
        <v>264</v>
      </c>
      <c r="FQ15" t="s">
        <v>556</v>
      </c>
      <c r="FR15" t="s">
        <v>555</v>
      </c>
      <c r="FS15">
        <v>0</v>
      </c>
      <c r="FT15">
        <v>0</v>
      </c>
      <c r="FU15">
        <v>0</v>
      </c>
      <c r="FV15" t="s">
        <v>264</v>
      </c>
      <c r="FY15" t="s">
        <v>557</v>
      </c>
      <c r="FZ15" t="s">
        <v>555</v>
      </c>
      <c r="GA15">
        <v>0</v>
      </c>
      <c r="GB15">
        <v>0</v>
      </c>
      <c r="GC15">
        <v>0</v>
      </c>
      <c r="GD15" t="s">
        <v>264</v>
      </c>
      <c r="GG15" t="s">
        <v>558</v>
      </c>
      <c r="GH15" t="s">
        <v>555</v>
      </c>
      <c r="GI15">
        <v>0</v>
      </c>
      <c r="GJ15">
        <v>0</v>
      </c>
      <c r="GK15">
        <v>0</v>
      </c>
      <c r="GL15" t="s">
        <v>264</v>
      </c>
      <c r="GO15" t="s">
        <v>559</v>
      </c>
      <c r="GP15" t="s">
        <v>555</v>
      </c>
      <c r="GQ15">
        <v>0</v>
      </c>
      <c r="GR15">
        <v>0</v>
      </c>
      <c r="GS15">
        <v>0</v>
      </c>
      <c r="GT15" t="s">
        <v>264</v>
      </c>
      <c r="GU15">
        <v>75.900000000000006</v>
      </c>
      <c r="GV15">
        <v>60.6</v>
      </c>
      <c r="GW15" t="s">
        <v>560</v>
      </c>
      <c r="GX15" t="s">
        <v>555</v>
      </c>
      <c r="GY15">
        <v>0</v>
      </c>
      <c r="GZ15">
        <v>0</v>
      </c>
      <c r="HA15">
        <v>0</v>
      </c>
      <c r="HB15" t="s">
        <v>264</v>
      </c>
      <c r="HC15">
        <v>69.400000000000006</v>
      </c>
      <c r="HD15">
        <v>30.4</v>
      </c>
      <c r="HE15" t="s">
        <v>561</v>
      </c>
      <c r="HF15" t="s">
        <v>555</v>
      </c>
      <c r="HG15">
        <v>0</v>
      </c>
      <c r="HH15">
        <v>0</v>
      </c>
      <c r="HI15">
        <v>0</v>
      </c>
      <c r="HJ15" t="s">
        <v>264</v>
      </c>
      <c r="HM15" t="s">
        <v>562</v>
      </c>
      <c r="HN15" t="s">
        <v>555</v>
      </c>
      <c r="HO15">
        <v>0</v>
      </c>
      <c r="HP15">
        <v>0</v>
      </c>
      <c r="HQ15">
        <v>0</v>
      </c>
      <c r="HR15" t="s">
        <v>264</v>
      </c>
      <c r="HU15" t="s">
        <v>563</v>
      </c>
      <c r="HV15" t="s">
        <v>555</v>
      </c>
      <c r="HW15">
        <v>0</v>
      </c>
      <c r="HX15">
        <v>0</v>
      </c>
      <c r="HY15">
        <v>0</v>
      </c>
      <c r="HZ15" t="s">
        <v>264</v>
      </c>
      <c r="IC15" t="s">
        <v>564</v>
      </c>
      <c r="ID15" t="s">
        <v>555</v>
      </c>
      <c r="IE15">
        <v>0</v>
      </c>
      <c r="IF15">
        <v>0</v>
      </c>
      <c r="IG15">
        <v>0</v>
      </c>
      <c r="IH15" t="s">
        <v>264</v>
      </c>
      <c r="IK15" t="s">
        <v>565</v>
      </c>
      <c r="IL15" t="s">
        <v>555</v>
      </c>
      <c r="IM15">
        <v>0</v>
      </c>
      <c r="IN15">
        <v>0</v>
      </c>
      <c r="IO15">
        <v>0</v>
      </c>
      <c r="IP15" t="s">
        <v>264</v>
      </c>
      <c r="IQ15">
        <v>70.8</v>
      </c>
      <c r="IR15">
        <v>271.2</v>
      </c>
      <c r="IS15" t="s">
        <v>566</v>
      </c>
      <c r="IT15" t="s">
        <v>555</v>
      </c>
      <c r="IU15">
        <v>0</v>
      </c>
      <c r="IV15">
        <v>0</v>
      </c>
      <c r="IW15">
        <v>0</v>
      </c>
      <c r="IX15" t="s">
        <v>264</v>
      </c>
      <c r="IY15">
        <v>68.099999999999994</v>
      </c>
      <c r="IZ15">
        <v>119</v>
      </c>
      <c r="JA15" t="s">
        <v>567</v>
      </c>
      <c r="JB15" t="s">
        <v>555</v>
      </c>
      <c r="JC15">
        <v>0</v>
      </c>
      <c r="JD15">
        <v>0</v>
      </c>
      <c r="JE15">
        <v>0</v>
      </c>
      <c r="JF15" t="s">
        <v>264</v>
      </c>
      <c r="JG15">
        <v>75.7</v>
      </c>
      <c r="JH15">
        <v>156.9</v>
      </c>
      <c r="JI15" t="s">
        <v>568</v>
      </c>
      <c r="JJ15" t="s">
        <v>555</v>
      </c>
      <c r="JK15">
        <v>0</v>
      </c>
      <c r="JL15">
        <v>0</v>
      </c>
      <c r="JM15">
        <v>0</v>
      </c>
      <c r="JN15" t="s">
        <v>264</v>
      </c>
      <c r="JO15">
        <v>65.900000000000006</v>
      </c>
      <c r="JP15">
        <v>48.9</v>
      </c>
      <c r="JQ15" t="s">
        <v>569</v>
      </c>
      <c r="JR15" t="s">
        <v>555</v>
      </c>
      <c r="JS15">
        <v>0</v>
      </c>
      <c r="JT15">
        <v>0</v>
      </c>
      <c r="JU15">
        <v>0</v>
      </c>
      <c r="JV15" t="s">
        <v>264</v>
      </c>
      <c r="JY15" t="s">
        <v>570</v>
      </c>
      <c r="JZ15" t="s">
        <v>555</v>
      </c>
      <c r="KA15">
        <v>0</v>
      </c>
      <c r="KB15">
        <v>0</v>
      </c>
      <c r="KC15">
        <v>0</v>
      </c>
      <c r="KD15" t="s">
        <v>264</v>
      </c>
      <c r="KG15" t="s">
        <v>571</v>
      </c>
      <c r="KH15" t="s">
        <v>555</v>
      </c>
      <c r="KI15">
        <v>0</v>
      </c>
      <c r="KJ15">
        <v>0</v>
      </c>
      <c r="KK15">
        <v>0</v>
      </c>
      <c r="KL15" t="s">
        <v>264</v>
      </c>
      <c r="KO15" t="s">
        <v>572</v>
      </c>
      <c r="KP15" t="s">
        <v>555</v>
      </c>
      <c r="KQ15">
        <v>0</v>
      </c>
      <c r="KR15">
        <v>0</v>
      </c>
      <c r="KS15">
        <v>0</v>
      </c>
      <c r="KT15" t="s">
        <v>264</v>
      </c>
      <c r="KW15" t="s">
        <v>573</v>
      </c>
      <c r="KX15" t="s">
        <v>555</v>
      </c>
      <c r="KY15">
        <v>0</v>
      </c>
      <c r="KZ15">
        <v>0</v>
      </c>
      <c r="LA15">
        <v>0</v>
      </c>
      <c r="LB15" t="s">
        <v>264</v>
      </c>
      <c r="LE15" t="s">
        <v>574</v>
      </c>
      <c r="LF15" t="s">
        <v>555</v>
      </c>
      <c r="LG15">
        <v>0</v>
      </c>
      <c r="LH15">
        <v>0</v>
      </c>
      <c r="LI15">
        <v>0</v>
      </c>
      <c r="LJ15" t="s">
        <v>264</v>
      </c>
      <c r="LM15" t="s">
        <v>575</v>
      </c>
      <c r="LN15" t="s">
        <v>555</v>
      </c>
      <c r="LO15">
        <v>0</v>
      </c>
      <c r="LP15">
        <v>0</v>
      </c>
      <c r="LQ15">
        <v>0</v>
      </c>
      <c r="LR15" t="s">
        <v>264</v>
      </c>
      <c r="LS15">
        <v>75.900000000000006</v>
      </c>
      <c r="LT15">
        <v>100.9</v>
      </c>
      <c r="LU15" t="s">
        <v>576</v>
      </c>
      <c r="LV15" t="s">
        <v>555</v>
      </c>
      <c r="LW15">
        <v>0</v>
      </c>
      <c r="LX15">
        <v>0</v>
      </c>
      <c r="LY15">
        <v>0</v>
      </c>
      <c r="LZ15" t="s">
        <v>264</v>
      </c>
      <c r="MC15" t="s">
        <v>577</v>
      </c>
      <c r="MD15" t="s">
        <v>555</v>
      </c>
      <c r="ME15">
        <v>0</v>
      </c>
      <c r="MF15">
        <v>0</v>
      </c>
      <c r="MG15">
        <v>0</v>
      </c>
      <c r="MH15" t="s">
        <v>264</v>
      </c>
      <c r="MI15">
        <v>65.7</v>
      </c>
      <c r="MJ15">
        <v>84.3</v>
      </c>
      <c r="MK15" t="s">
        <v>578</v>
      </c>
      <c r="ML15" t="s">
        <v>555</v>
      </c>
      <c r="MM15">
        <v>0</v>
      </c>
      <c r="MN15">
        <v>0</v>
      </c>
      <c r="MO15">
        <v>0</v>
      </c>
      <c r="MP15" t="s">
        <v>264</v>
      </c>
      <c r="MQ15">
        <v>70.8</v>
      </c>
      <c r="MR15">
        <v>118</v>
      </c>
      <c r="MS15" t="s">
        <v>579</v>
      </c>
      <c r="MT15" t="s">
        <v>555</v>
      </c>
      <c r="MU15">
        <v>0</v>
      </c>
      <c r="MV15">
        <v>0</v>
      </c>
      <c r="MW15">
        <v>0</v>
      </c>
      <c r="MX15" t="s">
        <v>264</v>
      </c>
      <c r="MY15">
        <v>71.3</v>
      </c>
      <c r="MZ15">
        <v>148.69999999999999</v>
      </c>
      <c r="NA15" t="s">
        <v>580</v>
      </c>
      <c r="NB15" t="s">
        <v>555</v>
      </c>
      <c r="NC15">
        <v>0</v>
      </c>
      <c r="ND15">
        <v>0</v>
      </c>
      <c r="NE15">
        <v>0</v>
      </c>
      <c r="NF15" t="s">
        <v>264</v>
      </c>
      <c r="NI15">
        <v>40</v>
      </c>
      <c r="NJ15">
        <v>-5.6</v>
      </c>
      <c r="NP15" t="s">
        <v>581</v>
      </c>
    </row>
    <row r="16" spans="1:380" customFormat="1" x14ac:dyDescent="0.2">
      <c r="A16" t="s">
        <v>517</v>
      </c>
      <c r="B16">
        <v>1</v>
      </c>
      <c r="C16" t="s">
        <v>995</v>
      </c>
      <c r="D16">
        <v>646966399</v>
      </c>
      <c r="E16">
        <v>12602</v>
      </c>
      <c r="F16" t="s">
        <v>967</v>
      </c>
      <c r="G16">
        <v>710087</v>
      </c>
      <c r="H16">
        <v>724738</v>
      </c>
      <c r="I16" t="s">
        <v>543</v>
      </c>
      <c r="J16" t="s">
        <v>996</v>
      </c>
      <c r="K16" t="s">
        <v>545</v>
      </c>
      <c r="L16" t="s">
        <v>518</v>
      </c>
      <c r="M16" t="s">
        <v>546</v>
      </c>
      <c r="N16" t="s">
        <v>468</v>
      </c>
      <c r="O16" t="s">
        <v>547</v>
      </c>
      <c r="P16" t="s">
        <v>264</v>
      </c>
      <c r="Q16">
        <v>27.6</v>
      </c>
      <c r="R16">
        <v>195</v>
      </c>
      <c r="S16" t="s">
        <v>264</v>
      </c>
      <c r="T16">
        <v>-9999</v>
      </c>
      <c r="U16">
        <v>618</v>
      </c>
      <c r="V16">
        <v>637</v>
      </c>
      <c r="W16">
        <v>607</v>
      </c>
      <c r="X16" t="s">
        <v>270</v>
      </c>
      <c r="Y16">
        <v>0</v>
      </c>
      <c r="Z16">
        <v>55</v>
      </c>
      <c r="AA16" t="s">
        <v>469</v>
      </c>
      <c r="AB16" t="s">
        <v>548</v>
      </c>
      <c r="AC16">
        <v>1</v>
      </c>
      <c r="AD16" t="s">
        <v>584</v>
      </c>
      <c r="AE16">
        <v>28.5</v>
      </c>
      <c r="AF16">
        <v>643</v>
      </c>
      <c r="AG16" t="s">
        <v>264</v>
      </c>
      <c r="AH16">
        <v>-9999</v>
      </c>
      <c r="AI16">
        <v>558</v>
      </c>
      <c r="AJ16">
        <v>696</v>
      </c>
      <c r="AK16">
        <v>555</v>
      </c>
      <c r="AL16" t="s">
        <v>270</v>
      </c>
      <c r="AM16">
        <v>0</v>
      </c>
      <c r="AN16">
        <v>55</v>
      </c>
      <c r="AO16" t="s">
        <v>470</v>
      </c>
      <c r="AP16" t="s">
        <v>548</v>
      </c>
      <c r="AQ16">
        <v>2</v>
      </c>
      <c r="AR16" t="s">
        <v>549</v>
      </c>
      <c r="AS16">
        <v>45.7</v>
      </c>
      <c r="AT16">
        <v>63</v>
      </c>
      <c r="AU16" t="s">
        <v>264</v>
      </c>
      <c r="AV16">
        <v>-9999</v>
      </c>
      <c r="AW16">
        <v>409</v>
      </c>
      <c r="AX16">
        <v>437</v>
      </c>
      <c r="AY16">
        <v>408</v>
      </c>
      <c r="AZ16" t="s">
        <v>270</v>
      </c>
      <c r="BA16">
        <v>0</v>
      </c>
      <c r="BB16">
        <v>55</v>
      </c>
      <c r="BC16" t="s">
        <v>550</v>
      </c>
      <c r="BD16" t="s">
        <v>548</v>
      </c>
      <c r="BE16">
        <v>3</v>
      </c>
      <c r="BF16" t="s">
        <v>584</v>
      </c>
      <c r="BG16">
        <v>22.4</v>
      </c>
      <c r="BH16">
        <v>1083</v>
      </c>
      <c r="BI16" t="s">
        <v>264</v>
      </c>
      <c r="BJ16">
        <v>-9999</v>
      </c>
      <c r="BK16">
        <v>127</v>
      </c>
      <c r="BL16">
        <v>169</v>
      </c>
      <c r="BM16">
        <v>127</v>
      </c>
      <c r="BN16" t="s">
        <v>270</v>
      </c>
      <c r="BO16">
        <v>0</v>
      </c>
      <c r="BP16">
        <v>55</v>
      </c>
      <c r="BQ16" t="s">
        <v>504</v>
      </c>
      <c r="BR16" t="s">
        <v>548</v>
      </c>
      <c r="BS16">
        <v>4</v>
      </c>
      <c r="BT16" t="s">
        <v>584</v>
      </c>
      <c r="BU16">
        <v>31.3</v>
      </c>
      <c r="BV16">
        <v>224</v>
      </c>
      <c r="BW16" t="s">
        <v>264</v>
      </c>
      <c r="BX16">
        <v>-9999</v>
      </c>
      <c r="BY16">
        <v>254</v>
      </c>
      <c r="BZ16">
        <v>294</v>
      </c>
      <c r="CA16">
        <v>252</v>
      </c>
      <c r="CB16" t="s">
        <v>270</v>
      </c>
      <c r="CC16">
        <v>0</v>
      </c>
      <c r="CD16">
        <v>55</v>
      </c>
      <c r="CE16" t="s">
        <v>471</v>
      </c>
      <c r="CF16" t="s">
        <v>548</v>
      </c>
      <c r="CG16">
        <v>5</v>
      </c>
      <c r="CH16" t="s">
        <v>549</v>
      </c>
      <c r="CI16">
        <v>40.1</v>
      </c>
      <c r="CJ16">
        <v>117</v>
      </c>
      <c r="CK16" t="s">
        <v>264</v>
      </c>
      <c r="CL16">
        <v>-9999</v>
      </c>
      <c r="CM16">
        <v>554</v>
      </c>
      <c r="CN16">
        <v>652</v>
      </c>
      <c r="CO16">
        <v>554</v>
      </c>
      <c r="CP16" t="s">
        <v>270</v>
      </c>
      <c r="CQ16">
        <v>0</v>
      </c>
      <c r="CR16">
        <v>55</v>
      </c>
      <c r="CS16" t="s">
        <v>472</v>
      </c>
      <c r="CT16" t="s">
        <v>548</v>
      </c>
      <c r="CU16">
        <v>6</v>
      </c>
      <c r="CV16" t="s">
        <v>584</v>
      </c>
      <c r="CW16">
        <v>33.4</v>
      </c>
      <c r="CX16">
        <v>305</v>
      </c>
      <c r="CY16" t="s">
        <v>264</v>
      </c>
      <c r="CZ16">
        <v>-9999</v>
      </c>
      <c r="DA16">
        <v>672</v>
      </c>
      <c r="DB16">
        <v>765</v>
      </c>
      <c r="DC16">
        <v>662</v>
      </c>
      <c r="DD16" t="s">
        <v>270</v>
      </c>
      <c r="DE16">
        <v>0</v>
      </c>
      <c r="DF16">
        <v>55</v>
      </c>
      <c r="DG16" t="s">
        <v>473</v>
      </c>
      <c r="DH16" t="s">
        <v>548</v>
      </c>
      <c r="DI16">
        <v>7</v>
      </c>
      <c r="DJ16" t="s">
        <v>584</v>
      </c>
      <c r="DK16">
        <v>33.4</v>
      </c>
      <c r="DL16">
        <v>106</v>
      </c>
      <c r="DM16" t="s">
        <v>264</v>
      </c>
      <c r="DN16">
        <v>-9999</v>
      </c>
      <c r="DO16">
        <v>575</v>
      </c>
      <c r="DP16">
        <v>645</v>
      </c>
      <c r="DQ16">
        <v>570</v>
      </c>
      <c r="DR16" t="s">
        <v>270</v>
      </c>
      <c r="DS16">
        <v>0</v>
      </c>
      <c r="DT16">
        <v>55</v>
      </c>
      <c r="DU16" t="s">
        <v>474</v>
      </c>
      <c r="DV16" t="s">
        <v>548</v>
      </c>
      <c r="DW16">
        <v>8</v>
      </c>
      <c r="DX16" t="s">
        <v>584</v>
      </c>
      <c r="DY16">
        <v>24</v>
      </c>
      <c r="DZ16">
        <v>230</v>
      </c>
      <c r="EA16" t="s">
        <v>264</v>
      </c>
      <c r="EB16">
        <v>-9999</v>
      </c>
      <c r="EC16">
        <v>130</v>
      </c>
      <c r="ED16">
        <v>162</v>
      </c>
      <c r="EE16">
        <v>128</v>
      </c>
      <c r="EF16" t="s">
        <v>270</v>
      </c>
      <c r="EG16">
        <v>0</v>
      </c>
      <c r="EH16">
        <v>55</v>
      </c>
      <c r="EI16" t="s">
        <v>475</v>
      </c>
      <c r="EJ16" t="s">
        <v>548</v>
      </c>
      <c r="EK16">
        <v>9</v>
      </c>
      <c r="EL16" t="s">
        <v>584</v>
      </c>
      <c r="EM16">
        <v>24.6</v>
      </c>
      <c r="EN16">
        <v>299</v>
      </c>
      <c r="EO16" t="s">
        <v>264</v>
      </c>
      <c r="EP16">
        <v>-9999</v>
      </c>
      <c r="EQ16">
        <v>401</v>
      </c>
      <c r="ER16">
        <v>391</v>
      </c>
      <c r="ES16">
        <v>360</v>
      </c>
      <c r="ET16" t="s">
        <v>270</v>
      </c>
      <c r="EU16">
        <v>0</v>
      </c>
      <c r="EV16">
        <v>55</v>
      </c>
      <c r="EW16" t="s">
        <v>551</v>
      </c>
      <c r="EX16" t="s">
        <v>552</v>
      </c>
      <c r="EY16">
        <v>130</v>
      </c>
      <c r="EZ16">
        <v>131</v>
      </c>
      <c r="FA16">
        <v>131</v>
      </c>
      <c r="FB16" t="s">
        <v>270</v>
      </c>
      <c r="FC16" t="s">
        <v>553</v>
      </c>
      <c r="FD16" t="s">
        <v>552</v>
      </c>
      <c r="FE16">
        <v>301</v>
      </c>
      <c r="FF16">
        <v>300</v>
      </c>
      <c r="FG16">
        <v>299</v>
      </c>
      <c r="FH16" t="s">
        <v>270</v>
      </c>
      <c r="FI16" t="s">
        <v>554</v>
      </c>
      <c r="FJ16" t="s">
        <v>555</v>
      </c>
      <c r="FK16">
        <v>0</v>
      </c>
      <c r="FL16">
        <v>0</v>
      </c>
      <c r="FM16">
        <v>0</v>
      </c>
      <c r="FN16" t="s">
        <v>264</v>
      </c>
      <c r="FQ16" t="s">
        <v>556</v>
      </c>
      <c r="FR16" t="s">
        <v>555</v>
      </c>
      <c r="FS16">
        <v>0</v>
      </c>
      <c r="FT16">
        <v>0</v>
      </c>
      <c r="FU16">
        <v>0</v>
      </c>
      <c r="FV16" t="s">
        <v>264</v>
      </c>
      <c r="FY16" t="s">
        <v>557</v>
      </c>
      <c r="FZ16" t="s">
        <v>555</v>
      </c>
      <c r="GA16">
        <v>0</v>
      </c>
      <c r="GB16">
        <v>0</v>
      </c>
      <c r="GC16">
        <v>0</v>
      </c>
      <c r="GD16" t="s">
        <v>264</v>
      </c>
      <c r="GG16" t="s">
        <v>558</v>
      </c>
      <c r="GH16" t="s">
        <v>555</v>
      </c>
      <c r="GI16">
        <v>0</v>
      </c>
      <c r="GJ16">
        <v>0</v>
      </c>
      <c r="GK16">
        <v>0</v>
      </c>
      <c r="GL16" t="s">
        <v>264</v>
      </c>
      <c r="GO16" t="s">
        <v>559</v>
      </c>
      <c r="GP16" t="s">
        <v>555</v>
      </c>
      <c r="GQ16">
        <v>0</v>
      </c>
      <c r="GR16">
        <v>0</v>
      </c>
      <c r="GS16">
        <v>0</v>
      </c>
      <c r="GT16" t="s">
        <v>264</v>
      </c>
      <c r="GU16">
        <v>75.599999999999994</v>
      </c>
      <c r="GV16">
        <v>60.3</v>
      </c>
      <c r="GW16" t="s">
        <v>560</v>
      </c>
      <c r="GX16" t="s">
        <v>555</v>
      </c>
      <c r="GY16">
        <v>0</v>
      </c>
      <c r="GZ16">
        <v>0</v>
      </c>
      <c r="HA16">
        <v>0</v>
      </c>
      <c r="HB16" t="s">
        <v>264</v>
      </c>
      <c r="HC16">
        <v>69.5</v>
      </c>
      <c r="HD16">
        <v>33.200000000000003</v>
      </c>
      <c r="HE16" t="s">
        <v>561</v>
      </c>
      <c r="HF16" t="s">
        <v>555</v>
      </c>
      <c r="HG16">
        <v>0</v>
      </c>
      <c r="HH16">
        <v>0</v>
      </c>
      <c r="HI16">
        <v>0</v>
      </c>
      <c r="HJ16" t="s">
        <v>264</v>
      </c>
      <c r="HM16" t="s">
        <v>562</v>
      </c>
      <c r="HN16" t="s">
        <v>555</v>
      </c>
      <c r="HO16">
        <v>0</v>
      </c>
      <c r="HP16">
        <v>0</v>
      </c>
      <c r="HQ16">
        <v>0</v>
      </c>
      <c r="HR16" t="s">
        <v>264</v>
      </c>
      <c r="HU16" t="s">
        <v>563</v>
      </c>
      <c r="HV16" t="s">
        <v>555</v>
      </c>
      <c r="HW16">
        <v>0</v>
      </c>
      <c r="HX16">
        <v>0</v>
      </c>
      <c r="HY16">
        <v>0</v>
      </c>
      <c r="HZ16" t="s">
        <v>264</v>
      </c>
      <c r="IC16" t="s">
        <v>564</v>
      </c>
      <c r="ID16" t="s">
        <v>555</v>
      </c>
      <c r="IE16">
        <v>0</v>
      </c>
      <c r="IF16">
        <v>0</v>
      </c>
      <c r="IG16">
        <v>0</v>
      </c>
      <c r="IH16" t="s">
        <v>264</v>
      </c>
      <c r="IK16" t="s">
        <v>565</v>
      </c>
      <c r="IL16" t="s">
        <v>555</v>
      </c>
      <c r="IM16">
        <v>0</v>
      </c>
      <c r="IN16">
        <v>0</v>
      </c>
      <c r="IO16">
        <v>0</v>
      </c>
      <c r="IP16" t="s">
        <v>264</v>
      </c>
      <c r="IQ16">
        <v>70.3</v>
      </c>
      <c r="IR16">
        <v>284.39999999999998</v>
      </c>
      <c r="IS16" t="s">
        <v>566</v>
      </c>
      <c r="IT16" t="s">
        <v>555</v>
      </c>
      <c r="IU16">
        <v>0</v>
      </c>
      <c r="IV16">
        <v>0</v>
      </c>
      <c r="IW16">
        <v>0</v>
      </c>
      <c r="IX16" t="s">
        <v>264</v>
      </c>
      <c r="IY16">
        <v>67.599999999999994</v>
      </c>
      <c r="IZ16">
        <v>142.30000000000001</v>
      </c>
      <c r="JA16" t="s">
        <v>567</v>
      </c>
      <c r="JB16" t="s">
        <v>555</v>
      </c>
      <c r="JC16">
        <v>0</v>
      </c>
      <c r="JD16">
        <v>0</v>
      </c>
      <c r="JE16">
        <v>0</v>
      </c>
      <c r="JF16" t="s">
        <v>264</v>
      </c>
      <c r="JG16">
        <v>75.5</v>
      </c>
      <c r="JH16">
        <v>185.5</v>
      </c>
      <c r="JI16" t="s">
        <v>568</v>
      </c>
      <c r="JJ16" t="s">
        <v>555</v>
      </c>
      <c r="JK16">
        <v>0</v>
      </c>
      <c r="JL16">
        <v>0</v>
      </c>
      <c r="JM16">
        <v>0</v>
      </c>
      <c r="JN16" t="s">
        <v>264</v>
      </c>
      <c r="JO16">
        <v>65.3</v>
      </c>
      <c r="JP16">
        <v>63.9</v>
      </c>
      <c r="JQ16" t="s">
        <v>569</v>
      </c>
      <c r="JR16" t="s">
        <v>555</v>
      </c>
      <c r="JS16">
        <v>0</v>
      </c>
      <c r="JT16">
        <v>0</v>
      </c>
      <c r="JU16">
        <v>0</v>
      </c>
      <c r="JV16" t="s">
        <v>264</v>
      </c>
      <c r="JY16" t="s">
        <v>570</v>
      </c>
      <c r="JZ16" t="s">
        <v>555</v>
      </c>
      <c r="KA16">
        <v>0</v>
      </c>
      <c r="KB16">
        <v>0</v>
      </c>
      <c r="KC16">
        <v>0</v>
      </c>
      <c r="KD16" t="s">
        <v>264</v>
      </c>
      <c r="KG16" t="s">
        <v>571</v>
      </c>
      <c r="KH16" t="s">
        <v>555</v>
      </c>
      <c r="KI16">
        <v>0</v>
      </c>
      <c r="KJ16">
        <v>0</v>
      </c>
      <c r="KK16">
        <v>0</v>
      </c>
      <c r="KL16" t="s">
        <v>264</v>
      </c>
      <c r="KO16" t="s">
        <v>572</v>
      </c>
      <c r="KP16" t="s">
        <v>555</v>
      </c>
      <c r="KQ16">
        <v>0</v>
      </c>
      <c r="KR16">
        <v>0</v>
      </c>
      <c r="KS16">
        <v>0</v>
      </c>
      <c r="KT16" t="s">
        <v>264</v>
      </c>
      <c r="KW16" t="s">
        <v>573</v>
      </c>
      <c r="KX16" t="s">
        <v>555</v>
      </c>
      <c r="KY16">
        <v>0</v>
      </c>
      <c r="KZ16">
        <v>0</v>
      </c>
      <c r="LA16">
        <v>0</v>
      </c>
      <c r="LB16" t="s">
        <v>264</v>
      </c>
      <c r="LE16" t="s">
        <v>574</v>
      </c>
      <c r="LF16" t="s">
        <v>555</v>
      </c>
      <c r="LG16">
        <v>0</v>
      </c>
      <c r="LH16">
        <v>0</v>
      </c>
      <c r="LI16">
        <v>0</v>
      </c>
      <c r="LJ16" t="s">
        <v>264</v>
      </c>
      <c r="LM16" t="s">
        <v>575</v>
      </c>
      <c r="LN16" t="s">
        <v>555</v>
      </c>
      <c r="LO16">
        <v>0</v>
      </c>
      <c r="LP16">
        <v>0</v>
      </c>
      <c r="LQ16">
        <v>0</v>
      </c>
      <c r="LR16" t="s">
        <v>264</v>
      </c>
      <c r="LS16">
        <v>75.599999999999994</v>
      </c>
      <c r="LT16">
        <v>112.6</v>
      </c>
      <c r="LU16" t="s">
        <v>576</v>
      </c>
      <c r="LV16" t="s">
        <v>555</v>
      </c>
      <c r="LW16">
        <v>0</v>
      </c>
      <c r="LX16">
        <v>0</v>
      </c>
      <c r="LY16">
        <v>0</v>
      </c>
      <c r="LZ16" t="s">
        <v>264</v>
      </c>
      <c r="MC16" t="s">
        <v>577</v>
      </c>
      <c r="MD16" t="s">
        <v>555</v>
      </c>
      <c r="ME16">
        <v>0</v>
      </c>
      <c r="MF16">
        <v>0</v>
      </c>
      <c r="MG16">
        <v>0</v>
      </c>
      <c r="MH16" t="s">
        <v>264</v>
      </c>
      <c r="MI16">
        <v>65.099999999999994</v>
      </c>
      <c r="MJ16">
        <v>99.3</v>
      </c>
      <c r="MK16" t="s">
        <v>578</v>
      </c>
      <c r="ML16" t="s">
        <v>555</v>
      </c>
      <c r="MM16">
        <v>0</v>
      </c>
      <c r="MN16">
        <v>0</v>
      </c>
      <c r="MO16">
        <v>0</v>
      </c>
      <c r="MP16" t="s">
        <v>264</v>
      </c>
      <c r="MS16" t="s">
        <v>579</v>
      </c>
      <c r="MT16" t="s">
        <v>555</v>
      </c>
      <c r="MU16">
        <v>0</v>
      </c>
      <c r="MV16">
        <v>0</v>
      </c>
      <c r="MW16">
        <v>0</v>
      </c>
      <c r="MX16" t="s">
        <v>264</v>
      </c>
      <c r="MY16">
        <v>70.900000000000006</v>
      </c>
      <c r="MZ16">
        <v>165.6</v>
      </c>
      <c r="NA16" t="s">
        <v>580</v>
      </c>
      <c r="NB16" t="s">
        <v>555</v>
      </c>
      <c r="NC16">
        <v>0</v>
      </c>
      <c r="ND16">
        <v>0</v>
      </c>
      <c r="NE16">
        <v>0</v>
      </c>
      <c r="NF16" t="s">
        <v>264</v>
      </c>
      <c r="NI16">
        <v>40.1</v>
      </c>
      <c r="NJ16">
        <v>-13.5</v>
      </c>
      <c r="NP16" t="s">
        <v>581</v>
      </c>
    </row>
    <row r="17" spans="1:380" customFormat="1" x14ac:dyDescent="0.2">
      <c r="A17" t="s">
        <v>517</v>
      </c>
      <c r="B17">
        <v>1</v>
      </c>
      <c r="C17" t="s">
        <v>997</v>
      </c>
      <c r="D17">
        <v>646965785</v>
      </c>
      <c r="E17">
        <v>12602</v>
      </c>
      <c r="F17" t="s">
        <v>967</v>
      </c>
      <c r="G17">
        <v>709863</v>
      </c>
      <c r="H17">
        <v>886994</v>
      </c>
      <c r="I17" t="s">
        <v>543</v>
      </c>
      <c r="J17" t="s">
        <v>998</v>
      </c>
      <c r="K17" t="s">
        <v>545</v>
      </c>
      <c r="L17" t="s">
        <v>447</v>
      </c>
      <c r="M17" t="s">
        <v>546</v>
      </c>
      <c r="N17" t="s">
        <v>468</v>
      </c>
      <c r="O17" t="s">
        <v>547</v>
      </c>
      <c r="P17" t="s">
        <v>264</v>
      </c>
      <c r="Q17">
        <v>27.2</v>
      </c>
      <c r="R17">
        <v>246</v>
      </c>
      <c r="S17" t="s">
        <v>264</v>
      </c>
      <c r="T17">
        <v>-9999</v>
      </c>
      <c r="U17">
        <v>547</v>
      </c>
      <c r="V17">
        <v>563</v>
      </c>
      <c r="W17">
        <v>538</v>
      </c>
      <c r="X17" t="s">
        <v>270</v>
      </c>
      <c r="Y17">
        <v>0</v>
      </c>
      <c r="Z17">
        <v>55</v>
      </c>
      <c r="AA17" t="s">
        <v>469</v>
      </c>
      <c r="AB17" t="s">
        <v>548</v>
      </c>
      <c r="AC17">
        <v>1</v>
      </c>
      <c r="AD17" t="s">
        <v>584</v>
      </c>
      <c r="AE17">
        <v>28.1</v>
      </c>
      <c r="AF17">
        <v>850</v>
      </c>
      <c r="AG17" t="s">
        <v>264</v>
      </c>
      <c r="AH17">
        <v>-9999</v>
      </c>
      <c r="AI17">
        <v>570</v>
      </c>
      <c r="AJ17">
        <v>699</v>
      </c>
      <c r="AK17">
        <v>564</v>
      </c>
      <c r="AL17" t="s">
        <v>270</v>
      </c>
      <c r="AM17">
        <v>0</v>
      </c>
      <c r="AN17">
        <v>55</v>
      </c>
      <c r="AO17" t="s">
        <v>470</v>
      </c>
      <c r="AP17" t="s">
        <v>548</v>
      </c>
      <c r="AQ17">
        <v>2</v>
      </c>
      <c r="AR17" t="s">
        <v>584</v>
      </c>
      <c r="AS17">
        <v>39</v>
      </c>
      <c r="AT17">
        <v>166</v>
      </c>
      <c r="AU17" t="s">
        <v>264</v>
      </c>
      <c r="AV17">
        <v>-9999</v>
      </c>
      <c r="AW17">
        <v>415</v>
      </c>
      <c r="AX17">
        <v>442</v>
      </c>
      <c r="AY17">
        <v>414</v>
      </c>
      <c r="AZ17" t="s">
        <v>270</v>
      </c>
      <c r="BA17">
        <v>0</v>
      </c>
      <c r="BB17">
        <v>55</v>
      </c>
      <c r="BC17" t="s">
        <v>550</v>
      </c>
      <c r="BD17" t="s">
        <v>548</v>
      </c>
      <c r="BE17">
        <v>3</v>
      </c>
      <c r="BF17" t="s">
        <v>584</v>
      </c>
      <c r="BG17">
        <v>22.7</v>
      </c>
      <c r="BH17">
        <v>1625</v>
      </c>
      <c r="BI17" t="s">
        <v>264</v>
      </c>
      <c r="BJ17">
        <v>-9999</v>
      </c>
      <c r="BK17">
        <v>76</v>
      </c>
      <c r="BL17">
        <v>105</v>
      </c>
      <c r="BM17">
        <v>81</v>
      </c>
      <c r="BN17" t="s">
        <v>270</v>
      </c>
      <c r="BO17">
        <v>0</v>
      </c>
      <c r="BP17">
        <v>55</v>
      </c>
      <c r="BQ17" t="s">
        <v>504</v>
      </c>
      <c r="BR17" t="s">
        <v>548</v>
      </c>
      <c r="BS17">
        <v>4</v>
      </c>
      <c r="BT17" t="s">
        <v>584</v>
      </c>
      <c r="BU17">
        <v>31.8</v>
      </c>
      <c r="BV17">
        <v>332</v>
      </c>
      <c r="BW17" t="s">
        <v>264</v>
      </c>
      <c r="BX17">
        <v>-9999</v>
      </c>
      <c r="BY17">
        <v>212</v>
      </c>
      <c r="BZ17">
        <v>248</v>
      </c>
      <c r="CA17">
        <v>211</v>
      </c>
      <c r="CB17" t="s">
        <v>270</v>
      </c>
      <c r="CC17">
        <v>0</v>
      </c>
      <c r="CD17">
        <v>55</v>
      </c>
      <c r="CE17" t="s">
        <v>471</v>
      </c>
      <c r="CF17" t="s">
        <v>548</v>
      </c>
      <c r="CG17">
        <v>5</v>
      </c>
      <c r="CH17" t="s">
        <v>584</v>
      </c>
      <c r="CI17">
        <v>38.299999999999997</v>
      </c>
      <c r="CJ17">
        <v>241</v>
      </c>
      <c r="CK17" t="s">
        <v>264</v>
      </c>
      <c r="CL17">
        <v>-9999</v>
      </c>
      <c r="CM17">
        <v>523</v>
      </c>
      <c r="CN17">
        <v>608</v>
      </c>
      <c r="CO17">
        <v>525</v>
      </c>
      <c r="CP17" t="s">
        <v>270</v>
      </c>
      <c r="CQ17">
        <v>0</v>
      </c>
      <c r="CR17">
        <v>55</v>
      </c>
      <c r="CS17" t="s">
        <v>472</v>
      </c>
      <c r="CT17" t="s">
        <v>548</v>
      </c>
      <c r="CU17">
        <v>6</v>
      </c>
      <c r="CV17" t="s">
        <v>584</v>
      </c>
      <c r="CW17">
        <v>36.200000000000003</v>
      </c>
      <c r="CX17">
        <v>344</v>
      </c>
      <c r="CY17" t="s">
        <v>264</v>
      </c>
      <c r="CZ17">
        <v>-9999</v>
      </c>
      <c r="DA17">
        <v>705</v>
      </c>
      <c r="DB17">
        <v>807</v>
      </c>
      <c r="DC17">
        <v>698</v>
      </c>
      <c r="DD17" t="s">
        <v>270</v>
      </c>
      <c r="DE17">
        <v>0</v>
      </c>
      <c r="DF17">
        <v>55</v>
      </c>
      <c r="DG17" t="s">
        <v>473</v>
      </c>
      <c r="DH17" t="s">
        <v>548</v>
      </c>
      <c r="DI17">
        <v>7</v>
      </c>
      <c r="DJ17" t="s">
        <v>584</v>
      </c>
      <c r="DK17">
        <v>31</v>
      </c>
      <c r="DL17">
        <v>125</v>
      </c>
      <c r="DM17" t="s">
        <v>264</v>
      </c>
      <c r="DN17">
        <v>-9999</v>
      </c>
      <c r="DO17">
        <v>539</v>
      </c>
      <c r="DP17">
        <v>624</v>
      </c>
      <c r="DQ17">
        <v>535</v>
      </c>
      <c r="DR17" t="s">
        <v>270</v>
      </c>
      <c r="DS17">
        <v>0</v>
      </c>
      <c r="DT17">
        <v>55</v>
      </c>
      <c r="DU17" t="s">
        <v>474</v>
      </c>
      <c r="DV17" t="s">
        <v>548</v>
      </c>
      <c r="DW17">
        <v>8</v>
      </c>
      <c r="DX17" t="s">
        <v>584</v>
      </c>
      <c r="DY17">
        <v>23.6</v>
      </c>
      <c r="DZ17">
        <v>315</v>
      </c>
      <c r="EA17" t="s">
        <v>264</v>
      </c>
      <c r="EB17">
        <v>-9999</v>
      </c>
      <c r="EC17">
        <v>112</v>
      </c>
      <c r="ED17">
        <v>134</v>
      </c>
      <c r="EE17">
        <v>109</v>
      </c>
      <c r="EF17" t="s">
        <v>270</v>
      </c>
      <c r="EG17">
        <v>0</v>
      </c>
      <c r="EH17">
        <v>55</v>
      </c>
      <c r="EI17" t="s">
        <v>475</v>
      </c>
      <c r="EJ17" t="s">
        <v>548</v>
      </c>
      <c r="EK17">
        <v>9</v>
      </c>
      <c r="EL17" t="s">
        <v>584</v>
      </c>
      <c r="EM17">
        <v>24.2</v>
      </c>
      <c r="EN17">
        <v>409</v>
      </c>
      <c r="EO17" t="s">
        <v>264</v>
      </c>
      <c r="EP17">
        <v>-9999</v>
      </c>
      <c r="EQ17">
        <v>367</v>
      </c>
      <c r="ER17">
        <v>344</v>
      </c>
      <c r="ES17">
        <v>316</v>
      </c>
      <c r="ET17" t="s">
        <v>270</v>
      </c>
      <c r="EU17">
        <v>0</v>
      </c>
      <c r="EV17">
        <v>55</v>
      </c>
      <c r="EW17" t="s">
        <v>551</v>
      </c>
      <c r="EX17" t="s">
        <v>552</v>
      </c>
      <c r="EY17">
        <v>83</v>
      </c>
      <c r="EZ17">
        <v>84</v>
      </c>
      <c r="FA17">
        <v>85</v>
      </c>
      <c r="FB17" t="s">
        <v>270</v>
      </c>
      <c r="FC17" t="s">
        <v>553</v>
      </c>
      <c r="FD17" t="s">
        <v>552</v>
      </c>
      <c r="FE17">
        <v>290</v>
      </c>
      <c r="FF17">
        <v>289</v>
      </c>
      <c r="FG17">
        <v>288</v>
      </c>
      <c r="FH17" t="s">
        <v>270</v>
      </c>
      <c r="FI17" t="s">
        <v>554</v>
      </c>
      <c r="FJ17" t="s">
        <v>555</v>
      </c>
      <c r="FK17">
        <v>0</v>
      </c>
      <c r="FL17">
        <v>0</v>
      </c>
      <c r="FM17">
        <v>0</v>
      </c>
      <c r="FN17" t="s">
        <v>264</v>
      </c>
      <c r="FQ17" t="s">
        <v>556</v>
      </c>
      <c r="FR17" t="s">
        <v>555</v>
      </c>
      <c r="FS17">
        <v>0</v>
      </c>
      <c r="FT17">
        <v>0</v>
      </c>
      <c r="FU17">
        <v>0</v>
      </c>
      <c r="FV17" t="s">
        <v>264</v>
      </c>
      <c r="FY17" t="s">
        <v>557</v>
      </c>
      <c r="FZ17" t="s">
        <v>555</v>
      </c>
      <c r="GA17">
        <v>0</v>
      </c>
      <c r="GB17">
        <v>0</v>
      </c>
      <c r="GC17">
        <v>0</v>
      </c>
      <c r="GD17" t="s">
        <v>264</v>
      </c>
      <c r="GG17" t="s">
        <v>558</v>
      </c>
      <c r="GH17" t="s">
        <v>555</v>
      </c>
      <c r="GI17">
        <v>0</v>
      </c>
      <c r="GJ17">
        <v>0</v>
      </c>
      <c r="GK17">
        <v>0</v>
      </c>
      <c r="GL17" t="s">
        <v>264</v>
      </c>
      <c r="GO17" t="s">
        <v>559</v>
      </c>
      <c r="GP17" t="s">
        <v>555</v>
      </c>
      <c r="GQ17">
        <v>0</v>
      </c>
      <c r="GR17">
        <v>0</v>
      </c>
      <c r="GS17">
        <v>0</v>
      </c>
      <c r="GT17" t="s">
        <v>264</v>
      </c>
      <c r="GU17">
        <v>76</v>
      </c>
      <c r="GV17">
        <v>55.5</v>
      </c>
      <c r="GW17" t="s">
        <v>560</v>
      </c>
      <c r="GX17" t="s">
        <v>555</v>
      </c>
      <c r="GY17">
        <v>0</v>
      </c>
      <c r="GZ17">
        <v>0</v>
      </c>
      <c r="HA17">
        <v>0</v>
      </c>
      <c r="HB17" t="s">
        <v>264</v>
      </c>
      <c r="HC17">
        <v>69.5</v>
      </c>
      <c r="HD17">
        <v>38.799999999999997</v>
      </c>
      <c r="HE17" t="s">
        <v>561</v>
      </c>
      <c r="HF17" t="s">
        <v>555</v>
      </c>
      <c r="HG17">
        <v>0</v>
      </c>
      <c r="HH17">
        <v>0</v>
      </c>
      <c r="HI17">
        <v>0</v>
      </c>
      <c r="HJ17" t="s">
        <v>264</v>
      </c>
      <c r="HM17" t="s">
        <v>562</v>
      </c>
      <c r="HN17" t="s">
        <v>555</v>
      </c>
      <c r="HO17">
        <v>0</v>
      </c>
      <c r="HP17">
        <v>0</v>
      </c>
      <c r="HQ17">
        <v>0</v>
      </c>
      <c r="HR17" t="s">
        <v>264</v>
      </c>
      <c r="HU17" t="s">
        <v>563</v>
      </c>
      <c r="HV17" t="s">
        <v>555</v>
      </c>
      <c r="HW17">
        <v>0</v>
      </c>
      <c r="HX17">
        <v>0</v>
      </c>
      <c r="HY17">
        <v>0</v>
      </c>
      <c r="HZ17" t="s">
        <v>264</v>
      </c>
      <c r="IC17" t="s">
        <v>564</v>
      </c>
      <c r="ID17" t="s">
        <v>555</v>
      </c>
      <c r="IE17">
        <v>0</v>
      </c>
      <c r="IF17">
        <v>0</v>
      </c>
      <c r="IG17">
        <v>0</v>
      </c>
      <c r="IH17" t="s">
        <v>264</v>
      </c>
      <c r="IK17" t="s">
        <v>565</v>
      </c>
      <c r="IL17" t="s">
        <v>555</v>
      </c>
      <c r="IM17">
        <v>0</v>
      </c>
      <c r="IN17">
        <v>0</v>
      </c>
      <c r="IO17">
        <v>0</v>
      </c>
      <c r="IP17" t="s">
        <v>264</v>
      </c>
      <c r="IQ17">
        <v>71</v>
      </c>
      <c r="IR17">
        <v>317.39999999999998</v>
      </c>
      <c r="IS17" t="s">
        <v>566</v>
      </c>
      <c r="IT17" t="s">
        <v>555</v>
      </c>
      <c r="IU17">
        <v>0</v>
      </c>
      <c r="IV17">
        <v>0</v>
      </c>
      <c r="IW17">
        <v>0</v>
      </c>
      <c r="IX17" t="s">
        <v>264</v>
      </c>
      <c r="IY17">
        <v>68.3</v>
      </c>
      <c r="IZ17">
        <v>148.6</v>
      </c>
      <c r="JA17" t="s">
        <v>567</v>
      </c>
      <c r="JB17" t="s">
        <v>555</v>
      </c>
      <c r="JC17">
        <v>0</v>
      </c>
      <c r="JD17">
        <v>0</v>
      </c>
      <c r="JE17">
        <v>0</v>
      </c>
      <c r="JF17" t="s">
        <v>264</v>
      </c>
      <c r="JG17">
        <v>75.8</v>
      </c>
      <c r="JH17">
        <v>172.7</v>
      </c>
      <c r="JI17" t="s">
        <v>568</v>
      </c>
      <c r="JJ17" t="s">
        <v>555</v>
      </c>
      <c r="JK17">
        <v>0</v>
      </c>
      <c r="JL17">
        <v>0</v>
      </c>
      <c r="JM17">
        <v>0</v>
      </c>
      <c r="JN17" t="s">
        <v>264</v>
      </c>
      <c r="JO17">
        <v>66.099999999999994</v>
      </c>
      <c r="JP17">
        <v>57.4</v>
      </c>
      <c r="JQ17" t="s">
        <v>569</v>
      </c>
      <c r="JR17" t="s">
        <v>555</v>
      </c>
      <c r="JS17">
        <v>0</v>
      </c>
      <c r="JT17">
        <v>0</v>
      </c>
      <c r="JU17">
        <v>0</v>
      </c>
      <c r="JV17" t="s">
        <v>264</v>
      </c>
      <c r="JY17" t="s">
        <v>570</v>
      </c>
      <c r="JZ17" t="s">
        <v>555</v>
      </c>
      <c r="KA17">
        <v>0</v>
      </c>
      <c r="KB17">
        <v>0</v>
      </c>
      <c r="KC17">
        <v>0</v>
      </c>
      <c r="KD17" t="s">
        <v>264</v>
      </c>
      <c r="KG17" t="s">
        <v>571</v>
      </c>
      <c r="KH17" t="s">
        <v>555</v>
      </c>
      <c r="KI17">
        <v>0</v>
      </c>
      <c r="KJ17">
        <v>0</v>
      </c>
      <c r="KK17">
        <v>0</v>
      </c>
      <c r="KL17" t="s">
        <v>264</v>
      </c>
      <c r="KO17" t="s">
        <v>572</v>
      </c>
      <c r="KP17" t="s">
        <v>555</v>
      </c>
      <c r="KQ17">
        <v>0</v>
      </c>
      <c r="KR17">
        <v>0</v>
      </c>
      <c r="KS17">
        <v>0</v>
      </c>
      <c r="KT17" t="s">
        <v>264</v>
      </c>
      <c r="KW17" t="s">
        <v>573</v>
      </c>
      <c r="KX17" t="s">
        <v>555</v>
      </c>
      <c r="KY17">
        <v>0</v>
      </c>
      <c r="KZ17">
        <v>0</v>
      </c>
      <c r="LA17">
        <v>0</v>
      </c>
      <c r="LB17" t="s">
        <v>264</v>
      </c>
      <c r="LE17" t="s">
        <v>574</v>
      </c>
      <c r="LF17" t="s">
        <v>555</v>
      </c>
      <c r="LG17">
        <v>0</v>
      </c>
      <c r="LH17">
        <v>0</v>
      </c>
      <c r="LI17">
        <v>0</v>
      </c>
      <c r="LJ17" t="s">
        <v>264</v>
      </c>
      <c r="LM17" t="s">
        <v>575</v>
      </c>
      <c r="LN17" t="s">
        <v>555</v>
      </c>
      <c r="LO17">
        <v>0</v>
      </c>
      <c r="LP17">
        <v>0</v>
      </c>
      <c r="LQ17">
        <v>0</v>
      </c>
      <c r="LR17" t="s">
        <v>264</v>
      </c>
      <c r="LS17">
        <v>75.900000000000006</v>
      </c>
      <c r="LT17">
        <v>120.8</v>
      </c>
      <c r="LU17" t="s">
        <v>576</v>
      </c>
      <c r="LV17" t="s">
        <v>555</v>
      </c>
      <c r="LW17">
        <v>0</v>
      </c>
      <c r="LX17">
        <v>0</v>
      </c>
      <c r="LY17">
        <v>0</v>
      </c>
      <c r="LZ17" t="s">
        <v>264</v>
      </c>
      <c r="MC17" t="s">
        <v>577</v>
      </c>
      <c r="MD17" t="s">
        <v>555</v>
      </c>
      <c r="ME17">
        <v>0</v>
      </c>
      <c r="MF17">
        <v>0</v>
      </c>
      <c r="MG17">
        <v>0</v>
      </c>
      <c r="MH17" t="s">
        <v>264</v>
      </c>
      <c r="MI17">
        <v>65.900000000000006</v>
      </c>
      <c r="MJ17">
        <v>103.1</v>
      </c>
      <c r="MK17" t="s">
        <v>578</v>
      </c>
      <c r="ML17" t="s">
        <v>555</v>
      </c>
      <c r="MM17">
        <v>0</v>
      </c>
      <c r="MN17">
        <v>0</v>
      </c>
      <c r="MO17">
        <v>0</v>
      </c>
      <c r="MP17" t="s">
        <v>264</v>
      </c>
      <c r="MQ17">
        <v>70.900000000000006</v>
      </c>
      <c r="MR17">
        <v>94.2</v>
      </c>
      <c r="MS17" t="s">
        <v>579</v>
      </c>
      <c r="MT17" t="s">
        <v>555</v>
      </c>
      <c r="MU17">
        <v>0</v>
      </c>
      <c r="MV17">
        <v>0</v>
      </c>
      <c r="MW17">
        <v>0</v>
      </c>
      <c r="MX17" t="s">
        <v>264</v>
      </c>
      <c r="MY17">
        <v>71.400000000000006</v>
      </c>
      <c r="MZ17">
        <v>132.4</v>
      </c>
      <c r="NA17" t="s">
        <v>580</v>
      </c>
      <c r="NB17" t="s">
        <v>555</v>
      </c>
      <c r="NC17">
        <v>0</v>
      </c>
      <c r="ND17">
        <v>0</v>
      </c>
      <c r="NE17">
        <v>0</v>
      </c>
      <c r="NF17" t="s">
        <v>264</v>
      </c>
      <c r="NI17">
        <v>40.1</v>
      </c>
      <c r="NJ17">
        <v>-7.6</v>
      </c>
      <c r="NP17" t="s">
        <v>581</v>
      </c>
    </row>
    <row r="18" spans="1:380" customFormat="1" x14ac:dyDescent="0.2">
      <c r="A18" t="s">
        <v>517</v>
      </c>
      <c r="B18">
        <v>1</v>
      </c>
      <c r="C18" t="s">
        <v>999</v>
      </c>
      <c r="D18">
        <v>647064376</v>
      </c>
      <c r="E18">
        <v>12602</v>
      </c>
      <c r="F18" t="s">
        <v>967</v>
      </c>
      <c r="G18">
        <v>710087</v>
      </c>
      <c r="H18">
        <v>677432</v>
      </c>
      <c r="I18" t="s">
        <v>543</v>
      </c>
      <c r="J18" t="s">
        <v>1000</v>
      </c>
      <c r="K18" t="s">
        <v>545</v>
      </c>
      <c r="L18" t="s">
        <v>447</v>
      </c>
      <c r="M18" t="s">
        <v>546</v>
      </c>
      <c r="N18" t="s">
        <v>468</v>
      </c>
      <c r="O18" t="s">
        <v>547</v>
      </c>
      <c r="P18" t="s">
        <v>264</v>
      </c>
      <c r="Q18">
        <v>27.5</v>
      </c>
      <c r="R18">
        <v>237</v>
      </c>
      <c r="S18" t="s">
        <v>264</v>
      </c>
      <c r="T18">
        <v>-9999</v>
      </c>
      <c r="U18">
        <v>507</v>
      </c>
      <c r="V18">
        <v>524</v>
      </c>
      <c r="W18">
        <v>499</v>
      </c>
      <c r="X18" t="s">
        <v>270</v>
      </c>
      <c r="Y18">
        <v>0</v>
      </c>
      <c r="Z18">
        <v>55</v>
      </c>
      <c r="AA18" t="s">
        <v>469</v>
      </c>
      <c r="AB18" t="s">
        <v>548</v>
      </c>
      <c r="AC18">
        <v>1</v>
      </c>
      <c r="AD18" t="s">
        <v>584</v>
      </c>
      <c r="AE18">
        <v>29.2</v>
      </c>
      <c r="AF18">
        <v>791</v>
      </c>
      <c r="AG18" t="s">
        <v>264</v>
      </c>
      <c r="AH18">
        <v>-9999</v>
      </c>
      <c r="AI18">
        <v>445</v>
      </c>
      <c r="AJ18">
        <v>542</v>
      </c>
      <c r="AK18">
        <v>442</v>
      </c>
      <c r="AL18" t="s">
        <v>270</v>
      </c>
      <c r="AM18">
        <v>0</v>
      </c>
      <c r="AN18">
        <v>55</v>
      </c>
      <c r="AO18" t="s">
        <v>470</v>
      </c>
      <c r="AP18" t="s">
        <v>548</v>
      </c>
      <c r="AQ18">
        <v>2</v>
      </c>
      <c r="AR18" t="s">
        <v>549</v>
      </c>
      <c r="AS18">
        <v>41.1</v>
      </c>
      <c r="AT18">
        <v>135</v>
      </c>
      <c r="AU18" t="s">
        <v>264</v>
      </c>
      <c r="AV18">
        <v>-9999</v>
      </c>
      <c r="AW18">
        <v>346</v>
      </c>
      <c r="AX18">
        <v>366</v>
      </c>
      <c r="AY18">
        <v>345</v>
      </c>
      <c r="AZ18" t="s">
        <v>270</v>
      </c>
      <c r="BA18">
        <v>0</v>
      </c>
      <c r="BB18">
        <v>55</v>
      </c>
      <c r="BC18" t="s">
        <v>550</v>
      </c>
      <c r="BD18" t="s">
        <v>548</v>
      </c>
      <c r="BE18">
        <v>3</v>
      </c>
      <c r="BF18" t="s">
        <v>584</v>
      </c>
      <c r="BG18">
        <v>23.4</v>
      </c>
      <c r="BH18">
        <v>1090</v>
      </c>
      <c r="BI18" t="s">
        <v>264</v>
      </c>
      <c r="BJ18">
        <v>-9999</v>
      </c>
      <c r="BK18">
        <v>116</v>
      </c>
      <c r="BL18">
        <v>149</v>
      </c>
      <c r="BM18">
        <v>117</v>
      </c>
      <c r="BN18" t="s">
        <v>270</v>
      </c>
      <c r="BO18">
        <v>0</v>
      </c>
      <c r="BP18">
        <v>55</v>
      </c>
      <c r="BQ18" t="s">
        <v>504</v>
      </c>
      <c r="BR18" t="s">
        <v>548</v>
      </c>
      <c r="BS18">
        <v>4</v>
      </c>
      <c r="BT18" t="s">
        <v>584</v>
      </c>
      <c r="BU18">
        <v>32.1</v>
      </c>
      <c r="BV18">
        <v>272</v>
      </c>
      <c r="BW18" t="s">
        <v>264</v>
      </c>
      <c r="BX18">
        <v>-9999</v>
      </c>
      <c r="BY18">
        <v>206</v>
      </c>
      <c r="BZ18">
        <v>239</v>
      </c>
      <c r="CA18">
        <v>204</v>
      </c>
      <c r="CB18" t="s">
        <v>270</v>
      </c>
      <c r="CC18">
        <v>0</v>
      </c>
      <c r="CD18">
        <v>55</v>
      </c>
      <c r="CE18" t="s">
        <v>471</v>
      </c>
      <c r="CF18" t="s">
        <v>548</v>
      </c>
      <c r="CG18">
        <v>5</v>
      </c>
      <c r="CH18" t="s">
        <v>584</v>
      </c>
      <c r="CI18">
        <v>38.5</v>
      </c>
      <c r="CJ18">
        <v>169</v>
      </c>
      <c r="CK18" t="s">
        <v>264</v>
      </c>
      <c r="CL18">
        <v>-9999</v>
      </c>
      <c r="CM18">
        <v>435</v>
      </c>
      <c r="CN18">
        <v>506</v>
      </c>
      <c r="CO18">
        <v>436</v>
      </c>
      <c r="CP18" t="s">
        <v>270</v>
      </c>
      <c r="CQ18">
        <v>0</v>
      </c>
      <c r="CR18">
        <v>55</v>
      </c>
      <c r="CS18" t="s">
        <v>472</v>
      </c>
      <c r="CT18" t="s">
        <v>548</v>
      </c>
      <c r="CU18">
        <v>6</v>
      </c>
      <c r="CV18" t="s">
        <v>584</v>
      </c>
      <c r="CW18">
        <v>35.299999999999997</v>
      </c>
      <c r="CX18">
        <v>334</v>
      </c>
      <c r="CY18" t="s">
        <v>264</v>
      </c>
      <c r="CZ18">
        <v>-9999</v>
      </c>
      <c r="DA18">
        <v>561</v>
      </c>
      <c r="DB18">
        <v>639</v>
      </c>
      <c r="DC18">
        <v>556</v>
      </c>
      <c r="DD18" t="s">
        <v>270</v>
      </c>
      <c r="DE18">
        <v>0</v>
      </c>
      <c r="DF18">
        <v>55</v>
      </c>
      <c r="DG18" t="s">
        <v>473</v>
      </c>
      <c r="DH18" t="s">
        <v>548</v>
      </c>
      <c r="DI18">
        <v>7</v>
      </c>
      <c r="DJ18" t="s">
        <v>584</v>
      </c>
      <c r="DK18">
        <v>34.200000000000003</v>
      </c>
      <c r="DL18">
        <v>101</v>
      </c>
      <c r="DM18" t="s">
        <v>264</v>
      </c>
      <c r="DN18">
        <v>-9999</v>
      </c>
      <c r="DO18">
        <v>488</v>
      </c>
      <c r="DP18">
        <v>562</v>
      </c>
      <c r="DQ18">
        <v>485</v>
      </c>
      <c r="DR18" t="s">
        <v>270</v>
      </c>
      <c r="DS18">
        <v>0</v>
      </c>
      <c r="DT18">
        <v>55</v>
      </c>
      <c r="DU18" t="s">
        <v>474</v>
      </c>
      <c r="DV18" t="s">
        <v>548</v>
      </c>
      <c r="DW18">
        <v>8</v>
      </c>
      <c r="DX18" t="s">
        <v>584</v>
      </c>
      <c r="DY18">
        <v>24.5</v>
      </c>
      <c r="DZ18">
        <v>264</v>
      </c>
      <c r="EA18" t="s">
        <v>264</v>
      </c>
      <c r="EB18">
        <v>-9999</v>
      </c>
      <c r="EC18">
        <v>108</v>
      </c>
      <c r="ED18">
        <v>130</v>
      </c>
      <c r="EE18">
        <v>106</v>
      </c>
      <c r="EF18" t="s">
        <v>270</v>
      </c>
      <c r="EG18">
        <v>0</v>
      </c>
      <c r="EH18">
        <v>55</v>
      </c>
      <c r="EI18" t="s">
        <v>475</v>
      </c>
      <c r="EJ18" t="s">
        <v>548</v>
      </c>
      <c r="EK18">
        <v>9</v>
      </c>
      <c r="EL18" t="s">
        <v>584</v>
      </c>
      <c r="EM18">
        <v>25.2</v>
      </c>
      <c r="EN18">
        <v>385</v>
      </c>
      <c r="EO18" t="s">
        <v>264</v>
      </c>
      <c r="EP18">
        <v>-9999</v>
      </c>
      <c r="EQ18">
        <v>314</v>
      </c>
      <c r="ER18">
        <v>294</v>
      </c>
      <c r="ES18">
        <v>273</v>
      </c>
      <c r="ET18" t="s">
        <v>270</v>
      </c>
      <c r="EU18">
        <v>0</v>
      </c>
      <c r="EV18">
        <v>55</v>
      </c>
      <c r="EW18" t="s">
        <v>551</v>
      </c>
      <c r="EX18" t="s">
        <v>552</v>
      </c>
      <c r="EY18">
        <v>88</v>
      </c>
      <c r="EZ18">
        <v>89</v>
      </c>
      <c r="FA18">
        <v>89</v>
      </c>
      <c r="FB18" t="s">
        <v>270</v>
      </c>
      <c r="FC18" t="s">
        <v>553</v>
      </c>
      <c r="FD18" t="s">
        <v>552</v>
      </c>
      <c r="FE18">
        <v>273</v>
      </c>
      <c r="FF18">
        <v>273</v>
      </c>
      <c r="FG18">
        <v>272</v>
      </c>
      <c r="FH18" t="s">
        <v>270</v>
      </c>
      <c r="FI18" t="s">
        <v>554</v>
      </c>
      <c r="FJ18" t="s">
        <v>555</v>
      </c>
      <c r="FK18">
        <v>0</v>
      </c>
      <c r="FL18">
        <v>0</v>
      </c>
      <c r="FM18">
        <v>0</v>
      </c>
      <c r="FN18" t="s">
        <v>264</v>
      </c>
      <c r="FQ18" t="s">
        <v>556</v>
      </c>
      <c r="FR18" t="s">
        <v>555</v>
      </c>
      <c r="FS18">
        <v>0</v>
      </c>
      <c r="FT18">
        <v>0</v>
      </c>
      <c r="FU18">
        <v>0</v>
      </c>
      <c r="FV18" t="s">
        <v>264</v>
      </c>
      <c r="FY18" t="s">
        <v>557</v>
      </c>
      <c r="FZ18" t="s">
        <v>555</v>
      </c>
      <c r="GA18">
        <v>0</v>
      </c>
      <c r="GB18">
        <v>0</v>
      </c>
      <c r="GC18">
        <v>0</v>
      </c>
      <c r="GD18" t="s">
        <v>264</v>
      </c>
      <c r="GG18" t="s">
        <v>558</v>
      </c>
      <c r="GH18" t="s">
        <v>555</v>
      </c>
      <c r="GI18">
        <v>0</v>
      </c>
      <c r="GJ18">
        <v>0</v>
      </c>
      <c r="GK18">
        <v>0</v>
      </c>
      <c r="GL18" t="s">
        <v>264</v>
      </c>
      <c r="GO18" t="s">
        <v>559</v>
      </c>
      <c r="GP18" t="s">
        <v>555</v>
      </c>
      <c r="GQ18">
        <v>0</v>
      </c>
      <c r="GR18">
        <v>0</v>
      </c>
      <c r="GS18">
        <v>0</v>
      </c>
      <c r="GT18" t="s">
        <v>264</v>
      </c>
      <c r="GU18">
        <v>76</v>
      </c>
      <c r="GV18">
        <v>55</v>
      </c>
      <c r="GW18" t="s">
        <v>560</v>
      </c>
      <c r="GX18" t="s">
        <v>555</v>
      </c>
      <c r="GY18">
        <v>0</v>
      </c>
      <c r="GZ18">
        <v>0</v>
      </c>
      <c r="HA18">
        <v>0</v>
      </c>
      <c r="HB18" t="s">
        <v>264</v>
      </c>
      <c r="HC18">
        <v>69.7</v>
      </c>
      <c r="HD18">
        <v>37.6</v>
      </c>
      <c r="HE18" t="s">
        <v>561</v>
      </c>
      <c r="HF18" t="s">
        <v>555</v>
      </c>
      <c r="HG18">
        <v>0</v>
      </c>
      <c r="HH18">
        <v>0</v>
      </c>
      <c r="HI18">
        <v>0</v>
      </c>
      <c r="HJ18" t="s">
        <v>264</v>
      </c>
      <c r="HM18" t="s">
        <v>562</v>
      </c>
      <c r="HN18" t="s">
        <v>555</v>
      </c>
      <c r="HO18">
        <v>0</v>
      </c>
      <c r="HP18">
        <v>0</v>
      </c>
      <c r="HQ18">
        <v>0</v>
      </c>
      <c r="HR18" t="s">
        <v>264</v>
      </c>
      <c r="HU18" t="s">
        <v>563</v>
      </c>
      <c r="HV18" t="s">
        <v>555</v>
      </c>
      <c r="HW18">
        <v>0</v>
      </c>
      <c r="HX18">
        <v>0</v>
      </c>
      <c r="HY18">
        <v>0</v>
      </c>
      <c r="HZ18" t="s">
        <v>264</v>
      </c>
      <c r="IC18" t="s">
        <v>564</v>
      </c>
      <c r="ID18" t="s">
        <v>555</v>
      </c>
      <c r="IE18">
        <v>0</v>
      </c>
      <c r="IF18">
        <v>0</v>
      </c>
      <c r="IG18">
        <v>0</v>
      </c>
      <c r="IH18" t="s">
        <v>264</v>
      </c>
      <c r="IK18" t="s">
        <v>565</v>
      </c>
      <c r="IL18" t="s">
        <v>555</v>
      </c>
      <c r="IM18">
        <v>0</v>
      </c>
      <c r="IN18">
        <v>0</v>
      </c>
      <c r="IO18">
        <v>0</v>
      </c>
      <c r="IP18" t="s">
        <v>264</v>
      </c>
      <c r="IQ18">
        <v>70.900000000000006</v>
      </c>
      <c r="IR18">
        <v>245.5</v>
      </c>
      <c r="IS18" t="s">
        <v>566</v>
      </c>
      <c r="IT18" t="s">
        <v>555</v>
      </c>
      <c r="IU18">
        <v>0</v>
      </c>
      <c r="IV18">
        <v>0</v>
      </c>
      <c r="IW18">
        <v>0</v>
      </c>
      <c r="IX18" t="s">
        <v>264</v>
      </c>
      <c r="IY18">
        <v>68.2</v>
      </c>
      <c r="IZ18">
        <v>118.2</v>
      </c>
      <c r="JA18" t="s">
        <v>567</v>
      </c>
      <c r="JB18" t="s">
        <v>555</v>
      </c>
      <c r="JC18">
        <v>0</v>
      </c>
      <c r="JD18">
        <v>0</v>
      </c>
      <c r="JE18">
        <v>0</v>
      </c>
      <c r="JF18" t="s">
        <v>264</v>
      </c>
      <c r="JG18">
        <v>75.8</v>
      </c>
      <c r="JH18">
        <v>154.4</v>
      </c>
      <c r="JI18" t="s">
        <v>568</v>
      </c>
      <c r="JJ18" t="s">
        <v>555</v>
      </c>
      <c r="JK18">
        <v>0</v>
      </c>
      <c r="JL18">
        <v>0</v>
      </c>
      <c r="JM18">
        <v>0</v>
      </c>
      <c r="JN18" t="s">
        <v>264</v>
      </c>
      <c r="JO18">
        <v>66</v>
      </c>
      <c r="JP18">
        <v>49.9</v>
      </c>
      <c r="JQ18" t="s">
        <v>569</v>
      </c>
      <c r="JR18" t="s">
        <v>555</v>
      </c>
      <c r="JS18">
        <v>0</v>
      </c>
      <c r="JT18">
        <v>0</v>
      </c>
      <c r="JU18">
        <v>0</v>
      </c>
      <c r="JV18" t="s">
        <v>264</v>
      </c>
      <c r="JY18" t="s">
        <v>570</v>
      </c>
      <c r="JZ18" t="s">
        <v>555</v>
      </c>
      <c r="KA18">
        <v>0</v>
      </c>
      <c r="KB18">
        <v>0</v>
      </c>
      <c r="KC18">
        <v>0</v>
      </c>
      <c r="KD18" t="s">
        <v>264</v>
      </c>
      <c r="KG18" t="s">
        <v>571</v>
      </c>
      <c r="KH18" t="s">
        <v>555</v>
      </c>
      <c r="KI18">
        <v>0</v>
      </c>
      <c r="KJ18">
        <v>0</v>
      </c>
      <c r="KK18">
        <v>0</v>
      </c>
      <c r="KL18" t="s">
        <v>264</v>
      </c>
      <c r="KO18" t="s">
        <v>572</v>
      </c>
      <c r="KP18" t="s">
        <v>555</v>
      </c>
      <c r="KQ18">
        <v>0</v>
      </c>
      <c r="KR18">
        <v>0</v>
      </c>
      <c r="KS18">
        <v>0</v>
      </c>
      <c r="KT18" t="s">
        <v>264</v>
      </c>
      <c r="KW18" t="s">
        <v>573</v>
      </c>
      <c r="KX18" t="s">
        <v>555</v>
      </c>
      <c r="KY18">
        <v>0</v>
      </c>
      <c r="KZ18">
        <v>0</v>
      </c>
      <c r="LA18">
        <v>0</v>
      </c>
      <c r="LB18" t="s">
        <v>264</v>
      </c>
      <c r="LE18" t="s">
        <v>574</v>
      </c>
      <c r="LF18" t="s">
        <v>555</v>
      </c>
      <c r="LG18">
        <v>0</v>
      </c>
      <c r="LH18">
        <v>0</v>
      </c>
      <c r="LI18">
        <v>0</v>
      </c>
      <c r="LJ18" t="s">
        <v>264</v>
      </c>
      <c r="LM18" t="s">
        <v>575</v>
      </c>
      <c r="LN18" t="s">
        <v>555</v>
      </c>
      <c r="LO18">
        <v>0</v>
      </c>
      <c r="LP18">
        <v>0</v>
      </c>
      <c r="LQ18">
        <v>0</v>
      </c>
      <c r="LR18" t="s">
        <v>264</v>
      </c>
      <c r="LS18">
        <v>76</v>
      </c>
      <c r="LT18">
        <v>102.3</v>
      </c>
      <c r="LU18" t="s">
        <v>576</v>
      </c>
      <c r="LV18" t="s">
        <v>555</v>
      </c>
      <c r="LW18">
        <v>0</v>
      </c>
      <c r="LX18">
        <v>0</v>
      </c>
      <c r="LY18">
        <v>0</v>
      </c>
      <c r="LZ18" t="s">
        <v>264</v>
      </c>
      <c r="MC18" t="s">
        <v>577</v>
      </c>
      <c r="MD18" t="s">
        <v>555</v>
      </c>
      <c r="ME18">
        <v>0</v>
      </c>
      <c r="MF18">
        <v>0</v>
      </c>
      <c r="MG18">
        <v>0</v>
      </c>
      <c r="MH18" t="s">
        <v>264</v>
      </c>
      <c r="MI18">
        <v>65.8</v>
      </c>
      <c r="MJ18">
        <v>86.8</v>
      </c>
      <c r="MK18" t="s">
        <v>578</v>
      </c>
      <c r="ML18" t="s">
        <v>555</v>
      </c>
      <c r="MM18">
        <v>0</v>
      </c>
      <c r="MN18">
        <v>0</v>
      </c>
      <c r="MO18">
        <v>0</v>
      </c>
      <c r="MP18" t="s">
        <v>264</v>
      </c>
      <c r="MQ18">
        <v>70.900000000000006</v>
      </c>
      <c r="MR18">
        <v>121.6</v>
      </c>
      <c r="MS18" t="s">
        <v>579</v>
      </c>
      <c r="MT18" t="s">
        <v>555</v>
      </c>
      <c r="MU18">
        <v>0</v>
      </c>
      <c r="MV18">
        <v>0</v>
      </c>
      <c r="MW18">
        <v>0</v>
      </c>
      <c r="MX18" t="s">
        <v>264</v>
      </c>
      <c r="MY18">
        <v>71.400000000000006</v>
      </c>
      <c r="MZ18">
        <v>136</v>
      </c>
      <c r="NA18" t="s">
        <v>580</v>
      </c>
      <c r="NB18" t="s">
        <v>555</v>
      </c>
      <c r="NC18">
        <v>0</v>
      </c>
      <c r="ND18">
        <v>0</v>
      </c>
      <c r="NE18">
        <v>0</v>
      </c>
      <c r="NF18" t="s">
        <v>264</v>
      </c>
      <c r="NI18">
        <v>40</v>
      </c>
      <c r="NJ18">
        <v>-11</v>
      </c>
      <c r="NP18" t="s">
        <v>581</v>
      </c>
    </row>
    <row r="19" spans="1:380" customFormat="1" x14ac:dyDescent="0.2">
      <c r="A19" t="s">
        <v>517</v>
      </c>
      <c r="B19">
        <v>1</v>
      </c>
      <c r="C19" t="s">
        <v>1001</v>
      </c>
      <c r="D19">
        <v>647064201</v>
      </c>
      <c r="E19">
        <v>12602</v>
      </c>
      <c r="F19" t="s">
        <v>967</v>
      </c>
      <c r="G19">
        <v>709863</v>
      </c>
      <c r="H19">
        <v>210022978</v>
      </c>
      <c r="I19" t="s">
        <v>543</v>
      </c>
      <c r="J19" t="s">
        <v>1002</v>
      </c>
      <c r="K19" t="s">
        <v>545</v>
      </c>
      <c r="L19" t="s">
        <v>447</v>
      </c>
      <c r="M19" t="s">
        <v>546</v>
      </c>
      <c r="N19" t="s">
        <v>468</v>
      </c>
      <c r="O19" t="s">
        <v>547</v>
      </c>
      <c r="P19" t="s">
        <v>264</v>
      </c>
      <c r="Q19">
        <v>27</v>
      </c>
      <c r="R19">
        <v>242</v>
      </c>
      <c r="S19" t="s">
        <v>264</v>
      </c>
      <c r="T19">
        <v>-9999</v>
      </c>
      <c r="U19">
        <v>481</v>
      </c>
      <c r="V19">
        <v>496</v>
      </c>
      <c r="W19">
        <v>472</v>
      </c>
      <c r="X19" t="s">
        <v>270</v>
      </c>
      <c r="Y19">
        <v>0</v>
      </c>
      <c r="Z19">
        <v>55</v>
      </c>
      <c r="AA19" t="s">
        <v>469</v>
      </c>
      <c r="AB19" t="s">
        <v>548</v>
      </c>
      <c r="AC19">
        <v>1</v>
      </c>
      <c r="AD19" t="s">
        <v>584</v>
      </c>
      <c r="AE19">
        <v>27.5</v>
      </c>
      <c r="AF19">
        <v>813</v>
      </c>
      <c r="AG19" t="s">
        <v>264</v>
      </c>
      <c r="AH19">
        <v>-9999</v>
      </c>
      <c r="AI19">
        <v>461</v>
      </c>
      <c r="AJ19">
        <v>568</v>
      </c>
      <c r="AK19">
        <v>462</v>
      </c>
      <c r="AL19" t="s">
        <v>270</v>
      </c>
      <c r="AM19">
        <v>0</v>
      </c>
      <c r="AN19">
        <v>55</v>
      </c>
      <c r="AO19" t="s">
        <v>470</v>
      </c>
      <c r="AP19" t="s">
        <v>548</v>
      </c>
      <c r="AQ19">
        <v>2</v>
      </c>
      <c r="AR19" t="s">
        <v>549</v>
      </c>
      <c r="AS19">
        <v>42</v>
      </c>
      <c r="AT19">
        <v>102</v>
      </c>
      <c r="AU19" t="s">
        <v>264</v>
      </c>
      <c r="AV19">
        <v>-9999</v>
      </c>
      <c r="AW19">
        <v>311</v>
      </c>
      <c r="AX19">
        <v>328</v>
      </c>
      <c r="AY19">
        <v>311</v>
      </c>
      <c r="AZ19" t="s">
        <v>270</v>
      </c>
      <c r="BA19">
        <v>0</v>
      </c>
      <c r="BB19">
        <v>55</v>
      </c>
      <c r="BC19" t="s">
        <v>550</v>
      </c>
      <c r="BD19" t="s">
        <v>548</v>
      </c>
      <c r="BE19">
        <v>3</v>
      </c>
      <c r="BF19" t="s">
        <v>584</v>
      </c>
      <c r="BG19">
        <v>23</v>
      </c>
      <c r="BH19">
        <v>788</v>
      </c>
      <c r="BI19" t="s">
        <v>264</v>
      </c>
      <c r="BJ19">
        <v>-9999</v>
      </c>
      <c r="BK19">
        <v>201</v>
      </c>
      <c r="BL19">
        <v>245</v>
      </c>
      <c r="BM19">
        <v>198</v>
      </c>
      <c r="BN19" t="s">
        <v>270</v>
      </c>
      <c r="BO19">
        <v>0</v>
      </c>
      <c r="BP19">
        <v>55</v>
      </c>
      <c r="BQ19" t="s">
        <v>504</v>
      </c>
      <c r="BR19" t="s">
        <v>548</v>
      </c>
      <c r="BS19">
        <v>4</v>
      </c>
      <c r="BT19" t="s">
        <v>584</v>
      </c>
      <c r="BU19">
        <v>30.6</v>
      </c>
      <c r="BV19">
        <v>268</v>
      </c>
      <c r="BW19" t="s">
        <v>264</v>
      </c>
      <c r="BX19">
        <v>-9999</v>
      </c>
      <c r="BY19">
        <v>190</v>
      </c>
      <c r="BZ19">
        <v>219</v>
      </c>
      <c r="CA19">
        <v>188</v>
      </c>
      <c r="CB19" t="s">
        <v>270</v>
      </c>
      <c r="CC19">
        <v>0</v>
      </c>
      <c r="CD19">
        <v>55</v>
      </c>
      <c r="CE19" t="s">
        <v>471</v>
      </c>
      <c r="CF19" t="s">
        <v>548</v>
      </c>
      <c r="CG19">
        <v>5</v>
      </c>
      <c r="CH19" t="s">
        <v>584</v>
      </c>
      <c r="CI19">
        <v>38.5</v>
      </c>
      <c r="CJ19">
        <v>161</v>
      </c>
      <c r="CK19" t="s">
        <v>264</v>
      </c>
      <c r="CL19">
        <v>-9999</v>
      </c>
      <c r="CM19">
        <v>466</v>
      </c>
      <c r="CN19">
        <v>543</v>
      </c>
      <c r="CO19">
        <v>466</v>
      </c>
      <c r="CP19" t="s">
        <v>270</v>
      </c>
      <c r="CQ19">
        <v>0</v>
      </c>
      <c r="CR19">
        <v>55</v>
      </c>
      <c r="CS19" t="s">
        <v>472</v>
      </c>
      <c r="CT19" t="s">
        <v>548</v>
      </c>
      <c r="CU19">
        <v>6</v>
      </c>
      <c r="CV19" t="s">
        <v>584</v>
      </c>
      <c r="CW19">
        <v>33.4</v>
      </c>
      <c r="CX19">
        <v>349</v>
      </c>
      <c r="CY19" t="s">
        <v>264</v>
      </c>
      <c r="CZ19">
        <v>-9999</v>
      </c>
      <c r="DA19">
        <v>595</v>
      </c>
      <c r="DB19">
        <v>676</v>
      </c>
      <c r="DC19">
        <v>588</v>
      </c>
      <c r="DD19" t="s">
        <v>270</v>
      </c>
      <c r="DE19">
        <v>0</v>
      </c>
      <c r="DF19">
        <v>55</v>
      </c>
      <c r="DG19" t="s">
        <v>473</v>
      </c>
      <c r="DH19" t="s">
        <v>548</v>
      </c>
      <c r="DI19">
        <v>7</v>
      </c>
      <c r="DJ19" t="s">
        <v>549</v>
      </c>
      <c r="DK19">
        <v>39.9</v>
      </c>
      <c r="DL19">
        <v>78</v>
      </c>
      <c r="DM19" t="s">
        <v>264</v>
      </c>
      <c r="DN19">
        <v>-9999</v>
      </c>
      <c r="DO19">
        <v>494</v>
      </c>
      <c r="DP19">
        <v>568</v>
      </c>
      <c r="DQ19">
        <v>491</v>
      </c>
      <c r="DR19" t="s">
        <v>270</v>
      </c>
      <c r="DS19">
        <v>0</v>
      </c>
      <c r="DT19">
        <v>55</v>
      </c>
      <c r="DU19" t="s">
        <v>474</v>
      </c>
      <c r="DV19" t="s">
        <v>548</v>
      </c>
      <c r="DW19">
        <v>8</v>
      </c>
      <c r="DX19" t="s">
        <v>584</v>
      </c>
      <c r="DY19">
        <v>22.6</v>
      </c>
      <c r="DZ19">
        <v>274</v>
      </c>
      <c r="EA19" t="s">
        <v>264</v>
      </c>
      <c r="EB19">
        <v>-9999</v>
      </c>
      <c r="EC19">
        <v>107</v>
      </c>
      <c r="ED19">
        <v>130</v>
      </c>
      <c r="EE19">
        <v>105</v>
      </c>
      <c r="EF19" t="s">
        <v>270</v>
      </c>
      <c r="EG19">
        <v>0</v>
      </c>
      <c r="EH19">
        <v>55</v>
      </c>
      <c r="EI19" t="s">
        <v>475</v>
      </c>
      <c r="EJ19" t="s">
        <v>548</v>
      </c>
      <c r="EK19">
        <v>9</v>
      </c>
      <c r="EL19" t="s">
        <v>584</v>
      </c>
      <c r="EM19">
        <v>22.6</v>
      </c>
      <c r="EN19">
        <v>411</v>
      </c>
      <c r="EO19" t="s">
        <v>264</v>
      </c>
      <c r="EP19">
        <v>-9999</v>
      </c>
      <c r="EQ19">
        <v>287</v>
      </c>
      <c r="ER19">
        <v>266</v>
      </c>
      <c r="ES19">
        <v>250</v>
      </c>
      <c r="ET19" t="s">
        <v>270</v>
      </c>
      <c r="EU19">
        <v>0</v>
      </c>
      <c r="EV19">
        <v>55</v>
      </c>
      <c r="EW19" t="s">
        <v>551</v>
      </c>
      <c r="EX19" t="s">
        <v>552</v>
      </c>
      <c r="EY19">
        <v>104</v>
      </c>
      <c r="EZ19">
        <v>105</v>
      </c>
      <c r="FA19">
        <v>105</v>
      </c>
      <c r="FB19" t="s">
        <v>270</v>
      </c>
      <c r="FC19" t="s">
        <v>553</v>
      </c>
      <c r="FD19" t="s">
        <v>552</v>
      </c>
      <c r="FE19">
        <v>260</v>
      </c>
      <c r="FF19">
        <v>259</v>
      </c>
      <c r="FG19">
        <v>258</v>
      </c>
      <c r="FH19" t="s">
        <v>270</v>
      </c>
      <c r="FI19" t="s">
        <v>554</v>
      </c>
      <c r="FJ19" t="s">
        <v>555</v>
      </c>
      <c r="FK19">
        <v>0</v>
      </c>
      <c r="FL19">
        <v>0</v>
      </c>
      <c r="FM19">
        <v>0</v>
      </c>
      <c r="FN19" t="s">
        <v>264</v>
      </c>
      <c r="FQ19" t="s">
        <v>556</v>
      </c>
      <c r="FR19" t="s">
        <v>555</v>
      </c>
      <c r="FS19">
        <v>0</v>
      </c>
      <c r="FT19">
        <v>0</v>
      </c>
      <c r="FU19">
        <v>0</v>
      </c>
      <c r="FV19" t="s">
        <v>264</v>
      </c>
      <c r="FY19" t="s">
        <v>557</v>
      </c>
      <c r="FZ19" t="s">
        <v>555</v>
      </c>
      <c r="GA19">
        <v>0</v>
      </c>
      <c r="GB19">
        <v>0</v>
      </c>
      <c r="GC19">
        <v>0</v>
      </c>
      <c r="GD19" t="s">
        <v>264</v>
      </c>
      <c r="GG19" t="s">
        <v>558</v>
      </c>
      <c r="GH19" t="s">
        <v>555</v>
      </c>
      <c r="GI19">
        <v>0</v>
      </c>
      <c r="GJ19">
        <v>0</v>
      </c>
      <c r="GK19">
        <v>0</v>
      </c>
      <c r="GL19" t="s">
        <v>264</v>
      </c>
      <c r="GO19" t="s">
        <v>559</v>
      </c>
      <c r="GP19" t="s">
        <v>555</v>
      </c>
      <c r="GQ19">
        <v>0</v>
      </c>
      <c r="GR19">
        <v>0</v>
      </c>
      <c r="GS19">
        <v>0</v>
      </c>
      <c r="GT19" t="s">
        <v>264</v>
      </c>
      <c r="GU19">
        <v>75.900000000000006</v>
      </c>
      <c r="GV19">
        <v>58.9</v>
      </c>
      <c r="GW19" t="s">
        <v>560</v>
      </c>
      <c r="GX19" t="s">
        <v>555</v>
      </c>
      <c r="GY19">
        <v>0</v>
      </c>
      <c r="GZ19">
        <v>0</v>
      </c>
      <c r="HA19">
        <v>0</v>
      </c>
      <c r="HB19" t="s">
        <v>264</v>
      </c>
      <c r="HC19">
        <v>69.5</v>
      </c>
      <c r="HD19">
        <v>35.799999999999997</v>
      </c>
      <c r="HE19" t="s">
        <v>561</v>
      </c>
      <c r="HF19" t="s">
        <v>555</v>
      </c>
      <c r="HG19">
        <v>0</v>
      </c>
      <c r="HH19">
        <v>0</v>
      </c>
      <c r="HI19">
        <v>0</v>
      </c>
      <c r="HJ19" t="s">
        <v>264</v>
      </c>
      <c r="HM19" t="s">
        <v>562</v>
      </c>
      <c r="HN19" t="s">
        <v>555</v>
      </c>
      <c r="HO19">
        <v>0</v>
      </c>
      <c r="HP19">
        <v>0</v>
      </c>
      <c r="HQ19">
        <v>0</v>
      </c>
      <c r="HR19" t="s">
        <v>264</v>
      </c>
      <c r="HU19" t="s">
        <v>563</v>
      </c>
      <c r="HV19" t="s">
        <v>555</v>
      </c>
      <c r="HW19">
        <v>0</v>
      </c>
      <c r="HX19">
        <v>0</v>
      </c>
      <c r="HY19">
        <v>0</v>
      </c>
      <c r="HZ19" t="s">
        <v>264</v>
      </c>
      <c r="IC19" t="s">
        <v>564</v>
      </c>
      <c r="ID19" t="s">
        <v>555</v>
      </c>
      <c r="IE19">
        <v>0</v>
      </c>
      <c r="IF19">
        <v>0</v>
      </c>
      <c r="IG19">
        <v>0</v>
      </c>
      <c r="IH19" t="s">
        <v>264</v>
      </c>
      <c r="IK19" t="s">
        <v>565</v>
      </c>
      <c r="IL19" t="s">
        <v>555</v>
      </c>
      <c r="IM19">
        <v>0</v>
      </c>
      <c r="IN19">
        <v>0</v>
      </c>
      <c r="IO19">
        <v>0</v>
      </c>
      <c r="IP19" t="s">
        <v>264</v>
      </c>
      <c r="IQ19">
        <v>70.7</v>
      </c>
      <c r="IR19">
        <v>273.89999999999998</v>
      </c>
      <c r="IS19" t="s">
        <v>566</v>
      </c>
      <c r="IT19" t="s">
        <v>555</v>
      </c>
      <c r="IU19">
        <v>0</v>
      </c>
      <c r="IV19">
        <v>0</v>
      </c>
      <c r="IW19">
        <v>0</v>
      </c>
      <c r="IX19" t="s">
        <v>264</v>
      </c>
      <c r="IY19">
        <v>68.099999999999994</v>
      </c>
      <c r="IZ19">
        <v>108.3</v>
      </c>
      <c r="JA19" t="s">
        <v>567</v>
      </c>
      <c r="JB19" t="s">
        <v>555</v>
      </c>
      <c r="JC19">
        <v>0</v>
      </c>
      <c r="JD19">
        <v>0</v>
      </c>
      <c r="JE19">
        <v>0</v>
      </c>
      <c r="JF19" t="s">
        <v>264</v>
      </c>
      <c r="JG19">
        <v>75.7</v>
      </c>
      <c r="JH19">
        <v>159.19999999999999</v>
      </c>
      <c r="JI19" t="s">
        <v>568</v>
      </c>
      <c r="JJ19" t="s">
        <v>555</v>
      </c>
      <c r="JK19">
        <v>0</v>
      </c>
      <c r="JL19">
        <v>0</v>
      </c>
      <c r="JM19">
        <v>0</v>
      </c>
      <c r="JN19" t="s">
        <v>264</v>
      </c>
      <c r="JO19">
        <v>65.8</v>
      </c>
      <c r="JP19">
        <v>48.1</v>
      </c>
      <c r="JQ19" t="s">
        <v>569</v>
      </c>
      <c r="JR19" t="s">
        <v>555</v>
      </c>
      <c r="JS19">
        <v>0</v>
      </c>
      <c r="JT19">
        <v>0</v>
      </c>
      <c r="JU19">
        <v>0</v>
      </c>
      <c r="JV19" t="s">
        <v>264</v>
      </c>
      <c r="JY19" t="s">
        <v>570</v>
      </c>
      <c r="JZ19" t="s">
        <v>555</v>
      </c>
      <c r="KA19">
        <v>0</v>
      </c>
      <c r="KB19">
        <v>0</v>
      </c>
      <c r="KC19">
        <v>0</v>
      </c>
      <c r="KD19" t="s">
        <v>264</v>
      </c>
      <c r="KG19" t="s">
        <v>571</v>
      </c>
      <c r="KH19" t="s">
        <v>555</v>
      </c>
      <c r="KI19">
        <v>0</v>
      </c>
      <c r="KJ19">
        <v>0</v>
      </c>
      <c r="KK19">
        <v>0</v>
      </c>
      <c r="KL19" t="s">
        <v>264</v>
      </c>
      <c r="KO19" t="s">
        <v>572</v>
      </c>
      <c r="KP19" t="s">
        <v>555</v>
      </c>
      <c r="KQ19">
        <v>0</v>
      </c>
      <c r="KR19">
        <v>0</v>
      </c>
      <c r="KS19">
        <v>0</v>
      </c>
      <c r="KT19" t="s">
        <v>264</v>
      </c>
      <c r="KW19" t="s">
        <v>573</v>
      </c>
      <c r="KX19" t="s">
        <v>555</v>
      </c>
      <c r="KY19">
        <v>0</v>
      </c>
      <c r="KZ19">
        <v>0</v>
      </c>
      <c r="LA19">
        <v>0</v>
      </c>
      <c r="LB19" t="s">
        <v>264</v>
      </c>
      <c r="LE19" t="s">
        <v>574</v>
      </c>
      <c r="LF19" t="s">
        <v>555</v>
      </c>
      <c r="LG19">
        <v>0</v>
      </c>
      <c r="LH19">
        <v>0</v>
      </c>
      <c r="LI19">
        <v>0</v>
      </c>
      <c r="LJ19" t="s">
        <v>264</v>
      </c>
      <c r="LM19" t="s">
        <v>575</v>
      </c>
      <c r="LN19" t="s">
        <v>555</v>
      </c>
      <c r="LO19">
        <v>0</v>
      </c>
      <c r="LP19">
        <v>0</v>
      </c>
      <c r="LQ19">
        <v>0</v>
      </c>
      <c r="LR19" t="s">
        <v>264</v>
      </c>
      <c r="LS19">
        <v>75.8</v>
      </c>
      <c r="LT19">
        <v>110.2</v>
      </c>
      <c r="LU19" t="s">
        <v>576</v>
      </c>
      <c r="LV19" t="s">
        <v>555</v>
      </c>
      <c r="LW19">
        <v>0</v>
      </c>
      <c r="LX19">
        <v>0</v>
      </c>
      <c r="LY19">
        <v>0</v>
      </c>
      <c r="LZ19" t="s">
        <v>264</v>
      </c>
      <c r="MC19" t="s">
        <v>577</v>
      </c>
      <c r="MD19" t="s">
        <v>555</v>
      </c>
      <c r="ME19">
        <v>0</v>
      </c>
      <c r="MF19">
        <v>0</v>
      </c>
      <c r="MG19">
        <v>0</v>
      </c>
      <c r="MH19" t="s">
        <v>264</v>
      </c>
      <c r="MI19">
        <v>65.599999999999994</v>
      </c>
      <c r="MJ19">
        <v>87.8</v>
      </c>
      <c r="MK19" t="s">
        <v>578</v>
      </c>
      <c r="ML19" t="s">
        <v>555</v>
      </c>
      <c r="MM19">
        <v>0</v>
      </c>
      <c r="MN19">
        <v>0</v>
      </c>
      <c r="MO19">
        <v>0</v>
      </c>
      <c r="MP19" t="s">
        <v>264</v>
      </c>
      <c r="MQ19">
        <v>70.8</v>
      </c>
      <c r="MR19">
        <v>123.8</v>
      </c>
      <c r="MS19" t="s">
        <v>579</v>
      </c>
      <c r="MT19" t="s">
        <v>555</v>
      </c>
      <c r="MU19">
        <v>0</v>
      </c>
      <c r="MV19">
        <v>0</v>
      </c>
      <c r="MW19">
        <v>0</v>
      </c>
      <c r="MX19" t="s">
        <v>264</v>
      </c>
      <c r="MY19">
        <v>71.2</v>
      </c>
      <c r="MZ19">
        <v>134.19999999999999</v>
      </c>
      <c r="NA19" t="s">
        <v>580</v>
      </c>
      <c r="NB19" t="s">
        <v>555</v>
      </c>
      <c r="NC19">
        <v>0</v>
      </c>
      <c r="ND19">
        <v>0</v>
      </c>
      <c r="NE19">
        <v>0</v>
      </c>
      <c r="NF19" t="s">
        <v>264</v>
      </c>
      <c r="NI19">
        <v>40</v>
      </c>
      <c r="NJ19">
        <v>-5.9</v>
      </c>
      <c r="NP19" t="s">
        <v>581</v>
      </c>
    </row>
    <row r="20" spans="1:380" customFormat="1" x14ac:dyDescent="0.2">
      <c r="A20" t="s">
        <v>517</v>
      </c>
      <c r="B20">
        <v>1</v>
      </c>
      <c r="C20" t="s">
        <v>1003</v>
      </c>
      <c r="D20">
        <v>647065624</v>
      </c>
      <c r="E20">
        <v>12602</v>
      </c>
      <c r="F20" t="s">
        <v>967</v>
      </c>
      <c r="G20">
        <v>710087</v>
      </c>
      <c r="H20">
        <v>605903</v>
      </c>
      <c r="I20" t="s">
        <v>543</v>
      </c>
      <c r="J20" t="s">
        <v>1004</v>
      </c>
      <c r="K20" t="s">
        <v>545</v>
      </c>
      <c r="L20" t="s">
        <v>447</v>
      </c>
      <c r="M20" t="s">
        <v>546</v>
      </c>
      <c r="N20" t="s">
        <v>468</v>
      </c>
      <c r="O20" t="s">
        <v>547</v>
      </c>
      <c r="P20" t="s">
        <v>264</v>
      </c>
      <c r="Q20">
        <v>26.4</v>
      </c>
      <c r="R20">
        <v>227</v>
      </c>
      <c r="S20" t="s">
        <v>264</v>
      </c>
      <c r="T20">
        <v>-9999</v>
      </c>
      <c r="U20">
        <v>503</v>
      </c>
      <c r="V20">
        <v>520</v>
      </c>
      <c r="W20">
        <v>495</v>
      </c>
      <c r="X20" t="s">
        <v>270</v>
      </c>
      <c r="Y20">
        <v>0</v>
      </c>
      <c r="Z20">
        <v>55</v>
      </c>
      <c r="AA20" t="s">
        <v>469</v>
      </c>
      <c r="AB20" t="s">
        <v>548</v>
      </c>
      <c r="AC20">
        <v>1</v>
      </c>
      <c r="AD20" t="s">
        <v>584</v>
      </c>
      <c r="AE20">
        <v>17.8</v>
      </c>
      <c r="AF20">
        <v>-10852</v>
      </c>
      <c r="AG20" t="s">
        <v>264</v>
      </c>
      <c r="AH20">
        <v>-9999</v>
      </c>
      <c r="AI20">
        <v>531</v>
      </c>
      <c r="AJ20">
        <v>642</v>
      </c>
      <c r="AK20">
        <v>523</v>
      </c>
      <c r="AL20" t="s">
        <v>270</v>
      </c>
      <c r="AM20">
        <v>0</v>
      </c>
      <c r="AN20">
        <v>55</v>
      </c>
      <c r="AO20" t="s">
        <v>470</v>
      </c>
      <c r="AP20" t="s">
        <v>548</v>
      </c>
      <c r="AQ20">
        <v>2</v>
      </c>
      <c r="AR20" t="s">
        <v>549</v>
      </c>
      <c r="AS20">
        <v>42.6</v>
      </c>
      <c r="AT20">
        <v>98</v>
      </c>
      <c r="AU20" t="s">
        <v>264</v>
      </c>
      <c r="AV20">
        <v>-9999</v>
      </c>
      <c r="AW20">
        <v>340</v>
      </c>
      <c r="AX20">
        <v>358</v>
      </c>
      <c r="AY20">
        <v>339</v>
      </c>
      <c r="AZ20" t="s">
        <v>270</v>
      </c>
      <c r="BA20">
        <v>0</v>
      </c>
      <c r="BB20">
        <v>55</v>
      </c>
      <c r="BC20" t="s">
        <v>550</v>
      </c>
      <c r="BD20" t="s">
        <v>548</v>
      </c>
      <c r="BE20">
        <v>3</v>
      </c>
      <c r="BF20" t="s">
        <v>584</v>
      </c>
      <c r="BG20">
        <v>16.7</v>
      </c>
      <c r="BH20">
        <v>610140</v>
      </c>
      <c r="BI20" t="s">
        <v>264</v>
      </c>
      <c r="BJ20">
        <v>-9999</v>
      </c>
      <c r="BK20">
        <v>-18</v>
      </c>
      <c r="BL20">
        <v>0</v>
      </c>
      <c r="BM20">
        <v>-10</v>
      </c>
      <c r="BN20" t="s">
        <v>270</v>
      </c>
      <c r="BO20">
        <v>0</v>
      </c>
      <c r="BP20">
        <v>55</v>
      </c>
      <c r="BQ20" t="s">
        <v>504</v>
      </c>
      <c r="BR20" t="s">
        <v>548</v>
      </c>
      <c r="BS20">
        <v>4</v>
      </c>
      <c r="BT20" t="s">
        <v>584</v>
      </c>
      <c r="BU20">
        <v>32.200000000000003</v>
      </c>
      <c r="BV20">
        <v>262</v>
      </c>
      <c r="BW20" t="s">
        <v>264</v>
      </c>
      <c r="BX20">
        <v>-9999</v>
      </c>
      <c r="BY20">
        <v>208</v>
      </c>
      <c r="BZ20">
        <v>242</v>
      </c>
      <c r="CA20">
        <v>207</v>
      </c>
      <c r="CB20" t="s">
        <v>270</v>
      </c>
      <c r="CC20">
        <v>0</v>
      </c>
      <c r="CD20">
        <v>55</v>
      </c>
      <c r="CE20" t="s">
        <v>471</v>
      </c>
      <c r="CF20" t="s">
        <v>548</v>
      </c>
      <c r="CG20">
        <v>5</v>
      </c>
      <c r="CH20" t="s">
        <v>584</v>
      </c>
      <c r="CI20">
        <v>37.299999999999997</v>
      </c>
      <c r="CJ20">
        <v>202</v>
      </c>
      <c r="CK20" t="s">
        <v>264</v>
      </c>
      <c r="CL20">
        <v>-9999</v>
      </c>
      <c r="CM20">
        <v>486</v>
      </c>
      <c r="CN20">
        <v>569</v>
      </c>
      <c r="CO20">
        <v>486</v>
      </c>
      <c r="CP20" t="s">
        <v>270</v>
      </c>
      <c r="CQ20">
        <v>0</v>
      </c>
      <c r="CR20">
        <v>55</v>
      </c>
      <c r="CS20" t="s">
        <v>472</v>
      </c>
      <c r="CT20" t="s">
        <v>548</v>
      </c>
      <c r="CU20">
        <v>6</v>
      </c>
      <c r="CV20" t="s">
        <v>549</v>
      </c>
      <c r="CW20">
        <v>0</v>
      </c>
      <c r="CX20">
        <v>-3404</v>
      </c>
      <c r="CY20" t="s">
        <v>264</v>
      </c>
      <c r="CZ20">
        <v>-9999</v>
      </c>
      <c r="DA20">
        <v>552</v>
      </c>
      <c r="DB20">
        <v>628</v>
      </c>
      <c r="DC20">
        <v>545</v>
      </c>
      <c r="DD20" t="s">
        <v>270</v>
      </c>
      <c r="DE20">
        <v>0</v>
      </c>
      <c r="DF20">
        <v>55</v>
      </c>
      <c r="DG20" t="s">
        <v>473</v>
      </c>
      <c r="DH20" t="s">
        <v>548</v>
      </c>
      <c r="DI20">
        <v>7</v>
      </c>
      <c r="DJ20" t="s">
        <v>584</v>
      </c>
      <c r="DK20">
        <v>18.2</v>
      </c>
      <c r="DL20">
        <v>28732</v>
      </c>
      <c r="DM20" t="s">
        <v>264</v>
      </c>
      <c r="DN20">
        <v>-9999</v>
      </c>
      <c r="DO20">
        <v>530</v>
      </c>
      <c r="DP20">
        <v>608</v>
      </c>
      <c r="DQ20">
        <v>525</v>
      </c>
      <c r="DR20" t="s">
        <v>270</v>
      </c>
      <c r="DS20">
        <v>0</v>
      </c>
      <c r="DT20">
        <v>55</v>
      </c>
      <c r="DU20" t="s">
        <v>474</v>
      </c>
      <c r="DV20" t="s">
        <v>548</v>
      </c>
      <c r="DW20">
        <v>8</v>
      </c>
      <c r="DX20" t="s">
        <v>584</v>
      </c>
      <c r="DY20">
        <v>24.7</v>
      </c>
      <c r="DZ20">
        <v>266</v>
      </c>
      <c r="EA20" t="s">
        <v>264</v>
      </c>
      <c r="EB20">
        <v>-9999</v>
      </c>
      <c r="EC20">
        <v>93</v>
      </c>
      <c r="ED20">
        <v>113</v>
      </c>
      <c r="EE20">
        <v>91</v>
      </c>
      <c r="EF20" t="s">
        <v>270</v>
      </c>
      <c r="EG20">
        <v>0</v>
      </c>
      <c r="EH20">
        <v>55</v>
      </c>
      <c r="EI20" t="s">
        <v>475</v>
      </c>
      <c r="EJ20" t="s">
        <v>548</v>
      </c>
      <c r="EK20">
        <v>9</v>
      </c>
      <c r="EL20" t="s">
        <v>584</v>
      </c>
      <c r="EM20">
        <v>25.5</v>
      </c>
      <c r="EN20">
        <v>356</v>
      </c>
      <c r="EO20" t="s">
        <v>264</v>
      </c>
      <c r="EP20">
        <v>-9999</v>
      </c>
      <c r="EQ20">
        <v>348</v>
      </c>
      <c r="ER20">
        <v>324</v>
      </c>
      <c r="ES20">
        <v>294</v>
      </c>
      <c r="ET20" t="s">
        <v>270</v>
      </c>
      <c r="EU20">
        <v>0</v>
      </c>
      <c r="EV20">
        <v>55</v>
      </c>
      <c r="EW20" t="s">
        <v>551</v>
      </c>
      <c r="EX20" t="s">
        <v>552</v>
      </c>
      <c r="EY20">
        <v>112</v>
      </c>
      <c r="EZ20">
        <v>112</v>
      </c>
      <c r="FA20">
        <v>113</v>
      </c>
      <c r="FB20" t="s">
        <v>270</v>
      </c>
      <c r="FC20" t="s">
        <v>553</v>
      </c>
      <c r="FD20" t="s">
        <v>552</v>
      </c>
      <c r="FE20">
        <v>275</v>
      </c>
      <c r="FF20">
        <v>274</v>
      </c>
      <c r="FG20">
        <v>273</v>
      </c>
      <c r="FH20" t="s">
        <v>270</v>
      </c>
      <c r="FI20" t="s">
        <v>554</v>
      </c>
      <c r="FJ20" t="s">
        <v>555</v>
      </c>
      <c r="FK20">
        <v>0</v>
      </c>
      <c r="FL20">
        <v>0</v>
      </c>
      <c r="FM20">
        <v>0</v>
      </c>
      <c r="FN20" t="s">
        <v>264</v>
      </c>
      <c r="FQ20" t="s">
        <v>556</v>
      </c>
      <c r="FR20" t="s">
        <v>555</v>
      </c>
      <c r="FS20">
        <v>0</v>
      </c>
      <c r="FT20">
        <v>0</v>
      </c>
      <c r="FU20">
        <v>0</v>
      </c>
      <c r="FV20" t="s">
        <v>264</v>
      </c>
      <c r="FY20" t="s">
        <v>557</v>
      </c>
      <c r="FZ20" t="s">
        <v>555</v>
      </c>
      <c r="GA20">
        <v>0</v>
      </c>
      <c r="GB20">
        <v>0</v>
      </c>
      <c r="GC20">
        <v>0</v>
      </c>
      <c r="GD20" t="s">
        <v>264</v>
      </c>
      <c r="GG20" t="s">
        <v>558</v>
      </c>
      <c r="GH20" t="s">
        <v>555</v>
      </c>
      <c r="GI20">
        <v>0</v>
      </c>
      <c r="GJ20">
        <v>0</v>
      </c>
      <c r="GK20">
        <v>0</v>
      </c>
      <c r="GL20" t="s">
        <v>264</v>
      </c>
      <c r="GO20" t="s">
        <v>559</v>
      </c>
      <c r="GP20" t="s">
        <v>555</v>
      </c>
      <c r="GQ20">
        <v>0</v>
      </c>
      <c r="GR20">
        <v>0</v>
      </c>
      <c r="GS20">
        <v>0</v>
      </c>
      <c r="GT20" t="s">
        <v>264</v>
      </c>
      <c r="GU20">
        <v>75.8</v>
      </c>
      <c r="GV20">
        <v>55.3</v>
      </c>
      <c r="GW20" t="s">
        <v>560</v>
      </c>
      <c r="GX20" t="s">
        <v>555</v>
      </c>
      <c r="GY20">
        <v>0</v>
      </c>
      <c r="GZ20">
        <v>0</v>
      </c>
      <c r="HA20">
        <v>0</v>
      </c>
      <c r="HB20" t="s">
        <v>264</v>
      </c>
      <c r="HC20">
        <v>69.900000000000006</v>
      </c>
      <c r="HD20">
        <v>57.1</v>
      </c>
      <c r="HE20" t="s">
        <v>561</v>
      </c>
      <c r="HF20" t="s">
        <v>555</v>
      </c>
      <c r="HG20">
        <v>0</v>
      </c>
      <c r="HH20">
        <v>0</v>
      </c>
      <c r="HI20">
        <v>0</v>
      </c>
      <c r="HJ20" t="s">
        <v>264</v>
      </c>
      <c r="HM20" t="s">
        <v>562</v>
      </c>
      <c r="HN20" t="s">
        <v>555</v>
      </c>
      <c r="HO20">
        <v>0</v>
      </c>
      <c r="HP20">
        <v>0</v>
      </c>
      <c r="HQ20">
        <v>0</v>
      </c>
      <c r="HR20" t="s">
        <v>264</v>
      </c>
      <c r="HU20" t="s">
        <v>563</v>
      </c>
      <c r="HV20" t="s">
        <v>555</v>
      </c>
      <c r="HW20">
        <v>0</v>
      </c>
      <c r="HX20">
        <v>0</v>
      </c>
      <c r="HY20">
        <v>0</v>
      </c>
      <c r="HZ20" t="s">
        <v>264</v>
      </c>
      <c r="IC20" t="s">
        <v>564</v>
      </c>
      <c r="ID20" t="s">
        <v>555</v>
      </c>
      <c r="IE20">
        <v>0</v>
      </c>
      <c r="IF20">
        <v>0</v>
      </c>
      <c r="IG20">
        <v>0</v>
      </c>
      <c r="IH20" t="s">
        <v>264</v>
      </c>
      <c r="IK20" t="s">
        <v>565</v>
      </c>
      <c r="IL20" t="s">
        <v>555</v>
      </c>
      <c r="IM20">
        <v>0</v>
      </c>
      <c r="IN20">
        <v>0</v>
      </c>
      <c r="IO20">
        <v>0</v>
      </c>
      <c r="IP20" t="s">
        <v>264</v>
      </c>
      <c r="IQ20">
        <v>70.8</v>
      </c>
      <c r="IR20">
        <v>270.60000000000002</v>
      </c>
      <c r="IS20" t="s">
        <v>566</v>
      </c>
      <c r="IT20" t="s">
        <v>555</v>
      </c>
      <c r="IU20">
        <v>0</v>
      </c>
      <c r="IV20">
        <v>0</v>
      </c>
      <c r="IW20">
        <v>0</v>
      </c>
      <c r="IX20" t="s">
        <v>264</v>
      </c>
      <c r="IY20">
        <v>68.099999999999994</v>
      </c>
      <c r="IZ20">
        <v>127.5</v>
      </c>
      <c r="JA20" t="s">
        <v>567</v>
      </c>
      <c r="JB20" t="s">
        <v>555</v>
      </c>
      <c r="JC20">
        <v>0</v>
      </c>
      <c r="JD20">
        <v>0</v>
      </c>
      <c r="JE20">
        <v>0</v>
      </c>
      <c r="JF20" t="s">
        <v>264</v>
      </c>
      <c r="JG20">
        <v>75.599999999999994</v>
      </c>
      <c r="JH20">
        <v>141</v>
      </c>
      <c r="JI20" t="s">
        <v>568</v>
      </c>
      <c r="JJ20" t="s">
        <v>555</v>
      </c>
      <c r="JK20">
        <v>0</v>
      </c>
      <c r="JL20">
        <v>0</v>
      </c>
      <c r="JM20">
        <v>0</v>
      </c>
      <c r="JN20" t="s">
        <v>264</v>
      </c>
      <c r="JO20">
        <v>65.900000000000006</v>
      </c>
      <c r="JP20">
        <v>52.8</v>
      </c>
      <c r="JQ20" t="s">
        <v>569</v>
      </c>
      <c r="JR20" t="s">
        <v>555</v>
      </c>
      <c r="JS20">
        <v>0</v>
      </c>
      <c r="JT20">
        <v>0</v>
      </c>
      <c r="JU20">
        <v>0</v>
      </c>
      <c r="JV20" t="s">
        <v>264</v>
      </c>
      <c r="JY20" t="s">
        <v>570</v>
      </c>
      <c r="JZ20" t="s">
        <v>555</v>
      </c>
      <c r="KA20">
        <v>0</v>
      </c>
      <c r="KB20">
        <v>0</v>
      </c>
      <c r="KC20">
        <v>0</v>
      </c>
      <c r="KD20" t="s">
        <v>264</v>
      </c>
      <c r="KG20" t="s">
        <v>571</v>
      </c>
      <c r="KH20" t="s">
        <v>555</v>
      </c>
      <c r="KI20">
        <v>0</v>
      </c>
      <c r="KJ20">
        <v>0</v>
      </c>
      <c r="KK20">
        <v>0</v>
      </c>
      <c r="KL20" t="s">
        <v>264</v>
      </c>
      <c r="KO20" t="s">
        <v>572</v>
      </c>
      <c r="KP20" t="s">
        <v>555</v>
      </c>
      <c r="KQ20">
        <v>0</v>
      </c>
      <c r="KR20">
        <v>0</v>
      </c>
      <c r="KS20">
        <v>0</v>
      </c>
      <c r="KT20" t="s">
        <v>264</v>
      </c>
      <c r="KW20" t="s">
        <v>573</v>
      </c>
      <c r="KX20" t="s">
        <v>555</v>
      </c>
      <c r="KY20">
        <v>0</v>
      </c>
      <c r="KZ20">
        <v>0</v>
      </c>
      <c r="LA20">
        <v>0</v>
      </c>
      <c r="LB20" t="s">
        <v>264</v>
      </c>
      <c r="LE20" t="s">
        <v>574</v>
      </c>
      <c r="LF20" t="s">
        <v>555</v>
      </c>
      <c r="LG20">
        <v>0</v>
      </c>
      <c r="LH20">
        <v>0</v>
      </c>
      <c r="LI20">
        <v>0</v>
      </c>
      <c r="LJ20" t="s">
        <v>264</v>
      </c>
      <c r="LM20" t="s">
        <v>575</v>
      </c>
      <c r="LN20" t="s">
        <v>555</v>
      </c>
      <c r="LO20">
        <v>0</v>
      </c>
      <c r="LP20">
        <v>0</v>
      </c>
      <c r="LQ20">
        <v>0</v>
      </c>
      <c r="LR20" t="s">
        <v>264</v>
      </c>
      <c r="LS20">
        <v>75.8</v>
      </c>
      <c r="LT20">
        <v>100.4</v>
      </c>
      <c r="LU20" t="s">
        <v>576</v>
      </c>
      <c r="LV20" t="s">
        <v>555</v>
      </c>
      <c r="LW20">
        <v>0</v>
      </c>
      <c r="LX20">
        <v>0</v>
      </c>
      <c r="LY20">
        <v>0</v>
      </c>
      <c r="LZ20" t="s">
        <v>264</v>
      </c>
      <c r="MC20" t="s">
        <v>577</v>
      </c>
      <c r="MD20" t="s">
        <v>555</v>
      </c>
      <c r="ME20">
        <v>0</v>
      </c>
      <c r="MF20">
        <v>0</v>
      </c>
      <c r="MG20">
        <v>0</v>
      </c>
      <c r="MH20" t="s">
        <v>264</v>
      </c>
      <c r="MI20">
        <v>65.7</v>
      </c>
      <c r="MJ20">
        <v>90.7</v>
      </c>
      <c r="MK20" t="s">
        <v>578</v>
      </c>
      <c r="ML20" t="s">
        <v>555</v>
      </c>
      <c r="MM20">
        <v>0</v>
      </c>
      <c r="MN20">
        <v>0</v>
      </c>
      <c r="MO20">
        <v>0</v>
      </c>
      <c r="MP20" t="s">
        <v>264</v>
      </c>
      <c r="MQ20">
        <v>70.8</v>
      </c>
      <c r="MR20">
        <v>113</v>
      </c>
      <c r="MS20" t="s">
        <v>579</v>
      </c>
      <c r="MT20" t="s">
        <v>555</v>
      </c>
      <c r="MU20">
        <v>0</v>
      </c>
      <c r="MV20">
        <v>0</v>
      </c>
      <c r="MW20">
        <v>0</v>
      </c>
      <c r="MX20" t="s">
        <v>264</v>
      </c>
      <c r="MY20">
        <v>71.3</v>
      </c>
      <c r="MZ20">
        <v>150.30000000000001</v>
      </c>
      <c r="NA20" t="s">
        <v>580</v>
      </c>
      <c r="NB20" t="s">
        <v>555</v>
      </c>
      <c r="NC20">
        <v>0</v>
      </c>
      <c r="ND20">
        <v>0</v>
      </c>
      <c r="NE20">
        <v>0</v>
      </c>
      <c r="NF20" t="s">
        <v>264</v>
      </c>
      <c r="NI20">
        <v>40.1</v>
      </c>
      <c r="NJ20">
        <v>-10.1</v>
      </c>
      <c r="NP20" t="s">
        <v>581</v>
      </c>
    </row>
    <row r="21" spans="1:380" customFormat="1" x14ac:dyDescent="0.2">
      <c r="A21" t="s">
        <v>517</v>
      </c>
      <c r="B21">
        <v>1</v>
      </c>
      <c r="C21" t="s">
        <v>1005</v>
      </c>
      <c r="D21">
        <v>647066089</v>
      </c>
      <c r="E21">
        <v>12602</v>
      </c>
      <c r="F21" t="s">
        <v>967</v>
      </c>
      <c r="G21">
        <v>709864</v>
      </c>
      <c r="H21">
        <v>210053690</v>
      </c>
      <c r="I21" t="s">
        <v>543</v>
      </c>
      <c r="J21" t="s">
        <v>1006</v>
      </c>
      <c r="K21" t="s">
        <v>545</v>
      </c>
      <c r="L21" t="s">
        <v>447</v>
      </c>
      <c r="M21" t="s">
        <v>546</v>
      </c>
      <c r="N21" t="s">
        <v>468</v>
      </c>
      <c r="O21" t="s">
        <v>547</v>
      </c>
      <c r="P21" t="s">
        <v>264</v>
      </c>
      <c r="Q21">
        <v>27.2</v>
      </c>
      <c r="R21">
        <v>228</v>
      </c>
      <c r="S21" t="s">
        <v>264</v>
      </c>
      <c r="T21">
        <v>-9999</v>
      </c>
      <c r="U21">
        <v>507</v>
      </c>
      <c r="V21">
        <v>523</v>
      </c>
      <c r="W21">
        <v>498</v>
      </c>
      <c r="X21" t="s">
        <v>270</v>
      </c>
      <c r="Y21">
        <v>0</v>
      </c>
      <c r="Z21">
        <v>55</v>
      </c>
      <c r="AA21" t="s">
        <v>469</v>
      </c>
      <c r="AB21" t="s">
        <v>548</v>
      </c>
      <c r="AC21">
        <v>1</v>
      </c>
      <c r="AD21" t="s">
        <v>584</v>
      </c>
      <c r="AE21">
        <v>27.8</v>
      </c>
      <c r="AF21">
        <v>804</v>
      </c>
      <c r="AG21" t="s">
        <v>264</v>
      </c>
      <c r="AH21">
        <v>-9999</v>
      </c>
      <c r="AI21">
        <v>494</v>
      </c>
      <c r="AJ21">
        <v>603</v>
      </c>
      <c r="AK21">
        <v>488</v>
      </c>
      <c r="AL21" t="s">
        <v>270</v>
      </c>
      <c r="AM21">
        <v>0</v>
      </c>
      <c r="AN21">
        <v>55</v>
      </c>
      <c r="AO21" t="s">
        <v>470</v>
      </c>
      <c r="AP21" t="s">
        <v>548</v>
      </c>
      <c r="AQ21">
        <v>2</v>
      </c>
      <c r="AR21" t="s">
        <v>549</v>
      </c>
      <c r="AS21">
        <v>42.1</v>
      </c>
      <c r="AT21">
        <v>98</v>
      </c>
      <c r="AU21" t="s">
        <v>264</v>
      </c>
      <c r="AV21">
        <v>-9999</v>
      </c>
      <c r="AW21">
        <v>379</v>
      </c>
      <c r="AX21">
        <v>400</v>
      </c>
      <c r="AY21">
        <v>377</v>
      </c>
      <c r="AZ21" t="s">
        <v>270</v>
      </c>
      <c r="BA21">
        <v>0</v>
      </c>
      <c r="BB21">
        <v>55</v>
      </c>
      <c r="BC21" t="s">
        <v>550</v>
      </c>
      <c r="BD21" t="s">
        <v>548</v>
      </c>
      <c r="BE21">
        <v>3</v>
      </c>
      <c r="BF21" t="s">
        <v>584</v>
      </c>
      <c r="BG21">
        <v>22.6</v>
      </c>
      <c r="BH21">
        <v>1054</v>
      </c>
      <c r="BI21" t="s">
        <v>264</v>
      </c>
      <c r="BJ21">
        <v>-9999</v>
      </c>
      <c r="BK21">
        <v>123</v>
      </c>
      <c r="BL21">
        <v>159</v>
      </c>
      <c r="BM21">
        <v>123</v>
      </c>
      <c r="BN21" t="s">
        <v>270</v>
      </c>
      <c r="BO21">
        <v>0</v>
      </c>
      <c r="BP21">
        <v>55</v>
      </c>
      <c r="BQ21" t="s">
        <v>504</v>
      </c>
      <c r="BR21" t="s">
        <v>548</v>
      </c>
      <c r="BS21">
        <v>4</v>
      </c>
      <c r="BT21" t="s">
        <v>584</v>
      </c>
      <c r="BU21">
        <v>31.2</v>
      </c>
      <c r="BV21">
        <v>273</v>
      </c>
      <c r="BW21" t="s">
        <v>264</v>
      </c>
      <c r="BX21">
        <v>-9999</v>
      </c>
      <c r="BY21">
        <v>201</v>
      </c>
      <c r="BZ21">
        <v>232</v>
      </c>
      <c r="CA21">
        <v>199</v>
      </c>
      <c r="CB21" t="s">
        <v>270</v>
      </c>
      <c r="CC21">
        <v>0</v>
      </c>
      <c r="CD21">
        <v>55</v>
      </c>
      <c r="CE21" t="s">
        <v>471</v>
      </c>
      <c r="CF21" t="s">
        <v>548</v>
      </c>
      <c r="CG21">
        <v>5</v>
      </c>
      <c r="CH21" t="s">
        <v>584</v>
      </c>
      <c r="CI21">
        <v>37.200000000000003</v>
      </c>
      <c r="CJ21">
        <v>187</v>
      </c>
      <c r="CK21" t="s">
        <v>264</v>
      </c>
      <c r="CL21">
        <v>-9999</v>
      </c>
      <c r="CM21">
        <v>488</v>
      </c>
      <c r="CN21">
        <v>570</v>
      </c>
      <c r="CO21">
        <v>486</v>
      </c>
      <c r="CP21" t="s">
        <v>270</v>
      </c>
      <c r="CQ21">
        <v>0</v>
      </c>
      <c r="CR21">
        <v>55</v>
      </c>
      <c r="CS21" t="s">
        <v>472</v>
      </c>
      <c r="CT21" t="s">
        <v>548</v>
      </c>
      <c r="CU21">
        <v>6</v>
      </c>
      <c r="CV21" t="s">
        <v>584</v>
      </c>
      <c r="CW21">
        <v>34.299999999999997</v>
      </c>
      <c r="CX21">
        <v>337</v>
      </c>
      <c r="CY21" t="s">
        <v>264</v>
      </c>
      <c r="CZ21">
        <v>-9999</v>
      </c>
      <c r="DA21">
        <v>740</v>
      </c>
      <c r="DB21">
        <v>840</v>
      </c>
      <c r="DC21">
        <v>728</v>
      </c>
      <c r="DD21" t="s">
        <v>270</v>
      </c>
      <c r="DE21">
        <v>0</v>
      </c>
      <c r="DF21">
        <v>55</v>
      </c>
      <c r="DG21" t="s">
        <v>473</v>
      </c>
      <c r="DH21" t="s">
        <v>548</v>
      </c>
      <c r="DI21">
        <v>7</v>
      </c>
      <c r="DJ21" t="s">
        <v>584</v>
      </c>
      <c r="DK21">
        <v>36.799999999999997</v>
      </c>
      <c r="DL21">
        <v>86</v>
      </c>
      <c r="DM21" t="s">
        <v>264</v>
      </c>
      <c r="DN21">
        <v>-9999</v>
      </c>
      <c r="DO21">
        <v>539</v>
      </c>
      <c r="DP21">
        <v>618</v>
      </c>
      <c r="DQ21">
        <v>533</v>
      </c>
      <c r="DR21" t="s">
        <v>270</v>
      </c>
      <c r="DS21">
        <v>0</v>
      </c>
      <c r="DT21">
        <v>55</v>
      </c>
      <c r="DU21" t="s">
        <v>474</v>
      </c>
      <c r="DV21" t="s">
        <v>548</v>
      </c>
      <c r="DW21">
        <v>8</v>
      </c>
      <c r="DX21" t="s">
        <v>584</v>
      </c>
      <c r="DY21">
        <v>23.8</v>
      </c>
      <c r="DZ21">
        <v>261</v>
      </c>
      <c r="EA21" t="s">
        <v>264</v>
      </c>
      <c r="EB21">
        <v>-9999</v>
      </c>
      <c r="EC21">
        <v>95</v>
      </c>
      <c r="ED21">
        <v>115</v>
      </c>
      <c r="EE21">
        <v>94</v>
      </c>
      <c r="EF21" t="s">
        <v>270</v>
      </c>
      <c r="EG21">
        <v>0</v>
      </c>
      <c r="EH21">
        <v>55</v>
      </c>
      <c r="EI21" t="s">
        <v>475</v>
      </c>
      <c r="EJ21" t="s">
        <v>548</v>
      </c>
      <c r="EK21">
        <v>9</v>
      </c>
      <c r="EL21" t="s">
        <v>584</v>
      </c>
      <c r="EM21">
        <v>24.8</v>
      </c>
      <c r="EN21">
        <v>353</v>
      </c>
      <c r="EO21" t="s">
        <v>264</v>
      </c>
      <c r="EP21">
        <v>-9999</v>
      </c>
      <c r="EQ21">
        <v>297</v>
      </c>
      <c r="ER21">
        <v>279</v>
      </c>
      <c r="ES21">
        <v>262</v>
      </c>
      <c r="ET21" t="s">
        <v>270</v>
      </c>
      <c r="EU21">
        <v>0</v>
      </c>
      <c r="EV21">
        <v>55</v>
      </c>
      <c r="EW21" t="s">
        <v>551</v>
      </c>
      <c r="EX21" t="s">
        <v>552</v>
      </c>
      <c r="EY21">
        <v>126</v>
      </c>
      <c r="EZ21">
        <v>126</v>
      </c>
      <c r="FA21">
        <v>126</v>
      </c>
      <c r="FB21" t="s">
        <v>270</v>
      </c>
      <c r="FC21" t="s">
        <v>553</v>
      </c>
      <c r="FD21" t="s">
        <v>552</v>
      </c>
      <c r="FE21">
        <v>292</v>
      </c>
      <c r="FF21">
        <v>290</v>
      </c>
      <c r="FG21">
        <v>289</v>
      </c>
      <c r="FH21" t="s">
        <v>270</v>
      </c>
      <c r="FI21" t="s">
        <v>554</v>
      </c>
      <c r="FJ21" t="s">
        <v>555</v>
      </c>
      <c r="FK21">
        <v>0</v>
      </c>
      <c r="FL21">
        <v>0</v>
      </c>
      <c r="FM21">
        <v>0</v>
      </c>
      <c r="FN21" t="s">
        <v>264</v>
      </c>
      <c r="FQ21" t="s">
        <v>556</v>
      </c>
      <c r="FR21" t="s">
        <v>555</v>
      </c>
      <c r="FS21">
        <v>0</v>
      </c>
      <c r="FT21">
        <v>0</v>
      </c>
      <c r="FU21">
        <v>0</v>
      </c>
      <c r="FV21" t="s">
        <v>264</v>
      </c>
      <c r="FY21" t="s">
        <v>557</v>
      </c>
      <c r="FZ21" t="s">
        <v>555</v>
      </c>
      <c r="GA21">
        <v>0</v>
      </c>
      <c r="GB21">
        <v>0</v>
      </c>
      <c r="GC21">
        <v>0</v>
      </c>
      <c r="GD21" t="s">
        <v>264</v>
      </c>
      <c r="GG21" t="s">
        <v>558</v>
      </c>
      <c r="GH21" t="s">
        <v>555</v>
      </c>
      <c r="GI21">
        <v>0</v>
      </c>
      <c r="GJ21">
        <v>0</v>
      </c>
      <c r="GK21">
        <v>0</v>
      </c>
      <c r="GL21" t="s">
        <v>264</v>
      </c>
      <c r="GO21" t="s">
        <v>559</v>
      </c>
      <c r="GP21" t="s">
        <v>555</v>
      </c>
      <c r="GQ21">
        <v>0</v>
      </c>
      <c r="GR21">
        <v>0</v>
      </c>
      <c r="GS21">
        <v>0</v>
      </c>
      <c r="GT21" t="s">
        <v>264</v>
      </c>
      <c r="GU21">
        <v>75.8</v>
      </c>
      <c r="GV21">
        <v>55.7</v>
      </c>
      <c r="GW21" t="s">
        <v>560</v>
      </c>
      <c r="GX21" t="s">
        <v>555</v>
      </c>
      <c r="GY21">
        <v>0</v>
      </c>
      <c r="GZ21">
        <v>0</v>
      </c>
      <c r="HA21">
        <v>0</v>
      </c>
      <c r="HB21" t="s">
        <v>264</v>
      </c>
      <c r="HC21">
        <v>69.7</v>
      </c>
      <c r="HD21">
        <v>43.2</v>
      </c>
      <c r="HE21" t="s">
        <v>561</v>
      </c>
      <c r="HF21" t="s">
        <v>555</v>
      </c>
      <c r="HG21">
        <v>0</v>
      </c>
      <c r="HH21">
        <v>0</v>
      </c>
      <c r="HI21">
        <v>0</v>
      </c>
      <c r="HJ21" t="s">
        <v>264</v>
      </c>
      <c r="HM21" t="s">
        <v>562</v>
      </c>
      <c r="HN21" t="s">
        <v>555</v>
      </c>
      <c r="HO21">
        <v>0</v>
      </c>
      <c r="HP21">
        <v>0</v>
      </c>
      <c r="HQ21">
        <v>0</v>
      </c>
      <c r="HR21" t="s">
        <v>264</v>
      </c>
      <c r="HU21" t="s">
        <v>563</v>
      </c>
      <c r="HV21" t="s">
        <v>555</v>
      </c>
      <c r="HW21">
        <v>0</v>
      </c>
      <c r="HX21">
        <v>0</v>
      </c>
      <c r="HY21">
        <v>0</v>
      </c>
      <c r="HZ21" t="s">
        <v>264</v>
      </c>
      <c r="IC21" t="s">
        <v>564</v>
      </c>
      <c r="ID21" t="s">
        <v>555</v>
      </c>
      <c r="IE21">
        <v>0</v>
      </c>
      <c r="IF21">
        <v>0</v>
      </c>
      <c r="IG21">
        <v>0</v>
      </c>
      <c r="IH21" t="s">
        <v>264</v>
      </c>
      <c r="IK21" t="s">
        <v>565</v>
      </c>
      <c r="IL21" t="s">
        <v>555</v>
      </c>
      <c r="IM21">
        <v>0</v>
      </c>
      <c r="IN21">
        <v>0</v>
      </c>
      <c r="IO21">
        <v>0</v>
      </c>
      <c r="IP21" t="s">
        <v>264</v>
      </c>
      <c r="IQ21">
        <v>70.8</v>
      </c>
      <c r="IR21">
        <v>274.7</v>
      </c>
      <c r="IS21" t="s">
        <v>566</v>
      </c>
      <c r="IT21" t="s">
        <v>555</v>
      </c>
      <c r="IU21">
        <v>0</v>
      </c>
      <c r="IV21">
        <v>0</v>
      </c>
      <c r="IW21">
        <v>0</v>
      </c>
      <c r="IX21" t="s">
        <v>264</v>
      </c>
      <c r="IY21">
        <v>68.099999999999994</v>
      </c>
      <c r="IZ21">
        <v>130.5</v>
      </c>
      <c r="JA21" t="s">
        <v>567</v>
      </c>
      <c r="JB21" t="s">
        <v>555</v>
      </c>
      <c r="JC21">
        <v>0</v>
      </c>
      <c r="JD21">
        <v>0</v>
      </c>
      <c r="JE21">
        <v>0</v>
      </c>
      <c r="JF21" t="s">
        <v>264</v>
      </c>
      <c r="JG21">
        <v>75.7</v>
      </c>
      <c r="JH21">
        <v>144.6</v>
      </c>
      <c r="JI21" t="s">
        <v>568</v>
      </c>
      <c r="JJ21" t="s">
        <v>555</v>
      </c>
      <c r="JK21">
        <v>0</v>
      </c>
      <c r="JL21">
        <v>0</v>
      </c>
      <c r="JM21">
        <v>0</v>
      </c>
      <c r="JN21" t="s">
        <v>264</v>
      </c>
      <c r="JO21">
        <v>65.900000000000006</v>
      </c>
      <c r="JP21">
        <v>50.9</v>
      </c>
      <c r="JQ21" t="s">
        <v>569</v>
      </c>
      <c r="JR21" t="s">
        <v>555</v>
      </c>
      <c r="JS21">
        <v>0</v>
      </c>
      <c r="JT21">
        <v>0</v>
      </c>
      <c r="JU21">
        <v>0</v>
      </c>
      <c r="JV21" t="s">
        <v>264</v>
      </c>
      <c r="JY21" t="s">
        <v>570</v>
      </c>
      <c r="JZ21" t="s">
        <v>555</v>
      </c>
      <c r="KA21">
        <v>0</v>
      </c>
      <c r="KB21">
        <v>0</v>
      </c>
      <c r="KC21">
        <v>0</v>
      </c>
      <c r="KD21" t="s">
        <v>264</v>
      </c>
      <c r="KG21" t="s">
        <v>571</v>
      </c>
      <c r="KH21" t="s">
        <v>555</v>
      </c>
      <c r="KI21">
        <v>0</v>
      </c>
      <c r="KJ21">
        <v>0</v>
      </c>
      <c r="KK21">
        <v>0</v>
      </c>
      <c r="KL21" t="s">
        <v>264</v>
      </c>
      <c r="KO21" t="s">
        <v>572</v>
      </c>
      <c r="KP21" t="s">
        <v>555</v>
      </c>
      <c r="KQ21">
        <v>0</v>
      </c>
      <c r="KR21">
        <v>0</v>
      </c>
      <c r="KS21">
        <v>0</v>
      </c>
      <c r="KT21" t="s">
        <v>264</v>
      </c>
      <c r="KW21" t="s">
        <v>573</v>
      </c>
      <c r="KX21" t="s">
        <v>555</v>
      </c>
      <c r="KY21">
        <v>0</v>
      </c>
      <c r="KZ21">
        <v>0</v>
      </c>
      <c r="LA21">
        <v>0</v>
      </c>
      <c r="LB21" t="s">
        <v>264</v>
      </c>
      <c r="LE21" t="s">
        <v>574</v>
      </c>
      <c r="LF21" t="s">
        <v>555</v>
      </c>
      <c r="LG21">
        <v>0</v>
      </c>
      <c r="LH21">
        <v>0</v>
      </c>
      <c r="LI21">
        <v>0</v>
      </c>
      <c r="LJ21" t="s">
        <v>264</v>
      </c>
      <c r="LM21" t="s">
        <v>575</v>
      </c>
      <c r="LN21" t="s">
        <v>555</v>
      </c>
      <c r="LO21">
        <v>0</v>
      </c>
      <c r="LP21">
        <v>0</v>
      </c>
      <c r="LQ21">
        <v>0</v>
      </c>
      <c r="LR21" t="s">
        <v>264</v>
      </c>
      <c r="LS21">
        <v>75.8</v>
      </c>
      <c r="LT21">
        <v>134.30000000000001</v>
      </c>
      <c r="LU21" t="s">
        <v>576</v>
      </c>
      <c r="LV21" t="s">
        <v>555</v>
      </c>
      <c r="LW21">
        <v>0</v>
      </c>
      <c r="LX21">
        <v>0</v>
      </c>
      <c r="LY21">
        <v>0</v>
      </c>
      <c r="LZ21" t="s">
        <v>264</v>
      </c>
      <c r="MC21" t="s">
        <v>577</v>
      </c>
      <c r="MD21" t="s">
        <v>555</v>
      </c>
      <c r="ME21">
        <v>0</v>
      </c>
      <c r="MF21">
        <v>0</v>
      </c>
      <c r="MG21">
        <v>0</v>
      </c>
      <c r="MH21" t="s">
        <v>264</v>
      </c>
      <c r="MI21">
        <v>65.8</v>
      </c>
      <c r="MJ21">
        <v>92</v>
      </c>
      <c r="MK21" t="s">
        <v>578</v>
      </c>
      <c r="ML21" t="s">
        <v>555</v>
      </c>
      <c r="MM21">
        <v>0</v>
      </c>
      <c r="MN21">
        <v>0</v>
      </c>
      <c r="MO21">
        <v>0</v>
      </c>
      <c r="MP21" t="s">
        <v>264</v>
      </c>
      <c r="MQ21">
        <v>70.900000000000006</v>
      </c>
      <c r="MR21">
        <v>108.3</v>
      </c>
      <c r="MS21" t="s">
        <v>579</v>
      </c>
      <c r="MT21" t="s">
        <v>555</v>
      </c>
      <c r="MU21">
        <v>0</v>
      </c>
      <c r="MV21">
        <v>0</v>
      </c>
      <c r="MW21">
        <v>0</v>
      </c>
      <c r="MX21" t="s">
        <v>264</v>
      </c>
      <c r="MY21">
        <v>71.3</v>
      </c>
      <c r="MZ21">
        <v>121.3</v>
      </c>
      <c r="NA21" t="s">
        <v>580</v>
      </c>
      <c r="NB21" t="s">
        <v>555</v>
      </c>
      <c r="NC21">
        <v>0</v>
      </c>
      <c r="ND21">
        <v>0</v>
      </c>
      <c r="NE21">
        <v>0</v>
      </c>
      <c r="NF21" t="s">
        <v>264</v>
      </c>
      <c r="NI21">
        <v>40</v>
      </c>
      <c r="NJ21">
        <v>-10.3</v>
      </c>
      <c r="NP21" t="s">
        <v>581</v>
      </c>
    </row>
    <row r="22" spans="1:380" customFormat="1" ht="15" x14ac:dyDescent="0.2">
      <c r="A22" t="s">
        <v>432</v>
      </c>
      <c r="C22" s="82"/>
      <c r="D22" s="82"/>
      <c r="J22" s="149"/>
    </row>
    <row r="23" spans="1:380" s="188" customFormat="1" ht="51" x14ac:dyDescent="0.2">
      <c r="A23" s="186" t="s">
        <v>98</v>
      </c>
      <c r="B23" s="186" t="s">
        <v>99</v>
      </c>
      <c r="C23" s="186" t="s">
        <v>100</v>
      </c>
      <c r="D23" s="186" t="s">
        <v>101</v>
      </c>
      <c r="E23" s="186" t="s">
        <v>102</v>
      </c>
      <c r="F23" s="186" t="s">
        <v>103</v>
      </c>
      <c r="G23" s="186" t="s">
        <v>104</v>
      </c>
      <c r="H23" s="186" t="s">
        <v>105</v>
      </c>
      <c r="I23" s="186" t="s">
        <v>106</v>
      </c>
      <c r="J23" s="186" t="s">
        <v>107</v>
      </c>
      <c r="K23" s="186" t="s">
        <v>108</v>
      </c>
      <c r="L23" s="186" t="s">
        <v>109</v>
      </c>
      <c r="M23" s="186" t="s">
        <v>110</v>
      </c>
      <c r="N23" s="186" t="s">
        <v>111</v>
      </c>
      <c r="O23" s="186" t="s">
        <v>112</v>
      </c>
      <c r="P23" s="186" t="s">
        <v>113</v>
      </c>
      <c r="Q23" s="186" t="s">
        <v>114</v>
      </c>
      <c r="R23" s="186" t="s">
        <v>115</v>
      </c>
      <c r="S23" s="186" t="s">
        <v>116</v>
      </c>
      <c r="T23" s="186" t="s">
        <v>117</v>
      </c>
      <c r="U23" s="186" t="s">
        <v>118</v>
      </c>
      <c r="V23" s="186" t="s">
        <v>119</v>
      </c>
      <c r="W23" s="186" t="s">
        <v>120</v>
      </c>
      <c r="X23" s="186" t="s">
        <v>121</v>
      </c>
      <c r="Y23" s="186" t="s">
        <v>122</v>
      </c>
      <c r="Z23" s="186" t="s">
        <v>123</v>
      </c>
      <c r="AA23" s="186" t="s">
        <v>110</v>
      </c>
      <c r="AB23" s="186" t="s">
        <v>111</v>
      </c>
      <c r="AC23" s="186" t="s">
        <v>112</v>
      </c>
      <c r="AD23" s="186" t="s">
        <v>113</v>
      </c>
      <c r="AE23" s="186" t="s">
        <v>114</v>
      </c>
      <c r="AF23" s="186" t="s">
        <v>115</v>
      </c>
      <c r="AG23" s="186" t="s">
        <v>116</v>
      </c>
      <c r="AH23" s="186" t="s">
        <v>117</v>
      </c>
      <c r="AI23" s="186" t="s">
        <v>118</v>
      </c>
      <c r="AJ23" s="186" t="s">
        <v>119</v>
      </c>
      <c r="AK23" s="186" t="s">
        <v>120</v>
      </c>
      <c r="AL23" s="186" t="s">
        <v>121</v>
      </c>
      <c r="AM23" s="186" t="s">
        <v>122</v>
      </c>
      <c r="AN23" s="186" t="s">
        <v>123</v>
      </c>
      <c r="AO23" s="186" t="s">
        <v>110</v>
      </c>
      <c r="AP23" s="186" t="s">
        <v>111</v>
      </c>
      <c r="AQ23" s="186" t="s">
        <v>112</v>
      </c>
      <c r="AR23" s="186" t="s">
        <v>113</v>
      </c>
      <c r="AS23" s="186" t="s">
        <v>114</v>
      </c>
      <c r="AT23" s="186" t="s">
        <v>115</v>
      </c>
      <c r="AU23" s="186" t="s">
        <v>116</v>
      </c>
      <c r="AV23" s="186" t="s">
        <v>117</v>
      </c>
      <c r="AW23" s="186" t="s">
        <v>118</v>
      </c>
      <c r="AX23" s="186" t="s">
        <v>119</v>
      </c>
      <c r="AY23" s="186" t="s">
        <v>120</v>
      </c>
      <c r="AZ23" s="186" t="s">
        <v>121</v>
      </c>
      <c r="BA23" s="186" t="s">
        <v>122</v>
      </c>
      <c r="BB23" s="186" t="s">
        <v>123</v>
      </c>
      <c r="BC23" s="186" t="s">
        <v>110</v>
      </c>
      <c r="BD23" s="186" t="s">
        <v>111</v>
      </c>
      <c r="BE23" s="186" t="s">
        <v>112</v>
      </c>
      <c r="BF23" s="186" t="s">
        <v>113</v>
      </c>
      <c r="BG23" s="186" t="s">
        <v>114</v>
      </c>
      <c r="BH23" s="186" t="s">
        <v>115</v>
      </c>
      <c r="BI23" s="186" t="s">
        <v>116</v>
      </c>
      <c r="BJ23" s="186" t="s">
        <v>117</v>
      </c>
      <c r="BK23" s="186" t="s">
        <v>118</v>
      </c>
      <c r="BL23" s="186" t="s">
        <v>119</v>
      </c>
      <c r="BM23" s="186" t="s">
        <v>120</v>
      </c>
      <c r="BN23" s="186" t="s">
        <v>121</v>
      </c>
      <c r="BO23" s="186" t="s">
        <v>122</v>
      </c>
      <c r="BP23" s="186" t="s">
        <v>123</v>
      </c>
      <c r="BQ23" s="186" t="s">
        <v>110</v>
      </c>
      <c r="BR23" s="186" t="s">
        <v>111</v>
      </c>
      <c r="BS23" s="186" t="s">
        <v>112</v>
      </c>
      <c r="BT23" s="187" t="s">
        <v>113</v>
      </c>
      <c r="BU23" s="187" t="s">
        <v>114</v>
      </c>
      <c r="BV23" s="187" t="s">
        <v>115</v>
      </c>
      <c r="BW23" s="187" t="s">
        <v>116</v>
      </c>
      <c r="BX23" s="187" t="s">
        <v>117</v>
      </c>
      <c r="BY23" s="187" t="s">
        <v>118</v>
      </c>
      <c r="BZ23" s="187" t="s">
        <v>119</v>
      </c>
      <c r="CA23" s="187" t="s">
        <v>120</v>
      </c>
      <c r="CB23" s="187" t="s">
        <v>121</v>
      </c>
      <c r="CC23" s="187" t="s">
        <v>122</v>
      </c>
      <c r="CD23" s="187" t="s">
        <v>123</v>
      </c>
      <c r="CE23" s="187" t="s">
        <v>110</v>
      </c>
      <c r="CF23" s="187" t="s">
        <v>111</v>
      </c>
      <c r="CG23" s="187" t="s">
        <v>112</v>
      </c>
      <c r="CH23" s="187" t="s">
        <v>113</v>
      </c>
      <c r="CI23" s="187" t="s">
        <v>114</v>
      </c>
      <c r="CJ23" s="187" t="s">
        <v>115</v>
      </c>
      <c r="CK23" s="187" t="s">
        <v>116</v>
      </c>
      <c r="CL23" s="187" t="s">
        <v>117</v>
      </c>
      <c r="CM23" s="187" t="s">
        <v>118</v>
      </c>
      <c r="CN23" s="187" t="s">
        <v>119</v>
      </c>
      <c r="CO23" s="187" t="s">
        <v>120</v>
      </c>
      <c r="CP23" s="187" t="s">
        <v>121</v>
      </c>
      <c r="CQ23" s="187" t="s">
        <v>122</v>
      </c>
      <c r="CR23" s="187" t="s">
        <v>123</v>
      </c>
      <c r="CS23" s="187" t="s">
        <v>110</v>
      </c>
      <c r="CT23" s="187" t="s">
        <v>111</v>
      </c>
      <c r="CU23" s="187" t="s">
        <v>112</v>
      </c>
      <c r="CV23" s="187" t="s">
        <v>113</v>
      </c>
      <c r="CW23" s="187" t="s">
        <v>114</v>
      </c>
      <c r="CX23" s="187" t="s">
        <v>115</v>
      </c>
      <c r="CY23" s="187" t="s">
        <v>116</v>
      </c>
      <c r="CZ23" s="187" t="s">
        <v>117</v>
      </c>
      <c r="DA23" s="187" t="s">
        <v>118</v>
      </c>
      <c r="DB23" s="187" t="s">
        <v>119</v>
      </c>
      <c r="DC23" s="187" t="s">
        <v>120</v>
      </c>
      <c r="DD23" s="187" t="s">
        <v>121</v>
      </c>
      <c r="DE23" s="187" t="s">
        <v>122</v>
      </c>
      <c r="DF23" s="187" t="s">
        <v>123</v>
      </c>
      <c r="DG23" s="187" t="s">
        <v>110</v>
      </c>
      <c r="DH23" s="187" t="s">
        <v>111</v>
      </c>
      <c r="DI23" s="187" t="s">
        <v>112</v>
      </c>
      <c r="DJ23" s="187" t="s">
        <v>113</v>
      </c>
      <c r="DK23" s="187" t="s">
        <v>114</v>
      </c>
      <c r="DL23" s="187" t="s">
        <v>115</v>
      </c>
      <c r="DM23" s="187" t="s">
        <v>116</v>
      </c>
      <c r="DN23" s="187" t="s">
        <v>117</v>
      </c>
      <c r="DO23" s="187" t="s">
        <v>118</v>
      </c>
      <c r="DP23" s="187" t="s">
        <v>119</v>
      </c>
      <c r="DQ23" s="187" t="s">
        <v>120</v>
      </c>
      <c r="DR23" s="187" t="s">
        <v>121</v>
      </c>
      <c r="DS23" s="187" t="s">
        <v>122</v>
      </c>
      <c r="DT23" s="187" t="s">
        <v>123</v>
      </c>
      <c r="DU23" s="187" t="s">
        <v>110</v>
      </c>
      <c r="DV23" s="187" t="s">
        <v>111</v>
      </c>
      <c r="DW23" s="187" t="s">
        <v>112</v>
      </c>
      <c r="DX23" s="187" t="s">
        <v>113</v>
      </c>
      <c r="DY23" s="187" t="s">
        <v>114</v>
      </c>
      <c r="DZ23" s="187" t="s">
        <v>115</v>
      </c>
      <c r="EA23" s="187" t="s">
        <v>116</v>
      </c>
      <c r="EB23" s="187" t="s">
        <v>117</v>
      </c>
      <c r="EC23" s="187" t="s">
        <v>118</v>
      </c>
      <c r="ED23" s="187" t="s">
        <v>119</v>
      </c>
      <c r="EE23" s="187" t="s">
        <v>120</v>
      </c>
      <c r="EF23" s="187" t="s">
        <v>121</v>
      </c>
      <c r="EG23" s="187" t="s">
        <v>122</v>
      </c>
      <c r="EH23" s="187" t="s">
        <v>123</v>
      </c>
      <c r="EI23" s="187" t="s">
        <v>110</v>
      </c>
      <c r="EJ23" s="187" t="s">
        <v>111</v>
      </c>
      <c r="EK23" s="187" t="s">
        <v>112</v>
      </c>
      <c r="EL23" s="187" t="s">
        <v>113</v>
      </c>
      <c r="EM23" s="187" t="s">
        <v>114</v>
      </c>
      <c r="EN23" s="187" t="s">
        <v>115</v>
      </c>
      <c r="EO23" s="187" t="s">
        <v>116</v>
      </c>
      <c r="EP23" s="187" t="s">
        <v>117</v>
      </c>
      <c r="EQ23" s="187" t="s">
        <v>118</v>
      </c>
      <c r="ER23" s="187" t="s">
        <v>119</v>
      </c>
      <c r="ES23" s="187" t="s">
        <v>120</v>
      </c>
      <c r="ET23" s="187" t="s">
        <v>121</v>
      </c>
      <c r="EU23" s="187" t="s">
        <v>122</v>
      </c>
      <c r="EV23" s="187" t="s">
        <v>123</v>
      </c>
      <c r="EW23" s="187" t="s">
        <v>110</v>
      </c>
      <c r="EX23" s="187" t="s">
        <v>111</v>
      </c>
      <c r="EY23" s="187" t="s">
        <v>118</v>
      </c>
      <c r="EZ23" s="187" t="s">
        <v>119</v>
      </c>
      <c r="FA23" s="187" t="s">
        <v>120</v>
      </c>
      <c r="FB23" s="187" t="s">
        <v>121</v>
      </c>
      <c r="FC23" s="187" t="s">
        <v>110</v>
      </c>
      <c r="FD23" s="187" t="s">
        <v>111</v>
      </c>
      <c r="FE23" s="187" t="s">
        <v>118</v>
      </c>
      <c r="FF23" s="187" t="s">
        <v>119</v>
      </c>
      <c r="FG23" s="187" t="s">
        <v>120</v>
      </c>
      <c r="FH23" s="187" t="s">
        <v>121</v>
      </c>
      <c r="FI23" s="187" t="s">
        <v>110</v>
      </c>
      <c r="FJ23" s="187" t="s">
        <v>111</v>
      </c>
      <c r="FK23" s="187" t="s">
        <v>118</v>
      </c>
      <c r="FL23" s="187" t="s">
        <v>119</v>
      </c>
      <c r="FM23" s="187" t="s">
        <v>120</v>
      </c>
      <c r="FN23" s="187" t="s">
        <v>121</v>
      </c>
      <c r="FO23" s="187" t="s">
        <v>298</v>
      </c>
      <c r="FP23" s="187" t="s">
        <v>299</v>
      </c>
      <c r="FQ23" s="187" t="s">
        <v>110</v>
      </c>
      <c r="FR23" s="187" t="s">
        <v>111</v>
      </c>
      <c r="FS23" s="187" t="s">
        <v>118</v>
      </c>
      <c r="FT23" s="187" t="s">
        <v>119</v>
      </c>
      <c r="FU23" s="187" t="s">
        <v>120</v>
      </c>
      <c r="FV23" s="187" t="s">
        <v>121</v>
      </c>
      <c r="FW23" s="187" t="s">
        <v>298</v>
      </c>
      <c r="FX23" s="187" t="s">
        <v>299</v>
      </c>
      <c r="FY23" s="187" t="s">
        <v>110</v>
      </c>
      <c r="FZ23" s="187" t="s">
        <v>111</v>
      </c>
      <c r="GA23" s="187" t="s">
        <v>118</v>
      </c>
      <c r="GB23" s="187" t="s">
        <v>119</v>
      </c>
      <c r="GC23" s="187" t="s">
        <v>120</v>
      </c>
      <c r="GD23" s="187" t="s">
        <v>121</v>
      </c>
      <c r="GE23" s="187" t="s">
        <v>298</v>
      </c>
      <c r="GF23" s="187" t="s">
        <v>299</v>
      </c>
      <c r="GG23" s="187" t="s">
        <v>110</v>
      </c>
      <c r="GH23" s="187" t="s">
        <v>111</v>
      </c>
      <c r="GI23" s="187" t="s">
        <v>118</v>
      </c>
      <c r="GJ23" s="187" t="s">
        <v>119</v>
      </c>
      <c r="GK23" s="187" t="s">
        <v>120</v>
      </c>
      <c r="GL23" s="187" t="s">
        <v>121</v>
      </c>
      <c r="GM23" s="187" t="s">
        <v>298</v>
      </c>
      <c r="GN23" s="187" t="s">
        <v>299</v>
      </c>
      <c r="GO23" s="187" t="s">
        <v>110</v>
      </c>
      <c r="GP23" s="187" t="s">
        <v>111</v>
      </c>
      <c r="GQ23" s="187" t="s">
        <v>118</v>
      </c>
      <c r="GR23" s="187" t="s">
        <v>119</v>
      </c>
      <c r="GS23" s="187" t="s">
        <v>120</v>
      </c>
      <c r="GT23" s="187" t="s">
        <v>121</v>
      </c>
      <c r="GU23" s="187" t="s">
        <v>298</v>
      </c>
      <c r="GV23" s="187" t="s">
        <v>299</v>
      </c>
      <c r="GW23" s="187" t="s">
        <v>110</v>
      </c>
      <c r="GX23" s="187" t="s">
        <v>111</v>
      </c>
      <c r="GY23" s="187" t="s">
        <v>118</v>
      </c>
      <c r="GZ23" s="187" t="s">
        <v>119</v>
      </c>
      <c r="HA23" s="187" t="s">
        <v>120</v>
      </c>
      <c r="HB23" s="187" t="s">
        <v>121</v>
      </c>
      <c r="HC23" s="187" t="s">
        <v>298</v>
      </c>
      <c r="HD23" s="187" t="s">
        <v>299</v>
      </c>
      <c r="HE23" s="187" t="s">
        <v>110</v>
      </c>
      <c r="HF23" s="187" t="s">
        <v>111</v>
      </c>
      <c r="HG23" s="187" t="s">
        <v>118</v>
      </c>
      <c r="HH23" s="187" t="s">
        <v>119</v>
      </c>
      <c r="HI23" s="187" t="s">
        <v>120</v>
      </c>
      <c r="HJ23" s="187" t="s">
        <v>121</v>
      </c>
      <c r="HK23" s="187" t="s">
        <v>298</v>
      </c>
      <c r="HL23" s="187" t="s">
        <v>299</v>
      </c>
      <c r="HM23" s="187" t="s">
        <v>110</v>
      </c>
      <c r="HN23" s="187" t="s">
        <v>111</v>
      </c>
      <c r="HO23" s="187" t="s">
        <v>118</v>
      </c>
      <c r="HP23" s="187" t="s">
        <v>119</v>
      </c>
      <c r="HQ23" s="187" t="s">
        <v>120</v>
      </c>
      <c r="HR23" s="187" t="s">
        <v>121</v>
      </c>
      <c r="HS23" s="187" t="s">
        <v>298</v>
      </c>
      <c r="HT23" s="187" t="s">
        <v>299</v>
      </c>
      <c r="HU23" s="187" t="s">
        <v>110</v>
      </c>
      <c r="HV23" s="187" t="s">
        <v>111</v>
      </c>
      <c r="HW23" s="187" t="s">
        <v>118</v>
      </c>
      <c r="HX23" s="187" t="s">
        <v>119</v>
      </c>
      <c r="HY23" s="187" t="s">
        <v>120</v>
      </c>
      <c r="HZ23" s="187" t="s">
        <v>121</v>
      </c>
      <c r="IA23" s="187" t="s">
        <v>298</v>
      </c>
      <c r="IB23" s="187" t="s">
        <v>299</v>
      </c>
      <c r="IC23" s="187" t="s">
        <v>110</v>
      </c>
      <c r="ID23" s="187" t="s">
        <v>111</v>
      </c>
      <c r="IE23" s="187" t="s">
        <v>118</v>
      </c>
      <c r="IF23" s="187" t="s">
        <v>119</v>
      </c>
      <c r="IG23" s="187" t="s">
        <v>120</v>
      </c>
      <c r="IH23" s="187" t="s">
        <v>121</v>
      </c>
      <c r="II23" s="187" t="s">
        <v>298</v>
      </c>
      <c r="IJ23" s="187" t="s">
        <v>299</v>
      </c>
      <c r="IK23" s="187" t="s">
        <v>110</v>
      </c>
      <c r="IL23" s="187" t="s">
        <v>111</v>
      </c>
      <c r="IM23" s="187" t="s">
        <v>118</v>
      </c>
      <c r="IN23" s="187" t="s">
        <v>119</v>
      </c>
      <c r="IO23" s="187" t="s">
        <v>120</v>
      </c>
      <c r="IP23" s="187" t="s">
        <v>121</v>
      </c>
      <c r="IQ23" s="187" t="s">
        <v>298</v>
      </c>
      <c r="IR23" s="187" t="s">
        <v>299</v>
      </c>
      <c r="IS23" s="187" t="s">
        <v>110</v>
      </c>
      <c r="IT23" s="187" t="s">
        <v>111</v>
      </c>
      <c r="IU23" s="187" t="s">
        <v>118</v>
      </c>
      <c r="IV23" s="187" t="s">
        <v>119</v>
      </c>
      <c r="IW23" s="187" t="s">
        <v>120</v>
      </c>
      <c r="IX23" s="187" t="s">
        <v>121</v>
      </c>
      <c r="IY23" s="187" t="s">
        <v>298</v>
      </c>
      <c r="IZ23" s="187" t="s">
        <v>299</v>
      </c>
      <c r="JA23" s="187" t="s">
        <v>110</v>
      </c>
      <c r="JB23" s="187" t="s">
        <v>111</v>
      </c>
      <c r="JC23" s="187" t="s">
        <v>118</v>
      </c>
      <c r="JD23" s="187" t="s">
        <v>119</v>
      </c>
      <c r="JE23" s="187" t="s">
        <v>120</v>
      </c>
      <c r="JF23" s="187" t="s">
        <v>121</v>
      </c>
      <c r="JG23" s="187" t="s">
        <v>298</v>
      </c>
      <c r="JH23" s="187" t="s">
        <v>299</v>
      </c>
      <c r="JI23" s="187" t="s">
        <v>110</v>
      </c>
      <c r="JJ23" s="187" t="s">
        <v>111</v>
      </c>
      <c r="JK23" s="187" t="s">
        <v>118</v>
      </c>
      <c r="JL23" s="187" t="s">
        <v>119</v>
      </c>
      <c r="JM23" s="187" t="s">
        <v>120</v>
      </c>
      <c r="JN23" s="187" t="s">
        <v>121</v>
      </c>
      <c r="JO23" s="187" t="s">
        <v>298</v>
      </c>
      <c r="JP23" s="187" t="s">
        <v>299</v>
      </c>
      <c r="JQ23" s="187" t="s">
        <v>110</v>
      </c>
      <c r="JR23" s="187" t="s">
        <v>111</v>
      </c>
      <c r="JS23" s="187" t="s">
        <v>118</v>
      </c>
      <c r="JT23" s="187" t="s">
        <v>119</v>
      </c>
      <c r="JU23" s="187" t="s">
        <v>120</v>
      </c>
      <c r="JV23" s="187" t="s">
        <v>121</v>
      </c>
      <c r="JW23" s="187" t="s">
        <v>298</v>
      </c>
      <c r="JX23" s="187" t="s">
        <v>299</v>
      </c>
      <c r="JY23" s="187" t="s">
        <v>110</v>
      </c>
      <c r="JZ23" s="187" t="s">
        <v>111</v>
      </c>
      <c r="KA23" s="187" t="s">
        <v>118</v>
      </c>
      <c r="KB23" s="187" t="s">
        <v>119</v>
      </c>
      <c r="KC23" s="187" t="s">
        <v>120</v>
      </c>
      <c r="KD23" s="187" t="s">
        <v>121</v>
      </c>
      <c r="KE23" s="187" t="s">
        <v>298</v>
      </c>
      <c r="KF23" s="187" t="s">
        <v>299</v>
      </c>
      <c r="KG23" s="187" t="s">
        <v>110</v>
      </c>
      <c r="KH23" s="187" t="s">
        <v>111</v>
      </c>
      <c r="KI23" s="187" t="s">
        <v>118</v>
      </c>
      <c r="KJ23" s="187" t="s">
        <v>119</v>
      </c>
      <c r="KK23" s="187" t="s">
        <v>120</v>
      </c>
      <c r="KL23" s="187" t="s">
        <v>121</v>
      </c>
      <c r="KM23" s="187" t="s">
        <v>298</v>
      </c>
      <c r="KN23" s="187" t="s">
        <v>299</v>
      </c>
      <c r="KO23" s="187" t="s">
        <v>110</v>
      </c>
      <c r="KP23" s="187" t="s">
        <v>111</v>
      </c>
      <c r="KQ23" s="187" t="s">
        <v>118</v>
      </c>
      <c r="KR23" s="187" t="s">
        <v>119</v>
      </c>
      <c r="KS23" s="187" t="s">
        <v>120</v>
      </c>
      <c r="KT23" s="187" t="s">
        <v>121</v>
      </c>
      <c r="KU23" s="187" t="s">
        <v>298</v>
      </c>
      <c r="KV23" s="187" t="s">
        <v>299</v>
      </c>
      <c r="KW23" s="187" t="s">
        <v>110</v>
      </c>
      <c r="KX23" s="187" t="s">
        <v>111</v>
      </c>
      <c r="KY23" s="187" t="s">
        <v>118</v>
      </c>
      <c r="KZ23" s="187" t="s">
        <v>119</v>
      </c>
      <c r="LA23" s="187" t="s">
        <v>120</v>
      </c>
      <c r="LB23" s="187" t="s">
        <v>121</v>
      </c>
      <c r="LC23" s="187" t="s">
        <v>298</v>
      </c>
      <c r="LD23" s="187" t="s">
        <v>299</v>
      </c>
      <c r="LE23" s="187" t="s">
        <v>110</v>
      </c>
      <c r="LF23" s="187" t="s">
        <v>111</v>
      </c>
      <c r="LG23" s="187" t="s">
        <v>118</v>
      </c>
      <c r="LH23" s="187" t="s">
        <v>119</v>
      </c>
      <c r="LI23" s="187" t="s">
        <v>120</v>
      </c>
      <c r="LJ23" s="187" t="s">
        <v>121</v>
      </c>
      <c r="LK23" s="187" t="s">
        <v>298</v>
      </c>
      <c r="LL23" s="187" t="s">
        <v>299</v>
      </c>
      <c r="LM23" s="187" t="s">
        <v>110</v>
      </c>
      <c r="LN23" s="187" t="s">
        <v>111</v>
      </c>
      <c r="LO23" s="187" t="s">
        <v>118</v>
      </c>
      <c r="LP23" s="187" t="s">
        <v>119</v>
      </c>
      <c r="LQ23" s="187" t="s">
        <v>120</v>
      </c>
      <c r="LR23" s="187" t="s">
        <v>121</v>
      </c>
      <c r="LS23" s="187" t="s">
        <v>298</v>
      </c>
      <c r="LT23" s="187" t="s">
        <v>299</v>
      </c>
      <c r="LU23" s="187" t="s">
        <v>110</v>
      </c>
      <c r="LV23" s="187" t="s">
        <v>111</v>
      </c>
      <c r="LW23" s="187" t="s">
        <v>118</v>
      </c>
      <c r="LX23" s="187" t="s">
        <v>119</v>
      </c>
      <c r="LY23" s="187" t="s">
        <v>120</v>
      </c>
      <c r="LZ23" s="187" t="s">
        <v>121</v>
      </c>
      <c r="MA23" s="187" t="s">
        <v>298</v>
      </c>
      <c r="MB23" s="187" t="s">
        <v>299</v>
      </c>
      <c r="MC23" s="187" t="s">
        <v>110</v>
      </c>
      <c r="MD23" s="187" t="s">
        <v>111</v>
      </c>
      <c r="ME23" s="187" t="s">
        <v>118</v>
      </c>
      <c r="MF23" s="187" t="s">
        <v>119</v>
      </c>
      <c r="MG23" s="187" t="s">
        <v>120</v>
      </c>
      <c r="MH23" s="187" t="s">
        <v>121</v>
      </c>
      <c r="MI23" s="187" t="s">
        <v>298</v>
      </c>
      <c r="MJ23" s="187" t="s">
        <v>299</v>
      </c>
      <c r="MK23" s="187" t="s">
        <v>110</v>
      </c>
      <c r="ML23" s="187" t="s">
        <v>111</v>
      </c>
      <c r="MM23" s="187" t="s">
        <v>118</v>
      </c>
      <c r="MN23" s="187" t="s">
        <v>119</v>
      </c>
      <c r="MO23" s="187" t="s">
        <v>120</v>
      </c>
      <c r="MP23" s="187" t="s">
        <v>121</v>
      </c>
      <c r="MQ23" s="187" t="s">
        <v>298</v>
      </c>
      <c r="MR23" s="187" t="s">
        <v>299</v>
      </c>
      <c r="MS23" s="187" t="s">
        <v>110</v>
      </c>
      <c r="MT23" s="187" t="s">
        <v>111</v>
      </c>
      <c r="MU23" s="187" t="s">
        <v>118</v>
      </c>
      <c r="MV23" s="187" t="s">
        <v>119</v>
      </c>
      <c r="MW23" s="187" t="s">
        <v>120</v>
      </c>
      <c r="MX23" s="187" t="s">
        <v>121</v>
      </c>
      <c r="MY23" s="187" t="s">
        <v>298</v>
      </c>
      <c r="MZ23" s="187" t="s">
        <v>299</v>
      </c>
      <c r="NA23" s="187" t="s">
        <v>110</v>
      </c>
      <c r="NB23" s="187" t="s">
        <v>111</v>
      </c>
      <c r="NC23" s="187" t="s">
        <v>118</v>
      </c>
      <c r="ND23" s="187" t="s">
        <v>119</v>
      </c>
      <c r="NE23" s="187" t="s">
        <v>120</v>
      </c>
      <c r="NF23" s="187" t="s">
        <v>121</v>
      </c>
      <c r="NG23" s="187" t="s">
        <v>298</v>
      </c>
      <c r="NH23" s="187" t="s">
        <v>299</v>
      </c>
      <c r="NI23" s="187" t="s">
        <v>124</v>
      </c>
      <c r="NJ23" s="187" t="s">
        <v>125</v>
      </c>
      <c r="NK23" s="187" t="s">
        <v>126</v>
      </c>
      <c r="NL23" s="187" t="s">
        <v>244</v>
      </c>
      <c r="NM23" s="187" t="s">
        <v>245</v>
      </c>
      <c r="NN23" s="187" t="s">
        <v>246</v>
      </c>
      <c r="NO23" s="187" t="s">
        <v>247</v>
      </c>
      <c r="NP23" s="187" t="s">
        <v>248</v>
      </c>
    </row>
    <row r="24" spans="1:380" customFormat="1" x14ac:dyDescent="0.2">
      <c r="J24" s="149"/>
    </row>
    <row r="25" spans="1:380" customFormat="1" x14ac:dyDescent="0.2">
      <c r="J25" s="149"/>
    </row>
    <row r="26" spans="1:380" customFormat="1" x14ac:dyDescent="0.2">
      <c r="J26" s="149"/>
    </row>
    <row r="27" spans="1:380" customFormat="1" x14ac:dyDescent="0.2">
      <c r="J27" s="149"/>
    </row>
    <row r="28" spans="1:380" customFormat="1" x14ac:dyDescent="0.2">
      <c r="J28" s="149"/>
    </row>
    <row r="29" spans="1:380" customFormat="1" x14ac:dyDescent="0.2">
      <c r="J29" s="149"/>
    </row>
    <row r="30" spans="1:380" customFormat="1" x14ac:dyDescent="0.2">
      <c r="J30" s="149"/>
    </row>
    <row r="31" spans="1:380" customFormat="1" x14ac:dyDescent="0.2">
      <c r="J31" s="149"/>
    </row>
    <row r="32" spans="1:380" customFormat="1" x14ac:dyDescent="0.2">
      <c r="J32" s="149"/>
    </row>
    <row r="33" spans="10:10" customFormat="1" x14ac:dyDescent="0.2">
      <c r="J33" s="149"/>
    </row>
    <row r="34" spans="10:10" customFormat="1" x14ac:dyDescent="0.2">
      <c r="J34" s="149"/>
    </row>
    <row r="35" spans="10:10" customFormat="1" x14ac:dyDescent="0.2">
      <c r="J35" s="149"/>
    </row>
    <row r="36" spans="10:10" customFormat="1" x14ac:dyDescent="0.2">
      <c r="J36" s="149"/>
    </row>
    <row r="37" spans="10:10" customFormat="1" x14ac:dyDescent="0.2">
      <c r="J37" s="149"/>
    </row>
    <row r="38" spans="10:10" customFormat="1" x14ac:dyDescent="0.2">
      <c r="J38" s="149"/>
    </row>
    <row r="39" spans="10:10" customFormat="1" x14ac:dyDescent="0.2">
      <c r="J39" s="149"/>
    </row>
    <row r="40" spans="10:10" customFormat="1" x14ac:dyDescent="0.2">
      <c r="J40" s="149"/>
    </row>
    <row r="41" spans="10:10" customFormat="1" x14ac:dyDescent="0.2">
      <c r="J41" s="149"/>
    </row>
    <row r="42" spans="10:10" s="250" customFormat="1" x14ac:dyDescent="0.2">
      <c r="J42" s="251"/>
    </row>
    <row r="43" spans="10:10" s="250" customFormat="1" x14ac:dyDescent="0.2">
      <c r="J43" s="251"/>
    </row>
    <row r="44" spans="10:10" customFormat="1" x14ac:dyDescent="0.2">
      <c r="J44" s="149"/>
    </row>
    <row r="45" spans="10:10" customFormat="1" x14ac:dyDescent="0.2">
      <c r="J45" s="149"/>
    </row>
    <row r="46" spans="10:10" customFormat="1" x14ac:dyDescent="0.2">
      <c r="J46" s="149"/>
    </row>
    <row r="47" spans="10:10" customFormat="1" x14ac:dyDescent="0.2">
      <c r="J47" s="149"/>
    </row>
    <row r="48" spans="10:10" customFormat="1" x14ac:dyDescent="0.2">
      <c r="J48" s="149"/>
    </row>
    <row r="49" spans="10:10" customFormat="1" x14ac:dyDescent="0.2">
      <c r="J49" s="149"/>
    </row>
    <row r="50" spans="10:10" customFormat="1" x14ac:dyDescent="0.2">
      <c r="J50" s="149"/>
    </row>
    <row r="51" spans="10:10" customFormat="1" x14ac:dyDescent="0.2">
      <c r="J51" s="149"/>
    </row>
    <row r="52" spans="10:10" customFormat="1" x14ac:dyDescent="0.2">
      <c r="J52" s="149"/>
    </row>
    <row r="53" spans="10:10" customFormat="1" x14ac:dyDescent="0.2">
      <c r="J53" s="149"/>
    </row>
    <row r="54" spans="10:10" customFormat="1" x14ac:dyDescent="0.2">
      <c r="J54" s="149"/>
    </row>
    <row r="55" spans="10:10" customFormat="1" x14ac:dyDescent="0.2">
      <c r="J55" s="149"/>
    </row>
    <row r="56" spans="10:10" customFormat="1" x14ac:dyDescent="0.2">
      <c r="J56" s="149"/>
    </row>
    <row r="57" spans="10:10" customFormat="1" x14ac:dyDescent="0.2">
      <c r="J57" s="149"/>
    </row>
    <row r="58" spans="10:10" customFormat="1" x14ac:dyDescent="0.2">
      <c r="J58" s="149"/>
    </row>
    <row r="59" spans="10:10" customFormat="1" x14ac:dyDescent="0.2">
      <c r="J59" s="149"/>
    </row>
    <row r="60" spans="10:10" customFormat="1" x14ac:dyDescent="0.2">
      <c r="J60" s="149"/>
    </row>
    <row r="61" spans="10:10" customFormat="1" x14ac:dyDescent="0.2">
      <c r="J61" s="149"/>
    </row>
    <row r="62" spans="10:10" customFormat="1" x14ac:dyDescent="0.2">
      <c r="J62" s="149"/>
    </row>
    <row r="63" spans="10:10" customFormat="1" x14ac:dyDescent="0.2">
      <c r="J63" s="149"/>
    </row>
    <row r="64" spans="10:10" customFormat="1" x14ac:dyDescent="0.2">
      <c r="J64" s="149"/>
    </row>
    <row r="65" spans="10:10" customFormat="1" x14ac:dyDescent="0.2">
      <c r="J65" s="149"/>
    </row>
    <row r="66" spans="10:10" customFormat="1" x14ac:dyDescent="0.2">
      <c r="J66" s="149"/>
    </row>
    <row r="67" spans="10:10" customFormat="1" x14ac:dyDescent="0.2">
      <c r="J67" s="149"/>
    </row>
    <row r="68" spans="10:10" customFormat="1" x14ac:dyDescent="0.2">
      <c r="J68" s="149"/>
    </row>
    <row r="69" spans="10:10" customFormat="1" x14ac:dyDescent="0.2">
      <c r="J69" s="149"/>
    </row>
    <row r="70" spans="10:10" customFormat="1" x14ac:dyDescent="0.2">
      <c r="J70" s="149"/>
    </row>
    <row r="71" spans="10:10" customFormat="1" x14ac:dyDescent="0.2">
      <c r="J71" s="149"/>
    </row>
    <row r="72" spans="10:10" customFormat="1" x14ac:dyDescent="0.2">
      <c r="J72" s="149"/>
    </row>
    <row r="73" spans="10:10" customFormat="1" x14ac:dyDescent="0.2">
      <c r="J73" s="149"/>
    </row>
    <row r="74" spans="10:10" customFormat="1" x14ac:dyDescent="0.2">
      <c r="J74" s="149"/>
    </row>
    <row r="75" spans="10:10" customFormat="1" x14ac:dyDescent="0.2">
      <c r="J75" s="149"/>
    </row>
    <row r="76" spans="10:10" customFormat="1" x14ac:dyDescent="0.2">
      <c r="J76" s="149"/>
    </row>
    <row r="77" spans="10:10" customFormat="1" x14ac:dyDescent="0.2">
      <c r="J77" s="149"/>
    </row>
    <row r="78" spans="10:10" customFormat="1" x14ac:dyDescent="0.2">
      <c r="J78" s="149"/>
    </row>
    <row r="79" spans="10:10" customFormat="1" x14ac:dyDescent="0.2">
      <c r="J79" s="149"/>
    </row>
    <row r="80" spans="10:10" customFormat="1" x14ac:dyDescent="0.2">
      <c r="J80" s="149"/>
    </row>
    <row r="81" spans="10:10" customFormat="1" x14ac:dyDescent="0.2">
      <c r="J81" s="149"/>
    </row>
    <row r="82" spans="10:10" customFormat="1" x14ac:dyDescent="0.2">
      <c r="J82" s="149"/>
    </row>
    <row r="83" spans="10:10" customFormat="1" x14ac:dyDescent="0.2">
      <c r="J83" s="149"/>
    </row>
    <row r="84" spans="10:10" x14ac:dyDescent="0.2">
      <c r="J84" s="61"/>
    </row>
    <row r="85" spans="10:10" x14ac:dyDescent="0.2">
      <c r="J85" s="61"/>
    </row>
    <row r="86" spans="10:10" x14ac:dyDescent="0.2">
      <c r="J86" s="61"/>
    </row>
    <row r="87" spans="10:10" x14ac:dyDescent="0.2">
      <c r="J87" s="61"/>
    </row>
    <row r="88" spans="10:10" x14ac:dyDescent="0.2">
      <c r="J88" s="61"/>
    </row>
    <row r="89" spans="10:10" x14ac:dyDescent="0.2">
      <c r="J89" s="61"/>
    </row>
    <row r="90" spans="10:10" x14ac:dyDescent="0.2">
      <c r="J90" s="61"/>
    </row>
    <row r="91" spans="10:10" x14ac:dyDescent="0.2">
      <c r="J91" s="61"/>
    </row>
    <row r="92" spans="10:10" x14ac:dyDescent="0.2">
      <c r="J92" s="61"/>
    </row>
    <row r="93" spans="10:10" x14ac:dyDescent="0.2">
      <c r="J93" s="61"/>
    </row>
    <row r="94" spans="10:10" x14ac:dyDescent="0.2">
      <c r="J94" s="61"/>
    </row>
    <row r="95" spans="10:10" x14ac:dyDescent="0.2">
      <c r="J95" s="61"/>
    </row>
    <row r="96" spans="10:10" x14ac:dyDescent="0.2">
      <c r="J96" s="61"/>
    </row>
    <row r="97" spans="1:90" x14ac:dyDescent="0.2">
      <c r="J97" s="61"/>
    </row>
    <row r="98" spans="1:90" x14ac:dyDescent="0.2">
      <c r="J98" s="61"/>
    </row>
    <row r="99" spans="1:90" x14ac:dyDescent="0.2">
      <c r="J99" s="61"/>
    </row>
    <row r="100" spans="1:90" x14ac:dyDescent="0.2">
      <c r="J100" s="61"/>
    </row>
    <row r="101" spans="1:90" x14ac:dyDescent="0.2">
      <c r="J101" s="61"/>
    </row>
    <row r="102" spans="1:90" x14ac:dyDescent="0.2">
      <c r="J102" s="61"/>
    </row>
    <row r="103" spans="1:90" x14ac:dyDescent="0.2">
      <c r="J103" s="61"/>
    </row>
    <row r="104" spans="1:90" x14ac:dyDescent="0.2">
      <c r="A104" s="97"/>
      <c r="B104" s="97"/>
      <c r="C104" s="97"/>
      <c r="D104" s="97"/>
      <c r="E104" s="97"/>
      <c r="F104" s="97"/>
      <c r="G104" s="97"/>
      <c r="H104" s="97"/>
      <c r="I104" s="97"/>
      <c r="J104" s="98"/>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97"/>
      <c r="AS104" s="97"/>
      <c r="AT104" s="97"/>
      <c r="AU104" s="97"/>
      <c r="AV104" s="97"/>
      <c r="AW104" s="97"/>
      <c r="AX104" s="97"/>
      <c r="AY104" s="97"/>
      <c r="AZ104" s="97"/>
      <c r="BA104" s="97"/>
      <c r="BB104" s="97"/>
      <c r="BC104" s="97"/>
      <c r="BD104" s="97"/>
      <c r="BE104" s="97"/>
      <c r="BF104" s="97"/>
      <c r="BG104" s="97"/>
      <c r="BH104" s="97"/>
      <c r="BI104" s="97"/>
      <c r="BJ104" s="97"/>
      <c r="BK104" s="97"/>
      <c r="BL104" s="97"/>
      <c r="BM104" s="97"/>
      <c r="BN104" s="97"/>
      <c r="BO104" s="97"/>
      <c r="BP104" s="97"/>
      <c r="BQ104" s="97"/>
      <c r="BR104" s="97"/>
      <c r="BS104" s="97"/>
      <c r="BT104" s="97"/>
      <c r="BU104" s="97"/>
      <c r="BV104" s="97"/>
      <c r="BW104" s="97"/>
      <c r="BX104" s="97"/>
      <c r="BY104" s="97"/>
      <c r="BZ104" s="97"/>
      <c r="CA104" s="97"/>
      <c r="CB104" s="97"/>
      <c r="CC104" s="97"/>
      <c r="CD104" s="97"/>
      <c r="CE104" s="97"/>
      <c r="CF104" s="97"/>
      <c r="CG104" s="97"/>
      <c r="CH104" s="97"/>
      <c r="CI104" s="97"/>
      <c r="CJ104" s="97"/>
      <c r="CK104" s="97"/>
      <c r="CL104" s="97"/>
    </row>
    <row r="105" spans="1:90" x14ac:dyDescent="0.2">
      <c r="A105" s="97"/>
      <c r="B105" s="97"/>
      <c r="C105" s="97"/>
      <c r="D105" s="97"/>
      <c r="E105" s="97"/>
      <c r="F105" s="97"/>
      <c r="G105" s="97"/>
      <c r="H105" s="97"/>
      <c r="I105" s="97"/>
      <c r="J105" s="98"/>
      <c r="K105" s="97"/>
      <c r="L105" s="97"/>
      <c r="M105" s="97"/>
      <c r="N105" s="97"/>
      <c r="O105" s="97"/>
      <c r="P105" s="97"/>
      <c r="Q105" s="97"/>
      <c r="R105" s="97"/>
      <c r="S105" s="97"/>
      <c r="T105" s="97"/>
      <c r="U105" s="97"/>
      <c r="V105" s="97"/>
      <c r="W105" s="97"/>
      <c r="X105" s="97"/>
      <c r="Y105" s="97"/>
      <c r="Z105" s="97"/>
      <c r="AA105" s="97"/>
      <c r="AB105" s="97"/>
      <c r="AC105" s="97"/>
      <c r="AD105" s="97"/>
      <c r="AE105" s="97"/>
      <c r="AF105" s="97"/>
      <c r="AG105" s="97"/>
      <c r="AH105" s="97"/>
      <c r="AI105" s="97"/>
      <c r="AJ105" s="97"/>
      <c r="AK105" s="97"/>
      <c r="AL105" s="97"/>
      <c r="AM105" s="97"/>
      <c r="AN105" s="97"/>
      <c r="AO105" s="97"/>
      <c r="AP105" s="97"/>
      <c r="AQ105" s="97"/>
      <c r="AR105" s="97"/>
      <c r="AS105" s="97"/>
      <c r="AT105" s="97"/>
      <c r="AU105" s="97"/>
      <c r="AV105" s="97"/>
      <c r="AW105" s="97"/>
      <c r="AX105" s="97"/>
      <c r="AY105" s="97"/>
      <c r="AZ105" s="97"/>
      <c r="BA105" s="97"/>
      <c r="BB105" s="97"/>
      <c r="BC105" s="97"/>
      <c r="BD105" s="97"/>
      <c r="BE105" s="97"/>
      <c r="BF105" s="97"/>
      <c r="BG105" s="97"/>
      <c r="BH105" s="97"/>
      <c r="BI105" s="97"/>
      <c r="BJ105" s="97"/>
      <c r="BK105" s="97"/>
      <c r="BL105" s="97"/>
      <c r="BM105" s="97"/>
      <c r="BN105" s="97"/>
      <c r="BO105" s="97"/>
      <c r="BP105" s="97"/>
      <c r="BQ105" s="97"/>
      <c r="BR105" s="97"/>
      <c r="BS105" s="97"/>
      <c r="BT105" s="97"/>
      <c r="BU105" s="97"/>
      <c r="BV105" s="97"/>
      <c r="BW105" s="97"/>
      <c r="BX105" s="97"/>
      <c r="BY105" s="97"/>
      <c r="BZ105" s="97"/>
      <c r="CA105" s="97"/>
      <c r="CB105" s="97"/>
      <c r="CC105" s="97"/>
      <c r="CD105" s="97"/>
      <c r="CE105" s="97"/>
      <c r="CF105" s="97"/>
      <c r="CG105" s="97"/>
      <c r="CH105" s="97"/>
      <c r="CI105" s="97"/>
      <c r="CJ105" s="97"/>
      <c r="CK105" s="97"/>
      <c r="CL105" s="97"/>
    </row>
    <row r="106" spans="1:90" x14ac:dyDescent="0.2">
      <c r="A106" s="97"/>
      <c r="B106" s="97"/>
      <c r="C106" s="97"/>
      <c r="D106" s="97"/>
      <c r="E106" s="97"/>
      <c r="F106" s="97"/>
      <c r="G106" s="97"/>
      <c r="H106" s="97"/>
      <c r="I106" s="97"/>
      <c r="J106" s="98"/>
      <c r="K106" s="97"/>
      <c r="L106" s="97"/>
      <c r="M106" s="97"/>
      <c r="N106" s="97"/>
      <c r="O106" s="97"/>
      <c r="P106" s="97"/>
      <c r="Q106" s="97"/>
      <c r="R106" s="97"/>
      <c r="S106" s="97"/>
      <c r="T106" s="97"/>
      <c r="U106" s="97"/>
      <c r="V106" s="97"/>
      <c r="W106" s="97"/>
      <c r="X106" s="97"/>
      <c r="Y106" s="97"/>
      <c r="Z106" s="97"/>
      <c r="AA106" s="97"/>
      <c r="AB106" s="97"/>
      <c r="AC106" s="97"/>
      <c r="AD106" s="97"/>
      <c r="AE106" s="97"/>
      <c r="AF106" s="97"/>
      <c r="AG106" s="97"/>
      <c r="AH106" s="97"/>
      <c r="AI106" s="97"/>
      <c r="AJ106" s="97"/>
      <c r="AK106" s="97"/>
      <c r="AL106" s="97"/>
      <c r="AM106" s="97"/>
      <c r="AN106" s="97"/>
      <c r="AO106" s="97"/>
      <c r="AP106" s="97"/>
      <c r="AQ106" s="97"/>
      <c r="AR106" s="97"/>
      <c r="AS106" s="97"/>
      <c r="AT106" s="97"/>
      <c r="AU106" s="97"/>
      <c r="AV106" s="97"/>
      <c r="AW106" s="97"/>
      <c r="AX106" s="97"/>
      <c r="AY106" s="97"/>
      <c r="AZ106" s="97"/>
      <c r="BA106" s="97"/>
      <c r="BB106" s="97"/>
      <c r="BC106" s="97"/>
      <c r="BD106" s="97"/>
      <c r="BE106" s="97"/>
      <c r="BF106" s="97"/>
      <c r="BG106" s="97"/>
      <c r="BH106" s="97"/>
      <c r="BI106" s="97"/>
      <c r="BJ106" s="97"/>
      <c r="BK106" s="97"/>
      <c r="BL106" s="97"/>
      <c r="BM106" s="97"/>
      <c r="BN106" s="97"/>
      <c r="BO106" s="97"/>
      <c r="BP106" s="97"/>
      <c r="BQ106" s="97"/>
      <c r="BR106" s="97"/>
      <c r="BS106" s="97"/>
      <c r="BT106" s="97"/>
      <c r="BU106" s="97"/>
      <c r="BV106" s="97"/>
      <c r="BW106" s="97"/>
      <c r="BX106" s="97"/>
      <c r="BY106" s="97"/>
      <c r="BZ106" s="97"/>
      <c r="CA106" s="97"/>
      <c r="CB106" s="97"/>
      <c r="CC106" s="97"/>
      <c r="CD106" s="97"/>
      <c r="CE106" s="97"/>
      <c r="CF106" s="97"/>
      <c r="CG106" s="97"/>
      <c r="CH106" s="97"/>
      <c r="CI106" s="97"/>
      <c r="CJ106" s="97"/>
      <c r="CK106" s="97"/>
      <c r="CL106" s="97"/>
    </row>
    <row r="107" spans="1:90" x14ac:dyDescent="0.2">
      <c r="A107" s="97"/>
      <c r="B107" s="97"/>
      <c r="C107" s="97"/>
      <c r="D107" s="97"/>
      <c r="E107" s="97"/>
      <c r="F107" s="97"/>
      <c r="G107" s="97"/>
      <c r="H107" s="97"/>
      <c r="I107" s="97"/>
      <c r="J107" s="98"/>
      <c r="K107" s="97"/>
      <c r="L107" s="97"/>
      <c r="M107" s="97"/>
      <c r="N107" s="97"/>
      <c r="O107" s="97"/>
      <c r="P107" s="97"/>
      <c r="Q107" s="97"/>
      <c r="R107" s="97"/>
      <c r="S107" s="97"/>
      <c r="T107" s="97"/>
      <c r="U107" s="97"/>
      <c r="V107" s="97"/>
      <c r="W107" s="97"/>
      <c r="X107" s="97"/>
      <c r="Y107" s="97"/>
      <c r="Z107" s="97"/>
      <c r="AA107" s="97"/>
      <c r="AB107" s="97"/>
      <c r="AC107" s="97"/>
      <c r="AD107" s="97"/>
      <c r="AE107" s="97"/>
      <c r="AF107" s="97"/>
      <c r="AG107" s="97"/>
      <c r="AH107" s="97"/>
      <c r="AI107" s="97"/>
      <c r="AJ107" s="97"/>
      <c r="AK107" s="97"/>
      <c r="AL107" s="97"/>
      <c r="AM107" s="97"/>
      <c r="AN107" s="97"/>
      <c r="AO107" s="97"/>
      <c r="AP107" s="97"/>
      <c r="AQ107" s="97"/>
      <c r="AR107" s="97"/>
      <c r="AS107" s="97"/>
      <c r="AT107" s="97"/>
      <c r="AU107" s="97"/>
      <c r="AV107" s="97"/>
      <c r="AW107" s="97"/>
      <c r="AX107" s="97"/>
      <c r="AY107" s="97"/>
      <c r="AZ107" s="97"/>
      <c r="BA107" s="97"/>
      <c r="BB107" s="97"/>
      <c r="BC107" s="97"/>
      <c r="BD107" s="97"/>
      <c r="BE107" s="97"/>
      <c r="BF107" s="97"/>
      <c r="BG107" s="97"/>
      <c r="BH107" s="97"/>
      <c r="BI107" s="97"/>
      <c r="BJ107" s="97"/>
      <c r="BK107" s="97"/>
      <c r="BL107" s="97"/>
      <c r="BM107" s="97"/>
      <c r="BN107" s="97"/>
      <c r="BO107" s="97"/>
      <c r="BP107" s="97"/>
      <c r="BQ107" s="97"/>
      <c r="BR107" s="97"/>
      <c r="BS107" s="97"/>
      <c r="BT107" s="97"/>
      <c r="BU107" s="97"/>
      <c r="BV107" s="97"/>
      <c r="BW107" s="97"/>
      <c r="BX107" s="97"/>
      <c r="BY107" s="97"/>
      <c r="BZ107" s="97"/>
      <c r="CA107" s="97"/>
      <c r="CB107" s="97"/>
      <c r="CC107" s="97"/>
      <c r="CD107" s="97"/>
      <c r="CE107" s="97"/>
      <c r="CF107" s="97"/>
      <c r="CG107" s="97"/>
      <c r="CH107" s="97"/>
      <c r="CI107" s="97"/>
      <c r="CJ107" s="97"/>
      <c r="CK107" s="97"/>
      <c r="CL107" s="97"/>
    </row>
    <row r="108" spans="1:90" x14ac:dyDescent="0.2">
      <c r="A108" s="97"/>
      <c r="B108" s="97"/>
      <c r="C108" s="97"/>
      <c r="D108" s="97"/>
      <c r="E108" s="97"/>
      <c r="F108" s="97"/>
      <c r="G108" s="97"/>
      <c r="H108" s="97"/>
      <c r="I108" s="97"/>
      <c r="J108" s="98"/>
      <c r="K108" s="97"/>
      <c r="L108" s="97"/>
      <c r="M108" s="97"/>
      <c r="N108" s="97"/>
      <c r="O108" s="97"/>
      <c r="P108" s="97"/>
      <c r="Q108" s="97"/>
      <c r="R108" s="97"/>
      <c r="S108" s="97"/>
      <c r="T108" s="97"/>
      <c r="U108" s="97"/>
      <c r="V108" s="97"/>
      <c r="W108" s="97"/>
      <c r="X108" s="97"/>
      <c r="Y108" s="97"/>
      <c r="Z108" s="97"/>
      <c r="AA108" s="97"/>
      <c r="AB108" s="97"/>
      <c r="AC108" s="97"/>
      <c r="AD108" s="97"/>
      <c r="AE108" s="97"/>
      <c r="AF108" s="97"/>
      <c r="AG108" s="97"/>
      <c r="AH108" s="97"/>
      <c r="AI108" s="97"/>
      <c r="AJ108" s="97"/>
      <c r="AK108" s="97"/>
      <c r="AL108" s="97"/>
      <c r="AM108" s="97"/>
      <c r="AN108" s="97"/>
      <c r="AO108" s="97"/>
      <c r="AP108" s="97"/>
      <c r="AQ108" s="97"/>
      <c r="AR108" s="97"/>
      <c r="AS108" s="97"/>
      <c r="AT108" s="97"/>
      <c r="AU108" s="97"/>
      <c r="AV108" s="97"/>
      <c r="AW108" s="97"/>
      <c r="AX108" s="97"/>
      <c r="AY108" s="97"/>
      <c r="AZ108" s="97"/>
      <c r="BA108" s="97"/>
      <c r="BB108" s="97"/>
      <c r="BC108" s="97"/>
      <c r="BD108" s="97"/>
      <c r="BE108" s="97"/>
      <c r="BF108" s="97"/>
      <c r="BG108" s="97"/>
      <c r="BH108" s="97"/>
      <c r="BI108" s="97"/>
      <c r="BJ108" s="97"/>
      <c r="BK108" s="97"/>
      <c r="BL108" s="97"/>
      <c r="BM108" s="97"/>
      <c r="BN108" s="97"/>
      <c r="BO108" s="97"/>
      <c r="BP108" s="97"/>
      <c r="BQ108" s="97"/>
      <c r="BR108" s="97"/>
      <c r="BS108" s="97"/>
      <c r="BT108" s="97"/>
      <c r="BU108" s="97"/>
      <c r="BV108" s="97"/>
      <c r="BW108" s="97"/>
      <c r="BX108" s="97"/>
      <c r="BY108" s="97"/>
      <c r="BZ108" s="97"/>
      <c r="CA108" s="97"/>
      <c r="CB108" s="97"/>
      <c r="CC108" s="97"/>
      <c r="CD108" s="97"/>
      <c r="CE108" s="97"/>
      <c r="CF108" s="97"/>
      <c r="CG108" s="97"/>
      <c r="CH108" s="97"/>
      <c r="CI108" s="97"/>
      <c r="CJ108" s="97"/>
      <c r="CK108" s="97"/>
      <c r="CL108" s="97"/>
    </row>
    <row r="109" spans="1:90" x14ac:dyDescent="0.2">
      <c r="A109" s="97"/>
      <c r="B109" s="97"/>
      <c r="C109" s="97"/>
      <c r="D109" s="97"/>
      <c r="E109" s="97"/>
      <c r="F109" s="97"/>
      <c r="G109" s="97"/>
      <c r="H109" s="97"/>
      <c r="I109" s="97"/>
      <c r="J109" s="98"/>
      <c r="K109" s="97"/>
      <c r="L109" s="97"/>
      <c r="M109" s="97"/>
      <c r="N109" s="97"/>
      <c r="O109" s="97"/>
      <c r="P109" s="97"/>
      <c r="Q109" s="97"/>
      <c r="R109" s="97"/>
      <c r="S109" s="97"/>
      <c r="T109" s="97"/>
      <c r="U109" s="97"/>
      <c r="V109" s="97"/>
      <c r="W109" s="97"/>
      <c r="X109" s="97"/>
      <c r="Y109" s="97"/>
      <c r="Z109" s="97"/>
      <c r="AA109" s="97"/>
      <c r="AB109" s="97"/>
      <c r="AC109" s="97"/>
      <c r="AD109" s="97"/>
      <c r="AE109" s="97"/>
      <c r="AF109" s="97"/>
      <c r="AG109" s="97"/>
      <c r="AH109" s="97"/>
      <c r="AI109" s="97"/>
      <c r="AJ109" s="97"/>
      <c r="AK109" s="97"/>
      <c r="AL109" s="97"/>
      <c r="AM109" s="97"/>
      <c r="AN109" s="97"/>
      <c r="AO109" s="97"/>
      <c r="AP109" s="97"/>
      <c r="AQ109" s="97"/>
      <c r="AR109" s="97"/>
      <c r="AS109" s="97"/>
      <c r="AT109" s="97"/>
      <c r="AU109" s="97"/>
      <c r="AV109" s="97"/>
      <c r="AW109" s="97"/>
      <c r="AX109" s="97"/>
      <c r="AY109" s="97"/>
      <c r="AZ109" s="97"/>
      <c r="BA109" s="97"/>
      <c r="BB109" s="97"/>
      <c r="BC109" s="97"/>
      <c r="BD109" s="97"/>
      <c r="BE109" s="97"/>
      <c r="BF109" s="97"/>
      <c r="BG109" s="97"/>
      <c r="BH109" s="97"/>
      <c r="BI109" s="97"/>
      <c r="BJ109" s="97"/>
      <c r="BK109" s="97"/>
      <c r="BL109" s="97"/>
      <c r="BM109" s="97"/>
      <c r="BN109" s="97"/>
      <c r="BO109" s="97"/>
      <c r="BP109" s="97"/>
      <c r="BQ109" s="97"/>
      <c r="BR109" s="97"/>
      <c r="BS109" s="97"/>
      <c r="BT109" s="97"/>
      <c r="BU109" s="97"/>
      <c r="BV109" s="97"/>
      <c r="BW109" s="97"/>
      <c r="BX109" s="97"/>
      <c r="BY109" s="97"/>
      <c r="BZ109" s="97"/>
      <c r="CA109" s="97"/>
      <c r="CB109" s="97"/>
      <c r="CC109" s="97"/>
      <c r="CD109" s="97"/>
      <c r="CE109" s="97"/>
      <c r="CF109" s="97"/>
      <c r="CG109" s="97"/>
      <c r="CH109" s="97"/>
      <c r="CI109" s="97"/>
      <c r="CJ109" s="97"/>
      <c r="CK109" s="97"/>
      <c r="CL109" s="97"/>
    </row>
    <row r="110" spans="1:90" x14ac:dyDescent="0.2">
      <c r="A110" s="97"/>
      <c r="B110" s="97"/>
      <c r="C110" s="97"/>
      <c r="D110" s="97"/>
      <c r="E110" s="97"/>
      <c r="F110" s="97"/>
      <c r="G110" s="97"/>
      <c r="H110" s="97"/>
      <c r="I110" s="97"/>
      <c r="J110" s="98"/>
      <c r="K110" s="97"/>
      <c r="L110" s="97"/>
      <c r="M110" s="97"/>
      <c r="N110" s="97"/>
      <c r="O110" s="97"/>
      <c r="P110" s="97"/>
      <c r="Q110" s="97"/>
      <c r="R110" s="97"/>
      <c r="S110" s="97"/>
      <c r="T110" s="97"/>
      <c r="U110" s="97"/>
      <c r="V110" s="97"/>
      <c r="W110" s="97"/>
      <c r="X110" s="97"/>
      <c r="Y110" s="97"/>
      <c r="Z110" s="97"/>
      <c r="AA110" s="97"/>
      <c r="AB110" s="97"/>
      <c r="AC110" s="97"/>
      <c r="AD110" s="97"/>
      <c r="AE110" s="97"/>
      <c r="AF110" s="97"/>
      <c r="AG110" s="97"/>
      <c r="AH110" s="97"/>
      <c r="AI110" s="97"/>
      <c r="AJ110" s="97"/>
      <c r="AK110" s="97"/>
      <c r="AL110" s="97"/>
      <c r="AM110" s="97"/>
      <c r="AN110" s="97"/>
      <c r="AO110" s="97"/>
      <c r="AP110" s="97"/>
      <c r="AQ110" s="97"/>
      <c r="AR110" s="97"/>
      <c r="AS110" s="97"/>
      <c r="AT110" s="97"/>
      <c r="AU110" s="97"/>
      <c r="AV110" s="97"/>
      <c r="AW110" s="97"/>
      <c r="AX110" s="97"/>
      <c r="AY110" s="97"/>
      <c r="AZ110" s="97"/>
      <c r="BA110" s="97"/>
      <c r="BB110" s="97"/>
      <c r="BC110" s="97"/>
      <c r="BD110" s="97"/>
      <c r="BE110" s="97"/>
      <c r="BF110" s="97"/>
      <c r="BG110" s="97"/>
      <c r="BH110" s="97"/>
      <c r="BI110" s="97"/>
      <c r="BJ110" s="97"/>
      <c r="BK110" s="97"/>
      <c r="BL110" s="97"/>
      <c r="BM110" s="97"/>
      <c r="BN110" s="97"/>
      <c r="BO110" s="97"/>
      <c r="BP110" s="97"/>
      <c r="BQ110" s="97"/>
      <c r="BR110" s="97"/>
      <c r="BS110" s="97"/>
      <c r="BT110" s="97"/>
      <c r="BU110" s="97"/>
      <c r="BV110" s="97"/>
      <c r="BW110" s="97"/>
      <c r="BX110" s="97"/>
      <c r="BY110" s="97"/>
      <c r="BZ110" s="97"/>
      <c r="CA110" s="97"/>
      <c r="CB110" s="97"/>
      <c r="CC110" s="97"/>
      <c r="CD110" s="97"/>
      <c r="CE110" s="97"/>
      <c r="CF110" s="97"/>
      <c r="CG110" s="97"/>
      <c r="CH110" s="97"/>
      <c r="CI110" s="97"/>
      <c r="CJ110" s="97"/>
      <c r="CK110" s="97"/>
      <c r="CL110" s="97"/>
    </row>
    <row r="111" spans="1:90" x14ac:dyDescent="0.2">
      <c r="A111" s="97"/>
      <c r="B111" s="97"/>
      <c r="C111" s="97"/>
      <c r="D111" s="97"/>
      <c r="E111" s="97"/>
      <c r="F111" s="97"/>
      <c r="G111" s="97"/>
      <c r="H111" s="97"/>
      <c r="I111" s="97"/>
      <c r="J111" s="98"/>
      <c r="K111" s="97"/>
      <c r="L111" s="97"/>
      <c r="M111" s="97"/>
      <c r="N111" s="97"/>
      <c r="O111" s="97"/>
      <c r="P111" s="97"/>
      <c r="Q111" s="97"/>
      <c r="R111" s="97"/>
      <c r="S111" s="97"/>
      <c r="T111" s="97"/>
      <c r="U111" s="97"/>
      <c r="V111" s="97"/>
      <c r="W111" s="97"/>
      <c r="X111" s="97"/>
      <c r="Y111" s="97"/>
      <c r="Z111" s="97"/>
      <c r="AA111" s="97"/>
      <c r="AB111" s="97"/>
      <c r="AC111" s="97"/>
      <c r="AD111" s="97"/>
      <c r="AE111" s="97"/>
      <c r="AF111" s="97"/>
      <c r="AG111" s="97"/>
      <c r="AH111" s="97"/>
      <c r="AI111" s="97"/>
      <c r="AJ111" s="97"/>
      <c r="AK111" s="97"/>
      <c r="AL111" s="97"/>
      <c r="AM111" s="97"/>
      <c r="AN111" s="97"/>
      <c r="AO111" s="97"/>
      <c r="AP111" s="97"/>
      <c r="AQ111" s="97"/>
      <c r="AR111" s="97"/>
      <c r="AS111" s="97"/>
      <c r="AT111" s="97"/>
      <c r="AU111" s="97"/>
      <c r="AV111" s="97"/>
      <c r="AW111" s="97"/>
      <c r="AX111" s="97"/>
      <c r="AY111" s="97"/>
      <c r="AZ111" s="97"/>
      <c r="BA111" s="97"/>
      <c r="BB111" s="97"/>
      <c r="BC111" s="97"/>
      <c r="BD111" s="97"/>
      <c r="BE111" s="97"/>
      <c r="BF111" s="97"/>
      <c r="BG111" s="97"/>
      <c r="BH111" s="97"/>
      <c r="BI111" s="97"/>
      <c r="BJ111" s="97"/>
      <c r="BK111" s="97"/>
      <c r="BL111" s="97"/>
      <c r="BM111" s="97"/>
      <c r="BN111" s="97"/>
      <c r="BO111" s="97"/>
      <c r="BP111" s="97"/>
      <c r="BQ111" s="97"/>
      <c r="BR111" s="97"/>
      <c r="BS111" s="97"/>
      <c r="BT111" s="97"/>
      <c r="BU111" s="97"/>
      <c r="BV111" s="97"/>
      <c r="BW111" s="97"/>
      <c r="BX111" s="97"/>
      <c r="BY111" s="97"/>
      <c r="BZ111" s="97"/>
      <c r="CA111" s="97"/>
      <c r="CB111" s="97"/>
      <c r="CC111" s="97"/>
      <c r="CD111" s="97"/>
      <c r="CE111" s="97"/>
      <c r="CF111" s="97"/>
      <c r="CG111" s="97"/>
      <c r="CH111" s="97"/>
      <c r="CI111" s="97"/>
      <c r="CJ111" s="97"/>
      <c r="CK111" s="97"/>
      <c r="CL111" s="97"/>
    </row>
    <row r="112" spans="1:90" x14ac:dyDescent="0.2">
      <c r="A112" s="97"/>
      <c r="B112" s="97"/>
      <c r="C112" s="97"/>
      <c r="D112" s="97"/>
      <c r="E112" s="97"/>
      <c r="F112" s="97"/>
      <c r="G112" s="97"/>
      <c r="H112" s="97"/>
      <c r="I112" s="97"/>
      <c r="J112" s="98"/>
      <c r="K112" s="97"/>
      <c r="L112" s="97"/>
      <c r="M112" s="97"/>
      <c r="N112" s="97"/>
      <c r="O112" s="97"/>
      <c r="P112" s="97"/>
      <c r="Q112" s="97"/>
      <c r="R112" s="97"/>
      <c r="S112" s="97"/>
      <c r="T112" s="97"/>
      <c r="U112" s="97"/>
      <c r="V112" s="97"/>
      <c r="W112" s="97"/>
      <c r="X112" s="97"/>
      <c r="Y112" s="97"/>
      <c r="Z112" s="97"/>
      <c r="AA112" s="97"/>
      <c r="AB112" s="97"/>
      <c r="AC112" s="97"/>
      <c r="AD112" s="97"/>
      <c r="AE112" s="97"/>
      <c r="AF112" s="97"/>
      <c r="AG112" s="97"/>
      <c r="AH112" s="97"/>
      <c r="AI112" s="97"/>
      <c r="AJ112" s="97"/>
      <c r="AK112" s="97"/>
      <c r="AL112" s="97"/>
      <c r="AM112" s="97"/>
      <c r="AN112" s="97"/>
      <c r="AO112" s="97"/>
      <c r="AP112" s="97"/>
      <c r="AQ112" s="97"/>
      <c r="AR112" s="97"/>
      <c r="AS112" s="97"/>
      <c r="AT112" s="97"/>
      <c r="AU112" s="97"/>
      <c r="AV112" s="97"/>
      <c r="AW112" s="97"/>
      <c r="AX112" s="97"/>
      <c r="AY112" s="97"/>
      <c r="AZ112" s="97"/>
      <c r="BA112" s="97"/>
      <c r="BB112" s="97"/>
      <c r="BC112" s="97"/>
      <c r="BD112" s="97"/>
      <c r="BE112" s="97"/>
      <c r="BF112" s="97"/>
      <c r="BG112" s="97"/>
      <c r="BH112" s="97"/>
      <c r="BI112" s="97"/>
      <c r="BJ112" s="97"/>
      <c r="BK112" s="97"/>
      <c r="BL112" s="97"/>
      <c r="BM112" s="97"/>
      <c r="BN112" s="97"/>
      <c r="BO112" s="97"/>
      <c r="BP112" s="97"/>
      <c r="BQ112" s="97"/>
      <c r="BR112" s="97"/>
      <c r="BS112" s="97"/>
      <c r="BT112" s="97"/>
      <c r="BU112" s="97"/>
      <c r="BV112" s="97"/>
      <c r="BW112" s="97"/>
      <c r="BX112" s="97"/>
      <c r="BY112" s="97"/>
      <c r="BZ112" s="97"/>
      <c r="CA112" s="97"/>
      <c r="CB112" s="97"/>
      <c r="CC112" s="97"/>
      <c r="CD112" s="97"/>
      <c r="CE112" s="97"/>
      <c r="CF112" s="97"/>
      <c r="CG112" s="97"/>
      <c r="CH112" s="97"/>
      <c r="CI112" s="97"/>
      <c r="CJ112" s="97"/>
      <c r="CK112" s="97"/>
      <c r="CL112" s="97"/>
    </row>
    <row r="113" spans="1:90" x14ac:dyDescent="0.2">
      <c r="A113" s="97"/>
      <c r="B113" s="97"/>
      <c r="C113" s="97"/>
      <c r="D113" s="97"/>
      <c r="E113" s="97"/>
      <c r="F113" s="97"/>
      <c r="G113" s="97"/>
      <c r="H113" s="97"/>
      <c r="I113" s="97"/>
      <c r="J113" s="98"/>
      <c r="K113" s="97"/>
      <c r="L113" s="97"/>
      <c r="M113" s="97"/>
      <c r="N113" s="97"/>
      <c r="O113" s="97"/>
      <c r="P113" s="97"/>
      <c r="Q113" s="97"/>
      <c r="R113" s="97"/>
      <c r="S113" s="97"/>
      <c r="T113" s="97"/>
      <c r="U113" s="97"/>
      <c r="V113" s="97"/>
      <c r="W113" s="97"/>
      <c r="X113" s="97"/>
      <c r="Y113" s="97"/>
      <c r="Z113" s="97"/>
      <c r="AA113" s="97"/>
      <c r="AB113" s="97"/>
      <c r="AC113" s="97"/>
      <c r="AD113" s="97"/>
      <c r="AE113" s="97"/>
      <c r="AF113" s="97"/>
      <c r="AG113" s="97"/>
      <c r="AH113" s="97"/>
      <c r="AI113" s="97"/>
      <c r="AJ113" s="97"/>
      <c r="AK113" s="97"/>
      <c r="AL113" s="97"/>
      <c r="AM113" s="97"/>
      <c r="AN113" s="97"/>
      <c r="AO113" s="97"/>
      <c r="AP113" s="97"/>
      <c r="AQ113" s="97"/>
      <c r="AR113" s="97"/>
      <c r="AS113" s="97"/>
      <c r="AT113" s="97"/>
      <c r="AU113" s="97"/>
      <c r="AV113" s="97"/>
      <c r="AW113" s="97"/>
      <c r="AX113" s="97"/>
      <c r="AY113" s="97"/>
      <c r="AZ113" s="97"/>
      <c r="BA113" s="97"/>
      <c r="BB113" s="97"/>
      <c r="BC113" s="97"/>
      <c r="BD113" s="97"/>
      <c r="BE113" s="97"/>
      <c r="BF113" s="97"/>
      <c r="BG113" s="97"/>
      <c r="BH113" s="97"/>
      <c r="BI113" s="97"/>
      <c r="BJ113" s="97"/>
      <c r="BK113" s="97"/>
      <c r="BL113" s="97"/>
      <c r="BM113" s="97"/>
      <c r="BN113" s="97"/>
      <c r="BO113" s="97"/>
      <c r="BP113" s="97"/>
      <c r="BQ113" s="97"/>
      <c r="BR113" s="97"/>
      <c r="BS113" s="97"/>
      <c r="BT113" s="97"/>
      <c r="BU113" s="97"/>
      <c r="BV113" s="97"/>
      <c r="BW113" s="97"/>
      <c r="BX113" s="97"/>
      <c r="BY113" s="97"/>
      <c r="BZ113" s="97"/>
      <c r="CA113" s="97"/>
      <c r="CB113" s="97"/>
      <c r="CC113" s="97"/>
      <c r="CD113" s="97"/>
      <c r="CE113" s="97"/>
      <c r="CF113" s="97"/>
      <c r="CG113" s="97"/>
      <c r="CH113" s="97"/>
      <c r="CI113" s="97"/>
      <c r="CJ113" s="97"/>
      <c r="CK113" s="97"/>
      <c r="CL113" s="97"/>
    </row>
    <row r="114" spans="1:90" x14ac:dyDescent="0.2">
      <c r="A114" s="97"/>
      <c r="B114" s="97"/>
      <c r="C114" s="97"/>
      <c r="D114" s="97"/>
      <c r="E114" s="97"/>
      <c r="F114" s="97"/>
      <c r="G114" s="97"/>
      <c r="H114" s="97"/>
      <c r="I114" s="97"/>
      <c r="J114" s="98"/>
      <c r="K114" s="97"/>
      <c r="L114" s="97"/>
      <c r="M114" s="97"/>
      <c r="N114" s="97"/>
      <c r="O114" s="97"/>
      <c r="P114" s="97"/>
      <c r="Q114" s="97"/>
      <c r="R114" s="97"/>
      <c r="S114" s="97"/>
      <c r="T114" s="97"/>
      <c r="U114" s="97"/>
      <c r="V114" s="97"/>
      <c r="W114" s="97"/>
      <c r="X114" s="97"/>
      <c r="Y114" s="97"/>
      <c r="Z114" s="97"/>
      <c r="AA114" s="97"/>
      <c r="AB114" s="97"/>
      <c r="AC114" s="97"/>
      <c r="AD114" s="97"/>
      <c r="AE114" s="97"/>
      <c r="AF114" s="97"/>
      <c r="AG114" s="97"/>
      <c r="AH114" s="97"/>
      <c r="AI114" s="97"/>
      <c r="AJ114" s="97"/>
      <c r="AK114" s="97"/>
      <c r="AL114" s="97"/>
      <c r="AM114" s="97"/>
      <c r="AN114" s="97"/>
      <c r="AO114" s="97"/>
      <c r="AP114" s="97"/>
      <c r="AQ114" s="97"/>
      <c r="AR114" s="97"/>
      <c r="AS114" s="97"/>
      <c r="AT114" s="97"/>
      <c r="AU114" s="97"/>
      <c r="AV114" s="97"/>
      <c r="AW114" s="97"/>
      <c r="AX114" s="97"/>
      <c r="AY114" s="97"/>
      <c r="AZ114" s="97"/>
      <c r="BA114" s="97"/>
      <c r="BB114" s="97"/>
      <c r="BC114" s="97"/>
      <c r="BD114" s="97"/>
      <c r="BE114" s="97"/>
      <c r="BF114" s="97"/>
      <c r="BG114" s="97"/>
      <c r="BH114" s="97"/>
      <c r="BI114" s="97"/>
      <c r="BJ114" s="97"/>
      <c r="BK114" s="97"/>
      <c r="BL114" s="97"/>
      <c r="BM114" s="97"/>
      <c r="BN114" s="97"/>
      <c r="BO114" s="97"/>
      <c r="BP114" s="97"/>
      <c r="BQ114" s="97"/>
      <c r="BR114" s="97"/>
      <c r="BS114" s="97"/>
      <c r="BT114" s="97"/>
      <c r="BU114" s="97"/>
      <c r="BV114" s="97"/>
      <c r="BW114" s="97"/>
      <c r="BX114" s="97"/>
      <c r="BY114" s="97"/>
      <c r="BZ114" s="97"/>
      <c r="CA114" s="97"/>
      <c r="CB114" s="97"/>
      <c r="CC114" s="97"/>
      <c r="CD114" s="97"/>
      <c r="CE114" s="97"/>
      <c r="CF114" s="97"/>
      <c r="CG114" s="97"/>
      <c r="CH114" s="97"/>
      <c r="CI114" s="97"/>
      <c r="CJ114" s="97"/>
      <c r="CK114" s="97"/>
      <c r="CL114" s="97"/>
    </row>
    <row r="115" spans="1:90" x14ac:dyDescent="0.2">
      <c r="J115" s="98"/>
    </row>
    <row r="116" spans="1:90" x14ac:dyDescent="0.2">
      <c r="J116" s="98"/>
    </row>
    <row r="117" spans="1:90" x14ac:dyDescent="0.2">
      <c r="J117" s="98"/>
    </row>
    <row r="118" spans="1:90" x14ac:dyDescent="0.2">
      <c r="J118" s="98"/>
    </row>
    <row r="119" spans="1:90" x14ac:dyDescent="0.2">
      <c r="J119" s="98"/>
    </row>
    <row r="120" spans="1:90" x14ac:dyDescent="0.2">
      <c r="J120" s="98"/>
    </row>
    <row r="121" spans="1:90" x14ac:dyDescent="0.2">
      <c r="J121" s="98"/>
    </row>
    <row r="122" spans="1:90" x14ac:dyDescent="0.2">
      <c r="J122" s="98"/>
    </row>
    <row r="123" spans="1:90" x14ac:dyDescent="0.2">
      <c r="J123" s="98"/>
    </row>
    <row r="124" spans="1:90" x14ac:dyDescent="0.2">
      <c r="J124" s="98"/>
    </row>
    <row r="125" spans="1:90" x14ac:dyDescent="0.2">
      <c r="J125" s="98"/>
    </row>
    <row r="126" spans="1:90" x14ac:dyDescent="0.2">
      <c r="J126" s="98"/>
    </row>
    <row r="127" spans="1:90" x14ac:dyDescent="0.2">
      <c r="J127" s="98"/>
    </row>
    <row r="128" spans="1:90" x14ac:dyDescent="0.2">
      <c r="J128" s="98"/>
    </row>
    <row r="129" spans="10:10" x14ac:dyDescent="0.2">
      <c r="J129" s="98"/>
    </row>
    <row r="130" spans="10:10" x14ac:dyDescent="0.2">
      <c r="J130" s="98"/>
    </row>
    <row r="131" spans="10:10" x14ac:dyDescent="0.2">
      <c r="J131" s="98"/>
    </row>
    <row r="132" spans="10:10" x14ac:dyDescent="0.2">
      <c r="J132" s="98"/>
    </row>
    <row r="133" spans="10:10" x14ac:dyDescent="0.2">
      <c r="J133" s="98"/>
    </row>
    <row r="134" spans="10:10" x14ac:dyDescent="0.2">
      <c r="J134" s="98"/>
    </row>
    <row r="135" spans="10:10" x14ac:dyDescent="0.2">
      <c r="J135" s="98"/>
    </row>
    <row r="136" spans="10:10" x14ac:dyDescent="0.2">
      <c r="J136" s="98"/>
    </row>
    <row r="137" spans="10:10" x14ac:dyDescent="0.2">
      <c r="J137" s="98"/>
    </row>
    <row r="138" spans="10:10" x14ac:dyDescent="0.2">
      <c r="J138" s="98"/>
    </row>
    <row r="139" spans="10:10" x14ac:dyDescent="0.2">
      <c r="J139" s="98"/>
    </row>
    <row r="140" spans="10:10" x14ac:dyDescent="0.2">
      <c r="J140" s="98"/>
    </row>
    <row r="141" spans="10:10" x14ac:dyDescent="0.2">
      <c r="J141" s="98"/>
    </row>
    <row r="142" spans="10:10" x14ac:dyDescent="0.2">
      <c r="J142" s="98"/>
    </row>
    <row r="143" spans="10:10" x14ac:dyDescent="0.2">
      <c r="J143" s="98"/>
    </row>
    <row r="144" spans="10:10" x14ac:dyDescent="0.2">
      <c r="J144" s="98"/>
    </row>
    <row r="145" spans="10:10" x14ac:dyDescent="0.2">
      <c r="J145" s="98"/>
    </row>
    <row r="146" spans="10:10" x14ac:dyDescent="0.2">
      <c r="J146" s="98"/>
    </row>
    <row r="147" spans="10:10" x14ac:dyDescent="0.2">
      <c r="J147" s="98"/>
    </row>
    <row r="148" spans="10:10" x14ac:dyDescent="0.2">
      <c r="J148" s="98"/>
    </row>
    <row r="149" spans="10:10" x14ac:dyDescent="0.2">
      <c r="J149" s="98"/>
    </row>
    <row r="150" spans="10:10" x14ac:dyDescent="0.2">
      <c r="J150" s="98"/>
    </row>
    <row r="151" spans="10:10" x14ac:dyDescent="0.2">
      <c r="J151" s="98"/>
    </row>
    <row r="152" spans="10:10" x14ac:dyDescent="0.2">
      <c r="J152" s="98"/>
    </row>
    <row r="153" spans="10:10" x14ac:dyDescent="0.2">
      <c r="J153" s="98"/>
    </row>
    <row r="154" spans="10:10" x14ac:dyDescent="0.2">
      <c r="J154" s="98"/>
    </row>
    <row r="155" spans="10:10" x14ac:dyDescent="0.2">
      <c r="J155" s="98"/>
    </row>
    <row r="156" spans="10:10" x14ac:dyDescent="0.2">
      <c r="J156" s="98"/>
    </row>
    <row r="157" spans="10:10" x14ac:dyDescent="0.2">
      <c r="J157" s="98"/>
    </row>
    <row r="158" spans="10:10" x14ac:dyDescent="0.2">
      <c r="J158" s="98"/>
    </row>
    <row r="159" spans="10:10" x14ac:dyDescent="0.2">
      <c r="J159" s="98"/>
    </row>
    <row r="160" spans="10:10" x14ac:dyDescent="0.2">
      <c r="J160" s="98"/>
    </row>
    <row r="161" spans="10:10" x14ac:dyDescent="0.2">
      <c r="J161" s="98"/>
    </row>
    <row r="162" spans="10:10" x14ac:dyDescent="0.2">
      <c r="J162" s="98"/>
    </row>
    <row r="163" spans="10:10" x14ac:dyDescent="0.2">
      <c r="J163" s="98"/>
    </row>
    <row r="164" spans="10:10" x14ac:dyDescent="0.2">
      <c r="J164" s="98"/>
    </row>
    <row r="165" spans="10:10" x14ac:dyDescent="0.2">
      <c r="J165" s="98"/>
    </row>
    <row r="166" spans="10:10" x14ac:dyDescent="0.2">
      <c r="J166" s="98"/>
    </row>
    <row r="167" spans="10:10" x14ac:dyDescent="0.2">
      <c r="J167" s="98"/>
    </row>
    <row r="168" spans="10:10" x14ac:dyDescent="0.2">
      <c r="J168" s="98"/>
    </row>
    <row r="169" spans="10:10" x14ac:dyDescent="0.2">
      <c r="J169" s="98"/>
    </row>
    <row r="170" spans="10:10" x14ac:dyDescent="0.2">
      <c r="J170" s="98"/>
    </row>
    <row r="171" spans="10:10" x14ac:dyDescent="0.2">
      <c r="J171" s="98"/>
    </row>
    <row r="172" spans="10:10" x14ac:dyDescent="0.2">
      <c r="J172" s="98"/>
    </row>
    <row r="173" spans="10:10" x14ac:dyDescent="0.2">
      <c r="J173" s="98"/>
    </row>
    <row r="174" spans="10:10" x14ac:dyDescent="0.2">
      <c r="J174" s="98"/>
    </row>
    <row r="175" spans="10:10" x14ac:dyDescent="0.2">
      <c r="J175" s="61"/>
    </row>
    <row r="176" spans="10:10" x14ac:dyDescent="0.2">
      <c r="J176" s="61"/>
    </row>
    <row r="177" spans="10:10" x14ac:dyDescent="0.2">
      <c r="J177" s="61"/>
    </row>
    <row r="178" spans="10:10" x14ac:dyDescent="0.2">
      <c r="J178" s="61"/>
    </row>
    <row r="179" spans="10:10" x14ac:dyDescent="0.2">
      <c r="J179" s="61"/>
    </row>
    <row r="180" spans="10:10" x14ac:dyDescent="0.2">
      <c r="J180" s="61"/>
    </row>
    <row r="181" spans="10:10" x14ac:dyDescent="0.2">
      <c r="J181" s="61"/>
    </row>
    <row r="182" spans="10:10" x14ac:dyDescent="0.2">
      <c r="J182" s="61"/>
    </row>
    <row r="183" spans="10:10" x14ac:dyDescent="0.2">
      <c r="J183" s="61"/>
    </row>
    <row r="184" spans="10:10" x14ac:dyDescent="0.2">
      <c r="J184" s="61"/>
    </row>
    <row r="185" spans="10:10" x14ac:dyDescent="0.2">
      <c r="J185" s="61"/>
    </row>
    <row r="186" spans="10:10" x14ac:dyDescent="0.2">
      <c r="J186" s="61"/>
    </row>
    <row r="187" spans="10:10" x14ac:dyDescent="0.2">
      <c r="J187" s="61"/>
    </row>
    <row r="188" spans="10:10" x14ac:dyDescent="0.2">
      <c r="J188" s="61"/>
    </row>
    <row r="189" spans="10:10" x14ac:dyDescent="0.2">
      <c r="J189" s="61"/>
    </row>
    <row r="190" spans="10:10" x14ac:dyDescent="0.2">
      <c r="J190" s="61"/>
    </row>
    <row r="191" spans="10:10" x14ac:dyDescent="0.2">
      <c r="J191" s="61"/>
    </row>
    <row r="192" spans="10:10" x14ac:dyDescent="0.2">
      <c r="J192" s="61"/>
    </row>
    <row r="193" spans="10:10" x14ac:dyDescent="0.2">
      <c r="J193" s="61"/>
    </row>
    <row r="194" spans="10:10" x14ac:dyDescent="0.2">
      <c r="J194" s="61"/>
    </row>
    <row r="195" spans="10:10" x14ac:dyDescent="0.2">
      <c r="J195" s="61"/>
    </row>
    <row r="196" spans="10:10" x14ac:dyDescent="0.2">
      <c r="J196" s="61"/>
    </row>
    <row r="197" spans="10:10" x14ac:dyDescent="0.2">
      <c r="J197" s="61"/>
    </row>
    <row r="198" spans="10:10" x14ac:dyDescent="0.2">
      <c r="J198" s="61"/>
    </row>
    <row r="199" spans="10:10" x14ac:dyDescent="0.2">
      <c r="J199" s="61"/>
    </row>
    <row r="200" spans="10:10" x14ac:dyDescent="0.2">
      <c r="J200" s="61"/>
    </row>
    <row r="201" spans="10:10" x14ac:dyDescent="0.2">
      <c r="J201" s="61"/>
    </row>
    <row r="202" spans="10:10" x14ac:dyDescent="0.2">
      <c r="J202" s="61"/>
    </row>
    <row r="203" spans="10:10" x14ac:dyDescent="0.2">
      <c r="J203" s="61"/>
    </row>
    <row r="204" spans="10:10" x14ac:dyDescent="0.2">
      <c r="J204" s="61"/>
    </row>
    <row r="205" spans="10:10" x14ac:dyDescent="0.2">
      <c r="J205" s="61"/>
    </row>
    <row r="206" spans="10:10" x14ac:dyDescent="0.2">
      <c r="J206" s="61"/>
    </row>
    <row r="207" spans="10:10" x14ac:dyDescent="0.2">
      <c r="J207" s="61"/>
    </row>
    <row r="208" spans="10:10" x14ac:dyDescent="0.2">
      <c r="J208" s="61"/>
    </row>
    <row r="209" spans="10:10" x14ac:dyDescent="0.2">
      <c r="J209" s="61"/>
    </row>
    <row r="210" spans="10:10" x14ac:dyDescent="0.2">
      <c r="J210" s="61"/>
    </row>
    <row r="211" spans="10:10" x14ac:dyDescent="0.2">
      <c r="J211" s="61"/>
    </row>
  </sheetData>
  <sheetProtection formatColumns="0" formatRows="0"/>
  <pageMargins left="0.5" right="0.5" top="1" bottom="1" header="0.25" footer="0.25"/>
  <pageSetup scale="58" orientation="landscape" r:id="rId1"/>
  <headerFooter alignWithMargins="0">
    <oddHeader>&amp;LPart No.:
Batch No(s).: 
Cartridge No. (LSP): &amp;C&amp;12Product QC Testing Worksheet-MTB/XDR&amp;RDocument Number: D37339 Attachment 1
Rev: M
Effective: 5/21/2026
p. &amp;P of &amp;N</oddHeader>
    <oddFooter>&amp;C User is responsible for using the current revision. The controlled current released revision of this document resides in the Agile PLM system.
Cepheid Confidential    Date Printed: &amp;D      &amp;T</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2289" r:id="rId4" name="Check Box 1">
              <controlPr defaultSize="0" autoFill="0" autoLine="0" autoPict="0" altText="N/A">
                <anchor moveWithCells="1">
                  <from>
                    <xdr:col>2</xdr:col>
                    <xdr:colOff>9525</xdr:colOff>
                    <xdr:row>20</xdr:row>
                    <xdr:rowOff>142875</xdr:rowOff>
                  </from>
                  <to>
                    <xdr:col>2</xdr:col>
                    <xdr:colOff>1057275</xdr:colOff>
                    <xdr:row>22</xdr:row>
                    <xdr:rowOff>28575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P6"/>
  <sheetViews>
    <sheetView zoomScaleNormal="100" workbookViewId="0"/>
  </sheetViews>
  <sheetFormatPr defaultColWidth="9.140625" defaultRowHeight="12.75" x14ac:dyDescent="0.2"/>
  <cols>
    <col min="1" max="1" width="6.140625" style="60" bestFit="1" customWidth="1"/>
    <col min="2" max="2" width="13.5703125" style="60" bestFit="1" customWidth="1"/>
    <col min="3" max="3" width="10.42578125" style="60" bestFit="1" customWidth="1"/>
    <col min="4" max="4" width="13.42578125" style="60" bestFit="1" customWidth="1"/>
    <col min="5" max="5" width="14.5703125" style="60" bestFit="1" customWidth="1"/>
    <col min="6" max="6" width="9.5703125" style="60" bestFit="1" customWidth="1"/>
    <col min="7" max="7" width="14.42578125" style="60" bestFit="1" customWidth="1"/>
    <col min="8" max="8" width="11.42578125" style="60" bestFit="1" customWidth="1"/>
    <col min="9" max="9" width="12.140625" style="60" bestFit="1" customWidth="1"/>
    <col min="10" max="10" width="10.42578125" style="60" bestFit="1" customWidth="1"/>
    <col min="11" max="11" width="6.5703125" style="60" bestFit="1" customWidth="1"/>
    <col min="12" max="12" width="10.85546875" style="60" bestFit="1" customWidth="1"/>
    <col min="13" max="13" width="13.85546875" style="60" bestFit="1" customWidth="1"/>
    <col min="14" max="14" width="6.5703125" style="60" bestFit="1" customWidth="1"/>
    <col min="15" max="15" width="8.42578125" style="60" bestFit="1" customWidth="1"/>
    <col min="16" max="16" width="14.140625" style="60" bestFit="1" customWidth="1"/>
    <col min="17" max="17" width="2.85546875" style="60" bestFit="1" customWidth="1"/>
    <col min="18" max="18" width="6.42578125" style="60" bestFit="1" customWidth="1"/>
    <col min="19" max="19" width="9.140625" style="60" bestFit="1" customWidth="1"/>
    <col min="20" max="20" width="14.5703125" style="60" bestFit="1" customWidth="1"/>
    <col min="21" max="23" width="9.5703125" style="60" bestFit="1" customWidth="1"/>
    <col min="24" max="24" width="19" style="60" bestFit="1" customWidth="1"/>
    <col min="25" max="25" width="21.5703125" style="60" bestFit="1" customWidth="1"/>
    <col min="26" max="26" width="6.85546875" style="60" bestFit="1" customWidth="1"/>
    <col min="27" max="27" width="13.85546875" style="60" bestFit="1" customWidth="1"/>
    <col min="28" max="28" width="6.5703125" style="60" bestFit="1" customWidth="1"/>
    <col min="29" max="29" width="8.42578125" style="60" bestFit="1" customWidth="1"/>
    <col min="30" max="30" width="14.140625" style="60" bestFit="1" customWidth="1"/>
    <col min="31" max="31" width="2.85546875" style="60" bestFit="1" customWidth="1"/>
    <col min="32" max="32" width="6.42578125" style="60" bestFit="1" customWidth="1"/>
    <col min="33" max="33" width="9.140625" style="60" bestFit="1" customWidth="1"/>
    <col min="34" max="34" width="14.5703125" style="60" bestFit="1" customWidth="1"/>
    <col min="35" max="37" width="9.5703125" style="60" bestFit="1" customWidth="1"/>
    <col min="38" max="38" width="19" style="60" bestFit="1" customWidth="1"/>
    <col min="39" max="39" width="21.5703125" style="60" bestFit="1" customWidth="1"/>
    <col min="40" max="40" width="6.85546875" style="60" bestFit="1" customWidth="1"/>
    <col min="41" max="41" width="13.85546875" style="60" bestFit="1" customWidth="1"/>
    <col min="42" max="42" width="6.5703125" style="60" bestFit="1" customWidth="1"/>
    <col min="43" max="43" width="8.42578125" style="60" bestFit="1" customWidth="1"/>
    <col min="44" max="44" width="14.140625" style="60" bestFit="1" customWidth="1"/>
    <col min="45" max="45" width="2.85546875" style="60" bestFit="1" customWidth="1"/>
    <col min="46" max="46" width="6.42578125" style="60" bestFit="1" customWidth="1"/>
    <col min="47" max="47" width="9.140625" style="60" bestFit="1" customWidth="1"/>
    <col min="48" max="48" width="14.5703125" style="60" bestFit="1" customWidth="1"/>
    <col min="49" max="51" width="9.5703125" style="60" bestFit="1" customWidth="1"/>
    <col min="52" max="52" width="19" style="60" bestFit="1" customWidth="1"/>
    <col min="53" max="53" width="21.5703125" style="60" bestFit="1" customWidth="1"/>
    <col min="54" max="54" width="6.85546875" style="60" bestFit="1" customWidth="1"/>
    <col min="55" max="55" width="18.42578125" style="60" bestFit="1" customWidth="1"/>
    <col min="56" max="56" width="17.85546875" style="60" bestFit="1" customWidth="1"/>
    <col min="57" max="57" width="5.42578125" style="60" bestFit="1" customWidth="1"/>
    <col min="58" max="58" width="9.85546875" style="60" bestFit="1" customWidth="1"/>
    <col min="59" max="59" width="18.140625" style="60" bestFit="1" customWidth="1"/>
    <col min="60" max="60" width="16.42578125" style="60" bestFit="1" customWidth="1"/>
    <col min="61" max="61" width="18.140625" style="60" bestFit="1" customWidth="1"/>
    <col min="62" max="65" width="5" style="60" bestFit="1" customWidth="1"/>
    <col min="66" max="66" width="6.140625" style="60" bestFit="1" customWidth="1"/>
    <col min="67" max="67" width="2" style="60" bestFit="1" customWidth="1"/>
    <col min="68" max="68" width="3" style="60" bestFit="1" customWidth="1"/>
    <col min="69" max="69" width="5" style="60" bestFit="1" customWidth="1"/>
    <col min="70" max="70" width="5.5703125" style="60" bestFit="1" customWidth="1"/>
    <col min="71" max="16384" width="9.140625" style="60"/>
  </cols>
  <sheetData>
    <row r="1" spans="1:380" s="188" customFormat="1" ht="51" customHeight="1" x14ac:dyDescent="0.2">
      <c r="A1" s="186" t="s">
        <v>98</v>
      </c>
      <c r="B1" s="186" t="s">
        <v>99</v>
      </c>
      <c r="C1" s="186" t="s">
        <v>100</v>
      </c>
      <c r="D1" s="186" t="s">
        <v>101</v>
      </c>
      <c r="E1" s="186" t="s">
        <v>102</v>
      </c>
      <c r="F1" s="186" t="s">
        <v>103</v>
      </c>
      <c r="G1" s="186" t="s">
        <v>104</v>
      </c>
      <c r="H1" s="186" t="s">
        <v>105</v>
      </c>
      <c r="I1" s="186" t="s">
        <v>106</v>
      </c>
      <c r="J1" s="186" t="s">
        <v>107</v>
      </c>
      <c r="K1" s="186" t="s">
        <v>108</v>
      </c>
      <c r="L1" s="186" t="s">
        <v>109</v>
      </c>
      <c r="M1" s="186" t="s">
        <v>110</v>
      </c>
      <c r="N1" s="186" t="s">
        <v>111</v>
      </c>
      <c r="O1" s="186" t="s">
        <v>112</v>
      </c>
      <c r="P1" s="186" t="s">
        <v>113</v>
      </c>
      <c r="Q1" s="186" t="s">
        <v>114</v>
      </c>
      <c r="R1" s="186" t="s">
        <v>115</v>
      </c>
      <c r="S1" s="186" t="s">
        <v>116</v>
      </c>
      <c r="T1" s="186" t="s">
        <v>117</v>
      </c>
      <c r="U1" s="186" t="s">
        <v>118</v>
      </c>
      <c r="V1" s="186" t="s">
        <v>119</v>
      </c>
      <c r="W1" s="186" t="s">
        <v>120</v>
      </c>
      <c r="X1" s="186" t="s">
        <v>121</v>
      </c>
      <c r="Y1" s="186" t="s">
        <v>122</v>
      </c>
      <c r="Z1" s="186" t="s">
        <v>123</v>
      </c>
      <c r="AA1" s="186" t="s">
        <v>110</v>
      </c>
      <c r="AB1" s="186" t="s">
        <v>111</v>
      </c>
      <c r="AC1" s="186" t="s">
        <v>112</v>
      </c>
      <c r="AD1" s="186" t="s">
        <v>113</v>
      </c>
      <c r="AE1" s="186" t="s">
        <v>114</v>
      </c>
      <c r="AF1" s="186" t="s">
        <v>115</v>
      </c>
      <c r="AG1" s="186" t="s">
        <v>116</v>
      </c>
      <c r="AH1" s="186" t="s">
        <v>117</v>
      </c>
      <c r="AI1" s="186" t="s">
        <v>118</v>
      </c>
      <c r="AJ1" s="186" t="s">
        <v>119</v>
      </c>
      <c r="AK1" s="186" t="s">
        <v>120</v>
      </c>
      <c r="AL1" s="186" t="s">
        <v>121</v>
      </c>
      <c r="AM1" s="186" t="s">
        <v>122</v>
      </c>
      <c r="AN1" s="186" t="s">
        <v>123</v>
      </c>
      <c r="AO1" s="186" t="s">
        <v>110</v>
      </c>
      <c r="AP1" s="186" t="s">
        <v>111</v>
      </c>
      <c r="AQ1" s="186" t="s">
        <v>112</v>
      </c>
      <c r="AR1" s="186" t="s">
        <v>113</v>
      </c>
      <c r="AS1" s="186" t="s">
        <v>114</v>
      </c>
      <c r="AT1" s="186" t="s">
        <v>115</v>
      </c>
      <c r="AU1" s="186" t="s">
        <v>116</v>
      </c>
      <c r="AV1" s="186" t="s">
        <v>117</v>
      </c>
      <c r="AW1" s="186" t="s">
        <v>118</v>
      </c>
      <c r="AX1" s="186" t="s">
        <v>119</v>
      </c>
      <c r="AY1" s="186" t="s">
        <v>120</v>
      </c>
      <c r="AZ1" s="186" t="s">
        <v>121</v>
      </c>
      <c r="BA1" s="186" t="s">
        <v>122</v>
      </c>
      <c r="BB1" s="186" t="s">
        <v>123</v>
      </c>
      <c r="BC1" s="186" t="s">
        <v>110</v>
      </c>
      <c r="BD1" s="186" t="s">
        <v>111</v>
      </c>
      <c r="BE1" s="186" t="s">
        <v>112</v>
      </c>
      <c r="BF1" s="186" t="s">
        <v>113</v>
      </c>
      <c r="BG1" s="186" t="s">
        <v>114</v>
      </c>
      <c r="BH1" s="186" t="s">
        <v>115</v>
      </c>
      <c r="BI1" s="186" t="s">
        <v>116</v>
      </c>
      <c r="BJ1" s="186" t="s">
        <v>117</v>
      </c>
      <c r="BK1" s="186" t="s">
        <v>118</v>
      </c>
      <c r="BL1" s="186" t="s">
        <v>119</v>
      </c>
      <c r="BM1" s="186" t="s">
        <v>120</v>
      </c>
      <c r="BN1" s="186" t="s">
        <v>121</v>
      </c>
      <c r="BO1" s="186" t="s">
        <v>122</v>
      </c>
      <c r="BP1" s="186" t="s">
        <v>123</v>
      </c>
      <c r="BQ1" s="186" t="s">
        <v>110</v>
      </c>
      <c r="BR1" s="186" t="s">
        <v>111</v>
      </c>
      <c r="BS1" s="186" t="s">
        <v>112</v>
      </c>
      <c r="BT1" s="187" t="s">
        <v>113</v>
      </c>
      <c r="BU1" s="187" t="s">
        <v>114</v>
      </c>
      <c r="BV1" s="187" t="s">
        <v>115</v>
      </c>
      <c r="BW1" s="187" t="s">
        <v>116</v>
      </c>
      <c r="BX1" s="187" t="s">
        <v>117</v>
      </c>
      <c r="BY1" s="187" t="s">
        <v>118</v>
      </c>
      <c r="BZ1" s="187" t="s">
        <v>119</v>
      </c>
      <c r="CA1" s="187" t="s">
        <v>120</v>
      </c>
      <c r="CB1" s="187" t="s">
        <v>121</v>
      </c>
      <c r="CC1" s="187" t="s">
        <v>122</v>
      </c>
      <c r="CD1" s="187" t="s">
        <v>123</v>
      </c>
      <c r="CE1" s="187" t="s">
        <v>110</v>
      </c>
      <c r="CF1" s="187" t="s">
        <v>111</v>
      </c>
      <c r="CG1" s="187" t="s">
        <v>112</v>
      </c>
      <c r="CH1" s="187" t="s">
        <v>113</v>
      </c>
      <c r="CI1" s="187" t="s">
        <v>114</v>
      </c>
      <c r="CJ1" s="187" t="s">
        <v>115</v>
      </c>
      <c r="CK1" s="187" t="s">
        <v>116</v>
      </c>
      <c r="CL1" s="187" t="s">
        <v>117</v>
      </c>
      <c r="CM1" s="187" t="s">
        <v>118</v>
      </c>
      <c r="CN1" s="187" t="s">
        <v>119</v>
      </c>
      <c r="CO1" s="187" t="s">
        <v>120</v>
      </c>
      <c r="CP1" s="187" t="s">
        <v>121</v>
      </c>
      <c r="CQ1" s="187" t="s">
        <v>122</v>
      </c>
      <c r="CR1" s="187" t="s">
        <v>123</v>
      </c>
      <c r="CS1" s="187" t="s">
        <v>110</v>
      </c>
      <c r="CT1" s="187" t="s">
        <v>111</v>
      </c>
      <c r="CU1" s="187" t="s">
        <v>112</v>
      </c>
      <c r="CV1" s="187" t="s">
        <v>113</v>
      </c>
      <c r="CW1" s="187" t="s">
        <v>114</v>
      </c>
      <c r="CX1" s="187" t="s">
        <v>115</v>
      </c>
      <c r="CY1" s="187" t="s">
        <v>116</v>
      </c>
      <c r="CZ1" s="187" t="s">
        <v>117</v>
      </c>
      <c r="DA1" s="187" t="s">
        <v>118</v>
      </c>
      <c r="DB1" s="187" t="s">
        <v>119</v>
      </c>
      <c r="DC1" s="187" t="s">
        <v>120</v>
      </c>
      <c r="DD1" s="187" t="s">
        <v>121</v>
      </c>
      <c r="DE1" s="187" t="s">
        <v>122</v>
      </c>
      <c r="DF1" s="187" t="s">
        <v>123</v>
      </c>
      <c r="DG1" s="187" t="s">
        <v>110</v>
      </c>
      <c r="DH1" s="187" t="s">
        <v>111</v>
      </c>
      <c r="DI1" s="187" t="s">
        <v>112</v>
      </c>
      <c r="DJ1" s="187" t="s">
        <v>113</v>
      </c>
      <c r="DK1" s="187" t="s">
        <v>114</v>
      </c>
      <c r="DL1" s="187" t="s">
        <v>115</v>
      </c>
      <c r="DM1" s="187" t="s">
        <v>116</v>
      </c>
      <c r="DN1" s="187" t="s">
        <v>117</v>
      </c>
      <c r="DO1" s="187" t="s">
        <v>118</v>
      </c>
      <c r="DP1" s="187" t="s">
        <v>119</v>
      </c>
      <c r="DQ1" s="187" t="s">
        <v>120</v>
      </c>
      <c r="DR1" s="187" t="s">
        <v>121</v>
      </c>
      <c r="DS1" s="187" t="s">
        <v>122</v>
      </c>
      <c r="DT1" s="187" t="s">
        <v>123</v>
      </c>
      <c r="DU1" s="187" t="s">
        <v>110</v>
      </c>
      <c r="DV1" s="187" t="s">
        <v>111</v>
      </c>
      <c r="DW1" s="187" t="s">
        <v>112</v>
      </c>
      <c r="DX1" s="187" t="s">
        <v>113</v>
      </c>
      <c r="DY1" s="187" t="s">
        <v>114</v>
      </c>
      <c r="DZ1" s="187" t="s">
        <v>115</v>
      </c>
      <c r="EA1" s="187" t="s">
        <v>116</v>
      </c>
      <c r="EB1" s="187" t="s">
        <v>117</v>
      </c>
      <c r="EC1" s="187" t="s">
        <v>118</v>
      </c>
      <c r="ED1" s="187" t="s">
        <v>119</v>
      </c>
      <c r="EE1" s="187" t="s">
        <v>120</v>
      </c>
      <c r="EF1" s="187" t="s">
        <v>121</v>
      </c>
      <c r="EG1" s="187" t="s">
        <v>122</v>
      </c>
      <c r="EH1" s="187" t="s">
        <v>123</v>
      </c>
      <c r="EI1" s="187" t="s">
        <v>110</v>
      </c>
      <c r="EJ1" s="187" t="s">
        <v>111</v>
      </c>
      <c r="EK1" s="187" t="s">
        <v>112</v>
      </c>
      <c r="EL1" s="187" t="s">
        <v>113</v>
      </c>
      <c r="EM1" s="187" t="s">
        <v>114</v>
      </c>
      <c r="EN1" s="187" t="s">
        <v>115</v>
      </c>
      <c r="EO1" s="187" t="s">
        <v>116</v>
      </c>
      <c r="EP1" s="187" t="s">
        <v>117</v>
      </c>
      <c r="EQ1" s="187" t="s">
        <v>118</v>
      </c>
      <c r="ER1" s="187" t="s">
        <v>119</v>
      </c>
      <c r="ES1" s="187" t="s">
        <v>120</v>
      </c>
      <c r="ET1" s="187" t="s">
        <v>121</v>
      </c>
      <c r="EU1" s="187" t="s">
        <v>122</v>
      </c>
      <c r="EV1" s="187" t="s">
        <v>123</v>
      </c>
      <c r="EW1" s="187" t="s">
        <v>110</v>
      </c>
      <c r="EX1" s="187" t="s">
        <v>111</v>
      </c>
      <c r="EY1" s="187" t="s">
        <v>118</v>
      </c>
      <c r="EZ1" s="187" t="s">
        <v>119</v>
      </c>
      <c r="FA1" s="187" t="s">
        <v>120</v>
      </c>
      <c r="FB1" s="187" t="s">
        <v>121</v>
      </c>
      <c r="FC1" s="187" t="s">
        <v>110</v>
      </c>
      <c r="FD1" s="187" t="s">
        <v>111</v>
      </c>
      <c r="FE1" s="187" t="s">
        <v>118</v>
      </c>
      <c r="FF1" s="187" t="s">
        <v>119</v>
      </c>
      <c r="FG1" s="187" t="s">
        <v>120</v>
      </c>
      <c r="FH1" s="187" t="s">
        <v>121</v>
      </c>
      <c r="FI1" s="187" t="s">
        <v>110</v>
      </c>
      <c r="FJ1" s="187" t="s">
        <v>111</v>
      </c>
      <c r="FK1" s="187" t="s">
        <v>118</v>
      </c>
      <c r="FL1" s="187" t="s">
        <v>119</v>
      </c>
      <c r="FM1" s="187" t="s">
        <v>120</v>
      </c>
      <c r="FN1" s="187" t="s">
        <v>121</v>
      </c>
      <c r="FO1" s="187" t="s">
        <v>298</v>
      </c>
      <c r="FP1" s="187" t="s">
        <v>299</v>
      </c>
      <c r="FQ1" s="187" t="s">
        <v>110</v>
      </c>
      <c r="FR1" s="187" t="s">
        <v>111</v>
      </c>
      <c r="FS1" s="187" t="s">
        <v>118</v>
      </c>
      <c r="FT1" s="187" t="s">
        <v>119</v>
      </c>
      <c r="FU1" s="187" t="s">
        <v>120</v>
      </c>
      <c r="FV1" s="187" t="s">
        <v>121</v>
      </c>
      <c r="FW1" s="187" t="s">
        <v>298</v>
      </c>
      <c r="FX1" s="187" t="s">
        <v>299</v>
      </c>
      <c r="FY1" s="187" t="s">
        <v>110</v>
      </c>
      <c r="FZ1" s="187" t="s">
        <v>111</v>
      </c>
      <c r="GA1" s="187" t="s">
        <v>118</v>
      </c>
      <c r="GB1" s="187" t="s">
        <v>119</v>
      </c>
      <c r="GC1" s="187" t="s">
        <v>120</v>
      </c>
      <c r="GD1" s="187" t="s">
        <v>121</v>
      </c>
      <c r="GE1" s="187" t="s">
        <v>298</v>
      </c>
      <c r="GF1" s="187" t="s">
        <v>299</v>
      </c>
      <c r="GG1" s="187" t="s">
        <v>110</v>
      </c>
      <c r="GH1" s="187" t="s">
        <v>111</v>
      </c>
      <c r="GI1" s="187" t="s">
        <v>118</v>
      </c>
      <c r="GJ1" s="187" t="s">
        <v>119</v>
      </c>
      <c r="GK1" s="187" t="s">
        <v>120</v>
      </c>
      <c r="GL1" s="187" t="s">
        <v>121</v>
      </c>
      <c r="GM1" s="187" t="s">
        <v>298</v>
      </c>
      <c r="GN1" s="187" t="s">
        <v>299</v>
      </c>
      <c r="GO1" s="187" t="s">
        <v>110</v>
      </c>
      <c r="GP1" s="187" t="s">
        <v>111</v>
      </c>
      <c r="GQ1" s="187" t="s">
        <v>118</v>
      </c>
      <c r="GR1" s="187" t="s">
        <v>119</v>
      </c>
      <c r="GS1" s="187" t="s">
        <v>120</v>
      </c>
      <c r="GT1" s="187" t="s">
        <v>121</v>
      </c>
      <c r="GU1" s="187" t="s">
        <v>298</v>
      </c>
      <c r="GV1" s="187" t="s">
        <v>299</v>
      </c>
      <c r="GW1" s="187" t="s">
        <v>110</v>
      </c>
      <c r="GX1" s="187" t="s">
        <v>111</v>
      </c>
      <c r="GY1" s="187" t="s">
        <v>118</v>
      </c>
      <c r="GZ1" s="187" t="s">
        <v>119</v>
      </c>
      <c r="HA1" s="187" t="s">
        <v>120</v>
      </c>
      <c r="HB1" s="187" t="s">
        <v>121</v>
      </c>
      <c r="HC1" s="187" t="s">
        <v>298</v>
      </c>
      <c r="HD1" s="187" t="s">
        <v>299</v>
      </c>
      <c r="HE1" s="187" t="s">
        <v>110</v>
      </c>
      <c r="HF1" s="187" t="s">
        <v>111</v>
      </c>
      <c r="HG1" s="187" t="s">
        <v>118</v>
      </c>
      <c r="HH1" s="187" t="s">
        <v>119</v>
      </c>
      <c r="HI1" s="187" t="s">
        <v>120</v>
      </c>
      <c r="HJ1" s="187" t="s">
        <v>121</v>
      </c>
      <c r="HK1" s="187" t="s">
        <v>298</v>
      </c>
      <c r="HL1" s="187" t="s">
        <v>299</v>
      </c>
      <c r="HM1" s="187" t="s">
        <v>110</v>
      </c>
      <c r="HN1" s="187" t="s">
        <v>111</v>
      </c>
      <c r="HO1" s="187" t="s">
        <v>118</v>
      </c>
      <c r="HP1" s="187" t="s">
        <v>119</v>
      </c>
      <c r="HQ1" s="187" t="s">
        <v>120</v>
      </c>
      <c r="HR1" s="187" t="s">
        <v>121</v>
      </c>
      <c r="HS1" s="187" t="s">
        <v>298</v>
      </c>
      <c r="HT1" s="187" t="s">
        <v>299</v>
      </c>
      <c r="HU1" s="187" t="s">
        <v>110</v>
      </c>
      <c r="HV1" s="187" t="s">
        <v>111</v>
      </c>
      <c r="HW1" s="187" t="s">
        <v>118</v>
      </c>
      <c r="HX1" s="187" t="s">
        <v>119</v>
      </c>
      <c r="HY1" s="187" t="s">
        <v>120</v>
      </c>
      <c r="HZ1" s="187" t="s">
        <v>121</v>
      </c>
      <c r="IA1" s="187" t="s">
        <v>298</v>
      </c>
      <c r="IB1" s="187" t="s">
        <v>299</v>
      </c>
      <c r="IC1" s="187" t="s">
        <v>110</v>
      </c>
      <c r="ID1" s="187" t="s">
        <v>111</v>
      </c>
      <c r="IE1" s="187" t="s">
        <v>118</v>
      </c>
      <c r="IF1" s="187" t="s">
        <v>119</v>
      </c>
      <c r="IG1" s="187" t="s">
        <v>120</v>
      </c>
      <c r="IH1" s="187" t="s">
        <v>121</v>
      </c>
      <c r="II1" s="187" t="s">
        <v>298</v>
      </c>
      <c r="IJ1" s="187" t="s">
        <v>299</v>
      </c>
      <c r="IK1" s="187" t="s">
        <v>110</v>
      </c>
      <c r="IL1" s="187" t="s">
        <v>111</v>
      </c>
      <c r="IM1" s="187" t="s">
        <v>118</v>
      </c>
      <c r="IN1" s="187" t="s">
        <v>119</v>
      </c>
      <c r="IO1" s="187" t="s">
        <v>120</v>
      </c>
      <c r="IP1" s="187" t="s">
        <v>121</v>
      </c>
      <c r="IQ1" s="187" t="s">
        <v>298</v>
      </c>
      <c r="IR1" s="187" t="s">
        <v>299</v>
      </c>
      <c r="IS1" s="187" t="s">
        <v>110</v>
      </c>
      <c r="IT1" s="187" t="s">
        <v>111</v>
      </c>
      <c r="IU1" s="187" t="s">
        <v>118</v>
      </c>
      <c r="IV1" s="187" t="s">
        <v>119</v>
      </c>
      <c r="IW1" s="187" t="s">
        <v>120</v>
      </c>
      <c r="IX1" s="187" t="s">
        <v>121</v>
      </c>
      <c r="IY1" s="187" t="s">
        <v>298</v>
      </c>
      <c r="IZ1" s="187" t="s">
        <v>299</v>
      </c>
      <c r="JA1" s="187" t="s">
        <v>110</v>
      </c>
      <c r="JB1" s="187" t="s">
        <v>111</v>
      </c>
      <c r="JC1" s="187" t="s">
        <v>118</v>
      </c>
      <c r="JD1" s="187" t="s">
        <v>119</v>
      </c>
      <c r="JE1" s="187" t="s">
        <v>120</v>
      </c>
      <c r="JF1" s="187" t="s">
        <v>121</v>
      </c>
      <c r="JG1" s="187" t="s">
        <v>298</v>
      </c>
      <c r="JH1" s="187" t="s">
        <v>299</v>
      </c>
      <c r="JI1" s="187" t="s">
        <v>110</v>
      </c>
      <c r="JJ1" s="187" t="s">
        <v>111</v>
      </c>
      <c r="JK1" s="187" t="s">
        <v>118</v>
      </c>
      <c r="JL1" s="187" t="s">
        <v>119</v>
      </c>
      <c r="JM1" s="187" t="s">
        <v>120</v>
      </c>
      <c r="JN1" s="187" t="s">
        <v>121</v>
      </c>
      <c r="JO1" s="187" t="s">
        <v>298</v>
      </c>
      <c r="JP1" s="187" t="s">
        <v>299</v>
      </c>
      <c r="JQ1" s="187" t="s">
        <v>110</v>
      </c>
      <c r="JR1" s="187" t="s">
        <v>111</v>
      </c>
      <c r="JS1" s="187" t="s">
        <v>118</v>
      </c>
      <c r="JT1" s="187" t="s">
        <v>119</v>
      </c>
      <c r="JU1" s="187" t="s">
        <v>120</v>
      </c>
      <c r="JV1" s="187" t="s">
        <v>121</v>
      </c>
      <c r="JW1" s="187" t="s">
        <v>298</v>
      </c>
      <c r="JX1" s="187" t="s">
        <v>299</v>
      </c>
      <c r="JY1" s="187" t="s">
        <v>110</v>
      </c>
      <c r="JZ1" s="187" t="s">
        <v>111</v>
      </c>
      <c r="KA1" s="187" t="s">
        <v>118</v>
      </c>
      <c r="KB1" s="187" t="s">
        <v>119</v>
      </c>
      <c r="KC1" s="187" t="s">
        <v>120</v>
      </c>
      <c r="KD1" s="187" t="s">
        <v>121</v>
      </c>
      <c r="KE1" s="187" t="s">
        <v>298</v>
      </c>
      <c r="KF1" s="187" t="s">
        <v>299</v>
      </c>
      <c r="KG1" s="187" t="s">
        <v>110</v>
      </c>
      <c r="KH1" s="187" t="s">
        <v>111</v>
      </c>
      <c r="KI1" s="187" t="s">
        <v>118</v>
      </c>
      <c r="KJ1" s="187" t="s">
        <v>119</v>
      </c>
      <c r="KK1" s="187" t="s">
        <v>120</v>
      </c>
      <c r="KL1" s="187" t="s">
        <v>121</v>
      </c>
      <c r="KM1" s="187" t="s">
        <v>298</v>
      </c>
      <c r="KN1" s="187" t="s">
        <v>299</v>
      </c>
      <c r="KO1" s="187" t="s">
        <v>110</v>
      </c>
      <c r="KP1" s="187" t="s">
        <v>111</v>
      </c>
      <c r="KQ1" s="187" t="s">
        <v>118</v>
      </c>
      <c r="KR1" s="187" t="s">
        <v>119</v>
      </c>
      <c r="KS1" s="187" t="s">
        <v>120</v>
      </c>
      <c r="KT1" s="187" t="s">
        <v>121</v>
      </c>
      <c r="KU1" s="187" t="s">
        <v>298</v>
      </c>
      <c r="KV1" s="187" t="s">
        <v>299</v>
      </c>
      <c r="KW1" s="187" t="s">
        <v>110</v>
      </c>
      <c r="KX1" s="187" t="s">
        <v>111</v>
      </c>
      <c r="KY1" s="187" t="s">
        <v>118</v>
      </c>
      <c r="KZ1" s="187" t="s">
        <v>119</v>
      </c>
      <c r="LA1" s="187" t="s">
        <v>120</v>
      </c>
      <c r="LB1" s="187" t="s">
        <v>121</v>
      </c>
      <c r="LC1" s="187" t="s">
        <v>298</v>
      </c>
      <c r="LD1" s="187" t="s">
        <v>299</v>
      </c>
      <c r="LE1" s="187" t="s">
        <v>110</v>
      </c>
      <c r="LF1" s="187" t="s">
        <v>111</v>
      </c>
      <c r="LG1" s="187" t="s">
        <v>118</v>
      </c>
      <c r="LH1" s="187" t="s">
        <v>119</v>
      </c>
      <c r="LI1" s="187" t="s">
        <v>120</v>
      </c>
      <c r="LJ1" s="187" t="s">
        <v>121</v>
      </c>
      <c r="LK1" s="187" t="s">
        <v>298</v>
      </c>
      <c r="LL1" s="187" t="s">
        <v>299</v>
      </c>
      <c r="LM1" s="187" t="s">
        <v>110</v>
      </c>
      <c r="LN1" s="187" t="s">
        <v>111</v>
      </c>
      <c r="LO1" s="187" t="s">
        <v>118</v>
      </c>
      <c r="LP1" s="187" t="s">
        <v>119</v>
      </c>
      <c r="LQ1" s="187" t="s">
        <v>120</v>
      </c>
      <c r="LR1" s="187" t="s">
        <v>121</v>
      </c>
      <c r="LS1" s="187" t="s">
        <v>298</v>
      </c>
      <c r="LT1" s="187" t="s">
        <v>299</v>
      </c>
      <c r="LU1" s="187" t="s">
        <v>110</v>
      </c>
      <c r="LV1" s="187" t="s">
        <v>111</v>
      </c>
      <c r="LW1" s="187" t="s">
        <v>118</v>
      </c>
      <c r="LX1" s="187" t="s">
        <v>119</v>
      </c>
      <c r="LY1" s="187" t="s">
        <v>120</v>
      </c>
      <c r="LZ1" s="187" t="s">
        <v>121</v>
      </c>
      <c r="MA1" s="187" t="s">
        <v>298</v>
      </c>
      <c r="MB1" s="187" t="s">
        <v>299</v>
      </c>
      <c r="MC1" s="187" t="s">
        <v>110</v>
      </c>
      <c r="MD1" s="187" t="s">
        <v>111</v>
      </c>
      <c r="ME1" s="187" t="s">
        <v>118</v>
      </c>
      <c r="MF1" s="187" t="s">
        <v>119</v>
      </c>
      <c r="MG1" s="187" t="s">
        <v>120</v>
      </c>
      <c r="MH1" s="187" t="s">
        <v>121</v>
      </c>
      <c r="MI1" s="187" t="s">
        <v>298</v>
      </c>
      <c r="MJ1" s="187" t="s">
        <v>299</v>
      </c>
      <c r="MK1" s="187" t="s">
        <v>110</v>
      </c>
      <c r="ML1" s="187" t="s">
        <v>111</v>
      </c>
      <c r="MM1" s="187" t="s">
        <v>118</v>
      </c>
      <c r="MN1" s="187" t="s">
        <v>119</v>
      </c>
      <c r="MO1" s="187" t="s">
        <v>120</v>
      </c>
      <c r="MP1" s="187" t="s">
        <v>121</v>
      </c>
      <c r="MQ1" s="187" t="s">
        <v>298</v>
      </c>
      <c r="MR1" s="187" t="s">
        <v>299</v>
      </c>
      <c r="MS1" s="187" t="s">
        <v>110</v>
      </c>
      <c r="MT1" s="187" t="s">
        <v>111</v>
      </c>
      <c r="MU1" s="187" t="s">
        <v>118</v>
      </c>
      <c r="MV1" s="187" t="s">
        <v>119</v>
      </c>
      <c r="MW1" s="187" t="s">
        <v>120</v>
      </c>
      <c r="MX1" s="187" t="s">
        <v>121</v>
      </c>
      <c r="MY1" s="187" t="s">
        <v>298</v>
      </c>
      <c r="MZ1" s="187" t="s">
        <v>299</v>
      </c>
      <c r="NA1" s="187" t="s">
        <v>110</v>
      </c>
      <c r="NB1" s="187" t="s">
        <v>111</v>
      </c>
      <c r="NC1" s="187" t="s">
        <v>118</v>
      </c>
      <c r="ND1" s="187" t="s">
        <v>119</v>
      </c>
      <c r="NE1" s="187" t="s">
        <v>120</v>
      </c>
      <c r="NF1" s="187" t="s">
        <v>121</v>
      </c>
      <c r="NG1" s="187" t="s">
        <v>298</v>
      </c>
      <c r="NH1" s="187" t="s">
        <v>299</v>
      </c>
      <c r="NI1" s="187" t="s">
        <v>124</v>
      </c>
      <c r="NJ1" s="187" t="s">
        <v>125</v>
      </c>
      <c r="NK1" s="187" t="s">
        <v>126</v>
      </c>
      <c r="NL1" s="187" t="s">
        <v>244</v>
      </c>
      <c r="NM1" s="187" t="s">
        <v>245</v>
      </c>
      <c r="NN1" s="187" t="s">
        <v>246</v>
      </c>
      <c r="NO1" s="187" t="s">
        <v>247</v>
      </c>
      <c r="NP1" s="187" t="s">
        <v>248</v>
      </c>
    </row>
    <row r="2" spans="1:380" x14ac:dyDescent="0.2">
      <c r="J2" s="61"/>
    </row>
    <row r="3" spans="1:380" x14ac:dyDescent="0.2">
      <c r="J3" s="61"/>
    </row>
    <row r="4" spans="1:380" x14ac:dyDescent="0.2">
      <c r="J4" s="61"/>
    </row>
    <row r="5" spans="1:380" x14ac:dyDescent="0.2">
      <c r="J5" s="61"/>
    </row>
    <row r="6" spans="1:380" x14ac:dyDescent="0.2">
      <c r="J6" s="61"/>
    </row>
  </sheetData>
  <sheetProtection formatColumns="0" formatRows="0"/>
  <phoneticPr fontId="4" type="noConversion"/>
  <pageMargins left="0.5" right="0.5" top="1" bottom="1" header="0.25" footer="0.25"/>
  <pageSetup scale="58" orientation="landscape" r:id="rId1"/>
  <headerFooter alignWithMargins="0">
    <oddHeader>&amp;LPart No.:
Batch No(s).: 
Cartridge No. (LSP): &amp;C&amp;12Product QC Testing Worksheet-MTB/XDR&amp;RDocument Number: D37339 Attachment 1
Rev: M
Effective: 5/21/2026
p. &amp;P of &amp;N</oddHeader>
    <oddFooter>&amp;C User is responsible for using the current revision. The controlled current released revision of this document resides in the Agile PLM system.
Cepheid Confidential    Date Printed: &amp;D      &amp;T</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N115"/>
  <sheetViews>
    <sheetView zoomScaleNormal="100" zoomScaleSheetLayoutView="100" workbookViewId="0">
      <selection activeCell="D16" sqref="D16"/>
    </sheetView>
  </sheetViews>
  <sheetFormatPr defaultColWidth="9.140625" defaultRowHeight="12.75" x14ac:dyDescent="0.2"/>
  <cols>
    <col min="1" max="1" width="5.5703125" style="1" customWidth="1"/>
    <col min="2" max="2" width="13.42578125" style="1" customWidth="1"/>
    <col min="3" max="3" width="15.85546875" style="1" customWidth="1"/>
    <col min="4" max="4" width="17" style="1" customWidth="1"/>
    <col min="5" max="5" width="9.140625" style="1" customWidth="1"/>
    <col min="6" max="6" width="12" style="2" customWidth="1"/>
    <col min="7" max="7" width="9.140625" style="2" customWidth="1"/>
    <col min="8" max="8" width="9.140625" style="4" customWidth="1"/>
    <col min="9" max="9" width="16.140625" style="4" customWidth="1"/>
    <col min="10" max="10" width="15.85546875" style="4" customWidth="1"/>
    <col min="11" max="11" width="14.140625" style="4" customWidth="1"/>
    <col min="12" max="12" width="15.85546875" style="4" customWidth="1"/>
    <col min="13" max="13" width="13.5703125" style="2" customWidth="1"/>
    <col min="14" max="14" width="2.5703125" style="2" customWidth="1"/>
    <col min="15" max="256" width="9.140625" style="1"/>
    <col min="257" max="257" width="5.5703125" style="1" customWidth="1"/>
    <col min="258" max="258" width="13.42578125" style="1" customWidth="1"/>
    <col min="259" max="259" width="15.85546875" style="1" customWidth="1"/>
    <col min="260" max="260" width="17" style="1" customWidth="1"/>
    <col min="261" max="261" width="9.140625" style="1" customWidth="1"/>
    <col min="262" max="262" width="12" style="1" customWidth="1"/>
    <col min="263" max="264" width="9.140625" style="1" customWidth="1"/>
    <col min="265" max="265" width="16.140625" style="1" customWidth="1"/>
    <col min="266" max="266" width="15.85546875" style="1" customWidth="1"/>
    <col min="267" max="267" width="14.140625" style="1" customWidth="1"/>
    <col min="268" max="268" width="15.85546875" style="1" customWidth="1"/>
    <col min="269" max="269" width="13.5703125" style="1" customWidth="1"/>
    <col min="270" max="270" width="2.5703125" style="1" customWidth="1"/>
    <col min="271" max="512" width="9.140625" style="1"/>
    <col min="513" max="513" width="5.5703125" style="1" customWidth="1"/>
    <col min="514" max="514" width="13.42578125" style="1" customWidth="1"/>
    <col min="515" max="515" width="15.85546875" style="1" customWidth="1"/>
    <col min="516" max="516" width="17" style="1" customWidth="1"/>
    <col min="517" max="517" width="9.140625" style="1" customWidth="1"/>
    <col min="518" max="518" width="12" style="1" customWidth="1"/>
    <col min="519" max="520" width="9.140625" style="1" customWidth="1"/>
    <col min="521" max="521" width="16.140625" style="1" customWidth="1"/>
    <col min="522" max="522" width="15.85546875" style="1" customWidth="1"/>
    <col min="523" max="523" width="14.140625" style="1" customWidth="1"/>
    <col min="524" max="524" width="15.85546875" style="1" customWidth="1"/>
    <col min="525" max="525" width="13.5703125" style="1" customWidth="1"/>
    <col min="526" max="526" width="2.5703125" style="1" customWidth="1"/>
    <col min="527" max="768" width="9.140625" style="1"/>
    <col min="769" max="769" width="5.5703125" style="1" customWidth="1"/>
    <col min="770" max="770" width="13.42578125" style="1" customWidth="1"/>
    <col min="771" max="771" width="15.85546875" style="1" customWidth="1"/>
    <col min="772" max="772" width="17" style="1" customWidth="1"/>
    <col min="773" max="773" width="9.140625" style="1" customWidth="1"/>
    <col min="774" max="774" width="12" style="1" customWidth="1"/>
    <col min="775" max="776" width="9.140625" style="1" customWidth="1"/>
    <col min="777" max="777" width="16.140625" style="1" customWidth="1"/>
    <col min="778" max="778" width="15.85546875" style="1" customWidth="1"/>
    <col min="779" max="779" width="14.140625" style="1" customWidth="1"/>
    <col min="780" max="780" width="15.85546875" style="1" customWidth="1"/>
    <col min="781" max="781" width="13.5703125" style="1" customWidth="1"/>
    <col min="782" max="782" width="2.5703125" style="1" customWidth="1"/>
    <col min="783" max="1024" width="9.140625" style="1"/>
    <col min="1025" max="1025" width="5.5703125" style="1" customWidth="1"/>
    <col min="1026" max="1026" width="13.42578125" style="1" customWidth="1"/>
    <col min="1027" max="1027" width="15.85546875" style="1" customWidth="1"/>
    <col min="1028" max="1028" width="17" style="1" customWidth="1"/>
    <col min="1029" max="1029" width="9.140625" style="1" customWidth="1"/>
    <col min="1030" max="1030" width="12" style="1" customWidth="1"/>
    <col min="1031" max="1032" width="9.140625" style="1" customWidth="1"/>
    <col min="1033" max="1033" width="16.140625" style="1" customWidth="1"/>
    <col min="1034" max="1034" width="15.85546875" style="1" customWidth="1"/>
    <col min="1035" max="1035" width="14.140625" style="1" customWidth="1"/>
    <col min="1036" max="1036" width="15.85546875" style="1" customWidth="1"/>
    <col min="1037" max="1037" width="13.5703125" style="1" customWidth="1"/>
    <col min="1038" max="1038" width="2.5703125" style="1" customWidth="1"/>
    <col min="1039" max="1280" width="9.140625" style="1"/>
    <col min="1281" max="1281" width="5.5703125" style="1" customWidth="1"/>
    <col min="1282" max="1282" width="13.42578125" style="1" customWidth="1"/>
    <col min="1283" max="1283" width="15.85546875" style="1" customWidth="1"/>
    <col min="1284" max="1284" width="17" style="1" customWidth="1"/>
    <col min="1285" max="1285" width="9.140625" style="1" customWidth="1"/>
    <col min="1286" max="1286" width="12" style="1" customWidth="1"/>
    <col min="1287" max="1288" width="9.140625" style="1" customWidth="1"/>
    <col min="1289" max="1289" width="16.140625" style="1" customWidth="1"/>
    <col min="1290" max="1290" width="15.85546875" style="1" customWidth="1"/>
    <col min="1291" max="1291" width="14.140625" style="1" customWidth="1"/>
    <col min="1292" max="1292" width="15.85546875" style="1" customWidth="1"/>
    <col min="1293" max="1293" width="13.5703125" style="1" customWidth="1"/>
    <col min="1294" max="1294" width="2.5703125" style="1" customWidth="1"/>
    <col min="1295" max="1536" width="9.140625" style="1"/>
    <col min="1537" max="1537" width="5.5703125" style="1" customWidth="1"/>
    <col min="1538" max="1538" width="13.42578125" style="1" customWidth="1"/>
    <col min="1539" max="1539" width="15.85546875" style="1" customWidth="1"/>
    <col min="1540" max="1540" width="17" style="1" customWidth="1"/>
    <col min="1541" max="1541" width="9.140625" style="1" customWidth="1"/>
    <col min="1542" max="1542" width="12" style="1" customWidth="1"/>
    <col min="1543" max="1544" width="9.140625" style="1" customWidth="1"/>
    <col min="1545" max="1545" width="16.140625" style="1" customWidth="1"/>
    <col min="1546" max="1546" width="15.85546875" style="1" customWidth="1"/>
    <col min="1547" max="1547" width="14.140625" style="1" customWidth="1"/>
    <col min="1548" max="1548" width="15.85546875" style="1" customWidth="1"/>
    <col min="1549" max="1549" width="13.5703125" style="1" customWidth="1"/>
    <col min="1550" max="1550" width="2.5703125" style="1" customWidth="1"/>
    <col min="1551" max="1792" width="9.140625" style="1"/>
    <col min="1793" max="1793" width="5.5703125" style="1" customWidth="1"/>
    <col min="1794" max="1794" width="13.42578125" style="1" customWidth="1"/>
    <col min="1795" max="1795" width="15.85546875" style="1" customWidth="1"/>
    <col min="1796" max="1796" width="17" style="1" customWidth="1"/>
    <col min="1797" max="1797" width="9.140625" style="1" customWidth="1"/>
    <col min="1798" max="1798" width="12" style="1" customWidth="1"/>
    <col min="1799" max="1800" width="9.140625" style="1" customWidth="1"/>
    <col min="1801" max="1801" width="16.140625" style="1" customWidth="1"/>
    <col min="1802" max="1802" width="15.85546875" style="1" customWidth="1"/>
    <col min="1803" max="1803" width="14.140625" style="1" customWidth="1"/>
    <col min="1804" max="1804" width="15.85546875" style="1" customWidth="1"/>
    <col min="1805" max="1805" width="13.5703125" style="1" customWidth="1"/>
    <col min="1806" max="1806" width="2.5703125" style="1" customWidth="1"/>
    <col min="1807" max="2048" width="9.140625" style="1"/>
    <col min="2049" max="2049" width="5.5703125" style="1" customWidth="1"/>
    <col min="2050" max="2050" width="13.42578125" style="1" customWidth="1"/>
    <col min="2051" max="2051" width="15.85546875" style="1" customWidth="1"/>
    <col min="2052" max="2052" width="17" style="1" customWidth="1"/>
    <col min="2053" max="2053" width="9.140625" style="1" customWidth="1"/>
    <col min="2054" max="2054" width="12" style="1" customWidth="1"/>
    <col min="2055" max="2056" width="9.140625" style="1" customWidth="1"/>
    <col min="2057" max="2057" width="16.140625" style="1" customWidth="1"/>
    <col min="2058" max="2058" width="15.85546875" style="1" customWidth="1"/>
    <col min="2059" max="2059" width="14.140625" style="1" customWidth="1"/>
    <col min="2060" max="2060" width="15.85546875" style="1" customWidth="1"/>
    <col min="2061" max="2061" width="13.5703125" style="1" customWidth="1"/>
    <col min="2062" max="2062" width="2.5703125" style="1" customWidth="1"/>
    <col min="2063" max="2304" width="9.140625" style="1"/>
    <col min="2305" max="2305" width="5.5703125" style="1" customWidth="1"/>
    <col min="2306" max="2306" width="13.42578125" style="1" customWidth="1"/>
    <col min="2307" max="2307" width="15.85546875" style="1" customWidth="1"/>
    <col min="2308" max="2308" width="17" style="1" customWidth="1"/>
    <col min="2309" max="2309" width="9.140625" style="1" customWidth="1"/>
    <col min="2310" max="2310" width="12" style="1" customWidth="1"/>
    <col min="2311" max="2312" width="9.140625" style="1" customWidth="1"/>
    <col min="2313" max="2313" width="16.140625" style="1" customWidth="1"/>
    <col min="2314" max="2314" width="15.85546875" style="1" customWidth="1"/>
    <col min="2315" max="2315" width="14.140625" style="1" customWidth="1"/>
    <col min="2316" max="2316" width="15.85546875" style="1" customWidth="1"/>
    <col min="2317" max="2317" width="13.5703125" style="1" customWidth="1"/>
    <col min="2318" max="2318" width="2.5703125" style="1" customWidth="1"/>
    <col min="2319" max="2560" width="9.140625" style="1"/>
    <col min="2561" max="2561" width="5.5703125" style="1" customWidth="1"/>
    <col min="2562" max="2562" width="13.42578125" style="1" customWidth="1"/>
    <col min="2563" max="2563" width="15.85546875" style="1" customWidth="1"/>
    <col min="2564" max="2564" width="17" style="1" customWidth="1"/>
    <col min="2565" max="2565" width="9.140625" style="1" customWidth="1"/>
    <col min="2566" max="2566" width="12" style="1" customWidth="1"/>
    <col min="2567" max="2568" width="9.140625" style="1" customWidth="1"/>
    <col min="2569" max="2569" width="16.140625" style="1" customWidth="1"/>
    <col min="2570" max="2570" width="15.85546875" style="1" customWidth="1"/>
    <col min="2571" max="2571" width="14.140625" style="1" customWidth="1"/>
    <col min="2572" max="2572" width="15.85546875" style="1" customWidth="1"/>
    <col min="2573" max="2573" width="13.5703125" style="1" customWidth="1"/>
    <col min="2574" max="2574" width="2.5703125" style="1" customWidth="1"/>
    <col min="2575" max="2816" width="9.140625" style="1"/>
    <col min="2817" max="2817" width="5.5703125" style="1" customWidth="1"/>
    <col min="2818" max="2818" width="13.42578125" style="1" customWidth="1"/>
    <col min="2819" max="2819" width="15.85546875" style="1" customWidth="1"/>
    <col min="2820" max="2820" width="17" style="1" customWidth="1"/>
    <col min="2821" max="2821" width="9.140625" style="1" customWidth="1"/>
    <col min="2822" max="2822" width="12" style="1" customWidth="1"/>
    <col min="2823" max="2824" width="9.140625" style="1" customWidth="1"/>
    <col min="2825" max="2825" width="16.140625" style="1" customWidth="1"/>
    <col min="2826" max="2826" width="15.85546875" style="1" customWidth="1"/>
    <col min="2827" max="2827" width="14.140625" style="1" customWidth="1"/>
    <col min="2828" max="2828" width="15.85546875" style="1" customWidth="1"/>
    <col min="2829" max="2829" width="13.5703125" style="1" customWidth="1"/>
    <col min="2830" max="2830" width="2.5703125" style="1" customWidth="1"/>
    <col min="2831" max="3072" width="9.140625" style="1"/>
    <col min="3073" max="3073" width="5.5703125" style="1" customWidth="1"/>
    <col min="3074" max="3074" width="13.42578125" style="1" customWidth="1"/>
    <col min="3075" max="3075" width="15.85546875" style="1" customWidth="1"/>
    <col min="3076" max="3076" width="17" style="1" customWidth="1"/>
    <col min="3077" max="3077" width="9.140625" style="1" customWidth="1"/>
    <col min="3078" max="3078" width="12" style="1" customWidth="1"/>
    <col min="3079" max="3080" width="9.140625" style="1" customWidth="1"/>
    <col min="3081" max="3081" width="16.140625" style="1" customWidth="1"/>
    <col min="3082" max="3082" width="15.85546875" style="1" customWidth="1"/>
    <col min="3083" max="3083" width="14.140625" style="1" customWidth="1"/>
    <col min="3084" max="3084" width="15.85546875" style="1" customWidth="1"/>
    <col min="3085" max="3085" width="13.5703125" style="1" customWidth="1"/>
    <col min="3086" max="3086" width="2.5703125" style="1" customWidth="1"/>
    <col min="3087" max="3328" width="9.140625" style="1"/>
    <col min="3329" max="3329" width="5.5703125" style="1" customWidth="1"/>
    <col min="3330" max="3330" width="13.42578125" style="1" customWidth="1"/>
    <col min="3331" max="3331" width="15.85546875" style="1" customWidth="1"/>
    <col min="3332" max="3332" width="17" style="1" customWidth="1"/>
    <col min="3333" max="3333" width="9.140625" style="1" customWidth="1"/>
    <col min="3334" max="3334" width="12" style="1" customWidth="1"/>
    <col min="3335" max="3336" width="9.140625" style="1" customWidth="1"/>
    <col min="3337" max="3337" width="16.140625" style="1" customWidth="1"/>
    <col min="3338" max="3338" width="15.85546875" style="1" customWidth="1"/>
    <col min="3339" max="3339" width="14.140625" style="1" customWidth="1"/>
    <col min="3340" max="3340" width="15.85546875" style="1" customWidth="1"/>
    <col min="3341" max="3341" width="13.5703125" style="1" customWidth="1"/>
    <col min="3342" max="3342" width="2.5703125" style="1" customWidth="1"/>
    <col min="3343" max="3584" width="9.140625" style="1"/>
    <col min="3585" max="3585" width="5.5703125" style="1" customWidth="1"/>
    <col min="3586" max="3586" width="13.42578125" style="1" customWidth="1"/>
    <col min="3587" max="3587" width="15.85546875" style="1" customWidth="1"/>
    <col min="3588" max="3588" width="17" style="1" customWidth="1"/>
    <col min="3589" max="3589" width="9.140625" style="1" customWidth="1"/>
    <col min="3590" max="3590" width="12" style="1" customWidth="1"/>
    <col min="3591" max="3592" width="9.140625" style="1" customWidth="1"/>
    <col min="3593" max="3593" width="16.140625" style="1" customWidth="1"/>
    <col min="3594" max="3594" width="15.85546875" style="1" customWidth="1"/>
    <col min="3595" max="3595" width="14.140625" style="1" customWidth="1"/>
    <col min="3596" max="3596" width="15.85546875" style="1" customWidth="1"/>
    <col min="3597" max="3597" width="13.5703125" style="1" customWidth="1"/>
    <col min="3598" max="3598" width="2.5703125" style="1" customWidth="1"/>
    <col min="3599" max="3840" width="9.140625" style="1"/>
    <col min="3841" max="3841" width="5.5703125" style="1" customWidth="1"/>
    <col min="3842" max="3842" width="13.42578125" style="1" customWidth="1"/>
    <col min="3843" max="3843" width="15.85546875" style="1" customWidth="1"/>
    <col min="3844" max="3844" width="17" style="1" customWidth="1"/>
    <col min="3845" max="3845" width="9.140625" style="1" customWidth="1"/>
    <col min="3846" max="3846" width="12" style="1" customWidth="1"/>
    <col min="3847" max="3848" width="9.140625" style="1" customWidth="1"/>
    <col min="3849" max="3849" width="16.140625" style="1" customWidth="1"/>
    <col min="3850" max="3850" width="15.85546875" style="1" customWidth="1"/>
    <col min="3851" max="3851" width="14.140625" style="1" customWidth="1"/>
    <col min="3852" max="3852" width="15.85546875" style="1" customWidth="1"/>
    <col min="3853" max="3853" width="13.5703125" style="1" customWidth="1"/>
    <col min="3854" max="3854" width="2.5703125" style="1" customWidth="1"/>
    <col min="3855" max="4096" width="9.140625" style="1"/>
    <col min="4097" max="4097" width="5.5703125" style="1" customWidth="1"/>
    <col min="4098" max="4098" width="13.42578125" style="1" customWidth="1"/>
    <col min="4099" max="4099" width="15.85546875" style="1" customWidth="1"/>
    <col min="4100" max="4100" width="17" style="1" customWidth="1"/>
    <col min="4101" max="4101" width="9.140625" style="1" customWidth="1"/>
    <col min="4102" max="4102" width="12" style="1" customWidth="1"/>
    <col min="4103" max="4104" width="9.140625" style="1" customWidth="1"/>
    <col min="4105" max="4105" width="16.140625" style="1" customWidth="1"/>
    <col min="4106" max="4106" width="15.85546875" style="1" customWidth="1"/>
    <col min="4107" max="4107" width="14.140625" style="1" customWidth="1"/>
    <col min="4108" max="4108" width="15.85546875" style="1" customWidth="1"/>
    <col min="4109" max="4109" width="13.5703125" style="1" customWidth="1"/>
    <col min="4110" max="4110" width="2.5703125" style="1" customWidth="1"/>
    <col min="4111" max="4352" width="9.140625" style="1"/>
    <col min="4353" max="4353" width="5.5703125" style="1" customWidth="1"/>
    <col min="4354" max="4354" width="13.42578125" style="1" customWidth="1"/>
    <col min="4355" max="4355" width="15.85546875" style="1" customWidth="1"/>
    <col min="4356" max="4356" width="17" style="1" customWidth="1"/>
    <col min="4357" max="4357" width="9.140625" style="1" customWidth="1"/>
    <col min="4358" max="4358" width="12" style="1" customWidth="1"/>
    <col min="4359" max="4360" width="9.140625" style="1" customWidth="1"/>
    <col min="4361" max="4361" width="16.140625" style="1" customWidth="1"/>
    <col min="4362" max="4362" width="15.85546875" style="1" customWidth="1"/>
    <col min="4363" max="4363" width="14.140625" style="1" customWidth="1"/>
    <col min="4364" max="4364" width="15.85546875" style="1" customWidth="1"/>
    <col min="4365" max="4365" width="13.5703125" style="1" customWidth="1"/>
    <col min="4366" max="4366" width="2.5703125" style="1" customWidth="1"/>
    <col min="4367" max="4608" width="9.140625" style="1"/>
    <col min="4609" max="4609" width="5.5703125" style="1" customWidth="1"/>
    <col min="4610" max="4610" width="13.42578125" style="1" customWidth="1"/>
    <col min="4611" max="4611" width="15.85546875" style="1" customWidth="1"/>
    <col min="4612" max="4612" width="17" style="1" customWidth="1"/>
    <col min="4613" max="4613" width="9.140625" style="1" customWidth="1"/>
    <col min="4614" max="4614" width="12" style="1" customWidth="1"/>
    <col min="4615" max="4616" width="9.140625" style="1" customWidth="1"/>
    <col min="4617" max="4617" width="16.140625" style="1" customWidth="1"/>
    <col min="4618" max="4618" width="15.85546875" style="1" customWidth="1"/>
    <col min="4619" max="4619" width="14.140625" style="1" customWidth="1"/>
    <col min="4620" max="4620" width="15.85546875" style="1" customWidth="1"/>
    <col min="4621" max="4621" width="13.5703125" style="1" customWidth="1"/>
    <col min="4622" max="4622" width="2.5703125" style="1" customWidth="1"/>
    <col min="4623" max="4864" width="9.140625" style="1"/>
    <col min="4865" max="4865" width="5.5703125" style="1" customWidth="1"/>
    <col min="4866" max="4866" width="13.42578125" style="1" customWidth="1"/>
    <col min="4867" max="4867" width="15.85546875" style="1" customWidth="1"/>
    <col min="4868" max="4868" width="17" style="1" customWidth="1"/>
    <col min="4869" max="4869" width="9.140625" style="1" customWidth="1"/>
    <col min="4870" max="4870" width="12" style="1" customWidth="1"/>
    <col min="4871" max="4872" width="9.140625" style="1" customWidth="1"/>
    <col min="4873" max="4873" width="16.140625" style="1" customWidth="1"/>
    <col min="4874" max="4874" width="15.85546875" style="1" customWidth="1"/>
    <col min="4875" max="4875" width="14.140625" style="1" customWidth="1"/>
    <col min="4876" max="4876" width="15.85546875" style="1" customWidth="1"/>
    <col min="4877" max="4877" width="13.5703125" style="1" customWidth="1"/>
    <col min="4878" max="4878" width="2.5703125" style="1" customWidth="1"/>
    <col min="4879" max="5120" width="9.140625" style="1"/>
    <col min="5121" max="5121" width="5.5703125" style="1" customWidth="1"/>
    <col min="5122" max="5122" width="13.42578125" style="1" customWidth="1"/>
    <col min="5123" max="5123" width="15.85546875" style="1" customWidth="1"/>
    <col min="5124" max="5124" width="17" style="1" customWidth="1"/>
    <col min="5125" max="5125" width="9.140625" style="1" customWidth="1"/>
    <col min="5126" max="5126" width="12" style="1" customWidth="1"/>
    <col min="5127" max="5128" width="9.140625" style="1" customWidth="1"/>
    <col min="5129" max="5129" width="16.140625" style="1" customWidth="1"/>
    <col min="5130" max="5130" width="15.85546875" style="1" customWidth="1"/>
    <col min="5131" max="5131" width="14.140625" style="1" customWidth="1"/>
    <col min="5132" max="5132" width="15.85546875" style="1" customWidth="1"/>
    <col min="5133" max="5133" width="13.5703125" style="1" customWidth="1"/>
    <col min="5134" max="5134" width="2.5703125" style="1" customWidth="1"/>
    <col min="5135" max="5376" width="9.140625" style="1"/>
    <col min="5377" max="5377" width="5.5703125" style="1" customWidth="1"/>
    <col min="5378" max="5378" width="13.42578125" style="1" customWidth="1"/>
    <col min="5379" max="5379" width="15.85546875" style="1" customWidth="1"/>
    <col min="5380" max="5380" width="17" style="1" customWidth="1"/>
    <col min="5381" max="5381" width="9.140625" style="1" customWidth="1"/>
    <col min="5382" max="5382" width="12" style="1" customWidth="1"/>
    <col min="5383" max="5384" width="9.140625" style="1" customWidth="1"/>
    <col min="5385" max="5385" width="16.140625" style="1" customWidth="1"/>
    <col min="5386" max="5386" width="15.85546875" style="1" customWidth="1"/>
    <col min="5387" max="5387" width="14.140625" style="1" customWidth="1"/>
    <col min="5388" max="5388" width="15.85546875" style="1" customWidth="1"/>
    <col min="5389" max="5389" width="13.5703125" style="1" customWidth="1"/>
    <col min="5390" max="5390" width="2.5703125" style="1" customWidth="1"/>
    <col min="5391" max="5632" width="9.140625" style="1"/>
    <col min="5633" max="5633" width="5.5703125" style="1" customWidth="1"/>
    <col min="5634" max="5634" width="13.42578125" style="1" customWidth="1"/>
    <col min="5635" max="5635" width="15.85546875" style="1" customWidth="1"/>
    <col min="5636" max="5636" width="17" style="1" customWidth="1"/>
    <col min="5637" max="5637" width="9.140625" style="1" customWidth="1"/>
    <col min="5638" max="5638" width="12" style="1" customWidth="1"/>
    <col min="5639" max="5640" width="9.140625" style="1" customWidth="1"/>
    <col min="5641" max="5641" width="16.140625" style="1" customWidth="1"/>
    <col min="5642" max="5642" width="15.85546875" style="1" customWidth="1"/>
    <col min="5643" max="5643" width="14.140625" style="1" customWidth="1"/>
    <col min="5644" max="5644" width="15.85546875" style="1" customWidth="1"/>
    <col min="5645" max="5645" width="13.5703125" style="1" customWidth="1"/>
    <col min="5646" max="5646" width="2.5703125" style="1" customWidth="1"/>
    <col min="5647" max="5888" width="9.140625" style="1"/>
    <col min="5889" max="5889" width="5.5703125" style="1" customWidth="1"/>
    <col min="5890" max="5890" width="13.42578125" style="1" customWidth="1"/>
    <col min="5891" max="5891" width="15.85546875" style="1" customWidth="1"/>
    <col min="5892" max="5892" width="17" style="1" customWidth="1"/>
    <col min="5893" max="5893" width="9.140625" style="1" customWidth="1"/>
    <col min="5894" max="5894" width="12" style="1" customWidth="1"/>
    <col min="5895" max="5896" width="9.140625" style="1" customWidth="1"/>
    <col min="5897" max="5897" width="16.140625" style="1" customWidth="1"/>
    <col min="5898" max="5898" width="15.85546875" style="1" customWidth="1"/>
    <col min="5899" max="5899" width="14.140625" style="1" customWidth="1"/>
    <col min="5900" max="5900" width="15.85546875" style="1" customWidth="1"/>
    <col min="5901" max="5901" width="13.5703125" style="1" customWidth="1"/>
    <col min="5902" max="5902" width="2.5703125" style="1" customWidth="1"/>
    <col min="5903" max="6144" width="9.140625" style="1"/>
    <col min="6145" max="6145" width="5.5703125" style="1" customWidth="1"/>
    <col min="6146" max="6146" width="13.42578125" style="1" customWidth="1"/>
    <col min="6147" max="6147" width="15.85546875" style="1" customWidth="1"/>
    <col min="6148" max="6148" width="17" style="1" customWidth="1"/>
    <col min="6149" max="6149" width="9.140625" style="1" customWidth="1"/>
    <col min="6150" max="6150" width="12" style="1" customWidth="1"/>
    <col min="6151" max="6152" width="9.140625" style="1" customWidth="1"/>
    <col min="6153" max="6153" width="16.140625" style="1" customWidth="1"/>
    <col min="6154" max="6154" width="15.85546875" style="1" customWidth="1"/>
    <col min="6155" max="6155" width="14.140625" style="1" customWidth="1"/>
    <col min="6156" max="6156" width="15.85546875" style="1" customWidth="1"/>
    <col min="6157" max="6157" width="13.5703125" style="1" customWidth="1"/>
    <col min="6158" max="6158" width="2.5703125" style="1" customWidth="1"/>
    <col min="6159" max="6400" width="9.140625" style="1"/>
    <col min="6401" max="6401" width="5.5703125" style="1" customWidth="1"/>
    <col min="6402" max="6402" width="13.42578125" style="1" customWidth="1"/>
    <col min="6403" max="6403" width="15.85546875" style="1" customWidth="1"/>
    <col min="6404" max="6404" width="17" style="1" customWidth="1"/>
    <col min="6405" max="6405" width="9.140625" style="1" customWidth="1"/>
    <col min="6406" max="6406" width="12" style="1" customWidth="1"/>
    <col min="6407" max="6408" width="9.140625" style="1" customWidth="1"/>
    <col min="6409" max="6409" width="16.140625" style="1" customWidth="1"/>
    <col min="6410" max="6410" width="15.85546875" style="1" customWidth="1"/>
    <col min="6411" max="6411" width="14.140625" style="1" customWidth="1"/>
    <col min="6412" max="6412" width="15.85546875" style="1" customWidth="1"/>
    <col min="6413" max="6413" width="13.5703125" style="1" customWidth="1"/>
    <col min="6414" max="6414" width="2.5703125" style="1" customWidth="1"/>
    <col min="6415" max="6656" width="9.140625" style="1"/>
    <col min="6657" max="6657" width="5.5703125" style="1" customWidth="1"/>
    <col min="6658" max="6658" width="13.42578125" style="1" customWidth="1"/>
    <col min="6659" max="6659" width="15.85546875" style="1" customWidth="1"/>
    <col min="6660" max="6660" width="17" style="1" customWidth="1"/>
    <col min="6661" max="6661" width="9.140625" style="1" customWidth="1"/>
    <col min="6662" max="6662" width="12" style="1" customWidth="1"/>
    <col min="6663" max="6664" width="9.140625" style="1" customWidth="1"/>
    <col min="6665" max="6665" width="16.140625" style="1" customWidth="1"/>
    <col min="6666" max="6666" width="15.85546875" style="1" customWidth="1"/>
    <col min="6667" max="6667" width="14.140625" style="1" customWidth="1"/>
    <col min="6668" max="6668" width="15.85546875" style="1" customWidth="1"/>
    <col min="6669" max="6669" width="13.5703125" style="1" customWidth="1"/>
    <col min="6670" max="6670" width="2.5703125" style="1" customWidth="1"/>
    <col min="6671" max="6912" width="9.140625" style="1"/>
    <col min="6913" max="6913" width="5.5703125" style="1" customWidth="1"/>
    <col min="6914" max="6914" width="13.42578125" style="1" customWidth="1"/>
    <col min="6915" max="6915" width="15.85546875" style="1" customWidth="1"/>
    <col min="6916" max="6916" width="17" style="1" customWidth="1"/>
    <col min="6917" max="6917" width="9.140625" style="1" customWidth="1"/>
    <col min="6918" max="6918" width="12" style="1" customWidth="1"/>
    <col min="6919" max="6920" width="9.140625" style="1" customWidth="1"/>
    <col min="6921" max="6921" width="16.140625" style="1" customWidth="1"/>
    <col min="6922" max="6922" width="15.85546875" style="1" customWidth="1"/>
    <col min="6923" max="6923" width="14.140625" style="1" customWidth="1"/>
    <col min="6924" max="6924" width="15.85546875" style="1" customWidth="1"/>
    <col min="6925" max="6925" width="13.5703125" style="1" customWidth="1"/>
    <col min="6926" max="6926" width="2.5703125" style="1" customWidth="1"/>
    <col min="6927" max="7168" width="9.140625" style="1"/>
    <col min="7169" max="7169" width="5.5703125" style="1" customWidth="1"/>
    <col min="7170" max="7170" width="13.42578125" style="1" customWidth="1"/>
    <col min="7171" max="7171" width="15.85546875" style="1" customWidth="1"/>
    <col min="7172" max="7172" width="17" style="1" customWidth="1"/>
    <col min="7173" max="7173" width="9.140625" style="1" customWidth="1"/>
    <col min="7174" max="7174" width="12" style="1" customWidth="1"/>
    <col min="7175" max="7176" width="9.140625" style="1" customWidth="1"/>
    <col min="7177" max="7177" width="16.140625" style="1" customWidth="1"/>
    <col min="7178" max="7178" width="15.85546875" style="1" customWidth="1"/>
    <col min="7179" max="7179" width="14.140625" style="1" customWidth="1"/>
    <col min="7180" max="7180" width="15.85546875" style="1" customWidth="1"/>
    <col min="7181" max="7181" width="13.5703125" style="1" customWidth="1"/>
    <col min="7182" max="7182" width="2.5703125" style="1" customWidth="1"/>
    <col min="7183" max="7424" width="9.140625" style="1"/>
    <col min="7425" max="7425" width="5.5703125" style="1" customWidth="1"/>
    <col min="7426" max="7426" width="13.42578125" style="1" customWidth="1"/>
    <col min="7427" max="7427" width="15.85546875" style="1" customWidth="1"/>
    <col min="7428" max="7428" width="17" style="1" customWidth="1"/>
    <col min="7429" max="7429" width="9.140625" style="1" customWidth="1"/>
    <col min="7430" max="7430" width="12" style="1" customWidth="1"/>
    <col min="7431" max="7432" width="9.140625" style="1" customWidth="1"/>
    <col min="7433" max="7433" width="16.140625" style="1" customWidth="1"/>
    <col min="7434" max="7434" width="15.85546875" style="1" customWidth="1"/>
    <col min="7435" max="7435" width="14.140625" style="1" customWidth="1"/>
    <col min="7436" max="7436" width="15.85546875" style="1" customWidth="1"/>
    <col min="7437" max="7437" width="13.5703125" style="1" customWidth="1"/>
    <col min="7438" max="7438" width="2.5703125" style="1" customWidth="1"/>
    <col min="7439" max="7680" width="9.140625" style="1"/>
    <col min="7681" max="7681" width="5.5703125" style="1" customWidth="1"/>
    <col min="7682" max="7682" width="13.42578125" style="1" customWidth="1"/>
    <col min="7683" max="7683" width="15.85546875" style="1" customWidth="1"/>
    <col min="7684" max="7684" width="17" style="1" customWidth="1"/>
    <col min="7685" max="7685" width="9.140625" style="1" customWidth="1"/>
    <col min="7686" max="7686" width="12" style="1" customWidth="1"/>
    <col min="7687" max="7688" width="9.140625" style="1" customWidth="1"/>
    <col min="7689" max="7689" width="16.140625" style="1" customWidth="1"/>
    <col min="7690" max="7690" width="15.85546875" style="1" customWidth="1"/>
    <col min="7691" max="7691" width="14.140625" style="1" customWidth="1"/>
    <col min="7692" max="7692" width="15.85546875" style="1" customWidth="1"/>
    <col min="7693" max="7693" width="13.5703125" style="1" customWidth="1"/>
    <col min="7694" max="7694" width="2.5703125" style="1" customWidth="1"/>
    <col min="7695" max="7936" width="9.140625" style="1"/>
    <col min="7937" max="7937" width="5.5703125" style="1" customWidth="1"/>
    <col min="7938" max="7938" width="13.42578125" style="1" customWidth="1"/>
    <col min="7939" max="7939" width="15.85546875" style="1" customWidth="1"/>
    <col min="7940" max="7940" width="17" style="1" customWidth="1"/>
    <col min="7941" max="7941" width="9.140625" style="1" customWidth="1"/>
    <col min="7942" max="7942" width="12" style="1" customWidth="1"/>
    <col min="7943" max="7944" width="9.140625" style="1" customWidth="1"/>
    <col min="7945" max="7945" width="16.140625" style="1" customWidth="1"/>
    <col min="7946" max="7946" width="15.85546875" style="1" customWidth="1"/>
    <col min="7947" max="7947" width="14.140625" style="1" customWidth="1"/>
    <col min="7948" max="7948" width="15.85546875" style="1" customWidth="1"/>
    <col min="7949" max="7949" width="13.5703125" style="1" customWidth="1"/>
    <col min="7950" max="7950" width="2.5703125" style="1" customWidth="1"/>
    <col min="7951" max="8192" width="9.140625" style="1"/>
    <col min="8193" max="8193" width="5.5703125" style="1" customWidth="1"/>
    <col min="8194" max="8194" width="13.42578125" style="1" customWidth="1"/>
    <col min="8195" max="8195" width="15.85546875" style="1" customWidth="1"/>
    <col min="8196" max="8196" width="17" style="1" customWidth="1"/>
    <col min="8197" max="8197" width="9.140625" style="1" customWidth="1"/>
    <col min="8198" max="8198" width="12" style="1" customWidth="1"/>
    <col min="8199" max="8200" width="9.140625" style="1" customWidth="1"/>
    <col min="8201" max="8201" width="16.140625" style="1" customWidth="1"/>
    <col min="8202" max="8202" width="15.85546875" style="1" customWidth="1"/>
    <col min="8203" max="8203" width="14.140625" style="1" customWidth="1"/>
    <col min="8204" max="8204" width="15.85546875" style="1" customWidth="1"/>
    <col min="8205" max="8205" width="13.5703125" style="1" customWidth="1"/>
    <col min="8206" max="8206" width="2.5703125" style="1" customWidth="1"/>
    <col min="8207" max="8448" width="9.140625" style="1"/>
    <col min="8449" max="8449" width="5.5703125" style="1" customWidth="1"/>
    <col min="8450" max="8450" width="13.42578125" style="1" customWidth="1"/>
    <col min="8451" max="8451" width="15.85546875" style="1" customWidth="1"/>
    <col min="8452" max="8452" width="17" style="1" customWidth="1"/>
    <col min="8453" max="8453" width="9.140625" style="1" customWidth="1"/>
    <col min="8454" max="8454" width="12" style="1" customWidth="1"/>
    <col min="8455" max="8456" width="9.140625" style="1" customWidth="1"/>
    <col min="8457" max="8457" width="16.140625" style="1" customWidth="1"/>
    <col min="8458" max="8458" width="15.85546875" style="1" customWidth="1"/>
    <col min="8459" max="8459" width="14.140625" style="1" customWidth="1"/>
    <col min="8460" max="8460" width="15.85546875" style="1" customWidth="1"/>
    <col min="8461" max="8461" width="13.5703125" style="1" customWidth="1"/>
    <col min="8462" max="8462" width="2.5703125" style="1" customWidth="1"/>
    <col min="8463" max="8704" width="9.140625" style="1"/>
    <col min="8705" max="8705" width="5.5703125" style="1" customWidth="1"/>
    <col min="8706" max="8706" width="13.42578125" style="1" customWidth="1"/>
    <col min="8707" max="8707" width="15.85546875" style="1" customWidth="1"/>
    <col min="8708" max="8708" width="17" style="1" customWidth="1"/>
    <col min="8709" max="8709" width="9.140625" style="1" customWidth="1"/>
    <col min="8710" max="8710" width="12" style="1" customWidth="1"/>
    <col min="8711" max="8712" width="9.140625" style="1" customWidth="1"/>
    <col min="8713" max="8713" width="16.140625" style="1" customWidth="1"/>
    <col min="8714" max="8714" width="15.85546875" style="1" customWidth="1"/>
    <col min="8715" max="8715" width="14.140625" style="1" customWidth="1"/>
    <col min="8716" max="8716" width="15.85546875" style="1" customWidth="1"/>
    <col min="8717" max="8717" width="13.5703125" style="1" customWidth="1"/>
    <col min="8718" max="8718" width="2.5703125" style="1" customWidth="1"/>
    <col min="8719" max="8960" width="9.140625" style="1"/>
    <col min="8961" max="8961" width="5.5703125" style="1" customWidth="1"/>
    <col min="8962" max="8962" width="13.42578125" style="1" customWidth="1"/>
    <col min="8963" max="8963" width="15.85546875" style="1" customWidth="1"/>
    <col min="8964" max="8964" width="17" style="1" customWidth="1"/>
    <col min="8965" max="8965" width="9.140625" style="1" customWidth="1"/>
    <col min="8966" max="8966" width="12" style="1" customWidth="1"/>
    <col min="8967" max="8968" width="9.140625" style="1" customWidth="1"/>
    <col min="8969" max="8969" width="16.140625" style="1" customWidth="1"/>
    <col min="8970" max="8970" width="15.85546875" style="1" customWidth="1"/>
    <col min="8971" max="8971" width="14.140625" style="1" customWidth="1"/>
    <col min="8972" max="8972" width="15.85546875" style="1" customWidth="1"/>
    <col min="8973" max="8973" width="13.5703125" style="1" customWidth="1"/>
    <col min="8974" max="8974" width="2.5703125" style="1" customWidth="1"/>
    <col min="8975" max="9216" width="9.140625" style="1"/>
    <col min="9217" max="9217" width="5.5703125" style="1" customWidth="1"/>
    <col min="9218" max="9218" width="13.42578125" style="1" customWidth="1"/>
    <col min="9219" max="9219" width="15.85546875" style="1" customWidth="1"/>
    <col min="9220" max="9220" width="17" style="1" customWidth="1"/>
    <col min="9221" max="9221" width="9.140625" style="1" customWidth="1"/>
    <col min="9222" max="9222" width="12" style="1" customWidth="1"/>
    <col min="9223" max="9224" width="9.140625" style="1" customWidth="1"/>
    <col min="9225" max="9225" width="16.140625" style="1" customWidth="1"/>
    <col min="9226" max="9226" width="15.85546875" style="1" customWidth="1"/>
    <col min="9227" max="9227" width="14.140625" style="1" customWidth="1"/>
    <col min="9228" max="9228" width="15.85546875" style="1" customWidth="1"/>
    <col min="9229" max="9229" width="13.5703125" style="1" customWidth="1"/>
    <col min="9230" max="9230" width="2.5703125" style="1" customWidth="1"/>
    <col min="9231" max="9472" width="9.140625" style="1"/>
    <col min="9473" max="9473" width="5.5703125" style="1" customWidth="1"/>
    <col min="9474" max="9474" width="13.42578125" style="1" customWidth="1"/>
    <col min="9475" max="9475" width="15.85546875" style="1" customWidth="1"/>
    <col min="9476" max="9476" width="17" style="1" customWidth="1"/>
    <col min="9477" max="9477" width="9.140625" style="1" customWidth="1"/>
    <col min="9478" max="9478" width="12" style="1" customWidth="1"/>
    <col min="9479" max="9480" width="9.140625" style="1" customWidth="1"/>
    <col min="9481" max="9481" width="16.140625" style="1" customWidth="1"/>
    <col min="9482" max="9482" width="15.85546875" style="1" customWidth="1"/>
    <col min="9483" max="9483" width="14.140625" style="1" customWidth="1"/>
    <col min="9484" max="9484" width="15.85546875" style="1" customWidth="1"/>
    <col min="9485" max="9485" width="13.5703125" style="1" customWidth="1"/>
    <col min="9486" max="9486" width="2.5703125" style="1" customWidth="1"/>
    <col min="9487" max="9728" width="9.140625" style="1"/>
    <col min="9729" max="9729" width="5.5703125" style="1" customWidth="1"/>
    <col min="9730" max="9730" width="13.42578125" style="1" customWidth="1"/>
    <col min="9731" max="9731" width="15.85546875" style="1" customWidth="1"/>
    <col min="9732" max="9732" width="17" style="1" customWidth="1"/>
    <col min="9733" max="9733" width="9.140625" style="1" customWidth="1"/>
    <col min="9734" max="9734" width="12" style="1" customWidth="1"/>
    <col min="9735" max="9736" width="9.140625" style="1" customWidth="1"/>
    <col min="9737" max="9737" width="16.140625" style="1" customWidth="1"/>
    <col min="9738" max="9738" width="15.85546875" style="1" customWidth="1"/>
    <col min="9739" max="9739" width="14.140625" style="1" customWidth="1"/>
    <col min="9740" max="9740" width="15.85546875" style="1" customWidth="1"/>
    <col min="9741" max="9741" width="13.5703125" style="1" customWidth="1"/>
    <col min="9742" max="9742" width="2.5703125" style="1" customWidth="1"/>
    <col min="9743" max="9984" width="9.140625" style="1"/>
    <col min="9985" max="9985" width="5.5703125" style="1" customWidth="1"/>
    <col min="9986" max="9986" width="13.42578125" style="1" customWidth="1"/>
    <col min="9987" max="9987" width="15.85546875" style="1" customWidth="1"/>
    <col min="9988" max="9988" width="17" style="1" customWidth="1"/>
    <col min="9989" max="9989" width="9.140625" style="1" customWidth="1"/>
    <col min="9990" max="9990" width="12" style="1" customWidth="1"/>
    <col min="9991" max="9992" width="9.140625" style="1" customWidth="1"/>
    <col min="9993" max="9993" width="16.140625" style="1" customWidth="1"/>
    <col min="9994" max="9994" width="15.85546875" style="1" customWidth="1"/>
    <col min="9995" max="9995" width="14.140625" style="1" customWidth="1"/>
    <col min="9996" max="9996" width="15.85546875" style="1" customWidth="1"/>
    <col min="9997" max="9997" width="13.5703125" style="1" customWidth="1"/>
    <col min="9998" max="9998" width="2.5703125" style="1" customWidth="1"/>
    <col min="9999" max="10240" width="9.140625" style="1"/>
    <col min="10241" max="10241" width="5.5703125" style="1" customWidth="1"/>
    <col min="10242" max="10242" width="13.42578125" style="1" customWidth="1"/>
    <col min="10243" max="10243" width="15.85546875" style="1" customWidth="1"/>
    <col min="10244" max="10244" width="17" style="1" customWidth="1"/>
    <col min="10245" max="10245" width="9.140625" style="1" customWidth="1"/>
    <col min="10246" max="10246" width="12" style="1" customWidth="1"/>
    <col min="10247" max="10248" width="9.140625" style="1" customWidth="1"/>
    <col min="10249" max="10249" width="16.140625" style="1" customWidth="1"/>
    <col min="10250" max="10250" width="15.85546875" style="1" customWidth="1"/>
    <col min="10251" max="10251" width="14.140625" style="1" customWidth="1"/>
    <col min="10252" max="10252" width="15.85546875" style="1" customWidth="1"/>
    <col min="10253" max="10253" width="13.5703125" style="1" customWidth="1"/>
    <col min="10254" max="10254" width="2.5703125" style="1" customWidth="1"/>
    <col min="10255" max="10496" width="9.140625" style="1"/>
    <col min="10497" max="10497" width="5.5703125" style="1" customWidth="1"/>
    <col min="10498" max="10498" width="13.42578125" style="1" customWidth="1"/>
    <col min="10499" max="10499" width="15.85546875" style="1" customWidth="1"/>
    <col min="10500" max="10500" width="17" style="1" customWidth="1"/>
    <col min="10501" max="10501" width="9.140625" style="1" customWidth="1"/>
    <col min="10502" max="10502" width="12" style="1" customWidth="1"/>
    <col min="10503" max="10504" width="9.140625" style="1" customWidth="1"/>
    <col min="10505" max="10505" width="16.140625" style="1" customWidth="1"/>
    <col min="10506" max="10506" width="15.85546875" style="1" customWidth="1"/>
    <col min="10507" max="10507" width="14.140625" style="1" customWidth="1"/>
    <col min="10508" max="10508" width="15.85546875" style="1" customWidth="1"/>
    <col min="10509" max="10509" width="13.5703125" style="1" customWidth="1"/>
    <col min="10510" max="10510" width="2.5703125" style="1" customWidth="1"/>
    <col min="10511" max="10752" width="9.140625" style="1"/>
    <col min="10753" max="10753" width="5.5703125" style="1" customWidth="1"/>
    <col min="10754" max="10754" width="13.42578125" style="1" customWidth="1"/>
    <col min="10755" max="10755" width="15.85546875" style="1" customWidth="1"/>
    <col min="10756" max="10756" width="17" style="1" customWidth="1"/>
    <col min="10757" max="10757" width="9.140625" style="1" customWidth="1"/>
    <col min="10758" max="10758" width="12" style="1" customWidth="1"/>
    <col min="10759" max="10760" width="9.140625" style="1" customWidth="1"/>
    <col min="10761" max="10761" width="16.140625" style="1" customWidth="1"/>
    <col min="10762" max="10762" width="15.85546875" style="1" customWidth="1"/>
    <col min="10763" max="10763" width="14.140625" style="1" customWidth="1"/>
    <col min="10764" max="10764" width="15.85546875" style="1" customWidth="1"/>
    <col min="10765" max="10765" width="13.5703125" style="1" customWidth="1"/>
    <col min="10766" max="10766" width="2.5703125" style="1" customWidth="1"/>
    <col min="10767" max="11008" width="9.140625" style="1"/>
    <col min="11009" max="11009" width="5.5703125" style="1" customWidth="1"/>
    <col min="11010" max="11010" width="13.42578125" style="1" customWidth="1"/>
    <col min="11011" max="11011" width="15.85546875" style="1" customWidth="1"/>
    <col min="11012" max="11012" width="17" style="1" customWidth="1"/>
    <col min="11013" max="11013" width="9.140625" style="1" customWidth="1"/>
    <col min="11014" max="11014" width="12" style="1" customWidth="1"/>
    <col min="11015" max="11016" width="9.140625" style="1" customWidth="1"/>
    <col min="11017" max="11017" width="16.140625" style="1" customWidth="1"/>
    <col min="11018" max="11018" width="15.85546875" style="1" customWidth="1"/>
    <col min="11019" max="11019" width="14.140625" style="1" customWidth="1"/>
    <col min="11020" max="11020" width="15.85546875" style="1" customWidth="1"/>
    <col min="11021" max="11021" width="13.5703125" style="1" customWidth="1"/>
    <col min="11022" max="11022" width="2.5703125" style="1" customWidth="1"/>
    <col min="11023" max="11264" width="9.140625" style="1"/>
    <col min="11265" max="11265" width="5.5703125" style="1" customWidth="1"/>
    <col min="11266" max="11266" width="13.42578125" style="1" customWidth="1"/>
    <col min="11267" max="11267" width="15.85546875" style="1" customWidth="1"/>
    <col min="11268" max="11268" width="17" style="1" customWidth="1"/>
    <col min="11269" max="11269" width="9.140625" style="1" customWidth="1"/>
    <col min="11270" max="11270" width="12" style="1" customWidth="1"/>
    <col min="11271" max="11272" width="9.140625" style="1" customWidth="1"/>
    <col min="11273" max="11273" width="16.140625" style="1" customWidth="1"/>
    <col min="11274" max="11274" width="15.85546875" style="1" customWidth="1"/>
    <col min="11275" max="11275" width="14.140625" style="1" customWidth="1"/>
    <col min="11276" max="11276" width="15.85546875" style="1" customWidth="1"/>
    <col min="11277" max="11277" width="13.5703125" style="1" customWidth="1"/>
    <col min="11278" max="11278" width="2.5703125" style="1" customWidth="1"/>
    <col min="11279" max="11520" width="9.140625" style="1"/>
    <col min="11521" max="11521" width="5.5703125" style="1" customWidth="1"/>
    <col min="11522" max="11522" width="13.42578125" style="1" customWidth="1"/>
    <col min="11523" max="11523" width="15.85546875" style="1" customWidth="1"/>
    <col min="11524" max="11524" width="17" style="1" customWidth="1"/>
    <col min="11525" max="11525" width="9.140625" style="1" customWidth="1"/>
    <col min="11526" max="11526" width="12" style="1" customWidth="1"/>
    <col min="11527" max="11528" width="9.140625" style="1" customWidth="1"/>
    <col min="11529" max="11529" width="16.140625" style="1" customWidth="1"/>
    <col min="11530" max="11530" width="15.85546875" style="1" customWidth="1"/>
    <col min="11531" max="11531" width="14.140625" style="1" customWidth="1"/>
    <col min="11532" max="11532" width="15.85546875" style="1" customWidth="1"/>
    <col min="11533" max="11533" width="13.5703125" style="1" customWidth="1"/>
    <col min="11534" max="11534" width="2.5703125" style="1" customWidth="1"/>
    <col min="11535" max="11776" width="9.140625" style="1"/>
    <col min="11777" max="11777" width="5.5703125" style="1" customWidth="1"/>
    <col min="11778" max="11778" width="13.42578125" style="1" customWidth="1"/>
    <col min="11779" max="11779" width="15.85546875" style="1" customWidth="1"/>
    <col min="11780" max="11780" width="17" style="1" customWidth="1"/>
    <col min="11781" max="11781" width="9.140625" style="1" customWidth="1"/>
    <col min="11782" max="11782" width="12" style="1" customWidth="1"/>
    <col min="11783" max="11784" width="9.140625" style="1" customWidth="1"/>
    <col min="11785" max="11785" width="16.140625" style="1" customWidth="1"/>
    <col min="11786" max="11786" width="15.85546875" style="1" customWidth="1"/>
    <col min="11787" max="11787" width="14.140625" style="1" customWidth="1"/>
    <col min="11788" max="11788" width="15.85546875" style="1" customWidth="1"/>
    <col min="11789" max="11789" width="13.5703125" style="1" customWidth="1"/>
    <col min="11790" max="11790" width="2.5703125" style="1" customWidth="1"/>
    <col min="11791" max="12032" width="9.140625" style="1"/>
    <col min="12033" max="12033" width="5.5703125" style="1" customWidth="1"/>
    <col min="12034" max="12034" width="13.42578125" style="1" customWidth="1"/>
    <col min="12035" max="12035" width="15.85546875" style="1" customWidth="1"/>
    <col min="12036" max="12036" width="17" style="1" customWidth="1"/>
    <col min="12037" max="12037" width="9.140625" style="1" customWidth="1"/>
    <col min="12038" max="12038" width="12" style="1" customWidth="1"/>
    <col min="12039" max="12040" width="9.140625" style="1" customWidth="1"/>
    <col min="12041" max="12041" width="16.140625" style="1" customWidth="1"/>
    <col min="12042" max="12042" width="15.85546875" style="1" customWidth="1"/>
    <col min="12043" max="12043" width="14.140625" style="1" customWidth="1"/>
    <col min="12044" max="12044" width="15.85546875" style="1" customWidth="1"/>
    <col min="12045" max="12045" width="13.5703125" style="1" customWidth="1"/>
    <col min="12046" max="12046" width="2.5703125" style="1" customWidth="1"/>
    <col min="12047" max="12288" width="9.140625" style="1"/>
    <col min="12289" max="12289" width="5.5703125" style="1" customWidth="1"/>
    <col min="12290" max="12290" width="13.42578125" style="1" customWidth="1"/>
    <col min="12291" max="12291" width="15.85546875" style="1" customWidth="1"/>
    <col min="12292" max="12292" width="17" style="1" customWidth="1"/>
    <col min="12293" max="12293" width="9.140625" style="1" customWidth="1"/>
    <col min="12294" max="12294" width="12" style="1" customWidth="1"/>
    <col min="12295" max="12296" width="9.140625" style="1" customWidth="1"/>
    <col min="12297" max="12297" width="16.140625" style="1" customWidth="1"/>
    <col min="12298" max="12298" width="15.85546875" style="1" customWidth="1"/>
    <col min="12299" max="12299" width="14.140625" style="1" customWidth="1"/>
    <col min="12300" max="12300" width="15.85546875" style="1" customWidth="1"/>
    <col min="12301" max="12301" width="13.5703125" style="1" customWidth="1"/>
    <col min="12302" max="12302" width="2.5703125" style="1" customWidth="1"/>
    <col min="12303" max="12544" width="9.140625" style="1"/>
    <col min="12545" max="12545" width="5.5703125" style="1" customWidth="1"/>
    <col min="12546" max="12546" width="13.42578125" style="1" customWidth="1"/>
    <col min="12547" max="12547" width="15.85546875" style="1" customWidth="1"/>
    <col min="12548" max="12548" width="17" style="1" customWidth="1"/>
    <col min="12549" max="12549" width="9.140625" style="1" customWidth="1"/>
    <col min="12550" max="12550" width="12" style="1" customWidth="1"/>
    <col min="12551" max="12552" width="9.140625" style="1" customWidth="1"/>
    <col min="12553" max="12553" width="16.140625" style="1" customWidth="1"/>
    <col min="12554" max="12554" width="15.85546875" style="1" customWidth="1"/>
    <col min="12555" max="12555" width="14.140625" style="1" customWidth="1"/>
    <col min="12556" max="12556" width="15.85546875" style="1" customWidth="1"/>
    <col min="12557" max="12557" width="13.5703125" style="1" customWidth="1"/>
    <col min="12558" max="12558" width="2.5703125" style="1" customWidth="1"/>
    <col min="12559" max="12800" width="9.140625" style="1"/>
    <col min="12801" max="12801" width="5.5703125" style="1" customWidth="1"/>
    <col min="12802" max="12802" width="13.42578125" style="1" customWidth="1"/>
    <col min="12803" max="12803" width="15.85546875" style="1" customWidth="1"/>
    <col min="12804" max="12804" width="17" style="1" customWidth="1"/>
    <col min="12805" max="12805" width="9.140625" style="1" customWidth="1"/>
    <col min="12806" max="12806" width="12" style="1" customWidth="1"/>
    <col min="12807" max="12808" width="9.140625" style="1" customWidth="1"/>
    <col min="12809" max="12809" width="16.140625" style="1" customWidth="1"/>
    <col min="12810" max="12810" width="15.85546875" style="1" customWidth="1"/>
    <col min="12811" max="12811" width="14.140625" style="1" customWidth="1"/>
    <col min="12812" max="12812" width="15.85546875" style="1" customWidth="1"/>
    <col min="12813" max="12813" width="13.5703125" style="1" customWidth="1"/>
    <col min="12814" max="12814" width="2.5703125" style="1" customWidth="1"/>
    <col min="12815" max="13056" width="9.140625" style="1"/>
    <col min="13057" max="13057" width="5.5703125" style="1" customWidth="1"/>
    <col min="13058" max="13058" width="13.42578125" style="1" customWidth="1"/>
    <col min="13059" max="13059" width="15.85546875" style="1" customWidth="1"/>
    <col min="13060" max="13060" width="17" style="1" customWidth="1"/>
    <col min="13061" max="13061" width="9.140625" style="1" customWidth="1"/>
    <col min="13062" max="13062" width="12" style="1" customWidth="1"/>
    <col min="13063" max="13064" width="9.140625" style="1" customWidth="1"/>
    <col min="13065" max="13065" width="16.140625" style="1" customWidth="1"/>
    <col min="13066" max="13066" width="15.85546875" style="1" customWidth="1"/>
    <col min="13067" max="13067" width="14.140625" style="1" customWidth="1"/>
    <col min="13068" max="13068" width="15.85546875" style="1" customWidth="1"/>
    <col min="13069" max="13069" width="13.5703125" style="1" customWidth="1"/>
    <col min="13070" max="13070" width="2.5703125" style="1" customWidth="1"/>
    <col min="13071" max="13312" width="9.140625" style="1"/>
    <col min="13313" max="13313" width="5.5703125" style="1" customWidth="1"/>
    <col min="13314" max="13314" width="13.42578125" style="1" customWidth="1"/>
    <col min="13315" max="13315" width="15.85546875" style="1" customWidth="1"/>
    <col min="13316" max="13316" width="17" style="1" customWidth="1"/>
    <col min="13317" max="13317" width="9.140625" style="1" customWidth="1"/>
    <col min="13318" max="13318" width="12" style="1" customWidth="1"/>
    <col min="13319" max="13320" width="9.140625" style="1" customWidth="1"/>
    <col min="13321" max="13321" width="16.140625" style="1" customWidth="1"/>
    <col min="13322" max="13322" width="15.85546875" style="1" customWidth="1"/>
    <col min="13323" max="13323" width="14.140625" style="1" customWidth="1"/>
    <col min="13324" max="13324" width="15.85546875" style="1" customWidth="1"/>
    <col min="13325" max="13325" width="13.5703125" style="1" customWidth="1"/>
    <col min="13326" max="13326" width="2.5703125" style="1" customWidth="1"/>
    <col min="13327" max="13568" width="9.140625" style="1"/>
    <col min="13569" max="13569" width="5.5703125" style="1" customWidth="1"/>
    <col min="13570" max="13570" width="13.42578125" style="1" customWidth="1"/>
    <col min="13571" max="13571" width="15.85546875" style="1" customWidth="1"/>
    <col min="13572" max="13572" width="17" style="1" customWidth="1"/>
    <col min="13573" max="13573" width="9.140625" style="1" customWidth="1"/>
    <col min="13574" max="13574" width="12" style="1" customWidth="1"/>
    <col min="13575" max="13576" width="9.140625" style="1" customWidth="1"/>
    <col min="13577" max="13577" width="16.140625" style="1" customWidth="1"/>
    <col min="13578" max="13578" width="15.85546875" style="1" customWidth="1"/>
    <col min="13579" max="13579" width="14.140625" style="1" customWidth="1"/>
    <col min="13580" max="13580" width="15.85546875" style="1" customWidth="1"/>
    <col min="13581" max="13581" width="13.5703125" style="1" customWidth="1"/>
    <col min="13582" max="13582" width="2.5703125" style="1" customWidth="1"/>
    <col min="13583" max="13824" width="9.140625" style="1"/>
    <col min="13825" max="13825" width="5.5703125" style="1" customWidth="1"/>
    <col min="13826" max="13826" width="13.42578125" style="1" customWidth="1"/>
    <col min="13827" max="13827" width="15.85546875" style="1" customWidth="1"/>
    <col min="13828" max="13828" width="17" style="1" customWidth="1"/>
    <col min="13829" max="13829" width="9.140625" style="1" customWidth="1"/>
    <col min="13830" max="13830" width="12" style="1" customWidth="1"/>
    <col min="13831" max="13832" width="9.140625" style="1" customWidth="1"/>
    <col min="13833" max="13833" width="16.140625" style="1" customWidth="1"/>
    <col min="13834" max="13834" width="15.85546875" style="1" customWidth="1"/>
    <col min="13835" max="13835" width="14.140625" style="1" customWidth="1"/>
    <col min="13836" max="13836" width="15.85546875" style="1" customWidth="1"/>
    <col min="13837" max="13837" width="13.5703125" style="1" customWidth="1"/>
    <col min="13838" max="13838" width="2.5703125" style="1" customWidth="1"/>
    <col min="13839" max="14080" width="9.140625" style="1"/>
    <col min="14081" max="14081" width="5.5703125" style="1" customWidth="1"/>
    <col min="14082" max="14082" width="13.42578125" style="1" customWidth="1"/>
    <col min="14083" max="14083" width="15.85546875" style="1" customWidth="1"/>
    <col min="14084" max="14084" width="17" style="1" customWidth="1"/>
    <col min="14085" max="14085" width="9.140625" style="1" customWidth="1"/>
    <col min="14086" max="14086" width="12" style="1" customWidth="1"/>
    <col min="14087" max="14088" width="9.140625" style="1" customWidth="1"/>
    <col min="14089" max="14089" width="16.140625" style="1" customWidth="1"/>
    <col min="14090" max="14090" width="15.85546875" style="1" customWidth="1"/>
    <col min="14091" max="14091" width="14.140625" style="1" customWidth="1"/>
    <col min="14092" max="14092" width="15.85546875" style="1" customWidth="1"/>
    <col min="14093" max="14093" width="13.5703125" style="1" customWidth="1"/>
    <col min="14094" max="14094" width="2.5703125" style="1" customWidth="1"/>
    <col min="14095" max="14336" width="9.140625" style="1"/>
    <col min="14337" max="14337" width="5.5703125" style="1" customWidth="1"/>
    <col min="14338" max="14338" width="13.42578125" style="1" customWidth="1"/>
    <col min="14339" max="14339" width="15.85546875" style="1" customWidth="1"/>
    <col min="14340" max="14340" width="17" style="1" customWidth="1"/>
    <col min="14341" max="14341" width="9.140625" style="1" customWidth="1"/>
    <col min="14342" max="14342" width="12" style="1" customWidth="1"/>
    <col min="14343" max="14344" width="9.140625" style="1" customWidth="1"/>
    <col min="14345" max="14345" width="16.140625" style="1" customWidth="1"/>
    <col min="14346" max="14346" width="15.85546875" style="1" customWidth="1"/>
    <col min="14347" max="14347" width="14.140625" style="1" customWidth="1"/>
    <col min="14348" max="14348" width="15.85546875" style="1" customWidth="1"/>
    <col min="14349" max="14349" width="13.5703125" style="1" customWidth="1"/>
    <col min="14350" max="14350" width="2.5703125" style="1" customWidth="1"/>
    <col min="14351" max="14592" width="9.140625" style="1"/>
    <col min="14593" max="14593" width="5.5703125" style="1" customWidth="1"/>
    <col min="14594" max="14594" width="13.42578125" style="1" customWidth="1"/>
    <col min="14595" max="14595" width="15.85546875" style="1" customWidth="1"/>
    <col min="14596" max="14596" width="17" style="1" customWidth="1"/>
    <col min="14597" max="14597" width="9.140625" style="1" customWidth="1"/>
    <col min="14598" max="14598" width="12" style="1" customWidth="1"/>
    <col min="14599" max="14600" width="9.140625" style="1" customWidth="1"/>
    <col min="14601" max="14601" width="16.140625" style="1" customWidth="1"/>
    <col min="14602" max="14602" width="15.85546875" style="1" customWidth="1"/>
    <col min="14603" max="14603" width="14.140625" style="1" customWidth="1"/>
    <col min="14604" max="14604" width="15.85546875" style="1" customWidth="1"/>
    <col min="14605" max="14605" width="13.5703125" style="1" customWidth="1"/>
    <col min="14606" max="14606" width="2.5703125" style="1" customWidth="1"/>
    <col min="14607" max="14848" width="9.140625" style="1"/>
    <col min="14849" max="14849" width="5.5703125" style="1" customWidth="1"/>
    <col min="14850" max="14850" width="13.42578125" style="1" customWidth="1"/>
    <col min="14851" max="14851" width="15.85546875" style="1" customWidth="1"/>
    <col min="14852" max="14852" width="17" style="1" customWidth="1"/>
    <col min="14853" max="14853" width="9.140625" style="1" customWidth="1"/>
    <col min="14854" max="14854" width="12" style="1" customWidth="1"/>
    <col min="14855" max="14856" width="9.140625" style="1" customWidth="1"/>
    <col min="14857" max="14857" width="16.140625" style="1" customWidth="1"/>
    <col min="14858" max="14858" width="15.85546875" style="1" customWidth="1"/>
    <col min="14859" max="14859" width="14.140625" style="1" customWidth="1"/>
    <col min="14860" max="14860" width="15.85546875" style="1" customWidth="1"/>
    <col min="14861" max="14861" width="13.5703125" style="1" customWidth="1"/>
    <col min="14862" max="14862" width="2.5703125" style="1" customWidth="1"/>
    <col min="14863" max="15104" width="9.140625" style="1"/>
    <col min="15105" max="15105" width="5.5703125" style="1" customWidth="1"/>
    <col min="15106" max="15106" width="13.42578125" style="1" customWidth="1"/>
    <col min="15107" max="15107" width="15.85546875" style="1" customWidth="1"/>
    <col min="15108" max="15108" width="17" style="1" customWidth="1"/>
    <col min="15109" max="15109" width="9.140625" style="1" customWidth="1"/>
    <col min="15110" max="15110" width="12" style="1" customWidth="1"/>
    <col min="15111" max="15112" width="9.140625" style="1" customWidth="1"/>
    <col min="15113" max="15113" width="16.140625" style="1" customWidth="1"/>
    <col min="15114" max="15114" width="15.85546875" style="1" customWidth="1"/>
    <col min="15115" max="15115" width="14.140625" style="1" customWidth="1"/>
    <col min="15116" max="15116" width="15.85546875" style="1" customWidth="1"/>
    <col min="15117" max="15117" width="13.5703125" style="1" customWidth="1"/>
    <col min="15118" max="15118" width="2.5703125" style="1" customWidth="1"/>
    <col min="15119" max="15360" width="9.140625" style="1"/>
    <col min="15361" max="15361" width="5.5703125" style="1" customWidth="1"/>
    <col min="15362" max="15362" width="13.42578125" style="1" customWidth="1"/>
    <col min="15363" max="15363" width="15.85546875" style="1" customWidth="1"/>
    <col min="15364" max="15364" width="17" style="1" customWidth="1"/>
    <col min="15365" max="15365" width="9.140625" style="1" customWidth="1"/>
    <col min="15366" max="15366" width="12" style="1" customWidth="1"/>
    <col min="15367" max="15368" width="9.140625" style="1" customWidth="1"/>
    <col min="15369" max="15369" width="16.140625" style="1" customWidth="1"/>
    <col min="15370" max="15370" width="15.85546875" style="1" customWidth="1"/>
    <col min="15371" max="15371" width="14.140625" style="1" customWidth="1"/>
    <col min="15372" max="15372" width="15.85546875" style="1" customWidth="1"/>
    <col min="15373" max="15373" width="13.5703125" style="1" customWidth="1"/>
    <col min="15374" max="15374" width="2.5703125" style="1" customWidth="1"/>
    <col min="15375" max="15616" width="9.140625" style="1"/>
    <col min="15617" max="15617" width="5.5703125" style="1" customWidth="1"/>
    <col min="15618" max="15618" width="13.42578125" style="1" customWidth="1"/>
    <col min="15619" max="15619" width="15.85546875" style="1" customWidth="1"/>
    <col min="15620" max="15620" width="17" style="1" customWidth="1"/>
    <col min="15621" max="15621" width="9.140625" style="1" customWidth="1"/>
    <col min="15622" max="15622" width="12" style="1" customWidth="1"/>
    <col min="15623" max="15624" width="9.140625" style="1" customWidth="1"/>
    <col min="15625" max="15625" width="16.140625" style="1" customWidth="1"/>
    <col min="15626" max="15626" width="15.85546875" style="1" customWidth="1"/>
    <col min="15627" max="15627" width="14.140625" style="1" customWidth="1"/>
    <col min="15628" max="15628" width="15.85546875" style="1" customWidth="1"/>
    <col min="15629" max="15629" width="13.5703125" style="1" customWidth="1"/>
    <col min="15630" max="15630" width="2.5703125" style="1" customWidth="1"/>
    <col min="15631" max="15872" width="9.140625" style="1"/>
    <col min="15873" max="15873" width="5.5703125" style="1" customWidth="1"/>
    <col min="15874" max="15874" width="13.42578125" style="1" customWidth="1"/>
    <col min="15875" max="15875" width="15.85546875" style="1" customWidth="1"/>
    <col min="15876" max="15876" width="17" style="1" customWidth="1"/>
    <col min="15877" max="15877" width="9.140625" style="1" customWidth="1"/>
    <col min="15878" max="15878" width="12" style="1" customWidth="1"/>
    <col min="15879" max="15880" width="9.140625" style="1" customWidth="1"/>
    <col min="15881" max="15881" width="16.140625" style="1" customWidth="1"/>
    <col min="15882" max="15882" width="15.85546875" style="1" customWidth="1"/>
    <col min="15883" max="15883" width="14.140625" style="1" customWidth="1"/>
    <col min="15884" max="15884" width="15.85546875" style="1" customWidth="1"/>
    <col min="15885" max="15885" width="13.5703125" style="1" customWidth="1"/>
    <col min="15886" max="15886" width="2.5703125" style="1" customWidth="1"/>
    <col min="15887" max="16128" width="9.140625" style="1"/>
    <col min="16129" max="16129" width="5.5703125" style="1" customWidth="1"/>
    <col min="16130" max="16130" width="13.42578125" style="1" customWidth="1"/>
    <col min="16131" max="16131" width="15.85546875" style="1" customWidth="1"/>
    <col min="16132" max="16132" width="17" style="1" customWidth="1"/>
    <col min="16133" max="16133" width="9.140625" style="1" customWidth="1"/>
    <col min="16134" max="16134" width="12" style="1" customWidth="1"/>
    <col min="16135" max="16136" width="9.140625" style="1" customWidth="1"/>
    <col min="16137" max="16137" width="16.140625" style="1" customWidth="1"/>
    <col min="16138" max="16138" width="15.85546875" style="1" customWidth="1"/>
    <col min="16139" max="16139" width="14.140625" style="1" customWidth="1"/>
    <col min="16140" max="16140" width="15.85546875" style="1" customWidth="1"/>
    <col min="16141" max="16141" width="13.5703125" style="1" customWidth="1"/>
    <col min="16142" max="16142" width="2.5703125" style="1" customWidth="1"/>
    <col min="16143" max="16384" width="9.140625" style="1"/>
  </cols>
  <sheetData>
    <row r="1" spans="2:13" ht="13.5" thickBot="1" x14ac:dyDescent="0.25">
      <c r="H1" s="3"/>
    </row>
    <row r="2" spans="2:13" x14ac:dyDescent="0.2">
      <c r="B2" s="5"/>
      <c r="C2" s="108" t="s">
        <v>42</v>
      </c>
      <c r="D2" s="41">
        <v>0.02</v>
      </c>
      <c r="F2" s="365" t="s">
        <v>41</v>
      </c>
      <c r="G2" s="366"/>
      <c r="H2" s="366"/>
      <c r="I2" s="366"/>
      <c r="J2" s="366"/>
      <c r="K2" s="366"/>
      <c r="L2" s="367"/>
    </row>
    <row r="3" spans="2:13" x14ac:dyDescent="0.2">
      <c r="B3" s="6"/>
      <c r="C3" s="109" t="s">
        <v>20</v>
      </c>
      <c r="D3" s="7">
        <v>25</v>
      </c>
      <c r="F3" s="368" t="s">
        <v>46</v>
      </c>
      <c r="G3" s="369"/>
      <c r="H3" s="369"/>
      <c r="I3" s="369"/>
      <c r="J3" s="369"/>
      <c r="K3" s="369"/>
      <c r="L3" s="370"/>
    </row>
    <row r="4" spans="2:13" ht="13.5" thickBot="1" x14ac:dyDescent="0.25">
      <c r="B4" s="8"/>
      <c r="C4" s="110" t="s">
        <v>21</v>
      </c>
      <c r="D4" s="9">
        <v>0.9</v>
      </c>
      <c r="F4" s="111"/>
      <c r="G4" s="112" t="s">
        <v>43</v>
      </c>
      <c r="H4" s="113"/>
      <c r="I4" s="113"/>
      <c r="J4" s="113"/>
      <c r="K4" s="113"/>
      <c r="L4" s="114"/>
    </row>
    <row r="5" spans="2:13" x14ac:dyDescent="0.2">
      <c r="F5" s="111" t="s">
        <v>44</v>
      </c>
      <c r="G5" s="112"/>
      <c r="H5" s="113"/>
      <c r="I5" s="113"/>
      <c r="J5" s="113"/>
      <c r="K5" s="113"/>
      <c r="L5" s="114"/>
    </row>
    <row r="6" spans="2:13" ht="13.5" thickBot="1" x14ac:dyDescent="0.25">
      <c r="B6" s="371"/>
      <c r="C6" s="371"/>
      <c r="D6" s="371"/>
      <c r="F6" s="115"/>
      <c r="G6" s="116" t="s">
        <v>45</v>
      </c>
      <c r="H6" s="117"/>
      <c r="I6" s="117"/>
      <c r="J6" s="117"/>
      <c r="K6" s="117"/>
      <c r="L6" s="118"/>
    </row>
    <row r="7" spans="2:13" ht="13.5" thickBot="1" x14ac:dyDescent="0.25"/>
    <row r="8" spans="2:13" x14ac:dyDescent="0.2">
      <c r="B8" s="119" t="s">
        <v>24</v>
      </c>
      <c r="C8" s="10" t="s">
        <v>0</v>
      </c>
      <c r="D8" s="11" t="s">
        <v>3</v>
      </c>
      <c r="H8" s="12"/>
      <c r="I8" s="13" t="s">
        <v>0</v>
      </c>
      <c r="J8" s="14" t="s">
        <v>2</v>
      </c>
      <c r="K8" s="15"/>
      <c r="M8" s="15"/>
    </row>
    <row r="9" spans="2:13" ht="13.5" thickBot="1" x14ac:dyDescent="0.25">
      <c r="B9" s="120" t="s">
        <v>19</v>
      </c>
      <c r="C9" s="16" t="s">
        <v>25</v>
      </c>
      <c r="D9" s="17" t="s">
        <v>26</v>
      </c>
      <c r="H9" s="18"/>
      <c r="I9" s="15" t="s">
        <v>9</v>
      </c>
      <c r="J9" s="19" t="s">
        <v>9</v>
      </c>
      <c r="K9" s="15"/>
      <c r="M9" s="15"/>
    </row>
    <row r="10" spans="2:13" x14ac:dyDescent="0.2">
      <c r="B10" s="20">
        <v>1</v>
      </c>
      <c r="C10" s="42">
        <v>20</v>
      </c>
      <c r="D10" s="43">
        <v>0</v>
      </c>
      <c r="E10" s="21">
        <f>CEILING(C10*D$2+5*SQRT(C10*D$2*(1-D$2)),1)</f>
        <v>4</v>
      </c>
      <c r="H10" s="22">
        <v>1</v>
      </c>
      <c r="I10" s="12">
        <f>IF(C10="","NA",C10)</f>
        <v>20</v>
      </c>
      <c r="J10" s="23">
        <f>IF(D10="","NA",D10)</f>
        <v>0</v>
      </c>
      <c r="K10" s="24"/>
      <c r="M10" s="24"/>
    </row>
    <row r="11" spans="2:13" x14ac:dyDescent="0.2">
      <c r="B11" s="20">
        <v>2</v>
      </c>
      <c r="C11" s="42">
        <v>20</v>
      </c>
      <c r="D11" s="43">
        <v>0</v>
      </c>
      <c r="E11" s="21">
        <f t="shared" ref="E11:E33" si="0">CEILING(C11*D$2+5*SQRT(C11*D$2*(1-D$2)),1)</f>
        <v>4</v>
      </c>
      <c r="H11" s="22">
        <v>2</v>
      </c>
      <c r="I11" s="22">
        <f t="shared" ref="I11:J33" si="1">IF(C11="","NA",C11)</f>
        <v>20</v>
      </c>
      <c r="J11" s="25">
        <f t="shared" si="1"/>
        <v>0</v>
      </c>
      <c r="K11" s="24"/>
      <c r="M11" s="24"/>
    </row>
    <row r="12" spans="2:13" x14ac:dyDescent="0.2">
      <c r="B12" s="20">
        <v>3</v>
      </c>
      <c r="C12" s="42">
        <v>20</v>
      </c>
      <c r="D12" s="43">
        <v>0</v>
      </c>
      <c r="E12" s="21">
        <f t="shared" si="0"/>
        <v>4</v>
      </c>
      <c r="H12" s="22">
        <v>3</v>
      </c>
      <c r="I12" s="22">
        <f t="shared" si="1"/>
        <v>20</v>
      </c>
      <c r="J12" s="25">
        <f t="shared" si="1"/>
        <v>0</v>
      </c>
      <c r="K12" s="24"/>
      <c r="M12" s="24"/>
    </row>
    <row r="13" spans="2:13" x14ac:dyDescent="0.2">
      <c r="B13" s="20">
        <v>4</v>
      </c>
      <c r="C13" s="42">
        <v>20</v>
      </c>
      <c r="D13" s="43">
        <v>0</v>
      </c>
      <c r="E13" s="21">
        <f t="shared" si="0"/>
        <v>4</v>
      </c>
      <c r="H13" s="22">
        <v>4</v>
      </c>
      <c r="I13" s="22">
        <f t="shared" si="1"/>
        <v>20</v>
      </c>
      <c r="J13" s="25">
        <f t="shared" si="1"/>
        <v>0</v>
      </c>
      <c r="K13" s="24"/>
      <c r="M13" s="24"/>
    </row>
    <row r="14" spans="2:13" x14ac:dyDescent="0.2">
      <c r="B14" s="20">
        <v>5</v>
      </c>
      <c r="C14" s="42">
        <v>20</v>
      </c>
      <c r="D14" s="43">
        <v>0</v>
      </c>
      <c r="E14" s="21">
        <f t="shared" si="0"/>
        <v>4</v>
      </c>
      <c r="H14" s="22">
        <v>5</v>
      </c>
      <c r="I14" s="22">
        <f t="shared" si="1"/>
        <v>20</v>
      </c>
      <c r="J14" s="25">
        <f t="shared" si="1"/>
        <v>0</v>
      </c>
      <c r="K14" s="24"/>
      <c r="M14" s="24"/>
    </row>
    <row r="15" spans="2:13" x14ac:dyDescent="0.2">
      <c r="B15" s="20">
        <v>6</v>
      </c>
      <c r="C15" s="42">
        <v>20</v>
      </c>
      <c r="D15" s="43">
        <v>0</v>
      </c>
      <c r="E15" s="21">
        <f t="shared" si="0"/>
        <v>4</v>
      </c>
      <c r="H15" s="22">
        <v>6</v>
      </c>
      <c r="I15" s="22">
        <f t="shared" si="1"/>
        <v>20</v>
      </c>
      <c r="J15" s="25">
        <f t="shared" si="1"/>
        <v>0</v>
      </c>
      <c r="K15" s="24"/>
      <c r="M15" s="24"/>
    </row>
    <row r="16" spans="2:13" x14ac:dyDescent="0.2">
      <c r="B16" s="20">
        <v>7</v>
      </c>
      <c r="C16" s="42">
        <v>20</v>
      </c>
      <c r="D16" s="43">
        <v>0</v>
      </c>
      <c r="E16" s="21">
        <f t="shared" si="0"/>
        <v>4</v>
      </c>
      <c r="H16" s="22">
        <v>7</v>
      </c>
      <c r="I16" s="22">
        <f t="shared" si="1"/>
        <v>20</v>
      </c>
      <c r="J16" s="25">
        <f t="shared" si="1"/>
        <v>0</v>
      </c>
      <c r="K16" s="24"/>
      <c r="M16" s="24"/>
    </row>
    <row r="17" spans="2:13" x14ac:dyDescent="0.2">
      <c r="B17" s="20">
        <v>8</v>
      </c>
      <c r="C17" s="42">
        <v>20</v>
      </c>
      <c r="D17" s="43">
        <v>0</v>
      </c>
      <c r="E17" s="21">
        <f t="shared" si="0"/>
        <v>4</v>
      </c>
      <c r="H17" s="22">
        <v>8</v>
      </c>
      <c r="I17" s="22">
        <f t="shared" si="1"/>
        <v>20</v>
      </c>
      <c r="J17" s="25">
        <f t="shared" si="1"/>
        <v>0</v>
      </c>
      <c r="K17" s="24"/>
      <c r="M17" s="24"/>
    </row>
    <row r="18" spans="2:13" x14ac:dyDescent="0.2">
      <c r="B18" s="20">
        <v>9</v>
      </c>
      <c r="C18" s="42">
        <v>20</v>
      </c>
      <c r="D18" s="43">
        <v>0</v>
      </c>
      <c r="E18" s="21">
        <f t="shared" si="0"/>
        <v>4</v>
      </c>
      <c r="H18" s="22">
        <v>9</v>
      </c>
      <c r="I18" s="22">
        <f t="shared" si="1"/>
        <v>20</v>
      </c>
      <c r="J18" s="25">
        <f t="shared" si="1"/>
        <v>0</v>
      </c>
      <c r="K18" s="24"/>
      <c r="M18" s="24"/>
    </row>
    <row r="19" spans="2:13" x14ac:dyDescent="0.2">
      <c r="B19" s="20">
        <v>10</v>
      </c>
      <c r="C19" s="42">
        <v>20</v>
      </c>
      <c r="D19" s="43">
        <v>0</v>
      </c>
      <c r="E19" s="21">
        <f t="shared" si="0"/>
        <v>4</v>
      </c>
      <c r="H19" s="22">
        <v>10</v>
      </c>
      <c r="I19" s="22">
        <f t="shared" si="1"/>
        <v>20</v>
      </c>
      <c r="J19" s="25">
        <f t="shared" si="1"/>
        <v>0</v>
      </c>
      <c r="K19" s="24"/>
      <c r="M19" s="24"/>
    </row>
    <row r="20" spans="2:13" x14ac:dyDescent="0.2">
      <c r="B20" s="20">
        <v>11</v>
      </c>
      <c r="C20" s="42" t="s">
        <v>264</v>
      </c>
      <c r="D20" s="42" t="s">
        <v>264</v>
      </c>
      <c r="E20" s="21" t="e">
        <f t="shared" si="0"/>
        <v>#VALUE!</v>
      </c>
      <c r="H20" s="22">
        <v>11</v>
      </c>
      <c r="I20" s="22" t="str">
        <f t="shared" si="1"/>
        <v>NA</v>
      </c>
      <c r="J20" s="25" t="str">
        <f t="shared" si="1"/>
        <v>NA</v>
      </c>
      <c r="K20" s="24"/>
      <c r="M20" s="24"/>
    </row>
    <row r="21" spans="2:13" x14ac:dyDescent="0.2">
      <c r="B21" s="20">
        <v>12</v>
      </c>
      <c r="C21" s="42" t="s">
        <v>264</v>
      </c>
      <c r="D21" s="42" t="s">
        <v>264</v>
      </c>
      <c r="E21" s="21" t="e">
        <f t="shared" si="0"/>
        <v>#VALUE!</v>
      </c>
      <c r="H21" s="22">
        <v>12</v>
      </c>
      <c r="I21" s="22" t="str">
        <f t="shared" si="1"/>
        <v>NA</v>
      </c>
      <c r="J21" s="25" t="str">
        <f t="shared" si="1"/>
        <v>NA</v>
      </c>
      <c r="K21" s="24"/>
      <c r="M21" s="24"/>
    </row>
    <row r="22" spans="2:13" x14ac:dyDescent="0.2">
      <c r="B22" s="20">
        <v>13</v>
      </c>
      <c r="C22" s="42" t="s">
        <v>264</v>
      </c>
      <c r="D22" s="42" t="s">
        <v>264</v>
      </c>
      <c r="E22" s="21" t="e">
        <f t="shared" si="0"/>
        <v>#VALUE!</v>
      </c>
      <c r="H22" s="22">
        <v>13</v>
      </c>
      <c r="I22" s="22" t="str">
        <f t="shared" si="1"/>
        <v>NA</v>
      </c>
      <c r="J22" s="25" t="str">
        <f t="shared" si="1"/>
        <v>NA</v>
      </c>
      <c r="K22" s="24"/>
      <c r="M22" s="24"/>
    </row>
    <row r="23" spans="2:13" x14ac:dyDescent="0.2">
      <c r="B23" s="20">
        <v>14</v>
      </c>
      <c r="C23" s="42" t="s">
        <v>264</v>
      </c>
      <c r="D23" s="42" t="s">
        <v>264</v>
      </c>
      <c r="E23" s="21" t="e">
        <f t="shared" si="0"/>
        <v>#VALUE!</v>
      </c>
      <c r="H23" s="22">
        <v>14</v>
      </c>
      <c r="I23" s="22" t="str">
        <f t="shared" si="1"/>
        <v>NA</v>
      </c>
      <c r="J23" s="25" t="str">
        <f t="shared" si="1"/>
        <v>NA</v>
      </c>
      <c r="K23" s="24"/>
      <c r="M23" s="24"/>
    </row>
    <row r="24" spans="2:13" x14ac:dyDescent="0.2">
      <c r="B24" s="20">
        <v>15</v>
      </c>
      <c r="C24" s="42" t="s">
        <v>264</v>
      </c>
      <c r="D24" s="42" t="s">
        <v>264</v>
      </c>
      <c r="E24" s="21" t="e">
        <f t="shared" si="0"/>
        <v>#VALUE!</v>
      </c>
      <c r="H24" s="22">
        <v>15</v>
      </c>
      <c r="I24" s="22" t="str">
        <f t="shared" si="1"/>
        <v>NA</v>
      </c>
      <c r="J24" s="25" t="str">
        <f t="shared" si="1"/>
        <v>NA</v>
      </c>
      <c r="K24" s="24"/>
      <c r="M24" s="24"/>
    </row>
    <row r="25" spans="2:13" x14ac:dyDescent="0.2">
      <c r="B25" s="20">
        <v>16</v>
      </c>
      <c r="C25" s="42" t="s">
        <v>264</v>
      </c>
      <c r="D25" s="42" t="s">
        <v>264</v>
      </c>
      <c r="E25" s="21" t="e">
        <f t="shared" si="0"/>
        <v>#VALUE!</v>
      </c>
      <c r="H25" s="22">
        <v>16</v>
      </c>
      <c r="I25" s="22" t="str">
        <f t="shared" si="1"/>
        <v>NA</v>
      </c>
      <c r="J25" s="25" t="str">
        <f t="shared" si="1"/>
        <v>NA</v>
      </c>
      <c r="K25" s="24"/>
      <c r="M25" s="24"/>
    </row>
    <row r="26" spans="2:13" x14ac:dyDescent="0.2">
      <c r="B26" s="20">
        <v>17</v>
      </c>
      <c r="C26" s="42" t="s">
        <v>264</v>
      </c>
      <c r="D26" s="42" t="s">
        <v>264</v>
      </c>
      <c r="E26" s="21" t="e">
        <f t="shared" si="0"/>
        <v>#VALUE!</v>
      </c>
      <c r="H26" s="22">
        <v>17</v>
      </c>
      <c r="I26" s="22" t="str">
        <f t="shared" si="1"/>
        <v>NA</v>
      </c>
      <c r="J26" s="25" t="str">
        <f t="shared" si="1"/>
        <v>NA</v>
      </c>
      <c r="K26" s="24"/>
      <c r="M26" s="24"/>
    </row>
    <row r="27" spans="2:13" x14ac:dyDescent="0.2">
      <c r="B27" s="20">
        <v>18</v>
      </c>
      <c r="C27" s="42" t="s">
        <v>264</v>
      </c>
      <c r="D27" s="42" t="s">
        <v>264</v>
      </c>
      <c r="E27" s="21" t="e">
        <f t="shared" si="0"/>
        <v>#VALUE!</v>
      </c>
      <c r="H27" s="22">
        <v>18</v>
      </c>
      <c r="I27" s="22" t="str">
        <f t="shared" si="1"/>
        <v>NA</v>
      </c>
      <c r="J27" s="25" t="str">
        <f t="shared" si="1"/>
        <v>NA</v>
      </c>
      <c r="K27" s="24"/>
      <c r="M27" s="24"/>
    </row>
    <row r="28" spans="2:13" x14ac:dyDescent="0.2">
      <c r="B28" s="20">
        <v>19</v>
      </c>
      <c r="C28" s="42" t="s">
        <v>264</v>
      </c>
      <c r="D28" s="42" t="s">
        <v>264</v>
      </c>
      <c r="E28" s="21" t="e">
        <f t="shared" si="0"/>
        <v>#VALUE!</v>
      </c>
      <c r="H28" s="22">
        <v>19</v>
      </c>
      <c r="I28" s="22" t="str">
        <f t="shared" si="1"/>
        <v>NA</v>
      </c>
      <c r="J28" s="25" t="str">
        <f t="shared" si="1"/>
        <v>NA</v>
      </c>
      <c r="K28" s="24"/>
      <c r="M28" s="24"/>
    </row>
    <row r="29" spans="2:13" x14ac:dyDescent="0.2">
      <c r="B29" s="20">
        <v>20</v>
      </c>
      <c r="C29" s="42" t="s">
        <v>264</v>
      </c>
      <c r="D29" s="42" t="s">
        <v>264</v>
      </c>
      <c r="E29" s="21" t="e">
        <f t="shared" si="0"/>
        <v>#VALUE!</v>
      </c>
      <c r="H29" s="22">
        <v>20</v>
      </c>
      <c r="I29" s="22" t="str">
        <f t="shared" si="1"/>
        <v>NA</v>
      </c>
      <c r="J29" s="25" t="str">
        <f t="shared" si="1"/>
        <v>NA</v>
      </c>
      <c r="K29" s="24"/>
      <c r="M29" s="24"/>
    </row>
    <row r="30" spans="2:13" x14ac:dyDescent="0.2">
      <c r="B30" s="20">
        <v>21</v>
      </c>
      <c r="C30" s="42" t="s">
        <v>264</v>
      </c>
      <c r="D30" s="42" t="s">
        <v>264</v>
      </c>
      <c r="E30" s="21" t="e">
        <f t="shared" si="0"/>
        <v>#VALUE!</v>
      </c>
      <c r="H30" s="22">
        <v>21</v>
      </c>
      <c r="I30" s="22" t="str">
        <f t="shared" si="1"/>
        <v>NA</v>
      </c>
      <c r="J30" s="25" t="str">
        <f t="shared" si="1"/>
        <v>NA</v>
      </c>
      <c r="K30" s="24"/>
      <c r="M30" s="24"/>
    </row>
    <row r="31" spans="2:13" x14ac:dyDescent="0.2">
      <c r="B31" s="20">
        <v>22</v>
      </c>
      <c r="C31" s="42" t="s">
        <v>264</v>
      </c>
      <c r="D31" s="42" t="s">
        <v>264</v>
      </c>
      <c r="E31" s="21" t="e">
        <f t="shared" si="0"/>
        <v>#VALUE!</v>
      </c>
      <c r="H31" s="22">
        <v>22</v>
      </c>
      <c r="I31" s="22" t="str">
        <f t="shared" si="1"/>
        <v>NA</v>
      </c>
      <c r="J31" s="25" t="str">
        <f t="shared" si="1"/>
        <v>NA</v>
      </c>
      <c r="K31" s="24"/>
      <c r="M31" s="24"/>
    </row>
    <row r="32" spans="2:13" x14ac:dyDescent="0.2">
      <c r="B32" s="20">
        <v>23</v>
      </c>
      <c r="C32" s="42" t="s">
        <v>264</v>
      </c>
      <c r="D32" s="42" t="s">
        <v>264</v>
      </c>
      <c r="E32" s="21" t="e">
        <f t="shared" si="0"/>
        <v>#VALUE!</v>
      </c>
      <c r="H32" s="22">
        <v>23</v>
      </c>
      <c r="I32" s="22" t="str">
        <f t="shared" si="1"/>
        <v>NA</v>
      </c>
      <c r="J32" s="25" t="str">
        <f t="shared" si="1"/>
        <v>NA</v>
      </c>
      <c r="K32" s="24"/>
      <c r="M32" s="24"/>
    </row>
    <row r="33" spans="2:13" ht="13.5" thickBot="1" x14ac:dyDescent="0.25">
      <c r="B33" s="20">
        <v>24</v>
      </c>
      <c r="C33" s="42" t="s">
        <v>264</v>
      </c>
      <c r="D33" s="42" t="s">
        <v>264</v>
      </c>
      <c r="E33" s="21" t="e">
        <f t="shared" si="0"/>
        <v>#VALUE!</v>
      </c>
      <c r="H33" s="22">
        <v>24</v>
      </c>
      <c r="I33" s="18" t="str">
        <f t="shared" si="1"/>
        <v>NA</v>
      </c>
      <c r="J33" s="26" t="str">
        <f t="shared" si="1"/>
        <v>NA</v>
      </c>
      <c r="K33" s="24"/>
      <c r="M33" s="24"/>
    </row>
    <row r="34" spans="2:13" ht="13.5" thickBot="1" x14ac:dyDescent="0.25">
      <c r="B34" s="27" t="s">
        <v>4</v>
      </c>
      <c r="C34" s="28">
        <f>SUM(C10:C33)</f>
        <v>200</v>
      </c>
      <c r="D34" s="9">
        <f>SUM(D10:D33)</f>
        <v>0</v>
      </c>
      <c r="H34" s="29" t="s">
        <v>4</v>
      </c>
      <c r="I34" s="30">
        <f>SUM(I10:I19)</f>
        <v>200</v>
      </c>
      <c r="J34" s="26">
        <f>SUM(J10:J19)</f>
        <v>0</v>
      </c>
      <c r="K34" s="24"/>
      <c r="M34" s="24"/>
    </row>
    <row r="35" spans="2:13" ht="13.35" customHeight="1" x14ac:dyDescent="0.2">
      <c r="B35" s="44"/>
      <c r="C35" s="121"/>
      <c r="D35" s="45"/>
    </row>
    <row r="36" spans="2:13" x14ac:dyDescent="0.2">
      <c r="B36" s="372"/>
      <c r="C36" s="372"/>
      <c r="D36" s="46"/>
      <c r="F36" s="31"/>
    </row>
    <row r="37" spans="2:13" ht="13.5" thickBot="1" x14ac:dyDescent="0.25">
      <c r="B37" s="122"/>
      <c r="K37" s="123"/>
      <c r="L37" s="373"/>
      <c r="M37" s="373"/>
    </row>
    <row r="38" spans="2:13" x14ac:dyDescent="0.2">
      <c r="B38" s="374" t="s">
        <v>27</v>
      </c>
      <c r="C38" s="375"/>
      <c r="D38" s="375"/>
      <c r="E38" s="375"/>
      <c r="F38" s="375"/>
      <c r="G38" s="375"/>
      <c r="H38" s="375"/>
      <c r="I38" s="376"/>
      <c r="J38" s="124"/>
      <c r="K38" s="125"/>
      <c r="L38" s="377"/>
      <c r="M38" s="377"/>
    </row>
    <row r="39" spans="2:13" x14ac:dyDescent="0.2">
      <c r="B39" s="379"/>
      <c r="C39" s="380"/>
      <c r="D39" s="380"/>
      <c r="E39" s="380"/>
      <c r="F39" s="380"/>
      <c r="G39" s="380"/>
      <c r="H39" s="380"/>
      <c r="I39" s="381"/>
      <c r="J39" s="40"/>
      <c r="K39" s="126" t="s">
        <v>22</v>
      </c>
      <c r="L39" s="378"/>
      <c r="M39" s="378"/>
    </row>
    <row r="40" spans="2:13" x14ac:dyDescent="0.2">
      <c r="B40" s="382"/>
      <c r="C40" s="383"/>
      <c r="D40" s="383"/>
      <c r="E40" s="383"/>
      <c r="F40" s="383"/>
      <c r="G40" s="383"/>
      <c r="H40" s="383"/>
      <c r="I40" s="384"/>
      <c r="J40" s="40"/>
      <c r="K40" s="123"/>
      <c r="L40" s="1"/>
    </row>
    <row r="41" spans="2:13" x14ac:dyDescent="0.2">
      <c r="B41" s="382"/>
      <c r="C41" s="383"/>
      <c r="D41" s="383"/>
      <c r="E41" s="383"/>
      <c r="F41" s="383"/>
      <c r="G41" s="383"/>
      <c r="H41" s="383"/>
      <c r="I41" s="384"/>
      <c r="J41" s="40"/>
      <c r="L41" s="373"/>
      <c r="M41" s="373"/>
    </row>
    <row r="42" spans="2:13" x14ac:dyDescent="0.2">
      <c r="B42" s="382"/>
      <c r="C42" s="383"/>
      <c r="D42" s="383"/>
      <c r="E42" s="383"/>
      <c r="F42" s="383"/>
      <c r="G42" s="383"/>
      <c r="H42" s="383"/>
      <c r="I42" s="384"/>
      <c r="J42" s="40"/>
      <c r="K42" s="125"/>
      <c r="L42" s="377"/>
      <c r="M42" s="377"/>
    </row>
    <row r="43" spans="2:13" ht="13.5" thickBot="1" x14ac:dyDescent="0.25">
      <c r="B43" s="385"/>
      <c r="C43" s="386"/>
      <c r="D43" s="386"/>
      <c r="E43" s="386"/>
      <c r="F43" s="386"/>
      <c r="G43" s="386"/>
      <c r="H43" s="386"/>
      <c r="I43" s="387"/>
      <c r="J43" s="40"/>
      <c r="K43" s="126" t="s">
        <v>23</v>
      </c>
      <c r="L43" s="378"/>
      <c r="M43" s="378"/>
    </row>
    <row r="44" spans="2:13" x14ac:dyDescent="0.2">
      <c r="H44" s="364" t="s">
        <v>59</v>
      </c>
      <c r="I44" s="364"/>
      <c r="J44" s="364"/>
      <c r="K44" s="364"/>
      <c r="L44" s="364"/>
    </row>
    <row r="45" spans="2:13" x14ac:dyDescent="0.2">
      <c r="F45" s="1"/>
      <c r="H45" s="47"/>
      <c r="I45" s="48" t="s">
        <v>0</v>
      </c>
      <c r="J45" s="48" t="s">
        <v>3</v>
      </c>
      <c r="K45" s="48" t="s">
        <v>1</v>
      </c>
      <c r="L45" s="49"/>
    </row>
    <row r="46" spans="2:13" x14ac:dyDescent="0.2">
      <c r="H46" s="50"/>
      <c r="I46" s="51" t="s">
        <v>4</v>
      </c>
      <c r="J46" s="51" t="s">
        <v>4</v>
      </c>
      <c r="K46" s="51" t="s">
        <v>15</v>
      </c>
      <c r="L46" s="52" t="s">
        <v>18</v>
      </c>
      <c r="M46" s="15"/>
    </row>
    <row r="47" spans="2:13" x14ac:dyDescent="0.2">
      <c r="H47" s="50">
        <v>1</v>
      </c>
      <c r="I47" s="34">
        <f>IF(I10="NA","NA",I10)</f>
        <v>20</v>
      </c>
      <c r="J47" s="34">
        <f>IF(J10="NA","NA",J10)</f>
        <v>0</v>
      </c>
      <c r="K47" s="53">
        <f>IF(I47="NA","NA",J47/I47)</f>
        <v>0</v>
      </c>
      <c r="L47" s="54">
        <f>HistoricalAccuStats!C22</f>
        <v>0.14862790937658446</v>
      </c>
      <c r="M47" s="15"/>
    </row>
    <row r="48" spans="2:13" x14ac:dyDescent="0.2">
      <c r="H48" s="50">
        <v>2</v>
      </c>
      <c r="I48" s="34">
        <f t="shared" ref="I48:J63" si="2">IF(I11="NA","NA",I11+I47)</f>
        <v>40</v>
      </c>
      <c r="J48" s="34">
        <f t="shared" si="2"/>
        <v>0</v>
      </c>
      <c r="K48" s="53">
        <f>IF(I48="NA",-10,J48/I48)</f>
        <v>0</v>
      </c>
      <c r="L48" s="54">
        <f>HistoricalAccuStats!C23</f>
        <v>9.0057962325347005E-2</v>
      </c>
      <c r="M48" s="24"/>
    </row>
    <row r="49" spans="8:13" x14ac:dyDescent="0.2">
      <c r="H49" s="50">
        <v>3</v>
      </c>
      <c r="I49" s="34">
        <f t="shared" si="2"/>
        <v>60</v>
      </c>
      <c r="J49" s="34">
        <f t="shared" si="2"/>
        <v>0</v>
      </c>
      <c r="K49" s="53">
        <f t="shared" ref="K49:K70" si="3">IF(I49="NA",-10,J49/I49)</f>
        <v>0</v>
      </c>
      <c r="L49" s="54">
        <f>HistoricalAccuStats!C24</f>
        <v>6.9410823142639175E-2</v>
      </c>
      <c r="M49" s="24"/>
    </row>
    <row r="50" spans="8:13" x14ac:dyDescent="0.2">
      <c r="H50" s="50">
        <v>4</v>
      </c>
      <c r="I50" s="34">
        <f t="shared" si="2"/>
        <v>80</v>
      </c>
      <c r="J50" s="34">
        <f t="shared" si="2"/>
        <v>0</v>
      </c>
      <c r="K50" s="53">
        <f t="shared" si="3"/>
        <v>0</v>
      </c>
      <c r="L50" s="54">
        <f>HistoricalAccuStats!C25</f>
        <v>5.8821631097975884E-2</v>
      </c>
      <c r="M50" s="24"/>
    </row>
    <row r="51" spans="8:13" x14ac:dyDescent="0.2">
      <c r="H51" s="50">
        <v>5</v>
      </c>
      <c r="I51" s="34">
        <f t="shared" si="2"/>
        <v>100</v>
      </c>
      <c r="J51" s="34">
        <f t="shared" si="2"/>
        <v>0</v>
      </c>
      <c r="K51" s="53">
        <f t="shared" si="3"/>
        <v>0</v>
      </c>
      <c r="L51" s="54">
        <f>HistoricalAccuStats!C26</f>
        <v>5.2345290180388124E-2</v>
      </c>
      <c r="M51" s="24"/>
    </row>
    <row r="52" spans="8:13" x14ac:dyDescent="0.2">
      <c r="H52" s="50">
        <v>6</v>
      </c>
      <c r="I52" s="34">
        <f t="shared" si="2"/>
        <v>120</v>
      </c>
      <c r="J52" s="34">
        <f t="shared" si="2"/>
        <v>0</v>
      </c>
      <c r="K52" s="53">
        <f t="shared" si="3"/>
        <v>0</v>
      </c>
      <c r="L52" s="54">
        <f>HistoricalAccuStats!C27</f>
        <v>4.9449305557185144E-2</v>
      </c>
      <c r="M52" s="24"/>
    </row>
    <row r="53" spans="8:13" x14ac:dyDescent="0.2">
      <c r="H53" s="50">
        <v>7</v>
      </c>
      <c r="I53" s="34">
        <f t="shared" si="2"/>
        <v>140</v>
      </c>
      <c r="J53" s="34">
        <f t="shared" si="2"/>
        <v>0</v>
      </c>
      <c r="K53" s="53">
        <f t="shared" si="3"/>
        <v>0</v>
      </c>
      <c r="L53" s="54">
        <f>HistoricalAccuStats!C28</f>
        <v>4.5946665708491694E-2</v>
      </c>
      <c r="M53" s="24"/>
    </row>
    <row r="54" spans="8:13" x14ac:dyDescent="0.2">
      <c r="H54" s="50">
        <v>8</v>
      </c>
      <c r="I54" s="34">
        <f t="shared" si="2"/>
        <v>160</v>
      </c>
      <c r="J54" s="34">
        <f t="shared" si="2"/>
        <v>0</v>
      </c>
      <c r="K54" s="53">
        <f t="shared" si="3"/>
        <v>0</v>
      </c>
      <c r="L54" s="54">
        <f>HistoricalAccuStats!C29</f>
        <v>4.3305320007228448E-2</v>
      </c>
      <c r="M54" s="24"/>
    </row>
    <row r="55" spans="8:13" x14ac:dyDescent="0.2">
      <c r="H55" s="50">
        <v>9</v>
      </c>
      <c r="I55" s="34">
        <f t="shared" si="2"/>
        <v>180</v>
      </c>
      <c r="J55" s="34">
        <f t="shared" si="2"/>
        <v>0</v>
      </c>
      <c r="K55" s="53">
        <f t="shared" si="3"/>
        <v>0</v>
      </c>
      <c r="L55" s="54">
        <f>HistoricalAccuStats!C30</f>
        <v>4.1237407233679253E-2</v>
      </c>
      <c r="M55" s="24"/>
    </row>
    <row r="56" spans="8:13" x14ac:dyDescent="0.2">
      <c r="H56" s="50">
        <v>10</v>
      </c>
      <c r="I56" s="34">
        <f t="shared" si="2"/>
        <v>200</v>
      </c>
      <c r="J56" s="34">
        <f t="shared" si="2"/>
        <v>0</v>
      </c>
      <c r="K56" s="53">
        <f t="shared" si="3"/>
        <v>0</v>
      </c>
      <c r="L56" s="54">
        <f>HistoricalAccuStats!C31</f>
        <v>3.9569892809598967E-2</v>
      </c>
      <c r="M56" s="24"/>
    </row>
    <row r="57" spans="8:13" x14ac:dyDescent="0.2">
      <c r="H57" s="50">
        <v>11</v>
      </c>
      <c r="I57" s="34" t="str">
        <f t="shared" si="2"/>
        <v>NA</v>
      </c>
      <c r="J57" s="34" t="str">
        <f t="shared" si="2"/>
        <v>NA</v>
      </c>
      <c r="K57" s="53">
        <f t="shared" si="3"/>
        <v>-10</v>
      </c>
      <c r="L57" s="54">
        <f>HistoricalAccuStats!C32</f>
        <v>3.8844143546099733E-2</v>
      </c>
      <c r="M57" s="24"/>
    </row>
    <row r="58" spans="8:13" x14ac:dyDescent="0.2">
      <c r="H58" s="50">
        <v>12</v>
      </c>
      <c r="I58" s="34" t="str">
        <f t="shared" si="2"/>
        <v>NA</v>
      </c>
      <c r="J58" s="34" t="str">
        <f t="shared" si="2"/>
        <v>NA</v>
      </c>
      <c r="K58" s="53">
        <f t="shared" si="3"/>
        <v>-10</v>
      </c>
      <c r="L58" s="54">
        <f>HistoricalAccuStats!C33</f>
        <v>3.7599798837163634E-2</v>
      </c>
    </row>
    <row r="59" spans="8:13" x14ac:dyDescent="0.2">
      <c r="H59" s="50">
        <v>13</v>
      </c>
      <c r="I59" s="34" t="str">
        <f t="shared" si="2"/>
        <v>NA</v>
      </c>
      <c r="J59" s="34" t="str">
        <f t="shared" si="2"/>
        <v>NA</v>
      </c>
      <c r="K59" s="53">
        <f t="shared" si="3"/>
        <v>-10</v>
      </c>
      <c r="L59" s="54">
        <f>HistoricalAccuStats!C34</f>
        <v>3.654342082981675E-2</v>
      </c>
    </row>
    <row r="60" spans="8:13" x14ac:dyDescent="0.2">
      <c r="H60" s="50">
        <v>14</v>
      </c>
      <c r="I60" s="34" t="str">
        <f t="shared" si="2"/>
        <v>NA</v>
      </c>
      <c r="J60" s="34" t="str">
        <f t="shared" si="2"/>
        <v>NA</v>
      </c>
      <c r="K60" s="53">
        <f t="shared" si="3"/>
        <v>-10</v>
      </c>
      <c r="L60" s="54">
        <f>HistoricalAccuStats!C35</f>
        <v>3.5634178303336157E-2</v>
      </c>
      <c r="M60" s="24"/>
    </row>
    <row r="61" spans="8:13" x14ac:dyDescent="0.2">
      <c r="H61" s="50">
        <v>15</v>
      </c>
      <c r="I61" s="34" t="str">
        <f t="shared" si="2"/>
        <v>NA</v>
      </c>
      <c r="J61" s="34" t="str">
        <f t="shared" si="2"/>
        <v>NA</v>
      </c>
      <c r="K61" s="53">
        <f t="shared" si="3"/>
        <v>-10</v>
      </c>
      <c r="L61" s="54">
        <f>HistoricalAccuStats!C36</f>
        <v>3.4841927112587386E-2</v>
      </c>
      <c r="M61" s="24"/>
    </row>
    <row r="62" spans="8:13" x14ac:dyDescent="0.2">
      <c r="H62" s="50">
        <v>16</v>
      </c>
      <c r="I62" s="34" t="str">
        <f t="shared" si="2"/>
        <v>NA</v>
      </c>
      <c r="J62" s="34" t="str">
        <f t="shared" si="2"/>
        <v>NA</v>
      </c>
      <c r="K62" s="53">
        <f t="shared" si="3"/>
        <v>-10</v>
      </c>
      <c r="L62" s="54">
        <f>HistoricalAccuStats!C37</f>
        <v>3.4525692938628047E-2</v>
      </c>
    </row>
    <row r="63" spans="8:13" x14ac:dyDescent="0.2">
      <c r="H63" s="50">
        <v>17</v>
      </c>
      <c r="I63" s="34" t="str">
        <f t="shared" si="2"/>
        <v>NA</v>
      </c>
      <c r="J63" s="34" t="str">
        <f t="shared" si="2"/>
        <v>NA</v>
      </c>
      <c r="K63" s="53">
        <f t="shared" si="3"/>
        <v>-10</v>
      </c>
      <c r="L63" s="54">
        <f>HistoricalAccuStats!C38</f>
        <v>3.3869090043204354E-2</v>
      </c>
    </row>
    <row r="64" spans="8:13" x14ac:dyDescent="0.2">
      <c r="H64" s="50">
        <v>18</v>
      </c>
      <c r="I64" s="34" t="str">
        <f t="shared" ref="I64:J70" si="4">IF(I27="NA","NA",I27+I63)</f>
        <v>NA</v>
      </c>
      <c r="J64" s="34" t="str">
        <f t="shared" si="4"/>
        <v>NA</v>
      </c>
      <c r="K64" s="53">
        <f t="shared" si="3"/>
        <v>-10</v>
      </c>
      <c r="L64" s="54">
        <f>HistoricalAccuStats!C39</f>
        <v>3.3283906230959483E-2</v>
      </c>
    </row>
    <row r="65" spans="8:12" x14ac:dyDescent="0.2">
      <c r="H65" s="50">
        <v>19</v>
      </c>
      <c r="I65" s="34" t="str">
        <f t="shared" si="4"/>
        <v>NA</v>
      </c>
      <c r="J65" s="34" t="str">
        <f t="shared" si="4"/>
        <v>NA</v>
      </c>
      <c r="K65" s="53">
        <f t="shared" si="3"/>
        <v>-10</v>
      </c>
      <c r="L65" s="54">
        <f>HistoricalAccuStats!C40</f>
        <v>3.2758639754890025E-2</v>
      </c>
    </row>
    <row r="66" spans="8:12" x14ac:dyDescent="0.2">
      <c r="H66" s="50">
        <v>20</v>
      </c>
      <c r="I66" s="34" t="str">
        <f t="shared" si="4"/>
        <v>NA</v>
      </c>
      <c r="J66" s="34" t="str">
        <f t="shared" si="4"/>
        <v>NA</v>
      </c>
      <c r="K66" s="53">
        <f t="shared" si="3"/>
        <v>-10</v>
      </c>
      <c r="L66" s="54">
        <f>HistoricalAccuStats!C41</f>
        <v>3.22839119595556E-2</v>
      </c>
    </row>
    <row r="67" spans="8:12" x14ac:dyDescent="0.2">
      <c r="H67" s="50">
        <v>21</v>
      </c>
      <c r="I67" s="34" t="str">
        <f t="shared" si="4"/>
        <v>NA</v>
      </c>
      <c r="J67" s="34" t="str">
        <f t="shared" si="4"/>
        <v>NA</v>
      </c>
      <c r="K67" s="53">
        <f t="shared" si="3"/>
        <v>-10</v>
      </c>
      <c r="L67" s="54">
        <f>HistoricalAccuStats!C42</f>
        <v>3.2109260701544705E-2</v>
      </c>
    </row>
    <row r="68" spans="8:12" x14ac:dyDescent="0.2">
      <c r="H68" s="50">
        <v>22</v>
      </c>
      <c r="I68" s="34" t="str">
        <f t="shared" si="4"/>
        <v>NA</v>
      </c>
      <c r="J68" s="34" t="str">
        <f t="shared" si="4"/>
        <v>NA</v>
      </c>
      <c r="K68" s="53">
        <f t="shared" si="3"/>
        <v>-10</v>
      </c>
      <c r="L68" s="54">
        <f>HistoricalAccuStats!C43</f>
        <v>3.1695216297397445E-2</v>
      </c>
    </row>
    <row r="69" spans="8:12" x14ac:dyDescent="0.2">
      <c r="H69" s="50">
        <v>23</v>
      </c>
      <c r="I69" s="34" t="str">
        <f t="shared" si="4"/>
        <v>NA</v>
      </c>
      <c r="J69" s="34" t="str">
        <f t="shared" si="4"/>
        <v>NA</v>
      </c>
      <c r="K69" s="53">
        <f t="shared" si="3"/>
        <v>-10</v>
      </c>
      <c r="L69" s="54">
        <f>HistoricalAccuStats!C44</f>
        <v>3.1316318592962772E-2</v>
      </c>
    </row>
    <row r="70" spans="8:12" x14ac:dyDescent="0.2">
      <c r="H70" s="55">
        <v>24</v>
      </c>
      <c r="I70" s="56" t="str">
        <f t="shared" si="4"/>
        <v>NA</v>
      </c>
      <c r="J70" s="56" t="str">
        <f t="shared" si="4"/>
        <v>NA</v>
      </c>
      <c r="K70" s="57">
        <f t="shared" si="3"/>
        <v>-10</v>
      </c>
      <c r="L70" s="54">
        <f>HistoricalAccuStats!C45</f>
        <v>3.0968069131449377E-2</v>
      </c>
    </row>
    <row r="71" spans="8:12" x14ac:dyDescent="0.2">
      <c r="K71" s="24"/>
    </row>
    <row r="115" spans="6:12" x14ac:dyDescent="0.2">
      <c r="F115" s="32"/>
      <c r="G115" s="33"/>
      <c r="H115" s="34"/>
      <c r="I115" s="34"/>
      <c r="J115" s="34"/>
      <c r="K115" s="34"/>
      <c r="L115" s="34"/>
    </row>
  </sheetData>
  <mergeCells count="11">
    <mergeCell ref="H44:L44"/>
    <mergeCell ref="F2:L2"/>
    <mergeCell ref="F3:L3"/>
    <mergeCell ref="B6:D6"/>
    <mergeCell ref="B36:C36"/>
    <mergeCell ref="L37:M37"/>
    <mergeCell ref="B38:I38"/>
    <mergeCell ref="L38:M39"/>
    <mergeCell ref="B39:I43"/>
    <mergeCell ref="L41:M41"/>
    <mergeCell ref="L42:M43"/>
  </mergeCells>
  <conditionalFormatting sqref="D10:D19">
    <cfRule type="cellIs" dxfId="543" priority="1" stopIfTrue="1" operator="greaterThan">
      <formula>E10</formula>
    </cfRule>
  </conditionalFormatting>
  <pageMargins left="0.5" right="0.5" top="1" bottom="1" header="0.25" footer="0.25"/>
  <pageSetup scale="58" orientation="landscape" r:id="rId1"/>
  <headerFooter alignWithMargins="0">
    <oddHeader>&amp;LPart No.:
Batch No(s).: 
Cartridge No. (LSP): &amp;C&amp;12Product QC Testing Worksheet-MTB/XDR&amp;RDocument Number: D37339 Attachment 1
Rev: M
Effective: 5/21/2026
p. &amp;P of &amp;N</oddHeader>
    <oddFooter>&amp;C User is responsible for using the current revision. The controlled current released revision of this document resides in the Agile PLM system.
Cepheid Confidential    Date Printed: &amp;D      &amp;T</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U241"/>
  <sheetViews>
    <sheetView zoomScaleNormal="100" zoomScaleSheetLayoutView="70" workbookViewId="0"/>
  </sheetViews>
  <sheetFormatPr defaultColWidth="9.140625" defaultRowHeight="12.75" x14ac:dyDescent="0.2"/>
  <cols>
    <col min="1" max="1" width="19" style="147" customWidth="1"/>
    <col min="2" max="5" width="9.5703125" style="147" customWidth="1"/>
    <col min="6" max="6" width="18.5703125" customWidth="1"/>
    <col min="8" max="8" width="9.42578125" customWidth="1"/>
    <col min="42" max="42" width="11.140625" customWidth="1"/>
    <col min="45" max="45" width="15.5703125" customWidth="1"/>
    <col min="47" max="47" width="9.5703125" customWidth="1"/>
  </cols>
  <sheetData>
    <row r="1" spans="1:73" ht="70.5" thickBot="1" x14ac:dyDescent="0.25">
      <c r="A1" s="185" t="s">
        <v>417</v>
      </c>
      <c r="F1" s="185" t="s">
        <v>448</v>
      </c>
      <c r="AS1" s="185" t="s">
        <v>449</v>
      </c>
      <c r="AT1" s="184"/>
      <c r="AU1" s="184"/>
    </row>
    <row r="2" spans="1:73" ht="80.099999999999994" customHeight="1" thickBot="1" x14ac:dyDescent="0.25">
      <c r="A2" s="162" t="s">
        <v>302</v>
      </c>
      <c r="B2" s="159" t="s">
        <v>301</v>
      </c>
      <c r="C2" s="156" t="s">
        <v>431</v>
      </c>
      <c r="F2" s="160" t="s">
        <v>302</v>
      </c>
      <c r="G2" s="158" t="s">
        <v>450</v>
      </c>
      <c r="H2" s="159"/>
      <c r="I2" s="159" t="s">
        <v>451</v>
      </c>
      <c r="J2" s="159"/>
      <c r="K2" s="159" t="s">
        <v>452</v>
      </c>
      <c r="L2" s="159"/>
      <c r="M2" s="159" t="s">
        <v>453</v>
      </c>
      <c r="N2" s="159"/>
      <c r="O2" s="159" t="s">
        <v>454</v>
      </c>
      <c r="P2" s="159"/>
      <c r="Q2" s="159" t="s">
        <v>455</v>
      </c>
      <c r="R2" s="159"/>
      <c r="S2" s="159" t="s">
        <v>456</v>
      </c>
      <c r="T2" s="159"/>
      <c r="U2" s="159" t="s">
        <v>457</v>
      </c>
      <c r="V2" s="159"/>
      <c r="W2" s="159" t="s">
        <v>458</v>
      </c>
      <c r="X2" s="159"/>
      <c r="Y2" s="159" t="s">
        <v>459</v>
      </c>
      <c r="Z2" s="159"/>
      <c r="AA2" s="159" t="s">
        <v>460</v>
      </c>
      <c r="AB2" s="159"/>
      <c r="AC2" s="159" t="s">
        <v>461</v>
      </c>
      <c r="AD2" s="159"/>
      <c r="AE2" s="159" t="s">
        <v>462</v>
      </c>
      <c r="AF2" s="159"/>
      <c r="AG2" s="159" t="s">
        <v>463</v>
      </c>
      <c r="AH2" s="159"/>
      <c r="AI2" s="159" t="s">
        <v>464</v>
      </c>
      <c r="AJ2" s="159"/>
      <c r="AK2" s="159" t="s">
        <v>465</v>
      </c>
      <c r="AL2" s="159"/>
      <c r="AM2" s="159" t="s">
        <v>466</v>
      </c>
      <c r="AN2" s="159"/>
      <c r="AO2" s="159" t="s">
        <v>467</v>
      </c>
      <c r="AP2" s="156"/>
      <c r="AS2" s="161" t="s">
        <v>302</v>
      </c>
      <c r="AT2" s="158" t="s">
        <v>484</v>
      </c>
      <c r="AU2" s="159"/>
      <c r="AV2" s="159" t="s">
        <v>483</v>
      </c>
      <c r="AW2" s="159"/>
      <c r="AX2" s="159" t="s">
        <v>506</v>
      </c>
      <c r="AY2" s="159"/>
      <c r="AZ2" s="159" t="s">
        <v>482</v>
      </c>
      <c r="BA2" s="159"/>
      <c r="BB2" s="159" t="s">
        <v>502</v>
      </c>
      <c r="BC2" s="159"/>
      <c r="BD2" s="159" t="s">
        <v>456</v>
      </c>
      <c r="BE2" s="159"/>
      <c r="BF2" s="159" t="s">
        <v>480</v>
      </c>
      <c r="BG2" s="159"/>
      <c r="BH2" s="159" t="s">
        <v>481</v>
      </c>
      <c r="BI2" s="159"/>
      <c r="BJ2" s="159" t="s">
        <v>476</v>
      </c>
      <c r="BK2" s="159"/>
      <c r="BL2" s="159" t="s">
        <v>477</v>
      </c>
      <c r="BM2" s="159"/>
      <c r="BN2" s="159" t="s">
        <v>478</v>
      </c>
      <c r="BO2" s="159"/>
      <c r="BP2" s="159" t="s">
        <v>479</v>
      </c>
      <c r="BQ2" s="159"/>
      <c r="BR2" s="159" t="s">
        <v>466</v>
      </c>
      <c r="BS2" s="159"/>
      <c r="BT2" s="159" t="s">
        <v>467</v>
      </c>
      <c r="BU2" s="156"/>
    </row>
    <row r="3" spans="1:73" ht="12.75" customHeight="1" x14ac:dyDescent="0.2">
      <c r="A3" s="275">
        <v>1</v>
      </c>
      <c r="B3" s="154" t="str">
        <f>IF('Resample Data Summary'!C25="PASS",IF('Resample Data Summary'!A25="","",'Data - Sample Type 0'!Q104),"")</f>
        <v/>
      </c>
      <c r="C3" s="279" t="e">
        <f>AVERAGE(B3:B12)</f>
        <v>#DIV/0!</v>
      </c>
      <c r="F3" s="275">
        <v>1</v>
      </c>
      <c r="G3" s="154" t="str">
        <f>IF(AND('Resample Data Summary'!C130="PASS",'Data - Sample Type 1'!FO84&lt;&gt;0),'Data - Sample Type 1'!FO84,"")</f>
        <v/>
      </c>
      <c r="H3" s="258" t="e">
        <f>AVERAGE(G3:G10)</f>
        <v>#DIV/0!</v>
      </c>
      <c r="I3" s="170" t="str">
        <f>IF('Resample Data Summary'!C130="PASS",IF('Data - Sample Type 1'!AE84=0,"",'Data - Sample Type 1'!AE84),"")</f>
        <v/>
      </c>
      <c r="J3" s="258" t="e">
        <f>AVERAGE(I3:I10)</f>
        <v>#DIV/0!</v>
      </c>
      <c r="K3" s="154" t="str">
        <f>IF(AND('Resample Data Summary'!C130="PASS",'Data - Sample Type 1'!FW84&lt;&gt;0),'Data - Sample Type 1'!FW84,"")</f>
        <v/>
      </c>
      <c r="L3" s="258" t="e">
        <f>AVERAGE(K3:K10)</f>
        <v>#DIV/0!</v>
      </c>
      <c r="M3" s="190" t="str">
        <f>IF(AND('Resample Data Summary'!C130="PASS",K3&lt;&gt;""),'Data - Sample Type 1'!FX84,"")</f>
        <v/>
      </c>
      <c r="N3" s="263" t="e">
        <f>AVERAGE(M3:M10)</f>
        <v>#DIV/0!</v>
      </c>
      <c r="O3" s="154" t="str">
        <f>IF(AND('Resample Data Summary'!C130="PASS",'Data - Sample Type 1'!GE84&lt;&gt;0),'Data - Sample Type 1'!GE84,"")</f>
        <v/>
      </c>
      <c r="P3" s="258" t="e">
        <f>AVERAGE(O3:O10)</f>
        <v>#DIV/0!</v>
      </c>
      <c r="Q3" s="190" t="str">
        <f>IF(AND('Resample Data Summary'!C130="PASS",O3&lt;&gt;""),'Data - Sample Type 1'!GF84,"")</f>
        <v/>
      </c>
      <c r="R3" s="263" t="e">
        <f>AVERAGE(Q3:Q10)</f>
        <v>#DIV/0!</v>
      </c>
      <c r="S3" s="154" t="str">
        <f>IF('Resample Data Summary'!C130="PASS",IF('Data - Sample Type 1'!BG84=0,"",'Data - Sample Type 1'!BG84),"")</f>
        <v/>
      </c>
      <c r="T3" s="258" t="e">
        <f>AVERAGE(S3:S10)</f>
        <v>#DIV/0!</v>
      </c>
      <c r="U3" s="196" t="str">
        <f>IF(AND('Resample Data Summary'!C130="PASS",'Data - Sample Type 1'!GM84&lt;&gt;0),'Data - Sample Type 1'!GM84,"")</f>
        <v/>
      </c>
      <c r="V3" s="258" t="e">
        <f>AVERAGE(U3:U10)</f>
        <v>#DIV/0!</v>
      </c>
      <c r="W3" s="154" t="str">
        <f>IF('Resample Data Summary'!C130="PASS",IF('Data - Sample Type 1'!BU84=0,"",'Data - Sample Type 1'!BU84),"")</f>
        <v/>
      </c>
      <c r="X3" s="258" t="e">
        <f>AVERAGE(W3:W10)</f>
        <v>#DIV/0!</v>
      </c>
      <c r="Y3" s="154" t="str">
        <f>IF(AND('Resample Data Summary'!C130="PASS",'Data - Sample Type 1'!HC84&lt;&gt;0),'Data - Sample Type 1'!HC84,"")</f>
        <v/>
      </c>
      <c r="Z3" s="258" t="e">
        <f>AVERAGE(Y3:Y10)</f>
        <v>#DIV/0!</v>
      </c>
      <c r="AA3" s="190" t="str">
        <f>IF(AND('Resample Data Summary'!C130="PASS",Y3&lt;&gt;""),'Data - Sample Type 1'!HD84,"")</f>
        <v/>
      </c>
      <c r="AB3" s="263" t="e">
        <f>AVERAGE(AA3:AA10)</f>
        <v>#DIV/0!</v>
      </c>
      <c r="AC3" s="154" t="str">
        <f>IF(AND('Resample Data Summary'!C130="PASS",'Data - Sample Type 1'!HK84&lt;&gt;0),'Data - Sample Type 1'!HK84,"")</f>
        <v/>
      </c>
      <c r="AD3" s="258" t="e">
        <f>AVERAGE(AC3:AC10)</f>
        <v>#DIV/0!</v>
      </c>
      <c r="AE3" s="190" t="str">
        <f>IF(AND('Resample Data Summary'!C130="PASS",AC3&lt;&gt;""),'Data - Sample Type 1'!HL84,"")</f>
        <v/>
      </c>
      <c r="AF3" s="263" t="e">
        <f>AVERAGE(AE3:AE10)</f>
        <v>#DIV/0!</v>
      </c>
      <c r="AG3" s="154" t="str">
        <f>IF(AND('Resample Data Summary'!C130="PASS",'Data - Sample Type 1'!HS84&lt;&gt;0),'Data - Sample Type 1'!HS84,"")</f>
        <v/>
      </c>
      <c r="AH3" s="258" t="e">
        <f>AVERAGE(AG3:AG10)</f>
        <v>#DIV/0!</v>
      </c>
      <c r="AI3" s="190" t="str">
        <f>IF(AND('Resample Data Summary'!C130="PASS",AG3&lt;&gt;""),'Data - Sample Type 1'!HT84,"")</f>
        <v/>
      </c>
      <c r="AJ3" s="263" t="e">
        <f>AVERAGE(AI3:AI10)</f>
        <v>#DIV/0!</v>
      </c>
      <c r="AK3" s="154" t="str">
        <f>IF('Resample Data Summary'!C130="PASS",IF('Data - Sample Type 1'!DK84=0,"",'Data - Sample Type 1'!DK84),"")</f>
        <v/>
      </c>
      <c r="AL3" s="258" t="e">
        <f>AVERAGE(AK3:AK10)</f>
        <v>#DIV/0!</v>
      </c>
      <c r="AM3" s="154" t="str">
        <f>IF('Resample Data Summary'!C130="PASS",IF('Data - Sample Type 1'!DY84=0,"",'Data - Sample Type 1'!DY84),"")</f>
        <v/>
      </c>
      <c r="AN3" s="258" t="e">
        <f>AVERAGE(AM3:AM10)</f>
        <v>#DIV/0!</v>
      </c>
      <c r="AO3" s="154" t="str">
        <f>IF('Resample Data Summary'!C130="PASS",IF('Data - Sample Type 1'!EM84=0,"",'Data - Sample Type 1'!EM84),"")</f>
        <v/>
      </c>
      <c r="AP3" s="279" t="e">
        <f>AVERAGE(AO3:AO10)</f>
        <v>#DIV/0!</v>
      </c>
      <c r="AS3" s="282" t="s">
        <v>357</v>
      </c>
      <c r="AT3" s="154" t="str">
        <f>IF(AND('Resample Data Summary'!C215="PASS",'Data - Sample Type 2'!IQ24&lt;&gt;0),'Data - Sample Type 2'!IQ24,"")</f>
        <v/>
      </c>
      <c r="AU3" s="258" t="e">
        <f>AVERAGE(AT3:AT12)</f>
        <v>#DIV/0!</v>
      </c>
      <c r="AV3" s="154" t="str">
        <f>IF(AND('Resample Data Summary'!C215="PASS",'Data - Sample Type 2'!IY24&lt;&gt;0),'Data - Sample Type 2'!IY24,"")</f>
        <v/>
      </c>
      <c r="AW3" s="258" t="e">
        <f>AVERAGE(AV3:AV12)</f>
        <v>#DIV/0!</v>
      </c>
      <c r="AX3" s="190" t="str">
        <f>IF(AND('Resample Data Summary'!C215="PASS",AV3&lt;&gt;""),'Data - Sample Type 2'!IZ24,"")</f>
        <v/>
      </c>
      <c r="AY3" s="263" t="e">
        <f>ROUND(AVERAGE(AX3:AX12),0)</f>
        <v>#DIV/0!</v>
      </c>
      <c r="AZ3" s="154" t="str">
        <f>IF(AND('Resample Data Summary'!C215="PASS",'Data - Sample Type 2'!JG24&lt;&gt;0),'Data - Sample Type 2'!JG24,"")</f>
        <v/>
      </c>
      <c r="BA3" s="258" t="e">
        <f>AVERAGE(AZ3:AZ12)</f>
        <v>#DIV/0!</v>
      </c>
      <c r="BB3" s="190" t="str">
        <f>IF(AND('Resample Data Summary'!C215="PASS",AZ3&lt;&gt;""),'Data - Sample Type 2'!JH24,"")</f>
        <v/>
      </c>
      <c r="BC3" s="263" t="e">
        <f>ROUND(AVERAGE(BB3:BB12),0)</f>
        <v>#DIV/0!</v>
      </c>
      <c r="BD3" s="154" t="str">
        <f>IF('Resample Data Summary'!C215="PASS",IF('Data - Sample Type 2'!BG24=0,"",'Data - Sample Type 2'!BG24),"")</f>
        <v/>
      </c>
      <c r="BE3" s="258" t="e">
        <f>AVERAGE(BD3:BD12)</f>
        <v>#DIV/0!</v>
      </c>
      <c r="BF3" s="154" t="str">
        <f>IF(AND('Resample Data Summary'!C215="PASS",'Data - Sample Type 2'!JO24&lt;&gt;0),'Data - Sample Type 2'!JO24,"")</f>
        <v/>
      </c>
      <c r="BG3" s="258" t="e">
        <f>AVERAGE(BF3:BF12)</f>
        <v>#DIV/0!</v>
      </c>
      <c r="BH3" s="154" t="str">
        <f>IF(AND('Resample Data Summary'!C215="PASS",'Data - Sample Type 2'!HC24&lt;&gt;0),'Data - Sample Type 2'!HC24,"")</f>
        <v/>
      </c>
      <c r="BI3" s="258" t="e">
        <f>AVERAGE(BH3:BH12)</f>
        <v>#DIV/0!</v>
      </c>
      <c r="BJ3" s="154" t="str">
        <f>IF(AND('Resample Data Summary'!C215="PASS",'Data - Sample Type 2'!LS24&lt;&gt;0),'Data - Sample Type 2'!LS24,"")</f>
        <v/>
      </c>
      <c r="BK3" s="258" t="e">
        <f>AVERAGE(BJ3:BJ12)</f>
        <v>#DIV/0!</v>
      </c>
      <c r="BL3" s="190" t="str">
        <f>IF(AND('Resample Data Summary'!C215="PASS",BJ3&lt;&gt;""),'Data - Sample Type 2'!LT24,"")</f>
        <v/>
      </c>
      <c r="BM3" s="263" t="e">
        <f>ROUND(AVERAGE(BL3:BL12),0)</f>
        <v>#DIV/0!</v>
      </c>
      <c r="BN3" s="154" t="str">
        <f>IF(AND('Resample Data Summary'!C215="PASS",'Data - Sample Type 2'!MI24&lt;&gt;0),'Data - Sample Type 2'!MI24,"")</f>
        <v/>
      </c>
      <c r="BO3" s="258" t="e">
        <f>AVERAGE(BN3:BN12)</f>
        <v>#DIV/0!</v>
      </c>
      <c r="BP3" s="190" t="str">
        <f>IF(AND('Resample Data Summary'!C215="PASS",BN3&lt;&gt;""),'Data - Sample Type 2'!MJ24,"")</f>
        <v/>
      </c>
      <c r="BQ3" s="263" t="e">
        <f>ROUND(AVERAGE(BP3:BP12),0)</f>
        <v>#DIV/0!</v>
      </c>
      <c r="BR3" s="154" t="str">
        <f>IF('Resample Data Summary'!C215="PASS",IF('Data - Sample Type 2'!DY24=0,"",'Data - Sample Type 2'!DY24),"")</f>
        <v/>
      </c>
      <c r="BS3" s="258" t="e">
        <f>AVERAGE(BR3:BR12)</f>
        <v>#DIV/0!</v>
      </c>
      <c r="BT3" s="154" t="str">
        <f>IF('Resample Data Summary'!C215="PASS",IF('Data - Sample Type 2'!EM24=0,"",'Data - Sample Type 2'!EM24),"")</f>
        <v/>
      </c>
      <c r="BU3" s="279" t="e">
        <f>AVERAGE(BT3:BT12)</f>
        <v>#DIV/0!</v>
      </c>
    </row>
    <row r="4" spans="1:73" ht="12.75" customHeight="1" x14ac:dyDescent="0.2">
      <c r="A4" s="276"/>
      <c r="B4" s="151" t="str">
        <f>IF('Resample Data Summary'!C26="PASS",IF('Resample Data Summary'!A26="","",'Data - Sample Type 0'!Q105),"")</f>
        <v/>
      </c>
      <c r="C4" s="280"/>
      <c r="F4" s="276"/>
      <c r="G4" s="151" t="str">
        <f>IF(AND('Resample Data Summary'!C131="PASS",'Data - Sample Type 1'!FO85&lt;&gt;0),'Data - Sample Type 1'!FO85,"")</f>
        <v/>
      </c>
      <c r="H4" s="259"/>
      <c r="I4" s="102" t="str">
        <f>IF('Resample Data Summary'!C131="PASS",IF('Data - Sample Type 1'!AE85=0,"",'Data - Sample Type 1'!AE85),"")</f>
        <v/>
      </c>
      <c r="J4" s="259"/>
      <c r="K4" s="151" t="str">
        <f>IF(AND('Resample Data Summary'!C131="PASS",'Data - Sample Type 1'!FW85&lt;&gt;0),'Data - Sample Type 1'!FW85,"")</f>
        <v/>
      </c>
      <c r="L4" s="259"/>
      <c r="M4" s="191" t="str">
        <f>IF(AND('Resample Data Summary'!C131="PASS",K4&lt;&gt;""),'Data - Sample Type 1'!FX85,"")</f>
        <v/>
      </c>
      <c r="N4" s="264"/>
      <c r="O4" s="151" t="str">
        <f>IF(AND('Resample Data Summary'!C131="PASS",'Data - Sample Type 1'!GE85&lt;&gt;0),'Data - Sample Type 1'!GE85,"")</f>
        <v/>
      </c>
      <c r="P4" s="259"/>
      <c r="Q4" s="191" t="str">
        <f>IF(AND('Resample Data Summary'!C131="PASS",O4&lt;&gt;""),'Data - Sample Type 1'!GF85,"")</f>
        <v/>
      </c>
      <c r="R4" s="264"/>
      <c r="S4" s="151" t="str">
        <f>IF('Resample Data Summary'!C131="PASS",IF('Data - Sample Type 1'!BG85=0,"",'Data - Sample Type 1'!BG85),"")</f>
        <v/>
      </c>
      <c r="T4" s="259"/>
      <c r="U4" s="194" t="str">
        <f>IF(AND('Resample Data Summary'!C131="PASS",'Data - Sample Type 1'!GM85&lt;&gt;0),'Data - Sample Type 1'!GM85,"")</f>
        <v/>
      </c>
      <c r="V4" s="259"/>
      <c r="W4" s="151" t="str">
        <f>IF('Resample Data Summary'!C131="PASS",IF('Data - Sample Type 1'!BU85=0,"",'Data - Sample Type 1'!BU85),"")</f>
        <v/>
      </c>
      <c r="X4" s="259"/>
      <c r="Y4" s="151" t="str">
        <f>IF(AND('Resample Data Summary'!C131="PASS",'Data - Sample Type 1'!HC85&lt;&gt;0),'Data - Sample Type 1'!HC85,"")</f>
        <v/>
      </c>
      <c r="Z4" s="259"/>
      <c r="AA4" s="191" t="str">
        <f>IF(AND('Resample Data Summary'!C131="PASS",Y4&lt;&gt;""),'Data - Sample Type 1'!HD85,"")</f>
        <v/>
      </c>
      <c r="AB4" s="264"/>
      <c r="AC4" s="151" t="str">
        <f>IF(AND('Resample Data Summary'!C131="PASS",'Data - Sample Type 1'!HK85&lt;&gt;0),'Data - Sample Type 1'!HK85,"")</f>
        <v/>
      </c>
      <c r="AD4" s="259"/>
      <c r="AE4" s="191" t="str">
        <f>IF(AND('Resample Data Summary'!C131="PASS",AC4&lt;&gt;""),'Data - Sample Type 1'!HL85,"")</f>
        <v/>
      </c>
      <c r="AF4" s="264"/>
      <c r="AG4" s="151" t="str">
        <f>IF(AND('Resample Data Summary'!C131="PASS",'Data - Sample Type 1'!HS85&lt;&gt;0),'Data - Sample Type 1'!HS85,"")</f>
        <v/>
      </c>
      <c r="AH4" s="259"/>
      <c r="AI4" s="191" t="str">
        <f>IF(AND('Resample Data Summary'!C131="PASS",AG4&lt;&gt;""),'Data - Sample Type 1'!HT85,"")</f>
        <v/>
      </c>
      <c r="AJ4" s="264"/>
      <c r="AK4" s="194" t="str">
        <f>IF('Resample Data Summary'!C131="PASS",IF('Data - Sample Type 1'!DK85=0,"",'Data - Sample Type 1'!DK85),"")</f>
        <v/>
      </c>
      <c r="AL4" s="259"/>
      <c r="AM4" s="151" t="str">
        <f>IF('Resample Data Summary'!C131="PASS",IF('Data - Sample Type 1'!DY85=0,"",'Data - Sample Type 1'!DY85),"")</f>
        <v/>
      </c>
      <c r="AN4" s="259"/>
      <c r="AO4" s="151" t="str">
        <f>IF('Resample Data Summary'!C131="PASS",IF('Data - Sample Type 1'!EM85=0,"",'Data - Sample Type 1'!EM85),"")</f>
        <v/>
      </c>
      <c r="AP4" s="280"/>
      <c r="AS4" s="276"/>
      <c r="AT4" s="194" t="str">
        <f>IF(AND('Resample Data Summary'!C216="PASS",'Data - Sample Type 2'!IQ25&lt;&gt;0),'Data - Sample Type 2'!IQ25,"")</f>
        <v/>
      </c>
      <c r="AU4" s="259"/>
      <c r="AV4" s="151" t="str">
        <f>IF(AND('Resample Data Summary'!C216="PASS",'Data - Sample Type 2'!IY25&lt;&gt;0),'Data - Sample Type 2'!IY25,"")</f>
        <v/>
      </c>
      <c r="AW4" s="259"/>
      <c r="AX4" s="191" t="str">
        <f>IF(AND('Resample Data Summary'!C216="PASS",AV4&lt;&gt;""),'Data - Sample Type 2'!IZ25,"")</f>
        <v/>
      </c>
      <c r="AY4" s="264"/>
      <c r="AZ4" s="151" t="str">
        <f>IF(AND('Resample Data Summary'!C216="PASS",'Data - Sample Type 2'!JG25&lt;&gt;0),'Data - Sample Type 2'!JG25,"")</f>
        <v/>
      </c>
      <c r="BA4" s="259"/>
      <c r="BB4" s="191" t="str">
        <f>IF(AND('Resample Data Summary'!C216="PASS",AZ4&lt;&gt;""),'Data - Sample Type 2'!JH25,"")</f>
        <v/>
      </c>
      <c r="BC4" s="264"/>
      <c r="BD4" s="151" t="str">
        <f>IF('Resample Data Summary'!C216="PASS",IF('Data - Sample Type 2'!BG25=0,"",'Data - Sample Type 2'!BG25),"")</f>
        <v/>
      </c>
      <c r="BE4" s="259"/>
      <c r="BF4" s="194" t="str">
        <f>IF(AND('Resample Data Summary'!C216="PASS",'Data - Sample Type 2'!JO25&lt;&gt;0),'Data - Sample Type 2'!JO25,"")</f>
        <v/>
      </c>
      <c r="BG4" s="259"/>
      <c r="BH4" s="151" t="str">
        <f>IF(AND('Resample Data Summary'!C216="PASS",'Data - Sample Type 2'!HC25&lt;&gt;0),'Data - Sample Type 2'!HC25,"")</f>
        <v/>
      </c>
      <c r="BI4" s="259"/>
      <c r="BJ4" s="151" t="str">
        <f>IF(AND('Resample Data Summary'!C216="PASS",'Data - Sample Type 2'!LS25&lt;&gt;0),'Data - Sample Type 2'!LS25,"")</f>
        <v/>
      </c>
      <c r="BK4" s="259"/>
      <c r="BL4" s="191" t="str">
        <f>IF('Resample Data Summary'!C216="PASS",'Data - Sample Type 2'!LT25,"")</f>
        <v/>
      </c>
      <c r="BM4" s="264"/>
      <c r="BN4" s="194" t="str">
        <f>IF(AND('Resample Data Summary'!C216="PASS",'Data - Sample Type 2'!MI25&lt;&gt;0),'Data - Sample Type 2'!MI25,"")</f>
        <v/>
      </c>
      <c r="BO4" s="259"/>
      <c r="BP4" s="191" t="str">
        <f>IF(AND('Resample Data Summary'!C216="PASS",BN4&lt;&gt;""),'Data - Sample Type 2'!MJ25,"")</f>
        <v/>
      </c>
      <c r="BQ4" s="264"/>
      <c r="BR4" s="151" t="str">
        <f>IF('Resample Data Summary'!C216="PASS",IF('Data - Sample Type 2'!DY25=0,"",'Data - Sample Type 2'!DY25),"")</f>
        <v/>
      </c>
      <c r="BS4" s="259"/>
      <c r="BT4" s="151" t="str">
        <f>IF('Resample Data Summary'!C216="PASS",IF('Data - Sample Type 2'!EM25=0,"",'Data - Sample Type 2'!EM25),"")</f>
        <v/>
      </c>
      <c r="BU4" s="280"/>
    </row>
    <row r="5" spans="1:73" ht="12.75" customHeight="1" x14ac:dyDescent="0.2">
      <c r="A5" s="276"/>
      <c r="B5" s="151" t="str">
        <f>IF('Resample Data Summary'!C27="PASS",IF('Resample Data Summary'!A27="","",'Data - Sample Type 0'!Q106),"")</f>
        <v/>
      </c>
      <c r="C5" s="280"/>
      <c r="F5" s="276"/>
      <c r="G5" s="151" t="str">
        <f>IF(AND('Resample Data Summary'!C132="PASS",'Data - Sample Type 1'!FO86&lt;&gt;0),'Data - Sample Type 1'!FO86,"")</f>
        <v/>
      </c>
      <c r="H5" s="259"/>
      <c r="I5" s="102" t="str">
        <f>IF('Resample Data Summary'!C132="PASS",IF('Data - Sample Type 1'!AE86=0,"",'Data - Sample Type 1'!AE86),"")</f>
        <v/>
      </c>
      <c r="J5" s="259"/>
      <c r="K5" s="151" t="str">
        <f>IF(AND('Resample Data Summary'!C132="PASS",'Data - Sample Type 1'!FW86&lt;&gt;0),'Data - Sample Type 1'!FW86,"")</f>
        <v/>
      </c>
      <c r="L5" s="259"/>
      <c r="M5" s="191" t="str">
        <f>IF(AND('Resample Data Summary'!C132="PASS",K5&lt;&gt;""),'Data - Sample Type 1'!FX86,"")</f>
        <v/>
      </c>
      <c r="N5" s="264"/>
      <c r="O5" s="151" t="str">
        <f>IF(AND('Resample Data Summary'!C132="PASS",'Data - Sample Type 1'!GE86&lt;&gt;0),'Data - Sample Type 1'!GE86,"")</f>
        <v/>
      </c>
      <c r="P5" s="259"/>
      <c r="Q5" s="191" t="str">
        <f>IF(AND('Resample Data Summary'!C132="PASS",O5&lt;&gt;""),'Data - Sample Type 1'!GF86,"")</f>
        <v/>
      </c>
      <c r="R5" s="264"/>
      <c r="S5" s="151" t="str">
        <f>IF('Resample Data Summary'!C132="PASS",IF('Data - Sample Type 1'!BG86=0,"",'Data - Sample Type 1'!BG86),"")</f>
        <v/>
      </c>
      <c r="T5" s="259"/>
      <c r="U5" s="194" t="str">
        <f>IF(AND('Resample Data Summary'!C132="PASS",'Data - Sample Type 1'!GM86&lt;&gt;0),'Data - Sample Type 1'!GM86,"")</f>
        <v/>
      </c>
      <c r="V5" s="259"/>
      <c r="W5" s="151" t="str">
        <f>IF('Resample Data Summary'!C132="PASS",IF('Data - Sample Type 1'!BU86=0,"",'Data - Sample Type 1'!BU86),"")</f>
        <v/>
      </c>
      <c r="X5" s="259"/>
      <c r="Y5" s="151" t="str">
        <f>IF(AND('Resample Data Summary'!C132="PASS",'Data - Sample Type 1'!HC86&lt;&gt;0),'Data - Sample Type 1'!HC86,"")</f>
        <v/>
      </c>
      <c r="Z5" s="259"/>
      <c r="AA5" s="191" t="str">
        <f>IF(AND('Resample Data Summary'!C132="PASS",Y5&lt;&gt;""),'Data - Sample Type 1'!HD86,"")</f>
        <v/>
      </c>
      <c r="AB5" s="264"/>
      <c r="AC5" s="151" t="str">
        <f>IF(AND('Resample Data Summary'!C132="PASS",'Data - Sample Type 1'!HK86&lt;&gt;0),'Data - Sample Type 1'!HK86,"")</f>
        <v/>
      </c>
      <c r="AD5" s="259"/>
      <c r="AE5" s="191" t="str">
        <f>IF(AND('Resample Data Summary'!C132="PASS",AC5&lt;&gt;""),'Data - Sample Type 1'!HL86,"")</f>
        <v/>
      </c>
      <c r="AF5" s="264"/>
      <c r="AG5" s="151" t="str">
        <f>IF(AND('Resample Data Summary'!C132="PASS",'Data - Sample Type 1'!HS86&lt;&gt;0),'Data - Sample Type 1'!HS86,"")</f>
        <v/>
      </c>
      <c r="AH5" s="259"/>
      <c r="AI5" s="191" t="str">
        <f>IF(AND('Resample Data Summary'!C132="PASS",AG5&lt;&gt;""),'Data - Sample Type 1'!HT86,"")</f>
        <v/>
      </c>
      <c r="AJ5" s="264"/>
      <c r="AK5" s="194" t="str">
        <f>IF('Resample Data Summary'!C132="PASS",IF('Data - Sample Type 1'!DK86=0,"",'Data - Sample Type 1'!DK86),"")</f>
        <v/>
      </c>
      <c r="AL5" s="259"/>
      <c r="AM5" s="151" t="str">
        <f>IF('Resample Data Summary'!C132="PASS",IF('Data - Sample Type 1'!DY86=0,"",'Data - Sample Type 1'!DY86),"")</f>
        <v/>
      </c>
      <c r="AN5" s="259"/>
      <c r="AO5" s="151" t="str">
        <f>IF('Resample Data Summary'!C132="PASS",IF('Data - Sample Type 1'!EM86=0,"",'Data - Sample Type 1'!EM86),"")</f>
        <v/>
      </c>
      <c r="AP5" s="280"/>
      <c r="AS5" s="276"/>
      <c r="AT5" s="194" t="str">
        <f>IF(AND('Resample Data Summary'!C217="PASS",'Data - Sample Type 2'!IQ26&lt;&gt;0),'Data - Sample Type 2'!IQ26,"")</f>
        <v/>
      </c>
      <c r="AU5" s="259"/>
      <c r="AV5" s="151" t="str">
        <f>IF(AND('Resample Data Summary'!C217="PASS",'Data - Sample Type 2'!IY26&lt;&gt;0),'Data - Sample Type 2'!IY26,"")</f>
        <v/>
      </c>
      <c r="AW5" s="259"/>
      <c r="AX5" s="191" t="str">
        <f>IF(AND('Resample Data Summary'!C217="PASS",AV5&lt;&gt;""),'Data - Sample Type 2'!IZ26,"")</f>
        <v/>
      </c>
      <c r="AY5" s="264"/>
      <c r="AZ5" s="151" t="str">
        <f>IF(AND('Resample Data Summary'!C217="PASS",'Data - Sample Type 2'!JG26&lt;&gt;0),'Data - Sample Type 2'!JG26,"")</f>
        <v/>
      </c>
      <c r="BA5" s="259"/>
      <c r="BB5" s="191" t="str">
        <f>IF(AND('Resample Data Summary'!C217="PASS",AZ5&lt;&gt;""),'Data - Sample Type 2'!JH26,"")</f>
        <v/>
      </c>
      <c r="BC5" s="264"/>
      <c r="BD5" s="151" t="str">
        <f>IF('Resample Data Summary'!C217="PASS",IF('Data - Sample Type 2'!BG26=0,"",'Data - Sample Type 2'!BG26),"")</f>
        <v/>
      </c>
      <c r="BE5" s="259"/>
      <c r="BF5" s="194" t="str">
        <f>IF(AND('Resample Data Summary'!C217="PASS",'Data - Sample Type 2'!JO26&lt;&gt;0),'Data - Sample Type 2'!JO26,"")</f>
        <v/>
      </c>
      <c r="BG5" s="259"/>
      <c r="BH5" s="151" t="str">
        <f>IF(AND('Resample Data Summary'!C217="PASS",'Data - Sample Type 2'!HC26&lt;&gt;0),'Data - Sample Type 2'!HC26,"")</f>
        <v/>
      </c>
      <c r="BI5" s="259"/>
      <c r="BJ5" s="151" t="str">
        <f>IF(AND('Resample Data Summary'!C217="PASS",'Data - Sample Type 2'!LS26&lt;&gt;0),'Data - Sample Type 2'!LS26,"")</f>
        <v/>
      </c>
      <c r="BK5" s="259"/>
      <c r="BL5" s="191" t="str">
        <f>IF('Resample Data Summary'!C217="PASS",'Data - Sample Type 2'!LT26,"")</f>
        <v/>
      </c>
      <c r="BM5" s="264"/>
      <c r="BN5" s="194" t="str">
        <f>IF(AND('Resample Data Summary'!C217="PASS",'Data - Sample Type 2'!MI26&lt;&gt;0),'Data - Sample Type 2'!MI26,"")</f>
        <v/>
      </c>
      <c r="BO5" s="259"/>
      <c r="BP5" s="191" t="str">
        <f>IF(AND('Resample Data Summary'!C217="PASS",BN5&lt;&gt;""),'Data - Sample Type 2'!MJ26,"")</f>
        <v/>
      </c>
      <c r="BQ5" s="264"/>
      <c r="BR5" s="151" t="str">
        <f>IF('Resample Data Summary'!C217="PASS",IF('Data - Sample Type 2'!DY26=0,"",'Data - Sample Type 2'!DY26),"")</f>
        <v/>
      </c>
      <c r="BS5" s="259"/>
      <c r="BT5" s="151" t="str">
        <f>IF('Resample Data Summary'!C217="PASS",IF('Data - Sample Type 2'!EM26=0,"",'Data - Sample Type 2'!EM26),"")</f>
        <v/>
      </c>
      <c r="BU5" s="280"/>
    </row>
    <row r="6" spans="1:73" ht="12.75" customHeight="1" x14ac:dyDescent="0.2">
      <c r="A6" s="276"/>
      <c r="B6" s="151" t="str">
        <f>IF('Resample Data Summary'!C28="PASS",IF('Resample Data Summary'!A28="","",'Data - Sample Type 0'!Q107),"")</f>
        <v/>
      </c>
      <c r="C6" s="280"/>
      <c r="F6" s="276"/>
      <c r="G6" s="151" t="str">
        <f>IF(AND('Resample Data Summary'!C133="PASS",'Data - Sample Type 1'!FO87&lt;&gt;0),'Data - Sample Type 1'!FO87,"")</f>
        <v/>
      </c>
      <c r="H6" s="259"/>
      <c r="I6" s="102" t="str">
        <f>IF('Resample Data Summary'!C133="PASS",IF('Data - Sample Type 1'!AE87=0,"",'Data - Sample Type 1'!AE87),"")</f>
        <v/>
      </c>
      <c r="J6" s="259"/>
      <c r="K6" s="151" t="str">
        <f>IF(AND('Resample Data Summary'!C133="PASS",'Data - Sample Type 1'!FW87&lt;&gt;0),'Data - Sample Type 1'!FW87,"")</f>
        <v/>
      </c>
      <c r="L6" s="259"/>
      <c r="M6" s="191" t="str">
        <f>IF(AND('Resample Data Summary'!C133="PASS",K6&lt;&gt;""),'Data - Sample Type 1'!FX87,"")</f>
        <v/>
      </c>
      <c r="N6" s="264"/>
      <c r="O6" s="151" t="str">
        <f>IF(AND('Resample Data Summary'!C133="PASS",'Data - Sample Type 1'!GE87&lt;&gt;0),'Data - Sample Type 1'!GE87,"")</f>
        <v/>
      </c>
      <c r="P6" s="259"/>
      <c r="Q6" s="191" t="str">
        <f>IF(AND('Resample Data Summary'!C133="PASS",O6&lt;&gt;""),'Data - Sample Type 1'!GF87,"")</f>
        <v/>
      </c>
      <c r="R6" s="264"/>
      <c r="S6" s="151" t="str">
        <f>IF('Resample Data Summary'!C133="PASS",IF('Data - Sample Type 1'!BG87=0,"",'Data - Sample Type 1'!BG87),"")</f>
        <v/>
      </c>
      <c r="T6" s="259"/>
      <c r="U6" s="194" t="str">
        <f>IF(AND('Resample Data Summary'!C133="PASS",'Data - Sample Type 1'!GM87&lt;&gt;0),'Data - Sample Type 1'!GM87,"")</f>
        <v/>
      </c>
      <c r="V6" s="259"/>
      <c r="W6" s="151" t="str">
        <f>IF('Resample Data Summary'!C133="PASS",IF('Data - Sample Type 1'!BU87=0,"",'Data - Sample Type 1'!BU87),"")</f>
        <v/>
      </c>
      <c r="X6" s="259"/>
      <c r="Y6" s="151" t="str">
        <f>IF(AND('Resample Data Summary'!C133="PASS",'Data - Sample Type 1'!HC87&lt;&gt;0),'Data - Sample Type 1'!HC87,"")</f>
        <v/>
      </c>
      <c r="Z6" s="259"/>
      <c r="AA6" s="191" t="str">
        <f>IF(AND('Resample Data Summary'!C133="PASS",Y6&lt;&gt;""),'Data - Sample Type 1'!HD87,"")</f>
        <v/>
      </c>
      <c r="AB6" s="264"/>
      <c r="AC6" s="151" t="str">
        <f>IF(AND('Resample Data Summary'!C133="PASS",'Data - Sample Type 1'!HK87&lt;&gt;0),'Data - Sample Type 1'!HK87,"")</f>
        <v/>
      </c>
      <c r="AD6" s="259"/>
      <c r="AE6" s="191" t="str">
        <f>IF(AND('Resample Data Summary'!C133="PASS",AC6&lt;&gt;""),'Data - Sample Type 1'!HL87,"")</f>
        <v/>
      </c>
      <c r="AF6" s="264"/>
      <c r="AG6" s="151" t="str">
        <f>IF(AND('Resample Data Summary'!C133="PASS",'Data - Sample Type 1'!HS87&lt;&gt;0),'Data - Sample Type 1'!HS87,"")</f>
        <v/>
      </c>
      <c r="AH6" s="259"/>
      <c r="AI6" s="191" t="str">
        <f>IF(AND('Resample Data Summary'!C133="PASS",AG6&lt;&gt;""),'Data - Sample Type 1'!HT87,"")</f>
        <v/>
      </c>
      <c r="AJ6" s="264"/>
      <c r="AK6" s="194" t="str">
        <f>IF('Resample Data Summary'!C133="PASS",IF('Data - Sample Type 1'!DK87=0,"",'Data - Sample Type 1'!DK87),"")</f>
        <v/>
      </c>
      <c r="AL6" s="259"/>
      <c r="AM6" s="151" t="str">
        <f>IF('Resample Data Summary'!C133="PASS",IF('Data - Sample Type 1'!DY87=0,"",'Data - Sample Type 1'!DY87),"")</f>
        <v/>
      </c>
      <c r="AN6" s="259"/>
      <c r="AO6" s="151" t="str">
        <f>IF('Resample Data Summary'!C133="PASS",IF('Data - Sample Type 1'!EM87=0,"",'Data - Sample Type 1'!EM87),"")</f>
        <v/>
      </c>
      <c r="AP6" s="280"/>
      <c r="AS6" s="276"/>
      <c r="AT6" s="194" t="str">
        <f>IF(AND('Resample Data Summary'!C218="PASS",'Data - Sample Type 2'!IQ27&lt;&gt;0),'Data - Sample Type 2'!IQ27,"")</f>
        <v/>
      </c>
      <c r="AU6" s="259"/>
      <c r="AV6" s="151" t="str">
        <f>IF(AND('Resample Data Summary'!C218="PASS",'Data - Sample Type 2'!IY27&lt;&gt;0),'Data - Sample Type 2'!IY27,"")</f>
        <v/>
      </c>
      <c r="AW6" s="259"/>
      <c r="AX6" s="191" t="str">
        <f>IF(AND('Resample Data Summary'!C218="PASS",AV6&lt;&gt;""),'Data - Sample Type 2'!IZ27,"")</f>
        <v/>
      </c>
      <c r="AY6" s="264"/>
      <c r="AZ6" s="151" t="str">
        <f>IF(AND('Resample Data Summary'!C218="PASS",'Data - Sample Type 2'!JG27&lt;&gt;0),'Data - Sample Type 2'!JG27,"")</f>
        <v/>
      </c>
      <c r="BA6" s="259"/>
      <c r="BB6" s="191" t="str">
        <f>IF(AND('Resample Data Summary'!C218="PASS",AZ6&lt;&gt;""),'Data - Sample Type 2'!JH27,"")</f>
        <v/>
      </c>
      <c r="BC6" s="264"/>
      <c r="BD6" s="151" t="str">
        <f>IF('Resample Data Summary'!C218="PASS",IF('Data - Sample Type 2'!BG27=0,"",'Data - Sample Type 2'!BG27),"")</f>
        <v/>
      </c>
      <c r="BE6" s="259"/>
      <c r="BF6" s="194" t="str">
        <f>IF(AND('Resample Data Summary'!C218="PASS",'Data - Sample Type 2'!JO27&lt;&gt;0),'Data - Sample Type 2'!JO27,"")</f>
        <v/>
      </c>
      <c r="BG6" s="259"/>
      <c r="BH6" s="151" t="str">
        <f>IF(AND('Resample Data Summary'!C218="PASS",'Data - Sample Type 2'!HC27&lt;&gt;0),'Data - Sample Type 2'!HC27,"")</f>
        <v/>
      </c>
      <c r="BI6" s="259"/>
      <c r="BJ6" s="151" t="str">
        <f>IF(AND('Resample Data Summary'!C218="PASS",'Data - Sample Type 2'!LS27&lt;&gt;0),'Data - Sample Type 2'!LS27,"")</f>
        <v/>
      </c>
      <c r="BK6" s="259"/>
      <c r="BL6" s="191" t="str">
        <f>IF('Resample Data Summary'!C218="PASS",'Data - Sample Type 2'!LT27,"")</f>
        <v/>
      </c>
      <c r="BM6" s="264"/>
      <c r="BN6" s="194" t="str">
        <f>IF(AND('Resample Data Summary'!C218="PASS",'Data - Sample Type 2'!MI27&lt;&gt;0),'Data - Sample Type 2'!MI27,"")</f>
        <v/>
      </c>
      <c r="BO6" s="259"/>
      <c r="BP6" s="191" t="str">
        <f>IF(AND('Resample Data Summary'!C218="PASS",BN6&lt;&gt;""),'Data - Sample Type 2'!MJ27,"")</f>
        <v/>
      </c>
      <c r="BQ6" s="264"/>
      <c r="BR6" s="151" t="str">
        <f>IF('Resample Data Summary'!C218="PASS",IF('Data - Sample Type 2'!DY27=0,"",'Data - Sample Type 2'!DY27),"")</f>
        <v/>
      </c>
      <c r="BS6" s="259"/>
      <c r="BT6" s="151" t="str">
        <f>IF('Resample Data Summary'!C218="PASS",IF('Data - Sample Type 2'!EM27=0,"",'Data - Sample Type 2'!EM27),"")</f>
        <v/>
      </c>
      <c r="BU6" s="280"/>
    </row>
    <row r="7" spans="1:73" ht="12.75" customHeight="1" x14ac:dyDescent="0.2">
      <c r="A7" s="276"/>
      <c r="B7" s="151" t="str">
        <f>IF('Resample Data Summary'!C29="PASS",IF('Resample Data Summary'!A29="","",'Data - Sample Type 0'!Q108),"")</f>
        <v/>
      </c>
      <c r="C7" s="280"/>
      <c r="F7" s="276"/>
      <c r="G7" s="151" t="str">
        <f>IF(AND('Resample Data Summary'!C134="PASS",'Data - Sample Type 1'!FO88&lt;&gt;0),'Data - Sample Type 1'!FO88,"")</f>
        <v/>
      </c>
      <c r="H7" s="259" t="e">
        <f>IF(AND(H3&gt;=Specifications!$C$21,H3&lt;=Specifications!$D$21),"PASS","FAIL")</f>
        <v>#DIV/0!</v>
      </c>
      <c r="I7" s="102" t="str">
        <f>IF('Resample Data Summary'!C134="PASS",IF('Data - Sample Type 1'!AE88=0,"",'Data - Sample Type 1'!AE88),"")</f>
        <v/>
      </c>
      <c r="J7" s="259" t="e">
        <f>IF(J3&lt;=Specifications!D$22,"PASS","FAIL")</f>
        <v>#DIV/0!</v>
      </c>
      <c r="K7" s="151" t="str">
        <f>IF(AND('Resample Data Summary'!C134="PASS",'Data - Sample Type 1'!FW88&lt;&gt;0),'Data - Sample Type 1'!FW88,"")</f>
        <v/>
      </c>
      <c r="L7" s="259" t="e">
        <f>IF(AND(L3&gt;=Specifications!$C$23,L3&lt;=Specifications!$D$23),"PASS","FAIL")</f>
        <v>#DIV/0!</v>
      </c>
      <c r="M7" s="191" t="str">
        <f>IF(AND('Resample Data Summary'!C134="PASS",K7&lt;&gt;""),'Data - Sample Type 1'!FX88,"")</f>
        <v/>
      </c>
      <c r="N7" s="391" t="s">
        <v>510</v>
      </c>
      <c r="O7" s="151" t="str">
        <f>IF(AND('Resample Data Summary'!C134="PASS",'Data - Sample Type 1'!GE88&lt;&gt;0),'Data - Sample Type 1'!GE88,"")</f>
        <v/>
      </c>
      <c r="P7" s="259" t="e">
        <f>IF(AND(P3&gt;=Specifications!$C$25,P3&lt;=Specifications!$D$25),"PASS","FAIL")</f>
        <v>#DIV/0!</v>
      </c>
      <c r="Q7" s="191" t="str">
        <f>IF(AND('Resample Data Summary'!C134="PASS",O7&lt;&gt;""),'Data - Sample Type 1'!GF88,"")</f>
        <v/>
      </c>
      <c r="R7" s="391" t="s">
        <v>510</v>
      </c>
      <c r="S7" s="151" t="str">
        <f>IF('Resample Data Summary'!C134="PASS",IF('Data - Sample Type 1'!BG88=0,"",'Data - Sample Type 1'!BG88),"")</f>
        <v/>
      </c>
      <c r="T7" s="259" t="e">
        <f>IF(T3&lt;=Specifications!D$27,"PASS","FAIL")</f>
        <v>#DIV/0!</v>
      </c>
      <c r="U7" s="194" t="str">
        <f>IF(AND('Resample Data Summary'!C134="PASS",'Data - Sample Type 1'!GM88&lt;&gt;0),'Data - Sample Type 1'!GM88,"")</f>
        <v/>
      </c>
      <c r="V7" s="259" t="e">
        <f>IF(AND(V3&gt;=Specifications!$C$28,V3&lt;=Specifications!$D$28),"PASS","FAIL")</f>
        <v>#DIV/0!</v>
      </c>
      <c r="W7" s="151" t="str">
        <f>IF('Resample Data Summary'!C134="PASS",IF('Data - Sample Type 1'!BU88=0,"",'Data - Sample Type 1'!BU88),"")</f>
        <v/>
      </c>
      <c r="X7" s="394" t="s">
        <v>510</v>
      </c>
      <c r="Y7" s="151" t="str">
        <f>IF(AND('Resample Data Summary'!C134="PASS",'Data - Sample Type 1'!HC88&lt;&gt;0),'Data - Sample Type 1'!HC88,"")</f>
        <v/>
      </c>
      <c r="Z7" s="259" t="e">
        <f>IF(AND(Z3&gt;=Specifications!$C$31,Z3&lt;=Specifications!$D$31),"PASS","FAIL")</f>
        <v>#DIV/0!</v>
      </c>
      <c r="AA7" s="191" t="str">
        <f>IF(AND('Resample Data Summary'!C134="PASS",Y7&lt;&gt;""),'Data - Sample Type 1'!HD88,"")</f>
        <v/>
      </c>
      <c r="AB7" s="391" t="s">
        <v>510</v>
      </c>
      <c r="AC7" s="151" t="str">
        <f>IF(AND('Resample Data Summary'!C134="PASS",'Data - Sample Type 1'!HK88&lt;&gt;0),'Data - Sample Type 1'!HK88,"")</f>
        <v/>
      </c>
      <c r="AD7" s="259" t="e">
        <f>IF(AND(AD3&gt;=Specifications!$C$33,AD3&lt;=Specifications!$D$33),"PASS","FAIL")</f>
        <v>#DIV/0!</v>
      </c>
      <c r="AE7" s="191" t="str">
        <f>IF(AND('Resample Data Summary'!C134="PASS",AC7&lt;&gt;""),'Data - Sample Type 1'!HL88,"")</f>
        <v/>
      </c>
      <c r="AF7" s="391" t="s">
        <v>510</v>
      </c>
      <c r="AG7" s="151" t="str">
        <f>IF(AND('Resample Data Summary'!C134="PASS",'Data - Sample Type 1'!HS88&lt;&gt;0),'Data - Sample Type 1'!HS88,"")</f>
        <v/>
      </c>
      <c r="AH7" s="259" t="e">
        <f>IF(AND(AH3&gt;=Specifications!$C$35,AH3&lt;=Specifications!$D$35),"PASS","FAIL")</f>
        <v>#DIV/0!</v>
      </c>
      <c r="AI7" s="191" t="str">
        <f>IF(AND('Resample Data Summary'!C134="PASS",AG7&lt;&gt;""),'Data - Sample Type 1'!HT88,"")</f>
        <v/>
      </c>
      <c r="AJ7" s="391" t="s">
        <v>510</v>
      </c>
      <c r="AK7" s="194" t="str">
        <f>IF('Resample Data Summary'!C134="PASS",IF('Data - Sample Type 1'!DK88=0,"",'Data - Sample Type 1'!DK88),"")</f>
        <v/>
      </c>
      <c r="AL7" s="259" t="e">
        <f>IF(AL3&lt;=Specifications!$D$37,"PASS","FAIL")</f>
        <v>#DIV/0!</v>
      </c>
      <c r="AM7" s="151" t="str">
        <f>IF('Resample Data Summary'!C134="PASS",IF('Data - Sample Type 1'!DY88=0,"",'Data - Sample Type 1'!DY88),"")</f>
        <v/>
      </c>
      <c r="AN7" s="259" t="e">
        <f>IF(AN3&lt;=Specifications!$D$38,"PASS","FAIL")</f>
        <v>#DIV/0!</v>
      </c>
      <c r="AO7" s="151" t="str">
        <f>IF('Resample Data Summary'!C134="PASS",IF('Data - Sample Type 1'!EM88=0,"",'Data - Sample Type 1'!EM88),"")</f>
        <v/>
      </c>
      <c r="AP7" s="280" t="e">
        <f>IF(AP3&lt;=Specifications!$D$39,"PASS","FAIL")</f>
        <v>#DIV/0!</v>
      </c>
      <c r="AS7" s="276"/>
      <c r="AT7" s="194" t="str">
        <f>IF(AND('Resample Data Summary'!C219="PASS",'Data - Sample Type 2'!IQ28&lt;&gt;0),'Data - Sample Type 2'!IQ28,"")</f>
        <v/>
      </c>
      <c r="AU7" s="259"/>
      <c r="AV7" s="151" t="str">
        <f>IF(AND('Resample Data Summary'!C219="PASS",'Data - Sample Type 2'!IY28&lt;&gt;0),'Data - Sample Type 2'!IY28,"")</f>
        <v/>
      </c>
      <c r="AW7" s="259"/>
      <c r="AX7" s="191" t="str">
        <f>IF(AND('Resample Data Summary'!C219="PASS",AV7&lt;&gt;""),'Data - Sample Type 2'!IZ28,"")</f>
        <v/>
      </c>
      <c r="AY7" s="264"/>
      <c r="AZ7" s="151" t="str">
        <f>IF(AND('Resample Data Summary'!C219="PASS",'Data - Sample Type 2'!JG28&lt;&gt;0),'Data - Sample Type 2'!JG28,"")</f>
        <v/>
      </c>
      <c r="BA7" s="259"/>
      <c r="BB7" s="191" t="str">
        <f>IF(AND('Resample Data Summary'!C219="PASS",AZ7&lt;&gt;""),'Data - Sample Type 2'!JH28,"")</f>
        <v/>
      </c>
      <c r="BC7" s="264"/>
      <c r="BD7" s="151" t="str">
        <f>IF('Resample Data Summary'!C219="PASS",IF('Data - Sample Type 2'!BG28=0,"",'Data - Sample Type 2'!BG28),"")</f>
        <v/>
      </c>
      <c r="BE7" s="259"/>
      <c r="BF7" s="194" t="str">
        <f>IF(AND('Resample Data Summary'!C219="PASS",'Data - Sample Type 2'!JO28&lt;&gt;0),'Data - Sample Type 2'!JO28,"")</f>
        <v/>
      </c>
      <c r="BG7" s="259"/>
      <c r="BH7" s="151" t="str">
        <f>IF(AND('Resample Data Summary'!C219="PASS",'Data - Sample Type 2'!HC28&lt;&gt;0),'Data - Sample Type 2'!HC28,"")</f>
        <v/>
      </c>
      <c r="BI7" s="259"/>
      <c r="BJ7" s="151" t="str">
        <f>IF(AND('Resample Data Summary'!C219="PASS",'Data - Sample Type 2'!LS28&lt;&gt;0),'Data - Sample Type 2'!LS28,"")</f>
        <v/>
      </c>
      <c r="BK7" s="259"/>
      <c r="BL7" s="191" t="str">
        <f>IF('Resample Data Summary'!C219="PASS",'Data - Sample Type 2'!LT28,"")</f>
        <v/>
      </c>
      <c r="BM7" s="264"/>
      <c r="BN7" s="194" t="str">
        <f>IF(AND('Resample Data Summary'!C219="PASS",'Data - Sample Type 2'!MI28&lt;&gt;0),'Data - Sample Type 2'!MI28,"")</f>
        <v/>
      </c>
      <c r="BO7" s="259"/>
      <c r="BP7" s="191" t="str">
        <f>IF(AND('Resample Data Summary'!C219="PASS",BN7&lt;&gt;""),'Data - Sample Type 2'!MJ28,"")</f>
        <v/>
      </c>
      <c r="BQ7" s="264"/>
      <c r="BR7" s="151" t="str">
        <f>IF('Resample Data Summary'!C219="PASS",IF('Data - Sample Type 2'!DY28=0,"",'Data - Sample Type 2'!DY28),"")</f>
        <v/>
      </c>
      <c r="BS7" s="259"/>
      <c r="BT7" s="151" t="str">
        <f>IF('Resample Data Summary'!C219="PASS",IF('Data - Sample Type 2'!EM28=0,"",'Data - Sample Type 2'!EM28),"")</f>
        <v/>
      </c>
      <c r="BU7" s="280"/>
    </row>
    <row r="8" spans="1:73" ht="12.75" customHeight="1" x14ac:dyDescent="0.2">
      <c r="A8" s="276"/>
      <c r="B8" s="151" t="str">
        <f>IF('Resample Data Summary'!C30="PASS",IF('Resample Data Summary'!A30="","",'Data - Sample Type 0'!Q109),"")</f>
        <v/>
      </c>
      <c r="C8" s="280" t="e">
        <f>IF(C3&lt;=Specifications!$G$20,"PASS","FAIL")</f>
        <v>#DIV/0!</v>
      </c>
      <c r="F8" s="276"/>
      <c r="G8" s="151" t="str">
        <f>IF(AND('Resample Data Summary'!C135="PASS",'Data - Sample Type 1'!FO89&lt;&gt;0),'Data - Sample Type 1'!FO89,"")</f>
        <v/>
      </c>
      <c r="H8" s="259"/>
      <c r="I8" s="102" t="str">
        <f>IF('Resample Data Summary'!C135="PASS",IF('Data - Sample Type 1'!AE89=0,"",'Data - Sample Type 1'!AE89),"")</f>
        <v/>
      </c>
      <c r="J8" s="259"/>
      <c r="K8" s="151" t="str">
        <f>IF(AND('Resample Data Summary'!C135="PASS",'Data - Sample Type 1'!FW89&lt;&gt;0),'Data - Sample Type 1'!FW89,"")</f>
        <v/>
      </c>
      <c r="L8" s="259"/>
      <c r="M8" s="191" t="str">
        <f>IF(AND('Resample Data Summary'!C135="PASS",K8&lt;&gt;""),'Data - Sample Type 1'!FX89,"")</f>
        <v/>
      </c>
      <c r="N8" s="264"/>
      <c r="O8" s="151" t="str">
        <f>IF(AND('Resample Data Summary'!C135="PASS",'Data - Sample Type 1'!GE89&lt;&gt;0),'Data - Sample Type 1'!GE89,"")</f>
        <v/>
      </c>
      <c r="P8" s="259"/>
      <c r="Q8" s="191" t="str">
        <f>IF(AND('Resample Data Summary'!C135="PASS",O8&lt;&gt;""),'Data - Sample Type 1'!GF89,"")</f>
        <v/>
      </c>
      <c r="R8" s="264"/>
      <c r="S8" s="151" t="str">
        <f>IF('Resample Data Summary'!C135="PASS",IF('Data - Sample Type 1'!BG89=0,"",'Data - Sample Type 1'!BG89),"")</f>
        <v/>
      </c>
      <c r="T8" s="259"/>
      <c r="U8" s="194" t="str">
        <f>IF(AND('Resample Data Summary'!C135="PASS",'Data - Sample Type 1'!GM89&lt;&gt;0),'Data - Sample Type 1'!GM89,"")</f>
        <v/>
      </c>
      <c r="V8" s="259"/>
      <c r="W8" s="151" t="str">
        <f>IF('Resample Data Summary'!C135="PASS",IF('Data - Sample Type 1'!BU89=0,"",'Data - Sample Type 1'!BU89),"")</f>
        <v/>
      </c>
      <c r="X8" s="259"/>
      <c r="Y8" s="151" t="str">
        <f>IF(AND('Resample Data Summary'!C135="PASS",'Data - Sample Type 1'!HC89&lt;&gt;0),'Data - Sample Type 1'!HC89,"")</f>
        <v/>
      </c>
      <c r="Z8" s="259"/>
      <c r="AA8" s="191" t="str">
        <f>IF(AND('Resample Data Summary'!C135="PASS",Y8&lt;&gt;""),'Data - Sample Type 1'!HD89,"")</f>
        <v/>
      </c>
      <c r="AB8" s="264"/>
      <c r="AC8" s="151" t="str">
        <f>IF(AND('Resample Data Summary'!C135="PASS",'Data - Sample Type 1'!HK89&lt;&gt;0),'Data - Sample Type 1'!HK89,"")</f>
        <v/>
      </c>
      <c r="AD8" s="259"/>
      <c r="AE8" s="191" t="str">
        <f>IF(AND('Resample Data Summary'!C135="PASS",AC8&lt;&gt;""),'Data - Sample Type 1'!HL89,"")</f>
        <v/>
      </c>
      <c r="AF8" s="264"/>
      <c r="AG8" s="151" t="str">
        <f>IF(AND('Resample Data Summary'!C135="PASS",'Data - Sample Type 1'!HS89&lt;&gt;0),'Data - Sample Type 1'!HS89,"")</f>
        <v/>
      </c>
      <c r="AH8" s="259"/>
      <c r="AI8" s="191" t="str">
        <f>IF(AND('Resample Data Summary'!C135="PASS",AG8&lt;&gt;""),'Data - Sample Type 1'!HT89,"")</f>
        <v/>
      </c>
      <c r="AJ8" s="264"/>
      <c r="AK8" s="194" t="str">
        <f>IF('Resample Data Summary'!C135="PASS",IF('Data - Sample Type 1'!DK89=0,"",'Data - Sample Type 1'!DK89),"")</f>
        <v/>
      </c>
      <c r="AL8" s="259"/>
      <c r="AM8" s="151" t="str">
        <f>IF('Resample Data Summary'!C135="PASS",IF('Data - Sample Type 1'!DY89=0,"",'Data - Sample Type 1'!DY89),"")</f>
        <v/>
      </c>
      <c r="AN8" s="259"/>
      <c r="AO8" s="151" t="str">
        <f>IF('Resample Data Summary'!C135="PASS",IF('Data - Sample Type 1'!EM89=0,"",'Data - Sample Type 1'!EM89),"")</f>
        <v/>
      </c>
      <c r="AP8" s="280"/>
      <c r="AS8" s="276"/>
      <c r="AT8" s="194" t="str">
        <f>IF(AND('Resample Data Summary'!C220="PASS",'Data - Sample Type 2'!IQ29&lt;&gt;0),'Data - Sample Type 2'!IQ29,"")</f>
        <v/>
      </c>
      <c r="AU8" s="394" t="e">
        <f>IF(AND(AU3&gt;=Specifications!$E$21,AU3&lt;=Specifications!$F$21),"PASS","FAIL")</f>
        <v>#DIV/0!</v>
      </c>
      <c r="AV8" s="151" t="str">
        <f>IF(AND('Resample Data Summary'!C220="PASS",'Data - Sample Type 2'!IY29&lt;&gt;0),'Data - Sample Type 2'!IY29,"")</f>
        <v/>
      </c>
      <c r="AW8" s="394" t="e">
        <f>IF(AND(AW3&gt;=Specifications!$E$23,AW3&lt;=Specifications!$F$23),"PASS","FAIL")</f>
        <v>#DIV/0!</v>
      </c>
      <c r="AX8" s="191" t="str">
        <f>IF(AND('Resample Data Summary'!C220="PASS",AV8&lt;&gt;""),'Data - Sample Type 2'!IZ29,"")</f>
        <v/>
      </c>
      <c r="AY8" s="264" t="e">
        <f>IF(AY3&gt;=Specifications!$E$24,"PASS","FAIL")</f>
        <v>#DIV/0!</v>
      </c>
      <c r="AZ8" s="151" t="str">
        <f>IF(AND('Resample Data Summary'!C220="PASS",'Data - Sample Type 2'!JG29&lt;&gt;0),'Data - Sample Type 2'!JG29,"")</f>
        <v/>
      </c>
      <c r="BA8" s="394" t="e">
        <f>IF(AND(BA3&gt;=Specifications!$E$25,BA3&lt;=Specifications!$F$25),"PASS","FAIL")</f>
        <v>#DIV/0!</v>
      </c>
      <c r="BB8" s="191" t="str">
        <f>IF(AND('Resample Data Summary'!C220="PASS",AZ8&lt;&gt;""),'Data - Sample Type 2'!JH29,"")</f>
        <v/>
      </c>
      <c r="BC8" s="264" t="e">
        <f>IF(BC3&gt;=Specifications!$E$26,"PASS","FAIL")</f>
        <v>#DIV/0!</v>
      </c>
      <c r="BD8" s="151" t="str">
        <f>IF('Resample Data Summary'!C220="PASS",IF('Data - Sample Type 2'!BG29=0,"",'Data - Sample Type 2'!BG29),"")</f>
        <v/>
      </c>
      <c r="BE8" s="259" t="e">
        <f>IF(BE3&lt;=Specifications!$F$27,"PASS","FAIL")</f>
        <v>#DIV/0!</v>
      </c>
      <c r="BF8" s="194" t="str">
        <f>IF(AND('Resample Data Summary'!C220="PASS",'Data - Sample Type 2'!JO29&lt;&gt;0),'Data - Sample Type 2'!JO29,"")</f>
        <v/>
      </c>
      <c r="BG8" s="394" t="e">
        <f>IF(AND(BG3&gt;=Specifications!$E$28,BG3&lt;=Specifications!$F$28),"PASS","FAIL")</f>
        <v>#DIV/0!</v>
      </c>
      <c r="BH8" s="151" t="str">
        <f>IF(AND('Resample Data Summary'!C220="PASS",'Data - Sample Type 2'!HC29&lt;&gt;0),'Data - Sample Type 2'!HC29,"")</f>
        <v/>
      </c>
      <c r="BI8" s="394" t="e">
        <f>IF(AND(BI3&gt;=Specifications!$E$31,BI3&lt;=Specifications!$F$31),"PASS","FAIL")</f>
        <v>#DIV/0!</v>
      </c>
      <c r="BJ8" s="151" t="str">
        <f>IF(AND('Resample Data Summary'!C220="PASS",'Data - Sample Type 2'!LS29&lt;&gt;0),'Data - Sample Type 2'!LS29,"")</f>
        <v/>
      </c>
      <c r="BK8" s="394" t="e">
        <f>IF(AND(BK3&gt;=Specifications!$E$33,BK3&lt;=Specifications!$F$33),"PASS","FAIL")</f>
        <v>#DIV/0!</v>
      </c>
      <c r="BL8" s="191" t="str">
        <f>IF('Resample Data Summary'!C220="PASS",'Data - Sample Type 2'!LT29,"")</f>
        <v/>
      </c>
      <c r="BM8" s="264" t="e">
        <f>IF(BM3&gt;=Specifications!$E$34,"PASS","FAIL")</f>
        <v>#DIV/0!</v>
      </c>
      <c r="BN8" s="194" t="str">
        <f>IF(AND('Resample Data Summary'!C220="PASS",'Data - Sample Type 2'!MI29&lt;&gt;0),'Data - Sample Type 2'!MI29,"")</f>
        <v/>
      </c>
      <c r="BO8" s="394" t="e">
        <f>IF(AND(BO3&gt;=Specifications!$E$35,BO3&lt;=Specifications!$F$35),"PASS","FAIL")</f>
        <v>#DIV/0!</v>
      </c>
      <c r="BP8" s="191" t="str">
        <f>IF(AND('Resample Data Summary'!C220="PASS",BN8&lt;&gt;""),'Data - Sample Type 2'!MJ29,"")</f>
        <v/>
      </c>
      <c r="BQ8" s="264" t="e">
        <f>IF(BQ3&gt;=Specifications!$E$36,"PASS","FAIL")</f>
        <v>#DIV/0!</v>
      </c>
      <c r="BR8" s="151" t="str">
        <f>IF('Resample Data Summary'!C220="PASS",IF('Data - Sample Type 2'!DY29=0,"",'Data - Sample Type 2'!DY29),"")</f>
        <v/>
      </c>
      <c r="BS8" s="259" t="e">
        <f>IF(BS3&lt;=Specifications!$F$38,"PASS","FAIL")</f>
        <v>#DIV/0!</v>
      </c>
      <c r="BT8" s="151" t="str">
        <f>IF('Resample Data Summary'!C220="PASS",IF('Data - Sample Type 2'!EM29=0,"",'Data - Sample Type 2'!EM29),"")</f>
        <v/>
      </c>
      <c r="BU8" s="280" t="e">
        <f>IF(BU3&lt;=Specifications!$F$39,"PASS","FAIL")</f>
        <v>#DIV/0!</v>
      </c>
    </row>
    <row r="9" spans="1:73" ht="12.75" customHeight="1" x14ac:dyDescent="0.2">
      <c r="A9" s="276"/>
      <c r="B9" s="151" t="str">
        <f>IF('Resample Data Summary'!C31="PASS",IF('Resample Data Summary'!A31="","",'Data - Sample Type 0'!Q110),"")</f>
        <v/>
      </c>
      <c r="C9" s="280"/>
      <c r="F9" s="276"/>
      <c r="G9" s="151" t="str">
        <f>IF(AND('Resample Data Summary'!C136="PASS",'Data - Sample Type 1'!FO90&lt;&gt;0),'Data - Sample Type 1'!FO90,"")</f>
        <v/>
      </c>
      <c r="H9" s="259"/>
      <c r="I9" s="102" t="str">
        <f>IF('Resample Data Summary'!C136="PASS",IF('Data - Sample Type 1'!AE90=0,"",'Data - Sample Type 1'!AE90),"")</f>
        <v/>
      </c>
      <c r="J9" s="259"/>
      <c r="K9" s="151" t="str">
        <f>IF(AND('Resample Data Summary'!C136="PASS",'Data - Sample Type 1'!FW90&lt;&gt;0),'Data - Sample Type 1'!FW90,"")</f>
        <v/>
      </c>
      <c r="L9" s="259"/>
      <c r="M9" s="191" t="str">
        <f>IF(AND('Resample Data Summary'!C136="PASS",K9&lt;&gt;""),'Data - Sample Type 1'!FX90,"")</f>
        <v/>
      </c>
      <c r="N9" s="264"/>
      <c r="O9" s="151" t="str">
        <f>IF(AND('Resample Data Summary'!C136="PASS",'Data - Sample Type 1'!GE90&lt;&gt;0),'Data - Sample Type 1'!GE90,"")</f>
        <v/>
      </c>
      <c r="P9" s="259"/>
      <c r="Q9" s="191" t="str">
        <f>IF(AND('Resample Data Summary'!C136="PASS",O9&lt;&gt;""),'Data - Sample Type 1'!GF90,"")</f>
        <v/>
      </c>
      <c r="R9" s="264"/>
      <c r="S9" s="151" t="str">
        <f>IF('Resample Data Summary'!C136="PASS",IF('Data - Sample Type 1'!BG90=0,"",'Data - Sample Type 1'!BG90),"")</f>
        <v/>
      </c>
      <c r="T9" s="259"/>
      <c r="U9" s="194" t="str">
        <f>IF(AND('Resample Data Summary'!C136="PASS",'Data - Sample Type 1'!GM90&lt;&gt;0),'Data - Sample Type 1'!GM90,"")</f>
        <v/>
      </c>
      <c r="V9" s="259"/>
      <c r="W9" s="151" t="str">
        <f>IF('Resample Data Summary'!C136="PASS",IF('Data - Sample Type 1'!BU90=0,"",'Data - Sample Type 1'!BU90),"")</f>
        <v/>
      </c>
      <c r="X9" s="259"/>
      <c r="Y9" s="151" t="str">
        <f>IF(AND('Resample Data Summary'!C136="PASS",'Data - Sample Type 1'!HC90&lt;&gt;0),'Data - Sample Type 1'!HC90,"")</f>
        <v/>
      </c>
      <c r="Z9" s="259"/>
      <c r="AA9" s="191" t="str">
        <f>IF(AND('Resample Data Summary'!C136="PASS",Y9&lt;&gt;""),'Data - Sample Type 1'!HD90,"")</f>
        <v/>
      </c>
      <c r="AB9" s="264"/>
      <c r="AC9" s="151" t="str">
        <f>IF(AND('Resample Data Summary'!C136="PASS",'Data - Sample Type 1'!HK90&lt;&gt;0),'Data - Sample Type 1'!HK90,"")</f>
        <v/>
      </c>
      <c r="AD9" s="259"/>
      <c r="AE9" s="191" t="str">
        <f>IF(AND('Resample Data Summary'!C136="PASS",AC9&lt;&gt;""),'Data - Sample Type 1'!HL90,"")</f>
        <v/>
      </c>
      <c r="AF9" s="264"/>
      <c r="AG9" s="151" t="str">
        <f>IF(AND('Resample Data Summary'!C136="PASS",'Data - Sample Type 1'!HS90&lt;&gt;0),'Data - Sample Type 1'!HS90,"")</f>
        <v/>
      </c>
      <c r="AH9" s="259"/>
      <c r="AI9" s="191" t="str">
        <f>IF(AND('Resample Data Summary'!C136="PASS",AG9&lt;&gt;""),'Data - Sample Type 1'!HT90,"")</f>
        <v/>
      </c>
      <c r="AJ9" s="264"/>
      <c r="AK9" s="194" t="str">
        <f>IF('Resample Data Summary'!C136="PASS",IF('Data - Sample Type 1'!DK90=0,"",'Data - Sample Type 1'!DK90),"")</f>
        <v/>
      </c>
      <c r="AL9" s="259"/>
      <c r="AM9" s="151" t="str">
        <f>IF('Resample Data Summary'!C136="PASS",IF('Data - Sample Type 1'!DY90=0,"",'Data - Sample Type 1'!DY90),"")</f>
        <v/>
      </c>
      <c r="AN9" s="259"/>
      <c r="AO9" s="151" t="str">
        <f>IF('Resample Data Summary'!C136="PASS",IF('Data - Sample Type 1'!EM90=0,"",'Data - Sample Type 1'!EM90),"")</f>
        <v/>
      </c>
      <c r="AP9" s="280"/>
      <c r="AS9" s="276"/>
      <c r="AT9" s="194" t="str">
        <f>IF(AND('Resample Data Summary'!C221="PASS",'Data - Sample Type 2'!IQ30&lt;&gt;0),'Data - Sample Type 2'!IQ30,"")</f>
        <v/>
      </c>
      <c r="AU9" s="259"/>
      <c r="AV9" s="151" t="str">
        <f>IF(AND('Resample Data Summary'!C221="PASS",'Data - Sample Type 2'!IY30&lt;&gt;0),'Data - Sample Type 2'!IY30,"")</f>
        <v/>
      </c>
      <c r="AW9" s="259"/>
      <c r="AX9" s="191" t="str">
        <f>IF(AND('Resample Data Summary'!C221="PASS",AV9&lt;&gt;""),'Data - Sample Type 2'!IZ30,"")</f>
        <v/>
      </c>
      <c r="AY9" s="264"/>
      <c r="AZ9" s="151" t="str">
        <f>IF(AND('Resample Data Summary'!C221="PASS",'Data - Sample Type 2'!JG30&lt;&gt;0),'Data - Sample Type 2'!JG30,"")</f>
        <v/>
      </c>
      <c r="BA9" s="259"/>
      <c r="BB9" s="191" t="str">
        <f>IF(AND('Resample Data Summary'!C221="PASS",AZ9&lt;&gt;""),'Data - Sample Type 2'!JH30,"")</f>
        <v/>
      </c>
      <c r="BC9" s="264"/>
      <c r="BD9" s="151" t="str">
        <f>IF('Resample Data Summary'!C221="PASS",IF('Data - Sample Type 2'!BG30=0,"",'Data - Sample Type 2'!BG30),"")</f>
        <v/>
      </c>
      <c r="BE9" s="259"/>
      <c r="BF9" s="194" t="str">
        <f>IF(AND('Resample Data Summary'!C221="PASS",'Data - Sample Type 2'!JO30&lt;&gt;0),'Data - Sample Type 2'!JO30,"")</f>
        <v/>
      </c>
      <c r="BG9" s="259"/>
      <c r="BH9" s="151" t="str">
        <f>IF(AND('Resample Data Summary'!C221="PASS",'Data - Sample Type 2'!HC30&lt;&gt;0),'Data - Sample Type 2'!HC30,"")</f>
        <v/>
      </c>
      <c r="BI9" s="259"/>
      <c r="BJ9" s="151" t="str">
        <f>IF(AND('Resample Data Summary'!C221="PASS",'Data - Sample Type 2'!LS30&lt;&gt;0),'Data - Sample Type 2'!LS30,"")</f>
        <v/>
      </c>
      <c r="BK9" s="259"/>
      <c r="BL9" s="191" t="str">
        <f>IF('Resample Data Summary'!C221="PASS",'Data - Sample Type 2'!LT30,"")</f>
        <v/>
      </c>
      <c r="BM9" s="264"/>
      <c r="BN9" s="194" t="str">
        <f>IF(AND('Resample Data Summary'!C221="PASS",'Data - Sample Type 2'!MI30&lt;&gt;0),'Data - Sample Type 2'!MI30,"")</f>
        <v/>
      </c>
      <c r="BO9" s="259"/>
      <c r="BP9" s="191" t="str">
        <f>IF(AND('Resample Data Summary'!C221="PASS",BN9&lt;&gt;""),'Data - Sample Type 2'!MJ30,"")</f>
        <v/>
      </c>
      <c r="BQ9" s="264"/>
      <c r="BR9" s="151" t="str">
        <f>IF('Resample Data Summary'!C221="PASS",IF('Data - Sample Type 2'!DY30=0,"",'Data - Sample Type 2'!DY30),"")</f>
        <v/>
      </c>
      <c r="BS9" s="259"/>
      <c r="BT9" s="151" t="str">
        <f>IF('Resample Data Summary'!C221="PASS",IF('Data - Sample Type 2'!EM30=0,"",'Data - Sample Type 2'!EM30),"")</f>
        <v/>
      </c>
      <c r="BU9" s="280"/>
    </row>
    <row r="10" spans="1:73" ht="12.75" customHeight="1" thickBot="1" x14ac:dyDescent="0.25">
      <c r="A10" s="276"/>
      <c r="B10" s="151" t="str">
        <f>IF('Resample Data Summary'!C32="PASS",IF('Resample Data Summary'!A32="","",'Data - Sample Type 0'!Q111),"")</f>
        <v/>
      </c>
      <c r="C10" s="280"/>
      <c r="F10" s="277"/>
      <c r="G10" s="172" t="str">
        <f>IF(AND('Resample Data Summary'!C137="PASS",'Data - Sample Type 1'!FO91&lt;&gt;0),'Data - Sample Type 1'!FO91,"")</f>
        <v/>
      </c>
      <c r="H10" s="393"/>
      <c r="I10" s="173" t="str">
        <f>IF('Resample Data Summary'!C137="PASS",IF('Data - Sample Type 1'!AE91=0,"",'Data - Sample Type 1'!AE91),"")</f>
        <v/>
      </c>
      <c r="J10" s="393"/>
      <c r="K10" s="172" t="str">
        <f>IF(AND('Resample Data Summary'!C137="PASS",'Data - Sample Type 1'!FW91&lt;&gt;0),'Data - Sample Type 1'!FW91,"")</f>
        <v/>
      </c>
      <c r="L10" s="393"/>
      <c r="M10" s="192" t="str">
        <f>IF(AND('Resample Data Summary'!C137="PASS",K10&lt;&gt;""),'Data - Sample Type 1'!FX91,"")</f>
        <v/>
      </c>
      <c r="N10" s="392"/>
      <c r="O10" s="172" t="str">
        <f>IF(AND('Resample Data Summary'!C137="PASS",'Data - Sample Type 1'!GE91&lt;&gt;0),'Data - Sample Type 1'!GE91,"")</f>
        <v/>
      </c>
      <c r="P10" s="393"/>
      <c r="Q10" s="192" t="str">
        <f>IF(AND('Resample Data Summary'!C137="PASS",O10&lt;&gt;""),'Data - Sample Type 1'!GF91,"")</f>
        <v/>
      </c>
      <c r="R10" s="392"/>
      <c r="S10" s="172" t="str">
        <f>IF('Resample Data Summary'!C137="PASS",IF('Data - Sample Type 1'!BG91=0,"",'Data - Sample Type 1'!BG91),"")</f>
        <v/>
      </c>
      <c r="T10" s="393"/>
      <c r="U10" s="195" t="str">
        <f>IF(AND('Resample Data Summary'!C137="PASS",'Data - Sample Type 1'!GM91&lt;&gt;0),'Data - Sample Type 1'!GM91,"")</f>
        <v/>
      </c>
      <c r="V10" s="393"/>
      <c r="W10" s="172" t="str">
        <f>IF('Resample Data Summary'!C137="PASS",IF('Data - Sample Type 1'!BU91=0,"",'Data - Sample Type 1'!BU91),"")</f>
        <v/>
      </c>
      <c r="X10" s="393"/>
      <c r="Y10" s="172" t="str">
        <f>IF(AND('Resample Data Summary'!C137="PASS",'Data - Sample Type 1'!HC91&lt;&gt;0),'Data - Sample Type 1'!HC91,"")</f>
        <v/>
      </c>
      <c r="Z10" s="393"/>
      <c r="AA10" s="192" t="str">
        <f>IF(AND('Resample Data Summary'!C137="PASS",Y10&lt;&gt;""),'Data - Sample Type 1'!HD91,"")</f>
        <v/>
      </c>
      <c r="AB10" s="392"/>
      <c r="AC10" s="172" t="str">
        <f>IF(AND('Resample Data Summary'!C137="PASS",'Data - Sample Type 1'!HK91&lt;&gt;0),'Data - Sample Type 1'!HK91,"")</f>
        <v/>
      </c>
      <c r="AD10" s="393"/>
      <c r="AE10" s="192" t="str">
        <f>IF(AND('Resample Data Summary'!C137="PASS",AC10&lt;&gt;""),'Data - Sample Type 1'!HL91,"")</f>
        <v/>
      </c>
      <c r="AF10" s="392"/>
      <c r="AG10" s="172" t="str">
        <f>IF(AND('Resample Data Summary'!C137="PASS",'Data - Sample Type 1'!HS91&lt;&gt;0),'Data - Sample Type 1'!HS91,"")</f>
        <v/>
      </c>
      <c r="AH10" s="393"/>
      <c r="AI10" s="192" t="str">
        <f>IF(AND('Resample Data Summary'!C137="PASS",AG10&lt;&gt;""),'Data - Sample Type 1'!HT91,"")</f>
        <v/>
      </c>
      <c r="AJ10" s="392"/>
      <c r="AK10" s="195" t="str">
        <f>IF('Resample Data Summary'!C137="PASS",IF('Data - Sample Type 1'!DK91=0,"",'Data - Sample Type 1'!DK91),"")</f>
        <v/>
      </c>
      <c r="AL10" s="393"/>
      <c r="AM10" s="172" t="str">
        <f>IF('Resample Data Summary'!C137="PASS",IF('Data - Sample Type 1'!DY91=0,"",'Data - Sample Type 1'!DY91),"")</f>
        <v/>
      </c>
      <c r="AN10" s="393"/>
      <c r="AO10" s="172" t="str">
        <f>IF('Resample Data Summary'!C137="PASS",IF('Data - Sample Type 1'!EM91=0,"",'Data - Sample Type 1'!EM91),"")</f>
        <v/>
      </c>
      <c r="AP10" s="395"/>
      <c r="AS10" s="276"/>
      <c r="AT10" s="194" t="str">
        <f>IF(AND('Resample Data Summary'!C222="PASS",'Data - Sample Type 2'!IQ31&lt;&gt;0),'Data - Sample Type 2'!IQ31,"")</f>
        <v/>
      </c>
      <c r="AU10" s="259"/>
      <c r="AV10" s="151" t="str">
        <f>IF(AND('Resample Data Summary'!C222="PASS",'Data - Sample Type 2'!IY31&lt;&gt;0),'Data - Sample Type 2'!IY31,"")</f>
        <v/>
      </c>
      <c r="AW10" s="259"/>
      <c r="AX10" s="191" t="str">
        <f>IF(AND('Resample Data Summary'!C222="PASS",AV10&lt;&gt;""),'Data - Sample Type 2'!IZ31,"")</f>
        <v/>
      </c>
      <c r="AY10" s="264"/>
      <c r="AZ10" s="151" t="str">
        <f>IF(AND('Resample Data Summary'!C222="PASS",'Data - Sample Type 2'!JG31&lt;&gt;0),'Data - Sample Type 2'!JG31,"")</f>
        <v/>
      </c>
      <c r="BA10" s="259"/>
      <c r="BB10" s="191" t="str">
        <f>IF(AND('Resample Data Summary'!C222="PASS",AZ10&lt;&gt;""),'Data - Sample Type 2'!JH31,"")</f>
        <v/>
      </c>
      <c r="BC10" s="264"/>
      <c r="BD10" s="151" t="str">
        <f>IF('Resample Data Summary'!C222="PASS",IF('Data - Sample Type 2'!BG31=0,"",'Data - Sample Type 2'!BG31),"")</f>
        <v/>
      </c>
      <c r="BE10" s="259"/>
      <c r="BF10" s="194" t="str">
        <f>IF(AND('Resample Data Summary'!C222="PASS",'Data - Sample Type 2'!JO31&lt;&gt;0),'Data - Sample Type 2'!JO31,"")</f>
        <v/>
      </c>
      <c r="BG10" s="259"/>
      <c r="BH10" s="151" t="str">
        <f>IF(AND('Resample Data Summary'!C222="PASS",'Data - Sample Type 2'!HC31&lt;&gt;0),'Data - Sample Type 2'!HC31,"")</f>
        <v/>
      </c>
      <c r="BI10" s="259"/>
      <c r="BJ10" s="151" t="str">
        <f>IF(AND('Resample Data Summary'!C222="PASS",'Data - Sample Type 2'!LS31&lt;&gt;0),'Data - Sample Type 2'!LS31,"")</f>
        <v/>
      </c>
      <c r="BK10" s="259"/>
      <c r="BL10" s="191" t="str">
        <f>IF('Resample Data Summary'!C222="PASS",'Data - Sample Type 2'!LT31,"")</f>
        <v/>
      </c>
      <c r="BM10" s="264"/>
      <c r="BN10" s="194" t="str">
        <f>IF(AND('Resample Data Summary'!C222="PASS",'Data - Sample Type 2'!MI31&lt;&gt;0),'Data - Sample Type 2'!MI31,"")</f>
        <v/>
      </c>
      <c r="BO10" s="259"/>
      <c r="BP10" s="191" t="str">
        <f>IF(AND('Resample Data Summary'!C222="PASS",BN10&lt;&gt;""),'Data - Sample Type 2'!MJ31,"")</f>
        <v/>
      </c>
      <c r="BQ10" s="264"/>
      <c r="BR10" s="151" t="str">
        <f>IF('Resample Data Summary'!C222="PASS",IF('Data - Sample Type 2'!DY31=0,"",'Data - Sample Type 2'!DY31),"")</f>
        <v/>
      </c>
      <c r="BS10" s="259"/>
      <c r="BT10" s="151" t="str">
        <f>IF('Resample Data Summary'!C222="PASS",IF('Data - Sample Type 2'!EM31=0,"",'Data - Sample Type 2'!EM31),"")</f>
        <v/>
      </c>
      <c r="BU10" s="280"/>
    </row>
    <row r="11" spans="1:73" ht="12.75" customHeight="1" x14ac:dyDescent="0.2">
      <c r="A11" s="276"/>
      <c r="B11" s="151" t="str">
        <f>IF('Resample Data Summary'!C33="PASS",IF('Resample Data Summary'!A33="","",'Data - Sample Type 0'!Q112),"")</f>
        <v/>
      </c>
      <c r="C11" s="280"/>
      <c r="F11" s="275">
        <v>2</v>
      </c>
      <c r="G11" s="154" t="str">
        <f>IF(AND('Resample Data Summary'!C138="PASS",'Data - Sample Type 1'!FO92&lt;&gt;0),'Data - Sample Type 1'!FO92,"")</f>
        <v/>
      </c>
      <c r="H11" s="258" t="e">
        <f t="shared" ref="H11" si="0">AVERAGE(G11:G18)</f>
        <v>#DIV/0!</v>
      </c>
      <c r="I11" s="170" t="str">
        <f>IF('Resample Data Summary'!C138="PASS",IF('Data - Sample Type 1'!AE92=0,"",'Data - Sample Type 1'!AE92),"")</f>
        <v/>
      </c>
      <c r="J11" s="258" t="e">
        <f t="shared" ref="J11" si="1">AVERAGE(I11:I18)</f>
        <v>#DIV/0!</v>
      </c>
      <c r="K11" s="154" t="str">
        <f>IF(AND('Resample Data Summary'!C138="PASS",'Data - Sample Type 1'!FW92&lt;&gt;0),'Data - Sample Type 1'!FW92,"")</f>
        <v/>
      </c>
      <c r="L11" s="258" t="e">
        <f t="shared" ref="L11" si="2">AVERAGE(K11:K18)</f>
        <v>#DIV/0!</v>
      </c>
      <c r="M11" s="190" t="str">
        <f>IF(AND('Resample Data Summary'!C138="PASS",K11&lt;&gt;""),'Data - Sample Type 1'!FX92,"")</f>
        <v/>
      </c>
      <c r="N11" s="263" t="e">
        <f t="shared" ref="N11" si="3">AVERAGE(M11:M18)</f>
        <v>#DIV/0!</v>
      </c>
      <c r="O11" s="154" t="str">
        <f>IF(AND('Resample Data Summary'!C138="PASS",'Data - Sample Type 1'!GE92&lt;&gt;0),'Data - Sample Type 1'!GE92,"")</f>
        <v/>
      </c>
      <c r="P11" s="258" t="e">
        <f t="shared" ref="P11" si="4">AVERAGE(O11:O18)</f>
        <v>#DIV/0!</v>
      </c>
      <c r="Q11" s="190" t="str">
        <f>IF(AND('Resample Data Summary'!C138="PASS",O11&lt;&gt;""),'Data - Sample Type 1'!GF92,"")</f>
        <v/>
      </c>
      <c r="R11" s="263" t="e">
        <f t="shared" ref="R11" si="5">AVERAGE(Q11:Q18)</f>
        <v>#DIV/0!</v>
      </c>
      <c r="S11" s="154" t="str">
        <f>IF('Resample Data Summary'!C138="PASS",IF('Data - Sample Type 1'!BG92=0,"",'Data - Sample Type 1'!BG92),"")</f>
        <v/>
      </c>
      <c r="T11" s="258" t="e">
        <f t="shared" ref="T11" si="6">AVERAGE(S11:S18)</f>
        <v>#DIV/0!</v>
      </c>
      <c r="U11" s="196" t="str">
        <f>IF(AND('Resample Data Summary'!C138="PASS",'Data - Sample Type 1'!GM92&lt;&gt;0),'Data - Sample Type 1'!GM92,"")</f>
        <v/>
      </c>
      <c r="V11" s="258" t="e">
        <f t="shared" ref="V11" si="7">AVERAGE(U11:U18)</f>
        <v>#DIV/0!</v>
      </c>
      <c r="W11" s="154" t="str">
        <f>IF('Resample Data Summary'!C138="PASS",IF('Data - Sample Type 1'!BU92=0,"",'Data - Sample Type 1'!BU92),"")</f>
        <v/>
      </c>
      <c r="X11" s="258" t="e">
        <f t="shared" ref="X11" si="8">AVERAGE(W11:W18)</f>
        <v>#DIV/0!</v>
      </c>
      <c r="Y11" s="154" t="str">
        <f>IF(AND('Resample Data Summary'!C138="PASS",'Data - Sample Type 1'!HC92&lt;&gt;0),'Data - Sample Type 1'!HC92,"")</f>
        <v/>
      </c>
      <c r="Z11" s="258" t="e">
        <f t="shared" ref="Z11" si="9">AVERAGE(Y11:Y18)</f>
        <v>#DIV/0!</v>
      </c>
      <c r="AA11" s="190" t="str">
        <f>IF(AND('Resample Data Summary'!C138="PASS",Y11&lt;&gt;""),'Data - Sample Type 1'!HD92,"")</f>
        <v/>
      </c>
      <c r="AB11" s="263" t="e">
        <f t="shared" ref="AB11" si="10">AVERAGE(AA11:AA18)</f>
        <v>#DIV/0!</v>
      </c>
      <c r="AC11" s="154" t="str">
        <f>IF(AND('Resample Data Summary'!C138="PASS",'Data - Sample Type 1'!HK92&lt;&gt;0),'Data - Sample Type 1'!HK92,"")</f>
        <v/>
      </c>
      <c r="AD11" s="258" t="e">
        <f t="shared" ref="AD11" si="11">AVERAGE(AC11:AC18)</f>
        <v>#DIV/0!</v>
      </c>
      <c r="AE11" s="190" t="str">
        <f>IF(AND('Resample Data Summary'!C138="PASS",AC11&lt;&gt;""),'Data - Sample Type 1'!HL92,"")</f>
        <v/>
      </c>
      <c r="AF11" s="263" t="e">
        <f t="shared" ref="AF11" si="12">AVERAGE(AE11:AE18)</f>
        <v>#DIV/0!</v>
      </c>
      <c r="AG11" s="154" t="str">
        <f>IF(AND('Resample Data Summary'!C138="PASS",'Data - Sample Type 1'!HS92&lt;&gt;0),'Data - Sample Type 1'!HS92,"")</f>
        <v/>
      </c>
      <c r="AH11" s="258" t="e">
        <f t="shared" ref="AH11" si="13">AVERAGE(AG11:AG18)</f>
        <v>#DIV/0!</v>
      </c>
      <c r="AI11" s="190" t="str">
        <f>IF(AND('Resample Data Summary'!C138="PASS",AG11&lt;&gt;""),'Data - Sample Type 1'!HT92,"")</f>
        <v/>
      </c>
      <c r="AJ11" s="263" t="e">
        <f t="shared" ref="AJ11" si="14">AVERAGE(AI11:AI18)</f>
        <v>#DIV/0!</v>
      </c>
      <c r="AK11" s="196" t="str">
        <f>IF('Resample Data Summary'!C138="PASS",IF('Data - Sample Type 1'!DK92=0,"",'Data - Sample Type 1'!DK92),"")</f>
        <v/>
      </c>
      <c r="AL11" s="258" t="e">
        <f t="shared" ref="AL11" si="15">AVERAGE(AK11:AK18)</f>
        <v>#DIV/0!</v>
      </c>
      <c r="AM11" s="154" t="str">
        <f>IF('Resample Data Summary'!C138="PASS",IF('Data - Sample Type 1'!DY92=0,"",'Data - Sample Type 1'!DY92),"")</f>
        <v/>
      </c>
      <c r="AN11" s="258" t="e">
        <f t="shared" ref="AN11" si="16">AVERAGE(AM11:AM18)</f>
        <v>#DIV/0!</v>
      </c>
      <c r="AO11" s="154" t="str">
        <f>IF('Resample Data Summary'!C138="PASS",IF('Data - Sample Type 1'!EM92=0,"",'Data - Sample Type 1'!EM92),"")</f>
        <v/>
      </c>
      <c r="AP11" s="279" t="e">
        <f t="shared" ref="AP11" si="17">AVERAGE(AO11:AO18)</f>
        <v>#DIV/0!</v>
      </c>
      <c r="AS11" s="276"/>
      <c r="AT11" s="194" t="str">
        <f>IF(AND('Resample Data Summary'!C223="PASS",'Data - Sample Type 2'!IQ32&lt;&gt;0),'Data - Sample Type 2'!IQ32,"")</f>
        <v/>
      </c>
      <c r="AU11" s="259"/>
      <c r="AV11" s="151" t="str">
        <f>IF(AND('Resample Data Summary'!C223="PASS",'Data - Sample Type 2'!IY32&lt;&gt;0),'Data - Sample Type 2'!IY32,"")</f>
        <v/>
      </c>
      <c r="AW11" s="259"/>
      <c r="AX11" s="191" t="str">
        <f>IF(AND('Resample Data Summary'!C223="PASS",AV11&lt;&gt;""),'Data - Sample Type 2'!IZ32,"")</f>
        <v/>
      </c>
      <c r="AY11" s="264"/>
      <c r="AZ11" s="151" t="str">
        <f>IF(AND('Resample Data Summary'!C223="PASS",'Data - Sample Type 2'!JG32&lt;&gt;0),'Data - Sample Type 2'!JG32,"")</f>
        <v/>
      </c>
      <c r="BA11" s="259"/>
      <c r="BB11" s="191" t="str">
        <f>IF(AND('Resample Data Summary'!C223="PASS",AZ11&lt;&gt;""),'Data - Sample Type 2'!JH32,"")</f>
        <v/>
      </c>
      <c r="BC11" s="264"/>
      <c r="BD11" s="151" t="str">
        <f>IF('Resample Data Summary'!C223="PASS",IF('Data - Sample Type 2'!BG32=0,"",'Data - Sample Type 2'!BG32),"")</f>
        <v/>
      </c>
      <c r="BE11" s="259"/>
      <c r="BF11" s="194" t="str">
        <f>IF(AND('Resample Data Summary'!C223="PASS",'Data - Sample Type 2'!JO32&lt;&gt;0),'Data - Sample Type 2'!JO32,"")</f>
        <v/>
      </c>
      <c r="BG11" s="259"/>
      <c r="BH11" s="151" t="str">
        <f>IF(AND('Resample Data Summary'!C223="PASS",'Data - Sample Type 2'!HC32&lt;&gt;0),'Data - Sample Type 2'!HC32,"")</f>
        <v/>
      </c>
      <c r="BI11" s="259"/>
      <c r="BJ11" s="151" t="str">
        <f>IF(AND('Resample Data Summary'!C223="PASS",'Data - Sample Type 2'!LS32&lt;&gt;0),'Data - Sample Type 2'!LS32,"")</f>
        <v/>
      </c>
      <c r="BK11" s="259"/>
      <c r="BL11" s="191" t="str">
        <f>IF('Resample Data Summary'!C223="PASS",'Data - Sample Type 2'!LT32,"")</f>
        <v/>
      </c>
      <c r="BM11" s="264"/>
      <c r="BN11" s="194" t="str">
        <f>IF(AND('Resample Data Summary'!C223="PASS",'Data - Sample Type 2'!MI32&lt;&gt;0),'Data - Sample Type 2'!MI32,"")</f>
        <v/>
      </c>
      <c r="BO11" s="259"/>
      <c r="BP11" s="191" t="str">
        <f>IF(AND('Resample Data Summary'!C223="PASS",BN11&lt;&gt;""),'Data - Sample Type 2'!MJ32,"")</f>
        <v/>
      </c>
      <c r="BQ11" s="264"/>
      <c r="BR11" s="151" t="str">
        <f>IF('Resample Data Summary'!C223="PASS",IF('Data - Sample Type 2'!DY32=0,"",'Data - Sample Type 2'!DY32),"")</f>
        <v/>
      </c>
      <c r="BS11" s="259"/>
      <c r="BT11" s="151" t="str">
        <f>IF('Resample Data Summary'!C223="PASS",IF('Data - Sample Type 2'!EM32=0,"",'Data - Sample Type 2'!EM32),"")</f>
        <v/>
      </c>
      <c r="BU11" s="280"/>
    </row>
    <row r="12" spans="1:73" ht="12.75" customHeight="1" thickBot="1" x14ac:dyDescent="0.25">
      <c r="A12" s="278"/>
      <c r="B12" s="155" t="str">
        <f>IF('Resample Data Summary'!C34="PASS",IF('Resample Data Summary'!A34="","",'Data - Sample Type 0'!Q113),"")</f>
        <v/>
      </c>
      <c r="C12" s="389"/>
      <c r="D12"/>
      <c r="E12"/>
      <c r="F12" s="276"/>
      <c r="G12" s="151" t="str">
        <f>IF(AND('Resample Data Summary'!C139="PASS",'Data - Sample Type 1'!FO93&lt;&gt;0),'Data - Sample Type 1'!FO93,"")</f>
        <v/>
      </c>
      <c r="H12" s="259"/>
      <c r="I12" s="102" t="str">
        <f>IF('Resample Data Summary'!C139="PASS",IF('Data - Sample Type 1'!AE93=0,"",'Data - Sample Type 1'!AE93),"")</f>
        <v/>
      </c>
      <c r="J12" s="259"/>
      <c r="K12" s="151" t="str">
        <f>IF(AND('Resample Data Summary'!C139="PASS",'Data - Sample Type 1'!FW93&lt;&gt;0),'Data - Sample Type 1'!FW93,"")</f>
        <v/>
      </c>
      <c r="L12" s="259"/>
      <c r="M12" s="191" t="str">
        <f>IF(AND('Resample Data Summary'!C139="PASS",K12&lt;&gt;""),'Data - Sample Type 1'!FX93,"")</f>
        <v/>
      </c>
      <c r="N12" s="264"/>
      <c r="O12" s="151" t="str">
        <f>IF(AND('Resample Data Summary'!C139="PASS",'Data - Sample Type 1'!GE93&lt;&gt;0),'Data - Sample Type 1'!GE93,"")</f>
        <v/>
      </c>
      <c r="P12" s="259"/>
      <c r="Q12" s="191" t="str">
        <f>IF(AND('Resample Data Summary'!C139="PASS",O12&lt;&gt;""),'Data - Sample Type 1'!GF93,"")</f>
        <v/>
      </c>
      <c r="R12" s="264"/>
      <c r="S12" s="151" t="str">
        <f>IF('Resample Data Summary'!C139="PASS",IF('Data - Sample Type 1'!BG93=0,"",'Data - Sample Type 1'!BG93),"")</f>
        <v/>
      </c>
      <c r="T12" s="259"/>
      <c r="U12" s="194" t="str">
        <f>IF(AND('Resample Data Summary'!C139="PASS",'Data - Sample Type 1'!GM93&lt;&gt;0),'Data - Sample Type 1'!GM93,"")</f>
        <v/>
      </c>
      <c r="V12" s="259"/>
      <c r="W12" s="151" t="str">
        <f>IF('Resample Data Summary'!C139="PASS",IF('Data - Sample Type 1'!BU93=0,"",'Data - Sample Type 1'!BU93),"")</f>
        <v/>
      </c>
      <c r="X12" s="259"/>
      <c r="Y12" s="151" t="str">
        <f>IF(AND('Resample Data Summary'!C139="PASS",'Data - Sample Type 1'!HC93&lt;&gt;0),'Data - Sample Type 1'!HC93,"")</f>
        <v/>
      </c>
      <c r="Z12" s="259"/>
      <c r="AA12" s="191" t="str">
        <f>IF(AND('Resample Data Summary'!C139="PASS",Y12&lt;&gt;""),'Data - Sample Type 1'!HD93,"")</f>
        <v/>
      </c>
      <c r="AB12" s="264"/>
      <c r="AC12" s="151" t="str">
        <f>IF(AND('Resample Data Summary'!C139="PASS",'Data - Sample Type 1'!HK93&lt;&gt;0),'Data - Sample Type 1'!HK93,"")</f>
        <v/>
      </c>
      <c r="AD12" s="259"/>
      <c r="AE12" s="191" t="str">
        <f>IF(AND('Resample Data Summary'!C139="PASS",AC12&lt;&gt;""),'Data - Sample Type 1'!HL93,"")</f>
        <v/>
      </c>
      <c r="AF12" s="264"/>
      <c r="AG12" s="151" t="str">
        <f>IF(AND('Resample Data Summary'!C139="PASS",'Data - Sample Type 1'!HS93&lt;&gt;0),'Data - Sample Type 1'!HS93,"")</f>
        <v/>
      </c>
      <c r="AH12" s="259"/>
      <c r="AI12" s="191" t="str">
        <f>IF(AND('Resample Data Summary'!C139="PASS",AG12&lt;&gt;""),'Data - Sample Type 1'!HT93,"")</f>
        <v/>
      </c>
      <c r="AJ12" s="264"/>
      <c r="AK12" s="194" t="str">
        <f>IF('Resample Data Summary'!C139="PASS",IF('Data - Sample Type 1'!DK93=0,"",'Data - Sample Type 1'!DK93),"")</f>
        <v/>
      </c>
      <c r="AL12" s="259"/>
      <c r="AM12" s="151" t="str">
        <f>IF('Resample Data Summary'!C139="PASS",IF('Data - Sample Type 1'!DY93=0,"",'Data - Sample Type 1'!DY93),"")</f>
        <v/>
      </c>
      <c r="AN12" s="259"/>
      <c r="AO12" s="151" t="str">
        <f>IF('Resample Data Summary'!C139="PASS",IF('Data - Sample Type 1'!EM93=0,"",'Data - Sample Type 1'!EM93),"")</f>
        <v/>
      </c>
      <c r="AP12" s="280"/>
      <c r="AS12" s="278"/>
      <c r="AT12" s="197" t="str">
        <f>IF(AND('Resample Data Summary'!C224="PASS",'Data - Sample Type 2'!IQ33&lt;&gt;0),'Data - Sample Type 2'!IQ33,"")</f>
        <v/>
      </c>
      <c r="AU12" s="390"/>
      <c r="AV12" s="155" t="str">
        <f>IF(AND('Resample Data Summary'!C224="PASS",'Data - Sample Type 2'!IY33&lt;&gt;0),'Data - Sample Type 2'!IY33,"")</f>
        <v/>
      </c>
      <c r="AW12" s="390"/>
      <c r="AX12" s="193" t="str">
        <f>IF(AND('Resample Data Summary'!C224="PASS",AV12&lt;&gt;""),'Data - Sample Type 2'!IZ33,"")</f>
        <v/>
      </c>
      <c r="AY12" s="388"/>
      <c r="AZ12" s="155" t="str">
        <f>IF(AND('Resample Data Summary'!C224="PASS",'Data - Sample Type 2'!JG33&lt;&gt;0),'Data - Sample Type 2'!JG33,"")</f>
        <v/>
      </c>
      <c r="BA12" s="390"/>
      <c r="BB12" s="193" t="str">
        <f>IF(AND('Resample Data Summary'!C224="PASS",AZ12&lt;&gt;""),'Data - Sample Type 2'!JH33,"")</f>
        <v/>
      </c>
      <c r="BC12" s="388"/>
      <c r="BD12" s="155" t="str">
        <f>IF('Resample Data Summary'!C224="PASS",IF('Data - Sample Type 2'!BG33=0,"",'Data - Sample Type 2'!BG33),"")</f>
        <v/>
      </c>
      <c r="BE12" s="390"/>
      <c r="BF12" s="197" t="str">
        <f>IF(AND('Resample Data Summary'!C224="PASS",'Data - Sample Type 2'!JO33&lt;&gt;0),'Data - Sample Type 2'!JO33,"")</f>
        <v/>
      </c>
      <c r="BG12" s="390"/>
      <c r="BH12" s="155" t="str">
        <f>IF(AND('Resample Data Summary'!C224="PASS",'Data - Sample Type 2'!HC33&lt;&gt;0),'Data - Sample Type 2'!HC33,"")</f>
        <v/>
      </c>
      <c r="BI12" s="390"/>
      <c r="BJ12" s="155" t="str">
        <f>IF(AND('Resample Data Summary'!C224="PASS",'Data - Sample Type 2'!LS33&lt;&gt;0),'Data - Sample Type 2'!LS33,"")</f>
        <v/>
      </c>
      <c r="BK12" s="390"/>
      <c r="BL12" s="193" t="str">
        <f>IF('Resample Data Summary'!C224="PASS",'Data - Sample Type 2'!LT33,"")</f>
        <v/>
      </c>
      <c r="BM12" s="388"/>
      <c r="BN12" s="197" t="str">
        <f>IF(AND('Resample Data Summary'!C224="PASS",'Data - Sample Type 2'!MI33&lt;&gt;0),'Data - Sample Type 2'!MI33,"")</f>
        <v/>
      </c>
      <c r="BO12" s="390"/>
      <c r="BP12" s="193" t="str">
        <f>IF(AND('Resample Data Summary'!C224="PASS",BN12&lt;&gt;""),'Data - Sample Type 2'!MJ33,"")</f>
        <v/>
      </c>
      <c r="BQ12" s="388"/>
      <c r="BR12" s="155" t="str">
        <f>IF('Resample Data Summary'!C224="PASS",IF('Data - Sample Type 2'!DY33=0,"",'Data - Sample Type 2'!DY33),"")</f>
        <v/>
      </c>
      <c r="BS12" s="390"/>
      <c r="BT12" s="155" t="str">
        <f>IF('Resample Data Summary'!C224="PASS",IF('Data - Sample Type 2'!EM33=0,"",'Data - Sample Type 2'!EM33),"")</f>
        <v/>
      </c>
      <c r="BU12" s="389"/>
    </row>
    <row r="13" spans="1:73" x14ac:dyDescent="0.2">
      <c r="A13" s="275">
        <v>2</v>
      </c>
      <c r="B13" s="154" t="str">
        <f>IF('Resample Data Summary'!C35="PASS",IF('Resample Data Summary'!A35="","",'Data - Sample Type 0'!Q114),"")</f>
        <v/>
      </c>
      <c r="C13" s="279" t="e">
        <f t="shared" ref="C13" si="18">AVERAGE(B13:B22)</f>
        <v>#DIV/0!</v>
      </c>
      <c r="D13"/>
      <c r="E13"/>
      <c r="F13" s="276"/>
      <c r="G13" s="151" t="str">
        <f>IF(AND('Resample Data Summary'!C140="PASS",'Data - Sample Type 1'!FO94&lt;&gt;0),'Data - Sample Type 1'!FO94,"")</f>
        <v/>
      </c>
      <c r="H13" s="259"/>
      <c r="I13" s="102" t="str">
        <f>IF('Resample Data Summary'!C140="PASS",IF('Data - Sample Type 1'!AE94=0,"",'Data - Sample Type 1'!AE94),"")</f>
        <v/>
      </c>
      <c r="J13" s="259"/>
      <c r="K13" s="151" t="str">
        <f>IF(AND('Resample Data Summary'!C140="PASS",'Data - Sample Type 1'!FW94&lt;&gt;0),'Data - Sample Type 1'!FW94,"")</f>
        <v/>
      </c>
      <c r="L13" s="259"/>
      <c r="M13" s="191" t="str">
        <f>IF(AND('Resample Data Summary'!C140="PASS",K13&lt;&gt;""),'Data - Sample Type 1'!FX94,"")</f>
        <v/>
      </c>
      <c r="N13" s="264"/>
      <c r="O13" s="151" t="str">
        <f>IF(AND('Resample Data Summary'!C140="PASS",'Data - Sample Type 1'!GE94&lt;&gt;0),'Data - Sample Type 1'!GE94,"")</f>
        <v/>
      </c>
      <c r="P13" s="259"/>
      <c r="Q13" s="191" t="str">
        <f>IF(AND('Resample Data Summary'!C140="PASS",O13&lt;&gt;""),'Data - Sample Type 1'!GF94,"")</f>
        <v/>
      </c>
      <c r="R13" s="264"/>
      <c r="S13" s="151" t="str">
        <f>IF('Resample Data Summary'!C140="PASS",IF('Data - Sample Type 1'!BG94=0,"",'Data - Sample Type 1'!BG94),"")</f>
        <v/>
      </c>
      <c r="T13" s="259"/>
      <c r="U13" s="194" t="str">
        <f>IF(AND('Resample Data Summary'!C140="PASS",'Data - Sample Type 1'!GM94&lt;&gt;0),'Data - Sample Type 1'!GM94,"")</f>
        <v/>
      </c>
      <c r="V13" s="259"/>
      <c r="W13" s="151" t="str">
        <f>IF('Resample Data Summary'!C140="PASS",IF('Data - Sample Type 1'!BU94=0,"",'Data - Sample Type 1'!BU94),"")</f>
        <v/>
      </c>
      <c r="X13" s="259"/>
      <c r="Y13" s="151" t="str">
        <f>IF(AND('Resample Data Summary'!C140="PASS",'Data - Sample Type 1'!HC94&lt;&gt;0),'Data - Sample Type 1'!HC94,"")</f>
        <v/>
      </c>
      <c r="Z13" s="259"/>
      <c r="AA13" s="191" t="str">
        <f>IF(AND('Resample Data Summary'!C140="PASS",Y13&lt;&gt;""),'Data - Sample Type 1'!HD94,"")</f>
        <v/>
      </c>
      <c r="AB13" s="264"/>
      <c r="AC13" s="151" t="str">
        <f>IF(AND('Resample Data Summary'!C140="PASS",'Data - Sample Type 1'!HK94&lt;&gt;0),'Data - Sample Type 1'!HK94,"")</f>
        <v/>
      </c>
      <c r="AD13" s="259"/>
      <c r="AE13" s="191" t="str">
        <f>IF(AND('Resample Data Summary'!C140="PASS",AC13&lt;&gt;""),'Data - Sample Type 1'!HL94,"")</f>
        <v/>
      </c>
      <c r="AF13" s="264"/>
      <c r="AG13" s="151" t="str">
        <f>IF(AND('Resample Data Summary'!C140="PASS",'Data - Sample Type 1'!HS94&lt;&gt;0),'Data - Sample Type 1'!HS94,"")</f>
        <v/>
      </c>
      <c r="AH13" s="259"/>
      <c r="AI13" s="191" t="str">
        <f>IF(AND('Resample Data Summary'!C140="PASS",AG13&lt;&gt;""),'Data - Sample Type 1'!HT94,"")</f>
        <v/>
      </c>
      <c r="AJ13" s="264"/>
      <c r="AK13" s="194" t="str">
        <f>IF('Resample Data Summary'!C140="PASS",IF('Data - Sample Type 1'!DK94=0,"",'Data - Sample Type 1'!DK94),"")</f>
        <v/>
      </c>
      <c r="AL13" s="259"/>
      <c r="AM13" s="151" t="str">
        <f>IF('Resample Data Summary'!C140="PASS",IF('Data - Sample Type 1'!DY94=0,"",'Data - Sample Type 1'!DY94),"")</f>
        <v/>
      </c>
      <c r="AN13" s="259"/>
      <c r="AO13" s="151" t="str">
        <f>IF('Resample Data Summary'!C140="PASS",IF('Data - Sample Type 1'!EM94=0,"",'Data - Sample Type 1'!EM94),"")</f>
        <v/>
      </c>
      <c r="AP13" s="280"/>
      <c r="AS13" s="283" t="s">
        <v>358</v>
      </c>
      <c r="AT13" s="198" t="str">
        <f>IF(AND('Resample Data Summary'!C225="PASS",'Data - Sample Type 2'!IQ34&lt;&gt;0),'Data - Sample Type 2'!IQ34,"")</f>
        <v/>
      </c>
      <c r="AU13" s="258" t="e">
        <f>AVERAGE(AT13:AT22)</f>
        <v>#DIV/0!</v>
      </c>
      <c r="AV13" s="157" t="str">
        <f>IF(AND('Resample Data Summary'!C225="PASS",'Data - Sample Type 2'!IY34&lt;&gt;0),'Data - Sample Type 2'!IY34,"")</f>
        <v/>
      </c>
      <c r="AW13" s="258" t="e">
        <f>AVERAGE(AV13:AV22)</f>
        <v>#DIV/0!</v>
      </c>
      <c r="AX13" s="199" t="str">
        <f>IF(AND('Resample Data Summary'!C225="PASS",AV13&lt;&gt;""),'Data - Sample Type 2'!IZ34,"")</f>
        <v/>
      </c>
      <c r="AY13" s="263" t="e">
        <f>ROUND(AVERAGE(AX13:AX22),0)</f>
        <v>#DIV/0!</v>
      </c>
      <c r="AZ13" s="157" t="str">
        <f>IF(AND('Resample Data Summary'!C225="PASS",'Data - Sample Type 2'!JG34&lt;&gt;0),'Data - Sample Type 2'!JG34,"")</f>
        <v/>
      </c>
      <c r="BA13" s="258" t="e">
        <f>AVERAGE(AZ13:AZ22)</f>
        <v>#DIV/0!</v>
      </c>
      <c r="BB13" s="199" t="str">
        <f>IF(AND('Resample Data Summary'!C225="PASS",AZ13&lt;&gt;""),'Data - Sample Type 2'!JH34,"")</f>
        <v/>
      </c>
      <c r="BC13" s="263" t="e">
        <f>ROUND(AVERAGE(BB13:BB22),0)</f>
        <v>#DIV/0!</v>
      </c>
      <c r="BD13" s="157" t="str">
        <f>IF('Resample Data Summary'!C225="PASS",IF('Data - Sample Type 2'!BG34=0,"",'Data - Sample Type 2'!BG34),"")</f>
        <v/>
      </c>
      <c r="BE13" s="258" t="e">
        <f>AVERAGE(BD13:BD22)</f>
        <v>#DIV/0!</v>
      </c>
      <c r="BF13" s="198" t="str">
        <f>IF(AND('Resample Data Summary'!C225="PASS",'Data - Sample Type 2'!JO34&lt;&gt;0),'Data - Sample Type 2'!JO34,"")</f>
        <v/>
      </c>
      <c r="BG13" s="258" t="e">
        <f>AVERAGE(BF13:BF22)</f>
        <v>#DIV/0!</v>
      </c>
      <c r="BH13" s="157" t="str">
        <f>IF(AND('Resample Data Summary'!C225="PASS",'Data - Sample Type 2'!HC34&lt;&gt;0),'Data - Sample Type 2'!HC34,"")</f>
        <v/>
      </c>
      <c r="BI13" s="258" t="e">
        <f>AVERAGE(BH13:BH22)</f>
        <v>#DIV/0!</v>
      </c>
      <c r="BJ13" s="157" t="str">
        <f>IF(AND('Resample Data Summary'!C225="PASS",'Data - Sample Type 2'!LS34&lt;&gt;0),'Data - Sample Type 2'!LS34,"")</f>
        <v/>
      </c>
      <c r="BK13" s="258" t="e">
        <f>AVERAGE(BJ13:BJ22)</f>
        <v>#DIV/0!</v>
      </c>
      <c r="BL13" s="199" t="str">
        <f>IF('Resample Data Summary'!C225="PASS",'Data - Sample Type 2'!LT34,"")</f>
        <v/>
      </c>
      <c r="BM13" s="263" t="e">
        <f>ROUND(AVERAGE(BL13:BL22),0)</f>
        <v>#DIV/0!</v>
      </c>
      <c r="BN13" s="198" t="str">
        <f>IF(AND('Resample Data Summary'!C225="PASS",'Data - Sample Type 2'!MI34&lt;&gt;0),'Data - Sample Type 2'!MI34,"")</f>
        <v/>
      </c>
      <c r="BO13" s="258" t="e">
        <f>AVERAGE(BN13:BN22)</f>
        <v>#DIV/0!</v>
      </c>
      <c r="BP13" s="199" t="str">
        <f>IF(AND('Resample Data Summary'!C225="PASS",BN13&lt;&gt;""),'Data - Sample Type 2'!MJ34,"")</f>
        <v/>
      </c>
      <c r="BQ13" s="263" t="e">
        <f>ROUND(AVERAGE(BP13:BP22),0)</f>
        <v>#DIV/0!</v>
      </c>
      <c r="BR13" s="157" t="str">
        <f>IF('Resample Data Summary'!C225="PASS",IF('Data - Sample Type 2'!DY34=0,"",'Data - Sample Type 2'!DY34),"")</f>
        <v/>
      </c>
      <c r="BS13" s="258" t="e">
        <f>AVERAGE(BR13:BR22)</f>
        <v>#DIV/0!</v>
      </c>
      <c r="BT13" s="157" t="str">
        <f>IF('Resample Data Summary'!C225="PASS",IF('Data - Sample Type 2'!EM34=0,"",'Data - Sample Type 2'!EM34),"")</f>
        <v/>
      </c>
      <c r="BU13" s="279" t="e">
        <f>AVERAGE(BT13:BT22)</f>
        <v>#DIV/0!</v>
      </c>
    </row>
    <row r="14" spans="1:73" x14ac:dyDescent="0.2">
      <c r="A14" s="276">
        <v>2</v>
      </c>
      <c r="B14" s="151" t="str">
        <f>IF('Resample Data Summary'!C36="PASS",IF('Resample Data Summary'!A36="","",'Data - Sample Type 0'!Q115),"")</f>
        <v/>
      </c>
      <c r="C14" s="280"/>
      <c r="D14"/>
      <c r="E14"/>
      <c r="F14" s="276"/>
      <c r="G14" s="151" t="str">
        <f>IF(AND('Resample Data Summary'!C141="PASS",'Data - Sample Type 1'!FO95&lt;&gt;0),'Data - Sample Type 1'!FO95,"")</f>
        <v/>
      </c>
      <c r="H14" s="259"/>
      <c r="I14" s="102" t="str">
        <f>IF('Resample Data Summary'!C141="PASS",IF('Data - Sample Type 1'!AE95=0,"",'Data - Sample Type 1'!AE95),"")</f>
        <v/>
      </c>
      <c r="J14" s="259"/>
      <c r="K14" s="151" t="str">
        <f>IF(AND('Resample Data Summary'!C141="PASS",'Data - Sample Type 1'!FW95&lt;&gt;0),'Data - Sample Type 1'!FW95,"")</f>
        <v/>
      </c>
      <c r="L14" s="259"/>
      <c r="M14" s="191" t="str">
        <f>IF(AND('Resample Data Summary'!C141="PASS",K14&lt;&gt;""),'Data - Sample Type 1'!FX95,"")</f>
        <v/>
      </c>
      <c r="N14" s="264"/>
      <c r="O14" s="151" t="str">
        <f>IF(AND('Resample Data Summary'!C141="PASS",'Data - Sample Type 1'!GE95&lt;&gt;0),'Data - Sample Type 1'!GE95,"")</f>
        <v/>
      </c>
      <c r="P14" s="259"/>
      <c r="Q14" s="191" t="str">
        <f>IF(AND('Resample Data Summary'!C141="PASS",O14&lt;&gt;""),'Data - Sample Type 1'!GF95,"")</f>
        <v/>
      </c>
      <c r="R14" s="264"/>
      <c r="S14" s="151" t="str">
        <f>IF('Resample Data Summary'!C141="PASS",IF('Data - Sample Type 1'!BG95=0,"",'Data - Sample Type 1'!BG95),"")</f>
        <v/>
      </c>
      <c r="T14" s="259"/>
      <c r="U14" s="194" t="str">
        <f>IF(AND('Resample Data Summary'!C141="PASS",'Data - Sample Type 1'!GM95&lt;&gt;0),'Data - Sample Type 1'!GM95,"")</f>
        <v/>
      </c>
      <c r="V14" s="259"/>
      <c r="W14" s="151" t="str">
        <f>IF('Resample Data Summary'!C141="PASS",IF('Data - Sample Type 1'!BU95=0,"",'Data - Sample Type 1'!BU95),"")</f>
        <v/>
      </c>
      <c r="X14" s="259"/>
      <c r="Y14" s="151" t="str">
        <f>IF(AND('Resample Data Summary'!C141="PASS",'Data - Sample Type 1'!HC95&lt;&gt;0),'Data - Sample Type 1'!HC95,"")</f>
        <v/>
      </c>
      <c r="Z14" s="259"/>
      <c r="AA14" s="191" t="str">
        <f>IF(AND('Resample Data Summary'!C141="PASS",Y14&lt;&gt;""),'Data - Sample Type 1'!HD95,"")</f>
        <v/>
      </c>
      <c r="AB14" s="264"/>
      <c r="AC14" s="151" t="str">
        <f>IF(AND('Resample Data Summary'!C141="PASS",'Data - Sample Type 1'!HK95&lt;&gt;0),'Data - Sample Type 1'!HK95,"")</f>
        <v/>
      </c>
      <c r="AD14" s="259"/>
      <c r="AE14" s="191" t="str">
        <f>IF(AND('Resample Data Summary'!C141="PASS",AC14&lt;&gt;""),'Data - Sample Type 1'!HL95,"")</f>
        <v/>
      </c>
      <c r="AF14" s="264"/>
      <c r="AG14" s="151" t="str">
        <f>IF(AND('Resample Data Summary'!C141="PASS",'Data - Sample Type 1'!HS95&lt;&gt;0),'Data - Sample Type 1'!HS95,"")</f>
        <v/>
      </c>
      <c r="AH14" s="259"/>
      <c r="AI14" s="191" t="str">
        <f>IF(AND('Resample Data Summary'!C141="PASS",AG14&lt;&gt;""),'Data - Sample Type 1'!HT95,"")</f>
        <v/>
      </c>
      <c r="AJ14" s="264"/>
      <c r="AK14" s="194" t="str">
        <f>IF('Resample Data Summary'!C141="PASS",IF('Data - Sample Type 1'!DK95=0,"",'Data - Sample Type 1'!DK95),"")</f>
        <v/>
      </c>
      <c r="AL14" s="259"/>
      <c r="AM14" s="151" t="str">
        <f>IF('Resample Data Summary'!C141="PASS",IF('Data - Sample Type 1'!DY95=0,"",'Data - Sample Type 1'!DY95),"")</f>
        <v/>
      </c>
      <c r="AN14" s="259"/>
      <c r="AO14" s="151" t="str">
        <f>IF('Resample Data Summary'!C141="PASS",IF('Data - Sample Type 1'!EM95=0,"",'Data - Sample Type 1'!EM95),"")</f>
        <v/>
      </c>
      <c r="AP14" s="280"/>
      <c r="AS14" s="276"/>
      <c r="AT14" s="194" t="str">
        <f>IF(AND('Resample Data Summary'!C226="PASS",'Data - Sample Type 2'!IQ35&lt;&gt;0),'Data - Sample Type 2'!IQ35,"")</f>
        <v/>
      </c>
      <c r="AU14" s="259"/>
      <c r="AV14" s="151" t="str">
        <f>IF(AND('Resample Data Summary'!C226="PASS",'Data - Sample Type 2'!IY35&lt;&gt;0),'Data - Sample Type 2'!IY35,"")</f>
        <v/>
      </c>
      <c r="AW14" s="259"/>
      <c r="AX14" s="191" t="str">
        <f>IF(AND('Resample Data Summary'!C226="PASS",AV14&lt;&gt;""),'Data - Sample Type 2'!IZ35,"")</f>
        <v/>
      </c>
      <c r="AY14" s="264"/>
      <c r="AZ14" s="151" t="str">
        <f>IF(AND('Resample Data Summary'!C226="PASS",'Data - Sample Type 2'!JG35&lt;&gt;0),'Data - Sample Type 2'!JG35,"")</f>
        <v/>
      </c>
      <c r="BA14" s="259"/>
      <c r="BB14" s="191" t="str">
        <f>IF(AND('Resample Data Summary'!C226="PASS",AZ14&lt;&gt;""),'Data - Sample Type 2'!JH35,"")</f>
        <v/>
      </c>
      <c r="BC14" s="264"/>
      <c r="BD14" s="151" t="str">
        <f>IF('Resample Data Summary'!C226="PASS",IF('Data - Sample Type 2'!BG35=0,"",'Data - Sample Type 2'!BG35),"")</f>
        <v/>
      </c>
      <c r="BE14" s="259"/>
      <c r="BF14" s="194" t="str">
        <f>IF(AND('Resample Data Summary'!C226="PASS",'Data - Sample Type 2'!JO35&lt;&gt;0),'Data - Sample Type 2'!JO35,"")</f>
        <v/>
      </c>
      <c r="BG14" s="259"/>
      <c r="BH14" s="151" t="str">
        <f>IF(AND('Resample Data Summary'!C226="PASS",'Data - Sample Type 2'!HC35&lt;&gt;0),'Data - Sample Type 2'!HC35,"")</f>
        <v/>
      </c>
      <c r="BI14" s="259"/>
      <c r="BJ14" s="151" t="str">
        <f>IF(AND('Resample Data Summary'!C226="PASS",'Data - Sample Type 2'!LS35&lt;&gt;0),'Data - Sample Type 2'!LS35,"")</f>
        <v/>
      </c>
      <c r="BK14" s="259"/>
      <c r="BL14" s="191" t="str">
        <f>IF('Resample Data Summary'!C226="PASS",'Data - Sample Type 2'!LT35,"")</f>
        <v/>
      </c>
      <c r="BM14" s="264"/>
      <c r="BN14" s="194" t="str">
        <f>IF(AND('Resample Data Summary'!C226="PASS",'Data - Sample Type 2'!MI35&lt;&gt;0),'Data - Sample Type 2'!MI35,"")</f>
        <v/>
      </c>
      <c r="BO14" s="259"/>
      <c r="BP14" s="191" t="str">
        <f>IF(AND('Resample Data Summary'!C226="PASS",BN14&lt;&gt;""),'Data - Sample Type 2'!MJ35,"")</f>
        <v/>
      </c>
      <c r="BQ14" s="264"/>
      <c r="BR14" s="151" t="str">
        <f>IF('Resample Data Summary'!C226="PASS",IF('Data - Sample Type 2'!DY35=0,"",'Data - Sample Type 2'!DY35),"")</f>
        <v/>
      </c>
      <c r="BS14" s="259"/>
      <c r="BT14" s="151" t="str">
        <f>IF('Resample Data Summary'!C226="PASS",IF('Data - Sample Type 2'!EM35=0,"",'Data - Sample Type 2'!EM35),"")</f>
        <v/>
      </c>
      <c r="BU14" s="280"/>
    </row>
    <row r="15" spans="1:73" ht="16.350000000000001" customHeight="1" x14ac:dyDescent="0.2">
      <c r="A15" s="276"/>
      <c r="B15" s="151" t="str">
        <f>IF('Resample Data Summary'!C37="PASS",IF('Resample Data Summary'!A37="","",'Data - Sample Type 0'!Q116),"")</f>
        <v/>
      </c>
      <c r="C15" s="280"/>
      <c r="D15"/>
      <c r="E15"/>
      <c r="F15" s="276"/>
      <c r="G15" s="151" t="str">
        <f>IF(AND('Resample Data Summary'!C142="PASS",'Data - Sample Type 1'!FO96&lt;&gt;0),'Data - Sample Type 1'!FO96,"")</f>
        <v/>
      </c>
      <c r="H15" s="259" t="e">
        <f>IF(AND(H11&gt;=Specifications!$C$21,H11&lt;=Specifications!$D$21),"PASS","FAIL")</f>
        <v>#DIV/0!</v>
      </c>
      <c r="I15" s="102" t="str">
        <f>IF('Resample Data Summary'!C142="PASS",IF('Data - Sample Type 1'!AE96=0,"",'Data - Sample Type 1'!AE96),"")</f>
        <v/>
      </c>
      <c r="J15" s="259" t="e">
        <f>IF(J11&lt;=Specifications!D$22,"PASS","FAIL")</f>
        <v>#DIV/0!</v>
      </c>
      <c r="K15" s="151" t="str">
        <f>IF(AND('Resample Data Summary'!C142="PASS",'Data - Sample Type 1'!FW96&lt;&gt;0),'Data - Sample Type 1'!FW96,"")</f>
        <v/>
      </c>
      <c r="L15" s="259" t="e">
        <f>IF(AND(L11&gt;=Specifications!$C$23,L11&lt;=Specifications!$D$23),"PASS","FAIL")</f>
        <v>#DIV/0!</v>
      </c>
      <c r="M15" s="191" t="str">
        <f>IF(AND('Resample Data Summary'!C142="PASS",K15&lt;&gt;""),'Data - Sample Type 1'!FX96,"")</f>
        <v/>
      </c>
      <c r="N15" s="391" t="s">
        <v>510</v>
      </c>
      <c r="O15" s="151" t="str">
        <f>IF(AND('Resample Data Summary'!C142="PASS",'Data - Sample Type 1'!GE96&lt;&gt;0),'Data - Sample Type 1'!GE96,"")</f>
        <v/>
      </c>
      <c r="P15" s="259" t="e">
        <f>IF(AND(P11&gt;=Specifications!$C$25,P11&lt;=Specifications!$D$25),"PASS","FAIL")</f>
        <v>#DIV/0!</v>
      </c>
      <c r="Q15" s="191" t="str">
        <f>IF(AND('Resample Data Summary'!C142="PASS",O15&lt;&gt;""),'Data - Sample Type 1'!GF96,"")</f>
        <v/>
      </c>
      <c r="R15" s="391" t="s">
        <v>510</v>
      </c>
      <c r="S15" s="151" t="str">
        <f>IF('Resample Data Summary'!C142="PASS",IF('Data - Sample Type 1'!BG96=0,"",'Data - Sample Type 1'!BG96),"")</f>
        <v/>
      </c>
      <c r="T15" s="259" t="e">
        <f>IF(T11&lt;=Specifications!D$27,"PASS","FAIL")</f>
        <v>#DIV/0!</v>
      </c>
      <c r="U15" s="194" t="str">
        <f>IF(AND('Resample Data Summary'!C142="PASS",'Data - Sample Type 1'!GM96&lt;&gt;0),'Data - Sample Type 1'!GM96,"")</f>
        <v/>
      </c>
      <c r="V15" s="259" t="e">
        <f>IF(AND(V11&gt;=Specifications!$C$28,V11&lt;=Specifications!$D$28),"PASS","FAIL")</f>
        <v>#DIV/0!</v>
      </c>
      <c r="W15" s="151" t="str">
        <f>IF('Resample Data Summary'!C142="PASS",IF('Data - Sample Type 1'!BU96=0,"",'Data - Sample Type 1'!BU96),"")</f>
        <v/>
      </c>
      <c r="X15" s="394" t="s">
        <v>510</v>
      </c>
      <c r="Y15" s="151" t="str">
        <f>IF(AND('Resample Data Summary'!C142="PASS",'Data - Sample Type 1'!HC96&lt;&gt;0),'Data - Sample Type 1'!HC96,"")</f>
        <v/>
      </c>
      <c r="Z15" s="259" t="e">
        <f>IF(AND(Z11&gt;=Specifications!$C$31,Z11&lt;=Specifications!$D$31),"PASS","FAIL")</f>
        <v>#DIV/0!</v>
      </c>
      <c r="AA15" s="191" t="str">
        <f>IF(AND('Resample Data Summary'!C142="PASS",Y15&lt;&gt;""),'Data - Sample Type 1'!HD96,"")</f>
        <v/>
      </c>
      <c r="AB15" s="391" t="s">
        <v>510</v>
      </c>
      <c r="AC15" s="151" t="str">
        <f>IF(AND('Resample Data Summary'!C142="PASS",'Data - Sample Type 1'!HK96&lt;&gt;0),'Data - Sample Type 1'!HK96,"")</f>
        <v/>
      </c>
      <c r="AD15" s="259" t="e">
        <f>IF(AND(AD11&gt;=Specifications!$C$33,AD11&lt;=Specifications!$D$33),"PASS","FAIL")</f>
        <v>#DIV/0!</v>
      </c>
      <c r="AE15" s="191" t="str">
        <f>IF(AND('Resample Data Summary'!C142="PASS",AC15&lt;&gt;""),'Data - Sample Type 1'!HL96,"")</f>
        <v/>
      </c>
      <c r="AF15" s="391" t="s">
        <v>510</v>
      </c>
      <c r="AG15" s="151" t="str">
        <f>IF(AND('Resample Data Summary'!C142="PASS",'Data - Sample Type 1'!HS96&lt;&gt;0),'Data - Sample Type 1'!HS96,"")</f>
        <v/>
      </c>
      <c r="AH15" s="259" t="e">
        <f>IF(AND(AH11&gt;=Specifications!$C$35,AH11&lt;=Specifications!$D$35),"PASS","FAIL")</f>
        <v>#DIV/0!</v>
      </c>
      <c r="AI15" s="191" t="str">
        <f>IF(AND('Resample Data Summary'!C142="PASS",AG15&lt;&gt;""),'Data - Sample Type 1'!HT96,"")</f>
        <v/>
      </c>
      <c r="AJ15" s="391" t="s">
        <v>510</v>
      </c>
      <c r="AK15" s="194" t="str">
        <f>IF('Resample Data Summary'!C142="PASS",IF('Data - Sample Type 1'!DK96=0,"",'Data - Sample Type 1'!DK96),"")</f>
        <v/>
      </c>
      <c r="AL15" s="259" t="e">
        <f>IF(AL11&lt;=Specifications!$D$37,"PASS","FAIL")</f>
        <v>#DIV/0!</v>
      </c>
      <c r="AM15" s="151" t="str">
        <f>IF('Resample Data Summary'!C142="PASS",IF('Data - Sample Type 1'!DY96=0,"",'Data - Sample Type 1'!DY96),"")</f>
        <v/>
      </c>
      <c r="AN15" s="259" t="e">
        <f>IF(AN11&lt;=Specifications!$D$38,"PASS","FAIL")</f>
        <v>#DIV/0!</v>
      </c>
      <c r="AO15" s="151" t="str">
        <f>IF('Resample Data Summary'!C142="PASS",IF('Data - Sample Type 1'!EM96=0,"",'Data - Sample Type 1'!EM96),"")</f>
        <v/>
      </c>
      <c r="AP15" s="280" t="e">
        <f>IF(AP11&lt;=Specifications!$D$39,"PASS","FAIL")</f>
        <v>#DIV/0!</v>
      </c>
      <c r="AS15" s="276"/>
      <c r="AT15" s="194" t="str">
        <f>IF(AND('Resample Data Summary'!C227="PASS",'Data - Sample Type 2'!IQ36&lt;&gt;0),'Data - Sample Type 2'!IQ36,"")</f>
        <v/>
      </c>
      <c r="AU15" s="259"/>
      <c r="AV15" s="151" t="str">
        <f>IF(AND('Resample Data Summary'!C227="PASS",'Data - Sample Type 2'!IY36&lt;&gt;0),'Data - Sample Type 2'!IY36,"")</f>
        <v/>
      </c>
      <c r="AW15" s="259"/>
      <c r="AX15" s="191" t="str">
        <f>IF(AND('Resample Data Summary'!C227="PASS",AV15&lt;&gt;""),'Data - Sample Type 2'!IZ36,"")</f>
        <v/>
      </c>
      <c r="AY15" s="264"/>
      <c r="AZ15" s="151" t="str">
        <f>IF(AND('Resample Data Summary'!C227="PASS",'Data - Sample Type 2'!JG36&lt;&gt;0),'Data - Sample Type 2'!JG36,"")</f>
        <v/>
      </c>
      <c r="BA15" s="259"/>
      <c r="BB15" s="191" t="str">
        <f>IF(AND('Resample Data Summary'!C227="PASS",AZ15&lt;&gt;""),'Data - Sample Type 2'!JH36,"")</f>
        <v/>
      </c>
      <c r="BC15" s="264"/>
      <c r="BD15" s="151" t="str">
        <f>IF('Resample Data Summary'!C227="PASS",IF('Data - Sample Type 2'!BG36=0,"",'Data - Sample Type 2'!BG36),"")</f>
        <v/>
      </c>
      <c r="BE15" s="259"/>
      <c r="BF15" s="194" t="str">
        <f>IF(AND('Resample Data Summary'!C227="PASS",'Data - Sample Type 2'!JO36&lt;&gt;0),'Data - Sample Type 2'!JO36,"")</f>
        <v/>
      </c>
      <c r="BG15" s="259"/>
      <c r="BH15" s="151" t="str">
        <f>IF(AND('Resample Data Summary'!C227="PASS",'Data - Sample Type 2'!HC36&lt;&gt;0),'Data - Sample Type 2'!HC36,"")</f>
        <v/>
      </c>
      <c r="BI15" s="259"/>
      <c r="BJ15" s="151" t="str">
        <f>IF(AND('Resample Data Summary'!C227="PASS",'Data - Sample Type 2'!LS36&lt;&gt;0),'Data - Sample Type 2'!LS36,"")</f>
        <v/>
      </c>
      <c r="BK15" s="259"/>
      <c r="BL15" s="191" t="str">
        <f>IF('Resample Data Summary'!C227="PASS",'Data - Sample Type 2'!LT36,"")</f>
        <v/>
      </c>
      <c r="BM15" s="264"/>
      <c r="BN15" s="194" t="str">
        <f>IF(AND('Resample Data Summary'!C227="PASS",'Data - Sample Type 2'!MI36&lt;&gt;0),'Data - Sample Type 2'!MI36,"")</f>
        <v/>
      </c>
      <c r="BO15" s="259"/>
      <c r="BP15" s="191" t="str">
        <f>IF(AND('Resample Data Summary'!C227="PASS",BN15&lt;&gt;""),'Data - Sample Type 2'!MJ36,"")</f>
        <v/>
      </c>
      <c r="BQ15" s="264"/>
      <c r="BR15" s="151" t="str">
        <f>IF('Resample Data Summary'!C227="PASS",IF('Data - Sample Type 2'!DY36=0,"",'Data - Sample Type 2'!DY36),"")</f>
        <v/>
      </c>
      <c r="BS15" s="259"/>
      <c r="BT15" s="151" t="str">
        <f>IF('Resample Data Summary'!C227="PASS",IF('Data - Sample Type 2'!EM36=0,"",'Data - Sample Type 2'!EM36),"")</f>
        <v/>
      </c>
      <c r="BU15" s="280"/>
    </row>
    <row r="16" spans="1:73" x14ac:dyDescent="0.2">
      <c r="A16" s="276"/>
      <c r="B16" s="151" t="str">
        <f>IF('Resample Data Summary'!C38="PASS",IF('Resample Data Summary'!A38="","",'Data - Sample Type 0'!Q117),"")</f>
        <v/>
      </c>
      <c r="C16" s="280"/>
      <c r="D16"/>
      <c r="E16"/>
      <c r="F16" s="276"/>
      <c r="G16" s="151" t="str">
        <f>IF(AND('Resample Data Summary'!C143="PASS",'Data - Sample Type 1'!FO97&lt;&gt;0),'Data - Sample Type 1'!FO97,"")</f>
        <v/>
      </c>
      <c r="H16" s="259"/>
      <c r="I16" s="102" t="str">
        <f>IF('Resample Data Summary'!C143="PASS",IF('Data - Sample Type 1'!AE97=0,"",'Data - Sample Type 1'!AE97),"")</f>
        <v/>
      </c>
      <c r="J16" s="259"/>
      <c r="K16" s="151" t="str">
        <f>IF(AND('Resample Data Summary'!C143="PASS",'Data - Sample Type 1'!FW97&lt;&gt;0),'Data - Sample Type 1'!FW97,"")</f>
        <v/>
      </c>
      <c r="L16" s="259"/>
      <c r="M16" s="191" t="str">
        <f>IF(AND('Resample Data Summary'!C143="PASS",K16&lt;&gt;""),'Data - Sample Type 1'!FX97,"")</f>
        <v/>
      </c>
      <c r="N16" s="264"/>
      <c r="O16" s="151" t="str">
        <f>IF(AND('Resample Data Summary'!C143="PASS",'Data - Sample Type 1'!GE97&lt;&gt;0),'Data - Sample Type 1'!GE97,"")</f>
        <v/>
      </c>
      <c r="P16" s="259"/>
      <c r="Q16" s="191" t="str">
        <f>IF(AND('Resample Data Summary'!C143="PASS",O16&lt;&gt;""),'Data - Sample Type 1'!GF97,"")</f>
        <v/>
      </c>
      <c r="R16" s="264"/>
      <c r="S16" s="151" t="str">
        <f>IF('Resample Data Summary'!C143="PASS",IF('Data - Sample Type 1'!BG97=0,"",'Data - Sample Type 1'!BG97),"")</f>
        <v/>
      </c>
      <c r="T16" s="259"/>
      <c r="U16" s="194" t="str">
        <f>IF(AND('Resample Data Summary'!C143="PASS",'Data - Sample Type 1'!GM97&lt;&gt;0),'Data - Sample Type 1'!GM97,"")</f>
        <v/>
      </c>
      <c r="V16" s="259"/>
      <c r="W16" s="151" t="str">
        <f>IF('Resample Data Summary'!C143="PASS",IF('Data - Sample Type 1'!BU97=0,"",'Data - Sample Type 1'!BU97),"")</f>
        <v/>
      </c>
      <c r="X16" s="259"/>
      <c r="Y16" s="151" t="str">
        <f>IF(AND('Resample Data Summary'!C143="PASS",'Data - Sample Type 1'!HC97&lt;&gt;0),'Data - Sample Type 1'!HC97,"")</f>
        <v/>
      </c>
      <c r="Z16" s="259"/>
      <c r="AA16" s="191" t="str">
        <f>IF(AND('Resample Data Summary'!C143="PASS",Y16&lt;&gt;""),'Data - Sample Type 1'!HD97,"")</f>
        <v/>
      </c>
      <c r="AB16" s="264"/>
      <c r="AC16" s="151" t="str">
        <f>IF(AND('Resample Data Summary'!C143="PASS",'Data - Sample Type 1'!HK97&lt;&gt;0),'Data - Sample Type 1'!HK97,"")</f>
        <v/>
      </c>
      <c r="AD16" s="259"/>
      <c r="AE16" s="191" t="str">
        <f>IF(AND('Resample Data Summary'!C143="PASS",AC16&lt;&gt;""),'Data - Sample Type 1'!HL97,"")</f>
        <v/>
      </c>
      <c r="AF16" s="264"/>
      <c r="AG16" s="151" t="str">
        <f>IF(AND('Resample Data Summary'!C143="PASS",'Data - Sample Type 1'!HS97&lt;&gt;0),'Data - Sample Type 1'!HS97,"")</f>
        <v/>
      </c>
      <c r="AH16" s="259"/>
      <c r="AI16" s="191" t="str">
        <f>IF(AND('Resample Data Summary'!C143="PASS",AG16&lt;&gt;""),'Data - Sample Type 1'!HT97,"")</f>
        <v/>
      </c>
      <c r="AJ16" s="264"/>
      <c r="AK16" s="194" t="str">
        <f>IF('Resample Data Summary'!C143="PASS",IF('Data - Sample Type 1'!DK97=0,"",'Data - Sample Type 1'!DK97),"")</f>
        <v/>
      </c>
      <c r="AL16" s="259"/>
      <c r="AM16" s="151" t="str">
        <f>IF('Resample Data Summary'!C143="PASS",IF('Data - Sample Type 1'!DY97=0,"",'Data - Sample Type 1'!DY97),"")</f>
        <v/>
      </c>
      <c r="AN16" s="259"/>
      <c r="AO16" s="151" t="str">
        <f>IF('Resample Data Summary'!C143="PASS",IF('Data - Sample Type 1'!EM97=0,"",'Data - Sample Type 1'!EM97),"")</f>
        <v/>
      </c>
      <c r="AP16" s="280"/>
      <c r="AS16" s="276"/>
      <c r="AT16" s="194" t="str">
        <f>IF(AND('Resample Data Summary'!C228="PASS",'Data - Sample Type 2'!IQ37&lt;&gt;0),'Data - Sample Type 2'!IQ37,"")</f>
        <v/>
      </c>
      <c r="AU16" s="259"/>
      <c r="AV16" s="151" t="str">
        <f>IF(AND('Resample Data Summary'!C228="PASS",'Data - Sample Type 2'!IY37&lt;&gt;0),'Data - Sample Type 2'!IY37,"")</f>
        <v/>
      </c>
      <c r="AW16" s="259"/>
      <c r="AX16" s="191" t="str">
        <f>IF(AND('Resample Data Summary'!C228="PASS",AV16&lt;&gt;""),'Data - Sample Type 2'!IZ37,"")</f>
        <v/>
      </c>
      <c r="AY16" s="264"/>
      <c r="AZ16" s="151" t="str">
        <f>IF(AND('Resample Data Summary'!C228="PASS",'Data - Sample Type 2'!JG37&lt;&gt;0),'Data - Sample Type 2'!JG37,"")</f>
        <v/>
      </c>
      <c r="BA16" s="259"/>
      <c r="BB16" s="191" t="str">
        <f>IF(AND('Resample Data Summary'!C228="PASS",AZ16&lt;&gt;""),'Data - Sample Type 2'!JH37,"")</f>
        <v/>
      </c>
      <c r="BC16" s="264"/>
      <c r="BD16" s="151" t="str">
        <f>IF('Resample Data Summary'!C228="PASS",IF('Data - Sample Type 2'!BG37=0,"",'Data - Sample Type 2'!BG37),"")</f>
        <v/>
      </c>
      <c r="BE16" s="259"/>
      <c r="BF16" s="194" t="str">
        <f>IF(AND('Resample Data Summary'!C228="PASS",'Data - Sample Type 2'!JO37&lt;&gt;0),'Data - Sample Type 2'!JO37,"")</f>
        <v/>
      </c>
      <c r="BG16" s="259"/>
      <c r="BH16" s="151" t="str">
        <f>IF(AND('Resample Data Summary'!C228="PASS",'Data - Sample Type 2'!HC37&lt;&gt;0),'Data - Sample Type 2'!HC37,"")</f>
        <v/>
      </c>
      <c r="BI16" s="259"/>
      <c r="BJ16" s="151" t="str">
        <f>IF(AND('Resample Data Summary'!C228="PASS",'Data - Sample Type 2'!LS37&lt;&gt;0),'Data - Sample Type 2'!LS37,"")</f>
        <v/>
      </c>
      <c r="BK16" s="259"/>
      <c r="BL16" s="191" t="str">
        <f>IF('Resample Data Summary'!C228="PASS",'Data - Sample Type 2'!LT37,"")</f>
        <v/>
      </c>
      <c r="BM16" s="264"/>
      <c r="BN16" s="194" t="str">
        <f>IF(AND('Resample Data Summary'!C228="PASS",'Data - Sample Type 2'!MI37&lt;&gt;0),'Data - Sample Type 2'!MI37,"")</f>
        <v/>
      </c>
      <c r="BO16" s="259"/>
      <c r="BP16" s="191" t="str">
        <f>IF(AND('Resample Data Summary'!C228="PASS",BN16&lt;&gt;""),'Data - Sample Type 2'!MJ37,"")</f>
        <v/>
      </c>
      <c r="BQ16" s="264"/>
      <c r="BR16" s="151" t="str">
        <f>IF('Resample Data Summary'!C228="PASS",IF('Data - Sample Type 2'!DY37=0,"",'Data - Sample Type 2'!DY37),"")</f>
        <v/>
      </c>
      <c r="BS16" s="259"/>
      <c r="BT16" s="151" t="str">
        <f>IF('Resample Data Summary'!C228="PASS",IF('Data - Sample Type 2'!EM37=0,"",'Data - Sample Type 2'!EM37),"")</f>
        <v/>
      </c>
      <c r="BU16" s="280"/>
    </row>
    <row r="17" spans="1:73" ht="13.35" customHeight="1" x14ac:dyDescent="0.2">
      <c r="A17" s="276"/>
      <c r="B17" s="151" t="str">
        <f>IF('Resample Data Summary'!C39="PASS",IF('Resample Data Summary'!A39="","",'Data - Sample Type 0'!Q118),"")</f>
        <v/>
      </c>
      <c r="C17" s="280"/>
      <c r="D17"/>
      <c r="E17"/>
      <c r="F17" s="276"/>
      <c r="G17" s="151" t="str">
        <f>IF(AND('Resample Data Summary'!C144="PASS",'Data - Sample Type 1'!FO98&lt;&gt;0),'Data - Sample Type 1'!FO98,"")</f>
        <v/>
      </c>
      <c r="H17" s="259"/>
      <c r="I17" s="102" t="str">
        <f>IF('Resample Data Summary'!C144="PASS",IF('Data - Sample Type 1'!AE98=0,"",'Data - Sample Type 1'!AE98),"")</f>
        <v/>
      </c>
      <c r="J17" s="259"/>
      <c r="K17" s="151" t="str">
        <f>IF(AND('Resample Data Summary'!C144="PASS",'Data - Sample Type 1'!FW98&lt;&gt;0),'Data - Sample Type 1'!FW98,"")</f>
        <v/>
      </c>
      <c r="L17" s="259"/>
      <c r="M17" s="191" t="str">
        <f>IF(AND('Resample Data Summary'!C144="PASS",K17&lt;&gt;""),'Data - Sample Type 1'!FX98,"")</f>
        <v/>
      </c>
      <c r="N17" s="264"/>
      <c r="O17" s="151" t="str">
        <f>IF(AND('Resample Data Summary'!C144="PASS",'Data - Sample Type 1'!GE98&lt;&gt;0),'Data - Sample Type 1'!GE98,"")</f>
        <v/>
      </c>
      <c r="P17" s="259"/>
      <c r="Q17" s="191" t="str">
        <f>IF(AND('Resample Data Summary'!C144="PASS",O17&lt;&gt;""),'Data - Sample Type 1'!GF98,"")</f>
        <v/>
      </c>
      <c r="R17" s="264"/>
      <c r="S17" s="151" t="str">
        <f>IF('Resample Data Summary'!C144="PASS",IF('Data - Sample Type 1'!BG98=0,"",'Data - Sample Type 1'!BG98),"")</f>
        <v/>
      </c>
      <c r="T17" s="259"/>
      <c r="U17" s="194" t="str">
        <f>IF(AND('Resample Data Summary'!C144="PASS",'Data - Sample Type 1'!GM98&lt;&gt;0),'Data - Sample Type 1'!GM98,"")</f>
        <v/>
      </c>
      <c r="V17" s="259"/>
      <c r="W17" s="151" t="str">
        <f>IF('Resample Data Summary'!C144="PASS",IF('Data - Sample Type 1'!BU98=0,"",'Data - Sample Type 1'!BU98),"")</f>
        <v/>
      </c>
      <c r="X17" s="259"/>
      <c r="Y17" s="151" t="str">
        <f>IF(AND('Resample Data Summary'!C144="PASS",'Data - Sample Type 1'!HC98&lt;&gt;0),'Data - Sample Type 1'!HC98,"")</f>
        <v/>
      </c>
      <c r="Z17" s="259"/>
      <c r="AA17" s="191" t="str">
        <f>IF(AND('Resample Data Summary'!C144="PASS",Y17&lt;&gt;""),'Data - Sample Type 1'!HD98,"")</f>
        <v/>
      </c>
      <c r="AB17" s="264"/>
      <c r="AC17" s="151" t="str">
        <f>IF(AND('Resample Data Summary'!C144="PASS",'Data - Sample Type 1'!HK98&lt;&gt;0),'Data - Sample Type 1'!HK98,"")</f>
        <v/>
      </c>
      <c r="AD17" s="259"/>
      <c r="AE17" s="191" t="str">
        <f>IF(AND('Resample Data Summary'!C144="PASS",AC17&lt;&gt;""),'Data - Sample Type 1'!HL98,"")</f>
        <v/>
      </c>
      <c r="AF17" s="264"/>
      <c r="AG17" s="151" t="str">
        <f>IF(AND('Resample Data Summary'!C144="PASS",'Data - Sample Type 1'!HS98&lt;&gt;0),'Data - Sample Type 1'!HS98,"")</f>
        <v/>
      </c>
      <c r="AH17" s="259"/>
      <c r="AI17" s="191" t="str">
        <f>IF(AND('Resample Data Summary'!C144="PASS",AG17&lt;&gt;""),'Data - Sample Type 1'!HT98,"")</f>
        <v/>
      </c>
      <c r="AJ17" s="264"/>
      <c r="AK17" s="194" t="str">
        <f>IF('Resample Data Summary'!C144="PASS",IF('Data - Sample Type 1'!DK98=0,"",'Data - Sample Type 1'!DK98),"")</f>
        <v/>
      </c>
      <c r="AL17" s="259"/>
      <c r="AM17" s="151" t="str">
        <f>IF('Resample Data Summary'!C144="PASS",IF('Data - Sample Type 1'!DY98=0,"",'Data - Sample Type 1'!DY98),"")</f>
        <v/>
      </c>
      <c r="AN17" s="259"/>
      <c r="AO17" s="151" t="str">
        <f>IF('Resample Data Summary'!C144="PASS",IF('Data - Sample Type 1'!EM98=0,"",'Data - Sample Type 1'!EM98),"")</f>
        <v/>
      </c>
      <c r="AP17" s="280"/>
      <c r="AS17" s="276"/>
      <c r="AT17" s="194" t="str">
        <f>IF(AND('Resample Data Summary'!C229="PASS",'Data - Sample Type 2'!IQ38&lt;&gt;0),'Data - Sample Type 2'!IQ38,"")</f>
        <v/>
      </c>
      <c r="AU17" s="259"/>
      <c r="AV17" s="151" t="str">
        <f>IF(AND('Resample Data Summary'!C229="PASS",'Data - Sample Type 2'!IY38&lt;&gt;0),'Data - Sample Type 2'!IY38,"")</f>
        <v/>
      </c>
      <c r="AW17" s="259"/>
      <c r="AX17" s="191" t="str">
        <f>IF(AND('Resample Data Summary'!C229="PASS",AV17&lt;&gt;""),'Data - Sample Type 2'!IZ38,"")</f>
        <v/>
      </c>
      <c r="AY17" s="264"/>
      <c r="AZ17" s="151" t="str">
        <f>IF(AND('Resample Data Summary'!C229="PASS",'Data - Sample Type 2'!JG38&lt;&gt;0),'Data - Sample Type 2'!JG38,"")</f>
        <v/>
      </c>
      <c r="BA17" s="259"/>
      <c r="BB17" s="191" t="str">
        <f>IF(AND('Resample Data Summary'!C229="PASS",AZ17&lt;&gt;""),'Data - Sample Type 2'!JH38,"")</f>
        <v/>
      </c>
      <c r="BC17" s="264"/>
      <c r="BD17" s="151" t="str">
        <f>IF('Resample Data Summary'!C229="PASS",IF('Data - Sample Type 2'!BG38=0,"",'Data - Sample Type 2'!BG38),"")</f>
        <v/>
      </c>
      <c r="BE17" s="259"/>
      <c r="BF17" s="194" t="str">
        <f>IF(AND('Resample Data Summary'!C229="PASS",'Data - Sample Type 2'!JO38&lt;&gt;0),'Data - Sample Type 2'!JO38,"")</f>
        <v/>
      </c>
      <c r="BG17" s="259"/>
      <c r="BH17" s="151" t="str">
        <f>IF(AND('Resample Data Summary'!C229="PASS",'Data - Sample Type 2'!HC38&lt;&gt;0),'Data - Sample Type 2'!HC38,"")</f>
        <v/>
      </c>
      <c r="BI17" s="259"/>
      <c r="BJ17" s="151" t="str">
        <f>IF(AND('Resample Data Summary'!C229="PASS",'Data - Sample Type 2'!LS38&lt;&gt;0),'Data - Sample Type 2'!LS38,"")</f>
        <v/>
      </c>
      <c r="BK17" s="259"/>
      <c r="BL17" s="191" t="str">
        <f>IF('Resample Data Summary'!C229="PASS",'Data - Sample Type 2'!LT38,"")</f>
        <v/>
      </c>
      <c r="BM17" s="264"/>
      <c r="BN17" s="194" t="str">
        <f>IF(AND('Resample Data Summary'!C229="PASS",'Data - Sample Type 2'!MI38&lt;&gt;0),'Data - Sample Type 2'!MI38,"")</f>
        <v/>
      </c>
      <c r="BO17" s="259"/>
      <c r="BP17" s="191" t="str">
        <f>IF(AND('Resample Data Summary'!C229="PASS",BN17&lt;&gt;""),'Data - Sample Type 2'!MJ38,"")</f>
        <v/>
      </c>
      <c r="BQ17" s="264"/>
      <c r="BR17" s="151" t="str">
        <f>IF('Resample Data Summary'!C229="PASS",IF('Data - Sample Type 2'!DY38=0,"",'Data - Sample Type 2'!DY38),"")</f>
        <v/>
      </c>
      <c r="BS17" s="259"/>
      <c r="BT17" s="151" t="str">
        <f>IF('Resample Data Summary'!C229="PASS",IF('Data - Sample Type 2'!EM38=0,"",'Data - Sample Type 2'!EM38),"")</f>
        <v/>
      </c>
      <c r="BU17" s="280"/>
    </row>
    <row r="18" spans="1:73" ht="13.5" thickBot="1" x14ac:dyDescent="0.25">
      <c r="A18" s="276"/>
      <c r="B18" s="151" t="str">
        <f>IF('Resample Data Summary'!C40="PASS",IF('Resample Data Summary'!A40="","",'Data - Sample Type 0'!Q119),"")</f>
        <v/>
      </c>
      <c r="C18" s="280" t="e">
        <f>IF(C13&lt;=Specifications!$G$20,"PASS","FAIL")</f>
        <v>#DIV/0!</v>
      </c>
      <c r="D18"/>
      <c r="E18"/>
      <c r="F18" s="278"/>
      <c r="G18" s="155" t="str">
        <f>IF(AND('Resample Data Summary'!C145="PASS",'Data - Sample Type 1'!FO99&lt;&gt;0),'Data - Sample Type 1'!FO99,"")</f>
        <v/>
      </c>
      <c r="H18" s="393"/>
      <c r="I18" s="171" t="str">
        <f>IF('Resample Data Summary'!C145="PASS",IF('Data - Sample Type 1'!AE99=0,"",'Data - Sample Type 1'!AE99),"")</f>
        <v/>
      </c>
      <c r="J18" s="393"/>
      <c r="K18" s="155" t="str">
        <f>IF(AND('Resample Data Summary'!C145="PASS",'Data - Sample Type 1'!FW99&lt;&gt;0),'Data - Sample Type 1'!FW99,"")</f>
        <v/>
      </c>
      <c r="L18" s="393"/>
      <c r="M18" s="193" t="str">
        <f>IF(AND('Resample Data Summary'!C145="PASS",K18&lt;&gt;""),'Data - Sample Type 1'!FX99,"")</f>
        <v/>
      </c>
      <c r="N18" s="392"/>
      <c r="O18" s="155" t="str">
        <f>IF(AND('Resample Data Summary'!C145="PASS",'Data - Sample Type 1'!GE99&lt;&gt;0),'Data - Sample Type 1'!GE99,"")</f>
        <v/>
      </c>
      <c r="P18" s="393"/>
      <c r="Q18" s="193" t="str">
        <f>IF(AND('Resample Data Summary'!C145="PASS",O18&lt;&gt;""),'Data - Sample Type 1'!GF99,"")</f>
        <v/>
      </c>
      <c r="R18" s="392"/>
      <c r="S18" s="155" t="str">
        <f>IF('Resample Data Summary'!C145="PASS",IF('Data - Sample Type 1'!BG99=0,"",'Data - Sample Type 1'!BG99),"")</f>
        <v/>
      </c>
      <c r="T18" s="393"/>
      <c r="U18" s="197" t="str">
        <f>IF(AND('Resample Data Summary'!C145="PASS",'Data - Sample Type 1'!GM99&lt;&gt;0),'Data - Sample Type 1'!GM99,"")</f>
        <v/>
      </c>
      <c r="V18" s="393"/>
      <c r="W18" s="155" t="str">
        <f>IF('Resample Data Summary'!C145="PASS",IF('Data - Sample Type 1'!BU99=0,"",'Data - Sample Type 1'!BU99),"")</f>
        <v/>
      </c>
      <c r="X18" s="393"/>
      <c r="Y18" s="155" t="str">
        <f>IF(AND('Resample Data Summary'!C145="PASS",'Data - Sample Type 1'!HC99&lt;&gt;0),'Data - Sample Type 1'!HC99,"")</f>
        <v/>
      </c>
      <c r="Z18" s="393"/>
      <c r="AA18" s="193" t="str">
        <f>IF(AND('Resample Data Summary'!C145="PASS",Y18&lt;&gt;""),'Data - Sample Type 1'!HD99,"")</f>
        <v/>
      </c>
      <c r="AB18" s="392"/>
      <c r="AC18" s="155" t="str">
        <f>IF(AND('Resample Data Summary'!C145="PASS",'Data - Sample Type 1'!HK99&lt;&gt;0),'Data - Sample Type 1'!HK99,"")</f>
        <v/>
      </c>
      <c r="AD18" s="393"/>
      <c r="AE18" s="193" t="str">
        <f>IF(AND('Resample Data Summary'!C145="PASS",AC18&lt;&gt;""),'Data - Sample Type 1'!HL99,"")</f>
        <v/>
      </c>
      <c r="AF18" s="392"/>
      <c r="AG18" s="155" t="str">
        <f>IF(AND('Resample Data Summary'!C145="PASS",'Data - Sample Type 1'!HS99&lt;&gt;0),'Data - Sample Type 1'!HS99,"")</f>
        <v/>
      </c>
      <c r="AH18" s="393"/>
      <c r="AI18" s="193" t="str">
        <f>IF(AND('Resample Data Summary'!C145="PASS",AG18&lt;&gt;""),'Data - Sample Type 1'!HT99,"")</f>
        <v/>
      </c>
      <c r="AJ18" s="392"/>
      <c r="AK18" s="197" t="str">
        <f>IF('Resample Data Summary'!C145="PASS",IF('Data - Sample Type 1'!DK99=0,"",'Data - Sample Type 1'!DK99),"")</f>
        <v/>
      </c>
      <c r="AL18" s="393"/>
      <c r="AM18" s="155" t="str">
        <f>IF('Resample Data Summary'!C145="PASS",IF('Data - Sample Type 1'!DY99=0,"",'Data - Sample Type 1'!DY99),"")</f>
        <v/>
      </c>
      <c r="AN18" s="393"/>
      <c r="AO18" s="155" t="str">
        <f>IF('Resample Data Summary'!C145="PASS",IF('Data - Sample Type 1'!EM99=0,"",'Data - Sample Type 1'!EM99),"")</f>
        <v/>
      </c>
      <c r="AP18" s="395"/>
      <c r="AS18" s="276"/>
      <c r="AT18" s="194" t="str">
        <f>IF(AND('Resample Data Summary'!C230="PASS",'Data - Sample Type 2'!IQ39&lt;&gt;0),'Data - Sample Type 2'!IQ39,"")</f>
        <v/>
      </c>
      <c r="AU18" s="394" t="e">
        <f>IF(AND(AU13&gt;=Specifications!$E$21,AU13&lt;=Specifications!$F$21),"PASS","FAIL")</f>
        <v>#DIV/0!</v>
      </c>
      <c r="AV18" s="151" t="str">
        <f>IF(AND('Resample Data Summary'!C230="PASS",'Data - Sample Type 2'!IY39&lt;&gt;0),'Data - Sample Type 2'!IY39,"")</f>
        <v/>
      </c>
      <c r="AW18" s="394" t="e">
        <f>IF(AND(AW13&gt;=Specifications!$E$23,AW13&lt;=Specifications!$F$23),"PASS","FAIL")</f>
        <v>#DIV/0!</v>
      </c>
      <c r="AX18" s="191" t="str">
        <f>IF(AND('Resample Data Summary'!C230="PASS",AV18&lt;&gt;""),'Data - Sample Type 2'!IZ39,"")</f>
        <v/>
      </c>
      <c r="AY18" s="264" t="e">
        <f>IF(AY13&gt;=Specifications!$E$24,"PASS","FAIL")</f>
        <v>#DIV/0!</v>
      </c>
      <c r="AZ18" s="151" t="str">
        <f>IF(AND('Resample Data Summary'!C230="PASS",'Data - Sample Type 2'!JG39&lt;&gt;0),'Data - Sample Type 2'!JG39,"")</f>
        <v/>
      </c>
      <c r="BA18" s="394" t="e">
        <f>IF(AND(BA13&gt;=Specifications!$E$25,BA13&lt;=Specifications!$F$25),"PASS","FAIL")</f>
        <v>#DIV/0!</v>
      </c>
      <c r="BB18" s="191" t="str">
        <f>IF(AND('Resample Data Summary'!C230="PASS",AZ18&lt;&gt;""),'Data - Sample Type 2'!JH39,"")</f>
        <v/>
      </c>
      <c r="BC18" s="264" t="e">
        <f>IF(BC13&gt;=Specifications!$E$26,"PASS","FAIL")</f>
        <v>#DIV/0!</v>
      </c>
      <c r="BD18" s="151" t="str">
        <f>IF('Resample Data Summary'!C230="PASS",IF('Data - Sample Type 2'!BG39=0,"",'Data - Sample Type 2'!BG39),"")</f>
        <v/>
      </c>
      <c r="BE18" s="259" t="e">
        <f>IF(BE13&lt;=Specifications!$F$27,"PASS","FAIL")</f>
        <v>#DIV/0!</v>
      </c>
      <c r="BF18" s="194" t="str">
        <f>IF(AND('Resample Data Summary'!C230="PASS",'Data - Sample Type 2'!JO39&lt;&gt;0),'Data - Sample Type 2'!JO39,"")</f>
        <v/>
      </c>
      <c r="BG18" s="394" t="e">
        <f>IF(AND(BG13&gt;=Specifications!$E$28,BG13&lt;=Specifications!$F$28),"PASS","FAIL")</f>
        <v>#DIV/0!</v>
      </c>
      <c r="BH18" s="151" t="str">
        <f>IF(AND('Resample Data Summary'!C230="PASS",'Data - Sample Type 2'!HC39&lt;&gt;0),'Data - Sample Type 2'!HC39,"")</f>
        <v/>
      </c>
      <c r="BI18" s="394" t="e">
        <f>IF(AND(BI13&gt;=Specifications!$E$31,BI13&lt;=Specifications!$F$31),"PASS","FAIL")</f>
        <v>#DIV/0!</v>
      </c>
      <c r="BJ18" s="151" t="str">
        <f>IF(AND('Resample Data Summary'!C230="PASS",'Data - Sample Type 2'!LS39&lt;&gt;0),'Data - Sample Type 2'!LS39,"")</f>
        <v/>
      </c>
      <c r="BK18" s="394" t="e">
        <f>IF(AND(BK13&gt;=Specifications!$E$33,BK13&lt;=Specifications!$F$33),"PASS","FAIL")</f>
        <v>#DIV/0!</v>
      </c>
      <c r="BL18" s="191" t="str">
        <f>IF('Resample Data Summary'!C230="PASS",'Data - Sample Type 2'!LT39,"")</f>
        <v/>
      </c>
      <c r="BM18" s="264" t="e">
        <f>IF(BM13&gt;=Specifications!$E$34,"PASS","FAIL")</f>
        <v>#DIV/0!</v>
      </c>
      <c r="BN18" s="194" t="str">
        <f>IF(AND('Resample Data Summary'!C230="PASS",'Data - Sample Type 2'!MI39&lt;&gt;0),'Data - Sample Type 2'!MI39,"")</f>
        <v/>
      </c>
      <c r="BO18" s="394" t="e">
        <f>IF(AND(BO13&gt;=Specifications!$E$35,BO13&lt;=Specifications!$F$35),"PASS","FAIL")</f>
        <v>#DIV/0!</v>
      </c>
      <c r="BP18" s="191" t="str">
        <f>IF(AND('Resample Data Summary'!C230="PASS",BN18&lt;&gt;""),'Data - Sample Type 2'!MJ39,"")</f>
        <v/>
      </c>
      <c r="BQ18" s="264" t="e">
        <f>IF(BQ13&gt;=Specifications!$E$36,"PASS","FAIL")</f>
        <v>#DIV/0!</v>
      </c>
      <c r="BR18" s="151" t="str">
        <f>IF('Resample Data Summary'!C230="PASS",IF('Data - Sample Type 2'!DY39=0,"",'Data - Sample Type 2'!DY39),"")</f>
        <v/>
      </c>
      <c r="BS18" s="259" t="e">
        <f>IF(BS13&lt;=Specifications!$F$38,"PASS","FAIL")</f>
        <v>#DIV/0!</v>
      </c>
      <c r="BT18" s="151" t="str">
        <f>IF('Resample Data Summary'!C230="PASS",IF('Data - Sample Type 2'!EM39=0,"",'Data - Sample Type 2'!EM39),"")</f>
        <v/>
      </c>
      <c r="BU18" s="280" t="e">
        <f>IF(BU13&lt;=Specifications!$F$39,"PASS","FAIL")</f>
        <v>#DIV/0!</v>
      </c>
    </row>
    <row r="19" spans="1:73" x14ac:dyDescent="0.2">
      <c r="A19" s="276"/>
      <c r="B19" s="151" t="str">
        <f>IF('Resample Data Summary'!C41="PASS",IF('Resample Data Summary'!A41="","",'Data - Sample Type 0'!Q120),"")</f>
        <v/>
      </c>
      <c r="C19" s="280"/>
      <c r="D19"/>
      <c r="E19"/>
      <c r="F19" s="275">
        <v>3</v>
      </c>
      <c r="G19" s="154" t="str">
        <f>IF(AND('Resample Data Summary'!C146="PASS",'Data - Sample Type 1'!FO100&lt;&gt;0),'Data - Sample Type 1'!FO100,"")</f>
        <v/>
      </c>
      <c r="H19" s="258" t="e">
        <f t="shared" ref="H19" si="19">AVERAGE(G19:G26)</f>
        <v>#DIV/0!</v>
      </c>
      <c r="I19" s="170" t="str">
        <f>IF('Resample Data Summary'!C146="PASS",IF('Data - Sample Type 1'!AE100=0,"",'Data - Sample Type 1'!AE100),"")</f>
        <v/>
      </c>
      <c r="J19" s="258" t="e">
        <f t="shared" ref="J19" si="20">AVERAGE(I19:I26)</f>
        <v>#DIV/0!</v>
      </c>
      <c r="K19" s="154" t="str">
        <f>IF(AND('Resample Data Summary'!C146="PASS",'Data - Sample Type 1'!FW100&lt;&gt;0),'Data - Sample Type 1'!FW100,"")</f>
        <v/>
      </c>
      <c r="L19" s="258" t="e">
        <f t="shared" ref="L19" si="21">AVERAGE(K19:K26)</f>
        <v>#DIV/0!</v>
      </c>
      <c r="M19" s="190" t="str">
        <f>IF(AND('Resample Data Summary'!C146="PASS",K19&lt;&gt;""),'Data - Sample Type 1'!FX100,"")</f>
        <v/>
      </c>
      <c r="N19" s="263" t="e">
        <f t="shared" ref="N19" si="22">AVERAGE(M19:M26)</f>
        <v>#DIV/0!</v>
      </c>
      <c r="O19" s="154" t="str">
        <f>IF(AND('Resample Data Summary'!C146="PASS",'Data - Sample Type 1'!GE100&lt;&gt;0),'Data - Sample Type 1'!GE100,"")</f>
        <v/>
      </c>
      <c r="P19" s="258" t="e">
        <f t="shared" ref="P19" si="23">AVERAGE(O19:O26)</f>
        <v>#DIV/0!</v>
      </c>
      <c r="Q19" s="190" t="str">
        <f>IF(AND('Resample Data Summary'!C146="PASS",O19&lt;&gt;""),'Data - Sample Type 1'!GF100,"")</f>
        <v/>
      </c>
      <c r="R19" s="263" t="e">
        <f t="shared" ref="R19" si="24">AVERAGE(Q19:Q26)</f>
        <v>#DIV/0!</v>
      </c>
      <c r="S19" s="154" t="str">
        <f>IF('Resample Data Summary'!C146="PASS",IF('Data - Sample Type 1'!BG100=0,"",'Data - Sample Type 1'!BG100),"")</f>
        <v/>
      </c>
      <c r="T19" s="258" t="e">
        <f t="shared" ref="T19" si="25">AVERAGE(S19:S26)</f>
        <v>#DIV/0!</v>
      </c>
      <c r="U19" s="196" t="str">
        <f>IF(AND('Resample Data Summary'!C146="PASS",'Data - Sample Type 1'!GM100&lt;&gt;0),'Data - Sample Type 1'!GM100,"")</f>
        <v/>
      </c>
      <c r="V19" s="258" t="e">
        <f t="shared" ref="V19" si="26">AVERAGE(U19:U26)</f>
        <v>#DIV/0!</v>
      </c>
      <c r="W19" s="154" t="str">
        <f>IF('Resample Data Summary'!C146="PASS",IF('Data - Sample Type 1'!BU100=0,"",'Data - Sample Type 1'!BU100),"")</f>
        <v/>
      </c>
      <c r="X19" s="258" t="e">
        <f t="shared" ref="X19" si="27">AVERAGE(W19:W26)</f>
        <v>#DIV/0!</v>
      </c>
      <c r="Y19" s="154" t="str">
        <f>IF(AND('Resample Data Summary'!C146="PASS",'Data - Sample Type 1'!HC100&lt;&gt;0),'Data - Sample Type 1'!HC100,"")</f>
        <v/>
      </c>
      <c r="Z19" s="258" t="e">
        <f t="shared" ref="Z19" si="28">AVERAGE(Y19:Y26)</f>
        <v>#DIV/0!</v>
      </c>
      <c r="AA19" s="190" t="str">
        <f>IF(AND('Resample Data Summary'!C146="PASS",Y19&lt;&gt;""),'Data - Sample Type 1'!HD100,"")</f>
        <v/>
      </c>
      <c r="AB19" s="263" t="e">
        <f t="shared" ref="AB19" si="29">AVERAGE(AA19:AA26)</f>
        <v>#DIV/0!</v>
      </c>
      <c r="AC19" s="154" t="str">
        <f>IF(AND('Resample Data Summary'!C146="PASS",'Data - Sample Type 1'!HK100&lt;&gt;0),'Data - Sample Type 1'!HK100,"")</f>
        <v/>
      </c>
      <c r="AD19" s="258" t="e">
        <f t="shared" ref="AD19" si="30">AVERAGE(AC19:AC26)</f>
        <v>#DIV/0!</v>
      </c>
      <c r="AE19" s="190" t="str">
        <f>IF(AND('Resample Data Summary'!C146="PASS",AC19&lt;&gt;""),'Data - Sample Type 1'!HL100,"")</f>
        <v/>
      </c>
      <c r="AF19" s="263" t="e">
        <f t="shared" ref="AF19" si="31">AVERAGE(AE19:AE26)</f>
        <v>#DIV/0!</v>
      </c>
      <c r="AG19" s="154" t="str">
        <f>IF(AND('Resample Data Summary'!C146="PASS",'Data - Sample Type 1'!HS100&lt;&gt;0),'Data - Sample Type 1'!HS100,"")</f>
        <v/>
      </c>
      <c r="AH19" s="258" t="e">
        <f t="shared" ref="AH19" si="32">AVERAGE(AG19:AG26)</f>
        <v>#DIV/0!</v>
      </c>
      <c r="AI19" s="190" t="str">
        <f>IF(AND('Resample Data Summary'!C146="PASS",AG19&lt;&gt;""),'Data - Sample Type 1'!HT100,"")</f>
        <v/>
      </c>
      <c r="AJ19" s="263" t="e">
        <f t="shared" ref="AJ19" si="33">AVERAGE(AI19:AI26)</f>
        <v>#DIV/0!</v>
      </c>
      <c r="AK19" s="196" t="str">
        <f>IF('Resample Data Summary'!C146="PASS",IF('Data - Sample Type 1'!DK100=0,"",'Data - Sample Type 1'!DK100),"")</f>
        <v/>
      </c>
      <c r="AL19" s="258" t="e">
        <f t="shared" ref="AL19" si="34">AVERAGE(AK19:AK26)</f>
        <v>#DIV/0!</v>
      </c>
      <c r="AM19" s="154" t="str">
        <f>IF('Resample Data Summary'!C146="PASS",IF('Data - Sample Type 1'!DY100=0,"",'Data - Sample Type 1'!DY100),"")</f>
        <v/>
      </c>
      <c r="AN19" s="258" t="e">
        <f t="shared" ref="AN19" si="35">AVERAGE(AM19:AM26)</f>
        <v>#DIV/0!</v>
      </c>
      <c r="AO19" s="154" t="str">
        <f>IF('Resample Data Summary'!C146="PASS",IF('Data - Sample Type 1'!EM100=0,"",'Data - Sample Type 1'!EM100),"")</f>
        <v/>
      </c>
      <c r="AP19" s="279" t="e">
        <f t="shared" ref="AP19" si="36">AVERAGE(AO19:AO26)</f>
        <v>#DIV/0!</v>
      </c>
      <c r="AS19" s="276"/>
      <c r="AT19" s="194" t="str">
        <f>IF(AND('Resample Data Summary'!C231="PASS",'Data - Sample Type 2'!IQ40&lt;&gt;0),'Data - Sample Type 2'!IQ40,"")</f>
        <v/>
      </c>
      <c r="AU19" s="259"/>
      <c r="AV19" s="151" t="str">
        <f>IF(AND('Resample Data Summary'!C231="PASS",'Data - Sample Type 2'!IY40&lt;&gt;0),'Data - Sample Type 2'!IY40,"")</f>
        <v/>
      </c>
      <c r="AW19" s="259"/>
      <c r="AX19" s="191" t="str">
        <f>IF(AND('Resample Data Summary'!C231="PASS",AV19&lt;&gt;""),'Data - Sample Type 2'!IZ40,"")</f>
        <v/>
      </c>
      <c r="AY19" s="264"/>
      <c r="AZ19" s="151" t="str">
        <f>IF(AND('Resample Data Summary'!C231="PASS",'Data - Sample Type 2'!JG40&lt;&gt;0),'Data - Sample Type 2'!JG40,"")</f>
        <v/>
      </c>
      <c r="BA19" s="259"/>
      <c r="BB19" s="191" t="str">
        <f>IF(AND('Resample Data Summary'!C231="PASS",AZ19&lt;&gt;""),'Data - Sample Type 2'!JH40,"")</f>
        <v/>
      </c>
      <c r="BC19" s="264"/>
      <c r="BD19" s="151" t="str">
        <f>IF('Resample Data Summary'!C231="PASS",IF('Data - Sample Type 2'!BG40=0,"",'Data - Sample Type 2'!BG40),"")</f>
        <v/>
      </c>
      <c r="BE19" s="259"/>
      <c r="BF19" s="194" t="str">
        <f>IF(AND('Resample Data Summary'!C231="PASS",'Data - Sample Type 2'!JO40&lt;&gt;0),'Data - Sample Type 2'!JO40,"")</f>
        <v/>
      </c>
      <c r="BG19" s="259"/>
      <c r="BH19" s="151" t="str">
        <f>IF(AND('Resample Data Summary'!C231="PASS",'Data - Sample Type 2'!HC40&lt;&gt;0),'Data - Sample Type 2'!HC40,"")</f>
        <v/>
      </c>
      <c r="BI19" s="259"/>
      <c r="BJ19" s="151" t="str">
        <f>IF(AND('Resample Data Summary'!C231="PASS",'Data - Sample Type 2'!LS40&lt;&gt;0),'Data - Sample Type 2'!LS40,"")</f>
        <v/>
      </c>
      <c r="BK19" s="259"/>
      <c r="BL19" s="191" t="str">
        <f>IF('Resample Data Summary'!C231="PASS",'Data - Sample Type 2'!LT40,"")</f>
        <v/>
      </c>
      <c r="BM19" s="264"/>
      <c r="BN19" s="194" t="str">
        <f>IF(AND('Resample Data Summary'!C231="PASS",'Data - Sample Type 2'!MI40&lt;&gt;0),'Data - Sample Type 2'!MI40,"")</f>
        <v/>
      </c>
      <c r="BO19" s="259"/>
      <c r="BP19" s="191" t="str">
        <f>IF(AND('Resample Data Summary'!C231="PASS",BN19&lt;&gt;""),'Data - Sample Type 2'!MJ40,"")</f>
        <v/>
      </c>
      <c r="BQ19" s="264"/>
      <c r="BR19" s="151" t="str">
        <f>IF('Resample Data Summary'!C231="PASS",IF('Data - Sample Type 2'!DY40=0,"",'Data - Sample Type 2'!DY40),"")</f>
        <v/>
      </c>
      <c r="BS19" s="259"/>
      <c r="BT19" s="151" t="str">
        <f>IF('Resample Data Summary'!C231="PASS",IF('Data - Sample Type 2'!EM40=0,"",'Data - Sample Type 2'!EM40),"")</f>
        <v/>
      </c>
      <c r="BU19" s="280"/>
    </row>
    <row r="20" spans="1:73" x14ac:dyDescent="0.2">
      <c r="A20" s="276"/>
      <c r="B20" s="151" t="str">
        <f>IF('Resample Data Summary'!C42="PASS",IF('Resample Data Summary'!A42="","",'Data - Sample Type 0'!Q121),"")</f>
        <v/>
      </c>
      <c r="C20" s="280"/>
      <c r="D20"/>
      <c r="E20"/>
      <c r="F20" s="276"/>
      <c r="G20" s="151" t="str">
        <f>IF(AND('Resample Data Summary'!C147="PASS",'Data - Sample Type 1'!FO101&lt;&gt;0),'Data - Sample Type 1'!FO101,"")</f>
        <v/>
      </c>
      <c r="H20" s="259"/>
      <c r="I20" s="102" t="str">
        <f>IF('Resample Data Summary'!C147="PASS",IF('Data - Sample Type 1'!AE101=0,"",'Data - Sample Type 1'!AE101),"")</f>
        <v/>
      </c>
      <c r="J20" s="259"/>
      <c r="K20" s="151" t="str">
        <f>IF(AND('Resample Data Summary'!C147="PASS",'Data - Sample Type 1'!FW101&lt;&gt;0),'Data - Sample Type 1'!FW101,"")</f>
        <v/>
      </c>
      <c r="L20" s="259"/>
      <c r="M20" s="191" t="str">
        <f>IF(AND('Resample Data Summary'!C147="PASS",K20&lt;&gt;""),'Data - Sample Type 1'!FX101,"")</f>
        <v/>
      </c>
      <c r="N20" s="264"/>
      <c r="O20" s="151" t="str">
        <f>IF(AND('Resample Data Summary'!C147="PASS",'Data - Sample Type 1'!GE101&lt;&gt;0),'Data - Sample Type 1'!GE101,"")</f>
        <v/>
      </c>
      <c r="P20" s="259"/>
      <c r="Q20" s="191" t="str">
        <f>IF(AND('Resample Data Summary'!C147="PASS",O20&lt;&gt;""),'Data - Sample Type 1'!GF101,"")</f>
        <v/>
      </c>
      <c r="R20" s="264"/>
      <c r="S20" s="151" t="str">
        <f>IF('Resample Data Summary'!C147="PASS",IF('Data - Sample Type 1'!BG101=0,"",'Data - Sample Type 1'!BG101),"")</f>
        <v/>
      </c>
      <c r="T20" s="259"/>
      <c r="U20" s="194" t="str">
        <f>IF(AND('Resample Data Summary'!C147="PASS",'Data - Sample Type 1'!GM101&lt;&gt;0),'Data - Sample Type 1'!GM101,"")</f>
        <v/>
      </c>
      <c r="V20" s="259"/>
      <c r="W20" s="151" t="str">
        <f>IF('Resample Data Summary'!C147="PASS",IF('Data - Sample Type 1'!BU101=0,"",'Data - Sample Type 1'!BU101),"")</f>
        <v/>
      </c>
      <c r="X20" s="259"/>
      <c r="Y20" s="151" t="str">
        <f>IF(AND('Resample Data Summary'!C147="PASS",'Data - Sample Type 1'!HC101&lt;&gt;0),'Data - Sample Type 1'!HC101,"")</f>
        <v/>
      </c>
      <c r="Z20" s="259"/>
      <c r="AA20" s="191" t="str">
        <f>IF(AND('Resample Data Summary'!C147="PASS",Y20&lt;&gt;""),'Data - Sample Type 1'!HD101,"")</f>
        <v/>
      </c>
      <c r="AB20" s="264"/>
      <c r="AC20" s="151" t="str">
        <f>IF(AND('Resample Data Summary'!C147="PASS",'Data - Sample Type 1'!HK101&lt;&gt;0),'Data - Sample Type 1'!HK101,"")</f>
        <v/>
      </c>
      <c r="AD20" s="259"/>
      <c r="AE20" s="191" t="str">
        <f>IF(AND('Resample Data Summary'!C147="PASS",AC20&lt;&gt;""),'Data - Sample Type 1'!HL101,"")</f>
        <v/>
      </c>
      <c r="AF20" s="264"/>
      <c r="AG20" s="151" t="str">
        <f>IF(AND('Resample Data Summary'!C147="PASS",'Data - Sample Type 1'!HS101&lt;&gt;0),'Data - Sample Type 1'!HS101,"")</f>
        <v/>
      </c>
      <c r="AH20" s="259"/>
      <c r="AI20" s="191" t="str">
        <f>IF(AND('Resample Data Summary'!C147="PASS",AG20&lt;&gt;""),'Data - Sample Type 1'!HT101,"")</f>
        <v/>
      </c>
      <c r="AJ20" s="264"/>
      <c r="AK20" s="194" t="str">
        <f>IF('Resample Data Summary'!C147="PASS",IF('Data - Sample Type 1'!DK101=0,"",'Data - Sample Type 1'!DK101),"")</f>
        <v/>
      </c>
      <c r="AL20" s="259"/>
      <c r="AM20" s="151" t="str">
        <f>IF('Resample Data Summary'!C147="PASS",IF('Data - Sample Type 1'!DY101=0,"",'Data - Sample Type 1'!DY101),"")</f>
        <v/>
      </c>
      <c r="AN20" s="259"/>
      <c r="AO20" s="151" t="str">
        <f>IF('Resample Data Summary'!C147="PASS",IF('Data - Sample Type 1'!EM101=0,"",'Data - Sample Type 1'!EM101),"")</f>
        <v/>
      </c>
      <c r="AP20" s="280"/>
      <c r="AS20" s="276"/>
      <c r="AT20" s="194" t="str">
        <f>IF(AND('Resample Data Summary'!C232="PASS",'Data - Sample Type 2'!IQ41&lt;&gt;0),'Data - Sample Type 2'!IQ41,"")</f>
        <v/>
      </c>
      <c r="AU20" s="259"/>
      <c r="AV20" s="151" t="str">
        <f>IF(AND('Resample Data Summary'!C232="PASS",'Data - Sample Type 2'!IY41&lt;&gt;0),'Data - Sample Type 2'!IY41,"")</f>
        <v/>
      </c>
      <c r="AW20" s="259"/>
      <c r="AX20" s="191" t="str">
        <f>IF(AND('Resample Data Summary'!C232="PASS",AV20&lt;&gt;""),'Data - Sample Type 2'!IZ41,"")</f>
        <v/>
      </c>
      <c r="AY20" s="264"/>
      <c r="AZ20" s="151" t="str">
        <f>IF(AND('Resample Data Summary'!C232="PASS",'Data - Sample Type 2'!JG41&lt;&gt;0),'Data - Sample Type 2'!JG41,"")</f>
        <v/>
      </c>
      <c r="BA20" s="259"/>
      <c r="BB20" s="191" t="str">
        <f>IF(AND('Resample Data Summary'!C232="PASS",AZ20&lt;&gt;""),'Data - Sample Type 2'!JH41,"")</f>
        <v/>
      </c>
      <c r="BC20" s="264"/>
      <c r="BD20" s="151" t="str">
        <f>IF('Resample Data Summary'!C232="PASS",IF('Data - Sample Type 2'!BG41=0,"",'Data - Sample Type 2'!BG41),"")</f>
        <v/>
      </c>
      <c r="BE20" s="259"/>
      <c r="BF20" s="194" t="str">
        <f>IF(AND('Resample Data Summary'!C232="PASS",'Data - Sample Type 2'!JO41&lt;&gt;0),'Data - Sample Type 2'!JO41,"")</f>
        <v/>
      </c>
      <c r="BG20" s="259"/>
      <c r="BH20" s="151" t="str">
        <f>IF(AND('Resample Data Summary'!C232="PASS",'Data - Sample Type 2'!HC41&lt;&gt;0),'Data - Sample Type 2'!HC41,"")</f>
        <v/>
      </c>
      <c r="BI20" s="259"/>
      <c r="BJ20" s="151" t="str">
        <f>IF(AND('Resample Data Summary'!C232="PASS",'Data - Sample Type 2'!LS41&lt;&gt;0),'Data - Sample Type 2'!LS41,"")</f>
        <v/>
      </c>
      <c r="BK20" s="259"/>
      <c r="BL20" s="191" t="str">
        <f>IF('Resample Data Summary'!C232="PASS",'Data - Sample Type 2'!LT41,"")</f>
        <v/>
      </c>
      <c r="BM20" s="264"/>
      <c r="BN20" s="194" t="str">
        <f>IF(AND('Resample Data Summary'!C232="PASS",'Data - Sample Type 2'!MI41&lt;&gt;0),'Data - Sample Type 2'!MI41,"")</f>
        <v/>
      </c>
      <c r="BO20" s="259"/>
      <c r="BP20" s="191" t="str">
        <f>IF(AND('Resample Data Summary'!C232="PASS",BN20&lt;&gt;""),'Data - Sample Type 2'!MJ41,"")</f>
        <v/>
      </c>
      <c r="BQ20" s="264"/>
      <c r="BR20" s="151" t="str">
        <f>IF('Resample Data Summary'!C232="PASS",IF('Data - Sample Type 2'!DY41=0,"",'Data - Sample Type 2'!DY41),"")</f>
        <v/>
      </c>
      <c r="BS20" s="259"/>
      <c r="BT20" s="151" t="str">
        <f>IF('Resample Data Summary'!C232="PASS",IF('Data - Sample Type 2'!EM41=0,"",'Data - Sample Type 2'!EM41),"")</f>
        <v/>
      </c>
      <c r="BU20" s="280"/>
    </row>
    <row r="21" spans="1:73" x14ac:dyDescent="0.2">
      <c r="A21" s="276"/>
      <c r="B21" s="151" t="str">
        <f>IF('Resample Data Summary'!C43="PASS",IF('Resample Data Summary'!A43="","",'Data - Sample Type 0'!Q122),"")</f>
        <v/>
      </c>
      <c r="C21" s="280"/>
      <c r="D21"/>
      <c r="E21"/>
      <c r="F21" s="276"/>
      <c r="G21" s="151" t="str">
        <f>IF(AND('Resample Data Summary'!C148="PASS",'Data - Sample Type 1'!FO102&lt;&gt;0),'Data - Sample Type 1'!FO102,"")</f>
        <v/>
      </c>
      <c r="H21" s="259"/>
      <c r="I21" s="102" t="str">
        <f>IF('Resample Data Summary'!C148="PASS",IF('Data - Sample Type 1'!AE102=0,"",'Data - Sample Type 1'!AE102),"")</f>
        <v/>
      </c>
      <c r="J21" s="259"/>
      <c r="K21" s="151" t="str">
        <f>IF(AND('Resample Data Summary'!C148="PASS",'Data - Sample Type 1'!FW102&lt;&gt;0),'Data - Sample Type 1'!FW102,"")</f>
        <v/>
      </c>
      <c r="L21" s="259"/>
      <c r="M21" s="191" t="str">
        <f>IF(AND('Resample Data Summary'!C148="PASS",K21&lt;&gt;""),'Data - Sample Type 1'!FX102,"")</f>
        <v/>
      </c>
      <c r="N21" s="264"/>
      <c r="O21" s="151" t="str">
        <f>IF(AND('Resample Data Summary'!C148="PASS",'Data - Sample Type 1'!GE102&lt;&gt;0),'Data - Sample Type 1'!GE102,"")</f>
        <v/>
      </c>
      <c r="P21" s="259"/>
      <c r="Q21" s="191" t="str">
        <f>IF(AND('Resample Data Summary'!C148="PASS",O21&lt;&gt;""),'Data - Sample Type 1'!GF102,"")</f>
        <v/>
      </c>
      <c r="R21" s="264"/>
      <c r="S21" s="151" t="str">
        <f>IF('Resample Data Summary'!C148="PASS",IF('Data - Sample Type 1'!BG102=0,"",'Data - Sample Type 1'!BG102),"")</f>
        <v/>
      </c>
      <c r="T21" s="259"/>
      <c r="U21" s="194" t="str">
        <f>IF(AND('Resample Data Summary'!C148="PASS",'Data - Sample Type 1'!GM102&lt;&gt;0),'Data - Sample Type 1'!GM102,"")</f>
        <v/>
      </c>
      <c r="V21" s="259"/>
      <c r="W21" s="151" t="str">
        <f>IF('Resample Data Summary'!C148="PASS",IF('Data - Sample Type 1'!BU102=0,"",'Data - Sample Type 1'!BU102),"")</f>
        <v/>
      </c>
      <c r="X21" s="259"/>
      <c r="Y21" s="151" t="str">
        <f>IF(AND('Resample Data Summary'!C148="PASS",'Data - Sample Type 1'!HC102&lt;&gt;0),'Data - Sample Type 1'!HC102,"")</f>
        <v/>
      </c>
      <c r="Z21" s="259"/>
      <c r="AA21" s="191" t="str">
        <f>IF(AND('Resample Data Summary'!C148="PASS",Y21&lt;&gt;""),'Data - Sample Type 1'!HD102,"")</f>
        <v/>
      </c>
      <c r="AB21" s="264"/>
      <c r="AC21" s="151" t="str">
        <f>IF(AND('Resample Data Summary'!C148="PASS",'Data - Sample Type 1'!HK102&lt;&gt;0),'Data - Sample Type 1'!HK102,"")</f>
        <v/>
      </c>
      <c r="AD21" s="259"/>
      <c r="AE21" s="191" t="str">
        <f>IF(AND('Resample Data Summary'!C148="PASS",AC21&lt;&gt;""),'Data - Sample Type 1'!HL102,"")</f>
        <v/>
      </c>
      <c r="AF21" s="264"/>
      <c r="AG21" s="151" t="str">
        <f>IF(AND('Resample Data Summary'!C148="PASS",'Data - Sample Type 1'!HS102&lt;&gt;0),'Data - Sample Type 1'!HS102,"")</f>
        <v/>
      </c>
      <c r="AH21" s="259"/>
      <c r="AI21" s="191" t="str">
        <f>IF(AND('Resample Data Summary'!C148="PASS",AG21&lt;&gt;""),'Data - Sample Type 1'!HT102,"")</f>
        <v/>
      </c>
      <c r="AJ21" s="264"/>
      <c r="AK21" s="194" t="str">
        <f>IF('Resample Data Summary'!C148="PASS",IF('Data - Sample Type 1'!DK102=0,"",'Data - Sample Type 1'!DK102),"")</f>
        <v/>
      </c>
      <c r="AL21" s="259"/>
      <c r="AM21" s="151" t="str">
        <f>IF('Resample Data Summary'!C148="PASS",IF('Data - Sample Type 1'!DY102=0,"",'Data - Sample Type 1'!DY102),"")</f>
        <v/>
      </c>
      <c r="AN21" s="259"/>
      <c r="AO21" s="151" t="str">
        <f>IF('Resample Data Summary'!C148="PASS",IF('Data - Sample Type 1'!EM102=0,"",'Data - Sample Type 1'!EM102),"")</f>
        <v/>
      </c>
      <c r="AP21" s="280"/>
      <c r="AS21" s="276"/>
      <c r="AT21" s="194" t="str">
        <f>IF(AND('Resample Data Summary'!C233="PASS",'Data - Sample Type 2'!IQ42&lt;&gt;0),'Data - Sample Type 2'!IQ42,"")</f>
        <v/>
      </c>
      <c r="AU21" s="259"/>
      <c r="AV21" s="151" t="str">
        <f>IF(AND('Resample Data Summary'!C233="PASS",'Data - Sample Type 2'!IY42&lt;&gt;0),'Data - Sample Type 2'!IY42,"")</f>
        <v/>
      </c>
      <c r="AW21" s="259"/>
      <c r="AX21" s="191" t="str">
        <f>IF(AND('Resample Data Summary'!C233="PASS",AV21&lt;&gt;""),'Data - Sample Type 2'!IZ42,"")</f>
        <v/>
      </c>
      <c r="AY21" s="264"/>
      <c r="AZ21" s="151" t="str">
        <f>IF(AND('Resample Data Summary'!C233="PASS",'Data - Sample Type 2'!JG42&lt;&gt;0),'Data - Sample Type 2'!JG42,"")</f>
        <v/>
      </c>
      <c r="BA21" s="259"/>
      <c r="BB21" s="191" t="str">
        <f>IF(AND('Resample Data Summary'!C233="PASS",AZ21&lt;&gt;""),'Data - Sample Type 2'!JH42,"")</f>
        <v/>
      </c>
      <c r="BC21" s="264"/>
      <c r="BD21" s="151" t="str">
        <f>IF('Resample Data Summary'!C233="PASS",IF('Data - Sample Type 2'!BG42=0,"",'Data - Sample Type 2'!BG42),"")</f>
        <v/>
      </c>
      <c r="BE21" s="259"/>
      <c r="BF21" s="194" t="str">
        <f>IF(AND('Resample Data Summary'!C233="PASS",'Data - Sample Type 2'!JO42&lt;&gt;0),'Data - Sample Type 2'!JO42,"")</f>
        <v/>
      </c>
      <c r="BG21" s="259"/>
      <c r="BH21" s="151" t="str">
        <f>IF(AND('Resample Data Summary'!C233="PASS",'Data - Sample Type 2'!HC42&lt;&gt;0),'Data - Sample Type 2'!HC42,"")</f>
        <v/>
      </c>
      <c r="BI21" s="259"/>
      <c r="BJ21" s="151" t="str">
        <f>IF(AND('Resample Data Summary'!C233="PASS",'Data - Sample Type 2'!LS42&lt;&gt;0),'Data - Sample Type 2'!LS42,"")</f>
        <v/>
      </c>
      <c r="BK21" s="259"/>
      <c r="BL21" s="191" t="str">
        <f>IF('Resample Data Summary'!C233="PASS",'Data - Sample Type 2'!LT42,"")</f>
        <v/>
      </c>
      <c r="BM21" s="264"/>
      <c r="BN21" s="194" t="str">
        <f>IF(AND('Resample Data Summary'!C233="PASS",'Data - Sample Type 2'!MI42&lt;&gt;0),'Data - Sample Type 2'!MI42,"")</f>
        <v/>
      </c>
      <c r="BO21" s="259"/>
      <c r="BP21" s="191" t="str">
        <f>IF(AND('Resample Data Summary'!C233="PASS",BN21&lt;&gt;""),'Data - Sample Type 2'!MJ42,"")</f>
        <v/>
      </c>
      <c r="BQ21" s="264"/>
      <c r="BR21" s="151" t="str">
        <f>IF('Resample Data Summary'!C233="PASS",IF('Data - Sample Type 2'!DY42=0,"",'Data - Sample Type 2'!DY42),"")</f>
        <v/>
      </c>
      <c r="BS21" s="259"/>
      <c r="BT21" s="151" t="str">
        <f>IF('Resample Data Summary'!C233="PASS",IF('Data - Sample Type 2'!EM42=0,"",'Data - Sample Type 2'!EM42),"")</f>
        <v/>
      </c>
      <c r="BU21" s="280"/>
    </row>
    <row r="22" spans="1:73" ht="14.1" customHeight="1" thickBot="1" x14ac:dyDescent="0.25">
      <c r="A22" s="278"/>
      <c r="B22" s="155" t="str">
        <f>IF('Resample Data Summary'!C44="PASS",IF('Resample Data Summary'!A44="","",'Data - Sample Type 0'!Q123),"")</f>
        <v/>
      </c>
      <c r="C22" s="389"/>
      <c r="D22"/>
      <c r="E22"/>
      <c r="F22" s="276"/>
      <c r="G22" s="151" t="str">
        <f>IF(AND('Resample Data Summary'!C149="PASS",'Data - Sample Type 1'!FO103&lt;&gt;0),'Data - Sample Type 1'!FO103,"")</f>
        <v/>
      </c>
      <c r="H22" s="259"/>
      <c r="I22" s="102" t="str">
        <f>IF('Resample Data Summary'!C149="PASS",IF('Data - Sample Type 1'!AE103=0,"",'Data - Sample Type 1'!AE103),"")</f>
        <v/>
      </c>
      <c r="J22" s="259"/>
      <c r="K22" s="151" t="str">
        <f>IF(AND('Resample Data Summary'!C149="PASS",'Data - Sample Type 1'!FW103&lt;&gt;0),'Data - Sample Type 1'!FW103,"")</f>
        <v/>
      </c>
      <c r="L22" s="259"/>
      <c r="M22" s="191" t="str">
        <f>IF(AND('Resample Data Summary'!C149="PASS",K22&lt;&gt;""),'Data - Sample Type 1'!FX103,"")</f>
        <v/>
      </c>
      <c r="N22" s="264"/>
      <c r="O22" s="151" t="str">
        <f>IF(AND('Resample Data Summary'!C149="PASS",'Data - Sample Type 1'!GE103&lt;&gt;0),'Data - Sample Type 1'!GE103,"")</f>
        <v/>
      </c>
      <c r="P22" s="259"/>
      <c r="Q22" s="191" t="str">
        <f>IF(AND('Resample Data Summary'!C149="PASS",O22&lt;&gt;""),'Data - Sample Type 1'!GF103,"")</f>
        <v/>
      </c>
      <c r="R22" s="264"/>
      <c r="S22" s="151" t="str">
        <f>IF('Resample Data Summary'!C149="PASS",IF('Data - Sample Type 1'!BG103=0,"",'Data - Sample Type 1'!BG103),"")</f>
        <v/>
      </c>
      <c r="T22" s="259"/>
      <c r="U22" s="194" t="str">
        <f>IF(AND('Resample Data Summary'!C149="PASS",'Data - Sample Type 1'!GM103&lt;&gt;0),'Data - Sample Type 1'!GM103,"")</f>
        <v/>
      </c>
      <c r="V22" s="259"/>
      <c r="W22" s="151" t="str">
        <f>IF('Resample Data Summary'!C149="PASS",IF('Data - Sample Type 1'!BU103=0,"",'Data - Sample Type 1'!BU103),"")</f>
        <v/>
      </c>
      <c r="X22" s="259"/>
      <c r="Y22" s="151" t="str">
        <f>IF(AND('Resample Data Summary'!C149="PASS",'Data - Sample Type 1'!HC103&lt;&gt;0),'Data - Sample Type 1'!HC103,"")</f>
        <v/>
      </c>
      <c r="Z22" s="259"/>
      <c r="AA22" s="191" t="str">
        <f>IF(AND('Resample Data Summary'!C149="PASS",Y22&lt;&gt;""),'Data - Sample Type 1'!HD103,"")</f>
        <v/>
      </c>
      <c r="AB22" s="264"/>
      <c r="AC22" s="151" t="str">
        <f>IF(AND('Resample Data Summary'!C149="PASS",'Data - Sample Type 1'!HK103&lt;&gt;0),'Data - Sample Type 1'!HK103,"")</f>
        <v/>
      </c>
      <c r="AD22" s="259"/>
      <c r="AE22" s="191" t="str">
        <f>IF(AND('Resample Data Summary'!C149="PASS",AC22&lt;&gt;""),'Data - Sample Type 1'!HL103,"")</f>
        <v/>
      </c>
      <c r="AF22" s="264"/>
      <c r="AG22" s="151" t="str">
        <f>IF(AND('Resample Data Summary'!C149="PASS",'Data - Sample Type 1'!HS103&lt;&gt;0),'Data - Sample Type 1'!HS103,"")</f>
        <v/>
      </c>
      <c r="AH22" s="259"/>
      <c r="AI22" s="191" t="str">
        <f>IF(AND('Resample Data Summary'!C149="PASS",AG22&lt;&gt;""),'Data - Sample Type 1'!HT103,"")</f>
        <v/>
      </c>
      <c r="AJ22" s="264"/>
      <c r="AK22" s="194" t="str">
        <f>IF('Resample Data Summary'!C149="PASS",IF('Data - Sample Type 1'!DK103=0,"",'Data - Sample Type 1'!DK103),"")</f>
        <v/>
      </c>
      <c r="AL22" s="259"/>
      <c r="AM22" s="151" t="str">
        <f>IF('Resample Data Summary'!C149="PASS",IF('Data - Sample Type 1'!DY103=0,"",'Data - Sample Type 1'!DY103),"")</f>
        <v/>
      </c>
      <c r="AN22" s="259"/>
      <c r="AO22" s="151" t="str">
        <f>IF('Resample Data Summary'!C149="PASS",IF('Data - Sample Type 1'!EM103=0,"",'Data - Sample Type 1'!EM103),"")</f>
        <v/>
      </c>
      <c r="AP22" s="280"/>
      <c r="AS22" s="278"/>
      <c r="AT22" s="197" t="str">
        <f>IF(AND('Resample Data Summary'!C234="PASS",'Data - Sample Type 2'!IQ43&lt;&gt;0),'Data - Sample Type 2'!IQ43,"")</f>
        <v/>
      </c>
      <c r="AU22" s="390"/>
      <c r="AV22" s="155" t="str">
        <f>IF(AND('Resample Data Summary'!C234="PASS",'Data - Sample Type 2'!IY43&lt;&gt;0),'Data - Sample Type 2'!IY43,"")</f>
        <v/>
      </c>
      <c r="AW22" s="390"/>
      <c r="AX22" s="193" t="str">
        <f>IF(AND('Resample Data Summary'!C234="PASS",AV22&lt;&gt;""),'Data - Sample Type 2'!IZ43,"")</f>
        <v/>
      </c>
      <c r="AY22" s="388"/>
      <c r="AZ22" s="155" t="str">
        <f>IF(AND('Resample Data Summary'!C234="PASS",'Data - Sample Type 2'!JG43&lt;&gt;0),'Data - Sample Type 2'!JG43,"")</f>
        <v/>
      </c>
      <c r="BA22" s="390"/>
      <c r="BB22" s="193" t="str">
        <f>IF(AND('Resample Data Summary'!C234="PASS",AZ22&lt;&gt;""),'Data - Sample Type 2'!JH43,"")</f>
        <v/>
      </c>
      <c r="BC22" s="388"/>
      <c r="BD22" s="155" t="str">
        <f>IF('Resample Data Summary'!C234="PASS",IF('Data - Sample Type 2'!BG43=0,"",'Data - Sample Type 2'!BG43),"")</f>
        <v/>
      </c>
      <c r="BE22" s="390"/>
      <c r="BF22" s="197" t="str">
        <f>IF(AND('Resample Data Summary'!C234="PASS",'Data - Sample Type 2'!JO43&lt;&gt;0),'Data - Sample Type 2'!JO43,"")</f>
        <v/>
      </c>
      <c r="BG22" s="390"/>
      <c r="BH22" s="155" t="str">
        <f>IF(AND('Resample Data Summary'!C234="PASS",'Data - Sample Type 2'!HC43&lt;&gt;0),'Data - Sample Type 2'!HC43,"")</f>
        <v/>
      </c>
      <c r="BI22" s="390"/>
      <c r="BJ22" s="155" t="str">
        <f>IF(AND('Resample Data Summary'!C234="PASS",'Data - Sample Type 2'!LS43&lt;&gt;0),'Data - Sample Type 2'!LS43,"")</f>
        <v/>
      </c>
      <c r="BK22" s="390"/>
      <c r="BL22" s="193" t="str">
        <f>IF('Resample Data Summary'!C234="PASS",'Data - Sample Type 2'!LT43,"")</f>
        <v/>
      </c>
      <c r="BM22" s="388"/>
      <c r="BN22" s="197" t="str">
        <f>IF(AND('Resample Data Summary'!C234="PASS",'Data - Sample Type 2'!MI43&lt;&gt;0),'Data - Sample Type 2'!MI43,"")</f>
        <v/>
      </c>
      <c r="BO22" s="390"/>
      <c r="BP22" s="193" t="str">
        <f>IF(AND('Resample Data Summary'!C234="PASS",BN22&lt;&gt;""),'Data - Sample Type 2'!MJ43,"")</f>
        <v/>
      </c>
      <c r="BQ22" s="388"/>
      <c r="BR22" s="155" t="str">
        <f>IF('Resample Data Summary'!C234="PASS",IF('Data - Sample Type 2'!DY43=0,"",'Data - Sample Type 2'!DY43),"")</f>
        <v/>
      </c>
      <c r="BS22" s="390"/>
      <c r="BT22" s="155" t="str">
        <f>IF('Resample Data Summary'!C234="PASS",IF('Data - Sample Type 2'!EM43=0,"",'Data - Sample Type 2'!EM43),"")</f>
        <v/>
      </c>
      <c r="BU22" s="389"/>
    </row>
    <row r="23" spans="1:73" x14ac:dyDescent="0.2">
      <c r="A23" s="275">
        <v>3</v>
      </c>
      <c r="B23" s="154" t="str">
        <f>IF('Resample Data Summary'!C45="PASS",IF('Resample Data Summary'!A45="","",'Data - Sample Type 0'!Q124),"")</f>
        <v/>
      </c>
      <c r="C23" s="279" t="e">
        <f t="shared" ref="C23" si="37">AVERAGE(B23:B32)</f>
        <v>#DIV/0!</v>
      </c>
      <c r="D23"/>
      <c r="E23"/>
      <c r="F23" s="276"/>
      <c r="G23" s="151" t="str">
        <f>IF(AND('Resample Data Summary'!C150="PASS",'Data - Sample Type 1'!FO104&lt;&gt;0),'Data - Sample Type 1'!FO104,"")</f>
        <v/>
      </c>
      <c r="H23" s="259" t="e">
        <f>IF(AND(H19&gt;=Specifications!$C$21,H19&lt;=Specifications!$D$21),"PASS","FAIL")</f>
        <v>#DIV/0!</v>
      </c>
      <c r="I23" s="102" t="str">
        <f>IF('Resample Data Summary'!C150="PASS",IF('Data - Sample Type 1'!AE104=0,"",'Data - Sample Type 1'!AE104),"")</f>
        <v/>
      </c>
      <c r="J23" s="259" t="e">
        <f>IF(J19&lt;=Specifications!D$22,"PASS","FAIL")</f>
        <v>#DIV/0!</v>
      </c>
      <c r="K23" s="151" t="str">
        <f>IF(AND('Resample Data Summary'!C150="PASS",'Data - Sample Type 1'!FW104&lt;&gt;0),'Data - Sample Type 1'!FW104,"")</f>
        <v/>
      </c>
      <c r="L23" s="259" t="e">
        <f>IF(AND(L19&gt;=Specifications!$C$23,L19&lt;=Specifications!$D$23),"PASS","FAIL")</f>
        <v>#DIV/0!</v>
      </c>
      <c r="M23" s="191" t="str">
        <f>IF(AND('Resample Data Summary'!C150="PASS",K23&lt;&gt;""),'Data - Sample Type 1'!FX104,"")</f>
        <v/>
      </c>
      <c r="N23" s="391" t="s">
        <v>510</v>
      </c>
      <c r="O23" s="151" t="str">
        <f>IF(AND('Resample Data Summary'!C150="PASS",'Data - Sample Type 1'!GE104&lt;&gt;0),'Data - Sample Type 1'!GE104,"")</f>
        <v/>
      </c>
      <c r="P23" s="259" t="e">
        <f>IF(AND(P19&gt;=Specifications!$C$25,P19&lt;=Specifications!$D$25),"PASS","FAIL")</f>
        <v>#DIV/0!</v>
      </c>
      <c r="Q23" s="191" t="str">
        <f>IF(AND('Resample Data Summary'!C150="PASS",O23&lt;&gt;""),'Data - Sample Type 1'!GF104,"")</f>
        <v/>
      </c>
      <c r="R23" s="391" t="s">
        <v>510</v>
      </c>
      <c r="S23" s="151" t="str">
        <f>IF('Resample Data Summary'!C150="PASS",IF('Data - Sample Type 1'!BG104=0,"",'Data - Sample Type 1'!BG104),"")</f>
        <v/>
      </c>
      <c r="T23" s="259" t="e">
        <f>IF(T19&lt;=Specifications!D$27,"PASS","FAIL")</f>
        <v>#DIV/0!</v>
      </c>
      <c r="U23" s="194" t="str">
        <f>IF(AND('Resample Data Summary'!C150="PASS",'Data - Sample Type 1'!GM104&lt;&gt;0),'Data - Sample Type 1'!GM104,"")</f>
        <v/>
      </c>
      <c r="V23" s="259" t="e">
        <f>IF(AND(V19&gt;=Specifications!$C$28,V19&lt;=Specifications!$D$28),"PASS","FAIL")</f>
        <v>#DIV/0!</v>
      </c>
      <c r="W23" s="151" t="str">
        <f>IF('Resample Data Summary'!C150="PASS",IF('Data - Sample Type 1'!BU104=0,"",'Data - Sample Type 1'!BU104),"")</f>
        <v/>
      </c>
      <c r="X23" s="394" t="s">
        <v>510</v>
      </c>
      <c r="Y23" s="151" t="str">
        <f>IF(AND('Resample Data Summary'!C150="PASS",'Data - Sample Type 1'!HC104&lt;&gt;0),'Data - Sample Type 1'!HC104,"")</f>
        <v/>
      </c>
      <c r="Z23" s="259" t="e">
        <f>IF(AND(Z19&gt;=Specifications!$C$31,Z19&lt;=Specifications!$D$31),"PASS","FAIL")</f>
        <v>#DIV/0!</v>
      </c>
      <c r="AA23" s="191" t="str">
        <f>IF(AND('Resample Data Summary'!C150="PASS",Y23&lt;&gt;""),'Data - Sample Type 1'!HD104,"")</f>
        <v/>
      </c>
      <c r="AB23" s="391" t="s">
        <v>510</v>
      </c>
      <c r="AC23" s="151" t="str">
        <f>IF(AND('Resample Data Summary'!C150="PASS",'Data - Sample Type 1'!HK104&lt;&gt;0),'Data - Sample Type 1'!HK104,"")</f>
        <v/>
      </c>
      <c r="AD23" s="259" t="e">
        <f>IF(AND(AD19&gt;=Specifications!$C$33,AD19&lt;=Specifications!$D$33),"PASS","FAIL")</f>
        <v>#DIV/0!</v>
      </c>
      <c r="AE23" s="191" t="str">
        <f>IF(AND('Resample Data Summary'!C150="PASS",AC23&lt;&gt;""),'Data - Sample Type 1'!HL104,"")</f>
        <v/>
      </c>
      <c r="AF23" s="391" t="s">
        <v>510</v>
      </c>
      <c r="AG23" s="151" t="str">
        <f>IF(AND('Resample Data Summary'!C150="PASS",'Data - Sample Type 1'!HS104&lt;&gt;0),'Data - Sample Type 1'!HS104,"")</f>
        <v/>
      </c>
      <c r="AH23" s="259" t="e">
        <f>IF(AND(AH19&gt;=Specifications!$C$35,AH19&lt;=Specifications!$D$35),"PASS","FAIL")</f>
        <v>#DIV/0!</v>
      </c>
      <c r="AI23" s="191" t="str">
        <f>IF(AND('Resample Data Summary'!C150="PASS",AG23&lt;&gt;""),'Data - Sample Type 1'!HT104,"")</f>
        <v/>
      </c>
      <c r="AJ23" s="391" t="s">
        <v>510</v>
      </c>
      <c r="AK23" s="194" t="str">
        <f>IF('Resample Data Summary'!C150="PASS",IF('Data - Sample Type 1'!DK104=0,"",'Data - Sample Type 1'!DK104),"")</f>
        <v/>
      </c>
      <c r="AL23" s="259" t="e">
        <f>IF(AL19&lt;=Specifications!$D$37,"PASS","FAIL")</f>
        <v>#DIV/0!</v>
      </c>
      <c r="AM23" s="151" t="str">
        <f>IF('Resample Data Summary'!C150="PASS",IF('Data - Sample Type 1'!DY104=0,"",'Data - Sample Type 1'!DY104),"")</f>
        <v/>
      </c>
      <c r="AN23" s="259" t="e">
        <f>IF(AN19&lt;=Specifications!$D$38,"PASS","FAIL")</f>
        <v>#DIV/0!</v>
      </c>
      <c r="AO23" s="151" t="str">
        <f>IF('Resample Data Summary'!C150="PASS",IF('Data - Sample Type 1'!EM104=0,"",'Data - Sample Type 1'!EM104),"")</f>
        <v/>
      </c>
      <c r="AP23" s="280" t="e">
        <f>IF(AP19&lt;=Specifications!$D$39,"PASS","FAIL")</f>
        <v>#DIV/0!</v>
      </c>
      <c r="AS23" s="65"/>
    </row>
    <row r="24" spans="1:73" ht="13.35" customHeight="1" x14ac:dyDescent="0.2">
      <c r="A24" s="276"/>
      <c r="B24" s="151" t="str">
        <f>IF('Resample Data Summary'!C46="PASS",IF('Resample Data Summary'!A46="","",'Data - Sample Type 0'!Q125),"")</f>
        <v/>
      </c>
      <c r="C24" s="280"/>
      <c r="D24"/>
      <c r="E24"/>
      <c r="F24" s="276"/>
      <c r="G24" s="151" t="str">
        <f>IF(AND('Resample Data Summary'!C151="PASS",'Data - Sample Type 1'!FO105&lt;&gt;0),'Data - Sample Type 1'!FO105,"")</f>
        <v/>
      </c>
      <c r="H24" s="259"/>
      <c r="I24" s="102" t="str">
        <f>IF('Resample Data Summary'!C151="PASS",IF('Data - Sample Type 1'!AE105=0,"",'Data - Sample Type 1'!AE105),"")</f>
        <v/>
      </c>
      <c r="J24" s="259"/>
      <c r="K24" s="151" t="str">
        <f>IF(AND('Resample Data Summary'!C151="PASS",'Data - Sample Type 1'!FW105&lt;&gt;0),'Data - Sample Type 1'!FW105,"")</f>
        <v/>
      </c>
      <c r="L24" s="259"/>
      <c r="M24" s="191" t="str">
        <f>IF(AND('Resample Data Summary'!C151="PASS",K24&lt;&gt;""),'Data - Sample Type 1'!FX105,"")</f>
        <v/>
      </c>
      <c r="N24" s="264"/>
      <c r="O24" s="151" t="str">
        <f>IF(AND('Resample Data Summary'!C151="PASS",'Data - Sample Type 1'!GE105&lt;&gt;0),'Data - Sample Type 1'!GE105,"")</f>
        <v/>
      </c>
      <c r="P24" s="259"/>
      <c r="Q24" s="191" t="str">
        <f>IF(AND('Resample Data Summary'!C151="PASS",O24&lt;&gt;""),'Data - Sample Type 1'!GF105,"")</f>
        <v/>
      </c>
      <c r="R24" s="264"/>
      <c r="S24" s="151" t="str">
        <f>IF('Resample Data Summary'!C151="PASS",IF('Data - Sample Type 1'!BG105=0,"",'Data - Sample Type 1'!BG105),"")</f>
        <v/>
      </c>
      <c r="T24" s="259"/>
      <c r="U24" s="194" t="str">
        <f>IF(AND('Resample Data Summary'!C151="PASS",'Data - Sample Type 1'!GM105&lt;&gt;0),'Data - Sample Type 1'!GM105,"")</f>
        <v/>
      </c>
      <c r="V24" s="259"/>
      <c r="W24" s="151" t="str">
        <f>IF('Resample Data Summary'!C151="PASS",IF('Data - Sample Type 1'!BU105=0,"",'Data - Sample Type 1'!BU105),"")</f>
        <v/>
      </c>
      <c r="X24" s="259"/>
      <c r="Y24" s="151" t="str">
        <f>IF(AND('Resample Data Summary'!C151="PASS",'Data - Sample Type 1'!HC105&lt;&gt;0),'Data - Sample Type 1'!HC105,"")</f>
        <v/>
      </c>
      <c r="Z24" s="259"/>
      <c r="AA24" s="191" t="str">
        <f>IF(AND('Resample Data Summary'!C151="PASS",Y24&lt;&gt;""),'Data - Sample Type 1'!HD105,"")</f>
        <v/>
      </c>
      <c r="AB24" s="264"/>
      <c r="AC24" s="151" t="str">
        <f>IF(AND('Resample Data Summary'!C151="PASS",'Data - Sample Type 1'!HK105&lt;&gt;0),'Data - Sample Type 1'!HK105,"")</f>
        <v/>
      </c>
      <c r="AD24" s="259"/>
      <c r="AE24" s="191" t="str">
        <f>IF(AND('Resample Data Summary'!C151="PASS",AC24&lt;&gt;""),'Data - Sample Type 1'!HL105,"")</f>
        <v/>
      </c>
      <c r="AF24" s="264"/>
      <c r="AG24" s="151" t="str">
        <f>IF(AND('Resample Data Summary'!C151="PASS",'Data - Sample Type 1'!HS105&lt;&gt;0),'Data - Sample Type 1'!HS105,"")</f>
        <v/>
      </c>
      <c r="AH24" s="259"/>
      <c r="AI24" s="191" t="str">
        <f>IF(AND('Resample Data Summary'!C151="PASS",AG24&lt;&gt;""),'Data - Sample Type 1'!HT105,"")</f>
        <v/>
      </c>
      <c r="AJ24" s="264"/>
      <c r="AK24" s="194" t="str">
        <f>IF('Resample Data Summary'!C151="PASS",IF('Data - Sample Type 1'!DK105=0,"",'Data - Sample Type 1'!DK105),"")</f>
        <v/>
      </c>
      <c r="AL24" s="259"/>
      <c r="AM24" s="151" t="str">
        <f>IF('Resample Data Summary'!C151="PASS",IF('Data - Sample Type 1'!DY105=0,"",'Data - Sample Type 1'!DY105),"")</f>
        <v/>
      </c>
      <c r="AN24" s="259"/>
      <c r="AO24" s="151" t="str">
        <f>IF('Resample Data Summary'!C151="PASS",IF('Data - Sample Type 1'!EM105=0,"",'Data - Sample Type 1'!EM105),"")</f>
        <v/>
      </c>
      <c r="AP24" s="280"/>
      <c r="AS24" s="65"/>
      <c r="AU24" s="257"/>
      <c r="AW24" s="257"/>
      <c r="AY24" s="257"/>
      <c r="BA24" s="257"/>
      <c r="BC24" s="257"/>
      <c r="BE24" s="257"/>
      <c r="BG24" s="257"/>
      <c r="BI24" s="257"/>
      <c r="BK24" s="257"/>
      <c r="BM24" s="257"/>
      <c r="BO24" s="257"/>
      <c r="BQ24" s="257"/>
      <c r="BS24" s="257"/>
      <c r="BU24" s="257"/>
    </row>
    <row r="25" spans="1:73" ht="14.1" customHeight="1" x14ac:dyDescent="0.2">
      <c r="A25" s="276">
        <v>3</v>
      </c>
      <c r="B25" s="151" t="str">
        <f>IF('Resample Data Summary'!C47="PASS",IF('Resample Data Summary'!A47="","",'Data - Sample Type 0'!Q126),"")</f>
        <v/>
      </c>
      <c r="C25" s="280"/>
      <c r="D25"/>
      <c r="E25"/>
      <c r="F25" s="276"/>
      <c r="G25" s="151" t="str">
        <f>IF(AND('Resample Data Summary'!C152="PASS",'Data - Sample Type 1'!FO106&lt;&gt;0),'Data - Sample Type 1'!FO106,"")</f>
        <v/>
      </c>
      <c r="H25" s="259"/>
      <c r="I25" s="102" t="str">
        <f>IF('Resample Data Summary'!C152="PASS",IF('Data - Sample Type 1'!AE106=0,"",'Data - Sample Type 1'!AE106),"")</f>
        <v/>
      </c>
      <c r="J25" s="259"/>
      <c r="K25" s="151" t="str">
        <f>IF(AND('Resample Data Summary'!C152="PASS",'Data - Sample Type 1'!FW106&lt;&gt;0),'Data - Sample Type 1'!FW106,"")</f>
        <v/>
      </c>
      <c r="L25" s="259"/>
      <c r="M25" s="191" t="str">
        <f>IF(AND('Resample Data Summary'!C152="PASS",K25&lt;&gt;""),'Data - Sample Type 1'!FX106,"")</f>
        <v/>
      </c>
      <c r="N25" s="264"/>
      <c r="O25" s="151" t="str">
        <f>IF(AND('Resample Data Summary'!C152="PASS",'Data - Sample Type 1'!GE106&lt;&gt;0),'Data - Sample Type 1'!GE106,"")</f>
        <v/>
      </c>
      <c r="P25" s="259"/>
      <c r="Q25" s="191" t="str">
        <f>IF(AND('Resample Data Summary'!C152="PASS",O25&lt;&gt;""),'Data - Sample Type 1'!GF106,"")</f>
        <v/>
      </c>
      <c r="R25" s="264"/>
      <c r="S25" s="151" t="str">
        <f>IF('Resample Data Summary'!C152="PASS",IF('Data - Sample Type 1'!BG106=0,"",'Data - Sample Type 1'!BG106),"")</f>
        <v/>
      </c>
      <c r="T25" s="259"/>
      <c r="U25" s="194" t="str">
        <f>IF(AND('Resample Data Summary'!C152="PASS",'Data - Sample Type 1'!GM106&lt;&gt;0),'Data - Sample Type 1'!GM106,"")</f>
        <v/>
      </c>
      <c r="V25" s="259"/>
      <c r="W25" s="151" t="str">
        <f>IF('Resample Data Summary'!C152="PASS",IF('Data - Sample Type 1'!BU106=0,"",'Data - Sample Type 1'!BU106),"")</f>
        <v/>
      </c>
      <c r="X25" s="259"/>
      <c r="Y25" s="151" t="str">
        <f>IF(AND('Resample Data Summary'!C152="PASS",'Data - Sample Type 1'!HC106&lt;&gt;0),'Data - Sample Type 1'!HC106,"")</f>
        <v/>
      </c>
      <c r="Z25" s="259"/>
      <c r="AA25" s="191" t="str">
        <f>IF(AND('Resample Data Summary'!C152="PASS",Y25&lt;&gt;""),'Data - Sample Type 1'!HD106,"")</f>
        <v/>
      </c>
      <c r="AB25" s="264"/>
      <c r="AC25" s="151" t="str">
        <f>IF(AND('Resample Data Summary'!C152="PASS",'Data - Sample Type 1'!HK106&lt;&gt;0),'Data - Sample Type 1'!HK106,"")</f>
        <v/>
      </c>
      <c r="AD25" s="259"/>
      <c r="AE25" s="191" t="str">
        <f>IF(AND('Resample Data Summary'!C152="PASS",AC25&lt;&gt;""),'Data - Sample Type 1'!HL106,"")</f>
        <v/>
      </c>
      <c r="AF25" s="264"/>
      <c r="AG25" s="151" t="str">
        <f>IF(AND('Resample Data Summary'!C152="PASS",'Data - Sample Type 1'!HS106&lt;&gt;0),'Data - Sample Type 1'!HS106,"")</f>
        <v/>
      </c>
      <c r="AH25" s="259"/>
      <c r="AI25" s="191" t="str">
        <f>IF(AND('Resample Data Summary'!C152="PASS",AG25&lt;&gt;""),'Data - Sample Type 1'!HT106,"")</f>
        <v/>
      </c>
      <c r="AJ25" s="264"/>
      <c r="AK25" s="194" t="str">
        <f>IF('Resample Data Summary'!C152="PASS",IF('Data - Sample Type 1'!DK106=0,"",'Data - Sample Type 1'!DK106),"")</f>
        <v/>
      </c>
      <c r="AL25" s="259"/>
      <c r="AM25" s="151" t="str">
        <f>IF('Resample Data Summary'!C152="PASS",IF('Data - Sample Type 1'!DY106=0,"",'Data - Sample Type 1'!DY106),"")</f>
        <v/>
      </c>
      <c r="AN25" s="259"/>
      <c r="AO25" s="151" t="str">
        <f>IF('Resample Data Summary'!C152="PASS",IF('Data - Sample Type 1'!EM106=0,"",'Data - Sample Type 1'!EM106),"")</f>
        <v/>
      </c>
      <c r="AP25" s="280"/>
      <c r="AS25" s="65"/>
      <c r="AU25" s="257"/>
      <c r="AW25" s="257"/>
      <c r="AY25" s="257"/>
      <c r="BA25" s="257"/>
      <c r="BC25" s="257"/>
      <c r="BE25" s="257"/>
      <c r="BG25" s="257"/>
      <c r="BI25" s="257"/>
      <c r="BK25" s="257"/>
      <c r="BM25" s="257"/>
      <c r="BO25" s="257"/>
      <c r="BQ25" s="257"/>
      <c r="BS25" s="257"/>
      <c r="BU25" s="257"/>
    </row>
    <row r="26" spans="1:73" ht="13.5" thickBot="1" x14ac:dyDescent="0.25">
      <c r="A26" s="276"/>
      <c r="B26" s="151" t="str">
        <f>IF('Resample Data Summary'!C48="PASS",IF('Resample Data Summary'!A48="","",'Data - Sample Type 0'!Q127),"")</f>
        <v/>
      </c>
      <c r="C26" s="280"/>
      <c r="D26"/>
      <c r="E26"/>
      <c r="F26" s="278"/>
      <c r="G26" s="155" t="str">
        <f>IF(AND('Resample Data Summary'!C153="PASS",'Data - Sample Type 1'!FO107&lt;&gt;0),'Data - Sample Type 1'!FO107,"")</f>
        <v/>
      </c>
      <c r="H26" s="393"/>
      <c r="I26" s="171" t="str">
        <f>IF('Resample Data Summary'!C153="PASS",IF('Data - Sample Type 1'!AE107=0,"",'Data - Sample Type 1'!AE107),"")</f>
        <v/>
      </c>
      <c r="J26" s="393"/>
      <c r="K26" s="155" t="str">
        <f>IF(AND('Resample Data Summary'!C153="PASS",'Data - Sample Type 1'!FW107&lt;&gt;0),'Data - Sample Type 1'!FW107,"")</f>
        <v/>
      </c>
      <c r="L26" s="393"/>
      <c r="M26" s="193" t="str">
        <f>IF(AND('Resample Data Summary'!C153="PASS",K26&lt;&gt;""),'Data - Sample Type 1'!FX107,"")</f>
        <v/>
      </c>
      <c r="N26" s="392"/>
      <c r="O26" s="155" t="str">
        <f>IF(AND('Resample Data Summary'!C153="PASS",'Data - Sample Type 1'!GE107&lt;&gt;0),'Data - Sample Type 1'!GE107,"")</f>
        <v/>
      </c>
      <c r="P26" s="393"/>
      <c r="Q26" s="193" t="str">
        <f>IF(AND('Resample Data Summary'!C153="PASS",O26&lt;&gt;""),'Data - Sample Type 1'!GF107,"")</f>
        <v/>
      </c>
      <c r="R26" s="392"/>
      <c r="S26" s="155" t="str">
        <f>IF('Resample Data Summary'!C153="PASS",IF('Data - Sample Type 1'!BG107=0,"",'Data - Sample Type 1'!BG107),"")</f>
        <v/>
      </c>
      <c r="T26" s="393"/>
      <c r="U26" s="197" t="str">
        <f>IF(AND('Resample Data Summary'!C153="PASS",'Data - Sample Type 1'!GM107&lt;&gt;0),'Data - Sample Type 1'!GM107,"")</f>
        <v/>
      </c>
      <c r="V26" s="393"/>
      <c r="W26" s="155" t="str">
        <f>IF('Resample Data Summary'!C153="PASS",IF('Data - Sample Type 1'!BU107=0,"",'Data - Sample Type 1'!BU107),"")</f>
        <v/>
      </c>
      <c r="X26" s="393"/>
      <c r="Y26" s="155" t="str">
        <f>IF(AND('Resample Data Summary'!C153="PASS",'Data - Sample Type 1'!HC107&lt;&gt;0),'Data - Sample Type 1'!HC107,"")</f>
        <v/>
      </c>
      <c r="Z26" s="393"/>
      <c r="AA26" s="193" t="str">
        <f>IF(AND('Resample Data Summary'!C153="PASS",Y26&lt;&gt;""),'Data - Sample Type 1'!HD107,"")</f>
        <v/>
      </c>
      <c r="AB26" s="392"/>
      <c r="AC26" s="155" t="str">
        <f>IF(AND('Resample Data Summary'!C153="PASS",'Data - Sample Type 1'!HK107&lt;&gt;0),'Data - Sample Type 1'!HK107,"")</f>
        <v/>
      </c>
      <c r="AD26" s="393"/>
      <c r="AE26" s="193" t="str">
        <f>IF(AND('Resample Data Summary'!C153="PASS",AC26&lt;&gt;""),'Data - Sample Type 1'!HL107,"")</f>
        <v/>
      </c>
      <c r="AF26" s="392"/>
      <c r="AG26" s="155" t="str">
        <f>IF(AND('Resample Data Summary'!C153="PASS",'Data - Sample Type 1'!HS107&lt;&gt;0),'Data - Sample Type 1'!HS107,"")</f>
        <v/>
      </c>
      <c r="AH26" s="393"/>
      <c r="AI26" s="193" t="str">
        <f>IF(AND('Resample Data Summary'!C153="PASS",AG26&lt;&gt;""),'Data - Sample Type 1'!HT107,"")</f>
        <v/>
      </c>
      <c r="AJ26" s="392"/>
      <c r="AK26" s="197" t="str">
        <f>IF('Resample Data Summary'!C153="PASS",IF('Data - Sample Type 1'!DK107=0,"",'Data - Sample Type 1'!DK107),"")</f>
        <v/>
      </c>
      <c r="AL26" s="393"/>
      <c r="AM26" s="155" t="str">
        <f>IF('Resample Data Summary'!C153="PASS",IF('Data - Sample Type 1'!DY107=0,"",'Data - Sample Type 1'!DY107),"")</f>
        <v/>
      </c>
      <c r="AN26" s="393"/>
      <c r="AO26" s="155" t="str">
        <f>IF('Resample Data Summary'!C153="PASS",IF('Data - Sample Type 1'!EM107=0,"",'Data - Sample Type 1'!EM107),"")</f>
        <v/>
      </c>
      <c r="AP26" s="395"/>
      <c r="AS26" s="65"/>
      <c r="AU26" s="257"/>
      <c r="AW26" s="257"/>
      <c r="AY26" s="257"/>
      <c r="BA26" s="257"/>
      <c r="BC26" s="257"/>
      <c r="BE26" s="257"/>
      <c r="BG26" s="257"/>
      <c r="BI26" s="257"/>
      <c r="BK26" s="257"/>
      <c r="BM26" s="257"/>
      <c r="BO26" s="257"/>
      <c r="BQ26" s="257"/>
      <c r="BS26" s="257"/>
      <c r="BU26" s="257"/>
    </row>
    <row r="27" spans="1:73" x14ac:dyDescent="0.2">
      <c r="A27" s="276"/>
      <c r="B27" s="151" t="str">
        <f>IF('Resample Data Summary'!C49="PASS",IF('Resample Data Summary'!A49="","",'Data - Sample Type 0'!Q128),"")</f>
        <v/>
      </c>
      <c r="C27" s="280"/>
      <c r="D27"/>
      <c r="E27"/>
      <c r="F27" s="275">
        <v>4</v>
      </c>
      <c r="G27" s="154" t="str">
        <f>IF(AND('Resample Data Summary'!C154="PASS",'Data - Sample Type 1'!FO108&lt;&gt;0),'Data - Sample Type 1'!FO108,"")</f>
        <v/>
      </c>
      <c r="H27" s="258" t="e">
        <f t="shared" ref="H27" si="38">AVERAGE(G27:G34)</f>
        <v>#DIV/0!</v>
      </c>
      <c r="I27" s="170" t="str">
        <f>IF('Resample Data Summary'!C154="PASS",IF('Data - Sample Type 1'!AE108=0,"",'Data - Sample Type 1'!AE108),"")</f>
        <v/>
      </c>
      <c r="J27" s="258" t="e">
        <f t="shared" ref="J27" si="39">AVERAGE(I27:I34)</f>
        <v>#DIV/0!</v>
      </c>
      <c r="K27" s="154" t="str">
        <f>IF(AND('Resample Data Summary'!C154="PASS",'Data - Sample Type 1'!FW108&lt;&gt;0),'Data - Sample Type 1'!FW108,"")</f>
        <v/>
      </c>
      <c r="L27" s="258" t="e">
        <f t="shared" ref="L27" si="40">AVERAGE(K27:K34)</f>
        <v>#DIV/0!</v>
      </c>
      <c r="M27" s="190" t="str">
        <f>IF(AND('Resample Data Summary'!C154="PASS",K27&lt;&gt;""),'Data - Sample Type 1'!FX108,"")</f>
        <v/>
      </c>
      <c r="N27" s="263" t="e">
        <f t="shared" ref="N27" si="41">AVERAGE(M27:M34)</f>
        <v>#DIV/0!</v>
      </c>
      <c r="O27" s="154" t="str">
        <f>IF(AND('Resample Data Summary'!C154="PASS",'Data - Sample Type 1'!GE108&lt;&gt;0),'Data - Sample Type 1'!GE108,"")</f>
        <v/>
      </c>
      <c r="P27" s="258" t="e">
        <f t="shared" ref="P27" si="42">AVERAGE(O27:O34)</f>
        <v>#DIV/0!</v>
      </c>
      <c r="Q27" s="190" t="str">
        <f>IF(AND('Resample Data Summary'!C154="PASS",O27&lt;&gt;""),'Data - Sample Type 1'!GF108,"")</f>
        <v/>
      </c>
      <c r="R27" s="263" t="e">
        <f t="shared" ref="R27" si="43">AVERAGE(Q27:Q34)</f>
        <v>#DIV/0!</v>
      </c>
      <c r="S27" s="154" t="str">
        <f>IF('Resample Data Summary'!C154="PASS",IF('Data - Sample Type 1'!BG108=0,"",'Data - Sample Type 1'!BG108),"")</f>
        <v/>
      </c>
      <c r="T27" s="258" t="e">
        <f t="shared" ref="T27" si="44">AVERAGE(S27:S34)</f>
        <v>#DIV/0!</v>
      </c>
      <c r="U27" s="196" t="str">
        <f>IF(AND('Resample Data Summary'!C154="PASS",'Data - Sample Type 1'!GM108&lt;&gt;0),'Data - Sample Type 1'!GM108,"")</f>
        <v/>
      </c>
      <c r="V27" s="258" t="e">
        <f t="shared" ref="V27" si="45">AVERAGE(U27:U34)</f>
        <v>#DIV/0!</v>
      </c>
      <c r="W27" s="154" t="str">
        <f>IF('Resample Data Summary'!C154="PASS",IF('Data - Sample Type 1'!BU108=0,"",'Data - Sample Type 1'!BU108),"")</f>
        <v/>
      </c>
      <c r="X27" s="258" t="e">
        <f t="shared" ref="X27" si="46">AVERAGE(W27:W34)</f>
        <v>#DIV/0!</v>
      </c>
      <c r="Y27" s="154" t="str">
        <f>IF(AND('Resample Data Summary'!C154="PASS",'Data - Sample Type 1'!HC108&lt;&gt;0),'Data - Sample Type 1'!HC108,"")</f>
        <v/>
      </c>
      <c r="Z27" s="258" t="e">
        <f t="shared" ref="Z27" si="47">AVERAGE(Y27:Y34)</f>
        <v>#DIV/0!</v>
      </c>
      <c r="AA27" s="190" t="str">
        <f>IF(AND('Resample Data Summary'!C154="PASS",Y27&lt;&gt;""),'Data - Sample Type 1'!HD108,"")</f>
        <v/>
      </c>
      <c r="AB27" s="263" t="e">
        <f t="shared" ref="AB27" si="48">AVERAGE(AA27:AA34)</f>
        <v>#DIV/0!</v>
      </c>
      <c r="AC27" s="154" t="str">
        <f>IF(AND('Resample Data Summary'!C154="PASS",'Data - Sample Type 1'!HK108&lt;&gt;0),'Data - Sample Type 1'!HK108,"")</f>
        <v/>
      </c>
      <c r="AD27" s="258" t="e">
        <f t="shared" ref="AD27" si="49">AVERAGE(AC27:AC34)</f>
        <v>#DIV/0!</v>
      </c>
      <c r="AE27" s="190" t="str">
        <f>IF(AND('Resample Data Summary'!C154="PASS",AC27&lt;&gt;""),'Data - Sample Type 1'!HL108,"")</f>
        <v/>
      </c>
      <c r="AF27" s="263" t="e">
        <f t="shared" ref="AF27" si="50">AVERAGE(AE27:AE34)</f>
        <v>#DIV/0!</v>
      </c>
      <c r="AG27" s="154" t="str">
        <f>IF(AND('Resample Data Summary'!C154="PASS",'Data - Sample Type 1'!HS108&lt;&gt;0),'Data - Sample Type 1'!HS108,"")</f>
        <v/>
      </c>
      <c r="AH27" s="258" t="e">
        <f t="shared" ref="AH27" si="51">AVERAGE(AG27:AG34)</f>
        <v>#DIV/0!</v>
      </c>
      <c r="AI27" s="190" t="str">
        <f>IF(AND('Resample Data Summary'!C154="PASS",AG27&lt;&gt;""),'Data - Sample Type 1'!HT108,"")</f>
        <v/>
      </c>
      <c r="AJ27" s="263" t="e">
        <f t="shared" ref="AJ27" si="52">AVERAGE(AI27:AI34)</f>
        <v>#DIV/0!</v>
      </c>
      <c r="AK27" s="196" t="str">
        <f>IF('Resample Data Summary'!C154="PASS",IF('Data - Sample Type 1'!DK108=0,"",'Data - Sample Type 1'!DK108),"")</f>
        <v/>
      </c>
      <c r="AL27" s="258" t="e">
        <f t="shared" ref="AL27" si="53">AVERAGE(AK27:AK34)</f>
        <v>#DIV/0!</v>
      </c>
      <c r="AM27" s="154" t="str">
        <f>IF('Resample Data Summary'!C154="PASS",IF('Data - Sample Type 1'!DY108=0,"",'Data - Sample Type 1'!DY108),"")</f>
        <v/>
      </c>
      <c r="AN27" s="258" t="e">
        <f t="shared" ref="AN27" si="54">AVERAGE(AM27:AM34)</f>
        <v>#DIV/0!</v>
      </c>
      <c r="AO27" s="154" t="str">
        <f>IF('Resample Data Summary'!C154="PASS",IF('Data - Sample Type 1'!EM108=0,"",'Data - Sample Type 1'!EM108),"")</f>
        <v/>
      </c>
      <c r="AP27" s="279" t="e">
        <f t="shared" ref="AP27" si="55">AVERAGE(AO27:AO34)</f>
        <v>#DIV/0!</v>
      </c>
      <c r="AS27" s="65"/>
      <c r="AU27" s="257"/>
      <c r="AW27" s="257"/>
      <c r="AY27" s="257"/>
      <c r="BA27" s="257"/>
      <c r="BC27" s="257"/>
      <c r="BE27" s="257"/>
      <c r="BG27" s="257"/>
      <c r="BI27" s="257"/>
      <c r="BK27" s="257"/>
      <c r="BM27" s="257"/>
      <c r="BO27" s="257"/>
      <c r="BQ27" s="257"/>
      <c r="BS27" s="257"/>
      <c r="BU27" s="257"/>
    </row>
    <row r="28" spans="1:73" x14ac:dyDescent="0.2">
      <c r="A28" s="276"/>
      <c r="B28" s="151" t="str">
        <f>IF('Resample Data Summary'!C50="PASS",IF('Resample Data Summary'!A50="","",'Data - Sample Type 0'!Q129),"")</f>
        <v/>
      </c>
      <c r="C28" s="280" t="e">
        <f>IF(C23&lt;=Specifications!$G$20,"PASS","FAIL")</f>
        <v>#DIV/0!</v>
      </c>
      <c r="D28"/>
      <c r="E28"/>
      <c r="F28" s="276"/>
      <c r="G28" s="151" t="str">
        <f>IF(AND('Resample Data Summary'!C155="PASS",'Data - Sample Type 1'!FO109&lt;&gt;0),'Data - Sample Type 1'!FO109,"")</f>
        <v/>
      </c>
      <c r="H28" s="259"/>
      <c r="I28" s="102" t="str">
        <f>IF('Resample Data Summary'!C155="PASS",IF('Data - Sample Type 1'!AE109=0,"",'Data - Sample Type 1'!AE109),"")</f>
        <v/>
      </c>
      <c r="J28" s="259"/>
      <c r="K28" s="151" t="str">
        <f>IF(AND('Resample Data Summary'!C155="PASS",'Data - Sample Type 1'!FW109&lt;&gt;0),'Data - Sample Type 1'!FW109,"")</f>
        <v/>
      </c>
      <c r="L28" s="259"/>
      <c r="M28" s="191" t="str">
        <f>IF(AND('Resample Data Summary'!C155="PASS",K28&lt;&gt;""),'Data - Sample Type 1'!FX109,"")</f>
        <v/>
      </c>
      <c r="N28" s="264"/>
      <c r="O28" s="151" t="str">
        <f>IF(AND('Resample Data Summary'!C155="PASS",'Data - Sample Type 1'!GE109&lt;&gt;0),'Data - Sample Type 1'!GE109,"")</f>
        <v/>
      </c>
      <c r="P28" s="259"/>
      <c r="Q28" s="191" t="str">
        <f>IF(AND('Resample Data Summary'!C155="PASS",O28&lt;&gt;""),'Data - Sample Type 1'!GF109,"")</f>
        <v/>
      </c>
      <c r="R28" s="264"/>
      <c r="S28" s="151" t="str">
        <f>IF('Resample Data Summary'!C155="PASS",IF('Data - Sample Type 1'!BG109=0,"",'Data - Sample Type 1'!BG109),"")</f>
        <v/>
      </c>
      <c r="T28" s="259"/>
      <c r="U28" s="194" t="str">
        <f>IF(AND('Resample Data Summary'!C155="PASS",'Data - Sample Type 1'!GM109&lt;&gt;0),'Data - Sample Type 1'!GM109,"")</f>
        <v/>
      </c>
      <c r="V28" s="259"/>
      <c r="W28" s="151" t="str">
        <f>IF('Resample Data Summary'!C155="PASS",IF('Data - Sample Type 1'!BU109=0,"",'Data - Sample Type 1'!BU109),"")</f>
        <v/>
      </c>
      <c r="X28" s="259"/>
      <c r="Y28" s="151" t="str">
        <f>IF(AND('Resample Data Summary'!C155="PASS",'Data - Sample Type 1'!HC109&lt;&gt;0),'Data - Sample Type 1'!HC109,"")</f>
        <v/>
      </c>
      <c r="Z28" s="259"/>
      <c r="AA28" s="191" t="str">
        <f>IF(AND('Resample Data Summary'!C155="PASS",Y28&lt;&gt;""),'Data - Sample Type 1'!HD109,"")</f>
        <v/>
      </c>
      <c r="AB28" s="264"/>
      <c r="AC28" s="151" t="str">
        <f>IF(AND('Resample Data Summary'!C155="PASS",'Data - Sample Type 1'!HK109&lt;&gt;0),'Data - Sample Type 1'!HK109,"")</f>
        <v/>
      </c>
      <c r="AD28" s="259"/>
      <c r="AE28" s="191" t="str">
        <f>IF(AND('Resample Data Summary'!C155="PASS",AC28&lt;&gt;""),'Data - Sample Type 1'!HL109,"")</f>
        <v/>
      </c>
      <c r="AF28" s="264"/>
      <c r="AG28" s="151" t="str">
        <f>IF(AND('Resample Data Summary'!C155="PASS",'Data - Sample Type 1'!HS109&lt;&gt;0),'Data - Sample Type 1'!HS109,"")</f>
        <v/>
      </c>
      <c r="AH28" s="259"/>
      <c r="AI28" s="191" t="str">
        <f>IF(AND('Resample Data Summary'!C155="PASS",AG28&lt;&gt;""),'Data - Sample Type 1'!HT109,"")</f>
        <v/>
      </c>
      <c r="AJ28" s="264"/>
      <c r="AK28" s="194" t="str">
        <f>IF('Resample Data Summary'!C155="PASS",IF('Data - Sample Type 1'!DK109=0,"",'Data - Sample Type 1'!DK109),"")</f>
        <v/>
      </c>
      <c r="AL28" s="259"/>
      <c r="AM28" s="151" t="str">
        <f>IF('Resample Data Summary'!C155="PASS",IF('Data - Sample Type 1'!DY109=0,"",'Data - Sample Type 1'!DY109),"")</f>
        <v/>
      </c>
      <c r="AN28" s="259"/>
      <c r="AO28" s="151" t="str">
        <f>IF('Resample Data Summary'!C155="PASS",IF('Data - Sample Type 1'!EM109=0,"",'Data - Sample Type 1'!EM109),"")</f>
        <v/>
      </c>
      <c r="AP28" s="280"/>
      <c r="AS28" s="65"/>
      <c r="AU28" s="257"/>
      <c r="AW28" s="257"/>
      <c r="AY28" s="257"/>
      <c r="BA28" s="257"/>
      <c r="BC28" s="257"/>
      <c r="BE28" s="257"/>
      <c r="BG28" s="257"/>
      <c r="BI28" s="257"/>
      <c r="BK28" s="257"/>
      <c r="BM28" s="257"/>
      <c r="BO28" s="257"/>
      <c r="BQ28" s="257"/>
      <c r="BS28" s="257"/>
      <c r="BU28" s="257"/>
    </row>
    <row r="29" spans="1:73" ht="14.1" customHeight="1" x14ac:dyDescent="0.2">
      <c r="A29" s="276"/>
      <c r="B29" s="151" t="str">
        <f>IF('Resample Data Summary'!C51="PASS",IF('Resample Data Summary'!A51="","",'Data - Sample Type 0'!Q130),"")</f>
        <v/>
      </c>
      <c r="C29" s="280"/>
      <c r="D29"/>
      <c r="E29"/>
      <c r="F29" s="276"/>
      <c r="G29" s="151" t="str">
        <f>IF(AND('Resample Data Summary'!C156="PASS",'Data - Sample Type 1'!FO110&lt;&gt;0),'Data - Sample Type 1'!FO110,"")</f>
        <v/>
      </c>
      <c r="H29" s="259"/>
      <c r="I29" s="102" t="str">
        <f>IF('Resample Data Summary'!C156="PASS",IF('Data - Sample Type 1'!AE110=0,"",'Data - Sample Type 1'!AE110),"")</f>
        <v/>
      </c>
      <c r="J29" s="259"/>
      <c r="K29" s="151" t="str">
        <f>IF(AND('Resample Data Summary'!C156="PASS",'Data - Sample Type 1'!FW110&lt;&gt;0),'Data - Sample Type 1'!FW110,"")</f>
        <v/>
      </c>
      <c r="L29" s="259"/>
      <c r="M29" s="191" t="str">
        <f>IF(AND('Resample Data Summary'!C156="PASS",K29&lt;&gt;""),'Data - Sample Type 1'!FX110,"")</f>
        <v/>
      </c>
      <c r="N29" s="264"/>
      <c r="O29" s="151" t="str">
        <f>IF(AND('Resample Data Summary'!C156="PASS",'Data - Sample Type 1'!GE110&lt;&gt;0),'Data - Sample Type 1'!GE110,"")</f>
        <v/>
      </c>
      <c r="P29" s="259"/>
      <c r="Q29" s="191" t="str">
        <f>IF(AND('Resample Data Summary'!C156="PASS",O29&lt;&gt;""),'Data - Sample Type 1'!GF110,"")</f>
        <v/>
      </c>
      <c r="R29" s="264"/>
      <c r="S29" s="151" t="str">
        <f>IF('Resample Data Summary'!C156="PASS",IF('Data - Sample Type 1'!BG110=0,"",'Data - Sample Type 1'!BG110),"")</f>
        <v/>
      </c>
      <c r="T29" s="259"/>
      <c r="U29" s="194" t="str">
        <f>IF(AND('Resample Data Summary'!C156="PASS",'Data - Sample Type 1'!GM110&lt;&gt;0),'Data - Sample Type 1'!GM110,"")</f>
        <v/>
      </c>
      <c r="V29" s="259"/>
      <c r="W29" s="151" t="str">
        <f>IF('Resample Data Summary'!C156="PASS",IF('Data - Sample Type 1'!BU110=0,"",'Data - Sample Type 1'!BU110),"")</f>
        <v/>
      </c>
      <c r="X29" s="259"/>
      <c r="Y29" s="151" t="str">
        <f>IF(AND('Resample Data Summary'!C156="PASS",'Data - Sample Type 1'!HC110&lt;&gt;0),'Data - Sample Type 1'!HC110,"")</f>
        <v/>
      </c>
      <c r="Z29" s="259"/>
      <c r="AA29" s="191" t="str">
        <f>IF(AND('Resample Data Summary'!C156="PASS",Y29&lt;&gt;""),'Data - Sample Type 1'!HD110,"")</f>
        <v/>
      </c>
      <c r="AB29" s="264"/>
      <c r="AC29" s="151" t="str">
        <f>IF(AND('Resample Data Summary'!C156="PASS",'Data - Sample Type 1'!HK110&lt;&gt;0),'Data - Sample Type 1'!HK110,"")</f>
        <v/>
      </c>
      <c r="AD29" s="259"/>
      <c r="AE29" s="191" t="str">
        <f>IF(AND('Resample Data Summary'!C156="PASS",AC29&lt;&gt;""),'Data - Sample Type 1'!HL110,"")</f>
        <v/>
      </c>
      <c r="AF29" s="264"/>
      <c r="AG29" s="151" t="str">
        <f>IF(AND('Resample Data Summary'!C156="PASS",'Data - Sample Type 1'!HS110&lt;&gt;0),'Data - Sample Type 1'!HS110,"")</f>
        <v/>
      </c>
      <c r="AH29" s="259"/>
      <c r="AI29" s="191" t="str">
        <f>IF(AND('Resample Data Summary'!C156="PASS",AG29&lt;&gt;""),'Data - Sample Type 1'!HT110,"")</f>
        <v/>
      </c>
      <c r="AJ29" s="264"/>
      <c r="AK29" s="194" t="str">
        <f>IF('Resample Data Summary'!C156="PASS",IF('Data - Sample Type 1'!DK110=0,"",'Data - Sample Type 1'!DK110),"")</f>
        <v/>
      </c>
      <c r="AL29" s="259"/>
      <c r="AM29" s="151" t="str">
        <f>IF('Resample Data Summary'!C156="PASS",IF('Data - Sample Type 1'!DY110=0,"",'Data - Sample Type 1'!DY110),"")</f>
        <v/>
      </c>
      <c r="AN29" s="259"/>
      <c r="AO29" s="151" t="str">
        <f>IF('Resample Data Summary'!C156="PASS",IF('Data - Sample Type 1'!EM110=0,"",'Data - Sample Type 1'!EM110),"")</f>
        <v/>
      </c>
      <c r="AP29" s="280"/>
      <c r="AS29" s="65"/>
      <c r="AU29" s="257"/>
      <c r="AW29" s="257"/>
      <c r="AY29" s="257"/>
      <c r="BA29" s="257"/>
      <c r="BC29" s="257"/>
      <c r="BE29" s="257"/>
      <c r="BG29" s="257"/>
      <c r="BI29" s="257"/>
      <c r="BK29" s="257"/>
      <c r="BM29" s="257"/>
      <c r="BO29" s="257"/>
      <c r="BQ29" s="257"/>
      <c r="BS29" s="257"/>
      <c r="BU29" s="257"/>
    </row>
    <row r="30" spans="1:73" x14ac:dyDescent="0.2">
      <c r="A30" s="276"/>
      <c r="B30" s="151" t="str">
        <f>IF('Resample Data Summary'!C52="PASS",IF('Resample Data Summary'!A52="","",'Data - Sample Type 0'!Q131),"")</f>
        <v/>
      </c>
      <c r="C30" s="280"/>
      <c r="D30"/>
      <c r="E30"/>
      <c r="F30" s="276"/>
      <c r="G30" s="151" t="str">
        <f>IF(AND('Resample Data Summary'!C157="PASS",'Data - Sample Type 1'!FO111&lt;&gt;0),'Data - Sample Type 1'!FO111,"")</f>
        <v/>
      </c>
      <c r="H30" s="259"/>
      <c r="I30" s="102" t="str">
        <f>IF('Resample Data Summary'!C157="PASS",IF('Data - Sample Type 1'!AE111=0,"",'Data - Sample Type 1'!AE111),"")</f>
        <v/>
      </c>
      <c r="J30" s="259"/>
      <c r="K30" s="151" t="str">
        <f>IF(AND('Resample Data Summary'!C157="PASS",'Data - Sample Type 1'!FW111&lt;&gt;0),'Data - Sample Type 1'!FW111,"")</f>
        <v/>
      </c>
      <c r="L30" s="259"/>
      <c r="M30" s="191" t="str">
        <f>IF(AND('Resample Data Summary'!C157="PASS",K30&lt;&gt;""),'Data - Sample Type 1'!FX111,"")</f>
        <v/>
      </c>
      <c r="N30" s="264"/>
      <c r="O30" s="151" t="str">
        <f>IF(AND('Resample Data Summary'!C157="PASS",'Data - Sample Type 1'!GE111&lt;&gt;0),'Data - Sample Type 1'!GE111,"")</f>
        <v/>
      </c>
      <c r="P30" s="259"/>
      <c r="Q30" s="191" t="str">
        <f>IF(AND('Resample Data Summary'!C157="PASS",O30&lt;&gt;""),'Data - Sample Type 1'!GF111,"")</f>
        <v/>
      </c>
      <c r="R30" s="264"/>
      <c r="S30" s="151" t="str">
        <f>IF('Resample Data Summary'!C157="PASS",IF('Data - Sample Type 1'!BG111=0,"",'Data - Sample Type 1'!BG111),"")</f>
        <v/>
      </c>
      <c r="T30" s="259"/>
      <c r="U30" s="194" t="str">
        <f>IF(AND('Resample Data Summary'!C157="PASS",'Data - Sample Type 1'!GM111&lt;&gt;0),'Data - Sample Type 1'!GM111,"")</f>
        <v/>
      </c>
      <c r="V30" s="259"/>
      <c r="W30" s="151" t="str">
        <f>IF('Resample Data Summary'!C157="PASS",IF('Data - Sample Type 1'!BU111=0,"",'Data - Sample Type 1'!BU111),"")</f>
        <v/>
      </c>
      <c r="X30" s="259"/>
      <c r="Y30" s="151" t="str">
        <f>IF(AND('Resample Data Summary'!C157="PASS",'Data - Sample Type 1'!HC111&lt;&gt;0),'Data - Sample Type 1'!HC111,"")</f>
        <v/>
      </c>
      <c r="Z30" s="259"/>
      <c r="AA30" s="191" t="str">
        <f>IF(AND('Resample Data Summary'!C157="PASS",Y30&lt;&gt;""),'Data - Sample Type 1'!HD111,"")</f>
        <v/>
      </c>
      <c r="AB30" s="264"/>
      <c r="AC30" s="151" t="str">
        <f>IF(AND('Resample Data Summary'!C157="PASS",'Data - Sample Type 1'!HK111&lt;&gt;0),'Data - Sample Type 1'!HK111,"")</f>
        <v/>
      </c>
      <c r="AD30" s="259"/>
      <c r="AE30" s="191" t="str">
        <f>IF(AND('Resample Data Summary'!C157="PASS",AC30&lt;&gt;""),'Data - Sample Type 1'!HL111,"")</f>
        <v/>
      </c>
      <c r="AF30" s="264"/>
      <c r="AG30" s="151" t="str">
        <f>IF(AND('Resample Data Summary'!C157="PASS",'Data - Sample Type 1'!HS111&lt;&gt;0),'Data - Sample Type 1'!HS111,"")</f>
        <v/>
      </c>
      <c r="AH30" s="259"/>
      <c r="AI30" s="191" t="str">
        <f>IF(AND('Resample Data Summary'!C157="PASS",AG30&lt;&gt;""),'Data - Sample Type 1'!HT111,"")</f>
        <v/>
      </c>
      <c r="AJ30" s="264"/>
      <c r="AK30" s="194" t="str">
        <f>IF('Resample Data Summary'!C157="PASS",IF('Data - Sample Type 1'!DK111=0,"",'Data - Sample Type 1'!DK111),"")</f>
        <v/>
      </c>
      <c r="AL30" s="259"/>
      <c r="AM30" s="151" t="str">
        <f>IF('Resample Data Summary'!C157="PASS",IF('Data - Sample Type 1'!DY111=0,"",'Data - Sample Type 1'!DY111),"")</f>
        <v/>
      </c>
      <c r="AN30" s="259"/>
      <c r="AO30" s="151" t="str">
        <f>IF('Resample Data Summary'!C157="PASS",IF('Data - Sample Type 1'!EM111=0,"",'Data - Sample Type 1'!EM111),"")</f>
        <v/>
      </c>
      <c r="AP30" s="280"/>
      <c r="AS30" s="65"/>
      <c r="AU30" s="257"/>
      <c r="AW30" s="257"/>
      <c r="AY30" s="257"/>
      <c r="BA30" s="257"/>
      <c r="BC30" s="257"/>
      <c r="BE30" s="257"/>
      <c r="BG30" s="257"/>
      <c r="BI30" s="257"/>
      <c r="BK30" s="257"/>
      <c r="BM30" s="257"/>
      <c r="BO30" s="257"/>
      <c r="BQ30" s="257"/>
      <c r="BS30" s="257"/>
      <c r="BU30" s="257"/>
    </row>
    <row r="31" spans="1:73" ht="13.35" customHeight="1" x14ac:dyDescent="0.2">
      <c r="A31" s="276"/>
      <c r="B31" s="151" t="str">
        <f>IF('Resample Data Summary'!C53="PASS",IF('Resample Data Summary'!A53="","",'Data - Sample Type 0'!Q132),"")</f>
        <v/>
      </c>
      <c r="C31" s="280"/>
      <c r="D31"/>
      <c r="E31"/>
      <c r="F31" s="276"/>
      <c r="G31" s="151" t="str">
        <f>IF(AND('Resample Data Summary'!C158="PASS",'Data - Sample Type 1'!FO112&lt;&gt;0),'Data - Sample Type 1'!FO112,"")</f>
        <v/>
      </c>
      <c r="H31" s="259" t="e">
        <f>IF(AND(H27&gt;=Specifications!$C$21,H27&lt;=Specifications!$D$21),"PASS","FAIL")</f>
        <v>#DIV/0!</v>
      </c>
      <c r="I31" s="102" t="str">
        <f>IF('Resample Data Summary'!C158="PASS",IF('Data - Sample Type 1'!AE112=0,"",'Data - Sample Type 1'!AE112),"")</f>
        <v/>
      </c>
      <c r="J31" s="259" t="e">
        <f>IF(J27&lt;=Specifications!D$22,"PASS","FAIL")</f>
        <v>#DIV/0!</v>
      </c>
      <c r="K31" s="151" t="str">
        <f>IF(AND('Resample Data Summary'!C158="PASS",'Data - Sample Type 1'!FW112&lt;&gt;0),'Data - Sample Type 1'!FW112,"")</f>
        <v/>
      </c>
      <c r="L31" s="259" t="e">
        <f>IF(AND(L27&gt;=Specifications!$C$23,L27&lt;=Specifications!$D$23),"PASS","FAIL")</f>
        <v>#DIV/0!</v>
      </c>
      <c r="M31" s="191" t="str">
        <f>IF(AND('Resample Data Summary'!C158="PASS",K31&lt;&gt;""),'Data - Sample Type 1'!FX112,"")</f>
        <v/>
      </c>
      <c r="N31" s="391" t="s">
        <v>510</v>
      </c>
      <c r="O31" s="151" t="str">
        <f>IF(AND('Resample Data Summary'!C158="PASS",'Data - Sample Type 1'!GE112&lt;&gt;0),'Data - Sample Type 1'!GE112,"")</f>
        <v/>
      </c>
      <c r="P31" s="259" t="e">
        <f>IF(AND(P27&gt;=Specifications!$C$25,P27&lt;=Specifications!$D$25),"PASS","FAIL")</f>
        <v>#DIV/0!</v>
      </c>
      <c r="Q31" s="191" t="str">
        <f>IF(AND('Resample Data Summary'!C158="PASS",O31&lt;&gt;""),'Data - Sample Type 1'!GF112,"")</f>
        <v/>
      </c>
      <c r="R31" s="391" t="s">
        <v>510</v>
      </c>
      <c r="S31" s="151" t="str">
        <f>IF('Resample Data Summary'!C158="PASS",IF('Data - Sample Type 1'!BG112=0,"",'Data - Sample Type 1'!BG112),"")</f>
        <v/>
      </c>
      <c r="T31" s="259" t="e">
        <f>IF(T27&lt;=Specifications!D$27,"PASS","FAIL")</f>
        <v>#DIV/0!</v>
      </c>
      <c r="U31" s="194" t="str">
        <f>IF(AND('Resample Data Summary'!C158="PASS",'Data - Sample Type 1'!GM112&lt;&gt;0),'Data - Sample Type 1'!GM112,"")</f>
        <v/>
      </c>
      <c r="V31" s="259" t="e">
        <f>IF(AND(V27&gt;=Specifications!$C$28,V27&lt;=Specifications!$D$28),"PASS","FAIL")</f>
        <v>#DIV/0!</v>
      </c>
      <c r="W31" s="151" t="str">
        <f>IF('Resample Data Summary'!C158="PASS",IF('Data - Sample Type 1'!BU112=0,"",'Data - Sample Type 1'!BU112),"")</f>
        <v/>
      </c>
      <c r="X31" s="394" t="s">
        <v>510</v>
      </c>
      <c r="Y31" s="151" t="str">
        <f>IF(AND('Resample Data Summary'!C158="PASS",'Data - Sample Type 1'!HC112&lt;&gt;0),'Data - Sample Type 1'!HC112,"")</f>
        <v/>
      </c>
      <c r="Z31" s="259" t="e">
        <f>IF(AND(Z27&gt;=Specifications!$C$31,Z27&lt;=Specifications!$D$31),"PASS","FAIL")</f>
        <v>#DIV/0!</v>
      </c>
      <c r="AA31" s="191" t="str">
        <f>IF(AND('Resample Data Summary'!C158="PASS",Y31&lt;&gt;""),'Data - Sample Type 1'!HD112,"")</f>
        <v/>
      </c>
      <c r="AB31" s="391" t="s">
        <v>510</v>
      </c>
      <c r="AC31" s="151" t="str">
        <f>IF(AND('Resample Data Summary'!C158="PASS",'Data - Sample Type 1'!HK112&lt;&gt;0),'Data - Sample Type 1'!HK112,"")</f>
        <v/>
      </c>
      <c r="AD31" s="259" t="e">
        <f>IF(AND(AD27&gt;=Specifications!$C$33,AD27&lt;=Specifications!$D$33),"PASS","FAIL")</f>
        <v>#DIV/0!</v>
      </c>
      <c r="AE31" s="191" t="str">
        <f>IF(AND('Resample Data Summary'!C158="PASS",AC31&lt;&gt;""),'Data - Sample Type 1'!HL112,"")</f>
        <v/>
      </c>
      <c r="AF31" s="391" t="s">
        <v>510</v>
      </c>
      <c r="AG31" s="151" t="str">
        <f>IF(AND('Resample Data Summary'!C158="PASS",'Data - Sample Type 1'!HS112&lt;&gt;0),'Data - Sample Type 1'!HS112,"")</f>
        <v/>
      </c>
      <c r="AH31" s="259" t="e">
        <f>IF(AND(AH27&gt;=Specifications!$C$35,AH27&lt;=Specifications!$D$35),"PASS","FAIL")</f>
        <v>#DIV/0!</v>
      </c>
      <c r="AI31" s="191" t="str">
        <f>IF(AND('Resample Data Summary'!C158="PASS",AG31&lt;&gt;""),'Data - Sample Type 1'!HT112,"")</f>
        <v/>
      </c>
      <c r="AJ31" s="391" t="s">
        <v>510</v>
      </c>
      <c r="AK31" s="194" t="str">
        <f>IF('Resample Data Summary'!C158="PASS",IF('Data - Sample Type 1'!DK112=0,"",'Data - Sample Type 1'!DK112),"")</f>
        <v/>
      </c>
      <c r="AL31" s="259" t="e">
        <f>IF(AL27&lt;=Specifications!$D$37,"PASS","FAIL")</f>
        <v>#DIV/0!</v>
      </c>
      <c r="AM31" s="151" t="str">
        <f>IF('Resample Data Summary'!C158="PASS",IF('Data - Sample Type 1'!DY112=0,"",'Data - Sample Type 1'!DY112),"")</f>
        <v/>
      </c>
      <c r="AN31" s="259" t="e">
        <f>IF(AN27&lt;=Specifications!$D$38,"PASS","FAIL")</f>
        <v>#DIV/0!</v>
      </c>
      <c r="AO31" s="151" t="str">
        <f>IF('Resample Data Summary'!C158="PASS",IF('Data - Sample Type 1'!EM112=0,"",'Data - Sample Type 1'!EM112),"")</f>
        <v/>
      </c>
      <c r="AP31" s="280" t="e">
        <f>IF(AP27&lt;=Specifications!$D$39,"PASS","FAIL")</f>
        <v>#DIV/0!</v>
      </c>
      <c r="AS31" s="65"/>
      <c r="AU31" s="257"/>
      <c r="AW31" s="257"/>
      <c r="AY31" s="257"/>
      <c r="BA31" s="257"/>
      <c r="BC31" s="257"/>
      <c r="BE31" s="257"/>
      <c r="BG31" s="257"/>
      <c r="BI31" s="257"/>
      <c r="BK31" s="257"/>
      <c r="BM31" s="257"/>
      <c r="BO31" s="257"/>
      <c r="BQ31" s="257"/>
      <c r="BS31" s="257"/>
      <c r="BU31" s="257"/>
    </row>
    <row r="32" spans="1:73" ht="13.5" thickBot="1" x14ac:dyDescent="0.25">
      <c r="A32" s="278"/>
      <c r="B32" s="155" t="str">
        <f>IF('Resample Data Summary'!C54="PASS",IF('Resample Data Summary'!A54="","",'Data - Sample Type 0'!Q133),"")</f>
        <v/>
      </c>
      <c r="C32" s="389"/>
      <c r="D32"/>
      <c r="E32"/>
      <c r="F32" s="276"/>
      <c r="G32" s="151" t="str">
        <f>IF(AND('Resample Data Summary'!C159="PASS",'Data - Sample Type 1'!FO113&lt;&gt;0),'Data - Sample Type 1'!FO113,"")</f>
        <v/>
      </c>
      <c r="H32" s="259"/>
      <c r="I32" s="102" t="str">
        <f>IF('Resample Data Summary'!C159="PASS",IF('Data - Sample Type 1'!AE113=0,"",'Data - Sample Type 1'!AE113),"")</f>
        <v/>
      </c>
      <c r="J32" s="259"/>
      <c r="K32" s="151" t="str">
        <f>IF(AND('Resample Data Summary'!C159="PASS",'Data - Sample Type 1'!FW113&lt;&gt;0),'Data - Sample Type 1'!FW113,"")</f>
        <v/>
      </c>
      <c r="L32" s="259"/>
      <c r="M32" s="191" t="str">
        <f>IF(AND('Resample Data Summary'!C159="PASS",K32&lt;&gt;""),'Data - Sample Type 1'!FX113,"")</f>
        <v/>
      </c>
      <c r="N32" s="264"/>
      <c r="O32" s="151" t="str">
        <f>IF(AND('Resample Data Summary'!C159="PASS",'Data - Sample Type 1'!GE113&lt;&gt;0),'Data - Sample Type 1'!GE113,"")</f>
        <v/>
      </c>
      <c r="P32" s="259"/>
      <c r="Q32" s="191" t="str">
        <f>IF(AND('Resample Data Summary'!C159="PASS",O32&lt;&gt;""),'Data - Sample Type 1'!GF113,"")</f>
        <v/>
      </c>
      <c r="R32" s="264"/>
      <c r="S32" s="151" t="str">
        <f>IF('Resample Data Summary'!C159="PASS",IF('Data - Sample Type 1'!BG113=0,"",'Data - Sample Type 1'!BG113),"")</f>
        <v/>
      </c>
      <c r="T32" s="259"/>
      <c r="U32" s="194" t="str">
        <f>IF(AND('Resample Data Summary'!C159="PASS",'Data - Sample Type 1'!GM113&lt;&gt;0),'Data - Sample Type 1'!GM113,"")</f>
        <v/>
      </c>
      <c r="V32" s="259"/>
      <c r="W32" s="151" t="str">
        <f>IF('Resample Data Summary'!C159="PASS",IF('Data - Sample Type 1'!BU113=0,"",'Data - Sample Type 1'!BU113),"")</f>
        <v/>
      </c>
      <c r="X32" s="259"/>
      <c r="Y32" s="151" t="str">
        <f>IF(AND('Resample Data Summary'!C159="PASS",'Data - Sample Type 1'!HC113&lt;&gt;0),'Data - Sample Type 1'!HC113,"")</f>
        <v/>
      </c>
      <c r="Z32" s="259"/>
      <c r="AA32" s="191" t="str">
        <f>IF(AND('Resample Data Summary'!C159="PASS",Y32&lt;&gt;""),'Data - Sample Type 1'!HD113,"")</f>
        <v/>
      </c>
      <c r="AB32" s="264"/>
      <c r="AC32" s="151" t="str">
        <f>IF(AND('Resample Data Summary'!C159="PASS",'Data - Sample Type 1'!HK113&lt;&gt;0),'Data - Sample Type 1'!HK113,"")</f>
        <v/>
      </c>
      <c r="AD32" s="259"/>
      <c r="AE32" s="191" t="str">
        <f>IF(AND('Resample Data Summary'!C159="PASS",AC32&lt;&gt;""),'Data - Sample Type 1'!HL113,"")</f>
        <v/>
      </c>
      <c r="AF32" s="264"/>
      <c r="AG32" s="151" t="str">
        <f>IF(AND('Resample Data Summary'!C159="PASS",'Data - Sample Type 1'!HS113&lt;&gt;0),'Data - Sample Type 1'!HS113,"")</f>
        <v/>
      </c>
      <c r="AH32" s="259"/>
      <c r="AI32" s="191" t="str">
        <f>IF(AND('Resample Data Summary'!C159="PASS",AG32&lt;&gt;""),'Data - Sample Type 1'!HT113,"")</f>
        <v/>
      </c>
      <c r="AJ32" s="264"/>
      <c r="AK32" s="194" t="str">
        <f>IF('Resample Data Summary'!C159="PASS",IF('Data - Sample Type 1'!DK113=0,"",'Data - Sample Type 1'!DK113),"")</f>
        <v/>
      </c>
      <c r="AL32" s="259"/>
      <c r="AM32" s="151" t="str">
        <f>IF('Resample Data Summary'!C159="PASS",IF('Data - Sample Type 1'!DY113=0,"",'Data - Sample Type 1'!DY113),"")</f>
        <v/>
      </c>
      <c r="AN32" s="259"/>
      <c r="AO32" s="151" t="str">
        <f>IF('Resample Data Summary'!C159="PASS",IF('Data - Sample Type 1'!EM113=0,"",'Data - Sample Type 1'!EM113),"")</f>
        <v/>
      </c>
      <c r="AP32" s="280"/>
      <c r="AS32" s="65"/>
      <c r="AU32" s="257"/>
      <c r="AW32" s="257"/>
      <c r="AY32" s="257"/>
      <c r="BA32" s="257"/>
      <c r="BC32" s="257"/>
      <c r="BE32" s="257"/>
      <c r="BG32" s="257"/>
      <c r="BI32" s="257"/>
      <c r="BK32" s="257"/>
      <c r="BM32" s="257"/>
      <c r="BO32" s="257"/>
      <c r="BQ32" s="257"/>
      <c r="BS32" s="257"/>
      <c r="BU32" s="257"/>
    </row>
    <row r="33" spans="1:73" x14ac:dyDescent="0.2">
      <c r="A33" s="275">
        <v>4</v>
      </c>
      <c r="B33" s="154" t="str">
        <f>IF('Resample Data Summary'!C55="PASS",IF('Resample Data Summary'!A55="","",'Data - Sample Type 0'!Q134),"")</f>
        <v/>
      </c>
      <c r="C33" s="279" t="e">
        <f t="shared" ref="C33" si="56">AVERAGE(B33:B42)</f>
        <v>#DIV/0!</v>
      </c>
      <c r="D33"/>
      <c r="E33"/>
      <c r="F33" s="276"/>
      <c r="G33" s="151" t="str">
        <f>IF(AND('Resample Data Summary'!C160="PASS",'Data - Sample Type 1'!FO114&lt;&gt;0),'Data - Sample Type 1'!FO114,"")</f>
        <v/>
      </c>
      <c r="H33" s="259"/>
      <c r="I33" s="102" t="str">
        <f>IF('Resample Data Summary'!C160="PASS",IF('Data - Sample Type 1'!AE114=0,"",'Data - Sample Type 1'!AE114),"")</f>
        <v/>
      </c>
      <c r="J33" s="259"/>
      <c r="K33" s="151" t="str">
        <f>IF(AND('Resample Data Summary'!C160="PASS",'Data - Sample Type 1'!FW114&lt;&gt;0),'Data - Sample Type 1'!FW114,"")</f>
        <v/>
      </c>
      <c r="L33" s="259"/>
      <c r="M33" s="191" t="str">
        <f>IF(AND('Resample Data Summary'!C160="PASS",K33&lt;&gt;""),'Data - Sample Type 1'!FX114,"")</f>
        <v/>
      </c>
      <c r="N33" s="264"/>
      <c r="O33" s="151" t="str">
        <f>IF(AND('Resample Data Summary'!C160="PASS",'Data - Sample Type 1'!GE114&lt;&gt;0),'Data - Sample Type 1'!GE114,"")</f>
        <v/>
      </c>
      <c r="P33" s="259"/>
      <c r="Q33" s="191" t="str">
        <f>IF(AND('Resample Data Summary'!C160="PASS",O33&lt;&gt;""),'Data - Sample Type 1'!GF114,"")</f>
        <v/>
      </c>
      <c r="R33" s="264"/>
      <c r="S33" s="151" t="str">
        <f>IF('Resample Data Summary'!C160="PASS",IF('Data - Sample Type 1'!BG114=0,"",'Data - Sample Type 1'!BG114),"")</f>
        <v/>
      </c>
      <c r="T33" s="259"/>
      <c r="U33" s="194" t="str">
        <f>IF(AND('Resample Data Summary'!C160="PASS",'Data - Sample Type 1'!GM114&lt;&gt;0),'Data - Sample Type 1'!GM114,"")</f>
        <v/>
      </c>
      <c r="V33" s="259"/>
      <c r="W33" s="151" t="str">
        <f>IF('Resample Data Summary'!C160="PASS",IF('Data - Sample Type 1'!BU114=0,"",'Data - Sample Type 1'!BU114),"")</f>
        <v/>
      </c>
      <c r="X33" s="259"/>
      <c r="Y33" s="151" t="str">
        <f>IF(AND('Resample Data Summary'!C160="PASS",'Data - Sample Type 1'!HC114&lt;&gt;0),'Data - Sample Type 1'!HC114,"")</f>
        <v/>
      </c>
      <c r="Z33" s="259"/>
      <c r="AA33" s="191" t="str">
        <f>IF(AND('Resample Data Summary'!C160="PASS",Y33&lt;&gt;""),'Data - Sample Type 1'!HD114,"")</f>
        <v/>
      </c>
      <c r="AB33" s="264"/>
      <c r="AC33" s="151" t="str">
        <f>IF(AND('Resample Data Summary'!C160="PASS",'Data - Sample Type 1'!HK114&lt;&gt;0),'Data - Sample Type 1'!HK114,"")</f>
        <v/>
      </c>
      <c r="AD33" s="259"/>
      <c r="AE33" s="191" t="str">
        <f>IF(AND('Resample Data Summary'!C160="PASS",AC33&lt;&gt;""),'Data - Sample Type 1'!HL114,"")</f>
        <v/>
      </c>
      <c r="AF33" s="264"/>
      <c r="AG33" s="151" t="str">
        <f>IF(AND('Resample Data Summary'!C160="PASS",'Data - Sample Type 1'!HS114&lt;&gt;0),'Data - Sample Type 1'!HS114,"")</f>
        <v/>
      </c>
      <c r="AH33" s="259"/>
      <c r="AI33" s="191" t="str">
        <f>IF(AND('Resample Data Summary'!C160="PASS",AG33&lt;&gt;""),'Data - Sample Type 1'!HT114,"")</f>
        <v/>
      </c>
      <c r="AJ33" s="264"/>
      <c r="AK33" s="194" t="str">
        <f>IF('Resample Data Summary'!C160="PASS",IF('Data - Sample Type 1'!DK114=0,"",'Data - Sample Type 1'!DK114),"")</f>
        <v/>
      </c>
      <c r="AL33" s="259"/>
      <c r="AM33" s="151" t="str">
        <f>IF('Resample Data Summary'!C160="PASS",IF('Data - Sample Type 1'!DY114=0,"",'Data - Sample Type 1'!DY114),"")</f>
        <v/>
      </c>
      <c r="AN33" s="259"/>
      <c r="AO33" s="151" t="str">
        <f>IF('Resample Data Summary'!C160="PASS",IF('Data - Sample Type 1'!EM114=0,"",'Data - Sample Type 1'!EM114),"")</f>
        <v/>
      </c>
      <c r="AP33" s="280"/>
      <c r="AS33" s="65"/>
      <c r="AU33" s="257"/>
      <c r="AW33" s="257"/>
      <c r="AY33" s="257"/>
      <c r="BA33" s="257"/>
      <c r="BC33" s="257"/>
      <c r="BE33" s="257"/>
      <c r="BG33" s="257"/>
      <c r="BI33" s="257"/>
      <c r="BK33" s="257"/>
      <c r="BM33" s="257"/>
      <c r="BO33" s="257"/>
      <c r="BQ33" s="257"/>
      <c r="BS33" s="257"/>
      <c r="BU33" s="257"/>
    </row>
    <row r="34" spans="1:73" ht="13.5" thickBot="1" x14ac:dyDescent="0.25">
      <c r="A34" s="276"/>
      <c r="B34" s="151" t="str">
        <f>IF('Resample Data Summary'!C56="PASS",IF('Resample Data Summary'!A56="","",'Data - Sample Type 0'!Q135),"")</f>
        <v/>
      </c>
      <c r="C34" s="280"/>
      <c r="D34"/>
      <c r="E34"/>
      <c r="F34" s="278"/>
      <c r="G34" s="155" t="str">
        <f>IF(AND('Resample Data Summary'!C161="PASS",'Data - Sample Type 1'!FO115&lt;&gt;0),'Data - Sample Type 1'!FO115,"")</f>
        <v/>
      </c>
      <c r="H34" s="393"/>
      <c r="I34" s="171" t="str">
        <f>IF('Resample Data Summary'!C161="PASS",IF('Data - Sample Type 1'!AE115=0,"",'Data - Sample Type 1'!AE115),"")</f>
        <v/>
      </c>
      <c r="J34" s="393"/>
      <c r="K34" s="155" t="str">
        <f>IF(AND('Resample Data Summary'!C161="PASS",'Data - Sample Type 1'!FW115&lt;&gt;0),'Data - Sample Type 1'!FW115,"")</f>
        <v/>
      </c>
      <c r="L34" s="393"/>
      <c r="M34" s="193" t="str">
        <f>IF(AND('Resample Data Summary'!C161="PASS",K34&lt;&gt;""),'Data - Sample Type 1'!FX115,"")</f>
        <v/>
      </c>
      <c r="N34" s="392"/>
      <c r="O34" s="155" t="str">
        <f>IF(AND('Resample Data Summary'!C161="PASS",'Data - Sample Type 1'!GE115&lt;&gt;0),'Data - Sample Type 1'!GE115,"")</f>
        <v/>
      </c>
      <c r="P34" s="393"/>
      <c r="Q34" s="193" t="str">
        <f>IF(AND('Resample Data Summary'!C161="PASS",O34&lt;&gt;""),'Data - Sample Type 1'!GF115,"")</f>
        <v/>
      </c>
      <c r="R34" s="392"/>
      <c r="S34" s="155" t="str">
        <f>IF('Resample Data Summary'!C161="PASS",IF('Data - Sample Type 1'!BG115=0,"",'Data - Sample Type 1'!BG115),"")</f>
        <v/>
      </c>
      <c r="T34" s="393"/>
      <c r="U34" s="197" t="str">
        <f>IF(AND('Resample Data Summary'!C161="PASS",'Data - Sample Type 1'!GM115&lt;&gt;0),'Data - Sample Type 1'!GM115,"")</f>
        <v/>
      </c>
      <c r="V34" s="393"/>
      <c r="W34" s="155" t="str">
        <f>IF('Resample Data Summary'!C161="PASS",IF('Data - Sample Type 1'!BU115=0,"",'Data - Sample Type 1'!BU115),"")</f>
        <v/>
      </c>
      <c r="X34" s="393"/>
      <c r="Y34" s="155" t="str">
        <f>IF(AND('Resample Data Summary'!C161="PASS",'Data - Sample Type 1'!HC115&lt;&gt;0),'Data - Sample Type 1'!HC115,"")</f>
        <v/>
      </c>
      <c r="Z34" s="393"/>
      <c r="AA34" s="193" t="str">
        <f>IF(AND('Resample Data Summary'!C161="PASS",Y34&lt;&gt;""),'Data - Sample Type 1'!HD115,"")</f>
        <v/>
      </c>
      <c r="AB34" s="392"/>
      <c r="AC34" s="155" t="str">
        <f>IF(AND('Resample Data Summary'!C161="PASS",'Data - Sample Type 1'!HK115&lt;&gt;0),'Data - Sample Type 1'!HK115,"")</f>
        <v/>
      </c>
      <c r="AD34" s="393"/>
      <c r="AE34" s="193" t="str">
        <f>IF(AND('Resample Data Summary'!C161="PASS",AC34&lt;&gt;""),'Data - Sample Type 1'!HL115,"")</f>
        <v/>
      </c>
      <c r="AF34" s="392"/>
      <c r="AG34" s="155" t="str">
        <f>IF(AND('Resample Data Summary'!C161="PASS",'Data - Sample Type 1'!HS115&lt;&gt;0),'Data - Sample Type 1'!HS115,"")</f>
        <v/>
      </c>
      <c r="AH34" s="393"/>
      <c r="AI34" s="193" t="str">
        <f>IF(AND('Resample Data Summary'!C161="PASS",AG34&lt;&gt;""),'Data - Sample Type 1'!HT115,"")</f>
        <v/>
      </c>
      <c r="AJ34" s="392"/>
      <c r="AK34" s="197" t="str">
        <f>IF('Resample Data Summary'!C161="PASS",IF('Data - Sample Type 1'!DK115=0,"",'Data - Sample Type 1'!DK115),"")</f>
        <v/>
      </c>
      <c r="AL34" s="393"/>
      <c r="AM34" s="155" t="str">
        <f>IF('Resample Data Summary'!C161="PASS",IF('Data - Sample Type 1'!DY115=0,"",'Data - Sample Type 1'!DY115),"")</f>
        <v/>
      </c>
      <c r="AN34" s="393"/>
      <c r="AO34" s="155" t="str">
        <f>IF('Resample Data Summary'!C161="PASS",IF('Data - Sample Type 1'!EM115=0,"",'Data - Sample Type 1'!EM115),"")</f>
        <v/>
      </c>
      <c r="AP34" s="395"/>
      <c r="AS34" s="65"/>
      <c r="AU34" s="257"/>
      <c r="AW34" s="257"/>
      <c r="AY34" s="257"/>
      <c r="BA34" s="257"/>
      <c r="BC34" s="257"/>
      <c r="BE34" s="257"/>
      <c r="BG34" s="257"/>
      <c r="BI34" s="257"/>
      <c r="BK34" s="257"/>
      <c r="BM34" s="257"/>
      <c r="BO34" s="257"/>
      <c r="BQ34" s="257"/>
      <c r="BS34" s="257"/>
      <c r="BU34" s="257"/>
    </row>
    <row r="35" spans="1:73" x14ac:dyDescent="0.2">
      <c r="A35" s="276"/>
      <c r="B35" s="151" t="str">
        <f>IF('Resample Data Summary'!C57="PASS",IF('Resample Data Summary'!A57="","",'Data - Sample Type 0'!Q136),"")</f>
        <v/>
      </c>
      <c r="C35" s="280"/>
      <c r="D35"/>
      <c r="E35"/>
      <c r="F35" s="275">
        <v>5</v>
      </c>
      <c r="G35" s="154" t="str">
        <f>IF(AND('Resample Data Summary'!C162="PASS",'Data - Sample Type 1'!FO116&lt;&gt;0),'Data - Sample Type 1'!FO116,"")</f>
        <v/>
      </c>
      <c r="H35" s="258" t="e">
        <f t="shared" ref="H35" si="57">AVERAGE(G35:G42)</f>
        <v>#DIV/0!</v>
      </c>
      <c r="I35" s="170" t="str">
        <f>IF('Resample Data Summary'!C162="PASS",IF('Data - Sample Type 1'!AE116=0,"",'Data - Sample Type 1'!AE116),"")</f>
        <v/>
      </c>
      <c r="J35" s="258" t="e">
        <f t="shared" ref="J35" si="58">AVERAGE(I35:I42)</f>
        <v>#DIV/0!</v>
      </c>
      <c r="K35" s="154" t="str">
        <f>IF(AND('Resample Data Summary'!C162="PASS",'Data - Sample Type 1'!FW116&lt;&gt;0),'Data - Sample Type 1'!FW116,"")</f>
        <v/>
      </c>
      <c r="L35" s="258" t="e">
        <f t="shared" ref="L35" si="59">AVERAGE(K35:K42)</f>
        <v>#DIV/0!</v>
      </c>
      <c r="M35" s="190" t="str">
        <f>IF(AND('Resample Data Summary'!C162="PASS",K35&lt;&gt;""),'Data - Sample Type 1'!FX116,"")</f>
        <v/>
      </c>
      <c r="N35" s="263" t="e">
        <f t="shared" ref="N35" si="60">AVERAGE(M35:M42)</f>
        <v>#DIV/0!</v>
      </c>
      <c r="O35" s="154" t="str">
        <f>IF(AND('Resample Data Summary'!C162="PASS",'Data - Sample Type 1'!GE116&lt;&gt;0),'Data - Sample Type 1'!GE116,"")</f>
        <v/>
      </c>
      <c r="P35" s="258" t="e">
        <f t="shared" ref="P35" si="61">AVERAGE(O35:O42)</f>
        <v>#DIV/0!</v>
      </c>
      <c r="Q35" s="190" t="str">
        <f>IF(AND('Resample Data Summary'!C162="PASS",O35&lt;&gt;""),'Data - Sample Type 1'!GF116,"")</f>
        <v/>
      </c>
      <c r="R35" s="263" t="e">
        <f t="shared" ref="R35" si="62">AVERAGE(Q35:Q42)</f>
        <v>#DIV/0!</v>
      </c>
      <c r="S35" s="154" t="str">
        <f>IF('Resample Data Summary'!C162="PASS",IF('Data - Sample Type 1'!BG116=0,"",'Data - Sample Type 1'!BG116),"")</f>
        <v/>
      </c>
      <c r="T35" s="258" t="e">
        <f t="shared" ref="T35" si="63">AVERAGE(S35:S42)</f>
        <v>#DIV/0!</v>
      </c>
      <c r="U35" s="196" t="str">
        <f>IF(AND('Resample Data Summary'!C162="PASS",'Data - Sample Type 1'!GM116&lt;&gt;0),'Data - Sample Type 1'!GM116,"")</f>
        <v/>
      </c>
      <c r="V35" s="258" t="e">
        <f t="shared" ref="V35" si="64">AVERAGE(U35:U42)</f>
        <v>#DIV/0!</v>
      </c>
      <c r="W35" s="154" t="str">
        <f>IF('Resample Data Summary'!C162="PASS",IF('Data - Sample Type 1'!BU116=0,"",'Data - Sample Type 1'!BU116),"")</f>
        <v/>
      </c>
      <c r="X35" s="258" t="e">
        <f t="shared" ref="X35" si="65">AVERAGE(W35:W42)</f>
        <v>#DIV/0!</v>
      </c>
      <c r="Y35" s="154" t="str">
        <f>IF(AND('Resample Data Summary'!C162="PASS",'Data - Sample Type 1'!HC116&lt;&gt;0),'Data - Sample Type 1'!HC116,"")</f>
        <v/>
      </c>
      <c r="Z35" s="258" t="e">
        <f t="shared" ref="Z35" si="66">AVERAGE(Y35:Y42)</f>
        <v>#DIV/0!</v>
      </c>
      <c r="AA35" s="190" t="str">
        <f>IF(AND('Resample Data Summary'!C162="PASS",Y35&lt;&gt;""),'Data - Sample Type 1'!HD116,"")</f>
        <v/>
      </c>
      <c r="AB35" s="263" t="e">
        <f t="shared" ref="AB35" si="67">AVERAGE(AA35:AA42)</f>
        <v>#DIV/0!</v>
      </c>
      <c r="AC35" s="154" t="str">
        <f>IF(AND('Resample Data Summary'!C162="PASS",'Data - Sample Type 1'!HK116&lt;&gt;0),'Data - Sample Type 1'!HK116,"")</f>
        <v/>
      </c>
      <c r="AD35" s="258" t="e">
        <f t="shared" ref="AD35" si="68">AVERAGE(AC35:AC42)</f>
        <v>#DIV/0!</v>
      </c>
      <c r="AE35" s="190" t="str">
        <f>IF(AND('Resample Data Summary'!C162="PASS",AC35&lt;&gt;""),'Data - Sample Type 1'!HL116,"")</f>
        <v/>
      </c>
      <c r="AF35" s="263" t="e">
        <f t="shared" ref="AF35" si="69">AVERAGE(AE35:AE42)</f>
        <v>#DIV/0!</v>
      </c>
      <c r="AG35" s="154" t="str">
        <f>IF(AND('Resample Data Summary'!C162="PASS",'Data - Sample Type 1'!HS116&lt;&gt;0),'Data - Sample Type 1'!HS116,"")</f>
        <v/>
      </c>
      <c r="AH35" s="258" t="e">
        <f t="shared" ref="AH35" si="70">AVERAGE(AG35:AG42)</f>
        <v>#DIV/0!</v>
      </c>
      <c r="AI35" s="190" t="str">
        <f>IF(AND('Resample Data Summary'!C162="PASS",AG35&lt;&gt;""),'Data - Sample Type 1'!HT116,"")</f>
        <v/>
      </c>
      <c r="AJ35" s="263" t="e">
        <f t="shared" ref="AJ35" si="71">AVERAGE(AI35:AI42)</f>
        <v>#DIV/0!</v>
      </c>
      <c r="AK35" s="196" t="str">
        <f>IF('Resample Data Summary'!C162="PASS",IF('Data - Sample Type 1'!DK116=0,"",'Data - Sample Type 1'!DK116),"")</f>
        <v/>
      </c>
      <c r="AL35" s="258" t="e">
        <f t="shared" ref="AL35" si="72">AVERAGE(AK35:AK42)</f>
        <v>#DIV/0!</v>
      </c>
      <c r="AM35" s="154" t="str">
        <f>IF('Resample Data Summary'!C162="PASS",IF('Data - Sample Type 1'!DY116=0,"",'Data - Sample Type 1'!DY116),"")</f>
        <v/>
      </c>
      <c r="AN35" s="258" t="e">
        <f t="shared" ref="AN35" si="73">AVERAGE(AM35:AM42)</f>
        <v>#DIV/0!</v>
      </c>
      <c r="AO35" s="154" t="str">
        <f>IF('Resample Data Summary'!C162="PASS",IF('Data - Sample Type 1'!EM116=0,"",'Data - Sample Type 1'!EM116),"")</f>
        <v/>
      </c>
      <c r="AP35" s="279" t="e">
        <f t="shared" ref="AP35" si="74">AVERAGE(AO35:AO42)</f>
        <v>#DIV/0!</v>
      </c>
      <c r="AS35" s="65"/>
      <c r="AU35" s="257"/>
      <c r="AW35" s="257"/>
      <c r="AY35" s="257"/>
      <c r="BA35" s="257"/>
      <c r="BC35" s="257"/>
      <c r="BE35" s="257"/>
      <c r="BG35" s="257"/>
      <c r="BI35" s="257"/>
      <c r="BK35" s="257"/>
      <c r="BM35" s="257"/>
      <c r="BO35" s="257"/>
      <c r="BQ35" s="257"/>
      <c r="BS35" s="257"/>
      <c r="BU35" s="257"/>
    </row>
    <row r="36" spans="1:73" ht="14.1" customHeight="1" x14ac:dyDescent="0.2">
      <c r="A36" s="276"/>
      <c r="B36" s="151" t="str">
        <f>IF('Resample Data Summary'!C58="PASS",IF('Resample Data Summary'!A58="","",'Data - Sample Type 0'!Q137),"")</f>
        <v/>
      </c>
      <c r="C36" s="280"/>
      <c r="D36"/>
      <c r="E36"/>
      <c r="F36" s="276"/>
      <c r="G36" s="151" t="str">
        <f>IF(AND('Resample Data Summary'!C163="PASS",'Data - Sample Type 1'!FO117&lt;&gt;0),'Data - Sample Type 1'!FO117,"")</f>
        <v/>
      </c>
      <c r="H36" s="259"/>
      <c r="I36" s="102" t="str">
        <f>IF('Resample Data Summary'!C163="PASS",IF('Data - Sample Type 1'!AE117=0,"",'Data - Sample Type 1'!AE117),"")</f>
        <v/>
      </c>
      <c r="J36" s="259"/>
      <c r="K36" s="151" t="str">
        <f>IF(AND('Resample Data Summary'!C163="PASS",'Data - Sample Type 1'!FW117&lt;&gt;0),'Data - Sample Type 1'!FW117,"")</f>
        <v/>
      </c>
      <c r="L36" s="259"/>
      <c r="M36" s="191" t="str">
        <f>IF(AND('Resample Data Summary'!C163="PASS",K36&lt;&gt;""),'Data - Sample Type 1'!FX117,"")</f>
        <v/>
      </c>
      <c r="N36" s="264"/>
      <c r="O36" s="151" t="str">
        <f>IF(AND('Resample Data Summary'!C163="PASS",'Data - Sample Type 1'!GE117&lt;&gt;0),'Data - Sample Type 1'!GE117,"")</f>
        <v/>
      </c>
      <c r="P36" s="259"/>
      <c r="Q36" s="191" t="str">
        <f>IF(AND('Resample Data Summary'!C163="PASS",O36&lt;&gt;""),'Data - Sample Type 1'!GF117,"")</f>
        <v/>
      </c>
      <c r="R36" s="264"/>
      <c r="S36" s="151" t="str">
        <f>IF('Resample Data Summary'!C163="PASS",IF('Data - Sample Type 1'!BG117=0,"",'Data - Sample Type 1'!BG117),"")</f>
        <v/>
      </c>
      <c r="T36" s="259"/>
      <c r="U36" s="194" t="str">
        <f>IF(AND('Resample Data Summary'!C163="PASS",'Data - Sample Type 1'!GM117&lt;&gt;0),'Data - Sample Type 1'!GM117,"")</f>
        <v/>
      </c>
      <c r="V36" s="259"/>
      <c r="W36" s="151" t="str">
        <f>IF('Resample Data Summary'!C163="PASS",IF('Data - Sample Type 1'!BU117=0,"",'Data - Sample Type 1'!BU117),"")</f>
        <v/>
      </c>
      <c r="X36" s="259"/>
      <c r="Y36" s="151" t="str">
        <f>IF(AND('Resample Data Summary'!C163="PASS",'Data - Sample Type 1'!HC117&lt;&gt;0),'Data - Sample Type 1'!HC117,"")</f>
        <v/>
      </c>
      <c r="Z36" s="259"/>
      <c r="AA36" s="191" t="str">
        <f>IF(AND('Resample Data Summary'!C163="PASS",Y36&lt;&gt;""),'Data - Sample Type 1'!HD117,"")</f>
        <v/>
      </c>
      <c r="AB36" s="264"/>
      <c r="AC36" s="151" t="str">
        <f>IF(AND('Resample Data Summary'!C163="PASS",'Data - Sample Type 1'!HK117&lt;&gt;0),'Data - Sample Type 1'!HK117,"")</f>
        <v/>
      </c>
      <c r="AD36" s="259"/>
      <c r="AE36" s="191" t="str">
        <f>IF(AND('Resample Data Summary'!C163="PASS",AC36&lt;&gt;""),'Data - Sample Type 1'!HL117,"")</f>
        <v/>
      </c>
      <c r="AF36" s="264"/>
      <c r="AG36" s="151" t="str">
        <f>IF(AND('Resample Data Summary'!C163="PASS",'Data - Sample Type 1'!HS117&lt;&gt;0),'Data - Sample Type 1'!HS117,"")</f>
        <v/>
      </c>
      <c r="AH36" s="259"/>
      <c r="AI36" s="191" t="str">
        <f>IF(AND('Resample Data Summary'!C163="PASS",AG36&lt;&gt;""),'Data - Sample Type 1'!HT117,"")</f>
        <v/>
      </c>
      <c r="AJ36" s="264"/>
      <c r="AK36" s="194" t="str">
        <f>IF('Resample Data Summary'!C163="PASS",IF('Data - Sample Type 1'!DK117=0,"",'Data - Sample Type 1'!DK117),"")</f>
        <v/>
      </c>
      <c r="AL36" s="259"/>
      <c r="AM36" s="151" t="str">
        <f>IF('Resample Data Summary'!C163="PASS",IF('Data - Sample Type 1'!DY117=0,"",'Data - Sample Type 1'!DY117),"")</f>
        <v/>
      </c>
      <c r="AN36" s="259"/>
      <c r="AO36" s="151" t="str">
        <f>IF('Resample Data Summary'!C163="PASS",IF('Data - Sample Type 1'!EM117=0,"",'Data - Sample Type 1'!EM117),"")</f>
        <v/>
      </c>
      <c r="AP36" s="280"/>
      <c r="AS36" s="65"/>
      <c r="AU36" s="257"/>
      <c r="AW36" s="257"/>
      <c r="AY36" s="257"/>
      <c r="BA36" s="257"/>
      <c r="BC36" s="257"/>
      <c r="BE36" s="257"/>
      <c r="BG36" s="257"/>
      <c r="BI36" s="257"/>
      <c r="BK36" s="257"/>
      <c r="BM36" s="257"/>
      <c r="BO36" s="257"/>
      <c r="BQ36" s="257"/>
      <c r="BS36" s="257"/>
      <c r="BU36" s="257"/>
    </row>
    <row r="37" spans="1:73" x14ac:dyDescent="0.2">
      <c r="A37" s="276">
        <v>4</v>
      </c>
      <c r="B37" s="151" t="str">
        <f>IF('Resample Data Summary'!C59="PASS",IF('Resample Data Summary'!A59="","",'Data - Sample Type 0'!Q138),"")</f>
        <v/>
      </c>
      <c r="C37" s="280"/>
      <c r="D37"/>
      <c r="E37"/>
      <c r="F37" s="276"/>
      <c r="G37" s="151" t="str">
        <f>IF(AND('Resample Data Summary'!C164="PASS",'Data - Sample Type 1'!FO118&lt;&gt;0),'Data - Sample Type 1'!FO118,"")</f>
        <v/>
      </c>
      <c r="H37" s="259"/>
      <c r="I37" s="102" t="str">
        <f>IF('Resample Data Summary'!C164="PASS",IF('Data - Sample Type 1'!AE118=0,"",'Data - Sample Type 1'!AE118),"")</f>
        <v/>
      </c>
      <c r="J37" s="259"/>
      <c r="K37" s="151" t="str">
        <f>IF(AND('Resample Data Summary'!C164="PASS",'Data - Sample Type 1'!FW118&lt;&gt;0),'Data - Sample Type 1'!FW118,"")</f>
        <v/>
      </c>
      <c r="L37" s="259"/>
      <c r="M37" s="191" t="str">
        <f>IF(AND('Resample Data Summary'!C164="PASS",K37&lt;&gt;""),'Data - Sample Type 1'!FX118,"")</f>
        <v/>
      </c>
      <c r="N37" s="264"/>
      <c r="O37" s="151" t="str">
        <f>IF(AND('Resample Data Summary'!C164="PASS",'Data - Sample Type 1'!GE118&lt;&gt;0),'Data - Sample Type 1'!GE118,"")</f>
        <v/>
      </c>
      <c r="P37" s="259"/>
      <c r="Q37" s="191" t="str">
        <f>IF(AND('Resample Data Summary'!C164="PASS",O37&lt;&gt;""),'Data - Sample Type 1'!GF118,"")</f>
        <v/>
      </c>
      <c r="R37" s="264"/>
      <c r="S37" s="151" t="str">
        <f>IF('Resample Data Summary'!C164="PASS",IF('Data - Sample Type 1'!BG118=0,"",'Data - Sample Type 1'!BG118),"")</f>
        <v/>
      </c>
      <c r="T37" s="259"/>
      <c r="U37" s="194" t="str">
        <f>IF(AND('Resample Data Summary'!C164="PASS",'Data - Sample Type 1'!GM118&lt;&gt;0),'Data - Sample Type 1'!GM118,"")</f>
        <v/>
      </c>
      <c r="V37" s="259"/>
      <c r="W37" s="151" t="str">
        <f>IF('Resample Data Summary'!C164="PASS",IF('Data - Sample Type 1'!BU118=0,"",'Data - Sample Type 1'!BU118),"")</f>
        <v/>
      </c>
      <c r="X37" s="259"/>
      <c r="Y37" s="151" t="str">
        <f>IF(AND('Resample Data Summary'!C164="PASS",'Data - Sample Type 1'!HC118&lt;&gt;0),'Data - Sample Type 1'!HC118,"")</f>
        <v/>
      </c>
      <c r="Z37" s="259"/>
      <c r="AA37" s="191" t="str">
        <f>IF(AND('Resample Data Summary'!C164="PASS",Y37&lt;&gt;""),'Data - Sample Type 1'!HD118,"")</f>
        <v/>
      </c>
      <c r="AB37" s="264"/>
      <c r="AC37" s="151" t="str">
        <f>IF(AND('Resample Data Summary'!C164="PASS",'Data - Sample Type 1'!HK118&lt;&gt;0),'Data - Sample Type 1'!HK118,"")</f>
        <v/>
      </c>
      <c r="AD37" s="259"/>
      <c r="AE37" s="191" t="str">
        <f>IF(AND('Resample Data Summary'!C164="PASS",AC37&lt;&gt;""),'Data - Sample Type 1'!HL118,"")</f>
        <v/>
      </c>
      <c r="AF37" s="264"/>
      <c r="AG37" s="151" t="str">
        <f>IF(AND('Resample Data Summary'!C164="PASS",'Data - Sample Type 1'!HS118&lt;&gt;0),'Data - Sample Type 1'!HS118,"")</f>
        <v/>
      </c>
      <c r="AH37" s="259"/>
      <c r="AI37" s="191" t="str">
        <f>IF(AND('Resample Data Summary'!C164="PASS",AG37&lt;&gt;""),'Data - Sample Type 1'!HT118,"")</f>
        <v/>
      </c>
      <c r="AJ37" s="264"/>
      <c r="AK37" s="194" t="str">
        <f>IF('Resample Data Summary'!C164="PASS",IF('Data - Sample Type 1'!DK118=0,"",'Data - Sample Type 1'!DK118),"")</f>
        <v/>
      </c>
      <c r="AL37" s="259"/>
      <c r="AM37" s="151" t="str">
        <f>IF('Resample Data Summary'!C164="PASS",IF('Data - Sample Type 1'!DY118=0,"",'Data - Sample Type 1'!DY118),"")</f>
        <v/>
      </c>
      <c r="AN37" s="259"/>
      <c r="AO37" s="151" t="str">
        <f>IF('Resample Data Summary'!C164="PASS",IF('Data - Sample Type 1'!EM118=0,"",'Data - Sample Type 1'!EM118),"")</f>
        <v/>
      </c>
      <c r="AP37" s="280"/>
      <c r="AS37" s="65"/>
      <c r="AU37" s="257"/>
      <c r="AW37" s="257"/>
      <c r="AY37" s="257"/>
      <c r="BA37" s="257"/>
      <c r="BC37" s="257"/>
      <c r="BE37" s="257"/>
      <c r="BG37" s="257"/>
      <c r="BI37" s="257"/>
      <c r="BK37" s="257"/>
      <c r="BM37" s="257"/>
      <c r="BO37" s="257"/>
      <c r="BQ37" s="257"/>
      <c r="BS37" s="257"/>
      <c r="BU37" s="257"/>
    </row>
    <row r="38" spans="1:73" ht="13.35" customHeight="1" x14ac:dyDescent="0.2">
      <c r="A38" s="276"/>
      <c r="B38" s="151" t="str">
        <f>IF('Resample Data Summary'!C60="PASS",IF('Resample Data Summary'!A60="","",'Data - Sample Type 0'!Q139),"")</f>
        <v/>
      </c>
      <c r="C38" s="280" t="e">
        <f>IF(C33&lt;=Specifications!$G$20,"PASS","FAIL")</f>
        <v>#DIV/0!</v>
      </c>
      <c r="D38"/>
      <c r="E38"/>
      <c r="F38" s="276"/>
      <c r="G38" s="151" t="str">
        <f>IF(AND('Resample Data Summary'!C165="PASS",'Data - Sample Type 1'!FO119&lt;&gt;0),'Data - Sample Type 1'!FO119,"")</f>
        <v/>
      </c>
      <c r="H38" s="259"/>
      <c r="I38" s="102" t="str">
        <f>IF('Resample Data Summary'!C165="PASS",IF('Data - Sample Type 1'!AE119=0,"",'Data - Sample Type 1'!AE119),"")</f>
        <v/>
      </c>
      <c r="J38" s="259"/>
      <c r="K38" s="151" t="str">
        <f>IF(AND('Resample Data Summary'!C165="PASS",'Data - Sample Type 1'!FW119&lt;&gt;0),'Data - Sample Type 1'!FW119,"")</f>
        <v/>
      </c>
      <c r="L38" s="259"/>
      <c r="M38" s="191" t="str">
        <f>IF(AND('Resample Data Summary'!C165="PASS",K38&lt;&gt;""),'Data - Sample Type 1'!FX119,"")</f>
        <v/>
      </c>
      <c r="N38" s="264"/>
      <c r="O38" s="151" t="str">
        <f>IF(AND('Resample Data Summary'!C165="PASS",'Data - Sample Type 1'!GE119&lt;&gt;0),'Data - Sample Type 1'!GE119,"")</f>
        <v/>
      </c>
      <c r="P38" s="259"/>
      <c r="Q38" s="191" t="str">
        <f>IF(AND('Resample Data Summary'!C165="PASS",O38&lt;&gt;""),'Data - Sample Type 1'!GF119,"")</f>
        <v/>
      </c>
      <c r="R38" s="264"/>
      <c r="S38" s="151" t="str">
        <f>IF('Resample Data Summary'!C165="PASS",IF('Data - Sample Type 1'!BG119=0,"",'Data - Sample Type 1'!BG119),"")</f>
        <v/>
      </c>
      <c r="T38" s="259"/>
      <c r="U38" s="194" t="str">
        <f>IF(AND('Resample Data Summary'!C165="PASS",'Data - Sample Type 1'!GM119&lt;&gt;0),'Data - Sample Type 1'!GM119,"")</f>
        <v/>
      </c>
      <c r="V38" s="259"/>
      <c r="W38" s="151" t="str">
        <f>IF('Resample Data Summary'!C165="PASS",IF('Data - Sample Type 1'!BU119=0,"",'Data - Sample Type 1'!BU119),"")</f>
        <v/>
      </c>
      <c r="X38" s="259"/>
      <c r="Y38" s="151" t="str">
        <f>IF(AND('Resample Data Summary'!C165="PASS",'Data - Sample Type 1'!HC119&lt;&gt;0),'Data - Sample Type 1'!HC119,"")</f>
        <v/>
      </c>
      <c r="Z38" s="259"/>
      <c r="AA38" s="191" t="str">
        <f>IF(AND('Resample Data Summary'!C165="PASS",Y38&lt;&gt;""),'Data - Sample Type 1'!HD119,"")</f>
        <v/>
      </c>
      <c r="AB38" s="264"/>
      <c r="AC38" s="151" t="str">
        <f>IF(AND('Resample Data Summary'!C165="PASS",'Data - Sample Type 1'!HK119&lt;&gt;0),'Data - Sample Type 1'!HK119,"")</f>
        <v/>
      </c>
      <c r="AD38" s="259"/>
      <c r="AE38" s="191" t="str">
        <f>IF(AND('Resample Data Summary'!C165="PASS",AC38&lt;&gt;""),'Data - Sample Type 1'!HL119,"")</f>
        <v/>
      </c>
      <c r="AF38" s="264"/>
      <c r="AG38" s="151" t="str">
        <f>IF(AND('Resample Data Summary'!C165="PASS",'Data - Sample Type 1'!HS119&lt;&gt;0),'Data - Sample Type 1'!HS119,"")</f>
        <v/>
      </c>
      <c r="AH38" s="259"/>
      <c r="AI38" s="191" t="str">
        <f>IF(AND('Resample Data Summary'!C165="PASS",AG38&lt;&gt;""),'Data - Sample Type 1'!HT119,"")</f>
        <v/>
      </c>
      <c r="AJ38" s="264"/>
      <c r="AK38" s="194" t="str">
        <f>IF('Resample Data Summary'!C165="PASS",IF('Data - Sample Type 1'!DK119=0,"",'Data - Sample Type 1'!DK119),"")</f>
        <v/>
      </c>
      <c r="AL38" s="259"/>
      <c r="AM38" s="151" t="str">
        <f>IF('Resample Data Summary'!C165="PASS",IF('Data - Sample Type 1'!DY119=0,"",'Data - Sample Type 1'!DY119),"")</f>
        <v/>
      </c>
      <c r="AN38" s="259"/>
      <c r="AO38" s="151" t="str">
        <f>IF('Resample Data Summary'!C165="PASS",IF('Data - Sample Type 1'!EM119=0,"",'Data - Sample Type 1'!EM119),"")</f>
        <v/>
      </c>
      <c r="AP38" s="280"/>
      <c r="AS38" s="65"/>
      <c r="AU38" s="257"/>
      <c r="AW38" s="257"/>
      <c r="AY38" s="257"/>
      <c r="BA38" s="257"/>
      <c r="BC38" s="257"/>
      <c r="BE38" s="257"/>
      <c r="BG38" s="257"/>
      <c r="BI38" s="257"/>
      <c r="BK38" s="257"/>
      <c r="BM38" s="257"/>
      <c r="BO38" s="257"/>
      <c r="BQ38" s="257"/>
      <c r="BS38" s="257"/>
      <c r="BU38" s="257"/>
    </row>
    <row r="39" spans="1:73" x14ac:dyDescent="0.2">
      <c r="A39" s="276"/>
      <c r="B39" s="151" t="str">
        <f>IF('Resample Data Summary'!C61="PASS",IF('Resample Data Summary'!A61="","",'Data - Sample Type 0'!Q140),"")</f>
        <v/>
      </c>
      <c r="C39" s="280"/>
      <c r="D39"/>
      <c r="E39"/>
      <c r="F39" s="276"/>
      <c r="G39" s="151" t="str">
        <f>IF(AND('Resample Data Summary'!C166="PASS",'Data - Sample Type 1'!FO120&lt;&gt;0),'Data - Sample Type 1'!FO120,"")</f>
        <v/>
      </c>
      <c r="H39" s="259" t="e">
        <f>IF(AND(H35&gt;=Specifications!$C$21,H35&lt;=Specifications!$D$21),"PASS","FAIL")</f>
        <v>#DIV/0!</v>
      </c>
      <c r="I39" s="102" t="str">
        <f>IF('Resample Data Summary'!C166="PASS",IF('Data - Sample Type 1'!AE120=0,"",'Data - Sample Type 1'!AE120),"")</f>
        <v/>
      </c>
      <c r="J39" s="259" t="e">
        <f>IF(J35&lt;=Specifications!D$22,"PASS","FAIL")</f>
        <v>#DIV/0!</v>
      </c>
      <c r="K39" s="151" t="str">
        <f>IF(AND('Resample Data Summary'!C166="PASS",'Data - Sample Type 1'!FW120&lt;&gt;0),'Data - Sample Type 1'!FW120,"")</f>
        <v/>
      </c>
      <c r="L39" s="259" t="e">
        <f>IF(AND(L35&gt;=Specifications!$C$23,L35&lt;=Specifications!$D$23),"PASS","FAIL")</f>
        <v>#DIV/0!</v>
      </c>
      <c r="M39" s="191" t="str">
        <f>IF(AND('Resample Data Summary'!C166="PASS",K39&lt;&gt;""),'Data - Sample Type 1'!FX120,"")</f>
        <v/>
      </c>
      <c r="N39" s="391" t="s">
        <v>510</v>
      </c>
      <c r="O39" s="151" t="str">
        <f>IF(AND('Resample Data Summary'!C166="PASS",'Data - Sample Type 1'!GE120&lt;&gt;0),'Data - Sample Type 1'!GE120,"")</f>
        <v/>
      </c>
      <c r="P39" s="259" t="e">
        <f>IF(AND(P35&gt;=Specifications!$C$25,P35&lt;=Specifications!$D$25),"PASS","FAIL")</f>
        <v>#DIV/0!</v>
      </c>
      <c r="Q39" s="191" t="str">
        <f>IF(AND('Resample Data Summary'!C166="PASS",O39&lt;&gt;""),'Data - Sample Type 1'!GF120,"")</f>
        <v/>
      </c>
      <c r="R39" s="391" t="s">
        <v>510</v>
      </c>
      <c r="S39" s="151" t="str">
        <f>IF('Resample Data Summary'!C166="PASS",IF('Data - Sample Type 1'!BG120=0,"",'Data - Sample Type 1'!BG120),"")</f>
        <v/>
      </c>
      <c r="T39" s="259" t="e">
        <f>IF(T35&lt;=Specifications!D$27,"PASS","FAIL")</f>
        <v>#DIV/0!</v>
      </c>
      <c r="U39" s="194" t="str">
        <f>IF(AND('Resample Data Summary'!C166="PASS",'Data - Sample Type 1'!GM120&lt;&gt;0),'Data - Sample Type 1'!GM120,"")</f>
        <v/>
      </c>
      <c r="V39" s="259" t="e">
        <f>IF(AND(V35&gt;=Specifications!$C$28,V35&lt;=Specifications!$D$28),"PASS","FAIL")</f>
        <v>#DIV/0!</v>
      </c>
      <c r="W39" s="151" t="str">
        <f>IF('Resample Data Summary'!C166="PASS",IF('Data - Sample Type 1'!BU120=0,"",'Data - Sample Type 1'!BU120),"")</f>
        <v/>
      </c>
      <c r="X39" s="394" t="s">
        <v>510</v>
      </c>
      <c r="Y39" s="151" t="str">
        <f>IF(AND('Resample Data Summary'!C166="PASS",'Data - Sample Type 1'!HC120&lt;&gt;0),'Data - Sample Type 1'!HC120,"")</f>
        <v/>
      </c>
      <c r="Z39" s="259" t="e">
        <f>IF(AND(Z35&gt;=Specifications!$C$31,Z35&lt;=Specifications!$D$31),"PASS","FAIL")</f>
        <v>#DIV/0!</v>
      </c>
      <c r="AA39" s="191" t="str">
        <f>IF(AND('Resample Data Summary'!C166="PASS",Y39&lt;&gt;""),'Data - Sample Type 1'!HD120,"")</f>
        <v/>
      </c>
      <c r="AB39" s="391" t="s">
        <v>510</v>
      </c>
      <c r="AC39" s="151" t="str">
        <f>IF(AND('Resample Data Summary'!C166="PASS",'Data - Sample Type 1'!HK120&lt;&gt;0),'Data - Sample Type 1'!HK120,"")</f>
        <v/>
      </c>
      <c r="AD39" s="259" t="e">
        <f>IF(AND(AD35&gt;=Specifications!$C$33,AD35&lt;=Specifications!$D$33),"PASS","FAIL")</f>
        <v>#DIV/0!</v>
      </c>
      <c r="AE39" s="191" t="str">
        <f>IF(AND('Resample Data Summary'!C166="PASS",AC39&lt;&gt;""),'Data - Sample Type 1'!HL120,"")</f>
        <v/>
      </c>
      <c r="AF39" s="391" t="s">
        <v>510</v>
      </c>
      <c r="AG39" s="151" t="str">
        <f>IF(AND('Resample Data Summary'!C166="PASS",'Data - Sample Type 1'!HS120&lt;&gt;0),'Data - Sample Type 1'!HS120,"")</f>
        <v/>
      </c>
      <c r="AH39" s="259" t="e">
        <f>IF(AND(AH35&gt;=Specifications!$C$35,AH35&lt;=Specifications!$D$35),"PASS","FAIL")</f>
        <v>#DIV/0!</v>
      </c>
      <c r="AI39" s="191" t="str">
        <f>IF(AND('Resample Data Summary'!C166="PASS",AG39&lt;&gt;""),'Data - Sample Type 1'!HT120,"")</f>
        <v/>
      </c>
      <c r="AJ39" s="391" t="s">
        <v>510</v>
      </c>
      <c r="AK39" s="194" t="str">
        <f>IF('Resample Data Summary'!C166="PASS",IF('Data - Sample Type 1'!DK120=0,"",'Data - Sample Type 1'!DK120),"")</f>
        <v/>
      </c>
      <c r="AL39" s="259" t="e">
        <f>IF(AL35&lt;=Specifications!$D$37,"PASS","FAIL")</f>
        <v>#DIV/0!</v>
      </c>
      <c r="AM39" s="151" t="str">
        <f>IF('Resample Data Summary'!C166="PASS",IF('Data - Sample Type 1'!DY120=0,"",'Data - Sample Type 1'!DY120),"")</f>
        <v/>
      </c>
      <c r="AN39" s="259" t="e">
        <f>IF(AN35&lt;=Specifications!$D$38,"PASS","FAIL")</f>
        <v>#DIV/0!</v>
      </c>
      <c r="AO39" s="151" t="str">
        <f>IF('Resample Data Summary'!C166="PASS",IF('Data - Sample Type 1'!EM120=0,"",'Data - Sample Type 1'!EM120),"")</f>
        <v/>
      </c>
      <c r="AP39" s="280" t="e">
        <f>IF(AP35&lt;=Specifications!$D$39,"PASS","FAIL")</f>
        <v>#DIV/0!</v>
      </c>
      <c r="AS39" s="65"/>
      <c r="AU39" s="257"/>
      <c r="AW39" s="257"/>
      <c r="AY39" s="257"/>
      <c r="BA39" s="257"/>
      <c r="BC39" s="257"/>
      <c r="BE39" s="257"/>
      <c r="BG39" s="257"/>
      <c r="BI39" s="257"/>
      <c r="BK39" s="257"/>
      <c r="BM39" s="257"/>
      <c r="BO39" s="257"/>
      <c r="BQ39" s="257"/>
      <c r="BS39" s="257"/>
      <c r="BU39" s="257"/>
    </row>
    <row r="40" spans="1:73" x14ac:dyDescent="0.2">
      <c r="A40" s="276"/>
      <c r="B40" s="151" t="str">
        <f>IF('Resample Data Summary'!C62="PASS",IF('Resample Data Summary'!A62="","",'Data - Sample Type 0'!Q141),"")</f>
        <v/>
      </c>
      <c r="C40" s="280"/>
      <c r="D40"/>
      <c r="E40"/>
      <c r="F40" s="276"/>
      <c r="G40" s="151" t="str">
        <f>IF(AND('Resample Data Summary'!C167="PASS",'Data - Sample Type 1'!FO121&lt;&gt;0),'Data - Sample Type 1'!FO121,"")</f>
        <v/>
      </c>
      <c r="H40" s="259"/>
      <c r="I40" s="102" t="str">
        <f>IF('Resample Data Summary'!C167="PASS",IF('Data - Sample Type 1'!AE121=0,"",'Data - Sample Type 1'!AE121),"")</f>
        <v/>
      </c>
      <c r="J40" s="259"/>
      <c r="K40" s="151" t="str">
        <f>IF(AND('Resample Data Summary'!C167="PASS",'Data - Sample Type 1'!FW121&lt;&gt;0),'Data - Sample Type 1'!FW121,"")</f>
        <v/>
      </c>
      <c r="L40" s="259"/>
      <c r="M40" s="191" t="str">
        <f>IF(AND('Resample Data Summary'!C167="PASS",K40&lt;&gt;""),'Data - Sample Type 1'!FX121,"")</f>
        <v/>
      </c>
      <c r="N40" s="264"/>
      <c r="O40" s="151" t="str">
        <f>IF(AND('Resample Data Summary'!C167="PASS",'Data - Sample Type 1'!GE121&lt;&gt;0),'Data - Sample Type 1'!GE121,"")</f>
        <v/>
      </c>
      <c r="P40" s="259"/>
      <c r="Q40" s="191" t="str">
        <f>IF(AND('Resample Data Summary'!C167="PASS",O40&lt;&gt;""),'Data - Sample Type 1'!GF121,"")</f>
        <v/>
      </c>
      <c r="R40" s="264"/>
      <c r="S40" s="151" t="str">
        <f>IF('Resample Data Summary'!C167="PASS",IF('Data - Sample Type 1'!BG121=0,"",'Data - Sample Type 1'!BG121),"")</f>
        <v/>
      </c>
      <c r="T40" s="259"/>
      <c r="U40" s="194" t="str">
        <f>IF(AND('Resample Data Summary'!C167="PASS",'Data - Sample Type 1'!GM121&lt;&gt;0),'Data - Sample Type 1'!GM121,"")</f>
        <v/>
      </c>
      <c r="V40" s="259"/>
      <c r="W40" s="151" t="str">
        <f>IF('Resample Data Summary'!C167="PASS",IF('Data - Sample Type 1'!BU121=0,"",'Data - Sample Type 1'!BU121),"")</f>
        <v/>
      </c>
      <c r="X40" s="259"/>
      <c r="Y40" s="151" t="str">
        <f>IF(AND('Resample Data Summary'!C167="PASS",'Data - Sample Type 1'!HC121&lt;&gt;0),'Data - Sample Type 1'!HC121,"")</f>
        <v/>
      </c>
      <c r="Z40" s="259"/>
      <c r="AA40" s="191" t="str">
        <f>IF(AND('Resample Data Summary'!C167="PASS",Y40&lt;&gt;""),'Data - Sample Type 1'!HD121,"")</f>
        <v/>
      </c>
      <c r="AB40" s="264"/>
      <c r="AC40" s="151" t="str">
        <f>IF(AND('Resample Data Summary'!C167="PASS",'Data - Sample Type 1'!HK121&lt;&gt;0),'Data - Sample Type 1'!HK121,"")</f>
        <v/>
      </c>
      <c r="AD40" s="259"/>
      <c r="AE40" s="191" t="str">
        <f>IF(AND('Resample Data Summary'!C167="PASS",AC40&lt;&gt;""),'Data - Sample Type 1'!HL121,"")</f>
        <v/>
      </c>
      <c r="AF40" s="264"/>
      <c r="AG40" s="151" t="str">
        <f>IF(AND('Resample Data Summary'!C167="PASS",'Data - Sample Type 1'!HS121&lt;&gt;0),'Data - Sample Type 1'!HS121,"")</f>
        <v/>
      </c>
      <c r="AH40" s="259"/>
      <c r="AI40" s="191" t="str">
        <f>IF(AND('Resample Data Summary'!C167="PASS",AG40&lt;&gt;""),'Data - Sample Type 1'!HT121,"")</f>
        <v/>
      </c>
      <c r="AJ40" s="264"/>
      <c r="AK40" s="194" t="str">
        <f>IF('Resample Data Summary'!C167="PASS",IF('Data - Sample Type 1'!DK121=0,"",'Data - Sample Type 1'!DK121),"")</f>
        <v/>
      </c>
      <c r="AL40" s="259"/>
      <c r="AM40" s="151" t="str">
        <f>IF('Resample Data Summary'!C167="PASS",IF('Data - Sample Type 1'!DY121=0,"",'Data - Sample Type 1'!DY121),"")</f>
        <v/>
      </c>
      <c r="AN40" s="259"/>
      <c r="AO40" s="151" t="str">
        <f>IF('Resample Data Summary'!C167="PASS",IF('Data - Sample Type 1'!EM121=0,"",'Data - Sample Type 1'!EM121),"")</f>
        <v/>
      </c>
      <c r="AP40" s="280"/>
      <c r="AS40" s="65"/>
      <c r="AU40" s="257"/>
      <c r="AW40" s="257"/>
      <c r="AY40" s="257"/>
      <c r="BA40" s="257"/>
      <c r="BC40" s="257"/>
      <c r="BE40" s="257"/>
      <c r="BG40" s="257"/>
      <c r="BI40" s="257"/>
      <c r="BK40" s="257"/>
      <c r="BM40" s="257"/>
      <c r="BO40" s="257"/>
      <c r="BQ40" s="257"/>
      <c r="BS40" s="257"/>
      <c r="BU40" s="257"/>
    </row>
    <row r="41" spans="1:73" x14ac:dyDescent="0.2">
      <c r="A41" s="276"/>
      <c r="B41" s="151" t="str">
        <f>IF('Resample Data Summary'!C63="PASS",IF('Resample Data Summary'!A63="","",'Data - Sample Type 0'!Q142),"")</f>
        <v/>
      </c>
      <c r="C41" s="280"/>
      <c r="D41"/>
      <c r="E41"/>
      <c r="F41" s="276"/>
      <c r="G41" s="151" t="str">
        <f>IF(AND('Resample Data Summary'!C168="PASS",'Data - Sample Type 1'!FO122&lt;&gt;0),'Data - Sample Type 1'!FO122,"")</f>
        <v/>
      </c>
      <c r="H41" s="259"/>
      <c r="I41" s="102" t="str">
        <f>IF('Resample Data Summary'!C168="PASS",IF('Data - Sample Type 1'!AE122=0,"",'Data - Sample Type 1'!AE122),"")</f>
        <v/>
      </c>
      <c r="J41" s="259"/>
      <c r="K41" s="151" t="str">
        <f>IF(AND('Resample Data Summary'!C168="PASS",'Data - Sample Type 1'!FW122&lt;&gt;0),'Data - Sample Type 1'!FW122,"")</f>
        <v/>
      </c>
      <c r="L41" s="259"/>
      <c r="M41" s="191" t="str">
        <f>IF(AND('Resample Data Summary'!C168="PASS",K41&lt;&gt;""),'Data - Sample Type 1'!FX122,"")</f>
        <v/>
      </c>
      <c r="N41" s="264"/>
      <c r="O41" s="151" t="str">
        <f>IF(AND('Resample Data Summary'!C168="PASS",'Data - Sample Type 1'!GE122&lt;&gt;0),'Data - Sample Type 1'!GE122,"")</f>
        <v/>
      </c>
      <c r="P41" s="259"/>
      <c r="Q41" s="191" t="str">
        <f>IF(AND('Resample Data Summary'!C168="PASS",O41&lt;&gt;""),'Data - Sample Type 1'!GF122,"")</f>
        <v/>
      </c>
      <c r="R41" s="264"/>
      <c r="S41" s="151" t="str">
        <f>IF('Resample Data Summary'!C168="PASS",IF('Data - Sample Type 1'!BG122=0,"",'Data - Sample Type 1'!BG122),"")</f>
        <v/>
      </c>
      <c r="T41" s="259"/>
      <c r="U41" s="194" t="str">
        <f>IF(AND('Resample Data Summary'!C168="PASS",'Data - Sample Type 1'!GM122&lt;&gt;0),'Data - Sample Type 1'!GM122,"")</f>
        <v/>
      </c>
      <c r="V41" s="259"/>
      <c r="W41" s="151" t="str">
        <f>IF('Resample Data Summary'!C168="PASS",IF('Data - Sample Type 1'!BU122=0,"",'Data - Sample Type 1'!BU122),"")</f>
        <v/>
      </c>
      <c r="X41" s="259"/>
      <c r="Y41" s="151" t="str">
        <f>IF(AND('Resample Data Summary'!C168="PASS",'Data - Sample Type 1'!HC122&lt;&gt;0),'Data - Sample Type 1'!HC122,"")</f>
        <v/>
      </c>
      <c r="Z41" s="259"/>
      <c r="AA41" s="191" t="str">
        <f>IF(AND('Resample Data Summary'!C168="PASS",Y41&lt;&gt;""),'Data - Sample Type 1'!HD122,"")</f>
        <v/>
      </c>
      <c r="AB41" s="264"/>
      <c r="AC41" s="151" t="str">
        <f>IF(AND('Resample Data Summary'!C168="PASS",'Data - Sample Type 1'!HK122&lt;&gt;0),'Data - Sample Type 1'!HK122,"")</f>
        <v/>
      </c>
      <c r="AD41" s="259"/>
      <c r="AE41" s="191" t="str">
        <f>IF(AND('Resample Data Summary'!C168="PASS",AC41&lt;&gt;""),'Data - Sample Type 1'!HL122,"")</f>
        <v/>
      </c>
      <c r="AF41" s="264"/>
      <c r="AG41" s="151" t="str">
        <f>IF(AND('Resample Data Summary'!C168="PASS",'Data - Sample Type 1'!HS122&lt;&gt;0),'Data - Sample Type 1'!HS122,"")</f>
        <v/>
      </c>
      <c r="AH41" s="259"/>
      <c r="AI41" s="191" t="str">
        <f>IF(AND('Resample Data Summary'!C168="PASS",AG41&lt;&gt;""),'Data - Sample Type 1'!HT122,"")</f>
        <v/>
      </c>
      <c r="AJ41" s="264"/>
      <c r="AK41" s="194" t="str">
        <f>IF('Resample Data Summary'!C168="PASS",IF('Data - Sample Type 1'!DK122=0,"",'Data - Sample Type 1'!DK122),"")</f>
        <v/>
      </c>
      <c r="AL41" s="259"/>
      <c r="AM41" s="151" t="str">
        <f>IF('Resample Data Summary'!C168="PASS",IF('Data - Sample Type 1'!DY122=0,"",'Data - Sample Type 1'!DY122),"")</f>
        <v/>
      </c>
      <c r="AN41" s="259"/>
      <c r="AO41" s="151" t="str">
        <f>IF('Resample Data Summary'!C168="PASS",IF('Data - Sample Type 1'!EM122=0,"",'Data - Sample Type 1'!EM122),"")</f>
        <v/>
      </c>
      <c r="AP41" s="280"/>
      <c r="AS41" s="65"/>
      <c r="AU41" s="257"/>
      <c r="AW41" s="257"/>
      <c r="AY41" s="257"/>
      <c r="BA41" s="257"/>
      <c r="BC41" s="257"/>
      <c r="BE41" s="257"/>
      <c r="BG41" s="257"/>
      <c r="BI41" s="257"/>
      <c r="BK41" s="257"/>
      <c r="BM41" s="257"/>
      <c r="BO41" s="257"/>
      <c r="BQ41" s="257"/>
      <c r="BS41" s="257"/>
      <c r="BU41" s="257"/>
    </row>
    <row r="42" spans="1:73" ht="13.5" thickBot="1" x14ac:dyDescent="0.25">
      <c r="A42" s="278"/>
      <c r="B42" s="155" t="str">
        <f>IF('Resample Data Summary'!C64="PASS",IF('Resample Data Summary'!A64="","",'Data - Sample Type 0'!Q143),"")</f>
        <v/>
      </c>
      <c r="C42" s="389"/>
      <c r="D42"/>
      <c r="E42"/>
      <c r="F42" s="278"/>
      <c r="G42" s="155" t="str">
        <f>IF(AND('Resample Data Summary'!C169="PASS",'Data - Sample Type 1'!FO123&lt;&gt;0),'Data - Sample Type 1'!FO123,"")</f>
        <v/>
      </c>
      <c r="H42" s="393"/>
      <c r="I42" s="171" t="str">
        <f>IF('Resample Data Summary'!C169="PASS",IF('Data - Sample Type 1'!AE123=0,"",'Data - Sample Type 1'!AE123),"")</f>
        <v/>
      </c>
      <c r="J42" s="393"/>
      <c r="K42" s="155" t="str">
        <f>IF(AND('Resample Data Summary'!C169="PASS",'Data - Sample Type 1'!FW123&lt;&gt;0),'Data - Sample Type 1'!FW123,"")</f>
        <v/>
      </c>
      <c r="L42" s="393"/>
      <c r="M42" s="193" t="str">
        <f>IF(AND('Resample Data Summary'!C169="PASS",K42&lt;&gt;""),'Data - Sample Type 1'!FX123,"")</f>
        <v/>
      </c>
      <c r="N42" s="392"/>
      <c r="O42" s="155" t="str">
        <f>IF(AND('Resample Data Summary'!C169="PASS",'Data - Sample Type 1'!GE123&lt;&gt;0),'Data - Sample Type 1'!GE123,"")</f>
        <v/>
      </c>
      <c r="P42" s="393"/>
      <c r="Q42" s="193" t="str">
        <f>IF(AND('Resample Data Summary'!C169="PASS",O42&lt;&gt;""),'Data - Sample Type 1'!GF123,"")</f>
        <v/>
      </c>
      <c r="R42" s="392"/>
      <c r="S42" s="155" t="str">
        <f>IF('Resample Data Summary'!C169="PASS",IF('Data - Sample Type 1'!BG123=0,"",'Data - Sample Type 1'!BG123),"")</f>
        <v/>
      </c>
      <c r="T42" s="393"/>
      <c r="U42" s="197" t="str">
        <f>IF(AND('Resample Data Summary'!C169="PASS",'Data - Sample Type 1'!GM123&lt;&gt;0),'Data - Sample Type 1'!GM123,"")</f>
        <v/>
      </c>
      <c r="V42" s="393"/>
      <c r="W42" s="155" t="str">
        <f>IF('Resample Data Summary'!C169="PASS",IF('Data - Sample Type 1'!BU123=0,"",'Data - Sample Type 1'!BU123),"")</f>
        <v/>
      </c>
      <c r="X42" s="393"/>
      <c r="Y42" s="155" t="str">
        <f>IF(AND('Resample Data Summary'!C169="PASS",'Data - Sample Type 1'!HC123&lt;&gt;0),'Data - Sample Type 1'!HC123,"")</f>
        <v/>
      </c>
      <c r="Z42" s="393"/>
      <c r="AA42" s="193" t="str">
        <f>IF(AND('Resample Data Summary'!C169="PASS",Y42&lt;&gt;""),'Data - Sample Type 1'!HD123,"")</f>
        <v/>
      </c>
      <c r="AB42" s="392"/>
      <c r="AC42" s="155" t="str">
        <f>IF(AND('Resample Data Summary'!C169="PASS",'Data - Sample Type 1'!HK123&lt;&gt;0),'Data - Sample Type 1'!HK123,"")</f>
        <v/>
      </c>
      <c r="AD42" s="393"/>
      <c r="AE42" s="193" t="str">
        <f>IF(AND('Resample Data Summary'!C169="PASS",AC42&lt;&gt;""),'Data - Sample Type 1'!HL123,"")</f>
        <v/>
      </c>
      <c r="AF42" s="392"/>
      <c r="AG42" s="155" t="str">
        <f>IF(AND('Resample Data Summary'!C169="PASS",'Data - Sample Type 1'!HS123&lt;&gt;0),'Data - Sample Type 1'!HS123,"")</f>
        <v/>
      </c>
      <c r="AH42" s="393"/>
      <c r="AI42" s="193" t="str">
        <f>IF(AND('Resample Data Summary'!C169="PASS",AG42&lt;&gt;""),'Data - Sample Type 1'!HT123,"")</f>
        <v/>
      </c>
      <c r="AJ42" s="392"/>
      <c r="AK42" s="197" t="str">
        <f>IF('Resample Data Summary'!C169="PASS",IF('Data - Sample Type 1'!DK123=0,"",'Data - Sample Type 1'!DK123),"")</f>
        <v/>
      </c>
      <c r="AL42" s="393"/>
      <c r="AM42" s="155" t="str">
        <f>IF('Resample Data Summary'!C169="PASS",IF('Data - Sample Type 1'!DY123=0,"",'Data - Sample Type 1'!DY123),"")</f>
        <v/>
      </c>
      <c r="AN42" s="393"/>
      <c r="AO42" s="155" t="str">
        <f>IF('Resample Data Summary'!C169="PASS",IF('Data - Sample Type 1'!EM123=0,"",'Data - Sample Type 1'!EM123),"")</f>
        <v/>
      </c>
      <c r="AP42" s="395"/>
      <c r="AS42" s="65"/>
      <c r="AU42" s="257"/>
      <c r="AW42" s="257"/>
      <c r="AY42" s="257"/>
      <c r="BA42" s="257"/>
      <c r="BC42" s="257"/>
      <c r="BE42" s="257"/>
      <c r="BG42" s="257"/>
      <c r="BI42" s="257"/>
      <c r="BK42" s="257"/>
      <c r="BM42" s="257"/>
      <c r="BO42" s="257"/>
      <c r="BQ42" s="257"/>
      <c r="BS42" s="257"/>
      <c r="BU42" s="257"/>
    </row>
    <row r="43" spans="1:73" ht="14.1" customHeight="1" x14ac:dyDescent="0.2">
      <c r="A43" s="275">
        <v>5</v>
      </c>
      <c r="B43" s="154" t="str">
        <f>IF('Resample Data Summary'!C65="PASS",IF('Resample Data Summary'!A65="","",'Data - Sample Type 0'!Q144),"")</f>
        <v/>
      </c>
      <c r="C43" s="279" t="e">
        <f t="shared" ref="C43" si="75">AVERAGE(B43:B52)</f>
        <v>#DIV/0!</v>
      </c>
      <c r="D43"/>
      <c r="E43"/>
      <c r="F43" s="275">
        <v>6</v>
      </c>
      <c r="G43" s="154" t="str">
        <f>IF(AND('Resample Data Summary'!C170="PASS",'Data - Sample Type 1'!FO124&lt;&gt;0),'Data - Sample Type 1'!FO124,"")</f>
        <v/>
      </c>
      <c r="H43" s="258" t="e">
        <f t="shared" ref="H43" si="76">AVERAGE(G43:G50)</f>
        <v>#DIV/0!</v>
      </c>
      <c r="I43" s="170" t="str">
        <f>IF('Resample Data Summary'!C170="PASS",IF('Data - Sample Type 1'!AE124=0,"",'Data - Sample Type 1'!AE124),"")</f>
        <v/>
      </c>
      <c r="J43" s="258" t="e">
        <f t="shared" ref="J43" si="77">AVERAGE(I43:I50)</f>
        <v>#DIV/0!</v>
      </c>
      <c r="K43" s="154" t="str">
        <f>IF(AND('Resample Data Summary'!C170="PASS",'Data - Sample Type 1'!FW124&lt;&gt;0),'Data - Sample Type 1'!FW124,"")</f>
        <v/>
      </c>
      <c r="L43" s="258" t="e">
        <f t="shared" ref="L43" si="78">AVERAGE(K43:K50)</f>
        <v>#DIV/0!</v>
      </c>
      <c r="M43" s="190" t="str">
        <f>IF(AND('Resample Data Summary'!C170="PASS",K43&lt;&gt;""),'Data - Sample Type 1'!FX124,"")</f>
        <v/>
      </c>
      <c r="N43" s="263" t="e">
        <f t="shared" ref="N43" si="79">AVERAGE(M43:M50)</f>
        <v>#DIV/0!</v>
      </c>
      <c r="O43" s="154" t="str">
        <f>IF(AND('Resample Data Summary'!C170="PASS",'Data - Sample Type 1'!GE124&lt;&gt;0),'Data - Sample Type 1'!GE124,"")</f>
        <v/>
      </c>
      <c r="P43" s="258" t="e">
        <f t="shared" ref="P43" si="80">AVERAGE(O43:O50)</f>
        <v>#DIV/0!</v>
      </c>
      <c r="Q43" s="190" t="str">
        <f>IF(AND('Resample Data Summary'!C170="PASS",O43&lt;&gt;""),'Data - Sample Type 1'!GF124,"")</f>
        <v/>
      </c>
      <c r="R43" s="263" t="e">
        <f t="shared" ref="R43" si="81">AVERAGE(Q43:Q50)</f>
        <v>#DIV/0!</v>
      </c>
      <c r="S43" s="154" t="str">
        <f>IF('Resample Data Summary'!C170="PASS",IF('Data - Sample Type 1'!BG124=0,"",'Data - Sample Type 1'!BG124),"")</f>
        <v/>
      </c>
      <c r="T43" s="258" t="e">
        <f t="shared" ref="T43" si="82">AVERAGE(S43:S50)</f>
        <v>#DIV/0!</v>
      </c>
      <c r="U43" s="196" t="str">
        <f>IF(AND('Resample Data Summary'!C170="PASS",'Data - Sample Type 1'!GM124&lt;&gt;0),'Data - Sample Type 1'!GM124,"")</f>
        <v/>
      </c>
      <c r="V43" s="258" t="e">
        <f t="shared" ref="V43" si="83">AVERAGE(U43:U50)</f>
        <v>#DIV/0!</v>
      </c>
      <c r="W43" s="154" t="str">
        <f>IF('Resample Data Summary'!C170="PASS",IF('Data - Sample Type 1'!BU124=0,"",'Data - Sample Type 1'!BU124),"")</f>
        <v/>
      </c>
      <c r="X43" s="258" t="e">
        <f t="shared" ref="X43" si="84">AVERAGE(W43:W50)</f>
        <v>#DIV/0!</v>
      </c>
      <c r="Y43" s="154" t="str">
        <f>IF(AND('Resample Data Summary'!C170="PASS",'Data - Sample Type 1'!HC124&lt;&gt;0),'Data - Sample Type 1'!HC124,"")</f>
        <v/>
      </c>
      <c r="Z43" s="258" t="e">
        <f t="shared" ref="Z43" si="85">AVERAGE(Y43:Y50)</f>
        <v>#DIV/0!</v>
      </c>
      <c r="AA43" s="190" t="str">
        <f>IF(AND('Resample Data Summary'!C170="PASS",Y43&lt;&gt;""),'Data - Sample Type 1'!HD124,"")</f>
        <v/>
      </c>
      <c r="AB43" s="263" t="e">
        <f t="shared" ref="AB43" si="86">AVERAGE(AA43:AA50)</f>
        <v>#DIV/0!</v>
      </c>
      <c r="AC43" s="154" t="str">
        <f>IF(AND('Resample Data Summary'!C170="PASS",'Data - Sample Type 1'!HK124&lt;&gt;0),'Data - Sample Type 1'!HK124,"")</f>
        <v/>
      </c>
      <c r="AD43" s="258" t="e">
        <f t="shared" ref="AD43" si="87">AVERAGE(AC43:AC50)</f>
        <v>#DIV/0!</v>
      </c>
      <c r="AE43" s="190" t="str">
        <f>IF(AND('Resample Data Summary'!C170="PASS",AC43&lt;&gt;""),'Data - Sample Type 1'!HL124,"")</f>
        <v/>
      </c>
      <c r="AF43" s="263" t="e">
        <f t="shared" ref="AF43" si="88">AVERAGE(AE43:AE50)</f>
        <v>#DIV/0!</v>
      </c>
      <c r="AG43" s="154" t="str">
        <f>IF(AND('Resample Data Summary'!C170="PASS",'Data - Sample Type 1'!HS124&lt;&gt;0),'Data - Sample Type 1'!HS124,"")</f>
        <v/>
      </c>
      <c r="AH43" s="258" t="e">
        <f t="shared" ref="AH43" si="89">AVERAGE(AG43:AG50)</f>
        <v>#DIV/0!</v>
      </c>
      <c r="AI43" s="190" t="str">
        <f>IF(AND('Resample Data Summary'!C170="PASS",AG43&lt;&gt;""),'Data - Sample Type 1'!HT124,"")</f>
        <v/>
      </c>
      <c r="AJ43" s="263" t="e">
        <f t="shared" ref="AJ43" si="90">AVERAGE(AI43:AI50)</f>
        <v>#DIV/0!</v>
      </c>
      <c r="AK43" s="196" t="str">
        <f>IF('Resample Data Summary'!C170="PASS",IF('Data - Sample Type 1'!DK124=0,"",'Data - Sample Type 1'!DK124),"")</f>
        <v/>
      </c>
      <c r="AL43" s="258" t="e">
        <f t="shared" ref="AL43" si="91">AVERAGE(AK43:AK50)</f>
        <v>#DIV/0!</v>
      </c>
      <c r="AM43" s="154" t="str">
        <f>IF('Resample Data Summary'!C170="PASS",IF('Data - Sample Type 1'!DY124=0,"",'Data - Sample Type 1'!DY124),"")</f>
        <v/>
      </c>
      <c r="AN43" s="258" t="e">
        <f t="shared" ref="AN43" si="92">AVERAGE(AM43:AM50)</f>
        <v>#DIV/0!</v>
      </c>
      <c r="AO43" s="154" t="str">
        <f>IF('Resample Data Summary'!C170="PASS",IF('Data - Sample Type 1'!EM124=0,"",'Data - Sample Type 1'!EM124),"")</f>
        <v/>
      </c>
      <c r="AP43" s="279" t="e">
        <f t="shared" ref="AP43" si="93">AVERAGE(AO43:AO50)</f>
        <v>#DIV/0!</v>
      </c>
      <c r="AS43" s="65"/>
      <c r="AU43" s="257"/>
      <c r="AW43" s="257"/>
      <c r="AY43" s="257"/>
      <c r="BA43" s="257"/>
      <c r="BC43" s="257"/>
      <c r="BE43" s="257"/>
      <c r="BG43" s="257"/>
      <c r="BI43" s="257"/>
      <c r="BK43" s="257"/>
      <c r="BM43" s="257"/>
      <c r="BO43" s="257"/>
      <c r="BQ43" s="257"/>
      <c r="BS43" s="257"/>
      <c r="BU43" s="257"/>
    </row>
    <row r="44" spans="1:73" x14ac:dyDescent="0.2">
      <c r="A44" s="276"/>
      <c r="B44" s="151" t="str">
        <f>IF('Resample Data Summary'!C66="PASS",IF('Resample Data Summary'!A66="","",'Data - Sample Type 0'!Q145),"")</f>
        <v/>
      </c>
      <c r="C44" s="280"/>
      <c r="D44"/>
      <c r="E44"/>
      <c r="F44" s="276"/>
      <c r="G44" s="151" t="str">
        <f>IF(AND('Resample Data Summary'!C171="PASS",'Data - Sample Type 1'!FO125&lt;&gt;0),'Data - Sample Type 1'!FO125,"")</f>
        <v/>
      </c>
      <c r="H44" s="259"/>
      <c r="I44" s="102" t="str">
        <f>IF('Resample Data Summary'!C171="PASS",IF('Data - Sample Type 1'!AE125=0,"",'Data - Sample Type 1'!AE125),"")</f>
        <v/>
      </c>
      <c r="J44" s="259"/>
      <c r="K44" s="151" t="str">
        <f>IF(AND('Resample Data Summary'!C171="PASS",'Data - Sample Type 1'!FW125&lt;&gt;0),'Data - Sample Type 1'!FW125,"")</f>
        <v/>
      </c>
      <c r="L44" s="259"/>
      <c r="M44" s="191" t="str">
        <f>IF(AND('Resample Data Summary'!C171="PASS",K44&lt;&gt;""),'Data - Sample Type 1'!FX125,"")</f>
        <v/>
      </c>
      <c r="N44" s="264"/>
      <c r="O44" s="151" t="str">
        <f>IF(AND('Resample Data Summary'!C171="PASS",'Data - Sample Type 1'!GE125&lt;&gt;0),'Data - Sample Type 1'!GE125,"")</f>
        <v/>
      </c>
      <c r="P44" s="259"/>
      <c r="Q44" s="191" t="str">
        <f>IF(AND('Resample Data Summary'!C171="PASS",O44&lt;&gt;""),'Data - Sample Type 1'!GF125,"")</f>
        <v/>
      </c>
      <c r="R44" s="264"/>
      <c r="S44" s="151" t="str">
        <f>IF('Resample Data Summary'!C171="PASS",IF('Data - Sample Type 1'!BG125=0,"",'Data - Sample Type 1'!BG125),"")</f>
        <v/>
      </c>
      <c r="T44" s="259"/>
      <c r="U44" s="194" t="str">
        <f>IF(AND('Resample Data Summary'!C171="PASS",'Data - Sample Type 1'!GM125&lt;&gt;0),'Data - Sample Type 1'!GM125,"")</f>
        <v/>
      </c>
      <c r="V44" s="259"/>
      <c r="W44" s="151" t="str">
        <f>IF('Resample Data Summary'!C171="PASS",IF('Data - Sample Type 1'!BU125=0,"",'Data - Sample Type 1'!BU125),"")</f>
        <v/>
      </c>
      <c r="X44" s="259"/>
      <c r="Y44" s="151" t="str">
        <f>IF(AND('Resample Data Summary'!C171="PASS",'Data - Sample Type 1'!HC125&lt;&gt;0),'Data - Sample Type 1'!HC125,"")</f>
        <v/>
      </c>
      <c r="Z44" s="259"/>
      <c r="AA44" s="191" t="str">
        <f>IF(AND('Resample Data Summary'!C171="PASS",Y44&lt;&gt;""),'Data - Sample Type 1'!HD125,"")</f>
        <v/>
      </c>
      <c r="AB44" s="264"/>
      <c r="AC44" s="151" t="str">
        <f>IF(AND('Resample Data Summary'!C171="PASS",'Data - Sample Type 1'!HK125&lt;&gt;0),'Data - Sample Type 1'!HK125,"")</f>
        <v/>
      </c>
      <c r="AD44" s="259"/>
      <c r="AE44" s="191" t="str">
        <f>IF(AND('Resample Data Summary'!C171="PASS",AC44&lt;&gt;""),'Data - Sample Type 1'!HL125,"")</f>
        <v/>
      </c>
      <c r="AF44" s="264"/>
      <c r="AG44" s="151" t="str">
        <f>IF(AND('Resample Data Summary'!C171="PASS",'Data - Sample Type 1'!HS125&lt;&gt;0),'Data - Sample Type 1'!HS125,"")</f>
        <v/>
      </c>
      <c r="AH44" s="259"/>
      <c r="AI44" s="191" t="str">
        <f>IF(AND('Resample Data Summary'!C171="PASS",AG44&lt;&gt;""),'Data - Sample Type 1'!HT125,"")</f>
        <v/>
      </c>
      <c r="AJ44" s="264"/>
      <c r="AK44" s="194" t="str">
        <f>IF('Resample Data Summary'!C171="PASS",IF('Data - Sample Type 1'!DK125=0,"",'Data - Sample Type 1'!DK125),"")</f>
        <v/>
      </c>
      <c r="AL44" s="259"/>
      <c r="AM44" s="151" t="str">
        <f>IF('Resample Data Summary'!C171="PASS",IF('Data - Sample Type 1'!DY125=0,"",'Data - Sample Type 1'!DY125),"")</f>
        <v/>
      </c>
      <c r="AN44" s="259"/>
      <c r="AO44" s="151" t="str">
        <f>IF('Resample Data Summary'!C171="PASS",IF('Data - Sample Type 1'!EM125=0,"",'Data - Sample Type 1'!EM125),"")</f>
        <v/>
      </c>
      <c r="AP44" s="280"/>
      <c r="AS44" s="65"/>
      <c r="AU44" s="257"/>
      <c r="AW44" s="257"/>
      <c r="AY44" s="257"/>
      <c r="BA44" s="257"/>
      <c r="BC44" s="257"/>
      <c r="BE44" s="257"/>
      <c r="BG44" s="257"/>
      <c r="BI44" s="257"/>
      <c r="BK44" s="257"/>
      <c r="BM44" s="257"/>
      <c r="BO44" s="257"/>
      <c r="BQ44" s="257"/>
      <c r="BS44" s="257"/>
      <c r="BU44" s="257"/>
    </row>
    <row r="45" spans="1:73" ht="13.35" customHeight="1" x14ac:dyDescent="0.2">
      <c r="A45" s="276"/>
      <c r="B45" s="151" t="str">
        <f>IF('Resample Data Summary'!C67="PASS",IF('Resample Data Summary'!A67="","",'Data - Sample Type 0'!Q146),"")</f>
        <v/>
      </c>
      <c r="C45" s="280"/>
      <c r="D45"/>
      <c r="E45"/>
      <c r="F45" s="276"/>
      <c r="G45" s="151" t="str">
        <f>IF(AND('Resample Data Summary'!C172="PASS",'Data - Sample Type 1'!FO126&lt;&gt;0),'Data - Sample Type 1'!FO126,"")</f>
        <v/>
      </c>
      <c r="H45" s="259"/>
      <c r="I45" s="102" t="str">
        <f>IF('Resample Data Summary'!C172="PASS",IF('Data - Sample Type 1'!AE126=0,"",'Data - Sample Type 1'!AE126),"")</f>
        <v/>
      </c>
      <c r="J45" s="259"/>
      <c r="K45" s="151" t="str">
        <f>IF(AND('Resample Data Summary'!C172="PASS",'Data - Sample Type 1'!FW126&lt;&gt;0),'Data - Sample Type 1'!FW126,"")</f>
        <v/>
      </c>
      <c r="L45" s="259"/>
      <c r="M45" s="191" t="str">
        <f>IF(AND('Resample Data Summary'!C172="PASS",K45&lt;&gt;""),'Data - Sample Type 1'!FX126,"")</f>
        <v/>
      </c>
      <c r="N45" s="264"/>
      <c r="O45" s="151" t="str">
        <f>IF(AND('Resample Data Summary'!C172="PASS",'Data - Sample Type 1'!GE126&lt;&gt;0),'Data - Sample Type 1'!GE126,"")</f>
        <v/>
      </c>
      <c r="P45" s="259"/>
      <c r="Q45" s="191" t="str">
        <f>IF(AND('Resample Data Summary'!C172="PASS",O45&lt;&gt;""),'Data - Sample Type 1'!GF126,"")</f>
        <v/>
      </c>
      <c r="R45" s="264"/>
      <c r="S45" s="151" t="str">
        <f>IF('Resample Data Summary'!C172="PASS",IF('Data - Sample Type 1'!BG126=0,"",'Data - Sample Type 1'!BG126),"")</f>
        <v/>
      </c>
      <c r="T45" s="259"/>
      <c r="U45" s="194" t="str">
        <f>IF(AND('Resample Data Summary'!C172="PASS",'Data - Sample Type 1'!GM126&lt;&gt;0),'Data - Sample Type 1'!GM126,"")</f>
        <v/>
      </c>
      <c r="V45" s="259"/>
      <c r="W45" s="151" t="str">
        <f>IF('Resample Data Summary'!C172="PASS",IF('Data - Sample Type 1'!BU126=0,"",'Data - Sample Type 1'!BU126),"")</f>
        <v/>
      </c>
      <c r="X45" s="259"/>
      <c r="Y45" s="151" t="str">
        <f>IF(AND('Resample Data Summary'!C172="PASS",'Data - Sample Type 1'!HC126&lt;&gt;0),'Data - Sample Type 1'!HC126,"")</f>
        <v/>
      </c>
      <c r="Z45" s="259"/>
      <c r="AA45" s="191" t="str">
        <f>IF(AND('Resample Data Summary'!C172="PASS",Y45&lt;&gt;""),'Data - Sample Type 1'!HD126,"")</f>
        <v/>
      </c>
      <c r="AB45" s="264"/>
      <c r="AC45" s="151" t="str">
        <f>IF(AND('Resample Data Summary'!C172="PASS",'Data - Sample Type 1'!HK126&lt;&gt;0),'Data - Sample Type 1'!HK126,"")</f>
        <v/>
      </c>
      <c r="AD45" s="259"/>
      <c r="AE45" s="191" t="str">
        <f>IF(AND('Resample Data Summary'!C172="PASS",AC45&lt;&gt;""),'Data - Sample Type 1'!HL126,"")</f>
        <v/>
      </c>
      <c r="AF45" s="264"/>
      <c r="AG45" s="151" t="str">
        <f>IF(AND('Resample Data Summary'!C172="PASS",'Data - Sample Type 1'!HS126&lt;&gt;0),'Data - Sample Type 1'!HS126,"")</f>
        <v/>
      </c>
      <c r="AH45" s="259"/>
      <c r="AI45" s="191" t="str">
        <f>IF(AND('Resample Data Summary'!C172="PASS",AG45&lt;&gt;""),'Data - Sample Type 1'!HT126,"")</f>
        <v/>
      </c>
      <c r="AJ45" s="264"/>
      <c r="AK45" s="194" t="str">
        <f>IF('Resample Data Summary'!C172="PASS",IF('Data - Sample Type 1'!DK126=0,"",'Data - Sample Type 1'!DK126),"")</f>
        <v/>
      </c>
      <c r="AL45" s="259"/>
      <c r="AM45" s="151" t="str">
        <f>IF('Resample Data Summary'!C172="PASS",IF('Data - Sample Type 1'!DY126=0,"",'Data - Sample Type 1'!DY126),"")</f>
        <v/>
      </c>
      <c r="AN45" s="259"/>
      <c r="AO45" s="151" t="str">
        <f>IF('Resample Data Summary'!C172="PASS",IF('Data - Sample Type 1'!EM126=0,"",'Data - Sample Type 1'!EM126),"")</f>
        <v/>
      </c>
      <c r="AP45" s="280"/>
      <c r="AS45" s="65"/>
      <c r="AU45" s="257"/>
      <c r="AW45" s="257"/>
      <c r="AY45" s="257"/>
      <c r="BA45" s="257"/>
      <c r="BC45" s="257"/>
      <c r="BE45" s="257"/>
      <c r="BG45" s="257"/>
      <c r="BI45" s="257"/>
      <c r="BK45" s="257"/>
      <c r="BM45" s="257"/>
      <c r="BO45" s="257"/>
      <c r="BQ45" s="257"/>
      <c r="BS45" s="257"/>
      <c r="BU45" s="257"/>
    </row>
    <row r="46" spans="1:73" x14ac:dyDescent="0.2">
      <c r="A46" s="276"/>
      <c r="B46" s="151" t="str">
        <f>IF('Resample Data Summary'!C68="PASS",IF('Resample Data Summary'!A68="","",'Data - Sample Type 0'!Q147),"")</f>
        <v/>
      </c>
      <c r="C46" s="280"/>
      <c r="D46"/>
      <c r="E46"/>
      <c r="F46" s="276"/>
      <c r="G46" s="151" t="str">
        <f>IF(AND('Resample Data Summary'!C173="PASS",'Data - Sample Type 1'!FO127&lt;&gt;0),'Data - Sample Type 1'!FO127,"")</f>
        <v/>
      </c>
      <c r="H46" s="259"/>
      <c r="I46" s="102" t="str">
        <f>IF('Resample Data Summary'!C173="PASS",IF('Data - Sample Type 1'!AE127=0,"",'Data - Sample Type 1'!AE127),"")</f>
        <v/>
      </c>
      <c r="J46" s="259"/>
      <c r="K46" s="151" t="str">
        <f>IF(AND('Resample Data Summary'!C173="PASS",'Data - Sample Type 1'!FW127&lt;&gt;0),'Data - Sample Type 1'!FW127,"")</f>
        <v/>
      </c>
      <c r="L46" s="259"/>
      <c r="M46" s="191" t="str">
        <f>IF(AND('Resample Data Summary'!C173="PASS",K46&lt;&gt;""),'Data - Sample Type 1'!FX127,"")</f>
        <v/>
      </c>
      <c r="N46" s="264"/>
      <c r="O46" s="151" t="str">
        <f>IF(AND('Resample Data Summary'!C173="PASS",'Data - Sample Type 1'!GE127&lt;&gt;0),'Data - Sample Type 1'!GE127,"")</f>
        <v/>
      </c>
      <c r="P46" s="259"/>
      <c r="Q46" s="191" t="str">
        <f>IF(AND('Resample Data Summary'!C173="PASS",O46&lt;&gt;""),'Data - Sample Type 1'!GF127,"")</f>
        <v/>
      </c>
      <c r="R46" s="264"/>
      <c r="S46" s="151" t="str">
        <f>IF('Resample Data Summary'!C173="PASS",IF('Data - Sample Type 1'!BG127=0,"",'Data - Sample Type 1'!BG127),"")</f>
        <v/>
      </c>
      <c r="T46" s="259"/>
      <c r="U46" s="194" t="str">
        <f>IF(AND('Resample Data Summary'!C173="PASS",'Data - Sample Type 1'!GM127&lt;&gt;0),'Data - Sample Type 1'!GM127,"")</f>
        <v/>
      </c>
      <c r="V46" s="259"/>
      <c r="W46" s="151" t="str">
        <f>IF('Resample Data Summary'!C173="PASS",IF('Data - Sample Type 1'!BU127=0,"",'Data - Sample Type 1'!BU127),"")</f>
        <v/>
      </c>
      <c r="X46" s="259"/>
      <c r="Y46" s="151" t="str">
        <f>IF(AND('Resample Data Summary'!C173="PASS",'Data - Sample Type 1'!HC127&lt;&gt;0),'Data - Sample Type 1'!HC127,"")</f>
        <v/>
      </c>
      <c r="Z46" s="259"/>
      <c r="AA46" s="191" t="str">
        <f>IF(AND('Resample Data Summary'!C173="PASS",Y46&lt;&gt;""),'Data - Sample Type 1'!HD127,"")</f>
        <v/>
      </c>
      <c r="AB46" s="264"/>
      <c r="AC46" s="151" t="str">
        <f>IF(AND('Resample Data Summary'!C173="PASS",'Data - Sample Type 1'!HK127&lt;&gt;0),'Data - Sample Type 1'!HK127,"")</f>
        <v/>
      </c>
      <c r="AD46" s="259"/>
      <c r="AE46" s="191" t="str">
        <f>IF(AND('Resample Data Summary'!C173="PASS",AC46&lt;&gt;""),'Data - Sample Type 1'!HL127,"")</f>
        <v/>
      </c>
      <c r="AF46" s="264"/>
      <c r="AG46" s="151" t="str">
        <f>IF(AND('Resample Data Summary'!C173="PASS",'Data - Sample Type 1'!HS127&lt;&gt;0),'Data - Sample Type 1'!HS127,"")</f>
        <v/>
      </c>
      <c r="AH46" s="259"/>
      <c r="AI46" s="191" t="str">
        <f>IF(AND('Resample Data Summary'!C173="PASS",AG46&lt;&gt;""),'Data - Sample Type 1'!HT127,"")</f>
        <v/>
      </c>
      <c r="AJ46" s="264"/>
      <c r="AK46" s="194" t="str">
        <f>IF('Resample Data Summary'!C173="PASS",IF('Data - Sample Type 1'!DK127=0,"",'Data - Sample Type 1'!DK127),"")</f>
        <v/>
      </c>
      <c r="AL46" s="259"/>
      <c r="AM46" s="151" t="str">
        <f>IF('Resample Data Summary'!C173="PASS",IF('Data - Sample Type 1'!DY127=0,"",'Data - Sample Type 1'!DY127),"")</f>
        <v/>
      </c>
      <c r="AN46" s="259"/>
      <c r="AO46" s="151" t="str">
        <f>IF('Resample Data Summary'!C173="PASS",IF('Data - Sample Type 1'!EM127=0,"",'Data - Sample Type 1'!EM127),"")</f>
        <v/>
      </c>
      <c r="AP46" s="280"/>
      <c r="AS46" s="65"/>
      <c r="AU46" s="257"/>
      <c r="AW46" s="257"/>
      <c r="AY46" s="257"/>
      <c r="BA46" s="257"/>
      <c r="BC46" s="257"/>
      <c r="BE46" s="257"/>
      <c r="BG46" s="257"/>
      <c r="BI46" s="257"/>
      <c r="BK46" s="257"/>
      <c r="BM46" s="257"/>
      <c r="BO46" s="257"/>
      <c r="BQ46" s="257"/>
      <c r="BS46" s="257"/>
      <c r="BU46" s="257"/>
    </row>
    <row r="47" spans="1:73" x14ac:dyDescent="0.2">
      <c r="A47" s="276"/>
      <c r="B47" s="151" t="str">
        <f>IF('Resample Data Summary'!C69="PASS",IF('Resample Data Summary'!A69="","",'Data - Sample Type 0'!Q148),"")</f>
        <v/>
      </c>
      <c r="C47" s="280"/>
      <c r="D47"/>
      <c r="E47"/>
      <c r="F47" s="276"/>
      <c r="G47" s="151" t="str">
        <f>IF(AND('Resample Data Summary'!C174="PASS",'Data - Sample Type 1'!FO128&lt;&gt;0),'Data - Sample Type 1'!FO128,"")</f>
        <v/>
      </c>
      <c r="H47" s="259" t="e">
        <f>IF(AND(H43&gt;=Specifications!$C$21,H43&lt;=Specifications!$D$21),"PASS","FAIL")</f>
        <v>#DIV/0!</v>
      </c>
      <c r="I47" s="102" t="str">
        <f>IF('Resample Data Summary'!C174="PASS",IF('Data - Sample Type 1'!AE128=0,"",'Data - Sample Type 1'!AE128),"")</f>
        <v/>
      </c>
      <c r="J47" s="259" t="e">
        <f>IF(J43&lt;=Specifications!D$22,"PASS","FAIL")</f>
        <v>#DIV/0!</v>
      </c>
      <c r="K47" s="151" t="str">
        <f>IF(AND('Resample Data Summary'!C174="PASS",'Data - Sample Type 1'!FW128&lt;&gt;0),'Data - Sample Type 1'!FW128,"")</f>
        <v/>
      </c>
      <c r="L47" s="259" t="e">
        <f>IF(AND(L43&gt;=Specifications!$C$23,L43&lt;=Specifications!$D$23),"PASS","FAIL")</f>
        <v>#DIV/0!</v>
      </c>
      <c r="M47" s="191" t="str">
        <f>IF(AND('Resample Data Summary'!C174="PASS",K47&lt;&gt;""),'Data - Sample Type 1'!FX128,"")</f>
        <v/>
      </c>
      <c r="N47" s="391" t="s">
        <v>510</v>
      </c>
      <c r="O47" s="151" t="str">
        <f>IF(AND('Resample Data Summary'!C174="PASS",'Data - Sample Type 1'!GE128&lt;&gt;0),'Data - Sample Type 1'!GE128,"")</f>
        <v/>
      </c>
      <c r="P47" s="259" t="e">
        <f>IF(AND(P43&gt;=Specifications!$C$25,P43&lt;=Specifications!$D$25),"PASS","FAIL")</f>
        <v>#DIV/0!</v>
      </c>
      <c r="Q47" s="191" t="str">
        <f>IF(AND('Resample Data Summary'!C174="PASS",O47&lt;&gt;""),'Data - Sample Type 1'!GF128,"")</f>
        <v/>
      </c>
      <c r="R47" s="391" t="s">
        <v>510</v>
      </c>
      <c r="S47" s="151" t="str">
        <f>IF('Resample Data Summary'!C174="PASS",IF('Data - Sample Type 1'!BG128=0,"",'Data - Sample Type 1'!BG128),"")</f>
        <v/>
      </c>
      <c r="T47" s="259" t="e">
        <f>IF(T43&lt;=Specifications!D$27,"PASS","FAIL")</f>
        <v>#DIV/0!</v>
      </c>
      <c r="U47" s="194" t="str">
        <f>IF(AND('Resample Data Summary'!C174="PASS",'Data - Sample Type 1'!GM128&lt;&gt;0),'Data - Sample Type 1'!GM128,"")</f>
        <v/>
      </c>
      <c r="V47" s="259" t="e">
        <f>IF(AND(V43&gt;=Specifications!$C$28,V43&lt;=Specifications!$D$28),"PASS","FAIL")</f>
        <v>#DIV/0!</v>
      </c>
      <c r="W47" s="151" t="str">
        <f>IF('Resample Data Summary'!C174="PASS",IF('Data - Sample Type 1'!BU128=0,"",'Data - Sample Type 1'!BU128),"")</f>
        <v/>
      </c>
      <c r="X47" s="394" t="s">
        <v>510</v>
      </c>
      <c r="Y47" s="151" t="str">
        <f>IF(AND('Resample Data Summary'!C174="PASS",'Data - Sample Type 1'!HC128&lt;&gt;0),'Data - Sample Type 1'!HC128,"")</f>
        <v/>
      </c>
      <c r="Z47" s="259" t="e">
        <f>IF(AND(Z43&gt;=Specifications!$C$31,Z43&lt;=Specifications!$D$31),"PASS","FAIL")</f>
        <v>#DIV/0!</v>
      </c>
      <c r="AA47" s="191" t="str">
        <f>IF(AND('Resample Data Summary'!C174="PASS",Y47&lt;&gt;""),'Data - Sample Type 1'!HD128,"")</f>
        <v/>
      </c>
      <c r="AB47" s="391" t="s">
        <v>510</v>
      </c>
      <c r="AC47" s="151" t="str">
        <f>IF(AND('Resample Data Summary'!C174="PASS",'Data - Sample Type 1'!HK128&lt;&gt;0),'Data - Sample Type 1'!HK128,"")</f>
        <v/>
      </c>
      <c r="AD47" s="259" t="e">
        <f>IF(AND(AD43&gt;=Specifications!$C$33,AD43&lt;=Specifications!$D$33),"PASS","FAIL")</f>
        <v>#DIV/0!</v>
      </c>
      <c r="AE47" s="191" t="str">
        <f>IF(AND('Resample Data Summary'!C174="PASS",AC47&lt;&gt;""),'Data - Sample Type 1'!HL128,"")</f>
        <v/>
      </c>
      <c r="AF47" s="391" t="s">
        <v>510</v>
      </c>
      <c r="AG47" s="151" t="str">
        <f>IF(AND('Resample Data Summary'!C174="PASS",'Data - Sample Type 1'!HS128&lt;&gt;0),'Data - Sample Type 1'!HS128,"")</f>
        <v/>
      </c>
      <c r="AH47" s="259" t="e">
        <f>IF(AND(AH43&gt;=Specifications!$C$35,AH43&lt;=Specifications!$D$35),"PASS","FAIL")</f>
        <v>#DIV/0!</v>
      </c>
      <c r="AI47" s="191" t="str">
        <f>IF(AND('Resample Data Summary'!C174="PASS",AG47&lt;&gt;""),'Data - Sample Type 1'!HT128,"")</f>
        <v/>
      </c>
      <c r="AJ47" s="391" t="s">
        <v>510</v>
      </c>
      <c r="AK47" s="194" t="str">
        <f>IF('Resample Data Summary'!C174="PASS",IF('Data - Sample Type 1'!DK128=0,"",'Data - Sample Type 1'!DK128),"")</f>
        <v/>
      </c>
      <c r="AL47" s="259" t="e">
        <f>IF(AL43&lt;=Specifications!$D$37,"PASS","FAIL")</f>
        <v>#DIV/0!</v>
      </c>
      <c r="AM47" s="151" t="str">
        <f>IF('Resample Data Summary'!C174="PASS",IF('Data - Sample Type 1'!DY128=0,"",'Data - Sample Type 1'!DY128),"")</f>
        <v/>
      </c>
      <c r="AN47" s="259" t="e">
        <f>IF(AN43&lt;=Specifications!$D$38,"PASS","FAIL")</f>
        <v>#DIV/0!</v>
      </c>
      <c r="AO47" s="151" t="str">
        <f>IF('Resample Data Summary'!C174="PASS",IF('Data - Sample Type 1'!EM128=0,"",'Data - Sample Type 1'!EM128),"")</f>
        <v/>
      </c>
      <c r="AP47" s="280" t="e">
        <f>IF(AP43&lt;=Specifications!$D$39,"PASS","FAIL")</f>
        <v>#DIV/0!</v>
      </c>
      <c r="AS47" s="65"/>
      <c r="AU47" s="257"/>
      <c r="AW47" s="257"/>
      <c r="AY47" s="257"/>
      <c r="BA47" s="257"/>
      <c r="BC47" s="257"/>
      <c r="BE47" s="257"/>
      <c r="BG47" s="257"/>
      <c r="BI47" s="257"/>
      <c r="BK47" s="257"/>
      <c r="BM47" s="257"/>
      <c r="BO47" s="257"/>
      <c r="BQ47" s="257"/>
      <c r="BS47" s="257"/>
      <c r="BU47" s="257"/>
    </row>
    <row r="48" spans="1:73" x14ac:dyDescent="0.2">
      <c r="A48" s="276">
        <v>5</v>
      </c>
      <c r="B48" s="151" t="str">
        <f>IF('Resample Data Summary'!C70="PASS",IF('Resample Data Summary'!A70="","",'Data - Sample Type 0'!Q149),"")</f>
        <v/>
      </c>
      <c r="C48" s="280" t="e">
        <f>IF(C43&lt;=Specifications!$G$20,"PASS","FAIL")</f>
        <v>#DIV/0!</v>
      </c>
      <c r="D48"/>
      <c r="E48"/>
      <c r="F48" s="276"/>
      <c r="G48" s="151" t="str">
        <f>IF(AND('Resample Data Summary'!C175="PASS",'Data - Sample Type 1'!FO129&lt;&gt;0),'Data - Sample Type 1'!FO129,"")</f>
        <v/>
      </c>
      <c r="H48" s="259"/>
      <c r="I48" s="102" t="str">
        <f>IF('Resample Data Summary'!C175="PASS",IF('Data - Sample Type 1'!AE129=0,"",'Data - Sample Type 1'!AE129),"")</f>
        <v/>
      </c>
      <c r="J48" s="259"/>
      <c r="K48" s="151" t="str">
        <f>IF(AND('Resample Data Summary'!C175="PASS",'Data - Sample Type 1'!FW129&lt;&gt;0),'Data - Sample Type 1'!FW129,"")</f>
        <v/>
      </c>
      <c r="L48" s="259"/>
      <c r="M48" s="191" t="str">
        <f>IF(AND('Resample Data Summary'!C175="PASS",K48&lt;&gt;""),'Data - Sample Type 1'!FX129,"")</f>
        <v/>
      </c>
      <c r="N48" s="264"/>
      <c r="O48" s="151" t="str">
        <f>IF(AND('Resample Data Summary'!C175="PASS",'Data - Sample Type 1'!GE129&lt;&gt;0),'Data - Sample Type 1'!GE129,"")</f>
        <v/>
      </c>
      <c r="P48" s="259"/>
      <c r="Q48" s="191" t="str">
        <f>IF(AND('Resample Data Summary'!C175="PASS",O48&lt;&gt;""),'Data - Sample Type 1'!GF129,"")</f>
        <v/>
      </c>
      <c r="R48" s="264"/>
      <c r="S48" s="151" t="str">
        <f>IF('Resample Data Summary'!C175="PASS",IF('Data - Sample Type 1'!BG129=0,"",'Data - Sample Type 1'!BG129),"")</f>
        <v/>
      </c>
      <c r="T48" s="259"/>
      <c r="U48" s="194" t="str">
        <f>IF(AND('Resample Data Summary'!C175="PASS",'Data - Sample Type 1'!GM129&lt;&gt;0),'Data - Sample Type 1'!GM129,"")</f>
        <v/>
      </c>
      <c r="V48" s="259"/>
      <c r="W48" s="151" t="str">
        <f>IF('Resample Data Summary'!C175="PASS",IF('Data - Sample Type 1'!BU129=0,"",'Data - Sample Type 1'!BU129),"")</f>
        <v/>
      </c>
      <c r="X48" s="259"/>
      <c r="Y48" s="151" t="str">
        <f>IF(AND('Resample Data Summary'!C175="PASS",'Data - Sample Type 1'!HC129&lt;&gt;0),'Data - Sample Type 1'!HC129,"")</f>
        <v/>
      </c>
      <c r="Z48" s="259"/>
      <c r="AA48" s="191" t="str">
        <f>IF(AND('Resample Data Summary'!C175="PASS",Y48&lt;&gt;""),'Data - Sample Type 1'!HD129,"")</f>
        <v/>
      </c>
      <c r="AB48" s="264"/>
      <c r="AC48" s="151" t="str">
        <f>IF(AND('Resample Data Summary'!C175="PASS",'Data - Sample Type 1'!HK129&lt;&gt;0),'Data - Sample Type 1'!HK129,"")</f>
        <v/>
      </c>
      <c r="AD48" s="259"/>
      <c r="AE48" s="191" t="str">
        <f>IF(AND('Resample Data Summary'!C175="PASS",AC48&lt;&gt;""),'Data - Sample Type 1'!HL129,"")</f>
        <v/>
      </c>
      <c r="AF48" s="264"/>
      <c r="AG48" s="151" t="str">
        <f>IF(AND('Resample Data Summary'!C175="PASS",'Data - Sample Type 1'!HS129&lt;&gt;0),'Data - Sample Type 1'!HS129,"")</f>
        <v/>
      </c>
      <c r="AH48" s="259"/>
      <c r="AI48" s="191" t="str">
        <f>IF(AND('Resample Data Summary'!C175="PASS",AG48&lt;&gt;""),'Data - Sample Type 1'!HT129,"")</f>
        <v/>
      </c>
      <c r="AJ48" s="264"/>
      <c r="AK48" s="194" t="str">
        <f>IF('Resample Data Summary'!C175="PASS",IF('Data - Sample Type 1'!DK129=0,"",'Data - Sample Type 1'!DK129),"")</f>
        <v/>
      </c>
      <c r="AL48" s="259"/>
      <c r="AM48" s="151" t="str">
        <f>IF('Resample Data Summary'!C175="PASS",IF('Data - Sample Type 1'!DY129=0,"",'Data - Sample Type 1'!DY129),"")</f>
        <v/>
      </c>
      <c r="AN48" s="259"/>
      <c r="AO48" s="151" t="str">
        <f>IF('Resample Data Summary'!C175="PASS",IF('Data - Sample Type 1'!EM129=0,"",'Data - Sample Type 1'!EM129),"")</f>
        <v/>
      </c>
      <c r="AP48" s="280"/>
      <c r="AS48" s="65"/>
      <c r="AU48" s="257"/>
      <c r="AW48" s="257"/>
      <c r="AY48" s="257"/>
      <c r="BA48" s="257"/>
      <c r="BC48" s="257"/>
      <c r="BE48" s="257"/>
      <c r="BG48" s="257"/>
      <c r="BI48" s="257"/>
      <c r="BK48" s="257"/>
      <c r="BM48" s="257"/>
      <c r="BO48" s="257"/>
      <c r="BQ48" s="257"/>
      <c r="BS48" s="257"/>
      <c r="BU48" s="257"/>
    </row>
    <row r="49" spans="1:73" x14ac:dyDescent="0.2">
      <c r="A49" s="276"/>
      <c r="B49" s="151" t="str">
        <f>IF('Resample Data Summary'!C71="PASS",IF('Resample Data Summary'!A71="","",'Data - Sample Type 0'!Q150),"")</f>
        <v/>
      </c>
      <c r="C49" s="280"/>
      <c r="D49"/>
      <c r="E49"/>
      <c r="F49" s="276"/>
      <c r="G49" s="151" t="str">
        <f>IF(AND('Resample Data Summary'!C176="PASS",'Data - Sample Type 1'!FO130&lt;&gt;0),'Data - Sample Type 1'!FO130,"")</f>
        <v/>
      </c>
      <c r="H49" s="259"/>
      <c r="I49" s="102" t="str">
        <f>IF('Resample Data Summary'!C176="PASS",IF('Data - Sample Type 1'!AE130=0,"",'Data - Sample Type 1'!AE130),"")</f>
        <v/>
      </c>
      <c r="J49" s="259"/>
      <c r="K49" s="151" t="str">
        <f>IF(AND('Resample Data Summary'!C176="PASS",'Data - Sample Type 1'!FW130&lt;&gt;0),'Data - Sample Type 1'!FW130,"")</f>
        <v/>
      </c>
      <c r="L49" s="259"/>
      <c r="M49" s="191" t="str">
        <f>IF(AND('Resample Data Summary'!C176="PASS",K49&lt;&gt;""),'Data - Sample Type 1'!FX130,"")</f>
        <v/>
      </c>
      <c r="N49" s="264"/>
      <c r="O49" s="151" t="str">
        <f>IF(AND('Resample Data Summary'!C176="PASS",'Data - Sample Type 1'!GE130&lt;&gt;0),'Data - Sample Type 1'!GE130,"")</f>
        <v/>
      </c>
      <c r="P49" s="259"/>
      <c r="Q49" s="191" t="str">
        <f>IF(AND('Resample Data Summary'!C176="PASS",O49&lt;&gt;""),'Data - Sample Type 1'!GF130,"")</f>
        <v/>
      </c>
      <c r="R49" s="264"/>
      <c r="S49" s="151" t="str">
        <f>IF('Resample Data Summary'!C176="PASS",IF('Data - Sample Type 1'!BG130=0,"",'Data - Sample Type 1'!BG130),"")</f>
        <v/>
      </c>
      <c r="T49" s="259"/>
      <c r="U49" s="194" t="str">
        <f>IF(AND('Resample Data Summary'!C176="PASS",'Data - Sample Type 1'!GM130&lt;&gt;0),'Data - Sample Type 1'!GM130,"")</f>
        <v/>
      </c>
      <c r="V49" s="259"/>
      <c r="W49" s="151" t="str">
        <f>IF('Resample Data Summary'!C176="PASS",IF('Data - Sample Type 1'!BU130=0,"",'Data - Sample Type 1'!BU130),"")</f>
        <v/>
      </c>
      <c r="X49" s="259"/>
      <c r="Y49" s="151" t="str">
        <f>IF(AND('Resample Data Summary'!C176="PASS",'Data - Sample Type 1'!HC130&lt;&gt;0),'Data - Sample Type 1'!HC130,"")</f>
        <v/>
      </c>
      <c r="Z49" s="259"/>
      <c r="AA49" s="191" t="str">
        <f>IF(AND('Resample Data Summary'!C176="PASS",Y49&lt;&gt;""),'Data - Sample Type 1'!HD130,"")</f>
        <v/>
      </c>
      <c r="AB49" s="264"/>
      <c r="AC49" s="151" t="str">
        <f>IF(AND('Resample Data Summary'!C176="PASS",'Data - Sample Type 1'!HK130&lt;&gt;0),'Data - Sample Type 1'!HK130,"")</f>
        <v/>
      </c>
      <c r="AD49" s="259"/>
      <c r="AE49" s="191" t="str">
        <f>IF(AND('Resample Data Summary'!C176="PASS",AC49&lt;&gt;""),'Data - Sample Type 1'!HL130,"")</f>
        <v/>
      </c>
      <c r="AF49" s="264"/>
      <c r="AG49" s="151" t="str">
        <f>IF(AND('Resample Data Summary'!C176="PASS",'Data - Sample Type 1'!HS130&lt;&gt;0),'Data - Sample Type 1'!HS130,"")</f>
        <v/>
      </c>
      <c r="AH49" s="259"/>
      <c r="AI49" s="191" t="str">
        <f>IF(AND('Resample Data Summary'!C176="PASS",AG49&lt;&gt;""),'Data - Sample Type 1'!HT130,"")</f>
        <v/>
      </c>
      <c r="AJ49" s="264"/>
      <c r="AK49" s="194" t="str">
        <f>IF('Resample Data Summary'!C176="PASS",IF('Data - Sample Type 1'!DK130=0,"",'Data - Sample Type 1'!DK130),"")</f>
        <v/>
      </c>
      <c r="AL49" s="259"/>
      <c r="AM49" s="151" t="str">
        <f>IF('Resample Data Summary'!C176="PASS",IF('Data - Sample Type 1'!DY130=0,"",'Data - Sample Type 1'!DY130),"")</f>
        <v/>
      </c>
      <c r="AN49" s="259"/>
      <c r="AO49" s="151" t="str">
        <f>IF('Resample Data Summary'!C176="PASS",IF('Data - Sample Type 1'!EM130=0,"",'Data - Sample Type 1'!EM130),"")</f>
        <v/>
      </c>
      <c r="AP49" s="280"/>
      <c r="AS49" s="65"/>
      <c r="AU49" s="257"/>
      <c r="AW49" s="257"/>
      <c r="AY49" s="257"/>
      <c r="BA49" s="257"/>
      <c r="BC49" s="257"/>
      <c r="BE49" s="257"/>
      <c r="BG49" s="257"/>
      <c r="BI49" s="257"/>
      <c r="BK49" s="257"/>
      <c r="BM49" s="257"/>
      <c r="BO49" s="257"/>
      <c r="BQ49" s="257"/>
      <c r="BS49" s="257"/>
      <c r="BU49" s="257"/>
    </row>
    <row r="50" spans="1:73" ht="14.1" customHeight="1" thickBot="1" x14ac:dyDescent="0.25">
      <c r="A50" s="276"/>
      <c r="B50" s="151" t="str">
        <f>IF('Resample Data Summary'!C72="PASS",IF('Resample Data Summary'!A72="","",'Data - Sample Type 0'!Q151),"")</f>
        <v/>
      </c>
      <c r="C50" s="280"/>
      <c r="D50"/>
      <c r="E50"/>
      <c r="F50" s="278"/>
      <c r="G50" s="155" t="str">
        <f>IF(AND('Resample Data Summary'!C177="PASS",'Data - Sample Type 1'!FO131&lt;&gt;0),'Data - Sample Type 1'!FO131,"")</f>
        <v/>
      </c>
      <c r="H50" s="393"/>
      <c r="I50" s="171" t="str">
        <f>IF('Resample Data Summary'!C177="PASS",IF('Data - Sample Type 1'!AE131=0,"",'Data - Sample Type 1'!AE131),"")</f>
        <v/>
      </c>
      <c r="J50" s="393"/>
      <c r="K50" s="155" t="str">
        <f>IF(AND('Resample Data Summary'!C177="PASS",'Data - Sample Type 1'!FW131&lt;&gt;0),'Data - Sample Type 1'!FW131,"")</f>
        <v/>
      </c>
      <c r="L50" s="393"/>
      <c r="M50" s="193" t="str">
        <f>IF(AND('Resample Data Summary'!C177="PASS",K50&lt;&gt;""),'Data - Sample Type 1'!FX131,"")</f>
        <v/>
      </c>
      <c r="N50" s="392"/>
      <c r="O50" s="155" t="str">
        <f>IF(AND('Resample Data Summary'!C177="PASS",'Data - Sample Type 1'!GE131&lt;&gt;0),'Data - Sample Type 1'!GE131,"")</f>
        <v/>
      </c>
      <c r="P50" s="393"/>
      <c r="Q50" s="193" t="str">
        <f>IF(AND('Resample Data Summary'!C177="PASS",O50&lt;&gt;""),'Data - Sample Type 1'!GF131,"")</f>
        <v/>
      </c>
      <c r="R50" s="392"/>
      <c r="S50" s="155" t="str">
        <f>IF('Resample Data Summary'!C177="PASS",IF('Data - Sample Type 1'!BG131=0,"",'Data - Sample Type 1'!BG131),"")</f>
        <v/>
      </c>
      <c r="T50" s="393"/>
      <c r="U50" s="197" t="str">
        <f>IF(AND('Resample Data Summary'!C177="PASS",'Data - Sample Type 1'!GM131&lt;&gt;0),'Data - Sample Type 1'!GM131,"")</f>
        <v/>
      </c>
      <c r="V50" s="393"/>
      <c r="W50" s="155" t="str">
        <f>IF('Resample Data Summary'!C177="PASS",IF('Data - Sample Type 1'!BU131=0,"",'Data - Sample Type 1'!BU131),"")</f>
        <v/>
      </c>
      <c r="X50" s="393"/>
      <c r="Y50" s="155" t="str">
        <f>IF(AND('Resample Data Summary'!C177="PASS",'Data - Sample Type 1'!HC131&lt;&gt;0),'Data - Sample Type 1'!HC131,"")</f>
        <v/>
      </c>
      <c r="Z50" s="393"/>
      <c r="AA50" s="193" t="str">
        <f>IF(AND('Resample Data Summary'!C177="PASS",Y50&lt;&gt;""),'Data - Sample Type 1'!HD131,"")</f>
        <v/>
      </c>
      <c r="AB50" s="392"/>
      <c r="AC50" s="155" t="str">
        <f>IF(AND('Resample Data Summary'!C177="PASS",'Data - Sample Type 1'!HK131&lt;&gt;0),'Data - Sample Type 1'!HK131,"")</f>
        <v/>
      </c>
      <c r="AD50" s="393"/>
      <c r="AE50" s="193" t="str">
        <f>IF(AND('Resample Data Summary'!C177="PASS",AC50&lt;&gt;""),'Data - Sample Type 1'!HL131,"")</f>
        <v/>
      </c>
      <c r="AF50" s="392"/>
      <c r="AG50" s="155" t="str">
        <f>IF(AND('Resample Data Summary'!C177="PASS",'Data - Sample Type 1'!HS131&lt;&gt;0),'Data - Sample Type 1'!HS131,"")</f>
        <v/>
      </c>
      <c r="AH50" s="393"/>
      <c r="AI50" s="193" t="str">
        <f>IF(AND('Resample Data Summary'!C177="PASS",AG50&lt;&gt;""),'Data - Sample Type 1'!HT131,"")</f>
        <v/>
      </c>
      <c r="AJ50" s="392"/>
      <c r="AK50" s="197" t="str">
        <f>IF('Resample Data Summary'!C177="PASS",IF('Data - Sample Type 1'!DK131=0,"",'Data - Sample Type 1'!DK131),"")</f>
        <v/>
      </c>
      <c r="AL50" s="393"/>
      <c r="AM50" s="155" t="str">
        <f>IF('Resample Data Summary'!C177="PASS",IF('Data - Sample Type 1'!DY131=0,"",'Data - Sample Type 1'!DY131),"")</f>
        <v/>
      </c>
      <c r="AN50" s="393"/>
      <c r="AO50" s="155" t="str">
        <f>IF('Resample Data Summary'!C177="PASS",IF('Data - Sample Type 1'!EM131=0,"",'Data - Sample Type 1'!EM131),"")</f>
        <v/>
      </c>
      <c r="AP50" s="395"/>
      <c r="AS50" s="65"/>
      <c r="AU50" s="257"/>
      <c r="AW50" s="257"/>
      <c r="AY50" s="257"/>
      <c r="BA50" s="257"/>
      <c r="BC50" s="257"/>
      <c r="BE50" s="257"/>
      <c r="BG50" s="257"/>
      <c r="BI50" s="257"/>
      <c r="BK50" s="257"/>
      <c r="BM50" s="257"/>
      <c r="BO50" s="257"/>
      <c r="BQ50" s="257"/>
      <c r="BS50" s="257"/>
      <c r="BU50" s="257"/>
    </row>
    <row r="51" spans="1:73" x14ac:dyDescent="0.2">
      <c r="A51" s="276"/>
      <c r="B51" s="151" t="str">
        <f>IF('Resample Data Summary'!C73="PASS",IF('Resample Data Summary'!A73="","",'Data - Sample Type 0'!Q152),"")</f>
        <v/>
      </c>
      <c r="C51" s="280"/>
      <c r="D51"/>
      <c r="E51"/>
      <c r="F51" s="275">
        <v>7</v>
      </c>
      <c r="G51" s="154" t="str">
        <f>IF(AND('Resample Data Summary'!C178="PASS",'Data - Sample Type 1'!FO132&lt;&gt;0),'Data - Sample Type 1'!FO132,"")</f>
        <v/>
      </c>
      <c r="H51" s="258" t="e">
        <f t="shared" ref="H51" si="94">AVERAGE(G51:G58)</f>
        <v>#DIV/0!</v>
      </c>
      <c r="I51" s="170" t="str">
        <f>IF('Resample Data Summary'!C178="PASS",IF('Data - Sample Type 1'!AE132=0,"",'Data - Sample Type 1'!AE132),"")</f>
        <v/>
      </c>
      <c r="J51" s="258" t="e">
        <f t="shared" ref="J51" si="95">AVERAGE(I51:I58)</f>
        <v>#DIV/0!</v>
      </c>
      <c r="K51" s="154" t="str">
        <f>IF(AND('Resample Data Summary'!C178="PASS",'Data - Sample Type 1'!FW132&lt;&gt;0),'Data - Sample Type 1'!FW132,"")</f>
        <v/>
      </c>
      <c r="L51" s="258" t="e">
        <f t="shared" ref="L51" si="96">AVERAGE(K51:K58)</f>
        <v>#DIV/0!</v>
      </c>
      <c r="M51" s="190" t="str">
        <f>IF(AND('Resample Data Summary'!C178="PASS",K51&lt;&gt;""),'Data - Sample Type 1'!FX132,"")</f>
        <v/>
      </c>
      <c r="N51" s="263" t="e">
        <f t="shared" ref="N51" si="97">AVERAGE(M51:M58)</f>
        <v>#DIV/0!</v>
      </c>
      <c r="O51" s="154" t="str">
        <f>IF(AND('Resample Data Summary'!C178="PASS",'Data - Sample Type 1'!GE132&lt;&gt;0),'Data - Sample Type 1'!GE132,"")</f>
        <v/>
      </c>
      <c r="P51" s="258" t="e">
        <f t="shared" ref="P51" si="98">AVERAGE(O51:O58)</f>
        <v>#DIV/0!</v>
      </c>
      <c r="Q51" s="190" t="str">
        <f>IF(AND('Resample Data Summary'!C178="PASS",O51&lt;&gt;""),'Data - Sample Type 1'!GF132,"")</f>
        <v/>
      </c>
      <c r="R51" s="263" t="e">
        <f t="shared" ref="R51" si="99">AVERAGE(Q51:Q58)</f>
        <v>#DIV/0!</v>
      </c>
      <c r="S51" s="154" t="str">
        <f>IF('Resample Data Summary'!C178="PASS",IF('Data - Sample Type 1'!BG132=0,"",'Data - Sample Type 1'!BG132),"")</f>
        <v/>
      </c>
      <c r="T51" s="258" t="e">
        <f t="shared" ref="T51" si="100">AVERAGE(S51:S58)</f>
        <v>#DIV/0!</v>
      </c>
      <c r="U51" s="196" t="str">
        <f>IF(AND('Resample Data Summary'!C178="PASS",'Data - Sample Type 1'!GM132&lt;&gt;0),'Data - Sample Type 1'!GM132,"")</f>
        <v/>
      </c>
      <c r="V51" s="258" t="e">
        <f t="shared" ref="V51" si="101">AVERAGE(U51:U58)</f>
        <v>#DIV/0!</v>
      </c>
      <c r="W51" s="154" t="str">
        <f>IF('Resample Data Summary'!C178="PASS",IF('Data - Sample Type 1'!BU132=0,"",'Data - Sample Type 1'!BU132),"")</f>
        <v/>
      </c>
      <c r="X51" s="258" t="e">
        <f t="shared" ref="X51" si="102">AVERAGE(W51:W58)</f>
        <v>#DIV/0!</v>
      </c>
      <c r="Y51" s="154" t="str">
        <f>IF(AND('Resample Data Summary'!C178="PASS",'Data - Sample Type 1'!HC132&lt;&gt;0),'Data - Sample Type 1'!HC132,"")</f>
        <v/>
      </c>
      <c r="Z51" s="258" t="e">
        <f t="shared" ref="Z51" si="103">AVERAGE(Y51:Y58)</f>
        <v>#DIV/0!</v>
      </c>
      <c r="AA51" s="190" t="str">
        <f>IF(AND('Resample Data Summary'!C178="PASS",Y51&lt;&gt;""),'Data - Sample Type 1'!HD132,"")</f>
        <v/>
      </c>
      <c r="AB51" s="263" t="e">
        <f t="shared" ref="AB51" si="104">AVERAGE(AA51:AA58)</f>
        <v>#DIV/0!</v>
      </c>
      <c r="AC51" s="154" t="str">
        <f>IF(AND('Resample Data Summary'!C178="PASS",'Data - Sample Type 1'!HK132&lt;&gt;0),'Data - Sample Type 1'!HK132,"")</f>
        <v/>
      </c>
      <c r="AD51" s="258" t="e">
        <f t="shared" ref="AD51" si="105">AVERAGE(AC51:AC58)</f>
        <v>#DIV/0!</v>
      </c>
      <c r="AE51" s="190" t="str">
        <f>IF(AND('Resample Data Summary'!C178="PASS",AC51&lt;&gt;""),'Data - Sample Type 1'!HL132,"")</f>
        <v/>
      </c>
      <c r="AF51" s="263" t="e">
        <f t="shared" ref="AF51" si="106">AVERAGE(AE51:AE58)</f>
        <v>#DIV/0!</v>
      </c>
      <c r="AG51" s="154" t="str">
        <f>IF(AND('Resample Data Summary'!C178="PASS",'Data - Sample Type 1'!HS132&lt;&gt;0),'Data - Sample Type 1'!HS132,"")</f>
        <v/>
      </c>
      <c r="AH51" s="258" t="e">
        <f t="shared" ref="AH51" si="107">AVERAGE(AG51:AG58)</f>
        <v>#DIV/0!</v>
      </c>
      <c r="AI51" s="190" t="str">
        <f>IF(AND('Resample Data Summary'!C178="PASS",AG51&lt;&gt;""),'Data - Sample Type 1'!HT132,"")</f>
        <v/>
      </c>
      <c r="AJ51" s="263" t="e">
        <f t="shared" ref="AJ51" si="108">AVERAGE(AI51:AI58)</f>
        <v>#DIV/0!</v>
      </c>
      <c r="AK51" s="196" t="str">
        <f>IF('Resample Data Summary'!C178="PASS",IF('Data - Sample Type 1'!DK132=0,"",'Data - Sample Type 1'!DK132),"")</f>
        <v/>
      </c>
      <c r="AL51" s="258" t="e">
        <f t="shared" ref="AL51" si="109">AVERAGE(AK51:AK58)</f>
        <v>#DIV/0!</v>
      </c>
      <c r="AM51" s="154" t="str">
        <f>IF('Resample Data Summary'!C178="PASS",IF('Data - Sample Type 1'!DY132=0,"",'Data - Sample Type 1'!DY132),"")</f>
        <v/>
      </c>
      <c r="AN51" s="258" t="e">
        <f t="shared" ref="AN51" si="110">AVERAGE(AM51:AM58)</f>
        <v>#DIV/0!</v>
      </c>
      <c r="AO51" s="154" t="str">
        <f>IF('Resample Data Summary'!C178="PASS",IF('Data - Sample Type 1'!EM132=0,"",'Data - Sample Type 1'!EM132),"")</f>
        <v/>
      </c>
      <c r="AP51" s="279" t="e">
        <f t="shared" ref="AP51" si="111">AVERAGE(AO51:AO58)</f>
        <v>#DIV/0!</v>
      </c>
      <c r="AS51" s="65"/>
      <c r="AU51" s="257"/>
      <c r="AW51" s="257"/>
      <c r="AY51" s="257"/>
      <c r="BA51" s="257"/>
      <c r="BC51" s="257"/>
      <c r="BE51" s="257"/>
      <c r="BG51" s="257"/>
      <c r="BI51" s="257"/>
      <c r="BK51" s="257"/>
      <c r="BM51" s="257"/>
      <c r="BO51" s="257"/>
      <c r="BQ51" s="257"/>
      <c r="BS51" s="257"/>
      <c r="BU51" s="257"/>
    </row>
    <row r="52" spans="1:73" ht="14.1" customHeight="1" thickBot="1" x14ac:dyDescent="0.25">
      <c r="A52" s="278"/>
      <c r="B52" s="155" t="str">
        <f>IF('Resample Data Summary'!C74="PASS",IF('Resample Data Summary'!A74="","",'Data - Sample Type 0'!Q153),"")</f>
        <v/>
      </c>
      <c r="C52" s="389"/>
      <c r="D52"/>
      <c r="E52"/>
      <c r="F52" s="276"/>
      <c r="G52" s="151" t="str">
        <f>IF(AND('Resample Data Summary'!C179="PASS",'Data - Sample Type 1'!FO133&lt;&gt;0),'Data - Sample Type 1'!FO133,"")</f>
        <v/>
      </c>
      <c r="H52" s="259"/>
      <c r="I52" s="102" t="str">
        <f>IF('Resample Data Summary'!C179="PASS",IF('Data - Sample Type 1'!AE133=0,"",'Data - Sample Type 1'!AE133),"")</f>
        <v/>
      </c>
      <c r="J52" s="259"/>
      <c r="K52" s="151" t="str">
        <f>IF(AND('Resample Data Summary'!C179="PASS",'Data - Sample Type 1'!FW133&lt;&gt;0),'Data - Sample Type 1'!FW133,"")</f>
        <v/>
      </c>
      <c r="L52" s="259"/>
      <c r="M52" s="191" t="str">
        <f>IF(AND('Resample Data Summary'!C179="PASS",K52&lt;&gt;""),'Data - Sample Type 1'!FX133,"")</f>
        <v/>
      </c>
      <c r="N52" s="264"/>
      <c r="O52" s="151" t="str">
        <f>IF(AND('Resample Data Summary'!C179="PASS",'Data - Sample Type 1'!GE133&lt;&gt;0),'Data - Sample Type 1'!GE133,"")</f>
        <v/>
      </c>
      <c r="P52" s="259"/>
      <c r="Q52" s="191" t="str">
        <f>IF(AND('Resample Data Summary'!C179="PASS",O52&lt;&gt;""),'Data - Sample Type 1'!GF133,"")</f>
        <v/>
      </c>
      <c r="R52" s="264"/>
      <c r="S52" s="151" t="str">
        <f>IF('Resample Data Summary'!C179="PASS",IF('Data - Sample Type 1'!BG133=0,"",'Data - Sample Type 1'!BG133),"")</f>
        <v/>
      </c>
      <c r="T52" s="259"/>
      <c r="U52" s="194" t="str">
        <f>IF(AND('Resample Data Summary'!C179="PASS",'Data - Sample Type 1'!GM133&lt;&gt;0),'Data - Sample Type 1'!GM133,"")</f>
        <v/>
      </c>
      <c r="V52" s="259"/>
      <c r="W52" s="151" t="str">
        <f>IF('Resample Data Summary'!C179="PASS",IF('Data - Sample Type 1'!BU133=0,"",'Data - Sample Type 1'!BU133),"")</f>
        <v/>
      </c>
      <c r="X52" s="259"/>
      <c r="Y52" s="151" t="str">
        <f>IF(AND('Resample Data Summary'!C179="PASS",'Data - Sample Type 1'!HC133&lt;&gt;0),'Data - Sample Type 1'!HC133,"")</f>
        <v/>
      </c>
      <c r="Z52" s="259"/>
      <c r="AA52" s="191" t="str">
        <f>IF(AND('Resample Data Summary'!C179="PASS",Y52&lt;&gt;""),'Data - Sample Type 1'!HD133,"")</f>
        <v/>
      </c>
      <c r="AB52" s="264"/>
      <c r="AC52" s="151" t="str">
        <f>IF(AND('Resample Data Summary'!C179="PASS",'Data - Sample Type 1'!HK133&lt;&gt;0),'Data - Sample Type 1'!HK133,"")</f>
        <v/>
      </c>
      <c r="AD52" s="259"/>
      <c r="AE52" s="191" t="str">
        <f>IF(AND('Resample Data Summary'!C179="PASS",AC52&lt;&gt;""),'Data - Sample Type 1'!HL133,"")</f>
        <v/>
      </c>
      <c r="AF52" s="264"/>
      <c r="AG52" s="151" t="str">
        <f>IF(AND('Resample Data Summary'!C179="PASS",'Data - Sample Type 1'!HS133&lt;&gt;0),'Data - Sample Type 1'!HS133,"")</f>
        <v/>
      </c>
      <c r="AH52" s="259"/>
      <c r="AI52" s="191" t="str">
        <f>IF(AND('Resample Data Summary'!C179="PASS",AG52&lt;&gt;""),'Data - Sample Type 1'!HT133,"")</f>
        <v/>
      </c>
      <c r="AJ52" s="264"/>
      <c r="AK52" s="194" t="str">
        <f>IF('Resample Data Summary'!C179="PASS",IF('Data - Sample Type 1'!DK133=0,"",'Data - Sample Type 1'!DK133),"")</f>
        <v/>
      </c>
      <c r="AL52" s="259"/>
      <c r="AM52" s="151" t="str">
        <f>IF('Resample Data Summary'!C179="PASS",IF('Data - Sample Type 1'!DY133=0,"",'Data - Sample Type 1'!DY133),"")</f>
        <v/>
      </c>
      <c r="AN52" s="259"/>
      <c r="AO52" s="151" t="str">
        <f>IF('Resample Data Summary'!C179="PASS",IF('Data - Sample Type 1'!EM133=0,"",'Data - Sample Type 1'!EM133),"")</f>
        <v/>
      </c>
      <c r="AP52" s="280"/>
      <c r="AS52" s="65"/>
      <c r="AU52" s="257"/>
      <c r="AW52" s="257"/>
      <c r="AY52" s="257"/>
      <c r="BA52" s="257"/>
      <c r="BC52" s="257"/>
      <c r="BE52" s="257"/>
      <c r="BG52" s="257"/>
      <c r="BI52" s="257"/>
      <c r="BK52" s="257"/>
      <c r="BM52" s="257"/>
      <c r="BO52" s="257"/>
      <c r="BQ52" s="257"/>
      <c r="BS52" s="257"/>
      <c r="BU52" s="257"/>
    </row>
    <row r="53" spans="1:73" x14ac:dyDescent="0.2">
      <c r="A53" s="275">
        <v>6</v>
      </c>
      <c r="B53" s="154" t="str">
        <f>IF('Resample Data Summary'!C75="PASS",IF('Resample Data Summary'!A75="","",'Data - Sample Type 0'!Q154),"")</f>
        <v/>
      </c>
      <c r="C53" s="279" t="e">
        <f t="shared" ref="C53" si="112">AVERAGE(B53:B62)</f>
        <v>#DIV/0!</v>
      </c>
      <c r="D53"/>
      <c r="E53"/>
      <c r="F53" s="276"/>
      <c r="G53" s="151" t="str">
        <f>IF(AND('Resample Data Summary'!C180="PASS",'Data - Sample Type 1'!FO134&lt;&gt;0),'Data - Sample Type 1'!FO134,"")</f>
        <v/>
      </c>
      <c r="H53" s="259"/>
      <c r="I53" s="102" t="str">
        <f>IF('Resample Data Summary'!C180="PASS",IF('Data - Sample Type 1'!AE134=0,"",'Data - Sample Type 1'!AE134),"")</f>
        <v/>
      </c>
      <c r="J53" s="259"/>
      <c r="K53" s="151" t="str">
        <f>IF(AND('Resample Data Summary'!C180="PASS",'Data - Sample Type 1'!FW134&lt;&gt;0),'Data - Sample Type 1'!FW134,"")</f>
        <v/>
      </c>
      <c r="L53" s="259"/>
      <c r="M53" s="191" t="str">
        <f>IF(AND('Resample Data Summary'!C180="PASS",K53&lt;&gt;""),'Data - Sample Type 1'!FX134,"")</f>
        <v/>
      </c>
      <c r="N53" s="264"/>
      <c r="O53" s="151" t="str">
        <f>IF(AND('Resample Data Summary'!C180="PASS",'Data - Sample Type 1'!GE134&lt;&gt;0),'Data - Sample Type 1'!GE134,"")</f>
        <v/>
      </c>
      <c r="P53" s="259"/>
      <c r="Q53" s="191" t="str">
        <f>IF(AND('Resample Data Summary'!C180="PASS",O53&lt;&gt;""),'Data - Sample Type 1'!GF134,"")</f>
        <v/>
      </c>
      <c r="R53" s="264"/>
      <c r="S53" s="151" t="str">
        <f>IF('Resample Data Summary'!C180="PASS",IF('Data - Sample Type 1'!BG134=0,"",'Data - Sample Type 1'!BG134),"")</f>
        <v/>
      </c>
      <c r="T53" s="259"/>
      <c r="U53" s="194" t="str">
        <f>IF(AND('Resample Data Summary'!C180="PASS",'Data - Sample Type 1'!GM134&lt;&gt;0),'Data - Sample Type 1'!GM134,"")</f>
        <v/>
      </c>
      <c r="V53" s="259"/>
      <c r="W53" s="151" t="str">
        <f>IF('Resample Data Summary'!C180="PASS",IF('Data - Sample Type 1'!BU134=0,"",'Data - Sample Type 1'!BU134),"")</f>
        <v/>
      </c>
      <c r="X53" s="259"/>
      <c r="Y53" s="151" t="str">
        <f>IF(AND('Resample Data Summary'!C180="PASS",'Data - Sample Type 1'!HC134&lt;&gt;0),'Data - Sample Type 1'!HC134,"")</f>
        <v/>
      </c>
      <c r="Z53" s="259"/>
      <c r="AA53" s="191" t="str">
        <f>IF(AND('Resample Data Summary'!C180="PASS",Y53&lt;&gt;""),'Data - Sample Type 1'!HD134,"")</f>
        <v/>
      </c>
      <c r="AB53" s="264"/>
      <c r="AC53" s="151" t="str">
        <f>IF(AND('Resample Data Summary'!C180="PASS",'Data - Sample Type 1'!HK134&lt;&gt;0),'Data - Sample Type 1'!HK134,"")</f>
        <v/>
      </c>
      <c r="AD53" s="259"/>
      <c r="AE53" s="191" t="str">
        <f>IF(AND('Resample Data Summary'!C180="PASS",AC53&lt;&gt;""),'Data - Sample Type 1'!HL134,"")</f>
        <v/>
      </c>
      <c r="AF53" s="264"/>
      <c r="AG53" s="151" t="str">
        <f>IF(AND('Resample Data Summary'!C180="PASS",'Data - Sample Type 1'!HS134&lt;&gt;0),'Data - Sample Type 1'!HS134,"")</f>
        <v/>
      </c>
      <c r="AH53" s="259"/>
      <c r="AI53" s="191" t="str">
        <f>IF(AND('Resample Data Summary'!C180="PASS",AG53&lt;&gt;""),'Data - Sample Type 1'!HT134,"")</f>
        <v/>
      </c>
      <c r="AJ53" s="264"/>
      <c r="AK53" s="194" t="str">
        <f>IF('Resample Data Summary'!C180="PASS",IF('Data - Sample Type 1'!DK134=0,"",'Data - Sample Type 1'!DK134),"")</f>
        <v/>
      </c>
      <c r="AL53" s="259"/>
      <c r="AM53" s="151" t="str">
        <f>IF('Resample Data Summary'!C180="PASS",IF('Data - Sample Type 1'!DY134=0,"",'Data - Sample Type 1'!DY134),"")</f>
        <v/>
      </c>
      <c r="AN53" s="259"/>
      <c r="AO53" s="151" t="str">
        <f>IF('Resample Data Summary'!C180="PASS",IF('Data - Sample Type 1'!EM134=0,"",'Data - Sample Type 1'!EM134),"")</f>
        <v/>
      </c>
      <c r="AP53" s="280"/>
      <c r="AS53" s="65"/>
      <c r="AU53" s="257"/>
      <c r="AW53" s="257"/>
      <c r="AY53" s="257"/>
      <c r="BA53" s="257"/>
      <c r="BC53" s="257"/>
      <c r="BE53" s="257"/>
      <c r="BG53" s="257"/>
      <c r="BI53" s="257"/>
      <c r="BK53" s="257"/>
      <c r="BM53" s="257"/>
      <c r="BO53" s="257"/>
      <c r="BQ53" s="257"/>
      <c r="BS53" s="257"/>
      <c r="BU53" s="257"/>
    </row>
    <row r="54" spans="1:73" x14ac:dyDescent="0.2">
      <c r="A54" s="276"/>
      <c r="B54" s="151" t="str">
        <f>IF('Resample Data Summary'!C76="PASS",IF('Resample Data Summary'!A76="","",'Data - Sample Type 0'!Q155),"")</f>
        <v/>
      </c>
      <c r="C54" s="280"/>
      <c r="D54"/>
      <c r="E54"/>
      <c r="F54" s="276"/>
      <c r="G54" s="151" t="str">
        <f>IF(AND('Resample Data Summary'!C181="PASS",'Data - Sample Type 1'!FO135&lt;&gt;0),'Data - Sample Type 1'!FO135,"")</f>
        <v/>
      </c>
      <c r="H54" s="259"/>
      <c r="I54" s="102" t="str">
        <f>IF('Resample Data Summary'!C181="PASS",IF('Data - Sample Type 1'!AE135=0,"",'Data - Sample Type 1'!AE135),"")</f>
        <v/>
      </c>
      <c r="J54" s="259"/>
      <c r="K54" s="151" t="str">
        <f>IF(AND('Resample Data Summary'!C181="PASS",'Data - Sample Type 1'!FW135&lt;&gt;0),'Data - Sample Type 1'!FW135,"")</f>
        <v/>
      </c>
      <c r="L54" s="259"/>
      <c r="M54" s="191" t="str">
        <f>IF(AND('Resample Data Summary'!C181="PASS",K54&lt;&gt;""),'Data - Sample Type 1'!FX135,"")</f>
        <v/>
      </c>
      <c r="N54" s="264"/>
      <c r="O54" s="151" t="str">
        <f>IF(AND('Resample Data Summary'!C181="PASS",'Data - Sample Type 1'!GE135&lt;&gt;0),'Data - Sample Type 1'!GE135,"")</f>
        <v/>
      </c>
      <c r="P54" s="259"/>
      <c r="Q54" s="191" t="str">
        <f>IF(AND('Resample Data Summary'!C181="PASS",O54&lt;&gt;""),'Data - Sample Type 1'!GF135,"")</f>
        <v/>
      </c>
      <c r="R54" s="264"/>
      <c r="S54" s="151" t="str">
        <f>IF('Resample Data Summary'!C181="PASS",IF('Data - Sample Type 1'!BG135=0,"",'Data - Sample Type 1'!BG135),"")</f>
        <v/>
      </c>
      <c r="T54" s="259"/>
      <c r="U54" s="194" t="str">
        <f>IF(AND('Resample Data Summary'!C181="PASS",'Data - Sample Type 1'!GM135&lt;&gt;0),'Data - Sample Type 1'!GM135,"")</f>
        <v/>
      </c>
      <c r="V54" s="259"/>
      <c r="W54" s="151" t="str">
        <f>IF('Resample Data Summary'!C181="PASS",IF('Data - Sample Type 1'!BU135=0,"",'Data - Sample Type 1'!BU135),"")</f>
        <v/>
      </c>
      <c r="X54" s="259"/>
      <c r="Y54" s="151" t="str">
        <f>IF(AND('Resample Data Summary'!C181="PASS",'Data - Sample Type 1'!HC135&lt;&gt;0),'Data - Sample Type 1'!HC135,"")</f>
        <v/>
      </c>
      <c r="Z54" s="259"/>
      <c r="AA54" s="191" t="str">
        <f>IF(AND('Resample Data Summary'!C181="PASS",Y54&lt;&gt;""),'Data - Sample Type 1'!HD135,"")</f>
        <v/>
      </c>
      <c r="AB54" s="264"/>
      <c r="AC54" s="151" t="str">
        <f>IF(AND('Resample Data Summary'!C181="PASS",'Data - Sample Type 1'!HK135&lt;&gt;0),'Data - Sample Type 1'!HK135,"")</f>
        <v/>
      </c>
      <c r="AD54" s="259"/>
      <c r="AE54" s="191" t="str">
        <f>IF(AND('Resample Data Summary'!C181="PASS",AC54&lt;&gt;""),'Data - Sample Type 1'!HL135,"")</f>
        <v/>
      </c>
      <c r="AF54" s="264"/>
      <c r="AG54" s="151" t="str">
        <f>IF(AND('Resample Data Summary'!C181="PASS",'Data - Sample Type 1'!HS135&lt;&gt;0),'Data - Sample Type 1'!HS135,"")</f>
        <v/>
      </c>
      <c r="AH54" s="259"/>
      <c r="AI54" s="191" t="str">
        <f>IF(AND('Resample Data Summary'!C181="PASS",AG54&lt;&gt;""),'Data - Sample Type 1'!HT135,"")</f>
        <v/>
      </c>
      <c r="AJ54" s="264"/>
      <c r="AK54" s="194" t="str">
        <f>IF('Resample Data Summary'!C181="PASS",IF('Data - Sample Type 1'!DK135=0,"",'Data - Sample Type 1'!DK135),"")</f>
        <v/>
      </c>
      <c r="AL54" s="259"/>
      <c r="AM54" s="151" t="str">
        <f>IF('Resample Data Summary'!C181="PASS",IF('Data - Sample Type 1'!DY135=0,"",'Data - Sample Type 1'!DY135),"")</f>
        <v/>
      </c>
      <c r="AN54" s="259"/>
      <c r="AO54" s="151" t="str">
        <f>IF('Resample Data Summary'!C181="PASS",IF('Data - Sample Type 1'!EM135=0,"",'Data - Sample Type 1'!EM135),"")</f>
        <v/>
      </c>
      <c r="AP54" s="280"/>
      <c r="AS54" s="65"/>
      <c r="AU54" s="257"/>
      <c r="AW54" s="257"/>
      <c r="AY54" s="257"/>
      <c r="BA54" s="257"/>
      <c r="BC54" s="257"/>
      <c r="BE54" s="257"/>
      <c r="BG54" s="257"/>
      <c r="BI54" s="257"/>
      <c r="BK54" s="257"/>
      <c r="BM54" s="257"/>
      <c r="BO54" s="257"/>
      <c r="BQ54" s="257"/>
      <c r="BS54" s="257"/>
      <c r="BU54" s="257"/>
    </row>
    <row r="55" spans="1:73" x14ac:dyDescent="0.2">
      <c r="A55" s="276">
        <v>6</v>
      </c>
      <c r="B55" s="151" t="str">
        <f>IF('Resample Data Summary'!C77="PASS",IF('Resample Data Summary'!A77="","",'Data - Sample Type 0'!Q156),"")</f>
        <v/>
      </c>
      <c r="C55" s="280"/>
      <c r="D55"/>
      <c r="E55"/>
      <c r="F55" s="276"/>
      <c r="G55" s="151" t="str">
        <f>IF(AND('Resample Data Summary'!C182="PASS",'Data - Sample Type 1'!FO136&lt;&gt;0),'Data - Sample Type 1'!FO136,"")</f>
        <v/>
      </c>
      <c r="H55" s="259" t="e">
        <f>IF(AND(H51&gt;=Specifications!$C$21,H51&lt;=Specifications!$D$21),"PASS","FAIL")</f>
        <v>#DIV/0!</v>
      </c>
      <c r="I55" s="102" t="str">
        <f>IF('Resample Data Summary'!C182="PASS",IF('Data - Sample Type 1'!AE136=0,"",'Data - Sample Type 1'!AE136),"")</f>
        <v/>
      </c>
      <c r="J55" s="259" t="e">
        <f>IF(J51&lt;=Specifications!D$22,"PASS","FAIL")</f>
        <v>#DIV/0!</v>
      </c>
      <c r="K55" s="151" t="str">
        <f>IF(AND('Resample Data Summary'!C182="PASS",'Data - Sample Type 1'!FW136&lt;&gt;0),'Data - Sample Type 1'!FW136,"")</f>
        <v/>
      </c>
      <c r="L55" s="259" t="e">
        <f>IF(AND(L51&gt;=Specifications!$C$23,L51&lt;=Specifications!$D$23),"PASS","FAIL")</f>
        <v>#DIV/0!</v>
      </c>
      <c r="M55" s="191" t="str">
        <f>IF(AND('Resample Data Summary'!C182="PASS",K55&lt;&gt;""),'Data - Sample Type 1'!FX136,"")</f>
        <v/>
      </c>
      <c r="N55" s="391" t="s">
        <v>510</v>
      </c>
      <c r="O55" s="151" t="str">
        <f>IF(AND('Resample Data Summary'!C182="PASS",'Data - Sample Type 1'!GE136&lt;&gt;0),'Data - Sample Type 1'!GE136,"")</f>
        <v/>
      </c>
      <c r="P55" s="259" t="e">
        <f>IF(AND(P51&gt;=Specifications!$C$25,P51&lt;=Specifications!$D$25),"PASS","FAIL")</f>
        <v>#DIV/0!</v>
      </c>
      <c r="Q55" s="191" t="str">
        <f>IF(AND('Resample Data Summary'!C182="PASS",O55&lt;&gt;""),'Data - Sample Type 1'!GF136,"")</f>
        <v/>
      </c>
      <c r="R55" s="391" t="s">
        <v>510</v>
      </c>
      <c r="S55" s="151" t="str">
        <f>IF('Resample Data Summary'!C182="PASS",IF('Data - Sample Type 1'!BG136=0,"",'Data - Sample Type 1'!BG136),"")</f>
        <v/>
      </c>
      <c r="T55" s="259" t="e">
        <f>IF(T51&lt;=Specifications!D$27,"PASS","FAIL")</f>
        <v>#DIV/0!</v>
      </c>
      <c r="U55" s="194" t="str">
        <f>IF(AND('Resample Data Summary'!C182="PASS",'Data - Sample Type 1'!GM136&lt;&gt;0),'Data - Sample Type 1'!GM136,"")</f>
        <v/>
      </c>
      <c r="V55" s="259" t="e">
        <f>IF(AND(V51&gt;=Specifications!$C$28,V51&lt;=Specifications!$D$28),"PASS","FAIL")</f>
        <v>#DIV/0!</v>
      </c>
      <c r="W55" s="151" t="str">
        <f>IF('Resample Data Summary'!C182="PASS",IF('Data - Sample Type 1'!BU136=0,"",'Data - Sample Type 1'!BU136),"")</f>
        <v/>
      </c>
      <c r="X55" s="394" t="s">
        <v>510</v>
      </c>
      <c r="Y55" s="151" t="str">
        <f>IF(AND('Resample Data Summary'!C182="PASS",'Data - Sample Type 1'!HC136&lt;&gt;0),'Data - Sample Type 1'!HC136,"")</f>
        <v/>
      </c>
      <c r="Z55" s="259" t="e">
        <f>IF(AND(Z51&gt;=Specifications!$C$31,Z51&lt;=Specifications!$D$31),"PASS","FAIL")</f>
        <v>#DIV/0!</v>
      </c>
      <c r="AA55" s="191" t="str">
        <f>IF(AND('Resample Data Summary'!C182="PASS",Y55&lt;&gt;""),'Data - Sample Type 1'!HD136,"")</f>
        <v/>
      </c>
      <c r="AB55" s="391" t="s">
        <v>510</v>
      </c>
      <c r="AC55" s="151" t="str">
        <f>IF(AND('Resample Data Summary'!C182="PASS",'Data - Sample Type 1'!HK136&lt;&gt;0),'Data - Sample Type 1'!HK136,"")</f>
        <v/>
      </c>
      <c r="AD55" s="259" t="e">
        <f>IF(AND(AD51&gt;=Specifications!$C$33,AD51&lt;=Specifications!$D$33),"PASS","FAIL")</f>
        <v>#DIV/0!</v>
      </c>
      <c r="AE55" s="191" t="str">
        <f>IF(AND('Resample Data Summary'!C182="PASS",AC55&lt;&gt;""),'Data - Sample Type 1'!HL136,"")</f>
        <v/>
      </c>
      <c r="AF55" s="391" t="s">
        <v>510</v>
      </c>
      <c r="AG55" s="151" t="str">
        <f>IF(AND('Resample Data Summary'!C182="PASS",'Data - Sample Type 1'!HS136&lt;&gt;0),'Data - Sample Type 1'!HS136,"")</f>
        <v/>
      </c>
      <c r="AH55" s="259" t="e">
        <f>IF(AND(AH51&gt;=Specifications!$C$35,AH51&lt;=Specifications!$D$35),"PASS","FAIL")</f>
        <v>#DIV/0!</v>
      </c>
      <c r="AI55" s="191" t="str">
        <f>IF(AND('Resample Data Summary'!C182="PASS",AG55&lt;&gt;""),'Data - Sample Type 1'!HT136,"")</f>
        <v/>
      </c>
      <c r="AJ55" s="391" t="s">
        <v>510</v>
      </c>
      <c r="AK55" s="194" t="str">
        <f>IF('Resample Data Summary'!C182="PASS",IF('Data - Sample Type 1'!DK136=0,"",'Data - Sample Type 1'!DK136),"")</f>
        <v/>
      </c>
      <c r="AL55" s="259" t="e">
        <f>IF(AL51&lt;=Specifications!$D$37,"PASS","FAIL")</f>
        <v>#DIV/0!</v>
      </c>
      <c r="AM55" s="151" t="str">
        <f>IF('Resample Data Summary'!C182="PASS",IF('Data - Sample Type 1'!DY136=0,"",'Data - Sample Type 1'!DY136),"")</f>
        <v/>
      </c>
      <c r="AN55" s="259" t="e">
        <f>IF(AN51&lt;=Specifications!$D$38,"PASS","FAIL")</f>
        <v>#DIV/0!</v>
      </c>
      <c r="AO55" s="151" t="str">
        <f>IF('Resample Data Summary'!C182="PASS",IF('Data - Sample Type 1'!EM136=0,"",'Data - Sample Type 1'!EM136),"")</f>
        <v/>
      </c>
      <c r="AP55" s="280" t="e">
        <f>IF(AP51&lt;=Specifications!$D$39,"PASS","FAIL")</f>
        <v>#DIV/0!</v>
      </c>
      <c r="AS55" s="65"/>
      <c r="AU55" s="257"/>
      <c r="AW55" s="257"/>
      <c r="AY55" s="257"/>
      <c r="BA55" s="257"/>
      <c r="BC55" s="257"/>
      <c r="BE55" s="257"/>
      <c r="BG55" s="257"/>
      <c r="BI55" s="257"/>
      <c r="BK55" s="257"/>
      <c r="BM55" s="257"/>
      <c r="BO55" s="257"/>
      <c r="BQ55" s="257"/>
      <c r="BS55" s="257"/>
      <c r="BU55" s="257"/>
    </row>
    <row r="56" spans="1:73" x14ac:dyDescent="0.2">
      <c r="A56" s="276"/>
      <c r="B56" s="151" t="str">
        <f>IF('Resample Data Summary'!C78="PASS",IF('Resample Data Summary'!A78="","",'Data - Sample Type 0'!Q157),"")</f>
        <v/>
      </c>
      <c r="C56" s="280"/>
      <c r="D56"/>
      <c r="E56"/>
      <c r="F56" s="276"/>
      <c r="G56" s="151" t="str">
        <f>IF(AND('Resample Data Summary'!C183="PASS",'Data - Sample Type 1'!FO137&lt;&gt;0),'Data - Sample Type 1'!FO137,"")</f>
        <v/>
      </c>
      <c r="H56" s="259"/>
      <c r="I56" s="102" t="str">
        <f>IF('Resample Data Summary'!C183="PASS",IF('Data - Sample Type 1'!AE137=0,"",'Data - Sample Type 1'!AE137),"")</f>
        <v/>
      </c>
      <c r="J56" s="259"/>
      <c r="K56" s="151" t="str">
        <f>IF(AND('Resample Data Summary'!C183="PASS",'Data - Sample Type 1'!FW137&lt;&gt;0),'Data - Sample Type 1'!FW137,"")</f>
        <v/>
      </c>
      <c r="L56" s="259"/>
      <c r="M56" s="191" t="str">
        <f>IF(AND('Resample Data Summary'!C183="PASS",K56&lt;&gt;""),'Data - Sample Type 1'!FX137,"")</f>
        <v/>
      </c>
      <c r="N56" s="264"/>
      <c r="O56" s="151" t="str">
        <f>IF(AND('Resample Data Summary'!C183="PASS",'Data - Sample Type 1'!GE137&lt;&gt;0),'Data - Sample Type 1'!GE137,"")</f>
        <v/>
      </c>
      <c r="P56" s="259"/>
      <c r="Q56" s="191" t="str">
        <f>IF(AND('Resample Data Summary'!C183="PASS",O56&lt;&gt;""),'Data - Sample Type 1'!GF137,"")</f>
        <v/>
      </c>
      <c r="R56" s="264"/>
      <c r="S56" s="151" t="str">
        <f>IF('Resample Data Summary'!C183="PASS",IF('Data - Sample Type 1'!BG137=0,"",'Data - Sample Type 1'!BG137),"")</f>
        <v/>
      </c>
      <c r="T56" s="259"/>
      <c r="U56" s="194" t="str">
        <f>IF(AND('Resample Data Summary'!C183="PASS",'Data - Sample Type 1'!GM137&lt;&gt;0),'Data - Sample Type 1'!GM137,"")</f>
        <v/>
      </c>
      <c r="V56" s="259"/>
      <c r="W56" s="151" t="str">
        <f>IF('Resample Data Summary'!C183="PASS",IF('Data - Sample Type 1'!BU137=0,"",'Data - Sample Type 1'!BU137),"")</f>
        <v/>
      </c>
      <c r="X56" s="259"/>
      <c r="Y56" s="151" t="str">
        <f>IF(AND('Resample Data Summary'!C183="PASS",'Data - Sample Type 1'!HC137&lt;&gt;0),'Data - Sample Type 1'!HC137,"")</f>
        <v/>
      </c>
      <c r="Z56" s="259"/>
      <c r="AA56" s="191" t="str">
        <f>IF(AND('Resample Data Summary'!C183="PASS",Y56&lt;&gt;""),'Data - Sample Type 1'!HD137,"")</f>
        <v/>
      </c>
      <c r="AB56" s="264"/>
      <c r="AC56" s="151" t="str">
        <f>IF(AND('Resample Data Summary'!C183="PASS",'Data - Sample Type 1'!HK137&lt;&gt;0),'Data - Sample Type 1'!HK137,"")</f>
        <v/>
      </c>
      <c r="AD56" s="259"/>
      <c r="AE56" s="191" t="str">
        <f>IF(AND('Resample Data Summary'!C183="PASS",AC56&lt;&gt;""),'Data - Sample Type 1'!HL137,"")</f>
        <v/>
      </c>
      <c r="AF56" s="264"/>
      <c r="AG56" s="151" t="str">
        <f>IF(AND('Resample Data Summary'!C183="PASS",'Data - Sample Type 1'!HS137&lt;&gt;0),'Data - Sample Type 1'!HS137,"")</f>
        <v/>
      </c>
      <c r="AH56" s="259"/>
      <c r="AI56" s="191" t="str">
        <f>IF(AND('Resample Data Summary'!C183="PASS",AG56&lt;&gt;""),'Data - Sample Type 1'!HT137,"")</f>
        <v/>
      </c>
      <c r="AJ56" s="264"/>
      <c r="AK56" s="194" t="str">
        <f>IF('Resample Data Summary'!C183="PASS",IF('Data - Sample Type 1'!DK137=0,"",'Data - Sample Type 1'!DK137),"")</f>
        <v/>
      </c>
      <c r="AL56" s="259"/>
      <c r="AM56" s="151" t="str">
        <f>IF('Resample Data Summary'!C183="PASS",IF('Data - Sample Type 1'!DY137=0,"",'Data - Sample Type 1'!DY137),"")</f>
        <v/>
      </c>
      <c r="AN56" s="259"/>
      <c r="AO56" s="151" t="str">
        <f>IF('Resample Data Summary'!C183="PASS",IF('Data - Sample Type 1'!EM137=0,"",'Data - Sample Type 1'!EM137),"")</f>
        <v/>
      </c>
      <c r="AP56" s="280"/>
      <c r="AS56" s="65"/>
      <c r="AU56" s="257"/>
      <c r="AW56" s="257"/>
      <c r="AY56" s="257"/>
      <c r="BA56" s="257"/>
      <c r="BC56" s="257"/>
      <c r="BE56" s="257"/>
      <c r="BG56" s="257"/>
      <c r="BI56" s="257"/>
      <c r="BK56" s="257"/>
      <c r="BM56" s="257"/>
      <c r="BO56" s="257"/>
      <c r="BQ56" s="257"/>
      <c r="BS56" s="257"/>
      <c r="BU56" s="257"/>
    </row>
    <row r="57" spans="1:73" ht="14.1" customHeight="1" x14ac:dyDescent="0.2">
      <c r="A57" s="276"/>
      <c r="B57" s="151" t="str">
        <f>IF('Resample Data Summary'!C79="PASS",IF('Resample Data Summary'!A79="","",'Data - Sample Type 0'!Q158),"")</f>
        <v/>
      </c>
      <c r="C57" s="280"/>
      <c r="D57"/>
      <c r="E57"/>
      <c r="F57" s="276"/>
      <c r="G57" s="151" t="str">
        <f>IF(AND('Resample Data Summary'!C184="PASS",'Data - Sample Type 1'!FO138&lt;&gt;0),'Data - Sample Type 1'!FO138,"")</f>
        <v/>
      </c>
      <c r="H57" s="259"/>
      <c r="I57" s="102" t="str">
        <f>IF('Resample Data Summary'!C184="PASS",IF('Data - Sample Type 1'!AE138=0,"",'Data - Sample Type 1'!AE138),"")</f>
        <v/>
      </c>
      <c r="J57" s="259"/>
      <c r="K57" s="151" t="str">
        <f>IF(AND('Resample Data Summary'!C184="PASS",'Data - Sample Type 1'!FW138&lt;&gt;0),'Data - Sample Type 1'!FW138,"")</f>
        <v/>
      </c>
      <c r="L57" s="259"/>
      <c r="M57" s="191" t="str">
        <f>IF(AND('Resample Data Summary'!C184="PASS",K57&lt;&gt;""),'Data - Sample Type 1'!FX138,"")</f>
        <v/>
      </c>
      <c r="N57" s="264"/>
      <c r="O57" s="151" t="str">
        <f>IF(AND('Resample Data Summary'!C184="PASS",'Data - Sample Type 1'!GE138&lt;&gt;0),'Data - Sample Type 1'!GE138,"")</f>
        <v/>
      </c>
      <c r="P57" s="259"/>
      <c r="Q57" s="191" t="str">
        <f>IF(AND('Resample Data Summary'!C184="PASS",O57&lt;&gt;""),'Data - Sample Type 1'!GF138,"")</f>
        <v/>
      </c>
      <c r="R57" s="264"/>
      <c r="S57" s="151" t="str">
        <f>IF('Resample Data Summary'!C184="PASS",IF('Data - Sample Type 1'!BG138=0,"",'Data - Sample Type 1'!BG138),"")</f>
        <v/>
      </c>
      <c r="T57" s="259"/>
      <c r="U57" s="194" t="str">
        <f>IF(AND('Resample Data Summary'!C184="PASS",'Data - Sample Type 1'!GM138&lt;&gt;0),'Data - Sample Type 1'!GM138,"")</f>
        <v/>
      </c>
      <c r="V57" s="259"/>
      <c r="W57" s="151" t="str">
        <f>IF('Resample Data Summary'!C184="PASS",IF('Data - Sample Type 1'!BU138=0,"",'Data - Sample Type 1'!BU138),"")</f>
        <v/>
      </c>
      <c r="X57" s="259"/>
      <c r="Y57" s="151" t="str">
        <f>IF(AND('Resample Data Summary'!C184="PASS",'Data - Sample Type 1'!HC138&lt;&gt;0),'Data - Sample Type 1'!HC138,"")</f>
        <v/>
      </c>
      <c r="Z57" s="259"/>
      <c r="AA57" s="191" t="str">
        <f>IF(AND('Resample Data Summary'!C184="PASS",Y57&lt;&gt;""),'Data - Sample Type 1'!HD138,"")</f>
        <v/>
      </c>
      <c r="AB57" s="264"/>
      <c r="AC57" s="151" t="str">
        <f>IF(AND('Resample Data Summary'!C184="PASS",'Data - Sample Type 1'!HK138&lt;&gt;0),'Data - Sample Type 1'!HK138,"")</f>
        <v/>
      </c>
      <c r="AD57" s="259"/>
      <c r="AE57" s="191" t="str">
        <f>IF(AND('Resample Data Summary'!C184="PASS",AC57&lt;&gt;""),'Data - Sample Type 1'!HL138,"")</f>
        <v/>
      </c>
      <c r="AF57" s="264"/>
      <c r="AG57" s="151" t="str">
        <f>IF(AND('Resample Data Summary'!C184="PASS",'Data - Sample Type 1'!HS138&lt;&gt;0),'Data - Sample Type 1'!HS138,"")</f>
        <v/>
      </c>
      <c r="AH57" s="259"/>
      <c r="AI57" s="191" t="str">
        <f>IF(AND('Resample Data Summary'!C184="PASS",AG57&lt;&gt;""),'Data - Sample Type 1'!HT138,"")</f>
        <v/>
      </c>
      <c r="AJ57" s="264"/>
      <c r="AK57" s="194" t="str">
        <f>IF('Resample Data Summary'!C184="PASS",IF('Data - Sample Type 1'!DK138=0,"",'Data - Sample Type 1'!DK138),"")</f>
        <v/>
      </c>
      <c r="AL57" s="259"/>
      <c r="AM57" s="151" t="str">
        <f>IF('Resample Data Summary'!C184="PASS",IF('Data - Sample Type 1'!DY138=0,"",'Data - Sample Type 1'!DY138),"")</f>
        <v/>
      </c>
      <c r="AN57" s="259"/>
      <c r="AO57" s="151" t="str">
        <f>IF('Resample Data Summary'!C184="PASS",IF('Data - Sample Type 1'!EM138=0,"",'Data - Sample Type 1'!EM138),"")</f>
        <v/>
      </c>
      <c r="AP57" s="280"/>
      <c r="AS57" s="65"/>
      <c r="AU57" s="257"/>
      <c r="AW57" s="257"/>
      <c r="AY57" s="257"/>
      <c r="BA57" s="257"/>
      <c r="BC57" s="257"/>
      <c r="BE57" s="257"/>
      <c r="BG57" s="257"/>
      <c r="BI57" s="257"/>
      <c r="BK57" s="257"/>
      <c r="BM57" s="257"/>
      <c r="BO57" s="257"/>
      <c r="BQ57" s="257"/>
      <c r="BS57" s="257"/>
      <c r="BU57" s="257"/>
    </row>
    <row r="58" spans="1:73" ht="13.5" thickBot="1" x14ac:dyDescent="0.25">
      <c r="A58" s="276"/>
      <c r="B58" s="151" t="str">
        <f>IF('Resample Data Summary'!C80="PASS",IF('Resample Data Summary'!A80="","",'Data - Sample Type 0'!Q159),"")</f>
        <v/>
      </c>
      <c r="C58" s="280" t="e">
        <f>IF(C53&lt;=Specifications!$G$20,"PASS","FAIL")</f>
        <v>#DIV/0!</v>
      </c>
      <c r="D58"/>
      <c r="E58"/>
      <c r="F58" s="278"/>
      <c r="G58" s="155" t="str">
        <f>IF(AND('Resample Data Summary'!C185="PASS",'Data - Sample Type 1'!FO139&lt;&gt;0),'Data - Sample Type 1'!FO139,"")</f>
        <v/>
      </c>
      <c r="H58" s="393"/>
      <c r="I58" s="171" t="str">
        <f>IF('Resample Data Summary'!C185="PASS",IF('Data - Sample Type 1'!AE139=0,"",'Data - Sample Type 1'!AE139),"")</f>
        <v/>
      </c>
      <c r="J58" s="393"/>
      <c r="K58" s="155" t="str">
        <f>IF(AND('Resample Data Summary'!C185="PASS",'Data - Sample Type 1'!FW139&lt;&gt;0),'Data - Sample Type 1'!FW139,"")</f>
        <v/>
      </c>
      <c r="L58" s="393"/>
      <c r="M58" s="193" t="str">
        <f>IF(AND('Resample Data Summary'!C185="PASS",K58&lt;&gt;""),'Data - Sample Type 1'!FX139,"")</f>
        <v/>
      </c>
      <c r="N58" s="392"/>
      <c r="O58" s="155" t="str">
        <f>IF(AND('Resample Data Summary'!C185="PASS",'Data - Sample Type 1'!GE139&lt;&gt;0),'Data - Sample Type 1'!GE139,"")</f>
        <v/>
      </c>
      <c r="P58" s="393"/>
      <c r="Q58" s="193" t="str">
        <f>IF(AND('Resample Data Summary'!C185="PASS",O58&lt;&gt;""),'Data - Sample Type 1'!GF139,"")</f>
        <v/>
      </c>
      <c r="R58" s="392"/>
      <c r="S58" s="155" t="str">
        <f>IF('Resample Data Summary'!C185="PASS",IF('Data - Sample Type 1'!BG139=0,"",'Data - Sample Type 1'!BG139),"")</f>
        <v/>
      </c>
      <c r="T58" s="393"/>
      <c r="U58" s="197" t="str">
        <f>IF(AND('Resample Data Summary'!C185="PASS",'Data - Sample Type 1'!GM139&lt;&gt;0),'Data - Sample Type 1'!GM139,"")</f>
        <v/>
      </c>
      <c r="V58" s="393"/>
      <c r="W58" s="155" t="str">
        <f>IF('Resample Data Summary'!C185="PASS",IF('Data - Sample Type 1'!BU139=0,"",'Data - Sample Type 1'!BU139),"")</f>
        <v/>
      </c>
      <c r="X58" s="393"/>
      <c r="Y58" s="155" t="str">
        <f>IF(AND('Resample Data Summary'!C185="PASS",'Data - Sample Type 1'!HC139&lt;&gt;0),'Data - Sample Type 1'!HC139,"")</f>
        <v/>
      </c>
      <c r="Z58" s="393"/>
      <c r="AA58" s="193" t="str">
        <f>IF(AND('Resample Data Summary'!C185="PASS",Y58&lt;&gt;""),'Data - Sample Type 1'!HD139,"")</f>
        <v/>
      </c>
      <c r="AB58" s="392"/>
      <c r="AC58" s="155" t="str">
        <f>IF(AND('Resample Data Summary'!C185="PASS",'Data - Sample Type 1'!HK139&lt;&gt;0),'Data - Sample Type 1'!HK139,"")</f>
        <v/>
      </c>
      <c r="AD58" s="393"/>
      <c r="AE58" s="193" t="str">
        <f>IF(AND('Resample Data Summary'!C185="PASS",AC58&lt;&gt;""),'Data - Sample Type 1'!HL139,"")</f>
        <v/>
      </c>
      <c r="AF58" s="392"/>
      <c r="AG58" s="155" t="str">
        <f>IF(AND('Resample Data Summary'!C185="PASS",'Data - Sample Type 1'!HS139&lt;&gt;0),'Data - Sample Type 1'!HS139,"")</f>
        <v/>
      </c>
      <c r="AH58" s="393"/>
      <c r="AI58" s="193" t="str">
        <f>IF(AND('Resample Data Summary'!C185="PASS",AG58&lt;&gt;""),'Data - Sample Type 1'!HT139,"")</f>
        <v/>
      </c>
      <c r="AJ58" s="392"/>
      <c r="AK58" s="197" t="str">
        <f>IF('Resample Data Summary'!C185="PASS",IF('Data - Sample Type 1'!DK139=0,"",'Data - Sample Type 1'!DK139),"")</f>
        <v/>
      </c>
      <c r="AL58" s="393"/>
      <c r="AM58" s="155" t="str">
        <f>IF('Resample Data Summary'!C185="PASS",IF('Data - Sample Type 1'!DY139=0,"",'Data - Sample Type 1'!DY139),"")</f>
        <v/>
      </c>
      <c r="AN58" s="393"/>
      <c r="AO58" s="155" t="str">
        <f>IF('Resample Data Summary'!C185="PASS",IF('Data - Sample Type 1'!EM139=0,"",'Data - Sample Type 1'!EM139),"")</f>
        <v/>
      </c>
      <c r="AP58" s="395"/>
      <c r="AS58" s="65"/>
      <c r="AU58" s="257"/>
      <c r="AW58" s="257"/>
      <c r="AY58" s="257"/>
      <c r="BA58" s="257"/>
      <c r="BC58" s="257"/>
      <c r="BE58" s="257"/>
      <c r="BG58" s="257"/>
      <c r="BI58" s="257"/>
      <c r="BK58" s="257"/>
      <c r="BM58" s="257"/>
      <c r="BO58" s="257"/>
      <c r="BQ58" s="257"/>
      <c r="BS58" s="257"/>
      <c r="BU58" s="257"/>
    </row>
    <row r="59" spans="1:73" ht="13.35" customHeight="1" x14ac:dyDescent="0.2">
      <c r="A59" s="276"/>
      <c r="B59" s="151" t="str">
        <f>IF('Resample Data Summary'!C81="PASS",IF('Resample Data Summary'!A81="","",'Data - Sample Type 0'!Q160),"")</f>
        <v/>
      </c>
      <c r="C59" s="280"/>
      <c r="D59"/>
      <c r="E59"/>
      <c r="F59" s="275">
        <v>8</v>
      </c>
      <c r="G59" s="154" t="str">
        <f>IF(AND('Resample Data Summary'!C186="PASS",'Data - Sample Type 1'!FO140&lt;&gt;0),'Data - Sample Type 1'!FO140,"")</f>
        <v/>
      </c>
      <c r="H59" s="258" t="e">
        <f t="shared" ref="H59" si="113">AVERAGE(G59:G66)</f>
        <v>#DIV/0!</v>
      </c>
      <c r="I59" s="170" t="str">
        <f>IF('Resample Data Summary'!C186="PASS",IF('Data - Sample Type 1'!AE140=0,"",'Data - Sample Type 1'!AE140),"")</f>
        <v/>
      </c>
      <c r="J59" s="258" t="e">
        <f t="shared" ref="J59" si="114">AVERAGE(I59:I66)</f>
        <v>#DIV/0!</v>
      </c>
      <c r="K59" s="154" t="str">
        <f>IF(AND('Resample Data Summary'!C186="PASS",'Data - Sample Type 1'!FW140&lt;&gt;0),'Data - Sample Type 1'!FW140,"")</f>
        <v/>
      </c>
      <c r="L59" s="258" t="e">
        <f t="shared" ref="L59" si="115">AVERAGE(K59:K66)</f>
        <v>#DIV/0!</v>
      </c>
      <c r="M59" s="190" t="str">
        <f>IF(AND('Resample Data Summary'!C186="PASS",K59&lt;&gt;""),'Data - Sample Type 1'!FX140,"")</f>
        <v/>
      </c>
      <c r="N59" s="263" t="e">
        <f t="shared" ref="N59" si="116">AVERAGE(M59:M66)</f>
        <v>#DIV/0!</v>
      </c>
      <c r="O59" s="154" t="str">
        <f>IF(AND('Resample Data Summary'!C186="PASS",'Data - Sample Type 1'!GE140&lt;&gt;0),'Data - Sample Type 1'!GE140,"")</f>
        <v/>
      </c>
      <c r="P59" s="258" t="e">
        <f t="shared" ref="P59" si="117">AVERAGE(O59:O66)</f>
        <v>#DIV/0!</v>
      </c>
      <c r="Q59" s="190" t="str">
        <f>IF(AND('Resample Data Summary'!C186="PASS",O59&lt;&gt;""),'Data - Sample Type 1'!GF140,"")</f>
        <v/>
      </c>
      <c r="R59" s="263" t="e">
        <f t="shared" ref="R59" si="118">AVERAGE(Q59:Q66)</f>
        <v>#DIV/0!</v>
      </c>
      <c r="S59" s="154" t="str">
        <f>IF('Resample Data Summary'!C186="PASS",IF('Data - Sample Type 1'!BG140=0,"",'Data - Sample Type 1'!BG140),"")</f>
        <v/>
      </c>
      <c r="T59" s="258" t="e">
        <f t="shared" ref="T59" si="119">AVERAGE(S59:S66)</f>
        <v>#DIV/0!</v>
      </c>
      <c r="U59" s="196" t="str">
        <f>IF(AND('Resample Data Summary'!C186="PASS",'Data - Sample Type 1'!GM140&lt;&gt;0),'Data - Sample Type 1'!GM140,"")</f>
        <v/>
      </c>
      <c r="V59" s="258" t="e">
        <f t="shared" ref="V59" si="120">AVERAGE(U59:U66)</f>
        <v>#DIV/0!</v>
      </c>
      <c r="W59" s="154" t="str">
        <f>IF('Resample Data Summary'!C186="PASS",IF('Data - Sample Type 1'!BU140=0,"",'Data - Sample Type 1'!BU140),"")</f>
        <v/>
      </c>
      <c r="X59" s="258" t="e">
        <f t="shared" ref="X59" si="121">AVERAGE(W59:W66)</f>
        <v>#DIV/0!</v>
      </c>
      <c r="Y59" s="154" t="str">
        <f>IF(AND('Resample Data Summary'!C186="PASS",'Data - Sample Type 1'!HC140&lt;&gt;0),'Data - Sample Type 1'!HC140,"")</f>
        <v/>
      </c>
      <c r="Z59" s="258" t="e">
        <f t="shared" ref="Z59" si="122">AVERAGE(Y59:Y66)</f>
        <v>#DIV/0!</v>
      </c>
      <c r="AA59" s="190" t="str">
        <f>IF(AND('Resample Data Summary'!C186="PASS",Y59&lt;&gt;""),'Data - Sample Type 1'!HD140,"")</f>
        <v/>
      </c>
      <c r="AB59" s="263" t="e">
        <f t="shared" ref="AB59" si="123">AVERAGE(AA59:AA66)</f>
        <v>#DIV/0!</v>
      </c>
      <c r="AC59" s="154" t="str">
        <f>IF(AND('Resample Data Summary'!C186="PASS",'Data - Sample Type 1'!HK140&lt;&gt;0),'Data - Sample Type 1'!HK140,"")</f>
        <v/>
      </c>
      <c r="AD59" s="258" t="e">
        <f t="shared" ref="AD59" si="124">AVERAGE(AC59:AC66)</f>
        <v>#DIV/0!</v>
      </c>
      <c r="AE59" s="190" t="str">
        <f>IF(AND('Resample Data Summary'!C186="PASS",AC59&lt;&gt;""),'Data - Sample Type 1'!HL140,"")</f>
        <v/>
      </c>
      <c r="AF59" s="263" t="e">
        <f t="shared" ref="AF59" si="125">AVERAGE(AE59:AE66)</f>
        <v>#DIV/0!</v>
      </c>
      <c r="AG59" s="154" t="str">
        <f>IF(AND('Resample Data Summary'!C186="PASS",'Data - Sample Type 1'!HS140&lt;&gt;0),'Data - Sample Type 1'!HS140,"")</f>
        <v/>
      </c>
      <c r="AH59" s="258" t="e">
        <f t="shared" ref="AH59" si="126">AVERAGE(AG59:AG66)</f>
        <v>#DIV/0!</v>
      </c>
      <c r="AI59" s="190" t="str">
        <f>IF(AND('Resample Data Summary'!C186="PASS",AG59&lt;&gt;""),'Data - Sample Type 1'!HT140,"")</f>
        <v/>
      </c>
      <c r="AJ59" s="263" t="e">
        <f t="shared" ref="AJ59" si="127">AVERAGE(AI59:AI66)</f>
        <v>#DIV/0!</v>
      </c>
      <c r="AK59" s="196" t="str">
        <f>IF('Resample Data Summary'!C186="PASS",IF('Data - Sample Type 1'!DK140=0,"",'Data - Sample Type 1'!DK140),"")</f>
        <v/>
      </c>
      <c r="AL59" s="258" t="e">
        <f t="shared" ref="AL59" si="128">AVERAGE(AK59:AK66)</f>
        <v>#DIV/0!</v>
      </c>
      <c r="AM59" s="154" t="str">
        <f>IF('Resample Data Summary'!C186="PASS",IF('Data - Sample Type 1'!DY140=0,"",'Data - Sample Type 1'!DY140),"")</f>
        <v/>
      </c>
      <c r="AN59" s="258" t="e">
        <f t="shared" ref="AN59" si="129">AVERAGE(AM59:AM66)</f>
        <v>#DIV/0!</v>
      </c>
      <c r="AO59" s="154" t="str">
        <f>IF('Resample Data Summary'!C186="PASS",IF('Data - Sample Type 1'!EM140=0,"",'Data - Sample Type 1'!EM140),"")</f>
        <v/>
      </c>
      <c r="AP59" s="279" t="e">
        <f t="shared" ref="AP59" si="130">AVERAGE(AO59:AO66)</f>
        <v>#DIV/0!</v>
      </c>
      <c r="AS59" s="65"/>
      <c r="AU59" s="257"/>
      <c r="AW59" s="257"/>
      <c r="AY59" s="257"/>
      <c r="BA59" s="257"/>
      <c r="BC59" s="257"/>
      <c r="BE59" s="257"/>
      <c r="BG59" s="257"/>
      <c r="BI59" s="257"/>
      <c r="BK59" s="257"/>
      <c r="BM59" s="257"/>
      <c r="BO59" s="257"/>
      <c r="BQ59" s="257"/>
      <c r="BS59" s="257"/>
      <c r="BU59" s="257"/>
    </row>
    <row r="60" spans="1:73" x14ac:dyDescent="0.2">
      <c r="A60" s="276"/>
      <c r="B60" s="151" t="str">
        <f>IF('Resample Data Summary'!C82="PASS",IF('Resample Data Summary'!A82="","",'Data - Sample Type 0'!Q161),"")</f>
        <v/>
      </c>
      <c r="C60" s="280"/>
      <c r="D60"/>
      <c r="E60"/>
      <c r="F60" s="276"/>
      <c r="G60" s="151" t="str">
        <f>IF(AND('Resample Data Summary'!C187="PASS",'Data - Sample Type 1'!FO141&lt;&gt;0),'Data - Sample Type 1'!FO141,"")</f>
        <v/>
      </c>
      <c r="H60" s="259"/>
      <c r="I60" s="102" t="str">
        <f>IF('Resample Data Summary'!C187="PASS",IF('Data - Sample Type 1'!AE141=0,"",'Data - Sample Type 1'!AE141),"")</f>
        <v/>
      </c>
      <c r="J60" s="259"/>
      <c r="K60" s="151" t="str">
        <f>IF(AND('Resample Data Summary'!C187="PASS",'Data - Sample Type 1'!FW141&lt;&gt;0),'Data - Sample Type 1'!FW141,"")</f>
        <v/>
      </c>
      <c r="L60" s="259"/>
      <c r="M60" s="191" t="str">
        <f>IF(AND('Resample Data Summary'!C187="PASS",K60&lt;&gt;""),'Data - Sample Type 1'!FX141,"")</f>
        <v/>
      </c>
      <c r="N60" s="264"/>
      <c r="O60" s="151" t="str">
        <f>IF(AND('Resample Data Summary'!C187="PASS",'Data - Sample Type 1'!GE141&lt;&gt;0),'Data - Sample Type 1'!GE141,"")</f>
        <v/>
      </c>
      <c r="P60" s="259"/>
      <c r="Q60" s="191" t="str">
        <f>IF(AND('Resample Data Summary'!C187="PASS",O60&lt;&gt;""),'Data - Sample Type 1'!GF141,"")</f>
        <v/>
      </c>
      <c r="R60" s="264"/>
      <c r="S60" s="151" t="str">
        <f>IF('Resample Data Summary'!C187="PASS",IF('Data - Sample Type 1'!BG141=0,"",'Data - Sample Type 1'!BG141),"")</f>
        <v/>
      </c>
      <c r="T60" s="259"/>
      <c r="U60" s="194" t="str">
        <f>IF(AND('Resample Data Summary'!C187="PASS",'Data - Sample Type 1'!GM141&lt;&gt;0),'Data - Sample Type 1'!GM141,"")</f>
        <v/>
      </c>
      <c r="V60" s="259"/>
      <c r="W60" s="151" t="str">
        <f>IF('Resample Data Summary'!C187="PASS",IF('Data - Sample Type 1'!BU141=0,"",'Data - Sample Type 1'!BU141),"")</f>
        <v/>
      </c>
      <c r="X60" s="259"/>
      <c r="Y60" s="151" t="str">
        <f>IF(AND('Resample Data Summary'!C187="PASS",'Data - Sample Type 1'!HC141&lt;&gt;0),'Data - Sample Type 1'!HC141,"")</f>
        <v/>
      </c>
      <c r="Z60" s="259"/>
      <c r="AA60" s="191" t="str">
        <f>IF(AND('Resample Data Summary'!C187="PASS",Y60&lt;&gt;""),'Data - Sample Type 1'!HD141,"")</f>
        <v/>
      </c>
      <c r="AB60" s="264"/>
      <c r="AC60" s="151" t="str">
        <f>IF(AND('Resample Data Summary'!C187="PASS",'Data - Sample Type 1'!HK141&lt;&gt;0),'Data - Sample Type 1'!HK141,"")</f>
        <v/>
      </c>
      <c r="AD60" s="259"/>
      <c r="AE60" s="191" t="str">
        <f>IF(AND('Resample Data Summary'!C187="PASS",AC60&lt;&gt;""),'Data - Sample Type 1'!HL141,"")</f>
        <v/>
      </c>
      <c r="AF60" s="264"/>
      <c r="AG60" s="151" t="str">
        <f>IF(AND('Resample Data Summary'!C187="PASS",'Data - Sample Type 1'!HS141&lt;&gt;0),'Data - Sample Type 1'!HS141,"")</f>
        <v/>
      </c>
      <c r="AH60" s="259"/>
      <c r="AI60" s="191" t="str">
        <f>IF(AND('Resample Data Summary'!C187="PASS",AG60&lt;&gt;""),'Data - Sample Type 1'!HT141,"")</f>
        <v/>
      </c>
      <c r="AJ60" s="264"/>
      <c r="AK60" s="194" t="str">
        <f>IF('Resample Data Summary'!C187="PASS",IF('Data - Sample Type 1'!DK141=0,"",'Data - Sample Type 1'!DK141),"")</f>
        <v/>
      </c>
      <c r="AL60" s="259"/>
      <c r="AM60" s="151" t="str">
        <f>IF('Resample Data Summary'!C187="PASS",IF('Data - Sample Type 1'!DY141=0,"",'Data - Sample Type 1'!DY141),"")</f>
        <v/>
      </c>
      <c r="AN60" s="259"/>
      <c r="AO60" s="151" t="str">
        <f>IF('Resample Data Summary'!C187="PASS",IF('Data - Sample Type 1'!EM141=0,"",'Data - Sample Type 1'!EM141),"")</f>
        <v/>
      </c>
      <c r="AP60" s="280"/>
      <c r="AS60" s="65"/>
      <c r="AU60" s="257"/>
      <c r="AW60" s="257"/>
      <c r="AY60" s="257"/>
      <c r="BA60" s="257"/>
      <c r="BC60" s="257"/>
      <c r="BE60" s="257"/>
      <c r="BG60" s="257"/>
      <c r="BI60" s="257"/>
      <c r="BK60" s="257"/>
      <c r="BM60" s="257"/>
      <c r="BO60" s="257"/>
      <c r="BQ60" s="257"/>
      <c r="BS60" s="257"/>
      <c r="BU60" s="257"/>
    </row>
    <row r="61" spans="1:73" x14ac:dyDescent="0.2">
      <c r="A61" s="276"/>
      <c r="B61" s="151" t="str">
        <f>IF('Resample Data Summary'!C83="PASS",IF('Resample Data Summary'!A83="","",'Data - Sample Type 0'!Q162),"")</f>
        <v/>
      </c>
      <c r="C61" s="280"/>
      <c r="D61"/>
      <c r="E61"/>
      <c r="F61" s="276"/>
      <c r="G61" s="151" t="str">
        <f>IF(AND('Resample Data Summary'!C188="PASS",'Data - Sample Type 1'!FO142&lt;&gt;0),'Data - Sample Type 1'!FO142,"")</f>
        <v/>
      </c>
      <c r="H61" s="259"/>
      <c r="I61" s="102" t="str">
        <f>IF('Resample Data Summary'!C188="PASS",IF('Data - Sample Type 1'!AE142=0,"",'Data - Sample Type 1'!AE142),"")</f>
        <v/>
      </c>
      <c r="J61" s="259"/>
      <c r="K61" s="151" t="str">
        <f>IF(AND('Resample Data Summary'!C188="PASS",'Data - Sample Type 1'!FW142&lt;&gt;0),'Data - Sample Type 1'!FW142,"")</f>
        <v/>
      </c>
      <c r="L61" s="259"/>
      <c r="M61" s="191" t="str">
        <f>IF(AND('Resample Data Summary'!C188="PASS",K61&lt;&gt;""),'Data - Sample Type 1'!FX142,"")</f>
        <v/>
      </c>
      <c r="N61" s="264"/>
      <c r="O61" s="151" t="str">
        <f>IF(AND('Resample Data Summary'!C188="PASS",'Data - Sample Type 1'!GE142&lt;&gt;0),'Data - Sample Type 1'!GE142,"")</f>
        <v/>
      </c>
      <c r="P61" s="259"/>
      <c r="Q61" s="191" t="str">
        <f>IF(AND('Resample Data Summary'!C188="PASS",O61&lt;&gt;""),'Data - Sample Type 1'!GF142,"")</f>
        <v/>
      </c>
      <c r="R61" s="264"/>
      <c r="S61" s="151" t="str">
        <f>IF('Resample Data Summary'!C188="PASS",IF('Data - Sample Type 1'!BG142=0,"",'Data - Sample Type 1'!BG142),"")</f>
        <v/>
      </c>
      <c r="T61" s="259"/>
      <c r="U61" s="194" t="str">
        <f>IF(AND('Resample Data Summary'!C188="PASS",'Data - Sample Type 1'!GM142&lt;&gt;0),'Data - Sample Type 1'!GM142,"")</f>
        <v/>
      </c>
      <c r="V61" s="259"/>
      <c r="W61" s="151" t="str">
        <f>IF('Resample Data Summary'!C188="PASS",IF('Data - Sample Type 1'!BU142=0,"",'Data - Sample Type 1'!BU142),"")</f>
        <v/>
      </c>
      <c r="X61" s="259"/>
      <c r="Y61" s="151" t="str">
        <f>IF(AND('Resample Data Summary'!C188="PASS",'Data - Sample Type 1'!HC142&lt;&gt;0),'Data - Sample Type 1'!HC142,"")</f>
        <v/>
      </c>
      <c r="Z61" s="259"/>
      <c r="AA61" s="191" t="str">
        <f>IF(AND('Resample Data Summary'!C188="PASS",Y61&lt;&gt;""),'Data - Sample Type 1'!HD142,"")</f>
        <v/>
      </c>
      <c r="AB61" s="264"/>
      <c r="AC61" s="151" t="str">
        <f>IF(AND('Resample Data Summary'!C188="PASS",'Data - Sample Type 1'!HK142&lt;&gt;0),'Data - Sample Type 1'!HK142,"")</f>
        <v/>
      </c>
      <c r="AD61" s="259"/>
      <c r="AE61" s="191" t="str">
        <f>IF(AND('Resample Data Summary'!C188="PASS",AC61&lt;&gt;""),'Data - Sample Type 1'!HL142,"")</f>
        <v/>
      </c>
      <c r="AF61" s="264"/>
      <c r="AG61" s="151" t="str">
        <f>IF(AND('Resample Data Summary'!C188="PASS",'Data - Sample Type 1'!HS142&lt;&gt;0),'Data - Sample Type 1'!HS142,"")</f>
        <v/>
      </c>
      <c r="AH61" s="259"/>
      <c r="AI61" s="191" t="str">
        <f>IF(AND('Resample Data Summary'!C188="PASS",AG61&lt;&gt;""),'Data - Sample Type 1'!HT142,"")</f>
        <v/>
      </c>
      <c r="AJ61" s="264"/>
      <c r="AK61" s="194" t="str">
        <f>IF('Resample Data Summary'!C188="PASS",IF('Data - Sample Type 1'!DK142=0,"",'Data - Sample Type 1'!DK142),"")</f>
        <v/>
      </c>
      <c r="AL61" s="259"/>
      <c r="AM61" s="151" t="str">
        <f>IF('Resample Data Summary'!C188="PASS",IF('Data - Sample Type 1'!DY142=0,"",'Data - Sample Type 1'!DY142),"")</f>
        <v/>
      </c>
      <c r="AN61" s="259"/>
      <c r="AO61" s="151" t="str">
        <f>IF('Resample Data Summary'!C188="PASS",IF('Data - Sample Type 1'!EM142=0,"",'Data - Sample Type 1'!EM142),"")</f>
        <v/>
      </c>
      <c r="AP61" s="280"/>
      <c r="AS61" s="65"/>
      <c r="AU61" s="257"/>
      <c r="AW61" s="257"/>
      <c r="AY61" s="257"/>
      <c r="BA61" s="257"/>
      <c r="BC61" s="257"/>
      <c r="BE61" s="257"/>
      <c r="BG61" s="257"/>
      <c r="BI61" s="257"/>
      <c r="BK61" s="257"/>
      <c r="BM61" s="257"/>
      <c r="BO61" s="257"/>
      <c r="BQ61" s="257"/>
      <c r="BS61" s="257"/>
      <c r="BU61" s="257"/>
    </row>
    <row r="62" spans="1:73" ht="13.5" thickBot="1" x14ac:dyDescent="0.25">
      <c r="A62" s="278"/>
      <c r="B62" s="155" t="str">
        <f>IF('Resample Data Summary'!C84="PASS",IF('Resample Data Summary'!A84="","",'Data - Sample Type 0'!Q163),"")</f>
        <v/>
      </c>
      <c r="C62" s="389"/>
      <c r="D62"/>
      <c r="E62"/>
      <c r="F62" s="276"/>
      <c r="G62" s="151" t="str">
        <f>IF(AND('Resample Data Summary'!C189="PASS",'Data - Sample Type 1'!FO143&lt;&gt;0),'Data - Sample Type 1'!FO143,"")</f>
        <v/>
      </c>
      <c r="H62" s="259"/>
      <c r="I62" s="102" t="str">
        <f>IF('Resample Data Summary'!C189="PASS",IF('Data - Sample Type 1'!AE143=0,"",'Data - Sample Type 1'!AE143),"")</f>
        <v/>
      </c>
      <c r="J62" s="259"/>
      <c r="K62" s="151" t="str">
        <f>IF(AND('Resample Data Summary'!C189="PASS",'Data - Sample Type 1'!FW143&lt;&gt;0),'Data - Sample Type 1'!FW143,"")</f>
        <v/>
      </c>
      <c r="L62" s="259"/>
      <c r="M62" s="191" t="str">
        <f>IF(AND('Resample Data Summary'!C189="PASS",K62&lt;&gt;""),'Data - Sample Type 1'!FX143,"")</f>
        <v/>
      </c>
      <c r="N62" s="264"/>
      <c r="O62" s="151" t="str">
        <f>IF(AND('Resample Data Summary'!C189="PASS",'Data - Sample Type 1'!GE143&lt;&gt;0),'Data - Sample Type 1'!GE143,"")</f>
        <v/>
      </c>
      <c r="P62" s="259"/>
      <c r="Q62" s="191" t="str">
        <f>IF(AND('Resample Data Summary'!C189="PASS",O62&lt;&gt;""),'Data - Sample Type 1'!GF143,"")</f>
        <v/>
      </c>
      <c r="R62" s="264"/>
      <c r="S62" s="151" t="str">
        <f>IF('Resample Data Summary'!C189="PASS",IF('Data - Sample Type 1'!BG143=0,"",'Data - Sample Type 1'!BG143),"")</f>
        <v/>
      </c>
      <c r="T62" s="259"/>
      <c r="U62" s="194" t="str">
        <f>IF(AND('Resample Data Summary'!C189="PASS",'Data - Sample Type 1'!GM143&lt;&gt;0),'Data - Sample Type 1'!GM143,"")</f>
        <v/>
      </c>
      <c r="V62" s="259"/>
      <c r="W62" s="151" t="str">
        <f>IF('Resample Data Summary'!C189="PASS",IF('Data - Sample Type 1'!BU143=0,"",'Data - Sample Type 1'!BU143),"")</f>
        <v/>
      </c>
      <c r="X62" s="259"/>
      <c r="Y62" s="151" t="str">
        <f>IF(AND('Resample Data Summary'!C189="PASS",'Data - Sample Type 1'!HC143&lt;&gt;0),'Data - Sample Type 1'!HC143,"")</f>
        <v/>
      </c>
      <c r="Z62" s="259"/>
      <c r="AA62" s="191" t="str">
        <f>IF(AND('Resample Data Summary'!C189="PASS",Y62&lt;&gt;""),'Data - Sample Type 1'!HD143,"")</f>
        <v/>
      </c>
      <c r="AB62" s="264"/>
      <c r="AC62" s="151" t="str">
        <f>IF(AND('Resample Data Summary'!C189="PASS",'Data - Sample Type 1'!HK143&lt;&gt;0),'Data - Sample Type 1'!HK143,"")</f>
        <v/>
      </c>
      <c r="AD62" s="259"/>
      <c r="AE62" s="191" t="str">
        <f>IF(AND('Resample Data Summary'!C189="PASS",AC62&lt;&gt;""),'Data - Sample Type 1'!HL143,"")</f>
        <v/>
      </c>
      <c r="AF62" s="264"/>
      <c r="AG62" s="151" t="str">
        <f>IF(AND('Resample Data Summary'!C189="PASS",'Data - Sample Type 1'!HS143&lt;&gt;0),'Data - Sample Type 1'!HS143,"")</f>
        <v/>
      </c>
      <c r="AH62" s="259"/>
      <c r="AI62" s="191" t="str">
        <f>IF(AND('Resample Data Summary'!C189="PASS",AG62&lt;&gt;""),'Data - Sample Type 1'!HT143,"")</f>
        <v/>
      </c>
      <c r="AJ62" s="264"/>
      <c r="AK62" s="194" t="str">
        <f>IF('Resample Data Summary'!C189="PASS",IF('Data - Sample Type 1'!DK143=0,"",'Data - Sample Type 1'!DK143),"")</f>
        <v/>
      </c>
      <c r="AL62" s="259"/>
      <c r="AM62" s="151" t="str">
        <f>IF('Resample Data Summary'!C189="PASS",IF('Data - Sample Type 1'!DY143=0,"",'Data - Sample Type 1'!DY143),"")</f>
        <v/>
      </c>
      <c r="AN62" s="259"/>
      <c r="AO62" s="151" t="str">
        <f>IF('Resample Data Summary'!C189="PASS",IF('Data - Sample Type 1'!EM143=0,"",'Data - Sample Type 1'!EM143),"")</f>
        <v/>
      </c>
      <c r="AP62" s="280"/>
      <c r="AS62" s="65"/>
      <c r="AU62" s="257"/>
      <c r="AW62" s="257"/>
      <c r="AY62" s="257"/>
      <c r="BA62" s="257"/>
      <c r="BC62" s="257"/>
      <c r="BE62" s="257"/>
      <c r="BG62" s="257"/>
      <c r="BI62" s="257"/>
      <c r="BK62" s="257"/>
      <c r="BM62" s="257"/>
      <c r="BO62" s="257"/>
      <c r="BQ62" s="257"/>
      <c r="BS62" s="257"/>
      <c r="BU62" s="257"/>
    </row>
    <row r="63" spans="1:73" x14ac:dyDescent="0.2">
      <c r="A63" s="275">
        <v>7</v>
      </c>
      <c r="B63" s="154" t="str">
        <f>IF('Resample Data Summary'!C85="PASS",IF('Resample Data Summary'!A85="","",'Data - Sample Type 0'!Q164),"")</f>
        <v/>
      </c>
      <c r="C63" s="279" t="e">
        <f t="shared" ref="C63" si="131">AVERAGE(B63:B72)</f>
        <v>#DIV/0!</v>
      </c>
      <c r="D63"/>
      <c r="E63"/>
      <c r="F63" s="276"/>
      <c r="G63" s="151" t="str">
        <f>IF(AND('Resample Data Summary'!C190="PASS",'Data - Sample Type 1'!FO144&lt;&gt;0),'Data - Sample Type 1'!FO144,"")</f>
        <v/>
      </c>
      <c r="H63" s="259" t="e">
        <f>IF(AND(H59&gt;=Specifications!$C$21,H59&lt;=Specifications!$D$21),"PASS","FAIL")</f>
        <v>#DIV/0!</v>
      </c>
      <c r="I63" s="102" t="str">
        <f>IF('Resample Data Summary'!C190="PASS",IF('Data - Sample Type 1'!AE144=0,"",'Data - Sample Type 1'!AE144),"")</f>
        <v/>
      </c>
      <c r="J63" s="259" t="e">
        <f>IF(J59&lt;=Specifications!D$22,"PASS","FAIL")</f>
        <v>#DIV/0!</v>
      </c>
      <c r="K63" s="151" t="str">
        <f>IF(AND('Resample Data Summary'!C190="PASS",'Data - Sample Type 1'!FW144&lt;&gt;0),'Data - Sample Type 1'!FW144,"")</f>
        <v/>
      </c>
      <c r="L63" s="259" t="e">
        <f>IF(AND(L59&gt;=Specifications!$C$23,L59&lt;=Specifications!$D$23),"PASS","FAIL")</f>
        <v>#DIV/0!</v>
      </c>
      <c r="M63" s="191" t="str">
        <f>IF(AND('Resample Data Summary'!C190="PASS",K63&lt;&gt;""),'Data - Sample Type 1'!FX144,"")</f>
        <v/>
      </c>
      <c r="N63" s="391" t="s">
        <v>510</v>
      </c>
      <c r="O63" s="151" t="str">
        <f>IF(AND('Resample Data Summary'!C190="PASS",'Data - Sample Type 1'!GE144&lt;&gt;0),'Data - Sample Type 1'!GE144,"")</f>
        <v/>
      </c>
      <c r="P63" s="259" t="e">
        <f>IF(AND(P59&gt;=Specifications!$C$25,P59&lt;=Specifications!$D$25),"PASS","FAIL")</f>
        <v>#DIV/0!</v>
      </c>
      <c r="Q63" s="191" t="str">
        <f>IF(AND('Resample Data Summary'!C190="PASS",O63&lt;&gt;""),'Data - Sample Type 1'!GF144,"")</f>
        <v/>
      </c>
      <c r="R63" s="391" t="s">
        <v>510</v>
      </c>
      <c r="S63" s="151" t="str">
        <f>IF('Resample Data Summary'!C190="PASS",IF('Data - Sample Type 1'!BG144=0,"",'Data - Sample Type 1'!BG144),"")</f>
        <v/>
      </c>
      <c r="T63" s="259" t="e">
        <f>IF(T59&lt;=Specifications!D$27,"PASS","FAIL")</f>
        <v>#DIV/0!</v>
      </c>
      <c r="U63" s="194" t="str">
        <f>IF(AND('Resample Data Summary'!C190="PASS",'Data - Sample Type 1'!GM144&lt;&gt;0),'Data - Sample Type 1'!GM144,"")</f>
        <v/>
      </c>
      <c r="V63" s="259" t="e">
        <f>IF(AND(V59&gt;=Specifications!$C$28,V59&lt;=Specifications!$D$28),"PASS","FAIL")</f>
        <v>#DIV/0!</v>
      </c>
      <c r="W63" s="151" t="str">
        <f>IF('Resample Data Summary'!C190="PASS",IF('Data - Sample Type 1'!BU144=0,"",'Data - Sample Type 1'!BU144),"")</f>
        <v/>
      </c>
      <c r="X63" s="394" t="s">
        <v>510</v>
      </c>
      <c r="Y63" s="151" t="str">
        <f>IF(AND('Resample Data Summary'!C190="PASS",'Data - Sample Type 1'!HC144&lt;&gt;0),'Data - Sample Type 1'!HC144,"")</f>
        <v/>
      </c>
      <c r="Z63" s="259" t="e">
        <f>IF(AND(Z59&gt;=Specifications!$C$31,Z59&lt;=Specifications!$D$31),"PASS","FAIL")</f>
        <v>#DIV/0!</v>
      </c>
      <c r="AA63" s="191" t="str">
        <f>IF(AND('Resample Data Summary'!C190="PASS",Y63&lt;&gt;""),'Data - Sample Type 1'!HD144,"")</f>
        <v/>
      </c>
      <c r="AB63" s="391" t="s">
        <v>510</v>
      </c>
      <c r="AC63" s="151" t="str">
        <f>IF(AND('Resample Data Summary'!C190="PASS",'Data - Sample Type 1'!HK144&lt;&gt;0),'Data - Sample Type 1'!HK144,"")</f>
        <v/>
      </c>
      <c r="AD63" s="259" t="e">
        <f>IF(AND(AD59&gt;=Specifications!$C$33,AD59&lt;=Specifications!$D$33),"PASS","FAIL")</f>
        <v>#DIV/0!</v>
      </c>
      <c r="AE63" s="191" t="str">
        <f>IF(AND('Resample Data Summary'!C190="PASS",AC63&lt;&gt;""),'Data - Sample Type 1'!HL144,"")</f>
        <v/>
      </c>
      <c r="AF63" s="391" t="s">
        <v>510</v>
      </c>
      <c r="AG63" s="151" t="str">
        <f>IF(AND('Resample Data Summary'!C190="PASS",'Data - Sample Type 1'!HS144&lt;&gt;0),'Data - Sample Type 1'!HS144,"")</f>
        <v/>
      </c>
      <c r="AH63" s="259" t="e">
        <f>IF(AND(AH59&gt;=Specifications!$C$35,AH59&lt;=Specifications!$D$35),"PASS","FAIL")</f>
        <v>#DIV/0!</v>
      </c>
      <c r="AI63" s="191" t="str">
        <f>IF(AND('Resample Data Summary'!C190="PASS",AG63&lt;&gt;""),'Data - Sample Type 1'!HT144,"")</f>
        <v/>
      </c>
      <c r="AJ63" s="391" t="s">
        <v>510</v>
      </c>
      <c r="AK63" s="194" t="str">
        <f>IF('Resample Data Summary'!C190="PASS",IF('Data - Sample Type 1'!DK144=0,"",'Data - Sample Type 1'!DK144),"")</f>
        <v/>
      </c>
      <c r="AL63" s="259" t="e">
        <f>IF(AL59&lt;=Specifications!$D$37,"PASS","FAIL")</f>
        <v>#DIV/0!</v>
      </c>
      <c r="AM63" s="151" t="str">
        <f>IF('Resample Data Summary'!C190="PASS",IF('Data - Sample Type 1'!DY144=0,"",'Data - Sample Type 1'!DY144),"")</f>
        <v/>
      </c>
      <c r="AN63" s="259" t="e">
        <f>IF(AN59&lt;=Specifications!$D$38,"PASS","FAIL")</f>
        <v>#DIV/0!</v>
      </c>
      <c r="AO63" s="151" t="str">
        <f>IF('Resample Data Summary'!C190="PASS",IF('Data - Sample Type 1'!EM144=0,"",'Data - Sample Type 1'!EM144),"")</f>
        <v/>
      </c>
      <c r="AP63" s="280" t="e">
        <f>IF(AP59&lt;=Specifications!$D$39,"PASS","FAIL")</f>
        <v>#DIV/0!</v>
      </c>
      <c r="AS63" s="65"/>
      <c r="AU63" s="257"/>
      <c r="AW63" s="257"/>
      <c r="AY63" s="257"/>
      <c r="BA63" s="257"/>
      <c r="BC63" s="257"/>
      <c r="BE63" s="257"/>
      <c r="BG63" s="257"/>
      <c r="BI63" s="257"/>
      <c r="BK63" s="257"/>
      <c r="BM63" s="257"/>
      <c r="BO63" s="257"/>
      <c r="BQ63" s="257"/>
      <c r="BS63" s="257"/>
      <c r="BU63" s="257"/>
    </row>
    <row r="64" spans="1:73" ht="14.1" customHeight="1" x14ac:dyDescent="0.2">
      <c r="A64" s="276"/>
      <c r="B64" s="151" t="str">
        <f>IF('Resample Data Summary'!C86="PASS",IF('Resample Data Summary'!A86="","",'Data - Sample Type 0'!Q165),"")</f>
        <v/>
      </c>
      <c r="C64" s="280"/>
      <c r="D64"/>
      <c r="E64"/>
      <c r="F64" s="276"/>
      <c r="G64" s="151" t="str">
        <f>IF(AND('Resample Data Summary'!C191="PASS",'Data - Sample Type 1'!FO145&lt;&gt;0),'Data - Sample Type 1'!FO145,"")</f>
        <v/>
      </c>
      <c r="H64" s="259"/>
      <c r="I64" s="102" t="str">
        <f>IF('Resample Data Summary'!C191="PASS",IF('Data - Sample Type 1'!AE145=0,"",'Data - Sample Type 1'!AE145),"")</f>
        <v/>
      </c>
      <c r="J64" s="259"/>
      <c r="K64" s="151" t="str">
        <f>IF(AND('Resample Data Summary'!C191="PASS",'Data - Sample Type 1'!FW145&lt;&gt;0),'Data - Sample Type 1'!FW145,"")</f>
        <v/>
      </c>
      <c r="L64" s="259"/>
      <c r="M64" s="191" t="str">
        <f>IF(AND('Resample Data Summary'!C191="PASS",K64&lt;&gt;""),'Data - Sample Type 1'!FX145,"")</f>
        <v/>
      </c>
      <c r="N64" s="264"/>
      <c r="O64" s="151" t="str">
        <f>IF(AND('Resample Data Summary'!C191="PASS",'Data - Sample Type 1'!GE145&lt;&gt;0),'Data - Sample Type 1'!GE145,"")</f>
        <v/>
      </c>
      <c r="P64" s="259"/>
      <c r="Q64" s="191" t="str">
        <f>IF(AND('Resample Data Summary'!C191="PASS",O64&lt;&gt;""),'Data - Sample Type 1'!GF145,"")</f>
        <v/>
      </c>
      <c r="R64" s="264"/>
      <c r="S64" s="151" t="str">
        <f>IF('Resample Data Summary'!C191="PASS",IF('Data - Sample Type 1'!BG145=0,"",'Data - Sample Type 1'!BG145),"")</f>
        <v/>
      </c>
      <c r="T64" s="259"/>
      <c r="U64" s="194" t="str">
        <f>IF(AND('Resample Data Summary'!C191="PASS",'Data - Sample Type 1'!GM145&lt;&gt;0),'Data - Sample Type 1'!GM145,"")</f>
        <v/>
      </c>
      <c r="V64" s="259"/>
      <c r="W64" s="151" t="str">
        <f>IF('Resample Data Summary'!C191="PASS",IF('Data - Sample Type 1'!BU145=0,"",'Data - Sample Type 1'!BU145),"")</f>
        <v/>
      </c>
      <c r="X64" s="259"/>
      <c r="Y64" s="151" t="str">
        <f>IF(AND('Resample Data Summary'!C191="PASS",'Data - Sample Type 1'!HC145&lt;&gt;0),'Data - Sample Type 1'!HC145,"")</f>
        <v/>
      </c>
      <c r="Z64" s="259"/>
      <c r="AA64" s="191" t="str">
        <f>IF(AND('Resample Data Summary'!C191="PASS",Y64&lt;&gt;""),'Data - Sample Type 1'!HD145,"")</f>
        <v/>
      </c>
      <c r="AB64" s="264"/>
      <c r="AC64" s="151" t="str">
        <f>IF(AND('Resample Data Summary'!C191="PASS",'Data - Sample Type 1'!HK145&lt;&gt;0),'Data - Sample Type 1'!HK145,"")</f>
        <v/>
      </c>
      <c r="AD64" s="259"/>
      <c r="AE64" s="191" t="str">
        <f>IF(AND('Resample Data Summary'!C191="PASS",AC64&lt;&gt;""),'Data - Sample Type 1'!HL145,"")</f>
        <v/>
      </c>
      <c r="AF64" s="264"/>
      <c r="AG64" s="151" t="str">
        <f>IF(AND('Resample Data Summary'!C191="PASS",'Data - Sample Type 1'!HS145&lt;&gt;0),'Data - Sample Type 1'!HS145,"")</f>
        <v/>
      </c>
      <c r="AH64" s="259"/>
      <c r="AI64" s="191" t="str">
        <f>IF(AND('Resample Data Summary'!C191="PASS",AG64&lt;&gt;""),'Data - Sample Type 1'!HT145,"")</f>
        <v/>
      </c>
      <c r="AJ64" s="264"/>
      <c r="AK64" s="194" t="str">
        <f>IF('Resample Data Summary'!C191="PASS",IF('Data - Sample Type 1'!DK145=0,"",'Data - Sample Type 1'!DK145),"")</f>
        <v/>
      </c>
      <c r="AL64" s="259"/>
      <c r="AM64" s="151" t="str">
        <f>IF('Resample Data Summary'!C191="PASS",IF('Data - Sample Type 1'!DY145=0,"",'Data - Sample Type 1'!DY145),"")</f>
        <v/>
      </c>
      <c r="AN64" s="259"/>
      <c r="AO64" s="151" t="str">
        <f>IF('Resample Data Summary'!C191="PASS",IF('Data - Sample Type 1'!EM145=0,"",'Data - Sample Type 1'!EM145),"")</f>
        <v/>
      </c>
      <c r="AP64" s="280"/>
      <c r="AS64" s="65"/>
      <c r="AU64" s="257"/>
      <c r="AW64" s="257"/>
      <c r="AY64" s="257"/>
      <c r="BA64" s="257"/>
      <c r="BC64" s="257"/>
      <c r="BE64" s="257"/>
      <c r="BG64" s="257"/>
      <c r="BI64" s="257"/>
      <c r="BK64" s="257"/>
      <c r="BM64" s="257"/>
      <c r="BO64" s="257"/>
      <c r="BQ64" s="257"/>
      <c r="BS64" s="257"/>
      <c r="BU64" s="257"/>
    </row>
    <row r="65" spans="1:73" x14ac:dyDescent="0.2">
      <c r="A65" s="276"/>
      <c r="B65" s="151" t="str">
        <f>IF('Resample Data Summary'!C87="PASS",IF('Resample Data Summary'!A87="","",'Data - Sample Type 0'!Q166),"")</f>
        <v/>
      </c>
      <c r="C65" s="280"/>
      <c r="D65"/>
      <c r="E65"/>
      <c r="F65" s="276"/>
      <c r="G65" s="151" t="str">
        <f>IF(AND('Resample Data Summary'!C192="PASS",'Data - Sample Type 1'!FO146&lt;&gt;0),'Data - Sample Type 1'!FO146,"")</f>
        <v/>
      </c>
      <c r="H65" s="259"/>
      <c r="I65" s="102" t="str">
        <f>IF('Resample Data Summary'!C192="PASS",IF('Data - Sample Type 1'!AE146=0,"",'Data - Sample Type 1'!AE146),"")</f>
        <v/>
      </c>
      <c r="J65" s="259"/>
      <c r="K65" s="151" t="str">
        <f>IF(AND('Resample Data Summary'!C192="PASS",'Data - Sample Type 1'!FW146&lt;&gt;0),'Data - Sample Type 1'!FW146,"")</f>
        <v/>
      </c>
      <c r="L65" s="259"/>
      <c r="M65" s="191" t="str">
        <f>IF(AND('Resample Data Summary'!C192="PASS",K65&lt;&gt;""),'Data - Sample Type 1'!FX146,"")</f>
        <v/>
      </c>
      <c r="N65" s="264"/>
      <c r="O65" s="151" t="str">
        <f>IF(AND('Resample Data Summary'!C192="PASS",'Data - Sample Type 1'!GE146&lt;&gt;0),'Data - Sample Type 1'!GE146,"")</f>
        <v/>
      </c>
      <c r="P65" s="259"/>
      <c r="Q65" s="191" t="str">
        <f>IF(AND('Resample Data Summary'!C192="PASS",O65&lt;&gt;""),'Data - Sample Type 1'!GF146,"")</f>
        <v/>
      </c>
      <c r="R65" s="264"/>
      <c r="S65" s="151" t="str">
        <f>IF('Resample Data Summary'!C192="PASS",IF('Data - Sample Type 1'!BG146=0,"",'Data - Sample Type 1'!BG146),"")</f>
        <v/>
      </c>
      <c r="T65" s="259"/>
      <c r="U65" s="194" t="str">
        <f>IF(AND('Resample Data Summary'!C192="PASS",'Data - Sample Type 1'!GM146&lt;&gt;0),'Data - Sample Type 1'!GM146,"")</f>
        <v/>
      </c>
      <c r="V65" s="259"/>
      <c r="W65" s="151" t="str">
        <f>IF('Resample Data Summary'!C192="PASS",IF('Data - Sample Type 1'!BU146=0,"",'Data - Sample Type 1'!BU146),"")</f>
        <v/>
      </c>
      <c r="X65" s="259"/>
      <c r="Y65" s="151" t="str">
        <f>IF(AND('Resample Data Summary'!C192="PASS",'Data - Sample Type 1'!HC146&lt;&gt;0),'Data - Sample Type 1'!HC146,"")</f>
        <v/>
      </c>
      <c r="Z65" s="259"/>
      <c r="AA65" s="191" t="str">
        <f>IF(AND('Resample Data Summary'!C192="PASS",Y65&lt;&gt;""),'Data - Sample Type 1'!HD146,"")</f>
        <v/>
      </c>
      <c r="AB65" s="264"/>
      <c r="AC65" s="151" t="str">
        <f>IF(AND('Resample Data Summary'!C192="PASS",'Data - Sample Type 1'!HK146&lt;&gt;0),'Data - Sample Type 1'!HK146,"")</f>
        <v/>
      </c>
      <c r="AD65" s="259"/>
      <c r="AE65" s="191" t="str">
        <f>IF(AND('Resample Data Summary'!C192="PASS",AC65&lt;&gt;""),'Data - Sample Type 1'!HL146,"")</f>
        <v/>
      </c>
      <c r="AF65" s="264"/>
      <c r="AG65" s="151" t="str">
        <f>IF(AND('Resample Data Summary'!C192="PASS",'Data - Sample Type 1'!HS146&lt;&gt;0),'Data - Sample Type 1'!HS146,"")</f>
        <v/>
      </c>
      <c r="AH65" s="259"/>
      <c r="AI65" s="191" t="str">
        <f>IF(AND('Resample Data Summary'!C192="PASS",AG65&lt;&gt;""),'Data - Sample Type 1'!HT146,"")</f>
        <v/>
      </c>
      <c r="AJ65" s="264"/>
      <c r="AK65" s="194" t="str">
        <f>IF('Resample Data Summary'!C192="PASS",IF('Data - Sample Type 1'!DK146=0,"",'Data - Sample Type 1'!DK146),"")</f>
        <v/>
      </c>
      <c r="AL65" s="259"/>
      <c r="AM65" s="151" t="str">
        <f>IF('Resample Data Summary'!C192="PASS",IF('Data - Sample Type 1'!DY146=0,"",'Data - Sample Type 1'!DY146),"")</f>
        <v/>
      </c>
      <c r="AN65" s="259"/>
      <c r="AO65" s="151" t="str">
        <f>IF('Resample Data Summary'!C192="PASS",IF('Data - Sample Type 1'!EM146=0,"",'Data - Sample Type 1'!EM146),"")</f>
        <v/>
      </c>
      <c r="AP65" s="280"/>
      <c r="AS65" s="65"/>
      <c r="AU65" s="257"/>
      <c r="AW65" s="257"/>
      <c r="AY65" s="257"/>
      <c r="BA65" s="257"/>
      <c r="BC65" s="257"/>
      <c r="BE65" s="257"/>
      <c r="BG65" s="257"/>
      <c r="BI65" s="257"/>
      <c r="BK65" s="257"/>
      <c r="BM65" s="257"/>
      <c r="BO65" s="257"/>
      <c r="BQ65" s="257"/>
      <c r="BS65" s="257"/>
      <c r="BU65" s="257"/>
    </row>
    <row r="66" spans="1:73" ht="14.1" customHeight="1" thickBot="1" x14ac:dyDescent="0.25">
      <c r="A66" s="276"/>
      <c r="B66" s="151" t="str">
        <f>IF('Resample Data Summary'!C88="PASS",IF('Resample Data Summary'!A88="","",'Data - Sample Type 0'!Q167),"")</f>
        <v/>
      </c>
      <c r="C66" s="280"/>
      <c r="D66"/>
      <c r="E66"/>
      <c r="F66" s="278"/>
      <c r="G66" s="155" t="str">
        <f>IF(AND('Resample Data Summary'!C193="PASS",'Data - Sample Type 1'!FO147&lt;&gt;0),'Data - Sample Type 1'!FO147,"")</f>
        <v/>
      </c>
      <c r="H66" s="393"/>
      <c r="I66" s="171" t="str">
        <f>IF('Resample Data Summary'!C193="PASS",IF('Data - Sample Type 1'!AE147=0,"",'Data - Sample Type 1'!AE147),"")</f>
        <v/>
      </c>
      <c r="J66" s="393"/>
      <c r="K66" s="155" t="str">
        <f>IF(AND('Resample Data Summary'!C193="PASS",'Data - Sample Type 1'!FW147&lt;&gt;0),'Data - Sample Type 1'!FW147,"")</f>
        <v/>
      </c>
      <c r="L66" s="393"/>
      <c r="M66" s="193" t="str">
        <f>IF(AND('Resample Data Summary'!C193="PASS",K66&lt;&gt;""),'Data - Sample Type 1'!FX147,"")</f>
        <v/>
      </c>
      <c r="N66" s="392"/>
      <c r="O66" s="155" t="str">
        <f>IF(AND('Resample Data Summary'!C193="PASS",'Data - Sample Type 1'!GE147&lt;&gt;0),'Data - Sample Type 1'!GE147,"")</f>
        <v/>
      </c>
      <c r="P66" s="393"/>
      <c r="Q66" s="193" t="str">
        <f>IF(AND('Resample Data Summary'!C193="PASS",O66&lt;&gt;""),'Data - Sample Type 1'!GF147,"")</f>
        <v/>
      </c>
      <c r="R66" s="392"/>
      <c r="S66" s="155" t="str">
        <f>IF('Resample Data Summary'!C193="PASS",IF('Data - Sample Type 1'!BG147=0,"",'Data - Sample Type 1'!BG147),"")</f>
        <v/>
      </c>
      <c r="T66" s="393"/>
      <c r="U66" s="197" t="str">
        <f>IF(AND('Resample Data Summary'!C193="PASS",'Data - Sample Type 1'!GM147&lt;&gt;0),'Data - Sample Type 1'!GM147,"")</f>
        <v/>
      </c>
      <c r="V66" s="393"/>
      <c r="W66" s="155" t="str">
        <f>IF('Resample Data Summary'!C193="PASS",IF('Data - Sample Type 1'!BU147=0,"",'Data - Sample Type 1'!BU147),"")</f>
        <v/>
      </c>
      <c r="X66" s="393"/>
      <c r="Y66" s="155" t="str">
        <f>IF(AND('Resample Data Summary'!C193="PASS",'Data - Sample Type 1'!HC147&lt;&gt;0),'Data - Sample Type 1'!HC147,"")</f>
        <v/>
      </c>
      <c r="Z66" s="393"/>
      <c r="AA66" s="193" t="str">
        <f>IF(AND('Resample Data Summary'!C193="PASS",Y66&lt;&gt;""),'Data - Sample Type 1'!HD147,"")</f>
        <v/>
      </c>
      <c r="AB66" s="392"/>
      <c r="AC66" s="155" t="str">
        <f>IF(AND('Resample Data Summary'!C193="PASS",'Data - Sample Type 1'!HK147&lt;&gt;0),'Data - Sample Type 1'!HK147,"")</f>
        <v/>
      </c>
      <c r="AD66" s="393"/>
      <c r="AE66" s="193" t="str">
        <f>IF(AND('Resample Data Summary'!C193="PASS",AC66&lt;&gt;""),'Data - Sample Type 1'!HL147,"")</f>
        <v/>
      </c>
      <c r="AF66" s="392"/>
      <c r="AG66" s="155" t="str">
        <f>IF(AND('Resample Data Summary'!C193="PASS",'Data - Sample Type 1'!HS147&lt;&gt;0),'Data - Sample Type 1'!HS147,"")</f>
        <v/>
      </c>
      <c r="AH66" s="393"/>
      <c r="AI66" s="193" t="str">
        <f>IF(AND('Resample Data Summary'!C193="PASS",AG66&lt;&gt;""),'Data - Sample Type 1'!HT147,"")</f>
        <v/>
      </c>
      <c r="AJ66" s="392"/>
      <c r="AK66" s="197" t="str">
        <f>IF('Resample Data Summary'!C193="PASS",IF('Data - Sample Type 1'!DK147=0,"",'Data - Sample Type 1'!DK147),"")</f>
        <v/>
      </c>
      <c r="AL66" s="393"/>
      <c r="AM66" s="155" t="str">
        <f>IF('Resample Data Summary'!C193="PASS",IF('Data - Sample Type 1'!DY147=0,"",'Data - Sample Type 1'!DY147),"")</f>
        <v/>
      </c>
      <c r="AN66" s="393"/>
      <c r="AO66" s="155" t="str">
        <f>IF('Resample Data Summary'!C193="PASS",IF('Data - Sample Type 1'!EM147=0,"",'Data - Sample Type 1'!EM147),"")</f>
        <v/>
      </c>
      <c r="AP66" s="395"/>
      <c r="AS66" s="65"/>
      <c r="AU66" s="257"/>
      <c r="AW66" s="257"/>
      <c r="AY66" s="257"/>
      <c r="BA66" s="257"/>
      <c r="BC66" s="257"/>
      <c r="BE66" s="257"/>
      <c r="BG66" s="257"/>
      <c r="BI66" s="257"/>
      <c r="BK66" s="257"/>
      <c r="BM66" s="257"/>
      <c r="BO66" s="257"/>
      <c r="BQ66" s="257"/>
      <c r="BS66" s="257"/>
      <c r="BU66" s="257"/>
    </row>
    <row r="67" spans="1:73" x14ac:dyDescent="0.2">
      <c r="A67" s="276">
        <v>7</v>
      </c>
      <c r="B67" s="151" t="str">
        <f>IF('Resample Data Summary'!C89="PASS",IF('Resample Data Summary'!A89="","",'Data - Sample Type 0'!Q168),"")</f>
        <v/>
      </c>
      <c r="C67" s="280"/>
      <c r="D67"/>
      <c r="E67"/>
      <c r="F67" s="275">
        <v>9</v>
      </c>
      <c r="G67" s="154" t="str">
        <f>IF(AND('Resample Data Summary'!C194="PASS",'Data - Sample Type 1'!FO148&lt;&gt;0),'Data - Sample Type 1'!FO148,"")</f>
        <v/>
      </c>
      <c r="H67" s="258" t="e">
        <f t="shared" ref="H67" si="132">AVERAGE(G67:G74)</f>
        <v>#DIV/0!</v>
      </c>
      <c r="I67" s="170" t="str">
        <f>IF('Resample Data Summary'!C194="PASS",IF('Data - Sample Type 1'!AE148=0,"",'Data - Sample Type 1'!AE148),"")</f>
        <v/>
      </c>
      <c r="J67" s="258" t="e">
        <f t="shared" ref="J67" si="133">AVERAGE(I67:I74)</f>
        <v>#DIV/0!</v>
      </c>
      <c r="K67" s="154" t="str">
        <f>IF(AND('Resample Data Summary'!C194="PASS",'Data - Sample Type 1'!FW148&lt;&gt;0),'Data - Sample Type 1'!FW148,"")</f>
        <v/>
      </c>
      <c r="L67" s="258" t="e">
        <f t="shared" ref="L67" si="134">AVERAGE(K67:K74)</f>
        <v>#DIV/0!</v>
      </c>
      <c r="M67" s="190" t="str">
        <f>IF(AND('Resample Data Summary'!C194="PASS",K67&lt;&gt;""),'Data - Sample Type 1'!FX148,"")</f>
        <v/>
      </c>
      <c r="N67" s="263" t="e">
        <f t="shared" ref="N67" si="135">AVERAGE(M67:M74)</f>
        <v>#DIV/0!</v>
      </c>
      <c r="O67" s="154" t="str">
        <f>IF(AND('Resample Data Summary'!C194="PASS",'Data - Sample Type 1'!GE148&lt;&gt;0),'Data - Sample Type 1'!GE148,"")</f>
        <v/>
      </c>
      <c r="P67" s="258" t="e">
        <f t="shared" ref="P67" si="136">AVERAGE(O67:O74)</f>
        <v>#DIV/0!</v>
      </c>
      <c r="Q67" s="190" t="str">
        <f>IF(AND('Resample Data Summary'!C194="PASS",O67&lt;&gt;""),'Data - Sample Type 1'!GF148,"")</f>
        <v/>
      </c>
      <c r="R67" s="263" t="e">
        <f t="shared" ref="R67" si="137">AVERAGE(Q67:Q74)</f>
        <v>#DIV/0!</v>
      </c>
      <c r="S67" s="154" t="str">
        <f>IF('Resample Data Summary'!C194="PASS",IF('Data - Sample Type 1'!BG148=0,"",'Data - Sample Type 1'!BG148),"")</f>
        <v/>
      </c>
      <c r="T67" s="258" t="e">
        <f t="shared" ref="T67" si="138">AVERAGE(S67:S74)</f>
        <v>#DIV/0!</v>
      </c>
      <c r="U67" s="196" t="str">
        <f>IF(AND('Resample Data Summary'!C194="PASS",'Data - Sample Type 1'!GM148&lt;&gt;0),'Data - Sample Type 1'!GM148,"")</f>
        <v/>
      </c>
      <c r="V67" s="258" t="e">
        <f t="shared" ref="V67" si="139">AVERAGE(U67:U74)</f>
        <v>#DIV/0!</v>
      </c>
      <c r="W67" s="154" t="str">
        <f>IF('Resample Data Summary'!C194="PASS",IF('Data - Sample Type 1'!BU148=0,"",'Data - Sample Type 1'!BU148),"")</f>
        <v/>
      </c>
      <c r="X67" s="258" t="e">
        <f t="shared" ref="X67" si="140">AVERAGE(W67:W74)</f>
        <v>#DIV/0!</v>
      </c>
      <c r="Y67" s="154" t="str">
        <f>IF(AND('Resample Data Summary'!C194="PASS",'Data - Sample Type 1'!HC148&lt;&gt;0),'Data - Sample Type 1'!HC148,"")</f>
        <v/>
      </c>
      <c r="Z67" s="258" t="e">
        <f t="shared" ref="Z67" si="141">AVERAGE(Y67:Y74)</f>
        <v>#DIV/0!</v>
      </c>
      <c r="AA67" s="190" t="str">
        <f>IF(AND('Resample Data Summary'!C194="PASS",Y67&lt;&gt;""),'Data - Sample Type 1'!HD148,"")</f>
        <v/>
      </c>
      <c r="AB67" s="263" t="e">
        <f t="shared" ref="AB67" si="142">AVERAGE(AA67:AA74)</f>
        <v>#DIV/0!</v>
      </c>
      <c r="AC67" s="154" t="str">
        <f>IF(AND('Resample Data Summary'!C194="PASS",'Data - Sample Type 1'!HK148&lt;&gt;0),'Data - Sample Type 1'!HK148,"")</f>
        <v/>
      </c>
      <c r="AD67" s="258" t="e">
        <f t="shared" ref="AD67" si="143">AVERAGE(AC67:AC74)</f>
        <v>#DIV/0!</v>
      </c>
      <c r="AE67" s="190" t="str">
        <f>IF(AND('Resample Data Summary'!C194="PASS",AC67&lt;&gt;""),'Data - Sample Type 1'!HL148,"")</f>
        <v/>
      </c>
      <c r="AF67" s="263" t="e">
        <f t="shared" ref="AF67" si="144">AVERAGE(AE67:AE74)</f>
        <v>#DIV/0!</v>
      </c>
      <c r="AG67" s="154" t="str">
        <f>IF(AND('Resample Data Summary'!C194="PASS",'Data - Sample Type 1'!HS148&lt;&gt;0),'Data - Sample Type 1'!HS148,"")</f>
        <v/>
      </c>
      <c r="AH67" s="258" t="e">
        <f t="shared" ref="AH67" si="145">AVERAGE(AG67:AG74)</f>
        <v>#DIV/0!</v>
      </c>
      <c r="AI67" s="190" t="str">
        <f>IF(AND('Resample Data Summary'!C194="PASS",AG67&lt;&gt;""),'Data - Sample Type 1'!HT148,"")</f>
        <v/>
      </c>
      <c r="AJ67" s="263" t="e">
        <f t="shared" ref="AJ67" si="146">AVERAGE(AI67:AI74)</f>
        <v>#DIV/0!</v>
      </c>
      <c r="AK67" s="196" t="str">
        <f>IF('Resample Data Summary'!C194="PASS",IF('Data - Sample Type 1'!DK148=0,"",'Data - Sample Type 1'!DK148),"")</f>
        <v/>
      </c>
      <c r="AL67" s="258" t="e">
        <f t="shared" ref="AL67" si="147">AVERAGE(AK67:AK74)</f>
        <v>#DIV/0!</v>
      </c>
      <c r="AM67" s="154" t="str">
        <f>IF('Resample Data Summary'!C194="PASS",IF('Data - Sample Type 1'!DY148=0,"",'Data - Sample Type 1'!DY148),"")</f>
        <v/>
      </c>
      <c r="AN67" s="258" t="e">
        <f t="shared" ref="AN67" si="148">AVERAGE(AM67:AM74)</f>
        <v>#DIV/0!</v>
      </c>
      <c r="AO67" s="154" t="str">
        <f>IF('Resample Data Summary'!C194="PASS",IF('Data - Sample Type 1'!EM148=0,"",'Data - Sample Type 1'!EM148),"")</f>
        <v/>
      </c>
      <c r="AP67" s="279" t="e">
        <f t="shared" ref="AP67" si="149">AVERAGE(AO67:AO74)</f>
        <v>#DIV/0!</v>
      </c>
      <c r="AS67" s="65"/>
      <c r="AU67" s="257"/>
      <c r="AW67" s="257"/>
      <c r="AY67" s="257"/>
      <c r="BA67" s="257"/>
      <c r="BC67" s="257"/>
      <c r="BE67" s="257"/>
      <c r="BG67" s="257"/>
      <c r="BI67" s="257"/>
      <c r="BK67" s="257"/>
      <c r="BM67" s="257"/>
      <c r="BO67" s="257"/>
      <c r="BQ67" s="257"/>
      <c r="BS67" s="257"/>
      <c r="BU67" s="257"/>
    </row>
    <row r="68" spans="1:73" x14ac:dyDescent="0.2">
      <c r="A68" s="276"/>
      <c r="B68" s="151" t="str">
        <f>IF('Resample Data Summary'!C90="PASS",IF('Resample Data Summary'!A90="","",'Data - Sample Type 0'!Q169),"")</f>
        <v/>
      </c>
      <c r="C68" s="280" t="e">
        <f>IF(C63&lt;=Specifications!$G$20,"PASS","FAIL")</f>
        <v>#DIV/0!</v>
      </c>
      <c r="D68"/>
      <c r="E68"/>
      <c r="F68" s="276"/>
      <c r="G68" s="151" t="str">
        <f>IF(AND('Resample Data Summary'!C195="PASS",'Data - Sample Type 1'!FO149&lt;&gt;0),'Data - Sample Type 1'!FO149,"")</f>
        <v/>
      </c>
      <c r="H68" s="259"/>
      <c r="I68" s="102" t="str">
        <f>IF('Resample Data Summary'!C195="PASS",IF('Data - Sample Type 1'!AE149=0,"",'Data - Sample Type 1'!AE149),"")</f>
        <v/>
      </c>
      <c r="J68" s="259"/>
      <c r="K68" s="151" t="str">
        <f>IF(AND('Resample Data Summary'!C195="PASS",'Data - Sample Type 1'!FW149&lt;&gt;0),'Data - Sample Type 1'!FW149,"")</f>
        <v/>
      </c>
      <c r="L68" s="259"/>
      <c r="M68" s="191" t="str">
        <f>IF(AND('Resample Data Summary'!C195="PASS",K68&lt;&gt;""),'Data - Sample Type 1'!FX149,"")</f>
        <v/>
      </c>
      <c r="N68" s="264"/>
      <c r="O68" s="151" t="str">
        <f>IF(AND('Resample Data Summary'!C195="PASS",'Data - Sample Type 1'!GE149&lt;&gt;0),'Data - Sample Type 1'!GE149,"")</f>
        <v/>
      </c>
      <c r="P68" s="259"/>
      <c r="Q68" s="191" t="str">
        <f>IF(AND('Resample Data Summary'!C195="PASS",O68&lt;&gt;""),'Data - Sample Type 1'!GF149,"")</f>
        <v/>
      </c>
      <c r="R68" s="264"/>
      <c r="S68" s="151" t="str">
        <f>IF('Resample Data Summary'!C195="PASS",IF('Data - Sample Type 1'!BG149=0,"",'Data - Sample Type 1'!BG149),"")</f>
        <v/>
      </c>
      <c r="T68" s="259"/>
      <c r="U68" s="194" t="str">
        <f>IF(AND('Resample Data Summary'!C195="PASS",'Data - Sample Type 1'!GM149&lt;&gt;0),'Data - Sample Type 1'!GM149,"")</f>
        <v/>
      </c>
      <c r="V68" s="259"/>
      <c r="W68" s="151" t="str">
        <f>IF('Resample Data Summary'!C195="PASS",IF('Data - Sample Type 1'!BU149=0,"",'Data - Sample Type 1'!BU149),"")</f>
        <v/>
      </c>
      <c r="X68" s="259"/>
      <c r="Y68" s="151" t="str">
        <f>IF(AND('Resample Data Summary'!C195="PASS",'Data - Sample Type 1'!HC149&lt;&gt;0),'Data - Sample Type 1'!HC149,"")</f>
        <v/>
      </c>
      <c r="Z68" s="259"/>
      <c r="AA68" s="191" t="str">
        <f>IF(AND('Resample Data Summary'!C195="PASS",Y68&lt;&gt;""),'Data - Sample Type 1'!HD149,"")</f>
        <v/>
      </c>
      <c r="AB68" s="264"/>
      <c r="AC68" s="151" t="str">
        <f>IF(AND('Resample Data Summary'!C195="PASS",'Data - Sample Type 1'!HK149&lt;&gt;0),'Data - Sample Type 1'!HK149,"")</f>
        <v/>
      </c>
      <c r="AD68" s="259"/>
      <c r="AE68" s="191" t="str">
        <f>IF(AND('Resample Data Summary'!C195="PASS",AC68&lt;&gt;""),'Data - Sample Type 1'!HL149,"")</f>
        <v/>
      </c>
      <c r="AF68" s="264"/>
      <c r="AG68" s="151" t="str">
        <f>IF(AND('Resample Data Summary'!C195="PASS",'Data - Sample Type 1'!HS149&lt;&gt;0),'Data - Sample Type 1'!HS149,"")</f>
        <v/>
      </c>
      <c r="AH68" s="259"/>
      <c r="AI68" s="191" t="str">
        <f>IF(AND('Resample Data Summary'!C195="PASS",AG68&lt;&gt;""),'Data - Sample Type 1'!HT149,"")</f>
        <v/>
      </c>
      <c r="AJ68" s="264"/>
      <c r="AK68" s="194" t="str">
        <f>IF('Resample Data Summary'!C195="PASS",IF('Data - Sample Type 1'!DK149=0,"",'Data - Sample Type 1'!DK149),"")</f>
        <v/>
      </c>
      <c r="AL68" s="259"/>
      <c r="AM68" s="151" t="str">
        <f>IF('Resample Data Summary'!C195="PASS",IF('Data - Sample Type 1'!DY149=0,"",'Data - Sample Type 1'!DY149),"")</f>
        <v/>
      </c>
      <c r="AN68" s="259"/>
      <c r="AO68" s="151" t="str">
        <f>IF('Resample Data Summary'!C195="PASS",IF('Data - Sample Type 1'!EM149=0,"",'Data - Sample Type 1'!EM149),"")</f>
        <v/>
      </c>
      <c r="AP68" s="280"/>
      <c r="AS68" s="65"/>
      <c r="AU68" s="257"/>
      <c r="AW68" s="257"/>
      <c r="AY68" s="257"/>
      <c r="BA68" s="257"/>
      <c r="BC68" s="257"/>
      <c r="BE68" s="257"/>
      <c r="BG68" s="257"/>
      <c r="BI68" s="257"/>
      <c r="BK68" s="257"/>
      <c r="BM68" s="257"/>
      <c r="BO68" s="257"/>
      <c r="BQ68" s="257"/>
      <c r="BS68" s="257"/>
      <c r="BU68" s="257"/>
    </row>
    <row r="69" spans="1:73" x14ac:dyDescent="0.2">
      <c r="A69" s="276"/>
      <c r="B69" s="151" t="str">
        <f>IF('Resample Data Summary'!C91="PASS",IF('Resample Data Summary'!A91="","",'Data - Sample Type 0'!Q170),"")</f>
        <v/>
      </c>
      <c r="C69" s="280"/>
      <c r="D69"/>
      <c r="E69"/>
      <c r="F69" s="276"/>
      <c r="G69" s="151" t="str">
        <f>IF(AND('Resample Data Summary'!C196="PASS",'Data - Sample Type 1'!FO150&lt;&gt;0),'Data - Sample Type 1'!FO150,"")</f>
        <v/>
      </c>
      <c r="H69" s="259"/>
      <c r="I69" s="102" t="str">
        <f>IF('Resample Data Summary'!C196="PASS",IF('Data - Sample Type 1'!AE150=0,"",'Data - Sample Type 1'!AE150),"")</f>
        <v/>
      </c>
      <c r="J69" s="259"/>
      <c r="K69" s="151" t="str">
        <f>IF(AND('Resample Data Summary'!C196="PASS",'Data - Sample Type 1'!FW150&lt;&gt;0),'Data - Sample Type 1'!FW150,"")</f>
        <v/>
      </c>
      <c r="L69" s="259"/>
      <c r="M69" s="191" t="str">
        <f>IF(AND('Resample Data Summary'!C196="PASS",K69&lt;&gt;""),'Data - Sample Type 1'!FX150,"")</f>
        <v/>
      </c>
      <c r="N69" s="264"/>
      <c r="O69" s="151" t="str">
        <f>IF(AND('Resample Data Summary'!C196="PASS",'Data - Sample Type 1'!GE150&lt;&gt;0),'Data - Sample Type 1'!GE150,"")</f>
        <v/>
      </c>
      <c r="P69" s="259"/>
      <c r="Q69" s="191" t="str">
        <f>IF(AND('Resample Data Summary'!C196="PASS",O69&lt;&gt;""),'Data - Sample Type 1'!GF150,"")</f>
        <v/>
      </c>
      <c r="R69" s="264"/>
      <c r="S69" s="151" t="str">
        <f>IF('Resample Data Summary'!C196="PASS",IF('Data - Sample Type 1'!BG150=0,"",'Data - Sample Type 1'!BG150),"")</f>
        <v/>
      </c>
      <c r="T69" s="259"/>
      <c r="U69" s="194" t="str">
        <f>IF(AND('Resample Data Summary'!C196="PASS",'Data - Sample Type 1'!GM150&lt;&gt;0),'Data - Sample Type 1'!GM150,"")</f>
        <v/>
      </c>
      <c r="V69" s="259"/>
      <c r="W69" s="151" t="str">
        <f>IF('Resample Data Summary'!C196="PASS",IF('Data - Sample Type 1'!BU150=0,"",'Data - Sample Type 1'!BU150),"")</f>
        <v/>
      </c>
      <c r="X69" s="259"/>
      <c r="Y69" s="151" t="str">
        <f>IF(AND('Resample Data Summary'!C196="PASS",'Data - Sample Type 1'!HC150&lt;&gt;0),'Data - Sample Type 1'!HC150,"")</f>
        <v/>
      </c>
      <c r="Z69" s="259"/>
      <c r="AA69" s="191" t="str">
        <f>IF(AND('Resample Data Summary'!C196="PASS",Y69&lt;&gt;""),'Data - Sample Type 1'!HD150,"")</f>
        <v/>
      </c>
      <c r="AB69" s="264"/>
      <c r="AC69" s="151" t="str">
        <f>IF(AND('Resample Data Summary'!C196="PASS",'Data - Sample Type 1'!HK150&lt;&gt;0),'Data - Sample Type 1'!HK150,"")</f>
        <v/>
      </c>
      <c r="AD69" s="259"/>
      <c r="AE69" s="191" t="str">
        <f>IF(AND('Resample Data Summary'!C196="PASS",AC69&lt;&gt;""),'Data - Sample Type 1'!HL150,"")</f>
        <v/>
      </c>
      <c r="AF69" s="264"/>
      <c r="AG69" s="151" t="str">
        <f>IF(AND('Resample Data Summary'!C196="PASS",'Data - Sample Type 1'!HS150&lt;&gt;0),'Data - Sample Type 1'!HS150,"")</f>
        <v/>
      </c>
      <c r="AH69" s="259"/>
      <c r="AI69" s="191" t="str">
        <f>IF(AND('Resample Data Summary'!C196="PASS",AG69&lt;&gt;""),'Data - Sample Type 1'!HT150,"")</f>
        <v/>
      </c>
      <c r="AJ69" s="264"/>
      <c r="AK69" s="194" t="str">
        <f>IF('Resample Data Summary'!C196="PASS",IF('Data - Sample Type 1'!DK150=0,"",'Data - Sample Type 1'!DK150),"")</f>
        <v/>
      </c>
      <c r="AL69" s="259"/>
      <c r="AM69" s="151" t="str">
        <f>IF('Resample Data Summary'!C196="PASS",IF('Data - Sample Type 1'!DY150=0,"",'Data - Sample Type 1'!DY150),"")</f>
        <v/>
      </c>
      <c r="AN69" s="259"/>
      <c r="AO69" s="151" t="str">
        <f>IF('Resample Data Summary'!C196="PASS",IF('Data - Sample Type 1'!EM150=0,"",'Data - Sample Type 1'!EM150),"")</f>
        <v/>
      </c>
      <c r="AP69" s="280"/>
      <c r="AS69" s="65"/>
      <c r="AU69" s="257"/>
      <c r="AW69" s="257"/>
      <c r="AY69" s="257"/>
      <c r="BA69" s="257"/>
      <c r="BC69" s="257"/>
      <c r="BE69" s="257"/>
      <c r="BG69" s="257"/>
      <c r="BI69" s="257"/>
      <c r="BK69" s="257"/>
      <c r="BM69" s="257"/>
      <c r="BO69" s="257"/>
      <c r="BQ69" s="257"/>
      <c r="BS69" s="257"/>
      <c r="BU69" s="257"/>
    </row>
    <row r="70" spans="1:73" x14ac:dyDescent="0.2">
      <c r="A70" s="276"/>
      <c r="B70" s="151" t="str">
        <f>IF('Resample Data Summary'!C92="PASS",IF('Resample Data Summary'!A92="","",'Data - Sample Type 0'!Q171),"")</f>
        <v/>
      </c>
      <c r="C70" s="280"/>
      <c r="D70"/>
      <c r="E70"/>
      <c r="F70" s="276"/>
      <c r="G70" s="151" t="str">
        <f>IF(AND('Resample Data Summary'!C197="PASS",'Data - Sample Type 1'!FO151&lt;&gt;0),'Data - Sample Type 1'!FO151,"")</f>
        <v/>
      </c>
      <c r="H70" s="259"/>
      <c r="I70" s="102" t="str">
        <f>IF('Resample Data Summary'!C197="PASS",IF('Data - Sample Type 1'!AE151=0,"",'Data - Sample Type 1'!AE151),"")</f>
        <v/>
      </c>
      <c r="J70" s="259"/>
      <c r="K70" s="151" t="str">
        <f>IF(AND('Resample Data Summary'!C197="PASS",'Data - Sample Type 1'!FW151&lt;&gt;0),'Data - Sample Type 1'!FW151,"")</f>
        <v/>
      </c>
      <c r="L70" s="259"/>
      <c r="M70" s="191" t="str">
        <f>IF(AND('Resample Data Summary'!C197="PASS",K70&lt;&gt;""),'Data - Sample Type 1'!FX151,"")</f>
        <v/>
      </c>
      <c r="N70" s="264"/>
      <c r="O70" s="151" t="str">
        <f>IF(AND('Resample Data Summary'!C197="PASS",'Data - Sample Type 1'!GE151&lt;&gt;0),'Data - Sample Type 1'!GE151,"")</f>
        <v/>
      </c>
      <c r="P70" s="259"/>
      <c r="Q70" s="191" t="str">
        <f>IF(AND('Resample Data Summary'!C197="PASS",O70&lt;&gt;""),'Data - Sample Type 1'!GF151,"")</f>
        <v/>
      </c>
      <c r="R70" s="264"/>
      <c r="S70" s="151" t="str">
        <f>IF('Resample Data Summary'!C197="PASS",IF('Data - Sample Type 1'!BG151=0,"",'Data - Sample Type 1'!BG151),"")</f>
        <v/>
      </c>
      <c r="T70" s="259"/>
      <c r="U70" s="194" t="str">
        <f>IF(AND('Resample Data Summary'!C197="PASS",'Data - Sample Type 1'!GM151&lt;&gt;0),'Data - Sample Type 1'!GM151,"")</f>
        <v/>
      </c>
      <c r="V70" s="259"/>
      <c r="W70" s="151" t="str">
        <f>IF('Resample Data Summary'!C197="PASS",IF('Data - Sample Type 1'!BU151=0,"",'Data - Sample Type 1'!BU151),"")</f>
        <v/>
      </c>
      <c r="X70" s="259"/>
      <c r="Y70" s="151" t="str">
        <f>IF(AND('Resample Data Summary'!C197="PASS",'Data - Sample Type 1'!HC151&lt;&gt;0),'Data - Sample Type 1'!HC151,"")</f>
        <v/>
      </c>
      <c r="Z70" s="259"/>
      <c r="AA70" s="191" t="str">
        <f>IF(AND('Resample Data Summary'!C197="PASS",Y70&lt;&gt;""),'Data - Sample Type 1'!HD151,"")</f>
        <v/>
      </c>
      <c r="AB70" s="264"/>
      <c r="AC70" s="151" t="str">
        <f>IF(AND('Resample Data Summary'!C197="PASS",'Data - Sample Type 1'!HK151&lt;&gt;0),'Data - Sample Type 1'!HK151,"")</f>
        <v/>
      </c>
      <c r="AD70" s="259"/>
      <c r="AE70" s="191" t="str">
        <f>IF(AND('Resample Data Summary'!C197="PASS",AC70&lt;&gt;""),'Data - Sample Type 1'!HL151,"")</f>
        <v/>
      </c>
      <c r="AF70" s="264"/>
      <c r="AG70" s="151" t="str">
        <f>IF(AND('Resample Data Summary'!C197="PASS",'Data - Sample Type 1'!HS151&lt;&gt;0),'Data - Sample Type 1'!HS151,"")</f>
        <v/>
      </c>
      <c r="AH70" s="259"/>
      <c r="AI70" s="191" t="str">
        <f>IF(AND('Resample Data Summary'!C197="PASS",AG70&lt;&gt;""),'Data - Sample Type 1'!HT151,"")</f>
        <v/>
      </c>
      <c r="AJ70" s="264"/>
      <c r="AK70" s="194" t="str">
        <f>IF('Resample Data Summary'!C197="PASS",IF('Data - Sample Type 1'!DK151=0,"",'Data - Sample Type 1'!DK151),"")</f>
        <v/>
      </c>
      <c r="AL70" s="259"/>
      <c r="AM70" s="151" t="str">
        <f>IF('Resample Data Summary'!C197="PASS",IF('Data - Sample Type 1'!DY151=0,"",'Data - Sample Type 1'!DY151),"")</f>
        <v/>
      </c>
      <c r="AN70" s="259"/>
      <c r="AO70" s="151" t="str">
        <f>IF('Resample Data Summary'!C197="PASS",IF('Data - Sample Type 1'!EM151=0,"",'Data - Sample Type 1'!EM151),"")</f>
        <v/>
      </c>
      <c r="AP70" s="280"/>
      <c r="AS70" s="65"/>
      <c r="AU70" s="257"/>
      <c r="AW70" s="257"/>
      <c r="AY70" s="257"/>
      <c r="BA70" s="257"/>
      <c r="BC70" s="257"/>
      <c r="BE70" s="257"/>
      <c r="BG70" s="257"/>
      <c r="BI70" s="257"/>
      <c r="BK70" s="257"/>
      <c r="BM70" s="257"/>
      <c r="BO70" s="257"/>
      <c r="BQ70" s="257"/>
      <c r="BS70" s="257"/>
      <c r="BU70" s="257"/>
    </row>
    <row r="71" spans="1:73" ht="14.1" customHeight="1" x14ac:dyDescent="0.2">
      <c r="A71" s="276"/>
      <c r="B71" s="151" t="str">
        <f>IF('Resample Data Summary'!C93="PASS",IF('Resample Data Summary'!A93="","",'Data - Sample Type 0'!Q172),"")</f>
        <v/>
      </c>
      <c r="C71" s="280"/>
      <c r="D71"/>
      <c r="E71"/>
      <c r="F71" s="276"/>
      <c r="G71" s="151" t="str">
        <f>IF(AND('Resample Data Summary'!C198="PASS",'Data - Sample Type 1'!FO152&lt;&gt;0),'Data - Sample Type 1'!FO152,"")</f>
        <v/>
      </c>
      <c r="H71" s="259" t="e">
        <f>IF(AND(H67&gt;=Specifications!$C$21,H67&lt;=Specifications!$D$21),"PASS","FAIL")</f>
        <v>#DIV/0!</v>
      </c>
      <c r="I71" s="102" t="str">
        <f>IF('Resample Data Summary'!C198="PASS",IF('Data - Sample Type 1'!AE152=0,"",'Data - Sample Type 1'!AE152),"")</f>
        <v/>
      </c>
      <c r="J71" s="259" t="e">
        <f>IF(J67&lt;=Specifications!D$22,"PASS","FAIL")</f>
        <v>#DIV/0!</v>
      </c>
      <c r="K71" s="151" t="str">
        <f>IF(AND('Resample Data Summary'!C198="PASS",'Data - Sample Type 1'!FW152&lt;&gt;0),'Data - Sample Type 1'!FW152,"")</f>
        <v/>
      </c>
      <c r="L71" s="259" t="e">
        <f>IF(AND(L67&gt;=Specifications!$C$23,L67&lt;=Specifications!$D$23),"PASS","FAIL")</f>
        <v>#DIV/0!</v>
      </c>
      <c r="M71" s="191" t="str">
        <f>IF(AND('Resample Data Summary'!C198="PASS",K71&lt;&gt;""),'Data - Sample Type 1'!FX152,"")</f>
        <v/>
      </c>
      <c r="N71" s="391" t="s">
        <v>510</v>
      </c>
      <c r="O71" s="151" t="str">
        <f>IF(AND('Resample Data Summary'!C198="PASS",'Data - Sample Type 1'!GE152&lt;&gt;0),'Data - Sample Type 1'!GE152,"")</f>
        <v/>
      </c>
      <c r="P71" s="259" t="e">
        <f>IF(AND(P67&gt;=Specifications!$C$25,P67&lt;=Specifications!$D$25),"PASS","FAIL")</f>
        <v>#DIV/0!</v>
      </c>
      <c r="Q71" s="191" t="str">
        <f>IF(AND('Resample Data Summary'!C198="PASS",O71&lt;&gt;""),'Data - Sample Type 1'!GF152,"")</f>
        <v/>
      </c>
      <c r="R71" s="391" t="s">
        <v>510</v>
      </c>
      <c r="S71" s="151" t="str">
        <f>IF('Resample Data Summary'!C198="PASS",IF('Data - Sample Type 1'!BG152=0,"",'Data - Sample Type 1'!BG152),"")</f>
        <v/>
      </c>
      <c r="T71" s="259" t="e">
        <f>IF(T67&lt;=Specifications!D$27,"PASS","FAIL")</f>
        <v>#DIV/0!</v>
      </c>
      <c r="U71" s="194" t="str">
        <f>IF(AND('Resample Data Summary'!C198="PASS",'Data - Sample Type 1'!GM152&lt;&gt;0),'Data - Sample Type 1'!GM152,"")</f>
        <v/>
      </c>
      <c r="V71" s="259" t="e">
        <f>IF(AND(V67&gt;=Specifications!$C$28,V67&lt;=Specifications!$D$28),"PASS","FAIL")</f>
        <v>#DIV/0!</v>
      </c>
      <c r="W71" s="151" t="str">
        <f>IF('Resample Data Summary'!C198="PASS",IF('Data - Sample Type 1'!BU152=0,"",'Data - Sample Type 1'!BU152),"")</f>
        <v/>
      </c>
      <c r="X71" s="394" t="s">
        <v>510</v>
      </c>
      <c r="Y71" s="151" t="str">
        <f>IF(AND('Resample Data Summary'!C198="PASS",'Data - Sample Type 1'!HC152&lt;&gt;0),'Data - Sample Type 1'!HC152,"")</f>
        <v/>
      </c>
      <c r="Z71" s="259" t="e">
        <f>IF(AND(Z67&gt;=Specifications!$C$31,Z67&lt;=Specifications!$D$31),"PASS","FAIL")</f>
        <v>#DIV/0!</v>
      </c>
      <c r="AA71" s="191" t="str">
        <f>IF(AND('Resample Data Summary'!C198="PASS",Y71&lt;&gt;""),'Data - Sample Type 1'!HD152,"")</f>
        <v/>
      </c>
      <c r="AB71" s="391" t="s">
        <v>510</v>
      </c>
      <c r="AC71" s="151" t="str">
        <f>IF(AND('Resample Data Summary'!C198="PASS",'Data - Sample Type 1'!HK152&lt;&gt;0),'Data - Sample Type 1'!HK152,"")</f>
        <v/>
      </c>
      <c r="AD71" s="259" t="e">
        <f>IF(AND(AD67&gt;=Specifications!$C$33,AD67&lt;=Specifications!$D$33),"PASS","FAIL")</f>
        <v>#DIV/0!</v>
      </c>
      <c r="AE71" s="191" t="str">
        <f>IF(AND('Resample Data Summary'!C198="PASS",AC71&lt;&gt;""),'Data - Sample Type 1'!HL152,"")</f>
        <v/>
      </c>
      <c r="AF71" s="391" t="s">
        <v>510</v>
      </c>
      <c r="AG71" s="151" t="str">
        <f>IF(AND('Resample Data Summary'!C198="PASS",'Data - Sample Type 1'!HS152&lt;&gt;0),'Data - Sample Type 1'!HS152,"")</f>
        <v/>
      </c>
      <c r="AH71" s="259" t="e">
        <f>IF(AND(AH67&gt;=Specifications!$C$35,AH67&lt;=Specifications!$D$35),"PASS","FAIL")</f>
        <v>#DIV/0!</v>
      </c>
      <c r="AI71" s="191" t="str">
        <f>IF(AND('Resample Data Summary'!C198="PASS",AG71&lt;&gt;""),'Data - Sample Type 1'!HT152,"")</f>
        <v/>
      </c>
      <c r="AJ71" s="391" t="s">
        <v>510</v>
      </c>
      <c r="AK71" s="194" t="str">
        <f>IF('Resample Data Summary'!C198="PASS",IF('Data - Sample Type 1'!DK152=0,"",'Data - Sample Type 1'!DK152),"")</f>
        <v/>
      </c>
      <c r="AL71" s="259" t="e">
        <f>IF(AL67&lt;=Specifications!$D$37,"PASS","FAIL")</f>
        <v>#DIV/0!</v>
      </c>
      <c r="AM71" s="151" t="str">
        <f>IF('Resample Data Summary'!C198="PASS",IF('Data - Sample Type 1'!DY152=0,"",'Data - Sample Type 1'!DY152),"")</f>
        <v/>
      </c>
      <c r="AN71" s="259" t="e">
        <f>IF(AN67&lt;=Specifications!$D$38,"PASS","FAIL")</f>
        <v>#DIV/0!</v>
      </c>
      <c r="AO71" s="151" t="str">
        <f>IF('Resample Data Summary'!C198="PASS",IF('Data - Sample Type 1'!EM152=0,"",'Data - Sample Type 1'!EM152),"")</f>
        <v/>
      </c>
      <c r="AP71" s="280" t="e">
        <f>IF(AP67&lt;=Specifications!$D$39,"PASS","FAIL")</f>
        <v>#DIV/0!</v>
      </c>
      <c r="AS71" s="65"/>
      <c r="AU71" s="257"/>
      <c r="AW71" s="257"/>
      <c r="AY71" s="257"/>
      <c r="BA71" s="257"/>
      <c r="BC71" s="257"/>
      <c r="BE71" s="257"/>
      <c r="BG71" s="257"/>
      <c r="BI71" s="257"/>
      <c r="BK71" s="257"/>
      <c r="BM71" s="257"/>
      <c r="BO71" s="257"/>
      <c r="BQ71" s="257"/>
      <c r="BS71" s="257"/>
      <c r="BU71" s="257"/>
    </row>
    <row r="72" spans="1:73" ht="13.5" thickBot="1" x14ac:dyDescent="0.25">
      <c r="A72" s="278"/>
      <c r="B72" s="155" t="str">
        <f>IF('Resample Data Summary'!C94="PASS",IF('Resample Data Summary'!A94="","",'Data - Sample Type 0'!Q173),"")</f>
        <v/>
      </c>
      <c r="C72" s="389"/>
      <c r="D72"/>
      <c r="E72"/>
      <c r="F72" s="276"/>
      <c r="G72" s="151" t="str">
        <f>IF(AND('Resample Data Summary'!C199="PASS",'Data - Sample Type 1'!FO153&lt;&gt;0),'Data - Sample Type 1'!FO153,"")</f>
        <v/>
      </c>
      <c r="H72" s="259"/>
      <c r="I72" s="102" t="str">
        <f>IF('Resample Data Summary'!C199="PASS",IF('Data - Sample Type 1'!AE153=0,"",'Data - Sample Type 1'!AE153),"")</f>
        <v/>
      </c>
      <c r="J72" s="259"/>
      <c r="K72" s="151" t="str">
        <f>IF(AND('Resample Data Summary'!C199="PASS",'Data - Sample Type 1'!FW153&lt;&gt;0),'Data - Sample Type 1'!FW153,"")</f>
        <v/>
      </c>
      <c r="L72" s="259"/>
      <c r="M72" s="191" t="str">
        <f>IF(AND('Resample Data Summary'!C199="PASS",K72&lt;&gt;""),'Data - Sample Type 1'!FX153,"")</f>
        <v/>
      </c>
      <c r="N72" s="264"/>
      <c r="O72" s="151" t="str">
        <f>IF(AND('Resample Data Summary'!C199="PASS",'Data - Sample Type 1'!GE153&lt;&gt;0),'Data - Sample Type 1'!GE153,"")</f>
        <v/>
      </c>
      <c r="P72" s="259"/>
      <c r="Q72" s="191" t="str">
        <f>IF(AND('Resample Data Summary'!C199="PASS",O72&lt;&gt;""),'Data - Sample Type 1'!GF153,"")</f>
        <v/>
      </c>
      <c r="R72" s="264"/>
      <c r="S72" s="151" t="str">
        <f>IF('Resample Data Summary'!C199="PASS",IF('Data - Sample Type 1'!BG153=0,"",'Data - Sample Type 1'!BG153),"")</f>
        <v/>
      </c>
      <c r="T72" s="259"/>
      <c r="U72" s="194" t="str">
        <f>IF(AND('Resample Data Summary'!C199="PASS",'Data - Sample Type 1'!GM153&lt;&gt;0),'Data - Sample Type 1'!GM153,"")</f>
        <v/>
      </c>
      <c r="V72" s="259"/>
      <c r="W72" s="151" t="str">
        <f>IF('Resample Data Summary'!C199="PASS",IF('Data - Sample Type 1'!BU153=0,"",'Data - Sample Type 1'!BU153),"")</f>
        <v/>
      </c>
      <c r="X72" s="259"/>
      <c r="Y72" s="151" t="str">
        <f>IF(AND('Resample Data Summary'!C199="PASS",'Data - Sample Type 1'!HC153&lt;&gt;0),'Data - Sample Type 1'!HC153,"")</f>
        <v/>
      </c>
      <c r="Z72" s="259"/>
      <c r="AA72" s="191" t="str">
        <f>IF(AND('Resample Data Summary'!C199="PASS",Y72&lt;&gt;""),'Data - Sample Type 1'!HD153,"")</f>
        <v/>
      </c>
      <c r="AB72" s="264"/>
      <c r="AC72" s="151" t="str">
        <f>IF(AND('Resample Data Summary'!C199="PASS",'Data - Sample Type 1'!HK153&lt;&gt;0),'Data - Sample Type 1'!HK153,"")</f>
        <v/>
      </c>
      <c r="AD72" s="259"/>
      <c r="AE72" s="191" t="str">
        <f>IF(AND('Resample Data Summary'!C199="PASS",AC72&lt;&gt;""),'Data - Sample Type 1'!HL153,"")</f>
        <v/>
      </c>
      <c r="AF72" s="264"/>
      <c r="AG72" s="151" t="str">
        <f>IF(AND('Resample Data Summary'!C199="PASS",'Data - Sample Type 1'!HS153&lt;&gt;0),'Data - Sample Type 1'!HS153,"")</f>
        <v/>
      </c>
      <c r="AH72" s="259"/>
      <c r="AI72" s="191" t="str">
        <f>IF(AND('Resample Data Summary'!C199="PASS",AG72&lt;&gt;""),'Data - Sample Type 1'!HT153,"")</f>
        <v/>
      </c>
      <c r="AJ72" s="264"/>
      <c r="AK72" s="194" t="str">
        <f>IF('Resample Data Summary'!C199="PASS",IF('Data - Sample Type 1'!DK153=0,"",'Data - Sample Type 1'!DK153),"")</f>
        <v/>
      </c>
      <c r="AL72" s="259"/>
      <c r="AM72" s="151" t="str">
        <f>IF('Resample Data Summary'!C199="PASS",IF('Data - Sample Type 1'!DY153=0,"",'Data - Sample Type 1'!DY153),"")</f>
        <v/>
      </c>
      <c r="AN72" s="259"/>
      <c r="AO72" s="151" t="str">
        <f>IF('Resample Data Summary'!C199="PASS",IF('Data - Sample Type 1'!EM153=0,"",'Data - Sample Type 1'!EM153),"")</f>
        <v/>
      </c>
      <c r="AP72" s="280"/>
      <c r="AS72" s="65"/>
      <c r="AU72" s="257"/>
      <c r="AW72" s="257"/>
      <c r="AY72" s="257"/>
      <c r="BA72" s="257"/>
      <c r="BC72" s="257"/>
      <c r="BE72" s="257"/>
      <c r="BG72" s="257"/>
      <c r="BI72" s="257"/>
      <c r="BK72" s="257"/>
      <c r="BM72" s="257"/>
      <c r="BO72" s="257"/>
      <c r="BQ72" s="257"/>
      <c r="BS72" s="257"/>
      <c r="BU72" s="257"/>
    </row>
    <row r="73" spans="1:73" x14ac:dyDescent="0.2">
      <c r="A73" s="275">
        <v>8</v>
      </c>
      <c r="B73" s="154" t="str">
        <f>IF('Resample Data Summary'!C95="PASS",IF('Resample Data Summary'!A95="","",'Data - Sample Type 0'!Q174),"")</f>
        <v/>
      </c>
      <c r="C73" s="279" t="e">
        <f t="shared" ref="C73" si="150">AVERAGE(B73:B82)</f>
        <v>#DIV/0!</v>
      </c>
      <c r="D73"/>
      <c r="E73"/>
      <c r="F73" s="276"/>
      <c r="G73" s="151" t="str">
        <f>IF(AND('Resample Data Summary'!C200="PASS",'Data - Sample Type 1'!FO154&lt;&gt;0),'Data - Sample Type 1'!FO154,"")</f>
        <v/>
      </c>
      <c r="H73" s="259"/>
      <c r="I73" s="102" t="str">
        <f>IF('Resample Data Summary'!C200="PASS",IF('Data - Sample Type 1'!AE154=0,"",'Data - Sample Type 1'!AE154),"")</f>
        <v/>
      </c>
      <c r="J73" s="259"/>
      <c r="K73" s="151" t="str">
        <f>IF(AND('Resample Data Summary'!C200="PASS",'Data - Sample Type 1'!FW154&lt;&gt;0),'Data - Sample Type 1'!FW154,"")</f>
        <v/>
      </c>
      <c r="L73" s="259"/>
      <c r="M73" s="191" t="str">
        <f>IF(AND('Resample Data Summary'!C200="PASS",K73&lt;&gt;""),'Data - Sample Type 1'!FX154,"")</f>
        <v/>
      </c>
      <c r="N73" s="264"/>
      <c r="O73" s="151" t="str">
        <f>IF(AND('Resample Data Summary'!C200="PASS",'Data - Sample Type 1'!GE154&lt;&gt;0),'Data - Sample Type 1'!GE154,"")</f>
        <v/>
      </c>
      <c r="P73" s="259"/>
      <c r="Q73" s="191" t="str">
        <f>IF(AND('Resample Data Summary'!C200="PASS",O73&lt;&gt;""),'Data - Sample Type 1'!GF154,"")</f>
        <v/>
      </c>
      <c r="R73" s="264"/>
      <c r="S73" s="151" t="str">
        <f>IF('Resample Data Summary'!C200="PASS",IF('Data - Sample Type 1'!BG154=0,"",'Data - Sample Type 1'!BG154),"")</f>
        <v/>
      </c>
      <c r="T73" s="259"/>
      <c r="U73" s="194" t="str">
        <f>IF(AND('Resample Data Summary'!C200="PASS",'Data - Sample Type 1'!GM154&lt;&gt;0),'Data - Sample Type 1'!GM154,"")</f>
        <v/>
      </c>
      <c r="V73" s="259"/>
      <c r="W73" s="151" t="str">
        <f>IF('Resample Data Summary'!C200="PASS",IF('Data - Sample Type 1'!BU154=0,"",'Data - Sample Type 1'!BU154),"")</f>
        <v/>
      </c>
      <c r="X73" s="259"/>
      <c r="Y73" s="151" t="str">
        <f>IF(AND('Resample Data Summary'!C200="PASS",'Data - Sample Type 1'!HC154&lt;&gt;0),'Data - Sample Type 1'!HC154,"")</f>
        <v/>
      </c>
      <c r="Z73" s="259"/>
      <c r="AA73" s="191" t="str">
        <f>IF(AND('Resample Data Summary'!C200="PASS",Y73&lt;&gt;""),'Data - Sample Type 1'!HD154,"")</f>
        <v/>
      </c>
      <c r="AB73" s="264"/>
      <c r="AC73" s="151" t="str">
        <f>IF(AND('Resample Data Summary'!C200="PASS",'Data - Sample Type 1'!HK154&lt;&gt;0),'Data - Sample Type 1'!HK154,"")</f>
        <v/>
      </c>
      <c r="AD73" s="259"/>
      <c r="AE73" s="191" t="str">
        <f>IF(AND('Resample Data Summary'!C200="PASS",AC73&lt;&gt;""),'Data - Sample Type 1'!HL154,"")</f>
        <v/>
      </c>
      <c r="AF73" s="264"/>
      <c r="AG73" s="151" t="str">
        <f>IF(AND('Resample Data Summary'!C200="PASS",'Data - Sample Type 1'!HS154&lt;&gt;0),'Data - Sample Type 1'!HS154,"")</f>
        <v/>
      </c>
      <c r="AH73" s="259"/>
      <c r="AI73" s="191" t="str">
        <f>IF(AND('Resample Data Summary'!C200="PASS",AG73&lt;&gt;""),'Data - Sample Type 1'!HT154,"")</f>
        <v/>
      </c>
      <c r="AJ73" s="264"/>
      <c r="AK73" s="194" t="str">
        <f>IF('Resample Data Summary'!C200="PASS",IF('Data - Sample Type 1'!DK154=0,"",'Data - Sample Type 1'!DK154),"")</f>
        <v/>
      </c>
      <c r="AL73" s="259"/>
      <c r="AM73" s="151" t="str">
        <f>IF('Resample Data Summary'!C200="PASS",IF('Data - Sample Type 1'!DY154=0,"",'Data - Sample Type 1'!DY154),"")</f>
        <v/>
      </c>
      <c r="AN73" s="259"/>
      <c r="AO73" s="151" t="str">
        <f>IF('Resample Data Summary'!C200="PASS",IF('Data - Sample Type 1'!EM154=0,"",'Data - Sample Type 1'!EM154),"")</f>
        <v/>
      </c>
      <c r="AP73" s="280"/>
    </row>
    <row r="74" spans="1:73" ht="13.5" thickBot="1" x14ac:dyDescent="0.25">
      <c r="A74" s="276"/>
      <c r="B74" s="151" t="str">
        <f>IF('Resample Data Summary'!C96="PASS",IF('Resample Data Summary'!A96="","",'Data - Sample Type 0'!Q175),"")</f>
        <v/>
      </c>
      <c r="C74" s="280"/>
      <c r="D74"/>
      <c r="E74"/>
      <c r="F74" s="278"/>
      <c r="G74" s="155" t="str">
        <f>IF(AND('Resample Data Summary'!C201="PASS",'Data - Sample Type 1'!FO155&lt;&gt;0),'Data - Sample Type 1'!FO155,"")</f>
        <v/>
      </c>
      <c r="H74" s="393"/>
      <c r="I74" s="171" t="str">
        <f>IF('Resample Data Summary'!C201="PASS",IF('Data - Sample Type 1'!AE155=0,"",'Data - Sample Type 1'!AE155),"")</f>
        <v/>
      </c>
      <c r="J74" s="393"/>
      <c r="K74" s="155" t="str">
        <f>IF(AND('Resample Data Summary'!C201="PASS",'Data - Sample Type 1'!FW155&lt;&gt;0),'Data - Sample Type 1'!FW155,"")</f>
        <v/>
      </c>
      <c r="L74" s="393"/>
      <c r="M74" s="193" t="str">
        <f>IF(AND('Resample Data Summary'!C201="PASS",K74&lt;&gt;""),'Data - Sample Type 1'!FX155,"")</f>
        <v/>
      </c>
      <c r="N74" s="392"/>
      <c r="O74" s="155" t="str">
        <f>IF(AND('Resample Data Summary'!C201="PASS",'Data - Sample Type 1'!GE155&lt;&gt;0),'Data - Sample Type 1'!GE155,"")</f>
        <v/>
      </c>
      <c r="P74" s="393"/>
      <c r="Q74" s="193" t="str">
        <f>IF(AND('Resample Data Summary'!C201="PASS",O74&lt;&gt;""),'Data - Sample Type 1'!GF155,"")</f>
        <v/>
      </c>
      <c r="R74" s="392"/>
      <c r="S74" s="155" t="str">
        <f>IF('Resample Data Summary'!C201="PASS",IF('Data - Sample Type 1'!BG155=0,"",'Data - Sample Type 1'!BG155),"")</f>
        <v/>
      </c>
      <c r="T74" s="393"/>
      <c r="U74" s="197" t="str">
        <f>IF(AND('Resample Data Summary'!C201="PASS",'Data - Sample Type 1'!GM155&lt;&gt;0),'Data - Sample Type 1'!GM155,"")</f>
        <v/>
      </c>
      <c r="V74" s="393"/>
      <c r="W74" s="155" t="str">
        <f>IF('Resample Data Summary'!C201="PASS",IF('Data - Sample Type 1'!BU155=0,"",'Data - Sample Type 1'!BU155),"")</f>
        <v/>
      </c>
      <c r="X74" s="393"/>
      <c r="Y74" s="155" t="str">
        <f>IF(AND('Resample Data Summary'!C201="PASS",'Data - Sample Type 1'!HC155&lt;&gt;0),'Data - Sample Type 1'!HC155,"")</f>
        <v/>
      </c>
      <c r="Z74" s="393"/>
      <c r="AA74" s="193" t="str">
        <f>IF(AND('Resample Data Summary'!C201="PASS",Y74&lt;&gt;""),'Data - Sample Type 1'!HD155,"")</f>
        <v/>
      </c>
      <c r="AB74" s="392"/>
      <c r="AC74" s="155" t="str">
        <f>IF(AND('Resample Data Summary'!C201="PASS",'Data - Sample Type 1'!HK155&lt;&gt;0),'Data - Sample Type 1'!HK155,"")</f>
        <v/>
      </c>
      <c r="AD74" s="393"/>
      <c r="AE74" s="193" t="str">
        <f>IF(AND('Resample Data Summary'!C201="PASS",AC74&lt;&gt;""),'Data - Sample Type 1'!HL155,"")</f>
        <v/>
      </c>
      <c r="AF74" s="392"/>
      <c r="AG74" s="155" t="str">
        <f>IF(AND('Resample Data Summary'!C201="PASS",'Data - Sample Type 1'!HS155&lt;&gt;0),'Data - Sample Type 1'!HS155,"")</f>
        <v/>
      </c>
      <c r="AH74" s="393"/>
      <c r="AI74" s="193" t="str">
        <f>IF(AND('Resample Data Summary'!C201="PASS",AG74&lt;&gt;""),'Data - Sample Type 1'!HT155,"")</f>
        <v/>
      </c>
      <c r="AJ74" s="392"/>
      <c r="AK74" s="197" t="str">
        <f>IF('Resample Data Summary'!C201="PASS",IF('Data - Sample Type 1'!DK155=0,"",'Data - Sample Type 1'!DK155),"")</f>
        <v/>
      </c>
      <c r="AL74" s="393"/>
      <c r="AM74" s="155" t="str">
        <f>IF('Resample Data Summary'!C201="PASS",IF('Data - Sample Type 1'!DY155=0,"",'Data - Sample Type 1'!DY155),"")</f>
        <v/>
      </c>
      <c r="AN74" s="393"/>
      <c r="AO74" s="155" t="str">
        <f>IF('Resample Data Summary'!C201="PASS",IF('Data - Sample Type 1'!EM155=0,"",'Data - Sample Type 1'!EM155),"")</f>
        <v/>
      </c>
      <c r="AP74" s="395"/>
    </row>
    <row r="75" spans="1:73" x14ac:dyDescent="0.2">
      <c r="A75" s="276"/>
      <c r="B75" s="151" t="str">
        <f>IF('Resample Data Summary'!C97="PASS",IF('Resample Data Summary'!A97="","",'Data - Sample Type 0'!Q176),"")</f>
        <v/>
      </c>
      <c r="C75" s="280"/>
      <c r="D75"/>
      <c r="E75"/>
      <c r="F75" s="275">
        <v>10</v>
      </c>
      <c r="G75" s="154" t="str">
        <f>IF(AND('Resample Data Summary'!C202="PASS",'Data - Sample Type 1'!FO156&lt;&gt;0),'Data - Sample Type 1'!FO156,"")</f>
        <v/>
      </c>
      <c r="H75" s="258" t="e">
        <f t="shared" ref="H75" si="151">AVERAGE(G75:G82)</f>
        <v>#DIV/0!</v>
      </c>
      <c r="I75" s="170" t="str">
        <f>IF('Resample Data Summary'!C202="PASS",IF('Data - Sample Type 1'!AE156=0,"",'Data - Sample Type 1'!AE156),"")</f>
        <v/>
      </c>
      <c r="J75" s="258" t="e">
        <f t="shared" ref="J75" si="152">AVERAGE(I75:I82)</f>
        <v>#DIV/0!</v>
      </c>
      <c r="K75" s="154" t="str">
        <f>IF(AND('Resample Data Summary'!C202="PASS",'Data - Sample Type 1'!FW156&lt;&gt;0),'Data - Sample Type 1'!FW156,"")</f>
        <v/>
      </c>
      <c r="L75" s="258" t="e">
        <f t="shared" ref="L75" si="153">AVERAGE(K75:K82)</f>
        <v>#DIV/0!</v>
      </c>
      <c r="M75" s="190" t="str">
        <f>IF(AND('Resample Data Summary'!C202="PASS",K75&lt;&gt;""),'Data - Sample Type 1'!FX156,"")</f>
        <v/>
      </c>
      <c r="N75" s="263" t="e">
        <f t="shared" ref="N75" si="154">AVERAGE(M75:M82)</f>
        <v>#DIV/0!</v>
      </c>
      <c r="O75" s="154" t="str">
        <f>IF(AND('Resample Data Summary'!C202="PASS",'Data - Sample Type 1'!GE156&lt;&gt;0),'Data - Sample Type 1'!GE156,"")</f>
        <v/>
      </c>
      <c r="P75" s="258" t="e">
        <f t="shared" ref="P75" si="155">AVERAGE(O75:O82)</f>
        <v>#DIV/0!</v>
      </c>
      <c r="Q75" s="190" t="str">
        <f>IF(AND('Resample Data Summary'!C202="PASS",O75&lt;&gt;""),'Data - Sample Type 1'!GF156,"")</f>
        <v/>
      </c>
      <c r="R75" s="263" t="e">
        <f t="shared" ref="R75" si="156">AVERAGE(Q75:Q82)</f>
        <v>#DIV/0!</v>
      </c>
      <c r="S75" s="154" t="str">
        <f>IF('Resample Data Summary'!C202="PASS",IF('Data - Sample Type 1'!BG156=0,"",'Data - Sample Type 1'!BG156),"")</f>
        <v/>
      </c>
      <c r="T75" s="258" t="e">
        <f t="shared" ref="T75" si="157">AVERAGE(S75:S82)</f>
        <v>#DIV/0!</v>
      </c>
      <c r="U75" s="196" t="str">
        <f>IF(AND('Resample Data Summary'!C202="PASS",'Data - Sample Type 1'!GM156&lt;&gt;0),'Data - Sample Type 1'!GM156,"")</f>
        <v/>
      </c>
      <c r="V75" s="258" t="e">
        <f t="shared" ref="V75" si="158">AVERAGE(U75:U82)</f>
        <v>#DIV/0!</v>
      </c>
      <c r="W75" s="154" t="str">
        <f>IF('Resample Data Summary'!C202="PASS",IF('Data - Sample Type 1'!BU156=0,"",'Data - Sample Type 1'!BU156),"")</f>
        <v/>
      </c>
      <c r="X75" s="258" t="e">
        <f t="shared" ref="X75" si="159">AVERAGE(W75:W82)</f>
        <v>#DIV/0!</v>
      </c>
      <c r="Y75" s="154" t="str">
        <f>IF(AND('Resample Data Summary'!C202="PASS",'Data - Sample Type 1'!HC156&lt;&gt;0),'Data - Sample Type 1'!HC156,"")</f>
        <v/>
      </c>
      <c r="Z75" s="258" t="e">
        <f t="shared" ref="Z75" si="160">AVERAGE(Y75:Y82)</f>
        <v>#DIV/0!</v>
      </c>
      <c r="AA75" s="190" t="str">
        <f>IF(AND('Resample Data Summary'!C202="PASS",Y75&lt;&gt;""),'Data - Sample Type 1'!HD156,"")</f>
        <v/>
      </c>
      <c r="AB75" s="263" t="e">
        <f t="shared" ref="AB75" si="161">AVERAGE(AA75:AA82)</f>
        <v>#DIV/0!</v>
      </c>
      <c r="AC75" s="154" t="str">
        <f>IF(AND('Resample Data Summary'!C202="PASS",'Data - Sample Type 1'!HK156&lt;&gt;0),'Data - Sample Type 1'!HK156,"")</f>
        <v/>
      </c>
      <c r="AD75" s="258" t="e">
        <f t="shared" ref="AD75" si="162">AVERAGE(AC75:AC82)</f>
        <v>#DIV/0!</v>
      </c>
      <c r="AE75" s="190" t="str">
        <f>IF(AND('Resample Data Summary'!C202="PASS",AC75&lt;&gt;""),'Data - Sample Type 1'!HL156,"")</f>
        <v/>
      </c>
      <c r="AF75" s="263" t="e">
        <f t="shared" ref="AF75" si="163">AVERAGE(AE75:AE82)</f>
        <v>#DIV/0!</v>
      </c>
      <c r="AG75" s="154" t="str">
        <f>IF(AND('Resample Data Summary'!C202="PASS",'Data - Sample Type 1'!HS156&lt;&gt;0),'Data - Sample Type 1'!HS156,"")</f>
        <v/>
      </c>
      <c r="AH75" s="258" t="e">
        <f t="shared" ref="AH75" si="164">AVERAGE(AG75:AG82)</f>
        <v>#DIV/0!</v>
      </c>
      <c r="AI75" s="190" t="str">
        <f>IF(AND('Resample Data Summary'!C202="PASS",AG75&lt;&gt;""),'Data - Sample Type 1'!HT156,"")</f>
        <v/>
      </c>
      <c r="AJ75" s="263" t="e">
        <f t="shared" ref="AJ75" si="165">AVERAGE(AI75:AI82)</f>
        <v>#DIV/0!</v>
      </c>
      <c r="AK75" s="196" t="str">
        <f>IF('Resample Data Summary'!C202="PASS",IF('Data - Sample Type 1'!DK156=0,"",'Data - Sample Type 1'!DK156),"")</f>
        <v/>
      </c>
      <c r="AL75" s="258" t="e">
        <f t="shared" ref="AL75" si="166">AVERAGE(AK75:AK82)</f>
        <v>#DIV/0!</v>
      </c>
      <c r="AM75" s="154" t="str">
        <f>IF('Resample Data Summary'!C202="PASS",IF('Data - Sample Type 1'!DY156=0,"",'Data - Sample Type 1'!DY156),"")</f>
        <v/>
      </c>
      <c r="AN75" s="258" t="e">
        <f t="shared" ref="AN75" si="167">AVERAGE(AM75:AM82)</f>
        <v>#DIV/0!</v>
      </c>
      <c r="AO75" s="154" t="str">
        <f>IF('Resample Data Summary'!C202="PASS",IF('Data - Sample Type 1'!EM156=0,"",'Data - Sample Type 1'!EM156),"")</f>
        <v/>
      </c>
      <c r="AP75" s="279" t="e">
        <f t="shared" ref="AP75" si="168">AVERAGE(AO75:AO82)</f>
        <v>#DIV/0!</v>
      </c>
    </row>
    <row r="76" spans="1:73" x14ac:dyDescent="0.2">
      <c r="A76" s="276"/>
      <c r="B76" s="151" t="str">
        <f>IF('Resample Data Summary'!C98="PASS",IF('Resample Data Summary'!A98="","",'Data - Sample Type 0'!Q177),"")</f>
        <v/>
      </c>
      <c r="C76" s="280"/>
      <c r="D76"/>
      <c r="E76"/>
      <c r="F76" s="276"/>
      <c r="G76" s="151" t="str">
        <f>IF(AND('Resample Data Summary'!C203="PASS",'Data - Sample Type 1'!FO157&lt;&gt;0),'Data - Sample Type 1'!FO157,"")</f>
        <v/>
      </c>
      <c r="H76" s="259"/>
      <c r="I76" s="102" t="str">
        <f>IF('Resample Data Summary'!C203="PASS",IF('Data - Sample Type 1'!AE157=0,"",'Data - Sample Type 1'!AE157),"")</f>
        <v/>
      </c>
      <c r="J76" s="259"/>
      <c r="K76" s="151" t="str">
        <f>IF(AND('Resample Data Summary'!C203="PASS",'Data - Sample Type 1'!FW157&lt;&gt;0),'Data - Sample Type 1'!FW157,"")</f>
        <v/>
      </c>
      <c r="L76" s="259"/>
      <c r="M76" s="191" t="str">
        <f>IF(AND('Resample Data Summary'!C203="PASS",K76&lt;&gt;""),'Data - Sample Type 1'!FX157,"")</f>
        <v/>
      </c>
      <c r="N76" s="264"/>
      <c r="O76" s="151" t="str">
        <f>IF(AND('Resample Data Summary'!C203="PASS",'Data - Sample Type 1'!GE157&lt;&gt;0),'Data - Sample Type 1'!GE157,"")</f>
        <v/>
      </c>
      <c r="P76" s="259"/>
      <c r="Q76" s="191" t="str">
        <f>IF(AND('Resample Data Summary'!C203="PASS",O76&lt;&gt;""),'Data - Sample Type 1'!GF157,"")</f>
        <v/>
      </c>
      <c r="R76" s="264"/>
      <c r="S76" s="151" t="str">
        <f>IF('Resample Data Summary'!C203="PASS",IF('Data - Sample Type 1'!BG157=0,"",'Data - Sample Type 1'!BG157),"")</f>
        <v/>
      </c>
      <c r="T76" s="259"/>
      <c r="U76" s="194" t="str">
        <f>IF(AND('Resample Data Summary'!C203="PASS",'Data - Sample Type 1'!GM157&lt;&gt;0),'Data - Sample Type 1'!GM157,"")</f>
        <v/>
      </c>
      <c r="V76" s="259"/>
      <c r="W76" s="151" t="str">
        <f>IF('Resample Data Summary'!C203="PASS",IF('Data - Sample Type 1'!BU157=0,"",'Data - Sample Type 1'!BU157),"")</f>
        <v/>
      </c>
      <c r="X76" s="259"/>
      <c r="Y76" s="151" t="str">
        <f>IF(AND('Resample Data Summary'!C203="PASS",'Data - Sample Type 1'!HC157&lt;&gt;0),'Data - Sample Type 1'!HC157,"")</f>
        <v/>
      </c>
      <c r="Z76" s="259"/>
      <c r="AA76" s="191" t="str">
        <f>IF(AND('Resample Data Summary'!C203="PASS",Y76&lt;&gt;""),'Data - Sample Type 1'!HD157,"")</f>
        <v/>
      </c>
      <c r="AB76" s="264"/>
      <c r="AC76" s="151" t="str">
        <f>IF(AND('Resample Data Summary'!C203="PASS",'Data - Sample Type 1'!HK157&lt;&gt;0),'Data - Sample Type 1'!HK157,"")</f>
        <v/>
      </c>
      <c r="AD76" s="259"/>
      <c r="AE76" s="191" t="str">
        <f>IF(AND('Resample Data Summary'!C203="PASS",AC76&lt;&gt;""),'Data - Sample Type 1'!HL157,"")</f>
        <v/>
      </c>
      <c r="AF76" s="264"/>
      <c r="AG76" s="151" t="str">
        <f>IF(AND('Resample Data Summary'!C203="PASS",'Data - Sample Type 1'!HS157&lt;&gt;0),'Data - Sample Type 1'!HS157,"")</f>
        <v/>
      </c>
      <c r="AH76" s="259"/>
      <c r="AI76" s="191" t="str">
        <f>IF(AND('Resample Data Summary'!C203="PASS",AG76&lt;&gt;""),'Data - Sample Type 1'!HT157,"")</f>
        <v/>
      </c>
      <c r="AJ76" s="264"/>
      <c r="AK76" s="194" t="str">
        <f>IF('Resample Data Summary'!C203="PASS",IF('Data - Sample Type 1'!DK157=0,"",'Data - Sample Type 1'!DK157),"")</f>
        <v/>
      </c>
      <c r="AL76" s="259"/>
      <c r="AM76" s="151" t="str">
        <f>IF('Resample Data Summary'!C203="PASS",IF('Data - Sample Type 1'!DY157=0,"",'Data - Sample Type 1'!DY157),"")</f>
        <v/>
      </c>
      <c r="AN76" s="259"/>
      <c r="AO76" s="151" t="str">
        <f>IF('Resample Data Summary'!C203="PASS",IF('Data - Sample Type 1'!EM157=0,"",'Data - Sample Type 1'!EM157),"")</f>
        <v/>
      </c>
      <c r="AP76" s="280"/>
    </row>
    <row r="77" spans="1:73" x14ac:dyDescent="0.2">
      <c r="A77" s="276"/>
      <c r="B77" s="151" t="str">
        <f>IF('Resample Data Summary'!C99="PASS",IF('Resample Data Summary'!A99="","",'Data - Sample Type 0'!Q178),"")</f>
        <v/>
      </c>
      <c r="C77" s="280"/>
      <c r="D77"/>
      <c r="E77"/>
      <c r="F77" s="276"/>
      <c r="G77" s="151" t="str">
        <f>IF(AND('Resample Data Summary'!C204="PASS",'Data - Sample Type 1'!FO158&lt;&gt;0),'Data - Sample Type 1'!FO158,"")</f>
        <v/>
      </c>
      <c r="H77" s="259"/>
      <c r="I77" s="102" t="str">
        <f>IF('Resample Data Summary'!C204="PASS",IF('Data - Sample Type 1'!AE158=0,"",'Data - Sample Type 1'!AE158),"")</f>
        <v/>
      </c>
      <c r="J77" s="259"/>
      <c r="K77" s="151" t="str">
        <f>IF(AND('Resample Data Summary'!C204="PASS",'Data - Sample Type 1'!FW158&lt;&gt;0),'Data - Sample Type 1'!FW158,"")</f>
        <v/>
      </c>
      <c r="L77" s="259"/>
      <c r="M77" s="191" t="str">
        <f>IF(AND('Resample Data Summary'!C204="PASS",K77&lt;&gt;""),'Data - Sample Type 1'!FX158,"")</f>
        <v/>
      </c>
      <c r="N77" s="264"/>
      <c r="O77" s="151" t="str">
        <f>IF(AND('Resample Data Summary'!C204="PASS",'Data - Sample Type 1'!GE158&lt;&gt;0),'Data - Sample Type 1'!GE158,"")</f>
        <v/>
      </c>
      <c r="P77" s="259"/>
      <c r="Q77" s="191" t="str">
        <f>IF(AND('Resample Data Summary'!C204="PASS",O77&lt;&gt;""),'Data - Sample Type 1'!GF158,"")</f>
        <v/>
      </c>
      <c r="R77" s="264"/>
      <c r="S77" s="151" t="str">
        <f>IF('Resample Data Summary'!C204="PASS",IF('Data - Sample Type 1'!BG158=0,"",'Data - Sample Type 1'!BG158),"")</f>
        <v/>
      </c>
      <c r="T77" s="259"/>
      <c r="U77" s="194" t="str">
        <f>IF(AND('Resample Data Summary'!C204="PASS",'Data - Sample Type 1'!GM158&lt;&gt;0),'Data - Sample Type 1'!GM158,"")</f>
        <v/>
      </c>
      <c r="V77" s="259"/>
      <c r="W77" s="151" t="str">
        <f>IF('Resample Data Summary'!C204="PASS",IF('Data - Sample Type 1'!BU158=0,"",'Data - Sample Type 1'!BU158),"")</f>
        <v/>
      </c>
      <c r="X77" s="259"/>
      <c r="Y77" s="151" t="str">
        <f>IF(AND('Resample Data Summary'!C204="PASS",'Data - Sample Type 1'!HC158&lt;&gt;0),'Data - Sample Type 1'!HC158,"")</f>
        <v/>
      </c>
      <c r="Z77" s="259"/>
      <c r="AA77" s="191" t="str">
        <f>IF(AND('Resample Data Summary'!C204="PASS",Y77&lt;&gt;""),'Data - Sample Type 1'!HD158,"")</f>
        <v/>
      </c>
      <c r="AB77" s="264"/>
      <c r="AC77" s="151" t="str">
        <f>IF(AND('Resample Data Summary'!C204="PASS",'Data - Sample Type 1'!HK158&lt;&gt;0),'Data - Sample Type 1'!HK158,"")</f>
        <v/>
      </c>
      <c r="AD77" s="259"/>
      <c r="AE77" s="191" t="str">
        <f>IF(AND('Resample Data Summary'!C204="PASS",AC77&lt;&gt;""),'Data - Sample Type 1'!HL158,"")</f>
        <v/>
      </c>
      <c r="AF77" s="264"/>
      <c r="AG77" s="151" t="str">
        <f>IF(AND('Resample Data Summary'!C204="PASS",'Data - Sample Type 1'!HS158&lt;&gt;0),'Data - Sample Type 1'!HS158,"")</f>
        <v/>
      </c>
      <c r="AH77" s="259"/>
      <c r="AI77" s="191" t="str">
        <f>IF(AND('Resample Data Summary'!C204="PASS",AG77&lt;&gt;""),'Data - Sample Type 1'!HT158,"")</f>
        <v/>
      </c>
      <c r="AJ77" s="264"/>
      <c r="AK77" s="194" t="str">
        <f>IF('Resample Data Summary'!C204="PASS",IF('Data - Sample Type 1'!DK158=0,"",'Data - Sample Type 1'!DK158),"")</f>
        <v/>
      </c>
      <c r="AL77" s="259"/>
      <c r="AM77" s="151" t="str">
        <f>IF('Resample Data Summary'!C204="PASS",IF('Data - Sample Type 1'!DY158=0,"",'Data - Sample Type 1'!DY158),"")</f>
        <v/>
      </c>
      <c r="AN77" s="259"/>
      <c r="AO77" s="151" t="str">
        <f>IF('Resample Data Summary'!C204="PASS",IF('Data - Sample Type 1'!EM158=0,"",'Data - Sample Type 1'!EM158),"")</f>
        <v/>
      </c>
      <c r="AP77" s="280"/>
    </row>
    <row r="78" spans="1:73" x14ac:dyDescent="0.2">
      <c r="A78" s="276"/>
      <c r="B78" s="151" t="str">
        <f>IF('Resample Data Summary'!C100="PASS",IF('Resample Data Summary'!A100="","",'Data - Sample Type 0'!Q179),"")</f>
        <v/>
      </c>
      <c r="C78" s="280" t="e">
        <f>IF(C73&lt;=Specifications!$G$20,"PASS","FAIL")</f>
        <v>#DIV/0!</v>
      </c>
      <c r="D78"/>
      <c r="E78"/>
      <c r="F78" s="276"/>
      <c r="G78" s="151" t="str">
        <f>IF(AND('Resample Data Summary'!C205="PASS",'Data - Sample Type 1'!FO159&lt;&gt;0),'Data - Sample Type 1'!FO159,"")</f>
        <v/>
      </c>
      <c r="H78" s="259"/>
      <c r="I78" s="102" t="str">
        <f>IF('Resample Data Summary'!C205="PASS",IF('Data - Sample Type 1'!AE159=0,"",'Data - Sample Type 1'!AE159),"")</f>
        <v/>
      </c>
      <c r="J78" s="259"/>
      <c r="K78" s="151" t="str">
        <f>IF(AND('Resample Data Summary'!C205="PASS",'Data - Sample Type 1'!FW159&lt;&gt;0),'Data - Sample Type 1'!FW159,"")</f>
        <v/>
      </c>
      <c r="L78" s="259"/>
      <c r="M78" s="191" t="str">
        <f>IF(AND('Resample Data Summary'!C205="PASS",K78&lt;&gt;""),'Data - Sample Type 1'!FX159,"")</f>
        <v/>
      </c>
      <c r="N78" s="264"/>
      <c r="O78" s="151" t="str">
        <f>IF(AND('Resample Data Summary'!C205="PASS",'Data - Sample Type 1'!GE159&lt;&gt;0),'Data - Sample Type 1'!GE159,"")</f>
        <v/>
      </c>
      <c r="P78" s="259"/>
      <c r="Q78" s="191" t="str">
        <f>IF(AND('Resample Data Summary'!C205="PASS",O78&lt;&gt;""),'Data - Sample Type 1'!GF159,"")</f>
        <v/>
      </c>
      <c r="R78" s="264"/>
      <c r="S78" s="151" t="str">
        <f>IF('Resample Data Summary'!C205="PASS",IF('Data - Sample Type 1'!BG159=0,"",'Data - Sample Type 1'!BG159),"")</f>
        <v/>
      </c>
      <c r="T78" s="259"/>
      <c r="U78" s="194" t="str">
        <f>IF(AND('Resample Data Summary'!C205="PASS",'Data - Sample Type 1'!GM159&lt;&gt;0),'Data - Sample Type 1'!GM159,"")</f>
        <v/>
      </c>
      <c r="V78" s="259"/>
      <c r="W78" s="151" t="str">
        <f>IF('Resample Data Summary'!C205="PASS",IF('Data - Sample Type 1'!BU159=0,"",'Data - Sample Type 1'!BU159),"")</f>
        <v/>
      </c>
      <c r="X78" s="259"/>
      <c r="Y78" s="151" t="str">
        <f>IF(AND('Resample Data Summary'!C205="PASS",'Data - Sample Type 1'!HC159&lt;&gt;0),'Data - Sample Type 1'!HC159,"")</f>
        <v/>
      </c>
      <c r="Z78" s="259"/>
      <c r="AA78" s="191" t="str">
        <f>IF(AND('Resample Data Summary'!C205="PASS",Y78&lt;&gt;""),'Data - Sample Type 1'!HD159,"")</f>
        <v/>
      </c>
      <c r="AB78" s="264"/>
      <c r="AC78" s="151" t="str">
        <f>IF(AND('Resample Data Summary'!C205="PASS",'Data - Sample Type 1'!HK159&lt;&gt;0),'Data - Sample Type 1'!HK159,"")</f>
        <v/>
      </c>
      <c r="AD78" s="259"/>
      <c r="AE78" s="191" t="str">
        <f>IF(AND('Resample Data Summary'!C205="PASS",AC78&lt;&gt;""),'Data - Sample Type 1'!HL159,"")</f>
        <v/>
      </c>
      <c r="AF78" s="264"/>
      <c r="AG78" s="151" t="str">
        <f>IF(AND('Resample Data Summary'!C205="PASS",'Data - Sample Type 1'!HS159&lt;&gt;0),'Data - Sample Type 1'!HS159,"")</f>
        <v/>
      </c>
      <c r="AH78" s="259"/>
      <c r="AI78" s="191" t="str">
        <f>IF(AND('Resample Data Summary'!C205="PASS",AG78&lt;&gt;""),'Data - Sample Type 1'!HT159,"")</f>
        <v/>
      </c>
      <c r="AJ78" s="264"/>
      <c r="AK78" s="194" t="str">
        <f>IF('Resample Data Summary'!C205="PASS",IF('Data - Sample Type 1'!DK159=0,"",'Data - Sample Type 1'!DK159),"")</f>
        <v/>
      </c>
      <c r="AL78" s="259"/>
      <c r="AM78" s="151" t="str">
        <f>IF('Resample Data Summary'!C205="PASS",IF('Data - Sample Type 1'!DY159=0,"",'Data - Sample Type 1'!DY159),"")</f>
        <v/>
      </c>
      <c r="AN78" s="259"/>
      <c r="AO78" s="151" t="str">
        <f>IF('Resample Data Summary'!C205="PASS",IF('Data - Sample Type 1'!EM159=0,"",'Data - Sample Type 1'!EM159),"")</f>
        <v/>
      </c>
      <c r="AP78" s="280"/>
    </row>
    <row r="79" spans="1:73" x14ac:dyDescent="0.2">
      <c r="A79" s="276">
        <v>8</v>
      </c>
      <c r="B79" s="151" t="str">
        <f>IF('Resample Data Summary'!C101="PASS",IF('Resample Data Summary'!A101="","",'Data - Sample Type 0'!Q180),"")</f>
        <v/>
      </c>
      <c r="C79" s="280"/>
      <c r="D79"/>
      <c r="E79"/>
      <c r="F79" s="276"/>
      <c r="G79" s="151" t="str">
        <f>IF(AND('Resample Data Summary'!C206="PASS",'Data - Sample Type 1'!FO160&lt;&gt;0),'Data - Sample Type 1'!FO160,"")</f>
        <v/>
      </c>
      <c r="H79" s="259" t="e">
        <f>IF(AND(H75&gt;=Specifications!$C$21,H75&lt;=Specifications!$D$21),"PASS","FAIL")</f>
        <v>#DIV/0!</v>
      </c>
      <c r="I79" s="102" t="str">
        <f>IF('Resample Data Summary'!C206="PASS",IF('Data - Sample Type 1'!AE160=0,"",'Data - Sample Type 1'!AE160),"")</f>
        <v/>
      </c>
      <c r="J79" s="259" t="e">
        <f>IF(J75&lt;=Specifications!D$22,"PASS","FAIL")</f>
        <v>#DIV/0!</v>
      </c>
      <c r="K79" s="151" t="str">
        <f>IF(AND('Resample Data Summary'!C206="PASS",'Data - Sample Type 1'!FW160&lt;&gt;0),'Data - Sample Type 1'!FW160,"")</f>
        <v/>
      </c>
      <c r="L79" s="259" t="e">
        <f>IF(AND(L75&gt;=Specifications!$C$23,L75&lt;=Specifications!$D$23),"PASS","FAIL")</f>
        <v>#DIV/0!</v>
      </c>
      <c r="M79" s="191" t="str">
        <f>IF(AND('Resample Data Summary'!C206="PASS",K79&lt;&gt;""),'Data - Sample Type 1'!FX160,"")</f>
        <v/>
      </c>
      <c r="N79" s="391" t="s">
        <v>510</v>
      </c>
      <c r="O79" s="151" t="str">
        <f>IF(AND('Resample Data Summary'!C206="PASS",'Data - Sample Type 1'!GE160&lt;&gt;0),'Data - Sample Type 1'!GE160,"")</f>
        <v/>
      </c>
      <c r="P79" s="259" t="e">
        <f>IF(AND(P75&gt;=Specifications!$C$25,P75&lt;=Specifications!$D$25),"PASS","FAIL")</f>
        <v>#DIV/0!</v>
      </c>
      <c r="Q79" s="191" t="str">
        <f>IF(AND('Resample Data Summary'!C206="PASS",O79&lt;&gt;""),'Data - Sample Type 1'!GF160,"")</f>
        <v/>
      </c>
      <c r="R79" s="391" t="s">
        <v>510</v>
      </c>
      <c r="S79" s="151" t="str">
        <f>IF('Resample Data Summary'!C206="PASS",IF('Data - Sample Type 1'!BG160=0,"",'Data - Sample Type 1'!BG160),"")</f>
        <v/>
      </c>
      <c r="T79" s="259" t="e">
        <f>IF(T75&lt;=Specifications!D$27,"PASS","FAIL")</f>
        <v>#DIV/0!</v>
      </c>
      <c r="U79" s="194" t="str">
        <f>IF(AND('Resample Data Summary'!C206="PASS",'Data - Sample Type 1'!GM160&lt;&gt;0),'Data - Sample Type 1'!GM160,"")</f>
        <v/>
      </c>
      <c r="V79" s="259" t="e">
        <f>IF(AND(V75&gt;=Specifications!$C$28,V75&lt;=Specifications!$D$28),"PASS","FAIL")</f>
        <v>#DIV/0!</v>
      </c>
      <c r="W79" s="151" t="str">
        <f>IF('Resample Data Summary'!C206="PASS",IF('Data - Sample Type 1'!BU160=0,"",'Data - Sample Type 1'!BU160),"")</f>
        <v/>
      </c>
      <c r="X79" s="259" t="s">
        <v>510</v>
      </c>
      <c r="Y79" s="151" t="str">
        <f>IF(AND('Resample Data Summary'!C206="PASS",'Data - Sample Type 1'!HC160&lt;&gt;0),'Data - Sample Type 1'!HC160,"")</f>
        <v/>
      </c>
      <c r="Z79" s="259" t="e">
        <f>IF(AND(Z75&gt;=Specifications!$C$31,Z75&lt;=Specifications!$D$31),"PASS","FAIL")</f>
        <v>#DIV/0!</v>
      </c>
      <c r="AA79" s="191" t="str">
        <f>IF(AND('Resample Data Summary'!C206="PASS",Y79&lt;&gt;""),'Data - Sample Type 1'!HD160,"")</f>
        <v/>
      </c>
      <c r="AB79" s="391" t="s">
        <v>510</v>
      </c>
      <c r="AC79" s="151" t="str">
        <f>IF(AND('Resample Data Summary'!C206="PASS",'Data - Sample Type 1'!HK160&lt;&gt;0),'Data - Sample Type 1'!HK160,"")</f>
        <v/>
      </c>
      <c r="AD79" s="259" t="e">
        <f>IF(AND(AD75&gt;=Specifications!$C$33,AD75&lt;=Specifications!$D$33),"PASS","FAIL")</f>
        <v>#DIV/0!</v>
      </c>
      <c r="AE79" s="191" t="str">
        <f>IF(AND('Resample Data Summary'!C206="PASS",AC79&lt;&gt;""),'Data - Sample Type 1'!HL160,"")</f>
        <v/>
      </c>
      <c r="AF79" s="391" t="s">
        <v>510</v>
      </c>
      <c r="AG79" s="151" t="str">
        <f>IF(AND('Resample Data Summary'!C206="PASS",'Data - Sample Type 1'!HS160&lt;&gt;0),'Data - Sample Type 1'!HS160,"")</f>
        <v/>
      </c>
      <c r="AH79" s="259" t="e">
        <f>IF(AND(AH75&gt;=Specifications!$C$35,AH75&lt;=Specifications!$D$35),"PASS","FAIL")</f>
        <v>#DIV/0!</v>
      </c>
      <c r="AI79" s="191" t="str">
        <f>IF(AND('Resample Data Summary'!C206="PASS",AG79&lt;&gt;""),'Data - Sample Type 1'!HT160,"")</f>
        <v/>
      </c>
      <c r="AJ79" s="391" t="s">
        <v>510</v>
      </c>
      <c r="AK79" s="194" t="str">
        <f>IF('Resample Data Summary'!C206="PASS",IF('Data - Sample Type 1'!DK160=0,"",'Data - Sample Type 1'!DK160),"")</f>
        <v/>
      </c>
      <c r="AL79" s="259" t="e">
        <f>IF(AL75&lt;=Specifications!$D$37,"PASS","FAIL")</f>
        <v>#DIV/0!</v>
      </c>
      <c r="AM79" s="151" t="str">
        <f>IF('Resample Data Summary'!C206="PASS",IF('Data - Sample Type 1'!DY160=0,"",'Data - Sample Type 1'!DY160),"")</f>
        <v/>
      </c>
      <c r="AN79" s="259" t="e">
        <f>IF(AN75&lt;=Specifications!$D$38,"PASS","FAIL")</f>
        <v>#DIV/0!</v>
      </c>
      <c r="AO79" s="151" t="str">
        <f>IF('Resample Data Summary'!C206="PASS",IF('Data - Sample Type 1'!EM160=0,"",'Data - Sample Type 1'!EM160),"")</f>
        <v/>
      </c>
      <c r="AP79" s="280" t="e">
        <f>IF(AP75&lt;=Specifications!$D$39,"PASS","FAIL")</f>
        <v>#DIV/0!</v>
      </c>
    </row>
    <row r="80" spans="1:73" x14ac:dyDescent="0.2">
      <c r="A80" s="276"/>
      <c r="B80" s="151" t="str">
        <f>IF('Resample Data Summary'!C102="PASS",IF('Resample Data Summary'!A102="","",'Data - Sample Type 0'!Q181),"")</f>
        <v/>
      </c>
      <c r="C80" s="280"/>
      <c r="D80"/>
      <c r="E80"/>
      <c r="F80" s="276"/>
      <c r="G80" s="151" t="str">
        <f>IF(AND('Resample Data Summary'!C207="PASS",'Data - Sample Type 1'!FO161&lt;&gt;0),'Data - Sample Type 1'!FO161,"")</f>
        <v/>
      </c>
      <c r="H80" s="259"/>
      <c r="I80" s="102" t="str">
        <f>IF('Resample Data Summary'!C207="PASS",IF('Data - Sample Type 1'!AE161=0,"",'Data - Sample Type 1'!AE161),"")</f>
        <v/>
      </c>
      <c r="J80" s="259"/>
      <c r="K80" s="151" t="str">
        <f>IF(AND('Resample Data Summary'!C207="PASS",'Data - Sample Type 1'!FW161&lt;&gt;0),'Data - Sample Type 1'!FW161,"")</f>
        <v/>
      </c>
      <c r="L80" s="259"/>
      <c r="M80" s="191" t="str">
        <f>IF(AND('Resample Data Summary'!C207="PASS",K80&lt;&gt;""),'Data - Sample Type 1'!FX161,"")</f>
        <v/>
      </c>
      <c r="N80" s="264"/>
      <c r="O80" s="151" t="str">
        <f>IF(AND('Resample Data Summary'!C207="PASS",'Data - Sample Type 1'!GE161&lt;&gt;0),'Data - Sample Type 1'!GE161,"")</f>
        <v/>
      </c>
      <c r="P80" s="259"/>
      <c r="Q80" s="191" t="str">
        <f>IF(AND('Resample Data Summary'!C207="PASS",O80&lt;&gt;""),'Data - Sample Type 1'!GF161,"")</f>
        <v/>
      </c>
      <c r="R80" s="264"/>
      <c r="S80" s="151" t="str">
        <f>IF('Resample Data Summary'!C207="PASS",IF('Data - Sample Type 1'!BG161=0,"",'Data - Sample Type 1'!BG161),"")</f>
        <v/>
      </c>
      <c r="T80" s="259"/>
      <c r="U80" s="194" t="str">
        <f>IF(AND('Resample Data Summary'!C207="PASS",'Data - Sample Type 1'!GM161&lt;&gt;0),'Data - Sample Type 1'!GM161,"")</f>
        <v/>
      </c>
      <c r="V80" s="259"/>
      <c r="W80" s="151" t="str">
        <f>IF('Resample Data Summary'!C207="PASS",IF('Data - Sample Type 1'!BU161=0,"",'Data - Sample Type 1'!BU161),"")</f>
        <v/>
      </c>
      <c r="X80" s="259"/>
      <c r="Y80" s="151" t="str">
        <f>IF(AND('Resample Data Summary'!C207="PASS",'Data - Sample Type 1'!HC161&lt;&gt;0),'Data - Sample Type 1'!HC161,"")</f>
        <v/>
      </c>
      <c r="Z80" s="259"/>
      <c r="AA80" s="191" t="str">
        <f>IF(AND('Resample Data Summary'!C207="PASS",Y80&lt;&gt;""),'Data - Sample Type 1'!HD161,"")</f>
        <v/>
      </c>
      <c r="AB80" s="264"/>
      <c r="AC80" s="151" t="str">
        <f>IF(AND('Resample Data Summary'!C207="PASS",'Data - Sample Type 1'!HK161&lt;&gt;0),'Data - Sample Type 1'!HK161,"")</f>
        <v/>
      </c>
      <c r="AD80" s="259"/>
      <c r="AE80" s="191" t="str">
        <f>IF(AND('Resample Data Summary'!C207="PASS",AC80&lt;&gt;""),'Data - Sample Type 1'!HL161,"")</f>
        <v/>
      </c>
      <c r="AF80" s="264"/>
      <c r="AG80" s="151" t="str">
        <f>IF(AND('Resample Data Summary'!C207="PASS",'Data - Sample Type 1'!HS161&lt;&gt;0),'Data - Sample Type 1'!HS161,"")</f>
        <v/>
      </c>
      <c r="AH80" s="259"/>
      <c r="AI80" s="191" t="str">
        <f>IF(AND('Resample Data Summary'!C207="PASS",AG80&lt;&gt;""),'Data - Sample Type 1'!HT161,"")</f>
        <v/>
      </c>
      <c r="AJ80" s="264"/>
      <c r="AK80" s="194" t="str">
        <f>IF('Resample Data Summary'!C207="PASS",IF('Data - Sample Type 1'!DK161=0,"",'Data - Sample Type 1'!DK161),"")</f>
        <v/>
      </c>
      <c r="AL80" s="259"/>
      <c r="AM80" s="151" t="str">
        <f>IF('Resample Data Summary'!C207="PASS",IF('Data - Sample Type 1'!DY161=0,"",'Data - Sample Type 1'!DY161),"")</f>
        <v/>
      </c>
      <c r="AN80" s="259"/>
      <c r="AO80" s="151" t="str">
        <f>IF('Resample Data Summary'!C207="PASS",IF('Data - Sample Type 1'!EM161=0,"",'Data - Sample Type 1'!EM161),"")</f>
        <v/>
      </c>
      <c r="AP80" s="280"/>
    </row>
    <row r="81" spans="1:45" x14ac:dyDescent="0.2">
      <c r="A81" s="276"/>
      <c r="B81" s="151" t="str">
        <f>IF('Resample Data Summary'!C103="PASS",IF('Resample Data Summary'!A103="","",'Data - Sample Type 0'!Q182),"")</f>
        <v/>
      </c>
      <c r="C81" s="280"/>
      <c r="D81"/>
      <c r="E81"/>
      <c r="F81" s="276"/>
      <c r="G81" s="151" t="str">
        <f>IF(AND('Resample Data Summary'!C208="PASS",'Data - Sample Type 1'!FO162&lt;&gt;0),'Data - Sample Type 1'!FO162,"")</f>
        <v/>
      </c>
      <c r="H81" s="259"/>
      <c r="I81" s="102" t="str">
        <f>IF('Resample Data Summary'!C208="PASS",IF('Data - Sample Type 1'!AE162=0,"",'Data - Sample Type 1'!AE162),"")</f>
        <v/>
      </c>
      <c r="J81" s="259"/>
      <c r="K81" s="151" t="str">
        <f>IF(AND('Resample Data Summary'!C208="PASS",'Data - Sample Type 1'!FW162&lt;&gt;0),'Data - Sample Type 1'!FW162,"")</f>
        <v/>
      </c>
      <c r="L81" s="259"/>
      <c r="M81" s="191" t="str">
        <f>IF(AND('Resample Data Summary'!C208="PASS",K81&lt;&gt;""),'Data - Sample Type 1'!FX162,"")</f>
        <v/>
      </c>
      <c r="N81" s="264"/>
      <c r="O81" s="151" t="str">
        <f>IF(AND('Resample Data Summary'!C208="PASS",'Data - Sample Type 1'!GE162&lt;&gt;0),'Data - Sample Type 1'!GE162,"")</f>
        <v/>
      </c>
      <c r="P81" s="259"/>
      <c r="Q81" s="191" t="str">
        <f>IF(AND('Resample Data Summary'!C208="PASS",O81&lt;&gt;""),'Data - Sample Type 1'!GF162,"")</f>
        <v/>
      </c>
      <c r="R81" s="264"/>
      <c r="S81" s="151" t="str">
        <f>IF('Resample Data Summary'!C208="PASS",IF('Data - Sample Type 1'!BG162=0,"",'Data - Sample Type 1'!BG162),"")</f>
        <v/>
      </c>
      <c r="T81" s="259"/>
      <c r="U81" s="194" t="str">
        <f>IF(AND('Resample Data Summary'!C208="PASS",'Data - Sample Type 1'!GM162&lt;&gt;0),'Data - Sample Type 1'!GM162,"")</f>
        <v/>
      </c>
      <c r="V81" s="259"/>
      <c r="W81" s="151" t="str">
        <f>IF('Resample Data Summary'!C208="PASS",IF('Data - Sample Type 1'!BU162=0,"",'Data - Sample Type 1'!BU162),"")</f>
        <v/>
      </c>
      <c r="X81" s="259"/>
      <c r="Y81" s="151" t="str">
        <f>IF(AND('Resample Data Summary'!C208="PASS",'Data - Sample Type 1'!HC162&lt;&gt;0),'Data - Sample Type 1'!HC162,"")</f>
        <v/>
      </c>
      <c r="Z81" s="259"/>
      <c r="AA81" s="191" t="str">
        <f>IF(AND('Resample Data Summary'!C208="PASS",Y81&lt;&gt;""),'Data - Sample Type 1'!HD162,"")</f>
        <v/>
      </c>
      <c r="AB81" s="264"/>
      <c r="AC81" s="151" t="str">
        <f>IF(AND('Resample Data Summary'!C208="PASS",'Data - Sample Type 1'!HK162&lt;&gt;0),'Data - Sample Type 1'!HK162,"")</f>
        <v/>
      </c>
      <c r="AD81" s="259"/>
      <c r="AE81" s="191" t="str">
        <f>IF(AND('Resample Data Summary'!C208="PASS",AC81&lt;&gt;""),'Data - Sample Type 1'!HL162,"")</f>
        <v/>
      </c>
      <c r="AF81" s="264"/>
      <c r="AG81" s="151" t="str">
        <f>IF(AND('Resample Data Summary'!C208="PASS",'Data - Sample Type 1'!HS162&lt;&gt;0),'Data - Sample Type 1'!HS162,"")</f>
        <v/>
      </c>
      <c r="AH81" s="259"/>
      <c r="AI81" s="191" t="str">
        <f>IF(AND('Resample Data Summary'!C208="PASS",AG81&lt;&gt;""),'Data - Sample Type 1'!HT162,"")</f>
        <v/>
      </c>
      <c r="AJ81" s="264"/>
      <c r="AK81" s="194" t="str">
        <f>IF('Resample Data Summary'!C208="PASS",IF('Data - Sample Type 1'!DK162=0,"",'Data - Sample Type 1'!DK162),"")</f>
        <v/>
      </c>
      <c r="AL81" s="259"/>
      <c r="AM81" s="151" t="str">
        <f>IF('Resample Data Summary'!C208="PASS",IF('Data - Sample Type 1'!DY162=0,"",'Data - Sample Type 1'!DY162),"")</f>
        <v/>
      </c>
      <c r="AN81" s="259"/>
      <c r="AO81" s="151" t="str">
        <f>IF('Resample Data Summary'!C208="PASS",IF('Data - Sample Type 1'!EM162=0,"",'Data - Sample Type 1'!EM162),"")</f>
        <v/>
      </c>
      <c r="AP81" s="280"/>
    </row>
    <row r="82" spans="1:45" ht="13.5" thickBot="1" x14ac:dyDescent="0.25">
      <c r="A82" s="278"/>
      <c r="B82" s="155" t="str">
        <f>IF('Resample Data Summary'!C104="PASS",IF('Resample Data Summary'!A104="","",'Data - Sample Type 0'!Q183),"")</f>
        <v/>
      </c>
      <c r="C82" s="389"/>
      <c r="D82"/>
      <c r="E82"/>
      <c r="F82" s="278"/>
      <c r="G82" s="155" t="str">
        <f>IF(AND('Resample Data Summary'!C209="PASS",'Data - Sample Type 1'!FO163&lt;&gt;0),'Data - Sample Type 1'!FO163,"")</f>
        <v/>
      </c>
      <c r="H82" s="390"/>
      <c r="I82" s="171" t="str">
        <f>IF('Resample Data Summary'!C209="PASS",IF('Data - Sample Type 1'!AE163=0,"",'Data - Sample Type 1'!AE163),"")</f>
        <v/>
      </c>
      <c r="J82" s="390"/>
      <c r="K82" s="155" t="str">
        <f>IF(AND('Resample Data Summary'!C209="PASS",'Data - Sample Type 1'!FW163&lt;&gt;0),'Data - Sample Type 1'!FW163,"")</f>
        <v/>
      </c>
      <c r="L82" s="390"/>
      <c r="M82" s="192" t="str">
        <f>IF(AND('Resample Data Summary'!C209="PASS",K82&lt;&gt;""),'Data - Sample Type 1'!FX163,"")</f>
        <v/>
      </c>
      <c r="N82" s="392"/>
      <c r="O82" s="155" t="str">
        <f>IF(AND('Resample Data Summary'!C209="PASS",'Data - Sample Type 1'!GE163&lt;&gt;0),'Data - Sample Type 1'!GE163,"")</f>
        <v/>
      </c>
      <c r="P82" s="390"/>
      <c r="Q82" s="192" t="str">
        <f>IF(AND('Resample Data Summary'!C209="PASS",O82&lt;&gt;""),'Data - Sample Type 1'!GF163,"")</f>
        <v/>
      </c>
      <c r="R82" s="392"/>
      <c r="S82" s="155" t="str">
        <f>IF('Resample Data Summary'!C209="PASS",IF('Data - Sample Type 1'!BG163=0,"",'Data - Sample Type 1'!BG163),"")</f>
        <v/>
      </c>
      <c r="T82" s="390"/>
      <c r="U82" s="197" t="str">
        <f>IF(AND('Resample Data Summary'!C209="PASS",'Data - Sample Type 1'!GM163&lt;&gt;0),'Data - Sample Type 1'!GM163,"")</f>
        <v/>
      </c>
      <c r="V82" s="390"/>
      <c r="W82" s="155" t="str">
        <f>IF('Resample Data Summary'!C209="PASS",IF('Data - Sample Type 1'!BU163=0,"",'Data - Sample Type 1'!BU163),"")</f>
        <v/>
      </c>
      <c r="X82" s="390"/>
      <c r="Y82" s="155" t="str">
        <f>IF(AND('Resample Data Summary'!C209="PASS",'Data - Sample Type 1'!HC163&lt;&gt;0),'Data - Sample Type 1'!HC163,"")</f>
        <v/>
      </c>
      <c r="Z82" s="390"/>
      <c r="AA82" s="192" t="str">
        <f>IF(AND('Resample Data Summary'!C209="PASS",Y82&lt;&gt;""),'Data - Sample Type 1'!HD163,"")</f>
        <v/>
      </c>
      <c r="AB82" s="392"/>
      <c r="AC82" s="155" t="str">
        <f>IF(AND('Resample Data Summary'!C209="PASS",'Data - Sample Type 1'!HK163&lt;&gt;0),'Data - Sample Type 1'!HK163,"")</f>
        <v/>
      </c>
      <c r="AD82" s="390"/>
      <c r="AE82" s="192" t="str">
        <f>IF(AND('Resample Data Summary'!C209="PASS",AC82&lt;&gt;""),'Data - Sample Type 1'!HL163,"")</f>
        <v/>
      </c>
      <c r="AF82" s="392"/>
      <c r="AG82" s="155" t="str">
        <f>IF(AND('Resample Data Summary'!C209="PASS",'Data - Sample Type 1'!HS163&lt;&gt;0),'Data - Sample Type 1'!HS163,"")</f>
        <v/>
      </c>
      <c r="AH82" s="390"/>
      <c r="AI82" s="192" t="str">
        <f>IF(AND('Resample Data Summary'!C209="PASS",AG82&lt;&gt;""),'Data - Sample Type 1'!HT163,"")</f>
        <v/>
      </c>
      <c r="AJ82" s="392"/>
      <c r="AK82" s="197" t="str">
        <f>IF('Resample Data Summary'!C209="PASS",IF('Data - Sample Type 1'!DK163=0,"",'Data - Sample Type 1'!DK163),"")</f>
        <v/>
      </c>
      <c r="AL82" s="390"/>
      <c r="AM82" s="155" t="str">
        <f>IF('Resample Data Summary'!C209="PASS",IF('Data - Sample Type 1'!DY163=0,"",'Data - Sample Type 1'!DY163),"")</f>
        <v/>
      </c>
      <c r="AN82" s="390"/>
      <c r="AO82" s="155" t="str">
        <f>IF('Resample Data Summary'!C209="PASS",IF('Data - Sample Type 1'!EM163=0,"",'Data - Sample Type 1'!EM163),"")</f>
        <v/>
      </c>
      <c r="AP82" s="389"/>
    </row>
    <row r="83" spans="1:45" x14ac:dyDescent="0.2">
      <c r="A83" s="275">
        <v>9</v>
      </c>
      <c r="B83" s="154" t="str">
        <f>IF('Resample Data Summary'!C105="PASS",IF('Resample Data Summary'!A105="","",'Data - Sample Type 0'!Q184),"")</f>
        <v/>
      </c>
      <c r="C83" s="279" t="e">
        <f t="shared" ref="C83" si="169">AVERAGE(B83:B92)</f>
        <v>#DIV/0!</v>
      </c>
      <c r="D83"/>
      <c r="E83"/>
      <c r="M83" s="191" t="e">
        <f>ROUND(AVERAGE(M3:M82),0)</f>
        <v>#DIV/0!</v>
      </c>
      <c r="N83" s="150" t="e">
        <f>IF(M83&gt;=Specifications!C24, "PASS", "FAIL")</f>
        <v>#DIV/0!</v>
      </c>
      <c r="Q83" s="191" t="e">
        <f>ROUND(AVERAGE(Q3:Q82),0)</f>
        <v>#DIV/0!</v>
      </c>
      <c r="R83" s="151" t="e">
        <f>IF(Q83&gt;=Specifications!C26, "PASS", "FAIL")</f>
        <v>#DIV/0!</v>
      </c>
      <c r="AA83" s="191" t="e">
        <f>ROUND(AVERAGE(AA3:AA82),0)</f>
        <v>#DIV/0!</v>
      </c>
      <c r="AB83" s="151" t="e">
        <f>IF(AA83&gt;=Specifications!C32, "PASS", "FAIL")</f>
        <v>#DIV/0!</v>
      </c>
      <c r="AE83" s="191" t="e">
        <f>ROUND(AVERAGE(AE3:AE82),0)</f>
        <v>#DIV/0!</v>
      </c>
      <c r="AF83" s="151" t="e">
        <f>IF(AE83&gt;=Specifications!C34, "PASS", "FAIL")</f>
        <v>#DIV/0!</v>
      </c>
      <c r="AI83" s="191" t="e">
        <f>ROUND(AVERAGE(AI3:AI82),0)</f>
        <v>#DIV/0!</v>
      </c>
      <c r="AJ83" s="151" t="e">
        <f>IF(AI83&gt;=Specifications!C36, "PASS", "FAIL")</f>
        <v>#DIV/0!</v>
      </c>
      <c r="AP83" s="236"/>
    </row>
    <row r="84" spans="1:45" x14ac:dyDescent="0.2">
      <c r="A84" s="276"/>
      <c r="B84" s="151" t="str">
        <f>IF('Resample Data Summary'!C106="PASS",IF('Resample Data Summary'!A106="","",'Data - Sample Type 0'!Q185),"")</f>
        <v/>
      </c>
      <c r="C84" s="280"/>
      <c r="D84"/>
      <c r="E84"/>
    </row>
    <row r="85" spans="1:45" x14ac:dyDescent="0.2">
      <c r="A85" s="276"/>
      <c r="B85" s="151" t="str">
        <f>IF('Resample Data Summary'!C107="PASS",IF('Resample Data Summary'!A107="","",'Data - Sample Type 0'!Q186),"")</f>
        <v/>
      </c>
      <c r="C85" s="280"/>
      <c r="D85"/>
      <c r="E85"/>
      <c r="AS85" s="96"/>
    </row>
    <row r="86" spans="1:45" x14ac:dyDescent="0.2">
      <c r="A86" s="276">
        <v>9</v>
      </c>
      <c r="B86" s="151" t="str">
        <f>IF('Resample Data Summary'!C108="PASS",IF('Resample Data Summary'!A108="","",'Data - Sample Type 0'!Q187),"")</f>
        <v/>
      </c>
      <c r="C86" s="280"/>
      <c r="D86"/>
      <c r="E86"/>
    </row>
    <row r="87" spans="1:45" x14ac:dyDescent="0.2">
      <c r="A87" s="276"/>
      <c r="B87" s="151" t="str">
        <f>IF('Resample Data Summary'!C109="PASS",IF('Resample Data Summary'!A109="","",'Data - Sample Type 0'!Q188),"")</f>
        <v/>
      </c>
      <c r="C87" s="280"/>
      <c r="D87"/>
      <c r="E87"/>
    </row>
    <row r="88" spans="1:45" x14ac:dyDescent="0.2">
      <c r="A88" s="276"/>
      <c r="B88" s="151" t="str">
        <f>IF('Resample Data Summary'!C110="PASS",IF('Resample Data Summary'!A110="","",'Data - Sample Type 0'!Q189),"")</f>
        <v/>
      </c>
      <c r="C88" s="280" t="e">
        <f>IF(C83&lt;=Specifications!$G$20,"PASS","FAIL")</f>
        <v>#DIV/0!</v>
      </c>
      <c r="D88"/>
      <c r="E88"/>
    </row>
    <row r="89" spans="1:45" x14ac:dyDescent="0.2">
      <c r="A89" s="276"/>
      <c r="B89" s="151" t="str">
        <f>IF('Resample Data Summary'!C111="PASS",IF('Resample Data Summary'!A111="","",'Data - Sample Type 0'!Q190),"")</f>
        <v/>
      </c>
      <c r="C89" s="280"/>
      <c r="D89"/>
      <c r="E89"/>
    </row>
    <row r="90" spans="1:45" x14ac:dyDescent="0.2">
      <c r="A90" s="276"/>
      <c r="B90" s="151" t="str">
        <f>IF('Resample Data Summary'!C112="PASS",IF('Resample Data Summary'!A112="","",'Data - Sample Type 0'!Q191),"")</f>
        <v/>
      </c>
      <c r="C90" s="280"/>
      <c r="D90"/>
      <c r="E90"/>
    </row>
    <row r="91" spans="1:45" x14ac:dyDescent="0.2">
      <c r="A91" s="276"/>
      <c r="B91" s="151" t="str">
        <f>IF('Resample Data Summary'!C113="PASS",IF('Resample Data Summary'!A113="","",'Data - Sample Type 0'!Q192),"")</f>
        <v/>
      </c>
      <c r="C91" s="280"/>
      <c r="D91"/>
      <c r="E91"/>
    </row>
    <row r="92" spans="1:45" ht="13.5" thickBot="1" x14ac:dyDescent="0.25">
      <c r="A92" s="278"/>
      <c r="B92" s="155" t="str">
        <f>IF('Resample Data Summary'!C114="PASS",IF('Resample Data Summary'!A114="","",'Data - Sample Type 0'!Q193),"")</f>
        <v/>
      </c>
      <c r="C92" s="389"/>
      <c r="D92"/>
      <c r="E92"/>
    </row>
    <row r="93" spans="1:45" x14ac:dyDescent="0.2">
      <c r="A93" s="281">
        <v>10</v>
      </c>
      <c r="B93" s="157" t="str">
        <f>IF('Resample Data Summary'!C115="PASS",IF('Resample Data Summary'!A115="","",'Data - Sample Type 0'!Q194),"")</f>
        <v/>
      </c>
      <c r="C93" s="279" t="e">
        <f t="shared" ref="C93" si="170">AVERAGE(B93:B102)</f>
        <v>#DIV/0!</v>
      </c>
      <c r="D93"/>
      <c r="E93"/>
    </row>
    <row r="94" spans="1:45" x14ac:dyDescent="0.2">
      <c r="A94" s="276"/>
      <c r="B94" s="151" t="str">
        <f>IF('Resample Data Summary'!C116="PASS",IF('Resample Data Summary'!A116="","",'Data - Sample Type 0'!Q195),"")</f>
        <v/>
      </c>
      <c r="C94" s="280"/>
      <c r="D94"/>
      <c r="E94"/>
    </row>
    <row r="95" spans="1:45" x14ac:dyDescent="0.2">
      <c r="A95" s="276"/>
      <c r="B95" s="151" t="str">
        <f>IF('Resample Data Summary'!C117="PASS",IF('Resample Data Summary'!A117="","",'Data - Sample Type 0'!Q196),"")</f>
        <v/>
      </c>
      <c r="C95" s="280"/>
      <c r="D95"/>
      <c r="E95"/>
    </row>
    <row r="96" spans="1:45" x14ac:dyDescent="0.2">
      <c r="A96" s="276"/>
      <c r="B96" s="151" t="str">
        <f>IF('Resample Data Summary'!C118="PASS",IF('Resample Data Summary'!A118="","",'Data - Sample Type 0'!Q197),"")</f>
        <v/>
      </c>
      <c r="C96" s="280"/>
      <c r="D96"/>
      <c r="E96"/>
    </row>
    <row r="97" spans="1:5" x14ac:dyDescent="0.2">
      <c r="A97" s="276">
        <v>10</v>
      </c>
      <c r="B97" s="151" t="str">
        <f>IF('Resample Data Summary'!C119="PASS",IF('Resample Data Summary'!A119="","",'Data - Sample Type 0'!Q198),"")</f>
        <v/>
      </c>
      <c r="C97" s="280"/>
      <c r="D97"/>
      <c r="E97"/>
    </row>
    <row r="98" spans="1:5" x14ac:dyDescent="0.2">
      <c r="A98" s="276"/>
      <c r="B98" s="151" t="str">
        <f>IF('Resample Data Summary'!C120="PASS",IF('Resample Data Summary'!A120="","",'Data - Sample Type 0'!Q199),"")</f>
        <v/>
      </c>
      <c r="C98" s="280" t="e">
        <f>IF(C93&lt;=Specifications!$G$20,"PASS","FAIL")</f>
        <v>#DIV/0!</v>
      </c>
      <c r="D98"/>
      <c r="E98"/>
    </row>
    <row r="99" spans="1:5" x14ac:dyDescent="0.2">
      <c r="A99" s="276"/>
      <c r="B99" s="151" t="str">
        <f>IF('Resample Data Summary'!C121="PASS",IF('Resample Data Summary'!A121="","",'Data - Sample Type 0'!Q200),"")</f>
        <v/>
      </c>
      <c r="C99" s="280"/>
      <c r="D99"/>
      <c r="E99"/>
    </row>
    <row r="100" spans="1:5" x14ac:dyDescent="0.2">
      <c r="A100" s="276"/>
      <c r="B100" s="151" t="str">
        <f>IF('Resample Data Summary'!C122="PASS",IF('Resample Data Summary'!A122="","",'Data - Sample Type 0'!Q201),"")</f>
        <v/>
      </c>
      <c r="C100" s="280"/>
      <c r="D100"/>
      <c r="E100"/>
    </row>
    <row r="101" spans="1:5" x14ac:dyDescent="0.2">
      <c r="A101" s="276"/>
      <c r="B101" s="151" t="str">
        <f>IF('Resample Data Summary'!C123="PASS",IF('Resample Data Summary'!A123="","",'Data - Sample Type 0'!Q202),"")</f>
        <v/>
      </c>
      <c r="C101" s="280"/>
      <c r="D101"/>
      <c r="E101"/>
    </row>
    <row r="102" spans="1:5" ht="13.5" thickBot="1" x14ac:dyDescent="0.25">
      <c r="A102" s="278"/>
      <c r="B102" s="155" t="str">
        <f>IF('Resample Data Summary'!C124="PASS",IF('Resample Data Summary'!A124="","",'Data - Sample Type 0'!Q203),"")</f>
        <v/>
      </c>
      <c r="C102" s="389"/>
      <c r="D102"/>
      <c r="E102"/>
    </row>
    <row r="103" spans="1:5" x14ac:dyDescent="0.2">
      <c r="A103"/>
      <c r="B103"/>
      <c r="C103"/>
      <c r="D103"/>
      <c r="E103"/>
    </row>
    <row r="104" spans="1:5" x14ac:dyDescent="0.2">
      <c r="A104"/>
      <c r="B104"/>
      <c r="C104"/>
      <c r="D104"/>
      <c r="E104"/>
    </row>
    <row r="105" spans="1:5" x14ac:dyDescent="0.2">
      <c r="A105"/>
      <c r="B105"/>
      <c r="C105"/>
      <c r="D105"/>
      <c r="E105"/>
    </row>
    <row r="106" spans="1:5" x14ac:dyDescent="0.2">
      <c r="A106"/>
      <c r="B106"/>
      <c r="C106"/>
      <c r="D106"/>
      <c r="E106"/>
    </row>
    <row r="107" spans="1:5" x14ac:dyDescent="0.2">
      <c r="A107"/>
      <c r="B107"/>
      <c r="C107"/>
      <c r="D107"/>
      <c r="E107"/>
    </row>
    <row r="108" spans="1:5" x14ac:dyDescent="0.2">
      <c r="A108"/>
      <c r="B108"/>
      <c r="C108"/>
      <c r="D108"/>
      <c r="E108"/>
    </row>
    <row r="109" spans="1:5" x14ac:dyDescent="0.2">
      <c r="A109"/>
      <c r="B109"/>
      <c r="C109"/>
      <c r="D109"/>
      <c r="E109"/>
    </row>
    <row r="110" spans="1:5" x14ac:dyDescent="0.2">
      <c r="A110"/>
      <c r="B110"/>
      <c r="C110"/>
      <c r="D110"/>
      <c r="E110"/>
    </row>
    <row r="111" spans="1:5" x14ac:dyDescent="0.2">
      <c r="A111"/>
      <c r="B111"/>
      <c r="C111"/>
      <c r="D111"/>
      <c r="E111"/>
    </row>
    <row r="112" spans="1:5" x14ac:dyDescent="0.2">
      <c r="A112"/>
      <c r="B112"/>
      <c r="C112"/>
      <c r="D112"/>
      <c r="E112"/>
    </row>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sheetData>
  <mergeCells count="654">
    <mergeCell ref="AH59:AH62"/>
    <mergeCell ref="AB31:AB34"/>
    <mergeCell ref="AJ31:AJ34"/>
    <mergeCell ref="AJ59:AJ62"/>
    <mergeCell ref="AN31:AN34"/>
    <mergeCell ref="AN23:AN26"/>
    <mergeCell ref="AL35:AL38"/>
    <mergeCell ref="AN35:AN38"/>
    <mergeCell ref="AN39:AN42"/>
    <mergeCell ref="AL59:AL62"/>
    <mergeCell ref="AL31:AL34"/>
    <mergeCell ref="AN59:AN62"/>
    <mergeCell ref="AH35:AH38"/>
    <mergeCell ref="AJ35:AJ38"/>
    <mergeCell ref="AL39:AL42"/>
    <mergeCell ref="R3:R6"/>
    <mergeCell ref="Z31:Z34"/>
    <mergeCell ref="AD31:AD34"/>
    <mergeCell ref="Z59:Z62"/>
    <mergeCell ref="X59:X62"/>
    <mergeCell ref="AF59:AF62"/>
    <mergeCell ref="X31:X34"/>
    <mergeCell ref="AB59:AB62"/>
    <mergeCell ref="AF31:AF34"/>
    <mergeCell ref="AD59:AD62"/>
    <mergeCell ref="T3:T6"/>
    <mergeCell ref="V3:V6"/>
    <mergeCell ref="X3:X6"/>
    <mergeCell ref="Z3:Z6"/>
    <mergeCell ref="AB3:AB6"/>
    <mergeCell ref="AD3:AD6"/>
    <mergeCell ref="AF3:AF6"/>
    <mergeCell ref="T35:T38"/>
    <mergeCell ref="V35:V38"/>
    <mergeCell ref="X35:X38"/>
    <mergeCell ref="Z35:Z38"/>
    <mergeCell ref="AB35:AB38"/>
    <mergeCell ref="AD35:AD38"/>
    <mergeCell ref="AF35:AF38"/>
    <mergeCell ref="A3:A12"/>
    <mergeCell ref="C3:C7"/>
    <mergeCell ref="F3:F10"/>
    <mergeCell ref="H3:H6"/>
    <mergeCell ref="J3:J6"/>
    <mergeCell ref="L3:L6"/>
    <mergeCell ref="N3:N6"/>
    <mergeCell ref="C8:C12"/>
    <mergeCell ref="P3:P6"/>
    <mergeCell ref="AH3:AH6"/>
    <mergeCell ref="AJ3:AJ6"/>
    <mergeCell ref="AL3:AL6"/>
    <mergeCell ref="AN3:AN6"/>
    <mergeCell ref="AP3:AP6"/>
    <mergeCell ref="AS3:AS12"/>
    <mergeCell ref="AU3:AU7"/>
    <mergeCell ref="AW3:AW7"/>
    <mergeCell ref="BA3:BA7"/>
    <mergeCell ref="BE3:BE7"/>
    <mergeCell ref="BG3:BG7"/>
    <mergeCell ref="AP7:AP10"/>
    <mergeCell ref="AU8:AU12"/>
    <mergeCell ref="AW8:AW12"/>
    <mergeCell ref="BA8:BA12"/>
    <mergeCell ref="BE8:BE12"/>
    <mergeCell ref="BG8:BG12"/>
    <mergeCell ref="AN11:AN14"/>
    <mergeCell ref="AP11:AP14"/>
    <mergeCell ref="AY3:AY7"/>
    <mergeCell ref="AY8:AY12"/>
    <mergeCell ref="BI3:BI7"/>
    <mergeCell ref="BK3:BK7"/>
    <mergeCell ref="BM3:BM7"/>
    <mergeCell ref="BO3:BO7"/>
    <mergeCell ref="BQ3:BQ7"/>
    <mergeCell ref="BS3:BS7"/>
    <mergeCell ref="BU3:BU7"/>
    <mergeCell ref="H7:H10"/>
    <mergeCell ref="J7:J10"/>
    <mergeCell ref="L7:L10"/>
    <mergeCell ref="N7:N10"/>
    <mergeCell ref="P7:P10"/>
    <mergeCell ref="R7:R10"/>
    <mergeCell ref="T7:T10"/>
    <mergeCell ref="V7:V10"/>
    <mergeCell ref="X7:X10"/>
    <mergeCell ref="Z7:Z10"/>
    <mergeCell ref="AB7:AB10"/>
    <mergeCell ref="AD7:AD10"/>
    <mergeCell ref="AF7:AF10"/>
    <mergeCell ref="AH7:AH10"/>
    <mergeCell ref="AJ7:AJ10"/>
    <mergeCell ref="AL7:AL10"/>
    <mergeCell ref="AN7:AN10"/>
    <mergeCell ref="BI8:BI12"/>
    <mergeCell ref="BK8:BK12"/>
    <mergeCell ref="BM8:BM12"/>
    <mergeCell ref="BO8:BO12"/>
    <mergeCell ref="BQ8:BQ12"/>
    <mergeCell ref="BS8:BS12"/>
    <mergeCell ref="BU8:BU12"/>
    <mergeCell ref="F11:F18"/>
    <mergeCell ref="H11:H14"/>
    <mergeCell ref="J11:J14"/>
    <mergeCell ref="L11:L14"/>
    <mergeCell ref="N11:N14"/>
    <mergeCell ref="P11:P14"/>
    <mergeCell ref="R11:R14"/>
    <mergeCell ref="T11:T14"/>
    <mergeCell ref="V11:V14"/>
    <mergeCell ref="X11:X14"/>
    <mergeCell ref="Z11:Z14"/>
    <mergeCell ref="AB11:AB14"/>
    <mergeCell ref="AD11:AD14"/>
    <mergeCell ref="AF11:AF14"/>
    <mergeCell ref="AH11:AH14"/>
    <mergeCell ref="AJ11:AJ14"/>
    <mergeCell ref="AL11:AL14"/>
    <mergeCell ref="A13:A22"/>
    <mergeCell ref="C13:C17"/>
    <mergeCell ref="AS13:AS22"/>
    <mergeCell ref="AU13:AU17"/>
    <mergeCell ref="AW13:AW17"/>
    <mergeCell ref="BA13:BA17"/>
    <mergeCell ref="BE13:BE17"/>
    <mergeCell ref="BG13:BG17"/>
    <mergeCell ref="BI13:BI17"/>
    <mergeCell ref="C18:C22"/>
    <mergeCell ref="AU18:AU22"/>
    <mergeCell ref="AW18:AW22"/>
    <mergeCell ref="BA18:BA22"/>
    <mergeCell ref="BE18:BE22"/>
    <mergeCell ref="BG18:BG22"/>
    <mergeCell ref="BI18:BI22"/>
    <mergeCell ref="AP19:AP22"/>
    <mergeCell ref="AY13:AY17"/>
    <mergeCell ref="AY18:AY22"/>
    <mergeCell ref="BK13:BK17"/>
    <mergeCell ref="BM13:BM17"/>
    <mergeCell ref="BO13:BO17"/>
    <mergeCell ref="BQ13:BQ17"/>
    <mergeCell ref="BS13:BS17"/>
    <mergeCell ref="BU13:BU17"/>
    <mergeCell ref="H15:H18"/>
    <mergeCell ref="J15:J18"/>
    <mergeCell ref="L15:L18"/>
    <mergeCell ref="N15:N18"/>
    <mergeCell ref="P15:P18"/>
    <mergeCell ref="R15:R18"/>
    <mergeCell ref="T15:T18"/>
    <mergeCell ref="V15:V18"/>
    <mergeCell ref="X15:X18"/>
    <mergeCell ref="Z15:Z18"/>
    <mergeCell ref="AB15:AB18"/>
    <mergeCell ref="AD15:AD18"/>
    <mergeCell ref="AF15:AF18"/>
    <mergeCell ref="AH15:AH18"/>
    <mergeCell ref="AJ15:AJ18"/>
    <mergeCell ref="AL15:AL18"/>
    <mergeCell ref="AN15:AN18"/>
    <mergeCell ref="AP15:AP18"/>
    <mergeCell ref="BK18:BK22"/>
    <mergeCell ref="BM18:BM22"/>
    <mergeCell ref="BO18:BO22"/>
    <mergeCell ref="BQ18:BQ22"/>
    <mergeCell ref="BS18:BS22"/>
    <mergeCell ref="BU18:BU22"/>
    <mergeCell ref="F19:F26"/>
    <mergeCell ref="H19:H22"/>
    <mergeCell ref="J19:J22"/>
    <mergeCell ref="L19:L22"/>
    <mergeCell ref="N19:N22"/>
    <mergeCell ref="P19:P22"/>
    <mergeCell ref="R19:R22"/>
    <mergeCell ref="T19:T22"/>
    <mergeCell ref="V19:V22"/>
    <mergeCell ref="X19:X22"/>
    <mergeCell ref="Z19:Z22"/>
    <mergeCell ref="AB19:AB22"/>
    <mergeCell ref="AD19:AD22"/>
    <mergeCell ref="AF19:AF22"/>
    <mergeCell ref="AH19:AH22"/>
    <mergeCell ref="AJ19:AJ22"/>
    <mergeCell ref="AL19:AL22"/>
    <mergeCell ref="AN19:AN22"/>
    <mergeCell ref="A23:A32"/>
    <mergeCell ref="C23:C27"/>
    <mergeCell ref="H23:H26"/>
    <mergeCell ref="J23:J26"/>
    <mergeCell ref="L23:L26"/>
    <mergeCell ref="N23:N26"/>
    <mergeCell ref="P23:P26"/>
    <mergeCell ref="R23:R26"/>
    <mergeCell ref="T23:T26"/>
    <mergeCell ref="C28:C32"/>
    <mergeCell ref="AW24:AW27"/>
    <mergeCell ref="BA24:BA27"/>
    <mergeCell ref="BE24:BE27"/>
    <mergeCell ref="BG24:BG27"/>
    <mergeCell ref="BI24:BI27"/>
    <mergeCell ref="BK24:BK27"/>
    <mergeCell ref="BM24:BM27"/>
    <mergeCell ref="V23:V26"/>
    <mergeCell ref="X23:X26"/>
    <mergeCell ref="Z23:Z26"/>
    <mergeCell ref="AB23:AB26"/>
    <mergeCell ref="AD23:AD26"/>
    <mergeCell ref="AF23:AF26"/>
    <mergeCell ref="AH23:AH26"/>
    <mergeCell ref="AJ23:AJ26"/>
    <mergeCell ref="AL23:AL26"/>
    <mergeCell ref="AY24:AY27"/>
    <mergeCell ref="BS24:BS27"/>
    <mergeCell ref="BU24:BU27"/>
    <mergeCell ref="F27:F34"/>
    <mergeCell ref="H27:H30"/>
    <mergeCell ref="J27:J30"/>
    <mergeCell ref="L27:L30"/>
    <mergeCell ref="N27:N30"/>
    <mergeCell ref="P27:P30"/>
    <mergeCell ref="R27:R30"/>
    <mergeCell ref="T27:T30"/>
    <mergeCell ref="V27:V30"/>
    <mergeCell ref="X27:X30"/>
    <mergeCell ref="Z27:Z30"/>
    <mergeCell ref="AB27:AB30"/>
    <mergeCell ref="AD27:AD30"/>
    <mergeCell ref="AF27:AF30"/>
    <mergeCell ref="AH27:AH30"/>
    <mergeCell ref="AJ27:AJ30"/>
    <mergeCell ref="AL27:AL30"/>
    <mergeCell ref="AN27:AN30"/>
    <mergeCell ref="AP27:AP30"/>
    <mergeCell ref="AU28:AU30"/>
    <mergeCell ref="AP23:AP26"/>
    <mergeCell ref="AU24:AU27"/>
    <mergeCell ref="BA28:BA30"/>
    <mergeCell ref="BE28:BE30"/>
    <mergeCell ref="BG28:BG30"/>
    <mergeCell ref="BI28:BI30"/>
    <mergeCell ref="BK28:BK30"/>
    <mergeCell ref="BM28:BM30"/>
    <mergeCell ref="BO28:BO30"/>
    <mergeCell ref="BQ28:BQ30"/>
    <mergeCell ref="BO24:BO27"/>
    <mergeCell ref="BQ24:BQ27"/>
    <mergeCell ref="BS28:BS30"/>
    <mergeCell ref="BU28:BU30"/>
    <mergeCell ref="H31:H34"/>
    <mergeCell ref="J31:J34"/>
    <mergeCell ref="L31:L34"/>
    <mergeCell ref="N31:N34"/>
    <mergeCell ref="P31:P34"/>
    <mergeCell ref="R31:R34"/>
    <mergeCell ref="T31:T34"/>
    <mergeCell ref="V31:V34"/>
    <mergeCell ref="AP31:AP34"/>
    <mergeCell ref="AU31:AU34"/>
    <mergeCell ref="AW31:AW34"/>
    <mergeCell ref="BA31:BA34"/>
    <mergeCell ref="BE31:BE34"/>
    <mergeCell ref="BG31:BG34"/>
    <mergeCell ref="BI31:BI34"/>
    <mergeCell ref="BK31:BK34"/>
    <mergeCell ref="BM31:BM34"/>
    <mergeCell ref="BO31:BO34"/>
    <mergeCell ref="BQ31:BQ34"/>
    <mergeCell ref="BS31:BS34"/>
    <mergeCell ref="BU31:BU34"/>
    <mergeCell ref="AW28:AW30"/>
    <mergeCell ref="BE35:BE37"/>
    <mergeCell ref="BG35:BG37"/>
    <mergeCell ref="BI35:BI37"/>
    <mergeCell ref="BK35:BK37"/>
    <mergeCell ref="BM35:BM37"/>
    <mergeCell ref="AY35:AY37"/>
    <mergeCell ref="A33:A42"/>
    <mergeCell ref="C33:C37"/>
    <mergeCell ref="F35:F42"/>
    <mergeCell ref="H35:H38"/>
    <mergeCell ref="J35:J38"/>
    <mergeCell ref="L35:L38"/>
    <mergeCell ref="N35:N38"/>
    <mergeCell ref="P35:P38"/>
    <mergeCell ref="R35:R38"/>
    <mergeCell ref="AH31:AH34"/>
    <mergeCell ref="V39:V42"/>
    <mergeCell ref="X39:X42"/>
    <mergeCell ref="Z39:Z42"/>
    <mergeCell ref="AB39:AB42"/>
    <mergeCell ref="AD39:AD42"/>
    <mergeCell ref="AF39:AF42"/>
    <mergeCell ref="AH39:AH42"/>
    <mergeCell ref="AJ39:AJ42"/>
    <mergeCell ref="BO35:BO37"/>
    <mergeCell ref="BQ35:BQ37"/>
    <mergeCell ref="BS35:BS37"/>
    <mergeCell ref="BU35:BU37"/>
    <mergeCell ref="C38:C42"/>
    <mergeCell ref="AU38:AU41"/>
    <mergeCell ref="AW38:AW41"/>
    <mergeCell ref="BA38:BA41"/>
    <mergeCell ref="BE38:BE41"/>
    <mergeCell ref="BG38:BG41"/>
    <mergeCell ref="BI38:BI41"/>
    <mergeCell ref="BK38:BK41"/>
    <mergeCell ref="BM38:BM41"/>
    <mergeCell ref="BO38:BO41"/>
    <mergeCell ref="BQ38:BQ41"/>
    <mergeCell ref="BS38:BS41"/>
    <mergeCell ref="BU38:BU41"/>
    <mergeCell ref="H39:H42"/>
    <mergeCell ref="J39:J42"/>
    <mergeCell ref="L39:L42"/>
    <mergeCell ref="N39:N42"/>
    <mergeCell ref="P39:P42"/>
    <mergeCell ref="R39:R42"/>
    <mergeCell ref="T39:T42"/>
    <mergeCell ref="AP39:AP42"/>
    <mergeCell ref="AU42:AU44"/>
    <mergeCell ref="AW42:AW44"/>
    <mergeCell ref="BA42:BA44"/>
    <mergeCell ref="BE42:BE44"/>
    <mergeCell ref="BG42:BG44"/>
    <mergeCell ref="BI42:BI44"/>
    <mergeCell ref="BK42:BK44"/>
    <mergeCell ref="BM42:BM44"/>
    <mergeCell ref="AP43:AP46"/>
    <mergeCell ref="AU45:AU48"/>
    <mergeCell ref="AW45:AW48"/>
    <mergeCell ref="BA45:BA48"/>
    <mergeCell ref="BE45:BE48"/>
    <mergeCell ref="BG45:BG48"/>
    <mergeCell ref="BI45:BI48"/>
    <mergeCell ref="BK45:BK48"/>
    <mergeCell ref="BM45:BM48"/>
    <mergeCell ref="AY38:AY41"/>
    <mergeCell ref="AY42:AY44"/>
    <mergeCell ref="AP35:AP38"/>
    <mergeCell ref="AU35:AU37"/>
    <mergeCell ref="AW35:AW37"/>
    <mergeCell ref="BA35:BA37"/>
    <mergeCell ref="BO42:BO44"/>
    <mergeCell ref="BQ42:BQ44"/>
    <mergeCell ref="BS42:BS44"/>
    <mergeCell ref="BU42:BU44"/>
    <mergeCell ref="A43:A52"/>
    <mergeCell ref="C43:C47"/>
    <mergeCell ref="F43:F50"/>
    <mergeCell ref="H43:H46"/>
    <mergeCell ref="J43:J46"/>
    <mergeCell ref="L43:L46"/>
    <mergeCell ref="N43:N46"/>
    <mergeCell ref="P43:P46"/>
    <mergeCell ref="R43:R46"/>
    <mergeCell ref="T43:T46"/>
    <mergeCell ref="V43:V46"/>
    <mergeCell ref="X43:X46"/>
    <mergeCell ref="Z43:Z46"/>
    <mergeCell ref="AB43:AB46"/>
    <mergeCell ref="AD43:AD46"/>
    <mergeCell ref="AF43:AF46"/>
    <mergeCell ref="AH43:AH46"/>
    <mergeCell ref="AJ43:AJ46"/>
    <mergeCell ref="AL43:AL46"/>
    <mergeCell ref="AN43:AN46"/>
    <mergeCell ref="BO45:BO48"/>
    <mergeCell ref="BQ45:BQ48"/>
    <mergeCell ref="BS45:BS48"/>
    <mergeCell ref="BU45:BU48"/>
    <mergeCell ref="H47:H50"/>
    <mergeCell ref="J47:J50"/>
    <mergeCell ref="L47:L50"/>
    <mergeCell ref="N47:N50"/>
    <mergeCell ref="P47:P50"/>
    <mergeCell ref="R47:R50"/>
    <mergeCell ref="T47:T50"/>
    <mergeCell ref="V47:V50"/>
    <mergeCell ref="X47:X50"/>
    <mergeCell ref="Z47:Z50"/>
    <mergeCell ref="AB47:AB50"/>
    <mergeCell ref="AD47:AD50"/>
    <mergeCell ref="AF47:AF50"/>
    <mergeCell ref="AH47:AH50"/>
    <mergeCell ref="AJ47:AJ50"/>
    <mergeCell ref="AL47:AL50"/>
    <mergeCell ref="AN47:AN50"/>
    <mergeCell ref="AP47:AP50"/>
    <mergeCell ref="BO49:BO51"/>
    <mergeCell ref="BQ49:BQ51"/>
    <mergeCell ref="C48:C52"/>
    <mergeCell ref="AU49:AU51"/>
    <mergeCell ref="AW49:AW51"/>
    <mergeCell ref="BA49:BA51"/>
    <mergeCell ref="BE49:BE51"/>
    <mergeCell ref="BG49:BG51"/>
    <mergeCell ref="BI49:BI51"/>
    <mergeCell ref="BK49:BK51"/>
    <mergeCell ref="BM49:BM51"/>
    <mergeCell ref="BE52:BE55"/>
    <mergeCell ref="BG52:BG55"/>
    <mergeCell ref="BI52:BI55"/>
    <mergeCell ref="BK52:BK55"/>
    <mergeCell ref="BM52:BM55"/>
    <mergeCell ref="AY45:AY48"/>
    <mergeCell ref="AY49:AY51"/>
    <mergeCell ref="AY52:AY55"/>
    <mergeCell ref="BS49:BS51"/>
    <mergeCell ref="BU49:BU51"/>
    <mergeCell ref="F51:F58"/>
    <mergeCell ref="H51:H54"/>
    <mergeCell ref="J51:J54"/>
    <mergeCell ref="L51:L54"/>
    <mergeCell ref="N51:N54"/>
    <mergeCell ref="P51:P54"/>
    <mergeCell ref="R51:R54"/>
    <mergeCell ref="T51:T54"/>
    <mergeCell ref="V51:V54"/>
    <mergeCell ref="X51:X54"/>
    <mergeCell ref="Z51:Z54"/>
    <mergeCell ref="AB51:AB54"/>
    <mergeCell ref="AD51:AD54"/>
    <mergeCell ref="AF51:AF54"/>
    <mergeCell ref="AH51:AH54"/>
    <mergeCell ref="AJ51:AJ54"/>
    <mergeCell ref="AL51:AL54"/>
    <mergeCell ref="AN51:AN54"/>
    <mergeCell ref="AP51:AP54"/>
    <mergeCell ref="AU52:AU55"/>
    <mergeCell ref="AW52:AW55"/>
    <mergeCell ref="BA52:BA55"/>
    <mergeCell ref="BO52:BO55"/>
    <mergeCell ref="BQ52:BQ55"/>
    <mergeCell ref="BS52:BS55"/>
    <mergeCell ref="BU52:BU55"/>
    <mergeCell ref="A53:A62"/>
    <mergeCell ref="C53:C57"/>
    <mergeCell ref="H55:H58"/>
    <mergeCell ref="J55:J58"/>
    <mergeCell ref="L55:L58"/>
    <mergeCell ref="N55:N58"/>
    <mergeCell ref="P55:P58"/>
    <mergeCell ref="R55:R58"/>
    <mergeCell ref="T55:T58"/>
    <mergeCell ref="V55:V58"/>
    <mergeCell ref="X55:X58"/>
    <mergeCell ref="Z55:Z58"/>
    <mergeCell ref="AB55:AB58"/>
    <mergeCell ref="AD55:AD58"/>
    <mergeCell ref="AF55:AF58"/>
    <mergeCell ref="AH55:AH58"/>
    <mergeCell ref="AJ55:AJ58"/>
    <mergeCell ref="AL55:AL58"/>
    <mergeCell ref="AN55:AN58"/>
    <mergeCell ref="AP55:AP58"/>
    <mergeCell ref="AU56:AU58"/>
    <mergeCell ref="AW56:AW58"/>
    <mergeCell ref="BA56:BA58"/>
    <mergeCell ref="BE56:BE58"/>
    <mergeCell ref="BG56:BG58"/>
    <mergeCell ref="BI56:BI58"/>
    <mergeCell ref="BK56:BK58"/>
    <mergeCell ref="BM56:BM58"/>
    <mergeCell ref="BO56:BO58"/>
    <mergeCell ref="AY56:AY58"/>
    <mergeCell ref="BQ56:BQ58"/>
    <mergeCell ref="BS56:BS58"/>
    <mergeCell ref="BU56:BU58"/>
    <mergeCell ref="C58:C62"/>
    <mergeCell ref="F59:F66"/>
    <mergeCell ref="H59:H62"/>
    <mergeCell ref="J59:J62"/>
    <mergeCell ref="L59:L62"/>
    <mergeCell ref="N59:N62"/>
    <mergeCell ref="P59:P62"/>
    <mergeCell ref="R59:R62"/>
    <mergeCell ref="T59:T62"/>
    <mergeCell ref="V59:V62"/>
    <mergeCell ref="AP59:AP62"/>
    <mergeCell ref="AU59:AU62"/>
    <mergeCell ref="AW59:AW62"/>
    <mergeCell ref="BA59:BA62"/>
    <mergeCell ref="BE59:BE62"/>
    <mergeCell ref="BG59:BG62"/>
    <mergeCell ref="BI59:BI62"/>
    <mergeCell ref="BK59:BK62"/>
    <mergeCell ref="BM59:BM62"/>
    <mergeCell ref="BO59:BO62"/>
    <mergeCell ref="BQ59:BQ62"/>
    <mergeCell ref="BS59:BS62"/>
    <mergeCell ref="BU59:BU62"/>
    <mergeCell ref="A63:A72"/>
    <mergeCell ref="C63:C67"/>
    <mergeCell ref="H63:H66"/>
    <mergeCell ref="J63:J66"/>
    <mergeCell ref="L63:L66"/>
    <mergeCell ref="N63:N66"/>
    <mergeCell ref="P63:P66"/>
    <mergeCell ref="R63:R66"/>
    <mergeCell ref="T63:T66"/>
    <mergeCell ref="V63:V66"/>
    <mergeCell ref="X63:X66"/>
    <mergeCell ref="Z63:Z66"/>
    <mergeCell ref="AB63:AB66"/>
    <mergeCell ref="AD63:AD66"/>
    <mergeCell ref="AF63:AF66"/>
    <mergeCell ref="AH63:AH66"/>
    <mergeCell ref="AJ63:AJ66"/>
    <mergeCell ref="AL63:AL66"/>
    <mergeCell ref="AN63:AN66"/>
    <mergeCell ref="AP63:AP66"/>
    <mergeCell ref="AU63:AU65"/>
    <mergeCell ref="AW63:AW65"/>
    <mergeCell ref="BU63:BU65"/>
    <mergeCell ref="AU66:AU69"/>
    <mergeCell ref="AW66:AW69"/>
    <mergeCell ref="BA66:BA69"/>
    <mergeCell ref="BE66:BE69"/>
    <mergeCell ref="BG66:BG69"/>
    <mergeCell ref="BI66:BI69"/>
    <mergeCell ref="BK66:BK69"/>
    <mergeCell ref="BM66:BM69"/>
    <mergeCell ref="BO66:BO69"/>
    <mergeCell ref="BQ66:BQ69"/>
    <mergeCell ref="BS66:BS69"/>
    <mergeCell ref="BU66:BU69"/>
    <mergeCell ref="BA63:BA65"/>
    <mergeCell ref="BE63:BE65"/>
    <mergeCell ref="BG63:BG65"/>
    <mergeCell ref="BI63:BI65"/>
    <mergeCell ref="BK63:BK65"/>
    <mergeCell ref="BM63:BM65"/>
    <mergeCell ref="BO63:BO65"/>
    <mergeCell ref="BQ63:BQ65"/>
    <mergeCell ref="BS63:BS65"/>
    <mergeCell ref="BK70:BK72"/>
    <mergeCell ref="X67:X70"/>
    <mergeCell ref="Z67:Z70"/>
    <mergeCell ref="AB67:AB70"/>
    <mergeCell ref="AD67:AD70"/>
    <mergeCell ref="AF67:AF70"/>
    <mergeCell ref="AH67:AH70"/>
    <mergeCell ref="AJ67:AJ70"/>
    <mergeCell ref="AL67:AL70"/>
    <mergeCell ref="AN67:AN70"/>
    <mergeCell ref="T67:T70"/>
    <mergeCell ref="V67:V70"/>
    <mergeCell ref="C68:C72"/>
    <mergeCell ref="AU70:AU72"/>
    <mergeCell ref="AW70:AW72"/>
    <mergeCell ref="BA70:BA72"/>
    <mergeCell ref="BE70:BE72"/>
    <mergeCell ref="BG70:BG72"/>
    <mergeCell ref="BI70:BI72"/>
    <mergeCell ref="F67:F74"/>
    <mergeCell ref="H67:H70"/>
    <mergeCell ref="J67:J70"/>
    <mergeCell ref="L67:L70"/>
    <mergeCell ref="N67:N70"/>
    <mergeCell ref="P67:P70"/>
    <mergeCell ref="R67:R70"/>
    <mergeCell ref="BM70:BM72"/>
    <mergeCell ref="BO70:BO72"/>
    <mergeCell ref="BQ70:BQ72"/>
    <mergeCell ref="BS70:BS72"/>
    <mergeCell ref="BU70:BU72"/>
    <mergeCell ref="H71:H74"/>
    <mergeCell ref="J71:J74"/>
    <mergeCell ref="L71:L74"/>
    <mergeCell ref="N71:N74"/>
    <mergeCell ref="P71:P74"/>
    <mergeCell ref="R71:R74"/>
    <mergeCell ref="T71:T74"/>
    <mergeCell ref="V71:V74"/>
    <mergeCell ref="X71:X74"/>
    <mergeCell ref="Z71:Z74"/>
    <mergeCell ref="AB71:AB74"/>
    <mergeCell ref="AD71:AD74"/>
    <mergeCell ref="AF71:AF74"/>
    <mergeCell ref="AH71:AH74"/>
    <mergeCell ref="AJ71:AJ74"/>
    <mergeCell ref="AL71:AL74"/>
    <mergeCell ref="AN71:AN74"/>
    <mergeCell ref="AP71:AP74"/>
    <mergeCell ref="AP67:AP70"/>
    <mergeCell ref="A93:A102"/>
    <mergeCell ref="C93:C97"/>
    <mergeCell ref="C98:C102"/>
    <mergeCell ref="AL75:AL78"/>
    <mergeCell ref="AN75:AN78"/>
    <mergeCell ref="AP75:AP78"/>
    <mergeCell ref="C78:C82"/>
    <mergeCell ref="H79:H82"/>
    <mergeCell ref="J79:J82"/>
    <mergeCell ref="L79:L82"/>
    <mergeCell ref="N79:N82"/>
    <mergeCell ref="P79:P82"/>
    <mergeCell ref="R79:R82"/>
    <mergeCell ref="T79:T82"/>
    <mergeCell ref="V79:V82"/>
    <mergeCell ref="X79:X82"/>
    <mergeCell ref="Z79:Z82"/>
    <mergeCell ref="AB79:AB82"/>
    <mergeCell ref="AD79:AD82"/>
    <mergeCell ref="AF79:AF82"/>
    <mergeCell ref="AH79:AH82"/>
    <mergeCell ref="AJ79:AJ82"/>
    <mergeCell ref="AL79:AL82"/>
    <mergeCell ref="AN79:AN82"/>
    <mergeCell ref="A83:A92"/>
    <mergeCell ref="C83:C87"/>
    <mergeCell ref="C88:C92"/>
    <mergeCell ref="AP79:AP82"/>
    <mergeCell ref="T75:T78"/>
    <mergeCell ref="V75:V78"/>
    <mergeCell ref="X75:X78"/>
    <mergeCell ref="Z75:Z78"/>
    <mergeCell ref="AB75:AB78"/>
    <mergeCell ref="AD75:AD78"/>
    <mergeCell ref="AF75:AF78"/>
    <mergeCell ref="AH75:AH78"/>
    <mergeCell ref="AJ75:AJ78"/>
    <mergeCell ref="A73:A82"/>
    <mergeCell ref="C73:C77"/>
    <mergeCell ref="F75:F82"/>
    <mergeCell ref="H75:H78"/>
    <mergeCell ref="J75:J78"/>
    <mergeCell ref="L75:L78"/>
    <mergeCell ref="N75:N78"/>
    <mergeCell ref="P75:P78"/>
    <mergeCell ref="R75:R78"/>
    <mergeCell ref="AY59:AY62"/>
    <mergeCell ref="AY63:AY65"/>
    <mergeCell ref="AY66:AY69"/>
    <mergeCell ref="AY70:AY72"/>
    <mergeCell ref="BC3:BC7"/>
    <mergeCell ref="BC8:BC12"/>
    <mergeCell ref="BC13:BC17"/>
    <mergeCell ref="BC18:BC22"/>
    <mergeCell ref="BC24:BC27"/>
    <mergeCell ref="BC28:BC30"/>
    <mergeCell ref="BC31:BC34"/>
    <mergeCell ref="BC35:BC37"/>
    <mergeCell ref="BC38:BC41"/>
    <mergeCell ref="BC42:BC44"/>
    <mergeCell ref="BC45:BC48"/>
    <mergeCell ref="BC49:BC51"/>
    <mergeCell ref="BC52:BC55"/>
    <mergeCell ref="BC56:BC58"/>
    <mergeCell ref="BC59:BC62"/>
    <mergeCell ref="BC63:BC65"/>
    <mergeCell ref="BC66:BC69"/>
    <mergeCell ref="BC70:BC72"/>
    <mergeCell ref="AY28:AY30"/>
    <mergeCell ref="AY31:AY34"/>
  </mergeCells>
  <conditionalFormatting sqref="C8">
    <cfRule type="cellIs" dxfId="542" priority="675" operator="equal">
      <formula>"pass"</formula>
    </cfRule>
    <cfRule type="cellIs" dxfId="541" priority="674" operator="equal">
      <formula>"fail"</formula>
    </cfRule>
  </conditionalFormatting>
  <conditionalFormatting sqref="C18 C28 C38 C48 C58 C68 C78 C88 C98">
    <cfRule type="cellIs" dxfId="540" priority="176" operator="equal">
      <formula>"pass"</formula>
    </cfRule>
    <cfRule type="cellIs" dxfId="539" priority="175" operator="equal">
      <formula>"fail"</formula>
    </cfRule>
  </conditionalFormatting>
  <conditionalFormatting sqref="H7">
    <cfRule type="cellIs" dxfId="538" priority="721" operator="equal">
      <formula>"pass"</formula>
    </cfRule>
    <cfRule type="cellIs" dxfId="537" priority="720" operator="equal">
      <formula>"fail"</formula>
    </cfRule>
  </conditionalFormatting>
  <conditionalFormatting sqref="H15 H23 H31 H39 H47 H55 H63 H71 H79">
    <cfRule type="cellIs" dxfId="536" priority="178" operator="equal">
      <formula>"pass"</formula>
    </cfRule>
    <cfRule type="cellIs" dxfId="535" priority="177" operator="equal">
      <formula>"fail"</formula>
    </cfRule>
  </conditionalFormatting>
  <conditionalFormatting sqref="J7">
    <cfRule type="cellIs" dxfId="534" priority="641" operator="equal">
      <formula>"pass"</formula>
    </cfRule>
    <cfRule type="cellIs" dxfId="533" priority="640" operator="equal">
      <formula>"fail"</formula>
    </cfRule>
  </conditionalFormatting>
  <conditionalFormatting sqref="J15 J23 J31 J39 J47 J55 J63 J71 J79">
    <cfRule type="cellIs" dxfId="532" priority="180" operator="equal">
      <formula>"pass"</formula>
    </cfRule>
    <cfRule type="cellIs" dxfId="531" priority="179" operator="equal">
      <formula>"fail"</formula>
    </cfRule>
  </conditionalFormatting>
  <conditionalFormatting sqref="L7">
    <cfRule type="cellIs" dxfId="530" priority="619" operator="equal">
      <formula>"pass"</formula>
    </cfRule>
    <cfRule type="cellIs" dxfId="529" priority="618" operator="equal">
      <formula>"fail"</formula>
    </cfRule>
  </conditionalFormatting>
  <conditionalFormatting sqref="L15 L23 L31 L39 L47 L55 L63 L71 L79">
    <cfRule type="cellIs" dxfId="528" priority="182" operator="equal">
      <formula>"pass"</formula>
    </cfRule>
    <cfRule type="cellIs" dxfId="527" priority="181" operator="equal">
      <formula>"fail"</formula>
    </cfRule>
  </conditionalFormatting>
  <conditionalFormatting sqref="M83:N83 Q83:R83 AA83:AB83 AE83:AF83 AI83:AJ83">
    <cfRule type="containsText" dxfId="526" priority="2" operator="containsText" text="FAIL">
      <formula>NOT(ISERROR(SEARCH("FAIL",M83)))</formula>
    </cfRule>
    <cfRule type="containsText" dxfId="525" priority="1" operator="containsText" text="PASS">
      <formula>NOT(ISERROR(SEARCH("PASS",M83)))</formula>
    </cfRule>
  </conditionalFormatting>
  <conditionalFormatting sqref="N7">
    <cfRule type="cellIs" dxfId="524" priority="607" operator="equal">
      <formula>"pass"</formula>
    </cfRule>
    <cfRule type="cellIs" dxfId="523" priority="606" operator="equal">
      <formula>"fail"</formula>
    </cfRule>
  </conditionalFormatting>
  <conditionalFormatting sqref="N15">
    <cfRule type="cellIs" dxfId="522" priority="100" operator="equal">
      <formula>"pass"</formula>
    </cfRule>
    <cfRule type="cellIs" dxfId="521" priority="99" operator="equal">
      <formula>"fail"</formula>
    </cfRule>
  </conditionalFormatting>
  <conditionalFormatting sqref="N23">
    <cfRule type="cellIs" dxfId="520" priority="97" operator="equal">
      <formula>"fail"</formula>
    </cfRule>
    <cfRule type="cellIs" dxfId="519" priority="98" operator="equal">
      <formula>"pass"</formula>
    </cfRule>
  </conditionalFormatting>
  <conditionalFormatting sqref="N31">
    <cfRule type="cellIs" dxfId="518" priority="96" operator="equal">
      <formula>"pass"</formula>
    </cfRule>
    <cfRule type="cellIs" dxfId="517" priority="95" operator="equal">
      <formula>"fail"</formula>
    </cfRule>
  </conditionalFormatting>
  <conditionalFormatting sqref="N39">
    <cfRule type="cellIs" dxfId="516" priority="94" operator="equal">
      <formula>"pass"</formula>
    </cfRule>
    <cfRule type="cellIs" dxfId="515" priority="93" operator="equal">
      <formula>"fail"</formula>
    </cfRule>
  </conditionalFormatting>
  <conditionalFormatting sqref="N47">
    <cfRule type="cellIs" dxfId="514" priority="91" operator="equal">
      <formula>"fail"</formula>
    </cfRule>
    <cfRule type="cellIs" dxfId="513" priority="92" operator="equal">
      <formula>"pass"</formula>
    </cfRule>
  </conditionalFormatting>
  <conditionalFormatting sqref="N55">
    <cfRule type="cellIs" dxfId="512" priority="90" operator="equal">
      <formula>"pass"</formula>
    </cfRule>
    <cfRule type="cellIs" dxfId="511" priority="89" operator="equal">
      <formula>"fail"</formula>
    </cfRule>
  </conditionalFormatting>
  <conditionalFormatting sqref="N63">
    <cfRule type="cellIs" dxfId="510" priority="87" operator="equal">
      <formula>"fail"</formula>
    </cfRule>
    <cfRule type="cellIs" dxfId="509" priority="88" operator="equal">
      <formula>"pass"</formula>
    </cfRule>
  </conditionalFormatting>
  <conditionalFormatting sqref="N71">
    <cfRule type="cellIs" dxfId="508" priority="86" operator="equal">
      <formula>"pass"</formula>
    </cfRule>
    <cfRule type="cellIs" dxfId="507" priority="85" operator="equal">
      <formula>"fail"</formula>
    </cfRule>
  </conditionalFormatting>
  <conditionalFormatting sqref="N79">
    <cfRule type="cellIs" dxfId="506" priority="84" operator="equal">
      <formula>"pass"</formula>
    </cfRule>
    <cfRule type="cellIs" dxfId="505" priority="83" operator="equal">
      <formula>"fail"</formula>
    </cfRule>
  </conditionalFormatting>
  <conditionalFormatting sqref="P7">
    <cfRule type="cellIs" dxfId="504" priority="617" operator="equal">
      <formula>"pass"</formula>
    </cfRule>
    <cfRule type="cellIs" dxfId="503" priority="616" operator="equal">
      <formula>"fail"</formula>
    </cfRule>
  </conditionalFormatting>
  <conditionalFormatting sqref="P15">
    <cfRule type="cellIs" dxfId="502" priority="153" operator="equal">
      <formula>"fail"</formula>
    </cfRule>
    <cfRule type="cellIs" dxfId="501" priority="154" operator="equal">
      <formula>"pass"</formula>
    </cfRule>
  </conditionalFormatting>
  <conditionalFormatting sqref="P23">
    <cfRule type="cellIs" dxfId="500" priority="152" operator="equal">
      <formula>"pass"</formula>
    </cfRule>
    <cfRule type="cellIs" dxfId="499" priority="151" operator="equal">
      <formula>"fail"</formula>
    </cfRule>
  </conditionalFormatting>
  <conditionalFormatting sqref="P31">
    <cfRule type="cellIs" dxfId="498" priority="150" operator="equal">
      <formula>"pass"</formula>
    </cfRule>
    <cfRule type="cellIs" dxfId="497" priority="149" operator="equal">
      <formula>"fail"</formula>
    </cfRule>
  </conditionalFormatting>
  <conditionalFormatting sqref="P39">
    <cfRule type="cellIs" dxfId="496" priority="147" operator="equal">
      <formula>"fail"</formula>
    </cfRule>
    <cfRule type="cellIs" dxfId="495" priority="148" operator="equal">
      <formula>"pass"</formula>
    </cfRule>
  </conditionalFormatting>
  <conditionalFormatting sqref="P47">
    <cfRule type="cellIs" dxfId="494" priority="145" operator="equal">
      <formula>"fail"</formula>
    </cfRule>
    <cfRule type="cellIs" dxfId="493" priority="146" operator="equal">
      <formula>"pass"</formula>
    </cfRule>
  </conditionalFormatting>
  <conditionalFormatting sqref="P55">
    <cfRule type="cellIs" dxfId="492" priority="143" operator="equal">
      <formula>"fail"</formula>
    </cfRule>
    <cfRule type="cellIs" dxfId="491" priority="144" operator="equal">
      <formula>"pass"</formula>
    </cfRule>
  </conditionalFormatting>
  <conditionalFormatting sqref="P63">
    <cfRule type="cellIs" dxfId="490" priority="141" operator="equal">
      <formula>"fail"</formula>
    </cfRule>
    <cfRule type="cellIs" dxfId="489" priority="142" operator="equal">
      <formula>"pass"</formula>
    </cfRule>
  </conditionalFormatting>
  <conditionalFormatting sqref="P71">
    <cfRule type="cellIs" dxfId="488" priority="140" operator="equal">
      <formula>"pass"</formula>
    </cfRule>
    <cfRule type="cellIs" dxfId="487" priority="139" operator="equal">
      <formula>"fail"</formula>
    </cfRule>
  </conditionalFormatting>
  <conditionalFormatting sqref="P79">
    <cfRule type="cellIs" dxfId="486" priority="137" operator="equal">
      <formula>"fail"</formula>
    </cfRule>
    <cfRule type="cellIs" dxfId="485" priority="138" operator="equal">
      <formula>"pass"</formula>
    </cfRule>
  </conditionalFormatting>
  <conditionalFormatting sqref="R7">
    <cfRule type="cellIs" dxfId="484" priority="82" operator="equal">
      <formula>"pass"</formula>
    </cfRule>
    <cfRule type="cellIs" dxfId="483" priority="81" operator="equal">
      <formula>"fail"</formula>
    </cfRule>
  </conditionalFormatting>
  <conditionalFormatting sqref="R15">
    <cfRule type="cellIs" dxfId="482" priority="80" operator="equal">
      <formula>"pass"</formula>
    </cfRule>
    <cfRule type="cellIs" dxfId="481" priority="79" operator="equal">
      <formula>"fail"</formula>
    </cfRule>
  </conditionalFormatting>
  <conditionalFormatting sqref="R23">
    <cfRule type="cellIs" dxfId="480" priority="78" operator="equal">
      <formula>"pass"</formula>
    </cfRule>
    <cfRule type="cellIs" dxfId="479" priority="77" operator="equal">
      <formula>"fail"</formula>
    </cfRule>
  </conditionalFormatting>
  <conditionalFormatting sqref="R31">
    <cfRule type="cellIs" dxfId="478" priority="76" operator="equal">
      <formula>"pass"</formula>
    </cfRule>
    <cfRule type="cellIs" dxfId="477" priority="75" operator="equal">
      <formula>"fail"</formula>
    </cfRule>
  </conditionalFormatting>
  <conditionalFormatting sqref="R39">
    <cfRule type="cellIs" dxfId="476" priority="73" operator="equal">
      <formula>"fail"</formula>
    </cfRule>
    <cfRule type="cellIs" dxfId="475" priority="74" operator="equal">
      <formula>"pass"</formula>
    </cfRule>
  </conditionalFormatting>
  <conditionalFormatting sqref="R47">
    <cfRule type="cellIs" dxfId="474" priority="71" operator="equal">
      <formula>"fail"</formula>
    </cfRule>
    <cfRule type="cellIs" dxfId="473" priority="72" operator="equal">
      <formula>"pass"</formula>
    </cfRule>
  </conditionalFormatting>
  <conditionalFormatting sqref="R55">
    <cfRule type="cellIs" dxfId="472" priority="69" operator="equal">
      <formula>"fail"</formula>
    </cfRule>
    <cfRule type="cellIs" dxfId="471" priority="70" operator="equal">
      <formula>"pass"</formula>
    </cfRule>
  </conditionalFormatting>
  <conditionalFormatting sqref="R63">
    <cfRule type="cellIs" dxfId="470" priority="68" operator="equal">
      <formula>"pass"</formula>
    </cfRule>
    <cfRule type="cellIs" dxfId="469" priority="67" operator="equal">
      <formula>"fail"</formula>
    </cfRule>
  </conditionalFormatting>
  <conditionalFormatting sqref="R71">
    <cfRule type="cellIs" dxfId="468" priority="65" operator="equal">
      <formula>"fail"</formula>
    </cfRule>
    <cfRule type="cellIs" dxfId="467" priority="66" operator="equal">
      <formula>"pass"</formula>
    </cfRule>
  </conditionalFormatting>
  <conditionalFormatting sqref="R79">
    <cfRule type="cellIs" dxfId="466" priority="63" operator="equal">
      <formula>"fail"</formula>
    </cfRule>
    <cfRule type="cellIs" dxfId="465" priority="64" operator="equal">
      <formula>"pass"</formula>
    </cfRule>
  </conditionalFormatting>
  <conditionalFormatting sqref="T7">
    <cfRule type="cellIs" dxfId="464" priority="597" operator="equal">
      <formula>"pass"</formula>
    </cfRule>
    <cfRule type="cellIs" dxfId="463" priority="596" operator="equal">
      <formula>"fail"</formula>
    </cfRule>
  </conditionalFormatting>
  <conditionalFormatting sqref="T15 T23 T31 T39 T47 T55 T63 T71 T79">
    <cfRule type="cellIs" dxfId="462" priority="190" operator="equal">
      <formula>"pass"</formula>
    </cfRule>
    <cfRule type="cellIs" dxfId="461" priority="189" operator="equal">
      <formula>"fail"</formula>
    </cfRule>
  </conditionalFormatting>
  <conditionalFormatting sqref="V7">
    <cfRule type="cellIs" dxfId="460" priority="614" operator="equal">
      <formula>"fail"</formula>
    </cfRule>
    <cfRule type="cellIs" dxfId="459" priority="615" operator="equal">
      <formula>"pass"</formula>
    </cfRule>
  </conditionalFormatting>
  <conditionalFormatting sqref="V15">
    <cfRule type="cellIs" dxfId="458" priority="135" operator="equal">
      <formula>"fail"</formula>
    </cfRule>
    <cfRule type="cellIs" dxfId="457" priority="136" operator="equal">
      <formula>"pass"</formula>
    </cfRule>
  </conditionalFormatting>
  <conditionalFormatting sqref="V23">
    <cfRule type="cellIs" dxfId="456" priority="133" operator="equal">
      <formula>"fail"</formula>
    </cfRule>
    <cfRule type="cellIs" dxfId="455" priority="134" operator="equal">
      <formula>"pass"</formula>
    </cfRule>
  </conditionalFormatting>
  <conditionalFormatting sqref="V31">
    <cfRule type="cellIs" dxfId="454" priority="131" operator="equal">
      <formula>"fail"</formula>
    </cfRule>
    <cfRule type="cellIs" dxfId="453" priority="132" operator="equal">
      <formula>"pass"</formula>
    </cfRule>
  </conditionalFormatting>
  <conditionalFormatting sqref="V39">
    <cfRule type="cellIs" dxfId="452" priority="130" operator="equal">
      <formula>"pass"</formula>
    </cfRule>
    <cfRule type="cellIs" dxfId="451" priority="129" operator="equal">
      <formula>"fail"</formula>
    </cfRule>
  </conditionalFormatting>
  <conditionalFormatting sqref="V47">
    <cfRule type="cellIs" dxfId="450" priority="128" operator="equal">
      <formula>"pass"</formula>
    </cfRule>
    <cfRule type="cellIs" dxfId="449" priority="127" operator="equal">
      <formula>"fail"</formula>
    </cfRule>
  </conditionalFormatting>
  <conditionalFormatting sqref="V55">
    <cfRule type="cellIs" dxfId="448" priority="126" operator="equal">
      <formula>"pass"</formula>
    </cfRule>
    <cfRule type="cellIs" dxfId="447" priority="125" operator="equal">
      <formula>"fail"</formula>
    </cfRule>
  </conditionalFormatting>
  <conditionalFormatting sqref="V63">
    <cfRule type="cellIs" dxfId="446" priority="124" operator="equal">
      <formula>"pass"</formula>
    </cfRule>
    <cfRule type="cellIs" dxfId="445" priority="123" operator="equal">
      <formula>"fail"</formula>
    </cfRule>
  </conditionalFormatting>
  <conditionalFormatting sqref="V71">
    <cfRule type="cellIs" dxfId="444" priority="122" operator="equal">
      <formula>"pass"</formula>
    </cfRule>
    <cfRule type="cellIs" dxfId="443" priority="121" operator="equal">
      <formula>"fail"</formula>
    </cfRule>
  </conditionalFormatting>
  <conditionalFormatting sqref="V79">
    <cfRule type="cellIs" dxfId="442" priority="120" operator="equal">
      <formula>"pass"</formula>
    </cfRule>
    <cfRule type="cellIs" dxfId="441" priority="119" operator="equal">
      <formula>"fail"</formula>
    </cfRule>
  </conditionalFormatting>
  <conditionalFormatting sqref="X7">
    <cfRule type="cellIs" dxfId="440" priority="595" operator="equal">
      <formula>"pass"</formula>
    </cfRule>
    <cfRule type="cellIs" dxfId="439" priority="594" operator="equal">
      <formula>"fail"</formula>
    </cfRule>
  </conditionalFormatting>
  <conditionalFormatting sqref="X15">
    <cfRule type="cellIs" dxfId="438" priority="169" operator="equal">
      <formula>"fail"</formula>
    </cfRule>
    <cfRule type="cellIs" dxfId="437" priority="170" operator="equal">
      <formula>"pass"</formula>
    </cfRule>
  </conditionalFormatting>
  <conditionalFormatting sqref="X23">
    <cfRule type="cellIs" dxfId="436" priority="167" operator="equal">
      <formula>"fail"</formula>
    </cfRule>
    <cfRule type="cellIs" dxfId="435" priority="168" operator="equal">
      <formula>"pass"</formula>
    </cfRule>
  </conditionalFormatting>
  <conditionalFormatting sqref="X31">
    <cfRule type="cellIs" dxfId="434" priority="165" operator="equal">
      <formula>"fail"</formula>
    </cfRule>
    <cfRule type="cellIs" dxfId="433" priority="166" operator="equal">
      <formula>"pass"</formula>
    </cfRule>
  </conditionalFormatting>
  <conditionalFormatting sqref="X39">
    <cfRule type="cellIs" dxfId="432" priority="163" operator="equal">
      <formula>"fail"</formula>
    </cfRule>
    <cfRule type="cellIs" dxfId="431" priority="164" operator="equal">
      <formula>"pass"</formula>
    </cfRule>
  </conditionalFormatting>
  <conditionalFormatting sqref="X47">
    <cfRule type="cellIs" dxfId="430" priority="161" operator="equal">
      <formula>"fail"</formula>
    </cfRule>
    <cfRule type="cellIs" dxfId="429" priority="162" operator="equal">
      <formula>"pass"</formula>
    </cfRule>
  </conditionalFormatting>
  <conditionalFormatting sqref="X55">
    <cfRule type="cellIs" dxfId="428" priority="160" operator="equal">
      <formula>"pass"</formula>
    </cfRule>
    <cfRule type="cellIs" dxfId="427" priority="159" operator="equal">
      <formula>"fail"</formula>
    </cfRule>
  </conditionalFormatting>
  <conditionalFormatting sqref="X63">
    <cfRule type="cellIs" dxfId="426" priority="157" operator="equal">
      <formula>"fail"</formula>
    </cfRule>
    <cfRule type="cellIs" dxfId="425" priority="158" operator="equal">
      <formula>"pass"</formula>
    </cfRule>
  </conditionalFormatting>
  <conditionalFormatting sqref="X71">
    <cfRule type="cellIs" dxfId="424" priority="155" operator="equal">
      <formula>"fail"</formula>
    </cfRule>
    <cfRule type="cellIs" dxfId="423" priority="156" operator="equal">
      <formula>"pass"</formula>
    </cfRule>
  </conditionalFormatting>
  <conditionalFormatting sqref="X79">
    <cfRule type="cellIs" dxfId="422" priority="193" operator="equal">
      <formula>"fail"</formula>
    </cfRule>
    <cfRule type="cellIs" dxfId="421" priority="194" operator="equal">
      <formula>"pass"</formula>
    </cfRule>
  </conditionalFormatting>
  <conditionalFormatting sqref="Z7">
    <cfRule type="cellIs" dxfId="420" priority="613" operator="equal">
      <formula>"pass"</formula>
    </cfRule>
    <cfRule type="cellIs" dxfId="419" priority="612" operator="equal">
      <formula>"fail"</formula>
    </cfRule>
  </conditionalFormatting>
  <conditionalFormatting sqref="Z15 Z23 Z31 Z39 Z47 Z55 Z63 Z71 Z79">
    <cfRule type="cellIs" dxfId="418" priority="196" operator="equal">
      <formula>"pass"</formula>
    </cfRule>
    <cfRule type="cellIs" dxfId="417" priority="195" operator="equal">
      <formula>"fail"</formula>
    </cfRule>
  </conditionalFormatting>
  <conditionalFormatting sqref="AB7">
    <cfRule type="cellIs" dxfId="416" priority="62" operator="equal">
      <formula>"pass"</formula>
    </cfRule>
    <cfRule type="cellIs" dxfId="415" priority="61" operator="equal">
      <formula>"fail"</formula>
    </cfRule>
  </conditionalFormatting>
  <conditionalFormatting sqref="AB15">
    <cfRule type="cellIs" dxfId="414" priority="60" operator="equal">
      <formula>"pass"</formula>
    </cfRule>
    <cfRule type="cellIs" dxfId="413" priority="59" operator="equal">
      <formula>"fail"</formula>
    </cfRule>
  </conditionalFormatting>
  <conditionalFormatting sqref="AB23">
    <cfRule type="cellIs" dxfId="412" priority="58" operator="equal">
      <formula>"pass"</formula>
    </cfRule>
    <cfRule type="cellIs" dxfId="411" priority="57" operator="equal">
      <formula>"fail"</formula>
    </cfRule>
  </conditionalFormatting>
  <conditionalFormatting sqref="AB31">
    <cfRule type="cellIs" dxfId="410" priority="56" operator="equal">
      <formula>"pass"</formula>
    </cfRule>
    <cfRule type="cellIs" dxfId="409" priority="55" operator="equal">
      <formula>"fail"</formula>
    </cfRule>
  </conditionalFormatting>
  <conditionalFormatting sqref="AB39">
    <cfRule type="cellIs" dxfId="408" priority="54" operator="equal">
      <formula>"pass"</formula>
    </cfRule>
    <cfRule type="cellIs" dxfId="407" priority="53" operator="equal">
      <formula>"fail"</formula>
    </cfRule>
  </conditionalFormatting>
  <conditionalFormatting sqref="AB47">
    <cfRule type="cellIs" dxfId="406" priority="51" operator="equal">
      <formula>"fail"</formula>
    </cfRule>
    <cfRule type="cellIs" dxfId="405" priority="52" operator="equal">
      <formula>"pass"</formula>
    </cfRule>
  </conditionalFormatting>
  <conditionalFormatting sqref="AB55">
    <cfRule type="cellIs" dxfId="404" priority="50" operator="equal">
      <formula>"pass"</formula>
    </cfRule>
    <cfRule type="cellIs" dxfId="403" priority="49" operator="equal">
      <formula>"fail"</formula>
    </cfRule>
  </conditionalFormatting>
  <conditionalFormatting sqref="AB63">
    <cfRule type="cellIs" dxfId="402" priority="47" operator="equal">
      <formula>"fail"</formula>
    </cfRule>
    <cfRule type="cellIs" dxfId="401" priority="48" operator="equal">
      <formula>"pass"</formula>
    </cfRule>
  </conditionalFormatting>
  <conditionalFormatting sqref="AB71">
    <cfRule type="cellIs" dxfId="400" priority="46" operator="equal">
      <formula>"pass"</formula>
    </cfRule>
    <cfRule type="cellIs" dxfId="399" priority="45" operator="equal">
      <formula>"fail"</formula>
    </cfRule>
  </conditionalFormatting>
  <conditionalFormatting sqref="AB79">
    <cfRule type="cellIs" dxfId="398" priority="43" operator="equal">
      <formula>"fail"</formula>
    </cfRule>
    <cfRule type="cellIs" dxfId="397" priority="44" operator="equal">
      <formula>"pass"</formula>
    </cfRule>
  </conditionalFormatting>
  <conditionalFormatting sqref="AD7">
    <cfRule type="cellIs" dxfId="396" priority="611" operator="equal">
      <formula>"pass"</formula>
    </cfRule>
    <cfRule type="cellIs" dxfId="395" priority="610" operator="equal">
      <formula>"fail"</formula>
    </cfRule>
  </conditionalFormatting>
  <conditionalFormatting sqref="AD15 AD23 AD31 AD39 AD47 AD55 AD63 AD71 AD79">
    <cfRule type="cellIs" dxfId="394" priority="200" operator="equal">
      <formula>"pass"</formula>
    </cfRule>
    <cfRule type="cellIs" dxfId="393" priority="199" operator="equal">
      <formula>"fail"</formula>
    </cfRule>
  </conditionalFormatting>
  <conditionalFormatting sqref="AF7">
    <cfRule type="cellIs" dxfId="392" priority="42" operator="equal">
      <formula>"pass"</formula>
    </cfRule>
    <cfRule type="cellIs" dxfId="391" priority="41" operator="equal">
      <formula>"fail"</formula>
    </cfRule>
  </conditionalFormatting>
  <conditionalFormatting sqref="AF15">
    <cfRule type="cellIs" dxfId="390" priority="40" operator="equal">
      <formula>"pass"</formula>
    </cfRule>
    <cfRule type="cellIs" dxfId="389" priority="39" operator="equal">
      <formula>"fail"</formula>
    </cfRule>
  </conditionalFormatting>
  <conditionalFormatting sqref="AF23">
    <cfRule type="cellIs" dxfId="388" priority="38" operator="equal">
      <formula>"pass"</formula>
    </cfRule>
    <cfRule type="cellIs" dxfId="387" priority="37" operator="equal">
      <formula>"fail"</formula>
    </cfRule>
  </conditionalFormatting>
  <conditionalFormatting sqref="AF31">
    <cfRule type="cellIs" dxfId="386" priority="35" operator="equal">
      <formula>"fail"</formula>
    </cfRule>
    <cfRule type="cellIs" dxfId="385" priority="36" operator="equal">
      <formula>"pass"</formula>
    </cfRule>
  </conditionalFormatting>
  <conditionalFormatting sqref="AF39">
    <cfRule type="cellIs" dxfId="384" priority="33" operator="equal">
      <formula>"fail"</formula>
    </cfRule>
    <cfRule type="cellIs" dxfId="383" priority="34" operator="equal">
      <formula>"pass"</formula>
    </cfRule>
  </conditionalFormatting>
  <conditionalFormatting sqref="AF47">
    <cfRule type="cellIs" dxfId="382" priority="32" operator="equal">
      <formula>"pass"</formula>
    </cfRule>
    <cfRule type="cellIs" dxfId="381" priority="31" operator="equal">
      <formula>"fail"</formula>
    </cfRule>
  </conditionalFormatting>
  <conditionalFormatting sqref="AF55">
    <cfRule type="cellIs" dxfId="380" priority="29" operator="equal">
      <formula>"fail"</formula>
    </cfRule>
    <cfRule type="cellIs" dxfId="379" priority="30" operator="equal">
      <formula>"pass"</formula>
    </cfRule>
  </conditionalFormatting>
  <conditionalFormatting sqref="AF63">
    <cfRule type="cellIs" dxfId="378" priority="28" operator="equal">
      <formula>"pass"</formula>
    </cfRule>
    <cfRule type="cellIs" dxfId="377" priority="27" operator="equal">
      <formula>"fail"</formula>
    </cfRule>
  </conditionalFormatting>
  <conditionalFormatting sqref="AF71">
    <cfRule type="cellIs" dxfId="376" priority="26" operator="equal">
      <formula>"pass"</formula>
    </cfRule>
    <cfRule type="cellIs" dxfId="375" priority="25" operator="equal">
      <formula>"fail"</formula>
    </cfRule>
  </conditionalFormatting>
  <conditionalFormatting sqref="AF79">
    <cfRule type="cellIs" dxfId="374" priority="24" operator="equal">
      <formula>"pass"</formula>
    </cfRule>
    <cfRule type="cellIs" dxfId="373" priority="23" operator="equal">
      <formula>"fail"</formula>
    </cfRule>
  </conditionalFormatting>
  <conditionalFormatting sqref="AH7">
    <cfRule type="cellIs" dxfId="372" priority="609" operator="equal">
      <formula>"pass"</formula>
    </cfRule>
    <cfRule type="cellIs" dxfId="371" priority="608" operator="equal">
      <formula>"fail"</formula>
    </cfRule>
  </conditionalFormatting>
  <conditionalFormatting sqref="AH15">
    <cfRule type="cellIs" dxfId="370" priority="118" operator="equal">
      <formula>"pass"</formula>
    </cfRule>
    <cfRule type="cellIs" dxfId="369" priority="117" operator="equal">
      <formula>"fail"</formula>
    </cfRule>
  </conditionalFormatting>
  <conditionalFormatting sqref="AH23">
    <cfRule type="cellIs" dxfId="368" priority="116" operator="equal">
      <formula>"pass"</formula>
    </cfRule>
    <cfRule type="cellIs" dxfId="367" priority="115" operator="equal">
      <formula>"fail"</formula>
    </cfRule>
  </conditionalFormatting>
  <conditionalFormatting sqref="AH31">
    <cfRule type="cellIs" dxfId="366" priority="113" operator="equal">
      <formula>"fail"</formula>
    </cfRule>
    <cfRule type="cellIs" dxfId="365" priority="114" operator="equal">
      <formula>"pass"</formula>
    </cfRule>
  </conditionalFormatting>
  <conditionalFormatting sqref="AH39">
    <cfRule type="cellIs" dxfId="364" priority="111" operator="equal">
      <formula>"fail"</formula>
    </cfRule>
    <cfRule type="cellIs" dxfId="363" priority="112" operator="equal">
      <formula>"pass"</formula>
    </cfRule>
  </conditionalFormatting>
  <conditionalFormatting sqref="AH47">
    <cfRule type="cellIs" dxfId="362" priority="110" operator="equal">
      <formula>"pass"</formula>
    </cfRule>
    <cfRule type="cellIs" dxfId="361" priority="109" operator="equal">
      <formula>"fail"</formula>
    </cfRule>
  </conditionalFormatting>
  <conditionalFormatting sqref="AH55">
    <cfRule type="cellIs" dxfId="360" priority="107" operator="equal">
      <formula>"fail"</formula>
    </cfRule>
    <cfRule type="cellIs" dxfId="359" priority="108" operator="equal">
      <formula>"pass"</formula>
    </cfRule>
  </conditionalFormatting>
  <conditionalFormatting sqref="AH63">
    <cfRule type="cellIs" dxfId="358" priority="105" operator="equal">
      <formula>"fail"</formula>
    </cfRule>
    <cfRule type="cellIs" dxfId="357" priority="106" operator="equal">
      <formula>"pass"</formula>
    </cfRule>
  </conditionalFormatting>
  <conditionalFormatting sqref="AH71">
    <cfRule type="cellIs" dxfId="356" priority="103" operator="equal">
      <formula>"fail"</formula>
    </cfRule>
    <cfRule type="cellIs" dxfId="355" priority="104" operator="equal">
      <formula>"pass"</formula>
    </cfRule>
  </conditionalFormatting>
  <conditionalFormatting sqref="AH79">
    <cfRule type="cellIs" dxfId="354" priority="101" operator="equal">
      <formula>"fail"</formula>
    </cfRule>
    <cfRule type="cellIs" dxfId="353" priority="102" operator="equal">
      <formula>"pass"</formula>
    </cfRule>
  </conditionalFormatting>
  <conditionalFormatting sqref="AJ7">
    <cfRule type="cellIs" dxfId="352" priority="22" operator="equal">
      <formula>"pass"</formula>
    </cfRule>
    <cfRule type="cellIs" dxfId="351" priority="21" operator="equal">
      <formula>"fail"</formula>
    </cfRule>
  </conditionalFormatting>
  <conditionalFormatting sqref="AJ15">
    <cfRule type="cellIs" dxfId="350" priority="19" operator="equal">
      <formula>"fail"</formula>
    </cfRule>
    <cfRule type="cellIs" dxfId="349" priority="20" operator="equal">
      <formula>"pass"</formula>
    </cfRule>
  </conditionalFormatting>
  <conditionalFormatting sqref="AJ23">
    <cfRule type="cellIs" dxfId="348" priority="18" operator="equal">
      <formula>"pass"</formula>
    </cfRule>
    <cfRule type="cellIs" dxfId="347" priority="17" operator="equal">
      <formula>"fail"</formula>
    </cfRule>
  </conditionalFormatting>
  <conditionalFormatting sqref="AJ31">
    <cfRule type="cellIs" dxfId="346" priority="16" operator="equal">
      <formula>"pass"</formula>
    </cfRule>
    <cfRule type="cellIs" dxfId="345" priority="15" operator="equal">
      <formula>"fail"</formula>
    </cfRule>
  </conditionalFormatting>
  <conditionalFormatting sqref="AJ39">
    <cfRule type="cellIs" dxfId="344" priority="14" operator="equal">
      <formula>"pass"</formula>
    </cfRule>
    <cfRule type="cellIs" dxfId="343" priority="13" operator="equal">
      <formula>"fail"</formula>
    </cfRule>
  </conditionalFormatting>
  <conditionalFormatting sqref="AJ47">
    <cfRule type="cellIs" dxfId="342" priority="11" operator="equal">
      <formula>"fail"</formula>
    </cfRule>
    <cfRule type="cellIs" dxfId="341" priority="12" operator="equal">
      <formula>"pass"</formula>
    </cfRule>
  </conditionalFormatting>
  <conditionalFormatting sqref="AJ55">
    <cfRule type="cellIs" dxfId="340" priority="10" operator="equal">
      <formula>"pass"</formula>
    </cfRule>
    <cfRule type="cellIs" dxfId="339" priority="9" operator="equal">
      <formula>"fail"</formula>
    </cfRule>
  </conditionalFormatting>
  <conditionalFormatting sqref="AJ63">
    <cfRule type="cellIs" dxfId="338" priority="8" operator="equal">
      <formula>"pass"</formula>
    </cfRule>
    <cfRule type="cellIs" dxfId="337" priority="7" operator="equal">
      <formula>"fail"</formula>
    </cfRule>
  </conditionalFormatting>
  <conditionalFormatting sqref="AJ71">
    <cfRule type="cellIs" dxfId="336" priority="6" operator="equal">
      <formula>"pass"</formula>
    </cfRule>
    <cfRule type="cellIs" dxfId="335" priority="5" operator="equal">
      <formula>"fail"</formula>
    </cfRule>
  </conditionalFormatting>
  <conditionalFormatting sqref="AJ79">
    <cfRule type="cellIs" dxfId="334" priority="3" operator="equal">
      <formula>"fail"</formula>
    </cfRule>
    <cfRule type="cellIs" dxfId="333" priority="4" operator="equal">
      <formula>"pass"</formula>
    </cfRule>
  </conditionalFormatting>
  <conditionalFormatting sqref="AL7">
    <cfRule type="cellIs" dxfId="332" priority="592" operator="equal">
      <formula>"fail"</formula>
    </cfRule>
    <cfRule type="cellIs" dxfId="331" priority="593" operator="equal">
      <formula>"pass"</formula>
    </cfRule>
  </conditionalFormatting>
  <conditionalFormatting sqref="AL15 AL23 AL31 AL39 AL47 AL55 AL63 AL71 AL79">
    <cfRule type="cellIs" dxfId="330" priority="209" operator="equal">
      <formula>"fail"</formula>
    </cfRule>
    <cfRule type="cellIs" dxfId="329" priority="210" operator="equal">
      <formula>"pass"</formula>
    </cfRule>
  </conditionalFormatting>
  <conditionalFormatting sqref="AN7">
    <cfRule type="cellIs" dxfId="328" priority="367" operator="equal">
      <formula>"pass"</formula>
    </cfRule>
    <cfRule type="cellIs" dxfId="327" priority="366" operator="equal">
      <formula>"fail"</formula>
    </cfRule>
  </conditionalFormatting>
  <conditionalFormatting sqref="AN15 AN23 AN31 AN39 AN47 AN55 AN63 AN71 AN79">
    <cfRule type="cellIs" dxfId="326" priority="212" operator="equal">
      <formula>"pass"</formula>
    </cfRule>
    <cfRule type="cellIs" dxfId="325" priority="211" operator="equal">
      <formula>"fail"</formula>
    </cfRule>
  </conditionalFormatting>
  <conditionalFormatting sqref="AP7">
    <cfRule type="cellIs" dxfId="324" priority="365" operator="equal">
      <formula>"pass"</formula>
    </cfRule>
    <cfRule type="cellIs" dxfId="323" priority="364" operator="equal">
      <formula>"fail"</formula>
    </cfRule>
  </conditionalFormatting>
  <conditionalFormatting sqref="AP15 AP23 AP31 AP39 AP47 AP55 AP63 AP71 AP79">
    <cfRule type="cellIs" dxfId="322" priority="214" operator="equal">
      <formula>"pass"</formula>
    </cfRule>
    <cfRule type="cellIs" dxfId="321" priority="213" operator="equal">
      <formula>"fail"</formula>
    </cfRule>
  </conditionalFormatting>
  <conditionalFormatting sqref="AU8 BE8 BU8">
    <cfRule type="cellIs" dxfId="320" priority="711" operator="equal">
      <formula>"FAIL"</formula>
    </cfRule>
  </conditionalFormatting>
  <conditionalFormatting sqref="AU8">
    <cfRule type="cellIs" dxfId="319" priority="738" operator="equal">
      <formula>"pass"</formula>
    </cfRule>
  </conditionalFormatting>
  <conditionalFormatting sqref="AU18">
    <cfRule type="cellIs" dxfId="318" priority="216" operator="equal">
      <formula>"pass"</formula>
    </cfRule>
    <cfRule type="cellIs" dxfId="317" priority="215" operator="equal">
      <formula>"FAIL"</formula>
    </cfRule>
  </conditionalFormatting>
  <conditionalFormatting sqref="AU28 AW28 BE28 BI28 BQ28 AU35 AW35 BE35 BI35 BQ35 AU42 AW42 BE42 BI42 BQ42 AU49 AW49 BE49 BI49 BQ49 AU56 AW56 BE56 BI56 BQ56 AU63 AW63 BE63 BI63 BQ63 AU70 AW70 BE70 BI70 BQ70">
    <cfRule type="cellIs" dxfId="316" priority="800" operator="equal">
      <formula>"fail"</formula>
    </cfRule>
    <cfRule type="cellIs" dxfId="315" priority="799" operator="equal">
      <formula>"pass"</formula>
    </cfRule>
  </conditionalFormatting>
  <conditionalFormatting sqref="AW8">
    <cfRule type="cellIs" dxfId="314" priority="330" operator="equal">
      <formula>"FAIL"</formula>
    </cfRule>
    <cfRule type="cellIs" dxfId="313" priority="331" operator="equal">
      <formula>"pass"</formula>
    </cfRule>
  </conditionalFormatting>
  <conditionalFormatting sqref="AW18">
    <cfRule type="cellIs" dxfId="312" priority="217" operator="equal">
      <formula>"FAIL"</formula>
    </cfRule>
    <cfRule type="cellIs" dxfId="311" priority="218" operator="equal">
      <formula>"pass"</formula>
    </cfRule>
  </conditionalFormatting>
  <conditionalFormatting sqref="AY8">
    <cfRule type="cellIs" dxfId="310" priority="306" operator="equal">
      <formula>"FAIL"</formula>
    </cfRule>
    <cfRule type="cellIs" dxfId="309" priority="307" operator="equal">
      <formula>"pass"</formula>
    </cfRule>
  </conditionalFormatting>
  <conditionalFormatting sqref="AY18">
    <cfRule type="cellIs" dxfId="308" priority="220" operator="equal">
      <formula>"pass"</formula>
    </cfRule>
    <cfRule type="cellIs" dxfId="307" priority="219" operator="equal">
      <formula>"FAIL"</formula>
    </cfRule>
  </conditionalFormatting>
  <conditionalFormatting sqref="AY28 AY35 AY42 AY49 AY56 AY63 AY70">
    <cfRule type="cellIs" dxfId="306" priority="311" operator="equal">
      <formula>"fail"</formula>
    </cfRule>
    <cfRule type="cellIs" dxfId="305" priority="310" operator="equal">
      <formula>"pass"</formula>
    </cfRule>
  </conditionalFormatting>
  <conditionalFormatting sqref="BA8">
    <cfRule type="cellIs" dxfId="304" priority="328" operator="equal">
      <formula>"FAIL"</formula>
    </cfRule>
    <cfRule type="cellIs" dxfId="303" priority="329" operator="equal">
      <formula>"pass"</formula>
    </cfRule>
  </conditionalFormatting>
  <conditionalFormatting sqref="BA18">
    <cfRule type="cellIs" dxfId="302" priority="173" operator="equal">
      <formula>"FAIL"</formula>
    </cfRule>
    <cfRule type="cellIs" dxfId="301" priority="174" operator="equal">
      <formula>"pass"</formula>
    </cfRule>
  </conditionalFormatting>
  <conditionalFormatting sqref="BA28">
    <cfRule type="cellIs" dxfId="300" priority="796" operator="equal">
      <formula>"pass"</formula>
    </cfRule>
    <cfRule type="cellIs" dxfId="299" priority="795" operator="equal">
      <formula>"fail"</formula>
    </cfRule>
  </conditionalFormatting>
  <conditionalFormatting sqref="BA35">
    <cfRule type="cellIs" dxfId="298" priority="794" operator="equal">
      <formula>"pass"</formula>
    </cfRule>
    <cfRule type="cellIs" dxfId="297" priority="793" operator="equal">
      <formula>"fail"</formula>
    </cfRule>
  </conditionalFormatting>
  <conditionalFormatting sqref="BA42">
    <cfRule type="cellIs" dxfId="296" priority="792" operator="equal">
      <formula>"pass"</formula>
    </cfRule>
    <cfRule type="cellIs" dxfId="295" priority="791" operator="equal">
      <formula>"fail"</formula>
    </cfRule>
  </conditionalFormatting>
  <conditionalFormatting sqref="BA49">
    <cfRule type="cellIs" dxfId="294" priority="790" operator="equal">
      <formula>"pass"</formula>
    </cfRule>
    <cfRule type="cellIs" dxfId="293" priority="789" operator="equal">
      <formula>"fail"</formula>
    </cfRule>
  </conditionalFormatting>
  <conditionalFormatting sqref="BA56">
    <cfRule type="cellIs" dxfId="292" priority="788" operator="equal">
      <formula>"pass"</formula>
    </cfRule>
    <cfRule type="cellIs" dxfId="291" priority="787" operator="equal">
      <formula>"fail"</formula>
    </cfRule>
  </conditionalFormatting>
  <conditionalFormatting sqref="BA63">
    <cfRule type="cellIs" dxfId="290" priority="786" operator="equal">
      <formula>"pass"</formula>
    </cfRule>
    <cfRule type="cellIs" dxfId="289" priority="785" operator="equal">
      <formula>"fail"</formula>
    </cfRule>
  </conditionalFormatting>
  <conditionalFormatting sqref="BA70">
    <cfRule type="cellIs" dxfId="288" priority="783" operator="equal">
      <formula>"fail"</formula>
    </cfRule>
    <cfRule type="cellIs" dxfId="287" priority="784" operator="equal">
      <formula>"pass"</formula>
    </cfRule>
  </conditionalFormatting>
  <conditionalFormatting sqref="BC8">
    <cfRule type="cellIs" dxfId="286" priority="300" operator="equal">
      <formula>"FAIL"</formula>
    </cfRule>
    <cfRule type="cellIs" dxfId="285" priority="301" operator="equal">
      <formula>"pass"</formula>
    </cfRule>
  </conditionalFormatting>
  <conditionalFormatting sqref="BC18">
    <cfRule type="cellIs" dxfId="284" priority="223" operator="equal">
      <formula>"FAIL"</formula>
    </cfRule>
    <cfRule type="cellIs" dxfId="283" priority="224" operator="equal">
      <formula>"pass"</formula>
    </cfRule>
  </conditionalFormatting>
  <conditionalFormatting sqref="BC28 BC35 BC42 BC49 BC56 BC63 BC70">
    <cfRule type="cellIs" dxfId="282" priority="304" operator="equal">
      <formula>"pass"</formula>
    </cfRule>
    <cfRule type="cellIs" dxfId="281" priority="305" operator="equal">
      <formula>"fail"</formula>
    </cfRule>
  </conditionalFormatting>
  <conditionalFormatting sqref="BE8">
    <cfRule type="cellIs" dxfId="280" priority="737" operator="equal">
      <formula>"pass"</formula>
    </cfRule>
  </conditionalFormatting>
  <conditionalFormatting sqref="BE18">
    <cfRule type="cellIs" dxfId="279" priority="225" operator="equal">
      <formula>"FAIL"</formula>
    </cfRule>
    <cfRule type="cellIs" dxfId="278" priority="226" operator="equal">
      <formula>"pass"</formula>
    </cfRule>
  </conditionalFormatting>
  <conditionalFormatting sqref="BG8">
    <cfRule type="cellIs" dxfId="277" priority="326" operator="equal">
      <formula>"FAIL"</formula>
    </cfRule>
    <cfRule type="cellIs" dxfId="276" priority="327" operator="equal">
      <formula>"pass"</formula>
    </cfRule>
  </conditionalFormatting>
  <conditionalFormatting sqref="BG18">
    <cfRule type="cellIs" dxfId="275" priority="172" operator="equal">
      <formula>"pass"</formula>
    </cfRule>
    <cfRule type="cellIs" dxfId="274" priority="171" operator="equal">
      <formula>"FAIL"</formula>
    </cfRule>
  </conditionalFormatting>
  <conditionalFormatting sqref="BG28">
    <cfRule type="cellIs" dxfId="273" priority="754" operator="equal">
      <formula>"pass"</formula>
    </cfRule>
    <cfRule type="cellIs" dxfId="272" priority="753" operator="equal">
      <formula>"fail"</formula>
    </cfRule>
  </conditionalFormatting>
  <conditionalFormatting sqref="BG35">
    <cfRule type="cellIs" dxfId="271" priority="752" operator="equal">
      <formula>"pass"</formula>
    </cfRule>
    <cfRule type="cellIs" dxfId="270" priority="751" operator="equal">
      <formula>"fail"</formula>
    </cfRule>
  </conditionalFormatting>
  <conditionalFormatting sqref="BG42">
    <cfRule type="cellIs" dxfId="269" priority="749" operator="equal">
      <formula>"fail"</formula>
    </cfRule>
    <cfRule type="cellIs" dxfId="268" priority="750" operator="equal">
      <formula>"pass"</formula>
    </cfRule>
  </conditionalFormatting>
  <conditionalFormatting sqref="BG49">
    <cfRule type="cellIs" dxfId="267" priority="748" operator="equal">
      <formula>"pass"</formula>
    </cfRule>
    <cfRule type="cellIs" dxfId="266" priority="747" operator="equal">
      <formula>"fail"</formula>
    </cfRule>
  </conditionalFormatting>
  <conditionalFormatting sqref="BG56">
    <cfRule type="cellIs" dxfId="265" priority="745" operator="equal">
      <formula>"fail"</formula>
    </cfRule>
    <cfRule type="cellIs" dxfId="264" priority="746" operator="equal">
      <formula>"pass"</formula>
    </cfRule>
  </conditionalFormatting>
  <conditionalFormatting sqref="BG63">
    <cfRule type="cellIs" dxfId="263" priority="743" operator="equal">
      <formula>"fail"</formula>
    </cfRule>
    <cfRule type="cellIs" dxfId="262" priority="744" operator="equal">
      <formula>"pass"</formula>
    </cfRule>
  </conditionalFormatting>
  <conditionalFormatting sqref="BG70">
    <cfRule type="cellIs" dxfId="261" priority="742" operator="equal">
      <formula>"pass"</formula>
    </cfRule>
    <cfRule type="cellIs" dxfId="260" priority="741" operator="equal">
      <formula>"fail"</formula>
    </cfRule>
  </conditionalFormatting>
  <conditionalFormatting sqref="BI8">
    <cfRule type="cellIs" dxfId="259" priority="324" operator="equal">
      <formula>"FAIL"</formula>
    </cfRule>
    <cfRule type="cellIs" dxfId="258" priority="325" operator="equal">
      <formula>"pass"</formula>
    </cfRule>
  </conditionalFormatting>
  <conditionalFormatting sqref="BI18">
    <cfRule type="cellIs" dxfId="257" priority="230" operator="equal">
      <formula>"pass"</formula>
    </cfRule>
    <cfRule type="cellIs" dxfId="256" priority="229" operator="equal">
      <formula>"FAIL"</formula>
    </cfRule>
  </conditionalFormatting>
  <conditionalFormatting sqref="BK8">
    <cfRule type="cellIs" dxfId="255" priority="322" operator="equal">
      <formula>"FAIL"</formula>
    </cfRule>
    <cfRule type="cellIs" dxfId="254" priority="323" operator="equal">
      <formula>"pass"</formula>
    </cfRule>
  </conditionalFormatting>
  <conditionalFormatting sqref="BK18">
    <cfRule type="cellIs" dxfId="253" priority="232" operator="equal">
      <formula>"pass"</formula>
    </cfRule>
    <cfRule type="cellIs" dxfId="252" priority="231" operator="equal">
      <formula>"FAIL"</formula>
    </cfRule>
  </conditionalFormatting>
  <conditionalFormatting sqref="BK28 BK35 BK42 BK49 BK56 BK63 BK70">
    <cfRule type="cellIs" dxfId="251" priority="676" operator="equal">
      <formula>"pass"</formula>
    </cfRule>
    <cfRule type="cellIs" dxfId="250" priority="677" operator="equal">
      <formula>"fail"</formula>
    </cfRule>
  </conditionalFormatting>
  <conditionalFormatting sqref="BM8">
    <cfRule type="cellIs" dxfId="249" priority="316" operator="equal">
      <formula>"FAIL"</formula>
    </cfRule>
    <cfRule type="cellIs" dxfId="248" priority="317" operator="equal">
      <formula>"pass"</formula>
    </cfRule>
  </conditionalFormatting>
  <conditionalFormatting sqref="BM18">
    <cfRule type="cellIs" dxfId="247" priority="234" operator="equal">
      <formula>"pass"</formula>
    </cfRule>
    <cfRule type="cellIs" dxfId="246" priority="233" operator="equal">
      <formula>"FAIL"</formula>
    </cfRule>
  </conditionalFormatting>
  <conditionalFormatting sqref="BM28 BM35 BM42 BM49 BM56 BM63 BM70">
    <cfRule type="cellIs" dxfId="245" priority="680" operator="equal">
      <formula>"pass"</formula>
    </cfRule>
    <cfRule type="cellIs" dxfId="244" priority="681" operator="equal">
      <formula>"fail"</formula>
    </cfRule>
  </conditionalFormatting>
  <conditionalFormatting sqref="BO8">
    <cfRule type="cellIs" dxfId="243" priority="318" operator="equal">
      <formula>"FAIL"</formula>
    </cfRule>
    <cfRule type="cellIs" dxfId="242" priority="319" operator="equal">
      <formula>"pass"</formula>
    </cfRule>
  </conditionalFormatting>
  <conditionalFormatting sqref="BO18">
    <cfRule type="cellIs" dxfId="241" priority="236" operator="equal">
      <formula>"pass"</formula>
    </cfRule>
    <cfRule type="cellIs" dxfId="240" priority="235" operator="equal">
      <formula>"FAIL"</formula>
    </cfRule>
  </conditionalFormatting>
  <conditionalFormatting sqref="BO28">
    <cfRule type="cellIs" dxfId="239" priority="769" operator="equal">
      <formula>"fail"</formula>
    </cfRule>
    <cfRule type="cellIs" dxfId="238" priority="770" operator="equal">
      <formula>"pass"</formula>
    </cfRule>
  </conditionalFormatting>
  <conditionalFormatting sqref="BO35">
    <cfRule type="cellIs" dxfId="237" priority="772" operator="equal">
      <formula>"pass"</formula>
    </cfRule>
    <cfRule type="cellIs" dxfId="236" priority="771" operator="equal">
      <formula>"fail"</formula>
    </cfRule>
  </conditionalFormatting>
  <conditionalFormatting sqref="BO42">
    <cfRule type="cellIs" dxfId="235" priority="774" operator="equal">
      <formula>"pass"</formula>
    </cfRule>
    <cfRule type="cellIs" dxfId="234" priority="773" operator="equal">
      <formula>"fail"</formula>
    </cfRule>
  </conditionalFormatting>
  <conditionalFormatting sqref="BO49">
    <cfRule type="cellIs" dxfId="233" priority="776" operator="equal">
      <formula>"pass"</formula>
    </cfRule>
    <cfRule type="cellIs" dxfId="232" priority="775" operator="equal">
      <formula>"fail"</formula>
    </cfRule>
  </conditionalFormatting>
  <conditionalFormatting sqref="BO56">
    <cfRule type="cellIs" dxfId="231" priority="777" operator="equal">
      <formula>"fail"</formula>
    </cfRule>
    <cfRule type="cellIs" dxfId="230" priority="778" operator="equal">
      <formula>"pass"</formula>
    </cfRule>
  </conditionalFormatting>
  <conditionalFormatting sqref="BO63">
    <cfRule type="cellIs" dxfId="229" priority="780" operator="equal">
      <formula>"pass"</formula>
    </cfRule>
    <cfRule type="cellIs" dxfId="228" priority="779" operator="equal">
      <formula>"fail"</formula>
    </cfRule>
  </conditionalFormatting>
  <conditionalFormatting sqref="BO70">
    <cfRule type="cellIs" dxfId="227" priority="781" operator="equal">
      <formula>"fail"</formula>
    </cfRule>
    <cfRule type="cellIs" dxfId="226" priority="782" operator="equal">
      <formula>"pass"</formula>
    </cfRule>
  </conditionalFormatting>
  <conditionalFormatting sqref="BQ8">
    <cfRule type="cellIs" dxfId="225" priority="314" operator="equal">
      <formula>"FAIL"</formula>
    </cfRule>
    <cfRule type="cellIs" dxfId="224" priority="315" operator="equal">
      <formula>"pass"</formula>
    </cfRule>
  </conditionalFormatting>
  <conditionalFormatting sqref="BQ18">
    <cfRule type="cellIs" dxfId="223" priority="238" operator="equal">
      <formula>"pass"</formula>
    </cfRule>
    <cfRule type="cellIs" dxfId="222" priority="237" operator="equal">
      <formula>"FAIL"</formula>
    </cfRule>
  </conditionalFormatting>
  <conditionalFormatting sqref="BS8">
    <cfRule type="cellIs" dxfId="221" priority="684" operator="equal">
      <formula>"pass"</formula>
    </cfRule>
    <cfRule type="cellIs" dxfId="220" priority="682" operator="equal">
      <formula>"FAIL"</formula>
    </cfRule>
  </conditionalFormatting>
  <conditionalFormatting sqref="BS18">
    <cfRule type="cellIs" dxfId="219" priority="240" operator="equal">
      <formula>"pass"</formula>
    </cfRule>
    <cfRule type="cellIs" dxfId="218" priority="239" operator="equal">
      <formula>"FAIL"</formula>
    </cfRule>
  </conditionalFormatting>
  <conditionalFormatting sqref="BS28 BS35 BS42 BS49 BS56 BS63 BS70">
    <cfRule type="cellIs" dxfId="217" priority="686" operator="equal">
      <formula>"fail"</formula>
    </cfRule>
    <cfRule type="cellIs" dxfId="216" priority="685" operator="equal">
      <formula>"pass"</formula>
    </cfRule>
  </conditionalFormatting>
  <conditionalFormatting sqref="BU8">
    <cfRule type="cellIs" dxfId="215" priority="736" operator="equal">
      <formula>"pass"</formula>
    </cfRule>
    <cfRule type="cellIs" dxfId="214" priority="735" operator="equal">
      <formula>"fail"</formula>
    </cfRule>
  </conditionalFormatting>
  <conditionalFormatting sqref="BU18">
    <cfRule type="cellIs" dxfId="213" priority="243" operator="equal">
      <formula>"pass"</formula>
    </cfRule>
    <cfRule type="cellIs" dxfId="212" priority="242" operator="equal">
      <formula>"fail"</formula>
    </cfRule>
    <cfRule type="cellIs" dxfId="211" priority="241" operator="equal">
      <formula>"FAIL"</formula>
    </cfRule>
  </conditionalFormatting>
  <conditionalFormatting sqref="BU28">
    <cfRule type="cellIs" dxfId="210" priority="768" operator="equal">
      <formula>"pass"</formula>
    </cfRule>
    <cfRule type="cellIs" dxfId="209" priority="767" operator="equal">
      <formula>"fail"</formula>
    </cfRule>
  </conditionalFormatting>
  <conditionalFormatting sqref="BU35">
    <cfRule type="cellIs" dxfId="208" priority="765" operator="equal">
      <formula>"fail"</formula>
    </cfRule>
    <cfRule type="cellIs" dxfId="207" priority="766" operator="equal">
      <formula>"pass"</formula>
    </cfRule>
  </conditionalFormatting>
  <conditionalFormatting sqref="BU42">
    <cfRule type="cellIs" dxfId="206" priority="763" operator="equal">
      <formula>"fail"</formula>
    </cfRule>
    <cfRule type="cellIs" dxfId="205" priority="764" operator="equal">
      <formula>"pass"</formula>
    </cfRule>
  </conditionalFormatting>
  <conditionalFormatting sqref="BU49">
    <cfRule type="cellIs" dxfId="204" priority="761" operator="equal">
      <formula>"fail"</formula>
    </cfRule>
    <cfRule type="cellIs" dxfId="203" priority="762" operator="equal">
      <formula>"pass"</formula>
    </cfRule>
  </conditionalFormatting>
  <conditionalFormatting sqref="BU56">
    <cfRule type="cellIs" dxfId="202" priority="760" operator="equal">
      <formula>"pass"</formula>
    </cfRule>
    <cfRule type="cellIs" dxfId="201" priority="759" operator="equal">
      <formula>"fail"</formula>
    </cfRule>
  </conditionalFormatting>
  <conditionalFormatting sqref="BU63">
    <cfRule type="cellIs" dxfId="200" priority="758" operator="equal">
      <formula>"pass"</formula>
    </cfRule>
    <cfRule type="cellIs" dxfId="199" priority="757" operator="equal">
      <formula>"fail"</formula>
    </cfRule>
  </conditionalFormatting>
  <conditionalFormatting sqref="BU70">
    <cfRule type="cellIs" dxfId="198" priority="756" operator="equal">
      <formula>"pass"</formula>
    </cfRule>
    <cfRule type="cellIs" dxfId="197" priority="755" operator="equal">
      <formula>"fail"</formula>
    </cfRule>
  </conditionalFormatting>
  <pageMargins left="0.5" right="0.5" top="1" bottom="1" header="0.25" footer="0.25"/>
  <pageSetup scale="58" fitToHeight="0" orientation="landscape" r:id="rId1"/>
  <headerFooter alignWithMargins="0">
    <oddHeader>&amp;LPart No.:
Batch No(s).: 
Cartridge No. (LSP): &amp;C&amp;12Product QC Testing Worksheet-MTB/XDR&amp;RDocument Number: D37339 Attachment 1
Rev: M
Effective: 5/21/2026
p. &amp;P of &amp;N</oddHeader>
    <oddFooter>&amp;C User is responsible for using the current revision. The controlled current released revision of this document resides in the Agile PLM system.
Cepheid Confidential    Date Printed: &amp;D      &amp;T</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P391"/>
  <sheetViews>
    <sheetView zoomScaleNormal="100" workbookViewId="0"/>
  </sheetViews>
  <sheetFormatPr defaultColWidth="9.140625" defaultRowHeight="12.75" x14ac:dyDescent="0.2"/>
  <cols>
    <col min="1" max="1" width="6.140625" style="60" bestFit="1" customWidth="1"/>
    <col min="2" max="2" width="13.5703125" style="60" bestFit="1" customWidth="1"/>
    <col min="3" max="3" width="10.42578125" style="60" bestFit="1" customWidth="1"/>
    <col min="4" max="4" width="13.42578125" style="60" bestFit="1" customWidth="1"/>
    <col min="5" max="5" width="14.5703125" style="60" bestFit="1" customWidth="1"/>
    <col min="6" max="6" width="9.5703125" style="60" bestFit="1" customWidth="1"/>
    <col min="7" max="7" width="14.42578125" style="60" bestFit="1" customWidth="1"/>
    <col min="8" max="8" width="11.42578125" style="60" bestFit="1" customWidth="1"/>
    <col min="9" max="9" width="12.140625" style="60" bestFit="1" customWidth="1"/>
    <col min="10" max="10" width="10.42578125" style="60" bestFit="1" customWidth="1"/>
    <col min="11" max="11" width="6.5703125" style="60" bestFit="1" customWidth="1"/>
    <col min="12" max="12" width="10.85546875" style="60" bestFit="1" customWidth="1"/>
    <col min="13" max="13" width="13.85546875" style="60" bestFit="1" customWidth="1"/>
    <col min="14" max="14" width="6.5703125" style="60" bestFit="1" customWidth="1"/>
    <col min="15" max="15" width="8.42578125" style="60" bestFit="1" customWidth="1"/>
    <col min="16" max="16" width="14.140625" style="60" bestFit="1" customWidth="1"/>
    <col min="17" max="17" width="2.85546875" style="60" bestFit="1" customWidth="1"/>
    <col min="18" max="18" width="6.42578125" style="60" bestFit="1" customWidth="1"/>
    <col min="19" max="19" width="9.140625" style="60" bestFit="1" customWidth="1"/>
    <col min="20" max="20" width="14.5703125" style="60" bestFit="1" customWidth="1"/>
    <col min="21" max="23" width="9.5703125" style="60" bestFit="1" customWidth="1"/>
    <col min="24" max="24" width="19" style="60" bestFit="1" customWidth="1"/>
    <col min="25" max="25" width="21.5703125" style="60" bestFit="1" customWidth="1"/>
    <col min="26" max="26" width="6.85546875" style="60" bestFit="1" customWidth="1"/>
    <col min="27" max="27" width="13.85546875" style="60" bestFit="1" customWidth="1"/>
    <col min="28" max="28" width="6.5703125" style="60" bestFit="1" customWidth="1"/>
    <col min="29" max="29" width="8.42578125" style="60" bestFit="1" customWidth="1"/>
    <col min="30" max="30" width="14.140625" style="60" bestFit="1" customWidth="1"/>
    <col min="31" max="31" width="2.85546875" style="60" bestFit="1" customWidth="1"/>
    <col min="32" max="32" width="6.42578125" style="60" bestFit="1" customWidth="1"/>
    <col min="33" max="33" width="9.140625" style="60" bestFit="1" customWidth="1"/>
    <col min="34" max="34" width="14.5703125" style="60" bestFit="1" customWidth="1"/>
    <col min="35" max="37" width="9.5703125" style="60" bestFit="1" customWidth="1"/>
    <col min="38" max="38" width="19" style="60" bestFit="1" customWidth="1"/>
    <col min="39" max="39" width="21.5703125" style="60" bestFit="1" customWidth="1"/>
    <col min="40" max="40" width="6.85546875" style="60" bestFit="1" customWidth="1"/>
    <col min="41" max="41" width="13.85546875" style="60" bestFit="1" customWidth="1"/>
    <col min="42" max="42" width="6.5703125" style="60" bestFit="1" customWidth="1"/>
    <col min="43" max="43" width="8.42578125" style="60" bestFit="1" customWidth="1"/>
    <col min="44" max="44" width="14.140625" style="60" bestFit="1" customWidth="1"/>
    <col min="45" max="45" width="2.85546875" style="60" bestFit="1" customWidth="1"/>
    <col min="46" max="46" width="6.42578125" style="60" bestFit="1" customWidth="1"/>
    <col min="47" max="47" width="9.140625" style="60" bestFit="1" customWidth="1"/>
    <col min="48" max="48" width="14.5703125" style="60" bestFit="1" customWidth="1"/>
    <col min="49" max="51" width="9.5703125" style="60" bestFit="1" customWidth="1"/>
    <col min="52" max="52" width="19" style="60" bestFit="1" customWidth="1"/>
    <col min="53" max="53" width="21.5703125" style="60" bestFit="1" customWidth="1"/>
    <col min="54" max="54" width="6.85546875" style="60" bestFit="1" customWidth="1"/>
    <col min="55" max="55" width="18.42578125" style="60" bestFit="1" customWidth="1"/>
    <col min="56" max="56" width="17.85546875" style="60" bestFit="1" customWidth="1"/>
    <col min="57" max="57" width="5.42578125" style="60" bestFit="1" customWidth="1"/>
    <col min="58" max="58" width="9.85546875" style="60" bestFit="1" customWidth="1"/>
    <col min="59" max="59" width="18.140625" style="60" bestFit="1" customWidth="1"/>
    <col min="60" max="60" width="16.42578125" style="60" bestFit="1" customWidth="1"/>
    <col min="61" max="61" width="18.140625" style="60" bestFit="1" customWidth="1"/>
    <col min="62" max="65" width="5" style="60" bestFit="1" customWidth="1"/>
    <col min="66" max="66" width="6.140625" style="60" bestFit="1" customWidth="1"/>
    <col min="67" max="67" width="2" style="60" bestFit="1" customWidth="1"/>
    <col min="68" max="68" width="3" style="60" bestFit="1" customWidth="1"/>
    <col min="69" max="69" width="5" style="60" bestFit="1" customWidth="1"/>
    <col min="70" max="70" width="5.5703125" style="60" bestFit="1" customWidth="1"/>
    <col min="71" max="16384" width="9.140625" style="60"/>
  </cols>
  <sheetData>
    <row r="1" spans="1:380" s="188" customFormat="1" ht="51" customHeight="1" x14ac:dyDescent="0.2">
      <c r="A1" s="186" t="s">
        <v>98</v>
      </c>
      <c r="B1" s="186" t="s">
        <v>99</v>
      </c>
      <c r="C1" s="186" t="s">
        <v>100</v>
      </c>
      <c r="D1" s="186" t="s">
        <v>101</v>
      </c>
      <c r="E1" s="186" t="s">
        <v>102</v>
      </c>
      <c r="F1" s="186" t="s">
        <v>103</v>
      </c>
      <c r="G1" s="186" t="s">
        <v>104</v>
      </c>
      <c r="H1" s="186" t="s">
        <v>105</v>
      </c>
      <c r="I1" s="186" t="s">
        <v>106</v>
      </c>
      <c r="J1" s="186" t="s">
        <v>107</v>
      </c>
      <c r="K1" s="186" t="s">
        <v>108</v>
      </c>
      <c r="L1" s="186" t="s">
        <v>109</v>
      </c>
      <c r="M1" s="186" t="s">
        <v>110</v>
      </c>
      <c r="N1" s="186" t="s">
        <v>111</v>
      </c>
      <c r="O1" s="186" t="s">
        <v>112</v>
      </c>
      <c r="P1" s="186" t="s">
        <v>113</v>
      </c>
      <c r="Q1" s="186" t="s">
        <v>114</v>
      </c>
      <c r="R1" s="186" t="s">
        <v>115</v>
      </c>
      <c r="S1" s="186" t="s">
        <v>116</v>
      </c>
      <c r="T1" s="186" t="s">
        <v>117</v>
      </c>
      <c r="U1" s="186" t="s">
        <v>118</v>
      </c>
      <c r="V1" s="186" t="s">
        <v>119</v>
      </c>
      <c r="W1" s="186" t="s">
        <v>120</v>
      </c>
      <c r="X1" s="186" t="s">
        <v>121</v>
      </c>
      <c r="Y1" s="186" t="s">
        <v>122</v>
      </c>
      <c r="Z1" s="186" t="s">
        <v>123</v>
      </c>
      <c r="AA1" s="186" t="s">
        <v>110</v>
      </c>
      <c r="AB1" s="186" t="s">
        <v>111</v>
      </c>
      <c r="AC1" s="186" t="s">
        <v>112</v>
      </c>
      <c r="AD1" s="186" t="s">
        <v>113</v>
      </c>
      <c r="AE1" s="186" t="s">
        <v>114</v>
      </c>
      <c r="AF1" s="186" t="s">
        <v>115</v>
      </c>
      <c r="AG1" s="186" t="s">
        <v>116</v>
      </c>
      <c r="AH1" s="186" t="s">
        <v>117</v>
      </c>
      <c r="AI1" s="186" t="s">
        <v>118</v>
      </c>
      <c r="AJ1" s="186" t="s">
        <v>119</v>
      </c>
      <c r="AK1" s="186" t="s">
        <v>120</v>
      </c>
      <c r="AL1" s="186" t="s">
        <v>121</v>
      </c>
      <c r="AM1" s="186" t="s">
        <v>122</v>
      </c>
      <c r="AN1" s="186" t="s">
        <v>123</v>
      </c>
      <c r="AO1" s="186" t="s">
        <v>110</v>
      </c>
      <c r="AP1" s="186" t="s">
        <v>111</v>
      </c>
      <c r="AQ1" s="186" t="s">
        <v>112</v>
      </c>
      <c r="AR1" s="186" t="s">
        <v>113</v>
      </c>
      <c r="AS1" s="186" t="s">
        <v>114</v>
      </c>
      <c r="AT1" s="186" t="s">
        <v>115</v>
      </c>
      <c r="AU1" s="186" t="s">
        <v>116</v>
      </c>
      <c r="AV1" s="186" t="s">
        <v>117</v>
      </c>
      <c r="AW1" s="186" t="s">
        <v>118</v>
      </c>
      <c r="AX1" s="186" t="s">
        <v>119</v>
      </c>
      <c r="AY1" s="186" t="s">
        <v>120</v>
      </c>
      <c r="AZ1" s="186" t="s">
        <v>121</v>
      </c>
      <c r="BA1" s="186" t="s">
        <v>122</v>
      </c>
      <c r="BB1" s="186" t="s">
        <v>123</v>
      </c>
      <c r="BC1" s="186" t="s">
        <v>110</v>
      </c>
      <c r="BD1" s="186" t="s">
        <v>111</v>
      </c>
      <c r="BE1" s="186" t="s">
        <v>112</v>
      </c>
      <c r="BF1" s="186" t="s">
        <v>113</v>
      </c>
      <c r="BG1" s="186" t="s">
        <v>114</v>
      </c>
      <c r="BH1" s="186" t="s">
        <v>115</v>
      </c>
      <c r="BI1" s="186" t="s">
        <v>116</v>
      </c>
      <c r="BJ1" s="186" t="s">
        <v>117</v>
      </c>
      <c r="BK1" s="186" t="s">
        <v>118</v>
      </c>
      <c r="BL1" s="186" t="s">
        <v>119</v>
      </c>
      <c r="BM1" s="186" t="s">
        <v>120</v>
      </c>
      <c r="BN1" s="186" t="s">
        <v>121</v>
      </c>
      <c r="BO1" s="186" t="s">
        <v>122</v>
      </c>
      <c r="BP1" s="186" t="s">
        <v>123</v>
      </c>
      <c r="BQ1" s="186" t="s">
        <v>110</v>
      </c>
      <c r="BR1" s="186" t="s">
        <v>111</v>
      </c>
      <c r="BS1" s="186" t="s">
        <v>112</v>
      </c>
      <c r="BT1" s="187" t="s">
        <v>113</v>
      </c>
      <c r="BU1" s="187" t="s">
        <v>114</v>
      </c>
      <c r="BV1" s="187" t="s">
        <v>115</v>
      </c>
      <c r="BW1" s="187" t="s">
        <v>116</v>
      </c>
      <c r="BX1" s="187" t="s">
        <v>117</v>
      </c>
      <c r="BY1" s="187" t="s">
        <v>118</v>
      </c>
      <c r="BZ1" s="187" t="s">
        <v>119</v>
      </c>
      <c r="CA1" s="187" t="s">
        <v>120</v>
      </c>
      <c r="CB1" s="187" t="s">
        <v>121</v>
      </c>
      <c r="CC1" s="187" t="s">
        <v>122</v>
      </c>
      <c r="CD1" s="187" t="s">
        <v>123</v>
      </c>
      <c r="CE1" s="187" t="s">
        <v>110</v>
      </c>
      <c r="CF1" s="187" t="s">
        <v>111</v>
      </c>
      <c r="CG1" s="187" t="s">
        <v>112</v>
      </c>
      <c r="CH1" s="187" t="s">
        <v>113</v>
      </c>
      <c r="CI1" s="187" t="s">
        <v>114</v>
      </c>
      <c r="CJ1" s="187" t="s">
        <v>115</v>
      </c>
      <c r="CK1" s="187" t="s">
        <v>116</v>
      </c>
      <c r="CL1" s="187" t="s">
        <v>117</v>
      </c>
      <c r="CM1" s="187" t="s">
        <v>118</v>
      </c>
      <c r="CN1" s="187" t="s">
        <v>119</v>
      </c>
      <c r="CO1" s="187" t="s">
        <v>120</v>
      </c>
      <c r="CP1" s="187" t="s">
        <v>121</v>
      </c>
      <c r="CQ1" s="187" t="s">
        <v>122</v>
      </c>
      <c r="CR1" s="187" t="s">
        <v>123</v>
      </c>
      <c r="CS1" s="187" t="s">
        <v>110</v>
      </c>
      <c r="CT1" s="187" t="s">
        <v>111</v>
      </c>
      <c r="CU1" s="187" t="s">
        <v>112</v>
      </c>
      <c r="CV1" s="187" t="s">
        <v>113</v>
      </c>
      <c r="CW1" s="187" t="s">
        <v>114</v>
      </c>
      <c r="CX1" s="187" t="s">
        <v>115</v>
      </c>
      <c r="CY1" s="187" t="s">
        <v>116</v>
      </c>
      <c r="CZ1" s="187" t="s">
        <v>117</v>
      </c>
      <c r="DA1" s="187" t="s">
        <v>118</v>
      </c>
      <c r="DB1" s="187" t="s">
        <v>119</v>
      </c>
      <c r="DC1" s="187" t="s">
        <v>120</v>
      </c>
      <c r="DD1" s="187" t="s">
        <v>121</v>
      </c>
      <c r="DE1" s="187" t="s">
        <v>122</v>
      </c>
      <c r="DF1" s="187" t="s">
        <v>123</v>
      </c>
      <c r="DG1" s="187" t="s">
        <v>110</v>
      </c>
      <c r="DH1" s="187" t="s">
        <v>111</v>
      </c>
      <c r="DI1" s="187" t="s">
        <v>112</v>
      </c>
      <c r="DJ1" s="187" t="s">
        <v>113</v>
      </c>
      <c r="DK1" s="187" t="s">
        <v>114</v>
      </c>
      <c r="DL1" s="187" t="s">
        <v>115</v>
      </c>
      <c r="DM1" s="187" t="s">
        <v>116</v>
      </c>
      <c r="DN1" s="187" t="s">
        <v>117</v>
      </c>
      <c r="DO1" s="187" t="s">
        <v>118</v>
      </c>
      <c r="DP1" s="187" t="s">
        <v>119</v>
      </c>
      <c r="DQ1" s="187" t="s">
        <v>120</v>
      </c>
      <c r="DR1" s="187" t="s">
        <v>121</v>
      </c>
      <c r="DS1" s="187" t="s">
        <v>122</v>
      </c>
      <c r="DT1" s="187" t="s">
        <v>123</v>
      </c>
      <c r="DU1" s="187" t="s">
        <v>110</v>
      </c>
      <c r="DV1" s="187" t="s">
        <v>111</v>
      </c>
      <c r="DW1" s="187" t="s">
        <v>112</v>
      </c>
      <c r="DX1" s="187" t="s">
        <v>113</v>
      </c>
      <c r="DY1" s="187" t="s">
        <v>114</v>
      </c>
      <c r="DZ1" s="187" t="s">
        <v>115</v>
      </c>
      <c r="EA1" s="187" t="s">
        <v>116</v>
      </c>
      <c r="EB1" s="187" t="s">
        <v>117</v>
      </c>
      <c r="EC1" s="187" t="s">
        <v>118</v>
      </c>
      <c r="ED1" s="187" t="s">
        <v>119</v>
      </c>
      <c r="EE1" s="187" t="s">
        <v>120</v>
      </c>
      <c r="EF1" s="187" t="s">
        <v>121</v>
      </c>
      <c r="EG1" s="187" t="s">
        <v>122</v>
      </c>
      <c r="EH1" s="187" t="s">
        <v>123</v>
      </c>
      <c r="EI1" s="187" t="s">
        <v>110</v>
      </c>
      <c r="EJ1" s="187" t="s">
        <v>111</v>
      </c>
      <c r="EK1" s="187" t="s">
        <v>112</v>
      </c>
      <c r="EL1" s="187" t="s">
        <v>113</v>
      </c>
      <c r="EM1" s="187" t="s">
        <v>114</v>
      </c>
      <c r="EN1" s="187" t="s">
        <v>115</v>
      </c>
      <c r="EO1" s="187" t="s">
        <v>116</v>
      </c>
      <c r="EP1" s="187" t="s">
        <v>117</v>
      </c>
      <c r="EQ1" s="187" t="s">
        <v>118</v>
      </c>
      <c r="ER1" s="187" t="s">
        <v>119</v>
      </c>
      <c r="ES1" s="187" t="s">
        <v>120</v>
      </c>
      <c r="ET1" s="187" t="s">
        <v>121</v>
      </c>
      <c r="EU1" s="187" t="s">
        <v>122</v>
      </c>
      <c r="EV1" s="187" t="s">
        <v>123</v>
      </c>
      <c r="EW1" s="187" t="s">
        <v>110</v>
      </c>
      <c r="EX1" s="187" t="s">
        <v>111</v>
      </c>
      <c r="EY1" s="187" t="s">
        <v>118</v>
      </c>
      <c r="EZ1" s="187" t="s">
        <v>119</v>
      </c>
      <c r="FA1" s="187" t="s">
        <v>120</v>
      </c>
      <c r="FB1" s="187" t="s">
        <v>121</v>
      </c>
      <c r="FC1" s="187" t="s">
        <v>110</v>
      </c>
      <c r="FD1" s="187" t="s">
        <v>111</v>
      </c>
      <c r="FE1" s="187" t="s">
        <v>118</v>
      </c>
      <c r="FF1" s="187" t="s">
        <v>119</v>
      </c>
      <c r="FG1" s="187" t="s">
        <v>120</v>
      </c>
      <c r="FH1" s="187" t="s">
        <v>121</v>
      </c>
      <c r="FI1" s="187" t="s">
        <v>110</v>
      </c>
      <c r="FJ1" s="187" t="s">
        <v>111</v>
      </c>
      <c r="FK1" s="187" t="s">
        <v>118</v>
      </c>
      <c r="FL1" s="187" t="s">
        <v>119</v>
      </c>
      <c r="FM1" s="187" t="s">
        <v>120</v>
      </c>
      <c r="FN1" s="187" t="s">
        <v>121</v>
      </c>
      <c r="FO1" s="187" t="s">
        <v>298</v>
      </c>
      <c r="FP1" s="187" t="s">
        <v>299</v>
      </c>
      <c r="FQ1" s="187" t="s">
        <v>110</v>
      </c>
      <c r="FR1" s="187" t="s">
        <v>111</v>
      </c>
      <c r="FS1" s="187" t="s">
        <v>118</v>
      </c>
      <c r="FT1" s="187" t="s">
        <v>119</v>
      </c>
      <c r="FU1" s="187" t="s">
        <v>120</v>
      </c>
      <c r="FV1" s="187" t="s">
        <v>121</v>
      </c>
      <c r="FW1" s="187" t="s">
        <v>298</v>
      </c>
      <c r="FX1" s="187" t="s">
        <v>299</v>
      </c>
      <c r="FY1" s="187" t="s">
        <v>110</v>
      </c>
      <c r="FZ1" s="187" t="s">
        <v>111</v>
      </c>
      <c r="GA1" s="187" t="s">
        <v>118</v>
      </c>
      <c r="GB1" s="187" t="s">
        <v>119</v>
      </c>
      <c r="GC1" s="187" t="s">
        <v>120</v>
      </c>
      <c r="GD1" s="187" t="s">
        <v>121</v>
      </c>
      <c r="GE1" s="187" t="s">
        <v>298</v>
      </c>
      <c r="GF1" s="187" t="s">
        <v>299</v>
      </c>
      <c r="GG1" s="187" t="s">
        <v>110</v>
      </c>
      <c r="GH1" s="187" t="s">
        <v>111</v>
      </c>
      <c r="GI1" s="187" t="s">
        <v>118</v>
      </c>
      <c r="GJ1" s="187" t="s">
        <v>119</v>
      </c>
      <c r="GK1" s="187" t="s">
        <v>120</v>
      </c>
      <c r="GL1" s="187" t="s">
        <v>121</v>
      </c>
      <c r="GM1" s="187" t="s">
        <v>298</v>
      </c>
      <c r="GN1" s="187" t="s">
        <v>299</v>
      </c>
      <c r="GO1" s="187" t="s">
        <v>110</v>
      </c>
      <c r="GP1" s="187" t="s">
        <v>111</v>
      </c>
      <c r="GQ1" s="187" t="s">
        <v>118</v>
      </c>
      <c r="GR1" s="187" t="s">
        <v>119</v>
      </c>
      <c r="GS1" s="187" t="s">
        <v>120</v>
      </c>
      <c r="GT1" s="187" t="s">
        <v>121</v>
      </c>
      <c r="GU1" s="187" t="s">
        <v>298</v>
      </c>
      <c r="GV1" s="187" t="s">
        <v>299</v>
      </c>
      <c r="GW1" s="187" t="s">
        <v>110</v>
      </c>
      <c r="GX1" s="187" t="s">
        <v>111</v>
      </c>
      <c r="GY1" s="187" t="s">
        <v>118</v>
      </c>
      <c r="GZ1" s="187" t="s">
        <v>119</v>
      </c>
      <c r="HA1" s="187" t="s">
        <v>120</v>
      </c>
      <c r="HB1" s="187" t="s">
        <v>121</v>
      </c>
      <c r="HC1" s="187" t="s">
        <v>298</v>
      </c>
      <c r="HD1" s="187" t="s">
        <v>299</v>
      </c>
      <c r="HE1" s="187" t="s">
        <v>110</v>
      </c>
      <c r="HF1" s="187" t="s">
        <v>111</v>
      </c>
      <c r="HG1" s="187" t="s">
        <v>118</v>
      </c>
      <c r="HH1" s="187" t="s">
        <v>119</v>
      </c>
      <c r="HI1" s="187" t="s">
        <v>120</v>
      </c>
      <c r="HJ1" s="187" t="s">
        <v>121</v>
      </c>
      <c r="HK1" s="187" t="s">
        <v>298</v>
      </c>
      <c r="HL1" s="187" t="s">
        <v>299</v>
      </c>
      <c r="HM1" s="187" t="s">
        <v>110</v>
      </c>
      <c r="HN1" s="187" t="s">
        <v>111</v>
      </c>
      <c r="HO1" s="187" t="s">
        <v>118</v>
      </c>
      <c r="HP1" s="187" t="s">
        <v>119</v>
      </c>
      <c r="HQ1" s="187" t="s">
        <v>120</v>
      </c>
      <c r="HR1" s="187" t="s">
        <v>121</v>
      </c>
      <c r="HS1" s="187" t="s">
        <v>298</v>
      </c>
      <c r="HT1" s="187" t="s">
        <v>299</v>
      </c>
      <c r="HU1" s="187" t="s">
        <v>110</v>
      </c>
      <c r="HV1" s="187" t="s">
        <v>111</v>
      </c>
      <c r="HW1" s="187" t="s">
        <v>118</v>
      </c>
      <c r="HX1" s="187" t="s">
        <v>119</v>
      </c>
      <c r="HY1" s="187" t="s">
        <v>120</v>
      </c>
      <c r="HZ1" s="187" t="s">
        <v>121</v>
      </c>
      <c r="IA1" s="187" t="s">
        <v>298</v>
      </c>
      <c r="IB1" s="187" t="s">
        <v>299</v>
      </c>
      <c r="IC1" s="187" t="s">
        <v>110</v>
      </c>
      <c r="ID1" s="187" t="s">
        <v>111</v>
      </c>
      <c r="IE1" s="187" t="s">
        <v>118</v>
      </c>
      <c r="IF1" s="187" t="s">
        <v>119</v>
      </c>
      <c r="IG1" s="187" t="s">
        <v>120</v>
      </c>
      <c r="IH1" s="187" t="s">
        <v>121</v>
      </c>
      <c r="II1" s="187" t="s">
        <v>298</v>
      </c>
      <c r="IJ1" s="187" t="s">
        <v>299</v>
      </c>
      <c r="IK1" s="187" t="s">
        <v>110</v>
      </c>
      <c r="IL1" s="187" t="s">
        <v>111</v>
      </c>
      <c r="IM1" s="187" t="s">
        <v>118</v>
      </c>
      <c r="IN1" s="187" t="s">
        <v>119</v>
      </c>
      <c r="IO1" s="187" t="s">
        <v>120</v>
      </c>
      <c r="IP1" s="187" t="s">
        <v>121</v>
      </c>
      <c r="IQ1" s="187" t="s">
        <v>298</v>
      </c>
      <c r="IR1" s="187" t="s">
        <v>299</v>
      </c>
      <c r="IS1" s="187" t="s">
        <v>110</v>
      </c>
      <c r="IT1" s="187" t="s">
        <v>111</v>
      </c>
      <c r="IU1" s="187" t="s">
        <v>118</v>
      </c>
      <c r="IV1" s="187" t="s">
        <v>119</v>
      </c>
      <c r="IW1" s="187" t="s">
        <v>120</v>
      </c>
      <c r="IX1" s="187" t="s">
        <v>121</v>
      </c>
      <c r="IY1" s="187" t="s">
        <v>298</v>
      </c>
      <c r="IZ1" s="187" t="s">
        <v>299</v>
      </c>
      <c r="JA1" s="187" t="s">
        <v>110</v>
      </c>
      <c r="JB1" s="187" t="s">
        <v>111</v>
      </c>
      <c r="JC1" s="187" t="s">
        <v>118</v>
      </c>
      <c r="JD1" s="187" t="s">
        <v>119</v>
      </c>
      <c r="JE1" s="187" t="s">
        <v>120</v>
      </c>
      <c r="JF1" s="187" t="s">
        <v>121</v>
      </c>
      <c r="JG1" s="187" t="s">
        <v>298</v>
      </c>
      <c r="JH1" s="187" t="s">
        <v>299</v>
      </c>
      <c r="JI1" s="187" t="s">
        <v>110</v>
      </c>
      <c r="JJ1" s="187" t="s">
        <v>111</v>
      </c>
      <c r="JK1" s="187" t="s">
        <v>118</v>
      </c>
      <c r="JL1" s="187" t="s">
        <v>119</v>
      </c>
      <c r="JM1" s="187" t="s">
        <v>120</v>
      </c>
      <c r="JN1" s="187" t="s">
        <v>121</v>
      </c>
      <c r="JO1" s="187" t="s">
        <v>298</v>
      </c>
      <c r="JP1" s="187" t="s">
        <v>299</v>
      </c>
      <c r="JQ1" s="187" t="s">
        <v>110</v>
      </c>
      <c r="JR1" s="187" t="s">
        <v>111</v>
      </c>
      <c r="JS1" s="187" t="s">
        <v>118</v>
      </c>
      <c r="JT1" s="187" t="s">
        <v>119</v>
      </c>
      <c r="JU1" s="187" t="s">
        <v>120</v>
      </c>
      <c r="JV1" s="187" t="s">
        <v>121</v>
      </c>
      <c r="JW1" s="187" t="s">
        <v>298</v>
      </c>
      <c r="JX1" s="187" t="s">
        <v>299</v>
      </c>
      <c r="JY1" s="187" t="s">
        <v>110</v>
      </c>
      <c r="JZ1" s="187" t="s">
        <v>111</v>
      </c>
      <c r="KA1" s="187" t="s">
        <v>118</v>
      </c>
      <c r="KB1" s="187" t="s">
        <v>119</v>
      </c>
      <c r="KC1" s="187" t="s">
        <v>120</v>
      </c>
      <c r="KD1" s="187" t="s">
        <v>121</v>
      </c>
      <c r="KE1" s="187" t="s">
        <v>298</v>
      </c>
      <c r="KF1" s="187" t="s">
        <v>299</v>
      </c>
      <c r="KG1" s="187" t="s">
        <v>110</v>
      </c>
      <c r="KH1" s="187" t="s">
        <v>111</v>
      </c>
      <c r="KI1" s="187" t="s">
        <v>118</v>
      </c>
      <c r="KJ1" s="187" t="s">
        <v>119</v>
      </c>
      <c r="KK1" s="187" t="s">
        <v>120</v>
      </c>
      <c r="KL1" s="187" t="s">
        <v>121</v>
      </c>
      <c r="KM1" s="187" t="s">
        <v>298</v>
      </c>
      <c r="KN1" s="187" t="s">
        <v>299</v>
      </c>
      <c r="KO1" s="187" t="s">
        <v>110</v>
      </c>
      <c r="KP1" s="187" t="s">
        <v>111</v>
      </c>
      <c r="KQ1" s="187" t="s">
        <v>118</v>
      </c>
      <c r="KR1" s="187" t="s">
        <v>119</v>
      </c>
      <c r="KS1" s="187" t="s">
        <v>120</v>
      </c>
      <c r="KT1" s="187" t="s">
        <v>121</v>
      </c>
      <c r="KU1" s="187" t="s">
        <v>298</v>
      </c>
      <c r="KV1" s="187" t="s">
        <v>299</v>
      </c>
      <c r="KW1" s="187" t="s">
        <v>110</v>
      </c>
      <c r="KX1" s="187" t="s">
        <v>111</v>
      </c>
      <c r="KY1" s="187" t="s">
        <v>118</v>
      </c>
      <c r="KZ1" s="187" t="s">
        <v>119</v>
      </c>
      <c r="LA1" s="187" t="s">
        <v>120</v>
      </c>
      <c r="LB1" s="187" t="s">
        <v>121</v>
      </c>
      <c r="LC1" s="187" t="s">
        <v>298</v>
      </c>
      <c r="LD1" s="187" t="s">
        <v>299</v>
      </c>
      <c r="LE1" s="187" t="s">
        <v>110</v>
      </c>
      <c r="LF1" s="187" t="s">
        <v>111</v>
      </c>
      <c r="LG1" s="187" t="s">
        <v>118</v>
      </c>
      <c r="LH1" s="187" t="s">
        <v>119</v>
      </c>
      <c r="LI1" s="187" t="s">
        <v>120</v>
      </c>
      <c r="LJ1" s="187" t="s">
        <v>121</v>
      </c>
      <c r="LK1" s="187" t="s">
        <v>298</v>
      </c>
      <c r="LL1" s="187" t="s">
        <v>299</v>
      </c>
      <c r="LM1" s="187" t="s">
        <v>110</v>
      </c>
      <c r="LN1" s="187" t="s">
        <v>111</v>
      </c>
      <c r="LO1" s="187" t="s">
        <v>118</v>
      </c>
      <c r="LP1" s="187" t="s">
        <v>119</v>
      </c>
      <c r="LQ1" s="187" t="s">
        <v>120</v>
      </c>
      <c r="LR1" s="187" t="s">
        <v>121</v>
      </c>
      <c r="LS1" s="187" t="s">
        <v>298</v>
      </c>
      <c r="LT1" s="187" t="s">
        <v>299</v>
      </c>
      <c r="LU1" s="187" t="s">
        <v>110</v>
      </c>
      <c r="LV1" s="187" t="s">
        <v>111</v>
      </c>
      <c r="LW1" s="187" t="s">
        <v>118</v>
      </c>
      <c r="LX1" s="187" t="s">
        <v>119</v>
      </c>
      <c r="LY1" s="187" t="s">
        <v>120</v>
      </c>
      <c r="LZ1" s="187" t="s">
        <v>121</v>
      </c>
      <c r="MA1" s="187" t="s">
        <v>298</v>
      </c>
      <c r="MB1" s="187" t="s">
        <v>299</v>
      </c>
      <c r="MC1" s="187" t="s">
        <v>110</v>
      </c>
      <c r="MD1" s="187" t="s">
        <v>111</v>
      </c>
      <c r="ME1" s="187" t="s">
        <v>118</v>
      </c>
      <c r="MF1" s="187" t="s">
        <v>119</v>
      </c>
      <c r="MG1" s="187" t="s">
        <v>120</v>
      </c>
      <c r="MH1" s="187" t="s">
        <v>121</v>
      </c>
      <c r="MI1" s="187" t="s">
        <v>298</v>
      </c>
      <c r="MJ1" s="187" t="s">
        <v>299</v>
      </c>
      <c r="MK1" s="187" t="s">
        <v>110</v>
      </c>
      <c r="ML1" s="187" t="s">
        <v>111</v>
      </c>
      <c r="MM1" s="187" t="s">
        <v>118</v>
      </c>
      <c r="MN1" s="187" t="s">
        <v>119</v>
      </c>
      <c r="MO1" s="187" t="s">
        <v>120</v>
      </c>
      <c r="MP1" s="187" t="s">
        <v>121</v>
      </c>
      <c r="MQ1" s="187" t="s">
        <v>298</v>
      </c>
      <c r="MR1" s="187" t="s">
        <v>299</v>
      </c>
      <c r="MS1" s="187" t="s">
        <v>110</v>
      </c>
      <c r="MT1" s="187" t="s">
        <v>111</v>
      </c>
      <c r="MU1" s="187" t="s">
        <v>118</v>
      </c>
      <c r="MV1" s="187" t="s">
        <v>119</v>
      </c>
      <c r="MW1" s="187" t="s">
        <v>120</v>
      </c>
      <c r="MX1" s="187" t="s">
        <v>121</v>
      </c>
      <c r="MY1" s="187" t="s">
        <v>298</v>
      </c>
      <c r="MZ1" s="187" t="s">
        <v>299</v>
      </c>
      <c r="NA1" s="187" t="s">
        <v>110</v>
      </c>
      <c r="NB1" s="187" t="s">
        <v>111</v>
      </c>
      <c r="NC1" s="187" t="s">
        <v>118</v>
      </c>
      <c r="ND1" s="187" t="s">
        <v>119</v>
      </c>
      <c r="NE1" s="187" t="s">
        <v>120</v>
      </c>
      <c r="NF1" s="187" t="s">
        <v>121</v>
      </c>
      <c r="NG1" s="187" t="s">
        <v>298</v>
      </c>
      <c r="NH1" s="187" t="s">
        <v>299</v>
      </c>
      <c r="NI1" s="187" t="s">
        <v>124</v>
      </c>
      <c r="NJ1" s="187" t="s">
        <v>125</v>
      </c>
      <c r="NK1" s="187" t="s">
        <v>126</v>
      </c>
      <c r="NL1" s="187" t="s">
        <v>244</v>
      </c>
      <c r="NM1" s="187" t="s">
        <v>245</v>
      </c>
      <c r="NN1" s="187" t="s">
        <v>246</v>
      </c>
      <c r="NO1" s="187" t="s">
        <v>247</v>
      </c>
      <c r="NP1" s="187" t="s">
        <v>248</v>
      </c>
    </row>
    <row r="2" spans="1:380" x14ac:dyDescent="0.2">
      <c r="J2" s="61"/>
    </row>
    <row r="3" spans="1:380" x14ac:dyDescent="0.2">
      <c r="J3" s="61"/>
    </row>
    <row r="4" spans="1:380" x14ac:dyDescent="0.2">
      <c r="J4" s="61"/>
    </row>
    <row r="5" spans="1:380" x14ac:dyDescent="0.2">
      <c r="J5" s="61"/>
    </row>
    <row r="6" spans="1:380" x14ac:dyDescent="0.2">
      <c r="J6" s="61"/>
    </row>
    <row r="391" spans="2:2" x14ac:dyDescent="0.2">
      <c r="B391" s="60" t="s">
        <v>524</v>
      </c>
    </row>
  </sheetData>
  <sheetProtection formatColumns="0" formatRows="0"/>
  <pageMargins left="0.5" right="0.5" top="1" bottom="1" header="0.25" footer="0.25"/>
  <pageSetup scale="58" orientation="landscape" r:id="rId1"/>
  <headerFooter alignWithMargins="0">
    <oddHeader>&amp;LPart No.:
Batch No(s).: 
Cartridge No. (LSP): &amp;C&amp;12Product QC Testing Worksheet-MTB/XDR&amp;RDocument Number: D37339 Attachment 1
Rev: M
Effective: 5/21/2026
p. &amp;P of &amp;N</oddHeader>
    <oddFooter>&amp;C User is responsible for using the current revision. The controlled current released revision of this document resides in the Agile PLM system.
Cepheid Confidential    Date Printed: &amp;D      &amp;T</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339"/>
  <sheetViews>
    <sheetView zoomScaleNormal="100" zoomScaleSheetLayoutView="100" workbookViewId="0"/>
  </sheetViews>
  <sheetFormatPr defaultColWidth="9.140625" defaultRowHeight="12.75" x14ac:dyDescent="0.2"/>
  <cols>
    <col min="1" max="1" width="22.42578125" style="58" bestFit="1" customWidth="1"/>
    <col min="2" max="2" width="38.85546875" style="66" customWidth="1"/>
    <col min="3" max="3" width="65.140625" style="65" customWidth="1"/>
    <col min="4" max="4" width="18.85546875" style="58" customWidth="1"/>
    <col min="5" max="5" width="63.85546875" style="63" customWidth="1"/>
    <col min="6" max="6" width="72.42578125" style="58" customWidth="1"/>
    <col min="7" max="16384" width="9.140625" style="58"/>
  </cols>
  <sheetData>
    <row r="1" spans="1:5" ht="21" customHeight="1" x14ac:dyDescent="0.2">
      <c r="A1" s="355" t="s">
        <v>127</v>
      </c>
      <c r="B1" s="355"/>
      <c r="C1" s="355"/>
      <c r="D1" s="355"/>
      <c r="E1" s="355"/>
    </row>
    <row r="2" spans="1:5" s="83" customFormat="1" ht="15.75" x14ac:dyDescent="0.2">
      <c r="A2" s="320" t="s">
        <v>84</v>
      </c>
      <c r="B2" s="320"/>
      <c r="C2" s="87" t="str">
        <f>'Test Summary'!B3</f>
        <v>GXMTBXDR10</v>
      </c>
      <c r="D2" s="79"/>
      <c r="E2" s="79"/>
    </row>
    <row r="3" spans="1:5" s="83" customFormat="1" ht="15.75" x14ac:dyDescent="0.2">
      <c r="A3" s="320" t="s">
        <v>147</v>
      </c>
      <c r="B3" s="320"/>
      <c r="C3" s="87">
        <f>IF('Test Summary'!$B$4="","",'Test Summary'!$B$4)</f>
        <v>12602</v>
      </c>
      <c r="D3" s="90"/>
      <c r="E3" s="82"/>
    </row>
    <row r="4" spans="1:5" s="83" customFormat="1" ht="15.75" x14ac:dyDescent="0.2">
      <c r="A4" s="320" t="s">
        <v>148</v>
      </c>
      <c r="B4" s="320"/>
      <c r="C4" s="87" t="str">
        <f>IF('Test Summary'!$B$3="","",LOOKUP('Test Summary'!$B$3,Specifications!$A$11:$A$14,Specifications!$B$11:$B$14))</f>
        <v>Xpert MTB-XDR</v>
      </c>
      <c r="D4" s="90"/>
      <c r="E4" s="82"/>
    </row>
    <row r="5" spans="1:5" hidden="1" x14ac:dyDescent="0.2">
      <c r="A5" s="67"/>
      <c r="B5" s="68"/>
    </row>
    <row r="6" spans="1:5" s="83" customFormat="1" ht="31.5" hidden="1" x14ac:dyDescent="0.2">
      <c r="A6" s="86" t="s">
        <v>188</v>
      </c>
      <c r="B6" s="89">
        <v>0</v>
      </c>
      <c r="C6" s="88" t="s">
        <v>130</v>
      </c>
      <c r="D6" s="361">
        <f>COUNTIF('Data - First 10'!A2:A11,"&lt;&gt;"&amp;"")</f>
        <v>10</v>
      </c>
      <c r="E6" s="362"/>
    </row>
    <row r="7" spans="1:5" s="83" customFormat="1" ht="19.350000000000001" hidden="1" customHeight="1" x14ac:dyDescent="0.2">
      <c r="A7" s="84" t="s">
        <v>146</v>
      </c>
      <c r="B7" s="87" t="str">
        <f>IF($C$3="","",IF($D$6=0,"NO DATA",IF(COUNTIF('Data - First 10'!$E:$E,$C$3)=$D$6,"VALID","")))</f>
        <v>VALID</v>
      </c>
      <c r="C7" s="88" t="s">
        <v>128</v>
      </c>
      <c r="D7" s="361" t="str">
        <f>IF($C$4="","",IF(D6=0,"NO DATA",IF(COUNTIF('Data - First 10'!$A:$A,$C$4)=D6,"VALID","")))</f>
        <v>VALID</v>
      </c>
      <c r="E7" s="362"/>
    </row>
    <row r="8" spans="1:5" s="83" customFormat="1" ht="31.5" hidden="1" x14ac:dyDescent="0.2">
      <c r="A8" s="88" t="s">
        <v>161</v>
      </c>
      <c r="B8" s="153" t="str">
        <f>IF(Specifications!$B$8=$D$6,"PASS","FAIL")</f>
        <v>PASS</v>
      </c>
      <c r="C8" s="95" t="s">
        <v>65</v>
      </c>
      <c r="D8" s="398" t="str">
        <f>LOOKUP($C$2,Specifications!$A$11:$A$14,Specifications!$D$11:D$14)</f>
        <v>MTB NOT DETECTED</v>
      </c>
      <c r="E8" s="399"/>
    </row>
    <row r="9" spans="1:5" hidden="1" x14ac:dyDescent="0.2">
      <c r="A9" s="69" t="s">
        <v>96</v>
      </c>
      <c r="B9" s="70" t="s">
        <v>131</v>
      </c>
      <c r="C9" s="71" t="s">
        <v>132</v>
      </c>
      <c r="D9" s="69" t="s">
        <v>133</v>
      </c>
      <c r="E9" s="72" t="s">
        <v>282</v>
      </c>
    </row>
    <row r="10" spans="1:5" hidden="1" x14ac:dyDescent="0.2">
      <c r="A10" s="73"/>
      <c r="B10" s="74"/>
      <c r="C10" s="75"/>
      <c r="D10" s="76"/>
      <c r="E10" s="64"/>
    </row>
    <row r="11" spans="1:5" hidden="1" x14ac:dyDescent="0.2">
      <c r="A11" s="73"/>
      <c r="B11" s="74"/>
      <c r="C11" s="75"/>
      <c r="D11" s="76"/>
      <c r="E11" s="64"/>
    </row>
    <row r="12" spans="1:5" hidden="1" x14ac:dyDescent="0.2">
      <c r="A12" s="73"/>
      <c r="B12" s="74"/>
      <c r="C12" s="75"/>
      <c r="D12" s="76"/>
      <c r="E12" s="78"/>
    </row>
    <row r="13" spans="1:5" hidden="1" x14ac:dyDescent="0.2">
      <c r="A13" s="73"/>
      <c r="B13" s="74"/>
      <c r="C13" s="75"/>
      <c r="D13" s="76"/>
      <c r="E13" s="64"/>
    </row>
    <row r="14" spans="1:5" hidden="1" x14ac:dyDescent="0.2">
      <c r="A14" s="73"/>
      <c r="B14" s="74"/>
      <c r="C14" s="75"/>
      <c r="D14" s="76"/>
      <c r="E14" s="64"/>
    </row>
    <row r="15" spans="1:5" hidden="1" x14ac:dyDescent="0.2">
      <c r="A15" s="73"/>
      <c r="B15" s="74"/>
      <c r="C15" s="75"/>
      <c r="D15" s="76"/>
      <c r="E15" s="64"/>
    </row>
    <row r="16" spans="1:5" hidden="1" x14ac:dyDescent="0.2">
      <c r="A16" s="73"/>
      <c r="B16" s="74"/>
      <c r="C16" s="75"/>
      <c r="D16" s="76"/>
      <c r="E16" s="64"/>
    </row>
    <row r="17" spans="1:5" hidden="1" x14ac:dyDescent="0.2">
      <c r="A17" s="73"/>
      <c r="B17" s="74"/>
      <c r="C17" s="75"/>
      <c r="D17" s="76"/>
      <c r="E17" s="64"/>
    </row>
    <row r="18" spans="1:5" hidden="1" x14ac:dyDescent="0.2">
      <c r="A18" s="73"/>
      <c r="B18" s="74"/>
      <c r="C18" s="75"/>
      <c r="D18" s="76"/>
      <c r="E18" s="64"/>
    </row>
    <row r="19" spans="1:5" hidden="1" x14ac:dyDescent="0.2">
      <c r="A19" s="73"/>
      <c r="B19" s="74"/>
      <c r="C19" s="75"/>
      <c r="D19" s="76"/>
      <c r="E19" s="64"/>
    </row>
    <row r="20" spans="1:5" hidden="1" x14ac:dyDescent="0.2"/>
    <row r="21" spans="1:5" s="83" customFormat="1" ht="15.75" x14ac:dyDescent="0.2">
      <c r="A21" s="84" t="s">
        <v>143</v>
      </c>
      <c r="B21" s="85">
        <v>0</v>
      </c>
      <c r="C21" s="88" t="s">
        <v>130</v>
      </c>
      <c r="D21" s="363">
        <f>COUNTIF('Data - Sample Type 0'!A104:A203,"&lt;&gt;"&amp;"")</f>
        <v>0</v>
      </c>
      <c r="E21" s="363"/>
    </row>
    <row r="22" spans="1:5" s="83" customFormat="1" ht="15.75" x14ac:dyDescent="0.2">
      <c r="A22" s="84" t="s">
        <v>146</v>
      </c>
      <c r="B22" s="87" t="str">
        <f>IF($C$3="","",IF(D21=0,"NO DATA",IF(COUNTIF('Data - Sample Type 0'!$E$104:$E$203,$C$3)=D21,"VALID","")))</f>
        <v>NO DATA</v>
      </c>
      <c r="C22" s="88" t="s">
        <v>128</v>
      </c>
      <c r="D22" s="363" t="str">
        <f>IF($C$4="","",IF(D21=0,"NO DATA",IF(COUNTIF('Data - Sample Type 0'!$A$104:$A$203,$C$4)=D21,"VALID","")))</f>
        <v>NO DATA</v>
      </c>
      <c r="E22" s="363"/>
    </row>
    <row r="23" spans="1:5" s="83" customFormat="1" ht="31.5" x14ac:dyDescent="0.2">
      <c r="A23" s="88" t="s">
        <v>161</v>
      </c>
      <c r="B23" s="164" t="str">
        <f>IF(Specifications!$B$6=$D$21,"PASS","FAIL")</f>
        <v>FAIL</v>
      </c>
      <c r="C23" s="95" t="s">
        <v>65</v>
      </c>
      <c r="D23" s="360" t="str">
        <f>LOOKUP($C$2,Specifications!$A$11:$A$14,Specifications!$D$11:D$14)</f>
        <v>MTB NOT DETECTED</v>
      </c>
      <c r="E23" s="360"/>
    </row>
    <row r="24" spans="1:5" x14ac:dyDescent="0.2">
      <c r="A24" s="69" t="s">
        <v>96</v>
      </c>
      <c r="B24" s="70" t="s">
        <v>131</v>
      </c>
      <c r="C24" s="71" t="s">
        <v>132</v>
      </c>
      <c r="D24" s="69" t="s">
        <v>133</v>
      </c>
      <c r="E24" s="72" t="s">
        <v>282</v>
      </c>
    </row>
    <row r="25" spans="1:5" x14ac:dyDescent="0.2">
      <c r="A25" s="73" t="str">
        <f>IF('Data - Sample Type 0'!C104="","",'Data - Sample Type 0'!C104)</f>
        <v/>
      </c>
      <c r="B25" s="74" t="str">
        <f>IF('Data - Sample Type 0'!L104="","",'Data - Sample Type 0'!L104)</f>
        <v/>
      </c>
      <c r="C25" s="75" t="str">
        <f>IF(B25="","",IF(B25="INVALID",IF('Data - Sample Type 0'!NK104="","INVALID",'Data - Sample Type 0'!NK104),IF(B25="ERROR",'Data - Sample Type 0'!NK104,IF(B25="NO RESULT",'Data - Sample Type 0'!NK104,IF(B25="V","MINOR VISUAL",IF(B25="M","MAJOR VISUAL",IF(B25="B","BARCODE FAIL",IF(B25="D","DELAMINATION",IF('Data - Sample Type 0'!Q104="","DATA ENTRY ERROR",IF(B25=$D$23,"PASS","MAJOR FUNCTIONAL"))))))))))</f>
        <v/>
      </c>
      <c r="D25" s="77" t="str">
        <f>IF(C25="","",IF('Data - Sample Type 0'!NI104="","N/A",IF('Data - Sample Type 0'!NI104&lt;Specifications!$D$3,"PASS","FAIL")))</f>
        <v/>
      </c>
      <c r="E25" s="64"/>
    </row>
    <row r="26" spans="1:5" x14ac:dyDescent="0.2">
      <c r="A26" s="73" t="str">
        <f>IF('Data - Sample Type 0'!C105="","",'Data - Sample Type 0'!C105)</f>
        <v/>
      </c>
      <c r="B26" s="74" t="str">
        <f>IF('Data - Sample Type 0'!L105="","",'Data - Sample Type 0'!L105)</f>
        <v/>
      </c>
      <c r="C26" s="75" t="str">
        <f>IF(B26="","",IF(B26="INVALID",IF('Data - Sample Type 0'!NK105="","INVALID",'Data - Sample Type 0'!NK105),IF(B26="ERROR",'Data - Sample Type 0'!NK105,IF(B26="NO RESULT",'Data - Sample Type 0'!NK105,IF(B26="V","MINOR VISUAL",IF(B26="M","MAJOR VISUAL",IF(B26="B","BARCODE FAIL",IF(B26="D","DELAMINATION",IF('Data - Sample Type 0'!Q105="","DATA ENTRY ERROR",IF(B26=$D$23,"PASS","MAJOR FUNCTIONAL"))))))))))</f>
        <v/>
      </c>
      <c r="D26" s="77" t="str">
        <f>IF(C26="","",IF('Data - Sample Type 0'!NI105="","N/A",IF('Data - Sample Type 0'!NI105&lt;Specifications!$D$3,"PASS","FAIL")))</f>
        <v/>
      </c>
      <c r="E26" s="64"/>
    </row>
    <row r="27" spans="1:5" x14ac:dyDescent="0.2">
      <c r="A27" s="73" t="str">
        <f>IF('Data - Sample Type 0'!C106="","",'Data - Sample Type 0'!C106)</f>
        <v/>
      </c>
      <c r="B27" s="74" t="str">
        <f>IF('Data - Sample Type 0'!L106="","",'Data - Sample Type 0'!L106)</f>
        <v/>
      </c>
      <c r="C27" s="75" t="str">
        <f>IF(B27="","",IF(B27="INVALID",IF('Data - Sample Type 0'!NK106="","INVALID",'Data - Sample Type 0'!NK106),IF(B27="ERROR",'Data - Sample Type 0'!NK106,IF(B27="NO RESULT",'Data - Sample Type 0'!NK106,IF(B27="V","MINOR VISUAL",IF(B27="M","MAJOR VISUAL",IF(B27="B","BARCODE FAIL",IF(B27="D","DELAMINATION",IF('Data - Sample Type 0'!Q106="","DATA ENTRY ERROR",IF(B27=$D$23,"PASS","MAJOR FUNCTIONAL"))))))))))</f>
        <v/>
      </c>
      <c r="D27" s="77" t="str">
        <f>IF(C27="","",IF('Data - Sample Type 0'!NI106="","N/A",IF('Data - Sample Type 0'!NI106&lt;Specifications!$D$3,"PASS","FAIL")))</f>
        <v/>
      </c>
      <c r="E27" s="64"/>
    </row>
    <row r="28" spans="1:5" x14ac:dyDescent="0.2">
      <c r="A28" s="73" t="str">
        <f>IF('Data - Sample Type 0'!C107="","",'Data - Sample Type 0'!C107)</f>
        <v/>
      </c>
      <c r="B28" s="74" t="str">
        <f>IF('Data - Sample Type 0'!L107="","",'Data - Sample Type 0'!L107)</f>
        <v/>
      </c>
      <c r="C28" s="75" t="str">
        <f>IF(B28="","",IF(B28="INVALID",IF('Data - Sample Type 0'!NK107="","INVALID",'Data - Sample Type 0'!NK107),IF(B28="ERROR",'Data - Sample Type 0'!NK107,IF(B28="NO RESULT",'Data - Sample Type 0'!NK107,IF(B28="V","MINOR VISUAL",IF(B28="M","MAJOR VISUAL",IF(B28="B","BARCODE FAIL",IF(B28="D","DELAMINATION",IF('Data - Sample Type 0'!Q107="","DATA ENTRY ERROR",IF(B28=$D$23,"PASS","MAJOR FUNCTIONAL"))))))))))</f>
        <v/>
      </c>
      <c r="D28" s="77" t="str">
        <f>IF(C28="","",IF('Data - Sample Type 0'!NI107="","N/A",IF('Data - Sample Type 0'!NI107&lt;Specifications!$D$3,"PASS","FAIL")))</f>
        <v/>
      </c>
      <c r="E28" s="64"/>
    </row>
    <row r="29" spans="1:5" x14ac:dyDescent="0.2">
      <c r="A29" s="73" t="str">
        <f>IF('Data - Sample Type 0'!C108="","",'Data - Sample Type 0'!C108)</f>
        <v/>
      </c>
      <c r="B29" s="74" t="str">
        <f>IF('Data - Sample Type 0'!L108="","",'Data - Sample Type 0'!L108)</f>
        <v/>
      </c>
      <c r="C29" s="75" t="str">
        <f>IF(B29="","",IF(B29="INVALID",IF('Data - Sample Type 0'!NK108="","INVALID",'Data - Sample Type 0'!NK108),IF(B29="ERROR",'Data - Sample Type 0'!NK108,IF(B29="NO RESULT",'Data - Sample Type 0'!NK108,IF(B29="V","MINOR VISUAL",IF(B29="M","MAJOR VISUAL",IF(B29="B","BARCODE FAIL",IF(B29="D","DELAMINATION",IF('Data - Sample Type 0'!Q108="","DATA ENTRY ERROR",IF(B29=$D$23,"PASS","MAJOR FUNCTIONAL"))))))))))</f>
        <v/>
      </c>
      <c r="D29" s="77" t="str">
        <f>IF(C29="","",IF('Data - Sample Type 0'!NI108="","N/A",IF('Data - Sample Type 0'!NI108&lt;Specifications!$D$3,"PASS","FAIL")))</f>
        <v/>
      </c>
      <c r="E29" s="64"/>
    </row>
    <row r="30" spans="1:5" x14ac:dyDescent="0.2">
      <c r="A30" s="73" t="str">
        <f>IF('Data - Sample Type 0'!C109="","",'Data - Sample Type 0'!C109)</f>
        <v/>
      </c>
      <c r="B30" s="74" t="str">
        <f>IF('Data - Sample Type 0'!L109="","",'Data - Sample Type 0'!L109)</f>
        <v/>
      </c>
      <c r="C30" s="75" t="str">
        <f>IF(B30="","",IF(B30="INVALID",IF('Data - Sample Type 0'!NK109="","INVALID",'Data - Sample Type 0'!NK109),IF(B30="ERROR",'Data - Sample Type 0'!NK109,IF(B30="NO RESULT",'Data - Sample Type 0'!NK109,IF(B30="V","MINOR VISUAL",IF(B30="M","MAJOR VISUAL",IF(B30="B","BARCODE FAIL",IF(B30="D","DELAMINATION",IF('Data - Sample Type 0'!Q109="","DATA ENTRY ERROR",IF(B30=$D$23,"PASS","MAJOR FUNCTIONAL"))))))))))</f>
        <v/>
      </c>
      <c r="D30" s="77" t="str">
        <f>IF(C30="","",IF('Data - Sample Type 0'!NI109="","N/A",IF('Data - Sample Type 0'!NI109&lt;Specifications!$D$3,"PASS","FAIL")))</f>
        <v/>
      </c>
      <c r="E30" s="64"/>
    </row>
    <row r="31" spans="1:5" x14ac:dyDescent="0.2">
      <c r="A31" s="73" t="str">
        <f>IF('Data - Sample Type 0'!C110="","",'Data - Sample Type 0'!C110)</f>
        <v/>
      </c>
      <c r="B31" s="74" t="str">
        <f>IF('Data - Sample Type 0'!L110="","",'Data - Sample Type 0'!L110)</f>
        <v/>
      </c>
      <c r="C31" s="75" t="str">
        <f>IF(B31="","",IF(B31="INVALID",IF('Data - Sample Type 0'!NK110="","INVALID",'Data - Sample Type 0'!NK110),IF(B31="ERROR",'Data - Sample Type 0'!NK110,IF(B31="NO RESULT",'Data - Sample Type 0'!NK110,IF(B31="V","MINOR VISUAL",IF(B31="M","MAJOR VISUAL",IF(B31="B","BARCODE FAIL",IF(B31="D","DELAMINATION",IF('Data - Sample Type 0'!Q110="","DATA ENTRY ERROR",IF(B31=$D$23,"PASS","MAJOR FUNCTIONAL"))))))))))</f>
        <v/>
      </c>
      <c r="D31" s="77" t="str">
        <f>IF(C31="","",IF('Data - Sample Type 0'!NI110="","N/A",IF('Data - Sample Type 0'!NI110&lt;Specifications!$D$3,"PASS","FAIL")))</f>
        <v/>
      </c>
      <c r="E31" s="64"/>
    </row>
    <row r="32" spans="1:5" x14ac:dyDescent="0.2">
      <c r="A32" s="73" t="str">
        <f>IF('Data - Sample Type 0'!C111="","",'Data - Sample Type 0'!C111)</f>
        <v/>
      </c>
      <c r="B32" s="74" t="str">
        <f>IF('Data - Sample Type 0'!L111="","",'Data - Sample Type 0'!L111)</f>
        <v/>
      </c>
      <c r="C32" s="75" t="str">
        <f>IF(B32="","",IF(B32="INVALID",IF('Data - Sample Type 0'!NK111="","INVALID",'Data - Sample Type 0'!NK111),IF(B32="ERROR",'Data - Sample Type 0'!NK111,IF(B32="NO RESULT",'Data - Sample Type 0'!NK111,IF(B32="V","MINOR VISUAL",IF(B32="M","MAJOR VISUAL",IF(B32="B","BARCODE FAIL",IF(B32="D","DELAMINATION",IF('Data - Sample Type 0'!Q111="","DATA ENTRY ERROR",IF(B32=$D$23,"PASS","MAJOR FUNCTIONAL"))))))))))</f>
        <v/>
      </c>
      <c r="D32" s="77" t="str">
        <f>IF(C32="","",IF('Data - Sample Type 0'!NI111="","N/A",IF('Data - Sample Type 0'!NI111&lt;Specifications!$D$3,"PASS","FAIL")))</f>
        <v/>
      </c>
      <c r="E32" s="64"/>
    </row>
    <row r="33" spans="1:5" x14ac:dyDescent="0.2">
      <c r="A33" s="73" t="str">
        <f>IF('Data - Sample Type 0'!C112="","",'Data - Sample Type 0'!C112)</f>
        <v/>
      </c>
      <c r="B33" s="74" t="str">
        <f>IF('Data - Sample Type 0'!L112="","",'Data - Sample Type 0'!L112)</f>
        <v/>
      </c>
      <c r="C33" s="75" t="str">
        <f>IF(B33="","",IF(B33="INVALID",IF('Data - Sample Type 0'!NK112="","INVALID",'Data - Sample Type 0'!NK112),IF(B33="ERROR",'Data - Sample Type 0'!NK112,IF(B33="NO RESULT",'Data - Sample Type 0'!NK112,IF(B33="V","MINOR VISUAL",IF(B33="M","MAJOR VISUAL",IF(B33="B","BARCODE FAIL",IF(B33="D","DELAMINATION",IF('Data - Sample Type 0'!Q112="","DATA ENTRY ERROR",IF(B33=$D$23,"PASS","MAJOR FUNCTIONAL"))))))))))</f>
        <v/>
      </c>
      <c r="D33" s="77" t="str">
        <f>IF(C33="","",IF('Data - Sample Type 0'!NI112="","N/A",IF('Data - Sample Type 0'!NI112&lt;Specifications!$D$3,"PASS","FAIL")))</f>
        <v/>
      </c>
      <c r="E33" s="64"/>
    </row>
    <row r="34" spans="1:5" x14ac:dyDescent="0.2">
      <c r="A34" s="73" t="str">
        <f>IF('Data - Sample Type 0'!C113="","",'Data - Sample Type 0'!C113)</f>
        <v/>
      </c>
      <c r="B34" s="74" t="str">
        <f>IF('Data - Sample Type 0'!L113="","",'Data - Sample Type 0'!L113)</f>
        <v/>
      </c>
      <c r="C34" s="75" t="str">
        <f>IF(B34="","",IF(B34="INVALID",IF('Data - Sample Type 0'!NK113="","INVALID",'Data - Sample Type 0'!NK113),IF(B34="ERROR",'Data - Sample Type 0'!NK113,IF(B34="NO RESULT",'Data - Sample Type 0'!NK113,IF(B34="V","MINOR VISUAL",IF(B34="M","MAJOR VISUAL",IF(B34="B","BARCODE FAIL",IF(B34="D","DELAMINATION",IF('Data - Sample Type 0'!Q113="","DATA ENTRY ERROR",IF(B34=$D$23,"PASS","MAJOR FUNCTIONAL"))))))))))</f>
        <v/>
      </c>
      <c r="D34" s="77" t="str">
        <f>IF(C34="","",IF('Data - Sample Type 0'!NI113="","N/A",IF('Data - Sample Type 0'!NI113&lt;Specifications!$D$3,"PASS","FAIL")))</f>
        <v/>
      </c>
      <c r="E34" s="64"/>
    </row>
    <row r="35" spans="1:5" x14ac:dyDescent="0.2">
      <c r="A35" s="73" t="str">
        <f>IF('Data - Sample Type 0'!C114="","",'Data - Sample Type 0'!C114)</f>
        <v/>
      </c>
      <c r="B35" s="74" t="str">
        <f>IF('Data - Sample Type 0'!L114="","",'Data - Sample Type 0'!L114)</f>
        <v/>
      </c>
      <c r="C35" s="75" t="str">
        <f>IF(B35="","",IF(B35="INVALID",IF('Data - Sample Type 0'!NK114="","INVALID",'Data - Sample Type 0'!NK114),IF(B35="ERROR",'Data - Sample Type 0'!NK114,IF(B35="NO RESULT",'Data - Sample Type 0'!NK114,IF(B35="V","MINOR VISUAL",IF(B35="M","MAJOR VISUAL",IF(B35="B","BARCODE FAIL",IF(B35="D","DELAMINATION",IF('Data - Sample Type 0'!Q114="","DATA ENTRY ERROR",IF(B35=$D$23,"PASS","MAJOR FUNCTIONAL"))))))))))</f>
        <v/>
      </c>
      <c r="D35" s="77" t="str">
        <f>IF(C35="","",IF('Data - Sample Type 0'!NI114="","N/A",IF('Data - Sample Type 0'!NI114&lt;Specifications!$D$3,"PASS","FAIL")))</f>
        <v/>
      </c>
      <c r="E35" s="64"/>
    </row>
    <row r="36" spans="1:5" x14ac:dyDescent="0.2">
      <c r="A36" s="73" t="str">
        <f>IF('Data - Sample Type 0'!C115="","",'Data - Sample Type 0'!C115)</f>
        <v/>
      </c>
      <c r="B36" s="74" t="str">
        <f>IF('Data - Sample Type 0'!L115="","",'Data - Sample Type 0'!L115)</f>
        <v/>
      </c>
      <c r="C36" s="75" t="str">
        <f>IF(B36="","",IF(B36="INVALID",IF('Data - Sample Type 0'!NK115="","INVALID",'Data - Sample Type 0'!NK115),IF(B36="ERROR",'Data - Sample Type 0'!NK115,IF(B36="NO RESULT",'Data - Sample Type 0'!NK115,IF(B36="V","MINOR VISUAL",IF(B36="M","MAJOR VISUAL",IF(B36="B","BARCODE FAIL",IF(B36="D","DELAMINATION",IF('Data - Sample Type 0'!Q115="","DATA ENTRY ERROR",IF(B36=$D$23,"PASS","MAJOR FUNCTIONAL"))))))))))</f>
        <v/>
      </c>
      <c r="D36" s="77" t="str">
        <f>IF(C36="","",IF('Data - Sample Type 0'!NI115="","N/A",IF('Data - Sample Type 0'!NI115&lt;Specifications!$D$3,"PASS","FAIL")))</f>
        <v/>
      </c>
      <c r="E36" s="64"/>
    </row>
    <row r="37" spans="1:5" x14ac:dyDescent="0.2">
      <c r="A37" s="73" t="str">
        <f>IF('Data - Sample Type 0'!C116="","",'Data - Sample Type 0'!C116)</f>
        <v/>
      </c>
      <c r="B37" s="74" t="str">
        <f>IF('Data - Sample Type 0'!L116="","",'Data - Sample Type 0'!L116)</f>
        <v/>
      </c>
      <c r="C37" s="75" t="str">
        <f>IF(B37="","",IF(B37="INVALID",IF('Data - Sample Type 0'!NK116="","INVALID",'Data - Sample Type 0'!NK116),IF(B37="ERROR",'Data - Sample Type 0'!NK116,IF(B37="NO RESULT",'Data - Sample Type 0'!NK116,IF(B37="V","MINOR VISUAL",IF(B37="M","MAJOR VISUAL",IF(B37="B","BARCODE FAIL",IF(B37="D","DELAMINATION",IF('Data - Sample Type 0'!Q116="","DATA ENTRY ERROR",IF(B37=$D$23,"PASS","MAJOR FUNCTIONAL"))))))))))</f>
        <v/>
      </c>
      <c r="D37" s="77" t="str">
        <f>IF(C37="","",IF('Data - Sample Type 0'!NI116="","N/A",IF('Data - Sample Type 0'!NI116&lt;Specifications!$D$3,"PASS","FAIL")))</f>
        <v/>
      </c>
      <c r="E37" s="64"/>
    </row>
    <row r="38" spans="1:5" x14ac:dyDescent="0.2">
      <c r="A38" s="73" t="str">
        <f>IF('Data - Sample Type 0'!C117="","",'Data - Sample Type 0'!C117)</f>
        <v/>
      </c>
      <c r="B38" s="74" t="str">
        <f>IF('Data - Sample Type 0'!L117="","",'Data - Sample Type 0'!L117)</f>
        <v/>
      </c>
      <c r="C38" s="75" t="str">
        <f>IF(B38="","",IF(B38="INVALID",IF('Data - Sample Type 0'!NK117="","INVALID",'Data - Sample Type 0'!NK117),IF(B38="ERROR",'Data - Sample Type 0'!NK117,IF(B38="NO RESULT",'Data - Sample Type 0'!NK117,IF(B38="V","MINOR VISUAL",IF(B38="M","MAJOR VISUAL",IF(B38="B","BARCODE FAIL",IF(B38="D","DELAMINATION",IF('Data - Sample Type 0'!Q117="","DATA ENTRY ERROR",IF(B38=$D$23,"PASS","MAJOR FUNCTIONAL"))))))))))</f>
        <v/>
      </c>
      <c r="D38" s="77" t="str">
        <f>IF(C38="","",IF('Data - Sample Type 0'!NI117="","N/A",IF('Data - Sample Type 0'!NI117&lt;Specifications!$D$3,"PASS","FAIL")))</f>
        <v/>
      </c>
      <c r="E38" s="64"/>
    </row>
    <row r="39" spans="1:5" x14ac:dyDescent="0.2">
      <c r="A39" s="73" t="str">
        <f>IF('Data - Sample Type 0'!C118="","",'Data - Sample Type 0'!C118)</f>
        <v/>
      </c>
      <c r="B39" s="74" t="str">
        <f>IF('Data - Sample Type 0'!L118="","",'Data - Sample Type 0'!L118)</f>
        <v/>
      </c>
      <c r="C39" s="75" t="str">
        <f>IF(B39="","",IF(B39="INVALID",IF('Data - Sample Type 0'!NK118="","INVALID",'Data - Sample Type 0'!NK118),IF(B39="ERROR",'Data - Sample Type 0'!NK118,IF(B39="NO RESULT",'Data - Sample Type 0'!NK118,IF(B39="V","MINOR VISUAL",IF(B39="M","MAJOR VISUAL",IF(B39="B","BARCODE FAIL",IF(B39="D","DELAMINATION",IF('Data - Sample Type 0'!Q118="","DATA ENTRY ERROR",IF(B39=$D$23,"PASS","MAJOR FUNCTIONAL"))))))))))</f>
        <v/>
      </c>
      <c r="D39" s="77" t="str">
        <f>IF(C39="","",IF('Data - Sample Type 0'!NI118="","N/A",IF('Data - Sample Type 0'!NI118&lt;Specifications!$D$3,"PASS","FAIL")))</f>
        <v/>
      </c>
      <c r="E39" s="64"/>
    </row>
    <row r="40" spans="1:5" x14ac:dyDescent="0.2">
      <c r="A40" s="73" t="str">
        <f>IF('Data - Sample Type 0'!C119="","",'Data - Sample Type 0'!C119)</f>
        <v/>
      </c>
      <c r="B40" s="74" t="str">
        <f>IF('Data - Sample Type 0'!L119="","",'Data - Sample Type 0'!L119)</f>
        <v/>
      </c>
      <c r="C40" s="75" t="str">
        <f>IF(B40="","",IF(B40="INVALID",IF('Data - Sample Type 0'!NK119="","INVALID",'Data - Sample Type 0'!NK119),IF(B40="ERROR",'Data - Sample Type 0'!NK119,IF(B40="NO RESULT",'Data - Sample Type 0'!NK119,IF(B40="V","MINOR VISUAL",IF(B40="M","MAJOR VISUAL",IF(B40="B","BARCODE FAIL",IF(B40="D","DELAMINATION",IF('Data - Sample Type 0'!Q119="","DATA ENTRY ERROR",IF(B40=$D$23,"PASS","MAJOR FUNCTIONAL"))))))))))</f>
        <v/>
      </c>
      <c r="D40" s="77" t="str">
        <f>IF(C40="","",IF('Data - Sample Type 0'!NI119="","N/A",IF('Data - Sample Type 0'!NI119&lt;Specifications!$D$3,"PASS","FAIL")))</f>
        <v/>
      </c>
      <c r="E40" s="64"/>
    </row>
    <row r="41" spans="1:5" x14ac:dyDescent="0.2">
      <c r="A41" s="73" t="str">
        <f>IF('Data - Sample Type 0'!C120="","",'Data - Sample Type 0'!C120)</f>
        <v/>
      </c>
      <c r="B41" s="74" t="str">
        <f>IF('Data - Sample Type 0'!L120="","",'Data - Sample Type 0'!L120)</f>
        <v/>
      </c>
      <c r="C41" s="75" t="str">
        <f>IF(B41="","",IF(B41="INVALID",IF('Data - Sample Type 0'!NK120="","INVALID",'Data - Sample Type 0'!NK120),IF(B41="ERROR",'Data - Sample Type 0'!NK120,IF(B41="NO RESULT",'Data - Sample Type 0'!NK120,IF(B41="V","MINOR VISUAL",IF(B41="M","MAJOR VISUAL",IF(B41="B","BARCODE FAIL",IF(B41="D","DELAMINATION",IF('Data - Sample Type 0'!Q120="","DATA ENTRY ERROR",IF(B41=$D$23,"PASS","MAJOR FUNCTIONAL"))))))))))</f>
        <v/>
      </c>
      <c r="D41" s="77" t="str">
        <f>IF(C41="","",IF('Data - Sample Type 0'!NI120="","N/A",IF('Data - Sample Type 0'!NI120&lt;Specifications!$D$3,"PASS","FAIL")))</f>
        <v/>
      </c>
      <c r="E41" s="64"/>
    </row>
    <row r="42" spans="1:5" x14ac:dyDescent="0.2">
      <c r="A42" s="73" t="str">
        <f>IF('Data - Sample Type 0'!C121="","",'Data - Sample Type 0'!C121)</f>
        <v/>
      </c>
      <c r="B42" s="74" t="str">
        <f>IF('Data - Sample Type 0'!L121="","",'Data - Sample Type 0'!L121)</f>
        <v/>
      </c>
      <c r="C42" s="75" t="str">
        <f>IF(B42="","",IF(B42="INVALID",IF('Data - Sample Type 0'!NK121="","INVALID",'Data - Sample Type 0'!NK121),IF(B42="ERROR",'Data - Sample Type 0'!NK121,IF(B42="NO RESULT",'Data - Sample Type 0'!NK121,IF(B42="V","MINOR VISUAL",IF(B42="M","MAJOR VISUAL",IF(B42="B","BARCODE FAIL",IF(B42="D","DELAMINATION",IF('Data - Sample Type 0'!Q121="","DATA ENTRY ERROR",IF(B42=$D$23,"PASS","MAJOR FUNCTIONAL"))))))))))</f>
        <v/>
      </c>
      <c r="D42" s="77" t="str">
        <f>IF(C42="","",IF('Data - Sample Type 0'!NI121="","N/A",IF('Data - Sample Type 0'!NI121&lt;Specifications!$D$3,"PASS","FAIL")))</f>
        <v/>
      </c>
      <c r="E42" s="64"/>
    </row>
    <row r="43" spans="1:5" x14ac:dyDescent="0.2">
      <c r="A43" s="73" t="str">
        <f>IF('Data - Sample Type 0'!C122="","",'Data - Sample Type 0'!C122)</f>
        <v/>
      </c>
      <c r="B43" s="74" t="str">
        <f>IF('Data - Sample Type 0'!L122="","",'Data - Sample Type 0'!L122)</f>
        <v/>
      </c>
      <c r="C43" s="75" t="str">
        <f>IF(B43="","",IF(B43="INVALID",IF('Data - Sample Type 0'!NK122="","INVALID",'Data - Sample Type 0'!NK122),IF(B43="ERROR",'Data - Sample Type 0'!NK122,IF(B43="NO RESULT",'Data - Sample Type 0'!NK122,IF(B43="V","MINOR VISUAL",IF(B43="M","MAJOR VISUAL",IF(B43="B","BARCODE FAIL",IF(B43="D","DELAMINATION",IF('Data - Sample Type 0'!Q122="","DATA ENTRY ERROR",IF(B43=$D$23,"PASS","MAJOR FUNCTIONAL"))))))))))</f>
        <v/>
      </c>
      <c r="D43" s="77" t="str">
        <f>IF(C43="","",IF('Data - Sample Type 0'!NI122="","N/A",IF('Data - Sample Type 0'!NI122&lt;Specifications!$D$3,"PASS","FAIL")))</f>
        <v/>
      </c>
      <c r="E43" s="64"/>
    </row>
    <row r="44" spans="1:5" x14ac:dyDescent="0.2">
      <c r="A44" s="73" t="str">
        <f>IF('Data - Sample Type 0'!C123="","",'Data - Sample Type 0'!C123)</f>
        <v/>
      </c>
      <c r="B44" s="74" t="str">
        <f>IF('Data - Sample Type 0'!L123="","",'Data - Sample Type 0'!L123)</f>
        <v/>
      </c>
      <c r="C44" s="75" t="str">
        <f>IF(B44="","",IF(B44="INVALID",IF('Data - Sample Type 0'!NK123="","INVALID",'Data - Sample Type 0'!NK123),IF(B44="ERROR",'Data - Sample Type 0'!NK123,IF(B44="NO RESULT",'Data - Sample Type 0'!NK123,IF(B44="V","MINOR VISUAL",IF(B44="M","MAJOR VISUAL",IF(B44="B","BARCODE FAIL",IF(B44="D","DELAMINATION",IF('Data - Sample Type 0'!Q123="","DATA ENTRY ERROR",IF(B44=$D$23,"PASS","MAJOR FUNCTIONAL"))))))))))</f>
        <v/>
      </c>
      <c r="D44" s="77" t="str">
        <f>IF(C44="","",IF('Data - Sample Type 0'!NI123="","N/A",IF('Data - Sample Type 0'!NI123&lt;Specifications!$D$3,"PASS","FAIL")))</f>
        <v/>
      </c>
      <c r="E44" s="64"/>
    </row>
    <row r="45" spans="1:5" x14ac:dyDescent="0.2">
      <c r="A45" s="73" t="str">
        <f>IF('Data - Sample Type 0'!C124="","",'Data - Sample Type 0'!C124)</f>
        <v/>
      </c>
      <c r="B45" s="74" t="str">
        <f>IF('Data - Sample Type 0'!L124="","",'Data - Sample Type 0'!L124)</f>
        <v/>
      </c>
      <c r="C45" s="75" t="str">
        <f>IF(B45="","",IF(B45="INVALID",IF('Data - Sample Type 0'!NK124="","INVALID",'Data - Sample Type 0'!NK124),IF(B45="ERROR",'Data - Sample Type 0'!NK124,IF(B45="NO RESULT",'Data - Sample Type 0'!NK124,IF(B45="V","MINOR VISUAL",IF(B45="M","MAJOR VISUAL",IF(B45="B","BARCODE FAIL",IF(B45="D","DELAMINATION",IF('Data - Sample Type 0'!Q124="","DATA ENTRY ERROR",IF(B45=$D$23,"PASS","MAJOR FUNCTIONAL"))))))))))</f>
        <v/>
      </c>
      <c r="D45" s="77" t="str">
        <f>IF(C45="","",IF('Data - Sample Type 0'!NI124="","N/A",IF('Data - Sample Type 0'!NI124&lt;Specifications!$D$3,"PASS","FAIL")))</f>
        <v/>
      </c>
      <c r="E45" s="64"/>
    </row>
    <row r="46" spans="1:5" x14ac:dyDescent="0.2">
      <c r="A46" s="73" t="str">
        <f>IF('Data - Sample Type 0'!C125="","",'Data - Sample Type 0'!C125)</f>
        <v/>
      </c>
      <c r="B46" s="74" t="str">
        <f>IF('Data - Sample Type 0'!L125="","",'Data - Sample Type 0'!L125)</f>
        <v/>
      </c>
      <c r="C46" s="75" t="str">
        <f>IF(B46="","",IF(B46="INVALID",IF('Data - Sample Type 0'!NK125="","INVALID",'Data - Sample Type 0'!NK125),IF(B46="ERROR",'Data - Sample Type 0'!NK125,IF(B46="NO RESULT",'Data - Sample Type 0'!NK125,IF(B46="V","MINOR VISUAL",IF(B46="M","MAJOR VISUAL",IF(B46="B","BARCODE FAIL",IF(B46="D","DELAMINATION",IF('Data - Sample Type 0'!Q125="","DATA ENTRY ERROR",IF(B46=$D$23,"PASS","MAJOR FUNCTIONAL"))))))))))</f>
        <v/>
      </c>
      <c r="D46" s="77" t="str">
        <f>IF(C46="","",IF('Data - Sample Type 0'!NI125="","N/A",IF('Data - Sample Type 0'!NI125&lt;Specifications!$D$3,"PASS","FAIL")))</f>
        <v/>
      </c>
      <c r="E46" s="64"/>
    </row>
    <row r="47" spans="1:5" x14ac:dyDescent="0.2">
      <c r="A47" s="73" t="str">
        <f>IF('Data - Sample Type 0'!C126="","",'Data - Sample Type 0'!C126)</f>
        <v/>
      </c>
      <c r="B47" s="74" t="str">
        <f>IF('Data - Sample Type 0'!L126="","",'Data - Sample Type 0'!L126)</f>
        <v/>
      </c>
      <c r="C47" s="75" t="str">
        <f>IF(B47="","",IF(B47="INVALID",IF('Data - Sample Type 0'!NK126="","INVALID",'Data - Sample Type 0'!NK126),IF(B47="ERROR",'Data - Sample Type 0'!NK126,IF(B47="NO RESULT",'Data - Sample Type 0'!NK126,IF(B47="V","MINOR VISUAL",IF(B47="M","MAJOR VISUAL",IF(B47="B","BARCODE FAIL",IF(B47="D","DELAMINATION",IF('Data - Sample Type 0'!Q126="","DATA ENTRY ERROR",IF(B47=$D$23,"PASS","MAJOR FUNCTIONAL"))))))))))</f>
        <v/>
      </c>
      <c r="D47" s="77" t="str">
        <f>IF(C47="","",IF('Data - Sample Type 0'!NI126="","N/A",IF('Data - Sample Type 0'!NI126&lt;Specifications!$D$3,"PASS","FAIL")))</f>
        <v/>
      </c>
      <c r="E47" s="64"/>
    </row>
    <row r="48" spans="1:5" x14ac:dyDescent="0.2">
      <c r="A48" s="73" t="str">
        <f>IF('Data - Sample Type 0'!C127="","",'Data - Sample Type 0'!C127)</f>
        <v/>
      </c>
      <c r="B48" s="74" t="str">
        <f>IF('Data - Sample Type 0'!L127="","",'Data - Sample Type 0'!L127)</f>
        <v/>
      </c>
      <c r="C48" s="75" t="str">
        <f>IF(B48="","",IF(B48="INVALID",IF('Data - Sample Type 0'!NK127="","INVALID",'Data - Sample Type 0'!NK127),IF(B48="ERROR",'Data - Sample Type 0'!NK127,IF(B48="NO RESULT",'Data - Sample Type 0'!NK127,IF(B48="V","MINOR VISUAL",IF(B48="M","MAJOR VISUAL",IF(B48="B","BARCODE FAIL",IF(B48="D","DELAMINATION",IF('Data - Sample Type 0'!Q127="","DATA ENTRY ERROR",IF(B48=$D$23,"PASS","MAJOR FUNCTIONAL"))))))))))</f>
        <v/>
      </c>
      <c r="D48" s="77" t="str">
        <f>IF(C48="","",IF('Data - Sample Type 0'!NI127="","N/A",IF('Data - Sample Type 0'!NI127&lt;Specifications!$D$3,"PASS","FAIL")))</f>
        <v/>
      </c>
      <c r="E48" s="64"/>
    </row>
    <row r="49" spans="1:5" x14ac:dyDescent="0.2">
      <c r="A49" s="73" t="str">
        <f>IF('Data - Sample Type 0'!C128="","",'Data - Sample Type 0'!C128)</f>
        <v/>
      </c>
      <c r="B49" s="74" t="str">
        <f>IF('Data - Sample Type 0'!L128="","",'Data - Sample Type 0'!L128)</f>
        <v/>
      </c>
      <c r="C49" s="75" t="str">
        <f>IF(B49="","",IF(B49="INVALID",IF('Data - Sample Type 0'!NK128="","INVALID",'Data - Sample Type 0'!NK128),IF(B49="ERROR",'Data - Sample Type 0'!NK128,IF(B49="NO RESULT",'Data - Sample Type 0'!NK128,IF(B49="V","MINOR VISUAL",IF(B49="M","MAJOR VISUAL",IF(B49="B","BARCODE FAIL",IF(B49="D","DELAMINATION",IF('Data - Sample Type 0'!Q128="","DATA ENTRY ERROR",IF(B49=$D$23,"PASS","MAJOR FUNCTIONAL"))))))))))</f>
        <v/>
      </c>
      <c r="D49" s="77" t="str">
        <f>IF(C49="","",IF('Data - Sample Type 0'!NI128="","N/A",IF('Data - Sample Type 0'!NI128&lt;Specifications!$D$3,"PASS","FAIL")))</f>
        <v/>
      </c>
      <c r="E49" s="64"/>
    </row>
    <row r="50" spans="1:5" x14ac:dyDescent="0.2">
      <c r="A50" s="73" t="str">
        <f>IF('Data - Sample Type 0'!C129="","",'Data - Sample Type 0'!C129)</f>
        <v/>
      </c>
      <c r="B50" s="74" t="str">
        <f>IF('Data - Sample Type 0'!L129="","",'Data - Sample Type 0'!L129)</f>
        <v/>
      </c>
      <c r="C50" s="75" t="str">
        <f>IF(B50="","",IF(B50="INVALID",IF('Data - Sample Type 0'!NK129="","INVALID",'Data - Sample Type 0'!NK129),IF(B50="ERROR",'Data - Sample Type 0'!NK129,IF(B50="NO RESULT",'Data - Sample Type 0'!NK129,IF(B50="V","MINOR VISUAL",IF(B50="M","MAJOR VISUAL",IF(B50="B","BARCODE FAIL",IF(B50="D","DELAMINATION",IF('Data - Sample Type 0'!Q129="","DATA ENTRY ERROR",IF(B50=$D$23,"PASS","MAJOR FUNCTIONAL"))))))))))</f>
        <v/>
      </c>
      <c r="D50" s="77" t="str">
        <f>IF(C50="","",IF('Data - Sample Type 0'!NI129="","N/A",IF('Data - Sample Type 0'!NI129&lt;Specifications!$D$3,"PASS","FAIL")))</f>
        <v/>
      </c>
      <c r="E50" s="64"/>
    </row>
    <row r="51" spans="1:5" x14ac:dyDescent="0.2">
      <c r="A51" s="73" t="str">
        <f>IF('Data - Sample Type 0'!C130="","",'Data - Sample Type 0'!C130)</f>
        <v/>
      </c>
      <c r="B51" s="74" t="str">
        <f>IF('Data - Sample Type 0'!L130="","",'Data - Sample Type 0'!L130)</f>
        <v/>
      </c>
      <c r="C51" s="75" t="str">
        <f>IF(B51="","",IF(B51="INVALID",IF('Data - Sample Type 0'!NK130="","INVALID",'Data - Sample Type 0'!NK130),IF(B51="ERROR",'Data - Sample Type 0'!NK130,IF(B51="NO RESULT",'Data - Sample Type 0'!NK130,IF(B51="V","MINOR VISUAL",IF(B51="M","MAJOR VISUAL",IF(B51="B","BARCODE FAIL",IF(B51="D","DELAMINATION",IF('Data - Sample Type 0'!Q130="","DATA ENTRY ERROR",IF(B51=$D$23,"PASS","MAJOR FUNCTIONAL"))))))))))</f>
        <v/>
      </c>
      <c r="D51" s="77" t="str">
        <f>IF(C51="","",IF('Data - Sample Type 0'!NI130="","N/A",IF('Data - Sample Type 0'!NI130&lt;Specifications!$D$3,"PASS","FAIL")))</f>
        <v/>
      </c>
      <c r="E51" s="64"/>
    </row>
    <row r="52" spans="1:5" x14ac:dyDescent="0.2">
      <c r="A52" s="73" t="str">
        <f>IF('Data - Sample Type 0'!C131="","",'Data - Sample Type 0'!C131)</f>
        <v/>
      </c>
      <c r="B52" s="74" t="str">
        <f>IF('Data - Sample Type 0'!L131="","",'Data - Sample Type 0'!L131)</f>
        <v/>
      </c>
      <c r="C52" s="75" t="str">
        <f>IF(B52="","",IF(B52="INVALID",IF('Data - Sample Type 0'!NK131="","INVALID",'Data - Sample Type 0'!NK131),IF(B52="ERROR",'Data - Sample Type 0'!NK131,IF(B52="NO RESULT",'Data - Sample Type 0'!NK131,IF(B52="V","MINOR VISUAL",IF(B52="M","MAJOR VISUAL",IF(B52="B","BARCODE FAIL",IF(B52="D","DELAMINATION",IF('Data - Sample Type 0'!Q131="","DATA ENTRY ERROR",IF(B52=$D$23,"PASS","MAJOR FUNCTIONAL"))))))))))</f>
        <v/>
      </c>
      <c r="D52" s="77" t="str">
        <f>IF(C52="","",IF('Data - Sample Type 0'!NI131="","N/A",IF('Data - Sample Type 0'!NI131&lt;Specifications!$D$3,"PASS","FAIL")))</f>
        <v/>
      </c>
      <c r="E52" s="64"/>
    </row>
    <row r="53" spans="1:5" x14ac:dyDescent="0.2">
      <c r="A53" s="73" t="str">
        <f>IF('Data - Sample Type 0'!C132="","",'Data - Sample Type 0'!C132)</f>
        <v/>
      </c>
      <c r="B53" s="74" t="str">
        <f>IF('Data - Sample Type 0'!L132="","",'Data - Sample Type 0'!L132)</f>
        <v/>
      </c>
      <c r="C53" s="75" t="str">
        <f>IF(B53="","",IF(B53="INVALID",IF('Data - Sample Type 0'!NK132="","INVALID",'Data - Sample Type 0'!NK132),IF(B53="ERROR",'Data - Sample Type 0'!NK132,IF(B53="NO RESULT",'Data - Sample Type 0'!NK132,IF(B53="V","MINOR VISUAL",IF(B53="M","MAJOR VISUAL",IF(B53="B","BARCODE FAIL",IF(B53="D","DELAMINATION",IF('Data - Sample Type 0'!Q132="","DATA ENTRY ERROR",IF(B53=$D$23,"PASS","MAJOR FUNCTIONAL"))))))))))</f>
        <v/>
      </c>
      <c r="D53" s="77" t="str">
        <f>IF(C53="","",IF('Data - Sample Type 0'!NI132="","N/A",IF('Data - Sample Type 0'!NI132&lt;Specifications!$D$3,"PASS","FAIL")))</f>
        <v/>
      </c>
      <c r="E53" s="64"/>
    </row>
    <row r="54" spans="1:5" x14ac:dyDescent="0.2">
      <c r="A54" s="73" t="str">
        <f>IF('Data - Sample Type 0'!C133="","",'Data - Sample Type 0'!C133)</f>
        <v/>
      </c>
      <c r="B54" s="74" t="str">
        <f>IF('Data - Sample Type 0'!L133="","",'Data - Sample Type 0'!L133)</f>
        <v/>
      </c>
      <c r="C54" s="75" t="str">
        <f>IF(B54="","",IF(B54="INVALID",IF('Data - Sample Type 0'!NK133="","INVALID",'Data - Sample Type 0'!NK133),IF(B54="ERROR",'Data - Sample Type 0'!NK133,IF(B54="NO RESULT",'Data - Sample Type 0'!NK133,IF(B54="V","MINOR VISUAL",IF(B54="M","MAJOR VISUAL",IF(B54="B","BARCODE FAIL",IF(B54="D","DELAMINATION",IF('Data - Sample Type 0'!Q133="","DATA ENTRY ERROR",IF(B54=$D$23,"PASS","MAJOR FUNCTIONAL"))))))))))</f>
        <v/>
      </c>
      <c r="D54" s="77" t="str">
        <f>IF(C54="","",IF('Data - Sample Type 0'!NI133="","N/A",IF('Data - Sample Type 0'!NI133&lt;Specifications!$D$3,"PASS","FAIL")))</f>
        <v/>
      </c>
      <c r="E54" s="64"/>
    </row>
    <row r="55" spans="1:5" x14ac:dyDescent="0.2">
      <c r="A55" s="73" t="str">
        <f>IF('Data - Sample Type 0'!C134="","",'Data - Sample Type 0'!C134)</f>
        <v/>
      </c>
      <c r="B55" s="74" t="str">
        <f>IF('Data - Sample Type 0'!L134="","",'Data - Sample Type 0'!L134)</f>
        <v/>
      </c>
      <c r="C55" s="75" t="str">
        <f>IF(B55="","",IF(B55="INVALID",IF('Data - Sample Type 0'!NK134="","INVALID",'Data - Sample Type 0'!NK134),IF(B55="ERROR",'Data - Sample Type 0'!NK134,IF(B55="NO RESULT",'Data - Sample Type 0'!NK134,IF(B55="V","MINOR VISUAL",IF(B55="M","MAJOR VISUAL",IF(B55="B","BARCODE FAIL",IF(B55="D","DELAMINATION",IF('Data - Sample Type 0'!Q134="","DATA ENTRY ERROR",IF(B55=$D$23,"PASS","MAJOR FUNCTIONAL"))))))))))</f>
        <v/>
      </c>
      <c r="D55" s="77" t="str">
        <f>IF(C55="","",IF('Data - Sample Type 0'!NI134="","N/A",IF('Data - Sample Type 0'!NI134&lt;Specifications!$D$3,"PASS","FAIL")))</f>
        <v/>
      </c>
      <c r="E55" s="64"/>
    </row>
    <row r="56" spans="1:5" x14ac:dyDescent="0.2">
      <c r="A56" s="73" t="str">
        <f>IF('Data - Sample Type 0'!C135="","",'Data - Sample Type 0'!C135)</f>
        <v/>
      </c>
      <c r="B56" s="74" t="str">
        <f>IF('Data - Sample Type 0'!L135="","",'Data - Sample Type 0'!L135)</f>
        <v/>
      </c>
      <c r="C56" s="75" t="str">
        <f>IF(B56="","",IF(B56="INVALID",IF('Data - Sample Type 0'!NK135="","INVALID",'Data - Sample Type 0'!NK135),IF(B56="ERROR",'Data - Sample Type 0'!NK135,IF(B56="NO RESULT",'Data - Sample Type 0'!NK135,IF(B56="V","MINOR VISUAL",IF(B56="M","MAJOR VISUAL",IF(B56="B","BARCODE FAIL",IF(B56="D","DELAMINATION",IF('Data - Sample Type 0'!Q135="","DATA ENTRY ERROR",IF(B56=$D$23,"PASS","MAJOR FUNCTIONAL"))))))))))</f>
        <v/>
      </c>
      <c r="D56" s="77" t="str">
        <f>IF(C56="","",IF('Data - Sample Type 0'!NI135="","N/A",IF('Data - Sample Type 0'!NI135&lt;Specifications!$D$3,"PASS","FAIL")))</f>
        <v/>
      </c>
      <c r="E56" s="64"/>
    </row>
    <row r="57" spans="1:5" x14ac:dyDescent="0.2">
      <c r="A57" s="73" t="str">
        <f>IF('Data - Sample Type 0'!C136="","",'Data - Sample Type 0'!C136)</f>
        <v/>
      </c>
      <c r="B57" s="74" t="str">
        <f>IF('Data - Sample Type 0'!L136="","",'Data - Sample Type 0'!L136)</f>
        <v/>
      </c>
      <c r="C57" s="75" t="str">
        <f>IF(B57="","",IF(B57="INVALID",IF('Data - Sample Type 0'!NK136="","INVALID",'Data - Sample Type 0'!NK136),IF(B57="ERROR",'Data - Sample Type 0'!NK136,IF(B57="NO RESULT",'Data - Sample Type 0'!NK136,IF(B57="V","MINOR VISUAL",IF(B57="M","MAJOR VISUAL",IF(B57="B","BARCODE FAIL",IF(B57="D","DELAMINATION",IF('Data - Sample Type 0'!Q136="","DATA ENTRY ERROR",IF(B57=$D$23,"PASS","MAJOR FUNCTIONAL"))))))))))</f>
        <v/>
      </c>
      <c r="D57" s="77" t="str">
        <f>IF(C57="","",IF('Data - Sample Type 0'!NI136="","N/A",IF('Data - Sample Type 0'!NI136&lt;Specifications!$D$3,"PASS","FAIL")))</f>
        <v/>
      </c>
      <c r="E57" s="64"/>
    </row>
    <row r="58" spans="1:5" x14ac:dyDescent="0.2">
      <c r="A58" s="73" t="str">
        <f>IF('Data - Sample Type 0'!C137="","",'Data - Sample Type 0'!C137)</f>
        <v/>
      </c>
      <c r="B58" s="74" t="str">
        <f>IF('Data - Sample Type 0'!L137="","",'Data - Sample Type 0'!L137)</f>
        <v/>
      </c>
      <c r="C58" s="75" t="str">
        <f>IF(B58="","",IF(B58="INVALID",IF('Data - Sample Type 0'!NK137="","INVALID",'Data - Sample Type 0'!NK137),IF(B58="ERROR",'Data - Sample Type 0'!NK137,IF(B58="NO RESULT",'Data - Sample Type 0'!NK137,IF(B58="V","MINOR VISUAL",IF(B58="M","MAJOR VISUAL",IF(B58="B","BARCODE FAIL",IF(B58="D","DELAMINATION",IF('Data - Sample Type 0'!Q137="","DATA ENTRY ERROR",IF(B58=$D$23,"PASS","MAJOR FUNCTIONAL"))))))))))</f>
        <v/>
      </c>
      <c r="D58" s="77" t="str">
        <f>IF(C58="","",IF('Data - Sample Type 0'!NI137="","N/A",IF('Data - Sample Type 0'!NI137&lt;Specifications!$D$3,"PASS","FAIL")))</f>
        <v/>
      </c>
      <c r="E58" s="64"/>
    </row>
    <row r="59" spans="1:5" x14ac:dyDescent="0.2">
      <c r="A59" s="73" t="str">
        <f>IF('Data - Sample Type 0'!C138="","",'Data - Sample Type 0'!C138)</f>
        <v/>
      </c>
      <c r="B59" s="74" t="str">
        <f>IF('Data - Sample Type 0'!L138="","",'Data - Sample Type 0'!L138)</f>
        <v/>
      </c>
      <c r="C59" s="75" t="str">
        <f>IF(B59="","",IF(B59="INVALID",IF('Data - Sample Type 0'!NK138="","INVALID",'Data - Sample Type 0'!NK138),IF(B59="ERROR",'Data - Sample Type 0'!NK138,IF(B59="NO RESULT",'Data - Sample Type 0'!NK138,IF(B59="V","MINOR VISUAL",IF(B59="M","MAJOR VISUAL",IF(B59="B","BARCODE FAIL",IF(B59="D","DELAMINATION",IF('Data - Sample Type 0'!Q138="","DATA ENTRY ERROR",IF(B59=$D$23,"PASS","MAJOR FUNCTIONAL"))))))))))</f>
        <v/>
      </c>
      <c r="D59" s="77" t="str">
        <f>IF(C59="","",IF('Data - Sample Type 0'!NI138="","N/A",IF('Data - Sample Type 0'!NI138&lt;Specifications!$D$3,"PASS","FAIL")))</f>
        <v/>
      </c>
      <c r="E59" s="64"/>
    </row>
    <row r="60" spans="1:5" x14ac:dyDescent="0.2">
      <c r="A60" s="73" t="str">
        <f>IF('Data - Sample Type 0'!C139="","",'Data - Sample Type 0'!C139)</f>
        <v/>
      </c>
      <c r="B60" s="74" t="str">
        <f>IF('Data - Sample Type 0'!L139="","",'Data - Sample Type 0'!L139)</f>
        <v/>
      </c>
      <c r="C60" s="75" t="str">
        <f>IF(B60="","",IF(B60="INVALID",IF('Data - Sample Type 0'!NK139="","INVALID",'Data - Sample Type 0'!NK139),IF(B60="ERROR",'Data - Sample Type 0'!NK139,IF(B60="NO RESULT",'Data - Sample Type 0'!NK139,IF(B60="V","MINOR VISUAL",IF(B60="M","MAJOR VISUAL",IF(B60="B","BARCODE FAIL",IF(B60="D","DELAMINATION",IF('Data - Sample Type 0'!Q139="","DATA ENTRY ERROR",IF(B60=$D$23,"PASS","MAJOR FUNCTIONAL"))))))))))</f>
        <v/>
      </c>
      <c r="D60" s="77" t="str">
        <f>IF(C60="","",IF('Data - Sample Type 0'!NI139="","N/A",IF('Data - Sample Type 0'!NI139&lt;Specifications!$D$3,"PASS","FAIL")))</f>
        <v/>
      </c>
      <c r="E60" s="64"/>
    </row>
    <row r="61" spans="1:5" x14ac:dyDescent="0.2">
      <c r="A61" s="73" t="str">
        <f>IF('Data - Sample Type 0'!C140="","",'Data - Sample Type 0'!C140)</f>
        <v/>
      </c>
      <c r="B61" s="74" t="str">
        <f>IF('Data - Sample Type 0'!L140="","",'Data - Sample Type 0'!L140)</f>
        <v/>
      </c>
      <c r="C61" s="75" t="str">
        <f>IF(B61="","",IF(B61="INVALID",IF('Data - Sample Type 0'!NK140="","INVALID",'Data - Sample Type 0'!NK140),IF(B61="ERROR",'Data - Sample Type 0'!NK140,IF(B61="NO RESULT",'Data - Sample Type 0'!NK140,IF(B61="V","MINOR VISUAL",IF(B61="M","MAJOR VISUAL",IF(B61="B","BARCODE FAIL",IF(B61="D","DELAMINATION",IF('Data - Sample Type 0'!Q140="","DATA ENTRY ERROR",IF(B61=$D$23,"PASS","MAJOR FUNCTIONAL"))))))))))</f>
        <v/>
      </c>
      <c r="D61" s="77" t="str">
        <f>IF(C61="","",IF('Data - Sample Type 0'!NI140="","N/A",IF('Data - Sample Type 0'!NI140&lt;Specifications!$D$3,"PASS","FAIL")))</f>
        <v/>
      </c>
      <c r="E61" s="64"/>
    </row>
    <row r="62" spans="1:5" x14ac:dyDescent="0.2">
      <c r="A62" s="73" t="str">
        <f>IF('Data - Sample Type 0'!C141="","",'Data - Sample Type 0'!C141)</f>
        <v/>
      </c>
      <c r="B62" s="74" t="str">
        <f>IF('Data - Sample Type 0'!L141="","",'Data - Sample Type 0'!L141)</f>
        <v/>
      </c>
      <c r="C62" s="75" t="str">
        <f>IF(B62="","",IF(B62="INVALID",IF('Data - Sample Type 0'!NK141="","INVALID",'Data - Sample Type 0'!NK141),IF(B62="ERROR",'Data - Sample Type 0'!NK141,IF(B62="NO RESULT",'Data - Sample Type 0'!NK141,IF(B62="V","MINOR VISUAL",IF(B62="M","MAJOR VISUAL",IF(B62="B","BARCODE FAIL",IF(B62="D","DELAMINATION",IF('Data - Sample Type 0'!Q141="","DATA ENTRY ERROR",IF(B62=$D$23,"PASS","MAJOR FUNCTIONAL"))))))))))</f>
        <v/>
      </c>
      <c r="D62" s="77" t="str">
        <f>IF(C62="","",IF('Data - Sample Type 0'!NI141="","N/A",IF('Data - Sample Type 0'!NI141&lt;Specifications!$D$3,"PASS","FAIL")))</f>
        <v/>
      </c>
      <c r="E62" s="64"/>
    </row>
    <row r="63" spans="1:5" x14ac:dyDescent="0.2">
      <c r="A63" s="73" t="str">
        <f>IF('Data - Sample Type 0'!C142="","",'Data - Sample Type 0'!C142)</f>
        <v/>
      </c>
      <c r="B63" s="74" t="str">
        <f>IF('Data - Sample Type 0'!L142="","",'Data - Sample Type 0'!L142)</f>
        <v/>
      </c>
      <c r="C63" s="75" t="str">
        <f>IF(B63="","",IF(B63="INVALID",IF('Data - Sample Type 0'!NK142="","INVALID",'Data - Sample Type 0'!NK142),IF(B63="ERROR",'Data - Sample Type 0'!NK142,IF(B63="NO RESULT",'Data - Sample Type 0'!NK142,IF(B63="V","MINOR VISUAL",IF(B63="M","MAJOR VISUAL",IF(B63="B","BARCODE FAIL",IF(B63="D","DELAMINATION",IF('Data - Sample Type 0'!Q142="","DATA ENTRY ERROR",IF(B63=$D$23,"PASS","MAJOR FUNCTIONAL"))))))))))</f>
        <v/>
      </c>
      <c r="D63" s="77" t="str">
        <f>IF(C63="","",IF('Data - Sample Type 0'!NI142="","N/A",IF('Data - Sample Type 0'!NI142&lt;Specifications!$D$3,"PASS","FAIL")))</f>
        <v/>
      </c>
      <c r="E63" s="64"/>
    </row>
    <row r="64" spans="1:5" x14ac:dyDescent="0.2">
      <c r="A64" s="73" t="str">
        <f>IF('Data - Sample Type 0'!C143="","",'Data - Sample Type 0'!C143)</f>
        <v/>
      </c>
      <c r="B64" s="74" t="str">
        <f>IF('Data - Sample Type 0'!L143="","",'Data - Sample Type 0'!L143)</f>
        <v/>
      </c>
      <c r="C64" s="75" t="str">
        <f>IF(B64="","",IF(B64="INVALID",IF('Data - Sample Type 0'!NK143="","INVALID",'Data - Sample Type 0'!NK143),IF(B64="ERROR",'Data - Sample Type 0'!NK143,IF(B64="NO RESULT",'Data - Sample Type 0'!NK143,IF(B64="V","MINOR VISUAL",IF(B64="M","MAJOR VISUAL",IF(B64="B","BARCODE FAIL",IF(B64="D","DELAMINATION",IF('Data - Sample Type 0'!Q143="","DATA ENTRY ERROR",IF(B64=$D$23,"PASS","MAJOR FUNCTIONAL"))))))))))</f>
        <v/>
      </c>
      <c r="D64" s="77" t="str">
        <f>IF(C64="","",IF('Data - Sample Type 0'!NI143="","N/A",IF('Data - Sample Type 0'!NI143&lt;Specifications!$D$3,"PASS","FAIL")))</f>
        <v/>
      </c>
      <c r="E64" s="64"/>
    </row>
    <row r="65" spans="1:5" x14ac:dyDescent="0.2">
      <c r="A65" s="73" t="str">
        <f>IF('Data - Sample Type 0'!C144="","",'Data - Sample Type 0'!C144)</f>
        <v/>
      </c>
      <c r="B65" s="74" t="str">
        <f>IF('Data - Sample Type 0'!L144="","",'Data - Sample Type 0'!L144)</f>
        <v/>
      </c>
      <c r="C65" s="75" t="str">
        <f>IF(B65="","",IF(B65="INVALID",IF('Data - Sample Type 0'!NK144="","INVALID",'Data - Sample Type 0'!NK144),IF(B65="ERROR",'Data - Sample Type 0'!NK144,IF(B65="NO RESULT",'Data - Sample Type 0'!NK144,IF(B65="V","MINOR VISUAL",IF(B65="M","MAJOR VISUAL",IF(B65="B","BARCODE FAIL",IF(B65="D","DELAMINATION",IF('Data - Sample Type 0'!Q144="","DATA ENTRY ERROR",IF(B65=$D$23,"PASS","MAJOR FUNCTIONAL"))))))))))</f>
        <v/>
      </c>
      <c r="D65" s="77" t="str">
        <f>IF(C65="","",IF('Data - Sample Type 0'!NI144="","N/A",IF('Data - Sample Type 0'!NI144&lt;Specifications!$D$3,"PASS","FAIL")))</f>
        <v/>
      </c>
      <c r="E65" s="64"/>
    </row>
    <row r="66" spans="1:5" x14ac:dyDescent="0.2">
      <c r="A66" s="73" t="str">
        <f>IF('Data - Sample Type 0'!C145="","",'Data - Sample Type 0'!C145)</f>
        <v/>
      </c>
      <c r="B66" s="74" t="str">
        <f>IF('Data - Sample Type 0'!L145="","",'Data - Sample Type 0'!L145)</f>
        <v/>
      </c>
      <c r="C66" s="75" t="str">
        <f>IF(B66="","",IF(B66="INVALID",IF('Data - Sample Type 0'!NK145="","INVALID",'Data - Sample Type 0'!NK145),IF(B66="ERROR",'Data - Sample Type 0'!NK145,IF(B66="NO RESULT",'Data - Sample Type 0'!NK145,IF(B66="V","MINOR VISUAL",IF(B66="M","MAJOR VISUAL",IF(B66="B","BARCODE FAIL",IF(B66="D","DELAMINATION",IF('Data - Sample Type 0'!Q145="","DATA ENTRY ERROR",IF(B66=$D$23,"PASS","MAJOR FUNCTIONAL"))))))))))</f>
        <v/>
      </c>
      <c r="D66" s="77" t="str">
        <f>IF(C66="","",IF('Data - Sample Type 0'!NI145="","N/A",IF('Data - Sample Type 0'!NI145&lt;Specifications!$D$3,"PASS","FAIL")))</f>
        <v/>
      </c>
      <c r="E66" s="64"/>
    </row>
    <row r="67" spans="1:5" x14ac:dyDescent="0.2">
      <c r="A67" s="73" t="str">
        <f>IF('Data - Sample Type 0'!C146="","",'Data - Sample Type 0'!C146)</f>
        <v/>
      </c>
      <c r="B67" s="74" t="str">
        <f>IF('Data - Sample Type 0'!L146="","",'Data - Sample Type 0'!L146)</f>
        <v/>
      </c>
      <c r="C67" s="75" t="str">
        <f>IF(B67="","",IF(B67="INVALID",IF('Data - Sample Type 0'!NK146="","INVALID",'Data - Sample Type 0'!NK146),IF(B67="ERROR",'Data - Sample Type 0'!NK146,IF(B67="NO RESULT",'Data - Sample Type 0'!NK146,IF(B67="V","MINOR VISUAL",IF(B67="M","MAJOR VISUAL",IF(B67="B","BARCODE FAIL",IF(B67="D","DELAMINATION",IF('Data - Sample Type 0'!Q146="","DATA ENTRY ERROR",IF(B67=$D$23,"PASS","MAJOR FUNCTIONAL"))))))))))</f>
        <v/>
      </c>
      <c r="D67" s="77" t="str">
        <f>IF(C67="","",IF('Data - Sample Type 0'!NI146="","N/A",IF('Data - Sample Type 0'!NI146&lt;Specifications!$D$3,"PASS","FAIL")))</f>
        <v/>
      </c>
      <c r="E67" s="64"/>
    </row>
    <row r="68" spans="1:5" x14ac:dyDescent="0.2">
      <c r="A68" s="73" t="str">
        <f>IF('Data - Sample Type 0'!C147="","",'Data - Sample Type 0'!C147)</f>
        <v/>
      </c>
      <c r="B68" s="74" t="str">
        <f>IF('Data - Sample Type 0'!L147="","",'Data - Sample Type 0'!L147)</f>
        <v/>
      </c>
      <c r="C68" s="75" t="str">
        <f>IF(B68="","",IF(B68="INVALID",IF('Data - Sample Type 0'!NK147="","INVALID",'Data - Sample Type 0'!NK147),IF(B68="ERROR",'Data - Sample Type 0'!NK147,IF(B68="NO RESULT",'Data - Sample Type 0'!NK147,IF(B68="V","MINOR VISUAL",IF(B68="M","MAJOR VISUAL",IF(B68="B","BARCODE FAIL",IF(B68="D","DELAMINATION",IF('Data - Sample Type 0'!Q147="","DATA ENTRY ERROR",IF(B68=$D$23,"PASS","MAJOR FUNCTIONAL"))))))))))</f>
        <v/>
      </c>
      <c r="D68" s="77" t="str">
        <f>IF(C68="","",IF('Data - Sample Type 0'!NI147="","N/A",IF('Data - Sample Type 0'!NI147&lt;Specifications!$D$3,"PASS","FAIL")))</f>
        <v/>
      </c>
      <c r="E68" s="64"/>
    </row>
    <row r="69" spans="1:5" x14ac:dyDescent="0.2">
      <c r="A69" s="73" t="str">
        <f>IF('Data - Sample Type 0'!C148="","",'Data - Sample Type 0'!C148)</f>
        <v/>
      </c>
      <c r="B69" s="74" t="str">
        <f>IF('Data - Sample Type 0'!L148="","",'Data - Sample Type 0'!L148)</f>
        <v/>
      </c>
      <c r="C69" s="75" t="str">
        <f>IF(B69="","",IF(B69="INVALID",IF('Data - Sample Type 0'!NK148="","INVALID",'Data - Sample Type 0'!NK148),IF(B69="ERROR",'Data - Sample Type 0'!NK148,IF(B69="NO RESULT",'Data - Sample Type 0'!NK148,IF(B69="V","MINOR VISUAL",IF(B69="M","MAJOR VISUAL",IF(B69="B","BARCODE FAIL",IF(B69="D","DELAMINATION",IF('Data - Sample Type 0'!Q148="","DATA ENTRY ERROR",IF(B69=$D$23,"PASS","MAJOR FUNCTIONAL"))))))))))</f>
        <v/>
      </c>
      <c r="D69" s="77" t="str">
        <f>IF(C69="","",IF('Data - Sample Type 0'!NI148="","N/A",IF('Data - Sample Type 0'!NI148&lt;Specifications!$D$3,"PASS","FAIL")))</f>
        <v/>
      </c>
      <c r="E69" s="64"/>
    </row>
    <row r="70" spans="1:5" x14ac:dyDescent="0.2">
      <c r="A70" s="73" t="str">
        <f>IF('Data - Sample Type 0'!C149="","",'Data - Sample Type 0'!C149)</f>
        <v/>
      </c>
      <c r="B70" s="74" t="str">
        <f>IF('Data - Sample Type 0'!L149="","",'Data - Sample Type 0'!L149)</f>
        <v/>
      </c>
      <c r="C70" s="75" t="str">
        <f>IF(B70="","",IF(B70="INVALID",IF('Data - Sample Type 0'!NK149="","INVALID",'Data - Sample Type 0'!NK149),IF(B70="ERROR",'Data - Sample Type 0'!NK149,IF(B70="NO RESULT",'Data - Sample Type 0'!NK149,IF(B70="V","MINOR VISUAL",IF(B70="M","MAJOR VISUAL",IF(B70="B","BARCODE FAIL",IF(B70="D","DELAMINATION",IF('Data - Sample Type 0'!Q149="","DATA ENTRY ERROR",IF(B70=$D$23,"PASS","MAJOR FUNCTIONAL"))))))))))</f>
        <v/>
      </c>
      <c r="D70" s="77" t="str">
        <f>IF(C70="","",IF('Data - Sample Type 0'!NI149="","N/A",IF('Data - Sample Type 0'!NI149&lt;Specifications!$D$3,"PASS","FAIL")))</f>
        <v/>
      </c>
      <c r="E70" s="64"/>
    </row>
    <row r="71" spans="1:5" x14ac:dyDescent="0.2">
      <c r="A71" s="73" t="str">
        <f>IF('Data - Sample Type 0'!C150="","",'Data - Sample Type 0'!C150)</f>
        <v/>
      </c>
      <c r="B71" s="74" t="str">
        <f>IF('Data - Sample Type 0'!L150="","",'Data - Sample Type 0'!L150)</f>
        <v/>
      </c>
      <c r="C71" s="75" t="str">
        <f>IF(B71="","",IF(B71="INVALID",IF('Data - Sample Type 0'!NK150="","INVALID",'Data - Sample Type 0'!NK150),IF(B71="ERROR",'Data - Sample Type 0'!NK150,IF(B71="NO RESULT",'Data - Sample Type 0'!NK150,IF(B71="V","MINOR VISUAL",IF(B71="M","MAJOR VISUAL",IF(B71="B","BARCODE FAIL",IF(B71="D","DELAMINATION",IF('Data - Sample Type 0'!Q150="","DATA ENTRY ERROR",IF(B71=$D$23,"PASS","MAJOR FUNCTIONAL"))))))))))</f>
        <v/>
      </c>
      <c r="D71" s="77" t="str">
        <f>IF(C71="","",IF('Data - Sample Type 0'!NI150="","N/A",IF('Data - Sample Type 0'!NI150&lt;Specifications!$D$3,"PASS","FAIL")))</f>
        <v/>
      </c>
      <c r="E71" s="64"/>
    </row>
    <row r="72" spans="1:5" x14ac:dyDescent="0.2">
      <c r="A72" s="73" t="str">
        <f>IF('Data - Sample Type 0'!C151="","",'Data - Sample Type 0'!C151)</f>
        <v/>
      </c>
      <c r="B72" s="74" t="str">
        <f>IF('Data - Sample Type 0'!L151="","",'Data - Sample Type 0'!L151)</f>
        <v/>
      </c>
      <c r="C72" s="75" t="str">
        <f>IF(B72="","",IF(B72="INVALID",IF('Data - Sample Type 0'!NK151="","INVALID",'Data - Sample Type 0'!NK151),IF(B72="ERROR",'Data - Sample Type 0'!NK151,IF(B72="NO RESULT",'Data - Sample Type 0'!NK151,IF(B72="V","MINOR VISUAL",IF(B72="M","MAJOR VISUAL",IF(B72="B","BARCODE FAIL",IF(B72="D","DELAMINATION",IF('Data - Sample Type 0'!Q151="","DATA ENTRY ERROR",IF(B72=$D$23,"PASS","MAJOR FUNCTIONAL"))))))))))</f>
        <v/>
      </c>
      <c r="D72" s="77" t="str">
        <f>IF(C72="","",IF('Data - Sample Type 0'!NI151="","N/A",IF('Data - Sample Type 0'!NI151&lt;Specifications!$D$3,"PASS","FAIL")))</f>
        <v/>
      </c>
      <c r="E72" s="64"/>
    </row>
    <row r="73" spans="1:5" x14ac:dyDescent="0.2">
      <c r="A73" s="73" t="str">
        <f>IF('Data - Sample Type 0'!C152="","",'Data - Sample Type 0'!C152)</f>
        <v/>
      </c>
      <c r="B73" s="74" t="str">
        <f>IF('Data - Sample Type 0'!L152="","",'Data - Sample Type 0'!L152)</f>
        <v/>
      </c>
      <c r="C73" s="75" t="str">
        <f>IF(B73="","",IF(B73="INVALID",IF('Data - Sample Type 0'!NK152="","INVALID",'Data - Sample Type 0'!NK152),IF(B73="ERROR",'Data - Sample Type 0'!NK152,IF(B73="NO RESULT",'Data - Sample Type 0'!NK152,IF(B73="V","MINOR VISUAL",IF(B73="M","MAJOR VISUAL",IF(B73="B","BARCODE FAIL",IF(B73="D","DELAMINATION",IF('Data - Sample Type 0'!Q152="","DATA ENTRY ERROR",IF(B73=$D$23,"PASS","MAJOR FUNCTIONAL"))))))))))</f>
        <v/>
      </c>
      <c r="D73" s="77" t="str">
        <f>IF(C73="","",IF('Data - Sample Type 0'!NI152="","N/A",IF('Data - Sample Type 0'!NI152&lt;Specifications!$D$3,"PASS","FAIL")))</f>
        <v/>
      </c>
      <c r="E73" s="64"/>
    </row>
    <row r="74" spans="1:5" x14ac:dyDescent="0.2">
      <c r="A74" s="73" t="str">
        <f>IF('Data - Sample Type 0'!C153="","",'Data - Sample Type 0'!C153)</f>
        <v/>
      </c>
      <c r="B74" s="74" t="str">
        <f>IF('Data - Sample Type 0'!L153="","",'Data - Sample Type 0'!L153)</f>
        <v/>
      </c>
      <c r="C74" s="75" t="str">
        <f>IF(B74="","",IF(B74="INVALID",IF('Data - Sample Type 0'!NK153="","INVALID",'Data - Sample Type 0'!NK153),IF(B74="ERROR",'Data - Sample Type 0'!NK153,IF(B74="NO RESULT",'Data - Sample Type 0'!NK153,IF(B74="V","MINOR VISUAL",IF(B74="M","MAJOR VISUAL",IF(B74="B","BARCODE FAIL",IF(B74="D","DELAMINATION",IF('Data - Sample Type 0'!Q153="","DATA ENTRY ERROR",IF(B74=$D$23,"PASS","MAJOR FUNCTIONAL"))))))))))</f>
        <v/>
      </c>
      <c r="D74" s="77" t="str">
        <f>IF(C74="","",IF('Data - Sample Type 0'!NI153="","N/A",IF('Data - Sample Type 0'!NI153&lt;Specifications!$D$3,"PASS","FAIL")))</f>
        <v/>
      </c>
      <c r="E74" s="64"/>
    </row>
    <row r="75" spans="1:5" x14ac:dyDescent="0.2">
      <c r="A75" s="73" t="str">
        <f>IF('Data - Sample Type 0'!C154="","",'Data - Sample Type 0'!C154)</f>
        <v/>
      </c>
      <c r="B75" s="74" t="str">
        <f>IF('Data - Sample Type 0'!L154="","",'Data - Sample Type 0'!L154)</f>
        <v/>
      </c>
      <c r="C75" s="75" t="str">
        <f>IF(B75="","",IF(B75="INVALID",IF('Data - Sample Type 0'!NK154="","INVALID",'Data - Sample Type 0'!NK154),IF(B75="ERROR",'Data - Sample Type 0'!NK154,IF(B75="NO RESULT",'Data - Sample Type 0'!NK154,IF(B75="V","MINOR VISUAL",IF(B75="M","MAJOR VISUAL",IF(B75="B","BARCODE FAIL",IF(B75="D","DELAMINATION",IF('Data - Sample Type 0'!Q154="","DATA ENTRY ERROR",IF(B75=$D$23,"PASS","MAJOR FUNCTIONAL"))))))))))</f>
        <v/>
      </c>
      <c r="D75" s="77" t="str">
        <f>IF(C75="","",IF('Data - Sample Type 0'!NI154="","N/A",IF('Data - Sample Type 0'!NI154&lt;Specifications!$D$3,"PASS","FAIL")))</f>
        <v/>
      </c>
      <c r="E75" s="64"/>
    </row>
    <row r="76" spans="1:5" x14ac:dyDescent="0.2">
      <c r="A76" s="73" t="str">
        <f>IF('Data - Sample Type 0'!C155="","",'Data - Sample Type 0'!C155)</f>
        <v/>
      </c>
      <c r="B76" s="74" t="str">
        <f>IF('Data - Sample Type 0'!L155="","",'Data - Sample Type 0'!L155)</f>
        <v/>
      </c>
      <c r="C76" s="75" t="str">
        <f>IF(B76="","",IF(B76="INVALID",IF('Data - Sample Type 0'!NK155="","INVALID",'Data - Sample Type 0'!NK155),IF(B76="ERROR",'Data - Sample Type 0'!NK155,IF(B76="NO RESULT",'Data - Sample Type 0'!NK155,IF(B76="V","MINOR VISUAL",IF(B76="M","MAJOR VISUAL",IF(B76="B","BARCODE FAIL",IF(B76="D","DELAMINATION",IF('Data - Sample Type 0'!Q155="","DATA ENTRY ERROR",IF(B76=$D$23,"PASS","MAJOR FUNCTIONAL"))))))))))</f>
        <v/>
      </c>
      <c r="D76" s="77" t="str">
        <f>IF(C76="","",IF('Data - Sample Type 0'!NI155="","N/A",IF('Data - Sample Type 0'!NI155&lt;Specifications!$D$3,"PASS","FAIL")))</f>
        <v/>
      </c>
      <c r="E76" s="64"/>
    </row>
    <row r="77" spans="1:5" x14ac:dyDescent="0.2">
      <c r="A77" s="73" t="str">
        <f>IF('Data - Sample Type 0'!C156="","",'Data - Sample Type 0'!C156)</f>
        <v/>
      </c>
      <c r="B77" s="74" t="str">
        <f>IF('Data - Sample Type 0'!L156="","",'Data - Sample Type 0'!L156)</f>
        <v/>
      </c>
      <c r="C77" s="75" t="str">
        <f>IF(B77="","",IF(B77="INVALID",IF('Data - Sample Type 0'!NK156="","INVALID",'Data - Sample Type 0'!NK156),IF(B77="ERROR",'Data - Sample Type 0'!NK156,IF(B77="NO RESULT",'Data - Sample Type 0'!NK156,IF(B77="V","MINOR VISUAL",IF(B77="M","MAJOR VISUAL",IF(B77="B","BARCODE FAIL",IF(B77="D","DELAMINATION",IF('Data - Sample Type 0'!Q156="","DATA ENTRY ERROR",IF(B77=$D$23,"PASS","MAJOR FUNCTIONAL"))))))))))</f>
        <v/>
      </c>
      <c r="D77" s="77" t="str">
        <f>IF(C77="","",IF('Data - Sample Type 0'!NI156="","N/A",IF('Data - Sample Type 0'!NI156&lt;Specifications!$D$3,"PASS","FAIL")))</f>
        <v/>
      </c>
      <c r="E77" s="64"/>
    </row>
    <row r="78" spans="1:5" x14ac:dyDescent="0.2">
      <c r="A78" s="73" t="str">
        <f>IF('Data - Sample Type 0'!C157="","",'Data - Sample Type 0'!C157)</f>
        <v/>
      </c>
      <c r="B78" s="74" t="str">
        <f>IF('Data - Sample Type 0'!L157="","",'Data - Sample Type 0'!L157)</f>
        <v/>
      </c>
      <c r="C78" s="75" t="str">
        <f>IF(B78="","",IF(B78="INVALID",IF('Data - Sample Type 0'!NK157="","INVALID",'Data - Sample Type 0'!NK157),IF(B78="ERROR",'Data - Sample Type 0'!NK157,IF(B78="NO RESULT",'Data - Sample Type 0'!NK157,IF(B78="V","MINOR VISUAL",IF(B78="M","MAJOR VISUAL",IF(B78="B","BARCODE FAIL",IF(B78="D","DELAMINATION",IF('Data - Sample Type 0'!Q157="","DATA ENTRY ERROR",IF(B78=$D$23,"PASS","MAJOR FUNCTIONAL"))))))))))</f>
        <v/>
      </c>
      <c r="D78" s="77" t="str">
        <f>IF(C78="","",IF('Data - Sample Type 0'!NI157="","N/A",IF('Data - Sample Type 0'!NI157&lt;Specifications!$D$3,"PASS","FAIL")))</f>
        <v/>
      </c>
      <c r="E78" s="64"/>
    </row>
    <row r="79" spans="1:5" x14ac:dyDescent="0.2">
      <c r="A79" s="73" t="str">
        <f>IF('Data - Sample Type 0'!C158="","",'Data - Sample Type 0'!C158)</f>
        <v/>
      </c>
      <c r="B79" s="74" t="str">
        <f>IF('Data - Sample Type 0'!L158="","",'Data - Sample Type 0'!L158)</f>
        <v/>
      </c>
      <c r="C79" s="75" t="str">
        <f>IF(B79="","",IF(B79="INVALID",IF('Data - Sample Type 0'!NK158="","INVALID",'Data - Sample Type 0'!NK158),IF(B79="ERROR",'Data - Sample Type 0'!NK158,IF(B79="NO RESULT",'Data - Sample Type 0'!NK158,IF(B79="V","MINOR VISUAL",IF(B79="M","MAJOR VISUAL",IF(B79="B","BARCODE FAIL",IF(B79="D","DELAMINATION",IF('Data - Sample Type 0'!Q158="","DATA ENTRY ERROR",IF(B79=$D$23,"PASS","MAJOR FUNCTIONAL"))))))))))</f>
        <v/>
      </c>
      <c r="D79" s="77" t="str">
        <f>IF(C79="","",IF('Data - Sample Type 0'!NI158="","N/A",IF('Data - Sample Type 0'!NI158&lt;Specifications!$D$3,"PASS","FAIL")))</f>
        <v/>
      </c>
      <c r="E79" s="64"/>
    </row>
    <row r="80" spans="1:5" x14ac:dyDescent="0.2">
      <c r="A80" s="73" t="str">
        <f>IF('Data - Sample Type 0'!C159="","",'Data - Sample Type 0'!C159)</f>
        <v/>
      </c>
      <c r="B80" s="74" t="str">
        <f>IF('Data - Sample Type 0'!L159="","",'Data - Sample Type 0'!L159)</f>
        <v/>
      </c>
      <c r="C80" s="75" t="str">
        <f>IF(B80="","",IF(B80="INVALID",IF('Data - Sample Type 0'!NK159="","INVALID",'Data - Sample Type 0'!NK159),IF(B80="ERROR",'Data - Sample Type 0'!NK159,IF(B80="NO RESULT",'Data - Sample Type 0'!NK159,IF(B80="V","MINOR VISUAL",IF(B80="M","MAJOR VISUAL",IF(B80="B","BARCODE FAIL",IF(B80="D","DELAMINATION",IF('Data - Sample Type 0'!Q159="","DATA ENTRY ERROR",IF(B80=$D$23,"PASS","MAJOR FUNCTIONAL"))))))))))</f>
        <v/>
      </c>
      <c r="D80" s="77" t="str">
        <f>IF(C80="","",IF('Data - Sample Type 0'!NI159="","N/A",IF('Data - Sample Type 0'!NI159&lt;Specifications!$D$3,"PASS","FAIL")))</f>
        <v/>
      </c>
      <c r="E80" s="64"/>
    </row>
    <row r="81" spans="1:5" x14ac:dyDescent="0.2">
      <c r="A81" s="73" t="str">
        <f>IF('Data - Sample Type 0'!C160="","",'Data - Sample Type 0'!C160)</f>
        <v/>
      </c>
      <c r="B81" s="74" t="str">
        <f>IF('Data - Sample Type 0'!L160="","",'Data - Sample Type 0'!L160)</f>
        <v/>
      </c>
      <c r="C81" s="75" t="str">
        <f>IF(B81="","",IF(B81="INVALID",IF('Data - Sample Type 0'!NK160="","INVALID",'Data - Sample Type 0'!NK160),IF(B81="ERROR",'Data - Sample Type 0'!NK160,IF(B81="NO RESULT",'Data - Sample Type 0'!NK160,IF(B81="V","MINOR VISUAL",IF(B81="M","MAJOR VISUAL",IF(B81="B","BARCODE FAIL",IF(B81="D","DELAMINATION",IF('Data - Sample Type 0'!Q160="","DATA ENTRY ERROR",IF(B81=$D$23,"PASS","MAJOR FUNCTIONAL"))))))))))</f>
        <v/>
      </c>
      <c r="D81" s="77" t="str">
        <f>IF(C81="","",IF('Data - Sample Type 0'!NI160="","N/A",IF('Data - Sample Type 0'!NI160&lt;Specifications!$D$3,"PASS","FAIL")))</f>
        <v/>
      </c>
      <c r="E81" s="64"/>
    </row>
    <row r="82" spans="1:5" x14ac:dyDescent="0.2">
      <c r="A82" s="73" t="str">
        <f>IF('Data - Sample Type 0'!C161="","",'Data - Sample Type 0'!C161)</f>
        <v/>
      </c>
      <c r="B82" s="74" t="str">
        <f>IF('Data - Sample Type 0'!L161="","",'Data - Sample Type 0'!L161)</f>
        <v/>
      </c>
      <c r="C82" s="75" t="str">
        <f>IF(B82="","",IF(B82="INVALID",IF('Data - Sample Type 0'!NK161="","INVALID",'Data - Sample Type 0'!NK161),IF(B82="ERROR",'Data - Sample Type 0'!NK161,IF(B82="NO RESULT",'Data - Sample Type 0'!NK161,IF(B82="V","MINOR VISUAL",IF(B82="M","MAJOR VISUAL",IF(B82="B","BARCODE FAIL",IF(B82="D","DELAMINATION",IF('Data - Sample Type 0'!Q161="","DATA ENTRY ERROR",IF(B82=$D$23,"PASS","MAJOR FUNCTIONAL"))))))))))</f>
        <v/>
      </c>
      <c r="D82" s="77" t="str">
        <f>IF(C82="","",IF('Data - Sample Type 0'!NI161="","N/A",IF('Data - Sample Type 0'!NI161&lt;Specifications!$D$3,"PASS","FAIL")))</f>
        <v/>
      </c>
      <c r="E82" s="64"/>
    </row>
    <row r="83" spans="1:5" x14ac:dyDescent="0.2">
      <c r="A83" s="73" t="str">
        <f>IF('Data - Sample Type 0'!C162="","",'Data - Sample Type 0'!C162)</f>
        <v/>
      </c>
      <c r="B83" s="74" t="str">
        <f>IF('Data - Sample Type 0'!L162="","",'Data - Sample Type 0'!L162)</f>
        <v/>
      </c>
      <c r="C83" s="75" t="str">
        <f>IF(B83="","",IF(B83="INVALID",IF('Data - Sample Type 0'!NK162="","INVALID",'Data - Sample Type 0'!NK162),IF(B83="ERROR",'Data - Sample Type 0'!NK162,IF(B83="NO RESULT",'Data - Sample Type 0'!NK162,IF(B83="V","MINOR VISUAL",IF(B83="M","MAJOR VISUAL",IF(B83="B","BARCODE FAIL",IF(B83="D","DELAMINATION",IF('Data - Sample Type 0'!Q162="","DATA ENTRY ERROR",IF(B83=$D$23,"PASS","MAJOR FUNCTIONAL"))))))))))</f>
        <v/>
      </c>
      <c r="D83" s="77" t="str">
        <f>IF(C83="","",IF('Data - Sample Type 0'!NI162="","N/A",IF('Data - Sample Type 0'!NI162&lt;Specifications!$D$3,"PASS","FAIL")))</f>
        <v/>
      </c>
      <c r="E83" s="64"/>
    </row>
    <row r="84" spans="1:5" x14ac:dyDescent="0.2">
      <c r="A84" s="73" t="str">
        <f>IF('Data - Sample Type 0'!C163="","",'Data - Sample Type 0'!C163)</f>
        <v/>
      </c>
      <c r="B84" s="74" t="str">
        <f>IF('Data - Sample Type 0'!L163="","",'Data - Sample Type 0'!L163)</f>
        <v/>
      </c>
      <c r="C84" s="75" t="str">
        <f>IF(B84="","",IF(B84="INVALID",IF('Data - Sample Type 0'!NK163="","INVALID",'Data - Sample Type 0'!NK163),IF(B84="ERROR",'Data - Sample Type 0'!NK163,IF(B84="NO RESULT",'Data - Sample Type 0'!NK163,IF(B84="V","MINOR VISUAL",IF(B84="M","MAJOR VISUAL",IF(B84="B","BARCODE FAIL",IF(B84="D","DELAMINATION",IF('Data - Sample Type 0'!Q163="","DATA ENTRY ERROR",IF(B84=$D$23,"PASS","MAJOR FUNCTIONAL"))))))))))</f>
        <v/>
      </c>
      <c r="D84" s="77" t="str">
        <f>IF(C84="","",IF('Data - Sample Type 0'!NI163="","N/A",IF('Data - Sample Type 0'!NI163&lt;Specifications!$D$3,"PASS","FAIL")))</f>
        <v/>
      </c>
      <c r="E84" s="64"/>
    </row>
    <row r="85" spans="1:5" x14ac:dyDescent="0.2">
      <c r="A85" s="73" t="str">
        <f>IF('Data - Sample Type 0'!C164="","",'Data - Sample Type 0'!C164)</f>
        <v/>
      </c>
      <c r="B85" s="74" t="str">
        <f>IF('Data - Sample Type 0'!L164="","",'Data - Sample Type 0'!L164)</f>
        <v/>
      </c>
      <c r="C85" s="75" t="str">
        <f>IF(B85="","",IF(B85="INVALID",IF('Data - Sample Type 0'!NK164="","INVALID",'Data - Sample Type 0'!NK164),IF(B85="ERROR",'Data - Sample Type 0'!NK164,IF(B85="NO RESULT",'Data - Sample Type 0'!NK164,IF(B85="V","MINOR VISUAL",IF(B85="M","MAJOR VISUAL",IF(B85="B","BARCODE FAIL",IF(B85="D","DELAMINATION",IF('Data - Sample Type 0'!Q164="","DATA ENTRY ERROR",IF(B85=$D$23,"PASS","MAJOR FUNCTIONAL"))))))))))</f>
        <v/>
      </c>
      <c r="D85" s="77" t="str">
        <f>IF(C85="","",IF('Data - Sample Type 0'!NI164="","N/A",IF('Data - Sample Type 0'!NI164&lt;Specifications!$D$3,"PASS","FAIL")))</f>
        <v/>
      </c>
      <c r="E85" s="64"/>
    </row>
    <row r="86" spans="1:5" x14ac:dyDescent="0.2">
      <c r="A86" s="73" t="str">
        <f>IF('Data - Sample Type 0'!C165="","",'Data - Sample Type 0'!C165)</f>
        <v/>
      </c>
      <c r="B86" s="74" t="str">
        <f>IF('Data - Sample Type 0'!L165="","",'Data - Sample Type 0'!L165)</f>
        <v/>
      </c>
      <c r="C86" s="75" t="str">
        <f>IF(B86="","",IF(B86="INVALID",IF('Data - Sample Type 0'!NK165="","INVALID",'Data - Sample Type 0'!NK165),IF(B86="ERROR",'Data - Sample Type 0'!NK165,IF(B86="NO RESULT",'Data - Sample Type 0'!NK165,IF(B86="V","MINOR VISUAL",IF(B86="M","MAJOR VISUAL",IF(B86="B","BARCODE FAIL",IF(B86="D","DELAMINATION",IF('Data - Sample Type 0'!Q165="","DATA ENTRY ERROR",IF(B86=$D$23,"PASS","MAJOR FUNCTIONAL"))))))))))</f>
        <v/>
      </c>
      <c r="D86" s="77" t="str">
        <f>IF(C86="","",IF('Data - Sample Type 0'!NI165="","N/A",IF('Data - Sample Type 0'!NI165&lt;Specifications!$D$3,"PASS","FAIL")))</f>
        <v/>
      </c>
      <c r="E86" s="64"/>
    </row>
    <row r="87" spans="1:5" x14ac:dyDescent="0.2">
      <c r="A87" s="73" t="str">
        <f>IF('Data - Sample Type 0'!C166="","",'Data - Sample Type 0'!C166)</f>
        <v/>
      </c>
      <c r="B87" s="74" t="str">
        <f>IF('Data - Sample Type 0'!L166="","",'Data - Sample Type 0'!L166)</f>
        <v/>
      </c>
      <c r="C87" s="75" t="str">
        <f>IF(B87="","",IF(B87="INVALID",IF('Data - Sample Type 0'!NK166="","INVALID",'Data - Sample Type 0'!NK166),IF(B87="ERROR",'Data - Sample Type 0'!NK166,IF(B87="NO RESULT",'Data - Sample Type 0'!NK166,IF(B87="V","MINOR VISUAL",IF(B87="M","MAJOR VISUAL",IF(B87="B","BARCODE FAIL",IF(B87="D","DELAMINATION",IF('Data - Sample Type 0'!Q166="","DATA ENTRY ERROR",IF(B87=$D$23,"PASS","MAJOR FUNCTIONAL"))))))))))</f>
        <v/>
      </c>
      <c r="D87" s="77" t="str">
        <f>IF(C87="","",IF('Data - Sample Type 0'!NI166="","N/A",IF('Data - Sample Type 0'!NI166&lt;Specifications!$D$3,"PASS","FAIL")))</f>
        <v/>
      </c>
      <c r="E87" s="64"/>
    </row>
    <row r="88" spans="1:5" x14ac:dyDescent="0.2">
      <c r="A88" s="73" t="str">
        <f>IF('Data - Sample Type 0'!C167="","",'Data - Sample Type 0'!C167)</f>
        <v/>
      </c>
      <c r="B88" s="74" t="str">
        <f>IF('Data - Sample Type 0'!L167="","",'Data - Sample Type 0'!L167)</f>
        <v/>
      </c>
      <c r="C88" s="75" t="str">
        <f>IF(B88="","",IF(B88="INVALID",IF('Data - Sample Type 0'!NK167="","INVALID",'Data - Sample Type 0'!NK167),IF(B88="ERROR",'Data - Sample Type 0'!NK167,IF(B88="NO RESULT",'Data - Sample Type 0'!NK167,IF(B88="V","MINOR VISUAL",IF(B88="M","MAJOR VISUAL",IF(B88="B","BARCODE FAIL",IF(B88="D","DELAMINATION",IF('Data - Sample Type 0'!Q167="","DATA ENTRY ERROR",IF(B88=$D$23,"PASS","MAJOR FUNCTIONAL"))))))))))</f>
        <v/>
      </c>
      <c r="D88" s="77" t="str">
        <f>IF(C88="","",IF('Data - Sample Type 0'!NI167="","N/A",IF('Data - Sample Type 0'!NI167&lt;Specifications!$D$3,"PASS","FAIL")))</f>
        <v/>
      </c>
      <c r="E88" s="64"/>
    </row>
    <row r="89" spans="1:5" x14ac:dyDescent="0.2">
      <c r="A89" s="73" t="str">
        <f>IF('Data - Sample Type 0'!C168="","",'Data - Sample Type 0'!C168)</f>
        <v/>
      </c>
      <c r="B89" s="74" t="str">
        <f>IF('Data - Sample Type 0'!L168="","",'Data - Sample Type 0'!L168)</f>
        <v/>
      </c>
      <c r="C89" s="75" t="str">
        <f>IF(B89="","",IF(B89="INVALID",IF('Data - Sample Type 0'!NK168="","INVALID",'Data - Sample Type 0'!NK168),IF(B89="ERROR",'Data - Sample Type 0'!NK168,IF(B89="NO RESULT",'Data - Sample Type 0'!NK168,IF(B89="V","MINOR VISUAL",IF(B89="M","MAJOR VISUAL",IF(B89="B","BARCODE FAIL",IF(B89="D","DELAMINATION",IF('Data - Sample Type 0'!Q168="","DATA ENTRY ERROR",IF(B89=$D$23,"PASS","MAJOR FUNCTIONAL"))))))))))</f>
        <v/>
      </c>
      <c r="D89" s="77" t="str">
        <f>IF(C89="","",IF('Data - Sample Type 0'!NI168="","N/A",IF('Data - Sample Type 0'!NI168&lt;Specifications!$D$3,"PASS","FAIL")))</f>
        <v/>
      </c>
      <c r="E89" s="64"/>
    </row>
    <row r="90" spans="1:5" x14ac:dyDescent="0.2">
      <c r="A90" s="73" t="str">
        <f>IF('Data - Sample Type 0'!C169="","",'Data - Sample Type 0'!C169)</f>
        <v/>
      </c>
      <c r="B90" s="74" t="str">
        <f>IF('Data - Sample Type 0'!L169="","",'Data - Sample Type 0'!L169)</f>
        <v/>
      </c>
      <c r="C90" s="75" t="str">
        <f>IF(B90="","",IF(B90="INVALID",IF('Data - Sample Type 0'!NK169="","INVALID",'Data - Sample Type 0'!NK169),IF(B90="ERROR",'Data - Sample Type 0'!NK169,IF(B90="NO RESULT",'Data - Sample Type 0'!NK169,IF(B90="V","MINOR VISUAL",IF(B90="M","MAJOR VISUAL",IF(B90="B","BARCODE FAIL",IF(B90="D","DELAMINATION",IF('Data - Sample Type 0'!Q169="","DATA ENTRY ERROR",IF(B90=$D$23,"PASS","MAJOR FUNCTIONAL"))))))))))</f>
        <v/>
      </c>
      <c r="D90" s="77" t="str">
        <f>IF(C90="","",IF('Data - Sample Type 0'!NI169="","N/A",IF('Data - Sample Type 0'!NI169&lt;Specifications!$D$3,"PASS","FAIL")))</f>
        <v/>
      </c>
      <c r="E90" s="64"/>
    </row>
    <row r="91" spans="1:5" x14ac:dyDescent="0.2">
      <c r="A91" s="73" t="str">
        <f>IF('Data - Sample Type 0'!C170="","",'Data - Sample Type 0'!C170)</f>
        <v/>
      </c>
      <c r="B91" s="74" t="str">
        <f>IF('Data - Sample Type 0'!L170="","",'Data - Sample Type 0'!L170)</f>
        <v/>
      </c>
      <c r="C91" s="75" t="str">
        <f>IF(B91="","",IF(B91="INVALID",IF('Data - Sample Type 0'!NK170="","INVALID",'Data - Sample Type 0'!NK170),IF(B91="ERROR",'Data - Sample Type 0'!NK170,IF(B91="NO RESULT",'Data - Sample Type 0'!NK170,IF(B91="V","MINOR VISUAL",IF(B91="M","MAJOR VISUAL",IF(B91="B","BARCODE FAIL",IF(B91="D","DELAMINATION",IF('Data - Sample Type 0'!Q170="","DATA ENTRY ERROR",IF(B91=$D$23,"PASS","MAJOR FUNCTIONAL"))))))))))</f>
        <v/>
      </c>
      <c r="D91" s="77" t="str">
        <f>IF(C91="","",IF('Data - Sample Type 0'!NI170="","N/A",IF('Data - Sample Type 0'!NI170&lt;Specifications!$D$3,"PASS","FAIL")))</f>
        <v/>
      </c>
      <c r="E91" s="64"/>
    </row>
    <row r="92" spans="1:5" x14ac:dyDescent="0.2">
      <c r="A92" s="73" t="str">
        <f>IF('Data - Sample Type 0'!C171="","",'Data - Sample Type 0'!C171)</f>
        <v/>
      </c>
      <c r="B92" s="74" t="str">
        <f>IF('Data - Sample Type 0'!L171="","",'Data - Sample Type 0'!L171)</f>
        <v/>
      </c>
      <c r="C92" s="75" t="str">
        <f>IF(B92="","",IF(B92="INVALID",IF('Data - Sample Type 0'!NK171="","INVALID",'Data - Sample Type 0'!NK171),IF(B92="ERROR",'Data - Sample Type 0'!NK171,IF(B92="NO RESULT",'Data - Sample Type 0'!NK171,IF(B92="V","MINOR VISUAL",IF(B92="M","MAJOR VISUAL",IF(B92="B","BARCODE FAIL",IF(B92="D","DELAMINATION",IF('Data - Sample Type 0'!Q171="","DATA ENTRY ERROR",IF(B92=$D$23,"PASS","MAJOR FUNCTIONAL"))))))))))</f>
        <v/>
      </c>
      <c r="D92" s="77" t="str">
        <f>IF(C92="","",IF('Data - Sample Type 0'!NI171="","N/A",IF('Data - Sample Type 0'!NI171&lt;Specifications!$D$3,"PASS","FAIL")))</f>
        <v/>
      </c>
      <c r="E92" s="64"/>
    </row>
    <row r="93" spans="1:5" x14ac:dyDescent="0.2">
      <c r="A93" s="73" t="str">
        <f>IF('Data - Sample Type 0'!C172="","",'Data - Sample Type 0'!C172)</f>
        <v/>
      </c>
      <c r="B93" s="74" t="str">
        <f>IF('Data - Sample Type 0'!L172="","",'Data - Sample Type 0'!L172)</f>
        <v/>
      </c>
      <c r="C93" s="75" t="str">
        <f>IF(B93="","",IF(B93="INVALID",IF('Data - Sample Type 0'!NK172="","INVALID",'Data - Sample Type 0'!NK172),IF(B93="ERROR",'Data - Sample Type 0'!NK172,IF(B93="NO RESULT",'Data - Sample Type 0'!NK172,IF(B93="V","MINOR VISUAL",IF(B93="M","MAJOR VISUAL",IF(B93="B","BARCODE FAIL",IF(B93="D","DELAMINATION",IF('Data - Sample Type 0'!Q172="","DATA ENTRY ERROR",IF(B93=$D$23,"PASS","MAJOR FUNCTIONAL"))))))))))</f>
        <v/>
      </c>
      <c r="D93" s="77" t="str">
        <f>IF(C93="","",IF('Data - Sample Type 0'!NI172="","N/A",IF('Data - Sample Type 0'!NI172&lt;Specifications!$D$3,"PASS","FAIL")))</f>
        <v/>
      </c>
      <c r="E93" s="64"/>
    </row>
    <row r="94" spans="1:5" x14ac:dyDescent="0.2">
      <c r="A94" s="73" t="str">
        <f>IF('Data - Sample Type 0'!C173="","",'Data - Sample Type 0'!C173)</f>
        <v/>
      </c>
      <c r="B94" s="74" t="str">
        <f>IF('Data - Sample Type 0'!L173="","",'Data - Sample Type 0'!L173)</f>
        <v/>
      </c>
      <c r="C94" s="75" t="str">
        <f>IF(B94="","",IF(B94="INVALID",IF('Data - Sample Type 0'!NK173="","INVALID",'Data - Sample Type 0'!NK173),IF(B94="ERROR",'Data - Sample Type 0'!NK173,IF(B94="NO RESULT",'Data - Sample Type 0'!NK173,IF(B94="V","MINOR VISUAL",IF(B94="M","MAJOR VISUAL",IF(B94="B","BARCODE FAIL",IF(B94="D","DELAMINATION",IF('Data - Sample Type 0'!Q173="","DATA ENTRY ERROR",IF(B94=$D$23,"PASS","MAJOR FUNCTIONAL"))))))))))</f>
        <v/>
      </c>
      <c r="D94" s="77" t="str">
        <f>IF(C94="","",IF('Data - Sample Type 0'!NI173="","N/A",IF('Data - Sample Type 0'!NI173&lt;Specifications!$D$3,"PASS","FAIL")))</f>
        <v/>
      </c>
      <c r="E94" s="64"/>
    </row>
    <row r="95" spans="1:5" x14ac:dyDescent="0.2">
      <c r="A95" s="73" t="str">
        <f>IF('Data - Sample Type 0'!C174="","",'Data - Sample Type 0'!C174)</f>
        <v/>
      </c>
      <c r="B95" s="74" t="str">
        <f>IF('Data - Sample Type 0'!L174="","",'Data - Sample Type 0'!L174)</f>
        <v/>
      </c>
      <c r="C95" s="75" t="str">
        <f>IF(B95="","",IF(B95="INVALID",IF('Data - Sample Type 0'!NK174="","INVALID",'Data - Sample Type 0'!NK174),IF(B95="ERROR",'Data - Sample Type 0'!NK174,IF(B95="NO RESULT",'Data - Sample Type 0'!NK174,IF(B95="V","MINOR VISUAL",IF(B95="M","MAJOR VISUAL",IF(B95="B","BARCODE FAIL",IF(B95="D","DELAMINATION",IF('Data - Sample Type 0'!Q174="","DATA ENTRY ERROR",IF(B95=$D$23,"PASS","MAJOR FUNCTIONAL"))))))))))</f>
        <v/>
      </c>
      <c r="D95" s="77" t="str">
        <f>IF(C95="","",IF('Data - Sample Type 0'!NI174="","N/A",IF('Data - Sample Type 0'!NI174&lt;Specifications!$D$3,"PASS","FAIL")))</f>
        <v/>
      </c>
      <c r="E95" s="64"/>
    </row>
    <row r="96" spans="1:5" x14ac:dyDescent="0.2">
      <c r="A96" s="73" t="str">
        <f>IF('Data - Sample Type 0'!C175="","",'Data - Sample Type 0'!C175)</f>
        <v/>
      </c>
      <c r="B96" s="74" t="str">
        <f>IF('Data - Sample Type 0'!L175="","",'Data - Sample Type 0'!L175)</f>
        <v/>
      </c>
      <c r="C96" s="75" t="str">
        <f>IF(B96="","",IF(B96="INVALID",IF('Data - Sample Type 0'!NK175="","INVALID",'Data - Sample Type 0'!NK175),IF(B96="ERROR",'Data - Sample Type 0'!NK175,IF(B96="NO RESULT",'Data - Sample Type 0'!NK175,IF(B96="V","MINOR VISUAL",IF(B96="M","MAJOR VISUAL",IF(B96="B","BARCODE FAIL",IF(B96="D","DELAMINATION",IF('Data - Sample Type 0'!Q175="","DATA ENTRY ERROR",IF(B96=$D$23,"PASS","MAJOR FUNCTIONAL"))))))))))</f>
        <v/>
      </c>
      <c r="D96" s="77" t="str">
        <f>IF(C96="","",IF('Data - Sample Type 0'!NI175="","N/A",IF('Data - Sample Type 0'!NI175&lt;Specifications!$D$3,"PASS","FAIL")))</f>
        <v/>
      </c>
      <c r="E96" s="64"/>
    </row>
    <row r="97" spans="1:5" x14ac:dyDescent="0.2">
      <c r="A97" s="73" t="str">
        <f>IF('Data - Sample Type 0'!C176="","",'Data - Sample Type 0'!C176)</f>
        <v/>
      </c>
      <c r="B97" s="74" t="str">
        <f>IF('Data - Sample Type 0'!L176="","",'Data - Sample Type 0'!L176)</f>
        <v/>
      </c>
      <c r="C97" s="75" t="str">
        <f>IF(B97="","",IF(B97="INVALID",IF('Data - Sample Type 0'!NK176="","INVALID",'Data - Sample Type 0'!NK176),IF(B97="ERROR",'Data - Sample Type 0'!NK176,IF(B97="NO RESULT",'Data - Sample Type 0'!NK176,IF(B97="V","MINOR VISUAL",IF(B97="M","MAJOR VISUAL",IF(B97="B","BARCODE FAIL",IF(B97="D","DELAMINATION",IF('Data - Sample Type 0'!Q176="","DATA ENTRY ERROR",IF(B97=$D$23,"PASS","MAJOR FUNCTIONAL"))))))))))</f>
        <v/>
      </c>
      <c r="D97" s="77" t="str">
        <f>IF(C97="","",IF('Data - Sample Type 0'!NI176="","N/A",IF('Data - Sample Type 0'!NI176&lt;Specifications!$D$3,"PASS","FAIL")))</f>
        <v/>
      </c>
      <c r="E97" s="64"/>
    </row>
    <row r="98" spans="1:5" x14ac:dyDescent="0.2">
      <c r="A98" s="73" t="str">
        <f>IF('Data - Sample Type 0'!C177="","",'Data - Sample Type 0'!C177)</f>
        <v/>
      </c>
      <c r="B98" s="74" t="str">
        <f>IF('Data - Sample Type 0'!L177="","",'Data - Sample Type 0'!L177)</f>
        <v/>
      </c>
      <c r="C98" s="75" t="str">
        <f>IF(B98="","",IF(B98="INVALID",IF('Data - Sample Type 0'!NK177="","INVALID",'Data - Sample Type 0'!NK177),IF(B98="ERROR",'Data - Sample Type 0'!NK177,IF(B98="NO RESULT",'Data - Sample Type 0'!NK177,IF(B98="V","MINOR VISUAL",IF(B98="M","MAJOR VISUAL",IF(B98="B","BARCODE FAIL",IF(B98="D","DELAMINATION",IF('Data - Sample Type 0'!Q177="","DATA ENTRY ERROR",IF(B98=$D$23,"PASS","MAJOR FUNCTIONAL"))))))))))</f>
        <v/>
      </c>
      <c r="D98" s="77" t="str">
        <f>IF(C98="","",IF('Data - Sample Type 0'!NI177="","N/A",IF('Data - Sample Type 0'!NI177&lt;Specifications!$D$3,"PASS","FAIL")))</f>
        <v/>
      </c>
      <c r="E98" s="64"/>
    </row>
    <row r="99" spans="1:5" x14ac:dyDescent="0.2">
      <c r="A99" s="73" t="str">
        <f>IF('Data - Sample Type 0'!C178="","",'Data - Sample Type 0'!C178)</f>
        <v/>
      </c>
      <c r="B99" s="74" t="str">
        <f>IF('Data - Sample Type 0'!L178="","",'Data - Sample Type 0'!L178)</f>
        <v/>
      </c>
      <c r="C99" s="75" t="str">
        <f>IF(B99="","",IF(B99="INVALID",IF('Data - Sample Type 0'!NK178="","INVALID",'Data - Sample Type 0'!NK178),IF(B99="ERROR",'Data - Sample Type 0'!NK178,IF(B99="NO RESULT",'Data - Sample Type 0'!NK178,IF(B99="V","MINOR VISUAL",IF(B99="M","MAJOR VISUAL",IF(B99="B","BARCODE FAIL",IF(B99="D","DELAMINATION",IF('Data - Sample Type 0'!Q178="","DATA ENTRY ERROR",IF(B99=$D$23,"PASS","MAJOR FUNCTIONAL"))))))))))</f>
        <v/>
      </c>
      <c r="D99" s="77" t="str">
        <f>IF(C99="","",IF('Data - Sample Type 0'!NI178="","N/A",IF('Data - Sample Type 0'!NI178&lt;Specifications!$D$3,"PASS","FAIL")))</f>
        <v/>
      </c>
      <c r="E99" s="64"/>
    </row>
    <row r="100" spans="1:5" x14ac:dyDescent="0.2">
      <c r="A100" s="73" t="str">
        <f>IF('Data - Sample Type 0'!C179="","",'Data - Sample Type 0'!C179)</f>
        <v/>
      </c>
      <c r="B100" s="74" t="str">
        <f>IF('Data - Sample Type 0'!L179="","",'Data - Sample Type 0'!L179)</f>
        <v/>
      </c>
      <c r="C100" s="75" t="str">
        <f>IF(B100="","",IF(B100="INVALID",IF('Data - Sample Type 0'!NK179="","INVALID",'Data - Sample Type 0'!NK179),IF(B100="ERROR",'Data - Sample Type 0'!NK179,IF(B100="NO RESULT",'Data - Sample Type 0'!NK179,IF(B100="V","MINOR VISUAL",IF(B100="M","MAJOR VISUAL",IF(B100="B","BARCODE FAIL",IF(B100="D","DELAMINATION",IF('Data - Sample Type 0'!Q179="","DATA ENTRY ERROR",IF(B100=$D$23,"PASS","MAJOR FUNCTIONAL"))))))))))</f>
        <v/>
      </c>
      <c r="D100" s="77" t="str">
        <f>IF(C100="","",IF('Data - Sample Type 0'!NI179="","N/A",IF('Data - Sample Type 0'!NI179&lt;Specifications!$D$3,"PASS","FAIL")))</f>
        <v/>
      </c>
      <c r="E100" s="64"/>
    </row>
    <row r="101" spans="1:5" x14ac:dyDescent="0.2">
      <c r="A101" s="73" t="str">
        <f>IF('Data - Sample Type 0'!C180="","",'Data - Sample Type 0'!C180)</f>
        <v/>
      </c>
      <c r="B101" s="74" t="str">
        <f>IF('Data - Sample Type 0'!L180="","",'Data - Sample Type 0'!L180)</f>
        <v/>
      </c>
      <c r="C101" s="75" t="str">
        <f>IF(B101="","",IF(B101="INVALID",IF('Data - Sample Type 0'!NK180="","INVALID",'Data - Sample Type 0'!NK180),IF(B101="ERROR",'Data - Sample Type 0'!NK180,IF(B101="NO RESULT",'Data - Sample Type 0'!NK180,IF(B101="V","MINOR VISUAL",IF(B101="M","MAJOR VISUAL",IF(B101="B","BARCODE FAIL",IF(B101="D","DELAMINATION",IF('Data - Sample Type 0'!Q180="","DATA ENTRY ERROR",IF(B101=$D$23,"PASS","MAJOR FUNCTIONAL"))))))))))</f>
        <v/>
      </c>
      <c r="D101" s="77" t="str">
        <f>IF(C101="","",IF('Data - Sample Type 0'!NI180="","N/A",IF('Data - Sample Type 0'!NI180&lt;Specifications!$D$3,"PASS","FAIL")))</f>
        <v/>
      </c>
      <c r="E101" s="64"/>
    </row>
    <row r="102" spans="1:5" x14ac:dyDescent="0.2">
      <c r="A102" s="73" t="str">
        <f>IF('Data - Sample Type 0'!C181="","",'Data - Sample Type 0'!C181)</f>
        <v/>
      </c>
      <c r="B102" s="74" t="str">
        <f>IF('Data - Sample Type 0'!L181="","",'Data - Sample Type 0'!L181)</f>
        <v/>
      </c>
      <c r="C102" s="75" t="str">
        <f>IF(B102="","",IF(B102="INVALID",IF('Data - Sample Type 0'!NK181="","INVALID",'Data - Sample Type 0'!NK181),IF(B102="ERROR",'Data - Sample Type 0'!NK181,IF(B102="NO RESULT",'Data - Sample Type 0'!NK181,IF(B102="V","MINOR VISUAL",IF(B102="M","MAJOR VISUAL",IF(B102="B","BARCODE FAIL",IF(B102="D","DELAMINATION",IF('Data - Sample Type 0'!Q181="","DATA ENTRY ERROR",IF(B102=$D$23,"PASS","MAJOR FUNCTIONAL"))))))))))</f>
        <v/>
      </c>
      <c r="D102" s="77" t="str">
        <f>IF(C102="","",IF('Data - Sample Type 0'!NI181="","N/A",IF('Data - Sample Type 0'!NI181&lt;Specifications!$D$3,"PASS","FAIL")))</f>
        <v/>
      </c>
      <c r="E102" s="64"/>
    </row>
    <row r="103" spans="1:5" x14ac:dyDescent="0.2">
      <c r="A103" s="73" t="str">
        <f>IF('Data - Sample Type 0'!C182="","",'Data - Sample Type 0'!C182)</f>
        <v/>
      </c>
      <c r="B103" s="74" t="str">
        <f>IF('Data - Sample Type 0'!L182="","",'Data - Sample Type 0'!L182)</f>
        <v/>
      </c>
      <c r="C103" s="75" t="str">
        <f>IF(B103="","",IF(B103="INVALID",IF('Data - Sample Type 0'!NK182="","INVALID",'Data - Sample Type 0'!NK182),IF(B103="ERROR",'Data - Sample Type 0'!NK182,IF(B103="NO RESULT",'Data - Sample Type 0'!NK182,IF(B103="V","MINOR VISUAL",IF(B103="M","MAJOR VISUAL",IF(B103="B","BARCODE FAIL",IF(B103="D","DELAMINATION",IF('Data - Sample Type 0'!Q182="","DATA ENTRY ERROR",IF(B103=$D$23,"PASS","MAJOR FUNCTIONAL"))))))))))</f>
        <v/>
      </c>
      <c r="D103" s="77" t="str">
        <f>IF(C103="","",IF('Data - Sample Type 0'!NI182="","N/A",IF('Data - Sample Type 0'!NI182&lt;Specifications!$D$3,"PASS","FAIL")))</f>
        <v/>
      </c>
      <c r="E103" s="64"/>
    </row>
    <row r="104" spans="1:5" x14ac:dyDescent="0.2">
      <c r="A104" s="73" t="str">
        <f>IF('Data - Sample Type 0'!C183="","",'Data - Sample Type 0'!C183)</f>
        <v/>
      </c>
      <c r="B104" s="74" t="str">
        <f>IF('Data - Sample Type 0'!L183="","",'Data - Sample Type 0'!L183)</f>
        <v/>
      </c>
      <c r="C104" s="75" t="str">
        <f>IF(B104="","",IF(B104="INVALID",IF('Data - Sample Type 0'!NK183="","INVALID",'Data - Sample Type 0'!NK183),IF(B104="ERROR",'Data - Sample Type 0'!NK183,IF(B104="NO RESULT",'Data - Sample Type 0'!NK183,IF(B104="V","MINOR VISUAL",IF(B104="M","MAJOR VISUAL",IF(B104="B","BARCODE FAIL",IF(B104="D","DELAMINATION",IF('Data - Sample Type 0'!Q183="","DATA ENTRY ERROR",IF(B104=$D$23,"PASS","MAJOR FUNCTIONAL"))))))))))</f>
        <v/>
      </c>
      <c r="D104" s="77" t="str">
        <f>IF(C104="","",IF('Data - Sample Type 0'!NI183="","N/A",IF('Data - Sample Type 0'!NI183&lt;Specifications!$D$3,"PASS","FAIL")))</f>
        <v/>
      </c>
      <c r="E104" s="64"/>
    </row>
    <row r="105" spans="1:5" x14ac:dyDescent="0.2">
      <c r="A105" s="73" t="str">
        <f>IF('Data - Sample Type 0'!C184="","",'Data - Sample Type 0'!C184)</f>
        <v/>
      </c>
      <c r="B105" s="74" t="str">
        <f>IF('Data - Sample Type 0'!L184="","",'Data - Sample Type 0'!L184)</f>
        <v/>
      </c>
      <c r="C105" s="75" t="str">
        <f>IF(B105="","",IF(B105="INVALID",IF('Data - Sample Type 0'!NK184="","INVALID",'Data - Sample Type 0'!NK184),IF(B105="ERROR",'Data - Sample Type 0'!NK184,IF(B105="NO RESULT",'Data - Sample Type 0'!NK184,IF(B105="V","MINOR VISUAL",IF(B105="M","MAJOR VISUAL",IF(B105="B","BARCODE FAIL",IF(B105="D","DELAMINATION",IF('Data - Sample Type 0'!Q184="","DATA ENTRY ERROR",IF(B105=$D$23,"PASS","MAJOR FUNCTIONAL"))))))))))</f>
        <v/>
      </c>
      <c r="D105" s="77" t="str">
        <f>IF(C105="","",IF('Data - Sample Type 0'!NI184="","N/A",IF('Data - Sample Type 0'!NI184&lt;Specifications!$D$3,"PASS","FAIL")))</f>
        <v/>
      </c>
      <c r="E105" s="64"/>
    </row>
    <row r="106" spans="1:5" x14ac:dyDescent="0.2">
      <c r="A106" s="73" t="str">
        <f>IF('Data - Sample Type 0'!C185="","",'Data - Sample Type 0'!C185)</f>
        <v/>
      </c>
      <c r="B106" s="74" t="str">
        <f>IF('Data - Sample Type 0'!L185="","",'Data - Sample Type 0'!L185)</f>
        <v/>
      </c>
      <c r="C106" s="75" t="str">
        <f>IF(B106="","",IF(B106="INVALID",IF('Data - Sample Type 0'!NK185="","INVALID",'Data - Sample Type 0'!NK185),IF(B106="ERROR",'Data - Sample Type 0'!NK185,IF(B106="NO RESULT",'Data - Sample Type 0'!NK185,IF(B106="V","MINOR VISUAL",IF(B106="M","MAJOR VISUAL",IF(B106="B","BARCODE FAIL",IF(B106="D","DELAMINATION",IF('Data - Sample Type 0'!Q185="","DATA ENTRY ERROR",IF(B106=$D$23,"PASS","MAJOR FUNCTIONAL"))))))))))</f>
        <v/>
      </c>
      <c r="D106" s="77" t="str">
        <f>IF(C106="","",IF('Data - Sample Type 0'!NI185="","N/A",IF('Data - Sample Type 0'!NI185&lt;Specifications!$D$3,"PASS","FAIL")))</f>
        <v/>
      </c>
      <c r="E106" s="64"/>
    </row>
    <row r="107" spans="1:5" x14ac:dyDescent="0.2">
      <c r="A107" s="73" t="str">
        <f>IF('Data - Sample Type 0'!C186="","",'Data - Sample Type 0'!C186)</f>
        <v/>
      </c>
      <c r="B107" s="74" t="str">
        <f>IF('Data - Sample Type 0'!L186="","",'Data - Sample Type 0'!L186)</f>
        <v/>
      </c>
      <c r="C107" s="75" t="str">
        <f>IF(B107="","",IF(B107="INVALID",IF('Data - Sample Type 0'!NK186="","INVALID",'Data - Sample Type 0'!NK186),IF(B107="ERROR",'Data - Sample Type 0'!NK186,IF(B107="NO RESULT",'Data - Sample Type 0'!NK186,IF(B107="V","MINOR VISUAL",IF(B107="M","MAJOR VISUAL",IF(B107="B","BARCODE FAIL",IF(B107="D","DELAMINATION",IF('Data - Sample Type 0'!Q186="","DATA ENTRY ERROR",IF(B107=$D$23,"PASS","MAJOR FUNCTIONAL"))))))))))</f>
        <v/>
      </c>
      <c r="D107" s="77" t="str">
        <f>IF(C107="","",IF('Data - Sample Type 0'!NI186="","N/A",IF('Data - Sample Type 0'!NI186&lt;Specifications!$D$3,"PASS","FAIL")))</f>
        <v/>
      </c>
      <c r="E107" s="64"/>
    </row>
    <row r="108" spans="1:5" x14ac:dyDescent="0.2">
      <c r="A108" s="73" t="str">
        <f>IF('Data - Sample Type 0'!C187="","",'Data - Sample Type 0'!C187)</f>
        <v/>
      </c>
      <c r="B108" s="74" t="str">
        <f>IF('Data - Sample Type 0'!L187="","",'Data - Sample Type 0'!L187)</f>
        <v/>
      </c>
      <c r="C108" s="75" t="str">
        <f>IF(B108="","",IF(B108="INVALID",IF('Data - Sample Type 0'!NK187="","INVALID",'Data - Sample Type 0'!NK187),IF(B108="ERROR",'Data - Sample Type 0'!NK187,IF(B108="NO RESULT",'Data - Sample Type 0'!NK187,IF(B108="V","MINOR VISUAL",IF(B108="M","MAJOR VISUAL",IF(B108="B","BARCODE FAIL",IF(B108="D","DELAMINATION",IF('Data - Sample Type 0'!Q187="","DATA ENTRY ERROR",IF(B108=$D$23,"PASS","MAJOR FUNCTIONAL"))))))))))</f>
        <v/>
      </c>
      <c r="D108" s="77" t="str">
        <f>IF(C108="","",IF('Data - Sample Type 0'!NI187="","N/A",IF('Data - Sample Type 0'!NI187&lt;Specifications!$D$3,"PASS","FAIL")))</f>
        <v/>
      </c>
      <c r="E108" s="64"/>
    </row>
    <row r="109" spans="1:5" x14ac:dyDescent="0.2">
      <c r="A109" s="73" t="str">
        <f>IF('Data - Sample Type 0'!C188="","",'Data - Sample Type 0'!C188)</f>
        <v/>
      </c>
      <c r="B109" s="74" t="str">
        <f>IF('Data - Sample Type 0'!L188="","",'Data - Sample Type 0'!L188)</f>
        <v/>
      </c>
      <c r="C109" s="75" t="str">
        <f>IF(B109="","",IF(B109="INVALID",IF('Data - Sample Type 0'!NK188="","INVALID",'Data - Sample Type 0'!NK188),IF(B109="ERROR",'Data - Sample Type 0'!NK188,IF(B109="NO RESULT",'Data - Sample Type 0'!NK188,IF(B109="V","MINOR VISUAL",IF(B109="M","MAJOR VISUAL",IF(B109="B","BARCODE FAIL",IF(B109="D","DELAMINATION",IF('Data - Sample Type 0'!Q188="","DATA ENTRY ERROR",IF(B109=$D$23,"PASS","MAJOR FUNCTIONAL"))))))))))</f>
        <v/>
      </c>
      <c r="D109" s="77" t="str">
        <f>IF(C109="","",IF('Data - Sample Type 0'!NI188="","N/A",IF('Data - Sample Type 0'!NI188&lt;Specifications!$D$3,"PASS","FAIL")))</f>
        <v/>
      </c>
      <c r="E109" s="64"/>
    </row>
    <row r="110" spans="1:5" x14ac:dyDescent="0.2">
      <c r="A110" s="73" t="str">
        <f>IF('Data - Sample Type 0'!C189="","",'Data - Sample Type 0'!C189)</f>
        <v/>
      </c>
      <c r="B110" s="74" t="str">
        <f>IF('Data - Sample Type 0'!L189="","",'Data - Sample Type 0'!L189)</f>
        <v/>
      </c>
      <c r="C110" s="75" t="str">
        <f>IF(B110="","",IF(B110="INVALID",IF('Data - Sample Type 0'!NK189="","INVALID",'Data - Sample Type 0'!NK189),IF(B110="ERROR",'Data - Sample Type 0'!NK189,IF(B110="NO RESULT",'Data - Sample Type 0'!NK189,IF(B110="V","MINOR VISUAL",IF(B110="M","MAJOR VISUAL",IF(B110="B","BARCODE FAIL",IF(B110="D","DELAMINATION",IF('Data - Sample Type 0'!Q189="","DATA ENTRY ERROR",IF(B110=$D$23,"PASS","MAJOR FUNCTIONAL"))))))))))</f>
        <v/>
      </c>
      <c r="D110" s="77" t="str">
        <f>IF(C110="","",IF('Data - Sample Type 0'!NI189="","N/A",IF('Data - Sample Type 0'!NI189&lt;Specifications!$D$3,"PASS","FAIL")))</f>
        <v/>
      </c>
      <c r="E110" s="64"/>
    </row>
    <row r="111" spans="1:5" x14ac:dyDescent="0.2">
      <c r="A111" s="73" t="str">
        <f>IF('Data - Sample Type 0'!C190="","",'Data - Sample Type 0'!C190)</f>
        <v/>
      </c>
      <c r="B111" s="74" t="str">
        <f>IF('Data - Sample Type 0'!L190="","",'Data - Sample Type 0'!L190)</f>
        <v/>
      </c>
      <c r="C111" s="75" t="str">
        <f>IF(B111="","",IF(B111="INVALID",IF('Data - Sample Type 0'!NK190="","INVALID",'Data - Sample Type 0'!NK190),IF(B111="ERROR",'Data - Sample Type 0'!NK190,IF(B111="NO RESULT",'Data - Sample Type 0'!NK190,IF(B111="V","MINOR VISUAL",IF(B111="M","MAJOR VISUAL",IF(B111="B","BARCODE FAIL",IF(B111="D","DELAMINATION",IF('Data - Sample Type 0'!Q190="","DATA ENTRY ERROR",IF(B111=$D$23,"PASS","MAJOR FUNCTIONAL"))))))))))</f>
        <v/>
      </c>
      <c r="D111" s="77" t="str">
        <f>IF(C111="","",IF('Data - Sample Type 0'!NI190="","N/A",IF('Data - Sample Type 0'!NI190&lt;Specifications!$D$3,"PASS","FAIL")))</f>
        <v/>
      </c>
      <c r="E111" s="64"/>
    </row>
    <row r="112" spans="1:5" x14ac:dyDescent="0.2">
      <c r="A112" s="73" t="str">
        <f>IF('Data - Sample Type 0'!C191="","",'Data - Sample Type 0'!C191)</f>
        <v/>
      </c>
      <c r="B112" s="74" t="str">
        <f>IF('Data - Sample Type 0'!L191="","",'Data - Sample Type 0'!L191)</f>
        <v/>
      </c>
      <c r="C112" s="75" t="str">
        <f>IF(B112="","",IF(B112="INVALID",IF('Data - Sample Type 0'!NK191="","INVALID",'Data - Sample Type 0'!NK191),IF(B112="ERROR",'Data - Sample Type 0'!NK191,IF(B112="NO RESULT",'Data - Sample Type 0'!NK191,IF(B112="V","MINOR VISUAL",IF(B112="M","MAJOR VISUAL",IF(B112="B","BARCODE FAIL",IF(B112="D","DELAMINATION",IF('Data - Sample Type 0'!Q191="","DATA ENTRY ERROR",IF(B112=$D$23,"PASS","MAJOR FUNCTIONAL"))))))))))</f>
        <v/>
      </c>
      <c r="D112" s="77" t="str">
        <f>IF(C112="","",IF('Data - Sample Type 0'!NI191="","N/A",IF('Data - Sample Type 0'!NI191&lt;Specifications!$D$3,"PASS","FAIL")))</f>
        <v/>
      </c>
      <c r="E112" s="64"/>
    </row>
    <row r="113" spans="1:6" x14ac:dyDescent="0.2">
      <c r="A113" s="73" t="str">
        <f>IF('Data - Sample Type 0'!C192="","",'Data - Sample Type 0'!C192)</f>
        <v/>
      </c>
      <c r="B113" s="74" t="str">
        <f>IF('Data - Sample Type 0'!L192="","",'Data - Sample Type 0'!L192)</f>
        <v/>
      </c>
      <c r="C113" s="75" t="str">
        <f>IF(B113="","",IF(B113="INVALID",IF('Data - Sample Type 0'!NK192="","INVALID",'Data - Sample Type 0'!NK192),IF(B113="ERROR",'Data - Sample Type 0'!NK192,IF(B113="NO RESULT",'Data - Sample Type 0'!NK192,IF(B113="V","MINOR VISUAL",IF(B113="M","MAJOR VISUAL",IF(B113="B","BARCODE FAIL",IF(B113="D","DELAMINATION",IF('Data - Sample Type 0'!Q192="","DATA ENTRY ERROR",IF(B113=$D$23,"PASS","MAJOR FUNCTIONAL"))))))))))</f>
        <v/>
      </c>
      <c r="D113" s="77" t="str">
        <f>IF(C113="","",IF('Data - Sample Type 0'!NI192="","N/A",IF('Data - Sample Type 0'!NI192&lt;Specifications!$D$3,"PASS","FAIL")))</f>
        <v/>
      </c>
      <c r="E113" s="64"/>
    </row>
    <row r="114" spans="1:6" x14ac:dyDescent="0.2">
      <c r="A114" s="73" t="str">
        <f>IF('Data - Sample Type 0'!C193="","",'Data - Sample Type 0'!C193)</f>
        <v/>
      </c>
      <c r="B114" s="74" t="str">
        <f>IF('Data - Sample Type 0'!L193="","",'Data - Sample Type 0'!L193)</f>
        <v/>
      </c>
      <c r="C114" s="75" t="str">
        <f>IF(B114="","",IF(B114="INVALID",IF('Data - Sample Type 0'!NK193="","INVALID",'Data - Sample Type 0'!NK193),IF(B114="ERROR",'Data - Sample Type 0'!NK193,IF(B114="NO RESULT",'Data - Sample Type 0'!NK193,IF(B114="V","MINOR VISUAL",IF(B114="M","MAJOR VISUAL",IF(B114="B","BARCODE FAIL",IF(B114="D","DELAMINATION",IF('Data - Sample Type 0'!Q193="","DATA ENTRY ERROR",IF(B114=$D$23,"PASS","MAJOR FUNCTIONAL"))))))))))</f>
        <v/>
      </c>
      <c r="D114" s="77" t="str">
        <f>IF(C114="","",IF('Data - Sample Type 0'!NI193="","N/A",IF('Data - Sample Type 0'!NI193&lt;Specifications!$D$3,"PASS","FAIL")))</f>
        <v/>
      </c>
      <c r="E114" s="64"/>
    </row>
    <row r="115" spans="1:6" x14ac:dyDescent="0.2">
      <c r="A115" s="73" t="str">
        <f>IF('Data - Sample Type 0'!C194="","",'Data - Sample Type 0'!C194)</f>
        <v/>
      </c>
      <c r="B115" s="74" t="str">
        <f>IF('Data - Sample Type 0'!L194="","",'Data - Sample Type 0'!L194)</f>
        <v/>
      </c>
      <c r="C115" s="75" t="str">
        <f>IF(B115="","",IF(B115="INVALID",IF('Data - Sample Type 0'!NK194="","INVALID",'Data - Sample Type 0'!NK194),IF(B115="ERROR",'Data - Sample Type 0'!NK194,IF(B115="NO RESULT",'Data - Sample Type 0'!NK194,IF(B115="V","MINOR VISUAL",IF(B115="M","MAJOR VISUAL",IF(B115="B","BARCODE FAIL",IF(B115="D","DELAMINATION",IF('Data - Sample Type 0'!Q194="","DATA ENTRY ERROR",IF(B115=$D$23,"PASS","MAJOR FUNCTIONAL"))))))))))</f>
        <v/>
      </c>
      <c r="D115" s="77" t="str">
        <f>IF(C115="","",IF('Data - Sample Type 0'!NI194="","N/A",IF('Data - Sample Type 0'!NI194&lt;Specifications!$D$3,"PASS","FAIL")))</f>
        <v/>
      </c>
      <c r="E115" s="64"/>
    </row>
    <row r="116" spans="1:6" x14ac:dyDescent="0.2">
      <c r="A116" s="73" t="str">
        <f>IF('Data - Sample Type 0'!C195="","",'Data - Sample Type 0'!C195)</f>
        <v/>
      </c>
      <c r="B116" s="74" t="str">
        <f>IF('Data - Sample Type 0'!L195="","",'Data - Sample Type 0'!L195)</f>
        <v/>
      </c>
      <c r="C116" s="75" t="str">
        <f>IF(B116="","",IF(B116="INVALID",IF('Data - Sample Type 0'!NK195="","INVALID",'Data - Sample Type 0'!NK195),IF(B116="ERROR",'Data - Sample Type 0'!NK195,IF(B116="NO RESULT",'Data - Sample Type 0'!NK195,IF(B116="V","MINOR VISUAL",IF(B116="M","MAJOR VISUAL",IF(B116="B","BARCODE FAIL",IF(B116="D","DELAMINATION",IF('Data - Sample Type 0'!Q195="","DATA ENTRY ERROR",IF(B116=$D$23,"PASS","MAJOR FUNCTIONAL"))))))))))</f>
        <v/>
      </c>
      <c r="D116" s="77" t="str">
        <f>IF(C116="","",IF('Data - Sample Type 0'!NI195="","N/A",IF('Data - Sample Type 0'!NI195&lt;Specifications!$D$3,"PASS","FAIL")))</f>
        <v/>
      </c>
      <c r="E116" s="64"/>
    </row>
    <row r="117" spans="1:6" x14ac:dyDescent="0.2">
      <c r="A117" s="73" t="str">
        <f>IF('Data - Sample Type 0'!C196="","",'Data - Sample Type 0'!C196)</f>
        <v/>
      </c>
      <c r="B117" s="74" t="str">
        <f>IF('Data - Sample Type 0'!L196="","",'Data - Sample Type 0'!L196)</f>
        <v/>
      </c>
      <c r="C117" s="75" t="str">
        <f>IF(B117="","",IF(B117="INVALID",IF('Data - Sample Type 0'!NK196="","INVALID",'Data - Sample Type 0'!NK196),IF(B117="ERROR",'Data - Sample Type 0'!NK196,IF(B117="NO RESULT",'Data - Sample Type 0'!NK196,IF(B117="V","MINOR VISUAL",IF(B117="M","MAJOR VISUAL",IF(B117="B","BARCODE FAIL",IF(B117="D","DELAMINATION",IF('Data - Sample Type 0'!Q196="","DATA ENTRY ERROR",IF(B117=$D$23,"PASS","MAJOR FUNCTIONAL"))))))))))</f>
        <v/>
      </c>
      <c r="D117" s="77" t="str">
        <f>IF(C117="","",IF('Data - Sample Type 0'!NI196="","N/A",IF('Data - Sample Type 0'!NI196&lt;Specifications!$D$3,"PASS","FAIL")))</f>
        <v/>
      </c>
      <c r="E117" s="64"/>
    </row>
    <row r="118" spans="1:6" x14ac:dyDescent="0.2">
      <c r="A118" s="73" t="str">
        <f>IF('Data - Sample Type 0'!C197="","",'Data - Sample Type 0'!C197)</f>
        <v/>
      </c>
      <c r="B118" s="74" t="str">
        <f>IF('Data - Sample Type 0'!L197="","",'Data - Sample Type 0'!L197)</f>
        <v/>
      </c>
      <c r="C118" s="75" t="str">
        <f>IF(B118="","",IF(B118="INVALID",IF('Data - Sample Type 0'!NK197="","INVALID",'Data - Sample Type 0'!NK197),IF(B118="ERROR",'Data - Sample Type 0'!NK197,IF(B118="NO RESULT",'Data - Sample Type 0'!NK197,IF(B118="V","MINOR VISUAL",IF(B118="M","MAJOR VISUAL",IF(B118="B","BARCODE FAIL",IF(B118="D","DELAMINATION",IF('Data - Sample Type 0'!Q197="","DATA ENTRY ERROR",IF(B118=$D$23,"PASS","MAJOR FUNCTIONAL"))))))))))</f>
        <v/>
      </c>
      <c r="D118" s="77" t="str">
        <f>IF(C118="","",IF('Data - Sample Type 0'!NI197="","N/A",IF('Data - Sample Type 0'!NI197&lt;Specifications!$D$3,"PASS","FAIL")))</f>
        <v/>
      </c>
      <c r="E118" s="64"/>
    </row>
    <row r="119" spans="1:6" x14ac:dyDescent="0.2">
      <c r="A119" s="73" t="str">
        <f>IF('Data - Sample Type 0'!C198="","",'Data - Sample Type 0'!C198)</f>
        <v/>
      </c>
      <c r="B119" s="74" t="str">
        <f>IF('Data - Sample Type 0'!L198="","",'Data - Sample Type 0'!L198)</f>
        <v/>
      </c>
      <c r="C119" s="75" t="str">
        <f>IF(B119="","",IF(B119="INVALID",IF('Data - Sample Type 0'!NK198="","INVALID",'Data - Sample Type 0'!NK198),IF(B119="ERROR",'Data - Sample Type 0'!NK198,IF(B119="NO RESULT",'Data - Sample Type 0'!NK198,IF(B119="V","MINOR VISUAL",IF(B119="M","MAJOR VISUAL",IF(B119="B","BARCODE FAIL",IF(B119="D","DELAMINATION",IF('Data - Sample Type 0'!Q198="","DATA ENTRY ERROR",IF(B119=$D$23,"PASS","MAJOR FUNCTIONAL"))))))))))</f>
        <v/>
      </c>
      <c r="D119" s="77" t="str">
        <f>IF(C119="","",IF('Data - Sample Type 0'!NI198="","N/A",IF('Data - Sample Type 0'!NI198&lt;Specifications!$D$3,"PASS","FAIL")))</f>
        <v/>
      </c>
      <c r="E119" s="64"/>
    </row>
    <row r="120" spans="1:6" x14ac:dyDescent="0.2">
      <c r="A120" s="73" t="str">
        <f>IF('Data - Sample Type 0'!C199="","",'Data - Sample Type 0'!C199)</f>
        <v/>
      </c>
      <c r="B120" s="74" t="str">
        <f>IF('Data - Sample Type 0'!L199="","",'Data - Sample Type 0'!L199)</f>
        <v/>
      </c>
      <c r="C120" s="75" t="str">
        <f>IF(B120="","",IF(B120="INVALID",IF('Data - Sample Type 0'!NK199="","INVALID",'Data - Sample Type 0'!NK199),IF(B120="ERROR",'Data - Sample Type 0'!NK199,IF(B120="NO RESULT",'Data - Sample Type 0'!NK199,IF(B120="V","MINOR VISUAL",IF(B120="M","MAJOR VISUAL",IF(B120="B","BARCODE FAIL",IF(B120="D","DELAMINATION",IF('Data - Sample Type 0'!Q199="","DATA ENTRY ERROR",IF(B120=$D$23,"PASS","MAJOR FUNCTIONAL"))))))))))</f>
        <v/>
      </c>
      <c r="D120" s="77" t="str">
        <f>IF(C120="","",IF('Data - Sample Type 0'!NI199="","N/A",IF('Data - Sample Type 0'!NI199&lt;Specifications!$D$3,"PASS","FAIL")))</f>
        <v/>
      </c>
      <c r="E120" s="64"/>
    </row>
    <row r="121" spans="1:6" x14ac:dyDescent="0.2">
      <c r="A121" s="73" t="str">
        <f>IF('Data - Sample Type 0'!C200="","",'Data - Sample Type 0'!C200)</f>
        <v/>
      </c>
      <c r="B121" s="74" t="str">
        <f>IF('Data - Sample Type 0'!L200="","",'Data - Sample Type 0'!L200)</f>
        <v/>
      </c>
      <c r="C121" s="75" t="str">
        <f>IF(B121="","",IF(B121="INVALID",IF('Data - Sample Type 0'!NK200="","INVALID",'Data - Sample Type 0'!NK200),IF(B121="ERROR",'Data - Sample Type 0'!NK200,IF(B121="NO RESULT",'Data - Sample Type 0'!NK200,IF(B121="V","MINOR VISUAL",IF(B121="M","MAJOR VISUAL",IF(B121="B","BARCODE FAIL",IF(B121="D","DELAMINATION",IF('Data - Sample Type 0'!Q200="","DATA ENTRY ERROR",IF(B121=$D$23,"PASS","MAJOR FUNCTIONAL"))))))))))</f>
        <v/>
      </c>
      <c r="D121" s="77" t="str">
        <f>IF(C121="","",IF('Data - Sample Type 0'!NI200="","N/A",IF('Data - Sample Type 0'!NI200&lt;Specifications!$D$3,"PASS","FAIL")))</f>
        <v/>
      </c>
      <c r="E121" s="64"/>
    </row>
    <row r="122" spans="1:6" x14ac:dyDescent="0.2">
      <c r="A122" s="73" t="str">
        <f>IF('Data - Sample Type 0'!C201="","",'Data - Sample Type 0'!C201)</f>
        <v/>
      </c>
      <c r="B122" s="74" t="str">
        <f>IF('Data - Sample Type 0'!L201="","",'Data - Sample Type 0'!L201)</f>
        <v/>
      </c>
      <c r="C122" s="75" t="str">
        <f>IF(B122="","",IF(B122="INVALID",IF('Data - Sample Type 0'!NK201="","INVALID",'Data - Sample Type 0'!NK201),IF(B122="ERROR",'Data - Sample Type 0'!NK201,IF(B122="NO RESULT",'Data - Sample Type 0'!NK201,IF(B122="V","MINOR VISUAL",IF(B122="M","MAJOR VISUAL",IF(B122="B","BARCODE FAIL",IF(B122="D","DELAMINATION",IF('Data - Sample Type 0'!Q201="","DATA ENTRY ERROR",IF(B122=$D$23,"PASS","MAJOR FUNCTIONAL"))))))))))</f>
        <v/>
      </c>
      <c r="D122" s="77" t="str">
        <f>IF(C122="","",IF('Data - Sample Type 0'!NI201="","N/A",IF('Data - Sample Type 0'!NI201&lt;Specifications!$D$3,"PASS","FAIL")))</f>
        <v/>
      </c>
      <c r="E122" s="64"/>
    </row>
    <row r="123" spans="1:6" x14ac:dyDescent="0.2">
      <c r="A123" s="73" t="str">
        <f>IF('Data - Sample Type 0'!C202="","",'Data - Sample Type 0'!C202)</f>
        <v/>
      </c>
      <c r="B123" s="74" t="str">
        <f>IF('Data - Sample Type 0'!L202="","",'Data - Sample Type 0'!L202)</f>
        <v/>
      </c>
      <c r="C123" s="75" t="str">
        <f>IF(B123="","",IF(B123="INVALID",IF('Data - Sample Type 0'!NK202="","INVALID",'Data - Sample Type 0'!NK202),IF(B123="ERROR",'Data - Sample Type 0'!NK202,IF(B123="NO RESULT",'Data - Sample Type 0'!NK202,IF(B123="V","MINOR VISUAL",IF(B123="M","MAJOR VISUAL",IF(B123="B","BARCODE FAIL",IF(B123="D","DELAMINATION",IF('Data - Sample Type 0'!Q202="","DATA ENTRY ERROR",IF(B123=$D$23,"PASS","MAJOR FUNCTIONAL"))))))))))</f>
        <v/>
      </c>
      <c r="D123" s="77" t="str">
        <f>IF(C123="","",IF('Data - Sample Type 0'!NI202="","N/A",IF('Data - Sample Type 0'!NI202&lt;Specifications!$D$3,"PASS","FAIL")))</f>
        <v/>
      </c>
      <c r="E123" s="64"/>
    </row>
    <row r="124" spans="1:6" x14ac:dyDescent="0.2">
      <c r="A124" s="73" t="str">
        <f>IF('Data - Sample Type 0'!C203="","",'Data - Sample Type 0'!C203)</f>
        <v/>
      </c>
      <c r="B124" s="74" t="str">
        <f>IF('Data - Sample Type 0'!L203="","",'Data - Sample Type 0'!L203)</f>
        <v/>
      </c>
      <c r="C124" s="75" t="str">
        <f>IF(B124="","",IF(B124="INVALID",IF('Data - Sample Type 0'!NK203="","INVALID",'Data - Sample Type 0'!NK203),IF(B124="ERROR",'Data - Sample Type 0'!NK203,IF(B124="NO RESULT",'Data - Sample Type 0'!NK203,IF(B124="V","MINOR VISUAL",IF(B124="M","MAJOR VISUAL",IF(B124="B","BARCODE FAIL",IF(B124="D","DELAMINATION",IF('Data - Sample Type 0'!Q203="","DATA ENTRY ERROR",IF(B124=$D$23,"PASS","MAJOR FUNCTIONAL"))))))))))</f>
        <v/>
      </c>
      <c r="D124" s="77" t="str">
        <f>IF(C124="","",IF('Data - Sample Type 0'!NI203="","N/A",IF('Data - Sample Type 0'!NI203&lt;Specifications!$D$3,"PASS","FAIL")))</f>
        <v/>
      </c>
      <c r="E124" s="64"/>
    </row>
    <row r="125" spans="1:6" x14ac:dyDescent="0.2">
      <c r="C125" s="147"/>
      <c r="D125" s="77" t="str">
        <f>IF(C125="","",IF('Data - Sample Type 0'!NI204="","N/A",IF('Data - Sample Type 0'!NI204&lt;Specifications!$D$3,"PASS","FAIL")))</f>
        <v/>
      </c>
      <c r="E125" s="148"/>
    </row>
    <row r="126" spans="1:6" s="83" customFormat="1" ht="15.75" x14ac:dyDescent="0.2">
      <c r="A126" s="84" t="s">
        <v>143</v>
      </c>
      <c r="B126" s="85">
        <v>1</v>
      </c>
      <c r="C126" s="86" t="s">
        <v>130</v>
      </c>
      <c r="D126" s="361">
        <f>COUNTIF('Data - Sample Type 1'!A84:A163,"&lt;&gt;"&amp;"")</f>
        <v>0</v>
      </c>
      <c r="E126" s="362"/>
    </row>
    <row r="127" spans="1:6" s="83" customFormat="1" ht="15.75" x14ac:dyDescent="0.2">
      <c r="A127" s="84" t="s">
        <v>146</v>
      </c>
      <c r="B127" s="87" t="str">
        <f>IF($C$3="","",IF(D126=0,"NO DATA",IF(COUNTIF('Data - Sample Type 1'!$E$84:$E$163,$C$3)=D126,"VALID","")))</f>
        <v>NO DATA</v>
      </c>
      <c r="C127" s="88" t="s">
        <v>128</v>
      </c>
      <c r="D127" s="361" t="str">
        <f>IF($C$4="","",IF(D126=0,"NO DATA",IF(COUNTIF('Data - Sample Type 1'!$A$84:$A$163,$C$4)=D126,"VALID","")))</f>
        <v>NO DATA</v>
      </c>
      <c r="E127" s="362"/>
      <c r="F127" s="252" t="s">
        <v>521</v>
      </c>
    </row>
    <row r="128" spans="1:6" s="83" customFormat="1" ht="60" customHeight="1" x14ac:dyDescent="0.2">
      <c r="A128" s="88" t="s">
        <v>161</v>
      </c>
      <c r="B128" s="87" t="str">
        <f>IF(Specifications!$B$7=D126,"PASS","FAIL")</f>
        <v>FAIL</v>
      </c>
      <c r="C128" s="95" t="s">
        <v>65</v>
      </c>
      <c r="D128" s="396" t="str">
        <f>LOOKUP($C$2,Specifications!$A$11:$A$14,Specifications!$E$11:E$14)</f>
        <v>MTB DETECTED;INH Resistance NOT DETECTED;FLQ Resistance NOT DETECTED;AMK Resistance NOT DETECTED;KAN Resistance NOT DETECTED;CAP Resistance NOT DETECTED;ETH Resistance NOT DETECTED</v>
      </c>
      <c r="E128" s="397"/>
      <c r="F128" s="253" t="s">
        <v>520</v>
      </c>
    </row>
    <row r="129" spans="1:5" x14ac:dyDescent="0.2">
      <c r="A129" s="69" t="s">
        <v>96</v>
      </c>
      <c r="B129" s="70" t="s">
        <v>131</v>
      </c>
      <c r="C129" s="71" t="s">
        <v>132</v>
      </c>
      <c r="D129" s="69" t="s">
        <v>133</v>
      </c>
      <c r="E129" s="72" t="s">
        <v>282</v>
      </c>
    </row>
    <row r="130" spans="1:5" x14ac:dyDescent="0.2">
      <c r="A130" s="73" t="str">
        <f>IF('Data - Sample Type 1'!C84="","",'Data - Sample Type 1'!C84)</f>
        <v/>
      </c>
      <c r="B130" s="74" t="str">
        <f>IF('Data - Sample Type 1'!L84="","",'Data - Sample Type 1'!L84)</f>
        <v/>
      </c>
      <c r="C130" s="75" t="str">
        <f>IF(B130="","",IF(B130="INVALID",IF('Data - Sample Type 1'!NK84="","INVALID",'Data - Sample Type 1'!NK84),IF(B130="ERROR",'Data - Sample Type 1'!NK84,IF(B130="NO RESULT",'Data - Sample Type 1'!NK84,IF(B130="V","MINOR VISUAL",IF(B130="M","MAJOR VISUAL",IF(B130="B","BARCODE FAIL",IF(B130="D","DELAMINATION",IF(COUNTIF(B130,$D$128)+(COUNTIF(B130,$F$128))&lt;&gt;1,"MAJOR FUNCTIONAL",IF(COUNTIF(B130,$F$128)=1,"MINOR FUNCTIONAL",IF('Data - Sample Type 1'!Q84="","DATA ENTRY ERROR",IF('Data - Sample Type 1'!Q84=0,"SPC CT=0","PASS"))))))))))))</f>
        <v/>
      </c>
      <c r="D130" s="77" t="str">
        <f>IF(C130="","",IF('Data - Sample Type 1'!NI84="","N/A",IF('Data - Sample Type 1'!NI84&lt;Specifications!$D$3,"PASS","FAIL")))</f>
        <v/>
      </c>
      <c r="E130" s="64"/>
    </row>
    <row r="131" spans="1:5" x14ac:dyDescent="0.2">
      <c r="A131" s="73" t="str">
        <f>IF('Data - Sample Type 1'!C85="","",'Data - Sample Type 1'!C85)</f>
        <v/>
      </c>
      <c r="B131" s="74" t="str">
        <f>IF('Data - Sample Type 1'!L85="","",'Data - Sample Type 1'!L85)</f>
        <v/>
      </c>
      <c r="C131" s="75" t="str">
        <f>IF(B131="","",IF(B131="INVALID",IF('Data - Sample Type 1'!NK85="","INVALID",'Data - Sample Type 1'!NK85),IF(B131="ERROR",'Data - Sample Type 1'!NK85,IF(B131="NO RESULT",'Data - Sample Type 1'!NK85,IF(B131="V","MINOR VISUAL",IF(B131="M","MAJOR VISUAL",IF(B131="B","BARCODE FAIL",IF(B131="D","DELAMINATION",IF(COUNTIF(B131,$D$128)+(COUNTIF(B131,$F$128))&lt;&gt;1,"MAJOR FUNCTIONAL",IF(COUNTIF(B131,$F$128)=1,"MINOR FUNCTIONAL",IF('Data - Sample Type 1'!Q85="","DATA ENTRY ERROR",IF('Data - Sample Type 1'!Q85=0,"SPC CT=0","PASS"))))))))))))</f>
        <v/>
      </c>
      <c r="D131" s="77" t="str">
        <f>IF(C131="","",IF('Data - Sample Type 1'!NI85="","N/A",IF('Data - Sample Type 1'!NI85&lt;Specifications!$D$3,"PASS","FAIL")))</f>
        <v/>
      </c>
      <c r="E131" s="64"/>
    </row>
    <row r="132" spans="1:5" x14ac:dyDescent="0.2">
      <c r="A132" s="73" t="str">
        <f>IF('Data - Sample Type 1'!C86="","",'Data - Sample Type 1'!C86)</f>
        <v/>
      </c>
      <c r="B132" s="74" t="str">
        <f>IF('Data - Sample Type 1'!L86="","",'Data - Sample Type 1'!L86)</f>
        <v/>
      </c>
      <c r="C132" s="75" t="str">
        <f>IF(B132="","",IF(B132="INVALID",IF('Data - Sample Type 1'!NK86="","INVALID",'Data - Sample Type 1'!NK86),IF(B132="ERROR",'Data - Sample Type 1'!NK86,IF(B132="NO RESULT",'Data - Sample Type 1'!NK86,IF(B132="V","MINOR VISUAL",IF(B132="M","MAJOR VISUAL",IF(B132="B","BARCODE FAIL",IF(B132="D","DELAMINATION",IF(COUNTIF(B132,$D$128)+(COUNTIF(B132,$F$128))&lt;&gt;1,"MAJOR FUNCTIONAL",IF(COUNTIF(B132,$F$128)=1,"MINOR FUNCTIONAL",IF('Data - Sample Type 1'!Q86="","DATA ENTRY ERROR",IF('Data - Sample Type 1'!Q86=0,"SPC CT=0","PASS"))))))))))))</f>
        <v/>
      </c>
      <c r="D132" s="77" t="str">
        <f>IF(C132="","",IF('Data - Sample Type 1'!NI86="","N/A",IF('Data - Sample Type 1'!NI86&lt;Specifications!$D$3,"PASS","FAIL")))</f>
        <v/>
      </c>
      <c r="E132" s="64"/>
    </row>
    <row r="133" spans="1:5" x14ac:dyDescent="0.2">
      <c r="A133" s="73" t="str">
        <f>IF('Data - Sample Type 1'!C87="","",'Data - Sample Type 1'!C87)</f>
        <v/>
      </c>
      <c r="B133" s="74" t="str">
        <f>IF('Data - Sample Type 1'!L87="","",'Data - Sample Type 1'!L87)</f>
        <v/>
      </c>
      <c r="C133" s="75" t="str">
        <f>IF(B133="","",IF(B133="INVALID",IF('Data - Sample Type 1'!NK87="","INVALID",'Data - Sample Type 1'!NK87),IF(B133="ERROR",'Data - Sample Type 1'!NK87,IF(B133="NO RESULT",'Data - Sample Type 1'!NK87,IF(B133="V","MINOR VISUAL",IF(B133="M","MAJOR VISUAL",IF(B133="B","BARCODE FAIL",IF(B133="D","DELAMINATION",IF(COUNTIF(B133,$D$128)+(COUNTIF(B133,$F$128))&lt;&gt;1,"MAJOR FUNCTIONAL",IF(COUNTIF(B133,$F$128)=1,"MINOR FUNCTIONAL",IF('Data - Sample Type 1'!Q87="","DATA ENTRY ERROR",IF('Data - Sample Type 1'!Q87=0,"SPC CT=0","PASS"))))))))))))</f>
        <v/>
      </c>
      <c r="D133" s="77" t="str">
        <f>IF(C133="","",IF('Data - Sample Type 1'!NI87="","N/A",IF('Data - Sample Type 1'!NI87&lt;Specifications!$D$3,"PASS","FAIL")))</f>
        <v/>
      </c>
      <c r="E133" s="64"/>
    </row>
    <row r="134" spans="1:5" x14ac:dyDescent="0.2">
      <c r="A134" s="73" t="str">
        <f>IF('Data - Sample Type 1'!C88="","",'Data - Sample Type 1'!C88)</f>
        <v/>
      </c>
      <c r="B134" s="74" t="str">
        <f>IF('Data - Sample Type 1'!L88="","",'Data - Sample Type 1'!L88)</f>
        <v/>
      </c>
      <c r="C134" s="75" t="str">
        <f>IF(B134="","",IF(B134="INVALID",IF('Data - Sample Type 1'!NK88="","INVALID",'Data - Sample Type 1'!NK88),IF(B134="ERROR",'Data - Sample Type 1'!NK88,IF(B134="NO RESULT",'Data - Sample Type 1'!NK88,IF(B134="V","MINOR VISUAL",IF(B134="M","MAJOR VISUAL",IF(B134="B","BARCODE FAIL",IF(B134="D","DELAMINATION",IF(COUNTIF(B134,$D$128)+(COUNTIF(B134,$F$128))&lt;&gt;1,"MAJOR FUNCTIONAL",IF(COUNTIF(B134,$F$128)=1,"MINOR FUNCTIONAL",IF('Data - Sample Type 1'!Q88="","DATA ENTRY ERROR",IF('Data - Sample Type 1'!Q88=0,"SPC CT=0","PASS"))))))))))))</f>
        <v/>
      </c>
      <c r="D134" s="77" t="str">
        <f>IF(C134="","",IF('Data - Sample Type 1'!NI88="","N/A",IF('Data - Sample Type 1'!NI88&lt;Specifications!$D$3,"PASS","FAIL")))</f>
        <v/>
      </c>
      <c r="E134" s="64"/>
    </row>
    <row r="135" spans="1:5" x14ac:dyDescent="0.2">
      <c r="A135" s="73" t="str">
        <f>IF('Data - Sample Type 1'!C89="","",'Data - Sample Type 1'!C89)</f>
        <v/>
      </c>
      <c r="B135" s="74" t="str">
        <f>IF('Data - Sample Type 1'!L89="","",'Data - Sample Type 1'!L89)</f>
        <v/>
      </c>
      <c r="C135" s="75" t="str">
        <f>IF(B135="","",IF(B135="INVALID",IF('Data - Sample Type 1'!NK89="","INVALID",'Data - Sample Type 1'!NK89),IF(B135="ERROR",'Data - Sample Type 1'!NK89,IF(B135="NO RESULT",'Data - Sample Type 1'!NK89,IF(B135="V","MINOR VISUAL",IF(B135="M","MAJOR VISUAL",IF(B135="B","BARCODE FAIL",IF(B135="D","DELAMINATION",IF(COUNTIF(B135,$D$128)+(COUNTIF(B135,$F$128))&lt;&gt;1,"MAJOR FUNCTIONAL",IF(COUNTIF(B135,$F$128)=1,"MINOR FUNCTIONAL",IF('Data - Sample Type 1'!Q89="","DATA ENTRY ERROR",IF('Data - Sample Type 1'!Q89=0,"SPC CT=0","PASS"))))))))))))</f>
        <v/>
      </c>
      <c r="D135" s="77" t="str">
        <f>IF(C135="","",IF('Data - Sample Type 1'!NI89="","N/A",IF('Data - Sample Type 1'!NI89&lt;Specifications!$D$3,"PASS","FAIL")))</f>
        <v/>
      </c>
      <c r="E135" s="64"/>
    </row>
    <row r="136" spans="1:5" x14ac:dyDescent="0.2">
      <c r="A136" s="73" t="str">
        <f>IF('Data - Sample Type 1'!C90="","",'Data - Sample Type 1'!C90)</f>
        <v/>
      </c>
      <c r="B136" s="74" t="str">
        <f>IF('Data - Sample Type 1'!L90="","",'Data - Sample Type 1'!L90)</f>
        <v/>
      </c>
      <c r="C136" s="75" t="str">
        <f>IF(B136="","",IF(B136="INVALID",IF('Data - Sample Type 1'!NK90="","INVALID",'Data - Sample Type 1'!NK90),IF(B136="ERROR",'Data - Sample Type 1'!NK90,IF(B136="NO RESULT",'Data - Sample Type 1'!NK90,IF(B136="V","MINOR VISUAL",IF(B136="M","MAJOR VISUAL",IF(B136="B","BARCODE FAIL",IF(B136="D","DELAMINATION",IF(COUNTIF(B136,$D$128)+(COUNTIF(B136,$F$128))&lt;&gt;1,"MAJOR FUNCTIONAL",IF(COUNTIF(B136,$F$128)=1,"MINOR FUNCTIONAL",IF('Data - Sample Type 1'!Q90="","DATA ENTRY ERROR",IF('Data - Sample Type 1'!Q90=0,"SPC CT=0","PASS"))))))))))))</f>
        <v/>
      </c>
      <c r="D136" s="77" t="str">
        <f>IF(C136="","",IF('Data - Sample Type 1'!NI90="","N/A",IF('Data - Sample Type 1'!NI90&lt;Specifications!$D$3,"PASS","FAIL")))</f>
        <v/>
      </c>
      <c r="E136" s="64"/>
    </row>
    <row r="137" spans="1:5" x14ac:dyDescent="0.2">
      <c r="A137" s="73" t="str">
        <f>IF('Data - Sample Type 1'!C91="","",'Data - Sample Type 1'!C91)</f>
        <v/>
      </c>
      <c r="B137" s="74" t="str">
        <f>IF('Data - Sample Type 1'!L91="","",'Data - Sample Type 1'!L91)</f>
        <v/>
      </c>
      <c r="C137" s="75" t="str">
        <f>IF(B137="","",IF(B137="INVALID",IF('Data - Sample Type 1'!NK91="","INVALID",'Data - Sample Type 1'!NK91),IF(B137="ERROR",'Data - Sample Type 1'!NK91,IF(B137="NO RESULT",'Data - Sample Type 1'!NK91,IF(B137="V","MINOR VISUAL",IF(B137="M","MAJOR VISUAL",IF(B137="B","BARCODE FAIL",IF(B137="D","DELAMINATION",IF(COUNTIF(B137,$D$128)+(COUNTIF(B137,$F$128))&lt;&gt;1,"MAJOR FUNCTIONAL",IF(COUNTIF(B137,$F$128)=1,"MINOR FUNCTIONAL",IF('Data - Sample Type 1'!Q91="","DATA ENTRY ERROR",IF('Data - Sample Type 1'!Q91=0,"SPC CT=0","PASS"))))))))))))</f>
        <v/>
      </c>
      <c r="D137" s="77" t="str">
        <f>IF(C137="","",IF('Data - Sample Type 1'!NI91="","N/A",IF('Data - Sample Type 1'!NI91&lt;Specifications!$D$3,"PASS","FAIL")))</f>
        <v/>
      </c>
      <c r="E137" s="64"/>
    </row>
    <row r="138" spans="1:5" x14ac:dyDescent="0.2">
      <c r="A138" s="73" t="str">
        <f>IF('Data - Sample Type 1'!C92="","",'Data - Sample Type 1'!C92)</f>
        <v/>
      </c>
      <c r="B138" s="74" t="str">
        <f>IF('Data - Sample Type 1'!L92="","",'Data - Sample Type 1'!L92)</f>
        <v/>
      </c>
      <c r="C138" s="75" t="str">
        <f>IF(B138="","",IF(B138="INVALID",IF('Data - Sample Type 1'!NK92="","INVALID",'Data - Sample Type 1'!NK92),IF(B138="ERROR",'Data - Sample Type 1'!NK92,IF(B138="NO RESULT",'Data - Sample Type 1'!NK92,IF(B138="V","MINOR VISUAL",IF(B138="M","MAJOR VISUAL",IF(B138="B","BARCODE FAIL",IF(B138="D","DELAMINATION",IF(COUNTIF(B138,$D$128)+(COUNTIF(B138,$F$128))&lt;&gt;1,"MAJOR FUNCTIONAL",IF(COUNTIF(B138,$F$128)=1,"MINOR FUNCTIONAL",IF('Data - Sample Type 1'!Q92="","DATA ENTRY ERROR",IF('Data - Sample Type 1'!Q92=0,"SPC CT=0","PASS"))))))))))))</f>
        <v/>
      </c>
      <c r="D138" s="77" t="str">
        <f>IF(C138="","",IF('Data - Sample Type 1'!NI92="","N/A",IF('Data - Sample Type 1'!NI92&lt;Specifications!$D$3,"PASS","FAIL")))</f>
        <v/>
      </c>
      <c r="E138" s="64"/>
    </row>
    <row r="139" spans="1:5" x14ac:dyDescent="0.2">
      <c r="A139" s="73" t="str">
        <f>IF('Data - Sample Type 1'!C93="","",'Data - Sample Type 1'!C93)</f>
        <v/>
      </c>
      <c r="B139" s="74" t="str">
        <f>IF('Data - Sample Type 1'!L93="","",'Data - Sample Type 1'!L93)</f>
        <v/>
      </c>
      <c r="C139" s="75" t="str">
        <f>IF(B139="","",IF(B139="INVALID",IF('Data - Sample Type 1'!NK93="","INVALID",'Data - Sample Type 1'!NK93),IF(B139="ERROR",'Data - Sample Type 1'!NK93,IF(B139="NO RESULT",'Data - Sample Type 1'!NK93,IF(B139="V","MINOR VISUAL",IF(B139="M","MAJOR VISUAL",IF(B139="B","BARCODE FAIL",IF(B139="D","DELAMINATION",IF(COUNTIF(B139,$D$128)+(COUNTIF(B139,$F$128))&lt;&gt;1,"MAJOR FUNCTIONAL",IF(COUNTIF(B139,$F$128)=1,"MINOR FUNCTIONAL",IF('Data - Sample Type 1'!Q93="","DATA ENTRY ERROR",IF('Data - Sample Type 1'!Q93=0,"SPC CT=0","PASS"))))))))))))</f>
        <v/>
      </c>
      <c r="D139" s="77" t="str">
        <f>IF(C139="","",IF('Data - Sample Type 1'!NI93="","N/A",IF('Data - Sample Type 1'!NI93&lt;Specifications!$D$3,"PASS","FAIL")))</f>
        <v/>
      </c>
      <c r="E139" s="64"/>
    </row>
    <row r="140" spans="1:5" x14ac:dyDescent="0.2">
      <c r="A140" s="73" t="str">
        <f>IF('Data - Sample Type 1'!C94="","",'Data - Sample Type 1'!C94)</f>
        <v/>
      </c>
      <c r="B140" s="74" t="str">
        <f>IF('Data - Sample Type 1'!L94="","",'Data - Sample Type 1'!L94)</f>
        <v/>
      </c>
      <c r="C140" s="75" t="str">
        <f>IF(B140="","",IF(B140="INVALID",IF('Data - Sample Type 1'!NK94="","INVALID",'Data - Sample Type 1'!NK94),IF(B140="ERROR",'Data - Sample Type 1'!NK94,IF(B140="NO RESULT",'Data - Sample Type 1'!NK94,IF(B140="V","MINOR VISUAL",IF(B140="M","MAJOR VISUAL",IF(B140="B","BARCODE FAIL",IF(B140="D","DELAMINATION",IF(COUNTIF(B140,$D$128)+(COUNTIF(B140,$F$128))&lt;&gt;1,"MAJOR FUNCTIONAL",IF(COUNTIF(B140,$F$128)=1,"MINOR FUNCTIONAL",IF('Data - Sample Type 1'!Q94="","DATA ENTRY ERROR",IF('Data - Sample Type 1'!Q94=0,"SPC CT=0","PASS"))))))))))))</f>
        <v/>
      </c>
      <c r="D140" s="77" t="str">
        <f>IF(C140="","",IF('Data - Sample Type 1'!NI94="","N/A",IF('Data - Sample Type 1'!NI94&lt;Specifications!$D$3,"PASS","FAIL")))</f>
        <v/>
      </c>
      <c r="E140" s="64"/>
    </row>
    <row r="141" spans="1:5" x14ac:dyDescent="0.2">
      <c r="A141" s="73" t="str">
        <f>IF('Data - Sample Type 1'!C95="","",'Data - Sample Type 1'!C95)</f>
        <v/>
      </c>
      <c r="B141" s="74" t="str">
        <f>IF('Data - Sample Type 1'!L95="","",'Data - Sample Type 1'!L95)</f>
        <v/>
      </c>
      <c r="C141" s="75" t="str">
        <f>IF(B141="","",IF(B141="INVALID",IF('Data - Sample Type 1'!NK95="","INVALID",'Data - Sample Type 1'!NK95),IF(B141="ERROR",'Data - Sample Type 1'!NK95,IF(B141="NO RESULT",'Data - Sample Type 1'!NK95,IF(B141="V","MINOR VISUAL",IF(B141="M","MAJOR VISUAL",IF(B141="B","BARCODE FAIL",IF(B141="D","DELAMINATION",IF(COUNTIF(B141,$D$128)+(COUNTIF(B141,$F$128))&lt;&gt;1,"MAJOR FUNCTIONAL",IF(COUNTIF(B141,$F$128)=1,"MINOR FUNCTIONAL",IF('Data - Sample Type 1'!Q95="","DATA ENTRY ERROR",IF('Data - Sample Type 1'!Q95=0,"SPC CT=0","PASS"))))))))))))</f>
        <v/>
      </c>
      <c r="D141" s="77" t="str">
        <f>IF(C141="","",IF('Data - Sample Type 1'!NI95="","N/A",IF('Data - Sample Type 1'!NI95&lt;Specifications!$D$3,"PASS","FAIL")))</f>
        <v/>
      </c>
      <c r="E141" s="64"/>
    </row>
    <row r="142" spans="1:5" x14ac:dyDescent="0.2">
      <c r="A142" s="73" t="str">
        <f>IF('Data - Sample Type 1'!C96="","",'Data - Sample Type 1'!C96)</f>
        <v/>
      </c>
      <c r="B142" s="74" t="str">
        <f>IF('Data - Sample Type 1'!L96="","",'Data - Sample Type 1'!L96)</f>
        <v/>
      </c>
      <c r="C142" s="75" t="str">
        <f>IF(B142="","",IF(B142="INVALID",IF('Data - Sample Type 1'!NK96="","INVALID",'Data - Sample Type 1'!NK96),IF(B142="ERROR",'Data - Sample Type 1'!NK96,IF(B142="NO RESULT",'Data - Sample Type 1'!NK96,IF(B142="V","MINOR VISUAL",IF(B142="M","MAJOR VISUAL",IF(B142="B","BARCODE FAIL",IF(B142="D","DELAMINATION",IF(COUNTIF(B142,$D$128)+(COUNTIF(B142,$F$128))&lt;&gt;1,"MAJOR FUNCTIONAL",IF(COUNTIF(B142,$F$128)=1,"MINOR FUNCTIONAL",IF('Data - Sample Type 1'!Q96="","DATA ENTRY ERROR",IF('Data - Sample Type 1'!Q96=0,"SPC CT=0","PASS"))))))))))))</f>
        <v/>
      </c>
      <c r="D142" s="77" t="str">
        <f>IF(C142="","",IF('Data - Sample Type 1'!NI96="","N/A",IF('Data - Sample Type 1'!NI96&lt;Specifications!$D$3,"PASS","FAIL")))</f>
        <v/>
      </c>
      <c r="E142" s="64"/>
    </row>
    <row r="143" spans="1:5" x14ac:dyDescent="0.2">
      <c r="A143" s="73" t="str">
        <f>IF('Data - Sample Type 1'!C97="","",'Data - Sample Type 1'!C97)</f>
        <v/>
      </c>
      <c r="B143" s="74" t="str">
        <f>IF('Data - Sample Type 1'!L97="","",'Data - Sample Type 1'!L97)</f>
        <v/>
      </c>
      <c r="C143" s="75" t="str">
        <f>IF(B143="","",IF(B143="INVALID",IF('Data - Sample Type 1'!NK97="","INVALID",'Data - Sample Type 1'!NK97),IF(B143="ERROR",'Data - Sample Type 1'!NK97,IF(B143="NO RESULT",'Data - Sample Type 1'!NK97,IF(B143="V","MINOR VISUAL",IF(B143="M","MAJOR VISUAL",IF(B143="B","BARCODE FAIL",IF(B143="D","DELAMINATION",IF(COUNTIF(B143,$D$128)+(COUNTIF(B143,$F$128))&lt;&gt;1,"MAJOR FUNCTIONAL",IF(COUNTIF(B143,$F$128)=1,"MINOR FUNCTIONAL",IF('Data - Sample Type 1'!Q97="","DATA ENTRY ERROR",IF('Data - Sample Type 1'!Q97=0,"SPC CT=0","PASS"))))))))))))</f>
        <v/>
      </c>
      <c r="D143" s="77" t="str">
        <f>IF(C143="","",IF('Data - Sample Type 1'!NI97="","N/A",IF('Data - Sample Type 1'!NI97&lt;Specifications!$D$3,"PASS","FAIL")))</f>
        <v/>
      </c>
      <c r="E143" s="64"/>
    </row>
    <row r="144" spans="1:5" x14ac:dyDescent="0.2">
      <c r="A144" s="73" t="str">
        <f>IF('Data - Sample Type 1'!C98="","",'Data - Sample Type 1'!C98)</f>
        <v/>
      </c>
      <c r="B144" s="74" t="str">
        <f>IF('Data - Sample Type 1'!L98="","",'Data - Sample Type 1'!L98)</f>
        <v/>
      </c>
      <c r="C144" s="75" t="str">
        <f>IF(B144="","",IF(B144="INVALID",IF('Data - Sample Type 1'!NK98="","INVALID",'Data - Sample Type 1'!NK98),IF(B144="ERROR",'Data - Sample Type 1'!NK98,IF(B144="NO RESULT",'Data - Sample Type 1'!NK98,IF(B144="V","MINOR VISUAL",IF(B144="M","MAJOR VISUAL",IF(B144="B","BARCODE FAIL",IF(B144="D","DELAMINATION",IF(COUNTIF(B144,$D$128)+(COUNTIF(B144,$F$128))&lt;&gt;1,"MAJOR FUNCTIONAL",IF(COUNTIF(B144,$F$128)=1,"MINOR FUNCTIONAL",IF('Data - Sample Type 1'!Q98="","DATA ENTRY ERROR",IF('Data - Sample Type 1'!Q98=0,"SPC CT=0","PASS"))))))))))))</f>
        <v/>
      </c>
      <c r="D144" s="77" t="str">
        <f>IF(C144="","",IF('Data - Sample Type 1'!NI98="","N/A",IF('Data - Sample Type 1'!NI98&lt;Specifications!$D$3,"PASS","FAIL")))</f>
        <v/>
      </c>
      <c r="E144" s="64"/>
    </row>
    <row r="145" spans="1:5" x14ac:dyDescent="0.2">
      <c r="A145" s="73" t="str">
        <f>IF('Data - Sample Type 1'!C99="","",'Data - Sample Type 1'!C99)</f>
        <v/>
      </c>
      <c r="B145" s="74" t="str">
        <f>IF('Data - Sample Type 1'!L99="","",'Data - Sample Type 1'!L99)</f>
        <v/>
      </c>
      <c r="C145" s="75" t="str">
        <f>IF(B145="","",IF(B145="INVALID",IF('Data - Sample Type 1'!NK99="","INVALID",'Data - Sample Type 1'!NK99),IF(B145="ERROR",'Data - Sample Type 1'!NK99,IF(B145="NO RESULT",'Data - Sample Type 1'!NK99,IF(B145="V","MINOR VISUAL",IF(B145="M","MAJOR VISUAL",IF(B145="B","BARCODE FAIL",IF(B145="D","DELAMINATION",IF(COUNTIF(B145,$D$128)+(COUNTIF(B145,$F$128))&lt;&gt;1,"MAJOR FUNCTIONAL",IF(COUNTIF(B145,$F$128)=1,"MINOR FUNCTIONAL",IF('Data - Sample Type 1'!Q99="","DATA ENTRY ERROR",IF('Data - Sample Type 1'!Q99=0,"SPC CT=0","PASS"))))))))))))</f>
        <v/>
      </c>
      <c r="D145" s="77" t="str">
        <f>IF(C145="","",IF('Data - Sample Type 1'!NI99="","N/A",IF('Data - Sample Type 1'!NI99&lt;Specifications!$D$3,"PASS","FAIL")))</f>
        <v/>
      </c>
      <c r="E145" s="64"/>
    </row>
    <row r="146" spans="1:5" x14ac:dyDescent="0.2">
      <c r="A146" s="73" t="str">
        <f>IF('Data - Sample Type 1'!C100="","",'Data - Sample Type 1'!C100)</f>
        <v/>
      </c>
      <c r="B146" s="74" t="str">
        <f>IF('Data - Sample Type 1'!L100="","",'Data - Sample Type 1'!L100)</f>
        <v/>
      </c>
      <c r="C146" s="75" t="str">
        <f>IF(B146="","",IF(B146="INVALID",IF('Data - Sample Type 1'!NK100="","INVALID",'Data - Sample Type 1'!NK100),IF(B146="ERROR",'Data - Sample Type 1'!NK100,IF(B146="NO RESULT",'Data - Sample Type 1'!NK100,IF(B146="V","MINOR VISUAL",IF(B146="M","MAJOR VISUAL",IF(B146="B","BARCODE FAIL",IF(B146="D","DELAMINATION",IF(COUNTIF(B146,$D$128)+(COUNTIF(B146,$F$128))&lt;&gt;1,"MAJOR FUNCTIONAL",IF(COUNTIF(B146,$F$128)=1,"MINOR FUNCTIONAL",IF('Data - Sample Type 1'!Q100="","DATA ENTRY ERROR",IF('Data - Sample Type 1'!Q100=0,"SPC CT=0","PASS"))))))))))))</f>
        <v/>
      </c>
      <c r="D146" s="77" t="str">
        <f>IF(C146="","",IF('Data - Sample Type 1'!NI100="","N/A",IF('Data - Sample Type 1'!NI100&lt;Specifications!$D$3,"PASS","FAIL")))</f>
        <v/>
      </c>
      <c r="E146" s="64"/>
    </row>
    <row r="147" spans="1:5" x14ac:dyDescent="0.2">
      <c r="A147" s="73" t="str">
        <f>IF('Data - Sample Type 1'!C101="","",'Data - Sample Type 1'!C101)</f>
        <v/>
      </c>
      <c r="B147" s="74" t="str">
        <f>IF('Data - Sample Type 1'!L101="","",'Data - Sample Type 1'!L101)</f>
        <v/>
      </c>
      <c r="C147" s="75" t="str">
        <f>IF(B147="","",IF(B147="INVALID",IF('Data - Sample Type 1'!NK101="","INVALID",'Data - Sample Type 1'!NK101),IF(B147="ERROR",'Data - Sample Type 1'!NK101,IF(B147="NO RESULT",'Data - Sample Type 1'!NK101,IF(B147="V","MINOR VISUAL",IF(B147="M","MAJOR VISUAL",IF(B147="B","BARCODE FAIL",IF(B147="D","DELAMINATION",IF(COUNTIF(B147,$D$128)+(COUNTIF(B147,$F$128))&lt;&gt;1,"MAJOR FUNCTIONAL",IF(COUNTIF(B147,$F$128)=1,"MINOR FUNCTIONAL",IF('Data - Sample Type 1'!Q101="","DATA ENTRY ERROR",IF('Data - Sample Type 1'!Q101=0,"SPC CT=0","PASS"))))))))))))</f>
        <v/>
      </c>
      <c r="D147" s="77" t="str">
        <f>IF(C147="","",IF('Data - Sample Type 1'!NI101="","N/A",IF('Data - Sample Type 1'!NI101&lt;Specifications!$D$3,"PASS","FAIL")))</f>
        <v/>
      </c>
      <c r="E147" s="64"/>
    </row>
    <row r="148" spans="1:5" x14ac:dyDescent="0.2">
      <c r="A148" s="73" t="str">
        <f>IF('Data - Sample Type 1'!C102="","",'Data - Sample Type 1'!C102)</f>
        <v/>
      </c>
      <c r="B148" s="74" t="str">
        <f>IF('Data - Sample Type 1'!L102="","",'Data - Sample Type 1'!L102)</f>
        <v/>
      </c>
      <c r="C148" s="75" t="str">
        <f>IF(B148="","",IF(B148="INVALID",IF('Data - Sample Type 1'!NK102="","INVALID",'Data - Sample Type 1'!NK102),IF(B148="ERROR",'Data - Sample Type 1'!NK102,IF(B148="NO RESULT",'Data - Sample Type 1'!NK102,IF(B148="V","MINOR VISUAL",IF(B148="M","MAJOR VISUAL",IF(B148="B","BARCODE FAIL",IF(B148="D","DELAMINATION",IF(COUNTIF(B148,$D$128)+(COUNTIF(B148,$F$128))&lt;&gt;1,"MAJOR FUNCTIONAL",IF(COUNTIF(B148,$F$128)=1,"MINOR FUNCTIONAL",IF('Data - Sample Type 1'!Q102="","DATA ENTRY ERROR",IF('Data - Sample Type 1'!Q102=0,"SPC CT=0","PASS"))))))))))))</f>
        <v/>
      </c>
      <c r="D148" s="77" t="str">
        <f>IF(C148="","",IF('Data - Sample Type 1'!NI102="","N/A",IF('Data - Sample Type 1'!NI102&lt;Specifications!$D$3,"PASS","FAIL")))</f>
        <v/>
      </c>
      <c r="E148" s="64"/>
    </row>
    <row r="149" spans="1:5" x14ac:dyDescent="0.2">
      <c r="A149" s="73" t="str">
        <f>IF('Data - Sample Type 1'!C103="","",'Data - Sample Type 1'!C103)</f>
        <v/>
      </c>
      <c r="B149" s="74" t="str">
        <f>IF('Data - Sample Type 1'!L103="","",'Data - Sample Type 1'!L103)</f>
        <v/>
      </c>
      <c r="C149" s="75" t="str">
        <f>IF(B149="","",IF(B149="INVALID",IF('Data - Sample Type 1'!NK103="","INVALID",'Data - Sample Type 1'!NK103),IF(B149="ERROR",'Data - Sample Type 1'!NK103,IF(B149="NO RESULT",'Data - Sample Type 1'!NK103,IF(B149="V","MINOR VISUAL",IF(B149="M","MAJOR VISUAL",IF(B149="B","BARCODE FAIL",IF(B149="D","DELAMINATION",IF(COUNTIF(B149,$D$128)+(COUNTIF(B149,$F$128))&lt;&gt;1,"MAJOR FUNCTIONAL",IF(COUNTIF(B149,$F$128)=1,"MINOR FUNCTIONAL",IF('Data - Sample Type 1'!Q103="","DATA ENTRY ERROR",IF('Data - Sample Type 1'!Q103=0,"SPC CT=0","PASS"))))))))))))</f>
        <v/>
      </c>
      <c r="D149" s="77" t="str">
        <f>IF(C149="","",IF('Data - Sample Type 1'!NI103="","N/A",IF('Data - Sample Type 1'!NI103&lt;Specifications!$D$3,"PASS","FAIL")))</f>
        <v/>
      </c>
      <c r="E149" s="64"/>
    </row>
    <row r="150" spans="1:5" x14ac:dyDescent="0.2">
      <c r="A150" s="73" t="str">
        <f>IF('Data - Sample Type 1'!C104="","",'Data - Sample Type 1'!C104)</f>
        <v/>
      </c>
      <c r="B150" s="74" t="str">
        <f>IF('Data - Sample Type 1'!L104="","",'Data - Sample Type 1'!L104)</f>
        <v/>
      </c>
      <c r="C150" s="75" t="str">
        <f>IF(B150="","",IF(B150="INVALID",IF('Data - Sample Type 1'!NK104="","INVALID",'Data - Sample Type 1'!NK104),IF(B150="ERROR",'Data - Sample Type 1'!NK104,IF(B150="NO RESULT",'Data - Sample Type 1'!NK104,IF(B150="V","MINOR VISUAL",IF(B150="M","MAJOR VISUAL",IF(B150="B","BARCODE FAIL",IF(B150="D","DELAMINATION",IF(COUNTIF(B150,$D$128)+(COUNTIF(B150,$F$128))&lt;&gt;1,"MAJOR FUNCTIONAL",IF(COUNTIF(B150,$F$128)=1,"MINOR FUNCTIONAL",IF('Data - Sample Type 1'!Q104="","DATA ENTRY ERROR",IF('Data - Sample Type 1'!Q104=0,"SPC CT=0","PASS"))))))))))))</f>
        <v/>
      </c>
      <c r="D150" s="77" t="str">
        <f>IF(C150="","",IF('Data - Sample Type 1'!NI104="","N/A",IF('Data - Sample Type 1'!NI104&lt;Specifications!$D$3,"PASS","FAIL")))</f>
        <v/>
      </c>
      <c r="E150" s="64"/>
    </row>
    <row r="151" spans="1:5" x14ac:dyDescent="0.2">
      <c r="A151" s="73" t="str">
        <f>IF('Data - Sample Type 1'!C105="","",'Data - Sample Type 1'!C105)</f>
        <v/>
      </c>
      <c r="B151" s="74" t="str">
        <f>IF('Data - Sample Type 1'!L105="","",'Data - Sample Type 1'!L105)</f>
        <v/>
      </c>
      <c r="C151" s="75" t="str">
        <f>IF(B151="","",IF(B151="INVALID",IF('Data - Sample Type 1'!NK105="","INVALID",'Data - Sample Type 1'!NK105),IF(B151="ERROR",'Data - Sample Type 1'!NK105,IF(B151="NO RESULT",'Data - Sample Type 1'!NK105,IF(B151="V","MINOR VISUAL",IF(B151="M","MAJOR VISUAL",IF(B151="B","BARCODE FAIL",IF(B151="D","DELAMINATION",IF(COUNTIF(B151,$D$128)+(COUNTIF(B151,$F$128))&lt;&gt;1,"MAJOR FUNCTIONAL",IF(COUNTIF(B151,$F$128)=1,"MINOR FUNCTIONAL",IF('Data - Sample Type 1'!Q105="","DATA ENTRY ERROR",IF('Data - Sample Type 1'!Q105=0,"SPC CT=0","PASS"))))))))))))</f>
        <v/>
      </c>
      <c r="D151" s="77" t="str">
        <f>IF(C151="","",IF('Data - Sample Type 1'!NI105="","N/A",IF('Data - Sample Type 1'!NI105&lt;Specifications!$D$3,"PASS","FAIL")))</f>
        <v/>
      </c>
      <c r="E151" s="64"/>
    </row>
    <row r="152" spans="1:5" x14ac:dyDescent="0.2">
      <c r="A152" s="73" t="str">
        <f>IF('Data - Sample Type 1'!C106="","",'Data - Sample Type 1'!C106)</f>
        <v/>
      </c>
      <c r="B152" s="74" t="str">
        <f>IF('Data - Sample Type 1'!L106="","",'Data - Sample Type 1'!L106)</f>
        <v/>
      </c>
      <c r="C152" s="75" t="str">
        <f>IF(B152="","",IF(B152="INVALID",IF('Data - Sample Type 1'!NK106="","INVALID",'Data - Sample Type 1'!NK106),IF(B152="ERROR",'Data - Sample Type 1'!NK106,IF(B152="NO RESULT",'Data - Sample Type 1'!NK106,IF(B152="V","MINOR VISUAL",IF(B152="M","MAJOR VISUAL",IF(B152="B","BARCODE FAIL",IF(B152="D","DELAMINATION",IF(COUNTIF(B152,$D$128)+(COUNTIF(B152,$F$128))&lt;&gt;1,"MAJOR FUNCTIONAL",IF(COUNTIF(B152,$F$128)=1,"MINOR FUNCTIONAL",IF('Data - Sample Type 1'!Q106="","DATA ENTRY ERROR",IF('Data - Sample Type 1'!Q106=0,"SPC CT=0","PASS"))))))))))))</f>
        <v/>
      </c>
      <c r="D152" s="77" t="str">
        <f>IF(C152="","",IF('Data - Sample Type 1'!NI106="","N/A",IF('Data - Sample Type 1'!NI106&lt;Specifications!$D$3,"PASS","FAIL")))</f>
        <v/>
      </c>
      <c r="E152" s="64"/>
    </row>
    <row r="153" spans="1:5" x14ac:dyDescent="0.2">
      <c r="A153" s="73" t="str">
        <f>IF('Data - Sample Type 1'!C107="","",'Data - Sample Type 1'!C107)</f>
        <v/>
      </c>
      <c r="B153" s="74" t="str">
        <f>IF('Data - Sample Type 1'!L107="","",'Data - Sample Type 1'!L107)</f>
        <v/>
      </c>
      <c r="C153" s="75" t="str">
        <f>IF(B153="","",IF(B153="INVALID",IF('Data - Sample Type 1'!NK107="","INVALID",'Data - Sample Type 1'!NK107),IF(B153="ERROR",'Data - Sample Type 1'!NK107,IF(B153="NO RESULT",'Data - Sample Type 1'!NK107,IF(B153="V","MINOR VISUAL",IF(B153="M","MAJOR VISUAL",IF(B153="B","BARCODE FAIL",IF(B153="D","DELAMINATION",IF(COUNTIF(B153,$D$128)+(COUNTIF(B153,$F$128))&lt;&gt;1,"MAJOR FUNCTIONAL",IF(COUNTIF(B153,$F$128)=1,"MINOR FUNCTIONAL",IF('Data - Sample Type 1'!Q107="","DATA ENTRY ERROR",IF('Data - Sample Type 1'!Q107=0,"SPC CT=0","PASS"))))))))))))</f>
        <v/>
      </c>
      <c r="D153" s="77" t="str">
        <f>IF(C153="","",IF('Data - Sample Type 1'!NI107="","N/A",IF('Data - Sample Type 1'!NI107&lt;Specifications!$D$3,"PASS","FAIL")))</f>
        <v/>
      </c>
      <c r="E153" s="64"/>
    </row>
    <row r="154" spans="1:5" x14ac:dyDescent="0.2">
      <c r="A154" s="73" t="str">
        <f>IF('Data - Sample Type 1'!C108="","",'Data - Sample Type 1'!C108)</f>
        <v/>
      </c>
      <c r="B154" s="74" t="str">
        <f>IF('Data - Sample Type 1'!L108="","",'Data - Sample Type 1'!L108)</f>
        <v/>
      </c>
      <c r="C154" s="75" t="str">
        <f>IF(B154="","",IF(B154="INVALID",IF('Data - Sample Type 1'!NK108="","INVALID",'Data - Sample Type 1'!NK108),IF(B154="ERROR",'Data - Sample Type 1'!NK108,IF(B154="NO RESULT",'Data - Sample Type 1'!NK108,IF(B154="V","MINOR VISUAL",IF(B154="M","MAJOR VISUAL",IF(B154="B","BARCODE FAIL",IF(B154="D","DELAMINATION",IF(COUNTIF(B154,$D$128)+(COUNTIF(B154,$F$128))&lt;&gt;1,"MAJOR FUNCTIONAL",IF(COUNTIF(B154,$F$128)=1,"MINOR FUNCTIONAL",IF('Data - Sample Type 1'!Q108="","DATA ENTRY ERROR",IF('Data - Sample Type 1'!Q108=0,"SPC CT=0","PASS"))))))))))))</f>
        <v/>
      </c>
      <c r="D154" s="77" t="str">
        <f>IF(C154="","",IF('Data - Sample Type 1'!NI108="","N/A",IF('Data - Sample Type 1'!NI108&lt;Specifications!$D$3,"PASS","FAIL")))</f>
        <v/>
      </c>
      <c r="E154" s="64"/>
    </row>
    <row r="155" spans="1:5" x14ac:dyDescent="0.2">
      <c r="A155" s="73" t="str">
        <f>IF('Data - Sample Type 1'!C109="","",'Data - Sample Type 1'!C109)</f>
        <v/>
      </c>
      <c r="B155" s="74" t="str">
        <f>IF('Data - Sample Type 1'!L109="","",'Data - Sample Type 1'!L109)</f>
        <v/>
      </c>
      <c r="C155" s="75" t="str">
        <f>IF(B155="","",IF(B155="INVALID",IF('Data - Sample Type 1'!NK109="","INVALID",'Data - Sample Type 1'!NK109),IF(B155="ERROR",'Data - Sample Type 1'!NK109,IF(B155="NO RESULT",'Data - Sample Type 1'!NK109,IF(B155="V","MINOR VISUAL",IF(B155="M","MAJOR VISUAL",IF(B155="B","BARCODE FAIL",IF(B155="D","DELAMINATION",IF(COUNTIF(B155,$D$128)+(COUNTIF(B155,$F$128))&lt;&gt;1,"MAJOR FUNCTIONAL",IF(COUNTIF(B155,$F$128)=1,"MINOR FUNCTIONAL",IF('Data - Sample Type 1'!Q109="","DATA ENTRY ERROR",IF('Data - Sample Type 1'!Q109=0,"SPC CT=0","PASS"))))))))))))</f>
        <v/>
      </c>
      <c r="D155" s="77" t="str">
        <f>IF(C155="","",IF('Data - Sample Type 1'!NI109="","N/A",IF('Data - Sample Type 1'!NI109&lt;Specifications!$D$3,"PASS","FAIL")))</f>
        <v/>
      </c>
      <c r="E155" s="64"/>
    </row>
    <row r="156" spans="1:5" x14ac:dyDescent="0.2">
      <c r="A156" s="73" t="str">
        <f>IF('Data - Sample Type 1'!C110="","",'Data - Sample Type 1'!C110)</f>
        <v/>
      </c>
      <c r="B156" s="74" t="str">
        <f>IF('Data - Sample Type 1'!L110="","",'Data - Sample Type 1'!L110)</f>
        <v/>
      </c>
      <c r="C156" s="75" t="str">
        <f>IF(B156="","",IF(B156="INVALID",IF('Data - Sample Type 1'!NK110="","INVALID",'Data - Sample Type 1'!NK110),IF(B156="ERROR",'Data - Sample Type 1'!NK110,IF(B156="NO RESULT",'Data - Sample Type 1'!NK110,IF(B156="V","MINOR VISUAL",IF(B156="M","MAJOR VISUAL",IF(B156="B","BARCODE FAIL",IF(B156="D","DELAMINATION",IF(COUNTIF(B156,$D$128)+(COUNTIF(B156,$F$128))&lt;&gt;1,"MAJOR FUNCTIONAL",IF(COUNTIF(B156,$F$128)=1,"MINOR FUNCTIONAL",IF('Data - Sample Type 1'!Q110="","DATA ENTRY ERROR",IF('Data - Sample Type 1'!Q110=0,"SPC CT=0","PASS"))))))))))))</f>
        <v/>
      </c>
      <c r="D156" s="77" t="str">
        <f>IF(C156="","",IF('Data - Sample Type 1'!NI110="","N/A",IF('Data - Sample Type 1'!NI110&lt;Specifications!$D$3,"PASS","FAIL")))</f>
        <v/>
      </c>
      <c r="E156" s="64"/>
    </row>
    <row r="157" spans="1:5" x14ac:dyDescent="0.2">
      <c r="A157" s="73" t="str">
        <f>IF('Data - Sample Type 1'!C111="","",'Data - Sample Type 1'!C111)</f>
        <v/>
      </c>
      <c r="B157" s="74" t="str">
        <f>IF('Data - Sample Type 1'!L111="","",'Data - Sample Type 1'!L111)</f>
        <v/>
      </c>
      <c r="C157" s="75" t="str">
        <f>IF(B157="","",IF(B157="INVALID",IF('Data - Sample Type 1'!NK111="","INVALID",'Data - Sample Type 1'!NK111),IF(B157="ERROR",'Data - Sample Type 1'!NK111,IF(B157="NO RESULT",'Data - Sample Type 1'!NK111,IF(B157="V","MINOR VISUAL",IF(B157="M","MAJOR VISUAL",IF(B157="B","BARCODE FAIL",IF(B157="D","DELAMINATION",IF(COUNTIF(B157,$D$128)+(COUNTIF(B157,$F$128))&lt;&gt;1,"MAJOR FUNCTIONAL",IF(COUNTIF(B157,$F$128)=1,"MINOR FUNCTIONAL",IF('Data - Sample Type 1'!Q111="","DATA ENTRY ERROR",IF('Data - Sample Type 1'!Q111=0,"SPC CT=0","PASS"))))))))))))</f>
        <v/>
      </c>
      <c r="D157" s="77" t="str">
        <f>IF(C157="","",IF('Data - Sample Type 1'!NI111="","N/A",IF('Data - Sample Type 1'!NI111&lt;Specifications!$D$3,"PASS","FAIL")))</f>
        <v/>
      </c>
      <c r="E157" s="64"/>
    </row>
    <row r="158" spans="1:5" x14ac:dyDescent="0.2">
      <c r="A158" s="73" t="str">
        <f>IF('Data - Sample Type 1'!C112="","",'Data - Sample Type 1'!C112)</f>
        <v/>
      </c>
      <c r="B158" s="74" t="str">
        <f>IF('Data - Sample Type 1'!L112="","",'Data - Sample Type 1'!L112)</f>
        <v/>
      </c>
      <c r="C158" s="75" t="str">
        <f>IF(B158="","",IF(B158="INVALID",IF('Data - Sample Type 1'!NK112="","INVALID",'Data - Sample Type 1'!NK112),IF(B158="ERROR",'Data - Sample Type 1'!NK112,IF(B158="NO RESULT",'Data - Sample Type 1'!NK112,IF(B158="V","MINOR VISUAL",IF(B158="M","MAJOR VISUAL",IF(B158="B","BARCODE FAIL",IF(B158="D","DELAMINATION",IF(COUNTIF(B158,$D$128)+(COUNTIF(B158,$F$128))&lt;&gt;1,"MAJOR FUNCTIONAL",IF(COUNTIF(B158,$F$128)=1,"MINOR FUNCTIONAL",IF('Data - Sample Type 1'!Q112="","DATA ENTRY ERROR",IF('Data - Sample Type 1'!Q112=0,"SPC CT=0","PASS"))))))))))))</f>
        <v/>
      </c>
      <c r="D158" s="77" t="str">
        <f>IF(C158="","",IF('Data - Sample Type 1'!NI112="","N/A",IF('Data - Sample Type 1'!NI112&lt;Specifications!$D$3,"PASS","FAIL")))</f>
        <v/>
      </c>
      <c r="E158" s="64"/>
    </row>
    <row r="159" spans="1:5" x14ac:dyDescent="0.2">
      <c r="A159" s="73" t="str">
        <f>IF('Data - Sample Type 1'!C113="","",'Data - Sample Type 1'!C113)</f>
        <v/>
      </c>
      <c r="B159" s="74" t="str">
        <f>IF('Data - Sample Type 1'!L113="","",'Data - Sample Type 1'!L113)</f>
        <v/>
      </c>
      <c r="C159" s="75" t="str">
        <f>IF(B159="","",IF(B159="INVALID",IF('Data - Sample Type 1'!NK113="","INVALID",'Data - Sample Type 1'!NK113),IF(B159="ERROR",'Data - Sample Type 1'!NK113,IF(B159="NO RESULT",'Data - Sample Type 1'!NK113,IF(B159="V","MINOR VISUAL",IF(B159="M","MAJOR VISUAL",IF(B159="B","BARCODE FAIL",IF(B159="D","DELAMINATION",IF(COUNTIF(B159,$D$128)+(COUNTIF(B159,$F$128))&lt;&gt;1,"MAJOR FUNCTIONAL",IF(COUNTIF(B159,$F$128)=1,"MINOR FUNCTIONAL",IF('Data - Sample Type 1'!Q113="","DATA ENTRY ERROR",IF('Data - Sample Type 1'!Q113=0,"SPC CT=0","PASS"))))))))))))</f>
        <v/>
      </c>
      <c r="D159" s="77" t="str">
        <f>IF(C159="","",IF('Data - Sample Type 1'!NI113="","N/A",IF('Data - Sample Type 1'!NI113&lt;Specifications!$D$3,"PASS","FAIL")))</f>
        <v/>
      </c>
      <c r="E159" s="64"/>
    </row>
    <row r="160" spans="1:5" x14ac:dyDescent="0.2">
      <c r="A160" s="73" t="str">
        <f>IF('Data - Sample Type 1'!C114="","",'Data - Sample Type 1'!C114)</f>
        <v/>
      </c>
      <c r="B160" s="74" t="str">
        <f>IF('Data - Sample Type 1'!L114="","",'Data - Sample Type 1'!L114)</f>
        <v/>
      </c>
      <c r="C160" s="75" t="str">
        <f>IF(B160="","",IF(B160="INVALID",IF('Data - Sample Type 1'!NK114="","INVALID",'Data - Sample Type 1'!NK114),IF(B160="ERROR",'Data - Sample Type 1'!NK114,IF(B160="NO RESULT",'Data - Sample Type 1'!NK114,IF(B160="V","MINOR VISUAL",IF(B160="M","MAJOR VISUAL",IF(B160="B","BARCODE FAIL",IF(B160="D","DELAMINATION",IF(COUNTIF(B160,$D$128)+(COUNTIF(B160,$F$128))&lt;&gt;1,"MAJOR FUNCTIONAL",IF(COUNTIF(B160,$F$128)=1,"MINOR FUNCTIONAL",IF('Data - Sample Type 1'!Q114="","DATA ENTRY ERROR",IF('Data - Sample Type 1'!Q114=0,"SPC CT=0","PASS"))))))))))))</f>
        <v/>
      </c>
      <c r="D160" s="77" t="str">
        <f>IF(C160="","",IF('Data - Sample Type 1'!NI114="","N/A",IF('Data - Sample Type 1'!NI114&lt;Specifications!$D$3,"PASS","FAIL")))</f>
        <v/>
      </c>
      <c r="E160" s="64"/>
    </row>
    <row r="161" spans="1:5" x14ac:dyDescent="0.2">
      <c r="A161" s="73" t="str">
        <f>IF('Data - Sample Type 1'!C115="","",'Data - Sample Type 1'!C115)</f>
        <v/>
      </c>
      <c r="B161" s="74" t="str">
        <f>IF('Data - Sample Type 1'!L115="","",'Data - Sample Type 1'!L115)</f>
        <v/>
      </c>
      <c r="C161" s="75" t="str">
        <f>IF(B161="","",IF(B161="INVALID",IF('Data - Sample Type 1'!NK115="","INVALID",'Data - Sample Type 1'!NK115),IF(B161="ERROR",'Data - Sample Type 1'!NK115,IF(B161="NO RESULT",'Data - Sample Type 1'!NK115,IF(B161="V","MINOR VISUAL",IF(B161="M","MAJOR VISUAL",IF(B161="B","BARCODE FAIL",IF(B161="D","DELAMINATION",IF(COUNTIF(B161,$D$128)+(COUNTIF(B161,$F$128))&lt;&gt;1,"MAJOR FUNCTIONAL",IF(COUNTIF(B161,$F$128)=1,"MINOR FUNCTIONAL",IF('Data - Sample Type 1'!Q115="","DATA ENTRY ERROR",IF('Data - Sample Type 1'!Q115=0,"SPC CT=0","PASS"))))))))))))</f>
        <v/>
      </c>
      <c r="D161" s="77" t="str">
        <f>IF(C161="","",IF('Data - Sample Type 1'!NI115="","N/A",IF('Data - Sample Type 1'!NI115&lt;Specifications!$D$3,"PASS","FAIL")))</f>
        <v/>
      </c>
      <c r="E161" s="64"/>
    </row>
    <row r="162" spans="1:5" x14ac:dyDescent="0.2">
      <c r="A162" s="73" t="str">
        <f>IF('Data - Sample Type 1'!C116="","",'Data - Sample Type 1'!C116)</f>
        <v/>
      </c>
      <c r="B162" s="74" t="str">
        <f>IF('Data - Sample Type 1'!L116="","",'Data - Sample Type 1'!L116)</f>
        <v/>
      </c>
      <c r="C162" s="75" t="str">
        <f>IF(B162="","",IF(B162="INVALID",IF('Data - Sample Type 1'!NK116="","INVALID",'Data - Sample Type 1'!NK116),IF(B162="ERROR",'Data - Sample Type 1'!NK116,IF(B162="NO RESULT",'Data - Sample Type 1'!NK116,IF(B162="V","MINOR VISUAL",IF(B162="M","MAJOR VISUAL",IF(B162="B","BARCODE FAIL",IF(B162="D","DELAMINATION",IF(COUNTIF(B162,$D$128)+(COUNTIF(B162,$F$128))&lt;&gt;1,"MAJOR FUNCTIONAL",IF(COUNTIF(B162,$F$128)=1,"MINOR FUNCTIONAL",IF('Data - Sample Type 1'!Q116="","DATA ENTRY ERROR",IF('Data - Sample Type 1'!Q116=0,"SPC CT=0","PASS"))))))))))))</f>
        <v/>
      </c>
      <c r="D162" s="77" t="str">
        <f>IF(C162="","",IF('Data - Sample Type 1'!NI116="","N/A",IF('Data - Sample Type 1'!NI116&lt;Specifications!$D$3,"PASS","FAIL")))</f>
        <v/>
      </c>
      <c r="E162" s="64"/>
    </row>
    <row r="163" spans="1:5" x14ac:dyDescent="0.2">
      <c r="A163" s="73" t="str">
        <f>IF('Data - Sample Type 1'!C117="","",'Data - Sample Type 1'!C117)</f>
        <v/>
      </c>
      <c r="B163" s="74" t="str">
        <f>IF('Data - Sample Type 1'!L117="","",'Data - Sample Type 1'!L117)</f>
        <v/>
      </c>
      <c r="C163" s="75" t="str">
        <f>IF(B163="","",IF(B163="INVALID",IF('Data - Sample Type 1'!NK117="","INVALID",'Data - Sample Type 1'!NK117),IF(B163="ERROR",'Data - Sample Type 1'!NK117,IF(B163="NO RESULT",'Data - Sample Type 1'!NK117,IF(B163="V","MINOR VISUAL",IF(B163="M","MAJOR VISUAL",IF(B163="B","BARCODE FAIL",IF(B163="D","DELAMINATION",IF(COUNTIF(B163,$D$128)+(COUNTIF(B163,$F$128))&lt;&gt;1,"MAJOR FUNCTIONAL",IF(COUNTIF(B163,$F$128)=1,"MINOR FUNCTIONAL",IF('Data - Sample Type 1'!Q117="","DATA ENTRY ERROR",IF('Data - Sample Type 1'!Q117=0,"SPC CT=0","PASS"))))))))))))</f>
        <v/>
      </c>
      <c r="D163" s="77" t="str">
        <f>IF(C163="","",IF('Data - Sample Type 1'!NI117="","N/A",IF('Data - Sample Type 1'!NI117&lt;Specifications!$D$3,"PASS","FAIL")))</f>
        <v/>
      </c>
      <c r="E163" s="64"/>
    </row>
    <row r="164" spans="1:5" x14ac:dyDescent="0.2">
      <c r="A164" s="73" t="str">
        <f>IF('Data - Sample Type 1'!C118="","",'Data - Sample Type 1'!C118)</f>
        <v/>
      </c>
      <c r="B164" s="74" t="str">
        <f>IF('Data - Sample Type 1'!L118="","",'Data - Sample Type 1'!L118)</f>
        <v/>
      </c>
      <c r="C164" s="75" t="str">
        <f>IF(B164="","",IF(B164="INVALID",IF('Data - Sample Type 1'!NK118="","INVALID",'Data - Sample Type 1'!NK118),IF(B164="ERROR",'Data - Sample Type 1'!NK118,IF(B164="NO RESULT",'Data - Sample Type 1'!NK118,IF(B164="V","MINOR VISUAL",IF(B164="M","MAJOR VISUAL",IF(B164="B","BARCODE FAIL",IF(B164="D","DELAMINATION",IF(COUNTIF(B164,$D$128)+(COUNTIF(B164,$F$128))&lt;&gt;1,"MAJOR FUNCTIONAL",IF(COUNTIF(B164,$F$128)=1,"MINOR FUNCTIONAL",IF('Data - Sample Type 1'!Q118="","DATA ENTRY ERROR",IF('Data - Sample Type 1'!Q118=0,"SPC CT=0","PASS"))))))))))))</f>
        <v/>
      </c>
      <c r="D164" s="77" t="str">
        <f>IF(C164="","",IF('Data - Sample Type 1'!NI118="","N/A",IF('Data - Sample Type 1'!NI118&lt;Specifications!$D$3,"PASS","FAIL")))</f>
        <v/>
      </c>
      <c r="E164" s="64"/>
    </row>
    <row r="165" spans="1:5" x14ac:dyDescent="0.2">
      <c r="A165" s="73" t="str">
        <f>IF('Data - Sample Type 1'!C119="","",'Data - Sample Type 1'!C119)</f>
        <v/>
      </c>
      <c r="B165" s="74" t="str">
        <f>IF('Data - Sample Type 1'!L119="","",'Data - Sample Type 1'!L119)</f>
        <v/>
      </c>
      <c r="C165" s="75" t="str">
        <f>IF(B165="","",IF(B165="INVALID",IF('Data - Sample Type 1'!NK119="","INVALID",'Data - Sample Type 1'!NK119),IF(B165="ERROR",'Data - Sample Type 1'!NK119,IF(B165="NO RESULT",'Data - Sample Type 1'!NK119,IF(B165="V","MINOR VISUAL",IF(B165="M","MAJOR VISUAL",IF(B165="B","BARCODE FAIL",IF(B165="D","DELAMINATION",IF(COUNTIF(B165,$D$128)+(COUNTIF(B165,$F$128))&lt;&gt;1,"MAJOR FUNCTIONAL",IF(COUNTIF(B165,$F$128)=1,"MINOR FUNCTIONAL",IF('Data - Sample Type 1'!Q119="","DATA ENTRY ERROR",IF('Data - Sample Type 1'!Q119=0,"SPC CT=0","PASS"))))))))))))</f>
        <v/>
      </c>
      <c r="D165" s="77" t="str">
        <f>IF(C165="","",IF('Data - Sample Type 1'!NI119="","N/A",IF('Data - Sample Type 1'!NI119&lt;Specifications!$D$3,"PASS","FAIL")))</f>
        <v/>
      </c>
      <c r="E165" s="64"/>
    </row>
    <row r="166" spans="1:5" x14ac:dyDescent="0.2">
      <c r="A166" s="73" t="str">
        <f>IF('Data - Sample Type 1'!C120="","",'Data - Sample Type 1'!C120)</f>
        <v/>
      </c>
      <c r="B166" s="74" t="str">
        <f>IF('Data - Sample Type 1'!L120="","",'Data - Sample Type 1'!L120)</f>
        <v/>
      </c>
      <c r="C166" s="75" t="str">
        <f>IF(B166="","",IF(B166="INVALID",IF('Data - Sample Type 1'!NK120="","INVALID",'Data - Sample Type 1'!NK120),IF(B166="ERROR",'Data - Sample Type 1'!NK120,IF(B166="NO RESULT",'Data - Sample Type 1'!NK120,IF(B166="V","MINOR VISUAL",IF(B166="M","MAJOR VISUAL",IF(B166="B","BARCODE FAIL",IF(B166="D","DELAMINATION",IF(COUNTIF(B166,$D$128)+(COUNTIF(B166,$F$128))&lt;&gt;1,"MAJOR FUNCTIONAL",IF(COUNTIF(B166,$F$128)=1,"MINOR FUNCTIONAL",IF('Data - Sample Type 1'!Q120="","DATA ENTRY ERROR",IF('Data - Sample Type 1'!Q120=0,"SPC CT=0","PASS"))))))))))))</f>
        <v/>
      </c>
      <c r="D166" s="77" t="str">
        <f>IF(C166="","",IF('Data - Sample Type 1'!NI120="","N/A",IF('Data - Sample Type 1'!NI120&lt;Specifications!$D$3,"PASS","FAIL")))</f>
        <v/>
      </c>
      <c r="E166" s="64"/>
    </row>
    <row r="167" spans="1:5" x14ac:dyDescent="0.2">
      <c r="A167" s="73" t="str">
        <f>IF('Data - Sample Type 1'!C121="","",'Data - Sample Type 1'!C121)</f>
        <v/>
      </c>
      <c r="B167" s="74" t="str">
        <f>IF('Data - Sample Type 1'!L121="","",'Data - Sample Type 1'!L121)</f>
        <v/>
      </c>
      <c r="C167" s="75" t="str">
        <f>IF(B167="","",IF(B167="INVALID",IF('Data - Sample Type 1'!NK121="","INVALID",'Data - Sample Type 1'!NK121),IF(B167="ERROR",'Data - Sample Type 1'!NK121,IF(B167="NO RESULT",'Data - Sample Type 1'!NK121,IF(B167="V","MINOR VISUAL",IF(B167="M","MAJOR VISUAL",IF(B167="B","BARCODE FAIL",IF(B167="D","DELAMINATION",IF(COUNTIF(B167,$D$128)+(COUNTIF(B167,$F$128))&lt;&gt;1,"MAJOR FUNCTIONAL",IF(COUNTIF(B167,$F$128)=1,"MINOR FUNCTIONAL",IF('Data - Sample Type 1'!Q121="","DATA ENTRY ERROR",IF('Data - Sample Type 1'!Q121=0,"SPC CT=0","PASS"))))))))))))</f>
        <v/>
      </c>
      <c r="D167" s="77" t="str">
        <f>IF(C167="","",IF('Data - Sample Type 1'!NI121="","N/A",IF('Data - Sample Type 1'!NI121&lt;Specifications!$D$3,"PASS","FAIL")))</f>
        <v/>
      </c>
      <c r="E167" s="64"/>
    </row>
    <row r="168" spans="1:5" x14ac:dyDescent="0.2">
      <c r="A168" s="73" t="str">
        <f>IF('Data - Sample Type 1'!C122="","",'Data - Sample Type 1'!C122)</f>
        <v/>
      </c>
      <c r="B168" s="74" t="str">
        <f>IF('Data - Sample Type 1'!L122="","",'Data - Sample Type 1'!L122)</f>
        <v/>
      </c>
      <c r="C168" s="75" t="str">
        <f>IF(B168="","",IF(B168="INVALID",IF('Data - Sample Type 1'!NK122="","INVALID",'Data - Sample Type 1'!NK122),IF(B168="ERROR",'Data - Sample Type 1'!NK122,IF(B168="NO RESULT",'Data - Sample Type 1'!NK122,IF(B168="V","MINOR VISUAL",IF(B168="M","MAJOR VISUAL",IF(B168="B","BARCODE FAIL",IF(B168="D","DELAMINATION",IF(COUNTIF(B168,$D$128)+(COUNTIF(B168,$F$128))&lt;&gt;1,"MAJOR FUNCTIONAL",IF(COUNTIF(B168,$F$128)=1,"MINOR FUNCTIONAL",IF('Data - Sample Type 1'!Q122="","DATA ENTRY ERROR",IF('Data - Sample Type 1'!Q122=0,"SPC CT=0","PASS"))))))))))))</f>
        <v/>
      </c>
      <c r="D168" s="77" t="str">
        <f>IF(C168="","",IF('Data - Sample Type 1'!NI122="","N/A",IF('Data - Sample Type 1'!NI122&lt;Specifications!$D$3,"PASS","FAIL")))</f>
        <v/>
      </c>
      <c r="E168" s="64"/>
    </row>
    <row r="169" spans="1:5" x14ac:dyDescent="0.2">
      <c r="A169" s="73" t="str">
        <f>IF('Data - Sample Type 1'!C123="","",'Data - Sample Type 1'!C123)</f>
        <v/>
      </c>
      <c r="B169" s="74" t="str">
        <f>IF('Data - Sample Type 1'!L123="","",'Data - Sample Type 1'!L123)</f>
        <v/>
      </c>
      <c r="C169" s="75" t="str">
        <f>IF(B169="","",IF(B169="INVALID",IF('Data - Sample Type 1'!NK123="","INVALID",'Data - Sample Type 1'!NK123),IF(B169="ERROR",'Data - Sample Type 1'!NK123,IF(B169="NO RESULT",'Data - Sample Type 1'!NK123,IF(B169="V","MINOR VISUAL",IF(B169="M","MAJOR VISUAL",IF(B169="B","BARCODE FAIL",IF(B169="D","DELAMINATION",IF(COUNTIF(B169,$D$128)+(COUNTIF(B169,$F$128))&lt;&gt;1,"MAJOR FUNCTIONAL",IF(COUNTIF(B169,$F$128)=1,"MINOR FUNCTIONAL",IF('Data - Sample Type 1'!Q123="","DATA ENTRY ERROR",IF('Data - Sample Type 1'!Q123=0,"SPC CT=0","PASS"))))))))))))</f>
        <v/>
      </c>
      <c r="D169" s="77" t="str">
        <f>IF(C169="","",IF('Data - Sample Type 1'!NI123="","N/A",IF('Data - Sample Type 1'!NI123&lt;Specifications!$D$3,"PASS","FAIL")))</f>
        <v/>
      </c>
      <c r="E169" s="64"/>
    </row>
    <row r="170" spans="1:5" x14ac:dyDescent="0.2">
      <c r="A170" s="73" t="str">
        <f>IF('Data - Sample Type 1'!C124="","",'Data - Sample Type 1'!C124)</f>
        <v/>
      </c>
      <c r="B170" s="74" t="str">
        <f>IF('Data - Sample Type 1'!L124="","",'Data - Sample Type 1'!L124)</f>
        <v/>
      </c>
      <c r="C170" s="75" t="str">
        <f>IF(B170="","",IF(B170="INVALID",IF('Data - Sample Type 1'!NK124="","INVALID",'Data - Sample Type 1'!NK124),IF(B170="ERROR",'Data - Sample Type 1'!NK124,IF(B170="NO RESULT",'Data - Sample Type 1'!NK124,IF(B170="V","MINOR VISUAL",IF(B170="M","MAJOR VISUAL",IF(B170="B","BARCODE FAIL",IF(B170="D","DELAMINATION",IF(COUNTIF(B170,$D$128)+(COUNTIF(B170,$F$128))&lt;&gt;1,"MAJOR FUNCTIONAL",IF(COUNTIF(B170,$F$128)=1,"MINOR FUNCTIONAL",IF('Data - Sample Type 1'!Q124="","DATA ENTRY ERROR",IF('Data - Sample Type 1'!Q124=0,"SPC CT=0","PASS"))))))))))))</f>
        <v/>
      </c>
      <c r="D170" s="77" t="str">
        <f>IF(C170="","",IF('Data - Sample Type 1'!NI124="","N/A",IF('Data - Sample Type 1'!NI124&lt;Specifications!$D$3,"PASS","FAIL")))</f>
        <v/>
      </c>
      <c r="E170" s="64"/>
    </row>
    <row r="171" spans="1:5" x14ac:dyDescent="0.2">
      <c r="A171" s="73" t="str">
        <f>IF('Data - Sample Type 1'!C125="","",'Data - Sample Type 1'!C125)</f>
        <v/>
      </c>
      <c r="B171" s="74" t="str">
        <f>IF('Data - Sample Type 1'!L125="","",'Data - Sample Type 1'!L125)</f>
        <v/>
      </c>
      <c r="C171" s="75" t="str">
        <f>IF(B171="","",IF(B171="INVALID",IF('Data - Sample Type 1'!NK125="","INVALID",'Data - Sample Type 1'!NK125),IF(B171="ERROR",'Data - Sample Type 1'!NK125,IF(B171="NO RESULT",'Data - Sample Type 1'!NK125,IF(B171="V","MINOR VISUAL",IF(B171="M","MAJOR VISUAL",IF(B171="B","BARCODE FAIL",IF(B171="D","DELAMINATION",IF(COUNTIF(B171,$D$128)+(COUNTIF(B171,$F$128))&lt;&gt;1,"MAJOR FUNCTIONAL",IF(COUNTIF(B171,$F$128)=1,"MINOR FUNCTIONAL",IF('Data - Sample Type 1'!Q125="","DATA ENTRY ERROR",IF('Data - Sample Type 1'!Q125=0,"SPC CT=0","PASS"))))))))))))</f>
        <v/>
      </c>
      <c r="D171" s="77" t="str">
        <f>IF(C171="","",IF('Data - Sample Type 1'!NI125="","N/A",IF('Data - Sample Type 1'!NI125&lt;Specifications!$D$3,"PASS","FAIL")))</f>
        <v/>
      </c>
      <c r="E171" s="64"/>
    </row>
    <row r="172" spans="1:5" x14ac:dyDescent="0.2">
      <c r="A172" s="73" t="str">
        <f>IF('Data - Sample Type 1'!C126="","",'Data - Sample Type 1'!C126)</f>
        <v/>
      </c>
      <c r="B172" s="74" t="str">
        <f>IF('Data - Sample Type 1'!L126="","",'Data - Sample Type 1'!L126)</f>
        <v/>
      </c>
      <c r="C172" s="75" t="str">
        <f>IF(B172="","",IF(B172="INVALID",IF('Data - Sample Type 1'!NK126="","INVALID",'Data - Sample Type 1'!NK126),IF(B172="ERROR",'Data - Sample Type 1'!NK126,IF(B172="NO RESULT",'Data - Sample Type 1'!NK126,IF(B172="V","MINOR VISUAL",IF(B172="M","MAJOR VISUAL",IF(B172="B","BARCODE FAIL",IF(B172="D","DELAMINATION",IF(COUNTIF(B172,$D$128)+(COUNTIF(B172,$F$128))&lt;&gt;1,"MAJOR FUNCTIONAL",IF(COUNTIF(B172,$F$128)=1,"MINOR FUNCTIONAL",IF('Data - Sample Type 1'!Q126="","DATA ENTRY ERROR",IF('Data - Sample Type 1'!Q126=0,"SPC CT=0","PASS"))))))))))))</f>
        <v/>
      </c>
      <c r="D172" s="77" t="str">
        <f>IF(C172="","",IF('Data - Sample Type 1'!NI126="","N/A",IF('Data - Sample Type 1'!NI126&lt;Specifications!$D$3,"PASS","FAIL")))</f>
        <v/>
      </c>
      <c r="E172" s="64"/>
    </row>
    <row r="173" spans="1:5" x14ac:dyDescent="0.2">
      <c r="A173" s="73" t="str">
        <f>IF('Data - Sample Type 1'!C127="","",'Data - Sample Type 1'!C127)</f>
        <v/>
      </c>
      <c r="B173" s="74" t="str">
        <f>IF('Data - Sample Type 1'!L127="","",'Data - Sample Type 1'!L127)</f>
        <v/>
      </c>
      <c r="C173" s="75" t="str">
        <f>IF(B173="","",IF(B173="INVALID",IF('Data - Sample Type 1'!NK127="","INVALID",'Data - Sample Type 1'!NK127),IF(B173="ERROR",'Data - Sample Type 1'!NK127,IF(B173="NO RESULT",'Data - Sample Type 1'!NK127,IF(B173="V","MINOR VISUAL",IF(B173="M","MAJOR VISUAL",IF(B173="B","BARCODE FAIL",IF(B173="D","DELAMINATION",IF(COUNTIF(B173,$D$128)+(COUNTIF(B173,$F$128))&lt;&gt;1,"MAJOR FUNCTIONAL",IF(COUNTIF(B173,$F$128)=1,"MINOR FUNCTIONAL",IF('Data - Sample Type 1'!Q127="","DATA ENTRY ERROR",IF('Data - Sample Type 1'!Q127=0,"SPC CT=0","PASS"))))))))))))</f>
        <v/>
      </c>
      <c r="D173" s="77" t="str">
        <f>IF(C173="","",IF('Data - Sample Type 1'!NI127="","N/A",IF('Data - Sample Type 1'!NI127&lt;Specifications!$D$3,"PASS","FAIL")))</f>
        <v/>
      </c>
      <c r="E173" s="64"/>
    </row>
    <row r="174" spans="1:5" x14ac:dyDescent="0.2">
      <c r="A174" s="73" t="str">
        <f>IF('Data - Sample Type 1'!C128="","",'Data - Sample Type 1'!C128)</f>
        <v/>
      </c>
      <c r="B174" s="74" t="str">
        <f>IF('Data - Sample Type 1'!L128="","",'Data - Sample Type 1'!L128)</f>
        <v/>
      </c>
      <c r="C174" s="75" t="str">
        <f>IF(B174="","",IF(B174="INVALID",IF('Data - Sample Type 1'!NK128="","INVALID",'Data - Sample Type 1'!NK128),IF(B174="ERROR",'Data - Sample Type 1'!NK128,IF(B174="NO RESULT",'Data - Sample Type 1'!NK128,IF(B174="V","MINOR VISUAL",IF(B174="M","MAJOR VISUAL",IF(B174="B","BARCODE FAIL",IF(B174="D","DELAMINATION",IF(COUNTIF(B174,$D$128)+(COUNTIF(B174,$F$128))&lt;&gt;1,"MAJOR FUNCTIONAL",IF(COUNTIF(B174,$F$128)=1,"MINOR FUNCTIONAL",IF('Data - Sample Type 1'!Q128="","DATA ENTRY ERROR",IF('Data - Sample Type 1'!Q128=0,"SPC CT=0","PASS"))))))))))))</f>
        <v/>
      </c>
      <c r="D174" s="77" t="str">
        <f>IF(C174="","",IF('Data - Sample Type 1'!NI128="","N/A",IF('Data - Sample Type 1'!NI128&lt;Specifications!$D$3,"PASS","FAIL")))</f>
        <v/>
      </c>
      <c r="E174" s="64"/>
    </row>
    <row r="175" spans="1:5" x14ac:dyDescent="0.2">
      <c r="A175" s="73" t="str">
        <f>IF('Data - Sample Type 1'!C129="","",'Data - Sample Type 1'!C129)</f>
        <v/>
      </c>
      <c r="B175" s="74" t="str">
        <f>IF('Data - Sample Type 1'!L129="","",'Data - Sample Type 1'!L129)</f>
        <v/>
      </c>
      <c r="C175" s="75" t="str">
        <f>IF(B175="","",IF(B175="INVALID",IF('Data - Sample Type 1'!NK129="","INVALID",'Data - Sample Type 1'!NK129),IF(B175="ERROR",'Data - Sample Type 1'!NK129,IF(B175="NO RESULT",'Data - Sample Type 1'!NK129,IF(B175="V","MINOR VISUAL",IF(B175="M","MAJOR VISUAL",IF(B175="B","BARCODE FAIL",IF(B175="D","DELAMINATION",IF(COUNTIF(B175,$D$128)+(COUNTIF(B175,$F$128))&lt;&gt;1,"MAJOR FUNCTIONAL",IF(COUNTIF(B175,$F$128)=1,"MINOR FUNCTIONAL",IF('Data - Sample Type 1'!Q129="","DATA ENTRY ERROR",IF('Data - Sample Type 1'!Q129=0,"SPC CT=0","PASS"))))))))))))</f>
        <v/>
      </c>
      <c r="D175" s="77" t="str">
        <f>IF(C175="","",IF('Data - Sample Type 1'!NI129="","N/A",IF('Data - Sample Type 1'!NI129&lt;Specifications!$D$3,"PASS","FAIL")))</f>
        <v/>
      </c>
      <c r="E175" s="64"/>
    </row>
    <row r="176" spans="1:5" x14ac:dyDescent="0.2">
      <c r="A176" s="73" t="str">
        <f>IF('Data - Sample Type 1'!C130="","",'Data - Sample Type 1'!C130)</f>
        <v/>
      </c>
      <c r="B176" s="74" t="str">
        <f>IF('Data - Sample Type 1'!L130="","",'Data - Sample Type 1'!L130)</f>
        <v/>
      </c>
      <c r="C176" s="75" t="str">
        <f>IF(B176="","",IF(B176="INVALID",IF('Data - Sample Type 1'!NK130="","INVALID",'Data - Sample Type 1'!NK130),IF(B176="ERROR",'Data - Sample Type 1'!NK130,IF(B176="NO RESULT",'Data - Sample Type 1'!NK130,IF(B176="V","MINOR VISUAL",IF(B176="M","MAJOR VISUAL",IF(B176="B","BARCODE FAIL",IF(B176="D","DELAMINATION",IF(COUNTIF(B176,$D$128)+(COUNTIF(B176,$F$128))&lt;&gt;1,"MAJOR FUNCTIONAL",IF(COUNTIF(B176,$F$128)=1,"MINOR FUNCTIONAL",IF('Data - Sample Type 1'!Q130="","DATA ENTRY ERROR",IF('Data - Sample Type 1'!Q130=0,"SPC CT=0","PASS"))))))))))))</f>
        <v/>
      </c>
      <c r="D176" s="77" t="str">
        <f>IF(C176="","",IF('Data - Sample Type 1'!NI130="","N/A",IF('Data - Sample Type 1'!NI130&lt;Specifications!$D$3,"PASS","FAIL")))</f>
        <v/>
      </c>
      <c r="E176" s="64"/>
    </row>
    <row r="177" spans="1:5" x14ac:dyDescent="0.2">
      <c r="A177" s="73" t="str">
        <f>IF('Data - Sample Type 1'!C131="","",'Data - Sample Type 1'!C131)</f>
        <v/>
      </c>
      <c r="B177" s="74" t="str">
        <f>IF('Data - Sample Type 1'!L131="","",'Data - Sample Type 1'!L131)</f>
        <v/>
      </c>
      <c r="C177" s="75" t="str">
        <f>IF(B177="","",IF(B177="INVALID",IF('Data - Sample Type 1'!NK131="","INVALID",'Data - Sample Type 1'!NK131),IF(B177="ERROR",'Data - Sample Type 1'!NK131,IF(B177="NO RESULT",'Data - Sample Type 1'!NK131,IF(B177="V","MINOR VISUAL",IF(B177="M","MAJOR VISUAL",IF(B177="B","BARCODE FAIL",IF(B177="D","DELAMINATION",IF(COUNTIF(B177,$D$128)+(COUNTIF(B177,$F$128))&lt;&gt;1,"MAJOR FUNCTIONAL",IF(COUNTIF(B177,$F$128)=1,"MINOR FUNCTIONAL",IF('Data - Sample Type 1'!Q131="","DATA ENTRY ERROR",IF('Data - Sample Type 1'!Q131=0,"SPC CT=0","PASS"))))))))))))</f>
        <v/>
      </c>
      <c r="D177" s="77" t="str">
        <f>IF(C177="","",IF('Data - Sample Type 1'!NI131="","N/A",IF('Data - Sample Type 1'!NI131&lt;Specifications!$D$3,"PASS","FAIL")))</f>
        <v/>
      </c>
      <c r="E177" s="64"/>
    </row>
    <row r="178" spans="1:5" x14ac:dyDescent="0.2">
      <c r="A178" s="73" t="str">
        <f>IF('Data - Sample Type 1'!C132="","",'Data - Sample Type 1'!C132)</f>
        <v/>
      </c>
      <c r="B178" s="74" t="str">
        <f>IF('Data - Sample Type 1'!L132="","",'Data - Sample Type 1'!L132)</f>
        <v/>
      </c>
      <c r="C178" s="75" t="str">
        <f>IF(B178="","",IF(B178="INVALID",IF('Data - Sample Type 1'!NK132="","INVALID",'Data - Sample Type 1'!NK132),IF(B178="ERROR",'Data - Sample Type 1'!NK132,IF(B178="NO RESULT",'Data - Sample Type 1'!NK132,IF(B178="V","MINOR VISUAL",IF(B178="M","MAJOR VISUAL",IF(B178="B","BARCODE FAIL",IF(B178="D","DELAMINATION",IF(COUNTIF(B178,$D$128)+(COUNTIF(B178,$F$128))&lt;&gt;1,"MAJOR FUNCTIONAL",IF(COUNTIF(B178,$F$128)=1,"MINOR FUNCTIONAL",IF('Data - Sample Type 1'!Q132="","DATA ENTRY ERROR",IF('Data - Sample Type 1'!Q132=0,"SPC CT=0","PASS"))))))))))))</f>
        <v/>
      </c>
      <c r="D178" s="77" t="str">
        <f>IF(C178="","",IF('Data - Sample Type 1'!NI132="","N/A",IF('Data - Sample Type 1'!NI132&lt;Specifications!$D$3,"PASS","FAIL")))</f>
        <v/>
      </c>
      <c r="E178" s="64"/>
    </row>
    <row r="179" spans="1:5" x14ac:dyDescent="0.2">
      <c r="A179" s="73" t="str">
        <f>IF('Data - Sample Type 1'!C133="","",'Data - Sample Type 1'!C133)</f>
        <v/>
      </c>
      <c r="B179" s="74" t="str">
        <f>IF('Data - Sample Type 1'!L133="","",'Data - Sample Type 1'!L133)</f>
        <v/>
      </c>
      <c r="C179" s="75" t="str">
        <f>IF(B179="","",IF(B179="INVALID",IF('Data - Sample Type 1'!NK133="","INVALID",'Data - Sample Type 1'!NK133),IF(B179="ERROR",'Data - Sample Type 1'!NK133,IF(B179="NO RESULT",'Data - Sample Type 1'!NK133,IF(B179="V","MINOR VISUAL",IF(B179="M","MAJOR VISUAL",IF(B179="B","BARCODE FAIL",IF(B179="D","DELAMINATION",IF(COUNTIF(B179,$D$128)+(COUNTIF(B179,$F$128))&lt;&gt;1,"MAJOR FUNCTIONAL",IF(COUNTIF(B179,$F$128)=1,"MINOR FUNCTIONAL",IF('Data - Sample Type 1'!Q133="","DATA ENTRY ERROR",IF('Data - Sample Type 1'!Q133=0,"SPC CT=0","PASS"))))))))))))</f>
        <v/>
      </c>
      <c r="D179" s="77" t="str">
        <f>IF(C179="","",IF('Data - Sample Type 1'!NI133="","N/A",IF('Data - Sample Type 1'!NI133&lt;Specifications!$D$3,"PASS","FAIL")))</f>
        <v/>
      </c>
      <c r="E179" s="64"/>
    </row>
    <row r="180" spans="1:5" x14ac:dyDescent="0.2">
      <c r="A180" s="73" t="str">
        <f>IF('Data - Sample Type 1'!C134="","",'Data - Sample Type 1'!C134)</f>
        <v/>
      </c>
      <c r="B180" s="74" t="str">
        <f>IF('Data - Sample Type 1'!L134="","",'Data - Sample Type 1'!L134)</f>
        <v/>
      </c>
      <c r="C180" s="75" t="str">
        <f>IF(B180="","",IF(B180="INVALID",IF('Data - Sample Type 1'!NK134="","INVALID",'Data - Sample Type 1'!NK134),IF(B180="ERROR",'Data - Sample Type 1'!NK134,IF(B180="NO RESULT",'Data - Sample Type 1'!NK134,IF(B180="V","MINOR VISUAL",IF(B180="M","MAJOR VISUAL",IF(B180="B","BARCODE FAIL",IF(B180="D","DELAMINATION",IF(COUNTIF(B180,$D$128)+(COUNTIF(B180,$F$128))&lt;&gt;1,"MAJOR FUNCTIONAL",IF(COUNTIF(B180,$F$128)=1,"MINOR FUNCTIONAL",IF('Data - Sample Type 1'!Q134="","DATA ENTRY ERROR",IF('Data - Sample Type 1'!Q134=0,"SPC CT=0","PASS"))))))))))))</f>
        <v/>
      </c>
      <c r="D180" s="77" t="str">
        <f>IF(C180="","",IF('Data - Sample Type 1'!NI134="","N/A",IF('Data - Sample Type 1'!NI134&lt;Specifications!$D$3,"PASS","FAIL")))</f>
        <v/>
      </c>
      <c r="E180" s="64"/>
    </row>
    <row r="181" spans="1:5" x14ac:dyDescent="0.2">
      <c r="A181" s="73" t="str">
        <f>IF('Data - Sample Type 1'!C135="","",'Data - Sample Type 1'!C135)</f>
        <v/>
      </c>
      <c r="B181" s="74" t="str">
        <f>IF('Data - Sample Type 1'!L135="","",'Data - Sample Type 1'!L135)</f>
        <v/>
      </c>
      <c r="C181" s="75" t="str">
        <f>IF(B181="","",IF(B181="INVALID",IF('Data - Sample Type 1'!NK135="","INVALID",'Data - Sample Type 1'!NK135),IF(B181="ERROR",'Data - Sample Type 1'!NK135,IF(B181="NO RESULT",'Data - Sample Type 1'!NK135,IF(B181="V","MINOR VISUAL",IF(B181="M","MAJOR VISUAL",IF(B181="B","BARCODE FAIL",IF(B181="D","DELAMINATION",IF(COUNTIF(B181,$D$128)+(COUNTIF(B181,$F$128))&lt;&gt;1,"MAJOR FUNCTIONAL",IF(COUNTIF(B181,$F$128)=1,"MINOR FUNCTIONAL",IF('Data - Sample Type 1'!Q135="","DATA ENTRY ERROR",IF('Data - Sample Type 1'!Q135=0,"SPC CT=0","PASS"))))))))))))</f>
        <v/>
      </c>
      <c r="D181" s="77" t="str">
        <f>IF(C181="","",IF('Data - Sample Type 1'!NI135="","N/A",IF('Data - Sample Type 1'!NI135&lt;Specifications!$D$3,"PASS","FAIL")))</f>
        <v/>
      </c>
      <c r="E181" s="64"/>
    </row>
    <row r="182" spans="1:5" x14ac:dyDescent="0.2">
      <c r="A182" s="73" t="str">
        <f>IF('Data - Sample Type 1'!C136="","",'Data - Sample Type 1'!C136)</f>
        <v/>
      </c>
      <c r="B182" s="74" t="str">
        <f>IF('Data - Sample Type 1'!L136="","",'Data - Sample Type 1'!L136)</f>
        <v/>
      </c>
      <c r="C182" s="75" t="str">
        <f>IF(B182="","",IF(B182="INVALID",IF('Data - Sample Type 1'!NK136="","INVALID",'Data - Sample Type 1'!NK136),IF(B182="ERROR",'Data - Sample Type 1'!NK136,IF(B182="NO RESULT",'Data - Sample Type 1'!NK136,IF(B182="V","MINOR VISUAL",IF(B182="M","MAJOR VISUAL",IF(B182="B","BARCODE FAIL",IF(B182="D","DELAMINATION",IF(COUNTIF(B182,$D$128)+(COUNTIF(B182,$F$128))&lt;&gt;1,"MAJOR FUNCTIONAL",IF(COUNTIF(B182,$F$128)=1,"MINOR FUNCTIONAL",IF('Data - Sample Type 1'!Q136="","DATA ENTRY ERROR",IF('Data - Sample Type 1'!Q136=0,"SPC CT=0","PASS"))))))))))))</f>
        <v/>
      </c>
      <c r="D182" s="77" t="str">
        <f>IF(C182="","",IF('Data - Sample Type 1'!NI136="","N/A",IF('Data - Sample Type 1'!NI136&lt;Specifications!$D$3,"PASS","FAIL")))</f>
        <v/>
      </c>
      <c r="E182" s="64"/>
    </row>
    <row r="183" spans="1:5" x14ac:dyDescent="0.2">
      <c r="A183" s="73" t="str">
        <f>IF('Data - Sample Type 1'!C137="","",'Data - Sample Type 1'!C137)</f>
        <v/>
      </c>
      <c r="B183" s="74" t="str">
        <f>IF('Data - Sample Type 1'!L137="","",'Data - Sample Type 1'!L137)</f>
        <v/>
      </c>
      <c r="C183" s="75" t="str">
        <f>IF(B183="","",IF(B183="INVALID",IF('Data - Sample Type 1'!NK137="","INVALID",'Data - Sample Type 1'!NK137),IF(B183="ERROR",'Data - Sample Type 1'!NK137,IF(B183="NO RESULT",'Data - Sample Type 1'!NK137,IF(B183="V","MINOR VISUAL",IF(B183="M","MAJOR VISUAL",IF(B183="B","BARCODE FAIL",IF(B183="D","DELAMINATION",IF(COUNTIF(B183,$D$128)+(COUNTIF(B183,$F$128))&lt;&gt;1,"MAJOR FUNCTIONAL",IF(COUNTIF(B183,$F$128)=1,"MINOR FUNCTIONAL",IF('Data - Sample Type 1'!Q137="","DATA ENTRY ERROR",IF('Data - Sample Type 1'!Q137=0,"SPC CT=0","PASS"))))))))))))</f>
        <v/>
      </c>
      <c r="D183" s="77" t="str">
        <f>IF(C183="","",IF('Data - Sample Type 1'!NI137="","N/A",IF('Data - Sample Type 1'!NI137&lt;Specifications!$D$3,"PASS","FAIL")))</f>
        <v/>
      </c>
      <c r="E183" s="64"/>
    </row>
    <row r="184" spans="1:5" x14ac:dyDescent="0.2">
      <c r="A184" s="73" t="str">
        <f>IF('Data - Sample Type 1'!C138="","",'Data - Sample Type 1'!C138)</f>
        <v/>
      </c>
      <c r="B184" s="74" t="str">
        <f>IF('Data - Sample Type 1'!L138="","",'Data - Sample Type 1'!L138)</f>
        <v/>
      </c>
      <c r="C184" s="75" t="str">
        <f>IF(B184="","",IF(B184="INVALID",IF('Data - Sample Type 1'!NK138="","INVALID",'Data - Sample Type 1'!NK138),IF(B184="ERROR",'Data - Sample Type 1'!NK138,IF(B184="NO RESULT",'Data - Sample Type 1'!NK138,IF(B184="V","MINOR VISUAL",IF(B184="M","MAJOR VISUAL",IF(B184="B","BARCODE FAIL",IF(B184="D","DELAMINATION",IF(COUNTIF(B184,$D$128)+(COUNTIF(B184,$F$128))&lt;&gt;1,"MAJOR FUNCTIONAL",IF(COUNTIF(B184,$F$128)=1,"MINOR FUNCTIONAL",IF('Data - Sample Type 1'!Q138="","DATA ENTRY ERROR",IF('Data - Sample Type 1'!Q138=0,"SPC CT=0","PASS"))))))))))))</f>
        <v/>
      </c>
      <c r="D184" s="77" t="str">
        <f>IF(C184="","",IF('Data - Sample Type 1'!NI138="","N/A",IF('Data - Sample Type 1'!NI138&lt;Specifications!$D$3,"PASS","FAIL")))</f>
        <v/>
      </c>
      <c r="E184" s="64"/>
    </row>
    <row r="185" spans="1:5" x14ac:dyDescent="0.2">
      <c r="A185" s="73" t="str">
        <f>IF('Data - Sample Type 1'!C139="","",'Data - Sample Type 1'!C139)</f>
        <v/>
      </c>
      <c r="B185" s="74" t="str">
        <f>IF('Data - Sample Type 1'!L139="","",'Data - Sample Type 1'!L139)</f>
        <v/>
      </c>
      <c r="C185" s="75" t="str">
        <f>IF(B185="","",IF(B185="INVALID",IF('Data - Sample Type 1'!NK139="","INVALID",'Data - Sample Type 1'!NK139),IF(B185="ERROR",'Data - Sample Type 1'!NK139,IF(B185="NO RESULT",'Data - Sample Type 1'!NK139,IF(B185="V","MINOR VISUAL",IF(B185="M","MAJOR VISUAL",IF(B185="B","BARCODE FAIL",IF(B185="D","DELAMINATION",IF(COUNTIF(B185,$D$128)+(COUNTIF(B185,$F$128))&lt;&gt;1,"MAJOR FUNCTIONAL",IF(COUNTIF(B185,$F$128)=1,"MINOR FUNCTIONAL",IF('Data - Sample Type 1'!Q139="","DATA ENTRY ERROR",IF('Data - Sample Type 1'!Q139=0,"SPC CT=0","PASS"))))))))))))</f>
        <v/>
      </c>
      <c r="D185" s="77" t="str">
        <f>IF(C185="","",IF('Data - Sample Type 1'!NI139="","N/A",IF('Data - Sample Type 1'!NI139&lt;Specifications!$D$3,"PASS","FAIL")))</f>
        <v/>
      </c>
      <c r="E185" s="64"/>
    </row>
    <row r="186" spans="1:5" x14ac:dyDescent="0.2">
      <c r="A186" s="73" t="str">
        <f>IF('Data - Sample Type 1'!C140="","",'Data - Sample Type 1'!C140)</f>
        <v/>
      </c>
      <c r="B186" s="74" t="str">
        <f>IF('Data - Sample Type 1'!L140="","",'Data - Sample Type 1'!L140)</f>
        <v/>
      </c>
      <c r="C186" s="75" t="str">
        <f>IF(B186="","",IF(B186="INVALID",IF('Data - Sample Type 1'!NK140="","INVALID",'Data - Sample Type 1'!NK140),IF(B186="ERROR",'Data - Sample Type 1'!NK140,IF(B186="NO RESULT",'Data - Sample Type 1'!NK140,IF(B186="V","MINOR VISUAL",IF(B186="M","MAJOR VISUAL",IF(B186="B","BARCODE FAIL",IF(B186="D","DELAMINATION",IF(COUNTIF(B186,$D$128)+(COUNTIF(B186,$F$128))&lt;&gt;1,"MAJOR FUNCTIONAL",IF(COUNTIF(B186,$F$128)=1,"MINOR FUNCTIONAL",IF('Data - Sample Type 1'!Q140="","DATA ENTRY ERROR",IF('Data - Sample Type 1'!Q140=0,"SPC CT=0","PASS"))))))))))))</f>
        <v/>
      </c>
      <c r="D186" s="77" t="str">
        <f>IF(C186="","",IF('Data - Sample Type 1'!NI140="","N/A",IF('Data - Sample Type 1'!NI140&lt;Specifications!$D$3,"PASS","FAIL")))</f>
        <v/>
      </c>
      <c r="E186" s="64"/>
    </row>
    <row r="187" spans="1:5" x14ac:dyDescent="0.2">
      <c r="A187" s="73" t="str">
        <f>IF('Data - Sample Type 1'!C141="","",'Data - Sample Type 1'!C141)</f>
        <v/>
      </c>
      <c r="B187" s="74" t="str">
        <f>IF('Data - Sample Type 1'!L141="","",'Data - Sample Type 1'!L141)</f>
        <v/>
      </c>
      <c r="C187" s="75" t="str">
        <f>IF(B187="","",IF(B187="INVALID",IF('Data - Sample Type 1'!NK141="","INVALID",'Data - Sample Type 1'!NK141),IF(B187="ERROR",'Data - Sample Type 1'!NK141,IF(B187="NO RESULT",'Data - Sample Type 1'!NK141,IF(B187="V","MINOR VISUAL",IF(B187="M","MAJOR VISUAL",IF(B187="B","BARCODE FAIL",IF(B187="D","DELAMINATION",IF(COUNTIF(B187,$D$128)+(COUNTIF(B187,$F$128))&lt;&gt;1,"MAJOR FUNCTIONAL",IF(COUNTIF(B187,$F$128)=1,"MINOR FUNCTIONAL",IF('Data - Sample Type 1'!Q141="","DATA ENTRY ERROR",IF('Data - Sample Type 1'!Q141=0,"SPC CT=0","PASS"))))))))))))</f>
        <v/>
      </c>
      <c r="D187" s="77" t="str">
        <f>IF(C187="","",IF('Data - Sample Type 1'!NI141="","N/A",IF('Data - Sample Type 1'!NI141&lt;Specifications!$D$3,"PASS","FAIL")))</f>
        <v/>
      </c>
      <c r="E187" s="64"/>
    </row>
    <row r="188" spans="1:5" x14ac:dyDescent="0.2">
      <c r="A188" s="73" t="str">
        <f>IF('Data - Sample Type 1'!C142="","",'Data - Sample Type 1'!C142)</f>
        <v/>
      </c>
      <c r="B188" s="74" t="str">
        <f>IF('Data - Sample Type 1'!L142="","",'Data - Sample Type 1'!L142)</f>
        <v/>
      </c>
      <c r="C188" s="75" t="str">
        <f>IF(B188="","",IF(B188="INVALID",IF('Data - Sample Type 1'!NK142="","INVALID",'Data - Sample Type 1'!NK142),IF(B188="ERROR",'Data - Sample Type 1'!NK142,IF(B188="NO RESULT",'Data - Sample Type 1'!NK142,IF(B188="V","MINOR VISUAL",IF(B188="M","MAJOR VISUAL",IF(B188="B","BARCODE FAIL",IF(B188="D","DELAMINATION",IF(COUNTIF(B188,$D$128)+(COUNTIF(B188,$F$128))&lt;&gt;1,"MAJOR FUNCTIONAL",IF(COUNTIF(B188,$F$128)=1,"MINOR FUNCTIONAL",IF('Data - Sample Type 1'!Q142="","DATA ENTRY ERROR",IF('Data - Sample Type 1'!Q142=0,"SPC CT=0","PASS"))))))))))))</f>
        <v/>
      </c>
      <c r="D188" s="77" t="str">
        <f>IF(C188="","",IF('Data - Sample Type 1'!NI142="","N/A",IF('Data - Sample Type 1'!NI142&lt;Specifications!$D$3,"PASS","FAIL")))</f>
        <v/>
      </c>
      <c r="E188" s="64"/>
    </row>
    <row r="189" spans="1:5" x14ac:dyDescent="0.2">
      <c r="A189" s="73" t="str">
        <f>IF('Data - Sample Type 1'!C143="","",'Data - Sample Type 1'!C143)</f>
        <v/>
      </c>
      <c r="B189" s="74" t="str">
        <f>IF('Data - Sample Type 1'!L143="","",'Data - Sample Type 1'!L143)</f>
        <v/>
      </c>
      <c r="C189" s="75" t="str">
        <f>IF(B189="","",IF(B189="INVALID",IF('Data - Sample Type 1'!NK143="","INVALID",'Data - Sample Type 1'!NK143),IF(B189="ERROR",'Data - Sample Type 1'!NK143,IF(B189="NO RESULT",'Data - Sample Type 1'!NK143,IF(B189="V","MINOR VISUAL",IF(B189="M","MAJOR VISUAL",IF(B189="B","BARCODE FAIL",IF(B189="D","DELAMINATION",IF(COUNTIF(B189,$D$128)+(COUNTIF(B189,$F$128))&lt;&gt;1,"MAJOR FUNCTIONAL",IF(COUNTIF(B189,$F$128)=1,"MINOR FUNCTIONAL",IF('Data - Sample Type 1'!Q143="","DATA ENTRY ERROR",IF('Data - Sample Type 1'!Q143=0,"SPC CT=0","PASS"))))))))))))</f>
        <v/>
      </c>
      <c r="D189" s="77" t="str">
        <f>IF(C189="","",IF('Data - Sample Type 1'!NI143="","N/A",IF('Data - Sample Type 1'!NI143&lt;Specifications!$D$3,"PASS","FAIL")))</f>
        <v/>
      </c>
      <c r="E189" s="64"/>
    </row>
    <row r="190" spans="1:5" x14ac:dyDescent="0.2">
      <c r="A190" s="73" t="str">
        <f>IF('Data - Sample Type 1'!C144="","",'Data - Sample Type 1'!C144)</f>
        <v/>
      </c>
      <c r="B190" s="74" t="str">
        <f>IF('Data - Sample Type 1'!L144="","",'Data - Sample Type 1'!L144)</f>
        <v/>
      </c>
      <c r="C190" s="75" t="str">
        <f>IF(B190="","",IF(B190="INVALID",IF('Data - Sample Type 1'!NK144="","INVALID",'Data - Sample Type 1'!NK144),IF(B190="ERROR",'Data - Sample Type 1'!NK144,IF(B190="NO RESULT",'Data - Sample Type 1'!NK144,IF(B190="V","MINOR VISUAL",IF(B190="M","MAJOR VISUAL",IF(B190="B","BARCODE FAIL",IF(B190="D","DELAMINATION",IF(COUNTIF(B190,$D$128)+(COUNTIF(B190,$F$128))&lt;&gt;1,"MAJOR FUNCTIONAL",IF(COUNTIF(B190,$F$128)=1,"MINOR FUNCTIONAL",IF('Data - Sample Type 1'!Q144="","DATA ENTRY ERROR",IF('Data - Sample Type 1'!Q144=0,"SPC CT=0","PASS"))))))))))))</f>
        <v/>
      </c>
      <c r="D190" s="77" t="str">
        <f>IF(C190="","",IF('Data - Sample Type 1'!NI144="","N/A",IF('Data - Sample Type 1'!NI144&lt;Specifications!$D$3,"PASS","FAIL")))</f>
        <v/>
      </c>
      <c r="E190" s="64"/>
    </row>
    <row r="191" spans="1:5" x14ac:dyDescent="0.2">
      <c r="A191" s="73" t="str">
        <f>IF('Data - Sample Type 1'!C145="","",'Data - Sample Type 1'!C145)</f>
        <v/>
      </c>
      <c r="B191" s="74" t="str">
        <f>IF('Data - Sample Type 1'!L145="","",'Data - Sample Type 1'!L145)</f>
        <v/>
      </c>
      <c r="C191" s="75" t="str">
        <f>IF(B191="","",IF(B191="INVALID",IF('Data - Sample Type 1'!NK145="","INVALID",'Data - Sample Type 1'!NK145),IF(B191="ERROR",'Data - Sample Type 1'!NK145,IF(B191="NO RESULT",'Data - Sample Type 1'!NK145,IF(B191="V","MINOR VISUAL",IF(B191="M","MAJOR VISUAL",IF(B191="B","BARCODE FAIL",IF(B191="D","DELAMINATION",IF(COUNTIF(B191,$D$128)+(COUNTIF(B191,$F$128))&lt;&gt;1,"MAJOR FUNCTIONAL",IF(COUNTIF(B191,$F$128)=1,"MINOR FUNCTIONAL",IF('Data - Sample Type 1'!Q145="","DATA ENTRY ERROR",IF('Data - Sample Type 1'!Q145=0,"SPC CT=0","PASS"))))))))))))</f>
        <v/>
      </c>
      <c r="D191" s="77" t="str">
        <f>IF(C191="","",IF('Data - Sample Type 1'!NI145="","N/A",IF('Data - Sample Type 1'!NI145&lt;Specifications!$D$3,"PASS","FAIL")))</f>
        <v/>
      </c>
      <c r="E191" s="64"/>
    </row>
    <row r="192" spans="1:5" x14ac:dyDescent="0.2">
      <c r="A192" s="73" t="str">
        <f>IF('Data - Sample Type 1'!C146="","",'Data - Sample Type 1'!C146)</f>
        <v/>
      </c>
      <c r="B192" s="74" t="str">
        <f>IF('Data - Sample Type 1'!L146="","",'Data - Sample Type 1'!L146)</f>
        <v/>
      </c>
      <c r="C192" s="75" t="str">
        <f>IF(B192="","",IF(B192="INVALID",IF('Data - Sample Type 1'!NK146="","INVALID",'Data - Sample Type 1'!NK146),IF(B192="ERROR",'Data - Sample Type 1'!NK146,IF(B192="NO RESULT",'Data - Sample Type 1'!NK146,IF(B192="V","MINOR VISUAL",IF(B192="M","MAJOR VISUAL",IF(B192="B","BARCODE FAIL",IF(B192="D","DELAMINATION",IF(COUNTIF(B192,$D$128)+(COUNTIF(B192,$F$128))&lt;&gt;1,"MAJOR FUNCTIONAL",IF(COUNTIF(B192,$F$128)=1,"MINOR FUNCTIONAL",IF('Data - Sample Type 1'!Q146="","DATA ENTRY ERROR",IF('Data - Sample Type 1'!Q146=0,"SPC CT=0","PASS"))))))))))))</f>
        <v/>
      </c>
      <c r="D192" s="77" t="str">
        <f>IF(C192="","",IF('Data - Sample Type 1'!NI146="","N/A",IF('Data - Sample Type 1'!NI146&lt;Specifications!$D$3,"PASS","FAIL")))</f>
        <v/>
      </c>
      <c r="E192" s="64"/>
    </row>
    <row r="193" spans="1:5" x14ac:dyDescent="0.2">
      <c r="A193" s="73" t="str">
        <f>IF('Data - Sample Type 1'!C147="","",'Data - Sample Type 1'!C147)</f>
        <v/>
      </c>
      <c r="B193" s="74" t="str">
        <f>IF('Data - Sample Type 1'!L147="","",'Data - Sample Type 1'!L147)</f>
        <v/>
      </c>
      <c r="C193" s="75" t="str">
        <f>IF(B193="","",IF(B193="INVALID",IF('Data - Sample Type 1'!NK147="","INVALID",'Data - Sample Type 1'!NK147),IF(B193="ERROR",'Data - Sample Type 1'!NK147,IF(B193="NO RESULT",'Data - Sample Type 1'!NK147,IF(B193="V","MINOR VISUAL",IF(B193="M","MAJOR VISUAL",IF(B193="B","BARCODE FAIL",IF(B193="D","DELAMINATION",IF(COUNTIF(B193,$D$128)+(COUNTIF(B193,$F$128))&lt;&gt;1,"MAJOR FUNCTIONAL",IF(COUNTIF(B193,$F$128)=1,"MINOR FUNCTIONAL",IF('Data - Sample Type 1'!Q147="","DATA ENTRY ERROR",IF('Data - Sample Type 1'!Q147=0,"SPC CT=0","PASS"))))))))))))</f>
        <v/>
      </c>
      <c r="D193" s="77" t="str">
        <f>IF(C193="","",IF('Data - Sample Type 1'!NI147="","N/A",IF('Data - Sample Type 1'!NI147&lt;Specifications!$D$3,"PASS","FAIL")))</f>
        <v/>
      </c>
      <c r="E193" s="64"/>
    </row>
    <row r="194" spans="1:5" x14ac:dyDescent="0.2">
      <c r="A194" s="73" t="str">
        <f>IF('Data - Sample Type 1'!C148="","",'Data - Sample Type 1'!C148)</f>
        <v/>
      </c>
      <c r="B194" s="74" t="str">
        <f>IF('Data - Sample Type 1'!L148="","",'Data - Sample Type 1'!L148)</f>
        <v/>
      </c>
      <c r="C194" s="75" t="str">
        <f>IF(B194="","",IF(B194="INVALID",IF('Data - Sample Type 1'!NK148="","INVALID",'Data - Sample Type 1'!NK148),IF(B194="ERROR",'Data - Sample Type 1'!NK148,IF(B194="NO RESULT",'Data - Sample Type 1'!NK148,IF(B194="V","MINOR VISUAL",IF(B194="M","MAJOR VISUAL",IF(B194="B","BARCODE FAIL",IF(B194="D","DELAMINATION",IF(COUNTIF(B194,$D$128)+(COUNTIF(B194,$F$128))&lt;&gt;1,"MAJOR FUNCTIONAL",IF(COUNTIF(B194,$F$128)=1,"MINOR FUNCTIONAL",IF('Data - Sample Type 1'!Q148="","DATA ENTRY ERROR",IF('Data - Sample Type 1'!Q148=0,"SPC CT=0","PASS"))))))))))))</f>
        <v/>
      </c>
      <c r="D194" s="77" t="str">
        <f>IF(C194="","",IF('Data - Sample Type 1'!NI148="","N/A",IF('Data - Sample Type 1'!NI148&lt;Specifications!$D$3,"PASS","FAIL")))</f>
        <v/>
      </c>
      <c r="E194" s="64"/>
    </row>
    <row r="195" spans="1:5" x14ac:dyDescent="0.2">
      <c r="A195" s="73" t="str">
        <f>IF('Data - Sample Type 1'!C149="","",'Data - Sample Type 1'!C149)</f>
        <v/>
      </c>
      <c r="B195" s="74" t="str">
        <f>IF('Data - Sample Type 1'!L149="","",'Data - Sample Type 1'!L149)</f>
        <v/>
      </c>
      <c r="C195" s="75" t="str">
        <f>IF(B195="","",IF(B195="INVALID",IF('Data - Sample Type 1'!NK149="","INVALID",'Data - Sample Type 1'!NK149),IF(B195="ERROR",'Data - Sample Type 1'!NK149,IF(B195="NO RESULT",'Data - Sample Type 1'!NK149,IF(B195="V","MINOR VISUAL",IF(B195="M","MAJOR VISUAL",IF(B195="B","BARCODE FAIL",IF(B195="D","DELAMINATION",IF(COUNTIF(B195,$D$128)+(COUNTIF(B195,$F$128))&lt;&gt;1,"MAJOR FUNCTIONAL",IF(COUNTIF(B195,$F$128)=1,"MINOR FUNCTIONAL",IF('Data - Sample Type 1'!Q149="","DATA ENTRY ERROR",IF('Data - Sample Type 1'!Q149=0,"SPC CT=0","PASS"))))))))))))</f>
        <v/>
      </c>
      <c r="D195" s="77" t="str">
        <f>IF(C195="","",IF('Data - Sample Type 1'!NI149="","N/A",IF('Data - Sample Type 1'!NI149&lt;Specifications!$D$3,"PASS","FAIL")))</f>
        <v/>
      </c>
      <c r="E195" s="64"/>
    </row>
    <row r="196" spans="1:5" x14ac:dyDescent="0.2">
      <c r="A196" s="73" t="str">
        <f>IF('Data - Sample Type 1'!C150="","",'Data - Sample Type 1'!C150)</f>
        <v/>
      </c>
      <c r="B196" s="74" t="str">
        <f>IF('Data - Sample Type 1'!L150="","",'Data - Sample Type 1'!L150)</f>
        <v/>
      </c>
      <c r="C196" s="75" t="str">
        <f>IF(B196="","",IF(B196="INVALID",IF('Data - Sample Type 1'!NK150="","INVALID",'Data - Sample Type 1'!NK150),IF(B196="ERROR",'Data - Sample Type 1'!NK150,IF(B196="NO RESULT",'Data - Sample Type 1'!NK150,IF(B196="V","MINOR VISUAL",IF(B196="M","MAJOR VISUAL",IF(B196="B","BARCODE FAIL",IF(B196="D","DELAMINATION",IF(COUNTIF(B196,$D$128)+(COUNTIF(B196,$F$128))&lt;&gt;1,"MAJOR FUNCTIONAL",IF(COUNTIF(B196,$F$128)=1,"MINOR FUNCTIONAL",IF('Data - Sample Type 1'!Q150="","DATA ENTRY ERROR",IF('Data - Sample Type 1'!Q150=0,"SPC CT=0","PASS"))))))))))))</f>
        <v/>
      </c>
      <c r="D196" s="77" t="str">
        <f>IF(C196="","",IF('Data - Sample Type 1'!NI150="","N/A",IF('Data - Sample Type 1'!NI150&lt;Specifications!$D$3,"PASS","FAIL")))</f>
        <v/>
      </c>
      <c r="E196" s="64"/>
    </row>
    <row r="197" spans="1:5" x14ac:dyDescent="0.2">
      <c r="A197" s="73" t="str">
        <f>IF('Data - Sample Type 1'!C151="","",'Data - Sample Type 1'!C151)</f>
        <v/>
      </c>
      <c r="B197" s="74" t="str">
        <f>IF('Data - Sample Type 1'!L151="","",'Data - Sample Type 1'!L151)</f>
        <v/>
      </c>
      <c r="C197" s="75" t="str">
        <f>IF(B197="","",IF(B197="INVALID",IF('Data - Sample Type 1'!NK151="","INVALID",'Data - Sample Type 1'!NK151),IF(B197="ERROR",'Data - Sample Type 1'!NK151,IF(B197="NO RESULT",'Data - Sample Type 1'!NK151,IF(B197="V","MINOR VISUAL",IF(B197="M","MAJOR VISUAL",IF(B197="B","BARCODE FAIL",IF(B197="D","DELAMINATION",IF(COUNTIF(B197,$D$128)+(COUNTIF(B197,$F$128))&lt;&gt;1,"MAJOR FUNCTIONAL",IF(COUNTIF(B197,$F$128)=1,"MINOR FUNCTIONAL",IF('Data - Sample Type 1'!Q151="","DATA ENTRY ERROR",IF('Data - Sample Type 1'!Q151=0,"SPC CT=0","PASS"))))))))))))</f>
        <v/>
      </c>
      <c r="D197" s="77" t="str">
        <f>IF(C197="","",IF('Data - Sample Type 1'!NI151="","N/A",IF('Data - Sample Type 1'!NI151&lt;Specifications!$D$3,"PASS","FAIL")))</f>
        <v/>
      </c>
      <c r="E197" s="64"/>
    </row>
    <row r="198" spans="1:5" x14ac:dyDescent="0.2">
      <c r="A198" s="73" t="str">
        <f>IF('Data - Sample Type 1'!C152="","",'Data - Sample Type 1'!C152)</f>
        <v/>
      </c>
      <c r="B198" s="74" t="str">
        <f>IF('Data - Sample Type 1'!L152="","",'Data - Sample Type 1'!L152)</f>
        <v/>
      </c>
      <c r="C198" s="75" t="str">
        <f>IF(B198="","",IF(B198="INVALID",IF('Data - Sample Type 1'!NK152="","INVALID",'Data - Sample Type 1'!NK152),IF(B198="ERROR",'Data - Sample Type 1'!NK152,IF(B198="NO RESULT",'Data - Sample Type 1'!NK152,IF(B198="V","MINOR VISUAL",IF(B198="M","MAJOR VISUAL",IF(B198="B","BARCODE FAIL",IF(B198="D","DELAMINATION",IF(COUNTIF(B198,$D$128)+(COUNTIF(B198,$F$128))&lt;&gt;1,"MAJOR FUNCTIONAL",IF(COUNTIF(B198,$F$128)=1,"MINOR FUNCTIONAL",IF('Data - Sample Type 1'!Q152="","DATA ENTRY ERROR",IF('Data - Sample Type 1'!Q152=0,"SPC CT=0","PASS"))))))))))))</f>
        <v/>
      </c>
      <c r="D198" s="77" t="str">
        <f>IF(C198="","",IF('Data - Sample Type 1'!NI152="","N/A",IF('Data - Sample Type 1'!NI152&lt;Specifications!$D$3,"PASS","FAIL")))</f>
        <v/>
      </c>
      <c r="E198" s="64"/>
    </row>
    <row r="199" spans="1:5" x14ac:dyDescent="0.2">
      <c r="A199" s="73" t="str">
        <f>IF('Data - Sample Type 1'!C153="","",'Data - Sample Type 1'!C153)</f>
        <v/>
      </c>
      <c r="B199" s="74" t="str">
        <f>IF('Data - Sample Type 1'!L153="","",'Data - Sample Type 1'!L153)</f>
        <v/>
      </c>
      <c r="C199" s="75" t="str">
        <f>IF(B199="","",IF(B199="INVALID",IF('Data - Sample Type 1'!NK153="","INVALID",'Data - Sample Type 1'!NK153),IF(B199="ERROR",'Data - Sample Type 1'!NK153,IF(B199="NO RESULT",'Data - Sample Type 1'!NK153,IF(B199="V","MINOR VISUAL",IF(B199="M","MAJOR VISUAL",IF(B199="B","BARCODE FAIL",IF(B199="D","DELAMINATION",IF(COUNTIF(B199,$D$128)+(COUNTIF(B199,$F$128))&lt;&gt;1,"MAJOR FUNCTIONAL",IF(COUNTIF(B199,$F$128)=1,"MINOR FUNCTIONAL",IF('Data - Sample Type 1'!Q153="","DATA ENTRY ERROR",IF('Data - Sample Type 1'!Q153=0,"SPC CT=0","PASS"))))))))))))</f>
        <v/>
      </c>
      <c r="D199" s="77" t="str">
        <f>IF(C199="","",IF('Data - Sample Type 1'!NI153="","N/A",IF('Data - Sample Type 1'!NI153&lt;Specifications!$D$3,"PASS","FAIL")))</f>
        <v/>
      </c>
      <c r="E199" s="64"/>
    </row>
    <row r="200" spans="1:5" x14ac:dyDescent="0.2">
      <c r="A200" s="73" t="str">
        <f>IF('Data - Sample Type 1'!C154="","",'Data - Sample Type 1'!C154)</f>
        <v/>
      </c>
      <c r="B200" s="74" t="str">
        <f>IF('Data - Sample Type 1'!L154="","",'Data - Sample Type 1'!L154)</f>
        <v/>
      </c>
      <c r="C200" s="75" t="str">
        <f>IF(B200="","",IF(B200="INVALID",IF('Data - Sample Type 1'!NK154="","INVALID",'Data - Sample Type 1'!NK154),IF(B200="ERROR",'Data - Sample Type 1'!NK154,IF(B200="NO RESULT",'Data - Sample Type 1'!NK154,IF(B200="V","MINOR VISUAL",IF(B200="M","MAJOR VISUAL",IF(B200="B","BARCODE FAIL",IF(B200="D","DELAMINATION",IF(COUNTIF(B200,$D$128)+(COUNTIF(B200,$F$128))&lt;&gt;1,"MAJOR FUNCTIONAL",IF(COUNTIF(B200,$F$128)=1,"MINOR FUNCTIONAL",IF('Data - Sample Type 1'!Q154="","DATA ENTRY ERROR",IF('Data - Sample Type 1'!Q154=0,"SPC CT=0","PASS"))))))))))))</f>
        <v/>
      </c>
      <c r="D200" s="77" t="str">
        <f>IF(C200="","",IF('Data - Sample Type 1'!NI154="","N/A",IF('Data - Sample Type 1'!NI154&lt;Specifications!$D$3,"PASS","FAIL")))</f>
        <v/>
      </c>
      <c r="E200" s="64"/>
    </row>
    <row r="201" spans="1:5" x14ac:dyDescent="0.2">
      <c r="A201" s="73" t="str">
        <f>IF('Data - Sample Type 1'!C155="","",'Data - Sample Type 1'!C155)</f>
        <v/>
      </c>
      <c r="B201" s="74" t="str">
        <f>IF('Data - Sample Type 1'!L155="","",'Data - Sample Type 1'!L155)</f>
        <v/>
      </c>
      <c r="C201" s="75" t="str">
        <f>IF(B201="","",IF(B201="INVALID",IF('Data - Sample Type 1'!NK155="","INVALID",'Data - Sample Type 1'!NK155),IF(B201="ERROR",'Data - Sample Type 1'!NK155,IF(B201="NO RESULT",'Data - Sample Type 1'!NK155,IF(B201="V","MINOR VISUAL",IF(B201="M","MAJOR VISUAL",IF(B201="B","BARCODE FAIL",IF(B201="D","DELAMINATION",IF(COUNTIF(B201,$D$128)+(COUNTIF(B201,$F$128))&lt;&gt;1,"MAJOR FUNCTIONAL",IF(COUNTIF(B201,$F$128)=1,"MINOR FUNCTIONAL",IF('Data - Sample Type 1'!Q155="","DATA ENTRY ERROR",IF('Data - Sample Type 1'!Q155=0,"SPC CT=0","PASS"))))))))))))</f>
        <v/>
      </c>
      <c r="D201" s="77" t="str">
        <f>IF(C201="","",IF('Data - Sample Type 1'!NI155="","N/A",IF('Data - Sample Type 1'!NI155&lt;Specifications!$D$3,"PASS","FAIL")))</f>
        <v/>
      </c>
      <c r="E201" s="64"/>
    </row>
    <row r="202" spans="1:5" x14ac:dyDescent="0.2">
      <c r="A202" s="73" t="str">
        <f>IF('Data - Sample Type 1'!C156="","",'Data - Sample Type 1'!C156)</f>
        <v/>
      </c>
      <c r="B202" s="74" t="str">
        <f>IF('Data - Sample Type 1'!L156="","",'Data - Sample Type 1'!L156)</f>
        <v/>
      </c>
      <c r="C202" s="75" t="str">
        <f>IF(B202="","",IF(B202="INVALID",IF('Data - Sample Type 1'!NK156="","INVALID",'Data - Sample Type 1'!NK156),IF(B202="ERROR",'Data - Sample Type 1'!NK156,IF(B202="NO RESULT",'Data - Sample Type 1'!NK156,IF(B202="V","MINOR VISUAL",IF(B202="M","MAJOR VISUAL",IF(B202="B","BARCODE FAIL",IF(B202="D","DELAMINATION",IF(COUNTIF(B202,$D$128)+(COUNTIF(B202,$F$128))&lt;&gt;1,"MAJOR FUNCTIONAL",IF(COUNTIF(B202,$F$128)=1,"MINOR FUNCTIONAL",IF('Data - Sample Type 1'!Q156="","DATA ENTRY ERROR",IF('Data - Sample Type 1'!Q156=0,"SPC CT=0","PASS"))))))))))))</f>
        <v/>
      </c>
      <c r="D202" s="77" t="str">
        <f>IF(C202="","",IF('Data - Sample Type 1'!NI156="","N/A",IF('Data - Sample Type 1'!NI156&lt;Specifications!$D$3,"PASS","FAIL")))</f>
        <v/>
      </c>
      <c r="E202" s="64"/>
    </row>
    <row r="203" spans="1:5" x14ac:dyDescent="0.2">
      <c r="A203" s="73" t="str">
        <f>IF('Data - Sample Type 1'!C157="","",'Data - Sample Type 1'!C157)</f>
        <v/>
      </c>
      <c r="B203" s="74" t="str">
        <f>IF('Data - Sample Type 1'!L157="","",'Data - Sample Type 1'!L157)</f>
        <v/>
      </c>
      <c r="C203" s="75" t="str">
        <f>IF(B203="","",IF(B203="INVALID",IF('Data - Sample Type 1'!NK157="","INVALID",'Data - Sample Type 1'!NK157),IF(B203="ERROR",'Data - Sample Type 1'!NK157,IF(B203="NO RESULT",'Data - Sample Type 1'!NK157,IF(B203="V","MINOR VISUAL",IF(B203="M","MAJOR VISUAL",IF(B203="B","BARCODE FAIL",IF(B203="D","DELAMINATION",IF(COUNTIF(B203,$D$128)+(COUNTIF(B203,$F$128))&lt;&gt;1,"MAJOR FUNCTIONAL",IF(COUNTIF(B203,$F$128)=1,"MINOR FUNCTIONAL",IF('Data - Sample Type 1'!Q157="","DATA ENTRY ERROR",IF('Data - Sample Type 1'!Q157=0,"SPC CT=0","PASS"))))))))))))</f>
        <v/>
      </c>
      <c r="D203" s="77" t="str">
        <f>IF(C203="","",IF('Data - Sample Type 1'!NI157="","N/A",IF('Data - Sample Type 1'!NI157&lt;Specifications!$D$3,"PASS","FAIL")))</f>
        <v/>
      </c>
      <c r="E203" s="64"/>
    </row>
    <row r="204" spans="1:5" x14ac:dyDescent="0.2">
      <c r="A204" s="73" t="str">
        <f>IF('Data - Sample Type 1'!C158="","",'Data - Sample Type 1'!C158)</f>
        <v/>
      </c>
      <c r="B204" s="74" t="str">
        <f>IF('Data - Sample Type 1'!L158="","",'Data - Sample Type 1'!L158)</f>
        <v/>
      </c>
      <c r="C204" s="75" t="str">
        <f>IF(B204="","",IF(B204="INVALID",IF('Data - Sample Type 1'!NK158="","INVALID",'Data - Sample Type 1'!NK158),IF(B204="ERROR",'Data - Sample Type 1'!NK158,IF(B204="NO RESULT",'Data - Sample Type 1'!NK158,IF(B204="V","MINOR VISUAL",IF(B204="M","MAJOR VISUAL",IF(B204="B","BARCODE FAIL",IF(B204="D","DELAMINATION",IF(COUNTIF(B204,$D$128)+(COUNTIF(B204,$F$128))&lt;&gt;1,"MAJOR FUNCTIONAL",IF(COUNTIF(B204,$F$128)=1,"MINOR FUNCTIONAL",IF('Data - Sample Type 1'!Q158="","DATA ENTRY ERROR",IF('Data - Sample Type 1'!Q158=0,"SPC CT=0","PASS"))))))))))))</f>
        <v/>
      </c>
      <c r="D204" s="77" t="str">
        <f>IF(C204="","",IF('Data - Sample Type 1'!NI158="","N/A",IF('Data - Sample Type 1'!NI158&lt;Specifications!$D$3,"PASS","FAIL")))</f>
        <v/>
      </c>
      <c r="E204" s="64"/>
    </row>
    <row r="205" spans="1:5" x14ac:dyDescent="0.2">
      <c r="A205" s="73" t="str">
        <f>IF('Data - Sample Type 1'!C159="","",'Data - Sample Type 1'!C159)</f>
        <v/>
      </c>
      <c r="B205" s="74" t="str">
        <f>IF('Data - Sample Type 1'!L159="","",'Data - Sample Type 1'!L159)</f>
        <v/>
      </c>
      <c r="C205" s="75" t="str">
        <f>IF(B205="","",IF(B205="INVALID",IF('Data - Sample Type 1'!NK159="","INVALID",'Data - Sample Type 1'!NK159),IF(B205="ERROR",'Data - Sample Type 1'!NK159,IF(B205="NO RESULT",'Data - Sample Type 1'!NK159,IF(B205="V","MINOR VISUAL",IF(B205="M","MAJOR VISUAL",IF(B205="B","BARCODE FAIL",IF(B205="D","DELAMINATION",IF(COUNTIF(B205,$D$128)+(COUNTIF(B205,$F$128))&lt;&gt;1,"MAJOR FUNCTIONAL",IF(COUNTIF(B205,$F$128)=1,"MINOR FUNCTIONAL",IF('Data - Sample Type 1'!Q159="","DATA ENTRY ERROR",IF('Data - Sample Type 1'!Q159=0,"SPC CT=0","PASS"))))))))))))</f>
        <v/>
      </c>
      <c r="D205" s="77" t="str">
        <f>IF(C205="","",IF('Data - Sample Type 1'!NI159="","N/A",IF('Data - Sample Type 1'!NI159&lt;Specifications!$D$3,"PASS","FAIL")))</f>
        <v/>
      </c>
      <c r="E205" s="64"/>
    </row>
    <row r="206" spans="1:5" x14ac:dyDescent="0.2">
      <c r="A206" s="73" t="str">
        <f>IF('Data - Sample Type 1'!C160="","",'Data - Sample Type 1'!C160)</f>
        <v/>
      </c>
      <c r="B206" s="74" t="str">
        <f>IF('Data - Sample Type 1'!L160="","",'Data - Sample Type 1'!L160)</f>
        <v/>
      </c>
      <c r="C206" s="75" t="str">
        <f>IF(B206="","",IF(B206="INVALID",IF('Data - Sample Type 1'!NK160="","INVALID",'Data - Sample Type 1'!NK160),IF(B206="ERROR",'Data - Sample Type 1'!NK160,IF(B206="NO RESULT",'Data - Sample Type 1'!NK160,IF(B206="V","MINOR VISUAL",IF(B206="M","MAJOR VISUAL",IF(B206="B","BARCODE FAIL",IF(B206="D","DELAMINATION",IF(COUNTIF(B206,$D$128)+(COUNTIF(B206,$F$128))&lt;&gt;1,"MAJOR FUNCTIONAL",IF(COUNTIF(B206,$F$128)=1,"MINOR FUNCTIONAL",IF('Data - Sample Type 1'!Q160="","DATA ENTRY ERROR",IF('Data - Sample Type 1'!Q160=0,"SPC CT=0","PASS"))))))))))))</f>
        <v/>
      </c>
      <c r="D206" s="77" t="str">
        <f>IF(C206="","",IF('Data - Sample Type 1'!NI160="","N/A",IF('Data - Sample Type 1'!NI160&lt;Specifications!$D$3,"PASS","FAIL")))</f>
        <v/>
      </c>
      <c r="E206" s="64"/>
    </row>
    <row r="207" spans="1:5" x14ac:dyDescent="0.2">
      <c r="A207" s="73" t="str">
        <f>IF('Data - Sample Type 1'!C161="","",'Data - Sample Type 1'!C161)</f>
        <v/>
      </c>
      <c r="B207" s="74" t="str">
        <f>IF('Data - Sample Type 1'!L161="","",'Data - Sample Type 1'!L161)</f>
        <v/>
      </c>
      <c r="C207" s="75" t="str">
        <f>IF(B207="","",IF(B207="INVALID",IF('Data - Sample Type 1'!NK161="","INVALID",'Data - Sample Type 1'!NK161),IF(B207="ERROR",'Data - Sample Type 1'!NK161,IF(B207="NO RESULT",'Data - Sample Type 1'!NK161,IF(B207="V","MINOR VISUAL",IF(B207="M","MAJOR VISUAL",IF(B207="B","BARCODE FAIL",IF(B207="D","DELAMINATION",IF(COUNTIF(B207,$D$128)+(COUNTIF(B207,$F$128))&lt;&gt;1,"MAJOR FUNCTIONAL",IF(COUNTIF(B207,$F$128)=1,"MINOR FUNCTIONAL",IF('Data - Sample Type 1'!Q161="","DATA ENTRY ERROR",IF('Data - Sample Type 1'!Q161=0,"SPC CT=0","PASS"))))))))))))</f>
        <v/>
      </c>
      <c r="D207" s="77" t="str">
        <f>IF(C207="","",IF('Data - Sample Type 1'!NI161="","N/A",IF('Data - Sample Type 1'!NI161&lt;Specifications!$D$3,"PASS","FAIL")))</f>
        <v/>
      </c>
      <c r="E207" s="64"/>
    </row>
    <row r="208" spans="1:5" x14ac:dyDescent="0.2">
      <c r="A208" s="73" t="str">
        <f>IF('Data - Sample Type 1'!C162="","",'Data - Sample Type 1'!C162)</f>
        <v/>
      </c>
      <c r="B208" s="74" t="str">
        <f>IF('Data - Sample Type 1'!L162="","",'Data - Sample Type 1'!L162)</f>
        <v/>
      </c>
      <c r="C208" s="75" t="str">
        <f>IF(B208="","",IF(B208="INVALID",IF('Data - Sample Type 1'!NK162="","INVALID",'Data - Sample Type 1'!NK162),IF(B208="ERROR",'Data - Sample Type 1'!NK162,IF(B208="NO RESULT",'Data - Sample Type 1'!NK162,IF(B208="V","MINOR VISUAL",IF(B208="M","MAJOR VISUAL",IF(B208="B","BARCODE FAIL",IF(B208="D","DELAMINATION",IF(COUNTIF(B208,$D$128)+(COUNTIF(B208,$F$128))&lt;&gt;1,"MAJOR FUNCTIONAL",IF(COUNTIF(B208,$F$128)=1,"MINOR FUNCTIONAL",IF('Data - Sample Type 1'!Q162="","DATA ENTRY ERROR",IF('Data - Sample Type 1'!Q162=0,"SPC CT=0","PASS"))))))))))))</f>
        <v/>
      </c>
      <c r="D208" s="77" t="str">
        <f>IF(C208="","",IF('Data - Sample Type 1'!NI162="","N/A",IF('Data - Sample Type 1'!NI162&lt;Specifications!$D$3,"PASS","FAIL")))</f>
        <v/>
      </c>
      <c r="E208" s="64"/>
    </row>
    <row r="209" spans="1:6" x14ac:dyDescent="0.2">
      <c r="A209" s="73" t="str">
        <f>IF('Data - Sample Type 1'!C163="","",'Data - Sample Type 1'!C163)</f>
        <v/>
      </c>
      <c r="B209" s="74" t="str">
        <f>IF('Data - Sample Type 1'!L163="","",'Data - Sample Type 1'!L163)</f>
        <v/>
      </c>
      <c r="C209" s="75" t="str">
        <f>IF(B209="","",IF(B209="INVALID",IF('Data - Sample Type 1'!NK163="","INVALID",'Data - Sample Type 1'!NK163),IF(B209="ERROR",'Data - Sample Type 1'!NK163,IF(B209="NO RESULT",'Data - Sample Type 1'!NK163,IF(B209="V","MINOR VISUAL",IF(B209="M","MAJOR VISUAL",IF(B209="B","BARCODE FAIL",IF(B209="D","DELAMINATION",IF(COUNTIF(B209,$D$128)+(COUNTIF(B209,$F$128))&lt;&gt;1,"MAJOR FUNCTIONAL",IF(COUNTIF(B209,$F$128)=1,"MINOR FUNCTIONAL",IF('Data - Sample Type 1'!Q163="","DATA ENTRY ERROR",IF('Data - Sample Type 1'!Q163=0,"SPC CT=0","PASS"))))))))))))</f>
        <v/>
      </c>
      <c r="D209" s="77" t="str">
        <f>IF(C209="","",IF('Data - Sample Type 1'!NI163="","N/A",IF('Data - Sample Type 1'!NI163&lt;Specifications!$D$3,"PASS","FAIL")))</f>
        <v/>
      </c>
      <c r="E209" s="64"/>
    </row>
    <row r="210" spans="1:6" x14ac:dyDescent="0.2">
      <c r="C210" s="75" t="str">
        <f>IF(B210="","",IF(B210="INVALID",IF('Data - Sample Type 1'!NK164="","INVALID",'Data - Sample Type 1'!NK164),IF(B210="ERROR",'Data - Sample Type 1'!NK164,IF(B210="NO RESULT",'Data - Sample Type 1'!NK164,IF(B210="S","SEAL TEST FAILURE",IF(B210="V","MINOR VISUAL",IF(B210="M","MAJOR VISUAL",IF(B210="B","BARCODE FAIL",IF(B210="D","DELAMINATION",IF(COUNTIF(B210,$D$128)+(COUNTIF(B210,$F$128))&lt;&gt;1,"MAJOR FUNCTIONAL",IF(COUNTIF(B210,$F$128)=1,"MINOR FUNCTIONAL",IF('Data - Sample Type 1'!Q164="","DATA ENTRY ERROR",IF('Data - Sample Type 1'!Q164=0,"SPC CT=0","PASS")))))))))))))</f>
        <v/>
      </c>
      <c r="D210" s="77" t="str">
        <f>IF(C210="","",IF('Data - Sample Type 1'!NI164="","N/A",IF('Data - Sample Type 1'!NI164&lt;Specifications!$D$3,"PASS","FAIL")))</f>
        <v/>
      </c>
    </row>
    <row r="211" spans="1:6" s="83" customFormat="1" ht="15.75" x14ac:dyDescent="0.2">
      <c r="A211" s="84" t="s">
        <v>143</v>
      </c>
      <c r="B211" s="85">
        <v>2</v>
      </c>
      <c r="C211" s="86" t="s">
        <v>130</v>
      </c>
      <c r="D211" s="363">
        <f>COUNTIF('Data - Sample Type 2'!A24:A43,"&lt;&gt;"&amp;"")</f>
        <v>0</v>
      </c>
      <c r="E211" s="363"/>
    </row>
    <row r="212" spans="1:6" s="83" customFormat="1" ht="15.75" x14ac:dyDescent="0.2">
      <c r="A212" s="84" t="s">
        <v>146</v>
      </c>
      <c r="B212" s="87" t="str">
        <f>IF($C$3="","",IF(D211=2,"NO DATA",IF(COUNTIF('Data - Sample Type 2'!$E$24:$E$43,$C$3)=D211,"VALID","")))</f>
        <v>VALID</v>
      </c>
      <c r="C212" s="88" t="s">
        <v>128</v>
      </c>
      <c r="D212" s="363" t="str">
        <f>IF($C$4="","",IF(D211=2,"NO DATA",IF(COUNTIF('Data - Sample Type 2'!$A$24:$A$43,$C$4)=D211,"VALID","")))</f>
        <v>VALID</v>
      </c>
      <c r="E212" s="363"/>
      <c r="F212" s="252" t="s">
        <v>521</v>
      </c>
    </row>
    <row r="213" spans="1:6" s="83" customFormat="1" ht="60" customHeight="1" x14ac:dyDescent="0.2">
      <c r="A213" s="88" t="s">
        <v>161</v>
      </c>
      <c r="B213" s="87" t="str">
        <f>IF(Specifications!$B$9=$D$211,"PASS","FAIL")</f>
        <v>FAIL</v>
      </c>
      <c r="C213" s="95" t="s">
        <v>65</v>
      </c>
      <c r="D213" s="356" t="str">
        <f>LOOKUP($C$2,Specifications!$A$11:$A$14,Specifications!$F$11:F$14)</f>
        <v>MTB DETECTED;INH Resistance DETECTED;FLQ Resistance DETECTED;AMK Resistance DETECTED;KAN Resistance DETECTED;CAP Resistance DETECTED;ETH Resistance DETECTED</v>
      </c>
      <c r="E213" s="357"/>
      <c r="F213" s="253" t="s">
        <v>518</v>
      </c>
    </row>
    <row r="214" spans="1:6" x14ac:dyDescent="0.2">
      <c r="A214" s="69" t="s">
        <v>96</v>
      </c>
      <c r="B214" s="70" t="s">
        <v>131</v>
      </c>
      <c r="C214" s="71" t="s">
        <v>132</v>
      </c>
      <c r="D214" s="69" t="s">
        <v>133</v>
      </c>
      <c r="E214" s="72" t="s">
        <v>282</v>
      </c>
    </row>
    <row r="215" spans="1:6" x14ac:dyDescent="0.2">
      <c r="A215" s="73" t="str">
        <f>IF('Data - Sample Type 2'!C24="","",'Data - Sample Type 2'!C24)</f>
        <v/>
      </c>
      <c r="B215" s="74" t="str">
        <f>IF('Data - Sample Type 2'!L24="","",'Data - Sample Type 2'!L24)</f>
        <v/>
      </c>
      <c r="C215" s="75" t="str">
        <f>IF(B215="","",IF(B215="INVALID",IF('Data - Sample Type 2'!NK24="","INVALID",'Data - Sample Type 2'!NK24),IF(B215="ERROR",'Data - Sample Type 2'!NK24,IF(B215="NO RESULT",'Data - Sample Type 2'!NK24,IF(B215="V","MINOR VISUAL",IF(B215="M","MAJOR VISUAL",IF(B215="B","BARCODE FAIL",IF(B215="D","DELAMINATION",IF(COUNTIF(B215,$D$213)+(COUNTIF(B215,$F$213))&lt;&gt;1,"MAJOR FUNCTIONAL",IF(COUNTIF(B215,$F$213)=1,"MINOR FUNCTIONAL",IF('Data - Sample Type 2'!Q24="","DATA ENTRY ERROR",IF('Data - Sample Type 2'!Q24=0,"SPC CT=0","PASS"))))))))))))</f>
        <v/>
      </c>
      <c r="D215" s="76" t="str">
        <f>IF(C215="","",IF('Data - Sample Type 2'!NI24="","N/A",IF('Data - Sample Type 2'!NI24&lt;Specifications!$D$3,"PASS","FAIL")))</f>
        <v/>
      </c>
      <c r="E215" s="64"/>
    </row>
    <row r="216" spans="1:6" x14ac:dyDescent="0.2">
      <c r="A216" s="73" t="str">
        <f>IF('Data - Sample Type 2'!C25="","",'Data - Sample Type 2'!C25)</f>
        <v/>
      </c>
      <c r="B216" s="74" t="str">
        <f>IF('Data - Sample Type 2'!L25="","",'Data - Sample Type 2'!L25)</f>
        <v/>
      </c>
      <c r="C216" s="75" t="str">
        <f>IF(B216="","",IF(B216="INVALID",IF('Data - Sample Type 2'!NK25="","INVALID",'Data - Sample Type 2'!NK25),IF(B216="ERROR",'Data - Sample Type 2'!NK25,IF(B216="NO RESULT",'Data - Sample Type 2'!NK25,IF(B216="V","MINOR VISUAL",IF(B216="M","MAJOR VISUAL",IF(B216="B","BARCODE FAIL",IF(B216="D","DELAMINATION",IF(COUNTIF(B216,$D$213)+(COUNTIF(B216,$F$213))&lt;&gt;1,"MAJOR FUNCTIONAL",IF(COUNTIF(B216,$F$213)=1,"MINOR FUNCTIONAL",IF('Data - Sample Type 2'!Q25="","DATA ENTRY ERROR",IF('Data - Sample Type 2'!Q25=0,"SPC CT=0","PASS"))))))))))))</f>
        <v/>
      </c>
      <c r="D216" s="76" t="str">
        <f>IF(C216="","",IF('Data - Sample Type 2'!NI25="","N/A",IF('Data - Sample Type 2'!NI25&lt;Specifications!$D$3,"PASS","FAIL")))</f>
        <v/>
      </c>
      <c r="E216" s="64"/>
    </row>
    <row r="217" spans="1:6" x14ac:dyDescent="0.2">
      <c r="A217" s="73" t="str">
        <f>IF('Data - Sample Type 2'!C26="","",'Data - Sample Type 2'!C26)</f>
        <v/>
      </c>
      <c r="B217" s="74" t="str">
        <f>IF('Data - Sample Type 2'!L26="","",'Data - Sample Type 2'!L26)</f>
        <v/>
      </c>
      <c r="C217" s="75" t="str">
        <f>IF(B217="","",IF(B217="INVALID",IF('Data - Sample Type 2'!NK26="","INVALID",'Data - Sample Type 2'!NK26),IF(B217="ERROR",'Data - Sample Type 2'!NK26,IF(B217="NO RESULT",'Data - Sample Type 2'!NK26,IF(B217="V","MINOR VISUAL",IF(B217="M","MAJOR VISUAL",IF(B217="B","BARCODE FAIL",IF(B217="D","DELAMINATION",IF(COUNTIF(B217,$D$213)+(COUNTIF(B217,$F$213))&lt;&gt;1,"MAJOR FUNCTIONAL",IF(COUNTIF(B217,$F$213)=1,"MINOR FUNCTIONAL",IF('Data - Sample Type 2'!Q26="","DATA ENTRY ERROR",IF('Data - Sample Type 2'!Q26=0,"SPC CT=0","PASS"))))))))))))</f>
        <v/>
      </c>
      <c r="D217" s="76" t="str">
        <f>IF(C217="","",IF('Data - Sample Type 2'!NI26="","N/A",IF('Data - Sample Type 2'!NI26&lt;Specifications!$D$3,"PASS","FAIL")))</f>
        <v/>
      </c>
      <c r="E217" s="64"/>
    </row>
    <row r="218" spans="1:6" x14ac:dyDescent="0.2">
      <c r="A218" s="73" t="str">
        <f>IF('Data - Sample Type 2'!C27="","",'Data - Sample Type 2'!C27)</f>
        <v/>
      </c>
      <c r="B218" s="74" t="str">
        <f>IF('Data - Sample Type 2'!L27="","",'Data - Sample Type 2'!L27)</f>
        <v/>
      </c>
      <c r="C218" s="75" t="str">
        <f>IF(B218="","",IF(B218="INVALID",IF('Data - Sample Type 2'!NK27="","INVALID",'Data - Sample Type 2'!NK27),IF(B218="ERROR",'Data - Sample Type 2'!NK27,IF(B218="NO RESULT",'Data - Sample Type 2'!NK27,IF(B218="V","MINOR VISUAL",IF(B218="M","MAJOR VISUAL",IF(B218="B","BARCODE FAIL",IF(B218="D","DELAMINATION",IF(COUNTIF(B218,$D$213)+(COUNTIF(B218,$F$213))&lt;&gt;1,"MAJOR FUNCTIONAL",IF(COUNTIF(B218,$F$213)=1,"MINOR FUNCTIONAL",IF('Data - Sample Type 2'!Q27="","DATA ENTRY ERROR",IF('Data - Sample Type 2'!Q27=0,"SPC CT=0","PASS"))))))))))))</f>
        <v/>
      </c>
      <c r="D218" s="76" t="str">
        <f>IF(C218="","",IF('Data - Sample Type 2'!NI27="","N/A",IF('Data - Sample Type 2'!NI27&lt;Specifications!$D$3,"PASS","FAIL")))</f>
        <v/>
      </c>
      <c r="E218" s="64"/>
    </row>
    <row r="219" spans="1:6" x14ac:dyDescent="0.2">
      <c r="A219" s="73" t="str">
        <f>IF('Data - Sample Type 2'!C28="","",'Data - Sample Type 2'!C28)</f>
        <v/>
      </c>
      <c r="B219" s="74" t="str">
        <f>IF('Data - Sample Type 2'!L28="","",'Data - Sample Type 2'!L28)</f>
        <v/>
      </c>
      <c r="C219" s="75" t="str">
        <f>IF(B219="","",IF(B219="INVALID",IF('Data - Sample Type 2'!NK28="","INVALID",'Data - Sample Type 2'!NK28),IF(B219="ERROR",'Data - Sample Type 2'!NK28,IF(B219="NO RESULT",'Data - Sample Type 2'!NK28,IF(B219="V","MINOR VISUAL",IF(B219="M","MAJOR VISUAL",IF(B219="B","BARCODE FAIL",IF(B219="D","DELAMINATION",IF(COUNTIF(B219,$D$213)+(COUNTIF(B219,$F$213))&lt;&gt;1,"MAJOR FUNCTIONAL",IF(COUNTIF(B219,$F$213)=1,"MINOR FUNCTIONAL",IF('Data - Sample Type 2'!Q28="","DATA ENTRY ERROR",IF('Data - Sample Type 2'!Q28=0,"SPC CT=0","PASS"))))))))))))</f>
        <v/>
      </c>
      <c r="D219" s="76" t="str">
        <f>IF(C219="","",IF('Data - Sample Type 2'!NI28="","N/A",IF('Data - Sample Type 2'!NI28&lt;Specifications!$D$3,"PASS","FAIL")))</f>
        <v/>
      </c>
      <c r="E219" s="64"/>
    </row>
    <row r="220" spans="1:6" x14ac:dyDescent="0.2">
      <c r="A220" s="73" t="str">
        <f>IF('Data - Sample Type 2'!C29="","",'Data - Sample Type 2'!C29)</f>
        <v/>
      </c>
      <c r="B220" s="74" t="str">
        <f>IF('Data - Sample Type 2'!L29="","",'Data - Sample Type 2'!L29)</f>
        <v/>
      </c>
      <c r="C220" s="75" t="str">
        <f>IF(B220="","",IF(B220="INVALID",IF('Data - Sample Type 2'!NK29="","INVALID",'Data - Sample Type 2'!NK29),IF(B220="ERROR",'Data - Sample Type 2'!NK29,IF(B220="NO RESULT",'Data - Sample Type 2'!NK29,IF(B220="V","MINOR VISUAL",IF(B220="M","MAJOR VISUAL",IF(B220="B","BARCODE FAIL",IF(B220="D","DELAMINATION",IF(COUNTIF(B220,$D$213)+(COUNTIF(B220,$F$213))&lt;&gt;1,"MAJOR FUNCTIONAL",IF(COUNTIF(B220,$F$213)=1,"MINOR FUNCTIONAL",IF('Data - Sample Type 2'!Q29="","DATA ENTRY ERROR",IF('Data - Sample Type 2'!Q29=0,"SPC CT=0","PASS"))))))))))))</f>
        <v/>
      </c>
      <c r="D220" s="76" t="str">
        <f>IF(C220="","",IF('Data - Sample Type 2'!NI29="","N/A",IF('Data - Sample Type 2'!NI29&lt;Specifications!$D$3,"PASS","FAIL")))</f>
        <v/>
      </c>
      <c r="E220" s="64"/>
    </row>
    <row r="221" spans="1:6" x14ac:dyDescent="0.2">
      <c r="A221" s="73" t="str">
        <f>IF('Data - Sample Type 2'!C30="","",'Data - Sample Type 2'!C30)</f>
        <v/>
      </c>
      <c r="B221" s="74" t="str">
        <f>IF('Data - Sample Type 2'!L30="","",'Data - Sample Type 2'!L30)</f>
        <v/>
      </c>
      <c r="C221" s="75" t="str">
        <f>IF(B221="","",IF(B221="INVALID",IF('Data - Sample Type 2'!NK30="","INVALID",'Data - Sample Type 2'!NK30),IF(B221="ERROR",'Data - Sample Type 2'!NK30,IF(B221="NO RESULT",'Data - Sample Type 2'!NK30,IF(B221="V","MINOR VISUAL",IF(B221="M","MAJOR VISUAL",IF(B221="B","BARCODE FAIL",IF(B221="D","DELAMINATION",IF(COUNTIF(B221,$D$213)+(COUNTIF(B221,$F$213))&lt;&gt;1,"MAJOR FUNCTIONAL",IF(COUNTIF(B221,$F$213)=1,"MINOR FUNCTIONAL",IF('Data - Sample Type 2'!Q30="","DATA ENTRY ERROR",IF('Data - Sample Type 2'!Q30=0,"SPC CT=0","PASS"))))))))))))</f>
        <v/>
      </c>
      <c r="D221" s="76" t="str">
        <f>IF(C221="","",IF('Data - Sample Type 2'!NI30="","N/A",IF('Data - Sample Type 2'!NI30&lt;Specifications!$D$3,"PASS","FAIL")))</f>
        <v/>
      </c>
      <c r="E221" s="64"/>
    </row>
    <row r="222" spans="1:6" x14ac:dyDescent="0.2">
      <c r="A222" s="73" t="str">
        <f>IF('Data - Sample Type 2'!C31="","",'Data - Sample Type 2'!C31)</f>
        <v/>
      </c>
      <c r="B222" s="74" t="str">
        <f>IF('Data - Sample Type 2'!L31="","",'Data - Sample Type 2'!L31)</f>
        <v/>
      </c>
      <c r="C222" s="75" t="str">
        <f>IF(B222="","",IF(B222="INVALID",IF('Data - Sample Type 2'!NK31="","INVALID",'Data - Sample Type 2'!NK31),IF(B222="ERROR",'Data - Sample Type 2'!NK31,IF(B222="NO RESULT",'Data - Sample Type 2'!NK31,IF(B222="V","MINOR VISUAL",IF(B222="M","MAJOR VISUAL",IF(B222="B","BARCODE FAIL",IF(B222="D","DELAMINATION",IF(COUNTIF(B222,$D$213)+(COUNTIF(B222,$F$213))&lt;&gt;1,"MAJOR FUNCTIONAL",IF(COUNTIF(B222,$F$213)=1,"MINOR FUNCTIONAL",IF('Data - Sample Type 2'!Q31="","DATA ENTRY ERROR",IF('Data - Sample Type 2'!Q31=0,"SPC CT=0","PASS"))))))))))))</f>
        <v/>
      </c>
      <c r="D222" s="76" t="str">
        <f>IF(C222="","",IF('Data - Sample Type 2'!NI31="","N/A",IF('Data - Sample Type 2'!NI31&lt;Specifications!$D$3,"PASS","FAIL")))</f>
        <v/>
      </c>
      <c r="E222" s="64"/>
    </row>
    <row r="223" spans="1:6" x14ac:dyDescent="0.2">
      <c r="A223" s="73" t="str">
        <f>IF('Data - Sample Type 2'!C32="","",'Data - Sample Type 2'!C32)</f>
        <v/>
      </c>
      <c r="B223" s="74" t="str">
        <f>IF('Data - Sample Type 2'!L32="","",'Data - Sample Type 2'!L32)</f>
        <v/>
      </c>
      <c r="C223" s="75" t="str">
        <f>IF(B223="","",IF(B223="INVALID",IF('Data - Sample Type 2'!NK32="","INVALID",'Data - Sample Type 2'!NK32),IF(B223="ERROR",'Data - Sample Type 2'!NK32,IF(B223="NO RESULT",'Data - Sample Type 2'!NK32,IF(B223="V","MINOR VISUAL",IF(B223="M","MAJOR VISUAL",IF(B223="B","BARCODE FAIL",IF(B223="D","DELAMINATION",IF(COUNTIF(B223,$D$213)+(COUNTIF(B223,$F$213))&lt;&gt;1,"MAJOR FUNCTIONAL",IF(COUNTIF(B223,$F$213)=1,"MINOR FUNCTIONAL",IF('Data - Sample Type 2'!Q32="","DATA ENTRY ERROR",IF('Data - Sample Type 2'!Q32=0,"SPC CT=0","PASS"))))))))))))</f>
        <v/>
      </c>
      <c r="D223" s="76" t="str">
        <f>IF(C223="","",IF('Data - Sample Type 2'!NI32="","N/A",IF('Data - Sample Type 2'!NI32&lt;Specifications!$D$3,"PASS","FAIL")))</f>
        <v/>
      </c>
      <c r="E223" s="64"/>
    </row>
    <row r="224" spans="1:6" x14ac:dyDescent="0.2">
      <c r="A224" s="73" t="str">
        <f>IF('Data - Sample Type 2'!C33="","",'Data - Sample Type 2'!C33)</f>
        <v/>
      </c>
      <c r="B224" s="74" t="str">
        <f>IF('Data - Sample Type 2'!L33="","",'Data - Sample Type 2'!L33)</f>
        <v/>
      </c>
      <c r="C224" s="75" t="str">
        <f>IF(B224="","",IF(B224="INVALID",IF('Data - Sample Type 2'!NK33="","INVALID",'Data - Sample Type 2'!NK33),IF(B224="ERROR",'Data - Sample Type 2'!NK33,IF(B224="NO RESULT",'Data - Sample Type 2'!NK33,IF(B224="V","MINOR VISUAL",IF(B224="M","MAJOR VISUAL",IF(B224="B","BARCODE FAIL",IF(B224="D","DELAMINATION",IF(COUNTIF(B224,$D$213)+(COUNTIF(B224,$F$213))&lt;&gt;1,"MAJOR FUNCTIONAL",IF(COUNTIF(B224,$F$213)=1,"MINOR FUNCTIONAL",IF('Data - Sample Type 2'!Q33="","DATA ENTRY ERROR",IF('Data - Sample Type 2'!Q33=0,"SPC CT=0","PASS"))))))))))))</f>
        <v/>
      </c>
      <c r="D224" s="76" t="str">
        <f>IF(C224="","",IF('Data - Sample Type 2'!NI33="","N/A",IF('Data - Sample Type 2'!NI33&lt;Specifications!$D$3,"PASS","FAIL")))</f>
        <v/>
      </c>
      <c r="E224" s="64"/>
    </row>
    <row r="225" spans="1:6" x14ac:dyDescent="0.2">
      <c r="A225" s="73" t="str">
        <f>IF('Data - Sample Type 2'!C34="","",'Data - Sample Type 2'!C34)</f>
        <v/>
      </c>
      <c r="B225" s="74" t="str">
        <f>IF('Data - Sample Type 2'!L34="","",'Data - Sample Type 2'!L34)</f>
        <v/>
      </c>
      <c r="C225" s="75" t="str">
        <f>IF(B225="","",IF(B225="INVALID",IF('Data - Sample Type 2'!NK34="","INVALID",'Data - Sample Type 2'!NK34),IF(B225="ERROR",'Data - Sample Type 2'!NK34,IF(B225="NO RESULT",'Data - Sample Type 2'!NK34,IF(B225="V","MINOR VISUAL",IF(B225="M","MAJOR VISUAL",IF(B225="B","BARCODE FAIL",IF(B225="D","DELAMINATION",IF(COUNTIF(B225,$D$213)+(COUNTIF(B225,$F$213))&lt;&gt;1,"MAJOR FUNCTIONAL",IF(COUNTIF(B225,$F$213)=1,"MINOR FUNCTIONAL",IF('Data - Sample Type 2'!Q34="","DATA ENTRY ERROR",IF('Data - Sample Type 2'!Q34=0,"SPC CT=0","PASS"))))))))))))</f>
        <v/>
      </c>
      <c r="D225" s="76" t="str">
        <f>IF(C225="","",IF('Data - Sample Type 2'!NI34="","N/A",IF('Data - Sample Type 2'!NI34&lt;Specifications!$D$3,"PASS","FAIL")))</f>
        <v/>
      </c>
      <c r="E225" s="64"/>
    </row>
    <row r="226" spans="1:6" x14ac:dyDescent="0.2">
      <c r="A226" s="73" t="str">
        <f>IF('Data - Sample Type 2'!C35="","",'Data - Sample Type 2'!C35)</f>
        <v/>
      </c>
      <c r="B226" s="74" t="str">
        <f>IF('Data - Sample Type 2'!L35="","",'Data - Sample Type 2'!L35)</f>
        <v/>
      </c>
      <c r="C226" s="75" t="str">
        <f>IF(B226="","",IF(B226="INVALID",IF('Data - Sample Type 2'!NK35="","INVALID",'Data - Sample Type 2'!NK35),IF(B226="ERROR",'Data - Sample Type 2'!NK35,IF(B226="NO RESULT",'Data - Sample Type 2'!NK35,IF(B226="V","MINOR VISUAL",IF(B226="M","MAJOR VISUAL",IF(B226="B","BARCODE FAIL",IF(B226="D","DELAMINATION",IF(COUNTIF(B226,$D$213)+(COUNTIF(B226,$F$213))&lt;&gt;1,"MAJOR FUNCTIONAL",IF(COUNTIF(B226,$F$213)=1,"MINOR FUNCTIONAL",IF('Data - Sample Type 2'!Q35="","DATA ENTRY ERROR",IF('Data - Sample Type 2'!Q35=0,"SPC CT=0","PASS"))))))))))))</f>
        <v/>
      </c>
      <c r="D226" s="76" t="str">
        <f>IF(C226="","",IF('Data - Sample Type 2'!NI35="","N/A",IF('Data - Sample Type 2'!NI35&lt;Specifications!$D$3,"PASS","FAIL")))</f>
        <v/>
      </c>
      <c r="E226" s="64"/>
    </row>
    <row r="227" spans="1:6" x14ac:dyDescent="0.2">
      <c r="A227" s="73" t="str">
        <f>IF('Data - Sample Type 2'!C36="","",'Data - Sample Type 2'!C36)</f>
        <v/>
      </c>
      <c r="B227" s="74" t="str">
        <f>IF('Data - Sample Type 2'!L36="","",'Data - Sample Type 2'!L36)</f>
        <v/>
      </c>
      <c r="C227" s="75" t="str">
        <f>IF(B227="","",IF(B227="INVALID",IF('Data - Sample Type 2'!NK36="","INVALID",'Data - Sample Type 2'!NK36),IF(B227="ERROR",'Data - Sample Type 2'!NK36,IF(B227="NO RESULT",'Data - Sample Type 2'!NK36,IF(B227="V","MINOR VISUAL",IF(B227="M","MAJOR VISUAL",IF(B227="B","BARCODE FAIL",IF(B227="D","DELAMINATION",IF(COUNTIF(B227,$D$213)+(COUNTIF(B227,$F$213))&lt;&gt;1,"MAJOR FUNCTIONAL",IF(COUNTIF(B227,$F$213)=1,"MINOR FUNCTIONAL",IF('Data - Sample Type 2'!Q36="","DATA ENTRY ERROR",IF('Data - Sample Type 2'!Q36=0,"SPC CT=0","PASS"))))))))))))</f>
        <v/>
      </c>
      <c r="D227" s="76" t="str">
        <f>IF(C227="","",IF('Data - Sample Type 2'!NI36="","N/A",IF('Data - Sample Type 2'!NI36&lt;Specifications!$D$3,"PASS","FAIL")))</f>
        <v/>
      </c>
      <c r="E227" s="64"/>
    </row>
    <row r="228" spans="1:6" x14ac:dyDescent="0.2">
      <c r="A228" s="73" t="str">
        <f>IF('Data - Sample Type 2'!C37="","",'Data - Sample Type 2'!C37)</f>
        <v/>
      </c>
      <c r="B228" s="74" t="str">
        <f>IF('Data - Sample Type 2'!L37="","",'Data - Sample Type 2'!L37)</f>
        <v/>
      </c>
      <c r="C228" s="75" t="str">
        <f>IF(B228="","",IF(B228="INVALID",IF('Data - Sample Type 2'!NK37="","INVALID",'Data - Sample Type 2'!NK37),IF(B228="ERROR",'Data - Sample Type 2'!NK37,IF(B228="NO RESULT",'Data - Sample Type 2'!NK37,IF(B228="V","MINOR VISUAL",IF(B228="M","MAJOR VISUAL",IF(B228="B","BARCODE FAIL",IF(B228="D","DELAMINATION",IF(COUNTIF(B228,$D$213)+(COUNTIF(B228,$F$213))&lt;&gt;1,"MAJOR FUNCTIONAL",IF(COUNTIF(B228,$F$213)=1,"MINOR FUNCTIONAL",IF('Data - Sample Type 2'!Q37="","DATA ENTRY ERROR",IF('Data - Sample Type 2'!Q37=0,"SPC CT=0","PASS"))))))))))))</f>
        <v/>
      </c>
      <c r="D228" s="76" t="str">
        <f>IF(C228="","",IF('Data - Sample Type 2'!NI37="","N/A",IF('Data - Sample Type 2'!NI37&lt;Specifications!$D$3,"PASS","FAIL")))</f>
        <v/>
      </c>
      <c r="E228" s="64"/>
    </row>
    <row r="229" spans="1:6" x14ac:dyDescent="0.2">
      <c r="A229" s="73" t="str">
        <f>IF('Data - Sample Type 2'!C38="","",'Data - Sample Type 2'!C38)</f>
        <v/>
      </c>
      <c r="B229" s="74" t="str">
        <f>IF('Data - Sample Type 2'!L38="","",'Data - Sample Type 2'!L38)</f>
        <v/>
      </c>
      <c r="C229" s="75" t="str">
        <f>IF(B229="","",IF(B229="INVALID",IF('Data - Sample Type 2'!NK38="","INVALID",'Data - Sample Type 2'!NK38),IF(B229="ERROR",'Data - Sample Type 2'!NK38,IF(B229="NO RESULT",'Data - Sample Type 2'!NK38,IF(B229="V","MINOR VISUAL",IF(B229="M","MAJOR VISUAL",IF(B229="B","BARCODE FAIL",IF(B229="D","DELAMINATION",IF(COUNTIF(B229,$D$213)+(COUNTIF(B229,$F$213))&lt;&gt;1,"MAJOR FUNCTIONAL",IF(COUNTIF(B229,$F$213)=1,"MINOR FUNCTIONAL",IF('Data - Sample Type 2'!Q38="","DATA ENTRY ERROR",IF('Data - Sample Type 2'!Q38=0,"SPC CT=0","PASS"))))))))))))</f>
        <v/>
      </c>
      <c r="D229" s="76" t="str">
        <f>IF(C229="","",IF('Data - Sample Type 2'!NI38="","N/A",IF('Data - Sample Type 2'!NI38&lt;Specifications!$D$3,"PASS","FAIL")))</f>
        <v/>
      </c>
      <c r="E229" s="64"/>
    </row>
    <row r="230" spans="1:6" x14ac:dyDescent="0.2">
      <c r="A230" s="73" t="str">
        <f>IF('Data - Sample Type 2'!C39="","",'Data - Sample Type 2'!C39)</f>
        <v/>
      </c>
      <c r="B230" s="74" t="str">
        <f>IF('Data - Sample Type 2'!L39="","",'Data - Sample Type 2'!L39)</f>
        <v/>
      </c>
      <c r="C230" s="75" t="str">
        <f>IF(B230="","",IF(B230="INVALID",IF('Data - Sample Type 2'!NK39="","INVALID",'Data - Sample Type 2'!NK39),IF(B230="ERROR",'Data - Sample Type 2'!NK39,IF(B230="NO RESULT",'Data - Sample Type 2'!NK39,IF(B230="V","MINOR VISUAL",IF(B230="M","MAJOR VISUAL",IF(B230="B","BARCODE FAIL",IF(B230="D","DELAMINATION",IF(COUNTIF(B230,$D$213)+(COUNTIF(B230,$F$213))&lt;&gt;1,"MAJOR FUNCTIONAL",IF(COUNTIF(B230,$F$213)=1,"MINOR FUNCTIONAL",IF('Data - Sample Type 2'!Q39="","DATA ENTRY ERROR",IF('Data - Sample Type 2'!Q39=0,"SPC CT=0","PASS"))))))))))))</f>
        <v/>
      </c>
      <c r="D230" s="76" t="str">
        <f>IF(C230="","",IF('Data - Sample Type 2'!NI39="","N/A",IF('Data - Sample Type 2'!NI39&lt;Specifications!$D$3,"PASS","FAIL")))</f>
        <v/>
      </c>
      <c r="E230" s="64"/>
    </row>
    <row r="231" spans="1:6" x14ac:dyDescent="0.2">
      <c r="A231" s="73" t="str">
        <f>IF('Data - Sample Type 2'!C40="","",'Data - Sample Type 2'!C40)</f>
        <v/>
      </c>
      <c r="B231" s="74" t="str">
        <f>IF('Data - Sample Type 2'!L40="","",'Data - Sample Type 2'!L40)</f>
        <v/>
      </c>
      <c r="C231" s="75" t="str">
        <f>IF(B231="","",IF(B231="INVALID",IF('Data - Sample Type 2'!NK40="","INVALID",'Data - Sample Type 2'!NK40),IF(B231="ERROR",'Data - Sample Type 2'!NK40,IF(B231="NO RESULT",'Data - Sample Type 2'!NK40,IF(B231="V","MINOR VISUAL",IF(B231="M","MAJOR VISUAL",IF(B231="B","BARCODE FAIL",IF(B231="D","DELAMINATION",IF(COUNTIF(B231,$D$213)+(COUNTIF(B231,$F$213))&lt;&gt;1,"MAJOR FUNCTIONAL",IF(COUNTIF(B231,$F$213)=1,"MINOR FUNCTIONAL",IF('Data - Sample Type 2'!Q40="","DATA ENTRY ERROR",IF('Data - Sample Type 2'!Q40=0,"SPC CT=0","PASS"))))))))))))</f>
        <v/>
      </c>
      <c r="D231" s="76" t="str">
        <f>IF(C231="","",IF('Data - Sample Type 2'!NI40="","N/A",IF('Data - Sample Type 2'!NI40&lt;Specifications!$D$3,"PASS","FAIL")))</f>
        <v/>
      </c>
      <c r="E231" s="64"/>
    </row>
    <row r="232" spans="1:6" x14ac:dyDescent="0.2">
      <c r="A232" s="73" t="str">
        <f>IF('Data - Sample Type 2'!C41="","",'Data - Sample Type 2'!C41)</f>
        <v/>
      </c>
      <c r="B232" s="74" t="str">
        <f>IF('Data - Sample Type 2'!L41="","",'Data - Sample Type 2'!L41)</f>
        <v/>
      </c>
      <c r="C232" s="75" t="str">
        <f>IF(B232="","",IF(B232="INVALID",IF('Data - Sample Type 2'!NK41="","INVALID",'Data - Sample Type 2'!NK41),IF(B232="ERROR",'Data - Sample Type 2'!NK41,IF(B232="NO RESULT",'Data - Sample Type 2'!NK41,IF(B232="V","MINOR VISUAL",IF(B232="M","MAJOR VISUAL",IF(B232="B","BARCODE FAIL",IF(B232="D","DELAMINATION",IF(COUNTIF(B232,$D$213)+(COUNTIF(B232,$F$213))&lt;&gt;1,"MAJOR FUNCTIONAL",IF(COUNTIF(B232,$F$213)=1,"MINOR FUNCTIONAL",IF('Data - Sample Type 2'!Q41="","DATA ENTRY ERROR",IF('Data - Sample Type 2'!Q41=0,"SPC CT=0","PASS"))))))))))))</f>
        <v/>
      </c>
      <c r="D232" s="76" t="str">
        <f>IF(C232="","",IF('Data - Sample Type 2'!NI41="","N/A",IF('Data - Sample Type 2'!NI41&lt;Specifications!$D$3,"PASS","FAIL")))</f>
        <v/>
      </c>
      <c r="E232" s="64"/>
    </row>
    <row r="233" spans="1:6" x14ac:dyDescent="0.2">
      <c r="A233" s="73" t="str">
        <f>IF('Data - Sample Type 2'!C42="","",'Data - Sample Type 2'!C42)</f>
        <v/>
      </c>
      <c r="B233" s="74" t="str">
        <f>IF('Data - Sample Type 2'!L42="","",'Data - Sample Type 2'!L42)</f>
        <v/>
      </c>
      <c r="C233" s="75" t="str">
        <f>IF(B233="","",IF(B233="INVALID",IF('Data - Sample Type 2'!NK42="","INVALID",'Data - Sample Type 2'!NK42),IF(B233="ERROR",'Data - Sample Type 2'!NK42,IF(B233="NO RESULT",'Data - Sample Type 2'!NK42,IF(B233="V","MINOR VISUAL",IF(B233="M","MAJOR VISUAL",IF(B233="B","BARCODE FAIL",IF(B233="D","DELAMINATION",IF(COUNTIF(B233,$D$213)+(COUNTIF(B233,$F$213))&lt;&gt;1,"MAJOR FUNCTIONAL",IF(COUNTIF(B233,$F$213)=1,"MINOR FUNCTIONAL",IF('Data - Sample Type 2'!Q42="","DATA ENTRY ERROR",IF('Data - Sample Type 2'!Q42=0,"SPC CT=0","PASS"))))))))))))</f>
        <v/>
      </c>
      <c r="D233" s="76" t="str">
        <f>IF(C233="","",IF('Data - Sample Type 2'!NI42="","N/A",IF('Data - Sample Type 2'!NI42&lt;Specifications!$D$3,"PASS","FAIL")))</f>
        <v/>
      </c>
      <c r="E233" s="64"/>
    </row>
    <row r="234" spans="1:6" x14ac:dyDescent="0.2">
      <c r="A234" s="73" t="str">
        <f>IF('Data - Sample Type 2'!C43="","",'Data - Sample Type 2'!C43)</f>
        <v/>
      </c>
      <c r="B234" s="74" t="str">
        <f>IF('Data - Sample Type 2'!L43="","",'Data - Sample Type 2'!L43)</f>
        <v/>
      </c>
      <c r="C234" s="75" t="str">
        <f>IF(B234="","",IF(B234="INVALID",IF('Data - Sample Type 2'!NK43="","INVALID",'Data - Sample Type 2'!NK43),IF(B234="ERROR",'Data - Sample Type 2'!NK43,IF(B234="NO RESULT",'Data - Sample Type 2'!NK43,IF(B234="V","MINOR VISUAL",IF(B234="M","MAJOR VISUAL",IF(B234="B","BARCODE FAIL",IF(B234="D","DELAMINATION",IF(COUNTIF(B234,$D$213)+(COUNTIF(B234,$F$213))&lt;&gt;1,"MAJOR FUNCTIONAL",IF(COUNTIF(B234,$F$213)=1,"MINOR FUNCTIONAL",IF('Data - Sample Type 2'!Q43="","DATA ENTRY ERROR",IF('Data - Sample Type 2'!Q43=0,"SPC CT=0","PASS"))))))))))))</f>
        <v/>
      </c>
      <c r="D234" s="76" t="str">
        <f>IF(C234="","",IF('Data - Sample Type 2'!NI43="","N/A",IF('Data - Sample Type 2'!NI43&lt;Specifications!$D$3,"PASS","FAIL")))</f>
        <v/>
      </c>
      <c r="E234" s="64"/>
    </row>
    <row r="236" spans="1:6" ht="15.75" x14ac:dyDescent="0.2">
      <c r="A236" s="81" t="s">
        <v>138</v>
      </c>
      <c r="B236" s="82"/>
      <c r="C236" s="80" t="s">
        <v>130</v>
      </c>
      <c r="D236" s="79">
        <f>COUNTIF('Data - Resample Replaced '!A2:A1048576,"&lt;&gt;"&amp;"")</f>
        <v>0</v>
      </c>
      <c r="E236" s="83"/>
      <c r="F236" s="83"/>
    </row>
    <row r="237" spans="1:6" x14ac:dyDescent="0.2">
      <c r="A237" s="69" t="s">
        <v>96</v>
      </c>
      <c r="B237" s="70" t="s">
        <v>131</v>
      </c>
      <c r="C237" s="71" t="s">
        <v>132</v>
      </c>
      <c r="D237" s="69" t="s">
        <v>133</v>
      </c>
      <c r="E237" s="72" t="s">
        <v>282</v>
      </c>
    </row>
    <row r="238" spans="1:6" x14ac:dyDescent="0.2">
      <c r="A238" s="73" t="str">
        <f>IF('Data - Resample Replaced '!C2="","",'Data - Resample Replaced '!C2)</f>
        <v/>
      </c>
      <c r="B238" s="74" t="str">
        <f>IF('Data - Resample Replaced '!L2="","",'Data - Resample Replaced '!L2)</f>
        <v/>
      </c>
      <c r="C238" s="75" t="str">
        <f>IF('Data - Resample Replaced '!NK2="","",'Data - Resample Replaced '!NK2)</f>
        <v/>
      </c>
      <c r="D238" s="77" t="str">
        <f>IF(C238="","",IF('Data - Resample Replaced '!NI2="","N/A",IF('Data - Resample Replaced '!NI2&lt;Specifications!$D$3,"PASS","FAIL")))</f>
        <v/>
      </c>
      <c r="E238" s="78"/>
    </row>
    <row r="239" spans="1:6" x14ac:dyDescent="0.2">
      <c r="A239" s="73" t="str">
        <f>IF('Data - Resample Replaced '!C3="","",'Data - Resample Replaced '!C3)</f>
        <v/>
      </c>
      <c r="B239" s="74" t="str">
        <f>IF('Data - Resample Replaced '!L3="","",'Data - Resample Replaced '!L3)</f>
        <v/>
      </c>
      <c r="C239" s="75" t="str">
        <f>IF('Data - Resample Replaced '!NK3="","",'Data - Resample Replaced '!NK3)</f>
        <v/>
      </c>
      <c r="D239" s="77" t="str">
        <f>IF(C239="","",IF('Data - Resample Replaced '!NI3="","N/A",IF('Data - Resample Replaced '!NI3&lt;Specifications!$D$3,"PASS","FAIL")))</f>
        <v/>
      </c>
      <c r="E239" s="78"/>
    </row>
    <row r="240" spans="1:6" x14ac:dyDescent="0.2">
      <c r="A240" s="73" t="str">
        <f>IF('Data - Resample Replaced '!C4="","",'Data - Resample Replaced '!C4)</f>
        <v/>
      </c>
      <c r="B240" s="74" t="str">
        <f>IF('Data - Resample Replaced '!L4="","",'Data - Resample Replaced '!L4)</f>
        <v/>
      </c>
      <c r="C240" s="75" t="str">
        <f>IF('Data - Resample Replaced '!NK4="","",'Data - Resample Replaced '!NK4)</f>
        <v/>
      </c>
      <c r="D240" s="77" t="str">
        <f>IF(C240="","",IF('Data - Resample Replaced '!NI4="","N/A",IF('Data - Resample Replaced '!NI4&lt;Specifications!$D$3,"PASS","FAIL")))</f>
        <v/>
      </c>
      <c r="E240" s="78"/>
    </row>
    <row r="241" spans="1:5" x14ac:dyDescent="0.2">
      <c r="A241" s="73" t="str">
        <f>IF('Data - Resample Replaced '!C5="","",'Data - Resample Replaced '!C5)</f>
        <v/>
      </c>
      <c r="B241" s="74" t="str">
        <f>IF('Data - Resample Replaced '!L5="","",'Data - Resample Replaced '!L5)</f>
        <v/>
      </c>
      <c r="C241" s="75" t="str">
        <f>IF('Data - Resample Replaced '!NK5="","",'Data - Resample Replaced '!NK5)</f>
        <v/>
      </c>
      <c r="D241" s="77" t="str">
        <f>IF(C241="","",IF('Data - Resample Replaced '!NI5="","N/A",IF('Data - Resample Replaced '!NI5&lt;Specifications!$D$3,"PASS","FAIL")))</f>
        <v/>
      </c>
      <c r="E241" s="78"/>
    </row>
    <row r="242" spans="1:5" x14ac:dyDescent="0.2">
      <c r="A242" s="73" t="str">
        <f>IF('Data - Resample Replaced '!C6="","",'Data - Resample Replaced '!C6)</f>
        <v/>
      </c>
      <c r="B242" s="74" t="str">
        <f>IF('Data - Resample Replaced '!L6="","",'Data - Resample Replaced '!L6)</f>
        <v/>
      </c>
      <c r="C242" s="75" t="str">
        <f>IF('Data - Resample Replaced '!NK6="","",'Data - Resample Replaced '!NK6)</f>
        <v/>
      </c>
      <c r="D242" s="77" t="str">
        <f>IF(C242="","",IF('Data - Resample Replaced '!NI6="","N/A",IF('Data - Resample Replaced '!NI6&lt;Specifications!$D$3,"PASS","FAIL")))</f>
        <v/>
      </c>
      <c r="E242" s="78"/>
    </row>
    <row r="243" spans="1:5" x14ac:dyDescent="0.2">
      <c r="A243" s="73" t="str">
        <f>IF('Data - Resample Replaced '!C7="","",'Data - Resample Replaced '!C7)</f>
        <v/>
      </c>
      <c r="B243" s="74" t="str">
        <f>IF('Data - Resample Replaced '!L7="","",'Data - Resample Replaced '!L7)</f>
        <v/>
      </c>
      <c r="C243" s="75" t="str">
        <f>IF('Data - Resample Replaced '!NK7="","",'Data - Resample Replaced '!NK7)</f>
        <v/>
      </c>
      <c r="D243" s="77" t="str">
        <f>IF(C243="","",IF('Data - Resample Replaced '!NI7="","N/A",IF('Data - Resample Replaced '!NI7&lt;Specifications!$D$3,"PASS","FAIL")))</f>
        <v/>
      </c>
      <c r="E243" s="78"/>
    </row>
    <row r="244" spans="1:5" x14ac:dyDescent="0.2">
      <c r="A244" s="73" t="str">
        <f>IF('Data - Resample Replaced '!C8="","",'Data - Resample Replaced '!C8)</f>
        <v/>
      </c>
      <c r="B244" s="74" t="str">
        <f>IF('Data - Resample Replaced '!L8="","",'Data - Resample Replaced '!L8)</f>
        <v/>
      </c>
      <c r="C244" s="75" t="str">
        <f>IF('Data - Resample Replaced '!NK8="","",'Data - Resample Replaced '!NK8)</f>
        <v/>
      </c>
      <c r="D244" s="77" t="str">
        <f>IF(C244="","",IF('Data - Resample Replaced '!NI8="","N/A",IF('Data - Resample Replaced '!NI8&lt;Specifications!$D$3,"PASS","FAIL")))</f>
        <v/>
      </c>
      <c r="E244" s="78"/>
    </row>
    <row r="245" spans="1:5" x14ac:dyDescent="0.2">
      <c r="A245" s="73" t="str">
        <f>IF('Data - Resample Replaced '!C9="","",'Data - Resample Replaced '!C9)</f>
        <v/>
      </c>
      <c r="B245" s="74" t="str">
        <f>IF('Data - Resample Replaced '!L9="","",'Data - Resample Replaced '!L9)</f>
        <v/>
      </c>
      <c r="C245" s="75" t="str">
        <f>IF('Data - Resample Replaced '!NK9="","",'Data - Resample Replaced '!NK9)</f>
        <v/>
      </c>
      <c r="D245" s="77" t="str">
        <f>IF(C245="","",IF('Data - Resample Replaced '!NI9="","N/A",IF('Data - Resample Replaced '!NI9&lt;Specifications!$D$3,"PASS","FAIL")))</f>
        <v/>
      </c>
      <c r="E245" s="78"/>
    </row>
    <row r="246" spans="1:5" x14ac:dyDescent="0.2">
      <c r="A246" s="73" t="str">
        <f>IF('Data - Resample Replaced '!C10="","",'Data - Resample Replaced '!C10)</f>
        <v/>
      </c>
      <c r="B246" s="74" t="str">
        <f>IF('Data - Resample Replaced '!L10="","",'Data - Resample Replaced '!L10)</f>
        <v/>
      </c>
      <c r="C246" s="75" t="str">
        <f>IF('Data - Resample Replaced '!NK10="","",'Data - Resample Replaced '!NK10)</f>
        <v/>
      </c>
      <c r="D246" s="77" t="str">
        <f>IF(C246="","",IF('Data - Resample Replaced '!NI10="","N/A",IF('Data - Resample Replaced '!NI10&lt;Specifications!$D$3,"PASS","FAIL")))</f>
        <v/>
      </c>
      <c r="E246" s="78"/>
    </row>
    <row r="247" spans="1:5" x14ac:dyDescent="0.2">
      <c r="A247" s="73" t="str">
        <f>IF('Data - Resample Replaced '!C11="","",'Data - Resample Replaced '!C11)</f>
        <v/>
      </c>
      <c r="B247" s="74" t="str">
        <f>IF('Data - Resample Replaced '!L11="","",'Data - Resample Replaced '!L11)</f>
        <v/>
      </c>
      <c r="C247" s="75" t="str">
        <f>IF('Data - Resample Replaced '!NK11="","",'Data - Resample Replaced '!NK11)</f>
        <v/>
      </c>
      <c r="D247" s="77" t="str">
        <f>IF(C247="","",IF('Data - Resample Replaced '!NI11="","N/A",IF('Data - Resample Replaced '!NI11&lt;Specifications!$D$3,"PASS","FAIL")))</f>
        <v/>
      </c>
      <c r="E247" s="78"/>
    </row>
    <row r="248" spans="1:5" x14ac:dyDescent="0.2">
      <c r="A248" s="73" t="str">
        <f>IF('Data - Resample Replaced '!C12="","",'Data - Resample Replaced '!C12)</f>
        <v/>
      </c>
      <c r="B248" s="74" t="str">
        <f>IF('Data - Resample Replaced '!L12="","",'Data - Resample Replaced '!L12)</f>
        <v/>
      </c>
      <c r="C248" s="75" t="str">
        <f>IF('Data - Resample Replaced '!NK12="","",'Data - Resample Replaced '!NK12)</f>
        <v/>
      </c>
      <c r="D248" s="77" t="str">
        <f>IF(C248="","",IF('Data - Resample Replaced '!NI12="","N/A",IF('Data - Resample Replaced '!NI12&lt;Specifications!$D$3,"PASS","FAIL")))</f>
        <v/>
      </c>
      <c r="E248" s="78"/>
    </row>
    <row r="249" spans="1:5" x14ac:dyDescent="0.2">
      <c r="A249" s="73" t="str">
        <f>IF('Data - Resample Replaced '!C13="","",'Data - Resample Replaced '!C13)</f>
        <v/>
      </c>
      <c r="B249" s="74" t="str">
        <f>IF('Data - Resample Replaced '!L13="","",'Data - Resample Replaced '!L13)</f>
        <v/>
      </c>
      <c r="C249" s="75" t="str">
        <f>IF('Data - Resample Replaced '!NK13="","",'Data - Resample Replaced '!NK13)</f>
        <v/>
      </c>
      <c r="D249" s="77" t="str">
        <f>IF(C249="","",IF('Data - Resample Replaced '!NI13="","N/A",IF('Data - Resample Replaced '!NI13&lt;Specifications!$D$3,"PASS","FAIL")))</f>
        <v/>
      </c>
      <c r="E249" s="78"/>
    </row>
    <row r="250" spans="1:5" x14ac:dyDescent="0.2">
      <c r="A250" s="73" t="str">
        <f>IF('Data - Resample Replaced '!C14="","",'Data - Resample Replaced '!C14)</f>
        <v/>
      </c>
      <c r="B250" s="74" t="str">
        <f>IF('Data - Resample Replaced '!L14="","",'Data - Resample Replaced '!L14)</f>
        <v/>
      </c>
      <c r="C250" s="75" t="str">
        <f>IF('Data - Resample Replaced '!NK14="","",'Data - Resample Replaced '!NK14)</f>
        <v/>
      </c>
      <c r="D250" s="77" t="str">
        <f>IF(C250="","",IF('Data - Resample Replaced '!NI14="","N/A",IF('Data - Resample Replaced '!NI14&lt;Specifications!$D$3,"PASS","FAIL")))</f>
        <v/>
      </c>
      <c r="E250" s="78"/>
    </row>
    <row r="251" spans="1:5" x14ac:dyDescent="0.2">
      <c r="A251" s="73" t="str">
        <f>IF('Data - Resample Replaced '!C15="","",'Data - Resample Replaced '!C15)</f>
        <v/>
      </c>
      <c r="B251" s="74" t="str">
        <f>IF('Data - Resample Replaced '!L15="","",'Data - Resample Replaced '!L15)</f>
        <v/>
      </c>
      <c r="C251" s="75" t="str">
        <f>IF('Data - Resample Replaced '!NK15="","",'Data - Resample Replaced '!NK15)</f>
        <v/>
      </c>
      <c r="D251" s="77" t="str">
        <f>IF(C251="","",IF('Data - Resample Replaced '!NI15="","N/A",IF('Data - Resample Replaced '!NI15&lt;Specifications!$D$3,"PASS","FAIL")))</f>
        <v/>
      </c>
      <c r="E251" s="78"/>
    </row>
    <row r="252" spans="1:5" x14ac:dyDescent="0.2">
      <c r="A252" s="73" t="str">
        <f>IF('Data - Resample Replaced '!C16="","",'Data - Resample Replaced '!C16)</f>
        <v/>
      </c>
      <c r="B252" s="74" t="str">
        <f>IF('Data - Resample Replaced '!L16="","",'Data - Resample Replaced '!L16)</f>
        <v/>
      </c>
      <c r="C252" s="75" t="str">
        <f>IF('Data - Resample Replaced '!NK16="","",'Data - Resample Replaced '!NK16)</f>
        <v/>
      </c>
      <c r="D252" s="77" t="str">
        <f>IF(C252="","",IF('Data - Resample Replaced '!NI16="","N/A",IF('Data - Resample Replaced '!NI16&lt;Specifications!$D$3,"PASS","FAIL")))</f>
        <v/>
      </c>
      <c r="E252" s="78"/>
    </row>
    <row r="253" spans="1:5" x14ac:dyDescent="0.2">
      <c r="A253" s="73" t="str">
        <f>IF('Data - Resample Replaced '!C17="","",'Data - Resample Replaced '!C17)</f>
        <v/>
      </c>
      <c r="B253" s="74" t="str">
        <f>IF('Data - Resample Replaced '!L17="","",'Data - Resample Replaced '!L17)</f>
        <v/>
      </c>
      <c r="C253" s="75" t="str">
        <f>IF('Data - Resample Replaced '!NK17="","",'Data - Resample Replaced '!NK17)</f>
        <v/>
      </c>
      <c r="D253" s="77" t="str">
        <f>IF(C253="","",IF('Data - Resample Replaced '!NI17="","N/A",IF('Data - Resample Replaced '!NI17&lt;Specifications!$D$3,"PASS","FAIL")))</f>
        <v/>
      </c>
      <c r="E253" s="78"/>
    </row>
    <row r="254" spans="1:5" x14ac:dyDescent="0.2">
      <c r="A254" s="73" t="str">
        <f>IF('Data - Resample Replaced '!C18="","",'Data - Resample Replaced '!C18)</f>
        <v/>
      </c>
      <c r="B254" s="74" t="str">
        <f>IF('Data - Resample Replaced '!L18="","",'Data - Resample Replaced '!L18)</f>
        <v/>
      </c>
      <c r="C254" s="75" t="str">
        <f>IF('Data - Resample Replaced '!NK18="","",'Data - Resample Replaced '!NK18)</f>
        <v/>
      </c>
      <c r="D254" s="77" t="str">
        <f>IF(C254="","",IF('Data - Resample Replaced '!NI18="","N/A",IF('Data - Resample Replaced '!NI18&lt;Specifications!$D$3,"PASS","FAIL")))</f>
        <v/>
      </c>
      <c r="E254" s="78"/>
    </row>
    <row r="255" spans="1:5" x14ac:dyDescent="0.2">
      <c r="A255" s="73" t="str">
        <f>IF('Data - Resample Replaced '!C19="","",'Data - Resample Replaced '!C19)</f>
        <v/>
      </c>
      <c r="B255" s="74" t="str">
        <f>IF('Data - Resample Replaced '!L19="","",'Data - Resample Replaced '!L19)</f>
        <v/>
      </c>
      <c r="C255" s="75" t="str">
        <f>IF('Data - Resample Replaced '!NK19="","",'Data - Resample Replaced '!NK19)</f>
        <v/>
      </c>
      <c r="D255" s="77" t="str">
        <f>IF(C255="","",IF('Data - Resample Replaced '!NI19="","N/A",IF('Data - Resample Replaced '!NI19&lt;Specifications!$D$3,"PASS","FAIL")))</f>
        <v/>
      </c>
      <c r="E255" s="78"/>
    </row>
    <row r="256" spans="1:5" x14ac:dyDescent="0.2">
      <c r="A256" s="73" t="str">
        <f>IF('Data - Resample Replaced '!C20="","",'Data - Resample Replaced '!C20)</f>
        <v/>
      </c>
      <c r="B256" s="74" t="str">
        <f>IF('Data - Resample Replaced '!L20="","",'Data - Resample Replaced '!L20)</f>
        <v/>
      </c>
      <c r="C256" s="75" t="str">
        <f>IF('Data - Resample Replaced '!NK20="","",'Data - Resample Replaced '!NK20)</f>
        <v/>
      </c>
      <c r="D256" s="77" t="str">
        <f>IF(C256="","",IF('Data - Resample Replaced '!NI20="","N/A",IF('Data - Resample Replaced '!NI20&lt;Specifications!$D$3,"PASS","FAIL")))</f>
        <v/>
      </c>
      <c r="E256" s="78"/>
    </row>
    <row r="257" spans="1:5" x14ac:dyDescent="0.2">
      <c r="A257" s="73" t="str">
        <f>IF('Data - Resample Replaced '!C21="","",'Data - Resample Replaced '!C21)</f>
        <v/>
      </c>
      <c r="B257" s="74" t="str">
        <f>IF('Data - Resample Replaced '!L21="","",'Data - Resample Replaced '!L21)</f>
        <v/>
      </c>
      <c r="C257" s="75" t="str">
        <f>IF('Data - Resample Replaced '!NK21="","",'Data - Resample Replaced '!NK21)</f>
        <v/>
      </c>
      <c r="D257" s="77" t="str">
        <f>IF(C257="","",IF('Data - Resample Replaced '!NI21="","N/A",IF('Data - Resample Replaced '!NI21&lt;Specifications!$D$3,"PASS","FAIL")))</f>
        <v/>
      </c>
      <c r="E257" s="78"/>
    </row>
    <row r="258" spans="1:5" x14ac:dyDescent="0.2">
      <c r="A258" s="73" t="str">
        <f>IF('Data - Resample Replaced '!C22="","",'Data - Resample Replaced '!C22)</f>
        <v/>
      </c>
      <c r="B258" s="74" t="str">
        <f>IF('Data - Resample Replaced '!L22="","",'Data - Resample Replaced '!L22)</f>
        <v/>
      </c>
      <c r="C258" s="75" t="str">
        <f>IF('Data - Resample Replaced '!NK22="","",'Data - Resample Replaced '!NK22)</f>
        <v/>
      </c>
      <c r="D258" s="77" t="str">
        <f>IF(C258="","",IF('Data - Resample Replaced '!NI22="","N/A",IF('Data - Resample Replaced '!NI22&lt;Specifications!$D$3,"PASS","FAIL")))</f>
        <v/>
      </c>
      <c r="E258" s="78"/>
    </row>
    <row r="259" spans="1:5" x14ac:dyDescent="0.2">
      <c r="A259" s="73" t="str">
        <f>IF('Data - Resample Replaced '!C23="","",'Data - Resample Replaced '!C23)</f>
        <v/>
      </c>
      <c r="B259" s="74" t="str">
        <f>IF('Data - Resample Replaced '!L23="","",'Data - Resample Replaced '!L23)</f>
        <v/>
      </c>
      <c r="C259" s="75" t="str">
        <f>IF('Data - Resample Replaced '!NK23="","",'Data - Resample Replaced '!NK23)</f>
        <v/>
      </c>
      <c r="D259" s="77" t="str">
        <f>IF(C259="","",IF('Data - Resample Replaced '!NI23="","N/A",IF('Data - Resample Replaced '!NI23&lt;Specifications!$D$3,"PASS","FAIL")))</f>
        <v/>
      </c>
      <c r="E259" s="78"/>
    </row>
    <row r="260" spans="1:5" x14ac:dyDescent="0.2">
      <c r="A260" s="73" t="str">
        <f>IF('Data - Resample Replaced '!C24="","",'Data - Resample Replaced '!C24)</f>
        <v/>
      </c>
      <c r="B260" s="74" t="str">
        <f>IF('Data - Resample Replaced '!L24="","",'Data - Resample Replaced '!L24)</f>
        <v/>
      </c>
      <c r="C260" s="75" t="str">
        <f>IF('Data - Resample Replaced '!NK24="","",'Data - Resample Replaced '!NK24)</f>
        <v/>
      </c>
      <c r="D260" s="77" t="str">
        <f>IF(C260="","",IF('Data - Resample Replaced '!NI24="","N/A",IF('Data - Resample Replaced '!NI24&lt;Specifications!$D$3,"PASS","FAIL")))</f>
        <v/>
      </c>
      <c r="E260" s="78"/>
    </row>
    <row r="261" spans="1:5" x14ac:dyDescent="0.2">
      <c r="A261" s="73" t="str">
        <f>IF('Data - Resample Replaced '!C25="","",'Data - Resample Replaced '!C25)</f>
        <v/>
      </c>
      <c r="B261" s="74" t="str">
        <f>IF('Data - Resample Replaced '!L25="","",'Data - Resample Replaced '!L25)</f>
        <v/>
      </c>
      <c r="C261" s="75" t="str">
        <f>IF('Data - Resample Replaced '!NK25="","",'Data - Resample Replaced '!NK25)</f>
        <v/>
      </c>
      <c r="D261" s="77" t="str">
        <f>IF(C261="","",IF('Data - Resample Replaced '!NI25="","N/A",IF('Data - Resample Replaced '!NI25&lt;Specifications!$D$3,"PASS","FAIL")))</f>
        <v/>
      </c>
      <c r="E261" s="78"/>
    </row>
    <row r="262" spans="1:5" x14ac:dyDescent="0.2">
      <c r="A262" s="73" t="str">
        <f>IF('Data - Resample Replaced '!C26="","",'Data - Resample Replaced '!C26)</f>
        <v/>
      </c>
      <c r="B262" s="74" t="str">
        <f>IF('Data - Resample Replaced '!L26="","",'Data - Resample Replaced '!L26)</f>
        <v/>
      </c>
      <c r="C262" s="75" t="str">
        <f>IF('Data - Resample Replaced '!NK26="","",'Data - Resample Replaced '!NK26)</f>
        <v/>
      </c>
      <c r="D262" s="77" t="str">
        <f>IF(C262="","",IF('Data - Resample Replaced '!NI26="","N/A",IF('Data - Resample Replaced '!NI26&lt;Specifications!$D$3,"PASS","FAIL")))</f>
        <v/>
      </c>
      <c r="E262" s="78"/>
    </row>
    <row r="263" spans="1:5" x14ac:dyDescent="0.2">
      <c r="A263" s="73" t="str">
        <f>IF('Data - Resample Replaced '!C27="","",'Data - Resample Replaced '!C27)</f>
        <v/>
      </c>
      <c r="B263" s="74" t="str">
        <f>IF('Data - Resample Replaced '!L27="","",'Data - Resample Replaced '!L27)</f>
        <v/>
      </c>
      <c r="C263" s="75" t="str">
        <f>IF('Data - Resample Replaced '!NK27="","",'Data - Resample Replaced '!NK27)</f>
        <v/>
      </c>
      <c r="D263" s="77" t="str">
        <f>IF(C263="","",IF('Data - Resample Replaced '!NI27="","N/A",IF('Data - Resample Replaced '!NI27&lt;Specifications!$D$3,"PASS","FAIL")))</f>
        <v/>
      </c>
      <c r="E263" s="78"/>
    </row>
    <row r="264" spans="1:5" x14ac:dyDescent="0.2">
      <c r="A264" s="73" t="str">
        <f>IF('Data - Resample Replaced '!C28="","",'Data - Resample Replaced '!C28)</f>
        <v/>
      </c>
      <c r="B264" s="74" t="str">
        <f>IF('Data - Resample Replaced '!L28="","",'Data - Resample Replaced '!L28)</f>
        <v/>
      </c>
      <c r="C264" s="75" t="str">
        <f>IF('Data - Resample Replaced '!NK28="","",'Data - Resample Replaced '!NK28)</f>
        <v/>
      </c>
      <c r="D264" s="77" t="str">
        <f>IF(C264="","",IF('Data - Resample Replaced '!NI28="","N/A",IF('Data - Resample Replaced '!NI28&lt;Specifications!$D$3,"PASS","FAIL")))</f>
        <v/>
      </c>
      <c r="E264" s="78"/>
    </row>
    <row r="265" spans="1:5" x14ac:dyDescent="0.2">
      <c r="A265" s="73" t="str">
        <f>IF('Data - Resample Replaced '!C29="","",'Data - Resample Replaced '!C29)</f>
        <v/>
      </c>
      <c r="B265" s="74" t="str">
        <f>IF('Data - Resample Replaced '!L29="","",'Data - Resample Replaced '!L29)</f>
        <v/>
      </c>
      <c r="C265" s="75" t="str">
        <f>IF('Data - Resample Replaced '!NK29="","",'Data - Resample Replaced '!NK29)</f>
        <v/>
      </c>
      <c r="D265" s="77" t="str">
        <f>IF(C265="","",IF('Data - Resample Replaced '!NI29="","N/A",IF('Data - Resample Replaced '!NI29&lt;Specifications!$D$3,"PASS","FAIL")))</f>
        <v/>
      </c>
      <c r="E265" s="78"/>
    </row>
    <row r="266" spans="1:5" x14ac:dyDescent="0.2">
      <c r="A266" s="73" t="str">
        <f>IF('Data - Resample Replaced '!C30="","",'Data - Resample Replaced '!C30)</f>
        <v/>
      </c>
      <c r="B266" s="74" t="str">
        <f>IF('Data - Resample Replaced '!L30="","",'Data - Resample Replaced '!L30)</f>
        <v/>
      </c>
      <c r="C266" s="75" t="str">
        <f>IF('Data - Resample Replaced '!NK30="","",'Data - Resample Replaced '!NK30)</f>
        <v/>
      </c>
      <c r="D266" s="77" t="str">
        <f>IF(C266="","",IF('Data - Resample Replaced '!NI30="","N/A",IF('Data - Resample Replaced '!NI30&lt;Specifications!$D$3,"PASS","FAIL")))</f>
        <v/>
      </c>
      <c r="E266" s="78"/>
    </row>
    <row r="267" spans="1:5" x14ac:dyDescent="0.2">
      <c r="A267" s="73" t="str">
        <f>IF('Data - Resample Replaced '!C31="","",'Data - Resample Replaced '!C31)</f>
        <v/>
      </c>
      <c r="B267" s="74" t="str">
        <f>IF('Data - Resample Replaced '!L31="","",'Data - Resample Replaced '!L31)</f>
        <v/>
      </c>
      <c r="C267" s="75" t="str">
        <f>IF('Data - Resample Replaced '!NK31="","",'Data - Resample Replaced '!NK31)</f>
        <v/>
      </c>
      <c r="D267" s="77" t="str">
        <f>IF(C267="","",IF('Data - Resample Replaced '!NI31="","N/A",IF('Data - Resample Replaced '!NI31&lt;Specifications!$D$3,"PASS","FAIL")))</f>
        <v/>
      </c>
      <c r="E267" s="78"/>
    </row>
    <row r="268" spans="1:5" x14ac:dyDescent="0.2">
      <c r="A268" s="73" t="str">
        <f>IF('Data - Resample Replaced '!C32="","",'Data - Resample Replaced '!C32)</f>
        <v/>
      </c>
      <c r="B268" s="74" t="str">
        <f>IF('Data - Resample Replaced '!L32="","",'Data - Resample Replaced '!L32)</f>
        <v/>
      </c>
      <c r="C268" s="75" t="str">
        <f>IF('Data - Resample Replaced '!NK32="","",'Data - Resample Replaced '!NK32)</f>
        <v/>
      </c>
      <c r="D268" s="77" t="str">
        <f>IF(C268="","",IF('Data - Resample Replaced '!NI32="","N/A",IF('Data - Resample Replaced '!NI32&lt;Specifications!$D$3,"PASS","FAIL")))</f>
        <v/>
      </c>
      <c r="E268" s="78"/>
    </row>
    <row r="269" spans="1:5" x14ac:dyDescent="0.2">
      <c r="A269" s="73" t="str">
        <f>IF('Data - Resample Replaced '!C33="","",'Data - Resample Replaced '!C33)</f>
        <v/>
      </c>
      <c r="B269" s="74" t="str">
        <f>IF('Data - Resample Replaced '!L33="","",'Data - Resample Replaced '!L33)</f>
        <v/>
      </c>
      <c r="C269" s="75" t="str">
        <f>IF('Data - Resample Replaced '!NK33="","",'Data - Resample Replaced '!NK33)</f>
        <v/>
      </c>
      <c r="D269" s="77" t="str">
        <f>IF(C269="","",IF('Data - Resample Replaced '!NI33="","N/A",IF('Data - Resample Replaced '!NI33&lt;Specifications!$D$3,"PASS","FAIL")))</f>
        <v/>
      </c>
      <c r="E269" s="78"/>
    </row>
    <row r="270" spans="1:5" x14ac:dyDescent="0.2">
      <c r="A270" s="73" t="str">
        <f>IF('Data - Resample Replaced '!C34="","",'Data - Resample Replaced '!C34)</f>
        <v/>
      </c>
      <c r="B270" s="74" t="str">
        <f>IF('Data - Resample Replaced '!L34="","",'Data - Resample Replaced '!L34)</f>
        <v/>
      </c>
      <c r="C270" s="75" t="str">
        <f>IF('Data - Resample Replaced '!NK34="","",'Data - Resample Replaced '!NK34)</f>
        <v/>
      </c>
      <c r="D270" s="77" t="str">
        <f>IF(C270="","",IF('Data - Resample Replaced '!NI34="","N/A",IF('Data - Resample Replaced '!NI34&lt;Specifications!$D$3,"PASS","FAIL")))</f>
        <v/>
      </c>
      <c r="E270" s="78"/>
    </row>
    <row r="271" spans="1:5" x14ac:dyDescent="0.2">
      <c r="A271" s="73" t="str">
        <f>IF('Data - Resample Replaced '!C35="","",'Data - Resample Replaced '!C35)</f>
        <v/>
      </c>
      <c r="B271" s="74" t="str">
        <f>IF('Data - Resample Replaced '!L35="","",'Data - Resample Replaced '!L35)</f>
        <v/>
      </c>
      <c r="C271" s="75" t="str">
        <f>IF('Data - Resample Replaced '!NK35="","",'Data - Resample Replaced '!NK35)</f>
        <v/>
      </c>
      <c r="D271" s="77" t="str">
        <f>IF(C271="","",IF('Data - Resample Replaced '!NI35="","N/A",IF('Data - Resample Replaced '!NI35&lt;Specifications!$D$3,"PASS","FAIL")))</f>
        <v/>
      </c>
      <c r="E271" s="78"/>
    </row>
    <row r="272" spans="1:5" x14ac:dyDescent="0.2">
      <c r="A272" s="73" t="str">
        <f>IF('Data - Resample Replaced '!C36="","",'Data - Resample Replaced '!C36)</f>
        <v/>
      </c>
      <c r="B272" s="74" t="str">
        <f>IF('Data - Resample Replaced '!L36="","",'Data - Resample Replaced '!L36)</f>
        <v/>
      </c>
      <c r="C272" s="75" t="str">
        <f>IF('Data - Resample Replaced '!NK36="","",'Data - Resample Replaced '!NK36)</f>
        <v/>
      </c>
      <c r="D272" s="77" t="str">
        <f>IF(C272="","",IF('Data - Resample Replaced '!NI36="","N/A",IF('Data - Resample Replaced '!NI36&lt;Specifications!$D$3,"PASS","FAIL")))</f>
        <v/>
      </c>
      <c r="E272" s="78"/>
    </row>
    <row r="273" spans="1:6" x14ac:dyDescent="0.2">
      <c r="A273" s="73" t="str">
        <f>IF('Data - Resample Replaced '!C37="","",'Data - Resample Replaced '!C37)</f>
        <v/>
      </c>
      <c r="B273" s="74" t="str">
        <f>IF('Data - Resample Replaced '!L37="","",'Data - Resample Replaced '!L37)</f>
        <v/>
      </c>
      <c r="C273" s="75" t="str">
        <f>IF('Data - Resample Replaced '!NK37="","",'Data - Resample Replaced '!NK37)</f>
        <v/>
      </c>
      <c r="D273" s="77" t="str">
        <f>IF(C273="","",IF('Data - Resample Replaced '!NI37="","N/A",IF('Data - Resample Replaced '!NI37&lt;Specifications!$D$3,"PASS","FAIL")))</f>
        <v/>
      </c>
      <c r="E273" s="78"/>
    </row>
    <row r="274" spans="1:6" x14ac:dyDescent="0.2">
      <c r="A274" s="73" t="str">
        <f>IF('Data - Resample Replaced '!C38="","",'Data - Resample Replaced '!C38)</f>
        <v/>
      </c>
      <c r="B274" s="74" t="str">
        <f>IF('Data - Resample Replaced '!L38="","",'Data - Resample Replaced '!L38)</f>
        <v/>
      </c>
      <c r="C274" s="75" t="str">
        <f>IF('Data - Resample Replaced '!NK38="","",'Data - Resample Replaced '!NK38)</f>
        <v/>
      </c>
      <c r="D274" s="77" t="str">
        <f>IF(C274="","",IF('Data - Resample Replaced '!NI38="","N/A",IF('Data - Resample Replaced '!NI38&lt;Specifications!$D$3,"PASS","FAIL")))</f>
        <v/>
      </c>
      <c r="E274" s="78"/>
    </row>
    <row r="275" spans="1:6" x14ac:dyDescent="0.2">
      <c r="A275" s="73" t="str">
        <f>IF('Data - Resample Replaced '!C39="","",'Data - Resample Replaced '!C39)</f>
        <v/>
      </c>
      <c r="B275" s="74" t="str">
        <f>IF('Data - Resample Replaced '!L39="","",'Data - Resample Replaced '!L39)</f>
        <v/>
      </c>
      <c r="C275" s="75" t="str">
        <f>IF('Data - Resample Replaced '!NK39="","",'Data - Resample Replaced '!NK39)</f>
        <v/>
      </c>
      <c r="D275" s="77" t="str">
        <f>IF(C275="","",IF('Data - Resample Replaced '!NI39="","N/A",IF('Data - Resample Replaced '!NI39&lt;Specifications!$D$3,"PASS","FAIL")))</f>
        <v/>
      </c>
      <c r="E275" s="78"/>
    </row>
    <row r="276" spans="1:6" x14ac:dyDescent="0.2">
      <c r="A276" s="73" t="str">
        <f>IF('Data - Resample Replaced '!C40="","",'Data - Resample Replaced '!C40)</f>
        <v/>
      </c>
      <c r="B276" s="74" t="str">
        <f>IF('Data - Resample Replaced '!L40="","",'Data - Resample Replaced '!L40)</f>
        <v/>
      </c>
      <c r="C276" s="75" t="str">
        <f>IF('Data - Resample Replaced '!NK40="","",'Data - Resample Replaced '!NK40)</f>
        <v/>
      </c>
      <c r="D276" s="77" t="str">
        <f>IF(C276="","",IF('Data - Resample Replaced '!NI40="","N/A",IF('Data - Resample Replaced '!NI40&lt;Specifications!$D$3,"PASS","FAIL")))</f>
        <v/>
      </c>
      <c r="E276" s="78"/>
    </row>
    <row r="277" spans="1:6" x14ac:dyDescent="0.2">
      <c r="A277" s="73" t="str">
        <f>IF('Data - Resample Replaced '!C41="","",'Data - Resample Replaced '!C41)</f>
        <v/>
      </c>
      <c r="B277" s="74" t="str">
        <f>IF('Data - Resample Replaced '!L41="","",'Data - Resample Replaced '!L41)</f>
        <v/>
      </c>
      <c r="C277" s="75" t="str">
        <f>IF('Data - Resample Replaced '!NK41="","",'Data - Resample Replaced '!NK41)</f>
        <v/>
      </c>
      <c r="D277" s="77" t="str">
        <f>IF(C277="","",IF('Data - Resample Replaced '!NI41="","N/A",IF('Data - Resample Replaced '!NI41&lt;Specifications!$D$3,"PASS","FAIL")))</f>
        <v/>
      </c>
      <c r="E277" s="78"/>
    </row>
    <row r="278" spans="1:6" x14ac:dyDescent="0.2">
      <c r="A278" s="73" t="str">
        <f>IF('Data - Resample Replaced '!C42="","",'Data - Resample Replaced '!C42)</f>
        <v/>
      </c>
      <c r="B278" s="74" t="str">
        <f>IF('Data - Resample Replaced '!L42="","",'Data - Resample Replaced '!L42)</f>
        <v/>
      </c>
      <c r="C278" s="75" t="str">
        <f>IF('Data - Resample Replaced '!NK42="","",'Data - Resample Replaced '!NK42)</f>
        <v/>
      </c>
      <c r="D278" s="77" t="str">
        <f>IF(C278="","",IF('Data - Resample Replaced '!NI42="","N/A",IF('Data - Resample Replaced '!NI42&lt;Specifications!$D$3,"PASS","FAIL")))</f>
        <v/>
      </c>
      <c r="E278" s="78"/>
    </row>
    <row r="279" spans="1:6" x14ac:dyDescent="0.2">
      <c r="A279" s="73" t="str">
        <f>IF('Data - Resample Replaced '!C43="","",'Data - Resample Replaced '!C43)</f>
        <v/>
      </c>
      <c r="B279" s="74" t="str">
        <f>IF('Data - Resample Replaced '!L43="","",'Data - Resample Replaced '!L43)</f>
        <v/>
      </c>
      <c r="C279" s="75" t="str">
        <f>IF('Data - Resample Replaced '!NK43="","",'Data - Resample Replaced '!NK43)</f>
        <v/>
      </c>
      <c r="D279" s="77" t="str">
        <f>IF(C279="","",IF('Data - Resample Replaced '!NI43="","N/A",IF('Data - Resample Replaced '!NI43&lt;Specifications!$D$3,"PASS","FAIL")))</f>
        <v/>
      </c>
      <c r="E279" s="78"/>
    </row>
    <row r="280" spans="1:6" x14ac:dyDescent="0.2">
      <c r="A280" s="73" t="str">
        <f>IF('Data - Resample Replaced '!C44="","",'Data - Resample Replaced '!C44)</f>
        <v/>
      </c>
      <c r="B280" s="74" t="str">
        <f>IF('Data - Resample Replaced '!L44="","",'Data - Resample Replaced '!L44)</f>
        <v/>
      </c>
      <c r="C280" s="75" t="str">
        <f>IF('Data - Resample Replaced '!NK44="","",'Data - Resample Replaced '!NK44)</f>
        <v/>
      </c>
      <c r="D280" s="77" t="str">
        <f>IF(C280="","",IF('Data - Resample Replaced '!NI44="","N/A",IF('Data - Resample Replaced '!NI44&lt;Specifications!$D$3,"PASS","FAIL")))</f>
        <v/>
      </c>
      <c r="E280" s="78"/>
    </row>
    <row r="281" spans="1:6" x14ac:dyDescent="0.2">
      <c r="A281" s="73" t="str">
        <f>IF('Data - Resample Replaced '!C45="","",'Data - Resample Replaced '!C45)</f>
        <v/>
      </c>
      <c r="B281" s="74" t="str">
        <f>IF('Data - Resample Replaced '!L45="","",'Data - Resample Replaced '!L45)</f>
        <v/>
      </c>
      <c r="C281" s="75" t="str">
        <f>IF('Data - Resample Replaced '!NK45="","",'Data - Resample Replaced '!NK45)</f>
        <v/>
      </c>
      <c r="D281" s="77" t="str">
        <f>IF(C281="","",IF('Data - Resample Replaced '!NI45="","N/A",IF('Data - Resample Replaced '!NI45&lt;Specifications!$D$3,"PASS","FAIL")))</f>
        <v/>
      </c>
      <c r="E281" s="78"/>
    </row>
    <row r="282" spans="1:6" x14ac:dyDescent="0.2">
      <c r="A282" s="73" t="str">
        <f>IF('Data - Resample Replaced '!C46="","",'Data - Resample Replaced '!C46)</f>
        <v/>
      </c>
      <c r="B282" s="74" t="str">
        <f>IF('Data - Resample Replaced '!L46="","",'Data - Resample Replaced '!L46)</f>
        <v/>
      </c>
      <c r="C282" s="75" t="str">
        <f>IF('Data - Resample Replaced '!NK46="","",'Data - Resample Replaced '!NK46)</f>
        <v/>
      </c>
      <c r="D282" s="77" t="str">
        <f>IF(C282="","",IF('Data - Resample Replaced '!NI46="","N/A",IF('Data - Resample Replaced '!NI46&lt;Specifications!$D$3,"PASS","FAIL")))</f>
        <v/>
      </c>
      <c r="E282" s="78"/>
    </row>
    <row r="283" spans="1:6" x14ac:dyDescent="0.2">
      <c r="A283" s="73" t="str">
        <f>IF('Data - Resample Replaced '!C47="","",'Data - Resample Replaced '!C47)</f>
        <v/>
      </c>
      <c r="B283" s="74" t="str">
        <f>IF('Data - Resample Replaced '!L47="","",'Data - Resample Replaced '!L47)</f>
        <v/>
      </c>
      <c r="C283" s="75" t="str">
        <f>IF('Data - Resample Replaced '!NK47="","",'Data - Resample Replaced '!NK47)</f>
        <v/>
      </c>
      <c r="D283" s="77" t="str">
        <f>IF(C283="","",IF('Data - Resample Replaced '!NI47="","N/A",IF('Data - Resample Replaced '!NI47&lt;Specifications!$D$3,"PASS","FAIL")))</f>
        <v/>
      </c>
      <c r="E283" s="78"/>
    </row>
    <row r="284" spans="1:6" x14ac:dyDescent="0.2">
      <c r="A284" s="73" t="str">
        <f>IF('Data - Resample Replaced '!C48="","",'Data - Resample Replaced '!C48)</f>
        <v/>
      </c>
      <c r="B284" s="74" t="str">
        <f>IF('Data - Resample Replaced '!L48="","",'Data - Resample Replaced '!L48)</f>
        <v/>
      </c>
      <c r="C284" s="75" t="str">
        <f>IF('Data - Resample Replaced '!NK48="","",'Data - Resample Replaced '!NK48)</f>
        <v/>
      </c>
      <c r="D284" s="77" t="str">
        <f>IF(C284="","",IF('Data - Resample Replaced '!NI48="","N/A",IF('Data - Resample Replaced '!NI48&lt;Specifications!$D$3,"PASS","FAIL")))</f>
        <v/>
      </c>
      <c r="E284" s="78"/>
    </row>
    <row r="285" spans="1:6" x14ac:dyDescent="0.2">
      <c r="A285" s="73" t="str">
        <f>IF('Data - Resample Replaced '!C49="","",'Data - Resample Replaced '!C49)</f>
        <v/>
      </c>
      <c r="B285" s="74" t="str">
        <f>IF('Data - Resample Replaced '!L49="","",'Data - Resample Replaced '!L49)</f>
        <v/>
      </c>
      <c r="C285" s="75" t="str">
        <f>IF('Data - Resample Replaced '!NK49="","",'Data - Resample Replaced '!NK49)</f>
        <v/>
      </c>
      <c r="D285" s="77" t="str">
        <f>IF(C285="","",IF('Data - Resample Replaced '!NI49="","N/A",IF('Data - Resample Replaced '!NI49&lt;Specifications!$D$3,"PASS","FAIL")))</f>
        <v/>
      </c>
      <c r="E285" s="78"/>
    </row>
    <row r="286" spans="1:6" s="83" customFormat="1" ht="15" x14ac:dyDescent="0.2">
      <c r="A286" s="73" t="str">
        <f>IF('Data - Resample Replaced '!C50="","",'Data - Resample Replaced '!C50)</f>
        <v/>
      </c>
      <c r="B286" s="74" t="str">
        <f>IF('Data - Resample Replaced '!L50="","",'Data - Resample Replaced '!L50)</f>
        <v/>
      </c>
      <c r="C286" s="75" t="str">
        <f>IF('Data - Resample Replaced '!NK50="","",'Data - Resample Replaced '!NK50)</f>
        <v/>
      </c>
      <c r="D286" s="77" t="str">
        <f>IF(C286="","",IF('Data - Resample Replaced '!NI50="","N/A",IF('Data - Resample Replaced '!NI50&lt;Specifications!$D$3,"PASS","FAIL")))</f>
        <v/>
      </c>
      <c r="E286" s="78"/>
      <c r="F286" s="58"/>
    </row>
    <row r="287" spans="1:6" x14ac:dyDescent="0.2">
      <c r="A287" s="73" t="str">
        <f>IF('Data - Resample Replaced '!C51="","",'Data - Resample Replaced '!C51)</f>
        <v/>
      </c>
      <c r="B287" s="74" t="str">
        <f>IF('Data - Resample Replaced '!L51="","",'Data - Resample Replaced '!L51)</f>
        <v/>
      </c>
      <c r="C287" s="75" t="str">
        <f>IF('Data - Resample Replaced '!NK51="","",'Data - Resample Replaced '!NK51)</f>
        <v/>
      </c>
      <c r="D287" s="77" t="str">
        <f>IF(C287="","",IF('Data - Resample Replaced '!NI51="","N/A",IF('Data - Resample Replaced '!NI51&lt;Specifications!$D$3,"PASS","FAIL")))</f>
        <v/>
      </c>
      <c r="E287" s="78"/>
    </row>
    <row r="288" spans="1:6" x14ac:dyDescent="0.2">
      <c r="A288" s="73" t="str">
        <f>IF('Data - Resample Replaced '!C52="","",'Data - Resample Replaced '!C52)</f>
        <v/>
      </c>
      <c r="B288" s="74" t="str">
        <f>IF('Data - Resample Replaced '!L52="","",'Data - Resample Replaced '!L52)</f>
        <v/>
      </c>
      <c r="C288" s="75" t="str">
        <f>IF('Data - Resample Replaced '!NK52="","",'Data - Resample Replaced '!NK52)</f>
        <v/>
      </c>
      <c r="D288" s="77" t="str">
        <f>IF(C288="","",IF('Data - Resample Replaced '!NI52="","N/A",IF('Data - Resample Replaced '!NI52&lt;Specifications!$D$3,"PASS","FAIL")))</f>
        <v/>
      </c>
      <c r="E288" s="78"/>
    </row>
    <row r="289" spans="1:5" x14ac:dyDescent="0.2">
      <c r="A289" s="73" t="str">
        <f>IF('Data - Resample Replaced '!C53="","",'Data - Resample Replaced '!C53)</f>
        <v/>
      </c>
      <c r="B289" s="74" t="str">
        <f>IF('Data - Resample Replaced '!L53="","",'Data - Resample Replaced '!L53)</f>
        <v/>
      </c>
      <c r="C289" s="75" t="str">
        <f>IF('Data - Resample Replaced '!NK53="","",'Data - Resample Replaced '!NK53)</f>
        <v/>
      </c>
      <c r="D289" s="77" t="str">
        <f>IF(C289="","",IF('Data - Resample Replaced '!NI53="","N/A",IF('Data - Resample Replaced '!NI53&lt;Specifications!$D$3,"PASS","FAIL")))</f>
        <v/>
      </c>
      <c r="E289" s="78"/>
    </row>
    <row r="290" spans="1:5" x14ac:dyDescent="0.2">
      <c r="A290" s="73" t="str">
        <f>IF('Data - Resample Replaced '!C54="","",'Data - Resample Replaced '!C54)</f>
        <v/>
      </c>
      <c r="B290" s="74" t="str">
        <f>IF('Data - Resample Replaced '!L54="","",'Data - Resample Replaced '!L54)</f>
        <v/>
      </c>
      <c r="C290" s="75" t="str">
        <f>IF('Data - Resample Replaced '!NK54="","",'Data - Resample Replaced '!NK54)</f>
        <v/>
      </c>
      <c r="D290" s="77" t="str">
        <f>IF(C290="","",IF('Data - Resample Replaced '!NI54="","N/A",IF('Data - Resample Replaced '!NI54&lt;Specifications!$D$3,"PASS","FAIL")))</f>
        <v/>
      </c>
      <c r="E290" s="78"/>
    </row>
    <row r="291" spans="1:5" x14ac:dyDescent="0.2">
      <c r="A291" s="73" t="str">
        <f>IF('Data - Resample Replaced '!C55="","",'Data - Resample Replaced '!C55)</f>
        <v/>
      </c>
      <c r="B291" s="74" t="str">
        <f>IF('Data - Resample Replaced '!L55="","",'Data - Resample Replaced '!L55)</f>
        <v/>
      </c>
      <c r="C291" s="75" t="str">
        <f>IF('Data - Resample Replaced '!NK55="","",'Data - Resample Replaced '!NK55)</f>
        <v/>
      </c>
      <c r="D291" s="77" t="str">
        <f>IF(C291="","",IF('Data - Resample Replaced '!NI55="","N/A",IF('Data - Resample Replaced '!NI55&lt;Specifications!$D$3,"PASS","FAIL")))</f>
        <v/>
      </c>
      <c r="E291" s="78"/>
    </row>
    <row r="292" spans="1:5" x14ac:dyDescent="0.2">
      <c r="A292" s="73" t="str">
        <f>IF('Data - Resample Replaced '!C56="","",'Data - Resample Replaced '!C56)</f>
        <v/>
      </c>
      <c r="B292" s="74" t="str">
        <f>IF('Data - Resample Replaced '!L56="","",'Data - Resample Replaced '!L56)</f>
        <v/>
      </c>
      <c r="C292" s="75" t="str">
        <f>IF('Data - Resample Replaced '!NK56="","",'Data - Resample Replaced '!NK56)</f>
        <v/>
      </c>
      <c r="D292" s="77" t="str">
        <f>IF(C292="","",IF('Data - Resample Replaced '!NI56="","N/A",IF('Data - Resample Replaced '!NI56&lt;Specifications!$D$3,"PASS","FAIL")))</f>
        <v/>
      </c>
      <c r="E292" s="78"/>
    </row>
    <row r="293" spans="1:5" x14ac:dyDescent="0.2">
      <c r="A293" s="73" t="str">
        <f>IF('Data - Resample Replaced '!C57="","",'Data - Resample Replaced '!C57)</f>
        <v/>
      </c>
      <c r="B293" s="74" t="str">
        <f>IF('Data - Resample Replaced '!L57="","",'Data - Resample Replaced '!L57)</f>
        <v/>
      </c>
      <c r="C293" s="75" t="str">
        <f>IF('Data - Resample Replaced '!NK57="","",'Data - Resample Replaced '!NK57)</f>
        <v/>
      </c>
      <c r="D293" s="77" t="str">
        <f>IF(C293="","",IF('Data - Resample Replaced '!NI57="","N/A",IF('Data - Resample Replaced '!NI57&lt;Specifications!$D$3,"PASS","FAIL")))</f>
        <v/>
      </c>
      <c r="E293" s="78"/>
    </row>
    <row r="294" spans="1:5" x14ac:dyDescent="0.2">
      <c r="A294" s="73" t="str">
        <f>IF('Data - Resample Replaced '!C58="","",'Data - Resample Replaced '!C58)</f>
        <v/>
      </c>
      <c r="B294" s="74" t="str">
        <f>IF('Data - Resample Replaced '!L58="","",'Data - Resample Replaced '!L58)</f>
        <v/>
      </c>
      <c r="C294" s="75" t="str">
        <f>IF('Data - Resample Replaced '!NK58="","",'Data - Resample Replaced '!NK58)</f>
        <v/>
      </c>
      <c r="D294" s="77" t="str">
        <f>IF(C294="","",IF('Data - Resample Replaced '!NI58="","N/A",IF('Data - Resample Replaced '!NI58&lt;Specifications!$D$3,"PASS","FAIL")))</f>
        <v/>
      </c>
      <c r="E294" s="78"/>
    </row>
    <row r="295" spans="1:5" x14ac:dyDescent="0.2">
      <c r="A295" s="73" t="str">
        <f>IF('Data - Resample Replaced '!C59="","",'Data - Resample Replaced '!C59)</f>
        <v/>
      </c>
      <c r="B295" s="74" t="str">
        <f>IF('Data - Resample Replaced '!L59="","",'Data - Resample Replaced '!L59)</f>
        <v/>
      </c>
      <c r="C295" s="75" t="str">
        <f>IF('Data - Resample Replaced '!NK59="","",'Data - Resample Replaced '!NK59)</f>
        <v/>
      </c>
      <c r="D295" s="77" t="str">
        <f>IF(C295="","",IF('Data - Resample Replaced '!NI59="","N/A",IF('Data - Resample Replaced '!NI59&lt;Specifications!$D$3,"PASS","FAIL")))</f>
        <v/>
      </c>
      <c r="E295" s="78"/>
    </row>
    <row r="296" spans="1:5" x14ac:dyDescent="0.2">
      <c r="A296" s="73" t="str">
        <f>IF('Data - Resample Replaced '!C60="","",'Data - Resample Replaced '!C60)</f>
        <v/>
      </c>
      <c r="B296" s="74" t="str">
        <f>IF('Data - Resample Replaced '!L60="","",'Data - Resample Replaced '!L60)</f>
        <v/>
      </c>
      <c r="C296" s="75" t="str">
        <f>IF('Data - Resample Replaced '!NK60="","",'Data - Resample Replaced '!NK60)</f>
        <v/>
      </c>
      <c r="D296" s="77" t="str">
        <f>IF(C296="","",IF('Data - Resample Replaced '!NI60="","N/A",IF('Data - Resample Replaced '!NI60&lt;Specifications!$D$3,"PASS","FAIL")))</f>
        <v/>
      </c>
      <c r="E296" s="78"/>
    </row>
    <row r="297" spans="1:5" x14ac:dyDescent="0.2">
      <c r="A297" s="73" t="str">
        <f>IF('Data - Resample Replaced '!C61="","",'Data - Resample Replaced '!C61)</f>
        <v/>
      </c>
      <c r="B297" s="74" t="str">
        <f>IF('Data - Resample Replaced '!L61="","",'Data - Resample Replaced '!L61)</f>
        <v/>
      </c>
      <c r="C297" s="75" t="str">
        <f>IF('Data - Resample Replaced '!NK61="","",'Data - Resample Replaced '!NK61)</f>
        <v/>
      </c>
      <c r="D297" s="77" t="str">
        <f>IF(C297="","",IF('Data - Resample Replaced '!NI61="","N/A",IF('Data - Resample Replaced '!NI61&lt;Specifications!$D$3,"PASS","FAIL")))</f>
        <v/>
      </c>
      <c r="E297" s="78"/>
    </row>
    <row r="298" spans="1:5" x14ac:dyDescent="0.2">
      <c r="A298" s="73" t="str">
        <f>IF('Data - Resample Replaced '!C62="","",'Data - Resample Replaced '!C62)</f>
        <v/>
      </c>
      <c r="B298" s="74" t="str">
        <f>IF('Data - Resample Replaced '!L62="","",'Data - Resample Replaced '!L62)</f>
        <v/>
      </c>
      <c r="C298" s="75" t="str">
        <f>IF('Data - Resample Replaced '!NK62="","",'Data - Resample Replaced '!NK62)</f>
        <v/>
      </c>
      <c r="D298" s="77" t="str">
        <f>IF(C298="","",IF('Data - Resample Replaced '!NI62="","N/A",IF('Data - Resample Replaced '!NI62&lt;Specifications!$D$3,"PASS","FAIL")))</f>
        <v/>
      </c>
      <c r="E298" s="78"/>
    </row>
    <row r="299" spans="1:5" x14ac:dyDescent="0.2">
      <c r="A299" s="73" t="str">
        <f>IF('Data - Resample Replaced '!C63="","",'Data - Resample Replaced '!C63)</f>
        <v/>
      </c>
      <c r="B299" s="74" t="str">
        <f>IF('Data - Resample Replaced '!L63="","",'Data - Resample Replaced '!L63)</f>
        <v/>
      </c>
      <c r="C299" s="75" t="str">
        <f>IF('Data - Resample Replaced '!NK63="","",'Data - Resample Replaced '!NK63)</f>
        <v/>
      </c>
      <c r="D299" s="77" t="str">
        <f>IF(C299="","",IF('Data - Resample Replaced '!NI63="","N/A",IF('Data - Resample Replaced '!NI63&lt;Specifications!$D$3,"PASS","FAIL")))</f>
        <v/>
      </c>
      <c r="E299" s="78"/>
    </row>
    <row r="300" spans="1:5" x14ac:dyDescent="0.2">
      <c r="A300" s="73" t="str">
        <f>IF('Data - Resample Replaced '!C64="","",'Data - Resample Replaced '!C64)</f>
        <v/>
      </c>
      <c r="B300" s="74" t="str">
        <f>IF('Data - Resample Replaced '!L64="","",'Data - Resample Replaced '!L64)</f>
        <v/>
      </c>
      <c r="C300" s="75" t="str">
        <f>IF('Data - Resample Replaced '!NK64="","",'Data - Resample Replaced '!NK64)</f>
        <v/>
      </c>
      <c r="D300" s="77" t="str">
        <f>IF(C300="","",IF('Data - Resample Replaced '!NI64="","N/A",IF('Data - Resample Replaced '!NI64&lt;Specifications!$D$3,"PASS","FAIL")))</f>
        <v/>
      </c>
      <c r="E300" s="78"/>
    </row>
    <row r="301" spans="1:5" x14ac:dyDescent="0.2">
      <c r="A301" s="73" t="str">
        <f>IF('Data - Resample Replaced '!C65="","",'Data - Resample Replaced '!C65)</f>
        <v/>
      </c>
      <c r="B301" s="74" t="str">
        <f>IF('Data - Resample Replaced '!L65="","",'Data - Resample Replaced '!L65)</f>
        <v/>
      </c>
      <c r="C301" s="75" t="str">
        <f>IF('Data - Resample Replaced '!NK65="","",'Data - Resample Replaced '!NK65)</f>
        <v/>
      </c>
      <c r="D301" s="77" t="str">
        <f>IF(C301="","",IF('Data - Resample Replaced '!NI65="","N/A",IF('Data - Resample Replaced '!NI65&lt;Specifications!$D$3,"PASS","FAIL")))</f>
        <v/>
      </c>
      <c r="E301" s="78"/>
    </row>
    <row r="302" spans="1:5" x14ac:dyDescent="0.2">
      <c r="A302" s="73" t="str">
        <f>IF('Data - Resample Replaced '!C66="","",'Data - Resample Replaced '!C66)</f>
        <v/>
      </c>
      <c r="B302" s="74" t="str">
        <f>IF('Data - Resample Replaced '!L66="","",'Data - Resample Replaced '!L66)</f>
        <v/>
      </c>
      <c r="C302" s="75" t="str">
        <f>IF('Data - Resample Replaced '!NK66="","",'Data - Resample Replaced '!NK66)</f>
        <v/>
      </c>
      <c r="D302" s="77" t="str">
        <f>IF(C302="","",IF('Data - Resample Replaced '!NI66="","N/A",IF('Data - Resample Replaced '!NI66&lt;Specifications!$D$3,"PASS","FAIL")))</f>
        <v/>
      </c>
      <c r="E302" s="78"/>
    </row>
    <row r="303" spans="1:5" x14ac:dyDescent="0.2">
      <c r="A303" s="73" t="str">
        <f>IF('Data - Resample Replaced '!C67="","",'Data - Resample Replaced '!C67)</f>
        <v/>
      </c>
      <c r="B303" s="74" t="str">
        <f>IF('Data - Resample Replaced '!L67="","",'Data - Resample Replaced '!L67)</f>
        <v/>
      </c>
      <c r="C303" s="75" t="str">
        <f>IF('Data - Resample Replaced '!NK67="","",'Data - Resample Replaced '!NK67)</f>
        <v/>
      </c>
      <c r="D303" s="77" t="str">
        <f>IF(C303="","",IF('Data - Resample Replaced '!NI67="","N/A",IF('Data - Resample Replaced '!NI67&lt;Specifications!$D$3,"PASS","FAIL")))</f>
        <v/>
      </c>
      <c r="E303" s="78"/>
    </row>
    <row r="304" spans="1:5" x14ac:dyDescent="0.2">
      <c r="A304" s="73" t="str">
        <f>IF('Data - Resample Replaced '!C68="","",'Data - Resample Replaced '!C68)</f>
        <v/>
      </c>
      <c r="B304" s="74" t="str">
        <f>IF('Data - Resample Replaced '!L68="","",'Data - Resample Replaced '!L68)</f>
        <v/>
      </c>
      <c r="C304" s="75" t="str">
        <f>IF('Data - Resample Replaced '!NK68="","",'Data - Resample Replaced '!NK68)</f>
        <v/>
      </c>
      <c r="D304" s="77" t="str">
        <f>IF(C304="","",IF('Data - Resample Replaced '!NI68="","N/A",IF('Data - Resample Replaced '!NI68&lt;Specifications!$D$3,"PASS","FAIL")))</f>
        <v/>
      </c>
      <c r="E304" s="78"/>
    </row>
    <row r="305" spans="1:5" x14ac:dyDescent="0.2">
      <c r="A305" s="73" t="str">
        <f>IF('Data - Resample Replaced '!C69="","",'Data - Resample Replaced '!C69)</f>
        <v/>
      </c>
      <c r="B305" s="74" t="str">
        <f>IF('Data - Resample Replaced '!L69="","",'Data - Resample Replaced '!L69)</f>
        <v/>
      </c>
      <c r="C305" s="75" t="str">
        <f>IF('Data - Resample Replaced '!NK69="","",'Data - Resample Replaced '!NK69)</f>
        <v/>
      </c>
      <c r="D305" s="77" t="str">
        <f>IF(C305="","",IF('Data - Resample Replaced '!NI69="","N/A",IF('Data - Resample Replaced '!NI69&lt;Specifications!$D$3,"PASS","FAIL")))</f>
        <v/>
      </c>
      <c r="E305" s="78"/>
    </row>
    <row r="306" spans="1:5" x14ac:dyDescent="0.2">
      <c r="A306" s="73" t="str">
        <f>IF('Data - Resample Replaced '!C70="","",'Data - Resample Replaced '!C70)</f>
        <v/>
      </c>
      <c r="B306" s="74" t="str">
        <f>IF('Data - Resample Replaced '!L70="","",'Data - Resample Replaced '!L70)</f>
        <v/>
      </c>
      <c r="C306" s="75" t="str">
        <f>IF('Data - Resample Replaced '!NK70="","",'Data - Resample Replaced '!NK70)</f>
        <v/>
      </c>
      <c r="D306" s="77" t="str">
        <f>IF(C306="","",IF('Data - Resample Replaced '!NI70="","N/A",IF('Data - Resample Replaced '!NI70&lt;Specifications!$D$3,"PASS","FAIL")))</f>
        <v/>
      </c>
      <c r="E306" s="78"/>
    </row>
    <row r="307" spans="1:5" x14ac:dyDescent="0.2">
      <c r="A307" s="73" t="str">
        <f>IF('Data - Resample Replaced '!C71="","",'Data - Resample Replaced '!C71)</f>
        <v/>
      </c>
      <c r="B307" s="74" t="str">
        <f>IF('Data - Resample Replaced '!L71="","",'Data - Resample Replaced '!L71)</f>
        <v/>
      </c>
      <c r="C307" s="75" t="str">
        <f>IF('Data - Resample Replaced '!NK71="","",'Data - Resample Replaced '!NK71)</f>
        <v/>
      </c>
      <c r="D307" s="77" t="str">
        <f>IF(C307="","",IF('Data - Resample Replaced '!NI71="","N/A",IF('Data - Resample Replaced '!NI71&lt;Specifications!$D$3,"PASS","FAIL")))</f>
        <v/>
      </c>
      <c r="E307" s="78"/>
    </row>
    <row r="308" spans="1:5" x14ac:dyDescent="0.2">
      <c r="A308" s="73" t="str">
        <f>IF('Data - Resample Replaced '!C72="","",'Data - Resample Replaced '!C72)</f>
        <v/>
      </c>
      <c r="B308" s="74" t="str">
        <f>IF('Data - Resample Replaced '!L72="","",'Data - Resample Replaced '!L72)</f>
        <v/>
      </c>
      <c r="C308" s="75" t="str">
        <f>IF('Data - Resample Replaced '!NK72="","",'Data - Resample Replaced '!NK72)</f>
        <v/>
      </c>
      <c r="D308" s="77" t="str">
        <f>IF(C308="","",IF('Data - Resample Replaced '!NI72="","N/A",IF('Data - Resample Replaced '!NI72&lt;Specifications!$D$3,"PASS","FAIL")))</f>
        <v/>
      </c>
      <c r="E308" s="78"/>
    </row>
    <row r="309" spans="1:5" x14ac:dyDescent="0.2">
      <c r="A309" s="73" t="str">
        <f>IF('Data - Resample Replaced '!C73="","",'Data - Resample Replaced '!C73)</f>
        <v/>
      </c>
      <c r="B309" s="74" t="str">
        <f>IF('Data - Resample Replaced '!L73="","",'Data - Resample Replaced '!L73)</f>
        <v/>
      </c>
      <c r="C309" s="75" t="str">
        <f>IF('Data - Resample Replaced '!NK73="","",'Data - Resample Replaced '!NK73)</f>
        <v/>
      </c>
      <c r="D309" s="77" t="str">
        <f>IF(C309="","",IF('Data - Resample Replaced '!NI73="","N/A",IF('Data - Resample Replaced '!NI73&lt;Specifications!$D$3,"PASS","FAIL")))</f>
        <v/>
      </c>
      <c r="E309" s="78"/>
    </row>
    <row r="310" spans="1:5" x14ac:dyDescent="0.2">
      <c r="A310" s="73" t="str">
        <f>IF('Data - Resample Replaced '!C74="","",'Data - Resample Replaced '!C74)</f>
        <v/>
      </c>
      <c r="B310" s="74" t="str">
        <f>IF('Data - Resample Replaced '!L74="","",'Data - Resample Replaced '!L74)</f>
        <v/>
      </c>
      <c r="C310" s="75" t="str">
        <f>IF('Data - Resample Replaced '!NK74="","",'Data - Resample Replaced '!NK74)</f>
        <v/>
      </c>
      <c r="D310" s="77" t="str">
        <f>IF(C310="","",IF('Data - Resample Replaced '!NI74="","N/A",IF('Data - Resample Replaced '!NI74&lt;Specifications!$D$3,"PASS","FAIL")))</f>
        <v/>
      </c>
      <c r="E310" s="78"/>
    </row>
    <row r="311" spans="1:5" x14ac:dyDescent="0.2">
      <c r="A311" s="73" t="str">
        <f>IF('Data - Resample Replaced '!C75="","",'Data - Resample Replaced '!C75)</f>
        <v/>
      </c>
      <c r="B311" s="74" t="str">
        <f>IF('Data - Resample Replaced '!L75="","",'Data - Resample Replaced '!L75)</f>
        <v/>
      </c>
      <c r="C311" s="75" t="str">
        <f>IF('Data - Resample Replaced '!NK75="","",'Data - Resample Replaced '!NK75)</f>
        <v/>
      </c>
      <c r="D311" s="77" t="str">
        <f>IF(C311="","",IF('Data - Resample Replaced '!NI75="","N/A",IF('Data - Resample Replaced '!NI75&lt;Specifications!$D$3,"PASS","FAIL")))</f>
        <v/>
      </c>
      <c r="E311" s="78"/>
    </row>
    <row r="312" spans="1:5" x14ac:dyDescent="0.2">
      <c r="A312" s="73" t="str">
        <f>IF('Data - Resample Replaced '!C76="","",'Data - Resample Replaced '!C76)</f>
        <v/>
      </c>
      <c r="B312" s="74" t="str">
        <f>IF('Data - Resample Replaced '!L76="","",'Data - Resample Replaced '!L76)</f>
        <v/>
      </c>
      <c r="C312" s="75" t="str">
        <f>IF('Data - Resample Replaced '!NK76="","",'Data - Resample Replaced '!NK76)</f>
        <v/>
      </c>
      <c r="D312" s="77" t="str">
        <f>IF(C312="","",IF('Data - Resample Replaced '!NI76="","N/A",IF('Data - Resample Replaced '!NI76&lt;Specifications!$D$3,"PASS","FAIL")))</f>
        <v/>
      </c>
      <c r="E312" s="78"/>
    </row>
    <row r="313" spans="1:5" x14ac:dyDescent="0.2">
      <c r="A313" s="73" t="str">
        <f>IF('Data - Resample Replaced '!C77="","",'Data - Resample Replaced '!C77)</f>
        <v/>
      </c>
      <c r="B313" s="74" t="str">
        <f>IF('Data - Resample Replaced '!L77="","",'Data - Resample Replaced '!L77)</f>
        <v/>
      </c>
      <c r="C313" s="75" t="str">
        <f>IF('Data - Resample Replaced '!NK77="","",'Data - Resample Replaced '!NK77)</f>
        <v/>
      </c>
      <c r="D313" s="77" t="str">
        <f>IF(C313="","",IF('Data - Resample Replaced '!NI77="","N/A",IF('Data - Resample Replaced '!NI77&lt;Specifications!$D$3,"PASS","FAIL")))</f>
        <v/>
      </c>
      <c r="E313" s="78"/>
    </row>
    <row r="314" spans="1:5" x14ac:dyDescent="0.2">
      <c r="A314" s="73" t="str">
        <f>IF('Data - Resample Replaced '!C78="","",'Data - Resample Replaced '!C78)</f>
        <v/>
      </c>
      <c r="B314" s="74" t="str">
        <f>IF('Data - Resample Replaced '!L78="","",'Data - Resample Replaced '!L78)</f>
        <v/>
      </c>
      <c r="C314" s="75" t="str">
        <f>IF('Data - Resample Replaced '!NK78="","",'Data - Resample Replaced '!NK78)</f>
        <v/>
      </c>
      <c r="D314" s="77" t="str">
        <f>IF(C314="","",IF('Data - Resample Replaced '!NI78="","N/A",IF('Data - Resample Replaced '!NI78&lt;Specifications!$D$3,"PASS","FAIL")))</f>
        <v/>
      </c>
      <c r="E314" s="78"/>
    </row>
    <row r="315" spans="1:5" x14ac:dyDescent="0.2">
      <c r="A315" s="73" t="str">
        <f>IF('Data - Resample Replaced '!C79="","",'Data - Resample Replaced '!C79)</f>
        <v/>
      </c>
      <c r="B315" s="74" t="str">
        <f>IF('Data - Resample Replaced '!L79="","",'Data - Resample Replaced '!L79)</f>
        <v/>
      </c>
      <c r="C315" s="75" t="str">
        <f>IF('Data - Resample Replaced '!NK79="","",'Data - Resample Replaced '!NK79)</f>
        <v/>
      </c>
      <c r="D315" s="77" t="str">
        <f>IF(C315="","",IF('Data - Resample Replaced '!NI79="","N/A",IF('Data - Resample Replaced '!NI79&lt;Specifications!$D$3,"PASS","FAIL")))</f>
        <v/>
      </c>
      <c r="E315" s="78"/>
    </row>
    <row r="316" spans="1:5" x14ac:dyDescent="0.2">
      <c r="A316" s="73" t="str">
        <f>IF('Data - Resample Replaced '!C80="","",'Data - Resample Replaced '!C80)</f>
        <v/>
      </c>
      <c r="B316" s="74" t="str">
        <f>IF('Data - Resample Replaced '!L80="","",'Data - Resample Replaced '!L80)</f>
        <v/>
      </c>
      <c r="C316" s="75" t="str">
        <f>IF('Data - Resample Replaced '!NK80="","",'Data - Resample Replaced '!NK80)</f>
        <v/>
      </c>
      <c r="D316" s="77" t="str">
        <f>IF(C316="","",IF('Data - Resample Replaced '!NI80="","N/A",IF('Data - Resample Replaced '!NI80&lt;Specifications!$D$3,"PASS","FAIL")))</f>
        <v/>
      </c>
      <c r="E316" s="78"/>
    </row>
    <row r="317" spans="1:5" x14ac:dyDescent="0.2">
      <c r="A317" s="73" t="str">
        <f>IF('Data - Resample Replaced '!C81="","",'Data - Resample Replaced '!C81)</f>
        <v/>
      </c>
      <c r="B317" s="74" t="str">
        <f>IF('Data - Resample Replaced '!L81="","",'Data - Resample Replaced '!L81)</f>
        <v/>
      </c>
      <c r="C317" s="75" t="str">
        <f>IF('Data - Resample Replaced '!NK81="","",'Data - Resample Replaced '!NK81)</f>
        <v/>
      </c>
      <c r="D317" s="77" t="str">
        <f>IF(C317="","",IF('Data - Resample Replaced '!NI81="","N/A",IF('Data - Resample Replaced '!NI81&lt;Specifications!$D$3,"PASS","FAIL")))</f>
        <v/>
      </c>
      <c r="E317" s="78"/>
    </row>
    <row r="318" spans="1:5" x14ac:dyDescent="0.2">
      <c r="A318" s="73" t="str">
        <f>IF('Data - Resample Replaced '!C82="","",'Data - Resample Replaced '!C82)</f>
        <v/>
      </c>
      <c r="B318" s="74" t="str">
        <f>IF('Data - Resample Replaced '!L82="","",'Data - Resample Replaced '!L82)</f>
        <v/>
      </c>
      <c r="C318" s="75" t="str">
        <f>IF('Data - Resample Replaced '!NK82="","",'Data - Resample Replaced '!NK82)</f>
        <v/>
      </c>
      <c r="D318" s="77" t="str">
        <f>IF(C318="","",IF('Data - Resample Replaced '!NI82="","N/A",IF('Data - Resample Replaced '!NI82&lt;Specifications!$D$3,"PASS","FAIL")))</f>
        <v/>
      </c>
      <c r="E318" s="78"/>
    </row>
    <row r="319" spans="1:5" x14ac:dyDescent="0.2">
      <c r="A319" s="73" t="str">
        <f>IF('Data - Resample Replaced '!C83="","",'Data - Resample Replaced '!C83)</f>
        <v/>
      </c>
      <c r="B319" s="74" t="str">
        <f>IF('Data - Resample Replaced '!L83="","",'Data - Resample Replaced '!L83)</f>
        <v/>
      </c>
      <c r="C319" s="75" t="str">
        <f>IF('Data - Resample Replaced '!NK83="","",'Data - Resample Replaced '!NK83)</f>
        <v/>
      </c>
      <c r="D319" s="77" t="str">
        <f>IF(C319="","",IF('Data - Resample Replaced '!NI83="","N/A",IF('Data - Resample Replaced '!NI83&lt;Specifications!$D$3,"PASS","FAIL")))</f>
        <v/>
      </c>
      <c r="E319" s="78"/>
    </row>
    <row r="320" spans="1:5" x14ac:dyDescent="0.2">
      <c r="A320" s="73" t="str">
        <f>IF('Data - Resample Replaced '!C84="","",'Data - Resample Replaced '!C84)</f>
        <v/>
      </c>
      <c r="B320" s="74" t="str">
        <f>IF('Data - Resample Replaced '!L84="","",'Data - Resample Replaced '!L84)</f>
        <v/>
      </c>
      <c r="C320" s="75" t="str">
        <f>IF('Data - Resample Replaced '!NK84="","",'Data - Resample Replaced '!NK84)</f>
        <v/>
      </c>
      <c r="D320" s="77" t="str">
        <f>IF(C320="","",IF('Data - Resample Replaced '!NI84="","N/A",IF('Data - Resample Replaced '!NI84&lt;Specifications!$D$3,"PASS","FAIL")))</f>
        <v/>
      </c>
      <c r="E320" s="78"/>
    </row>
    <row r="321" spans="1:5" x14ac:dyDescent="0.2">
      <c r="A321" s="73" t="str">
        <f>IF('Data - Resample Replaced '!C85="","",'Data - Resample Replaced '!C85)</f>
        <v/>
      </c>
      <c r="B321" s="74" t="str">
        <f>IF('Data - Resample Replaced '!L85="","",'Data - Resample Replaced '!L85)</f>
        <v/>
      </c>
      <c r="C321" s="75" t="str">
        <f>IF('Data - Resample Replaced '!NK85="","",'Data - Resample Replaced '!NK85)</f>
        <v/>
      </c>
      <c r="D321" s="77" t="str">
        <f>IF(C321="","",IF('Data - Resample Replaced '!NI85="","N/A",IF('Data - Resample Replaced '!NI85&lt;Specifications!$D$3,"PASS","FAIL")))</f>
        <v/>
      </c>
      <c r="E321" s="78"/>
    </row>
    <row r="322" spans="1:5" x14ac:dyDescent="0.2">
      <c r="A322" s="73" t="str">
        <f>IF('Data - Resample Replaced '!C86="","",'Data - Resample Replaced '!C86)</f>
        <v/>
      </c>
      <c r="B322" s="74" t="str">
        <f>IF('Data - Resample Replaced '!L86="","",'Data - Resample Replaced '!L86)</f>
        <v/>
      </c>
      <c r="C322" s="75" t="str">
        <f>IF('Data - Resample Replaced '!NK86="","",'Data - Resample Replaced '!NK86)</f>
        <v/>
      </c>
      <c r="D322" s="77" t="str">
        <f>IF(C322="","",IF('Data - Resample Replaced '!NI86="","N/A",IF('Data - Resample Replaced '!NI86&lt;Specifications!$D$3,"PASS","FAIL")))</f>
        <v/>
      </c>
      <c r="E322" s="78"/>
    </row>
    <row r="323" spans="1:5" x14ac:dyDescent="0.2">
      <c r="A323" s="73" t="str">
        <f>IF('Data - Resample Replaced '!C87="","",'Data - Resample Replaced '!C87)</f>
        <v/>
      </c>
      <c r="B323" s="74" t="str">
        <f>IF('Data - Resample Replaced '!L87="","",'Data - Resample Replaced '!L87)</f>
        <v/>
      </c>
      <c r="C323" s="75" t="str">
        <f>IF('Data - Resample Replaced '!NK87="","",'Data - Resample Replaced '!NK87)</f>
        <v/>
      </c>
      <c r="D323" s="77" t="str">
        <f>IF(C323="","",IF('Data - Resample Replaced '!NI87="","N/A",IF('Data - Resample Replaced '!NI87&lt;Specifications!$D$3,"PASS","FAIL")))</f>
        <v/>
      </c>
      <c r="E323" s="78"/>
    </row>
    <row r="324" spans="1:5" x14ac:dyDescent="0.2">
      <c r="A324" s="73" t="str">
        <f>IF('Data - Resample Replaced '!C88="","",'Data - Resample Replaced '!C88)</f>
        <v/>
      </c>
      <c r="B324" s="74" t="str">
        <f>IF('Data - Resample Replaced '!L88="","",'Data - Resample Replaced '!L88)</f>
        <v/>
      </c>
      <c r="C324" s="75" t="str">
        <f>IF('Data - Resample Replaced '!NK88="","",'Data - Resample Replaced '!NK88)</f>
        <v/>
      </c>
      <c r="D324" s="77" t="str">
        <f>IF(C324="","",IF('Data - Resample Replaced '!NI88="","N/A",IF('Data - Resample Replaced '!NI88&lt;Specifications!$D$3,"PASS","FAIL")))</f>
        <v/>
      </c>
      <c r="E324" s="78"/>
    </row>
    <row r="325" spans="1:5" x14ac:dyDescent="0.2">
      <c r="A325" s="73" t="str">
        <f>IF('Data - Resample Replaced '!C89="","",'Data - Resample Replaced '!C89)</f>
        <v/>
      </c>
      <c r="B325" s="74" t="str">
        <f>IF('Data - Resample Replaced '!L89="","",'Data - Resample Replaced '!L89)</f>
        <v/>
      </c>
      <c r="C325" s="75" t="str">
        <f>IF('Data - Resample Replaced '!NK89="","",'Data - Resample Replaced '!NK89)</f>
        <v/>
      </c>
      <c r="D325" s="77" t="str">
        <f>IF(C325="","",IF('Data - Resample Replaced '!NI89="","N/A",IF('Data - Resample Replaced '!NI89&lt;Specifications!$D$3,"PASS","FAIL")))</f>
        <v/>
      </c>
      <c r="E325" s="78"/>
    </row>
    <row r="326" spans="1:5" x14ac:dyDescent="0.2">
      <c r="A326" s="73" t="str">
        <f>IF('Data - Resample Replaced '!C90="","",'Data - Resample Replaced '!C90)</f>
        <v/>
      </c>
      <c r="B326" s="74" t="str">
        <f>IF('Data - Resample Replaced '!L90="","",'Data - Resample Replaced '!L90)</f>
        <v/>
      </c>
      <c r="C326" s="75" t="str">
        <f>IF('Data - Resample Replaced '!NK90="","",'Data - Resample Replaced '!NK90)</f>
        <v/>
      </c>
      <c r="D326" s="77" t="str">
        <f>IF(C326="","",IF('Data - Resample Replaced '!NI90="","N/A",IF('Data - Resample Replaced '!NI90&lt;Specifications!$D$3,"PASS","FAIL")))</f>
        <v/>
      </c>
      <c r="E326" s="78"/>
    </row>
    <row r="327" spans="1:5" x14ac:dyDescent="0.2">
      <c r="A327" s="73" t="str">
        <f>IF('Data - Resample Replaced '!C91="","",'Data - Resample Replaced '!C91)</f>
        <v/>
      </c>
      <c r="B327" s="74" t="str">
        <f>IF('Data - Resample Replaced '!L91="","",'Data - Resample Replaced '!L91)</f>
        <v/>
      </c>
      <c r="C327" s="75" t="str">
        <f>IF('Data - Resample Replaced '!NK91="","",'Data - Resample Replaced '!NK91)</f>
        <v/>
      </c>
      <c r="D327" s="77" t="str">
        <f>IF(C327="","",IF('Data - Resample Replaced '!NI91="","N/A",IF('Data - Resample Replaced '!NI91&lt;Specifications!$D$3,"PASS","FAIL")))</f>
        <v/>
      </c>
      <c r="E327" s="78"/>
    </row>
    <row r="328" spans="1:5" x14ac:dyDescent="0.2">
      <c r="A328" s="73" t="str">
        <f>IF('Data - Resample Replaced '!C92="","",'Data - Resample Replaced '!C92)</f>
        <v/>
      </c>
      <c r="B328" s="74" t="str">
        <f>IF('Data - Resample Replaced '!L92="","",'Data - Resample Replaced '!L92)</f>
        <v/>
      </c>
      <c r="C328" s="75" t="str">
        <f>IF('Data - Resample Replaced '!NK92="","",'Data - Resample Replaced '!NK92)</f>
        <v/>
      </c>
      <c r="D328" s="77" t="str">
        <f>IF(C328="","",IF('Data - Resample Replaced '!NI92="","N/A",IF('Data - Resample Replaced '!NI92&lt;Specifications!$D$3,"PASS","FAIL")))</f>
        <v/>
      </c>
      <c r="E328" s="78"/>
    </row>
    <row r="329" spans="1:5" x14ac:dyDescent="0.2">
      <c r="A329" s="73" t="str">
        <f>IF('Data - Resample Replaced '!C93="","",'Data - Resample Replaced '!C93)</f>
        <v/>
      </c>
      <c r="B329" s="74" t="str">
        <f>IF('Data - Resample Replaced '!L93="","",'Data - Resample Replaced '!L93)</f>
        <v/>
      </c>
      <c r="C329" s="75" t="str">
        <f>IF('Data - Resample Replaced '!NK93="","",'Data - Resample Replaced '!NK93)</f>
        <v/>
      </c>
      <c r="D329" s="77" t="str">
        <f>IF(C329="","",IF('Data - Resample Replaced '!NI93="","N/A",IF('Data - Resample Replaced '!NI93&lt;Specifications!$D$3,"PASS","FAIL")))</f>
        <v/>
      </c>
      <c r="E329" s="78"/>
    </row>
    <row r="330" spans="1:5" x14ac:dyDescent="0.2">
      <c r="A330" s="73" t="str">
        <f>IF('Data - Resample Replaced '!C94="","",'Data - Resample Replaced '!C94)</f>
        <v/>
      </c>
      <c r="B330" s="74" t="str">
        <f>IF('Data - Resample Replaced '!L94="","",'Data - Resample Replaced '!L94)</f>
        <v/>
      </c>
      <c r="C330" s="75" t="str">
        <f>IF('Data - Resample Replaced '!NK94="","",'Data - Resample Replaced '!NK94)</f>
        <v/>
      </c>
      <c r="D330" s="77" t="str">
        <f>IF(C330="","",IF('Data - Resample Replaced '!NI94="","N/A",IF('Data - Resample Replaced '!NI94&lt;Specifications!$D$3,"PASS","FAIL")))</f>
        <v/>
      </c>
      <c r="E330" s="78"/>
    </row>
    <row r="331" spans="1:5" x14ac:dyDescent="0.2">
      <c r="A331" s="73" t="str">
        <f>IF('Data - Resample Replaced '!C95="","",'Data - Resample Replaced '!C95)</f>
        <v/>
      </c>
      <c r="B331" s="74" t="str">
        <f>IF('Data - Resample Replaced '!L95="","",'Data - Resample Replaced '!L95)</f>
        <v/>
      </c>
      <c r="C331" s="75" t="str">
        <f>IF('Data - Resample Replaced '!NK95="","",'Data - Resample Replaced '!NK95)</f>
        <v/>
      </c>
      <c r="D331" s="77" t="str">
        <f>IF(C331="","",IF('Data - Resample Replaced '!NI95="","N/A",IF('Data - Resample Replaced '!NI95&lt;Specifications!$D$3,"PASS","FAIL")))</f>
        <v/>
      </c>
      <c r="E331" s="78"/>
    </row>
    <row r="332" spans="1:5" x14ac:dyDescent="0.2">
      <c r="A332" s="73" t="str">
        <f>IF('Data - Resample Replaced '!C96="","",'Data - Resample Replaced '!C96)</f>
        <v/>
      </c>
      <c r="B332" s="74" t="str">
        <f>IF('Data - Resample Replaced '!L96="","",'Data - Resample Replaced '!L96)</f>
        <v/>
      </c>
      <c r="C332" s="75" t="str">
        <f>IF('Data - Resample Replaced '!NK96="","",'Data - Resample Replaced '!NK96)</f>
        <v/>
      </c>
      <c r="D332" s="77" t="str">
        <f>IF(C332="","",IF('Data - Resample Replaced '!NI96="","N/A",IF('Data - Resample Replaced '!NI96&lt;Specifications!$D$3,"PASS","FAIL")))</f>
        <v/>
      </c>
      <c r="E332" s="78"/>
    </row>
    <row r="333" spans="1:5" x14ac:dyDescent="0.2">
      <c r="A333" s="73" t="str">
        <f>IF('Data - Resample Replaced '!C97="","",'Data - Resample Replaced '!C97)</f>
        <v/>
      </c>
      <c r="B333" s="74" t="str">
        <f>IF('Data - Resample Replaced '!L97="","",'Data - Resample Replaced '!L97)</f>
        <v/>
      </c>
      <c r="C333" s="75" t="str">
        <f>IF('Data - Resample Replaced '!NK97="","",'Data - Resample Replaced '!NK97)</f>
        <v/>
      </c>
      <c r="D333" s="77" t="str">
        <f>IF(C333="","",IF('Data - Resample Replaced '!NI97="","N/A",IF('Data - Resample Replaced '!NI97&lt;Specifications!$D$3,"PASS","FAIL")))</f>
        <v/>
      </c>
      <c r="E333" s="78"/>
    </row>
    <row r="334" spans="1:5" x14ac:dyDescent="0.2">
      <c r="A334" s="73" t="str">
        <f>IF('Data - Resample Replaced '!C98="","",'Data - Resample Replaced '!C98)</f>
        <v/>
      </c>
      <c r="B334" s="74" t="str">
        <f>IF('Data - Resample Replaced '!L98="","",'Data - Resample Replaced '!L98)</f>
        <v/>
      </c>
      <c r="C334" s="75" t="str">
        <f>IF('Data - Resample Replaced '!NK98="","",'Data - Resample Replaced '!NK98)</f>
        <v/>
      </c>
      <c r="D334" s="77" t="str">
        <f>IF(C334="","",IF('Data - Resample Replaced '!NI98="","N/A",IF('Data - Resample Replaced '!NI98&lt;Specifications!$D$3,"PASS","FAIL")))</f>
        <v/>
      </c>
      <c r="E334" s="78"/>
    </row>
    <row r="335" spans="1:5" x14ac:dyDescent="0.2">
      <c r="A335" s="73" t="str">
        <f>IF('Data - Resample Replaced '!C99="","",'Data - Resample Replaced '!C99)</f>
        <v/>
      </c>
      <c r="B335" s="74" t="str">
        <f>IF('Data - Resample Replaced '!L99="","",'Data - Resample Replaced '!L99)</f>
        <v/>
      </c>
      <c r="C335" s="75" t="str">
        <f>IF('Data - Resample Replaced '!NK99="","",'Data - Resample Replaced '!NK99)</f>
        <v/>
      </c>
      <c r="D335" s="77" t="str">
        <f>IF(C335="","",IF('Data - Resample Replaced '!NI99="","N/A",IF('Data - Resample Replaced '!NI99&lt;Specifications!$D$3,"PASS","FAIL")))</f>
        <v/>
      </c>
      <c r="E335" s="78"/>
    </row>
    <row r="336" spans="1:5" x14ac:dyDescent="0.2">
      <c r="A336" s="73" t="str">
        <f>IF('Data - Resample Replaced '!C100="","",'Data - Resample Replaced '!C100)</f>
        <v/>
      </c>
      <c r="B336" s="74" t="str">
        <f>IF('Data - Resample Replaced '!L100="","",'Data - Resample Replaced '!L100)</f>
        <v/>
      </c>
      <c r="C336" s="75" t="str">
        <f>IF('Data - Resample Replaced '!NK100="","",'Data - Resample Replaced '!NK100)</f>
        <v/>
      </c>
      <c r="D336" s="77" t="str">
        <f>IF(C336="","",IF('Data - Resample Replaced '!NI100="","N/A",IF('Data - Resample Replaced '!NI100&lt;Specifications!$D$3,"PASS","FAIL")))</f>
        <v/>
      </c>
      <c r="E336" s="78"/>
    </row>
    <row r="337" spans="1:5" x14ac:dyDescent="0.2">
      <c r="A337" s="73" t="str">
        <f>IF('Data - Resample Replaced '!C101="","",'Data - Resample Replaced '!C101)</f>
        <v/>
      </c>
      <c r="B337" s="74" t="str">
        <f>IF('Data - Resample Replaced '!L101="","",'Data - Resample Replaced '!L101)</f>
        <v/>
      </c>
      <c r="C337" s="75" t="str">
        <f>IF('Data - Resample Replaced '!NK101="","",'Data - Resample Replaced '!NK101)</f>
        <v/>
      </c>
      <c r="D337" s="77" t="str">
        <f>IF(C337="","",IF('Data - Resample Replaced '!NI101="","N/A",IF('Data - Resample Replaced '!NI101&lt;Specifications!$D$3,"PASS","FAIL")))</f>
        <v/>
      </c>
      <c r="E337" s="78"/>
    </row>
    <row r="339" spans="1:5" ht="15.75" x14ac:dyDescent="0.25">
      <c r="A339" s="91" t="s">
        <v>39</v>
      </c>
      <c r="B339" s="92"/>
      <c r="C339" s="91" t="s">
        <v>23</v>
      </c>
      <c r="D339" s="93"/>
    </row>
  </sheetData>
  <sheetProtection formatColumns="0" formatRows="0"/>
  <mergeCells count="16">
    <mergeCell ref="A4:B4"/>
    <mergeCell ref="A3:B3"/>
    <mergeCell ref="A2:B2"/>
    <mergeCell ref="A1:E1"/>
    <mergeCell ref="D128:E128"/>
    <mergeCell ref="D8:E8"/>
    <mergeCell ref="D7:E7"/>
    <mergeCell ref="D6:E6"/>
    <mergeCell ref="D21:E21"/>
    <mergeCell ref="D22:E22"/>
    <mergeCell ref="D213:E213"/>
    <mergeCell ref="D23:E23"/>
    <mergeCell ref="D126:E126"/>
    <mergeCell ref="D127:E127"/>
    <mergeCell ref="D212:E212"/>
    <mergeCell ref="D211:E211"/>
  </mergeCells>
  <conditionalFormatting sqref="A8">
    <cfRule type="cellIs" dxfId="196" priority="127" operator="equal">
      <formula>"E*"</formula>
    </cfRule>
    <cfRule type="cellIs" dxfId="195" priority="129" operator="equal">
      <formula>"INVALID"</formula>
    </cfRule>
    <cfRule type="cellIs" dxfId="194" priority="130" operator="equal">
      <formula>"MAJOR VISUAL"</formula>
    </cfRule>
    <cfRule type="cellIs" dxfId="193" priority="131" operator="equal">
      <formula>"MAJOR FUNCTIONAL"</formula>
    </cfRule>
    <cfRule type="cellIs" dxfId="192" priority="132" operator="equal">
      <formula>"PASS"</formula>
    </cfRule>
    <cfRule type="cellIs" dxfId="191" priority="123" operator="equal">
      <formula>"BARCODE FAIL"</formula>
    </cfRule>
    <cfRule type="cellIs" dxfId="190" priority="128" operator="equal">
      <formula>"SPC CT=0"</formula>
    </cfRule>
    <cfRule type="cellIs" dxfId="189" priority="124" operator="equal">
      <formula>"MINOR VISUAL"</formula>
    </cfRule>
    <cfRule type="cellIs" dxfId="188" priority="126" operator="equal">
      <formula>"SEAL TEST FAILURE"</formula>
    </cfRule>
    <cfRule type="containsText" dxfId="187" priority="125" operator="containsText" text="Error">
      <formula>NOT(ISERROR(SEARCH("Error",A8)))</formula>
    </cfRule>
  </conditionalFormatting>
  <conditionalFormatting sqref="A23">
    <cfRule type="cellIs" dxfId="186" priority="39" operator="equal">
      <formula>"BARCODE FAIL"</formula>
    </cfRule>
    <cfRule type="cellIs" dxfId="185" priority="40" operator="equal">
      <formula>"MINOR VISUAL"</formula>
    </cfRule>
    <cfRule type="containsText" dxfId="184" priority="41" operator="containsText" text="Error">
      <formula>NOT(ISERROR(SEARCH("Error",A23)))</formula>
    </cfRule>
    <cfRule type="cellIs" dxfId="183" priority="42" operator="equal">
      <formula>"SEAL TEST FAILURE"</formula>
    </cfRule>
    <cfRule type="cellIs" dxfId="182" priority="43" operator="equal">
      <formula>"E*"</formula>
    </cfRule>
    <cfRule type="cellIs" dxfId="181" priority="44" operator="equal">
      <formula>"SPC CT=0"</formula>
    </cfRule>
    <cfRule type="cellIs" dxfId="180" priority="45" operator="equal">
      <formula>"INVALID"</formula>
    </cfRule>
    <cfRule type="cellIs" dxfId="179" priority="46" operator="equal">
      <formula>"MAJOR VISUAL"</formula>
    </cfRule>
    <cfRule type="cellIs" dxfId="178" priority="47" operator="equal">
      <formula>"MAJOR FUNCTIONAL"</formula>
    </cfRule>
    <cfRule type="cellIs" dxfId="177" priority="48" operator="equal">
      <formula>"PASS"</formula>
    </cfRule>
  </conditionalFormatting>
  <conditionalFormatting sqref="A128">
    <cfRule type="containsText" dxfId="176" priority="51" operator="containsText" text="Error">
      <formula>NOT(ISERROR(SEARCH("Error",A128)))</formula>
    </cfRule>
    <cfRule type="cellIs" dxfId="175" priority="52" operator="equal">
      <formula>"SEAL TEST FAILURE"</formula>
    </cfRule>
    <cfRule type="cellIs" dxfId="174" priority="53" operator="equal">
      <formula>"E*"</formula>
    </cfRule>
    <cfRule type="cellIs" dxfId="173" priority="54" operator="equal">
      <formula>"SPC CT=0"</formula>
    </cfRule>
    <cfRule type="cellIs" dxfId="172" priority="55" operator="equal">
      <formula>"INVALID"</formula>
    </cfRule>
    <cfRule type="cellIs" dxfId="171" priority="56" operator="equal">
      <formula>"MAJOR VISUAL"</formula>
    </cfRule>
    <cfRule type="cellIs" dxfId="170" priority="49" operator="equal">
      <formula>"BARCODE FAIL"</formula>
    </cfRule>
    <cfRule type="cellIs" dxfId="169" priority="50" operator="equal">
      <formula>"MINOR VISUAL"</formula>
    </cfRule>
    <cfRule type="cellIs" dxfId="168" priority="58" operator="equal">
      <formula>"PASS"</formula>
    </cfRule>
    <cfRule type="cellIs" dxfId="167" priority="57" operator="equal">
      <formula>"MAJOR FUNCTIONAL"</formula>
    </cfRule>
  </conditionalFormatting>
  <conditionalFormatting sqref="A213">
    <cfRule type="cellIs" dxfId="166" priority="122" operator="equal">
      <formula>"PASS"</formula>
    </cfRule>
    <cfRule type="cellIs" dxfId="165" priority="121" operator="equal">
      <formula>"MAJOR FUNCTIONAL"</formula>
    </cfRule>
    <cfRule type="cellIs" dxfId="164" priority="120" operator="equal">
      <formula>"MAJOR VISUAL"</formula>
    </cfRule>
    <cfRule type="cellIs" dxfId="163" priority="117" operator="equal">
      <formula>"E*"</formula>
    </cfRule>
    <cfRule type="containsText" dxfId="162" priority="115" operator="containsText" text="Error">
      <formula>NOT(ISERROR(SEARCH("Error",A213)))</formula>
    </cfRule>
    <cfRule type="cellIs" dxfId="161" priority="114" operator="equal">
      <formula>"MINOR VISUAL"</formula>
    </cfRule>
    <cfRule type="cellIs" dxfId="160" priority="113" operator="equal">
      <formula>"BARCODE FAIL"</formula>
    </cfRule>
    <cfRule type="cellIs" dxfId="159" priority="116" operator="equal">
      <formula>"SEAL TEST FAILURE"</formula>
    </cfRule>
    <cfRule type="cellIs" dxfId="158" priority="119" operator="equal">
      <formula>"INVALID"</formula>
    </cfRule>
    <cfRule type="cellIs" dxfId="157" priority="118" operator="equal">
      <formula>"SPC CT=0"</formula>
    </cfRule>
  </conditionalFormatting>
  <conditionalFormatting sqref="B6:B7">
    <cfRule type="cellIs" dxfId="156" priority="236" operator="equal">
      <formula>"SEAL TEST FAILURE"</formula>
    </cfRule>
    <cfRule type="containsText" dxfId="155" priority="235" operator="containsText" text="Error">
      <formula>NOT(ISERROR(SEARCH("Error",B6)))</formula>
    </cfRule>
    <cfRule type="cellIs" dxfId="154" priority="234" operator="equal">
      <formula>"MINOR VISUAL"</formula>
    </cfRule>
    <cfRule type="cellIs" dxfId="153" priority="233" operator="equal">
      <formula>"BARCODE FAIL"</formula>
    </cfRule>
    <cfRule type="cellIs" dxfId="152" priority="241" operator="equal">
      <formula>"MAJOR FUNCTIONAL"</formula>
    </cfRule>
    <cfRule type="cellIs" dxfId="151" priority="239" operator="equal">
      <formula>"INVALID"</formula>
    </cfRule>
    <cfRule type="cellIs" dxfId="150" priority="242" operator="equal">
      <formula>"PASS"</formula>
    </cfRule>
    <cfRule type="cellIs" dxfId="149" priority="240" operator="equal">
      <formula>"MAJOR VISUAL"</formula>
    </cfRule>
    <cfRule type="cellIs" dxfId="148" priority="238" operator="equal">
      <formula>"SPC CT=0"</formula>
    </cfRule>
    <cfRule type="cellIs" dxfId="147" priority="237" operator="equal">
      <formula>"E*"</formula>
    </cfRule>
  </conditionalFormatting>
  <conditionalFormatting sqref="B22">
    <cfRule type="cellIs" dxfId="146" priority="208" operator="equal">
      <formula>"SPC CT=0"</formula>
    </cfRule>
    <cfRule type="cellIs" dxfId="145" priority="207" operator="equal">
      <formula>"E*"</formula>
    </cfRule>
    <cfRule type="cellIs" dxfId="144" priority="209" operator="equal">
      <formula>"INVALID"</formula>
    </cfRule>
    <cfRule type="cellIs" dxfId="143" priority="210" operator="equal">
      <formula>"MAJOR VISUAL"</formula>
    </cfRule>
    <cfRule type="cellIs" dxfId="142" priority="206" operator="equal">
      <formula>"SEAL TEST FAILURE"</formula>
    </cfRule>
    <cfRule type="cellIs" dxfId="141" priority="211" operator="equal">
      <formula>"MAJOR FUNCTIONAL"</formula>
    </cfRule>
    <cfRule type="cellIs" dxfId="140" priority="212" operator="equal">
      <formula>"PASS"</formula>
    </cfRule>
    <cfRule type="containsText" dxfId="139" priority="205" operator="containsText" text="Error">
      <formula>NOT(ISERROR(SEARCH("Error",B22)))</formula>
    </cfRule>
    <cfRule type="cellIs" dxfId="138" priority="204" operator="equal">
      <formula>"MINOR VISUAL"</formula>
    </cfRule>
    <cfRule type="cellIs" dxfId="137" priority="203" operator="equal">
      <formula>"BARCODE FAIL"</formula>
    </cfRule>
  </conditionalFormatting>
  <conditionalFormatting sqref="B127">
    <cfRule type="cellIs" dxfId="136" priority="79" operator="equal">
      <formula>"BARCODE FAIL"</formula>
    </cfRule>
    <cfRule type="cellIs" dxfId="135" priority="80" operator="equal">
      <formula>"MINOR VISUAL"</formula>
    </cfRule>
    <cfRule type="containsText" dxfId="134" priority="81" operator="containsText" text="Error">
      <formula>NOT(ISERROR(SEARCH("Error",B127)))</formula>
    </cfRule>
    <cfRule type="cellIs" dxfId="133" priority="86" operator="equal">
      <formula>"MAJOR VISUAL"</formula>
    </cfRule>
    <cfRule type="cellIs" dxfId="132" priority="87" operator="equal">
      <formula>"MAJOR FUNCTIONAL"</formula>
    </cfRule>
    <cfRule type="cellIs" dxfId="131" priority="88" operator="equal">
      <formula>"PASS"</formula>
    </cfRule>
  </conditionalFormatting>
  <conditionalFormatting sqref="B212">
    <cfRule type="cellIs" dxfId="130" priority="174" operator="equal">
      <formula>"MINOR VISUAL"</formula>
    </cfRule>
    <cfRule type="containsText" dxfId="129" priority="175" operator="containsText" text="Error">
      <formula>NOT(ISERROR(SEARCH("Error",B212)))</formula>
    </cfRule>
    <cfRule type="cellIs" dxfId="128" priority="173" operator="equal">
      <formula>"BARCODE FAIL"</formula>
    </cfRule>
  </conditionalFormatting>
  <conditionalFormatting sqref="B127:C127">
    <cfRule type="cellIs" dxfId="127" priority="82" operator="equal">
      <formula>"SEAL TEST FAILURE"</formula>
    </cfRule>
    <cfRule type="cellIs" dxfId="126" priority="83" operator="equal">
      <formula>"E*"</formula>
    </cfRule>
    <cfRule type="cellIs" dxfId="125" priority="84" operator="equal">
      <formula>"SPC CT=0"</formula>
    </cfRule>
    <cfRule type="cellIs" dxfId="124" priority="85" operator="equal">
      <formula>"INVALID"</formula>
    </cfRule>
  </conditionalFormatting>
  <conditionalFormatting sqref="B212:C212">
    <cfRule type="cellIs" dxfId="123" priority="178" operator="equal">
      <formula>"SPC CT=0"</formula>
    </cfRule>
    <cfRule type="cellIs" dxfId="122" priority="177" operator="equal">
      <formula>"E*"</formula>
    </cfRule>
    <cfRule type="cellIs" dxfId="121" priority="176" operator="equal">
      <formula>"SEAL TEST FAILURE"</formula>
    </cfRule>
    <cfRule type="cellIs" dxfId="120" priority="181" operator="equal">
      <formula>"MAJOR FUNCTIONAL"</formula>
    </cfRule>
    <cfRule type="cellIs" dxfId="119" priority="180" operator="equal">
      <formula>"MAJOR VISUAL"</formula>
    </cfRule>
    <cfRule type="cellIs" dxfId="118" priority="179" operator="equal">
      <formula>"INVALID"</formula>
    </cfRule>
    <cfRule type="cellIs" dxfId="117" priority="182" operator="equal">
      <formula>"PASS"</formula>
    </cfRule>
  </conditionalFormatting>
  <conditionalFormatting sqref="C2:C7">
    <cfRule type="cellIs" dxfId="116" priority="142" operator="equal">
      <formula>"PASS"</formula>
    </cfRule>
    <cfRule type="cellIs" dxfId="115" priority="136" operator="equal">
      <formula>"SEAL TEST FAILURE"</formula>
    </cfRule>
    <cfRule type="containsText" dxfId="114" priority="135" operator="containsText" text="Error">
      <formula>NOT(ISERROR(SEARCH("Error",C2)))</formula>
    </cfRule>
    <cfRule type="cellIs" dxfId="113" priority="134" operator="equal">
      <formula>"MINOR VISUAL"</formula>
    </cfRule>
    <cfRule type="cellIs" dxfId="112" priority="133" operator="equal">
      <formula>"BARCODE FAIL"</formula>
    </cfRule>
    <cfRule type="cellIs" dxfId="111" priority="140" operator="equal">
      <formula>"MAJOR VISUAL"</formula>
    </cfRule>
    <cfRule type="cellIs" dxfId="110" priority="139" operator="equal">
      <formula>"INVALID"</formula>
    </cfRule>
    <cfRule type="cellIs" dxfId="109" priority="138" operator="equal">
      <formula>"SPC CT=0"</formula>
    </cfRule>
    <cfRule type="cellIs" dxfId="108" priority="137" operator="equal">
      <formula>"E*"</formula>
    </cfRule>
    <cfRule type="cellIs" dxfId="107" priority="141" operator="equal">
      <formula>"MAJOR FUNCTIONAL"</formula>
    </cfRule>
  </conditionalFormatting>
  <conditionalFormatting sqref="C9:C22">
    <cfRule type="cellIs" dxfId="106" priority="214" operator="equal">
      <formula>"MINOR VISUAL"</formula>
    </cfRule>
    <cfRule type="containsText" dxfId="105" priority="215" operator="containsText" text="Error">
      <formula>NOT(ISERROR(SEARCH("Error",C9)))</formula>
    </cfRule>
    <cfRule type="cellIs" dxfId="104" priority="216" operator="equal">
      <formula>"SEAL TEST FAILURE"</formula>
    </cfRule>
    <cfRule type="cellIs" dxfId="103" priority="218" operator="equal">
      <formula>"SPC CT=0"</formula>
    </cfRule>
    <cfRule type="cellIs" dxfId="102" priority="219" operator="equal">
      <formula>"INVALID"</formula>
    </cfRule>
    <cfRule type="cellIs" dxfId="101" priority="220" operator="equal">
      <formula>"MAJOR VISUAL"</formula>
    </cfRule>
    <cfRule type="cellIs" dxfId="100" priority="221" operator="equal">
      <formula>"MAJOR FUNCTIONAL"</formula>
    </cfRule>
    <cfRule type="cellIs" dxfId="99" priority="222" operator="equal">
      <formula>"PASS"</formula>
    </cfRule>
    <cfRule type="cellIs" dxfId="98" priority="217" operator="equal">
      <formula>"E*"</formula>
    </cfRule>
    <cfRule type="cellIs" dxfId="97" priority="213" operator="equal">
      <formula>"BARCODE FAIL"</formula>
    </cfRule>
  </conditionalFormatting>
  <conditionalFormatting sqref="C10:C19 C25:C125">
    <cfRule type="cellIs" dxfId="96" priority="112" operator="equal">
      <formula>"DELAMINATION"</formula>
    </cfRule>
  </conditionalFormatting>
  <conditionalFormatting sqref="C24:C125 D236 C237 C338 C340:C1048576">
    <cfRule type="cellIs" dxfId="95" priority="281" operator="equal">
      <formula>"SPC CT=0"</formula>
    </cfRule>
    <cfRule type="cellIs" dxfId="94" priority="280" operator="equal">
      <formula>"E*"</formula>
    </cfRule>
    <cfRule type="cellIs" dxfId="93" priority="279" operator="equal">
      <formula>"SEAL TEST FAILURE"</formula>
    </cfRule>
    <cfRule type="cellIs" dxfId="92" priority="282" operator="equal">
      <formula>"INVALID"</formula>
    </cfRule>
  </conditionalFormatting>
  <conditionalFormatting sqref="C24:C127">
    <cfRule type="cellIs" dxfId="91" priority="89" operator="equal">
      <formula>"BARCODE FAIL"</formula>
    </cfRule>
    <cfRule type="cellIs" dxfId="90" priority="90" operator="equal">
      <formula>"MINOR VISUAL"</formula>
    </cfRule>
    <cfRule type="containsText" dxfId="89" priority="91" operator="containsText" text="Error">
      <formula>NOT(ISERROR(SEARCH("Error",C24)))</formula>
    </cfRule>
  </conditionalFormatting>
  <conditionalFormatting sqref="C25:C234">
    <cfRule type="cellIs" dxfId="88" priority="1" operator="equal">
      <formula>"Minor Functional"</formula>
    </cfRule>
  </conditionalFormatting>
  <conditionalFormatting sqref="C127">
    <cfRule type="cellIs" dxfId="87" priority="97" operator="equal">
      <formula>"MAJOR FUNCTIONAL"</formula>
    </cfRule>
    <cfRule type="cellIs" dxfId="86" priority="96" operator="equal">
      <formula>"MAJOR VISUAL"</formula>
    </cfRule>
    <cfRule type="cellIs" dxfId="85" priority="98" operator="equal">
      <formula>"PASS"</formula>
    </cfRule>
  </conditionalFormatting>
  <conditionalFormatting sqref="C129:C210">
    <cfRule type="cellIs" dxfId="84" priority="23" operator="equal">
      <formula>"INVALID"</formula>
    </cfRule>
    <cfRule type="cellIs" dxfId="83" priority="20" operator="equal">
      <formula>"SEAL TEST FAILURE"</formula>
    </cfRule>
    <cfRule type="containsText" dxfId="82" priority="19" operator="containsText" text="Error">
      <formula>NOT(ISERROR(SEARCH("Error",C129)))</formula>
    </cfRule>
    <cfRule type="cellIs" dxfId="81" priority="21" operator="equal">
      <formula>"E*"</formula>
    </cfRule>
    <cfRule type="cellIs" dxfId="80" priority="22" operator="equal">
      <formula>"SPC CT=0"</formula>
    </cfRule>
    <cfRule type="cellIs" dxfId="79" priority="24" operator="equal">
      <formula>"MAJOR VISUAL"</formula>
    </cfRule>
    <cfRule type="cellIs" dxfId="78" priority="25" operator="equal">
      <formula>"MAJOR FUNCTIONAL"</formula>
    </cfRule>
    <cfRule type="cellIs" dxfId="77" priority="26" operator="equal">
      <formula>"PASS"</formula>
    </cfRule>
  </conditionalFormatting>
  <conditionalFormatting sqref="C129:C212">
    <cfRule type="cellIs" dxfId="76" priority="18" operator="equal">
      <formula>"MINOR VISUAL"</formula>
    </cfRule>
    <cfRule type="cellIs" dxfId="75" priority="17" operator="equal">
      <formula>"BARCODE FAIL"</formula>
    </cfRule>
  </conditionalFormatting>
  <conditionalFormatting sqref="C130:C210">
    <cfRule type="cellIs" dxfId="74" priority="16" operator="equal">
      <formula>"DELAMINATION"</formula>
    </cfRule>
  </conditionalFormatting>
  <conditionalFormatting sqref="C130:C234">
    <cfRule type="cellIs" dxfId="73" priority="3" operator="equal">
      <formula>"Indeterminate"</formula>
    </cfRule>
  </conditionalFormatting>
  <conditionalFormatting sqref="C214:C235">
    <cfRule type="cellIs" dxfId="72" priority="12" operator="equal">
      <formula>"MAJOR VISUAL"</formula>
    </cfRule>
    <cfRule type="cellIs" dxfId="71" priority="13" operator="equal">
      <formula>"MAJOR FUNCTIONAL"</formula>
    </cfRule>
    <cfRule type="cellIs" dxfId="70" priority="14" operator="equal">
      <formula>"PASS"</formula>
    </cfRule>
    <cfRule type="cellIs" dxfId="69" priority="11" operator="equal">
      <formula>"INVALID"</formula>
    </cfRule>
    <cfRule type="cellIs" dxfId="68" priority="9" operator="equal">
      <formula>"E*"</formula>
    </cfRule>
    <cfRule type="cellIs" dxfId="67" priority="10" operator="equal">
      <formula>"SPC CT=0"</formula>
    </cfRule>
    <cfRule type="cellIs" dxfId="66" priority="8" operator="equal">
      <formula>"SEAL TEST FAILURE"</formula>
    </cfRule>
    <cfRule type="containsText" dxfId="65" priority="7" operator="containsText" text="Error">
      <formula>NOT(ISERROR(SEARCH("Error",C214)))</formula>
    </cfRule>
    <cfRule type="cellIs" dxfId="64" priority="6" operator="equal">
      <formula>"MINOR VISUAL"</formula>
    </cfRule>
    <cfRule type="cellIs" dxfId="63" priority="5" operator="equal">
      <formula>"BARCODE FAIL"</formula>
    </cfRule>
  </conditionalFormatting>
  <conditionalFormatting sqref="C215:C234">
    <cfRule type="cellIs" dxfId="62" priority="4" operator="equal">
      <formula>"DELAMINATION"</formula>
    </cfRule>
  </conditionalFormatting>
  <conditionalFormatting sqref="C211:D212">
    <cfRule type="containsText" dxfId="61" priority="155" operator="containsText" text="Error">
      <formula>NOT(ISERROR(SEARCH("Error",C211)))</formula>
    </cfRule>
  </conditionalFormatting>
  <conditionalFormatting sqref="D3:D4">
    <cfRule type="containsText" dxfId="60" priority="265" operator="containsText" text="Error">
      <formula>NOT(ISERROR(SEARCH("Error",D3)))</formula>
    </cfRule>
    <cfRule type="cellIs" dxfId="59" priority="266" operator="equal">
      <formula>"SEAL TEST FAILURE"</formula>
    </cfRule>
    <cfRule type="cellIs" dxfId="58" priority="267" operator="equal">
      <formula>"E*"</formula>
    </cfRule>
    <cfRule type="cellIs" dxfId="57" priority="268" operator="equal">
      <formula>"SPC CT=0"</formula>
    </cfRule>
    <cfRule type="cellIs" dxfId="56" priority="263" operator="equal">
      <formula>"BARCODE FAIL"</formula>
    </cfRule>
    <cfRule type="cellIs" dxfId="55" priority="264" operator="equal">
      <formula>"MINOR VISUAL"</formula>
    </cfRule>
    <cfRule type="cellIs" dxfId="54" priority="269" operator="equal">
      <formula>"INVALID"</formula>
    </cfRule>
    <cfRule type="cellIs" dxfId="53" priority="271" operator="equal">
      <formula>"MAJOR FUNCTIONAL"</formula>
    </cfRule>
    <cfRule type="cellIs" dxfId="52" priority="272" operator="equal">
      <formula>"PASS"</formula>
    </cfRule>
    <cfRule type="cellIs" dxfId="51" priority="270" operator="equal">
      <formula>"MAJOR VISUAL"</formula>
    </cfRule>
  </conditionalFormatting>
  <conditionalFormatting sqref="D5 D9:D20 D24:D125 D214:D235 D237 D338 D340:D1048576">
    <cfRule type="cellIs" dxfId="50" priority="275" operator="equal">
      <formula>"N/A"</formula>
    </cfRule>
    <cfRule type="cellIs" dxfId="49" priority="277" operator="equal">
      <formula>"Pass"</formula>
    </cfRule>
    <cfRule type="cellIs" dxfId="48" priority="278" operator="equal">
      <formula>"Fail"</formula>
    </cfRule>
  </conditionalFormatting>
  <conditionalFormatting sqref="D6:D7">
    <cfRule type="cellIs" dxfId="47" priority="223" operator="equal">
      <formula>"BARCODE FAIL"</formula>
    </cfRule>
    <cfRule type="cellIs" dxfId="46" priority="224" operator="equal">
      <formula>"MINOR VISUAL"</formula>
    </cfRule>
    <cfRule type="containsText" dxfId="45" priority="225" operator="containsText" text="Error">
      <formula>NOT(ISERROR(SEARCH("Error",D6)))</formula>
    </cfRule>
    <cfRule type="cellIs" dxfId="44" priority="226" operator="equal">
      <formula>"SEAL TEST FAILURE"</formula>
    </cfRule>
    <cfRule type="cellIs" dxfId="43" priority="227" operator="equal">
      <formula>"E*"</formula>
    </cfRule>
    <cfRule type="cellIs" dxfId="42" priority="228" operator="equal">
      <formula>"SPC CT=0"</formula>
    </cfRule>
    <cfRule type="cellIs" dxfId="41" priority="230" operator="equal">
      <formula>"MAJOR VISUAL"</formula>
    </cfRule>
    <cfRule type="cellIs" dxfId="40" priority="231" operator="equal">
      <formula>"MAJOR FUNCTIONAL"</formula>
    </cfRule>
    <cfRule type="cellIs" dxfId="39" priority="232" operator="equal">
      <formula>"PASS"</formula>
    </cfRule>
    <cfRule type="cellIs" dxfId="38" priority="229" operator="equal">
      <formula>"INVALID"</formula>
    </cfRule>
  </conditionalFormatting>
  <conditionalFormatting sqref="D21:D22">
    <cfRule type="cellIs" dxfId="37" priority="143" operator="equal">
      <formula>"BARCODE FAIL"</formula>
    </cfRule>
    <cfRule type="cellIs" dxfId="36" priority="144" operator="equal">
      <formula>"MINOR VISUAL"</formula>
    </cfRule>
    <cfRule type="containsText" dxfId="35" priority="145" operator="containsText" text="Error">
      <formula>NOT(ISERROR(SEARCH("Error",D21)))</formula>
    </cfRule>
    <cfRule type="cellIs" dxfId="34" priority="151" operator="equal">
      <formula>"MAJOR FUNCTIONAL"</formula>
    </cfRule>
    <cfRule type="cellIs" dxfId="33" priority="152" operator="equal">
      <formula>"PASS"</formula>
    </cfRule>
    <cfRule type="cellIs" dxfId="32" priority="150" operator="equal">
      <formula>"MAJOR VISUAL"</formula>
    </cfRule>
    <cfRule type="cellIs" dxfId="31" priority="149" operator="equal">
      <formula>"INVALID"</formula>
    </cfRule>
    <cfRule type="cellIs" dxfId="30" priority="148" operator="equal">
      <formula>"SPC CT=0"</formula>
    </cfRule>
    <cfRule type="cellIs" dxfId="29" priority="147" operator="equal">
      <formula>"E*"</formula>
    </cfRule>
    <cfRule type="cellIs" dxfId="28" priority="146" operator="equal">
      <formula>"SEAL TEST FAILURE"</formula>
    </cfRule>
  </conditionalFormatting>
  <conditionalFormatting sqref="D126:D127">
    <cfRule type="containsText" dxfId="27" priority="61" operator="containsText" text="Error">
      <formula>NOT(ISERROR(SEARCH("Error",D126)))</formula>
    </cfRule>
    <cfRule type="cellIs" dxfId="26" priority="59" operator="equal">
      <formula>"BARCODE FAIL"</formula>
    </cfRule>
    <cfRule type="cellIs" dxfId="25" priority="60" operator="equal">
      <formula>"MINOR VISUAL"</formula>
    </cfRule>
    <cfRule type="cellIs" dxfId="24" priority="62" operator="equal">
      <formula>"SEAL TEST FAILURE"</formula>
    </cfRule>
    <cfRule type="cellIs" dxfId="23" priority="63" operator="equal">
      <formula>"E*"</formula>
    </cfRule>
    <cfRule type="cellIs" dxfId="22" priority="64" operator="equal">
      <formula>"SPC CT=0"</formula>
    </cfRule>
    <cfRule type="cellIs" dxfId="21" priority="65" operator="equal">
      <formula>"INVALID"</formula>
    </cfRule>
    <cfRule type="cellIs" dxfId="20" priority="66" operator="equal">
      <formula>"MAJOR VISUAL"</formula>
    </cfRule>
    <cfRule type="cellIs" dxfId="19" priority="67" operator="equal">
      <formula>"MAJOR FUNCTIONAL"</formula>
    </cfRule>
    <cfRule type="cellIs" dxfId="18" priority="68" operator="equal">
      <formula>"PASS"</formula>
    </cfRule>
  </conditionalFormatting>
  <conditionalFormatting sqref="D129:D210">
    <cfRule type="cellIs" dxfId="17" priority="101" operator="equal">
      <formula>"N/A"</formula>
    </cfRule>
    <cfRule type="cellIs" dxfId="16" priority="103" operator="equal">
      <formula>"Pass"</formula>
    </cfRule>
    <cfRule type="cellIs" dxfId="15" priority="104" operator="equal">
      <formula>"Fail"</formula>
    </cfRule>
  </conditionalFormatting>
  <conditionalFormatting sqref="D211:D212">
    <cfRule type="cellIs" dxfId="14" priority="156" operator="equal">
      <formula>"SEAL TEST FAILURE"</formula>
    </cfRule>
    <cfRule type="cellIs" dxfId="13" priority="154" operator="equal">
      <formula>"MINOR VISUAL"</formula>
    </cfRule>
    <cfRule type="cellIs" dxfId="12" priority="153" operator="equal">
      <formula>"BARCODE FAIL"</formula>
    </cfRule>
    <cfRule type="cellIs" dxfId="11" priority="162" operator="equal">
      <formula>"PASS"</formula>
    </cfRule>
    <cfRule type="cellIs" dxfId="10" priority="161" operator="equal">
      <formula>"MAJOR FUNCTIONAL"</formula>
    </cfRule>
    <cfRule type="cellIs" dxfId="9" priority="160" operator="equal">
      <formula>"MAJOR VISUAL"</formula>
    </cfRule>
    <cfRule type="cellIs" dxfId="8" priority="159" operator="equal">
      <formula>"INVALID"</formula>
    </cfRule>
    <cfRule type="cellIs" dxfId="7" priority="158" operator="equal">
      <formula>"SPC CT=0"</formula>
    </cfRule>
    <cfRule type="cellIs" dxfId="6" priority="157" operator="equal">
      <formula>"E*"</formula>
    </cfRule>
  </conditionalFormatting>
  <conditionalFormatting sqref="D236 C237 C338 C340:C1048576 C24:C125">
    <cfRule type="cellIs" dxfId="5" priority="285" operator="equal">
      <formula>"PASS"</formula>
    </cfRule>
    <cfRule type="cellIs" dxfId="4" priority="283" operator="equal">
      <formula>"MAJOR VISUAL"</formula>
    </cfRule>
    <cfRule type="cellIs" dxfId="3" priority="284" operator="equal">
      <formula>"MAJOR FUNCTIONAL"</formula>
    </cfRule>
  </conditionalFormatting>
  <conditionalFormatting sqref="D236 C237 C338 C340:C1048576">
    <cfRule type="cellIs" dxfId="2" priority="274" operator="equal">
      <formula>"MINOR VISUAL"</formula>
    </cfRule>
    <cfRule type="containsText" dxfId="1" priority="276" operator="containsText" text="Error">
      <formula>NOT(ISERROR(SEARCH("Error",C236)))</formula>
    </cfRule>
    <cfRule type="cellIs" dxfId="0" priority="273" operator="equal">
      <formula>"BARCODE FAIL"</formula>
    </cfRule>
  </conditionalFormatting>
  <pageMargins left="0.5" right="0.5" top="1" bottom="1" header="0.25" footer="0.25"/>
  <pageSetup scale="58" fitToHeight="0" orientation="landscape" r:id="rId1"/>
  <headerFooter alignWithMargins="0">
    <oddHeader>&amp;LPart No.:
Batch No(s).: 
Cartridge No. (LSP): &amp;C&amp;12Product QC Testing Worksheet-MTB/XDR&amp;RDocument Number: D37339 Attachment 1
Rev: M
Effective: 5/21/2026
p. &amp;P of &amp;N</oddHeader>
    <oddFooter>&amp;C User is responsible for using the current revision. The controlled current released revision of this document resides in the Agile PLM system.
Cepheid Confidential    Date Printed: &amp;D      &amp;T</oddFooter>
  </headerFooter>
  <rowBreaks count="1" manualBreakCount="1">
    <brk id="125" max="4" man="1"/>
  </rowBreaks>
  <drawing r:id="rId2"/>
  <legacyDrawing r:id="rId3"/>
  <mc:AlternateContent xmlns:mc="http://schemas.openxmlformats.org/markup-compatibility/2006">
    <mc:Choice Requires="x14">
      <controls>
        <mc:AlternateContent xmlns:mc="http://schemas.openxmlformats.org/markup-compatibility/2006">
          <mc:Choice Requires="x14">
            <control shapeId="24577" r:id="rId4" name="Check Box 1">
              <controlPr defaultSize="0" autoFill="0" autoLine="0" autoPict="0" altText="N/A">
                <anchor moveWithCells="1">
                  <from>
                    <xdr:col>1</xdr:col>
                    <xdr:colOff>1285875</xdr:colOff>
                    <xdr:row>234</xdr:row>
                    <xdr:rowOff>152400</xdr:rowOff>
                  </from>
                  <to>
                    <xdr:col>1</xdr:col>
                    <xdr:colOff>2324100</xdr:colOff>
                    <xdr:row>236</xdr:row>
                    <xdr:rowOff>28575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count="3">
        <x14:dataValidation type="list" showInputMessage="1" xr:uid="{00000000-0002-0000-0F00-000000000000}">
          <x14:formula1>
            <xm:f>'M:\Product Transfer\Shared\NPI\00_NPI General\10_QC-IPT consolidation\MTB RIF ULTRA V2\IPT\[Copy of Copy of D25862_ATTR 101010 attachment 3.xlsx]For Reference Only'!#REF!</xm:f>
          </x14:formula1>
          <xm:sqref>E10:E19 E125</xm:sqref>
        </x14:dataValidation>
        <x14:dataValidation type="list" showInputMessage="1" xr:uid="{00000000-0002-0000-0F00-000001000000}">
          <x14:formula1>
            <xm:f>'For Reference Only'!$C$2:$C$14</xm:f>
          </x14:formula1>
          <xm:sqref>E25:E124 E130:E209 E215:E234</xm:sqref>
        </x14:dataValidation>
        <x14:dataValidation type="list" allowBlank="1" showInputMessage="1" xr:uid="{00000000-0002-0000-0F00-000002000000}">
          <x14:formula1>
            <xm:f>'For Reference Only'!$C$2:$C$14</xm:f>
          </x14:formula1>
          <xm:sqref>E238:E337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40"/>
  <sheetViews>
    <sheetView zoomScaleNormal="100" zoomScaleSheetLayoutView="100" workbookViewId="0"/>
  </sheetViews>
  <sheetFormatPr defaultColWidth="9.140625" defaultRowHeight="12.75" x14ac:dyDescent="0.2"/>
  <cols>
    <col min="1" max="1" width="24.5703125" customWidth="1"/>
    <col min="2" max="2" width="22" customWidth="1"/>
    <col min="3" max="3" width="18.42578125" customWidth="1"/>
    <col min="4" max="4" width="58.5703125" customWidth="1"/>
    <col min="5" max="5" width="48.42578125" customWidth="1"/>
    <col min="6" max="6" width="45.42578125" customWidth="1"/>
    <col min="7" max="8" width="22.42578125" customWidth="1"/>
    <col min="9" max="9" width="24.5703125" bestFit="1" customWidth="1"/>
    <col min="10" max="10" width="16" style="96" bestFit="1" customWidth="1"/>
    <col min="11" max="11" width="18.5703125" bestFit="1" customWidth="1"/>
    <col min="12" max="12" width="24.5703125" bestFit="1" customWidth="1"/>
    <col min="13" max="13" width="16" bestFit="1" customWidth="1"/>
    <col min="14" max="19" width="13.140625" customWidth="1"/>
  </cols>
  <sheetData>
    <row r="1" spans="1:19" x14ac:dyDescent="0.2">
      <c r="A1" s="401" t="s">
        <v>0</v>
      </c>
      <c r="B1" s="402"/>
      <c r="C1" s="402"/>
      <c r="D1" s="103">
        <v>210</v>
      </c>
      <c r="E1" s="238" t="s">
        <v>438</v>
      </c>
      <c r="F1" s="151">
        <v>200</v>
      </c>
      <c r="J1"/>
    </row>
    <row r="2" spans="1:19" x14ac:dyDescent="0.2">
      <c r="A2" s="403" t="s">
        <v>289</v>
      </c>
      <c r="B2" s="404"/>
      <c r="C2" s="404"/>
      <c r="D2" s="106">
        <v>1</v>
      </c>
      <c r="E2" s="107">
        <v>2</v>
      </c>
      <c r="J2"/>
    </row>
    <row r="3" spans="1:19" s="35" customFormat="1" ht="12.75" customHeight="1" thickBot="1" x14ac:dyDescent="0.25">
      <c r="A3" s="405" t="s">
        <v>67</v>
      </c>
      <c r="B3" s="406"/>
      <c r="C3" s="406"/>
      <c r="D3" s="104">
        <v>90</v>
      </c>
      <c r="E3" s="105"/>
      <c r="F3"/>
      <c r="G3"/>
      <c r="H3"/>
      <c r="I3"/>
      <c r="J3"/>
      <c r="K3"/>
      <c r="L3"/>
      <c r="M3"/>
      <c r="N3"/>
      <c r="O3"/>
      <c r="P3"/>
      <c r="Q3"/>
    </row>
    <row r="4" spans="1:19" ht="12.75" customHeight="1" x14ac:dyDescent="0.2">
      <c r="J4"/>
    </row>
    <row r="5" spans="1:19" ht="13.5" customHeight="1" x14ac:dyDescent="0.2">
      <c r="A5" s="99" t="s">
        <v>68</v>
      </c>
      <c r="B5" s="99" t="s">
        <v>290</v>
      </c>
      <c r="C5" s="35"/>
      <c r="D5" s="100" t="s">
        <v>307</v>
      </c>
      <c r="E5" s="102">
        <v>4</v>
      </c>
      <c r="F5" s="99"/>
      <c r="I5" s="35"/>
      <c r="J5" s="35"/>
      <c r="K5" s="35"/>
      <c r="L5" s="35"/>
      <c r="M5" s="35"/>
      <c r="N5" s="35"/>
      <c r="O5" s="35"/>
      <c r="P5" s="35"/>
      <c r="Q5" s="35"/>
    </row>
    <row r="6" spans="1:19" ht="13.5" customHeight="1" x14ac:dyDescent="0.2">
      <c r="A6" s="150">
        <v>0</v>
      </c>
      <c r="B6" s="151">
        <v>100</v>
      </c>
      <c r="D6" s="100" t="s">
        <v>308</v>
      </c>
      <c r="E6" s="151">
        <v>10</v>
      </c>
      <c r="F6" s="165"/>
      <c r="J6"/>
    </row>
    <row r="7" spans="1:19" x14ac:dyDescent="0.2">
      <c r="A7" s="150">
        <v>1</v>
      </c>
      <c r="B7" s="151">
        <v>80</v>
      </c>
      <c r="J7"/>
    </row>
    <row r="8" spans="1:19" x14ac:dyDescent="0.2">
      <c r="A8" s="152" t="s">
        <v>129</v>
      </c>
      <c r="B8" s="151">
        <v>10</v>
      </c>
      <c r="C8" s="39"/>
    </row>
    <row r="9" spans="1:19" x14ac:dyDescent="0.2">
      <c r="A9" s="76">
        <v>2</v>
      </c>
      <c r="B9" s="151">
        <v>20</v>
      </c>
      <c r="D9" s="163" t="s">
        <v>66</v>
      </c>
      <c r="E9" s="163" t="s">
        <v>304</v>
      </c>
      <c r="F9" s="99" t="s">
        <v>305</v>
      </c>
      <c r="J9"/>
    </row>
    <row r="10" spans="1:19" ht="102" x14ac:dyDescent="0.2">
      <c r="A10" s="99" t="s">
        <v>83</v>
      </c>
      <c r="B10" s="99" t="s">
        <v>64</v>
      </c>
      <c r="C10" s="100" t="s">
        <v>86</v>
      </c>
      <c r="D10" s="99" t="s">
        <v>65</v>
      </c>
      <c r="E10" s="99" t="s">
        <v>65</v>
      </c>
      <c r="F10" s="99" t="s">
        <v>65</v>
      </c>
      <c r="G10" s="100" t="s">
        <v>93</v>
      </c>
      <c r="H10" s="100" t="s">
        <v>522</v>
      </c>
      <c r="I10" s="100" t="s">
        <v>87</v>
      </c>
      <c r="J10" s="100" t="s">
        <v>88</v>
      </c>
      <c r="K10" s="100" t="s">
        <v>89</v>
      </c>
      <c r="L10" s="100" t="s">
        <v>90</v>
      </c>
      <c r="M10" s="100" t="s">
        <v>91</v>
      </c>
      <c r="N10" s="100" t="s">
        <v>92</v>
      </c>
      <c r="O10" s="100" t="s">
        <v>288</v>
      </c>
      <c r="P10" s="100" t="s">
        <v>93</v>
      </c>
      <c r="Q10" s="166" t="s">
        <v>87</v>
      </c>
      <c r="R10" s="100" t="s">
        <v>88</v>
      </c>
      <c r="S10" s="100" t="s">
        <v>89</v>
      </c>
    </row>
    <row r="11" spans="1:19" s="39" customFormat="1" ht="63.75" x14ac:dyDescent="0.2">
      <c r="A11" s="101" t="s">
        <v>515</v>
      </c>
      <c r="B11" s="102" t="s">
        <v>517</v>
      </c>
      <c r="C11" s="102" t="s">
        <v>516</v>
      </c>
      <c r="D11" s="102" t="s">
        <v>294</v>
      </c>
      <c r="E11" s="189" t="s">
        <v>442</v>
      </c>
      <c r="F11" s="189" t="s">
        <v>447</v>
      </c>
      <c r="G11" s="204">
        <v>9</v>
      </c>
      <c r="H11" s="204">
        <v>9</v>
      </c>
      <c r="I11" s="204">
        <v>1</v>
      </c>
      <c r="J11" s="204">
        <v>1</v>
      </c>
      <c r="K11" s="204">
        <v>1</v>
      </c>
      <c r="L11" s="204">
        <v>3</v>
      </c>
      <c r="M11" s="204">
        <v>3</v>
      </c>
      <c r="N11" s="204">
        <v>3</v>
      </c>
      <c r="O11" s="204">
        <v>0</v>
      </c>
      <c r="P11" s="204">
        <v>10</v>
      </c>
      <c r="Q11" s="204">
        <v>5</v>
      </c>
      <c r="R11" s="204">
        <v>5</v>
      </c>
      <c r="S11" s="204">
        <v>5</v>
      </c>
    </row>
    <row r="12" spans="1:19" s="39" customFormat="1" ht="63.75" x14ac:dyDescent="0.2">
      <c r="A12" s="101" t="s">
        <v>439</v>
      </c>
      <c r="B12" s="102" t="s">
        <v>440</v>
      </c>
      <c r="C12" s="102" t="s">
        <v>441</v>
      </c>
      <c r="D12" s="102" t="s">
        <v>294</v>
      </c>
      <c r="E12" s="189" t="s">
        <v>442</v>
      </c>
      <c r="F12" s="189" t="s">
        <v>447</v>
      </c>
      <c r="G12" s="204">
        <v>9</v>
      </c>
      <c r="H12" s="204">
        <v>9</v>
      </c>
      <c r="I12" s="204">
        <v>1</v>
      </c>
      <c r="J12" s="204">
        <v>1</v>
      </c>
      <c r="K12" s="204">
        <v>1</v>
      </c>
      <c r="L12" s="204">
        <v>3</v>
      </c>
      <c r="M12" s="204">
        <v>3</v>
      </c>
      <c r="N12" s="204">
        <v>3</v>
      </c>
      <c r="O12" s="204">
        <v>0</v>
      </c>
      <c r="P12" s="204">
        <v>10</v>
      </c>
      <c r="Q12" s="204">
        <v>5</v>
      </c>
      <c r="R12" s="204">
        <v>5</v>
      </c>
      <c r="S12" s="204">
        <v>5</v>
      </c>
    </row>
    <row r="13" spans="1:19" s="39" customFormat="1" ht="63.75" x14ac:dyDescent="0.2">
      <c r="A13" s="101" t="s">
        <v>443</v>
      </c>
      <c r="B13" s="102" t="s">
        <v>444</v>
      </c>
      <c r="C13" s="102" t="s">
        <v>445</v>
      </c>
      <c r="D13" s="102" t="s">
        <v>294</v>
      </c>
      <c r="E13" s="189" t="s">
        <v>442</v>
      </c>
      <c r="F13" s="189" t="s">
        <v>447</v>
      </c>
      <c r="G13" s="204">
        <v>9</v>
      </c>
      <c r="H13" s="204">
        <v>9</v>
      </c>
      <c r="I13" s="204">
        <v>1</v>
      </c>
      <c r="J13" s="204">
        <v>1</v>
      </c>
      <c r="K13" s="204">
        <v>1</v>
      </c>
      <c r="L13" s="204">
        <v>3</v>
      </c>
      <c r="M13" s="204">
        <v>3</v>
      </c>
      <c r="N13" s="204">
        <v>3</v>
      </c>
      <c r="O13" s="204">
        <v>0</v>
      </c>
      <c r="P13" s="204">
        <v>10</v>
      </c>
      <c r="Q13" s="204">
        <v>5</v>
      </c>
      <c r="R13" s="204">
        <v>5</v>
      </c>
      <c r="S13" s="204">
        <v>5</v>
      </c>
    </row>
    <row r="14" spans="1:19" s="39" customFormat="1" ht="63.75" x14ac:dyDescent="0.2">
      <c r="A14" s="101" t="s">
        <v>446</v>
      </c>
      <c r="B14" s="102" t="s">
        <v>440</v>
      </c>
      <c r="C14" s="102" t="s">
        <v>441</v>
      </c>
      <c r="D14" s="102" t="s">
        <v>294</v>
      </c>
      <c r="E14" s="189" t="s">
        <v>442</v>
      </c>
      <c r="F14" s="189" t="s">
        <v>447</v>
      </c>
      <c r="G14" s="204">
        <v>9</v>
      </c>
      <c r="H14" s="204">
        <v>9</v>
      </c>
      <c r="I14" s="204">
        <v>1</v>
      </c>
      <c r="J14" s="204">
        <v>1</v>
      </c>
      <c r="K14" s="204">
        <v>1</v>
      </c>
      <c r="L14" s="204">
        <v>3</v>
      </c>
      <c r="M14" s="204">
        <v>3</v>
      </c>
      <c r="N14" s="204">
        <v>3</v>
      </c>
      <c r="O14" s="204">
        <v>0</v>
      </c>
      <c r="P14" s="204">
        <v>10</v>
      </c>
      <c r="Q14" s="204">
        <v>5</v>
      </c>
      <c r="R14" s="204">
        <v>5</v>
      </c>
      <c r="S14" s="204">
        <v>5</v>
      </c>
    </row>
    <row r="15" spans="1:19" s="39" customFormat="1" x14ac:dyDescent="0.2">
      <c r="A15" s="39" t="s">
        <v>82</v>
      </c>
    </row>
    <row r="16" spans="1:19" s="94" customFormat="1" x14ac:dyDescent="0.2">
      <c r="A16"/>
      <c r="B16"/>
      <c r="C16"/>
      <c r="D16"/>
      <c r="E16"/>
      <c r="F16"/>
      <c r="G16"/>
      <c r="H16"/>
      <c r="I16"/>
      <c r="J16" s="96"/>
      <c r="K16"/>
      <c r="L16"/>
      <c r="M16"/>
      <c r="N16"/>
      <c r="O16"/>
      <c r="P16"/>
      <c r="Q16"/>
    </row>
    <row r="17" spans="1:17" s="94" customFormat="1" x14ac:dyDescent="0.2">
      <c r="A17"/>
      <c r="B17"/>
      <c r="C17"/>
      <c r="D17"/>
      <c r="E17"/>
      <c r="F17"/>
      <c r="G17"/>
      <c r="H17"/>
      <c r="I17"/>
      <c r="J17" s="96"/>
      <c r="K17"/>
      <c r="L17"/>
      <c r="M17"/>
      <c r="N17"/>
      <c r="O17"/>
      <c r="P17"/>
      <c r="Q17"/>
    </row>
    <row r="19" spans="1:17" x14ac:dyDescent="0.2">
      <c r="A19" s="203" t="s">
        <v>300</v>
      </c>
      <c r="B19" s="203" t="s">
        <v>489</v>
      </c>
      <c r="C19" s="203" t="s">
        <v>490</v>
      </c>
      <c r="D19" s="203" t="s">
        <v>491</v>
      </c>
      <c r="E19" s="203" t="s">
        <v>492</v>
      </c>
      <c r="F19" s="203" t="s">
        <v>493</v>
      </c>
      <c r="G19" s="203" t="s">
        <v>494</v>
      </c>
      <c r="H19" s="230"/>
      <c r="J19"/>
    </row>
    <row r="20" spans="1:17" x14ac:dyDescent="0.2">
      <c r="A20" s="76" t="s">
        <v>468</v>
      </c>
      <c r="B20" s="151" t="s">
        <v>114</v>
      </c>
      <c r="C20" s="243" t="e">
        <v>#N/A</v>
      </c>
      <c r="D20" s="243" t="e">
        <v>#N/A</v>
      </c>
      <c r="E20" s="243" t="e">
        <v>#N/A</v>
      </c>
      <c r="F20" s="243" t="e">
        <v>#N/A</v>
      </c>
      <c r="G20" s="150">
        <v>30.1</v>
      </c>
      <c r="H20" s="96"/>
      <c r="J20"/>
    </row>
    <row r="21" spans="1:17" x14ac:dyDescent="0.2">
      <c r="A21" s="400" t="s">
        <v>469</v>
      </c>
      <c r="B21" s="151" t="s">
        <v>485</v>
      </c>
      <c r="C21" s="150">
        <v>75.8</v>
      </c>
      <c r="D21" s="150">
        <v>76.8</v>
      </c>
      <c r="E21" s="150">
        <v>70.400000000000006</v>
      </c>
      <c r="F21" s="150">
        <v>71.400000000000006</v>
      </c>
      <c r="J21"/>
    </row>
    <row r="22" spans="1:17" x14ac:dyDescent="0.2">
      <c r="A22" s="400"/>
      <c r="B22" s="151" t="s">
        <v>114</v>
      </c>
      <c r="C22" s="243" t="e">
        <v>#N/A</v>
      </c>
      <c r="D22" s="150">
        <v>30.4</v>
      </c>
      <c r="E22" s="243" t="e">
        <v>#N/A</v>
      </c>
      <c r="F22" s="243" t="e">
        <v>#N/A</v>
      </c>
      <c r="J22"/>
    </row>
    <row r="23" spans="1:17" x14ac:dyDescent="0.2">
      <c r="A23" s="400" t="s">
        <v>470</v>
      </c>
      <c r="B23" s="151" t="s">
        <v>485</v>
      </c>
      <c r="C23" s="150">
        <v>73.2</v>
      </c>
      <c r="D23" s="150">
        <v>74.2</v>
      </c>
      <c r="E23" s="150">
        <v>67.7</v>
      </c>
      <c r="F23" s="150">
        <v>68.7</v>
      </c>
      <c r="G23" s="96"/>
      <c r="H23" s="96"/>
      <c r="I23" s="96"/>
      <c r="K23" s="96"/>
      <c r="L23" s="96"/>
      <c r="M23" s="96"/>
    </row>
    <row r="24" spans="1:17" x14ac:dyDescent="0.2">
      <c r="A24" s="400"/>
      <c r="B24" s="151" t="s">
        <v>486</v>
      </c>
      <c r="C24" s="150">
        <v>72</v>
      </c>
      <c r="D24" s="243" t="e">
        <v>#N/A</v>
      </c>
      <c r="E24" s="150">
        <v>81</v>
      </c>
      <c r="F24" s="243" t="e">
        <v>#N/A</v>
      </c>
      <c r="G24" s="96"/>
      <c r="H24" s="96"/>
      <c r="I24" s="96"/>
      <c r="K24" s="96"/>
      <c r="L24" s="96"/>
      <c r="M24" s="96"/>
    </row>
    <row r="25" spans="1:17" x14ac:dyDescent="0.2">
      <c r="A25" s="400" t="s">
        <v>487</v>
      </c>
      <c r="B25" s="151" t="s">
        <v>485</v>
      </c>
      <c r="C25" s="237">
        <v>71</v>
      </c>
      <c r="D25" s="237">
        <v>72</v>
      </c>
      <c r="E25" s="150">
        <v>75.3</v>
      </c>
      <c r="F25" s="150">
        <v>76.3</v>
      </c>
      <c r="G25" s="96"/>
      <c r="H25" s="96"/>
      <c r="I25" s="96"/>
      <c r="K25" s="96"/>
      <c r="L25" s="96"/>
      <c r="M25" s="96"/>
    </row>
    <row r="26" spans="1:17" x14ac:dyDescent="0.2">
      <c r="A26" s="400"/>
      <c r="B26" s="151" t="s">
        <v>486</v>
      </c>
      <c r="C26" s="150">
        <v>138</v>
      </c>
      <c r="D26" s="243" t="e">
        <v>#N/A</v>
      </c>
      <c r="E26" s="150">
        <v>114</v>
      </c>
      <c r="F26" s="243" t="e">
        <v>#N/A</v>
      </c>
      <c r="G26" s="96"/>
      <c r="H26" s="96"/>
      <c r="I26" s="96"/>
      <c r="K26" s="96"/>
      <c r="L26" s="96"/>
      <c r="M26" s="96"/>
    </row>
    <row r="27" spans="1:17" x14ac:dyDescent="0.2">
      <c r="A27" s="400"/>
      <c r="B27" s="151" t="s">
        <v>114</v>
      </c>
      <c r="C27" s="243" t="e">
        <v>#N/A</v>
      </c>
      <c r="D27" s="150">
        <v>25.8</v>
      </c>
      <c r="E27" s="243" t="e">
        <v>#N/A</v>
      </c>
      <c r="F27" s="150">
        <v>24.5</v>
      </c>
      <c r="G27" s="96"/>
      <c r="H27" s="96"/>
      <c r="I27" s="96"/>
      <c r="K27" s="96"/>
      <c r="L27" s="96"/>
      <c r="M27" s="96"/>
    </row>
    <row r="28" spans="1:17" x14ac:dyDescent="0.2">
      <c r="A28" s="407" t="s">
        <v>488</v>
      </c>
      <c r="B28" s="151" t="s">
        <v>485</v>
      </c>
      <c r="C28" s="150">
        <v>68.3</v>
      </c>
      <c r="D28" s="150">
        <v>69.3</v>
      </c>
      <c r="E28" s="150">
        <v>65.5</v>
      </c>
      <c r="F28" s="150">
        <v>66.5</v>
      </c>
      <c r="G28" s="96"/>
      <c r="H28" s="96"/>
      <c r="I28" s="96"/>
      <c r="K28" s="96"/>
      <c r="L28" s="96"/>
      <c r="M28" s="96"/>
    </row>
    <row r="29" spans="1:17" x14ac:dyDescent="0.2">
      <c r="A29" s="408"/>
      <c r="B29" s="151" t="s">
        <v>114</v>
      </c>
      <c r="C29" s="243" t="e">
        <v>#N/A</v>
      </c>
      <c r="D29" s="243" t="e">
        <v>#N/A</v>
      </c>
      <c r="E29" s="243" t="e">
        <v>#N/A</v>
      </c>
      <c r="F29" s="243" t="e">
        <v>#N/A</v>
      </c>
      <c r="G29" s="96"/>
      <c r="H29" s="96"/>
      <c r="I29" s="96"/>
      <c r="K29" s="96"/>
      <c r="L29" s="96"/>
      <c r="M29" s="96"/>
    </row>
    <row r="30" spans="1:17" x14ac:dyDescent="0.2">
      <c r="A30" s="242" t="s">
        <v>504</v>
      </c>
      <c r="B30" s="102" t="s">
        <v>114</v>
      </c>
      <c r="C30" s="243" t="e">
        <v>#N/A</v>
      </c>
      <c r="D30" s="243" t="e">
        <v>#N/A</v>
      </c>
      <c r="E30" s="243" t="e">
        <v>#N/A</v>
      </c>
      <c r="F30" s="243" t="e">
        <v>#N/A</v>
      </c>
      <c r="G30" s="96"/>
      <c r="H30" s="96"/>
      <c r="I30" s="96"/>
      <c r="K30" s="96"/>
      <c r="L30" s="96"/>
      <c r="M30" s="96"/>
    </row>
    <row r="31" spans="1:17" x14ac:dyDescent="0.2">
      <c r="A31" s="400" t="s">
        <v>471</v>
      </c>
      <c r="B31" s="151" t="s">
        <v>485</v>
      </c>
      <c r="C31" s="150">
        <v>69.900000000000006</v>
      </c>
      <c r="D31" s="150">
        <v>70.900000000000006</v>
      </c>
      <c r="E31" s="150">
        <v>69.099999999999994</v>
      </c>
      <c r="F31" s="150">
        <v>70.099999999999994</v>
      </c>
      <c r="G31" s="96"/>
      <c r="H31" s="96"/>
      <c r="I31" s="96"/>
      <c r="K31" s="96"/>
      <c r="L31" s="96"/>
      <c r="M31" s="96"/>
    </row>
    <row r="32" spans="1:17" x14ac:dyDescent="0.2">
      <c r="A32" s="400"/>
      <c r="B32" s="151" t="s">
        <v>486</v>
      </c>
      <c r="C32" s="150">
        <v>42</v>
      </c>
      <c r="D32" s="243" t="e">
        <v>#N/A</v>
      </c>
      <c r="E32" s="243" t="e">
        <v>#N/A</v>
      </c>
      <c r="F32" s="243" t="e">
        <v>#N/A</v>
      </c>
      <c r="G32" s="96"/>
      <c r="H32" s="96"/>
      <c r="I32" s="96"/>
      <c r="K32" s="96"/>
      <c r="L32" s="96"/>
      <c r="M32" s="96"/>
    </row>
    <row r="33" spans="1:13" x14ac:dyDescent="0.2">
      <c r="A33" s="400" t="s">
        <v>472</v>
      </c>
      <c r="B33" s="151" t="s">
        <v>485</v>
      </c>
      <c r="C33" s="150">
        <v>70.599999999999994</v>
      </c>
      <c r="D33" s="150">
        <v>71.599999999999994</v>
      </c>
      <c r="E33" s="150">
        <v>75.400000000000006</v>
      </c>
      <c r="F33" s="150">
        <v>76.400000000000006</v>
      </c>
      <c r="G33" s="96"/>
      <c r="H33" s="96"/>
      <c r="I33" s="96"/>
      <c r="K33" s="96"/>
      <c r="L33" s="96"/>
      <c r="M33" s="96"/>
    </row>
    <row r="34" spans="1:13" x14ac:dyDescent="0.2">
      <c r="A34" s="400"/>
      <c r="B34" s="151" t="s">
        <v>486</v>
      </c>
      <c r="C34" s="150">
        <v>67</v>
      </c>
      <c r="D34" s="243" t="e">
        <v>#N/A</v>
      </c>
      <c r="E34" s="152">
        <v>73</v>
      </c>
      <c r="F34" s="243" t="e">
        <v>#N/A</v>
      </c>
      <c r="G34" s="96"/>
      <c r="H34" s="96"/>
      <c r="I34" s="96"/>
      <c r="K34" s="96"/>
      <c r="L34" s="96"/>
      <c r="M34" s="96"/>
    </row>
    <row r="35" spans="1:13" x14ac:dyDescent="0.2">
      <c r="A35" s="400" t="s">
        <v>473</v>
      </c>
      <c r="B35" s="151" t="s">
        <v>485</v>
      </c>
      <c r="C35" s="237">
        <v>69</v>
      </c>
      <c r="D35" s="237">
        <v>70</v>
      </c>
      <c r="E35" s="150">
        <v>65.3</v>
      </c>
      <c r="F35" s="150">
        <v>66.3</v>
      </c>
      <c r="G35" s="96"/>
      <c r="H35" s="96"/>
      <c r="I35" s="96"/>
      <c r="K35" s="96"/>
      <c r="L35" s="96"/>
      <c r="M35" s="96"/>
    </row>
    <row r="36" spans="1:13" x14ac:dyDescent="0.2">
      <c r="A36" s="400"/>
      <c r="B36" s="151" t="s">
        <v>486</v>
      </c>
      <c r="C36" s="150">
        <v>58</v>
      </c>
      <c r="D36" s="243" t="e">
        <v>#N/A</v>
      </c>
      <c r="E36" s="152">
        <v>72</v>
      </c>
      <c r="F36" s="243" t="e">
        <v>#N/A</v>
      </c>
      <c r="G36" s="96"/>
      <c r="H36" s="96"/>
      <c r="I36" s="96"/>
      <c r="K36" s="96"/>
      <c r="L36" s="96"/>
      <c r="M36" s="96"/>
    </row>
    <row r="37" spans="1:13" x14ac:dyDescent="0.2">
      <c r="A37" s="400"/>
      <c r="B37" s="151" t="s">
        <v>114</v>
      </c>
      <c r="C37" s="243" t="e">
        <v>#N/A</v>
      </c>
      <c r="D37" s="150">
        <v>26.4</v>
      </c>
      <c r="E37" s="243" t="e">
        <v>#N/A</v>
      </c>
      <c r="F37" s="243" t="e">
        <v>#N/A</v>
      </c>
      <c r="G37" s="96"/>
      <c r="H37" s="96"/>
      <c r="I37" s="96"/>
      <c r="K37" s="96"/>
      <c r="L37" s="96"/>
      <c r="M37" s="96"/>
    </row>
    <row r="38" spans="1:13" x14ac:dyDescent="0.2">
      <c r="A38" s="76" t="s">
        <v>474</v>
      </c>
      <c r="B38" s="151" t="s">
        <v>114</v>
      </c>
      <c r="C38" s="243" t="e">
        <v>#N/A</v>
      </c>
      <c r="D38" s="150">
        <v>24.8</v>
      </c>
      <c r="E38" s="243" t="e">
        <v>#N/A</v>
      </c>
      <c r="F38" s="150">
        <v>25.8</v>
      </c>
      <c r="G38" s="96"/>
      <c r="H38" s="96"/>
      <c r="I38" s="96"/>
      <c r="K38" s="96"/>
      <c r="L38" s="96"/>
      <c r="M38" s="96"/>
    </row>
    <row r="39" spans="1:13" x14ac:dyDescent="0.2">
      <c r="A39" s="202" t="s">
        <v>475</v>
      </c>
      <c r="B39" s="151" t="s">
        <v>114</v>
      </c>
      <c r="C39" s="243" t="e">
        <v>#N/A</v>
      </c>
      <c r="D39" s="150">
        <v>28.9</v>
      </c>
      <c r="E39" s="243" t="e">
        <v>#N/A</v>
      </c>
      <c r="F39" s="150">
        <v>26.3</v>
      </c>
      <c r="G39" s="96"/>
      <c r="H39" s="96"/>
      <c r="I39" s="96"/>
      <c r="K39" s="96"/>
      <c r="L39" s="96"/>
      <c r="M39" s="96"/>
    </row>
    <row r="40" spans="1:13" x14ac:dyDescent="0.2">
      <c r="A40" s="39" t="s">
        <v>508</v>
      </c>
    </row>
  </sheetData>
  <sheetProtection formatColumns="0" formatRows="0"/>
  <sortState xmlns:xlrd2="http://schemas.microsoft.com/office/spreadsheetml/2017/richdata2" ref="A11:S14">
    <sortCondition ref="A11"/>
  </sortState>
  <mergeCells count="10">
    <mergeCell ref="A35:A37"/>
    <mergeCell ref="A31:A32"/>
    <mergeCell ref="A25:A27"/>
    <mergeCell ref="A23:A24"/>
    <mergeCell ref="A1:C1"/>
    <mergeCell ref="A2:C2"/>
    <mergeCell ref="A3:C3"/>
    <mergeCell ref="A21:A22"/>
    <mergeCell ref="A33:A34"/>
    <mergeCell ref="A28:A29"/>
  </mergeCells>
  <phoneticPr fontId="0" type="noConversion"/>
  <pageMargins left="0.5" right="0.5" top="1" bottom="1" header="0.25" footer="0.25"/>
  <pageSetup scale="58" orientation="landscape" r:id="rId1"/>
  <headerFooter alignWithMargins="0">
    <oddHeader>&amp;LPart No.:
Batch No(s).: 
Cartridge No. (LSP): &amp;C&amp;12Product QC Testing Worksheet-MTB/XDR&amp;RDocument Number: D37339 Attachment 1
Rev: M
Effective: 5/21/2026
p. &amp;P of &amp;N</oddHeader>
    <oddFooter>&amp;C User is responsible for using the current revision. The controlled current released revision of this document resides in the Agile PLM system.
Cepheid Confidential    Date Printed: &amp;D      &amp;T</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BT45"/>
  <sheetViews>
    <sheetView zoomScaleNormal="100" workbookViewId="0"/>
  </sheetViews>
  <sheetFormatPr defaultColWidth="9.140625" defaultRowHeight="12.75" x14ac:dyDescent="0.2"/>
  <cols>
    <col min="1" max="1" width="4.42578125" style="128" customWidth="1"/>
    <col min="2" max="2" width="7.5703125" style="128" customWidth="1"/>
    <col min="3" max="3" width="9.5703125" style="128" customWidth="1"/>
    <col min="4" max="4" width="3.85546875" style="128" customWidth="1"/>
    <col min="5" max="6" width="9.140625" style="128" customWidth="1"/>
    <col min="7" max="7" width="3.85546875" style="128" customWidth="1"/>
    <col min="8" max="9" width="9.140625" style="128" customWidth="1"/>
    <col min="10" max="10" width="3" style="128" customWidth="1"/>
    <col min="11" max="12" width="9.140625" style="128" customWidth="1"/>
    <col min="13" max="13" width="3.5703125" style="128" customWidth="1"/>
    <col min="14" max="15" width="9.140625" style="128" customWidth="1"/>
    <col min="16" max="16" width="3.85546875" style="128" customWidth="1"/>
    <col min="17" max="17" width="7.5703125" style="128" customWidth="1"/>
    <col min="18" max="18" width="9.5703125" style="128" customWidth="1"/>
    <col min="19" max="19" width="4.42578125" style="128" customWidth="1"/>
    <col min="20" max="21" width="9.140625" style="128" customWidth="1"/>
    <col min="22" max="22" width="4.140625" style="128" customWidth="1"/>
    <col min="23" max="24" width="9.140625" style="128" customWidth="1"/>
    <col min="25" max="25" width="5.42578125" style="128" customWidth="1"/>
    <col min="26" max="27" width="9.140625" style="128" customWidth="1"/>
    <col min="28" max="28" width="4" style="128" customWidth="1"/>
    <col min="29" max="30" width="9.140625" style="128" customWidth="1"/>
    <col min="31" max="31" width="4.42578125" style="128" customWidth="1"/>
    <col min="32" max="32" width="7.5703125" style="128" customWidth="1"/>
    <col min="33" max="33" width="9.5703125" style="128" customWidth="1"/>
    <col min="34" max="34" width="3.85546875" style="128" customWidth="1"/>
    <col min="35" max="36" width="9.140625" style="128" customWidth="1"/>
    <col min="37" max="37" width="3.85546875" style="128" customWidth="1"/>
    <col min="38" max="39" width="9.140625" style="128" customWidth="1"/>
    <col min="40" max="40" width="3" style="128" customWidth="1"/>
    <col min="41" max="42" width="9.140625" style="128" customWidth="1"/>
    <col min="43" max="43" width="3.5703125" style="128" customWidth="1"/>
    <col min="44" max="45" width="9.140625" style="128" customWidth="1"/>
    <col min="46" max="46" width="3.85546875" style="128" customWidth="1"/>
    <col min="47" max="47" width="7.5703125" style="128" customWidth="1"/>
    <col min="48" max="48" width="9.5703125" style="128" customWidth="1"/>
    <col min="49" max="49" width="4.42578125" style="128" customWidth="1"/>
    <col min="50" max="51" width="9.140625" style="128" customWidth="1"/>
    <col min="52" max="52" width="4.140625" style="128" customWidth="1"/>
    <col min="53" max="54" width="9.140625" style="128" customWidth="1"/>
    <col min="55" max="55" width="5.42578125" style="128" customWidth="1"/>
    <col min="56" max="57" width="9.140625" style="128" customWidth="1"/>
    <col min="58" max="58" width="4" style="128" customWidth="1"/>
    <col min="59" max="60" width="9.140625" style="128" customWidth="1"/>
    <col min="61" max="61" width="3.85546875" style="128" customWidth="1"/>
    <col min="62" max="63" width="9.140625" style="128" customWidth="1"/>
    <col min="64" max="64" width="9" style="128" customWidth="1"/>
    <col min="65" max="66" width="9.140625" style="128" customWidth="1"/>
    <col min="67" max="67" width="4.5703125" style="128" customWidth="1"/>
    <col min="68" max="69" width="9.140625" style="128" customWidth="1"/>
    <col min="70" max="70" width="4.5703125" style="128" customWidth="1"/>
    <col min="71" max="256" width="9.140625" style="128"/>
    <col min="257" max="257" width="4.42578125" style="128" customWidth="1"/>
    <col min="258" max="258" width="7.5703125" style="128" customWidth="1"/>
    <col min="259" max="259" width="9.5703125" style="128" customWidth="1"/>
    <col min="260" max="260" width="3.85546875" style="128" customWidth="1"/>
    <col min="261" max="262" width="9.140625" style="128" customWidth="1"/>
    <col min="263" max="263" width="3.85546875" style="128" customWidth="1"/>
    <col min="264" max="265" width="9.140625" style="128" customWidth="1"/>
    <col min="266" max="266" width="3" style="128" customWidth="1"/>
    <col min="267" max="268" width="9.140625" style="128" customWidth="1"/>
    <col min="269" max="269" width="3.5703125" style="128" customWidth="1"/>
    <col min="270" max="271" width="9.140625" style="128" customWidth="1"/>
    <col min="272" max="272" width="3.85546875" style="128" customWidth="1"/>
    <col min="273" max="273" width="7.5703125" style="128" customWidth="1"/>
    <col min="274" max="274" width="9.5703125" style="128" customWidth="1"/>
    <col min="275" max="275" width="4.42578125" style="128" customWidth="1"/>
    <col min="276" max="277" width="9.140625" style="128" customWidth="1"/>
    <col min="278" max="278" width="4.140625" style="128" customWidth="1"/>
    <col min="279" max="280" width="9.140625" style="128" customWidth="1"/>
    <col min="281" max="281" width="5.42578125" style="128" customWidth="1"/>
    <col min="282" max="283" width="9.140625" style="128" customWidth="1"/>
    <col min="284" max="284" width="4" style="128" customWidth="1"/>
    <col min="285" max="286" width="9.140625" style="128" customWidth="1"/>
    <col min="287" max="287" width="4.42578125" style="128" customWidth="1"/>
    <col min="288" max="288" width="7.5703125" style="128" customWidth="1"/>
    <col min="289" max="289" width="9.5703125" style="128" customWidth="1"/>
    <col min="290" max="290" width="3.85546875" style="128" customWidth="1"/>
    <col min="291" max="292" width="9.140625" style="128" customWidth="1"/>
    <col min="293" max="293" width="3.85546875" style="128" customWidth="1"/>
    <col min="294" max="295" width="9.140625" style="128" customWidth="1"/>
    <col min="296" max="296" width="3" style="128" customWidth="1"/>
    <col min="297" max="298" width="9.140625" style="128" customWidth="1"/>
    <col min="299" max="299" width="3.5703125" style="128" customWidth="1"/>
    <col min="300" max="301" width="9.140625" style="128" customWidth="1"/>
    <col min="302" max="302" width="3.85546875" style="128" customWidth="1"/>
    <col min="303" max="303" width="7.5703125" style="128" customWidth="1"/>
    <col min="304" max="304" width="9.5703125" style="128" customWidth="1"/>
    <col min="305" max="305" width="4.42578125" style="128" customWidth="1"/>
    <col min="306" max="307" width="9.140625" style="128" customWidth="1"/>
    <col min="308" max="308" width="4.140625" style="128" customWidth="1"/>
    <col min="309" max="310" width="9.140625" style="128" customWidth="1"/>
    <col min="311" max="311" width="5.42578125" style="128" customWidth="1"/>
    <col min="312" max="313" width="9.140625" style="128" customWidth="1"/>
    <col min="314" max="314" width="4" style="128" customWidth="1"/>
    <col min="315" max="316" width="9.140625" style="128" customWidth="1"/>
    <col min="317" max="317" width="3.85546875" style="128" customWidth="1"/>
    <col min="318" max="319" width="9.140625" style="128" customWidth="1"/>
    <col min="320" max="320" width="9" style="128" customWidth="1"/>
    <col min="321" max="322" width="9.140625" style="128" customWidth="1"/>
    <col min="323" max="323" width="4.5703125" style="128" customWidth="1"/>
    <col min="324" max="325" width="9.140625" style="128" customWidth="1"/>
    <col min="326" max="326" width="4.5703125" style="128" customWidth="1"/>
    <col min="327" max="512" width="9.140625" style="128"/>
    <col min="513" max="513" width="4.42578125" style="128" customWidth="1"/>
    <col min="514" max="514" width="7.5703125" style="128" customWidth="1"/>
    <col min="515" max="515" width="9.5703125" style="128" customWidth="1"/>
    <col min="516" max="516" width="3.85546875" style="128" customWidth="1"/>
    <col min="517" max="518" width="9.140625" style="128" customWidth="1"/>
    <col min="519" max="519" width="3.85546875" style="128" customWidth="1"/>
    <col min="520" max="521" width="9.140625" style="128" customWidth="1"/>
    <col min="522" max="522" width="3" style="128" customWidth="1"/>
    <col min="523" max="524" width="9.140625" style="128" customWidth="1"/>
    <col min="525" max="525" width="3.5703125" style="128" customWidth="1"/>
    <col min="526" max="527" width="9.140625" style="128" customWidth="1"/>
    <col min="528" max="528" width="3.85546875" style="128" customWidth="1"/>
    <col min="529" max="529" width="7.5703125" style="128" customWidth="1"/>
    <col min="530" max="530" width="9.5703125" style="128" customWidth="1"/>
    <col min="531" max="531" width="4.42578125" style="128" customWidth="1"/>
    <col min="532" max="533" width="9.140625" style="128" customWidth="1"/>
    <col min="534" max="534" width="4.140625" style="128" customWidth="1"/>
    <col min="535" max="536" width="9.140625" style="128" customWidth="1"/>
    <col min="537" max="537" width="5.42578125" style="128" customWidth="1"/>
    <col min="538" max="539" width="9.140625" style="128" customWidth="1"/>
    <col min="540" max="540" width="4" style="128" customWidth="1"/>
    <col min="541" max="542" width="9.140625" style="128" customWidth="1"/>
    <col min="543" max="543" width="4.42578125" style="128" customWidth="1"/>
    <col min="544" max="544" width="7.5703125" style="128" customWidth="1"/>
    <col min="545" max="545" width="9.5703125" style="128" customWidth="1"/>
    <col min="546" max="546" width="3.85546875" style="128" customWidth="1"/>
    <col min="547" max="548" width="9.140625" style="128" customWidth="1"/>
    <col min="549" max="549" width="3.85546875" style="128" customWidth="1"/>
    <col min="550" max="551" width="9.140625" style="128" customWidth="1"/>
    <col min="552" max="552" width="3" style="128" customWidth="1"/>
    <col min="553" max="554" width="9.140625" style="128" customWidth="1"/>
    <col min="555" max="555" width="3.5703125" style="128" customWidth="1"/>
    <col min="556" max="557" width="9.140625" style="128" customWidth="1"/>
    <col min="558" max="558" width="3.85546875" style="128" customWidth="1"/>
    <col min="559" max="559" width="7.5703125" style="128" customWidth="1"/>
    <col min="560" max="560" width="9.5703125" style="128" customWidth="1"/>
    <col min="561" max="561" width="4.42578125" style="128" customWidth="1"/>
    <col min="562" max="563" width="9.140625" style="128" customWidth="1"/>
    <col min="564" max="564" width="4.140625" style="128" customWidth="1"/>
    <col min="565" max="566" width="9.140625" style="128" customWidth="1"/>
    <col min="567" max="567" width="5.42578125" style="128" customWidth="1"/>
    <col min="568" max="569" width="9.140625" style="128" customWidth="1"/>
    <col min="570" max="570" width="4" style="128" customWidth="1"/>
    <col min="571" max="572" width="9.140625" style="128" customWidth="1"/>
    <col min="573" max="573" width="3.85546875" style="128" customWidth="1"/>
    <col min="574" max="575" width="9.140625" style="128" customWidth="1"/>
    <col min="576" max="576" width="9" style="128" customWidth="1"/>
    <col min="577" max="578" width="9.140625" style="128" customWidth="1"/>
    <col min="579" max="579" width="4.5703125" style="128" customWidth="1"/>
    <col min="580" max="581" width="9.140625" style="128" customWidth="1"/>
    <col min="582" max="582" width="4.5703125" style="128" customWidth="1"/>
    <col min="583" max="768" width="9.140625" style="128"/>
    <col min="769" max="769" width="4.42578125" style="128" customWidth="1"/>
    <col min="770" max="770" width="7.5703125" style="128" customWidth="1"/>
    <col min="771" max="771" width="9.5703125" style="128" customWidth="1"/>
    <col min="772" max="772" width="3.85546875" style="128" customWidth="1"/>
    <col min="773" max="774" width="9.140625" style="128" customWidth="1"/>
    <col min="775" max="775" width="3.85546875" style="128" customWidth="1"/>
    <col min="776" max="777" width="9.140625" style="128" customWidth="1"/>
    <col min="778" max="778" width="3" style="128" customWidth="1"/>
    <col min="779" max="780" width="9.140625" style="128" customWidth="1"/>
    <col min="781" max="781" width="3.5703125" style="128" customWidth="1"/>
    <col min="782" max="783" width="9.140625" style="128" customWidth="1"/>
    <col min="784" max="784" width="3.85546875" style="128" customWidth="1"/>
    <col min="785" max="785" width="7.5703125" style="128" customWidth="1"/>
    <col min="786" max="786" width="9.5703125" style="128" customWidth="1"/>
    <col min="787" max="787" width="4.42578125" style="128" customWidth="1"/>
    <col min="788" max="789" width="9.140625" style="128" customWidth="1"/>
    <col min="790" max="790" width="4.140625" style="128" customWidth="1"/>
    <col min="791" max="792" width="9.140625" style="128" customWidth="1"/>
    <col min="793" max="793" width="5.42578125" style="128" customWidth="1"/>
    <col min="794" max="795" width="9.140625" style="128" customWidth="1"/>
    <col min="796" max="796" width="4" style="128" customWidth="1"/>
    <col min="797" max="798" width="9.140625" style="128" customWidth="1"/>
    <col min="799" max="799" width="4.42578125" style="128" customWidth="1"/>
    <col min="800" max="800" width="7.5703125" style="128" customWidth="1"/>
    <col min="801" max="801" width="9.5703125" style="128" customWidth="1"/>
    <col min="802" max="802" width="3.85546875" style="128" customWidth="1"/>
    <col min="803" max="804" width="9.140625" style="128" customWidth="1"/>
    <col min="805" max="805" width="3.85546875" style="128" customWidth="1"/>
    <col min="806" max="807" width="9.140625" style="128" customWidth="1"/>
    <col min="808" max="808" width="3" style="128" customWidth="1"/>
    <col min="809" max="810" width="9.140625" style="128" customWidth="1"/>
    <col min="811" max="811" width="3.5703125" style="128" customWidth="1"/>
    <col min="812" max="813" width="9.140625" style="128" customWidth="1"/>
    <col min="814" max="814" width="3.85546875" style="128" customWidth="1"/>
    <col min="815" max="815" width="7.5703125" style="128" customWidth="1"/>
    <col min="816" max="816" width="9.5703125" style="128" customWidth="1"/>
    <col min="817" max="817" width="4.42578125" style="128" customWidth="1"/>
    <col min="818" max="819" width="9.140625" style="128" customWidth="1"/>
    <col min="820" max="820" width="4.140625" style="128" customWidth="1"/>
    <col min="821" max="822" width="9.140625" style="128" customWidth="1"/>
    <col min="823" max="823" width="5.42578125" style="128" customWidth="1"/>
    <col min="824" max="825" width="9.140625" style="128" customWidth="1"/>
    <col min="826" max="826" width="4" style="128" customWidth="1"/>
    <col min="827" max="828" width="9.140625" style="128" customWidth="1"/>
    <col min="829" max="829" width="3.85546875" style="128" customWidth="1"/>
    <col min="830" max="831" width="9.140625" style="128" customWidth="1"/>
    <col min="832" max="832" width="9" style="128" customWidth="1"/>
    <col min="833" max="834" width="9.140625" style="128" customWidth="1"/>
    <col min="835" max="835" width="4.5703125" style="128" customWidth="1"/>
    <col min="836" max="837" width="9.140625" style="128" customWidth="1"/>
    <col min="838" max="838" width="4.5703125" style="128" customWidth="1"/>
    <col min="839" max="1024" width="9.140625" style="128"/>
    <col min="1025" max="1025" width="4.42578125" style="128" customWidth="1"/>
    <col min="1026" max="1026" width="7.5703125" style="128" customWidth="1"/>
    <col min="1027" max="1027" width="9.5703125" style="128" customWidth="1"/>
    <col min="1028" max="1028" width="3.85546875" style="128" customWidth="1"/>
    <col min="1029" max="1030" width="9.140625" style="128" customWidth="1"/>
    <col min="1031" max="1031" width="3.85546875" style="128" customWidth="1"/>
    <col min="1032" max="1033" width="9.140625" style="128" customWidth="1"/>
    <col min="1034" max="1034" width="3" style="128" customWidth="1"/>
    <col min="1035" max="1036" width="9.140625" style="128" customWidth="1"/>
    <col min="1037" max="1037" width="3.5703125" style="128" customWidth="1"/>
    <col min="1038" max="1039" width="9.140625" style="128" customWidth="1"/>
    <col min="1040" max="1040" width="3.85546875" style="128" customWidth="1"/>
    <col min="1041" max="1041" width="7.5703125" style="128" customWidth="1"/>
    <col min="1042" max="1042" width="9.5703125" style="128" customWidth="1"/>
    <col min="1043" max="1043" width="4.42578125" style="128" customWidth="1"/>
    <col min="1044" max="1045" width="9.140625" style="128" customWidth="1"/>
    <col min="1046" max="1046" width="4.140625" style="128" customWidth="1"/>
    <col min="1047" max="1048" width="9.140625" style="128" customWidth="1"/>
    <col min="1049" max="1049" width="5.42578125" style="128" customWidth="1"/>
    <col min="1050" max="1051" width="9.140625" style="128" customWidth="1"/>
    <col min="1052" max="1052" width="4" style="128" customWidth="1"/>
    <col min="1053" max="1054" width="9.140625" style="128" customWidth="1"/>
    <col min="1055" max="1055" width="4.42578125" style="128" customWidth="1"/>
    <col min="1056" max="1056" width="7.5703125" style="128" customWidth="1"/>
    <col min="1057" max="1057" width="9.5703125" style="128" customWidth="1"/>
    <col min="1058" max="1058" width="3.85546875" style="128" customWidth="1"/>
    <col min="1059" max="1060" width="9.140625" style="128" customWidth="1"/>
    <col min="1061" max="1061" width="3.85546875" style="128" customWidth="1"/>
    <col min="1062" max="1063" width="9.140625" style="128" customWidth="1"/>
    <col min="1064" max="1064" width="3" style="128" customWidth="1"/>
    <col min="1065" max="1066" width="9.140625" style="128" customWidth="1"/>
    <col min="1067" max="1067" width="3.5703125" style="128" customWidth="1"/>
    <col min="1068" max="1069" width="9.140625" style="128" customWidth="1"/>
    <col min="1070" max="1070" width="3.85546875" style="128" customWidth="1"/>
    <col min="1071" max="1071" width="7.5703125" style="128" customWidth="1"/>
    <col min="1072" max="1072" width="9.5703125" style="128" customWidth="1"/>
    <col min="1073" max="1073" width="4.42578125" style="128" customWidth="1"/>
    <col min="1074" max="1075" width="9.140625" style="128" customWidth="1"/>
    <col min="1076" max="1076" width="4.140625" style="128" customWidth="1"/>
    <col min="1077" max="1078" width="9.140625" style="128" customWidth="1"/>
    <col min="1079" max="1079" width="5.42578125" style="128" customWidth="1"/>
    <col min="1080" max="1081" width="9.140625" style="128" customWidth="1"/>
    <col min="1082" max="1082" width="4" style="128" customWidth="1"/>
    <col min="1083" max="1084" width="9.140625" style="128" customWidth="1"/>
    <col min="1085" max="1085" width="3.85546875" style="128" customWidth="1"/>
    <col min="1086" max="1087" width="9.140625" style="128" customWidth="1"/>
    <col min="1088" max="1088" width="9" style="128" customWidth="1"/>
    <col min="1089" max="1090" width="9.140625" style="128" customWidth="1"/>
    <col min="1091" max="1091" width="4.5703125" style="128" customWidth="1"/>
    <col min="1092" max="1093" width="9.140625" style="128" customWidth="1"/>
    <col min="1094" max="1094" width="4.5703125" style="128" customWidth="1"/>
    <col min="1095" max="1280" width="9.140625" style="128"/>
    <col min="1281" max="1281" width="4.42578125" style="128" customWidth="1"/>
    <col min="1282" max="1282" width="7.5703125" style="128" customWidth="1"/>
    <col min="1283" max="1283" width="9.5703125" style="128" customWidth="1"/>
    <col min="1284" max="1284" width="3.85546875" style="128" customWidth="1"/>
    <col min="1285" max="1286" width="9.140625" style="128" customWidth="1"/>
    <col min="1287" max="1287" width="3.85546875" style="128" customWidth="1"/>
    <col min="1288" max="1289" width="9.140625" style="128" customWidth="1"/>
    <col min="1290" max="1290" width="3" style="128" customWidth="1"/>
    <col min="1291" max="1292" width="9.140625" style="128" customWidth="1"/>
    <col min="1293" max="1293" width="3.5703125" style="128" customWidth="1"/>
    <col min="1294" max="1295" width="9.140625" style="128" customWidth="1"/>
    <col min="1296" max="1296" width="3.85546875" style="128" customWidth="1"/>
    <col min="1297" max="1297" width="7.5703125" style="128" customWidth="1"/>
    <col min="1298" max="1298" width="9.5703125" style="128" customWidth="1"/>
    <col min="1299" max="1299" width="4.42578125" style="128" customWidth="1"/>
    <col min="1300" max="1301" width="9.140625" style="128" customWidth="1"/>
    <col min="1302" max="1302" width="4.140625" style="128" customWidth="1"/>
    <col min="1303" max="1304" width="9.140625" style="128" customWidth="1"/>
    <col min="1305" max="1305" width="5.42578125" style="128" customWidth="1"/>
    <col min="1306" max="1307" width="9.140625" style="128" customWidth="1"/>
    <col min="1308" max="1308" width="4" style="128" customWidth="1"/>
    <col min="1309" max="1310" width="9.140625" style="128" customWidth="1"/>
    <col min="1311" max="1311" width="4.42578125" style="128" customWidth="1"/>
    <col min="1312" max="1312" width="7.5703125" style="128" customWidth="1"/>
    <col min="1313" max="1313" width="9.5703125" style="128" customWidth="1"/>
    <col min="1314" max="1314" width="3.85546875" style="128" customWidth="1"/>
    <col min="1315" max="1316" width="9.140625" style="128" customWidth="1"/>
    <col min="1317" max="1317" width="3.85546875" style="128" customWidth="1"/>
    <col min="1318" max="1319" width="9.140625" style="128" customWidth="1"/>
    <col min="1320" max="1320" width="3" style="128" customWidth="1"/>
    <col min="1321" max="1322" width="9.140625" style="128" customWidth="1"/>
    <col min="1323" max="1323" width="3.5703125" style="128" customWidth="1"/>
    <col min="1324" max="1325" width="9.140625" style="128" customWidth="1"/>
    <col min="1326" max="1326" width="3.85546875" style="128" customWidth="1"/>
    <col min="1327" max="1327" width="7.5703125" style="128" customWidth="1"/>
    <col min="1328" max="1328" width="9.5703125" style="128" customWidth="1"/>
    <col min="1329" max="1329" width="4.42578125" style="128" customWidth="1"/>
    <col min="1330" max="1331" width="9.140625" style="128" customWidth="1"/>
    <col min="1332" max="1332" width="4.140625" style="128" customWidth="1"/>
    <col min="1333" max="1334" width="9.140625" style="128" customWidth="1"/>
    <col min="1335" max="1335" width="5.42578125" style="128" customWidth="1"/>
    <col min="1336" max="1337" width="9.140625" style="128" customWidth="1"/>
    <col min="1338" max="1338" width="4" style="128" customWidth="1"/>
    <col min="1339" max="1340" width="9.140625" style="128" customWidth="1"/>
    <col min="1341" max="1341" width="3.85546875" style="128" customWidth="1"/>
    <col min="1342" max="1343" width="9.140625" style="128" customWidth="1"/>
    <col min="1344" max="1344" width="9" style="128" customWidth="1"/>
    <col min="1345" max="1346" width="9.140625" style="128" customWidth="1"/>
    <col min="1347" max="1347" width="4.5703125" style="128" customWidth="1"/>
    <col min="1348" max="1349" width="9.140625" style="128" customWidth="1"/>
    <col min="1350" max="1350" width="4.5703125" style="128" customWidth="1"/>
    <col min="1351" max="1536" width="9.140625" style="128"/>
    <col min="1537" max="1537" width="4.42578125" style="128" customWidth="1"/>
    <col min="1538" max="1538" width="7.5703125" style="128" customWidth="1"/>
    <col min="1539" max="1539" width="9.5703125" style="128" customWidth="1"/>
    <col min="1540" max="1540" width="3.85546875" style="128" customWidth="1"/>
    <col min="1541" max="1542" width="9.140625" style="128" customWidth="1"/>
    <col min="1543" max="1543" width="3.85546875" style="128" customWidth="1"/>
    <col min="1544" max="1545" width="9.140625" style="128" customWidth="1"/>
    <col min="1546" max="1546" width="3" style="128" customWidth="1"/>
    <col min="1547" max="1548" width="9.140625" style="128" customWidth="1"/>
    <col min="1549" max="1549" width="3.5703125" style="128" customWidth="1"/>
    <col min="1550" max="1551" width="9.140625" style="128" customWidth="1"/>
    <col min="1552" max="1552" width="3.85546875" style="128" customWidth="1"/>
    <col min="1553" max="1553" width="7.5703125" style="128" customWidth="1"/>
    <col min="1554" max="1554" width="9.5703125" style="128" customWidth="1"/>
    <col min="1555" max="1555" width="4.42578125" style="128" customWidth="1"/>
    <col min="1556" max="1557" width="9.140625" style="128" customWidth="1"/>
    <col min="1558" max="1558" width="4.140625" style="128" customWidth="1"/>
    <col min="1559" max="1560" width="9.140625" style="128" customWidth="1"/>
    <col min="1561" max="1561" width="5.42578125" style="128" customWidth="1"/>
    <col min="1562" max="1563" width="9.140625" style="128" customWidth="1"/>
    <col min="1564" max="1564" width="4" style="128" customWidth="1"/>
    <col min="1565" max="1566" width="9.140625" style="128" customWidth="1"/>
    <col min="1567" max="1567" width="4.42578125" style="128" customWidth="1"/>
    <col min="1568" max="1568" width="7.5703125" style="128" customWidth="1"/>
    <col min="1569" max="1569" width="9.5703125" style="128" customWidth="1"/>
    <col min="1570" max="1570" width="3.85546875" style="128" customWidth="1"/>
    <col min="1571" max="1572" width="9.140625" style="128" customWidth="1"/>
    <col min="1573" max="1573" width="3.85546875" style="128" customWidth="1"/>
    <col min="1574" max="1575" width="9.140625" style="128" customWidth="1"/>
    <col min="1576" max="1576" width="3" style="128" customWidth="1"/>
    <col min="1577" max="1578" width="9.140625" style="128" customWidth="1"/>
    <col min="1579" max="1579" width="3.5703125" style="128" customWidth="1"/>
    <col min="1580" max="1581" width="9.140625" style="128" customWidth="1"/>
    <col min="1582" max="1582" width="3.85546875" style="128" customWidth="1"/>
    <col min="1583" max="1583" width="7.5703125" style="128" customWidth="1"/>
    <col min="1584" max="1584" width="9.5703125" style="128" customWidth="1"/>
    <col min="1585" max="1585" width="4.42578125" style="128" customWidth="1"/>
    <col min="1586" max="1587" width="9.140625" style="128" customWidth="1"/>
    <col min="1588" max="1588" width="4.140625" style="128" customWidth="1"/>
    <col min="1589" max="1590" width="9.140625" style="128" customWidth="1"/>
    <col min="1591" max="1591" width="5.42578125" style="128" customWidth="1"/>
    <col min="1592" max="1593" width="9.140625" style="128" customWidth="1"/>
    <col min="1594" max="1594" width="4" style="128" customWidth="1"/>
    <col min="1595" max="1596" width="9.140625" style="128" customWidth="1"/>
    <col min="1597" max="1597" width="3.85546875" style="128" customWidth="1"/>
    <col min="1598" max="1599" width="9.140625" style="128" customWidth="1"/>
    <col min="1600" max="1600" width="9" style="128" customWidth="1"/>
    <col min="1601" max="1602" width="9.140625" style="128" customWidth="1"/>
    <col min="1603" max="1603" width="4.5703125" style="128" customWidth="1"/>
    <col min="1604" max="1605" width="9.140625" style="128" customWidth="1"/>
    <col min="1606" max="1606" width="4.5703125" style="128" customWidth="1"/>
    <col min="1607" max="1792" width="9.140625" style="128"/>
    <col min="1793" max="1793" width="4.42578125" style="128" customWidth="1"/>
    <col min="1794" max="1794" width="7.5703125" style="128" customWidth="1"/>
    <col min="1795" max="1795" width="9.5703125" style="128" customWidth="1"/>
    <col min="1796" max="1796" width="3.85546875" style="128" customWidth="1"/>
    <col min="1797" max="1798" width="9.140625" style="128" customWidth="1"/>
    <col min="1799" max="1799" width="3.85546875" style="128" customWidth="1"/>
    <col min="1800" max="1801" width="9.140625" style="128" customWidth="1"/>
    <col min="1802" max="1802" width="3" style="128" customWidth="1"/>
    <col min="1803" max="1804" width="9.140625" style="128" customWidth="1"/>
    <col min="1805" max="1805" width="3.5703125" style="128" customWidth="1"/>
    <col min="1806" max="1807" width="9.140625" style="128" customWidth="1"/>
    <col min="1808" max="1808" width="3.85546875" style="128" customWidth="1"/>
    <col min="1809" max="1809" width="7.5703125" style="128" customWidth="1"/>
    <col min="1810" max="1810" width="9.5703125" style="128" customWidth="1"/>
    <col min="1811" max="1811" width="4.42578125" style="128" customWidth="1"/>
    <col min="1812" max="1813" width="9.140625" style="128" customWidth="1"/>
    <col min="1814" max="1814" width="4.140625" style="128" customWidth="1"/>
    <col min="1815" max="1816" width="9.140625" style="128" customWidth="1"/>
    <col min="1817" max="1817" width="5.42578125" style="128" customWidth="1"/>
    <col min="1818" max="1819" width="9.140625" style="128" customWidth="1"/>
    <col min="1820" max="1820" width="4" style="128" customWidth="1"/>
    <col min="1821" max="1822" width="9.140625" style="128" customWidth="1"/>
    <col min="1823" max="1823" width="4.42578125" style="128" customWidth="1"/>
    <col min="1824" max="1824" width="7.5703125" style="128" customWidth="1"/>
    <col min="1825" max="1825" width="9.5703125" style="128" customWidth="1"/>
    <col min="1826" max="1826" width="3.85546875" style="128" customWidth="1"/>
    <col min="1827" max="1828" width="9.140625" style="128" customWidth="1"/>
    <col min="1829" max="1829" width="3.85546875" style="128" customWidth="1"/>
    <col min="1830" max="1831" width="9.140625" style="128" customWidth="1"/>
    <col min="1832" max="1832" width="3" style="128" customWidth="1"/>
    <col min="1833" max="1834" width="9.140625" style="128" customWidth="1"/>
    <col min="1835" max="1835" width="3.5703125" style="128" customWidth="1"/>
    <col min="1836" max="1837" width="9.140625" style="128" customWidth="1"/>
    <col min="1838" max="1838" width="3.85546875" style="128" customWidth="1"/>
    <col min="1839" max="1839" width="7.5703125" style="128" customWidth="1"/>
    <col min="1840" max="1840" width="9.5703125" style="128" customWidth="1"/>
    <col min="1841" max="1841" width="4.42578125" style="128" customWidth="1"/>
    <col min="1842" max="1843" width="9.140625" style="128" customWidth="1"/>
    <col min="1844" max="1844" width="4.140625" style="128" customWidth="1"/>
    <col min="1845" max="1846" width="9.140625" style="128" customWidth="1"/>
    <col min="1847" max="1847" width="5.42578125" style="128" customWidth="1"/>
    <col min="1848" max="1849" width="9.140625" style="128" customWidth="1"/>
    <col min="1850" max="1850" width="4" style="128" customWidth="1"/>
    <col min="1851" max="1852" width="9.140625" style="128" customWidth="1"/>
    <col min="1853" max="1853" width="3.85546875" style="128" customWidth="1"/>
    <col min="1854" max="1855" width="9.140625" style="128" customWidth="1"/>
    <col min="1856" max="1856" width="9" style="128" customWidth="1"/>
    <col min="1857" max="1858" width="9.140625" style="128" customWidth="1"/>
    <col min="1859" max="1859" width="4.5703125" style="128" customWidth="1"/>
    <col min="1860" max="1861" width="9.140625" style="128" customWidth="1"/>
    <col min="1862" max="1862" width="4.5703125" style="128" customWidth="1"/>
    <col min="1863" max="2048" width="9.140625" style="128"/>
    <col min="2049" max="2049" width="4.42578125" style="128" customWidth="1"/>
    <col min="2050" max="2050" width="7.5703125" style="128" customWidth="1"/>
    <col min="2051" max="2051" width="9.5703125" style="128" customWidth="1"/>
    <col min="2052" max="2052" width="3.85546875" style="128" customWidth="1"/>
    <col min="2053" max="2054" width="9.140625" style="128" customWidth="1"/>
    <col min="2055" max="2055" width="3.85546875" style="128" customWidth="1"/>
    <col min="2056" max="2057" width="9.140625" style="128" customWidth="1"/>
    <col min="2058" max="2058" width="3" style="128" customWidth="1"/>
    <col min="2059" max="2060" width="9.140625" style="128" customWidth="1"/>
    <col min="2061" max="2061" width="3.5703125" style="128" customWidth="1"/>
    <col min="2062" max="2063" width="9.140625" style="128" customWidth="1"/>
    <col min="2064" max="2064" width="3.85546875" style="128" customWidth="1"/>
    <col min="2065" max="2065" width="7.5703125" style="128" customWidth="1"/>
    <col min="2066" max="2066" width="9.5703125" style="128" customWidth="1"/>
    <col min="2067" max="2067" width="4.42578125" style="128" customWidth="1"/>
    <col min="2068" max="2069" width="9.140625" style="128" customWidth="1"/>
    <col min="2070" max="2070" width="4.140625" style="128" customWidth="1"/>
    <col min="2071" max="2072" width="9.140625" style="128" customWidth="1"/>
    <col min="2073" max="2073" width="5.42578125" style="128" customWidth="1"/>
    <col min="2074" max="2075" width="9.140625" style="128" customWidth="1"/>
    <col min="2076" max="2076" width="4" style="128" customWidth="1"/>
    <col min="2077" max="2078" width="9.140625" style="128" customWidth="1"/>
    <col min="2079" max="2079" width="4.42578125" style="128" customWidth="1"/>
    <col min="2080" max="2080" width="7.5703125" style="128" customWidth="1"/>
    <col min="2081" max="2081" width="9.5703125" style="128" customWidth="1"/>
    <col min="2082" max="2082" width="3.85546875" style="128" customWidth="1"/>
    <col min="2083" max="2084" width="9.140625" style="128" customWidth="1"/>
    <col min="2085" max="2085" width="3.85546875" style="128" customWidth="1"/>
    <col min="2086" max="2087" width="9.140625" style="128" customWidth="1"/>
    <col min="2088" max="2088" width="3" style="128" customWidth="1"/>
    <col min="2089" max="2090" width="9.140625" style="128" customWidth="1"/>
    <col min="2091" max="2091" width="3.5703125" style="128" customWidth="1"/>
    <col min="2092" max="2093" width="9.140625" style="128" customWidth="1"/>
    <col min="2094" max="2094" width="3.85546875" style="128" customWidth="1"/>
    <col min="2095" max="2095" width="7.5703125" style="128" customWidth="1"/>
    <col min="2096" max="2096" width="9.5703125" style="128" customWidth="1"/>
    <col min="2097" max="2097" width="4.42578125" style="128" customWidth="1"/>
    <col min="2098" max="2099" width="9.140625" style="128" customWidth="1"/>
    <col min="2100" max="2100" width="4.140625" style="128" customWidth="1"/>
    <col min="2101" max="2102" width="9.140625" style="128" customWidth="1"/>
    <col min="2103" max="2103" width="5.42578125" style="128" customWidth="1"/>
    <col min="2104" max="2105" width="9.140625" style="128" customWidth="1"/>
    <col min="2106" max="2106" width="4" style="128" customWidth="1"/>
    <col min="2107" max="2108" width="9.140625" style="128" customWidth="1"/>
    <col min="2109" max="2109" width="3.85546875" style="128" customWidth="1"/>
    <col min="2110" max="2111" width="9.140625" style="128" customWidth="1"/>
    <col min="2112" max="2112" width="9" style="128" customWidth="1"/>
    <col min="2113" max="2114" width="9.140625" style="128" customWidth="1"/>
    <col min="2115" max="2115" width="4.5703125" style="128" customWidth="1"/>
    <col min="2116" max="2117" width="9.140625" style="128" customWidth="1"/>
    <col min="2118" max="2118" width="4.5703125" style="128" customWidth="1"/>
    <col min="2119" max="2304" width="9.140625" style="128"/>
    <col min="2305" max="2305" width="4.42578125" style="128" customWidth="1"/>
    <col min="2306" max="2306" width="7.5703125" style="128" customWidth="1"/>
    <col min="2307" max="2307" width="9.5703125" style="128" customWidth="1"/>
    <col min="2308" max="2308" width="3.85546875" style="128" customWidth="1"/>
    <col min="2309" max="2310" width="9.140625" style="128" customWidth="1"/>
    <col min="2311" max="2311" width="3.85546875" style="128" customWidth="1"/>
    <col min="2312" max="2313" width="9.140625" style="128" customWidth="1"/>
    <col min="2314" max="2314" width="3" style="128" customWidth="1"/>
    <col min="2315" max="2316" width="9.140625" style="128" customWidth="1"/>
    <col min="2317" max="2317" width="3.5703125" style="128" customWidth="1"/>
    <col min="2318" max="2319" width="9.140625" style="128" customWidth="1"/>
    <col min="2320" max="2320" width="3.85546875" style="128" customWidth="1"/>
    <col min="2321" max="2321" width="7.5703125" style="128" customWidth="1"/>
    <col min="2322" max="2322" width="9.5703125" style="128" customWidth="1"/>
    <col min="2323" max="2323" width="4.42578125" style="128" customWidth="1"/>
    <col min="2324" max="2325" width="9.140625" style="128" customWidth="1"/>
    <col min="2326" max="2326" width="4.140625" style="128" customWidth="1"/>
    <col min="2327" max="2328" width="9.140625" style="128" customWidth="1"/>
    <col min="2329" max="2329" width="5.42578125" style="128" customWidth="1"/>
    <col min="2330" max="2331" width="9.140625" style="128" customWidth="1"/>
    <col min="2332" max="2332" width="4" style="128" customWidth="1"/>
    <col min="2333" max="2334" width="9.140625" style="128" customWidth="1"/>
    <col min="2335" max="2335" width="4.42578125" style="128" customWidth="1"/>
    <col min="2336" max="2336" width="7.5703125" style="128" customWidth="1"/>
    <col min="2337" max="2337" width="9.5703125" style="128" customWidth="1"/>
    <col min="2338" max="2338" width="3.85546875" style="128" customWidth="1"/>
    <col min="2339" max="2340" width="9.140625" style="128" customWidth="1"/>
    <col min="2341" max="2341" width="3.85546875" style="128" customWidth="1"/>
    <col min="2342" max="2343" width="9.140625" style="128" customWidth="1"/>
    <col min="2344" max="2344" width="3" style="128" customWidth="1"/>
    <col min="2345" max="2346" width="9.140625" style="128" customWidth="1"/>
    <col min="2347" max="2347" width="3.5703125" style="128" customWidth="1"/>
    <col min="2348" max="2349" width="9.140625" style="128" customWidth="1"/>
    <col min="2350" max="2350" width="3.85546875" style="128" customWidth="1"/>
    <col min="2351" max="2351" width="7.5703125" style="128" customWidth="1"/>
    <col min="2352" max="2352" width="9.5703125" style="128" customWidth="1"/>
    <col min="2353" max="2353" width="4.42578125" style="128" customWidth="1"/>
    <col min="2354" max="2355" width="9.140625" style="128" customWidth="1"/>
    <col min="2356" max="2356" width="4.140625" style="128" customWidth="1"/>
    <col min="2357" max="2358" width="9.140625" style="128" customWidth="1"/>
    <col min="2359" max="2359" width="5.42578125" style="128" customWidth="1"/>
    <col min="2360" max="2361" width="9.140625" style="128" customWidth="1"/>
    <col min="2362" max="2362" width="4" style="128" customWidth="1"/>
    <col min="2363" max="2364" width="9.140625" style="128" customWidth="1"/>
    <col min="2365" max="2365" width="3.85546875" style="128" customWidth="1"/>
    <col min="2366" max="2367" width="9.140625" style="128" customWidth="1"/>
    <col min="2368" max="2368" width="9" style="128" customWidth="1"/>
    <col min="2369" max="2370" width="9.140625" style="128" customWidth="1"/>
    <col min="2371" max="2371" width="4.5703125" style="128" customWidth="1"/>
    <col min="2372" max="2373" width="9.140625" style="128" customWidth="1"/>
    <col min="2374" max="2374" width="4.5703125" style="128" customWidth="1"/>
    <col min="2375" max="2560" width="9.140625" style="128"/>
    <col min="2561" max="2561" width="4.42578125" style="128" customWidth="1"/>
    <col min="2562" max="2562" width="7.5703125" style="128" customWidth="1"/>
    <col min="2563" max="2563" width="9.5703125" style="128" customWidth="1"/>
    <col min="2564" max="2564" width="3.85546875" style="128" customWidth="1"/>
    <col min="2565" max="2566" width="9.140625" style="128" customWidth="1"/>
    <col min="2567" max="2567" width="3.85546875" style="128" customWidth="1"/>
    <col min="2568" max="2569" width="9.140625" style="128" customWidth="1"/>
    <col min="2570" max="2570" width="3" style="128" customWidth="1"/>
    <col min="2571" max="2572" width="9.140625" style="128" customWidth="1"/>
    <col min="2573" max="2573" width="3.5703125" style="128" customWidth="1"/>
    <col min="2574" max="2575" width="9.140625" style="128" customWidth="1"/>
    <col min="2576" max="2576" width="3.85546875" style="128" customWidth="1"/>
    <col min="2577" max="2577" width="7.5703125" style="128" customWidth="1"/>
    <col min="2578" max="2578" width="9.5703125" style="128" customWidth="1"/>
    <col min="2579" max="2579" width="4.42578125" style="128" customWidth="1"/>
    <col min="2580" max="2581" width="9.140625" style="128" customWidth="1"/>
    <col min="2582" max="2582" width="4.140625" style="128" customWidth="1"/>
    <col min="2583" max="2584" width="9.140625" style="128" customWidth="1"/>
    <col min="2585" max="2585" width="5.42578125" style="128" customWidth="1"/>
    <col min="2586" max="2587" width="9.140625" style="128" customWidth="1"/>
    <col min="2588" max="2588" width="4" style="128" customWidth="1"/>
    <col min="2589" max="2590" width="9.140625" style="128" customWidth="1"/>
    <col min="2591" max="2591" width="4.42578125" style="128" customWidth="1"/>
    <col min="2592" max="2592" width="7.5703125" style="128" customWidth="1"/>
    <col min="2593" max="2593" width="9.5703125" style="128" customWidth="1"/>
    <col min="2594" max="2594" width="3.85546875" style="128" customWidth="1"/>
    <col min="2595" max="2596" width="9.140625" style="128" customWidth="1"/>
    <col min="2597" max="2597" width="3.85546875" style="128" customWidth="1"/>
    <col min="2598" max="2599" width="9.140625" style="128" customWidth="1"/>
    <col min="2600" max="2600" width="3" style="128" customWidth="1"/>
    <col min="2601" max="2602" width="9.140625" style="128" customWidth="1"/>
    <col min="2603" max="2603" width="3.5703125" style="128" customWidth="1"/>
    <col min="2604" max="2605" width="9.140625" style="128" customWidth="1"/>
    <col min="2606" max="2606" width="3.85546875" style="128" customWidth="1"/>
    <col min="2607" max="2607" width="7.5703125" style="128" customWidth="1"/>
    <col min="2608" max="2608" width="9.5703125" style="128" customWidth="1"/>
    <col min="2609" max="2609" width="4.42578125" style="128" customWidth="1"/>
    <col min="2610" max="2611" width="9.140625" style="128" customWidth="1"/>
    <col min="2612" max="2612" width="4.140625" style="128" customWidth="1"/>
    <col min="2613" max="2614" width="9.140625" style="128" customWidth="1"/>
    <col min="2615" max="2615" width="5.42578125" style="128" customWidth="1"/>
    <col min="2616" max="2617" width="9.140625" style="128" customWidth="1"/>
    <col min="2618" max="2618" width="4" style="128" customWidth="1"/>
    <col min="2619" max="2620" width="9.140625" style="128" customWidth="1"/>
    <col min="2621" max="2621" width="3.85546875" style="128" customWidth="1"/>
    <col min="2622" max="2623" width="9.140625" style="128" customWidth="1"/>
    <col min="2624" max="2624" width="9" style="128" customWidth="1"/>
    <col min="2625" max="2626" width="9.140625" style="128" customWidth="1"/>
    <col min="2627" max="2627" width="4.5703125" style="128" customWidth="1"/>
    <col min="2628" max="2629" width="9.140625" style="128" customWidth="1"/>
    <col min="2630" max="2630" width="4.5703125" style="128" customWidth="1"/>
    <col min="2631" max="2816" width="9.140625" style="128"/>
    <col min="2817" max="2817" width="4.42578125" style="128" customWidth="1"/>
    <col min="2818" max="2818" width="7.5703125" style="128" customWidth="1"/>
    <col min="2819" max="2819" width="9.5703125" style="128" customWidth="1"/>
    <col min="2820" max="2820" width="3.85546875" style="128" customWidth="1"/>
    <col min="2821" max="2822" width="9.140625" style="128" customWidth="1"/>
    <col min="2823" max="2823" width="3.85546875" style="128" customWidth="1"/>
    <col min="2824" max="2825" width="9.140625" style="128" customWidth="1"/>
    <col min="2826" max="2826" width="3" style="128" customWidth="1"/>
    <col min="2827" max="2828" width="9.140625" style="128" customWidth="1"/>
    <col min="2829" max="2829" width="3.5703125" style="128" customWidth="1"/>
    <col min="2830" max="2831" width="9.140625" style="128" customWidth="1"/>
    <col min="2832" max="2832" width="3.85546875" style="128" customWidth="1"/>
    <col min="2833" max="2833" width="7.5703125" style="128" customWidth="1"/>
    <col min="2834" max="2834" width="9.5703125" style="128" customWidth="1"/>
    <col min="2835" max="2835" width="4.42578125" style="128" customWidth="1"/>
    <col min="2836" max="2837" width="9.140625" style="128" customWidth="1"/>
    <col min="2838" max="2838" width="4.140625" style="128" customWidth="1"/>
    <col min="2839" max="2840" width="9.140625" style="128" customWidth="1"/>
    <col min="2841" max="2841" width="5.42578125" style="128" customWidth="1"/>
    <col min="2842" max="2843" width="9.140625" style="128" customWidth="1"/>
    <col min="2844" max="2844" width="4" style="128" customWidth="1"/>
    <col min="2845" max="2846" width="9.140625" style="128" customWidth="1"/>
    <col min="2847" max="2847" width="4.42578125" style="128" customWidth="1"/>
    <col min="2848" max="2848" width="7.5703125" style="128" customWidth="1"/>
    <col min="2849" max="2849" width="9.5703125" style="128" customWidth="1"/>
    <col min="2850" max="2850" width="3.85546875" style="128" customWidth="1"/>
    <col min="2851" max="2852" width="9.140625" style="128" customWidth="1"/>
    <col min="2853" max="2853" width="3.85546875" style="128" customWidth="1"/>
    <col min="2854" max="2855" width="9.140625" style="128" customWidth="1"/>
    <col min="2856" max="2856" width="3" style="128" customWidth="1"/>
    <col min="2857" max="2858" width="9.140625" style="128" customWidth="1"/>
    <col min="2859" max="2859" width="3.5703125" style="128" customWidth="1"/>
    <col min="2860" max="2861" width="9.140625" style="128" customWidth="1"/>
    <col min="2862" max="2862" width="3.85546875" style="128" customWidth="1"/>
    <col min="2863" max="2863" width="7.5703125" style="128" customWidth="1"/>
    <col min="2864" max="2864" width="9.5703125" style="128" customWidth="1"/>
    <col min="2865" max="2865" width="4.42578125" style="128" customWidth="1"/>
    <col min="2866" max="2867" width="9.140625" style="128" customWidth="1"/>
    <col min="2868" max="2868" width="4.140625" style="128" customWidth="1"/>
    <col min="2869" max="2870" width="9.140625" style="128" customWidth="1"/>
    <col min="2871" max="2871" width="5.42578125" style="128" customWidth="1"/>
    <col min="2872" max="2873" width="9.140625" style="128" customWidth="1"/>
    <col min="2874" max="2874" width="4" style="128" customWidth="1"/>
    <col min="2875" max="2876" width="9.140625" style="128" customWidth="1"/>
    <col min="2877" max="2877" width="3.85546875" style="128" customWidth="1"/>
    <col min="2878" max="2879" width="9.140625" style="128" customWidth="1"/>
    <col min="2880" max="2880" width="9" style="128" customWidth="1"/>
    <col min="2881" max="2882" width="9.140625" style="128" customWidth="1"/>
    <col min="2883" max="2883" width="4.5703125" style="128" customWidth="1"/>
    <col min="2884" max="2885" width="9.140625" style="128" customWidth="1"/>
    <col min="2886" max="2886" width="4.5703125" style="128" customWidth="1"/>
    <col min="2887" max="3072" width="9.140625" style="128"/>
    <col min="3073" max="3073" width="4.42578125" style="128" customWidth="1"/>
    <col min="3074" max="3074" width="7.5703125" style="128" customWidth="1"/>
    <col min="3075" max="3075" width="9.5703125" style="128" customWidth="1"/>
    <col min="3076" max="3076" width="3.85546875" style="128" customWidth="1"/>
    <col min="3077" max="3078" width="9.140625" style="128" customWidth="1"/>
    <col min="3079" max="3079" width="3.85546875" style="128" customWidth="1"/>
    <col min="3080" max="3081" width="9.140625" style="128" customWidth="1"/>
    <col min="3082" max="3082" width="3" style="128" customWidth="1"/>
    <col min="3083" max="3084" width="9.140625" style="128" customWidth="1"/>
    <col min="3085" max="3085" width="3.5703125" style="128" customWidth="1"/>
    <col min="3086" max="3087" width="9.140625" style="128" customWidth="1"/>
    <col min="3088" max="3088" width="3.85546875" style="128" customWidth="1"/>
    <col min="3089" max="3089" width="7.5703125" style="128" customWidth="1"/>
    <col min="3090" max="3090" width="9.5703125" style="128" customWidth="1"/>
    <col min="3091" max="3091" width="4.42578125" style="128" customWidth="1"/>
    <col min="3092" max="3093" width="9.140625" style="128" customWidth="1"/>
    <col min="3094" max="3094" width="4.140625" style="128" customWidth="1"/>
    <col min="3095" max="3096" width="9.140625" style="128" customWidth="1"/>
    <col min="3097" max="3097" width="5.42578125" style="128" customWidth="1"/>
    <col min="3098" max="3099" width="9.140625" style="128" customWidth="1"/>
    <col min="3100" max="3100" width="4" style="128" customWidth="1"/>
    <col min="3101" max="3102" width="9.140625" style="128" customWidth="1"/>
    <col min="3103" max="3103" width="4.42578125" style="128" customWidth="1"/>
    <col min="3104" max="3104" width="7.5703125" style="128" customWidth="1"/>
    <col min="3105" max="3105" width="9.5703125" style="128" customWidth="1"/>
    <col min="3106" max="3106" width="3.85546875" style="128" customWidth="1"/>
    <col min="3107" max="3108" width="9.140625" style="128" customWidth="1"/>
    <col min="3109" max="3109" width="3.85546875" style="128" customWidth="1"/>
    <col min="3110" max="3111" width="9.140625" style="128" customWidth="1"/>
    <col min="3112" max="3112" width="3" style="128" customWidth="1"/>
    <col min="3113" max="3114" width="9.140625" style="128" customWidth="1"/>
    <col min="3115" max="3115" width="3.5703125" style="128" customWidth="1"/>
    <col min="3116" max="3117" width="9.140625" style="128" customWidth="1"/>
    <col min="3118" max="3118" width="3.85546875" style="128" customWidth="1"/>
    <col min="3119" max="3119" width="7.5703125" style="128" customWidth="1"/>
    <col min="3120" max="3120" width="9.5703125" style="128" customWidth="1"/>
    <col min="3121" max="3121" width="4.42578125" style="128" customWidth="1"/>
    <col min="3122" max="3123" width="9.140625" style="128" customWidth="1"/>
    <col min="3124" max="3124" width="4.140625" style="128" customWidth="1"/>
    <col min="3125" max="3126" width="9.140625" style="128" customWidth="1"/>
    <col min="3127" max="3127" width="5.42578125" style="128" customWidth="1"/>
    <col min="3128" max="3129" width="9.140625" style="128" customWidth="1"/>
    <col min="3130" max="3130" width="4" style="128" customWidth="1"/>
    <col min="3131" max="3132" width="9.140625" style="128" customWidth="1"/>
    <col min="3133" max="3133" width="3.85546875" style="128" customWidth="1"/>
    <col min="3134" max="3135" width="9.140625" style="128" customWidth="1"/>
    <col min="3136" max="3136" width="9" style="128" customWidth="1"/>
    <col min="3137" max="3138" width="9.140625" style="128" customWidth="1"/>
    <col min="3139" max="3139" width="4.5703125" style="128" customWidth="1"/>
    <col min="3140" max="3141" width="9.140625" style="128" customWidth="1"/>
    <col min="3142" max="3142" width="4.5703125" style="128" customWidth="1"/>
    <col min="3143" max="3328" width="9.140625" style="128"/>
    <col min="3329" max="3329" width="4.42578125" style="128" customWidth="1"/>
    <col min="3330" max="3330" width="7.5703125" style="128" customWidth="1"/>
    <col min="3331" max="3331" width="9.5703125" style="128" customWidth="1"/>
    <col min="3332" max="3332" width="3.85546875" style="128" customWidth="1"/>
    <col min="3333" max="3334" width="9.140625" style="128" customWidth="1"/>
    <col min="3335" max="3335" width="3.85546875" style="128" customWidth="1"/>
    <col min="3336" max="3337" width="9.140625" style="128" customWidth="1"/>
    <col min="3338" max="3338" width="3" style="128" customWidth="1"/>
    <col min="3339" max="3340" width="9.140625" style="128" customWidth="1"/>
    <col min="3341" max="3341" width="3.5703125" style="128" customWidth="1"/>
    <col min="3342" max="3343" width="9.140625" style="128" customWidth="1"/>
    <col min="3344" max="3344" width="3.85546875" style="128" customWidth="1"/>
    <col min="3345" max="3345" width="7.5703125" style="128" customWidth="1"/>
    <col min="3346" max="3346" width="9.5703125" style="128" customWidth="1"/>
    <col min="3347" max="3347" width="4.42578125" style="128" customWidth="1"/>
    <col min="3348" max="3349" width="9.140625" style="128" customWidth="1"/>
    <col min="3350" max="3350" width="4.140625" style="128" customWidth="1"/>
    <col min="3351" max="3352" width="9.140625" style="128" customWidth="1"/>
    <col min="3353" max="3353" width="5.42578125" style="128" customWidth="1"/>
    <col min="3354" max="3355" width="9.140625" style="128" customWidth="1"/>
    <col min="3356" max="3356" width="4" style="128" customWidth="1"/>
    <col min="3357" max="3358" width="9.140625" style="128" customWidth="1"/>
    <col min="3359" max="3359" width="4.42578125" style="128" customWidth="1"/>
    <col min="3360" max="3360" width="7.5703125" style="128" customWidth="1"/>
    <col min="3361" max="3361" width="9.5703125" style="128" customWidth="1"/>
    <col min="3362" max="3362" width="3.85546875" style="128" customWidth="1"/>
    <col min="3363" max="3364" width="9.140625" style="128" customWidth="1"/>
    <col min="3365" max="3365" width="3.85546875" style="128" customWidth="1"/>
    <col min="3366" max="3367" width="9.140625" style="128" customWidth="1"/>
    <col min="3368" max="3368" width="3" style="128" customWidth="1"/>
    <col min="3369" max="3370" width="9.140625" style="128" customWidth="1"/>
    <col min="3371" max="3371" width="3.5703125" style="128" customWidth="1"/>
    <col min="3372" max="3373" width="9.140625" style="128" customWidth="1"/>
    <col min="3374" max="3374" width="3.85546875" style="128" customWidth="1"/>
    <col min="3375" max="3375" width="7.5703125" style="128" customWidth="1"/>
    <col min="3376" max="3376" width="9.5703125" style="128" customWidth="1"/>
    <col min="3377" max="3377" width="4.42578125" style="128" customWidth="1"/>
    <col min="3378" max="3379" width="9.140625" style="128" customWidth="1"/>
    <col min="3380" max="3380" width="4.140625" style="128" customWidth="1"/>
    <col min="3381" max="3382" width="9.140625" style="128" customWidth="1"/>
    <col min="3383" max="3383" width="5.42578125" style="128" customWidth="1"/>
    <col min="3384" max="3385" width="9.140625" style="128" customWidth="1"/>
    <col min="3386" max="3386" width="4" style="128" customWidth="1"/>
    <col min="3387" max="3388" width="9.140625" style="128" customWidth="1"/>
    <col min="3389" max="3389" width="3.85546875" style="128" customWidth="1"/>
    <col min="3390" max="3391" width="9.140625" style="128" customWidth="1"/>
    <col min="3392" max="3392" width="9" style="128" customWidth="1"/>
    <col min="3393" max="3394" width="9.140625" style="128" customWidth="1"/>
    <col min="3395" max="3395" width="4.5703125" style="128" customWidth="1"/>
    <col min="3396" max="3397" width="9.140625" style="128" customWidth="1"/>
    <col min="3398" max="3398" width="4.5703125" style="128" customWidth="1"/>
    <col min="3399" max="3584" width="9.140625" style="128"/>
    <col min="3585" max="3585" width="4.42578125" style="128" customWidth="1"/>
    <col min="3586" max="3586" width="7.5703125" style="128" customWidth="1"/>
    <col min="3587" max="3587" width="9.5703125" style="128" customWidth="1"/>
    <col min="3588" max="3588" width="3.85546875" style="128" customWidth="1"/>
    <col min="3589" max="3590" width="9.140625" style="128" customWidth="1"/>
    <col min="3591" max="3591" width="3.85546875" style="128" customWidth="1"/>
    <col min="3592" max="3593" width="9.140625" style="128" customWidth="1"/>
    <col min="3594" max="3594" width="3" style="128" customWidth="1"/>
    <col min="3595" max="3596" width="9.140625" style="128" customWidth="1"/>
    <col min="3597" max="3597" width="3.5703125" style="128" customWidth="1"/>
    <col min="3598" max="3599" width="9.140625" style="128" customWidth="1"/>
    <col min="3600" max="3600" width="3.85546875" style="128" customWidth="1"/>
    <col min="3601" max="3601" width="7.5703125" style="128" customWidth="1"/>
    <col min="3602" max="3602" width="9.5703125" style="128" customWidth="1"/>
    <col min="3603" max="3603" width="4.42578125" style="128" customWidth="1"/>
    <col min="3604" max="3605" width="9.140625" style="128" customWidth="1"/>
    <col min="3606" max="3606" width="4.140625" style="128" customWidth="1"/>
    <col min="3607" max="3608" width="9.140625" style="128" customWidth="1"/>
    <col min="3609" max="3609" width="5.42578125" style="128" customWidth="1"/>
    <col min="3610" max="3611" width="9.140625" style="128" customWidth="1"/>
    <col min="3612" max="3612" width="4" style="128" customWidth="1"/>
    <col min="3613" max="3614" width="9.140625" style="128" customWidth="1"/>
    <col min="3615" max="3615" width="4.42578125" style="128" customWidth="1"/>
    <col min="3616" max="3616" width="7.5703125" style="128" customWidth="1"/>
    <col min="3617" max="3617" width="9.5703125" style="128" customWidth="1"/>
    <col min="3618" max="3618" width="3.85546875" style="128" customWidth="1"/>
    <col min="3619" max="3620" width="9.140625" style="128" customWidth="1"/>
    <col min="3621" max="3621" width="3.85546875" style="128" customWidth="1"/>
    <col min="3622" max="3623" width="9.140625" style="128" customWidth="1"/>
    <col min="3624" max="3624" width="3" style="128" customWidth="1"/>
    <col min="3625" max="3626" width="9.140625" style="128" customWidth="1"/>
    <col min="3627" max="3627" width="3.5703125" style="128" customWidth="1"/>
    <col min="3628" max="3629" width="9.140625" style="128" customWidth="1"/>
    <col min="3630" max="3630" width="3.85546875" style="128" customWidth="1"/>
    <col min="3631" max="3631" width="7.5703125" style="128" customWidth="1"/>
    <col min="3632" max="3632" width="9.5703125" style="128" customWidth="1"/>
    <col min="3633" max="3633" width="4.42578125" style="128" customWidth="1"/>
    <col min="3634" max="3635" width="9.140625" style="128" customWidth="1"/>
    <col min="3636" max="3636" width="4.140625" style="128" customWidth="1"/>
    <col min="3637" max="3638" width="9.140625" style="128" customWidth="1"/>
    <col min="3639" max="3639" width="5.42578125" style="128" customWidth="1"/>
    <col min="3640" max="3641" width="9.140625" style="128" customWidth="1"/>
    <col min="3642" max="3642" width="4" style="128" customWidth="1"/>
    <col min="3643" max="3644" width="9.140625" style="128" customWidth="1"/>
    <col min="3645" max="3645" width="3.85546875" style="128" customWidth="1"/>
    <col min="3646" max="3647" width="9.140625" style="128" customWidth="1"/>
    <col min="3648" max="3648" width="9" style="128" customWidth="1"/>
    <col min="3649" max="3650" width="9.140625" style="128" customWidth="1"/>
    <col min="3651" max="3651" width="4.5703125" style="128" customWidth="1"/>
    <col min="3652" max="3653" width="9.140625" style="128" customWidth="1"/>
    <col min="3654" max="3654" width="4.5703125" style="128" customWidth="1"/>
    <col min="3655" max="3840" width="9.140625" style="128"/>
    <col min="3841" max="3841" width="4.42578125" style="128" customWidth="1"/>
    <col min="3842" max="3842" width="7.5703125" style="128" customWidth="1"/>
    <col min="3843" max="3843" width="9.5703125" style="128" customWidth="1"/>
    <col min="3844" max="3844" width="3.85546875" style="128" customWidth="1"/>
    <col min="3845" max="3846" width="9.140625" style="128" customWidth="1"/>
    <col min="3847" max="3847" width="3.85546875" style="128" customWidth="1"/>
    <col min="3848" max="3849" width="9.140625" style="128" customWidth="1"/>
    <col min="3850" max="3850" width="3" style="128" customWidth="1"/>
    <col min="3851" max="3852" width="9.140625" style="128" customWidth="1"/>
    <col min="3853" max="3853" width="3.5703125" style="128" customWidth="1"/>
    <col min="3854" max="3855" width="9.140625" style="128" customWidth="1"/>
    <col min="3856" max="3856" width="3.85546875" style="128" customWidth="1"/>
    <col min="3857" max="3857" width="7.5703125" style="128" customWidth="1"/>
    <col min="3858" max="3858" width="9.5703125" style="128" customWidth="1"/>
    <col min="3859" max="3859" width="4.42578125" style="128" customWidth="1"/>
    <col min="3860" max="3861" width="9.140625" style="128" customWidth="1"/>
    <col min="3862" max="3862" width="4.140625" style="128" customWidth="1"/>
    <col min="3863" max="3864" width="9.140625" style="128" customWidth="1"/>
    <col min="3865" max="3865" width="5.42578125" style="128" customWidth="1"/>
    <col min="3866" max="3867" width="9.140625" style="128" customWidth="1"/>
    <col min="3868" max="3868" width="4" style="128" customWidth="1"/>
    <col min="3869" max="3870" width="9.140625" style="128" customWidth="1"/>
    <col min="3871" max="3871" width="4.42578125" style="128" customWidth="1"/>
    <col min="3872" max="3872" width="7.5703125" style="128" customWidth="1"/>
    <col min="3873" max="3873" width="9.5703125" style="128" customWidth="1"/>
    <col min="3874" max="3874" width="3.85546875" style="128" customWidth="1"/>
    <col min="3875" max="3876" width="9.140625" style="128" customWidth="1"/>
    <col min="3877" max="3877" width="3.85546875" style="128" customWidth="1"/>
    <col min="3878" max="3879" width="9.140625" style="128" customWidth="1"/>
    <col min="3880" max="3880" width="3" style="128" customWidth="1"/>
    <col min="3881" max="3882" width="9.140625" style="128" customWidth="1"/>
    <col min="3883" max="3883" width="3.5703125" style="128" customWidth="1"/>
    <col min="3884" max="3885" width="9.140625" style="128" customWidth="1"/>
    <col min="3886" max="3886" width="3.85546875" style="128" customWidth="1"/>
    <col min="3887" max="3887" width="7.5703125" style="128" customWidth="1"/>
    <col min="3888" max="3888" width="9.5703125" style="128" customWidth="1"/>
    <col min="3889" max="3889" width="4.42578125" style="128" customWidth="1"/>
    <col min="3890" max="3891" width="9.140625" style="128" customWidth="1"/>
    <col min="3892" max="3892" width="4.140625" style="128" customWidth="1"/>
    <col min="3893" max="3894" width="9.140625" style="128" customWidth="1"/>
    <col min="3895" max="3895" width="5.42578125" style="128" customWidth="1"/>
    <col min="3896" max="3897" width="9.140625" style="128" customWidth="1"/>
    <col min="3898" max="3898" width="4" style="128" customWidth="1"/>
    <col min="3899" max="3900" width="9.140625" style="128" customWidth="1"/>
    <col min="3901" max="3901" width="3.85546875" style="128" customWidth="1"/>
    <col min="3902" max="3903" width="9.140625" style="128" customWidth="1"/>
    <col min="3904" max="3904" width="9" style="128" customWidth="1"/>
    <col min="3905" max="3906" width="9.140625" style="128" customWidth="1"/>
    <col min="3907" max="3907" width="4.5703125" style="128" customWidth="1"/>
    <col min="3908" max="3909" width="9.140625" style="128" customWidth="1"/>
    <col min="3910" max="3910" width="4.5703125" style="128" customWidth="1"/>
    <col min="3911" max="4096" width="9.140625" style="128"/>
    <col min="4097" max="4097" width="4.42578125" style="128" customWidth="1"/>
    <col min="4098" max="4098" width="7.5703125" style="128" customWidth="1"/>
    <col min="4099" max="4099" width="9.5703125" style="128" customWidth="1"/>
    <col min="4100" max="4100" width="3.85546875" style="128" customWidth="1"/>
    <col min="4101" max="4102" width="9.140625" style="128" customWidth="1"/>
    <col min="4103" max="4103" width="3.85546875" style="128" customWidth="1"/>
    <col min="4104" max="4105" width="9.140625" style="128" customWidth="1"/>
    <col min="4106" max="4106" width="3" style="128" customWidth="1"/>
    <col min="4107" max="4108" width="9.140625" style="128" customWidth="1"/>
    <col min="4109" max="4109" width="3.5703125" style="128" customWidth="1"/>
    <col min="4110" max="4111" width="9.140625" style="128" customWidth="1"/>
    <col min="4112" max="4112" width="3.85546875" style="128" customWidth="1"/>
    <col min="4113" max="4113" width="7.5703125" style="128" customWidth="1"/>
    <col min="4114" max="4114" width="9.5703125" style="128" customWidth="1"/>
    <col min="4115" max="4115" width="4.42578125" style="128" customWidth="1"/>
    <col min="4116" max="4117" width="9.140625" style="128" customWidth="1"/>
    <col min="4118" max="4118" width="4.140625" style="128" customWidth="1"/>
    <col min="4119" max="4120" width="9.140625" style="128" customWidth="1"/>
    <col min="4121" max="4121" width="5.42578125" style="128" customWidth="1"/>
    <col min="4122" max="4123" width="9.140625" style="128" customWidth="1"/>
    <col min="4124" max="4124" width="4" style="128" customWidth="1"/>
    <col min="4125" max="4126" width="9.140625" style="128" customWidth="1"/>
    <col min="4127" max="4127" width="4.42578125" style="128" customWidth="1"/>
    <col min="4128" max="4128" width="7.5703125" style="128" customWidth="1"/>
    <col min="4129" max="4129" width="9.5703125" style="128" customWidth="1"/>
    <col min="4130" max="4130" width="3.85546875" style="128" customWidth="1"/>
    <col min="4131" max="4132" width="9.140625" style="128" customWidth="1"/>
    <col min="4133" max="4133" width="3.85546875" style="128" customWidth="1"/>
    <col min="4134" max="4135" width="9.140625" style="128" customWidth="1"/>
    <col min="4136" max="4136" width="3" style="128" customWidth="1"/>
    <col min="4137" max="4138" width="9.140625" style="128" customWidth="1"/>
    <col min="4139" max="4139" width="3.5703125" style="128" customWidth="1"/>
    <col min="4140" max="4141" width="9.140625" style="128" customWidth="1"/>
    <col min="4142" max="4142" width="3.85546875" style="128" customWidth="1"/>
    <col min="4143" max="4143" width="7.5703125" style="128" customWidth="1"/>
    <col min="4144" max="4144" width="9.5703125" style="128" customWidth="1"/>
    <col min="4145" max="4145" width="4.42578125" style="128" customWidth="1"/>
    <col min="4146" max="4147" width="9.140625" style="128" customWidth="1"/>
    <col min="4148" max="4148" width="4.140625" style="128" customWidth="1"/>
    <col min="4149" max="4150" width="9.140625" style="128" customWidth="1"/>
    <col min="4151" max="4151" width="5.42578125" style="128" customWidth="1"/>
    <col min="4152" max="4153" width="9.140625" style="128" customWidth="1"/>
    <col min="4154" max="4154" width="4" style="128" customWidth="1"/>
    <col min="4155" max="4156" width="9.140625" style="128" customWidth="1"/>
    <col min="4157" max="4157" width="3.85546875" style="128" customWidth="1"/>
    <col min="4158" max="4159" width="9.140625" style="128" customWidth="1"/>
    <col min="4160" max="4160" width="9" style="128" customWidth="1"/>
    <col min="4161" max="4162" width="9.140625" style="128" customWidth="1"/>
    <col min="4163" max="4163" width="4.5703125" style="128" customWidth="1"/>
    <col min="4164" max="4165" width="9.140625" style="128" customWidth="1"/>
    <col min="4166" max="4166" width="4.5703125" style="128" customWidth="1"/>
    <col min="4167" max="4352" width="9.140625" style="128"/>
    <col min="4353" max="4353" width="4.42578125" style="128" customWidth="1"/>
    <col min="4354" max="4354" width="7.5703125" style="128" customWidth="1"/>
    <col min="4355" max="4355" width="9.5703125" style="128" customWidth="1"/>
    <col min="4356" max="4356" width="3.85546875" style="128" customWidth="1"/>
    <col min="4357" max="4358" width="9.140625" style="128" customWidth="1"/>
    <col min="4359" max="4359" width="3.85546875" style="128" customWidth="1"/>
    <col min="4360" max="4361" width="9.140625" style="128" customWidth="1"/>
    <col min="4362" max="4362" width="3" style="128" customWidth="1"/>
    <col min="4363" max="4364" width="9.140625" style="128" customWidth="1"/>
    <col min="4365" max="4365" width="3.5703125" style="128" customWidth="1"/>
    <col min="4366" max="4367" width="9.140625" style="128" customWidth="1"/>
    <col min="4368" max="4368" width="3.85546875" style="128" customWidth="1"/>
    <col min="4369" max="4369" width="7.5703125" style="128" customWidth="1"/>
    <col min="4370" max="4370" width="9.5703125" style="128" customWidth="1"/>
    <col min="4371" max="4371" width="4.42578125" style="128" customWidth="1"/>
    <col min="4372" max="4373" width="9.140625" style="128" customWidth="1"/>
    <col min="4374" max="4374" width="4.140625" style="128" customWidth="1"/>
    <col min="4375" max="4376" width="9.140625" style="128" customWidth="1"/>
    <col min="4377" max="4377" width="5.42578125" style="128" customWidth="1"/>
    <col min="4378" max="4379" width="9.140625" style="128" customWidth="1"/>
    <col min="4380" max="4380" width="4" style="128" customWidth="1"/>
    <col min="4381" max="4382" width="9.140625" style="128" customWidth="1"/>
    <col min="4383" max="4383" width="4.42578125" style="128" customWidth="1"/>
    <col min="4384" max="4384" width="7.5703125" style="128" customWidth="1"/>
    <col min="4385" max="4385" width="9.5703125" style="128" customWidth="1"/>
    <col min="4386" max="4386" width="3.85546875" style="128" customWidth="1"/>
    <col min="4387" max="4388" width="9.140625" style="128" customWidth="1"/>
    <col min="4389" max="4389" width="3.85546875" style="128" customWidth="1"/>
    <col min="4390" max="4391" width="9.140625" style="128" customWidth="1"/>
    <col min="4392" max="4392" width="3" style="128" customWidth="1"/>
    <col min="4393" max="4394" width="9.140625" style="128" customWidth="1"/>
    <col min="4395" max="4395" width="3.5703125" style="128" customWidth="1"/>
    <col min="4396" max="4397" width="9.140625" style="128" customWidth="1"/>
    <col min="4398" max="4398" width="3.85546875" style="128" customWidth="1"/>
    <col min="4399" max="4399" width="7.5703125" style="128" customWidth="1"/>
    <col min="4400" max="4400" width="9.5703125" style="128" customWidth="1"/>
    <col min="4401" max="4401" width="4.42578125" style="128" customWidth="1"/>
    <col min="4402" max="4403" width="9.140625" style="128" customWidth="1"/>
    <col min="4404" max="4404" width="4.140625" style="128" customWidth="1"/>
    <col min="4405" max="4406" width="9.140625" style="128" customWidth="1"/>
    <col min="4407" max="4407" width="5.42578125" style="128" customWidth="1"/>
    <col min="4408" max="4409" width="9.140625" style="128" customWidth="1"/>
    <col min="4410" max="4410" width="4" style="128" customWidth="1"/>
    <col min="4411" max="4412" width="9.140625" style="128" customWidth="1"/>
    <col min="4413" max="4413" width="3.85546875" style="128" customWidth="1"/>
    <col min="4414" max="4415" width="9.140625" style="128" customWidth="1"/>
    <col min="4416" max="4416" width="9" style="128" customWidth="1"/>
    <col min="4417" max="4418" width="9.140625" style="128" customWidth="1"/>
    <col min="4419" max="4419" width="4.5703125" style="128" customWidth="1"/>
    <col min="4420" max="4421" width="9.140625" style="128" customWidth="1"/>
    <col min="4422" max="4422" width="4.5703125" style="128" customWidth="1"/>
    <col min="4423" max="4608" width="9.140625" style="128"/>
    <col min="4609" max="4609" width="4.42578125" style="128" customWidth="1"/>
    <col min="4610" max="4610" width="7.5703125" style="128" customWidth="1"/>
    <col min="4611" max="4611" width="9.5703125" style="128" customWidth="1"/>
    <col min="4612" max="4612" width="3.85546875" style="128" customWidth="1"/>
    <col min="4613" max="4614" width="9.140625" style="128" customWidth="1"/>
    <col min="4615" max="4615" width="3.85546875" style="128" customWidth="1"/>
    <col min="4616" max="4617" width="9.140625" style="128" customWidth="1"/>
    <col min="4618" max="4618" width="3" style="128" customWidth="1"/>
    <col min="4619" max="4620" width="9.140625" style="128" customWidth="1"/>
    <col min="4621" max="4621" width="3.5703125" style="128" customWidth="1"/>
    <col min="4622" max="4623" width="9.140625" style="128" customWidth="1"/>
    <col min="4624" max="4624" width="3.85546875" style="128" customWidth="1"/>
    <col min="4625" max="4625" width="7.5703125" style="128" customWidth="1"/>
    <col min="4626" max="4626" width="9.5703125" style="128" customWidth="1"/>
    <col min="4627" max="4627" width="4.42578125" style="128" customWidth="1"/>
    <col min="4628" max="4629" width="9.140625" style="128" customWidth="1"/>
    <col min="4630" max="4630" width="4.140625" style="128" customWidth="1"/>
    <col min="4631" max="4632" width="9.140625" style="128" customWidth="1"/>
    <col min="4633" max="4633" width="5.42578125" style="128" customWidth="1"/>
    <col min="4634" max="4635" width="9.140625" style="128" customWidth="1"/>
    <col min="4636" max="4636" width="4" style="128" customWidth="1"/>
    <col min="4637" max="4638" width="9.140625" style="128" customWidth="1"/>
    <col min="4639" max="4639" width="4.42578125" style="128" customWidth="1"/>
    <col min="4640" max="4640" width="7.5703125" style="128" customWidth="1"/>
    <col min="4641" max="4641" width="9.5703125" style="128" customWidth="1"/>
    <col min="4642" max="4642" width="3.85546875" style="128" customWidth="1"/>
    <col min="4643" max="4644" width="9.140625" style="128" customWidth="1"/>
    <col min="4645" max="4645" width="3.85546875" style="128" customWidth="1"/>
    <col min="4646" max="4647" width="9.140625" style="128" customWidth="1"/>
    <col min="4648" max="4648" width="3" style="128" customWidth="1"/>
    <col min="4649" max="4650" width="9.140625" style="128" customWidth="1"/>
    <col min="4651" max="4651" width="3.5703125" style="128" customWidth="1"/>
    <col min="4652" max="4653" width="9.140625" style="128" customWidth="1"/>
    <col min="4654" max="4654" width="3.85546875" style="128" customWidth="1"/>
    <col min="4655" max="4655" width="7.5703125" style="128" customWidth="1"/>
    <col min="4656" max="4656" width="9.5703125" style="128" customWidth="1"/>
    <col min="4657" max="4657" width="4.42578125" style="128" customWidth="1"/>
    <col min="4658" max="4659" width="9.140625" style="128" customWidth="1"/>
    <col min="4660" max="4660" width="4.140625" style="128" customWidth="1"/>
    <col min="4661" max="4662" width="9.140625" style="128" customWidth="1"/>
    <col min="4663" max="4663" width="5.42578125" style="128" customWidth="1"/>
    <col min="4664" max="4665" width="9.140625" style="128" customWidth="1"/>
    <col min="4666" max="4666" width="4" style="128" customWidth="1"/>
    <col min="4667" max="4668" width="9.140625" style="128" customWidth="1"/>
    <col min="4669" max="4669" width="3.85546875" style="128" customWidth="1"/>
    <col min="4670" max="4671" width="9.140625" style="128" customWidth="1"/>
    <col min="4672" max="4672" width="9" style="128" customWidth="1"/>
    <col min="4673" max="4674" width="9.140625" style="128" customWidth="1"/>
    <col min="4675" max="4675" width="4.5703125" style="128" customWidth="1"/>
    <col min="4676" max="4677" width="9.140625" style="128" customWidth="1"/>
    <col min="4678" max="4678" width="4.5703125" style="128" customWidth="1"/>
    <col min="4679" max="4864" width="9.140625" style="128"/>
    <col min="4865" max="4865" width="4.42578125" style="128" customWidth="1"/>
    <col min="4866" max="4866" width="7.5703125" style="128" customWidth="1"/>
    <col min="4867" max="4867" width="9.5703125" style="128" customWidth="1"/>
    <col min="4868" max="4868" width="3.85546875" style="128" customWidth="1"/>
    <col min="4869" max="4870" width="9.140625" style="128" customWidth="1"/>
    <col min="4871" max="4871" width="3.85546875" style="128" customWidth="1"/>
    <col min="4872" max="4873" width="9.140625" style="128" customWidth="1"/>
    <col min="4874" max="4874" width="3" style="128" customWidth="1"/>
    <col min="4875" max="4876" width="9.140625" style="128" customWidth="1"/>
    <col min="4877" max="4877" width="3.5703125" style="128" customWidth="1"/>
    <col min="4878" max="4879" width="9.140625" style="128" customWidth="1"/>
    <col min="4880" max="4880" width="3.85546875" style="128" customWidth="1"/>
    <col min="4881" max="4881" width="7.5703125" style="128" customWidth="1"/>
    <col min="4882" max="4882" width="9.5703125" style="128" customWidth="1"/>
    <col min="4883" max="4883" width="4.42578125" style="128" customWidth="1"/>
    <col min="4884" max="4885" width="9.140625" style="128" customWidth="1"/>
    <col min="4886" max="4886" width="4.140625" style="128" customWidth="1"/>
    <col min="4887" max="4888" width="9.140625" style="128" customWidth="1"/>
    <col min="4889" max="4889" width="5.42578125" style="128" customWidth="1"/>
    <col min="4890" max="4891" width="9.140625" style="128" customWidth="1"/>
    <col min="4892" max="4892" width="4" style="128" customWidth="1"/>
    <col min="4893" max="4894" width="9.140625" style="128" customWidth="1"/>
    <col min="4895" max="4895" width="4.42578125" style="128" customWidth="1"/>
    <col min="4896" max="4896" width="7.5703125" style="128" customWidth="1"/>
    <col min="4897" max="4897" width="9.5703125" style="128" customWidth="1"/>
    <col min="4898" max="4898" width="3.85546875" style="128" customWidth="1"/>
    <col min="4899" max="4900" width="9.140625" style="128" customWidth="1"/>
    <col min="4901" max="4901" width="3.85546875" style="128" customWidth="1"/>
    <col min="4902" max="4903" width="9.140625" style="128" customWidth="1"/>
    <col min="4904" max="4904" width="3" style="128" customWidth="1"/>
    <col min="4905" max="4906" width="9.140625" style="128" customWidth="1"/>
    <col min="4907" max="4907" width="3.5703125" style="128" customWidth="1"/>
    <col min="4908" max="4909" width="9.140625" style="128" customWidth="1"/>
    <col min="4910" max="4910" width="3.85546875" style="128" customWidth="1"/>
    <col min="4911" max="4911" width="7.5703125" style="128" customWidth="1"/>
    <col min="4912" max="4912" width="9.5703125" style="128" customWidth="1"/>
    <col min="4913" max="4913" width="4.42578125" style="128" customWidth="1"/>
    <col min="4914" max="4915" width="9.140625" style="128" customWidth="1"/>
    <col min="4916" max="4916" width="4.140625" style="128" customWidth="1"/>
    <col min="4917" max="4918" width="9.140625" style="128" customWidth="1"/>
    <col min="4919" max="4919" width="5.42578125" style="128" customWidth="1"/>
    <col min="4920" max="4921" width="9.140625" style="128" customWidth="1"/>
    <col min="4922" max="4922" width="4" style="128" customWidth="1"/>
    <col min="4923" max="4924" width="9.140625" style="128" customWidth="1"/>
    <col min="4925" max="4925" width="3.85546875" style="128" customWidth="1"/>
    <col min="4926" max="4927" width="9.140625" style="128" customWidth="1"/>
    <col min="4928" max="4928" width="9" style="128" customWidth="1"/>
    <col min="4929" max="4930" width="9.140625" style="128" customWidth="1"/>
    <col min="4931" max="4931" width="4.5703125" style="128" customWidth="1"/>
    <col min="4932" max="4933" width="9.140625" style="128" customWidth="1"/>
    <col min="4934" max="4934" width="4.5703125" style="128" customWidth="1"/>
    <col min="4935" max="5120" width="9.140625" style="128"/>
    <col min="5121" max="5121" width="4.42578125" style="128" customWidth="1"/>
    <col min="5122" max="5122" width="7.5703125" style="128" customWidth="1"/>
    <col min="5123" max="5123" width="9.5703125" style="128" customWidth="1"/>
    <col min="5124" max="5124" width="3.85546875" style="128" customWidth="1"/>
    <col min="5125" max="5126" width="9.140625" style="128" customWidth="1"/>
    <col min="5127" max="5127" width="3.85546875" style="128" customWidth="1"/>
    <col min="5128" max="5129" width="9.140625" style="128" customWidth="1"/>
    <col min="5130" max="5130" width="3" style="128" customWidth="1"/>
    <col min="5131" max="5132" width="9.140625" style="128" customWidth="1"/>
    <col min="5133" max="5133" width="3.5703125" style="128" customWidth="1"/>
    <col min="5134" max="5135" width="9.140625" style="128" customWidth="1"/>
    <col min="5136" max="5136" width="3.85546875" style="128" customWidth="1"/>
    <col min="5137" max="5137" width="7.5703125" style="128" customWidth="1"/>
    <col min="5138" max="5138" width="9.5703125" style="128" customWidth="1"/>
    <col min="5139" max="5139" width="4.42578125" style="128" customWidth="1"/>
    <col min="5140" max="5141" width="9.140625" style="128" customWidth="1"/>
    <col min="5142" max="5142" width="4.140625" style="128" customWidth="1"/>
    <col min="5143" max="5144" width="9.140625" style="128" customWidth="1"/>
    <col min="5145" max="5145" width="5.42578125" style="128" customWidth="1"/>
    <col min="5146" max="5147" width="9.140625" style="128" customWidth="1"/>
    <col min="5148" max="5148" width="4" style="128" customWidth="1"/>
    <col min="5149" max="5150" width="9.140625" style="128" customWidth="1"/>
    <col min="5151" max="5151" width="4.42578125" style="128" customWidth="1"/>
    <col min="5152" max="5152" width="7.5703125" style="128" customWidth="1"/>
    <col min="5153" max="5153" width="9.5703125" style="128" customWidth="1"/>
    <col min="5154" max="5154" width="3.85546875" style="128" customWidth="1"/>
    <col min="5155" max="5156" width="9.140625" style="128" customWidth="1"/>
    <col min="5157" max="5157" width="3.85546875" style="128" customWidth="1"/>
    <col min="5158" max="5159" width="9.140625" style="128" customWidth="1"/>
    <col min="5160" max="5160" width="3" style="128" customWidth="1"/>
    <col min="5161" max="5162" width="9.140625" style="128" customWidth="1"/>
    <col min="5163" max="5163" width="3.5703125" style="128" customWidth="1"/>
    <col min="5164" max="5165" width="9.140625" style="128" customWidth="1"/>
    <col min="5166" max="5166" width="3.85546875" style="128" customWidth="1"/>
    <col min="5167" max="5167" width="7.5703125" style="128" customWidth="1"/>
    <col min="5168" max="5168" width="9.5703125" style="128" customWidth="1"/>
    <col min="5169" max="5169" width="4.42578125" style="128" customWidth="1"/>
    <col min="5170" max="5171" width="9.140625" style="128" customWidth="1"/>
    <col min="5172" max="5172" width="4.140625" style="128" customWidth="1"/>
    <col min="5173" max="5174" width="9.140625" style="128" customWidth="1"/>
    <col min="5175" max="5175" width="5.42578125" style="128" customWidth="1"/>
    <col min="5176" max="5177" width="9.140625" style="128" customWidth="1"/>
    <col min="5178" max="5178" width="4" style="128" customWidth="1"/>
    <col min="5179" max="5180" width="9.140625" style="128" customWidth="1"/>
    <col min="5181" max="5181" width="3.85546875" style="128" customWidth="1"/>
    <col min="5182" max="5183" width="9.140625" style="128" customWidth="1"/>
    <col min="5184" max="5184" width="9" style="128" customWidth="1"/>
    <col min="5185" max="5186" width="9.140625" style="128" customWidth="1"/>
    <col min="5187" max="5187" width="4.5703125" style="128" customWidth="1"/>
    <col min="5188" max="5189" width="9.140625" style="128" customWidth="1"/>
    <col min="5190" max="5190" width="4.5703125" style="128" customWidth="1"/>
    <col min="5191" max="5376" width="9.140625" style="128"/>
    <col min="5377" max="5377" width="4.42578125" style="128" customWidth="1"/>
    <col min="5378" max="5378" width="7.5703125" style="128" customWidth="1"/>
    <col min="5379" max="5379" width="9.5703125" style="128" customWidth="1"/>
    <col min="5380" max="5380" width="3.85546875" style="128" customWidth="1"/>
    <col min="5381" max="5382" width="9.140625" style="128" customWidth="1"/>
    <col min="5383" max="5383" width="3.85546875" style="128" customWidth="1"/>
    <col min="5384" max="5385" width="9.140625" style="128" customWidth="1"/>
    <col min="5386" max="5386" width="3" style="128" customWidth="1"/>
    <col min="5387" max="5388" width="9.140625" style="128" customWidth="1"/>
    <col min="5389" max="5389" width="3.5703125" style="128" customWidth="1"/>
    <col min="5390" max="5391" width="9.140625" style="128" customWidth="1"/>
    <col min="5392" max="5392" width="3.85546875" style="128" customWidth="1"/>
    <col min="5393" max="5393" width="7.5703125" style="128" customWidth="1"/>
    <col min="5394" max="5394" width="9.5703125" style="128" customWidth="1"/>
    <col min="5395" max="5395" width="4.42578125" style="128" customWidth="1"/>
    <col min="5396" max="5397" width="9.140625" style="128" customWidth="1"/>
    <col min="5398" max="5398" width="4.140625" style="128" customWidth="1"/>
    <col min="5399" max="5400" width="9.140625" style="128" customWidth="1"/>
    <col min="5401" max="5401" width="5.42578125" style="128" customWidth="1"/>
    <col min="5402" max="5403" width="9.140625" style="128" customWidth="1"/>
    <col min="5404" max="5404" width="4" style="128" customWidth="1"/>
    <col min="5405" max="5406" width="9.140625" style="128" customWidth="1"/>
    <col min="5407" max="5407" width="4.42578125" style="128" customWidth="1"/>
    <col min="5408" max="5408" width="7.5703125" style="128" customWidth="1"/>
    <col min="5409" max="5409" width="9.5703125" style="128" customWidth="1"/>
    <col min="5410" max="5410" width="3.85546875" style="128" customWidth="1"/>
    <col min="5411" max="5412" width="9.140625" style="128" customWidth="1"/>
    <col min="5413" max="5413" width="3.85546875" style="128" customWidth="1"/>
    <col min="5414" max="5415" width="9.140625" style="128" customWidth="1"/>
    <col min="5416" max="5416" width="3" style="128" customWidth="1"/>
    <col min="5417" max="5418" width="9.140625" style="128" customWidth="1"/>
    <col min="5419" max="5419" width="3.5703125" style="128" customWidth="1"/>
    <col min="5420" max="5421" width="9.140625" style="128" customWidth="1"/>
    <col min="5422" max="5422" width="3.85546875" style="128" customWidth="1"/>
    <col min="5423" max="5423" width="7.5703125" style="128" customWidth="1"/>
    <col min="5424" max="5424" width="9.5703125" style="128" customWidth="1"/>
    <col min="5425" max="5425" width="4.42578125" style="128" customWidth="1"/>
    <col min="5426" max="5427" width="9.140625" style="128" customWidth="1"/>
    <col min="5428" max="5428" width="4.140625" style="128" customWidth="1"/>
    <col min="5429" max="5430" width="9.140625" style="128" customWidth="1"/>
    <col min="5431" max="5431" width="5.42578125" style="128" customWidth="1"/>
    <col min="5432" max="5433" width="9.140625" style="128" customWidth="1"/>
    <col min="5434" max="5434" width="4" style="128" customWidth="1"/>
    <col min="5435" max="5436" width="9.140625" style="128" customWidth="1"/>
    <col min="5437" max="5437" width="3.85546875" style="128" customWidth="1"/>
    <col min="5438" max="5439" width="9.140625" style="128" customWidth="1"/>
    <col min="5440" max="5440" width="9" style="128" customWidth="1"/>
    <col min="5441" max="5442" width="9.140625" style="128" customWidth="1"/>
    <col min="5443" max="5443" width="4.5703125" style="128" customWidth="1"/>
    <col min="5444" max="5445" width="9.140625" style="128" customWidth="1"/>
    <col min="5446" max="5446" width="4.5703125" style="128" customWidth="1"/>
    <col min="5447" max="5632" width="9.140625" style="128"/>
    <col min="5633" max="5633" width="4.42578125" style="128" customWidth="1"/>
    <col min="5634" max="5634" width="7.5703125" style="128" customWidth="1"/>
    <col min="5635" max="5635" width="9.5703125" style="128" customWidth="1"/>
    <col min="5636" max="5636" width="3.85546875" style="128" customWidth="1"/>
    <col min="5637" max="5638" width="9.140625" style="128" customWidth="1"/>
    <col min="5639" max="5639" width="3.85546875" style="128" customWidth="1"/>
    <col min="5640" max="5641" width="9.140625" style="128" customWidth="1"/>
    <col min="5642" max="5642" width="3" style="128" customWidth="1"/>
    <col min="5643" max="5644" width="9.140625" style="128" customWidth="1"/>
    <col min="5645" max="5645" width="3.5703125" style="128" customWidth="1"/>
    <col min="5646" max="5647" width="9.140625" style="128" customWidth="1"/>
    <col min="5648" max="5648" width="3.85546875" style="128" customWidth="1"/>
    <col min="5649" max="5649" width="7.5703125" style="128" customWidth="1"/>
    <col min="5650" max="5650" width="9.5703125" style="128" customWidth="1"/>
    <col min="5651" max="5651" width="4.42578125" style="128" customWidth="1"/>
    <col min="5652" max="5653" width="9.140625" style="128" customWidth="1"/>
    <col min="5654" max="5654" width="4.140625" style="128" customWidth="1"/>
    <col min="5655" max="5656" width="9.140625" style="128" customWidth="1"/>
    <col min="5657" max="5657" width="5.42578125" style="128" customWidth="1"/>
    <col min="5658" max="5659" width="9.140625" style="128" customWidth="1"/>
    <col min="5660" max="5660" width="4" style="128" customWidth="1"/>
    <col min="5661" max="5662" width="9.140625" style="128" customWidth="1"/>
    <col min="5663" max="5663" width="4.42578125" style="128" customWidth="1"/>
    <col min="5664" max="5664" width="7.5703125" style="128" customWidth="1"/>
    <col min="5665" max="5665" width="9.5703125" style="128" customWidth="1"/>
    <col min="5666" max="5666" width="3.85546875" style="128" customWidth="1"/>
    <col min="5667" max="5668" width="9.140625" style="128" customWidth="1"/>
    <col min="5669" max="5669" width="3.85546875" style="128" customWidth="1"/>
    <col min="5670" max="5671" width="9.140625" style="128" customWidth="1"/>
    <col min="5672" max="5672" width="3" style="128" customWidth="1"/>
    <col min="5673" max="5674" width="9.140625" style="128" customWidth="1"/>
    <col min="5675" max="5675" width="3.5703125" style="128" customWidth="1"/>
    <col min="5676" max="5677" width="9.140625" style="128" customWidth="1"/>
    <col min="5678" max="5678" width="3.85546875" style="128" customWidth="1"/>
    <col min="5679" max="5679" width="7.5703125" style="128" customWidth="1"/>
    <col min="5680" max="5680" width="9.5703125" style="128" customWidth="1"/>
    <col min="5681" max="5681" width="4.42578125" style="128" customWidth="1"/>
    <col min="5682" max="5683" width="9.140625" style="128" customWidth="1"/>
    <col min="5684" max="5684" width="4.140625" style="128" customWidth="1"/>
    <col min="5685" max="5686" width="9.140625" style="128" customWidth="1"/>
    <col min="5687" max="5687" width="5.42578125" style="128" customWidth="1"/>
    <col min="5688" max="5689" width="9.140625" style="128" customWidth="1"/>
    <col min="5690" max="5690" width="4" style="128" customWidth="1"/>
    <col min="5691" max="5692" width="9.140625" style="128" customWidth="1"/>
    <col min="5693" max="5693" width="3.85546875" style="128" customWidth="1"/>
    <col min="5694" max="5695" width="9.140625" style="128" customWidth="1"/>
    <col min="5696" max="5696" width="9" style="128" customWidth="1"/>
    <col min="5697" max="5698" width="9.140625" style="128" customWidth="1"/>
    <col min="5699" max="5699" width="4.5703125" style="128" customWidth="1"/>
    <col min="5700" max="5701" width="9.140625" style="128" customWidth="1"/>
    <col min="5702" max="5702" width="4.5703125" style="128" customWidth="1"/>
    <col min="5703" max="5888" width="9.140625" style="128"/>
    <col min="5889" max="5889" width="4.42578125" style="128" customWidth="1"/>
    <col min="5890" max="5890" width="7.5703125" style="128" customWidth="1"/>
    <col min="5891" max="5891" width="9.5703125" style="128" customWidth="1"/>
    <col min="5892" max="5892" width="3.85546875" style="128" customWidth="1"/>
    <col min="5893" max="5894" width="9.140625" style="128" customWidth="1"/>
    <col min="5895" max="5895" width="3.85546875" style="128" customWidth="1"/>
    <col min="5896" max="5897" width="9.140625" style="128" customWidth="1"/>
    <col min="5898" max="5898" width="3" style="128" customWidth="1"/>
    <col min="5899" max="5900" width="9.140625" style="128" customWidth="1"/>
    <col min="5901" max="5901" width="3.5703125" style="128" customWidth="1"/>
    <col min="5902" max="5903" width="9.140625" style="128" customWidth="1"/>
    <col min="5904" max="5904" width="3.85546875" style="128" customWidth="1"/>
    <col min="5905" max="5905" width="7.5703125" style="128" customWidth="1"/>
    <col min="5906" max="5906" width="9.5703125" style="128" customWidth="1"/>
    <col min="5907" max="5907" width="4.42578125" style="128" customWidth="1"/>
    <col min="5908" max="5909" width="9.140625" style="128" customWidth="1"/>
    <col min="5910" max="5910" width="4.140625" style="128" customWidth="1"/>
    <col min="5911" max="5912" width="9.140625" style="128" customWidth="1"/>
    <col min="5913" max="5913" width="5.42578125" style="128" customWidth="1"/>
    <col min="5914" max="5915" width="9.140625" style="128" customWidth="1"/>
    <col min="5916" max="5916" width="4" style="128" customWidth="1"/>
    <col min="5917" max="5918" width="9.140625" style="128" customWidth="1"/>
    <col min="5919" max="5919" width="4.42578125" style="128" customWidth="1"/>
    <col min="5920" max="5920" width="7.5703125" style="128" customWidth="1"/>
    <col min="5921" max="5921" width="9.5703125" style="128" customWidth="1"/>
    <col min="5922" max="5922" width="3.85546875" style="128" customWidth="1"/>
    <col min="5923" max="5924" width="9.140625" style="128" customWidth="1"/>
    <col min="5925" max="5925" width="3.85546875" style="128" customWidth="1"/>
    <col min="5926" max="5927" width="9.140625" style="128" customWidth="1"/>
    <col min="5928" max="5928" width="3" style="128" customWidth="1"/>
    <col min="5929" max="5930" width="9.140625" style="128" customWidth="1"/>
    <col min="5931" max="5931" width="3.5703125" style="128" customWidth="1"/>
    <col min="5932" max="5933" width="9.140625" style="128" customWidth="1"/>
    <col min="5934" max="5934" width="3.85546875" style="128" customWidth="1"/>
    <col min="5935" max="5935" width="7.5703125" style="128" customWidth="1"/>
    <col min="5936" max="5936" width="9.5703125" style="128" customWidth="1"/>
    <col min="5937" max="5937" width="4.42578125" style="128" customWidth="1"/>
    <col min="5938" max="5939" width="9.140625" style="128" customWidth="1"/>
    <col min="5940" max="5940" width="4.140625" style="128" customWidth="1"/>
    <col min="5941" max="5942" width="9.140625" style="128" customWidth="1"/>
    <col min="5943" max="5943" width="5.42578125" style="128" customWidth="1"/>
    <col min="5944" max="5945" width="9.140625" style="128" customWidth="1"/>
    <col min="5946" max="5946" width="4" style="128" customWidth="1"/>
    <col min="5947" max="5948" width="9.140625" style="128" customWidth="1"/>
    <col min="5949" max="5949" width="3.85546875" style="128" customWidth="1"/>
    <col min="5950" max="5951" width="9.140625" style="128" customWidth="1"/>
    <col min="5952" max="5952" width="9" style="128" customWidth="1"/>
    <col min="5953" max="5954" width="9.140625" style="128" customWidth="1"/>
    <col min="5955" max="5955" width="4.5703125" style="128" customWidth="1"/>
    <col min="5956" max="5957" width="9.140625" style="128" customWidth="1"/>
    <col min="5958" max="5958" width="4.5703125" style="128" customWidth="1"/>
    <col min="5959" max="6144" width="9.140625" style="128"/>
    <col min="6145" max="6145" width="4.42578125" style="128" customWidth="1"/>
    <col min="6146" max="6146" width="7.5703125" style="128" customWidth="1"/>
    <col min="6147" max="6147" width="9.5703125" style="128" customWidth="1"/>
    <col min="6148" max="6148" width="3.85546875" style="128" customWidth="1"/>
    <col min="6149" max="6150" width="9.140625" style="128" customWidth="1"/>
    <col min="6151" max="6151" width="3.85546875" style="128" customWidth="1"/>
    <col min="6152" max="6153" width="9.140625" style="128" customWidth="1"/>
    <col min="6154" max="6154" width="3" style="128" customWidth="1"/>
    <col min="6155" max="6156" width="9.140625" style="128" customWidth="1"/>
    <col min="6157" max="6157" width="3.5703125" style="128" customWidth="1"/>
    <col min="6158" max="6159" width="9.140625" style="128" customWidth="1"/>
    <col min="6160" max="6160" width="3.85546875" style="128" customWidth="1"/>
    <col min="6161" max="6161" width="7.5703125" style="128" customWidth="1"/>
    <col min="6162" max="6162" width="9.5703125" style="128" customWidth="1"/>
    <col min="6163" max="6163" width="4.42578125" style="128" customWidth="1"/>
    <col min="6164" max="6165" width="9.140625" style="128" customWidth="1"/>
    <col min="6166" max="6166" width="4.140625" style="128" customWidth="1"/>
    <col min="6167" max="6168" width="9.140625" style="128" customWidth="1"/>
    <col min="6169" max="6169" width="5.42578125" style="128" customWidth="1"/>
    <col min="6170" max="6171" width="9.140625" style="128" customWidth="1"/>
    <col min="6172" max="6172" width="4" style="128" customWidth="1"/>
    <col min="6173" max="6174" width="9.140625" style="128" customWidth="1"/>
    <col min="6175" max="6175" width="4.42578125" style="128" customWidth="1"/>
    <col min="6176" max="6176" width="7.5703125" style="128" customWidth="1"/>
    <col min="6177" max="6177" width="9.5703125" style="128" customWidth="1"/>
    <col min="6178" max="6178" width="3.85546875" style="128" customWidth="1"/>
    <col min="6179" max="6180" width="9.140625" style="128" customWidth="1"/>
    <col min="6181" max="6181" width="3.85546875" style="128" customWidth="1"/>
    <col min="6182" max="6183" width="9.140625" style="128" customWidth="1"/>
    <col min="6184" max="6184" width="3" style="128" customWidth="1"/>
    <col min="6185" max="6186" width="9.140625" style="128" customWidth="1"/>
    <col min="6187" max="6187" width="3.5703125" style="128" customWidth="1"/>
    <col min="6188" max="6189" width="9.140625" style="128" customWidth="1"/>
    <col min="6190" max="6190" width="3.85546875" style="128" customWidth="1"/>
    <col min="6191" max="6191" width="7.5703125" style="128" customWidth="1"/>
    <col min="6192" max="6192" width="9.5703125" style="128" customWidth="1"/>
    <col min="6193" max="6193" width="4.42578125" style="128" customWidth="1"/>
    <col min="6194" max="6195" width="9.140625" style="128" customWidth="1"/>
    <col min="6196" max="6196" width="4.140625" style="128" customWidth="1"/>
    <col min="6197" max="6198" width="9.140625" style="128" customWidth="1"/>
    <col min="6199" max="6199" width="5.42578125" style="128" customWidth="1"/>
    <col min="6200" max="6201" width="9.140625" style="128" customWidth="1"/>
    <col min="6202" max="6202" width="4" style="128" customWidth="1"/>
    <col min="6203" max="6204" width="9.140625" style="128" customWidth="1"/>
    <col min="6205" max="6205" width="3.85546875" style="128" customWidth="1"/>
    <col min="6206" max="6207" width="9.140625" style="128" customWidth="1"/>
    <col min="6208" max="6208" width="9" style="128" customWidth="1"/>
    <col min="6209" max="6210" width="9.140625" style="128" customWidth="1"/>
    <col min="6211" max="6211" width="4.5703125" style="128" customWidth="1"/>
    <col min="6212" max="6213" width="9.140625" style="128" customWidth="1"/>
    <col min="6214" max="6214" width="4.5703125" style="128" customWidth="1"/>
    <col min="6215" max="6400" width="9.140625" style="128"/>
    <col min="6401" max="6401" width="4.42578125" style="128" customWidth="1"/>
    <col min="6402" max="6402" width="7.5703125" style="128" customWidth="1"/>
    <col min="6403" max="6403" width="9.5703125" style="128" customWidth="1"/>
    <col min="6404" max="6404" width="3.85546875" style="128" customWidth="1"/>
    <col min="6405" max="6406" width="9.140625" style="128" customWidth="1"/>
    <col min="6407" max="6407" width="3.85546875" style="128" customWidth="1"/>
    <col min="6408" max="6409" width="9.140625" style="128" customWidth="1"/>
    <col min="6410" max="6410" width="3" style="128" customWidth="1"/>
    <col min="6411" max="6412" width="9.140625" style="128" customWidth="1"/>
    <col min="6413" max="6413" width="3.5703125" style="128" customWidth="1"/>
    <col min="6414" max="6415" width="9.140625" style="128" customWidth="1"/>
    <col min="6416" max="6416" width="3.85546875" style="128" customWidth="1"/>
    <col min="6417" max="6417" width="7.5703125" style="128" customWidth="1"/>
    <col min="6418" max="6418" width="9.5703125" style="128" customWidth="1"/>
    <col min="6419" max="6419" width="4.42578125" style="128" customWidth="1"/>
    <col min="6420" max="6421" width="9.140625" style="128" customWidth="1"/>
    <col min="6422" max="6422" width="4.140625" style="128" customWidth="1"/>
    <col min="6423" max="6424" width="9.140625" style="128" customWidth="1"/>
    <col min="6425" max="6425" width="5.42578125" style="128" customWidth="1"/>
    <col min="6426" max="6427" width="9.140625" style="128" customWidth="1"/>
    <col min="6428" max="6428" width="4" style="128" customWidth="1"/>
    <col min="6429" max="6430" width="9.140625" style="128" customWidth="1"/>
    <col min="6431" max="6431" width="4.42578125" style="128" customWidth="1"/>
    <col min="6432" max="6432" width="7.5703125" style="128" customWidth="1"/>
    <col min="6433" max="6433" width="9.5703125" style="128" customWidth="1"/>
    <col min="6434" max="6434" width="3.85546875" style="128" customWidth="1"/>
    <col min="6435" max="6436" width="9.140625" style="128" customWidth="1"/>
    <col min="6437" max="6437" width="3.85546875" style="128" customWidth="1"/>
    <col min="6438" max="6439" width="9.140625" style="128" customWidth="1"/>
    <col min="6440" max="6440" width="3" style="128" customWidth="1"/>
    <col min="6441" max="6442" width="9.140625" style="128" customWidth="1"/>
    <col min="6443" max="6443" width="3.5703125" style="128" customWidth="1"/>
    <col min="6444" max="6445" width="9.140625" style="128" customWidth="1"/>
    <col min="6446" max="6446" width="3.85546875" style="128" customWidth="1"/>
    <col min="6447" max="6447" width="7.5703125" style="128" customWidth="1"/>
    <col min="6448" max="6448" width="9.5703125" style="128" customWidth="1"/>
    <col min="6449" max="6449" width="4.42578125" style="128" customWidth="1"/>
    <col min="6450" max="6451" width="9.140625" style="128" customWidth="1"/>
    <col min="6452" max="6452" width="4.140625" style="128" customWidth="1"/>
    <col min="6453" max="6454" width="9.140625" style="128" customWidth="1"/>
    <col min="6455" max="6455" width="5.42578125" style="128" customWidth="1"/>
    <col min="6456" max="6457" width="9.140625" style="128" customWidth="1"/>
    <col min="6458" max="6458" width="4" style="128" customWidth="1"/>
    <col min="6459" max="6460" width="9.140625" style="128" customWidth="1"/>
    <col min="6461" max="6461" width="3.85546875" style="128" customWidth="1"/>
    <col min="6462" max="6463" width="9.140625" style="128" customWidth="1"/>
    <col min="6464" max="6464" width="9" style="128" customWidth="1"/>
    <col min="6465" max="6466" width="9.140625" style="128" customWidth="1"/>
    <col min="6467" max="6467" width="4.5703125" style="128" customWidth="1"/>
    <col min="6468" max="6469" width="9.140625" style="128" customWidth="1"/>
    <col min="6470" max="6470" width="4.5703125" style="128" customWidth="1"/>
    <col min="6471" max="6656" width="9.140625" style="128"/>
    <col min="6657" max="6657" width="4.42578125" style="128" customWidth="1"/>
    <col min="6658" max="6658" width="7.5703125" style="128" customWidth="1"/>
    <col min="6659" max="6659" width="9.5703125" style="128" customWidth="1"/>
    <col min="6660" max="6660" width="3.85546875" style="128" customWidth="1"/>
    <col min="6661" max="6662" width="9.140625" style="128" customWidth="1"/>
    <col min="6663" max="6663" width="3.85546875" style="128" customWidth="1"/>
    <col min="6664" max="6665" width="9.140625" style="128" customWidth="1"/>
    <col min="6666" max="6666" width="3" style="128" customWidth="1"/>
    <col min="6667" max="6668" width="9.140625" style="128" customWidth="1"/>
    <col min="6669" max="6669" width="3.5703125" style="128" customWidth="1"/>
    <col min="6670" max="6671" width="9.140625" style="128" customWidth="1"/>
    <col min="6672" max="6672" width="3.85546875" style="128" customWidth="1"/>
    <col min="6673" max="6673" width="7.5703125" style="128" customWidth="1"/>
    <col min="6674" max="6674" width="9.5703125" style="128" customWidth="1"/>
    <col min="6675" max="6675" width="4.42578125" style="128" customWidth="1"/>
    <col min="6676" max="6677" width="9.140625" style="128" customWidth="1"/>
    <col min="6678" max="6678" width="4.140625" style="128" customWidth="1"/>
    <col min="6679" max="6680" width="9.140625" style="128" customWidth="1"/>
    <col min="6681" max="6681" width="5.42578125" style="128" customWidth="1"/>
    <col min="6682" max="6683" width="9.140625" style="128" customWidth="1"/>
    <col min="6684" max="6684" width="4" style="128" customWidth="1"/>
    <col min="6685" max="6686" width="9.140625" style="128" customWidth="1"/>
    <col min="6687" max="6687" width="4.42578125" style="128" customWidth="1"/>
    <col min="6688" max="6688" width="7.5703125" style="128" customWidth="1"/>
    <col min="6689" max="6689" width="9.5703125" style="128" customWidth="1"/>
    <col min="6690" max="6690" width="3.85546875" style="128" customWidth="1"/>
    <col min="6691" max="6692" width="9.140625" style="128" customWidth="1"/>
    <col min="6693" max="6693" width="3.85546875" style="128" customWidth="1"/>
    <col min="6694" max="6695" width="9.140625" style="128" customWidth="1"/>
    <col min="6696" max="6696" width="3" style="128" customWidth="1"/>
    <col min="6697" max="6698" width="9.140625" style="128" customWidth="1"/>
    <col min="6699" max="6699" width="3.5703125" style="128" customWidth="1"/>
    <col min="6700" max="6701" width="9.140625" style="128" customWidth="1"/>
    <col min="6702" max="6702" width="3.85546875" style="128" customWidth="1"/>
    <col min="6703" max="6703" width="7.5703125" style="128" customWidth="1"/>
    <col min="6704" max="6704" width="9.5703125" style="128" customWidth="1"/>
    <col min="6705" max="6705" width="4.42578125" style="128" customWidth="1"/>
    <col min="6706" max="6707" width="9.140625" style="128" customWidth="1"/>
    <col min="6708" max="6708" width="4.140625" style="128" customWidth="1"/>
    <col min="6709" max="6710" width="9.140625" style="128" customWidth="1"/>
    <col min="6711" max="6711" width="5.42578125" style="128" customWidth="1"/>
    <col min="6712" max="6713" width="9.140625" style="128" customWidth="1"/>
    <col min="6714" max="6714" width="4" style="128" customWidth="1"/>
    <col min="6715" max="6716" width="9.140625" style="128" customWidth="1"/>
    <col min="6717" max="6717" width="3.85546875" style="128" customWidth="1"/>
    <col min="6718" max="6719" width="9.140625" style="128" customWidth="1"/>
    <col min="6720" max="6720" width="9" style="128" customWidth="1"/>
    <col min="6721" max="6722" width="9.140625" style="128" customWidth="1"/>
    <col min="6723" max="6723" width="4.5703125" style="128" customWidth="1"/>
    <col min="6724" max="6725" width="9.140625" style="128" customWidth="1"/>
    <col min="6726" max="6726" width="4.5703125" style="128" customWidth="1"/>
    <col min="6727" max="6912" width="9.140625" style="128"/>
    <col min="6913" max="6913" width="4.42578125" style="128" customWidth="1"/>
    <col min="6914" max="6914" width="7.5703125" style="128" customWidth="1"/>
    <col min="6915" max="6915" width="9.5703125" style="128" customWidth="1"/>
    <col min="6916" max="6916" width="3.85546875" style="128" customWidth="1"/>
    <col min="6917" max="6918" width="9.140625" style="128" customWidth="1"/>
    <col min="6919" max="6919" width="3.85546875" style="128" customWidth="1"/>
    <col min="6920" max="6921" width="9.140625" style="128" customWidth="1"/>
    <col min="6922" max="6922" width="3" style="128" customWidth="1"/>
    <col min="6923" max="6924" width="9.140625" style="128" customWidth="1"/>
    <col min="6925" max="6925" width="3.5703125" style="128" customWidth="1"/>
    <col min="6926" max="6927" width="9.140625" style="128" customWidth="1"/>
    <col min="6928" max="6928" width="3.85546875" style="128" customWidth="1"/>
    <col min="6929" max="6929" width="7.5703125" style="128" customWidth="1"/>
    <col min="6930" max="6930" width="9.5703125" style="128" customWidth="1"/>
    <col min="6931" max="6931" width="4.42578125" style="128" customWidth="1"/>
    <col min="6932" max="6933" width="9.140625" style="128" customWidth="1"/>
    <col min="6934" max="6934" width="4.140625" style="128" customWidth="1"/>
    <col min="6935" max="6936" width="9.140625" style="128" customWidth="1"/>
    <col min="6937" max="6937" width="5.42578125" style="128" customWidth="1"/>
    <col min="6938" max="6939" width="9.140625" style="128" customWidth="1"/>
    <col min="6940" max="6940" width="4" style="128" customWidth="1"/>
    <col min="6941" max="6942" width="9.140625" style="128" customWidth="1"/>
    <col min="6943" max="6943" width="4.42578125" style="128" customWidth="1"/>
    <col min="6944" max="6944" width="7.5703125" style="128" customWidth="1"/>
    <col min="6945" max="6945" width="9.5703125" style="128" customWidth="1"/>
    <col min="6946" max="6946" width="3.85546875" style="128" customWidth="1"/>
    <col min="6947" max="6948" width="9.140625" style="128" customWidth="1"/>
    <col min="6949" max="6949" width="3.85546875" style="128" customWidth="1"/>
    <col min="6950" max="6951" width="9.140625" style="128" customWidth="1"/>
    <col min="6952" max="6952" width="3" style="128" customWidth="1"/>
    <col min="6953" max="6954" width="9.140625" style="128" customWidth="1"/>
    <col min="6955" max="6955" width="3.5703125" style="128" customWidth="1"/>
    <col min="6956" max="6957" width="9.140625" style="128" customWidth="1"/>
    <col min="6958" max="6958" width="3.85546875" style="128" customWidth="1"/>
    <col min="6959" max="6959" width="7.5703125" style="128" customWidth="1"/>
    <col min="6960" max="6960" width="9.5703125" style="128" customWidth="1"/>
    <col min="6961" max="6961" width="4.42578125" style="128" customWidth="1"/>
    <col min="6962" max="6963" width="9.140625" style="128" customWidth="1"/>
    <col min="6964" max="6964" width="4.140625" style="128" customWidth="1"/>
    <col min="6965" max="6966" width="9.140625" style="128" customWidth="1"/>
    <col min="6967" max="6967" width="5.42578125" style="128" customWidth="1"/>
    <col min="6968" max="6969" width="9.140625" style="128" customWidth="1"/>
    <col min="6970" max="6970" width="4" style="128" customWidth="1"/>
    <col min="6971" max="6972" width="9.140625" style="128" customWidth="1"/>
    <col min="6973" max="6973" width="3.85546875" style="128" customWidth="1"/>
    <col min="6974" max="6975" width="9.140625" style="128" customWidth="1"/>
    <col min="6976" max="6976" width="9" style="128" customWidth="1"/>
    <col min="6977" max="6978" width="9.140625" style="128" customWidth="1"/>
    <col min="6979" max="6979" width="4.5703125" style="128" customWidth="1"/>
    <col min="6980" max="6981" width="9.140625" style="128" customWidth="1"/>
    <col min="6982" max="6982" width="4.5703125" style="128" customWidth="1"/>
    <col min="6983" max="7168" width="9.140625" style="128"/>
    <col min="7169" max="7169" width="4.42578125" style="128" customWidth="1"/>
    <col min="7170" max="7170" width="7.5703125" style="128" customWidth="1"/>
    <col min="7171" max="7171" width="9.5703125" style="128" customWidth="1"/>
    <col min="7172" max="7172" width="3.85546875" style="128" customWidth="1"/>
    <col min="7173" max="7174" width="9.140625" style="128" customWidth="1"/>
    <col min="7175" max="7175" width="3.85546875" style="128" customWidth="1"/>
    <col min="7176" max="7177" width="9.140625" style="128" customWidth="1"/>
    <col min="7178" max="7178" width="3" style="128" customWidth="1"/>
    <col min="7179" max="7180" width="9.140625" style="128" customWidth="1"/>
    <col min="7181" max="7181" width="3.5703125" style="128" customWidth="1"/>
    <col min="7182" max="7183" width="9.140625" style="128" customWidth="1"/>
    <col min="7184" max="7184" width="3.85546875" style="128" customWidth="1"/>
    <col min="7185" max="7185" width="7.5703125" style="128" customWidth="1"/>
    <col min="7186" max="7186" width="9.5703125" style="128" customWidth="1"/>
    <col min="7187" max="7187" width="4.42578125" style="128" customWidth="1"/>
    <col min="7188" max="7189" width="9.140625" style="128" customWidth="1"/>
    <col min="7190" max="7190" width="4.140625" style="128" customWidth="1"/>
    <col min="7191" max="7192" width="9.140625" style="128" customWidth="1"/>
    <col min="7193" max="7193" width="5.42578125" style="128" customWidth="1"/>
    <col min="7194" max="7195" width="9.140625" style="128" customWidth="1"/>
    <col min="7196" max="7196" width="4" style="128" customWidth="1"/>
    <col min="7197" max="7198" width="9.140625" style="128" customWidth="1"/>
    <col min="7199" max="7199" width="4.42578125" style="128" customWidth="1"/>
    <col min="7200" max="7200" width="7.5703125" style="128" customWidth="1"/>
    <col min="7201" max="7201" width="9.5703125" style="128" customWidth="1"/>
    <col min="7202" max="7202" width="3.85546875" style="128" customWidth="1"/>
    <col min="7203" max="7204" width="9.140625" style="128" customWidth="1"/>
    <col min="7205" max="7205" width="3.85546875" style="128" customWidth="1"/>
    <col min="7206" max="7207" width="9.140625" style="128" customWidth="1"/>
    <col min="7208" max="7208" width="3" style="128" customWidth="1"/>
    <col min="7209" max="7210" width="9.140625" style="128" customWidth="1"/>
    <col min="7211" max="7211" width="3.5703125" style="128" customWidth="1"/>
    <col min="7212" max="7213" width="9.140625" style="128" customWidth="1"/>
    <col min="7214" max="7214" width="3.85546875" style="128" customWidth="1"/>
    <col min="7215" max="7215" width="7.5703125" style="128" customWidth="1"/>
    <col min="7216" max="7216" width="9.5703125" style="128" customWidth="1"/>
    <col min="7217" max="7217" width="4.42578125" style="128" customWidth="1"/>
    <col min="7218" max="7219" width="9.140625" style="128" customWidth="1"/>
    <col min="7220" max="7220" width="4.140625" style="128" customWidth="1"/>
    <col min="7221" max="7222" width="9.140625" style="128" customWidth="1"/>
    <col min="7223" max="7223" width="5.42578125" style="128" customWidth="1"/>
    <col min="7224" max="7225" width="9.140625" style="128" customWidth="1"/>
    <col min="7226" max="7226" width="4" style="128" customWidth="1"/>
    <col min="7227" max="7228" width="9.140625" style="128" customWidth="1"/>
    <col min="7229" max="7229" width="3.85546875" style="128" customWidth="1"/>
    <col min="7230" max="7231" width="9.140625" style="128" customWidth="1"/>
    <col min="7232" max="7232" width="9" style="128" customWidth="1"/>
    <col min="7233" max="7234" width="9.140625" style="128" customWidth="1"/>
    <col min="7235" max="7235" width="4.5703125" style="128" customWidth="1"/>
    <col min="7236" max="7237" width="9.140625" style="128" customWidth="1"/>
    <col min="7238" max="7238" width="4.5703125" style="128" customWidth="1"/>
    <col min="7239" max="7424" width="9.140625" style="128"/>
    <col min="7425" max="7425" width="4.42578125" style="128" customWidth="1"/>
    <col min="7426" max="7426" width="7.5703125" style="128" customWidth="1"/>
    <col min="7427" max="7427" width="9.5703125" style="128" customWidth="1"/>
    <col min="7428" max="7428" width="3.85546875" style="128" customWidth="1"/>
    <col min="7429" max="7430" width="9.140625" style="128" customWidth="1"/>
    <col min="7431" max="7431" width="3.85546875" style="128" customWidth="1"/>
    <col min="7432" max="7433" width="9.140625" style="128" customWidth="1"/>
    <col min="7434" max="7434" width="3" style="128" customWidth="1"/>
    <col min="7435" max="7436" width="9.140625" style="128" customWidth="1"/>
    <col min="7437" max="7437" width="3.5703125" style="128" customWidth="1"/>
    <col min="7438" max="7439" width="9.140625" style="128" customWidth="1"/>
    <col min="7440" max="7440" width="3.85546875" style="128" customWidth="1"/>
    <col min="7441" max="7441" width="7.5703125" style="128" customWidth="1"/>
    <col min="7442" max="7442" width="9.5703125" style="128" customWidth="1"/>
    <col min="7443" max="7443" width="4.42578125" style="128" customWidth="1"/>
    <col min="7444" max="7445" width="9.140625" style="128" customWidth="1"/>
    <col min="7446" max="7446" width="4.140625" style="128" customWidth="1"/>
    <col min="7447" max="7448" width="9.140625" style="128" customWidth="1"/>
    <col min="7449" max="7449" width="5.42578125" style="128" customWidth="1"/>
    <col min="7450" max="7451" width="9.140625" style="128" customWidth="1"/>
    <col min="7452" max="7452" width="4" style="128" customWidth="1"/>
    <col min="7453" max="7454" width="9.140625" style="128" customWidth="1"/>
    <col min="7455" max="7455" width="4.42578125" style="128" customWidth="1"/>
    <col min="7456" max="7456" width="7.5703125" style="128" customWidth="1"/>
    <col min="7457" max="7457" width="9.5703125" style="128" customWidth="1"/>
    <col min="7458" max="7458" width="3.85546875" style="128" customWidth="1"/>
    <col min="7459" max="7460" width="9.140625" style="128" customWidth="1"/>
    <col min="7461" max="7461" width="3.85546875" style="128" customWidth="1"/>
    <col min="7462" max="7463" width="9.140625" style="128" customWidth="1"/>
    <col min="7464" max="7464" width="3" style="128" customWidth="1"/>
    <col min="7465" max="7466" width="9.140625" style="128" customWidth="1"/>
    <col min="7467" max="7467" width="3.5703125" style="128" customWidth="1"/>
    <col min="7468" max="7469" width="9.140625" style="128" customWidth="1"/>
    <col min="7470" max="7470" width="3.85546875" style="128" customWidth="1"/>
    <col min="7471" max="7471" width="7.5703125" style="128" customWidth="1"/>
    <col min="7472" max="7472" width="9.5703125" style="128" customWidth="1"/>
    <col min="7473" max="7473" width="4.42578125" style="128" customWidth="1"/>
    <col min="7474" max="7475" width="9.140625" style="128" customWidth="1"/>
    <col min="7476" max="7476" width="4.140625" style="128" customWidth="1"/>
    <col min="7477" max="7478" width="9.140625" style="128" customWidth="1"/>
    <col min="7479" max="7479" width="5.42578125" style="128" customWidth="1"/>
    <col min="7480" max="7481" width="9.140625" style="128" customWidth="1"/>
    <col min="7482" max="7482" width="4" style="128" customWidth="1"/>
    <col min="7483" max="7484" width="9.140625" style="128" customWidth="1"/>
    <col min="7485" max="7485" width="3.85546875" style="128" customWidth="1"/>
    <col min="7486" max="7487" width="9.140625" style="128" customWidth="1"/>
    <col min="7488" max="7488" width="9" style="128" customWidth="1"/>
    <col min="7489" max="7490" width="9.140625" style="128" customWidth="1"/>
    <col min="7491" max="7491" width="4.5703125" style="128" customWidth="1"/>
    <col min="7492" max="7493" width="9.140625" style="128" customWidth="1"/>
    <col min="7494" max="7494" width="4.5703125" style="128" customWidth="1"/>
    <col min="7495" max="7680" width="9.140625" style="128"/>
    <col min="7681" max="7681" width="4.42578125" style="128" customWidth="1"/>
    <col min="7682" max="7682" width="7.5703125" style="128" customWidth="1"/>
    <col min="7683" max="7683" width="9.5703125" style="128" customWidth="1"/>
    <col min="7684" max="7684" width="3.85546875" style="128" customWidth="1"/>
    <col min="7685" max="7686" width="9.140625" style="128" customWidth="1"/>
    <col min="7687" max="7687" width="3.85546875" style="128" customWidth="1"/>
    <col min="7688" max="7689" width="9.140625" style="128" customWidth="1"/>
    <col min="7690" max="7690" width="3" style="128" customWidth="1"/>
    <col min="7691" max="7692" width="9.140625" style="128" customWidth="1"/>
    <col min="7693" max="7693" width="3.5703125" style="128" customWidth="1"/>
    <col min="7694" max="7695" width="9.140625" style="128" customWidth="1"/>
    <col min="7696" max="7696" width="3.85546875" style="128" customWidth="1"/>
    <col min="7697" max="7697" width="7.5703125" style="128" customWidth="1"/>
    <col min="7698" max="7698" width="9.5703125" style="128" customWidth="1"/>
    <col min="7699" max="7699" width="4.42578125" style="128" customWidth="1"/>
    <col min="7700" max="7701" width="9.140625" style="128" customWidth="1"/>
    <col min="7702" max="7702" width="4.140625" style="128" customWidth="1"/>
    <col min="7703" max="7704" width="9.140625" style="128" customWidth="1"/>
    <col min="7705" max="7705" width="5.42578125" style="128" customWidth="1"/>
    <col min="7706" max="7707" width="9.140625" style="128" customWidth="1"/>
    <col min="7708" max="7708" width="4" style="128" customWidth="1"/>
    <col min="7709" max="7710" width="9.140625" style="128" customWidth="1"/>
    <col min="7711" max="7711" width="4.42578125" style="128" customWidth="1"/>
    <col min="7712" max="7712" width="7.5703125" style="128" customWidth="1"/>
    <col min="7713" max="7713" width="9.5703125" style="128" customWidth="1"/>
    <col min="7714" max="7714" width="3.85546875" style="128" customWidth="1"/>
    <col min="7715" max="7716" width="9.140625" style="128" customWidth="1"/>
    <col min="7717" max="7717" width="3.85546875" style="128" customWidth="1"/>
    <col min="7718" max="7719" width="9.140625" style="128" customWidth="1"/>
    <col min="7720" max="7720" width="3" style="128" customWidth="1"/>
    <col min="7721" max="7722" width="9.140625" style="128" customWidth="1"/>
    <col min="7723" max="7723" width="3.5703125" style="128" customWidth="1"/>
    <col min="7724" max="7725" width="9.140625" style="128" customWidth="1"/>
    <col min="7726" max="7726" width="3.85546875" style="128" customWidth="1"/>
    <col min="7727" max="7727" width="7.5703125" style="128" customWidth="1"/>
    <col min="7728" max="7728" width="9.5703125" style="128" customWidth="1"/>
    <col min="7729" max="7729" width="4.42578125" style="128" customWidth="1"/>
    <col min="7730" max="7731" width="9.140625" style="128" customWidth="1"/>
    <col min="7732" max="7732" width="4.140625" style="128" customWidth="1"/>
    <col min="7733" max="7734" width="9.140625" style="128" customWidth="1"/>
    <col min="7735" max="7735" width="5.42578125" style="128" customWidth="1"/>
    <col min="7736" max="7737" width="9.140625" style="128" customWidth="1"/>
    <col min="7738" max="7738" width="4" style="128" customWidth="1"/>
    <col min="7739" max="7740" width="9.140625" style="128" customWidth="1"/>
    <col min="7741" max="7741" width="3.85546875" style="128" customWidth="1"/>
    <col min="7742" max="7743" width="9.140625" style="128" customWidth="1"/>
    <col min="7744" max="7744" width="9" style="128" customWidth="1"/>
    <col min="7745" max="7746" width="9.140625" style="128" customWidth="1"/>
    <col min="7747" max="7747" width="4.5703125" style="128" customWidth="1"/>
    <col min="7748" max="7749" width="9.140625" style="128" customWidth="1"/>
    <col min="7750" max="7750" width="4.5703125" style="128" customWidth="1"/>
    <col min="7751" max="7936" width="9.140625" style="128"/>
    <col min="7937" max="7937" width="4.42578125" style="128" customWidth="1"/>
    <col min="7938" max="7938" width="7.5703125" style="128" customWidth="1"/>
    <col min="7939" max="7939" width="9.5703125" style="128" customWidth="1"/>
    <col min="7940" max="7940" width="3.85546875" style="128" customWidth="1"/>
    <col min="7941" max="7942" width="9.140625" style="128" customWidth="1"/>
    <col min="7943" max="7943" width="3.85546875" style="128" customWidth="1"/>
    <col min="7944" max="7945" width="9.140625" style="128" customWidth="1"/>
    <col min="7946" max="7946" width="3" style="128" customWidth="1"/>
    <col min="7947" max="7948" width="9.140625" style="128" customWidth="1"/>
    <col min="7949" max="7949" width="3.5703125" style="128" customWidth="1"/>
    <col min="7950" max="7951" width="9.140625" style="128" customWidth="1"/>
    <col min="7952" max="7952" width="3.85546875" style="128" customWidth="1"/>
    <col min="7953" max="7953" width="7.5703125" style="128" customWidth="1"/>
    <col min="7954" max="7954" width="9.5703125" style="128" customWidth="1"/>
    <col min="7955" max="7955" width="4.42578125" style="128" customWidth="1"/>
    <col min="7956" max="7957" width="9.140625" style="128" customWidth="1"/>
    <col min="7958" max="7958" width="4.140625" style="128" customWidth="1"/>
    <col min="7959" max="7960" width="9.140625" style="128" customWidth="1"/>
    <col min="7961" max="7961" width="5.42578125" style="128" customWidth="1"/>
    <col min="7962" max="7963" width="9.140625" style="128" customWidth="1"/>
    <col min="7964" max="7964" width="4" style="128" customWidth="1"/>
    <col min="7965" max="7966" width="9.140625" style="128" customWidth="1"/>
    <col min="7967" max="7967" width="4.42578125" style="128" customWidth="1"/>
    <col min="7968" max="7968" width="7.5703125" style="128" customWidth="1"/>
    <col min="7969" max="7969" width="9.5703125" style="128" customWidth="1"/>
    <col min="7970" max="7970" width="3.85546875" style="128" customWidth="1"/>
    <col min="7971" max="7972" width="9.140625" style="128" customWidth="1"/>
    <col min="7973" max="7973" width="3.85546875" style="128" customWidth="1"/>
    <col min="7974" max="7975" width="9.140625" style="128" customWidth="1"/>
    <col min="7976" max="7976" width="3" style="128" customWidth="1"/>
    <col min="7977" max="7978" width="9.140625" style="128" customWidth="1"/>
    <col min="7979" max="7979" width="3.5703125" style="128" customWidth="1"/>
    <col min="7980" max="7981" width="9.140625" style="128" customWidth="1"/>
    <col min="7982" max="7982" width="3.85546875" style="128" customWidth="1"/>
    <col min="7983" max="7983" width="7.5703125" style="128" customWidth="1"/>
    <col min="7984" max="7984" width="9.5703125" style="128" customWidth="1"/>
    <col min="7985" max="7985" width="4.42578125" style="128" customWidth="1"/>
    <col min="7986" max="7987" width="9.140625" style="128" customWidth="1"/>
    <col min="7988" max="7988" width="4.140625" style="128" customWidth="1"/>
    <col min="7989" max="7990" width="9.140625" style="128" customWidth="1"/>
    <col min="7991" max="7991" width="5.42578125" style="128" customWidth="1"/>
    <col min="7992" max="7993" width="9.140625" style="128" customWidth="1"/>
    <col min="7994" max="7994" width="4" style="128" customWidth="1"/>
    <col min="7995" max="7996" width="9.140625" style="128" customWidth="1"/>
    <col min="7997" max="7997" width="3.85546875" style="128" customWidth="1"/>
    <col min="7998" max="7999" width="9.140625" style="128" customWidth="1"/>
    <col min="8000" max="8000" width="9" style="128" customWidth="1"/>
    <col min="8001" max="8002" width="9.140625" style="128" customWidth="1"/>
    <col min="8003" max="8003" width="4.5703125" style="128" customWidth="1"/>
    <col min="8004" max="8005" width="9.140625" style="128" customWidth="1"/>
    <col min="8006" max="8006" width="4.5703125" style="128" customWidth="1"/>
    <col min="8007" max="8192" width="9.140625" style="128"/>
    <col min="8193" max="8193" width="4.42578125" style="128" customWidth="1"/>
    <col min="8194" max="8194" width="7.5703125" style="128" customWidth="1"/>
    <col min="8195" max="8195" width="9.5703125" style="128" customWidth="1"/>
    <col min="8196" max="8196" width="3.85546875" style="128" customWidth="1"/>
    <col min="8197" max="8198" width="9.140625" style="128" customWidth="1"/>
    <col min="8199" max="8199" width="3.85546875" style="128" customWidth="1"/>
    <col min="8200" max="8201" width="9.140625" style="128" customWidth="1"/>
    <col min="8202" max="8202" width="3" style="128" customWidth="1"/>
    <col min="8203" max="8204" width="9.140625" style="128" customWidth="1"/>
    <col min="8205" max="8205" width="3.5703125" style="128" customWidth="1"/>
    <col min="8206" max="8207" width="9.140625" style="128" customWidth="1"/>
    <col min="8208" max="8208" width="3.85546875" style="128" customWidth="1"/>
    <col min="8209" max="8209" width="7.5703125" style="128" customWidth="1"/>
    <col min="8210" max="8210" width="9.5703125" style="128" customWidth="1"/>
    <col min="8211" max="8211" width="4.42578125" style="128" customWidth="1"/>
    <col min="8212" max="8213" width="9.140625" style="128" customWidth="1"/>
    <col min="8214" max="8214" width="4.140625" style="128" customWidth="1"/>
    <col min="8215" max="8216" width="9.140625" style="128" customWidth="1"/>
    <col min="8217" max="8217" width="5.42578125" style="128" customWidth="1"/>
    <col min="8218" max="8219" width="9.140625" style="128" customWidth="1"/>
    <col min="8220" max="8220" width="4" style="128" customWidth="1"/>
    <col min="8221" max="8222" width="9.140625" style="128" customWidth="1"/>
    <col min="8223" max="8223" width="4.42578125" style="128" customWidth="1"/>
    <col min="8224" max="8224" width="7.5703125" style="128" customWidth="1"/>
    <col min="8225" max="8225" width="9.5703125" style="128" customWidth="1"/>
    <col min="8226" max="8226" width="3.85546875" style="128" customWidth="1"/>
    <col min="8227" max="8228" width="9.140625" style="128" customWidth="1"/>
    <col min="8229" max="8229" width="3.85546875" style="128" customWidth="1"/>
    <col min="8230" max="8231" width="9.140625" style="128" customWidth="1"/>
    <col min="8232" max="8232" width="3" style="128" customWidth="1"/>
    <col min="8233" max="8234" width="9.140625" style="128" customWidth="1"/>
    <col min="8235" max="8235" width="3.5703125" style="128" customWidth="1"/>
    <col min="8236" max="8237" width="9.140625" style="128" customWidth="1"/>
    <col min="8238" max="8238" width="3.85546875" style="128" customWidth="1"/>
    <col min="8239" max="8239" width="7.5703125" style="128" customWidth="1"/>
    <col min="8240" max="8240" width="9.5703125" style="128" customWidth="1"/>
    <col min="8241" max="8241" width="4.42578125" style="128" customWidth="1"/>
    <col min="8242" max="8243" width="9.140625" style="128" customWidth="1"/>
    <col min="8244" max="8244" width="4.140625" style="128" customWidth="1"/>
    <col min="8245" max="8246" width="9.140625" style="128" customWidth="1"/>
    <col min="8247" max="8247" width="5.42578125" style="128" customWidth="1"/>
    <col min="8248" max="8249" width="9.140625" style="128" customWidth="1"/>
    <col min="8250" max="8250" width="4" style="128" customWidth="1"/>
    <col min="8251" max="8252" width="9.140625" style="128" customWidth="1"/>
    <col min="8253" max="8253" width="3.85546875" style="128" customWidth="1"/>
    <col min="8254" max="8255" width="9.140625" style="128" customWidth="1"/>
    <col min="8256" max="8256" width="9" style="128" customWidth="1"/>
    <col min="8257" max="8258" width="9.140625" style="128" customWidth="1"/>
    <col min="8259" max="8259" width="4.5703125" style="128" customWidth="1"/>
    <col min="8260" max="8261" width="9.140625" style="128" customWidth="1"/>
    <col min="8262" max="8262" width="4.5703125" style="128" customWidth="1"/>
    <col min="8263" max="8448" width="9.140625" style="128"/>
    <col min="8449" max="8449" width="4.42578125" style="128" customWidth="1"/>
    <col min="8450" max="8450" width="7.5703125" style="128" customWidth="1"/>
    <col min="8451" max="8451" width="9.5703125" style="128" customWidth="1"/>
    <col min="8452" max="8452" width="3.85546875" style="128" customWidth="1"/>
    <col min="8453" max="8454" width="9.140625" style="128" customWidth="1"/>
    <col min="8455" max="8455" width="3.85546875" style="128" customWidth="1"/>
    <col min="8456" max="8457" width="9.140625" style="128" customWidth="1"/>
    <col min="8458" max="8458" width="3" style="128" customWidth="1"/>
    <col min="8459" max="8460" width="9.140625" style="128" customWidth="1"/>
    <col min="8461" max="8461" width="3.5703125" style="128" customWidth="1"/>
    <col min="8462" max="8463" width="9.140625" style="128" customWidth="1"/>
    <col min="8464" max="8464" width="3.85546875" style="128" customWidth="1"/>
    <col min="8465" max="8465" width="7.5703125" style="128" customWidth="1"/>
    <col min="8466" max="8466" width="9.5703125" style="128" customWidth="1"/>
    <col min="8467" max="8467" width="4.42578125" style="128" customWidth="1"/>
    <col min="8468" max="8469" width="9.140625" style="128" customWidth="1"/>
    <col min="8470" max="8470" width="4.140625" style="128" customWidth="1"/>
    <col min="8471" max="8472" width="9.140625" style="128" customWidth="1"/>
    <col min="8473" max="8473" width="5.42578125" style="128" customWidth="1"/>
    <col min="8474" max="8475" width="9.140625" style="128" customWidth="1"/>
    <col min="8476" max="8476" width="4" style="128" customWidth="1"/>
    <col min="8477" max="8478" width="9.140625" style="128" customWidth="1"/>
    <col min="8479" max="8479" width="4.42578125" style="128" customWidth="1"/>
    <col min="8480" max="8480" width="7.5703125" style="128" customWidth="1"/>
    <col min="8481" max="8481" width="9.5703125" style="128" customWidth="1"/>
    <col min="8482" max="8482" width="3.85546875" style="128" customWidth="1"/>
    <col min="8483" max="8484" width="9.140625" style="128" customWidth="1"/>
    <col min="8485" max="8485" width="3.85546875" style="128" customWidth="1"/>
    <col min="8486" max="8487" width="9.140625" style="128" customWidth="1"/>
    <col min="8488" max="8488" width="3" style="128" customWidth="1"/>
    <col min="8489" max="8490" width="9.140625" style="128" customWidth="1"/>
    <col min="8491" max="8491" width="3.5703125" style="128" customWidth="1"/>
    <col min="8492" max="8493" width="9.140625" style="128" customWidth="1"/>
    <col min="8494" max="8494" width="3.85546875" style="128" customWidth="1"/>
    <col min="8495" max="8495" width="7.5703125" style="128" customWidth="1"/>
    <col min="8496" max="8496" width="9.5703125" style="128" customWidth="1"/>
    <col min="8497" max="8497" width="4.42578125" style="128" customWidth="1"/>
    <col min="8498" max="8499" width="9.140625" style="128" customWidth="1"/>
    <col min="8500" max="8500" width="4.140625" style="128" customWidth="1"/>
    <col min="8501" max="8502" width="9.140625" style="128" customWidth="1"/>
    <col min="8503" max="8503" width="5.42578125" style="128" customWidth="1"/>
    <col min="8504" max="8505" width="9.140625" style="128" customWidth="1"/>
    <col min="8506" max="8506" width="4" style="128" customWidth="1"/>
    <col min="8507" max="8508" width="9.140625" style="128" customWidth="1"/>
    <col min="8509" max="8509" width="3.85546875" style="128" customWidth="1"/>
    <col min="8510" max="8511" width="9.140625" style="128" customWidth="1"/>
    <col min="8512" max="8512" width="9" style="128" customWidth="1"/>
    <col min="8513" max="8514" width="9.140625" style="128" customWidth="1"/>
    <col min="8515" max="8515" width="4.5703125" style="128" customWidth="1"/>
    <col min="8516" max="8517" width="9.140625" style="128" customWidth="1"/>
    <col min="8518" max="8518" width="4.5703125" style="128" customWidth="1"/>
    <col min="8519" max="8704" width="9.140625" style="128"/>
    <col min="8705" max="8705" width="4.42578125" style="128" customWidth="1"/>
    <col min="8706" max="8706" width="7.5703125" style="128" customWidth="1"/>
    <col min="8707" max="8707" width="9.5703125" style="128" customWidth="1"/>
    <col min="8708" max="8708" width="3.85546875" style="128" customWidth="1"/>
    <col min="8709" max="8710" width="9.140625" style="128" customWidth="1"/>
    <col min="8711" max="8711" width="3.85546875" style="128" customWidth="1"/>
    <col min="8712" max="8713" width="9.140625" style="128" customWidth="1"/>
    <col min="8714" max="8714" width="3" style="128" customWidth="1"/>
    <col min="8715" max="8716" width="9.140625" style="128" customWidth="1"/>
    <col min="8717" max="8717" width="3.5703125" style="128" customWidth="1"/>
    <col min="8718" max="8719" width="9.140625" style="128" customWidth="1"/>
    <col min="8720" max="8720" width="3.85546875" style="128" customWidth="1"/>
    <col min="8721" max="8721" width="7.5703125" style="128" customWidth="1"/>
    <col min="8722" max="8722" width="9.5703125" style="128" customWidth="1"/>
    <col min="8723" max="8723" width="4.42578125" style="128" customWidth="1"/>
    <col min="8724" max="8725" width="9.140625" style="128" customWidth="1"/>
    <col min="8726" max="8726" width="4.140625" style="128" customWidth="1"/>
    <col min="8727" max="8728" width="9.140625" style="128" customWidth="1"/>
    <col min="8729" max="8729" width="5.42578125" style="128" customWidth="1"/>
    <col min="8730" max="8731" width="9.140625" style="128" customWidth="1"/>
    <col min="8732" max="8732" width="4" style="128" customWidth="1"/>
    <col min="8733" max="8734" width="9.140625" style="128" customWidth="1"/>
    <col min="8735" max="8735" width="4.42578125" style="128" customWidth="1"/>
    <col min="8736" max="8736" width="7.5703125" style="128" customWidth="1"/>
    <col min="8737" max="8737" width="9.5703125" style="128" customWidth="1"/>
    <col min="8738" max="8738" width="3.85546875" style="128" customWidth="1"/>
    <col min="8739" max="8740" width="9.140625" style="128" customWidth="1"/>
    <col min="8741" max="8741" width="3.85546875" style="128" customWidth="1"/>
    <col min="8742" max="8743" width="9.140625" style="128" customWidth="1"/>
    <col min="8744" max="8744" width="3" style="128" customWidth="1"/>
    <col min="8745" max="8746" width="9.140625" style="128" customWidth="1"/>
    <col min="8747" max="8747" width="3.5703125" style="128" customWidth="1"/>
    <col min="8748" max="8749" width="9.140625" style="128" customWidth="1"/>
    <col min="8750" max="8750" width="3.85546875" style="128" customWidth="1"/>
    <col min="8751" max="8751" width="7.5703125" style="128" customWidth="1"/>
    <col min="8752" max="8752" width="9.5703125" style="128" customWidth="1"/>
    <col min="8753" max="8753" width="4.42578125" style="128" customWidth="1"/>
    <col min="8754" max="8755" width="9.140625" style="128" customWidth="1"/>
    <col min="8756" max="8756" width="4.140625" style="128" customWidth="1"/>
    <col min="8757" max="8758" width="9.140625" style="128" customWidth="1"/>
    <col min="8759" max="8759" width="5.42578125" style="128" customWidth="1"/>
    <col min="8760" max="8761" width="9.140625" style="128" customWidth="1"/>
    <col min="8762" max="8762" width="4" style="128" customWidth="1"/>
    <col min="8763" max="8764" width="9.140625" style="128" customWidth="1"/>
    <col min="8765" max="8765" width="3.85546875" style="128" customWidth="1"/>
    <col min="8766" max="8767" width="9.140625" style="128" customWidth="1"/>
    <col min="8768" max="8768" width="9" style="128" customWidth="1"/>
    <col min="8769" max="8770" width="9.140625" style="128" customWidth="1"/>
    <col min="8771" max="8771" width="4.5703125" style="128" customWidth="1"/>
    <col min="8772" max="8773" width="9.140625" style="128" customWidth="1"/>
    <col min="8774" max="8774" width="4.5703125" style="128" customWidth="1"/>
    <col min="8775" max="8960" width="9.140625" style="128"/>
    <col min="8961" max="8961" width="4.42578125" style="128" customWidth="1"/>
    <col min="8962" max="8962" width="7.5703125" style="128" customWidth="1"/>
    <col min="8963" max="8963" width="9.5703125" style="128" customWidth="1"/>
    <col min="8964" max="8964" width="3.85546875" style="128" customWidth="1"/>
    <col min="8965" max="8966" width="9.140625" style="128" customWidth="1"/>
    <col min="8967" max="8967" width="3.85546875" style="128" customWidth="1"/>
    <col min="8968" max="8969" width="9.140625" style="128" customWidth="1"/>
    <col min="8970" max="8970" width="3" style="128" customWidth="1"/>
    <col min="8971" max="8972" width="9.140625" style="128" customWidth="1"/>
    <col min="8973" max="8973" width="3.5703125" style="128" customWidth="1"/>
    <col min="8974" max="8975" width="9.140625" style="128" customWidth="1"/>
    <col min="8976" max="8976" width="3.85546875" style="128" customWidth="1"/>
    <col min="8977" max="8977" width="7.5703125" style="128" customWidth="1"/>
    <col min="8978" max="8978" width="9.5703125" style="128" customWidth="1"/>
    <col min="8979" max="8979" width="4.42578125" style="128" customWidth="1"/>
    <col min="8980" max="8981" width="9.140625" style="128" customWidth="1"/>
    <col min="8982" max="8982" width="4.140625" style="128" customWidth="1"/>
    <col min="8983" max="8984" width="9.140625" style="128" customWidth="1"/>
    <col min="8985" max="8985" width="5.42578125" style="128" customWidth="1"/>
    <col min="8986" max="8987" width="9.140625" style="128" customWidth="1"/>
    <col min="8988" max="8988" width="4" style="128" customWidth="1"/>
    <col min="8989" max="8990" width="9.140625" style="128" customWidth="1"/>
    <col min="8991" max="8991" width="4.42578125" style="128" customWidth="1"/>
    <col min="8992" max="8992" width="7.5703125" style="128" customWidth="1"/>
    <col min="8993" max="8993" width="9.5703125" style="128" customWidth="1"/>
    <col min="8994" max="8994" width="3.85546875" style="128" customWidth="1"/>
    <col min="8995" max="8996" width="9.140625" style="128" customWidth="1"/>
    <col min="8997" max="8997" width="3.85546875" style="128" customWidth="1"/>
    <col min="8998" max="8999" width="9.140625" style="128" customWidth="1"/>
    <col min="9000" max="9000" width="3" style="128" customWidth="1"/>
    <col min="9001" max="9002" width="9.140625" style="128" customWidth="1"/>
    <col min="9003" max="9003" width="3.5703125" style="128" customWidth="1"/>
    <col min="9004" max="9005" width="9.140625" style="128" customWidth="1"/>
    <col min="9006" max="9006" width="3.85546875" style="128" customWidth="1"/>
    <col min="9007" max="9007" width="7.5703125" style="128" customWidth="1"/>
    <col min="9008" max="9008" width="9.5703125" style="128" customWidth="1"/>
    <col min="9009" max="9009" width="4.42578125" style="128" customWidth="1"/>
    <col min="9010" max="9011" width="9.140625" style="128" customWidth="1"/>
    <col min="9012" max="9012" width="4.140625" style="128" customWidth="1"/>
    <col min="9013" max="9014" width="9.140625" style="128" customWidth="1"/>
    <col min="9015" max="9015" width="5.42578125" style="128" customWidth="1"/>
    <col min="9016" max="9017" width="9.140625" style="128" customWidth="1"/>
    <col min="9018" max="9018" width="4" style="128" customWidth="1"/>
    <col min="9019" max="9020" width="9.140625" style="128" customWidth="1"/>
    <col min="9021" max="9021" width="3.85546875" style="128" customWidth="1"/>
    <col min="9022" max="9023" width="9.140625" style="128" customWidth="1"/>
    <col min="9024" max="9024" width="9" style="128" customWidth="1"/>
    <col min="9025" max="9026" width="9.140625" style="128" customWidth="1"/>
    <col min="9027" max="9027" width="4.5703125" style="128" customWidth="1"/>
    <col min="9028" max="9029" width="9.140625" style="128" customWidth="1"/>
    <col min="9030" max="9030" width="4.5703125" style="128" customWidth="1"/>
    <col min="9031" max="9216" width="9.140625" style="128"/>
    <col min="9217" max="9217" width="4.42578125" style="128" customWidth="1"/>
    <col min="9218" max="9218" width="7.5703125" style="128" customWidth="1"/>
    <col min="9219" max="9219" width="9.5703125" style="128" customWidth="1"/>
    <col min="9220" max="9220" width="3.85546875" style="128" customWidth="1"/>
    <col min="9221" max="9222" width="9.140625" style="128" customWidth="1"/>
    <col min="9223" max="9223" width="3.85546875" style="128" customWidth="1"/>
    <col min="9224" max="9225" width="9.140625" style="128" customWidth="1"/>
    <col min="9226" max="9226" width="3" style="128" customWidth="1"/>
    <col min="9227" max="9228" width="9.140625" style="128" customWidth="1"/>
    <col min="9229" max="9229" width="3.5703125" style="128" customWidth="1"/>
    <col min="9230" max="9231" width="9.140625" style="128" customWidth="1"/>
    <col min="9232" max="9232" width="3.85546875" style="128" customWidth="1"/>
    <col min="9233" max="9233" width="7.5703125" style="128" customWidth="1"/>
    <col min="9234" max="9234" width="9.5703125" style="128" customWidth="1"/>
    <col min="9235" max="9235" width="4.42578125" style="128" customWidth="1"/>
    <col min="9236" max="9237" width="9.140625" style="128" customWidth="1"/>
    <col min="9238" max="9238" width="4.140625" style="128" customWidth="1"/>
    <col min="9239" max="9240" width="9.140625" style="128" customWidth="1"/>
    <col min="9241" max="9241" width="5.42578125" style="128" customWidth="1"/>
    <col min="9242" max="9243" width="9.140625" style="128" customWidth="1"/>
    <col min="9244" max="9244" width="4" style="128" customWidth="1"/>
    <col min="9245" max="9246" width="9.140625" style="128" customWidth="1"/>
    <col min="9247" max="9247" width="4.42578125" style="128" customWidth="1"/>
    <col min="9248" max="9248" width="7.5703125" style="128" customWidth="1"/>
    <col min="9249" max="9249" width="9.5703125" style="128" customWidth="1"/>
    <col min="9250" max="9250" width="3.85546875" style="128" customWidth="1"/>
    <col min="9251" max="9252" width="9.140625" style="128" customWidth="1"/>
    <col min="9253" max="9253" width="3.85546875" style="128" customWidth="1"/>
    <col min="9254" max="9255" width="9.140625" style="128" customWidth="1"/>
    <col min="9256" max="9256" width="3" style="128" customWidth="1"/>
    <col min="9257" max="9258" width="9.140625" style="128" customWidth="1"/>
    <col min="9259" max="9259" width="3.5703125" style="128" customWidth="1"/>
    <col min="9260" max="9261" width="9.140625" style="128" customWidth="1"/>
    <col min="9262" max="9262" width="3.85546875" style="128" customWidth="1"/>
    <col min="9263" max="9263" width="7.5703125" style="128" customWidth="1"/>
    <col min="9264" max="9264" width="9.5703125" style="128" customWidth="1"/>
    <col min="9265" max="9265" width="4.42578125" style="128" customWidth="1"/>
    <col min="9266" max="9267" width="9.140625" style="128" customWidth="1"/>
    <col min="9268" max="9268" width="4.140625" style="128" customWidth="1"/>
    <col min="9269" max="9270" width="9.140625" style="128" customWidth="1"/>
    <col min="9271" max="9271" width="5.42578125" style="128" customWidth="1"/>
    <col min="9272" max="9273" width="9.140625" style="128" customWidth="1"/>
    <col min="9274" max="9274" width="4" style="128" customWidth="1"/>
    <col min="9275" max="9276" width="9.140625" style="128" customWidth="1"/>
    <col min="9277" max="9277" width="3.85546875" style="128" customWidth="1"/>
    <col min="9278" max="9279" width="9.140625" style="128" customWidth="1"/>
    <col min="9280" max="9280" width="9" style="128" customWidth="1"/>
    <col min="9281" max="9282" width="9.140625" style="128" customWidth="1"/>
    <col min="9283" max="9283" width="4.5703125" style="128" customWidth="1"/>
    <col min="9284" max="9285" width="9.140625" style="128" customWidth="1"/>
    <col min="9286" max="9286" width="4.5703125" style="128" customWidth="1"/>
    <col min="9287" max="9472" width="9.140625" style="128"/>
    <col min="9473" max="9473" width="4.42578125" style="128" customWidth="1"/>
    <col min="9474" max="9474" width="7.5703125" style="128" customWidth="1"/>
    <col min="9475" max="9475" width="9.5703125" style="128" customWidth="1"/>
    <col min="9476" max="9476" width="3.85546875" style="128" customWidth="1"/>
    <col min="9477" max="9478" width="9.140625" style="128" customWidth="1"/>
    <col min="9479" max="9479" width="3.85546875" style="128" customWidth="1"/>
    <col min="9480" max="9481" width="9.140625" style="128" customWidth="1"/>
    <col min="9482" max="9482" width="3" style="128" customWidth="1"/>
    <col min="9483" max="9484" width="9.140625" style="128" customWidth="1"/>
    <col min="9485" max="9485" width="3.5703125" style="128" customWidth="1"/>
    <col min="9486" max="9487" width="9.140625" style="128" customWidth="1"/>
    <col min="9488" max="9488" width="3.85546875" style="128" customWidth="1"/>
    <col min="9489" max="9489" width="7.5703125" style="128" customWidth="1"/>
    <col min="9490" max="9490" width="9.5703125" style="128" customWidth="1"/>
    <col min="9491" max="9491" width="4.42578125" style="128" customWidth="1"/>
    <col min="9492" max="9493" width="9.140625" style="128" customWidth="1"/>
    <col min="9494" max="9494" width="4.140625" style="128" customWidth="1"/>
    <col min="9495" max="9496" width="9.140625" style="128" customWidth="1"/>
    <col min="9497" max="9497" width="5.42578125" style="128" customWidth="1"/>
    <col min="9498" max="9499" width="9.140625" style="128" customWidth="1"/>
    <col min="9500" max="9500" width="4" style="128" customWidth="1"/>
    <col min="9501" max="9502" width="9.140625" style="128" customWidth="1"/>
    <col min="9503" max="9503" width="4.42578125" style="128" customWidth="1"/>
    <col min="9504" max="9504" width="7.5703125" style="128" customWidth="1"/>
    <col min="9505" max="9505" width="9.5703125" style="128" customWidth="1"/>
    <col min="9506" max="9506" width="3.85546875" style="128" customWidth="1"/>
    <col min="9507" max="9508" width="9.140625" style="128" customWidth="1"/>
    <col min="9509" max="9509" width="3.85546875" style="128" customWidth="1"/>
    <col min="9510" max="9511" width="9.140625" style="128" customWidth="1"/>
    <col min="9512" max="9512" width="3" style="128" customWidth="1"/>
    <col min="9513" max="9514" width="9.140625" style="128" customWidth="1"/>
    <col min="9515" max="9515" width="3.5703125" style="128" customWidth="1"/>
    <col min="9516" max="9517" width="9.140625" style="128" customWidth="1"/>
    <col min="9518" max="9518" width="3.85546875" style="128" customWidth="1"/>
    <col min="9519" max="9519" width="7.5703125" style="128" customWidth="1"/>
    <col min="9520" max="9520" width="9.5703125" style="128" customWidth="1"/>
    <col min="9521" max="9521" width="4.42578125" style="128" customWidth="1"/>
    <col min="9522" max="9523" width="9.140625" style="128" customWidth="1"/>
    <col min="9524" max="9524" width="4.140625" style="128" customWidth="1"/>
    <col min="9525" max="9526" width="9.140625" style="128" customWidth="1"/>
    <col min="9527" max="9527" width="5.42578125" style="128" customWidth="1"/>
    <col min="9528" max="9529" width="9.140625" style="128" customWidth="1"/>
    <col min="9530" max="9530" width="4" style="128" customWidth="1"/>
    <col min="9531" max="9532" width="9.140625" style="128" customWidth="1"/>
    <col min="9533" max="9533" width="3.85546875" style="128" customWidth="1"/>
    <col min="9534" max="9535" width="9.140625" style="128" customWidth="1"/>
    <col min="9536" max="9536" width="9" style="128" customWidth="1"/>
    <col min="9537" max="9538" width="9.140625" style="128" customWidth="1"/>
    <col min="9539" max="9539" width="4.5703125" style="128" customWidth="1"/>
    <col min="9540" max="9541" width="9.140625" style="128" customWidth="1"/>
    <col min="9542" max="9542" width="4.5703125" style="128" customWidth="1"/>
    <col min="9543" max="9728" width="9.140625" style="128"/>
    <col min="9729" max="9729" width="4.42578125" style="128" customWidth="1"/>
    <col min="9730" max="9730" width="7.5703125" style="128" customWidth="1"/>
    <col min="9731" max="9731" width="9.5703125" style="128" customWidth="1"/>
    <col min="9732" max="9732" width="3.85546875" style="128" customWidth="1"/>
    <col min="9733" max="9734" width="9.140625" style="128" customWidth="1"/>
    <col min="9735" max="9735" width="3.85546875" style="128" customWidth="1"/>
    <col min="9736" max="9737" width="9.140625" style="128" customWidth="1"/>
    <col min="9738" max="9738" width="3" style="128" customWidth="1"/>
    <col min="9739" max="9740" width="9.140625" style="128" customWidth="1"/>
    <col min="9741" max="9741" width="3.5703125" style="128" customWidth="1"/>
    <col min="9742" max="9743" width="9.140625" style="128" customWidth="1"/>
    <col min="9744" max="9744" width="3.85546875" style="128" customWidth="1"/>
    <col min="9745" max="9745" width="7.5703125" style="128" customWidth="1"/>
    <col min="9746" max="9746" width="9.5703125" style="128" customWidth="1"/>
    <col min="9747" max="9747" width="4.42578125" style="128" customWidth="1"/>
    <col min="9748" max="9749" width="9.140625" style="128" customWidth="1"/>
    <col min="9750" max="9750" width="4.140625" style="128" customWidth="1"/>
    <col min="9751" max="9752" width="9.140625" style="128" customWidth="1"/>
    <col min="9753" max="9753" width="5.42578125" style="128" customWidth="1"/>
    <col min="9754" max="9755" width="9.140625" style="128" customWidth="1"/>
    <col min="9756" max="9756" width="4" style="128" customWidth="1"/>
    <col min="9757" max="9758" width="9.140625" style="128" customWidth="1"/>
    <col min="9759" max="9759" width="4.42578125" style="128" customWidth="1"/>
    <col min="9760" max="9760" width="7.5703125" style="128" customWidth="1"/>
    <col min="9761" max="9761" width="9.5703125" style="128" customWidth="1"/>
    <col min="9762" max="9762" width="3.85546875" style="128" customWidth="1"/>
    <col min="9763" max="9764" width="9.140625" style="128" customWidth="1"/>
    <col min="9765" max="9765" width="3.85546875" style="128" customWidth="1"/>
    <col min="9766" max="9767" width="9.140625" style="128" customWidth="1"/>
    <col min="9768" max="9768" width="3" style="128" customWidth="1"/>
    <col min="9769" max="9770" width="9.140625" style="128" customWidth="1"/>
    <col min="9771" max="9771" width="3.5703125" style="128" customWidth="1"/>
    <col min="9772" max="9773" width="9.140625" style="128" customWidth="1"/>
    <col min="9774" max="9774" width="3.85546875" style="128" customWidth="1"/>
    <col min="9775" max="9775" width="7.5703125" style="128" customWidth="1"/>
    <col min="9776" max="9776" width="9.5703125" style="128" customWidth="1"/>
    <col min="9777" max="9777" width="4.42578125" style="128" customWidth="1"/>
    <col min="9778" max="9779" width="9.140625" style="128" customWidth="1"/>
    <col min="9780" max="9780" width="4.140625" style="128" customWidth="1"/>
    <col min="9781" max="9782" width="9.140625" style="128" customWidth="1"/>
    <col min="9783" max="9783" width="5.42578125" style="128" customWidth="1"/>
    <col min="9784" max="9785" width="9.140625" style="128" customWidth="1"/>
    <col min="9786" max="9786" width="4" style="128" customWidth="1"/>
    <col min="9787" max="9788" width="9.140625" style="128" customWidth="1"/>
    <col min="9789" max="9789" width="3.85546875" style="128" customWidth="1"/>
    <col min="9790" max="9791" width="9.140625" style="128" customWidth="1"/>
    <col min="9792" max="9792" width="9" style="128" customWidth="1"/>
    <col min="9793" max="9794" width="9.140625" style="128" customWidth="1"/>
    <col min="9795" max="9795" width="4.5703125" style="128" customWidth="1"/>
    <col min="9796" max="9797" width="9.140625" style="128" customWidth="1"/>
    <col min="9798" max="9798" width="4.5703125" style="128" customWidth="1"/>
    <col min="9799" max="9984" width="9.140625" style="128"/>
    <col min="9985" max="9985" width="4.42578125" style="128" customWidth="1"/>
    <col min="9986" max="9986" width="7.5703125" style="128" customWidth="1"/>
    <col min="9987" max="9987" width="9.5703125" style="128" customWidth="1"/>
    <col min="9988" max="9988" width="3.85546875" style="128" customWidth="1"/>
    <col min="9989" max="9990" width="9.140625" style="128" customWidth="1"/>
    <col min="9991" max="9991" width="3.85546875" style="128" customWidth="1"/>
    <col min="9992" max="9993" width="9.140625" style="128" customWidth="1"/>
    <col min="9994" max="9994" width="3" style="128" customWidth="1"/>
    <col min="9995" max="9996" width="9.140625" style="128" customWidth="1"/>
    <col min="9997" max="9997" width="3.5703125" style="128" customWidth="1"/>
    <col min="9998" max="9999" width="9.140625" style="128" customWidth="1"/>
    <col min="10000" max="10000" width="3.85546875" style="128" customWidth="1"/>
    <col min="10001" max="10001" width="7.5703125" style="128" customWidth="1"/>
    <col min="10002" max="10002" width="9.5703125" style="128" customWidth="1"/>
    <col min="10003" max="10003" width="4.42578125" style="128" customWidth="1"/>
    <col min="10004" max="10005" width="9.140625" style="128" customWidth="1"/>
    <col min="10006" max="10006" width="4.140625" style="128" customWidth="1"/>
    <col min="10007" max="10008" width="9.140625" style="128" customWidth="1"/>
    <col min="10009" max="10009" width="5.42578125" style="128" customWidth="1"/>
    <col min="10010" max="10011" width="9.140625" style="128" customWidth="1"/>
    <col min="10012" max="10012" width="4" style="128" customWidth="1"/>
    <col min="10013" max="10014" width="9.140625" style="128" customWidth="1"/>
    <col min="10015" max="10015" width="4.42578125" style="128" customWidth="1"/>
    <col min="10016" max="10016" width="7.5703125" style="128" customWidth="1"/>
    <col min="10017" max="10017" width="9.5703125" style="128" customWidth="1"/>
    <col min="10018" max="10018" width="3.85546875" style="128" customWidth="1"/>
    <col min="10019" max="10020" width="9.140625" style="128" customWidth="1"/>
    <col min="10021" max="10021" width="3.85546875" style="128" customWidth="1"/>
    <col min="10022" max="10023" width="9.140625" style="128" customWidth="1"/>
    <col min="10024" max="10024" width="3" style="128" customWidth="1"/>
    <col min="10025" max="10026" width="9.140625" style="128" customWidth="1"/>
    <col min="10027" max="10027" width="3.5703125" style="128" customWidth="1"/>
    <col min="10028" max="10029" width="9.140625" style="128" customWidth="1"/>
    <col min="10030" max="10030" width="3.85546875" style="128" customWidth="1"/>
    <col min="10031" max="10031" width="7.5703125" style="128" customWidth="1"/>
    <col min="10032" max="10032" width="9.5703125" style="128" customWidth="1"/>
    <col min="10033" max="10033" width="4.42578125" style="128" customWidth="1"/>
    <col min="10034" max="10035" width="9.140625" style="128" customWidth="1"/>
    <col min="10036" max="10036" width="4.140625" style="128" customWidth="1"/>
    <col min="10037" max="10038" width="9.140625" style="128" customWidth="1"/>
    <col min="10039" max="10039" width="5.42578125" style="128" customWidth="1"/>
    <col min="10040" max="10041" width="9.140625" style="128" customWidth="1"/>
    <col min="10042" max="10042" width="4" style="128" customWidth="1"/>
    <col min="10043" max="10044" width="9.140625" style="128" customWidth="1"/>
    <col min="10045" max="10045" width="3.85546875" style="128" customWidth="1"/>
    <col min="10046" max="10047" width="9.140625" style="128" customWidth="1"/>
    <col min="10048" max="10048" width="9" style="128" customWidth="1"/>
    <col min="10049" max="10050" width="9.140625" style="128" customWidth="1"/>
    <col min="10051" max="10051" width="4.5703125" style="128" customWidth="1"/>
    <col min="10052" max="10053" width="9.140625" style="128" customWidth="1"/>
    <col min="10054" max="10054" width="4.5703125" style="128" customWidth="1"/>
    <col min="10055" max="10240" width="9.140625" style="128"/>
    <col min="10241" max="10241" width="4.42578125" style="128" customWidth="1"/>
    <col min="10242" max="10242" width="7.5703125" style="128" customWidth="1"/>
    <col min="10243" max="10243" width="9.5703125" style="128" customWidth="1"/>
    <col min="10244" max="10244" width="3.85546875" style="128" customWidth="1"/>
    <col min="10245" max="10246" width="9.140625" style="128" customWidth="1"/>
    <col min="10247" max="10247" width="3.85546875" style="128" customWidth="1"/>
    <col min="10248" max="10249" width="9.140625" style="128" customWidth="1"/>
    <col min="10250" max="10250" width="3" style="128" customWidth="1"/>
    <col min="10251" max="10252" width="9.140625" style="128" customWidth="1"/>
    <col min="10253" max="10253" width="3.5703125" style="128" customWidth="1"/>
    <col min="10254" max="10255" width="9.140625" style="128" customWidth="1"/>
    <col min="10256" max="10256" width="3.85546875" style="128" customWidth="1"/>
    <col min="10257" max="10257" width="7.5703125" style="128" customWidth="1"/>
    <col min="10258" max="10258" width="9.5703125" style="128" customWidth="1"/>
    <col min="10259" max="10259" width="4.42578125" style="128" customWidth="1"/>
    <col min="10260" max="10261" width="9.140625" style="128" customWidth="1"/>
    <col min="10262" max="10262" width="4.140625" style="128" customWidth="1"/>
    <col min="10263" max="10264" width="9.140625" style="128" customWidth="1"/>
    <col min="10265" max="10265" width="5.42578125" style="128" customWidth="1"/>
    <col min="10266" max="10267" width="9.140625" style="128" customWidth="1"/>
    <col min="10268" max="10268" width="4" style="128" customWidth="1"/>
    <col min="10269" max="10270" width="9.140625" style="128" customWidth="1"/>
    <col min="10271" max="10271" width="4.42578125" style="128" customWidth="1"/>
    <col min="10272" max="10272" width="7.5703125" style="128" customWidth="1"/>
    <col min="10273" max="10273" width="9.5703125" style="128" customWidth="1"/>
    <col min="10274" max="10274" width="3.85546875" style="128" customWidth="1"/>
    <col min="10275" max="10276" width="9.140625" style="128" customWidth="1"/>
    <col min="10277" max="10277" width="3.85546875" style="128" customWidth="1"/>
    <col min="10278" max="10279" width="9.140625" style="128" customWidth="1"/>
    <col min="10280" max="10280" width="3" style="128" customWidth="1"/>
    <col min="10281" max="10282" width="9.140625" style="128" customWidth="1"/>
    <col min="10283" max="10283" width="3.5703125" style="128" customWidth="1"/>
    <col min="10284" max="10285" width="9.140625" style="128" customWidth="1"/>
    <col min="10286" max="10286" width="3.85546875" style="128" customWidth="1"/>
    <col min="10287" max="10287" width="7.5703125" style="128" customWidth="1"/>
    <col min="10288" max="10288" width="9.5703125" style="128" customWidth="1"/>
    <col min="10289" max="10289" width="4.42578125" style="128" customWidth="1"/>
    <col min="10290" max="10291" width="9.140625" style="128" customWidth="1"/>
    <col min="10292" max="10292" width="4.140625" style="128" customWidth="1"/>
    <col min="10293" max="10294" width="9.140625" style="128" customWidth="1"/>
    <col min="10295" max="10295" width="5.42578125" style="128" customWidth="1"/>
    <col min="10296" max="10297" width="9.140625" style="128" customWidth="1"/>
    <col min="10298" max="10298" width="4" style="128" customWidth="1"/>
    <col min="10299" max="10300" width="9.140625" style="128" customWidth="1"/>
    <col min="10301" max="10301" width="3.85546875" style="128" customWidth="1"/>
    <col min="10302" max="10303" width="9.140625" style="128" customWidth="1"/>
    <col min="10304" max="10304" width="9" style="128" customWidth="1"/>
    <col min="10305" max="10306" width="9.140625" style="128" customWidth="1"/>
    <col min="10307" max="10307" width="4.5703125" style="128" customWidth="1"/>
    <col min="10308" max="10309" width="9.140625" style="128" customWidth="1"/>
    <col min="10310" max="10310" width="4.5703125" style="128" customWidth="1"/>
    <col min="10311" max="10496" width="9.140625" style="128"/>
    <col min="10497" max="10497" width="4.42578125" style="128" customWidth="1"/>
    <col min="10498" max="10498" width="7.5703125" style="128" customWidth="1"/>
    <col min="10499" max="10499" width="9.5703125" style="128" customWidth="1"/>
    <col min="10500" max="10500" width="3.85546875" style="128" customWidth="1"/>
    <col min="10501" max="10502" width="9.140625" style="128" customWidth="1"/>
    <col min="10503" max="10503" width="3.85546875" style="128" customWidth="1"/>
    <col min="10504" max="10505" width="9.140625" style="128" customWidth="1"/>
    <col min="10506" max="10506" width="3" style="128" customWidth="1"/>
    <col min="10507" max="10508" width="9.140625" style="128" customWidth="1"/>
    <col min="10509" max="10509" width="3.5703125" style="128" customWidth="1"/>
    <col min="10510" max="10511" width="9.140625" style="128" customWidth="1"/>
    <col min="10512" max="10512" width="3.85546875" style="128" customWidth="1"/>
    <col min="10513" max="10513" width="7.5703125" style="128" customWidth="1"/>
    <col min="10514" max="10514" width="9.5703125" style="128" customWidth="1"/>
    <col min="10515" max="10515" width="4.42578125" style="128" customWidth="1"/>
    <col min="10516" max="10517" width="9.140625" style="128" customWidth="1"/>
    <col min="10518" max="10518" width="4.140625" style="128" customWidth="1"/>
    <col min="10519" max="10520" width="9.140625" style="128" customWidth="1"/>
    <col min="10521" max="10521" width="5.42578125" style="128" customWidth="1"/>
    <col min="10522" max="10523" width="9.140625" style="128" customWidth="1"/>
    <col min="10524" max="10524" width="4" style="128" customWidth="1"/>
    <col min="10525" max="10526" width="9.140625" style="128" customWidth="1"/>
    <col min="10527" max="10527" width="4.42578125" style="128" customWidth="1"/>
    <col min="10528" max="10528" width="7.5703125" style="128" customWidth="1"/>
    <col min="10529" max="10529" width="9.5703125" style="128" customWidth="1"/>
    <col min="10530" max="10530" width="3.85546875" style="128" customWidth="1"/>
    <col min="10531" max="10532" width="9.140625" style="128" customWidth="1"/>
    <col min="10533" max="10533" width="3.85546875" style="128" customWidth="1"/>
    <col min="10534" max="10535" width="9.140625" style="128" customWidth="1"/>
    <col min="10536" max="10536" width="3" style="128" customWidth="1"/>
    <col min="10537" max="10538" width="9.140625" style="128" customWidth="1"/>
    <col min="10539" max="10539" width="3.5703125" style="128" customWidth="1"/>
    <col min="10540" max="10541" width="9.140625" style="128" customWidth="1"/>
    <col min="10542" max="10542" width="3.85546875" style="128" customWidth="1"/>
    <col min="10543" max="10543" width="7.5703125" style="128" customWidth="1"/>
    <col min="10544" max="10544" width="9.5703125" style="128" customWidth="1"/>
    <col min="10545" max="10545" width="4.42578125" style="128" customWidth="1"/>
    <col min="10546" max="10547" width="9.140625" style="128" customWidth="1"/>
    <col min="10548" max="10548" width="4.140625" style="128" customWidth="1"/>
    <col min="10549" max="10550" width="9.140625" style="128" customWidth="1"/>
    <col min="10551" max="10551" width="5.42578125" style="128" customWidth="1"/>
    <col min="10552" max="10553" width="9.140625" style="128" customWidth="1"/>
    <col min="10554" max="10554" width="4" style="128" customWidth="1"/>
    <col min="10555" max="10556" width="9.140625" style="128" customWidth="1"/>
    <col min="10557" max="10557" width="3.85546875" style="128" customWidth="1"/>
    <col min="10558" max="10559" width="9.140625" style="128" customWidth="1"/>
    <col min="10560" max="10560" width="9" style="128" customWidth="1"/>
    <col min="10561" max="10562" width="9.140625" style="128" customWidth="1"/>
    <col min="10563" max="10563" width="4.5703125" style="128" customWidth="1"/>
    <col min="10564" max="10565" width="9.140625" style="128" customWidth="1"/>
    <col min="10566" max="10566" width="4.5703125" style="128" customWidth="1"/>
    <col min="10567" max="10752" width="9.140625" style="128"/>
    <col min="10753" max="10753" width="4.42578125" style="128" customWidth="1"/>
    <col min="10754" max="10754" width="7.5703125" style="128" customWidth="1"/>
    <col min="10755" max="10755" width="9.5703125" style="128" customWidth="1"/>
    <col min="10756" max="10756" width="3.85546875" style="128" customWidth="1"/>
    <col min="10757" max="10758" width="9.140625" style="128" customWidth="1"/>
    <col min="10759" max="10759" width="3.85546875" style="128" customWidth="1"/>
    <col min="10760" max="10761" width="9.140625" style="128" customWidth="1"/>
    <col min="10762" max="10762" width="3" style="128" customWidth="1"/>
    <col min="10763" max="10764" width="9.140625" style="128" customWidth="1"/>
    <col min="10765" max="10765" width="3.5703125" style="128" customWidth="1"/>
    <col min="10766" max="10767" width="9.140625" style="128" customWidth="1"/>
    <col min="10768" max="10768" width="3.85546875" style="128" customWidth="1"/>
    <col min="10769" max="10769" width="7.5703125" style="128" customWidth="1"/>
    <col min="10770" max="10770" width="9.5703125" style="128" customWidth="1"/>
    <col min="10771" max="10771" width="4.42578125" style="128" customWidth="1"/>
    <col min="10772" max="10773" width="9.140625" style="128" customWidth="1"/>
    <col min="10774" max="10774" width="4.140625" style="128" customWidth="1"/>
    <col min="10775" max="10776" width="9.140625" style="128" customWidth="1"/>
    <col min="10777" max="10777" width="5.42578125" style="128" customWidth="1"/>
    <col min="10778" max="10779" width="9.140625" style="128" customWidth="1"/>
    <col min="10780" max="10780" width="4" style="128" customWidth="1"/>
    <col min="10781" max="10782" width="9.140625" style="128" customWidth="1"/>
    <col min="10783" max="10783" width="4.42578125" style="128" customWidth="1"/>
    <col min="10784" max="10784" width="7.5703125" style="128" customWidth="1"/>
    <col min="10785" max="10785" width="9.5703125" style="128" customWidth="1"/>
    <col min="10786" max="10786" width="3.85546875" style="128" customWidth="1"/>
    <col min="10787" max="10788" width="9.140625" style="128" customWidth="1"/>
    <col min="10789" max="10789" width="3.85546875" style="128" customWidth="1"/>
    <col min="10790" max="10791" width="9.140625" style="128" customWidth="1"/>
    <col min="10792" max="10792" width="3" style="128" customWidth="1"/>
    <col min="10793" max="10794" width="9.140625" style="128" customWidth="1"/>
    <col min="10795" max="10795" width="3.5703125" style="128" customWidth="1"/>
    <col min="10796" max="10797" width="9.140625" style="128" customWidth="1"/>
    <col min="10798" max="10798" width="3.85546875" style="128" customWidth="1"/>
    <col min="10799" max="10799" width="7.5703125" style="128" customWidth="1"/>
    <col min="10800" max="10800" width="9.5703125" style="128" customWidth="1"/>
    <col min="10801" max="10801" width="4.42578125" style="128" customWidth="1"/>
    <col min="10802" max="10803" width="9.140625" style="128" customWidth="1"/>
    <col min="10804" max="10804" width="4.140625" style="128" customWidth="1"/>
    <col min="10805" max="10806" width="9.140625" style="128" customWidth="1"/>
    <col min="10807" max="10807" width="5.42578125" style="128" customWidth="1"/>
    <col min="10808" max="10809" width="9.140625" style="128" customWidth="1"/>
    <col min="10810" max="10810" width="4" style="128" customWidth="1"/>
    <col min="10811" max="10812" width="9.140625" style="128" customWidth="1"/>
    <col min="10813" max="10813" width="3.85546875" style="128" customWidth="1"/>
    <col min="10814" max="10815" width="9.140625" style="128" customWidth="1"/>
    <col min="10816" max="10816" width="9" style="128" customWidth="1"/>
    <col min="10817" max="10818" width="9.140625" style="128" customWidth="1"/>
    <col min="10819" max="10819" width="4.5703125" style="128" customWidth="1"/>
    <col min="10820" max="10821" width="9.140625" style="128" customWidth="1"/>
    <col min="10822" max="10822" width="4.5703125" style="128" customWidth="1"/>
    <col min="10823" max="11008" width="9.140625" style="128"/>
    <col min="11009" max="11009" width="4.42578125" style="128" customWidth="1"/>
    <col min="11010" max="11010" width="7.5703125" style="128" customWidth="1"/>
    <col min="11011" max="11011" width="9.5703125" style="128" customWidth="1"/>
    <col min="11012" max="11012" width="3.85546875" style="128" customWidth="1"/>
    <col min="11013" max="11014" width="9.140625" style="128" customWidth="1"/>
    <col min="11015" max="11015" width="3.85546875" style="128" customWidth="1"/>
    <col min="11016" max="11017" width="9.140625" style="128" customWidth="1"/>
    <col min="11018" max="11018" width="3" style="128" customWidth="1"/>
    <col min="11019" max="11020" width="9.140625" style="128" customWidth="1"/>
    <col min="11021" max="11021" width="3.5703125" style="128" customWidth="1"/>
    <col min="11022" max="11023" width="9.140625" style="128" customWidth="1"/>
    <col min="11024" max="11024" width="3.85546875" style="128" customWidth="1"/>
    <col min="11025" max="11025" width="7.5703125" style="128" customWidth="1"/>
    <col min="11026" max="11026" width="9.5703125" style="128" customWidth="1"/>
    <col min="11027" max="11027" width="4.42578125" style="128" customWidth="1"/>
    <col min="11028" max="11029" width="9.140625" style="128" customWidth="1"/>
    <col min="11030" max="11030" width="4.140625" style="128" customWidth="1"/>
    <col min="11031" max="11032" width="9.140625" style="128" customWidth="1"/>
    <col min="11033" max="11033" width="5.42578125" style="128" customWidth="1"/>
    <col min="11034" max="11035" width="9.140625" style="128" customWidth="1"/>
    <col min="11036" max="11036" width="4" style="128" customWidth="1"/>
    <col min="11037" max="11038" width="9.140625" style="128" customWidth="1"/>
    <col min="11039" max="11039" width="4.42578125" style="128" customWidth="1"/>
    <col min="11040" max="11040" width="7.5703125" style="128" customWidth="1"/>
    <col min="11041" max="11041" width="9.5703125" style="128" customWidth="1"/>
    <col min="11042" max="11042" width="3.85546875" style="128" customWidth="1"/>
    <col min="11043" max="11044" width="9.140625" style="128" customWidth="1"/>
    <col min="11045" max="11045" width="3.85546875" style="128" customWidth="1"/>
    <col min="11046" max="11047" width="9.140625" style="128" customWidth="1"/>
    <col min="11048" max="11048" width="3" style="128" customWidth="1"/>
    <col min="11049" max="11050" width="9.140625" style="128" customWidth="1"/>
    <col min="11051" max="11051" width="3.5703125" style="128" customWidth="1"/>
    <col min="11052" max="11053" width="9.140625" style="128" customWidth="1"/>
    <col min="11054" max="11054" width="3.85546875" style="128" customWidth="1"/>
    <col min="11055" max="11055" width="7.5703125" style="128" customWidth="1"/>
    <col min="11056" max="11056" width="9.5703125" style="128" customWidth="1"/>
    <col min="11057" max="11057" width="4.42578125" style="128" customWidth="1"/>
    <col min="11058" max="11059" width="9.140625" style="128" customWidth="1"/>
    <col min="11060" max="11060" width="4.140625" style="128" customWidth="1"/>
    <col min="11061" max="11062" width="9.140625" style="128" customWidth="1"/>
    <col min="11063" max="11063" width="5.42578125" style="128" customWidth="1"/>
    <col min="11064" max="11065" width="9.140625" style="128" customWidth="1"/>
    <col min="11066" max="11066" width="4" style="128" customWidth="1"/>
    <col min="11067" max="11068" width="9.140625" style="128" customWidth="1"/>
    <col min="11069" max="11069" width="3.85546875" style="128" customWidth="1"/>
    <col min="11070" max="11071" width="9.140625" style="128" customWidth="1"/>
    <col min="11072" max="11072" width="9" style="128" customWidth="1"/>
    <col min="11073" max="11074" width="9.140625" style="128" customWidth="1"/>
    <col min="11075" max="11075" width="4.5703125" style="128" customWidth="1"/>
    <col min="11076" max="11077" width="9.140625" style="128" customWidth="1"/>
    <col min="11078" max="11078" width="4.5703125" style="128" customWidth="1"/>
    <col min="11079" max="11264" width="9.140625" style="128"/>
    <col min="11265" max="11265" width="4.42578125" style="128" customWidth="1"/>
    <col min="11266" max="11266" width="7.5703125" style="128" customWidth="1"/>
    <col min="11267" max="11267" width="9.5703125" style="128" customWidth="1"/>
    <col min="11268" max="11268" width="3.85546875" style="128" customWidth="1"/>
    <col min="11269" max="11270" width="9.140625" style="128" customWidth="1"/>
    <col min="11271" max="11271" width="3.85546875" style="128" customWidth="1"/>
    <col min="11272" max="11273" width="9.140625" style="128" customWidth="1"/>
    <col min="11274" max="11274" width="3" style="128" customWidth="1"/>
    <col min="11275" max="11276" width="9.140625" style="128" customWidth="1"/>
    <col min="11277" max="11277" width="3.5703125" style="128" customWidth="1"/>
    <col min="11278" max="11279" width="9.140625" style="128" customWidth="1"/>
    <col min="11280" max="11280" width="3.85546875" style="128" customWidth="1"/>
    <col min="11281" max="11281" width="7.5703125" style="128" customWidth="1"/>
    <col min="11282" max="11282" width="9.5703125" style="128" customWidth="1"/>
    <col min="11283" max="11283" width="4.42578125" style="128" customWidth="1"/>
    <col min="11284" max="11285" width="9.140625" style="128" customWidth="1"/>
    <col min="11286" max="11286" width="4.140625" style="128" customWidth="1"/>
    <col min="11287" max="11288" width="9.140625" style="128" customWidth="1"/>
    <col min="11289" max="11289" width="5.42578125" style="128" customWidth="1"/>
    <col min="11290" max="11291" width="9.140625" style="128" customWidth="1"/>
    <col min="11292" max="11292" width="4" style="128" customWidth="1"/>
    <col min="11293" max="11294" width="9.140625" style="128" customWidth="1"/>
    <col min="11295" max="11295" width="4.42578125" style="128" customWidth="1"/>
    <col min="11296" max="11296" width="7.5703125" style="128" customWidth="1"/>
    <col min="11297" max="11297" width="9.5703125" style="128" customWidth="1"/>
    <col min="11298" max="11298" width="3.85546875" style="128" customWidth="1"/>
    <col min="11299" max="11300" width="9.140625" style="128" customWidth="1"/>
    <col min="11301" max="11301" width="3.85546875" style="128" customWidth="1"/>
    <col min="11302" max="11303" width="9.140625" style="128" customWidth="1"/>
    <col min="11304" max="11304" width="3" style="128" customWidth="1"/>
    <col min="11305" max="11306" width="9.140625" style="128" customWidth="1"/>
    <col min="11307" max="11307" width="3.5703125" style="128" customWidth="1"/>
    <col min="11308" max="11309" width="9.140625" style="128" customWidth="1"/>
    <col min="11310" max="11310" width="3.85546875" style="128" customWidth="1"/>
    <col min="11311" max="11311" width="7.5703125" style="128" customWidth="1"/>
    <col min="11312" max="11312" width="9.5703125" style="128" customWidth="1"/>
    <col min="11313" max="11313" width="4.42578125" style="128" customWidth="1"/>
    <col min="11314" max="11315" width="9.140625" style="128" customWidth="1"/>
    <col min="11316" max="11316" width="4.140625" style="128" customWidth="1"/>
    <col min="11317" max="11318" width="9.140625" style="128" customWidth="1"/>
    <col min="11319" max="11319" width="5.42578125" style="128" customWidth="1"/>
    <col min="11320" max="11321" width="9.140625" style="128" customWidth="1"/>
    <col min="11322" max="11322" width="4" style="128" customWidth="1"/>
    <col min="11323" max="11324" width="9.140625" style="128" customWidth="1"/>
    <col min="11325" max="11325" width="3.85546875" style="128" customWidth="1"/>
    <col min="11326" max="11327" width="9.140625" style="128" customWidth="1"/>
    <col min="11328" max="11328" width="9" style="128" customWidth="1"/>
    <col min="11329" max="11330" width="9.140625" style="128" customWidth="1"/>
    <col min="11331" max="11331" width="4.5703125" style="128" customWidth="1"/>
    <col min="11332" max="11333" width="9.140625" style="128" customWidth="1"/>
    <col min="11334" max="11334" width="4.5703125" style="128" customWidth="1"/>
    <col min="11335" max="11520" width="9.140625" style="128"/>
    <col min="11521" max="11521" width="4.42578125" style="128" customWidth="1"/>
    <col min="11522" max="11522" width="7.5703125" style="128" customWidth="1"/>
    <col min="11523" max="11523" width="9.5703125" style="128" customWidth="1"/>
    <col min="11524" max="11524" width="3.85546875" style="128" customWidth="1"/>
    <col min="11525" max="11526" width="9.140625" style="128" customWidth="1"/>
    <col min="11527" max="11527" width="3.85546875" style="128" customWidth="1"/>
    <col min="11528" max="11529" width="9.140625" style="128" customWidth="1"/>
    <col min="11530" max="11530" width="3" style="128" customWidth="1"/>
    <col min="11531" max="11532" width="9.140625" style="128" customWidth="1"/>
    <col min="11533" max="11533" width="3.5703125" style="128" customWidth="1"/>
    <col min="11534" max="11535" width="9.140625" style="128" customWidth="1"/>
    <col min="11536" max="11536" width="3.85546875" style="128" customWidth="1"/>
    <col min="11537" max="11537" width="7.5703125" style="128" customWidth="1"/>
    <col min="11538" max="11538" width="9.5703125" style="128" customWidth="1"/>
    <col min="11539" max="11539" width="4.42578125" style="128" customWidth="1"/>
    <col min="11540" max="11541" width="9.140625" style="128" customWidth="1"/>
    <col min="11542" max="11542" width="4.140625" style="128" customWidth="1"/>
    <col min="11543" max="11544" width="9.140625" style="128" customWidth="1"/>
    <col min="11545" max="11545" width="5.42578125" style="128" customWidth="1"/>
    <col min="11546" max="11547" width="9.140625" style="128" customWidth="1"/>
    <col min="11548" max="11548" width="4" style="128" customWidth="1"/>
    <col min="11549" max="11550" width="9.140625" style="128" customWidth="1"/>
    <col min="11551" max="11551" width="4.42578125" style="128" customWidth="1"/>
    <col min="11552" max="11552" width="7.5703125" style="128" customWidth="1"/>
    <col min="11553" max="11553" width="9.5703125" style="128" customWidth="1"/>
    <col min="11554" max="11554" width="3.85546875" style="128" customWidth="1"/>
    <col min="11555" max="11556" width="9.140625" style="128" customWidth="1"/>
    <col min="11557" max="11557" width="3.85546875" style="128" customWidth="1"/>
    <col min="11558" max="11559" width="9.140625" style="128" customWidth="1"/>
    <col min="11560" max="11560" width="3" style="128" customWidth="1"/>
    <col min="11561" max="11562" width="9.140625" style="128" customWidth="1"/>
    <col min="11563" max="11563" width="3.5703125" style="128" customWidth="1"/>
    <col min="11564" max="11565" width="9.140625" style="128" customWidth="1"/>
    <col min="11566" max="11566" width="3.85546875" style="128" customWidth="1"/>
    <col min="11567" max="11567" width="7.5703125" style="128" customWidth="1"/>
    <col min="11568" max="11568" width="9.5703125" style="128" customWidth="1"/>
    <col min="11569" max="11569" width="4.42578125" style="128" customWidth="1"/>
    <col min="11570" max="11571" width="9.140625" style="128" customWidth="1"/>
    <col min="11572" max="11572" width="4.140625" style="128" customWidth="1"/>
    <col min="11573" max="11574" width="9.140625" style="128" customWidth="1"/>
    <col min="11575" max="11575" width="5.42578125" style="128" customWidth="1"/>
    <col min="11576" max="11577" width="9.140625" style="128" customWidth="1"/>
    <col min="11578" max="11578" width="4" style="128" customWidth="1"/>
    <col min="11579" max="11580" width="9.140625" style="128" customWidth="1"/>
    <col min="11581" max="11581" width="3.85546875" style="128" customWidth="1"/>
    <col min="11582" max="11583" width="9.140625" style="128" customWidth="1"/>
    <col min="11584" max="11584" width="9" style="128" customWidth="1"/>
    <col min="11585" max="11586" width="9.140625" style="128" customWidth="1"/>
    <col min="11587" max="11587" width="4.5703125" style="128" customWidth="1"/>
    <col min="11588" max="11589" width="9.140625" style="128" customWidth="1"/>
    <col min="11590" max="11590" width="4.5703125" style="128" customWidth="1"/>
    <col min="11591" max="11776" width="9.140625" style="128"/>
    <col min="11777" max="11777" width="4.42578125" style="128" customWidth="1"/>
    <col min="11778" max="11778" width="7.5703125" style="128" customWidth="1"/>
    <col min="11779" max="11779" width="9.5703125" style="128" customWidth="1"/>
    <col min="11780" max="11780" width="3.85546875" style="128" customWidth="1"/>
    <col min="11781" max="11782" width="9.140625" style="128" customWidth="1"/>
    <col min="11783" max="11783" width="3.85546875" style="128" customWidth="1"/>
    <col min="11784" max="11785" width="9.140625" style="128" customWidth="1"/>
    <col min="11786" max="11786" width="3" style="128" customWidth="1"/>
    <col min="11787" max="11788" width="9.140625" style="128" customWidth="1"/>
    <col min="11789" max="11789" width="3.5703125" style="128" customWidth="1"/>
    <col min="11790" max="11791" width="9.140625" style="128" customWidth="1"/>
    <col min="11792" max="11792" width="3.85546875" style="128" customWidth="1"/>
    <col min="11793" max="11793" width="7.5703125" style="128" customWidth="1"/>
    <col min="11794" max="11794" width="9.5703125" style="128" customWidth="1"/>
    <col min="11795" max="11795" width="4.42578125" style="128" customWidth="1"/>
    <col min="11796" max="11797" width="9.140625" style="128" customWidth="1"/>
    <col min="11798" max="11798" width="4.140625" style="128" customWidth="1"/>
    <col min="11799" max="11800" width="9.140625" style="128" customWidth="1"/>
    <col min="11801" max="11801" width="5.42578125" style="128" customWidth="1"/>
    <col min="11802" max="11803" width="9.140625" style="128" customWidth="1"/>
    <col min="11804" max="11804" width="4" style="128" customWidth="1"/>
    <col min="11805" max="11806" width="9.140625" style="128" customWidth="1"/>
    <col min="11807" max="11807" width="4.42578125" style="128" customWidth="1"/>
    <col min="11808" max="11808" width="7.5703125" style="128" customWidth="1"/>
    <col min="11809" max="11809" width="9.5703125" style="128" customWidth="1"/>
    <col min="11810" max="11810" width="3.85546875" style="128" customWidth="1"/>
    <col min="11811" max="11812" width="9.140625" style="128" customWidth="1"/>
    <col min="11813" max="11813" width="3.85546875" style="128" customWidth="1"/>
    <col min="11814" max="11815" width="9.140625" style="128" customWidth="1"/>
    <col min="11816" max="11816" width="3" style="128" customWidth="1"/>
    <col min="11817" max="11818" width="9.140625" style="128" customWidth="1"/>
    <col min="11819" max="11819" width="3.5703125" style="128" customWidth="1"/>
    <col min="11820" max="11821" width="9.140625" style="128" customWidth="1"/>
    <col min="11822" max="11822" width="3.85546875" style="128" customWidth="1"/>
    <col min="11823" max="11823" width="7.5703125" style="128" customWidth="1"/>
    <col min="11824" max="11824" width="9.5703125" style="128" customWidth="1"/>
    <col min="11825" max="11825" width="4.42578125" style="128" customWidth="1"/>
    <col min="11826" max="11827" width="9.140625" style="128" customWidth="1"/>
    <col min="11828" max="11828" width="4.140625" style="128" customWidth="1"/>
    <col min="11829" max="11830" width="9.140625" style="128" customWidth="1"/>
    <col min="11831" max="11831" width="5.42578125" style="128" customWidth="1"/>
    <col min="11832" max="11833" width="9.140625" style="128" customWidth="1"/>
    <col min="11834" max="11834" width="4" style="128" customWidth="1"/>
    <col min="11835" max="11836" width="9.140625" style="128" customWidth="1"/>
    <col min="11837" max="11837" width="3.85546875" style="128" customWidth="1"/>
    <col min="11838" max="11839" width="9.140625" style="128" customWidth="1"/>
    <col min="11840" max="11840" width="9" style="128" customWidth="1"/>
    <col min="11841" max="11842" width="9.140625" style="128" customWidth="1"/>
    <col min="11843" max="11843" width="4.5703125" style="128" customWidth="1"/>
    <col min="11844" max="11845" width="9.140625" style="128" customWidth="1"/>
    <col min="11846" max="11846" width="4.5703125" style="128" customWidth="1"/>
    <col min="11847" max="12032" width="9.140625" style="128"/>
    <col min="12033" max="12033" width="4.42578125" style="128" customWidth="1"/>
    <col min="12034" max="12034" width="7.5703125" style="128" customWidth="1"/>
    <col min="12035" max="12035" width="9.5703125" style="128" customWidth="1"/>
    <col min="12036" max="12036" width="3.85546875" style="128" customWidth="1"/>
    <col min="12037" max="12038" width="9.140625" style="128" customWidth="1"/>
    <col min="12039" max="12039" width="3.85546875" style="128" customWidth="1"/>
    <col min="12040" max="12041" width="9.140625" style="128" customWidth="1"/>
    <col min="12042" max="12042" width="3" style="128" customWidth="1"/>
    <col min="12043" max="12044" width="9.140625" style="128" customWidth="1"/>
    <col min="12045" max="12045" width="3.5703125" style="128" customWidth="1"/>
    <col min="12046" max="12047" width="9.140625" style="128" customWidth="1"/>
    <col min="12048" max="12048" width="3.85546875" style="128" customWidth="1"/>
    <col min="12049" max="12049" width="7.5703125" style="128" customWidth="1"/>
    <col min="12050" max="12050" width="9.5703125" style="128" customWidth="1"/>
    <col min="12051" max="12051" width="4.42578125" style="128" customWidth="1"/>
    <col min="12052" max="12053" width="9.140625" style="128" customWidth="1"/>
    <col min="12054" max="12054" width="4.140625" style="128" customWidth="1"/>
    <col min="12055" max="12056" width="9.140625" style="128" customWidth="1"/>
    <col min="12057" max="12057" width="5.42578125" style="128" customWidth="1"/>
    <col min="12058" max="12059" width="9.140625" style="128" customWidth="1"/>
    <col min="12060" max="12060" width="4" style="128" customWidth="1"/>
    <col min="12061" max="12062" width="9.140625" style="128" customWidth="1"/>
    <col min="12063" max="12063" width="4.42578125" style="128" customWidth="1"/>
    <col min="12064" max="12064" width="7.5703125" style="128" customWidth="1"/>
    <col min="12065" max="12065" width="9.5703125" style="128" customWidth="1"/>
    <col min="12066" max="12066" width="3.85546875" style="128" customWidth="1"/>
    <col min="12067" max="12068" width="9.140625" style="128" customWidth="1"/>
    <col min="12069" max="12069" width="3.85546875" style="128" customWidth="1"/>
    <col min="12070" max="12071" width="9.140625" style="128" customWidth="1"/>
    <col min="12072" max="12072" width="3" style="128" customWidth="1"/>
    <col min="12073" max="12074" width="9.140625" style="128" customWidth="1"/>
    <col min="12075" max="12075" width="3.5703125" style="128" customWidth="1"/>
    <col min="12076" max="12077" width="9.140625" style="128" customWidth="1"/>
    <col min="12078" max="12078" width="3.85546875" style="128" customWidth="1"/>
    <col min="12079" max="12079" width="7.5703125" style="128" customWidth="1"/>
    <col min="12080" max="12080" width="9.5703125" style="128" customWidth="1"/>
    <col min="12081" max="12081" width="4.42578125" style="128" customWidth="1"/>
    <col min="12082" max="12083" width="9.140625" style="128" customWidth="1"/>
    <col min="12084" max="12084" width="4.140625" style="128" customWidth="1"/>
    <col min="12085" max="12086" width="9.140625" style="128" customWidth="1"/>
    <col min="12087" max="12087" width="5.42578125" style="128" customWidth="1"/>
    <col min="12088" max="12089" width="9.140625" style="128" customWidth="1"/>
    <col min="12090" max="12090" width="4" style="128" customWidth="1"/>
    <col min="12091" max="12092" width="9.140625" style="128" customWidth="1"/>
    <col min="12093" max="12093" width="3.85546875" style="128" customWidth="1"/>
    <col min="12094" max="12095" width="9.140625" style="128" customWidth="1"/>
    <col min="12096" max="12096" width="9" style="128" customWidth="1"/>
    <col min="12097" max="12098" width="9.140625" style="128" customWidth="1"/>
    <col min="12099" max="12099" width="4.5703125" style="128" customWidth="1"/>
    <col min="12100" max="12101" width="9.140625" style="128" customWidth="1"/>
    <col min="12102" max="12102" width="4.5703125" style="128" customWidth="1"/>
    <col min="12103" max="12288" width="9.140625" style="128"/>
    <col min="12289" max="12289" width="4.42578125" style="128" customWidth="1"/>
    <col min="12290" max="12290" width="7.5703125" style="128" customWidth="1"/>
    <col min="12291" max="12291" width="9.5703125" style="128" customWidth="1"/>
    <col min="12292" max="12292" width="3.85546875" style="128" customWidth="1"/>
    <col min="12293" max="12294" width="9.140625" style="128" customWidth="1"/>
    <col min="12295" max="12295" width="3.85546875" style="128" customWidth="1"/>
    <col min="12296" max="12297" width="9.140625" style="128" customWidth="1"/>
    <col min="12298" max="12298" width="3" style="128" customWidth="1"/>
    <col min="12299" max="12300" width="9.140625" style="128" customWidth="1"/>
    <col min="12301" max="12301" width="3.5703125" style="128" customWidth="1"/>
    <col min="12302" max="12303" width="9.140625" style="128" customWidth="1"/>
    <col min="12304" max="12304" width="3.85546875" style="128" customWidth="1"/>
    <col min="12305" max="12305" width="7.5703125" style="128" customWidth="1"/>
    <col min="12306" max="12306" width="9.5703125" style="128" customWidth="1"/>
    <col min="12307" max="12307" width="4.42578125" style="128" customWidth="1"/>
    <col min="12308" max="12309" width="9.140625" style="128" customWidth="1"/>
    <col min="12310" max="12310" width="4.140625" style="128" customWidth="1"/>
    <col min="12311" max="12312" width="9.140625" style="128" customWidth="1"/>
    <col min="12313" max="12313" width="5.42578125" style="128" customWidth="1"/>
    <col min="12314" max="12315" width="9.140625" style="128" customWidth="1"/>
    <col min="12316" max="12316" width="4" style="128" customWidth="1"/>
    <col min="12317" max="12318" width="9.140625" style="128" customWidth="1"/>
    <col min="12319" max="12319" width="4.42578125" style="128" customWidth="1"/>
    <col min="12320" max="12320" width="7.5703125" style="128" customWidth="1"/>
    <col min="12321" max="12321" width="9.5703125" style="128" customWidth="1"/>
    <col min="12322" max="12322" width="3.85546875" style="128" customWidth="1"/>
    <col min="12323" max="12324" width="9.140625" style="128" customWidth="1"/>
    <col min="12325" max="12325" width="3.85546875" style="128" customWidth="1"/>
    <col min="12326" max="12327" width="9.140625" style="128" customWidth="1"/>
    <col min="12328" max="12328" width="3" style="128" customWidth="1"/>
    <col min="12329" max="12330" width="9.140625" style="128" customWidth="1"/>
    <col min="12331" max="12331" width="3.5703125" style="128" customWidth="1"/>
    <col min="12332" max="12333" width="9.140625" style="128" customWidth="1"/>
    <col min="12334" max="12334" width="3.85546875" style="128" customWidth="1"/>
    <col min="12335" max="12335" width="7.5703125" style="128" customWidth="1"/>
    <col min="12336" max="12336" width="9.5703125" style="128" customWidth="1"/>
    <col min="12337" max="12337" width="4.42578125" style="128" customWidth="1"/>
    <col min="12338" max="12339" width="9.140625" style="128" customWidth="1"/>
    <col min="12340" max="12340" width="4.140625" style="128" customWidth="1"/>
    <col min="12341" max="12342" width="9.140625" style="128" customWidth="1"/>
    <col min="12343" max="12343" width="5.42578125" style="128" customWidth="1"/>
    <col min="12344" max="12345" width="9.140625" style="128" customWidth="1"/>
    <col min="12346" max="12346" width="4" style="128" customWidth="1"/>
    <col min="12347" max="12348" width="9.140625" style="128" customWidth="1"/>
    <col min="12349" max="12349" width="3.85546875" style="128" customWidth="1"/>
    <col min="12350" max="12351" width="9.140625" style="128" customWidth="1"/>
    <col min="12352" max="12352" width="9" style="128" customWidth="1"/>
    <col min="12353" max="12354" width="9.140625" style="128" customWidth="1"/>
    <col min="12355" max="12355" width="4.5703125" style="128" customWidth="1"/>
    <col min="12356" max="12357" width="9.140625" style="128" customWidth="1"/>
    <col min="12358" max="12358" width="4.5703125" style="128" customWidth="1"/>
    <col min="12359" max="12544" width="9.140625" style="128"/>
    <col min="12545" max="12545" width="4.42578125" style="128" customWidth="1"/>
    <col min="12546" max="12546" width="7.5703125" style="128" customWidth="1"/>
    <col min="12547" max="12547" width="9.5703125" style="128" customWidth="1"/>
    <col min="12548" max="12548" width="3.85546875" style="128" customWidth="1"/>
    <col min="12549" max="12550" width="9.140625" style="128" customWidth="1"/>
    <col min="12551" max="12551" width="3.85546875" style="128" customWidth="1"/>
    <col min="12552" max="12553" width="9.140625" style="128" customWidth="1"/>
    <col min="12554" max="12554" width="3" style="128" customWidth="1"/>
    <col min="12555" max="12556" width="9.140625" style="128" customWidth="1"/>
    <col min="12557" max="12557" width="3.5703125" style="128" customWidth="1"/>
    <col min="12558" max="12559" width="9.140625" style="128" customWidth="1"/>
    <col min="12560" max="12560" width="3.85546875" style="128" customWidth="1"/>
    <col min="12561" max="12561" width="7.5703125" style="128" customWidth="1"/>
    <col min="12562" max="12562" width="9.5703125" style="128" customWidth="1"/>
    <col min="12563" max="12563" width="4.42578125" style="128" customWidth="1"/>
    <col min="12564" max="12565" width="9.140625" style="128" customWidth="1"/>
    <col min="12566" max="12566" width="4.140625" style="128" customWidth="1"/>
    <col min="12567" max="12568" width="9.140625" style="128" customWidth="1"/>
    <col min="12569" max="12569" width="5.42578125" style="128" customWidth="1"/>
    <col min="12570" max="12571" width="9.140625" style="128" customWidth="1"/>
    <col min="12572" max="12572" width="4" style="128" customWidth="1"/>
    <col min="12573" max="12574" width="9.140625" style="128" customWidth="1"/>
    <col min="12575" max="12575" width="4.42578125" style="128" customWidth="1"/>
    <col min="12576" max="12576" width="7.5703125" style="128" customWidth="1"/>
    <col min="12577" max="12577" width="9.5703125" style="128" customWidth="1"/>
    <col min="12578" max="12578" width="3.85546875" style="128" customWidth="1"/>
    <col min="12579" max="12580" width="9.140625" style="128" customWidth="1"/>
    <col min="12581" max="12581" width="3.85546875" style="128" customWidth="1"/>
    <col min="12582" max="12583" width="9.140625" style="128" customWidth="1"/>
    <col min="12584" max="12584" width="3" style="128" customWidth="1"/>
    <col min="12585" max="12586" width="9.140625" style="128" customWidth="1"/>
    <col min="12587" max="12587" width="3.5703125" style="128" customWidth="1"/>
    <col min="12588" max="12589" width="9.140625" style="128" customWidth="1"/>
    <col min="12590" max="12590" width="3.85546875" style="128" customWidth="1"/>
    <col min="12591" max="12591" width="7.5703125" style="128" customWidth="1"/>
    <col min="12592" max="12592" width="9.5703125" style="128" customWidth="1"/>
    <col min="12593" max="12593" width="4.42578125" style="128" customWidth="1"/>
    <col min="12594" max="12595" width="9.140625" style="128" customWidth="1"/>
    <col min="12596" max="12596" width="4.140625" style="128" customWidth="1"/>
    <col min="12597" max="12598" width="9.140625" style="128" customWidth="1"/>
    <col min="12599" max="12599" width="5.42578125" style="128" customWidth="1"/>
    <col min="12600" max="12601" width="9.140625" style="128" customWidth="1"/>
    <col min="12602" max="12602" width="4" style="128" customWidth="1"/>
    <col min="12603" max="12604" width="9.140625" style="128" customWidth="1"/>
    <col min="12605" max="12605" width="3.85546875" style="128" customWidth="1"/>
    <col min="12606" max="12607" width="9.140625" style="128" customWidth="1"/>
    <col min="12608" max="12608" width="9" style="128" customWidth="1"/>
    <col min="12609" max="12610" width="9.140625" style="128" customWidth="1"/>
    <col min="12611" max="12611" width="4.5703125" style="128" customWidth="1"/>
    <col min="12612" max="12613" width="9.140625" style="128" customWidth="1"/>
    <col min="12614" max="12614" width="4.5703125" style="128" customWidth="1"/>
    <col min="12615" max="12800" width="9.140625" style="128"/>
    <col min="12801" max="12801" width="4.42578125" style="128" customWidth="1"/>
    <col min="12802" max="12802" width="7.5703125" style="128" customWidth="1"/>
    <col min="12803" max="12803" width="9.5703125" style="128" customWidth="1"/>
    <col min="12804" max="12804" width="3.85546875" style="128" customWidth="1"/>
    <col min="12805" max="12806" width="9.140625" style="128" customWidth="1"/>
    <col min="12807" max="12807" width="3.85546875" style="128" customWidth="1"/>
    <col min="12808" max="12809" width="9.140625" style="128" customWidth="1"/>
    <col min="12810" max="12810" width="3" style="128" customWidth="1"/>
    <col min="12811" max="12812" width="9.140625" style="128" customWidth="1"/>
    <col min="12813" max="12813" width="3.5703125" style="128" customWidth="1"/>
    <col min="12814" max="12815" width="9.140625" style="128" customWidth="1"/>
    <col min="12816" max="12816" width="3.85546875" style="128" customWidth="1"/>
    <col min="12817" max="12817" width="7.5703125" style="128" customWidth="1"/>
    <col min="12818" max="12818" width="9.5703125" style="128" customWidth="1"/>
    <col min="12819" max="12819" width="4.42578125" style="128" customWidth="1"/>
    <col min="12820" max="12821" width="9.140625" style="128" customWidth="1"/>
    <col min="12822" max="12822" width="4.140625" style="128" customWidth="1"/>
    <col min="12823" max="12824" width="9.140625" style="128" customWidth="1"/>
    <col min="12825" max="12825" width="5.42578125" style="128" customWidth="1"/>
    <col min="12826" max="12827" width="9.140625" style="128" customWidth="1"/>
    <col min="12828" max="12828" width="4" style="128" customWidth="1"/>
    <col min="12829" max="12830" width="9.140625" style="128" customWidth="1"/>
    <col min="12831" max="12831" width="4.42578125" style="128" customWidth="1"/>
    <col min="12832" max="12832" width="7.5703125" style="128" customWidth="1"/>
    <col min="12833" max="12833" width="9.5703125" style="128" customWidth="1"/>
    <col min="12834" max="12834" width="3.85546875" style="128" customWidth="1"/>
    <col min="12835" max="12836" width="9.140625" style="128" customWidth="1"/>
    <col min="12837" max="12837" width="3.85546875" style="128" customWidth="1"/>
    <col min="12838" max="12839" width="9.140625" style="128" customWidth="1"/>
    <col min="12840" max="12840" width="3" style="128" customWidth="1"/>
    <col min="12841" max="12842" width="9.140625" style="128" customWidth="1"/>
    <col min="12843" max="12843" width="3.5703125" style="128" customWidth="1"/>
    <col min="12844" max="12845" width="9.140625" style="128" customWidth="1"/>
    <col min="12846" max="12846" width="3.85546875" style="128" customWidth="1"/>
    <col min="12847" max="12847" width="7.5703125" style="128" customWidth="1"/>
    <col min="12848" max="12848" width="9.5703125" style="128" customWidth="1"/>
    <col min="12849" max="12849" width="4.42578125" style="128" customWidth="1"/>
    <col min="12850" max="12851" width="9.140625" style="128" customWidth="1"/>
    <col min="12852" max="12852" width="4.140625" style="128" customWidth="1"/>
    <col min="12853" max="12854" width="9.140625" style="128" customWidth="1"/>
    <col min="12855" max="12855" width="5.42578125" style="128" customWidth="1"/>
    <col min="12856" max="12857" width="9.140625" style="128" customWidth="1"/>
    <col min="12858" max="12858" width="4" style="128" customWidth="1"/>
    <col min="12859" max="12860" width="9.140625" style="128" customWidth="1"/>
    <col min="12861" max="12861" width="3.85546875" style="128" customWidth="1"/>
    <col min="12862" max="12863" width="9.140625" style="128" customWidth="1"/>
    <col min="12864" max="12864" width="9" style="128" customWidth="1"/>
    <col min="12865" max="12866" width="9.140625" style="128" customWidth="1"/>
    <col min="12867" max="12867" width="4.5703125" style="128" customWidth="1"/>
    <col min="12868" max="12869" width="9.140625" style="128" customWidth="1"/>
    <col min="12870" max="12870" width="4.5703125" style="128" customWidth="1"/>
    <col min="12871" max="13056" width="9.140625" style="128"/>
    <col min="13057" max="13057" width="4.42578125" style="128" customWidth="1"/>
    <col min="13058" max="13058" width="7.5703125" style="128" customWidth="1"/>
    <col min="13059" max="13059" width="9.5703125" style="128" customWidth="1"/>
    <col min="13060" max="13060" width="3.85546875" style="128" customWidth="1"/>
    <col min="13061" max="13062" width="9.140625" style="128" customWidth="1"/>
    <col min="13063" max="13063" width="3.85546875" style="128" customWidth="1"/>
    <col min="13064" max="13065" width="9.140625" style="128" customWidth="1"/>
    <col min="13066" max="13066" width="3" style="128" customWidth="1"/>
    <col min="13067" max="13068" width="9.140625" style="128" customWidth="1"/>
    <col min="13069" max="13069" width="3.5703125" style="128" customWidth="1"/>
    <col min="13070" max="13071" width="9.140625" style="128" customWidth="1"/>
    <col min="13072" max="13072" width="3.85546875" style="128" customWidth="1"/>
    <col min="13073" max="13073" width="7.5703125" style="128" customWidth="1"/>
    <col min="13074" max="13074" width="9.5703125" style="128" customWidth="1"/>
    <col min="13075" max="13075" width="4.42578125" style="128" customWidth="1"/>
    <col min="13076" max="13077" width="9.140625" style="128" customWidth="1"/>
    <col min="13078" max="13078" width="4.140625" style="128" customWidth="1"/>
    <col min="13079" max="13080" width="9.140625" style="128" customWidth="1"/>
    <col min="13081" max="13081" width="5.42578125" style="128" customWidth="1"/>
    <col min="13082" max="13083" width="9.140625" style="128" customWidth="1"/>
    <col min="13084" max="13084" width="4" style="128" customWidth="1"/>
    <col min="13085" max="13086" width="9.140625" style="128" customWidth="1"/>
    <col min="13087" max="13087" width="4.42578125" style="128" customWidth="1"/>
    <col min="13088" max="13088" width="7.5703125" style="128" customWidth="1"/>
    <col min="13089" max="13089" width="9.5703125" style="128" customWidth="1"/>
    <col min="13090" max="13090" width="3.85546875" style="128" customWidth="1"/>
    <col min="13091" max="13092" width="9.140625" style="128" customWidth="1"/>
    <col min="13093" max="13093" width="3.85546875" style="128" customWidth="1"/>
    <col min="13094" max="13095" width="9.140625" style="128" customWidth="1"/>
    <col min="13096" max="13096" width="3" style="128" customWidth="1"/>
    <col min="13097" max="13098" width="9.140625" style="128" customWidth="1"/>
    <col min="13099" max="13099" width="3.5703125" style="128" customWidth="1"/>
    <col min="13100" max="13101" width="9.140625" style="128" customWidth="1"/>
    <col min="13102" max="13102" width="3.85546875" style="128" customWidth="1"/>
    <col min="13103" max="13103" width="7.5703125" style="128" customWidth="1"/>
    <col min="13104" max="13104" width="9.5703125" style="128" customWidth="1"/>
    <col min="13105" max="13105" width="4.42578125" style="128" customWidth="1"/>
    <col min="13106" max="13107" width="9.140625" style="128" customWidth="1"/>
    <col min="13108" max="13108" width="4.140625" style="128" customWidth="1"/>
    <col min="13109" max="13110" width="9.140625" style="128" customWidth="1"/>
    <col min="13111" max="13111" width="5.42578125" style="128" customWidth="1"/>
    <col min="13112" max="13113" width="9.140625" style="128" customWidth="1"/>
    <col min="13114" max="13114" width="4" style="128" customWidth="1"/>
    <col min="13115" max="13116" width="9.140625" style="128" customWidth="1"/>
    <col min="13117" max="13117" width="3.85546875" style="128" customWidth="1"/>
    <col min="13118" max="13119" width="9.140625" style="128" customWidth="1"/>
    <col min="13120" max="13120" width="9" style="128" customWidth="1"/>
    <col min="13121" max="13122" width="9.140625" style="128" customWidth="1"/>
    <col min="13123" max="13123" width="4.5703125" style="128" customWidth="1"/>
    <col min="13124" max="13125" width="9.140625" style="128" customWidth="1"/>
    <col min="13126" max="13126" width="4.5703125" style="128" customWidth="1"/>
    <col min="13127" max="13312" width="9.140625" style="128"/>
    <col min="13313" max="13313" width="4.42578125" style="128" customWidth="1"/>
    <col min="13314" max="13314" width="7.5703125" style="128" customWidth="1"/>
    <col min="13315" max="13315" width="9.5703125" style="128" customWidth="1"/>
    <col min="13316" max="13316" width="3.85546875" style="128" customWidth="1"/>
    <col min="13317" max="13318" width="9.140625" style="128" customWidth="1"/>
    <col min="13319" max="13319" width="3.85546875" style="128" customWidth="1"/>
    <col min="13320" max="13321" width="9.140625" style="128" customWidth="1"/>
    <col min="13322" max="13322" width="3" style="128" customWidth="1"/>
    <col min="13323" max="13324" width="9.140625" style="128" customWidth="1"/>
    <col min="13325" max="13325" width="3.5703125" style="128" customWidth="1"/>
    <col min="13326" max="13327" width="9.140625" style="128" customWidth="1"/>
    <col min="13328" max="13328" width="3.85546875" style="128" customWidth="1"/>
    <col min="13329" max="13329" width="7.5703125" style="128" customWidth="1"/>
    <col min="13330" max="13330" width="9.5703125" style="128" customWidth="1"/>
    <col min="13331" max="13331" width="4.42578125" style="128" customWidth="1"/>
    <col min="13332" max="13333" width="9.140625" style="128" customWidth="1"/>
    <col min="13334" max="13334" width="4.140625" style="128" customWidth="1"/>
    <col min="13335" max="13336" width="9.140625" style="128" customWidth="1"/>
    <col min="13337" max="13337" width="5.42578125" style="128" customWidth="1"/>
    <col min="13338" max="13339" width="9.140625" style="128" customWidth="1"/>
    <col min="13340" max="13340" width="4" style="128" customWidth="1"/>
    <col min="13341" max="13342" width="9.140625" style="128" customWidth="1"/>
    <col min="13343" max="13343" width="4.42578125" style="128" customWidth="1"/>
    <col min="13344" max="13344" width="7.5703125" style="128" customWidth="1"/>
    <col min="13345" max="13345" width="9.5703125" style="128" customWidth="1"/>
    <col min="13346" max="13346" width="3.85546875" style="128" customWidth="1"/>
    <col min="13347" max="13348" width="9.140625" style="128" customWidth="1"/>
    <col min="13349" max="13349" width="3.85546875" style="128" customWidth="1"/>
    <col min="13350" max="13351" width="9.140625" style="128" customWidth="1"/>
    <col min="13352" max="13352" width="3" style="128" customWidth="1"/>
    <col min="13353" max="13354" width="9.140625" style="128" customWidth="1"/>
    <col min="13355" max="13355" width="3.5703125" style="128" customWidth="1"/>
    <col min="13356" max="13357" width="9.140625" style="128" customWidth="1"/>
    <col min="13358" max="13358" width="3.85546875" style="128" customWidth="1"/>
    <col min="13359" max="13359" width="7.5703125" style="128" customWidth="1"/>
    <col min="13360" max="13360" width="9.5703125" style="128" customWidth="1"/>
    <col min="13361" max="13361" width="4.42578125" style="128" customWidth="1"/>
    <col min="13362" max="13363" width="9.140625" style="128" customWidth="1"/>
    <col min="13364" max="13364" width="4.140625" style="128" customWidth="1"/>
    <col min="13365" max="13366" width="9.140625" style="128" customWidth="1"/>
    <col min="13367" max="13367" width="5.42578125" style="128" customWidth="1"/>
    <col min="13368" max="13369" width="9.140625" style="128" customWidth="1"/>
    <col min="13370" max="13370" width="4" style="128" customWidth="1"/>
    <col min="13371" max="13372" width="9.140625" style="128" customWidth="1"/>
    <col min="13373" max="13373" width="3.85546875" style="128" customWidth="1"/>
    <col min="13374" max="13375" width="9.140625" style="128" customWidth="1"/>
    <col min="13376" max="13376" width="9" style="128" customWidth="1"/>
    <col min="13377" max="13378" width="9.140625" style="128" customWidth="1"/>
    <col min="13379" max="13379" width="4.5703125" style="128" customWidth="1"/>
    <col min="13380" max="13381" width="9.140625" style="128" customWidth="1"/>
    <col min="13382" max="13382" width="4.5703125" style="128" customWidth="1"/>
    <col min="13383" max="13568" width="9.140625" style="128"/>
    <col min="13569" max="13569" width="4.42578125" style="128" customWidth="1"/>
    <col min="13570" max="13570" width="7.5703125" style="128" customWidth="1"/>
    <col min="13571" max="13571" width="9.5703125" style="128" customWidth="1"/>
    <col min="13572" max="13572" width="3.85546875" style="128" customWidth="1"/>
    <col min="13573" max="13574" width="9.140625" style="128" customWidth="1"/>
    <col min="13575" max="13575" width="3.85546875" style="128" customWidth="1"/>
    <col min="13576" max="13577" width="9.140625" style="128" customWidth="1"/>
    <col min="13578" max="13578" width="3" style="128" customWidth="1"/>
    <col min="13579" max="13580" width="9.140625" style="128" customWidth="1"/>
    <col min="13581" max="13581" width="3.5703125" style="128" customWidth="1"/>
    <col min="13582" max="13583" width="9.140625" style="128" customWidth="1"/>
    <col min="13584" max="13584" width="3.85546875" style="128" customWidth="1"/>
    <col min="13585" max="13585" width="7.5703125" style="128" customWidth="1"/>
    <col min="13586" max="13586" width="9.5703125" style="128" customWidth="1"/>
    <col min="13587" max="13587" width="4.42578125" style="128" customWidth="1"/>
    <col min="13588" max="13589" width="9.140625" style="128" customWidth="1"/>
    <col min="13590" max="13590" width="4.140625" style="128" customWidth="1"/>
    <col min="13591" max="13592" width="9.140625" style="128" customWidth="1"/>
    <col min="13593" max="13593" width="5.42578125" style="128" customWidth="1"/>
    <col min="13594" max="13595" width="9.140625" style="128" customWidth="1"/>
    <col min="13596" max="13596" width="4" style="128" customWidth="1"/>
    <col min="13597" max="13598" width="9.140625" style="128" customWidth="1"/>
    <col min="13599" max="13599" width="4.42578125" style="128" customWidth="1"/>
    <col min="13600" max="13600" width="7.5703125" style="128" customWidth="1"/>
    <col min="13601" max="13601" width="9.5703125" style="128" customWidth="1"/>
    <col min="13602" max="13602" width="3.85546875" style="128" customWidth="1"/>
    <col min="13603" max="13604" width="9.140625" style="128" customWidth="1"/>
    <col min="13605" max="13605" width="3.85546875" style="128" customWidth="1"/>
    <col min="13606" max="13607" width="9.140625" style="128" customWidth="1"/>
    <col min="13608" max="13608" width="3" style="128" customWidth="1"/>
    <col min="13609" max="13610" width="9.140625" style="128" customWidth="1"/>
    <col min="13611" max="13611" width="3.5703125" style="128" customWidth="1"/>
    <col min="13612" max="13613" width="9.140625" style="128" customWidth="1"/>
    <col min="13614" max="13614" width="3.85546875" style="128" customWidth="1"/>
    <col min="13615" max="13615" width="7.5703125" style="128" customWidth="1"/>
    <col min="13616" max="13616" width="9.5703125" style="128" customWidth="1"/>
    <col min="13617" max="13617" width="4.42578125" style="128" customWidth="1"/>
    <col min="13618" max="13619" width="9.140625" style="128" customWidth="1"/>
    <col min="13620" max="13620" width="4.140625" style="128" customWidth="1"/>
    <col min="13621" max="13622" width="9.140625" style="128" customWidth="1"/>
    <col min="13623" max="13623" width="5.42578125" style="128" customWidth="1"/>
    <col min="13624" max="13625" width="9.140625" style="128" customWidth="1"/>
    <col min="13626" max="13626" width="4" style="128" customWidth="1"/>
    <col min="13627" max="13628" width="9.140625" style="128" customWidth="1"/>
    <col min="13629" max="13629" width="3.85546875" style="128" customWidth="1"/>
    <col min="13630" max="13631" width="9.140625" style="128" customWidth="1"/>
    <col min="13632" max="13632" width="9" style="128" customWidth="1"/>
    <col min="13633" max="13634" width="9.140625" style="128" customWidth="1"/>
    <col min="13635" max="13635" width="4.5703125" style="128" customWidth="1"/>
    <col min="13636" max="13637" width="9.140625" style="128" customWidth="1"/>
    <col min="13638" max="13638" width="4.5703125" style="128" customWidth="1"/>
    <col min="13639" max="13824" width="9.140625" style="128"/>
    <col min="13825" max="13825" width="4.42578125" style="128" customWidth="1"/>
    <col min="13826" max="13826" width="7.5703125" style="128" customWidth="1"/>
    <col min="13827" max="13827" width="9.5703125" style="128" customWidth="1"/>
    <col min="13828" max="13828" width="3.85546875" style="128" customWidth="1"/>
    <col min="13829" max="13830" width="9.140625" style="128" customWidth="1"/>
    <col min="13831" max="13831" width="3.85546875" style="128" customWidth="1"/>
    <col min="13832" max="13833" width="9.140625" style="128" customWidth="1"/>
    <col min="13834" max="13834" width="3" style="128" customWidth="1"/>
    <col min="13835" max="13836" width="9.140625" style="128" customWidth="1"/>
    <col min="13837" max="13837" width="3.5703125" style="128" customWidth="1"/>
    <col min="13838" max="13839" width="9.140625" style="128" customWidth="1"/>
    <col min="13840" max="13840" width="3.85546875" style="128" customWidth="1"/>
    <col min="13841" max="13841" width="7.5703125" style="128" customWidth="1"/>
    <col min="13842" max="13842" width="9.5703125" style="128" customWidth="1"/>
    <col min="13843" max="13843" width="4.42578125" style="128" customWidth="1"/>
    <col min="13844" max="13845" width="9.140625" style="128" customWidth="1"/>
    <col min="13846" max="13846" width="4.140625" style="128" customWidth="1"/>
    <col min="13847" max="13848" width="9.140625" style="128" customWidth="1"/>
    <col min="13849" max="13849" width="5.42578125" style="128" customWidth="1"/>
    <col min="13850" max="13851" width="9.140625" style="128" customWidth="1"/>
    <col min="13852" max="13852" width="4" style="128" customWidth="1"/>
    <col min="13853" max="13854" width="9.140625" style="128" customWidth="1"/>
    <col min="13855" max="13855" width="4.42578125" style="128" customWidth="1"/>
    <col min="13856" max="13856" width="7.5703125" style="128" customWidth="1"/>
    <col min="13857" max="13857" width="9.5703125" style="128" customWidth="1"/>
    <col min="13858" max="13858" width="3.85546875" style="128" customWidth="1"/>
    <col min="13859" max="13860" width="9.140625" style="128" customWidth="1"/>
    <col min="13861" max="13861" width="3.85546875" style="128" customWidth="1"/>
    <col min="13862" max="13863" width="9.140625" style="128" customWidth="1"/>
    <col min="13864" max="13864" width="3" style="128" customWidth="1"/>
    <col min="13865" max="13866" width="9.140625" style="128" customWidth="1"/>
    <col min="13867" max="13867" width="3.5703125" style="128" customWidth="1"/>
    <col min="13868" max="13869" width="9.140625" style="128" customWidth="1"/>
    <col min="13870" max="13870" width="3.85546875" style="128" customWidth="1"/>
    <col min="13871" max="13871" width="7.5703125" style="128" customWidth="1"/>
    <col min="13872" max="13872" width="9.5703125" style="128" customWidth="1"/>
    <col min="13873" max="13873" width="4.42578125" style="128" customWidth="1"/>
    <col min="13874" max="13875" width="9.140625" style="128" customWidth="1"/>
    <col min="13876" max="13876" width="4.140625" style="128" customWidth="1"/>
    <col min="13877" max="13878" width="9.140625" style="128" customWidth="1"/>
    <col min="13879" max="13879" width="5.42578125" style="128" customWidth="1"/>
    <col min="13880" max="13881" width="9.140625" style="128" customWidth="1"/>
    <col min="13882" max="13882" width="4" style="128" customWidth="1"/>
    <col min="13883" max="13884" width="9.140625" style="128" customWidth="1"/>
    <col min="13885" max="13885" width="3.85546875" style="128" customWidth="1"/>
    <col min="13886" max="13887" width="9.140625" style="128" customWidth="1"/>
    <col min="13888" max="13888" width="9" style="128" customWidth="1"/>
    <col min="13889" max="13890" width="9.140625" style="128" customWidth="1"/>
    <col min="13891" max="13891" width="4.5703125" style="128" customWidth="1"/>
    <col min="13892" max="13893" width="9.140625" style="128" customWidth="1"/>
    <col min="13894" max="13894" width="4.5703125" style="128" customWidth="1"/>
    <col min="13895" max="14080" width="9.140625" style="128"/>
    <col min="14081" max="14081" width="4.42578125" style="128" customWidth="1"/>
    <col min="14082" max="14082" width="7.5703125" style="128" customWidth="1"/>
    <col min="14083" max="14083" width="9.5703125" style="128" customWidth="1"/>
    <col min="14084" max="14084" width="3.85546875" style="128" customWidth="1"/>
    <col min="14085" max="14086" width="9.140625" style="128" customWidth="1"/>
    <col min="14087" max="14087" width="3.85546875" style="128" customWidth="1"/>
    <col min="14088" max="14089" width="9.140625" style="128" customWidth="1"/>
    <col min="14090" max="14090" width="3" style="128" customWidth="1"/>
    <col min="14091" max="14092" width="9.140625" style="128" customWidth="1"/>
    <col min="14093" max="14093" width="3.5703125" style="128" customWidth="1"/>
    <col min="14094" max="14095" width="9.140625" style="128" customWidth="1"/>
    <col min="14096" max="14096" width="3.85546875" style="128" customWidth="1"/>
    <col min="14097" max="14097" width="7.5703125" style="128" customWidth="1"/>
    <col min="14098" max="14098" width="9.5703125" style="128" customWidth="1"/>
    <col min="14099" max="14099" width="4.42578125" style="128" customWidth="1"/>
    <col min="14100" max="14101" width="9.140625" style="128" customWidth="1"/>
    <col min="14102" max="14102" width="4.140625" style="128" customWidth="1"/>
    <col min="14103" max="14104" width="9.140625" style="128" customWidth="1"/>
    <col min="14105" max="14105" width="5.42578125" style="128" customWidth="1"/>
    <col min="14106" max="14107" width="9.140625" style="128" customWidth="1"/>
    <col min="14108" max="14108" width="4" style="128" customWidth="1"/>
    <col min="14109" max="14110" width="9.140625" style="128" customWidth="1"/>
    <col min="14111" max="14111" width="4.42578125" style="128" customWidth="1"/>
    <col min="14112" max="14112" width="7.5703125" style="128" customWidth="1"/>
    <col min="14113" max="14113" width="9.5703125" style="128" customWidth="1"/>
    <col min="14114" max="14114" width="3.85546875" style="128" customWidth="1"/>
    <col min="14115" max="14116" width="9.140625" style="128" customWidth="1"/>
    <col min="14117" max="14117" width="3.85546875" style="128" customWidth="1"/>
    <col min="14118" max="14119" width="9.140625" style="128" customWidth="1"/>
    <col min="14120" max="14120" width="3" style="128" customWidth="1"/>
    <col min="14121" max="14122" width="9.140625" style="128" customWidth="1"/>
    <col min="14123" max="14123" width="3.5703125" style="128" customWidth="1"/>
    <col min="14124" max="14125" width="9.140625" style="128" customWidth="1"/>
    <col min="14126" max="14126" width="3.85546875" style="128" customWidth="1"/>
    <col min="14127" max="14127" width="7.5703125" style="128" customWidth="1"/>
    <col min="14128" max="14128" width="9.5703125" style="128" customWidth="1"/>
    <col min="14129" max="14129" width="4.42578125" style="128" customWidth="1"/>
    <col min="14130" max="14131" width="9.140625" style="128" customWidth="1"/>
    <col min="14132" max="14132" width="4.140625" style="128" customWidth="1"/>
    <col min="14133" max="14134" width="9.140625" style="128" customWidth="1"/>
    <col min="14135" max="14135" width="5.42578125" style="128" customWidth="1"/>
    <col min="14136" max="14137" width="9.140625" style="128" customWidth="1"/>
    <col min="14138" max="14138" width="4" style="128" customWidth="1"/>
    <col min="14139" max="14140" width="9.140625" style="128" customWidth="1"/>
    <col min="14141" max="14141" width="3.85546875" style="128" customWidth="1"/>
    <col min="14142" max="14143" width="9.140625" style="128" customWidth="1"/>
    <col min="14144" max="14144" width="9" style="128" customWidth="1"/>
    <col min="14145" max="14146" width="9.140625" style="128" customWidth="1"/>
    <col min="14147" max="14147" width="4.5703125" style="128" customWidth="1"/>
    <col min="14148" max="14149" width="9.140625" style="128" customWidth="1"/>
    <col min="14150" max="14150" width="4.5703125" style="128" customWidth="1"/>
    <col min="14151" max="14336" width="9.140625" style="128"/>
    <col min="14337" max="14337" width="4.42578125" style="128" customWidth="1"/>
    <col min="14338" max="14338" width="7.5703125" style="128" customWidth="1"/>
    <col min="14339" max="14339" width="9.5703125" style="128" customWidth="1"/>
    <col min="14340" max="14340" width="3.85546875" style="128" customWidth="1"/>
    <col min="14341" max="14342" width="9.140625" style="128" customWidth="1"/>
    <col min="14343" max="14343" width="3.85546875" style="128" customWidth="1"/>
    <col min="14344" max="14345" width="9.140625" style="128" customWidth="1"/>
    <col min="14346" max="14346" width="3" style="128" customWidth="1"/>
    <col min="14347" max="14348" width="9.140625" style="128" customWidth="1"/>
    <col min="14349" max="14349" width="3.5703125" style="128" customWidth="1"/>
    <col min="14350" max="14351" width="9.140625" style="128" customWidth="1"/>
    <col min="14352" max="14352" width="3.85546875" style="128" customWidth="1"/>
    <col min="14353" max="14353" width="7.5703125" style="128" customWidth="1"/>
    <col min="14354" max="14354" width="9.5703125" style="128" customWidth="1"/>
    <col min="14355" max="14355" width="4.42578125" style="128" customWidth="1"/>
    <col min="14356" max="14357" width="9.140625" style="128" customWidth="1"/>
    <col min="14358" max="14358" width="4.140625" style="128" customWidth="1"/>
    <col min="14359" max="14360" width="9.140625" style="128" customWidth="1"/>
    <col min="14361" max="14361" width="5.42578125" style="128" customWidth="1"/>
    <col min="14362" max="14363" width="9.140625" style="128" customWidth="1"/>
    <col min="14364" max="14364" width="4" style="128" customWidth="1"/>
    <col min="14365" max="14366" width="9.140625" style="128" customWidth="1"/>
    <col min="14367" max="14367" width="4.42578125" style="128" customWidth="1"/>
    <col min="14368" max="14368" width="7.5703125" style="128" customWidth="1"/>
    <col min="14369" max="14369" width="9.5703125" style="128" customWidth="1"/>
    <col min="14370" max="14370" width="3.85546875" style="128" customWidth="1"/>
    <col min="14371" max="14372" width="9.140625" style="128" customWidth="1"/>
    <col min="14373" max="14373" width="3.85546875" style="128" customWidth="1"/>
    <col min="14374" max="14375" width="9.140625" style="128" customWidth="1"/>
    <col min="14376" max="14376" width="3" style="128" customWidth="1"/>
    <col min="14377" max="14378" width="9.140625" style="128" customWidth="1"/>
    <col min="14379" max="14379" width="3.5703125" style="128" customWidth="1"/>
    <col min="14380" max="14381" width="9.140625" style="128" customWidth="1"/>
    <col min="14382" max="14382" width="3.85546875" style="128" customWidth="1"/>
    <col min="14383" max="14383" width="7.5703125" style="128" customWidth="1"/>
    <col min="14384" max="14384" width="9.5703125" style="128" customWidth="1"/>
    <col min="14385" max="14385" width="4.42578125" style="128" customWidth="1"/>
    <col min="14386" max="14387" width="9.140625" style="128" customWidth="1"/>
    <col min="14388" max="14388" width="4.140625" style="128" customWidth="1"/>
    <col min="14389" max="14390" width="9.140625" style="128" customWidth="1"/>
    <col min="14391" max="14391" width="5.42578125" style="128" customWidth="1"/>
    <col min="14392" max="14393" width="9.140625" style="128" customWidth="1"/>
    <col min="14394" max="14394" width="4" style="128" customWidth="1"/>
    <col min="14395" max="14396" width="9.140625" style="128" customWidth="1"/>
    <col min="14397" max="14397" width="3.85546875" style="128" customWidth="1"/>
    <col min="14398" max="14399" width="9.140625" style="128" customWidth="1"/>
    <col min="14400" max="14400" width="9" style="128" customWidth="1"/>
    <col min="14401" max="14402" width="9.140625" style="128" customWidth="1"/>
    <col min="14403" max="14403" width="4.5703125" style="128" customWidth="1"/>
    <col min="14404" max="14405" width="9.140625" style="128" customWidth="1"/>
    <col min="14406" max="14406" width="4.5703125" style="128" customWidth="1"/>
    <col min="14407" max="14592" width="9.140625" style="128"/>
    <col min="14593" max="14593" width="4.42578125" style="128" customWidth="1"/>
    <col min="14594" max="14594" width="7.5703125" style="128" customWidth="1"/>
    <col min="14595" max="14595" width="9.5703125" style="128" customWidth="1"/>
    <col min="14596" max="14596" width="3.85546875" style="128" customWidth="1"/>
    <col min="14597" max="14598" width="9.140625" style="128" customWidth="1"/>
    <col min="14599" max="14599" width="3.85546875" style="128" customWidth="1"/>
    <col min="14600" max="14601" width="9.140625" style="128" customWidth="1"/>
    <col min="14602" max="14602" width="3" style="128" customWidth="1"/>
    <col min="14603" max="14604" width="9.140625" style="128" customWidth="1"/>
    <col min="14605" max="14605" width="3.5703125" style="128" customWidth="1"/>
    <col min="14606" max="14607" width="9.140625" style="128" customWidth="1"/>
    <col min="14608" max="14608" width="3.85546875" style="128" customWidth="1"/>
    <col min="14609" max="14609" width="7.5703125" style="128" customWidth="1"/>
    <col min="14610" max="14610" width="9.5703125" style="128" customWidth="1"/>
    <col min="14611" max="14611" width="4.42578125" style="128" customWidth="1"/>
    <col min="14612" max="14613" width="9.140625" style="128" customWidth="1"/>
    <col min="14614" max="14614" width="4.140625" style="128" customWidth="1"/>
    <col min="14615" max="14616" width="9.140625" style="128" customWidth="1"/>
    <col min="14617" max="14617" width="5.42578125" style="128" customWidth="1"/>
    <col min="14618" max="14619" width="9.140625" style="128" customWidth="1"/>
    <col min="14620" max="14620" width="4" style="128" customWidth="1"/>
    <col min="14621" max="14622" width="9.140625" style="128" customWidth="1"/>
    <col min="14623" max="14623" width="4.42578125" style="128" customWidth="1"/>
    <col min="14624" max="14624" width="7.5703125" style="128" customWidth="1"/>
    <col min="14625" max="14625" width="9.5703125" style="128" customWidth="1"/>
    <col min="14626" max="14626" width="3.85546875" style="128" customWidth="1"/>
    <col min="14627" max="14628" width="9.140625" style="128" customWidth="1"/>
    <col min="14629" max="14629" width="3.85546875" style="128" customWidth="1"/>
    <col min="14630" max="14631" width="9.140625" style="128" customWidth="1"/>
    <col min="14632" max="14632" width="3" style="128" customWidth="1"/>
    <col min="14633" max="14634" width="9.140625" style="128" customWidth="1"/>
    <col min="14635" max="14635" width="3.5703125" style="128" customWidth="1"/>
    <col min="14636" max="14637" width="9.140625" style="128" customWidth="1"/>
    <col min="14638" max="14638" width="3.85546875" style="128" customWidth="1"/>
    <col min="14639" max="14639" width="7.5703125" style="128" customWidth="1"/>
    <col min="14640" max="14640" width="9.5703125" style="128" customWidth="1"/>
    <col min="14641" max="14641" width="4.42578125" style="128" customWidth="1"/>
    <col min="14642" max="14643" width="9.140625" style="128" customWidth="1"/>
    <col min="14644" max="14644" width="4.140625" style="128" customWidth="1"/>
    <col min="14645" max="14646" width="9.140625" style="128" customWidth="1"/>
    <col min="14647" max="14647" width="5.42578125" style="128" customWidth="1"/>
    <col min="14648" max="14649" width="9.140625" style="128" customWidth="1"/>
    <col min="14650" max="14650" width="4" style="128" customWidth="1"/>
    <col min="14651" max="14652" width="9.140625" style="128" customWidth="1"/>
    <col min="14653" max="14653" width="3.85546875" style="128" customWidth="1"/>
    <col min="14654" max="14655" width="9.140625" style="128" customWidth="1"/>
    <col min="14656" max="14656" width="9" style="128" customWidth="1"/>
    <col min="14657" max="14658" width="9.140625" style="128" customWidth="1"/>
    <col min="14659" max="14659" width="4.5703125" style="128" customWidth="1"/>
    <col min="14660" max="14661" width="9.140625" style="128" customWidth="1"/>
    <col min="14662" max="14662" width="4.5703125" style="128" customWidth="1"/>
    <col min="14663" max="14848" width="9.140625" style="128"/>
    <col min="14849" max="14849" width="4.42578125" style="128" customWidth="1"/>
    <col min="14850" max="14850" width="7.5703125" style="128" customWidth="1"/>
    <col min="14851" max="14851" width="9.5703125" style="128" customWidth="1"/>
    <col min="14852" max="14852" width="3.85546875" style="128" customWidth="1"/>
    <col min="14853" max="14854" width="9.140625" style="128" customWidth="1"/>
    <col min="14855" max="14855" width="3.85546875" style="128" customWidth="1"/>
    <col min="14856" max="14857" width="9.140625" style="128" customWidth="1"/>
    <col min="14858" max="14858" width="3" style="128" customWidth="1"/>
    <col min="14859" max="14860" width="9.140625" style="128" customWidth="1"/>
    <col min="14861" max="14861" width="3.5703125" style="128" customWidth="1"/>
    <col min="14862" max="14863" width="9.140625" style="128" customWidth="1"/>
    <col min="14864" max="14864" width="3.85546875" style="128" customWidth="1"/>
    <col min="14865" max="14865" width="7.5703125" style="128" customWidth="1"/>
    <col min="14866" max="14866" width="9.5703125" style="128" customWidth="1"/>
    <col min="14867" max="14867" width="4.42578125" style="128" customWidth="1"/>
    <col min="14868" max="14869" width="9.140625" style="128" customWidth="1"/>
    <col min="14870" max="14870" width="4.140625" style="128" customWidth="1"/>
    <col min="14871" max="14872" width="9.140625" style="128" customWidth="1"/>
    <col min="14873" max="14873" width="5.42578125" style="128" customWidth="1"/>
    <col min="14874" max="14875" width="9.140625" style="128" customWidth="1"/>
    <col min="14876" max="14876" width="4" style="128" customWidth="1"/>
    <col min="14877" max="14878" width="9.140625" style="128" customWidth="1"/>
    <col min="14879" max="14879" width="4.42578125" style="128" customWidth="1"/>
    <col min="14880" max="14880" width="7.5703125" style="128" customWidth="1"/>
    <col min="14881" max="14881" width="9.5703125" style="128" customWidth="1"/>
    <col min="14882" max="14882" width="3.85546875" style="128" customWidth="1"/>
    <col min="14883" max="14884" width="9.140625" style="128" customWidth="1"/>
    <col min="14885" max="14885" width="3.85546875" style="128" customWidth="1"/>
    <col min="14886" max="14887" width="9.140625" style="128" customWidth="1"/>
    <col min="14888" max="14888" width="3" style="128" customWidth="1"/>
    <col min="14889" max="14890" width="9.140625" style="128" customWidth="1"/>
    <col min="14891" max="14891" width="3.5703125" style="128" customWidth="1"/>
    <col min="14892" max="14893" width="9.140625" style="128" customWidth="1"/>
    <col min="14894" max="14894" width="3.85546875" style="128" customWidth="1"/>
    <col min="14895" max="14895" width="7.5703125" style="128" customWidth="1"/>
    <col min="14896" max="14896" width="9.5703125" style="128" customWidth="1"/>
    <col min="14897" max="14897" width="4.42578125" style="128" customWidth="1"/>
    <col min="14898" max="14899" width="9.140625" style="128" customWidth="1"/>
    <col min="14900" max="14900" width="4.140625" style="128" customWidth="1"/>
    <col min="14901" max="14902" width="9.140625" style="128" customWidth="1"/>
    <col min="14903" max="14903" width="5.42578125" style="128" customWidth="1"/>
    <col min="14904" max="14905" width="9.140625" style="128" customWidth="1"/>
    <col min="14906" max="14906" width="4" style="128" customWidth="1"/>
    <col min="14907" max="14908" width="9.140625" style="128" customWidth="1"/>
    <col min="14909" max="14909" width="3.85546875" style="128" customWidth="1"/>
    <col min="14910" max="14911" width="9.140625" style="128" customWidth="1"/>
    <col min="14912" max="14912" width="9" style="128" customWidth="1"/>
    <col min="14913" max="14914" width="9.140625" style="128" customWidth="1"/>
    <col min="14915" max="14915" width="4.5703125" style="128" customWidth="1"/>
    <col min="14916" max="14917" width="9.140625" style="128" customWidth="1"/>
    <col min="14918" max="14918" width="4.5703125" style="128" customWidth="1"/>
    <col min="14919" max="15104" width="9.140625" style="128"/>
    <col min="15105" max="15105" width="4.42578125" style="128" customWidth="1"/>
    <col min="15106" max="15106" width="7.5703125" style="128" customWidth="1"/>
    <col min="15107" max="15107" width="9.5703125" style="128" customWidth="1"/>
    <col min="15108" max="15108" width="3.85546875" style="128" customWidth="1"/>
    <col min="15109" max="15110" width="9.140625" style="128" customWidth="1"/>
    <col min="15111" max="15111" width="3.85546875" style="128" customWidth="1"/>
    <col min="15112" max="15113" width="9.140625" style="128" customWidth="1"/>
    <col min="15114" max="15114" width="3" style="128" customWidth="1"/>
    <col min="15115" max="15116" width="9.140625" style="128" customWidth="1"/>
    <col min="15117" max="15117" width="3.5703125" style="128" customWidth="1"/>
    <col min="15118" max="15119" width="9.140625" style="128" customWidth="1"/>
    <col min="15120" max="15120" width="3.85546875" style="128" customWidth="1"/>
    <col min="15121" max="15121" width="7.5703125" style="128" customWidth="1"/>
    <col min="15122" max="15122" width="9.5703125" style="128" customWidth="1"/>
    <col min="15123" max="15123" width="4.42578125" style="128" customWidth="1"/>
    <col min="15124" max="15125" width="9.140625" style="128" customWidth="1"/>
    <col min="15126" max="15126" width="4.140625" style="128" customWidth="1"/>
    <col min="15127" max="15128" width="9.140625" style="128" customWidth="1"/>
    <col min="15129" max="15129" width="5.42578125" style="128" customWidth="1"/>
    <col min="15130" max="15131" width="9.140625" style="128" customWidth="1"/>
    <col min="15132" max="15132" width="4" style="128" customWidth="1"/>
    <col min="15133" max="15134" width="9.140625" style="128" customWidth="1"/>
    <col min="15135" max="15135" width="4.42578125" style="128" customWidth="1"/>
    <col min="15136" max="15136" width="7.5703125" style="128" customWidth="1"/>
    <col min="15137" max="15137" width="9.5703125" style="128" customWidth="1"/>
    <col min="15138" max="15138" width="3.85546875" style="128" customWidth="1"/>
    <col min="15139" max="15140" width="9.140625" style="128" customWidth="1"/>
    <col min="15141" max="15141" width="3.85546875" style="128" customWidth="1"/>
    <col min="15142" max="15143" width="9.140625" style="128" customWidth="1"/>
    <col min="15144" max="15144" width="3" style="128" customWidth="1"/>
    <col min="15145" max="15146" width="9.140625" style="128" customWidth="1"/>
    <col min="15147" max="15147" width="3.5703125" style="128" customWidth="1"/>
    <col min="15148" max="15149" width="9.140625" style="128" customWidth="1"/>
    <col min="15150" max="15150" width="3.85546875" style="128" customWidth="1"/>
    <col min="15151" max="15151" width="7.5703125" style="128" customWidth="1"/>
    <col min="15152" max="15152" width="9.5703125" style="128" customWidth="1"/>
    <col min="15153" max="15153" width="4.42578125" style="128" customWidth="1"/>
    <col min="15154" max="15155" width="9.140625" style="128" customWidth="1"/>
    <col min="15156" max="15156" width="4.140625" style="128" customWidth="1"/>
    <col min="15157" max="15158" width="9.140625" style="128" customWidth="1"/>
    <col min="15159" max="15159" width="5.42578125" style="128" customWidth="1"/>
    <col min="15160" max="15161" width="9.140625" style="128" customWidth="1"/>
    <col min="15162" max="15162" width="4" style="128" customWidth="1"/>
    <col min="15163" max="15164" width="9.140625" style="128" customWidth="1"/>
    <col min="15165" max="15165" width="3.85546875" style="128" customWidth="1"/>
    <col min="15166" max="15167" width="9.140625" style="128" customWidth="1"/>
    <col min="15168" max="15168" width="9" style="128" customWidth="1"/>
    <col min="15169" max="15170" width="9.140625" style="128" customWidth="1"/>
    <col min="15171" max="15171" width="4.5703125" style="128" customWidth="1"/>
    <col min="15172" max="15173" width="9.140625" style="128" customWidth="1"/>
    <col min="15174" max="15174" width="4.5703125" style="128" customWidth="1"/>
    <col min="15175" max="15360" width="9.140625" style="128"/>
    <col min="15361" max="15361" width="4.42578125" style="128" customWidth="1"/>
    <col min="15362" max="15362" width="7.5703125" style="128" customWidth="1"/>
    <col min="15363" max="15363" width="9.5703125" style="128" customWidth="1"/>
    <col min="15364" max="15364" width="3.85546875" style="128" customWidth="1"/>
    <col min="15365" max="15366" width="9.140625" style="128" customWidth="1"/>
    <col min="15367" max="15367" width="3.85546875" style="128" customWidth="1"/>
    <col min="15368" max="15369" width="9.140625" style="128" customWidth="1"/>
    <col min="15370" max="15370" width="3" style="128" customWidth="1"/>
    <col min="15371" max="15372" width="9.140625" style="128" customWidth="1"/>
    <col min="15373" max="15373" width="3.5703125" style="128" customWidth="1"/>
    <col min="15374" max="15375" width="9.140625" style="128" customWidth="1"/>
    <col min="15376" max="15376" width="3.85546875" style="128" customWidth="1"/>
    <col min="15377" max="15377" width="7.5703125" style="128" customWidth="1"/>
    <col min="15378" max="15378" width="9.5703125" style="128" customWidth="1"/>
    <col min="15379" max="15379" width="4.42578125" style="128" customWidth="1"/>
    <col min="15380" max="15381" width="9.140625" style="128" customWidth="1"/>
    <col min="15382" max="15382" width="4.140625" style="128" customWidth="1"/>
    <col min="15383" max="15384" width="9.140625" style="128" customWidth="1"/>
    <col min="15385" max="15385" width="5.42578125" style="128" customWidth="1"/>
    <col min="15386" max="15387" width="9.140625" style="128" customWidth="1"/>
    <col min="15388" max="15388" width="4" style="128" customWidth="1"/>
    <col min="15389" max="15390" width="9.140625" style="128" customWidth="1"/>
    <col min="15391" max="15391" width="4.42578125" style="128" customWidth="1"/>
    <col min="15392" max="15392" width="7.5703125" style="128" customWidth="1"/>
    <col min="15393" max="15393" width="9.5703125" style="128" customWidth="1"/>
    <col min="15394" max="15394" width="3.85546875" style="128" customWidth="1"/>
    <col min="15395" max="15396" width="9.140625" style="128" customWidth="1"/>
    <col min="15397" max="15397" width="3.85546875" style="128" customWidth="1"/>
    <col min="15398" max="15399" width="9.140625" style="128" customWidth="1"/>
    <col min="15400" max="15400" width="3" style="128" customWidth="1"/>
    <col min="15401" max="15402" width="9.140625" style="128" customWidth="1"/>
    <col min="15403" max="15403" width="3.5703125" style="128" customWidth="1"/>
    <col min="15404" max="15405" width="9.140625" style="128" customWidth="1"/>
    <col min="15406" max="15406" width="3.85546875" style="128" customWidth="1"/>
    <col min="15407" max="15407" width="7.5703125" style="128" customWidth="1"/>
    <col min="15408" max="15408" width="9.5703125" style="128" customWidth="1"/>
    <col min="15409" max="15409" width="4.42578125" style="128" customWidth="1"/>
    <col min="15410" max="15411" width="9.140625" style="128" customWidth="1"/>
    <col min="15412" max="15412" width="4.140625" style="128" customWidth="1"/>
    <col min="15413" max="15414" width="9.140625" style="128" customWidth="1"/>
    <col min="15415" max="15415" width="5.42578125" style="128" customWidth="1"/>
    <col min="15416" max="15417" width="9.140625" style="128" customWidth="1"/>
    <col min="15418" max="15418" width="4" style="128" customWidth="1"/>
    <col min="15419" max="15420" width="9.140625" style="128" customWidth="1"/>
    <col min="15421" max="15421" width="3.85546875" style="128" customWidth="1"/>
    <col min="15422" max="15423" width="9.140625" style="128" customWidth="1"/>
    <col min="15424" max="15424" width="9" style="128" customWidth="1"/>
    <col min="15425" max="15426" width="9.140625" style="128" customWidth="1"/>
    <col min="15427" max="15427" width="4.5703125" style="128" customWidth="1"/>
    <col min="15428" max="15429" width="9.140625" style="128" customWidth="1"/>
    <col min="15430" max="15430" width="4.5703125" style="128" customWidth="1"/>
    <col min="15431" max="15616" width="9.140625" style="128"/>
    <col min="15617" max="15617" width="4.42578125" style="128" customWidth="1"/>
    <col min="15618" max="15618" width="7.5703125" style="128" customWidth="1"/>
    <col min="15619" max="15619" width="9.5703125" style="128" customWidth="1"/>
    <col min="15620" max="15620" width="3.85546875" style="128" customWidth="1"/>
    <col min="15621" max="15622" width="9.140625" style="128" customWidth="1"/>
    <col min="15623" max="15623" width="3.85546875" style="128" customWidth="1"/>
    <col min="15624" max="15625" width="9.140625" style="128" customWidth="1"/>
    <col min="15626" max="15626" width="3" style="128" customWidth="1"/>
    <col min="15627" max="15628" width="9.140625" style="128" customWidth="1"/>
    <col min="15629" max="15629" width="3.5703125" style="128" customWidth="1"/>
    <col min="15630" max="15631" width="9.140625" style="128" customWidth="1"/>
    <col min="15632" max="15632" width="3.85546875" style="128" customWidth="1"/>
    <col min="15633" max="15633" width="7.5703125" style="128" customWidth="1"/>
    <col min="15634" max="15634" width="9.5703125" style="128" customWidth="1"/>
    <col min="15635" max="15635" width="4.42578125" style="128" customWidth="1"/>
    <col min="15636" max="15637" width="9.140625" style="128" customWidth="1"/>
    <col min="15638" max="15638" width="4.140625" style="128" customWidth="1"/>
    <col min="15639" max="15640" width="9.140625" style="128" customWidth="1"/>
    <col min="15641" max="15641" width="5.42578125" style="128" customWidth="1"/>
    <col min="15642" max="15643" width="9.140625" style="128" customWidth="1"/>
    <col min="15644" max="15644" width="4" style="128" customWidth="1"/>
    <col min="15645" max="15646" width="9.140625" style="128" customWidth="1"/>
    <col min="15647" max="15647" width="4.42578125" style="128" customWidth="1"/>
    <col min="15648" max="15648" width="7.5703125" style="128" customWidth="1"/>
    <col min="15649" max="15649" width="9.5703125" style="128" customWidth="1"/>
    <col min="15650" max="15650" width="3.85546875" style="128" customWidth="1"/>
    <col min="15651" max="15652" width="9.140625" style="128" customWidth="1"/>
    <col min="15653" max="15653" width="3.85546875" style="128" customWidth="1"/>
    <col min="15654" max="15655" width="9.140625" style="128" customWidth="1"/>
    <col min="15656" max="15656" width="3" style="128" customWidth="1"/>
    <col min="15657" max="15658" width="9.140625" style="128" customWidth="1"/>
    <col min="15659" max="15659" width="3.5703125" style="128" customWidth="1"/>
    <col min="15660" max="15661" width="9.140625" style="128" customWidth="1"/>
    <col min="15662" max="15662" width="3.85546875" style="128" customWidth="1"/>
    <col min="15663" max="15663" width="7.5703125" style="128" customWidth="1"/>
    <col min="15664" max="15664" width="9.5703125" style="128" customWidth="1"/>
    <col min="15665" max="15665" width="4.42578125" style="128" customWidth="1"/>
    <col min="15666" max="15667" width="9.140625" style="128" customWidth="1"/>
    <col min="15668" max="15668" width="4.140625" style="128" customWidth="1"/>
    <col min="15669" max="15670" width="9.140625" style="128" customWidth="1"/>
    <col min="15671" max="15671" width="5.42578125" style="128" customWidth="1"/>
    <col min="15672" max="15673" width="9.140625" style="128" customWidth="1"/>
    <col min="15674" max="15674" width="4" style="128" customWidth="1"/>
    <col min="15675" max="15676" width="9.140625" style="128" customWidth="1"/>
    <col min="15677" max="15677" width="3.85546875" style="128" customWidth="1"/>
    <col min="15678" max="15679" width="9.140625" style="128" customWidth="1"/>
    <col min="15680" max="15680" width="9" style="128" customWidth="1"/>
    <col min="15681" max="15682" width="9.140625" style="128" customWidth="1"/>
    <col min="15683" max="15683" width="4.5703125" style="128" customWidth="1"/>
    <col min="15684" max="15685" width="9.140625" style="128" customWidth="1"/>
    <col min="15686" max="15686" width="4.5703125" style="128" customWidth="1"/>
    <col min="15687" max="15872" width="9.140625" style="128"/>
    <col min="15873" max="15873" width="4.42578125" style="128" customWidth="1"/>
    <col min="15874" max="15874" width="7.5703125" style="128" customWidth="1"/>
    <col min="15875" max="15875" width="9.5703125" style="128" customWidth="1"/>
    <col min="15876" max="15876" width="3.85546875" style="128" customWidth="1"/>
    <col min="15877" max="15878" width="9.140625" style="128" customWidth="1"/>
    <col min="15879" max="15879" width="3.85546875" style="128" customWidth="1"/>
    <col min="15880" max="15881" width="9.140625" style="128" customWidth="1"/>
    <col min="15882" max="15882" width="3" style="128" customWidth="1"/>
    <col min="15883" max="15884" width="9.140625" style="128" customWidth="1"/>
    <col min="15885" max="15885" width="3.5703125" style="128" customWidth="1"/>
    <col min="15886" max="15887" width="9.140625" style="128" customWidth="1"/>
    <col min="15888" max="15888" width="3.85546875" style="128" customWidth="1"/>
    <col min="15889" max="15889" width="7.5703125" style="128" customWidth="1"/>
    <col min="15890" max="15890" width="9.5703125" style="128" customWidth="1"/>
    <col min="15891" max="15891" width="4.42578125" style="128" customWidth="1"/>
    <col min="15892" max="15893" width="9.140625" style="128" customWidth="1"/>
    <col min="15894" max="15894" width="4.140625" style="128" customWidth="1"/>
    <col min="15895" max="15896" width="9.140625" style="128" customWidth="1"/>
    <col min="15897" max="15897" width="5.42578125" style="128" customWidth="1"/>
    <col min="15898" max="15899" width="9.140625" style="128" customWidth="1"/>
    <col min="15900" max="15900" width="4" style="128" customWidth="1"/>
    <col min="15901" max="15902" width="9.140625" style="128" customWidth="1"/>
    <col min="15903" max="15903" width="4.42578125" style="128" customWidth="1"/>
    <col min="15904" max="15904" width="7.5703125" style="128" customWidth="1"/>
    <col min="15905" max="15905" width="9.5703125" style="128" customWidth="1"/>
    <col min="15906" max="15906" width="3.85546875" style="128" customWidth="1"/>
    <col min="15907" max="15908" width="9.140625" style="128" customWidth="1"/>
    <col min="15909" max="15909" width="3.85546875" style="128" customWidth="1"/>
    <col min="15910" max="15911" width="9.140625" style="128" customWidth="1"/>
    <col min="15912" max="15912" width="3" style="128" customWidth="1"/>
    <col min="15913" max="15914" width="9.140625" style="128" customWidth="1"/>
    <col min="15915" max="15915" width="3.5703125" style="128" customWidth="1"/>
    <col min="15916" max="15917" width="9.140625" style="128" customWidth="1"/>
    <col min="15918" max="15918" width="3.85546875" style="128" customWidth="1"/>
    <col min="15919" max="15919" width="7.5703125" style="128" customWidth="1"/>
    <col min="15920" max="15920" width="9.5703125" style="128" customWidth="1"/>
    <col min="15921" max="15921" width="4.42578125" style="128" customWidth="1"/>
    <col min="15922" max="15923" width="9.140625" style="128" customWidth="1"/>
    <col min="15924" max="15924" width="4.140625" style="128" customWidth="1"/>
    <col min="15925" max="15926" width="9.140625" style="128" customWidth="1"/>
    <col min="15927" max="15927" width="5.42578125" style="128" customWidth="1"/>
    <col min="15928" max="15929" width="9.140625" style="128" customWidth="1"/>
    <col min="15930" max="15930" width="4" style="128" customWidth="1"/>
    <col min="15931" max="15932" width="9.140625" style="128" customWidth="1"/>
    <col min="15933" max="15933" width="3.85546875" style="128" customWidth="1"/>
    <col min="15934" max="15935" width="9.140625" style="128" customWidth="1"/>
    <col min="15936" max="15936" width="9" style="128" customWidth="1"/>
    <col min="15937" max="15938" width="9.140625" style="128" customWidth="1"/>
    <col min="15939" max="15939" width="4.5703125" style="128" customWidth="1"/>
    <col min="15940" max="15941" width="9.140625" style="128" customWidth="1"/>
    <col min="15942" max="15942" width="4.5703125" style="128" customWidth="1"/>
    <col min="15943" max="16128" width="9.140625" style="128"/>
    <col min="16129" max="16129" width="4.42578125" style="128" customWidth="1"/>
    <col min="16130" max="16130" width="7.5703125" style="128" customWidth="1"/>
    <col min="16131" max="16131" width="9.5703125" style="128" customWidth="1"/>
    <col min="16132" max="16132" width="3.85546875" style="128" customWidth="1"/>
    <col min="16133" max="16134" width="9.140625" style="128" customWidth="1"/>
    <col min="16135" max="16135" width="3.85546875" style="128" customWidth="1"/>
    <col min="16136" max="16137" width="9.140625" style="128" customWidth="1"/>
    <col min="16138" max="16138" width="3" style="128" customWidth="1"/>
    <col min="16139" max="16140" width="9.140625" style="128" customWidth="1"/>
    <col min="16141" max="16141" width="3.5703125" style="128" customWidth="1"/>
    <col min="16142" max="16143" width="9.140625" style="128" customWidth="1"/>
    <col min="16144" max="16144" width="3.85546875" style="128" customWidth="1"/>
    <col min="16145" max="16145" width="7.5703125" style="128" customWidth="1"/>
    <col min="16146" max="16146" width="9.5703125" style="128" customWidth="1"/>
    <col min="16147" max="16147" width="4.42578125" style="128" customWidth="1"/>
    <col min="16148" max="16149" width="9.140625" style="128" customWidth="1"/>
    <col min="16150" max="16150" width="4.140625" style="128" customWidth="1"/>
    <col min="16151" max="16152" width="9.140625" style="128" customWidth="1"/>
    <col min="16153" max="16153" width="5.42578125" style="128" customWidth="1"/>
    <col min="16154" max="16155" width="9.140625" style="128" customWidth="1"/>
    <col min="16156" max="16156" width="4" style="128" customWidth="1"/>
    <col min="16157" max="16158" width="9.140625" style="128" customWidth="1"/>
    <col min="16159" max="16159" width="4.42578125" style="128" customWidth="1"/>
    <col min="16160" max="16160" width="7.5703125" style="128" customWidth="1"/>
    <col min="16161" max="16161" width="9.5703125" style="128" customWidth="1"/>
    <col min="16162" max="16162" width="3.85546875" style="128" customWidth="1"/>
    <col min="16163" max="16164" width="9.140625" style="128" customWidth="1"/>
    <col min="16165" max="16165" width="3.85546875" style="128" customWidth="1"/>
    <col min="16166" max="16167" width="9.140625" style="128" customWidth="1"/>
    <col min="16168" max="16168" width="3" style="128" customWidth="1"/>
    <col min="16169" max="16170" width="9.140625" style="128" customWidth="1"/>
    <col min="16171" max="16171" width="3.5703125" style="128" customWidth="1"/>
    <col min="16172" max="16173" width="9.140625" style="128" customWidth="1"/>
    <col min="16174" max="16174" width="3.85546875" style="128" customWidth="1"/>
    <col min="16175" max="16175" width="7.5703125" style="128" customWidth="1"/>
    <col min="16176" max="16176" width="9.5703125" style="128" customWidth="1"/>
    <col min="16177" max="16177" width="4.42578125" style="128" customWidth="1"/>
    <col min="16178" max="16179" width="9.140625" style="128" customWidth="1"/>
    <col min="16180" max="16180" width="4.140625" style="128" customWidth="1"/>
    <col min="16181" max="16182" width="9.140625" style="128" customWidth="1"/>
    <col min="16183" max="16183" width="5.42578125" style="128" customWidth="1"/>
    <col min="16184" max="16185" width="9.140625" style="128" customWidth="1"/>
    <col min="16186" max="16186" width="4" style="128" customWidth="1"/>
    <col min="16187" max="16188" width="9.140625" style="128" customWidth="1"/>
    <col min="16189" max="16189" width="3.85546875" style="128" customWidth="1"/>
    <col min="16190" max="16191" width="9.140625" style="128" customWidth="1"/>
    <col min="16192" max="16192" width="9" style="128" customWidth="1"/>
    <col min="16193" max="16194" width="9.140625" style="128" customWidth="1"/>
    <col min="16195" max="16195" width="4.5703125" style="128" customWidth="1"/>
    <col min="16196" max="16197" width="9.140625" style="128" customWidth="1"/>
    <col min="16198" max="16198" width="4.5703125" style="128" customWidth="1"/>
    <col min="16199" max="16384" width="9.140625" style="128"/>
  </cols>
  <sheetData>
    <row r="1" spans="2:72" x14ac:dyDescent="0.2">
      <c r="B1" s="127">
        <v>1</v>
      </c>
      <c r="C1" s="127"/>
      <c r="E1" s="127">
        <v>2</v>
      </c>
      <c r="F1" s="127"/>
      <c r="H1" s="127">
        <v>3</v>
      </c>
      <c r="I1" s="127"/>
      <c r="K1" s="127">
        <v>4</v>
      </c>
      <c r="L1" s="127"/>
      <c r="N1" s="127">
        <v>5</v>
      </c>
      <c r="O1" s="127"/>
      <c r="Q1" s="127">
        <v>6</v>
      </c>
      <c r="R1" s="127"/>
      <c r="T1" s="127">
        <v>7</v>
      </c>
      <c r="U1" s="127"/>
      <c r="W1" s="127">
        <v>8</v>
      </c>
      <c r="X1" s="127"/>
      <c r="Z1" s="127">
        <v>9</v>
      </c>
      <c r="AA1" s="127"/>
      <c r="AC1" s="127">
        <v>10</v>
      </c>
      <c r="AD1" s="127"/>
      <c r="AF1" s="127">
        <v>11</v>
      </c>
      <c r="AG1" s="127"/>
      <c r="AI1" s="127">
        <v>12</v>
      </c>
      <c r="AJ1" s="127"/>
      <c r="AL1" s="127">
        <v>13</v>
      </c>
      <c r="AM1" s="127"/>
      <c r="AO1" s="127">
        <v>14</v>
      </c>
      <c r="AP1" s="127"/>
      <c r="AR1" s="127">
        <v>15</v>
      </c>
      <c r="AS1" s="127"/>
      <c r="AU1" s="127">
        <v>16</v>
      </c>
      <c r="AV1" s="127"/>
      <c r="AX1" s="127">
        <v>17</v>
      </c>
      <c r="AY1" s="127"/>
      <c r="BA1" s="127">
        <v>18</v>
      </c>
      <c r="BB1" s="127"/>
      <c r="BD1" s="127">
        <v>19</v>
      </c>
      <c r="BE1" s="127"/>
      <c r="BG1" s="127">
        <v>20</v>
      </c>
      <c r="BH1" s="127"/>
      <c r="BJ1" s="127">
        <v>21</v>
      </c>
      <c r="BK1" s="127"/>
      <c r="BM1" s="127">
        <v>22</v>
      </c>
      <c r="BN1" s="127"/>
      <c r="BP1" s="127">
        <v>23</v>
      </c>
      <c r="BQ1" s="127"/>
      <c r="BS1" s="127">
        <v>24</v>
      </c>
      <c r="BT1" s="127"/>
    </row>
    <row r="2" spans="2:72" ht="13.5" thickBot="1" x14ac:dyDescent="0.25">
      <c r="C2" s="127">
        <f>'Statistical Process Control'!D3</f>
        <v>25</v>
      </c>
      <c r="F2" s="129">
        <f>F4-C4</f>
        <v>20</v>
      </c>
      <c r="I2" s="129">
        <f>I4-F4</f>
        <v>20</v>
      </c>
      <c r="L2" s="129">
        <f>L4-I4</f>
        <v>20</v>
      </c>
      <c r="O2" s="129">
        <f>O4-L4</f>
        <v>20</v>
      </c>
      <c r="R2" s="129">
        <f>R4-O4</f>
        <v>20</v>
      </c>
      <c r="U2" s="129">
        <f>U4-R4</f>
        <v>20</v>
      </c>
      <c r="X2" s="129">
        <f>X4-U4</f>
        <v>20</v>
      </c>
      <c r="AA2" s="129">
        <f>AA4-X4</f>
        <v>20</v>
      </c>
      <c r="AD2" s="129">
        <f>AD4-AA4</f>
        <v>20</v>
      </c>
      <c r="AG2" s="129">
        <f>AG4-AD4</f>
        <v>20</v>
      </c>
      <c r="AJ2" s="129">
        <f>AJ4-AG4</f>
        <v>20</v>
      </c>
      <c r="AM2" s="129">
        <f>AM4-AJ4</f>
        <v>20</v>
      </c>
      <c r="AP2" s="129">
        <f>AP4-AM4</f>
        <v>20</v>
      </c>
      <c r="AS2" s="129">
        <f>AS4-AP4</f>
        <v>20</v>
      </c>
      <c r="AV2" s="129">
        <f>AV4-AS4</f>
        <v>20</v>
      </c>
      <c r="AY2" s="129">
        <f>AY4-AV4</f>
        <v>20</v>
      </c>
      <c r="BB2" s="129">
        <f>BB4-AY4</f>
        <v>20</v>
      </c>
      <c r="BE2" s="129">
        <f>BE4-BB4</f>
        <v>20</v>
      </c>
      <c r="BH2" s="129">
        <f>BH4-BE4</f>
        <v>20</v>
      </c>
      <c r="BK2" s="129">
        <f>BK4-BH4</f>
        <v>20</v>
      </c>
      <c r="BN2" s="129">
        <f>BN4-BK4</f>
        <v>20</v>
      </c>
      <c r="BQ2" s="129">
        <f>BQ4-BN4</f>
        <v>20</v>
      </c>
      <c r="BT2" s="129">
        <f>BT4-BQ4</f>
        <v>20</v>
      </c>
    </row>
    <row r="3" spans="2:72" x14ac:dyDescent="0.2">
      <c r="B3" s="130" t="s">
        <v>10</v>
      </c>
      <c r="C3" s="131">
        <f>'Statistical Process Control'!D4</f>
        <v>0.9</v>
      </c>
      <c r="E3" s="130" t="s">
        <v>10</v>
      </c>
      <c r="F3" s="131">
        <f>C3</f>
        <v>0.9</v>
      </c>
      <c r="H3" s="130" t="s">
        <v>10</v>
      </c>
      <c r="I3" s="131">
        <f>F3</f>
        <v>0.9</v>
      </c>
      <c r="K3" s="130" t="s">
        <v>10</v>
      </c>
      <c r="L3" s="131">
        <f>I3</f>
        <v>0.9</v>
      </c>
      <c r="N3" s="130" t="s">
        <v>10</v>
      </c>
      <c r="O3" s="131">
        <f>L3</f>
        <v>0.9</v>
      </c>
      <c r="Q3" s="130" t="s">
        <v>10</v>
      </c>
      <c r="R3" s="131">
        <f>O3</f>
        <v>0.9</v>
      </c>
      <c r="T3" s="130" t="s">
        <v>10</v>
      </c>
      <c r="U3" s="131">
        <f>R3</f>
        <v>0.9</v>
      </c>
      <c r="W3" s="130" t="s">
        <v>10</v>
      </c>
      <c r="X3" s="131">
        <f>U3</f>
        <v>0.9</v>
      </c>
      <c r="Z3" s="130" t="s">
        <v>10</v>
      </c>
      <c r="AA3" s="131">
        <f>X3</f>
        <v>0.9</v>
      </c>
      <c r="AC3" s="130" t="s">
        <v>10</v>
      </c>
      <c r="AD3" s="131">
        <f>AA3</f>
        <v>0.9</v>
      </c>
      <c r="AF3" s="130" t="s">
        <v>10</v>
      </c>
      <c r="AG3" s="131">
        <f>AD3</f>
        <v>0.9</v>
      </c>
      <c r="AI3" s="130" t="s">
        <v>10</v>
      </c>
      <c r="AJ3" s="131">
        <f>AG3</f>
        <v>0.9</v>
      </c>
      <c r="AL3" s="130" t="s">
        <v>10</v>
      </c>
      <c r="AM3" s="131">
        <f>AJ3</f>
        <v>0.9</v>
      </c>
      <c r="AO3" s="130" t="s">
        <v>10</v>
      </c>
      <c r="AP3" s="131">
        <f>AM3</f>
        <v>0.9</v>
      </c>
      <c r="AR3" s="130" t="s">
        <v>10</v>
      </c>
      <c r="AS3" s="131">
        <f>AP3</f>
        <v>0.9</v>
      </c>
      <c r="AU3" s="130" t="s">
        <v>10</v>
      </c>
      <c r="AV3" s="131">
        <f>AS3</f>
        <v>0.9</v>
      </c>
      <c r="AX3" s="130" t="s">
        <v>10</v>
      </c>
      <c r="AY3" s="131">
        <f>AV3</f>
        <v>0.9</v>
      </c>
      <c r="BA3" s="130" t="s">
        <v>10</v>
      </c>
      <c r="BB3" s="131">
        <f>AY3</f>
        <v>0.9</v>
      </c>
      <c r="BD3" s="130" t="s">
        <v>10</v>
      </c>
      <c r="BE3" s="131">
        <f>BB3</f>
        <v>0.9</v>
      </c>
      <c r="BG3" s="130" t="s">
        <v>10</v>
      </c>
      <c r="BH3" s="131">
        <f>BE3</f>
        <v>0.9</v>
      </c>
      <c r="BJ3" s="130" t="s">
        <v>10</v>
      </c>
      <c r="BK3" s="131">
        <f>BH3</f>
        <v>0.9</v>
      </c>
      <c r="BM3" s="130" t="s">
        <v>10</v>
      </c>
      <c r="BN3" s="131">
        <f>BK3</f>
        <v>0.9</v>
      </c>
      <c r="BP3" s="130" t="s">
        <v>10</v>
      </c>
      <c r="BQ3" s="131">
        <f>BN3</f>
        <v>0.9</v>
      </c>
      <c r="BS3" s="130" t="s">
        <v>10</v>
      </c>
      <c r="BT3" s="131">
        <f>BQ3</f>
        <v>0.9</v>
      </c>
    </row>
    <row r="4" spans="2:72" x14ac:dyDescent="0.2">
      <c r="B4" s="132" t="s">
        <v>11</v>
      </c>
      <c r="C4" s="133">
        <f>IF('Statistical Process Control'!$I$47="NA",C2,'Statistical Process Control'!$I$47)</f>
        <v>20</v>
      </c>
      <c r="E4" s="132" t="s">
        <v>11</v>
      </c>
      <c r="F4" s="133">
        <f>IF('Statistical Process Control'!$I$48="NA",C4+C2,'Statistical Process Control'!$I$48)</f>
        <v>40</v>
      </c>
      <c r="H4" s="132" t="s">
        <v>11</v>
      </c>
      <c r="I4" s="133">
        <f>IF('Statistical Process Control'!$I$49="NA",F4+F2,'Statistical Process Control'!$I$49)</f>
        <v>60</v>
      </c>
      <c r="K4" s="132" t="s">
        <v>11</v>
      </c>
      <c r="L4" s="133">
        <f>IF('Statistical Process Control'!$I$50="NA",I4+I2,'Statistical Process Control'!$I$50)</f>
        <v>80</v>
      </c>
      <c r="N4" s="132" t="s">
        <v>11</v>
      </c>
      <c r="O4" s="133">
        <f>IF('Statistical Process Control'!$I$51="NA",L4+L2,'Statistical Process Control'!$I$51)</f>
        <v>100</v>
      </c>
      <c r="Q4" s="132" t="s">
        <v>11</v>
      </c>
      <c r="R4" s="133">
        <f>IF('Statistical Process Control'!$I$52="NA",O4+O2,'Statistical Process Control'!$I$52)</f>
        <v>120</v>
      </c>
      <c r="T4" s="132" t="s">
        <v>11</v>
      </c>
      <c r="U4" s="133">
        <f>IF('Statistical Process Control'!$I$53="NA",R4+R2,'Statistical Process Control'!$I$53)</f>
        <v>140</v>
      </c>
      <c r="W4" s="132" t="s">
        <v>11</v>
      </c>
      <c r="X4" s="133">
        <f>IF('Statistical Process Control'!$I$54="NA",U4+U2,'Statistical Process Control'!$I$54)</f>
        <v>160</v>
      </c>
      <c r="Z4" s="132" t="s">
        <v>11</v>
      </c>
      <c r="AA4" s="133">
        <f>IF('Statistical Process Control'!$I$55="NA",X4+X2,'Statistical Process Control'!$I$55)</f>
        <v>180</v>
      </c>
      <c r="AC4" s="132" t="s">
        <v>11</v>
      </c>
      <c r="AD4" s="133">
        <f>IF('Statistical Process Control'!$I$56="NA",AA4+AA2,'Statistical Process Control'!$I$56)</f>
        <v>200</v>
      </c>
      <c r="AF4" s="132" t="s">
        <v>11</v>
      </c>
      <c r="AG4" s="133">
        <f>IF('Statistical Process Control'!$I$57="NA",AD2+AD4,'Statistical Process Control'!$I$57)</f>
        <v>220</v>
      </c>
      <c r="AI4" s="132" t="s">
        <v>11</v>
      </c>
      <c r="AJ4" s="133">
        <f>IF('Statistical Process Control'!$I$58="NA",AG2+AG4,'Statistical Process Control'!$I$58)</f>
        <v>240</v>
      </c>
      <c r="AL4" s="132" t="s">
        <v>11</v>
      </c>
      <c r="AM4" s="133">
        <f>IF('Statistical Process Control'!$I$59="NA",AJ2+AJ4,'Statistical Process Control'!$I$59)</f>
        <v>260</v>
      </c>
      <c r="AO4" s="132" t="s">
        <v>11</v>
      </c>
      <c r="AP4" s="133">
        <f>IF('Statistical Process Control'!$I$60="NA",AM2+AM4,'Statistical Process Control'!$I$60)</f>
        <v>280</v>
      </c>
      <c r="AR4" s="132" t="s">
        <v>11</v>
      </c>
      <c r="AS4" s="133">
        <f>IF('Statistical Process Control'!$I$61="NA",AP2+AP4,'Statistical Process Control'!$I$61)</f>
        <v>300</v>
      </c>
      <c r="AU4" s="132" t="s">
        <v>11</v>
      </c>
      <c r="AV4" s="133">
        <f>IF('Statistical Process Control'!$I$62="NA",AS2+AS4,'Statistical Process Control'!$I$62)</f>
        <v>320</v>
      </c>
      <c r="AX4" s="132" t="s">
        <v>11</v>
      </c>
      <c r="AY4" s="133">
        <f>IF('Statistical Process Control'!$I$63="NA",AV2+AV4,'Statistical Process Control'!$I$63)</f>
        <v>340</v>
      </c>
      <c r="BA4" s="132" t="s">
        <v>11</v>
      </c>
      <c r="BB4" s="133">
        <f>IF('Statistical Process Control'!$I$64="NA",AY2+AY4,'Statistical Process Control'!$I$64)</f>
        <v>360</v>
      </c>
      <c r="BD4" s="132" t="s">
        <v>11</v>
      </c>
      <c r="BE4" s="133">
        <f>IF('Statistical Process Control'!$I$65="NA",BB2+BB4,'Statistical Process Control'!$I$65)</f>
        <v>380</v>
      </c>
      <c r="BG4" s="132" t="s">
        <v>11</v>
      </c>
      <c r="BH4" s="133">
        <f>IF('Statistical Process Control'!$I$66="NA",BE2+BE4,'Statistical Process Control'!$I$66)</f>
        <v>400</v>
      </c>
      <c r="BJ4" s="132" t="s">
        <v>11</v>
      </c>
      <c r="BK4" s="133">
        <f>IF('Statistical Process Control'!$I$67="NA",BH2+BH4,'Statistical Process Control'!$I$67)</f>
        <v>420</v>
      </c>
      <c r="BM4" s="132" t="s">
        <v>11</v>
      </c>
      <c r="BN4" s="133">
        <f>IF('Statistical Process Control'!$I$68="NA",BK2+BK4,'Statistical Process Control'!$I$68)</f>
        <v>440</v>
      </c>
      <c r="BP4" s="132" t="s">
        <v>11</v>
      </c>
      <c r="BQ4" s="133">
        <f>IF('Statistical Process Control'!$I$69="NA",BN2+BN4,'Statistical Process Control'!$I$69)</f>
        <v>460</v>
      </c>
      <c r="BS4" s="132" t="s">
        <v>11</v>
      </c>
      <c r="BT4" s="133">
        <f>IF('Statistical Process Control'!$I$70="NA",BQ2+BQ4,'Statistical Process Control'!$I$70)</f>
        <v>480</v>
      </c>
    </row>
    <row r="5" spans="2:72" ht="13.5" thickBot="1" x14ac:dyDescent="0.25">
      <c r="B5" s="134" t="s">
        <v>12</v>
      </c>
      <c r="C5" s="135">
        <f>'Statistical Process Control'!$D2*C4</f>
        <v>0.4</v>
      </c>
      <c r="E5" s="134" t="s">
        <v>12</v>
      </c>
      <c r="F5" s="135">
        <f>'Statistical Process Control'!$D2*F4</f>
        <v>0.8</v>
      </c>
      <c r="H5" s="134" t="s">
        <v>12</v>
      </c>
      <c r="I5" s="135">
        <f>'Statistical Process Control'!$D2*I4</f>
        <v>1.2</v>
      </c>
      <c r="K5" s="134" t="s">
        <v>12</v>
      </c>
      <c r="L5" s="135">
        <f>'Statistical Process Control'!$D2*L4</f>
        <v>1.6</v>
      </c>
      <c r="N5" s="134" t="s">
        <v>12</v>
      </c>
      <c r="O5" s="135">
        <f>'Statistical Process Control'!$D2*O4</f>
        <v>2</v>
      </c>
      <c r="Q5" s="134" t="s">
        <v>12</v>
      </c>
      <c r="R5" s="135">
        <f>'Statistical Process Control'!$D2*R4</f>
        <v>2.4</v>
      </c>
      <c r="T5" s="134" t="s">
        <v>12</v>
      </c>
      <c r="U5" s="135">
        <f>'Statistical Process Control'!$D2*U4</f>
        <v>2.8000000000000003</v>
      </c>
      <c r="W5" s="134" t="s">
        <v>12</v>
      </c>
      <c r="X5" s="135">
        <f>'Statistical Process Control'!$D2*X4</f>
        <v>3.2</v>
      </c>
      <c r="Z5" s="134" t="s">
        <v>12</v>
      </c>
      <c r="AA5" s="135">
        <f>'Statistical Process Control'!$D2*AA4</f>
        <v>3.6</v>
      </c>
      <c r="AC5" s="134" t="s">
        <v>12</v>
      </c>
      <c r="AD5" s="135">
        <f>'Statistical Process Control'!$D2*AD4</f>
        <v>4</v>
      </c>
      <c r="AF5" s="134" t="s">
        <v>12</v>
      </c>
      <c r="AG5" s="135">
        <f>'Statistical Process Control'!$D2*AG4</f>
        <v>4.4000000000000004</v>
      </c>
      <c r="AI5" s="134" t="s">
        <v>12</v>
      </c>
      <c r="AJ5" s="135">
        <f>'Statistical Process Control'!$D2*AJ4</f>
        <v>4.8</v>
      </c>
      <c r="AL5" s="134" t="s">
        <v>12</v>
      </c>
      <c r="AM5" s="135">
        <f>'Statistical Process Control'!$D2*AM4</f>
        <v>5.2</v>
      </c>
      <c r="AO5" s="134" t="s">
        <v>12</v>
      </c>
      <c r="AP5" s="135">
        <f>'Statistical Process Control'!$D2*AP4</f>
        <v>5.6000000000000005</v>
      </c>
      <c r="AR5" s="134" t="s">
        <v>12</v>
      </c>
      <c r="AS5" s="135">
        <f>'Statistical Process Control'!$D2*AS4</f>
        <v>6</v>
      </c>
      <c r="AU5" s="134" t="s">
        <v>12</v>
      </c>
      <c r="AV5" s="135">
        <f>'Statistical Process Control'!$D2*AV4</f>
        <v>6.4</v>
      </c>
      <c r="AX5" s="134" t="s">
        <v>12</v>
      </c>
      <c r="AY5" s="135">
        <f>'Statistical Process Control'!$D2*AY4</f>
        <v>6.8</v>
      </c>
      <c r="BA5" s="134" t="s">
        <v>12</v>
      </c>
      <c r="BB5" s="135">
        <f>'Statistical Process Control'!$D2*BB4</f>
        <v>7.2</v>
      </c>
      <c r="BD5" s="134" t="s">
        <v>12</v>
      </c>
      <c r="BE5" s="135">
        <f>'Statistical Process Control'!$D2*BE4</f>
        <v>7.6000000000000005</v>
      </c>
      <c r="BG5" s="134" t="s">
        <v>12</v>
      </c>
      <c r="BH5" s="135">
        <f>'Statistical Process Control'!$D2*BH4</f>
        <v>8</v>
      </c>
      <c r="BJ5" s="134" t="s">
        <v>12</v>
      </c>
      <c r="BK5" s="135">
        <f>'Statistical Process Control'!$D2*BK4</f>
        <v>8.4</v>
      </c>
      <c r="BM5" s="134" t="s">
        <v>12</v>
      </c>
      <c r="BN5" s="135">
        <f>'Statistical Process Control'!$D2*BN4</f>
        <v>8.8000000000000007</v>
      </c>
      <c r="BP5" s="134" t="s">
        <v>12</v>
      </c>
      <c r="BQ5" s="135">
        <f>'Statistical Process Control'!$D2*BQ4</f>
        <v>9.2000000000000011</v>
      </c>
      <c r="BS5" s="134" t="s">
        <v>12</v>
      </c>
      <c r="BT5" s="135">
        <f>'Statistical Process Control'!$D2*BT4</f>
        <v>9.6</v>
      </c>
    </row>
    <row r="6" spans="2:72" x14ac:dyDescent="0.2">
      <c r="B6" s="132" t="s">
        <v>5</v>
      </c>
      <c r="C6" s="136">
        <f>2*(C5+1)</f>
        <v>2.8</v>
      </c>
      <c r="E6" s="132" t="s">
        <v>5</v>
      </c>
      <c r="F6" s="136">
        <f>2*(F5+1)</f>
        <v>3.6</v>
      </c>
      <c r="H6" s="132" t="s">
        <v>5</v>
      </c>
      <c r="I6" s="136">
        <f>2*(I5+1)</f>
        <v>4.4000000000000004</v>
      </c>
      <c r="K6" s="132" t="s">
        <v>5</v>
      </c>
      <c r="L6" s="136">
        <f>2*(L5+1)</f>
        <v>5.2</v>
      </c>
      <c r="N6" s="132" t="s">
        <v>5</v>
      </c>
      <c r="O6" s="136">
        <f>2*(O5+1)</f>
        <v>6</v>
      </c>
      <c r="Q6" s="132" t="s">
        <v>5</v>
      </c>
      <c r="R6" s="136">
        <f>2*(R5+1)</f>
        <v>6.8</v>
      </c>
      <c r="T6" s="132" t="s">
        <v>5</v>
      </c>
      <c r="U6" s="136">
        <f>2*(U5+1)</f>
        <v>7.6000000000000005</v>
      </c>
      <c r="W6" s="132" t="s">
        <v>5</v>
      </c>
      <c r="X6" s="136">
        <f>2*(X5+1)</f>
        <v>8.4</v>
      </c>
      <c r="Z6" s="132" t="s">
        <v>5</v>
      </c>
      <c r="AA6" s="136">
        <f>2*(AA5+1)</f>
        <v>9.1999999999999993</v>
      </c>
      <c r="AC6" s="132" t="s">
        <v>5</v>
      </c>
      <c r="AD6" s="136">
        <f>2*(AD5+1)</f>
        <v>10</v>
      </c>
      <c r="AF6" s="132" t="s">
        <v>5</v>
      </c>
      <c r="AG6" s="136">
        <f>2*(AG5+1)</f>
        <v>10.8</v>
      </c>
      <c r="AI6" s="132" t="s">
        <v>5</v>
      </c>
      <c r="AJ6" s="136">
        <f>2*(AJ5+1)</f>
        <v>11.6</v>
      </c>
      <c r="AL6" s="132" t="s">
        <v>5</v>
      </c>
      <c r="AM6" s="136">
        <f>2*(AM5+1)</f>
        <v>12.4</v>
      </c>
      <c r="AO6" s="132" t="s">
        <v>5</v>
      </c>
      <c r="AP6" s="136">
        <f>2*(AP5+1)</f>
        <v>13.200000000000001</v>
      </c>
      <c r="AR6" s="132" t="s">
        <v>5</v>
      </c>
      <c r="AS6" s="136">
        <f>2*(AS5+1)</f>
        <v>14</v>
      </c>
      <c r="AU6" s="132" t="s">
        <v>5</v>
      </c>
      <c r="AV6" s="136">
        <f>2*(AV5+1)</f>
        <v>14.8</v>
      </c>
      <c r="AX6" s="132" t="s">
        <v>5</v>
      </c>
      <c r="AY6" s="136">
        <f>2*(AY5+1)</f>
        <v>15.6</v>
      </c>
      <c r="BA6" s="132" t="s">
        <v>5</v>
      </c>
      <c r="BB6" s="136">
        <f>2*(BB5+1)</f>
        <v>16.399999999999999</v>
      </c>
      <c r="BD6" s="132" t="s">
        <v>5</v>
      </c>
      <c r="BE6" s="136">
        <f>2*(BE5+1)</f>
        <v>17.200000000000003</v>
      </c>
      <c r="BG6" s="132" t="s">
        <v>5</v>
      </c>
      <c r="BH6" s="136">
        <f>2*(BH5+1)</f>
        <v>18</v>
      </c>
      <c r="BJ6" s="132" t="s">
        <v>5</v>
      </c>
      <c r="BK6" s="136">
        <f>2*(BK5+1)</f>
        <v>18.8</v>
      </c>
      <c r="BM6" s="132" t="s">
        <v>5</v>
      </c>
      <c r="BN6" s="136">
        <f>2*(BN5+1)</f>
        <v>19.600000000000001</v>
      </c>
      <c r="BP6" s="132" t="s">
        <v>5</v>
      </c>
      <c r="BQ6" s="136">
        <f>2*(BQ5+1)</f>
        <v>20.400000000000002</v>
      </c>
      <c r="BS6" s="132" t="s">
        <v>5</v>
      </c>
      <c r="BT6" s="136">
        <f>2*(BT5+1)</f>
        <v>21.2</v>
      </c>
    </row>
    <row r="7" spans="2:72" ht="13.5" thickBot="1" x14ac:dyDescent="0.25">
      <c r="B7" s="134" t="s">
        <v>6</v>
      </c>
      <c r="C7" s="137">
        <f>2*(C4-C5)</f>
        <v>39.200000000000003</v>
      </c>
      <c r="E7" s="134" t="s">
        <v>6</v>
      </c>
      <c r="F7" s="137">
        <f>2*(F4-F5)</f>
        <v>78.400000000000006</v>
      </c>
      <c r="H7" s="134" t="s">
        <v>6</v>
      </c>
      <c r="I7" s="137">
        <f>2*(I4-I5)</f>
        <v>117.6</v>
      </c>
      <c r="K7" s="134" t="s">
        <v>6</v>
      </c>
      <c r="L7" s="137">
        <f>2*(L4-L5)</f>
        <v>156.80000000000001</v>
      </c>
      <c r="N7" s="134" t="s">
        <v>6</v>
      </c>
      <c r="O7" s="137">
        <f>2*(O4-O5)</f>
        <v>196</v>
      </c>
      <c r="Q7" s="134" t="s">
        <v>6</v>
      </c>
      <c r="R7" s="137">
        <f>2*(R4-R5)</f>
        <v>235.2</v>
      </c>
      <c r="T7" s="134" t="s">
        <v>6</v>
      </c>
      <c r="U7" s="137">
        <f>2*(U4-U5)</f>
        <v>274.39999999999998</v>
      </c>
      <c r="W7" s="134" t="s">
        <v>6</v>
      </c>
      <c r="X7" s="137">
        <f>2*(X4-X5)</f>
        <v>313.60000000000002</v>
      </c>
      <c r="Z7" s="134" t="s">
        <v>6</v>
      </c>
      <c r="AA7" s="137">
        <f>2*(AA4-AA5)</f>
        <v>352.8</v>
      </c>
      <c r="AC7" s="134" t="s">
        <v>6</v>
      </c>
      <c r="AD7" s="137">
        <f>2*(AD4-AD5)</f>
        <v>392</v>
      </c>
      <c r="AF7" s="134" t="s">
        <v>6</v>
      </c>
      <c r="AG7" s="137">
        <f>2*(AG4-AG5)</f>
        <v>431.2</v>
      </c>
      <c r="AI7" s="134" t="s">
        <v>6</v>
      </c>
      <c r="AJ7" s="137">
        <f>2*(AJ4-AJ5)</f>
        <v>470.4</v>
      </c>
      <c r="AL7" s="134" t="s">
        <v>6</v>
      </c>
      <c r="AM7" s="137">
        <f>2*(AM4-AM5)</f>
        <v>509.6</v>
      </c>
      <c r="AO7" s="134" t="s">
        <v>6</v>
      </c>
      <c r="AP7" s="137">
        <f>2*(AP4-AP5)</f>
        <v>548.79999999999995</v>
      </c>
      <c r="AR7" s="134" t="s">
        <v>6</v>
      </c>
      <c r="AS7" s="137">
        <f>2*(AS4-AS5)</f>
        <v>588</v>
      </c>
      <c r="AU7" s="134" t="s">
        <v>6</v>
      </c>
      <c r="AV7" s="137">
        <f>2*(AV4-AV5)</f>
        <v>627.20000000000005</v>
      </c>
      <c r="AX7" s="134" t="s">
        <v>6</v>
      </c>
      <c r="AY7" s="137">
        <f>2*(AY4-AY5)</f>
        <v>666.4</v>
      </c>
      <c r="BA7" s="134" t="s">
        <v>6</v>
      </c>
      <c r="BB7" s="137">
        <f>2*(BB4-BB5)</f>
        <v>705.6</v>
      </c>
      <c r="BD7" s="134" t="s">
        <v>6</v>
      </c>
      <c r="BE7" s="137">
        <f>2*(BE4-BE5)</f>
        <v>744.8</v>
      </c>
      <c r="BG7" s="134" t="s">
        <v>6</v>
      </c>
      <c r="BH7" s="137">
        <f>2*(BH4-BH5)</f>
        <v>784</v>
      </c>
      <c r="BJ7" s="134" t="s">
        <v>6</v>
      </c>
      <c r="BK7" s="137">
        <f>2*(BK4-BK5)</f>
        <v>823.2</v>
      </c>
      <c r="BM7" s="134" t="s">
        <v>6</v>
      </c>
      <c r="BN7" s="137">
        <f>2*(BN4-BN5)</f>
        <v>862.4</v>
      </c>
      <c r="BP7" s="134" t="s">
        <v>6</v>
      </c>
      <c r="BQ7" s="137">
        <f>2*(BQ4-BQ5)</f>
        <v>901.6</v>
      </c>
      <c r="BS7" s="134" t="s">
        <v>6</v>
      </c>
      <c r="BT7" s="137">
        <f>2*(BT4-BT5)</f>
        <v>940.8</v>
      </c>
    </row>
    <row r="8" spans="2:72" ht="13.5" thickBot="1" x14ac:dyDescent="0.25"/>
    <row r="9" spans="2:72" x14ac:dyDescent="0.2">
      <c r="B9" s="130" t="s">
        <v>13</v>
      </c>
      <c r="C9" s="138">
        <f>C5/C4</f>
        <v>0.02</v>
      </c>
      <c r="E9" s="130" t="s">
        <v>13</v>
      </c>
      <c r="F9" s="138">
        <f>F5/F4</f>
        <v>0.02</v>
      </c>
      <c r="H9" s="130" t="s">
        <v>13</v>
      </c>
      <c r="I9" s="138">
        <f>I5/I4</f>
        <v>0.02</v>
      </c>
      <c r="K9" s="130" t="s">
        <v>13</v>
      </c>
      <c r="L9" s="138">
        <f>L5/L4</f>
        <v>0.02</v>
      </c>
      <c r="N9" s="130" t="s">
        <v>13</v>
      </c>
      <c r="O9" s="138">
        <f>O5/O4</f>
        <v>0.02</v>
      </c>
      <c r="Q9" s="130" t="s">
        <v>13</v>
      </c>
      <c r="R9" s="138">
        <f>R5/R4</f>
        <v>0.02</v>
      </c>
      <c r="T9" s="130" t="s">
        <v>13</v>
      </c>
      <c r="U9" s="138">
        <f>U5/U4</f>
        <v>0.02</v>
      </c>
      <c r="W9" s="130" t="s">
        <v>13</v>
      </c>
      <c r="X9" s="138">
        <f>X5/X4</f>
        <v>0.02</v>
      </c>
      <c r="Z9" s="130" t="s">
        <v>13</v>
      </c>
      <c r="AA9" s="138">
        <f>AA5/AA4</f>
        <v>0.02</v>
      </c>
      <c r="AC9" s="130" t="s">
        <v>13</v>
      </c>
      <c r="AD9" s="138">
        <f>AD5/AD4</f>
        <v>0.02</v>
      </c>
      <c r="AF9" s="130" t="s">
        <v>13</v>
      </c>
      <c r="AG9" s="138">
        <f>AG5/AG4</f>
        <v>0.02</v>
      </c>
      <c r="AI9" s="130" t="s">
        <v>13</v>
      </c>
      <c r="AJ9" s="138">
        <f>AJ5/AJ4</f>
        <v>0.02</v>
      </c>
      <c r="AL9" s="130" t="s">
        <v>13</v>
      </c>
      <c r="AM9" s="138">
        <f>AM5/AM4</f>
        <v>0.02</v>
      </c>
      <c r="AO9" s="130" t="s">
        <v>13</v>
      </c>
      <c r="AP9" s="138">
        <f>AP5/AP4</f>
        <v>0.02</v>
      </c>
      <c r="AR9" s="130" t="s">
        <v>13</v>
      </c>
      <c r="AS9" s="138">
        <f>AS5/AS4</f>
        <v>0.02</v>
      </c>
      <c r="AU9" s="130" t="s">
        <v>13</v>
      </c>
      <c r="AV9" s="138">
        <f>AV5/AV4</f>
        <v>0.02</v>
      </c>
      <c r="AX9" s="130" t="s">
        <v>13</v>
      </c>
      <c r="AY9" s="138">
        <f>AY5/AY4</f>
        <v>0.02</v>
      </c>
      <c r="BA9" s="130" t="s">
        <v>13</v>
      </c>
      <c r="BB9" s="138">
        <f>BB5/BB4</f>
        <v>0.02</v>
      </c>
      <c r="BD9" s="130" t="s">
        <v>13</v>
      </c>
      <c r="BE9" s="138">
        <f>BE5/BE4</f>
        <v>0.02</v>
      </c>
      <c r="BG9" s="130" t="s">
        <v>13</v>
      </c>
      <c r="BH9" s="138">
        <f>BH5/BH4</f>
        <v>0.02</v>
      </c>
      <c r="BJ9" s="130" t="s">
        <v>13</v>
      </c>
      <c r="BK9" s="138">
        <f>BK5/BK4</f>
        <v>0.02</v>
      </c>
      <c r="BM9" s="130" t="s">
        <v>13</v>
      </c>
      <c r="BN9" s="138">
        <f>BN5/BN4</f>
        <v>0.02</v>
      </c>
      <c r="BP9" s="130" t="s">
        <v>13</v>
      </c>
      <c r="BQ9" s="138">
        <f>BQ5/BQ4</f>
        <v>2.0000000000000004E-2</v>
      </c>
      <c r="BS9" s="130" t="s">
        <v>13</v>
      </c>
      <c r="BT9" s="138">
        <f>BT5/BT4</f>
        <v>0.02</v>
      </c>
    </row>
    <row r="10" spans="2:72" ht="13.5" thickBot="1" x14ac:dyDescent="0.25">
      <c r="B10" s="132" t="s">
        <v>7</v>
      </c>
      <c r="C10" s="139">
        <f>IF(C9=0,"NA",1/C9)</f>
        <v>50</v>
      </c>
      <c r="E10" s="132" t="s">
        <v>7</v>
      </c>
      <c r="F10" s="139">
        <f>IF(F9=0,"NA",1/F9)</f>
        <v>50</v>
      </c>
      <c r="H10" s="132" t="s">
        <v>7</v>
      </c>
      <c r="I10" s="139">
        <f>IF(I9=0,"NA",1/I9)</f>
        <v>50</v>
      </c>
      <c r="K10" s="132" t="s">
        <v>7</v>
      </c>
      <c r="L10" s="139">
        <f>IF(L9=0,"NA",1/L9)</f>
        <v>50</v>
      </c>
      <c r="N10" s="132" t="s">
        <v>7</v>
      </c>
      <c r="O10" s="139">
        <f>IF(O9=0,"NA",1/O9)</f>
        <v>50</v>
      </c>
      <c r="Q10" s="132" t="s">
        <v>7</v>
      </c>
      <c r="R10" s="139">
        <f>IF(R9=0,"NA",1/R9)</f>
        <v>50</v>
      </c>
      <c r="T10" s="132" t="s">
        <v>7</v>
      </c>
      <c r="U10" s="139">
        <f>IF(U9=0,"NA",1/U9)</f>
        <v>50</v>
      </c>
      <c r="W10" s="132" t="s">
        <v>7</v>
      </c>
      <c r="X10" s="139">
        <f>IF(X9=0,"NA",1/X9)</f>
        <v>50</v>
      </c>
      <c r="Z10" s="132" t="s">
        <v>7</v>
      </c>
      <c r="AA10" s="139">
        <f>IF(AA9=0,"NA",1/AA9)</f>
        <v>50</v>
      </c>
      <c r="AC10" s="132" t="s">
        <v>7</v>
      </c>
      <c r="AD10" s="139">
        <f>IF(AD9=0,"NA",1/AD9)</f>
        <v>50</v>
      </c>
      <c r="AF10" s="132" t="s">
        <v>7</v>
      </c>
      <c r="AG10" s="139">
        <f>IF(AG9=0,"NA",1/AG9)</f>
        <v>50</v>
      </c>
      <c r="AI10" s="132" t="s">
        <v>7</v>
      </c>
      <c r="AJ10" s="139">
        <f>IF(AJ9=0,"NA",1/AJ9)</f>
        <v>50</v>
      </c>
      <c r="AL10" s="132" t="s">
        <v>7</v>
      </c>
      <c r="AM10" s="139">
        <f>IF(AM9=0,"NA",1/AM9)</f>
        <v>50</v>
      </c>
      <c r="AO10" s="132" t="s">
        <v>7</v>
      </c>
      <c r="AP10" s="139">
        <f>IF(AP9=0,"NA",1/AP9)</f>
        <v>50</v>
      </c>
      <c r="AR10" s="132" t="s">
        <v>7</v>
      </c>
      <c r="AS10" s="139">
        <f>IF(AS9=0,"NA",1/AS9)</f>
        <v>50</v>
      </c>
      <c r="AU10" s="132" t="s">
        <v>7</v>
      </c>
      <c r="AV10" s="139">
        <f>IF(AV9=0,"NA",1/AV9)</f>
        <v>50</v>
      </c>
      <c r="AX10" s="132" t="s">
        <v>7</v>
      </c>
      <c r="AY10" s="139">
        <f>IF(AY9=0,"NA",1/AY9)</f>
        <v>50</v>
      </c>
      <c r="BA10" s="132" t="s">
        <v>7</v>
      </c>
      <c r="BB10" s="139">
        <f>IF(BB9=0,"NA",1/BB9)</f>
        <v>50</v>
      </c>
      <c r="BD10" s="132" t="s">
        <v>7</v>
      </c>
      <c r="BE10" s="139">
        <f>IF(BE9=0,"NA",1/BE9)</f>
        <v>50</v>
      </c>
      <c r="BG10" s="132" t="s">
        <v>7</v>
      </c>
      <c r="BH10" s="139">
        <f>IF(BH9=0,"NA",1/BH9)</f>
        <v>50</v>
      </c>
      <c r="BJ10" s="132" t="s">
        <v>7</v>
      </c>
      <c r="BK10" s="139">
        <f>IF(BK9=0,"NA",1/BK9)</f>
        <v>50</v>
      </c>
      <c r="BM10" s="132" t="s">
        <v>7</v>
      </c>
      <c r="BN10" s="139">
        <f>IF(BN9=0,"NA",1/BN9)</f>
        <v>50</v>
      </c>
      <c r="BP10" s="132" t="s">
        <v>7</v>
      </c>
      <c r="BQ10" s="139">
        <f>IF(BQ9=0,"NA",1/BQ9)</f>
        <v>49.999999999999993</v>
      </c>
      <c r="BS10" s="132" t="s">
        <v>7</v>
      </c>
      <c r="BT10" s="139">
        <f>IF(BT9=0,"NA",1/BT9)</f>
        <v>50</v>
      </c>
    </row>
    <row r="11" spans="2:72" x14ac:dyDescent="0.2">
      <c r="B11" s="130" t="s">
        <v>14</v>
      </c>
      <c r="C11" s="140">
        <f>IF(C5=C4,1,(C6)*B18/(C7+C6*B18))</f>
        <v>0.14862790937658446</v>
      </c>
      <c r="E11" s="130" t="s">
        <v>14</v>
      </c>
      <c r="F11" s="140">
        <f>IF(F5=F4,1,(F6)*E18/(F7+F6*E18))</f>
        <v>9.0057962325347005E-2</v>
      </c>
      <c r="H11" s="130" t="s">
        <v>14</v>
      </c>
      <c r="I11" s="140">
        <f>IF(I5=I4,1,(I6)*H18/(I7+I6*H18))</f>
        <v>6.9410823142639175E-2</v>
      </c>
      <c r="K11" s="130" t="s">
        <v>14</v>
      </c>
      <c r="L11" s="140">
        <f>IF(L5=L4,1,(L6)*K18/(L7+L6*K18))</f>
        <v>5.8821631097975884E-2</v>
      </c>
      <c r="N11" s="130" t="s">
        <v>14</v>
      </c>
      <c r="O11" s="140">
        <f>IF(O5=O4,1,(O6)*N18/(O7+O6*N18))</f>
        <v>5.2345290180388124E-2</v>
      </c>
      <c r="Q11" s="130" t="s">
        <v>14</v>
      </c>
      <c r="R11" s="140">
        <f>IF(R5=R4,1,(R6)*Q18/(R7+R6*Q18))</f>
        <v>4.9449305557185144E-2</v>
      </c>
      <c r="T11" s="130" t="s">
        <v>14</v>
      </c>
      <c r="U11" s="140">
        <f>IF(U5=U4,1,(U6)*T18/(U7+U6*T18))</f>
        <v>4.5946665708491694E-2</v>
      </c>
      <c r="W11" s="130" t="s">
        <v>14</v>
      </c>
      <c r="X11" s="140">
        <f>IF(X5=X4,1,(X6)*W18/(X7+X6*W18))</f>
        <v>4.3305320007228448E-2</v>
      </c>
      <c r="Z11" s="130" t="s">
        <v>14</v>
      </c>
      <c r="AA11" s="140">
        <f>IF(AA5=AA4,1,(AA6)*Z18/(AA7+AA6*Z18))</f>
        <v>4.1237407233679253E-2</v>
      </c>
      <c r="AC11" s="130" t="s">
        <v>14</v>
      </c>
      <c r="AD11" s="140">
        <f>IF(AD5=AD4,1,(AD6)*AC18/(AD7+AD6*AC18))</f>
        <v>3.9569892809598967E-2</v>
      </c>
      <c r="AF11" s="130" t="s">
        <v>14</v>
      </c>
      <c r="AG11" s="140">
        <f>IF(AG5=AG4,1,(AG6)*AF18/(AG7+AG6*AF18))</f>
        <v>3.8844143546099733E-2</v>
      </c>
      <c r="AI11" s="130" t="s">
        <v>14</v>
      </c>
      <c r="AJ11" s="140">
        <f>IF(AJ5=AJ4,1,(AJ6)*AI18/(AJ7+AJ6*AI18))</f>
        <v>3.7599798837163634E-2</v>
      </c>
      <c r="AL11" s="130" t="s">
        <v>14</v>
      </c>
      <c r="AM11" s="140">
        <f>IF(AM5=AM4,1,(AM6)*AL18/(AM7+AM6*AL18))</f>
        <v>3.654342082981675E-2</v>
      </c>
      <c r="AO11" s="130" t="s">
        <v>14</v>
      </c>
      <c r="AP11" s="140">
        <f>IF(AP5=AP4,1,(AP6)*AO18/(AP7+AP6*AO18))</f>
        <v>3.5634178303336157E-2</v>
      </c>
      <c r="AR11" s="130" t="s">
        <v>14</v>
      </c>
      <c r="AS11" s="140">
        <f>IF(AS5=AS4,1,(AS6)*AR18/(AS7+AS6*AR18))</f>
        <v>3.4841927112587386E-2</v>
      </c>
      <c r="AU11" s="130" t="s">
        <v>14</v>
      </c>
      <c r="AV11" s="140">
        <f>IF(AV5=AV4,1,(AV6)*AU18/(AV7+AV6*AU18))</f>
        <v>3.4525692938628047E-2</v>
      </c>
      <c r="AX11" s="130" t="s">
        <v>14</v>
      </c>
      <c r="AY11" s="140">
        <f>IF(AY5=AY4,1,(AY6)*AX18/(AY7+AY6*AX18))</f>
        <v>3.3869090043204354E-2</v>
      </c>
      <c r="BA11" s="130" t="s">
        <v>14</v>
      </c>
      <c r="BB11" s="140">
        <f>IF(BB5=BB4,1,(BB6)*BA18/(BB7+BB6*BA18))</f>
        <v>3.3283906230959483E-2</v>
      </c>
      <c r="BD11" s="130" t="s">
        <v>14</v>
      </c>
      <c r="BE11" s="140">
        <f>IF(BE5=BE4,1,(BE6)*BD18/(BE7+BE6*BD18))</f>
        <v>3.2758639754890025E-2</v>
      </c>
      <c r="BG11" s="130" t="s">
        <v>14</v>
      </c>
      <c r="BH11" s="140">
        <f>IF(BH5=BH4,1,(BH6)*BG18/(BH7+BH6*BG18))</f>
        <v>3.22839119595556E-2</v>
      </c>
      <c r="BJ11" s="130" t="s">
        <v>14</v>
      </c>
      <c r="BK11" s="140">
        <f>IF(BK5=BK4,1,(BK6)*BJ18/(BK7+BK6*BJ18))</f>
        <v>3.2109260701544705E-2</v>
      </c>
      <c r="BM11" s="130" t="s">
        <v>14</v>
      </c>
      <c r="BN11" s="140">
        <f>IF(BN5=BN4,1,(BN6)*BM18/(BN7+BN6*BM18))</f>
        <v>3.1695216297397445E-2</v>
      </c>
      <c r="BP11" s="130" t="s">
        <v>14</v>
      </c>
      <c r="BQ11" s="140">
        <f>IF(BQ5=BQ4,1,(BQ6)*BP18/(BQ7+BQ6*BP18))</f>
        <v>3.1316318592962772E-2</v>
      </c>
      <c r="BS11" s="130" t="s">
        <v>14</v>
      </c>
      <c r="BT11" s="140">
        <f>IF(BT5=BT4,1,(BT6)*BS18/(BT7+BT6*BS18))</f>
        <v>3.0968069131449377E-2</v>
      </c>
    </row>
    <row r="12" spans="2:72" ht="13.5" thickBot="1" x14ac:dyDescent="0.25">
      <c r="B12" s="134" t="s">
        <v>7</v>
      </c>
      <c r="C12" s="141">
        <f>1/C11</f>
        <v>6.7282114388506944</v>
      </c>
      <c r="E12" s="134" t="s">
        <v>7</v>
      </c>
      <c r="F12" s="141">
        <f>1/F11</f>
        <v>11.103959874057109</v>
      </c>
      <c r="H12" s="134" t="s">
        <v>7</v>
      </c>
      <c r="I12" s="141">
        <f>1/I11</f>
        <v>14.406975090109521</v>
      </c>
      <c r="K12" s="134" t="s">
        <v>7</v>
      </c>
      <c r="L12" s="141">
        <f>1/L11</f>
        <v>17.000548630390004</v>
      </c>
      <c r="N12" s="134" t="s">
        <v>7</v>
      </c>
      <c r="O12" s="141">
        <f>1/O11</f>
        <v>19.103915491802233</v>
      </c>
      <c r="Q12" s="134" t="s">
        <v>7</v>
      </c>
      <c r="R12" s="141">
        <f>1/R11</f>
        <v>20.222730910620378</v>
      </c>
      <c r="T12" s="134" t="s">
        <v>7</v>
      </c>
      <c r="U12" s="141">
        <f>1/U11</f>
        <v>21.764364934432745</v>
      </c>
      <c r="W12" s="134" t="s">
        <v>7</v>
      </c>
      <c r="X12" s="141">
        <f>1/X11</f>
        <v>23.091851066637581</v>
      </c>
      <c r="Z12" s="134" t="s">
        <v>7</v>
      </c>
      <c r="AA12" s="141">
        <f>1/AA11</f>
        <v>24.249827209875697</v>
      </c>
      <c r="AC12" s="134" t="s">
        <v>7</v>
      </c>
      <c r="AD12" s="141">
        <f>1/AD11</f>
        <v>25.27173891553776</v>
      </c>
      <c r="AF12" s="134" t="s">
        <v>7</v>
      </c>
      <c r="AG12" s="141">
        <f>1/AG11</f>
        <v>25.743906512270318</v>
      </c>
      <c r="AI12" s="134" t="s">
        <v>7</v>
      </c>
      <c r="AJ12" s="141">
        <f>1/AJ11</f>
        <v>26.595886970852625</v>
      </c>
      <c r="AL12" s="134" t="s">
        <v>7</v>
      </c>
      <c r="AM12" s="141">
        <f>1/AM11</f>
        <v>27.364706896407284</v>
      </c>
      <c r="AO12" s="134" t="s">
        <v>7</v>
      </c>
      <c r="AP12" s="141">
        <f>1/AP11</f>
        <v>28.06294539718284</v>
      </c>
      <c r="AR12" s="134" t="s">
        <v>7</v>
      </c>
      <c r="AS12" s="141">
        <f>1/AS11</f>
        <v>28.701053095272929</v>
      </c>
      <c r="AU12" s="134" t="s">
        <v>7</v>
      </c>
      <c r="AV12" s="141">
        <f>1/AV11</f>
        <v>28.963937140308044</v>
      </c>
      <c r="AX12" s="134" t="s">
        <v>7</v>
      </c>
      <c r="AY12" s="141">
        <f>1/AY11</f>
        <v>29.525446320653202</v>
      </c>
      <c r="BA12" s="134" t="s">
        <v>7</v>
      </c>
      <c r="BB12" s="141">
        <f>1/BB11</f>
        <v>30.044550452129211</v>
      </c>
      <c r="BD12" s="134" t="s">
        <v>7</v>
      </c>
      <c r="BE12" s="141">
        <f>1/BE11</f>
        <v>30.52629802343138</v>
      </c>
      <c r="BG12" s="134" t="s">
        <v>7</v>
      </c>
      <c r="BH12" s="141">
        <f>1/BH11</f>
        <v>30.975180494011152</v>
      </c>
      <c r="BJ12" s="134" t="s">
        <v>7</v>
      </c>
      <c r="BK12" s="141">
        <f>1/BK11</f>
        <v>31.14366317228513</v>
      </c>
      <c r="BM12" s="134" t="s">
        <v>7</v>
      </c>
      <c r="BN12" s="141">
        <f>1/BN11</f>
        <v>31.550502467532045</v>
      </c>
      <c r="BP12" s="134" t="s">
        <v>7</v>
      </c>
      <c r="BQ12" s="141">
        <f>1/BQ11</f>
        <v>31.932233574374045</v>
      </c>
      <c r="BS12" s="134" t="s">
        <v>7</v>
      </c>
      <c r="BT12" s="141">
        <f>1/BT11</f>
        <v>32.291325486110402</v>
      </c>
    </row>
    <row r="13" spans="2:72" x14ac:dyDescent="0.2">
      <c r="B13" s="128">
        <v>1</v>
      </c>
      <c r="E13" s="128">
        <v>2</v>
      </c>
      <c r="H13" s="128">
        <v>3</v>
      </c>
      <c r="K13" s="128">
        <v>4</v>
      </c>
      <c r="N13" s="128">
        <v>5</v>
      </c>
      <c r="Q13" s="128">
        <v>6</v>
      </c>
      <c r="T13" s="128">
        <v>7</v>
      </c>
      <c r="W13" s="128">
        <v>8</v>
      </c>
      <c r="Z13" s="128">
        <v>9</v>
      </c>
      <c r="AC13" s="128">
        <v>10</v>
      </c>
      <c r="AF13" s="128">
        <v>11</v>
      </c>
      <c r="AI13" s="128">
        <v>12</v>
      </c>
      <c r="AL13" s="128">
        <v>13</v>
      </c>
      <c r="AO13" s="128">
        <v>14</v>
      </c>
      <c r="AR13" s="128">
        <v>15</v>
      </c>
      <c r="AU13" s="128">
        <v>16</v>
      </c>
      <c r="AX13" s="128">
        <v>17</v>
      </c>
      <c r="BA13" s="128">
        <v>18</v>
      </c>
      <c r="BD13" s="128">
        <v>19</v>
      </c>
      <c r="BG13" s="128">
        <v>20</v>
      </c>
      <c r="BJ13" s="128">
        <v>21</v>
      </c>
      <c r="BM13" s="128">
        <v>22</v>
      </c>
      <c r="BP13" s="128">
        <v>23</v>
      </c>
      <c r="BS13" s="128">
        <v>24</v>
      </c>
    </row>
    <row r="16" spans="2:72" ht="13.5" thickBot="1" x14ac:dyDescent="0.25"/>
    <row r="17" spans="2:71" x14ac:dyDescent="0.2">
      <c r="B17" s="142" t="s">
        <v>8</v>
      </c>
      <c r="E17" s="142" t="s">
        <v>8</v>
      </c>
      <c r="H17" s="142" t="s">
        <v>8</v>
      </c>
      <c r="K17" s="142" t="s">
        <v>8</v>
      </c>
      <c r="N17" s="142" t="s">
        <v>8</v>
      </c>
      <c r="Q17" s="142" t="s">
        <v>8</v>
      </c>
      <c r="T17" s="142" t="s">
        <v>8</v>
      </c>
      <c r="W17" s="142" t="s">
        <v>8</v>
      </c>
      <c r="Z17" s="142" t="s">
        <v>8</v>
      </c>
      <c r="AC17" s="142" t="s">
        <v>8</v>
      </c>
      <c r="AF17" s="142" t="s">
        <v>8</v>
      </c>
      <c r="AI17" s="142" t="s">
        <v>8</v>
      </c>
      <c r="AL17" s="142" t="s">
        <v>8</v>
      </c>
      <c r="AO17" s="142" t="s">
        <v>8</v>
      </c>
      <c r="AR17" s="142" t="s">
        <v>8</v>
      </c>
      <c r="AU17" s="142" t="s">
        <v>8</v>
      </c>
      <c r="AX17" s="142" t="s">
        <v>8</v>
      </c>
      <c r="BA17" s="142" t="s">
        <v>8</v>
      </c>
      <c r="BD17" s="142" t="s">
        <v>8</v>
      </c>
      <c r="BG17" s="142" t="s">
        <v>8</v>
      </c>
      <c r="BJ17" s="142" t="s">
        <v>8</v>
      </c>
      <c r="BM17" s="142" t="s">
        <v>8</v>
      </c>
      <c r="BP17" s="142" t="s">
        <v>8</v>
      </c>
      <c r="BS17" s="142" t="s">
        <v>8</v>
      </c>
    </row>
    <row r="18" spans="2:71" ht="13.5" thickBot="1" x14ac:dyDescent="0.25">
      <c r="B18" s="143">
        <f>FINV((1-C3),C6,C7)</f>
        <v>2.4440438607149169</v>
      </c>
      <c r="E18" s="143">
        <f>FINV((1-F3),F6,F7)</f>
        <v>2.1553705724519276</v>
      </c>
      <c r="H18" s="143">
        <f>FINV((1-I3),I6,I7)</f>
        <v>1.9935348986356918</v>
      </c>
      <c r="K18" s="143">
        <f>FINV((1-L3),L6,L7)</f>
        <v>1.8845507645015778</v>
      </c>
      <c r="N18" s="143">
        <f>FINV((1-O3),O6,O7)</f>
        <v>1.8043978763300514</v>
      </c>
      <c r="Q18" s="143">
        <f>FINV((1-R3),R6,R7)</f>
        <v>1.799340346329666</v>
      </c>
      <c r="T18" s="143">
        <f>FINV((1-U3),U6,U7)</f>
        <v>1.738808929235431</v>
      </c>
      <c r="W18" s="143">
        <f>FINV((1-X3),X6,X7)</f>
        <v>1.6899142231550239</v>
      </c>
      <c r="Z18" s="143">
        <f>FINV((1-AA3),AA6,AA7)</f>
        <v>1.6493811218806711</v>
      </c>
      <c r="AC18" s="143">
        <f>FINV((1-AD3),AD6,AD7)</f>
        <v>1.6150470362428704</v>
      </c>
      <c r="AF18" s="143">
        <f>FINV((1-AG3),AG6,AG7)</f>
        <v>1.6135659866855283</v>
      </c>
      <c r="AI18" s="143">
        <f>FINV((1-AJ3),AJ6,AJ7)</f>
        <v>1.5843062670228776</v>
      </c>
      <c r="AL18" s="143">
        <f>FINV((1-AM3),AM6,AM7)</f>
        <v>1.5587798626029346</v>
      </c>
      <c r="AO18" s="143">
        <f>FINV((1-AP3),AP6,AP7)</f>
        <v>1.536261370134733</v>
      </c>
      <c r="AR18" s="143">
        <f>FINV((1-AS3),AS6,AS7)</f>
        <v>1.5161878451172357</v>
      </c>
      <c r="AU18" s="143">
        <f>FINV((1-AV3),AV6,AV7)</f>
        <v>1.5154653711938488</v>
      </c>
      <c r="AX18" s="143">
        <f>FINV((1-AY3),AY6,AY7)</f>
        <v>1.4975383115046916</v>
      </c>
      <c r="BA18" s="143">
        <f>FINV((1-BB3),BB6,BB7)</f>
        <v>1.4813240203119891</v>
      </c>
      <c r="BD18" s="143">
        <f>FINV((1-BE3),BE6,BE7)</f>
        <v>1.4665680589903829</v>
      </c>
      <c r="BG18" s="143">
        <f>FINV((1-BH3),BH6,BH7)</f>
        <v>1.4530539879236981</v>
      </c>
      <c r="BJ18" s="143">
        <f>FINV((1-BK3),BK6,BK7)</f>
        <v>1.4526182100791358</v>
      </c>
      <c r="BM18" s="143">
        <f>FINV((1-BN3),BN6,BN7)</f>
        <v>1.4402381776457387</v>
      </c>
      <c r="BP18" s="143">
        <f>FINV((1-BQ3),BQ6,BQ7)</f>
        <v>1.4288033331025598</v>
      </c>
      <c r="BS18" s="143">
        <f>FINV((1-BT3),BT6,BT7)</f>
        <v>1.4182000219282584</v>
      </c>
    </row>
    <row r="21" spans="2:71" x14ac:dyDescent="0.2">
      <c r="C21" s="144" t="s">
        <v>16</v>
      </c>
      <c r="D21" s="144" t="s">
        <v>17</v>
      </c>
      <c r="BM21" s="145"/>
    </row>
    <row r="22" spans="2:71" x14ac:dyDescent="0.2">
      <c r="B22" s="128">
        <v>1</v>
      </c>
      <c r="C22" s="146">
        <f>C11</f>
        <v>0.14862790937658446</v>
      </c>
      <c r="D22" s="128">
        <v>1.8E-3</v>
      </c>
    </row>
    <row r="23" spans="2:71" x14ac:dyDescent="0.2">
      <c r="B23" s="128">
        <v>2</v>
      </c>
      <c r="C23" s="146">
        <f>F11</f>
        <v>9.0057962325347005E-2</v>
      </c>
      <c r="D23" s="128">
        <v>1.8E-3</v>
      </c>
    </row>
    <row r="24" spans="2:71" x14ac:dyDescent="0.2">
      <c r="B24" s="128">
        <v>3</v>
      </c>
      <c r="C24" s="146">
        <f>I11</f>
        <v>6.9410823142639175E-2</v>
      </c>
      <c r="D24" s="128">
        <v>1.8E-3</v>
      </c>
    </row>
    <row r="25" spans="2:71" x14ac:dyDescent="0.2">
      <c r="B25" s="128">
        <v>4</v>
      </c>
      <c r="C25" s="146">
        <f>L11</f>
        <v>5.8821631097975884E-2</v>
      </c>
      <c r="D25" s="128">
        <v>1.8E-3</v>
      </c>
    </row>
    <row r="26" spans="2:71" x14ac:dyDescent="0.2">
      <c r="B26" s="128">
        <v>5</v>
      </c>
      <c r="C26" s="146">
        <f>O11</f>
        <v>5.2345290180388124E-2</v>
      </c>
      <c r="D26" s="128">
        <v>1.8E-3</v>
      </c>
    </row>
    <row r="27" spans="2:71" x14ac:dyDescent="0.2">
      <c r="B27" s="128">
        <v>6</v>
      </c>
      <c r="C27" s="146">
        <f>R11</f>
        <v>4.9449305557185144E-2</v>
      </c>
      <c r="D27" s="128">
        <v>1.8E-3</v>
      </c>
    </row>
    <row r="28" spans="2:71" x14ac:dyDescent="0.2">
      <c r="B28" s="128">
        <v>7</v>
      </c>
      <c r="C28" s="146">
        <f>U11</f>
        <v>4.5946665708491694E-2</v>
      </c>
      <c r="D28" s="128">
        <v>1.8E-3</v>
      </c>
    </row>
    <row r="29" spans="2:71" x14ac:dyDescent="0.2">
      <c r="B29" s="128">
        <v>8</v>
      </c>
      <c r="C29" s="146">
        <f>X11</f>
        <v>4.3305320007228448E-2</v>
      </c>
      <c r="D29" s="128">
        <v>1.8E-3</v>
      </c>
    </row>
    <row r="30" spans="2:71" x14ac:dyDescent="0.2">
      <c r="B30" s="128">
        <v>9</v>
      </c>
      <c r="C30" s="146">
        <f>AA11</f>
        <v>4.1237407233679253E-2</v>
      </c>
      <c r="D30" s="128">
        <v>1.8E-3</v>
      </c>
    </row>
    <row r="31" spans="2:71" x14ac:dyDescent="0.2">
      <c r="B31" s="128">
        <v>10</v>
      </c>
      <c r="C31" s="146">
        <f>AD11</f>
        <v>3.9569892809598967E-2</v>
      </c>
      <c r="D31" s="128">
        <v>1.8E-3</v>
      </c>
    </row>
    <row r="32" spans="2:71" x14ac:dyDescent="0.2">
      <c r="B32" s="128">
        <v>11</v>
      </c>
      <c r="C32" s="146">
        <f>AG11</f>
        <v>3.8844143546099733E-2</v>
      </c>
      <c r="D32" s="128">
        <v>1.8E-3</v>
      </c>
    </row>
    <row r="33" spans="2:4" x14ac:dyDescent="0.2">
      <c r="B33" s="128">
        <v>12</v>
      </c>
      <c r="C33" s="146">
        <f>AJ11</f>
        <v>3.7599798837163634E-2</v>
      </c>
      <c r="D33" s="128">
        <v>1.8E-3</v>
      </c>
    </row>
    <row r="34" spans="2:4" x14ac:dyDescent="0.2">
      <c r="B34" s="128">
        <v>13</v>
      </c>
      <c r="C34" s="146">
        <f>AM11</f>
        <v>3.654342082981675E-2</v>
      </c>
      <c r="D34" s="128">
        <v>1.8E-3</v>
      </c>
    </row>
    <row r="35" spans="2:4" x14ac:dyDescent="0.2">
      <c r="B35" s="128">
        <v>14</v>
      </c>
      <c r="C35" s="146">
        <f>AP11</f>
        <v>3.5634178303336157E-2</v>
      </c>
      <c r="D35" s="128">
        <v>1.8E-3</v>
      </c>
    </row>
    <row r="36" spans="2:4" x14ac:dyDescent="0.2">
      <c r="B36" s="128">
        <v>15</v>
      </c>
      <c r="C36" s="146">
        <f>AS11</f>
        <v>3.4841927112587386E-2</v>
      </c>
      <c r="D36" s="128">
        <v>1.8E-3</v>
      </c>
    </row>
    <row r="37" spans="2:4" x14ac:dyDescent="0.2">
      <c r="B37" s="128">
        <v>16</v>
      </c>
      <c r="C37" s="146">
        <f>AV11</f>
        <v>3.4525692938628047E-2</v>
      </c>
      <c r="D37" s="128">
        <v>1.8E-3</v>
      </c>
    </row>
    <row r="38" spans="2:4" x14ac:dyDescent="0.2">
      <c r="B38" s="128">
        <v>17</v>
      </c>
      <c r="C38" s="146">
        <f>AY11</f>
        <v>3.3869090043204354E-2</v>
      </c>
      <c r="D38" s="128">
        <v>1.8E-3</v>
      </c>
    </row>
    <row r="39" spans="2:4" x14ac:dyDescent="0.2">
      <c r="B39" s="128">
        <v>18</v>
      </c>
      <c r="C39" s="146">
        <f>BB11</f>
        <v>3.3283906230959483E-2</v>
      </c>
      <c r="D39" s="128">
        <v>1.8E-3</v>
      </c>
    </row>
    <row r="40" spans="2:4" x14ac:dyDescent="0.2">
      <c r="B40" s="128">
        <v>19</v>
      </c>
      <c r="C40" s="146">
        <f>BE11</f>
        <v>3.2758639754890025E-2</v>
      </c>
      <c r="D40" s="128">
        <v>1.8E-3</v>
      </c>
    </row>
    <row r="41" spans="2:4" x14ac:dyDescent="0.2">
      <c r="B41" s="128">
        <v>20</v>
      </c>
      <c r="C41" s="146">
        <f>BH11</f>
        <v>3.22839119595556E-2</v>
      </c>
      <c r="D41" s="128">
        <v>1.8E-3</v>
      </c>
    </row>
    <row r="42" spans="2:4" x14ac:dyDescent="0.2">
      <c r="B42" s="128">
        <v>21</v>
      </c>
      <c r="C42" s="146">
        <f>BK11</f>
        <v>3.2109260701544705E-2</v>
      </c>
      <c r="D42" s="128">
        <v>1.8E-3</v>
      </c>
    </row>
    <row r="43" spans="2:4" x14ac:dyDescent="0.2">
      <c r="B43" s="128">
        <v>22</v>
      </c>
      <c r="C43" s="146">
        <f>BN11</f>
        <v>3.1695216297397445E-2</v>
      </c>
      <c r="D43" s="128">
        <v>1.8E-3</v>
      </c>
    </row>
    <row r="44" spans="2:4" x14ac:dyDescent="0.2">
      <c r="B44" s="128">
        <v>23</v>
      </c>
      <c r="C44" s="146">
        <f>BQ11</f>
        <v>3.1316318592962772E-2</v>
      </c>
      <c r="D44" s="128">
        <v>1.8E-3</v>
      </c>
    </row>
    <row r="45" spans="2:4" x14ac:dyDescent="0.2">
      <c r="B45" s="128">
        <v>24</v>
      </c>
      <c r="C45" s="146">
        <f>BT11</f>
        <v>3.0968069131449377E-2</v>
      </c>
      <c r="D45" s="128">
        <v>1.8E-3</v>
      </c>
    </row>
  </sheetData>
  <pageMargins left="0.5" right="0.5" top="1" bottom="1" header="0.25" footer="0.25"/>
  <pageSetup scale="58" orientation="landscape" r:id="rId1"/>
  <headerFooter alignWithMargins="0">
    <oddHeader>&amp;LPart No.:
Batch No(s).: 
Cartridge No. (LSP): &amp;C&amp;12Product QC Testing Worksheet-MTB/XDR&amp;RDocument Number: D37339 Attachment 1
Rev: M
Effective: 5/21/2026
p. &amp;P of &amp;N</oddHeader>
    <oddFooter>&amp;C User is responsible for using the current revision. The controlled current released revision of this document resides in the Agile PLM system.
Cepheid Confidential    Date Printed: &amp;D      &amp;T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14"/>
  <sheetViews>
    <sheetView zoomScaleNormal="100" workbookViewId="0"/>
  </sheetViews>
  <sheetFormatPr defaultRowHeight="12.75" x14ac:dyDescent="0.2"/>
  <cols>
    <col min="1" max="1" width="38.5703125" bestFit="1" customWidth="1"/>
  </cols>
  <sheetData>
    <row r="1" spans="1:20" x14ac:dyDescent="0.2">
      <c r="A1" s="39" t="s">
        <v>139</v>
      </c>
      <c r="C1" s="39" t="s">
        <v>144</v>
      </c>
      <c r="G1" s="39" t="s">
        <v>158</v>
      </c>
      <c r="T1" t="s">
        <v>312</v>
      </c>
    </row>
    <row r="2" spans="1:20" x14ac:dyDescent="0.2">
      <c r="A2" s="39"/>
      <c r="C2" s="39"/>
      <c r="J2" s="39"/>
      <c r="P2" s="39" t="s">
        <v>264</v>
      </c>
      <c r="Q2" s="39" t="s">
        <v>264</v>
      </c>
      <c r="R2" s="39" t="s">
        <v>269</v>
      </c>
    </row>
    <row r="3" spans="1:20" x14ac:dyDescent="0.2">
      <c r="A3" s="39" t="s">
        <v>140</v>
      </c>
      <c r="C3" s="39" t="s">
        <v>145</v>
      </c>
      <c r="G3" s="39" t="s">
        <v>159</v>
      </c>
      <c r="J3" s="39" t="s">
        <v>145</v>
      </c>
      <c r="N3" s="39" t="s">
        <v>159</v>
      </c>
      <c r="P3" s="39" t="s">
        <v>271</v>
      </c>
      <c r="Q3" s="39" t="s">
        <v>269</v>
      </c>
      <c r="R3" s="39" t="s">
        <v>272</v>
      </c>
      <c r="T3" t="s">
        <v>313</v>
      </c>
    </row>
    <row r="4" spans="1:20" x14ac:dyDescent="0.2">
      <c r="A4" s="39" t="s">
        <v>142</v>
      </c>
      <c r="C4" s="39" t="s">
        <v>141</v>
      </c>
      <c r="G4" s="39" t="s">
        <v>141</v>
      </c>
      <c r="J4" s="39" t="s">
        <v>141</v>
      </c>
      <c r="N4" s="39" t="s">
        <v>141</v>
      </c>
      <c r="Q4" s="39" t="s">
        <v>272</v>
      </c>
      <c r="R4" s="39" t="s">
        <v>273</v>
      </c>
      <c r="T4" t="s">
        <v>314</v>
      </c>
    </row>
    <row r="5" spans="1:20" x14ac:dyDescent="0.2">
      <c r="A5" s="39" t="s">
        <v>141</v>
      </c>
      <c r="C5" s="39" t="s">
        <v>254</v>
      </c>
      <c r="T5" t="s">
        <v>315</v>
      </c>
    </row>
    <row r="6" spans="1:20" x14ac:dyDescent="0.2">
      <c r="C6" s="39" t="s">
        <v>255</v>
      </c>
      <c r="T6" t="s">
        <v>264</v>
      </c>
    </row>
    <row r="7" spans="1:20" x14ac:dyDescent="0.2">
      <c r="C7" s="39" t="s">
        <v>256</v>
      </c>
    </row>
    <row r="8" spans="1:20" x14ac:dyDescent="0.2">
      <c r="C8" s="39" t="s">
        <v>257</v>
      </c>
      <c r="J8" s="39" t="s">
        <v>274</v>
      </c>
      <c r="L8" s="39" t="s">
        <v>275</v>
      </c>
      <c r="M8" s="39" t="s">
        <v>264</v>
      </c>
    </row>
    <row r="9" spans="1:20" x14ac:dyDescent="0.2">
      <c r="C9" s="39" t="s">
        <v>258</v>
      </c>
      <c r="J9" s="39" t="s">
        <v>275</v>
      </c>
      <c r="L9" s="39" t="s">
        <v>264</v>
      </c>
      <c r="M9" s="39" t="s">
        <v>270</v>
      </c>
    </row>
    <row r="10" spans="1:20" x14ac:dyDescent="0.2">
      <c r="C10" s="39" t="s">
        <v>259</v>
      </c>
      <c r="J10" s="39" t="s">
        <v>141</v>
      </c>
      <c r="M10" s="39" t="s">
        <v>276</v>
      </c>
    </row>
    <row r="11" spans="1:20" x14ac:dyDescent="0.2">
      <c r="C11" s="39" t="s">
        <v>260</v>
      </c>
    </row>
    <row r="12" spans="1:20" x14ac:dyDescent="0.2">
      <c r="C12" s="39" t="s">
        <v>285</v>
      </c>
    </row>
    <row r="13" spans="1:20" x14ac:dyDescent="0.2">
      <c r="C13" s="39" t="s">
        <v>261</v>
      </c>
    </row>
    <row r="14" spans="1:20" x14ac:dyDescent="0.2">
      <c r="C14" s="39" t="s">
        <v>262</v>
      </c>
    </row>
  </sheetData>
  <pageMargins left="0.5" right="0.5" top="1" bottom="1" header="0.25" footer="0.25"/>
  <pageSetup scale="58" orientation="landscape" r:id="rId1"/>
  <headerFooter alignWithMargins="0">
    <oddHeader>&amp;LPart No.:
Batch No(s).: 
Cartridge No. (LSP): &amp;C&amp;12Product QC Testing Worksheet-MTB/XDR&amp;RDocument Number: D37339 Attachment 1
Rev: M
Effective: 5/21/2026
p. &amp;P of &amp;N</oddHeader>
    <oddFooter>&amp;C User is responsible for using the current revision. The controlled current released revision of this document resides in the Agile PLM system.
Cepheid Confidential    Date Printed: &amp;D      &amp;T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9DA0545C4FE94096D6A6E0997DB60B" ma:contentTypeVersion="16" ma:contentTypeDescription="Create a new document." ma:contentTypeScope="" ma:versionID="d1d165f3ca26416b9581a37f67529550">
  <xsd:schema xmlns:xsd="http://www.w3.org/2001/XMLSchema" xmlns:xs="http://www.w3.org/2001/XMLSchema" xmlns:p="http://schemas.microsoft.com/office/2006/metadata/properties" xmlns:ns2="ce90e804-34d7-4506-93d6-50657b0fb6de" xmlns:ns3="7e103164-b856-42db-a870-67cce389e2a3" targetNamespace="http://schemas.microsoft.com/office/2006/metadata/properties" ma:root="true" ma:fieldsID="9360a1211e82aced15684a258c01260e" ns2:_="" ns3:_="">
    <xsd:import namespace="ce90e804-34d7-4506-93d6-50657b0fb6de"/>
    <xsd:import namespace="7e103164-b856-42db-a870-67cce389e2a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lcf76f155ced4ddcb4097134ff3c332f" minOccurs="0"/>
                <xsd:element ref="ns3:TaxCatchAll"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90e804-34d7-4506-93d6-50657b0fb6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c893bb2c-950b-4672-b623-c5bc4517d6aa"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103164-b856-42db-a870-67cce389e2a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d6c8645-dee7-429d-a030-6bccacd4d298}" ma:internalName="TaxCatchAll" ma:showField="CatchAllData" ma:web="7e103164-b856-42db-a870-67cce389e2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90e804-34d7-4506-93d6-50657b0fb6de">
      <Terms xmlns="http://schemas.microsoft.com/office/infopath/2007/PartnerControls"/>
    </lcf76f155ced4ddcb4097134ff3c332f>
    <TaxCatchAll xmlns="7e103164-b856-42db-a870-67cce389e2a3" xsi:nil="true"/>
  </documentManagement>
</p:properties>
</file>

<file path=customXml/itemProps1.xml><?xml version="1.0" encoding="utf-8"?>
<ds:datastoreItem xmlns:ds="http://schemas.openxmlformats.org/officeDocument/2006/customXml" ds:itemID="{5D02578B-48A7-4B86-BE28-E65DE3580D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90e804-34d7-4506-93d6-50657b0fb6de"/>
    <ds:schemaRef ds:uri="7e103164-b856-42db-a870-67cce389e2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EEFF83-51BD-4F6A-98B3-D4BC6DC6533A}">
  <ds:schemaRefs>
    <ds:schemaRef ds:uri="http://schemas.microsoft.com/sharepoint/v3/contenttype/forms"/>
  </ds:schemaRefs>
</ds:datastoreItem>
</file>

<file path=customXml/itemProps3.xml><?xml version="1.0" encoding="utf-8"?>
<ds:datastoreItem xmlns:ds="http://schemas.openxmlformats.org/officeDocument/2006/customXml" ds:itemID="{F44665E1-C5A0-4612-8DEF-6401E9B3E6A5}">
  <ds:schemaRefs>
    <ds:schemaRef ds:uri="http://schemas.openxmlformats.org/package/2006/metadata/core-properties"/>
    <ds:schemaRef ds:uri="http://schemas.microsoft.com/office/2006/metadata/properties"/>
    <ds:schemaRef ds:uri="http://www.w3.org/XML/1998/namespace"/>
    <ds:schemaRef ds:uri="http://purl.org/dc/elements/1.1/"/>
    <ds:schemaRef ds:uri="7e103164-b856-42db-a870-67cce389e2a3"/>
    <ds:schemaRef ds:uri="http://purl.org/dc/dcmitype/"/>
    <ds:schemaRef ds:uri="ce90e804-34d7-4506-93d6-50657b0fb6de"/>
    <ds:schemaRef ds:uri="http://schemas.microsoft.com/office/2006/documentManagement/types"/>
    <ds:schemaRef ds:uri="http://schemas.microsoft.com/office/infopath/2007/PartnerControls"/>
    <ds:schemaRef ds:uri="http://purl.org/dc/terms/"/>
  </ds:schemaRefs>
</ds:datastoreItem>
</file>

<file path=docMetadata/LabelInfo.xml><?xml version="1.0" encoding="utf-8"?>
<clbl:labelList xmlns:clbl="http://schemas.microsoft.com/office/2020/mipLabelMetadata">
  <clbl:label id="{631ef649-45d3-4e5d-80df-d43468de9a5e}" enabled="1" method="Privileged" siteId="{771c9c47-7f24-44dc-958e-34f8713a83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16</vt:i4>
      </vt:variant>
    </vt:vector>
  </HeadingPairs>
  <TitlesOfParts>
    <vt:vector size="33" baseType="lpstr">
      <vt:lpstr>Intended Use</vt:lpstr>
      <vt:lpstr>Mean Ct MPT MPH Evaluation</vt:lpstr>
      <vt:lpstr>Vacuum Seal Data</vt:lpstr>
      <vt:lpstr>Test Summary</vt:lpstr>
      <vt:lpstr>Data Summary</vt:lpstr>
      <vt:lpstr>Data - First 10</vt:lpstr>
      <vt:lpstr>Data - Sample Type 0</vt:lpstr>
      <vt:lpstr>Data - Sample Type 1</vt:lpstr>
      <vt:lpstr>Data - Sample Type 2</vt:lpstr>
      <vt:lpstr>Data - Replaced</vt:lpstr>
      <vt:lpstr>Statistical Process Control</vt:lpstr>
      <vt:lpstr>Resample Mean Ct MPT MPH</vt:lpstr>
      <vt:lpstr>Data - Resample Replaced </vt:lpstr>
      <vt:lpstr>Resample Data Summary</vt:lpstr>
      <vt:lpstr>Specifications</vt:lpstr>
      <vt:lpstr>HistoricalAccuStats</vt:lpstr>
      <vt:lpstr>For Reference Only</vt:lpstr>
      <vt:lpstr>codes</vt:lpstr>
      <vt:lpstr>list</vt:lpstr>
      <vt:lpstr>'Data Summary'!Print_Area</vt:lpstr>
      <vt:lpstr>'Intended Use'!Print_Area</vt:lpstr>
      <vt:lpstr>'Mean Ct MPT MPH Evaluation'!Print_Area</vt:lpstr>
      <vt:lpstr>'Resample Data Summary'!Print_Area</vt:lpstr>
      <vt:lpstr>'Resample Mean Ct MPT MPH'!Print_Area</vt:lpstr>
      <vt:lpstr>'Statistical Process Control'!Print_Area</vt:lpstr>
      <vt:lpstr>'Data - First 10'!Print_Titles</vt:lpstr>
      <vt:lpstr>'Data - Replaced'!Print_Titles</vt:lpstr>
      <vt:lpstr>'Data - Resample Replaced '!Print_Titles</vt:lpstr>
      <vt:lpstr>'Data - Sample Type 0'!Print_Titles</vt:lpstr>
      <vt:lpstr>'Data - Sample Type 1'!Print_Titles</vt:lpstr>
      <vt:lpstr>'Data - Sample Type 2'!Print_Titles</vt:lpstr>
      <vt:lpstr>'Data Summary'!Print_Titles</vt:lpstr>
      <vt:lpstr>'Resample Data Summary'!Print_Titles</vt:lpstr>
    </vt:vector>
  </TitlesOfParts>
  <Company>Cepheid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Whitmore</dc:creator>
  <cp:lastModifiedBy>Fredriksson, Jesper</cp:lastModifiedBy>
  <cp:lastPrinted>2020-07-09T02:32:19Z</cp:lastPrinted>
  <dcterms:created xsi:type="dcterms:W3CDTF">2007-10-31T21:49:46Z</dcterms:created>
  <dcterms:modified xsi:type="dcterms:W3CDTF">2026-06-03T08:59:14Z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0x010100E59DA0545C4FE94096D6A6E0997DB60B</vt:lpwstr>
  </property>
  <property fmtid="{D5CDD505-2E9C-101B-9397-08002B2CF9AE}" pid="3" name="MSIP_Label_f48041ff-f5de-4583-8841-e2a1851ee5d2_Enabled">
    <vt:lpwstr>true</vt:lpwstr>
  </property>
  <property fmtid="{D5CDD505-2E9C-101B-9397-08002B2CF9AE}" pid="4" name="MSIP_Label_f48041ff-f5de-4583-8841-e2a1851ee5d2_SetDate">
    <vt:lpwstr>2024-03-27T22:13:05Z</vt:lpwstr>
  </property>
  <property fmtid="{D5CDD505-2E9C-101B-9397-08002B2CF9AE}" pid="5" name="MSIP_Label_f48041ff-f5de-4583-8841-e2a1851ee5d2_Method">
    <vt:lpwstr>Privileged</vt:lpwstr>
  </property>
  <property fmtid="{D5CDD505-2E9C-101B-9397-08002B2CF9AE}" pid="6" name="MSIP_Label_f48041ff-f5de-4583-8841-e2a1851ee5d2_Name">
    <vt:lpwstr>Confidential</vt:lpwstr>
  </property>
  <property fmtid="{D5CDD505-2E9C-101B-9397-08002B2CF9AE}" pid="7" name="MSIP_Label_f48041ff-f5de-4583-8841-e2a1851ee5d2_SiteId">
    <vt:lpwstr>771c9c47-7f24-44dc-958e-34f8713a8394</vt:lpwstr>
  </property>
  <property fmtid="{D5CDD505-2E9C-101B-9397-08002B2CF9AE}" pid="8" name="MSIP_Label_f48041ff-f5de-4583-8841-e2a1851ee5d2_ActionId">
    <vt:lpwstr>711ac39b-fa0c-4a78-b01f-ed90503ad8ec</vt:lpwstr>
  </property>
  <property fmtid="{D5CDD505-2E9C-101B-9397-08002B2CF9AE}" pid="9" name="MSIP_Label_f48041ff-f5de-4583-8841-e2a1851ee5d2_ContentBits">
    <vt:lpwstr>2</vt:lpwstr>
  </property>
  <property fmtid="{D5CDD505-2E9C-101B-9397-08002B2CF9AE}" pid="10" name="MediaServiceImageTags">
    <vt:lpwstr/>
  </property>
</Properties>
</file>