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QC\QC-1\IPT\Skiftspecifika dokument\PQC analyst\JESPER\Kontrollmaterial Power App\"/>
    </mc:Choice>
  </mc:AlternateContent>
  <xr:revisionPtr revIDLastSave="0" documentId="13_ncr:1_{A497BBBE-C502-4A48-B4D7-DE54C37A9DC1}" xr6:coauthVersionLast="47" xr6:coauthVersionMax="47" xr10:uidLastSave="{00000000-0000-0000-0000-000000000000}"/>
  <bookViews>
    <workbookView xWindow="28680" yWindow="-4770" windowWidth="29040" windowHeight="15720" tabRatio="883" activeTab="3" xr2:uid="{00000000-000D-0000-FFFF-FFFF00000000}"/>
  </bookViews>
  <sheets>
    <sheet name="query" sheetId="34" r:id="rId1"/>
    <sheet name="raw_data_old" sheetId="3" state="hidden" r:id="rId2"/>
    <sheet name="BULK SR" sheetId="4" r:id="rId3"/>
    <sheet name="KUND SR" sheetId="5" r:id="rId4"/>
    <sheet name="MTB RIF" sheetId="6" r:id="rId5"/>
    <sheet name="MTB ULTRA" sheetId="7" r:id="rId6"/>
    <sheet name="MTB JP" sheetId="8" r:id="rId7"/>
    <sheet name="MTB XDR" sheetId="9" r:id="rId8"/>
    <sheet name="FLUVID | FLUVID+" sheetId="10" r:id="rId9"/>
    <sheet name="SARS-COV-2 Plus" sheetId="11" r:id="rId10"/>
    <sheet name="Respiratory Panel" sheetId="12" r:id="rId11"/>
    <sheet name="CTNG | CTNG JP" sheetId="13" r:id="rId12"/>
    <sheet name="C.DIFF | C.DIFF JP" sheetId="14" r:id="rId13"/>
    <sheet name="EBOLA" sheetId="15" r:id="rId14"/>
    <sheet name="HPV" sheetId="16" r:id="rId15"/>
    <sheet name="HBV VL" sheetId="17" r:id="rId16"/>
    <sheet name="HCV VL" sheetId="18" r:id="rId17"/>
    <sheet name="HCV VL FS" sheetId="19" r:id="rId18"/>
    <sheet name="HIV VL" sheetId="20" r:id="rId19"/>
    <sheet name="HIV VL XC" sheetId="21" r:id="rId20"/>
    <sheet name="HIV QA" sheetId="22" r:id="rId21"/>
    <sheet name="HIV QA XC" sheetId="23" r:id="rId22"/>
    <sheet name="GI Panel" sheetId="24" r:id="rId23"/>
    <sheet name="SARS-COV-2" sheetId="25" r:id="rId24"/>
    <sheet name="FLU RSV" sheetId="26" r:id="rId25"/>
    <sheet name="MRSA SA" sheetId="27" r:id="rId26"/>
    <sheet name="MRSA NxG" sheetId="28" r:id="rId27"/>
    <sheet name="NORO" sheetId="29" r:id="rId28"/>
    <sheet name="VAN AB" sheetId="30" r:id="rId29"/>
    <sheet name="GBS" sheetId="31" r:id="rId30"/>
    <sheet name="STREP B" sheetId="35" r:id="rId31"/>
    <sheet name="CARBA R" sheetId="33" r:id="rId32"/>
  </sheets>
  <externalReferences>
    <externalReference r:id="rId33"/>
  </externalReferences>
  <definedNames>
    <definedName name="_xlpm.crit" hidden="1" xlm="1">#NAME?</definedName>
    <definedName name="_xlpm.pn" hidden="1" xlm="1">#NAME?</definedName>
    <definedName name="_xlpm.x" hidden="1" xlm="1">#NAME?</definedName>
    <definedName name="ExternalData_1" localSheetId="0" hidden="1">query!$A$1:$O$161</definedName>
    <definedName name="_xlnm.Print_Area" localSheetId="3">'KUND SR'!$A$1:$W$37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4" l="1" a="1"/>
  <c r="C24" i="4" s="1"/>
  <c r="C25" i="4" a="1"/>
  <c r="C25" i="4" s="1"/>
  <c r="C26" i="4" a="1"/>
  <c r="C26" i="4"/>
  <c r="F24" i="4" a="1"/>
  <c r="F24" i="4" s="1"/>
  <c r="F25" i="4" a="1"/>
  <c r="F25" i="4" s="1"/>
  <c r="F26" i="4" a="1"/>
  <c r="F26" i="4" s="1"/>
  <c r="H24" i="4" a="1"/>
  <c r="H24" i="4" s="1"/>
  <c r="H25" i="4" a="1"/>
  <c r="H25" i="4" s="1"/>
  <c r="H26" i="4" a="1"/>
  <c r="H26" i="4" s="1"/>
  <c r="I26" i="4" a="1"/>
  <c r="I26" i="4" s="1"/>
  <c r="I24" i="4" a="1"/>
  <c r="I24" i="4" s="1"/>
  <c r="I25" i="4" a="1"/>
  <c r="I25" i="4" s="1"/>
  <c r="J24" i="4" a="1"/>
  <c r="J24" i="4" s="1"/>
  <c r="J25" i="4" a="1"/>
  <c r="J25" i="4" s="1"/>
  <c r="J26" i="4" a="1"/>
  <c r="J26" i="4"/>
  <c r="J23" i="4" a="1"/>
  <c r="J23" i="4"/>
  <c r="I23" i="4" a="1"/>
  <c r="I23" i="4"/>
  <c r="H23" i="4" a="1"/>
  <c r="H23" i="4" s="1"/>
  <c r="F23" i="4" a="1"/>
  <c r="F23" i="4" s="1"/>
  <c r="C23" i="4" a="1"/>
  <c r="C23" i="4"/>
  <c r="C59" i="4" a="1"/>
  <c r="C59" i="4" s="1"/>
  <c r="AB16" i="4" a="1"/>
  <c r="AB16" i="4"/>
  <c r="AB17" i="4" a="1"/>
  <c r="AB17" i="4"/>
  <c r="AB18" i="4" a="1"/>
  <c r="AB18" i="4"/>
  <c r="AA16" i="4" a="1"/>
  <c r="AA16" i="4"/>
  <c r="AA17" i="4" a="1"/>
  <c r="AA17" i="4"/>
  <c r="AA18" i="4" a="1"/>
  <c r="AA18" i="4"/>
  <c r="Z16" i="4" a="1"/>
  <c r="Z16" i="4"/>
  <c r="Z17" i="4" a="1"/>
  <c r="Z17" i="4" s="1"/>
  <c r="Z18" i="4" a="1"/>
  <c r="Z18" i="4"/>
  <c r="X16" i="4" a="1"/>
  <c r="X16" i="4" s="1"/>
  <c r="X17" i="4" a="1"/>
  <c r="X17" i="4" s="1"/>
  <c r="X18" i="4" a="1"/>
  <c r="X18" i="4" s="1"/>
  <c r="U16" i="4" a="1"/>
  <c r="U16" i="4"/>
  <c r="U17" i="4" a="1"/>
  <c r="U17" i="4" s="1"/>
  <c r="U18" i="4" a="1"/>
  <c r="U18" i="4"/>
  <c r="AB15" i="4" a="1"/>
  <c r="AB15" i="4"/>
  <c r="AA15" i="4" a="1"/>
  <c r="AA15" i="4"/>
  <c r="Z15" i="4" a="1"/>
  <c r="Z15" i="4" s="1"/>
  <c r="X15" i="4" a="1"/>
  <c r="X15" i="4" s="1"/>
  <c r="U15" i="4" a="1"/>
  <c r="U15" i="4"/>
  <c r="C55" i="4" a="1"/>
  <c r="C55" i="4" s="1"/>
  <c r="S16" i="4" a="1"/>
  <c r="S16" i="4" s="1"/>
  <c r="S17" i="4" a="1"/>
  <c r="S17" i="4" s="1"/>
  <c r="S18" i="4" a="1"/>
  <c r="S18" i="4"/>
  <c r="R16" i="4" a="1"/>
  <c r="R16" i="4"/>
  <c r="R17" i="4" a="1"/>
  <c r="R17" i="4"/>
  <c r="R18" i="4" a="1"/>
  <c r="R18" i="4"/>
  <c r="Q16" i="4" a="1"/>
  <c r="Q16" i="4"/>
  <c r="Q17" i="4" a="1"/>
  <c r="Q17" i="4"/>
  <c r="Q18" i="4" a="1"/>
  <c r="Q18" i="4"/>
  <c r="O16" i="4" a="1"/>
  <c r="O16" i="4"/>
  <c r="O17" i="4" a="1"/>
  <c r="O17" i="4"/>
  <c r="O18" i="4" a="1"/>
  <c r="O18" i="4"/>
  <c r="L16" i="4" a="1"/>
  <c r="L16" i="4"/>
  <c r="L17" i="4" a="1"/>
  <c r="L17" i="4"/>
  <c r="L18" i="4" a="1"/>
  <c r="L18" i="4"/>
  <c r="S15" i="4" a="1"/>
  <c r="S15" i="4" s="1"/>
  <c r="R15" i="4" a="1"/>
  <c r="R15" i="4" s="1"/>
  <c r="Q15" i="4" a="1"/>
  <c r="Q15" i="4"/>
  <c r="O15" i="4" a="1"/>
  <c r="O15" i="4" s="1"/>
  <c r="L15" i="4" a="1"/>
  <c r="L15" i="4"/>
  <c r="C51" i="4" a="1"/>
  <c r="C51" i="4" s="1"/>
  <c r="J16" i="4" a="1"/>
  <c r="J16" i="4" s="1"/>
  <c r="J17" i="4" a="1"/>
  <c r="J17" i="4" s="1"/>
  <c r="J18" i="4" a="1"/>
  <c r="J18" i="4"/>
  <c r="I16" i="4" a="1"/>
  <c r="I16" i="4"/>
  <c r="I17" i="4" a="1"/>
  <c r="I17" i="4" s="1"/>
  <c r="I18" i="4" a="1"/>
  <c r="I18" i="4"/>
  <c r="H16" i="4" a="1"/>
  <c r="H16" i="4"/>
  <c r="H17" i="4" a="1"/>
  <c r="H17" i="4"/>
  <c r="H18" i="4" a="1"/>
  <c r="H18" i="4"/>
  <c r="F16" i="4" a="1"/>
  <c r="F16" i="4" s="1"/>
  <c r="F17" i="4" a="1"/>
  <c r="F17" i="4"/>
  <c r="F18" i="4" a="1"/>
  <c r="F18" i="4"/>
  <c r="C16" i="4" a="1"/>
  <c r="C16" i="4"/>
  <c r="C17" i="4" a="1"/>
  <c r="C17" i="4" s="1"/>
  <c r="C18" i="4" a="1"/>
  <c r="C18" i="4" s="1"/>
  <c r="J15" i="4" a="1"/>
  <c r="J15" i="4" s="1"/>
  <c r="I15" i="4" a="1"/>
  <c r="I15" i="4" s="1"/>
  <c r="H15" i="4" a="1"/>
  <c r="H15" i="4" s="1"/>
  <c r="F15" i="4" a="1"/>
  <c r="F15" i="4" s="1"/>
  <c r="C15" i="4" a="1"/>
  <c r="C15" i="4"/>
  <c r="C47" i="4" a="1"/>
  <c r="C47" i="4" s="1"/>
  <c r="AB8" i="4" a="1"/>
  <c r="AB8" i="4"/>
  <c r="AB9" i="4" a="1"/>
  <c r="AB9" i="4"/>
  <c r="AB10" i="4" a="1"/>
  <c r="AB10" i="4"/>
  <c r="AA8" i="4" a="1"/>
  <c r="AA8" i="4"/>
  <c r="AA9" i="4" a="1"/>
  <c r="AA9" i="4" s="1"/>
  <c r="AA10" i="4" a="1"/>
  <c r="AA10" i="4" s="1"/>
  <c r="Z8" i="4" a="1"/>
  <c r="Z8" i="4"/>
  <c r="Z9" i="4" a="1"/>
  <c r="Z9" i="4" s="1"/>
  <c r="Z10" i="4" a="1"/>
  <c r="Z10" i="4" s="1"/>
  <c r="X8" i="4" a="1"/>
  <c r="X8" i="4" s="1"/>
  <c r="X9" i="4" a="1"/>
  <c r="X9" i="4" s="1"/>
  <c r="X10" i="4" a="1"/>
  <c r="X10" i="4" s="1"/>
  <c r="U8" i="4" a="1"/>
  <c r="U8" i="4"/>
  <c r="U9" i="4" a="1"/>
  <c r="U9" i="4"/>
  <c r="U10" i="4" a="1"/>
  <c r="U10" i="4"/>
  <c r="AB7" i="4" a="1"/>
  <c r="AB7" i="4" s="1"/>
  <c r="AA7" i="4" a="1"/>
  <c r="AA7" i="4" s="1"/>
  <c r="Z7" i="4" a="1"/>
  <c r="Z7" i="4" s="1"/>
  <c r="X7" i="4" a="1"/>
  <c r="X7" i="4" s="1"/>
  <c r="U7" i="4" a="1"/>
  <c r="U7" i="4"/>
  <c r="C43" i="4" a="1"/>
  <c r="C43" i="4" s="1"/>
  <c r="S8" i="4" a="1"/>
  <c r="S8" i="4"/>
  <c r="S9" i="4" a="1"/>
  <c r="S9" i="4"/>
  <c r="S10" i="4" a="1"/>
  <c r="S10" i="4" s="1"/>
  <c r="S7" i="4" a="1"/>
  <c r="S7" i="4"/>
  <c r="R8" i="4" a="1"/>
  <c r="R8" i="4"/>
  <c r="R9" i="4" a="1"/>
  <c r="R9" i="4"/>
  <c r="R10" i="4" a="1"/>
  <c r="R10" i="4" s="1"/>
  <c r="R7" i="4" a="1"/>
  <c r="R7" i="4"/>
  <c r="Q8" i="4" a="1"/>
  <c r="Q8" i="4" s="1"/>
  <c r="Q9" i="4" a="1"/>
  <c r="Q9" i="4"/>
  <c r="Q10" i="4" a="1"/>
  <c r="Q10" i="4" s="1"/>
  <c r="Q7" i="4" a="1"/>
  <c r="Q7" i="4"/>
  <c r="O8" i="4" a="1"/>
  <c r="O8" i="4"/>
  <c r="O9" i="4" a="1"/>
  <c r="O9" i="4"/>
  <c r="O10" i="4" a="1"/>
  <c r="O10" i="4"/>
  <c r="O7" i="4" a="1"/>
  <c r="O7" i="4" s="1"/>
  <c r="L8" i="4" a="1"/>
  <c r="L8" i="4" s="1"/>
  <c r="L9" i="4" a="1"/>
  <c r="L9" i="4" s="1"/>
  <c r="L10" i="4" a="1"/>
  <c r="L10" i="4" s="1"/>
  <c r="L7" i="4" a="1"/>
  <c r="L7" i="4" s="1"/>
  <c r="C39" i="4" a="1"/>
  <c r="C39" i="4" s="1"/>
  <c r="J8" i="4" a="1"/>
  <c r="J8" i="4" s="1"/>
  <c r="J9" i="4" a="1"/>
  <c r="J9" i="4" s="1"/>
  <c r="J10" i="4" a="1"/>
  <c r="J10" i="4" s="1"/>
  <c r="I8" i="4" a="1"/>
  <c r="I8" i="4" s="1"/>
  <c r="I9" i="4" a="1"/>
  <c r="I9" i="4" s="1"/>
  <c r="I10" i="4" a="1"/>
  <c r="I10" i="4" s="1"/>
  <c r="H8" i="4" a="1"/>
  <c r="H8" i="4"/>
  <c r="H9" i="4" a="1"/>
  <c r="H9" i="4" s="1"/>
  <c r="H10" i="4" a="1"/>
  <c r="H10" i="4"/>
  <c r="F8" i="4" a="1"/>
  <c r="F8" i="4" s="1"/>
  <c r="F9" i="4" a="1"/>
  <c r="F9" i="4" s="1"/>
  <c r="F10" i="4" a="1"/>
  <c r="F10" i="4" s="1"/>
  <c r="C8" i="4" a="1"/>
  <c r="C8" i="4" s="1"/>
  <c r="C9" i="4" a="1"/>
  <c r="C9" i="4"/>
  <c r="C10" i="4" a="1"/>
  <c r="C10" i="4"/>
  <c r="J7" i="4" a="1"/>
  <c r="J7" i="4" s="1"/>
  <c r="I7" i="4" a="1"/>
  <c r="I7" i="4" s="1"/>
  <c r="H7" i="4" a="1"/>
  <c r="H7" i="4"/>
  <c r="F7" i="4" a="1"/>
  <c r="F7" i="4" s="1"/>
  <c r="C7" i="4" a="1"/>
  <c r="C7" i="4" s="1"/>
  <c r="C35" i="4" a="1"/>
  <c r="C35" i="4" s="1"/>
  <c r="J23" i="28" a="1"/>
  <c r="J23" i="28" s="1"/>
  <c r="J23" i="29" a="1"/>
  <c r="G25" i="29" s="1" a="1"/>
  <c r="G25" i="29" s="1"/>
  <c r="H23" i="29" l="1" a="1"/>
  <c r="H23" i="29" s="1"/>
  <c r="H26" i="28" a="1"/>
  <c r="H26" i="28" s="1"/>
  <c r="H23" i="28" a="1"/>
  <c r="H23" i="28" s="1"/>
  <c r="H25" i="28" a="1"/>
  <c r="H25" i="28" s="1"/>
  <c r="H24" i="28" a="1"/>
  <c r="H24" i="28" s="1"/>
  <c r="D26" i="28" a="1"/>
  <c r="D26" i="28" s="1"/>
  <c r="D25" i="28" a="1"/>
  <c r="D25" i="28" s="1"/>
  <c r="A23" i="28" a="1"/>
  <c r="A23" i="28" s="1"/>
  <c r="D24" i="28" a="1"/>
  <c r="D24" i="28" s="1"/>
  <c r="A26" i="28" a="1"/>
  <c r="A26" i="28" s="1"/>
  <c r="A25" i="28" a="1"/>
  <c r="A25" i="28" s="1"/>
  <c r="F24" i="28" a="1"/>
  <c r="F24" i="28" s="1"/>
  <c r="G26" i="28" a="1"/>
  <c r="G26" i="28" s="1"/>
  <c r="F26" i="28" a="1"/>
  <c r="F26" i="28" s="1"/>
  <c r="A24" i="28" a="1"/>
  <c r="A24" i="28" s="1"/>
  <c r="F25" i="28" a="1"/>
  <c r="F25" i="28" s="1"/>
  <c r="G25" i="28" a="1"/>
  <c r="G25" i="28" s="1"/>
  <c r="G24" i="28" a="1"/>
  <c r="G24" i="28" s="1"/>
  <c r="G23" i="28" a="1"/>
  <c r="G23" i="28" s="1"/>
  <c r="D23" i="29" a="1"/>
  <c r="D23" i="29" s="1"/>
  <c r="D23" i="28" a="1"/>
  <c r="D23" i="28" s="1"/>
  <c r="G23" i="29" a="1"/>
  <c r="G23" i="29" s="1"/>
  <c r="D26" i="29" a="1"/>
  <c r="D26" i="29" s="1"/>
  <c r="F23" i="29" a="1"/>
  <c r="F23" i="29" s="1"/>
  <c r="F23" i="28" a="1"/>
  <c r="F23" i="28" s="1"/>
  <c r="H25" i="29" a="1"/>
  <c r="H25" i="29" s="1"/>
  <c r="A24" i="29" a="1"/>
  <c r="A24" i="29" s="1"/>
  <c r="F26" i="29" a="1"/>
  <c r="F26" i="29" s="1"/>
  <c r="D24" i="29" a="1"/>
  <c r="D24" i="29" s="1"/>
  <c r="A25" i="29" a="1"/>
  <c r="A25" i="29" s="1"/>
  <c r="H26" i="29" a="1"/>
  <c r="H26" i="29" s="1"/>
  <c r="H24" i="29" a="1"/>
  <c r="H24" i="29" s="1"/>
  <c r="J23" i="29"/>
  <c r="G24" i="29" a="1"/>
  <c r="G24" i="29" s="1"/>
  <c r="F25" i="29" a="1"/>
  <c r="F25" i="29" s="1"/>
  <c r="F24" i="29" a="1"/>
  <c r="F24" i="29" s="1"/>
  <c r="D25" i="29" a="1"/>
  <c r="D25" i="29" s="1"/>
  <c r="A26" i="29" a="1"/>
  <c r="A26" i="29" s="1"/>
  <c r="G26" i="29" a="1"/>
  <c r="G26" i="29" s="1"/>
  <c r="A23" i="29" a="1"/>
  <c r="A23" i="29" s="1"/>
  <c r="A18" i="33" l="1"/>
  <c r="A17" i="33"/>
  <c r="A16" i="33"/>
  <c r="J15" i="33" a="1"/>
  <c r="F17" i="33" s="1" a="1"/>
  <c r="F17" i="33" s="1"/>
  <c r="A13" i="33"/>
  <c r="A12" i="33"/>
  <c r="A11" i="33"/>
  <c r="J10" i="33" a="1"/>
  <c r="G13" i="33" s="1" a="1"/>
  <c r="G13" i="33" s="1"/>
  <c r="A8" i="33"/>
  <c r="A7" i="33"/>
  <c r="A6" i="33"/>
  <c r="J5" i="33" a="1"/>
  <c r="A18" i="35"/>
  <c r="A17" i="35"/>
  <c r="A16" i="35"/>
  <c r="J15" i="35" a="1"/>
  <c r="C18" i="35" s="1" a="1"/>
  <c r="C18" i="35" s="1"/>
  <c r="A13" i="35"/>
  <c r="A12" i="35"/>
  <c r="A11" i="35"/>
  <c r="J10" i="35" a="1"/>
  <c r="H12" i="35" s="1" a="1"/>
  <c r="H12" i="35" s="1"/>
  <c r="A8" i="35"/>
  <c r="A7" i="35"/>
  <c r="A6" i="35"/>
  <c r="J5" i="35" a="1"/>
  <c r="C6" i="35" s="1" a="1"/>
  <c r="C6" i="35" s="1"/>
  <c r="A23" i="31"/>
  <c r="A22" i="31"/>
  <c r="A21" i="31"/>
  <c r="J20" i="31" a="1"/>
  <c r="H20" i="31" s="1" a="1"/>
  <c r="H20" i="31" s="1"/>
  <c r="A18" i="31"/>
  <c r="A17" i="31"/>
  <c r="A16" i="31"/>
  <c r="J15" i="31" a="1"/>
  <c r="G15" i="31" s="1" a="1"/>
  <c r="G15" i="31" s="1"/>
  <c r="A13" i="31"/>
  <c r="A12" i="31"/>
  <c r="A11" i="31"/>
  <c r="J10" i="31" a="1"/>
  <c r="C13" i="31" s="1" a="1"/>
  <c r="C13" i="31" s="1"/>
  <c r="A8" i="31"/>
  <c r="C7" i="31" a="1"/>
  <c r="C7" i="31" s="1"/>
  <c r="A7" i="31"/>
  <c r="A6" i="31"/>
  <c r="J5" i="31" a="1"/>
  <c r="H7" i="31" s="1" a="1"/>
  <c r="H7" i="31" s="1"/>
  <c r="J13" i="30" a="1"/>
  <c r="F15" i="30" s="1" a="1"/>
  <c r="F15" i="30" s="1"/>
  <c r="F8" i="30" a="1"/>
  <c r="F8" i="30" s="1"/>
  <c r="A8" i="30"/>
  <c r="A7" i="30"/>
  <c r="A6" i="30"/>
  <c r="J5" i="30" a="1"/>
  <c r="F5" i="30" s="1" a="1"/>
  <c r="F5" i="30" s="1"/>
  <c r="A18" i="29"/>
  <c r="A17" i="29"/>
  <c r="A16" i="29"/>
  <c r="J15" i="29" a="1"/>
  <c r="G15" i="29" s="1" a="1"/>
  <c r="G15" i="29" s="1"/>
  <c r="A13" i="29"/>
  <c r="A12" i="29"/>
  <c r="A11" i="29"/>
  <c r="J10" i="29" a="1"/>
  <c r="F12" i="29" s="1" a="1"/>
  <c r="F12" i="29" s="1"/>
  <c r="A8" i="29"/>
  <c r="A7" i="29"/>
  <c r="A6" i="29"/>
  <c r="J5" i="29" a="1"/>
  <c r="G7" i="29" s="1" a="1"/>
  <c r="G7" i="29" s="1"/>
  <c r="A18" i="28"/>
  <c r="A17" i="28"/>
  <c r="A16" i="28"/>
  <c r="J15" i="28" a="1"/>
  <c r="A13" i="28"/>
  <c r="A12" i="28"/>
  <c r="A11" i="28"/>
  <c r="J10" i="28" a="1"/>
  <c r="A8" i="28"/>
  <c r="A7" i="28"/>
  <c r="A6" i="28"/>
  <c r="J5" i="28" a="1"/>
  <c r="J13" i="27" a="1"/>
  <c r="A8" i="27"/>
  <c r="A7" i="27"/>
  <c r="A6" i="27"/>
  <c r="J5" i="27" a="1"/>
  <c r="F7" i="27" s="1" a="1"/>
  <c r="F7" i="27" s="1"/>
  <c r="A54" i="26"/>
  <c r="A53" i="26"/>
  <c r="A52" i="26"/>
  <c r="J51" i="26" a="1"/>
  <c r="A48" i="26"/>
  <c r="A47" i="26"/>
  <c r="H46" i="26" a="1"/>
  <c r="H46" i="26" s="1"/>
  <c r="A46" i="26"/>
  <c r="J45" i="26" a="1"/>
  <c r="H47" i="26" s="1" a="1"/>
  <c r="H47" i="26" s="1"/>
  <c r="F45" i="26" a="1"/>
  <c r="F45" i="26" s="1"/>
  <c r="D45" i="26" a="1"/>
  <c r="D45" i="26" s="1"/>
  <c r="A43" i="26"/>
  <c r="A42" i="26"/>
  <c r="A41" i="26"/>
  <c r="J40" i="26" a="1"/>
  <c r="G40" i="26" s="1" a="1"/>
  <c r="G40" i="26" s="1"/>
  <c r="A38" i="26"/>
  <c r="A37" i="26"/>
  <c r="C36" i="26" a="1"/>
  <c r="C36" i="26" s="1"/>
  <c r="A36" i="26"/>
  <c r="J35" i="26" a="1"/>
  <c r="C37" i="26" s="1" a="1"/>
  <c r="C37" i="26" s="1"/>
  <c r="A33" i="26"/>
  <c r="D32" i="26" a="1"/>
  <c r="D32" i="26" s="1"/>
  <c r="A32" i="26"/>
  <c r="A31" i="26"/>
  <c r="J30" i="26" a="1"/>
  <c r="C32" i="26" s="1" a="1"/>
  <c r="C32" i="26" s="1"/>
  <c r="H28" i="26" a="1"/>
  <c r="H28" i="26" s="1"/>
  <c r="A28" i="26"/>
  <c r="D27" i="26" a="1"/>
  <c r="D27" i="26" s="1"/>
  <c r="A27" i="26"/>
  <c r="C26" i="26" a="1"/>
  <c r="C26" i="26" s="1"/>
  <c r="A26" i="26"/>
  <c r="J25" i="26" a="1"/>
  <c r="G25" i="26" s="1" a="1"/>
  <c r="G25" i="26" s="1"/>
  <c r="H25" i="26" a="1"/>
  <c r="H25" i="26" s="1"/>
  <c r="A23" i="26"/>
  <c r="A22" i="26"/>
  <c r="A21" i="26"/>
  <c r="J20" i="26" a="1"/>
  <c r="D22" i="26" s="1" a="1"/>
  <c r="D22" i="26" s="1"/>
  <c r="A18" i="26"/>
  <c r="A17" i="26"/>
  <c r="A16" i="26"/>
  <c r="J15" i="26" a="1"/>
  <c r="A13" i="26"/>
  <c r="A12" i="26"/>
  <c r="A11" i="26"/>
  <c r="J10" i="26" a="1"/>
  <c r="F13" i="26" s="1" a="1"/>
  <c r="F13" i="26" s="1"/>
  <c r="A8" i="26"/>
  <c r="A7" i="26"/>
  <c r="A6" i="26"/>
  <c r="J5" i="26" a="1"/>
  <c r="H5" i="26" s="1" a="1"/>
  <c r="H5" i="26" s="1"/>
  <c r="G14" i="25" a="1"/>
  <c r="G14" i="25" s="1"/>
  <c r="A14" i="25"/>
  <c r="A13" i="25"/>
  <c r="A12" i="25"/>
  <c r="J11" i="25" a="1"/>
  <c r="C12" i="25" s="1" a="1"/>
  <c r="C12" i="25" s="1"/>
  <c r="A8" i="25"/>
  <c r="A7" i="25"/>
  <c r="A6" i="25"/>
  <c r="J5" i="25" a="1"/>
  <c r="D7" i="25" s="1" a="1"/>
  <c r="D7" i="25" s="1"/>
  <c r="A13" i="24"/>
  <c r="A12" i="24"/>
  <c r="A11" i="24"/>
  <c r="J10" i="24" a="1"/>
  <c r="H13" i="24" s="1" a="1"/>
  <c r="H13" i="24" s="1"/>
  <c r="A10" i="24"/>
  <c r="A8" i="24"/>
  <c r="A7" i="24"/>
  <c r="A6" i="24"/>
  <c r="J5" i="24" a="1"/>
  <c r="H5" i="24" s="1" a="1"/>
  <c r="H5" i="24" s="1"/>
  <c r="A18" i="23"/>
  <c r="A17" i="23"/>
  <c r="A16" i="23"/>
  <c r="J15" i="23" a="1"/>
  <c r="A13" i="23"/>
  <c r="A12" i="23"/>
  <c r="A11" i="23"/>
  <c r="J10" i="23" a="1"/>
  <c r="H12" i="23" s="1" a="1"/>
  <c r="H12" i="23" s="1"/>
  <c r="A8" i="23"/>
  <c r="A7" i="23"/>
  <c r="A6" i="23"/>
  <c r="J5" i="23" a="1"/>
  <c r="H7" i="23" s="1" a="1"/>
  <c r="H7" i="23" s="1"/>
  <c r="J23" i="22" a="1"/>
  <c r="D26" i="22" s="1" a="1"/>
  <c r="D26" i="22" s="1"/>
  <c r="A18" i="22"/>
  <c r="A17" i="22"/>
  <c r="A16" i="22"/>
  <c r="J15" i="22" a="1"/>
  <c r="F15" i="22" s="1" a="1"/>
  <c r="F15" i="22" s="1"/>
  <c r="A13" i="22"/>
  <c r="G12" i="22" a="1"/>
  <c r="G12" i="22" s="1"/>
  <c r="A12" i="22"/>
  <c r="A11" i="22"/>
  <c r="J10" i="22" a="1"/>
  <c r="F11" i="22" s="1" a="1"/>
  <c r="F11" i="22" s="1"/>
  <c r="D10" i="22" a="1"/>
  <c r="D10" i="22" s="1"/>
  <c r="A8" i="22"/>
  <c r="A7" i="22"/>
  <c r="A6" i="22"/>
  <c r="J5" i="22" a="1"/>
  <c r="A18" i="21"/>
  <c r="A17" i="21"/>
  <c r="A16" i="21"/>
  <c r="J15" i="21" a="1"/>
  <c r="G15" i="21" s="1" a="1"/>
  <c r="G15" i="21" s="1"/>
  <c r="H15" i="21" a="1"/>
  <c r="H15" i="21" s="1"/>
  <c r="A13" i="21"/>
  <c r="A12" i="21"/>
  <c r="A11" i="21"/>
  <c r="J10" i="21" a="1"/>
  <c r="F10" i="21" s="1" a="1"/>
  <c r="F10" i="21" s="1"/>
  <c r="A8" i="21"/>
  <c r="A7" i="21"/>
  <c r="A6" i="21"/>
  <c r="J5" i="21" a="1"/>
  <c r="G5" i="21" s="1" a="1"/>
  <c r="G5" i="21" s="1"/>
  <c r="A18" i="20"/>
  <c r="A17" i="20"/>
  <c r="A16" i="20"/>
  <c r="J15" i="20" a="1"/>
  <c r="H18" i="20" s="1" a="1"/>
  <c r="H18" i="20" s="1"/>
  <c r="A13" i="20"/>
  <c r="A12" i="20"/>
  <c r="A11" i="20"/>
  <c r="J10" i="20" a="1"/>
  <c r="A8" i="20"/>
  <c r="A7" i="20"/>
  <c r="A6" i="20"/>
  <c r="J5" i="20" a="1"/>
  <c r="D5" i="20" s="1" a="1"/>
  <c r="D5" i="20" s="1"/>
  <c r="A18" i="19"/>
  <c r="A17" i="19"/>
  <c r="A16" i="19"/>
  <c r="J15" i="19" a="1"/>
  <c r="J15" i="19" s="1"/>
  <c r="C15" i="19" s="1" a="1"/>
  <c r="C15" i="19" s="1"/>
  <c r="A13" i="19"/>
  <c r="A12" i="19"/>
  <c r="A11" i="19"/>
  <c r="J10" i="19" a="1"/>
  <c r="F10" i="19" s="1" a="1"/>
  <c r="F10" i="19" s="1"/>
  <c r="A8" i="19"/>
  <c r="A7" i="19"/>
  <c r="A6" i="19"/>
  <c r="J5" i="19" a="1"/>
  <c r="A18" i="18"/>
  <c r="A17" i="18"/>
  <c r="A16" i="18"/>
  <c r="J15" i="18" a="1"/>
  <c r="A13" i="18"/>
  <c r="A12" i="18"/>
  <c r="A11" i="18"/>
  <c r="J10" i="18" a="1"/>
  <c r="G13" i="18" s="1" a="1"/>
  <c r="G13" i="18" s="1"/>
  <c r="A8" i="18"/>
  <c r="A7" i="18"/>
  <c r="A6" i="18"/>
  <c r="J5" i="18" a="1"/>
  <c r="A18" i="17"/>
  <c r="A17" i="17"/>
  <c r="A16" i="17"/>
  <c r="J15" i="17" a="1"/>
  <c r="A13" i="17"/>
  <c r="A12" i="17"/>
  <c r="A11" i="17"/>
  <c r="J10" i="17" a="1"/>
  <c r="H10" i="17" s="1" a="1"/>
  <c r="H10" i="17" s="1"/>
  <c r="D8" i="17" a="1"/>
  <c r="D8" i="17" s="1"/>
  <c r="A8" i="17"/>
  <c r="F7" i="17" a="1"/>
  <c r="F7" i="17" s="1"/>
  <c r="A7" i="17"/>
  <c r="A6" i="17"/>
  <c r="J5" i="17" a="1"/>
  <c r="D6" i="17" s="1" a="1"/>
  <c r="D6" i="17" s="1"/>
  <c r="J23" i="16" a="1"/>
  <c r="H26" i="16" s="1" a="1"/>
  <c r="H26" i="16" s="1"/>
  <c r="A18" i="16"/>
  <c r="A17" i="16"/>
  <c r="A16" i="16"/>
  <c r="J15" i="16" a="1"/>
  <c r="A13" i="16"/>
  <c r="A12" i="16"/>
  <c r="A11" i="16"/>
  <c r="J10" i="16" a="1"/>
  <c r="H13" i="16" s="1" a="1"/>
  <c r="H13" i="16" s="1"/>
  <c r="F8" i="16" a="1"/>
  <c r="F8" i="16" s="1"/>
  <c r="C8" i="16" a="1"/>
  <c r="C8" i="16" s="1"/>
  <c r="A8" i="16"/>
  <c r="A7" i="16"/>
  <c r="A6" i="16"/>
  <c r="J5" i="16" a="1"/>
  <c r="H7" i="16" s="1" a="1"/>
  <c r="H7" i="16" s="1"/>
  <c r="G5" i="16" a="1"/>
  <c r="G5" i="16" s="1"/>
  <c r="A23" i="15"/>
  <c r="A22" i="15"/>
  <c r="A21" i="15"/>
  <c r="J20" i="15" a="1"/>
  <c r="A18" i="15"/>
  <c r="A17" i="15"/>
  <c r="A16" i="15"/>
  <c r="J15" i="15" a="1"/>
  <c r="D17" i="15" s="1" a="1"/>
  <c r="D17" i="15" s="1"/>
  <c r="A13" i="15"/>
  <c r="A12" i="15"/>
  <c r="A11" i="15"/>
  <c r="J10" i="15" a="1"/>
  <c r="A8" i="15"/>
  <c r="A7" i="15"/>
  <c r="A6" i="15"/>
  <c r="J5" i="15" a="1"/>
  <c r="H5" i="15" a="1"/>
  <c r="H5" i="15" s="1"/>
  <c r="J13" i="14" a="1"/>
  <c r="A8" i="14"/>
  <c r="A7" i="14"/>
  <c r="A6" i="14"/>
  <c r="J5" i="14" a="1"/>
  <c r="J18" i="13" a="1"/>
  <c r="F18" i="13" s="1" a="1"/>
  <c r="F18" i="13" s="1"/>
  <c r="A13" i="13"/>
  <c r="A12" i="13"/>
  <c r="A11" i="13"/>
  <c r="J10" i="13" a="1"/>
  <c r="F10" i="13" s="1" a="1"/>
  <c r="F10" i="13" s="1"/>
  <c r="A8" i="13"/>
  <c r="A7" i="13"/>
  <c r="A6" i="13"/>
  <c r="J5" i="13" a="1"/>
  <c r="A29" i="12"/>
  <c r="A28" i="12"/>
  <c r="A27" i="12"/>
  <c r="J26" i="12" a="1"/>
  <c r="A23" i="12"/>
  <c r="A22" i="12"/>
  <c r="A21" i="12"/>
  <c r="J20" i="12" a="1"/>
  <c r="H20" i="12" s="1" a="1"/>
  <c r="H20" i="12" s="1"/>
  <c r="A18" i="12"/>
  <c r="A17" i="12"/>
  <c r="A16" i="12"/>
  <c r="J15" i="12" a="1"/>
  <c r="H18" i="12" s="1" a="1"/>
  <c r="H18" i="12" s="1"/>
  <c r="A13" i="12"/>
  <c r="A12" i="12"/>
  <c r="A11" i="12"/>
  <c r="J10" i="12" a="1"/>
  <c r="A8" i="12"/>
  <c r="A7" i="12"/>
  <c r="A6" i="12"/>
  <c r="J5" i="12" a="1"/>
  <c r="F5" i="12" s="1" a="1"/>
  <c r="F5" i="12" s="1"/>
  <c r="A14" i="11"/>
  <c r="A13" i="11"/>
  <c r="A12" i="11"/>
  <c r="J11" i="11" a="1"/>
  <c r="H13" i="11" s="1" a="1"/>
  <c r="H13" i="11" s="1"/>
  <c r="A8" i="11"/>
  <c r="A7" i="11"/>
  <c r="A6" i="11"/>
  <c r="J5" i="11" a="1"/>
  <c r="G5" i="11" s="1" a="1"/>
  <c r="G5" i="11" s="1"/>
  <c r="A34" i="10"/>
  <c r="A33" i="10"/>
  <c r="A32" i="10"/>
  <c r="J31" i="10" a="1"/>
  <c r="D33" i="10" s="1" a="1"/>
  <c r="D33" i="10" s="1"/>
  <c r="A28" i="10"/>
  <c r="A27" i="10"/>
  <c r="A26" i="10"/>
  <c r="J25" i="10" a="1"/>
  <c r="H28" i="10" s="1" a="1"/>
  <c r="H28" i="10" s="1"/>
  <c r="A23" i="10"/>
  <c r="A22" i="10"/>
  <c r="A21" i="10"/>
  <c r="J20" i="10" a="1"/>
  <c r="G20" i="10" s="1" a="1"/>
  <c r="G20" i="10" s="1"/>
  <c r="A18" i="10"/>
  <c r="A17" i="10"/>
  <c r="A16" i="10"/>
  <c r="J15" i="10" a="1"/>
  <c r="H18" i="10" s="1" a="1"/>
  <c r="H18" i="10" s="1"/>
  <c r="A13" i="10"/>
  <c r="A12" i="10"/>
  <c r="A11" i="10"/>
  <c r="J10" i="10" a="1"/>
  <c r="H10" i="10" s="1" a="1"/>
  <c r="H10" i="10" s="1"/>
  <c r="A8" i="10"/>
  <c r="A7" i="10"/>
  <c r="A6" i="10"/>
  <c r="J5" i="10" a="1"/>
  <c r="D7" i="10" s="1" a="1"/>
  <c r="D7" i="10" s="1"/>
  <c r="J26" i="9" a="1"/>
  <c r="A28" i="9" s="1" a="1"/>
  <c r="A28" i="9" s="1"/>
  <c r="J18" i="9" a="1"/>
  <c r="H18" i="9" s="1" a="1"/>
  <c r="H18" i="9" s="1"/>
  <c r="A13" i="9"/>
  <c r="A12" i="9"/>
  <c r="A11" i="9"/>
  <c r="J10" i="9" a="1"/>
  <c r="G10" i="9" s="1" a="1"/>
  <c r="G10" i="9" s="1"/>
  <c r="A8" i="9"/>
  <c r="A7" i="9"/>
  <c r="A6" i="9"/>
  <c r="J5" i="9" a="1"/>
  <c r="J31" i="8" a="1"/>
  <c r="H33" i="8" s="1" a="1"/>
  <c r="H33" i="8" s="1"/>
  <c r="J23" i="8" a="1"/>
  <c r="D25" i="8" s="1" a="1"/>
  <c r="D25" i="8" s="1"/>
  <c r="A18" i="8"/>
  <c r="A17" i="8"/>
  <c r="A16" i="8"/>
  <c r="J15" i="8" a="1"/>
  <c r="H15" i="8" s="1" a="1"/>
  <c r="H15" i="8" s="1"/>
  <c r="A13" i="8"/>
  <c r="A12" i="8"/>
  <c r="A11" i="8"/>
  <c r="J10" i="8" a="1"/>
  <c r="G13" i="8" s="1" a="1"/>
  <c r="G13" i="8" s="1"/>
  <c r="A8" i="8"/>
  <c r="A7" i="8"/>
  <c r="A6" i="8"/>
  <c r="J5" i="8" a="1"/>
  <c r="H7" i="8" s="1" a="1"/>
  <c r="H7" i="8" s="1"/>
  <c r="J26" i="7" a="1"/>
  <c r="F29" i="7" s="1" a="1"/>
  <c r="F29" i="7" s="1"/>
  <c r="J18" i="7" a="1"/>
  <c r="G21" i="7" s="1" a="1"/>
  <c r="G21" i="7" s="1"/>
  <c r="A13" i="7"/>
  <c r="A12" i="7"/>
  <c r="A11" i="7"/>
  <c r="J10" i="7" a="1"/>
  <c r="D10" i="7" s="1" a="1"/>
  <c r="D10" i="7" s="1"/>
  <c r="G8" i="7" a="1"/>
  <c r="G8" i="7" s="1"/>
  <c r="F8" i="7" a="1"/>
  <c r="F8" i="7" s="1"/>
  <c r="A8" i="7"/>
  <c r="A7" i="7"/>
  <c r="A6" i="7"/>
  <c r="J5" i="7" a="1"/>
  <c r="C8" i="7" s="1" a="1"/>
  <c r="C8" i="7" s="1"/>
  <c r="F5" i="7" a="1"/>
  <c r="F5" i="7" s="1"/>
  <c r="J21" i="6" a="1"/>
  <c r="H21" i="6" s="1" a="1"/>
  <c r="H21" i="6" s="1"/>
  <c r="J13" i="6" a="1"/>
  <c r="D13" i="6" s="1" a="1"/>
  <c r="D13" i="6" s="1"/>
  <c r="A8" i="6"/>
  <c r="A7" i="6"/>
  <c r="A6" i="6"/>
  <c r="J5" i="6" a="1"/>
  <c r="C8" i="6" s="1" a="1"/>
  <c r="C8" i="6" s="1"/>
  <c r="H35" i="26" l="1" a="1"/>
  <c r="H35" i="26" s="1"/>
  <c r="D5" i="31" a="1"/>
  <c r="D5" i="31" s="1"/>
  <c r="D11" i="29" a="1"/>
  <c r="D11" i="29" s="1"/>
  <c r="F6" i="10" a="1"/>
  <c r="F6" i="10" s="1"/>
  <c r="J35" i="26"/>
  <c r="G46" i="26" a="1"/>
  <c r="G46" i="26" s="1"/>
  <c r="F11" i="29" a="1"/>
  <c r="F11" i="29" s="1"/>
  <c r="F12" i="22" a="1"/>
  <c r="F12" i="22" s="1"/>
  <c r="F11" i="25" a="1"/>
  <c r="F11" i="25" s="1"/>
  <c r="G37" i="26" a="1"/>
  <c r="G37" i="26" s="1"/>
  <c r="D8" i="31" a="1"/>
  <c r="D8" i="31" s="1"/>
  <c r="H5" i="16" a="1"/>
  <c r="H5" i="16" s="1"/>
  <c r="J15" i="22"/>
  <c r="G11" i="25" a="1"/>
  <c r="G11" i="25" s="1"/>
  <c r="H27" i="26" a="1"/>
  <c r="H27" i="26" s="1"/>
  <c r="H37" i="26" a="1"/>
  <c r="H37" i="26" s="1"/>
  <c r="F10" i="31" a="1"/>
  <c r="F10" i="31" s="1"/>
  <c r="F5" i="17" a="1"/>
  <c r="F5" i="17" s="1"/>
  <c r="F16" i="22" a="1"/>
  <c r="F16" i="22" s="1"/>
  <c r="C28" i="26" a="1"/>
  <c r="C28" i="26" s="1"/>
  <c r="H38" i="26" a="1"/>
  <c r="H38" i="26" s="1"/>
  <c r="G5" i="30" a="1"/>
  <c r="G5" i="30" s="1"/>
  <c r="F10" i="35" a="1"/>
  <c r="F10" i="35" s="1"/>
  <c r="D32" i="10" a="1"/>
  <c r="D32" i="10" s="1"/>
  <c r="C6" i="16" a="1"/>
  <c r="C6" i="16" s="1"/>
  <c r="H12" i="25" a="1"/>
  <c r="H12" i="25" s="1"/>
  <c r="F7" i="16" a="1"/>
  <c r="F7" i="16" s="1"/>
  <c r="C6" i="17" a="1"/>
  <c r="C6" i="17" s="1"/>
  <c r="H20" i="26" a="1"/>
  <c r="H20" i="26" s="1"/>
  <c r="D13" i="31" a="1"/>
  <c r="D13" i="31" s="1"/>
  <c r="C18" i="21" a="1"/>
  <c r="C18" i="21" s="1"/>
  <c r="D12" i="25" a="1"/>
  <c r="D12" i="25" s="1"/>
  <c r="C13" i="25" a="1"/>
  <c r="C13" i="25" s="1"/>
  <c r="G12" i="28" a="1"/>
  <c r="G12" i="28" s="1"/>
  <c r="H12" i="28" a="1"/>
  <c r="H12" i="28" s="1"/>
  <c r="F15" i="14" a="1"/>
  <c r="F15" i="14" s="1"/>
  <c r="D16" i="14" a="1"/>
  <c r="D16" i="14" s="1"/>
  <c r="H15" i="14" a="1"/>
  <c r="H15" i="14" s="1"/>
  <c r="A14" i="14" a="1"/>
  <c r="A14" i="14" s="1"/>
  <c r="D22" i="15" a="1"/>
  <c r="D22" i="15" s="1"/>
  <c r="G23" i="15" a="1"/>
  <c r="G23" i="15" s="1"/>
  <c r="F15" i="27" a="1"/>
  <c r="F15" i="27" s="1"/>
  <c r="A15" i="27" a="1"/>
  <c r="A15" i="27" s="1"/>
  <c r="A16" i="27" a="1"/>
  <c r="A16" i="27" s="1"/>
  <c r="A14" i="27" a="1"/>
  <c r="A14" i="27" s="1"/>
  <c r="F16" i="27" a="1"/>
  <c r="F16" i="27" s="1"/>
  <c r="D16" i="27" a="1"/>
  <c r="D16" i="27" s="1"/>
  <c r="H7" i="28" a="1"/>
  <c r="H7" i="28" s="1"/>
  <c r="G7" i="28" a="1"/>
  <c r="G7" i="28" s="1"/>
  <c r="C7" i="28" a="1"/>
  <c r="C7" i="28" s="1"/>
  <c r="H6" i="28" a="1"/>
  <c r="H6" i="28" s="1"/>
  <c r="G6" i="28" a="1"/>
  <c r="G6" i="28" s="1"/>
  <c r="C6" i="28" a="1"/>
  <c r="C6" i="28" s="1"/>
  <c r="D7" i="18" a="1"/>
  <c r="D7" i="18" s="1"/>
  <c r="C6" i="18" a="1"/>
  <c r="C6" i="18" s="1"/>
  <c r="G15" i="8" a="1"/>
  <c r="G15" i="8" s="1"/>
  <c r="F26" i="9" a="1"/>
  <c r="F26" i="9" s="1"/>
  <c r="H6" i="10" a="1"/>
  <c r="H6" i="10" s="1"/>
  <c r="H31" i="10" a="1"/>
  <c r="H31" i="10" s="1"/>
  <c r="D11" i="13" a="1"/>
  <c r="D11" i="13" s="1"/>
  <c r="C18" i="15" a="1"/>
  <c r="C18" i="15" s="1"/>
  <c r="A24" i="16" a="1"/>
  <c r="A24" i="16" s="1"/>
  <c r="C12" i="18" a="1"/>
  <c r="C12" i="18" s="1"/>
  <c r="F5" i="23" a="1"/>
  <c r="F5" i="23" s="1"/>
  <c r="C7" i="25" a="1"/>
  <c r="C7" i="25" s="1"/>
  <c r="F31" i="26" a="1"/>
  <c r="F31" i="26" s="1"/>
  <c r="H31" i="26" a="1"/>
  <c r="H31" i="26" s="1"/>
  <c r="D13" i="27" a="1"/>
  <c r="D13" i="27" s="1"/>
  <c r="H8" i="28" a="1"/>
  <c r="H8" i="28" s="1"/>
  <c r="G8" i="30" a="1"/>
  <c r="G8" i="30" s="1"/>
  <c r="H11" i="13" a="1"/>
  <c r="H11" i="13" s="1"/>
  <c r="D18" i="15" a="1"/>
  <c r="D18" i="15" s="1"/>
  <c r="D24" i="16" a="1"/>
  <c r="D24" i="16" s="1"/>
  <c r="D6" i="18" a="1"/>
  <c r="D6" i="18" s="1"/>
  <c r="F6" i="18" a="1"/>
  <c r="F6" i="18" s="1"/>
  <c r="D12" i="18" a="1"/>
  <c r="D12" i="18" s="1"/>
  <c r="F8" i="25" a="1"/>
  <c r="F8" i="25" s="1"/>
  <c r="F13" i="27" a="1"/>
  <c r="F13" i="27" s="1"/>
  <c r="H8" i="30" a="1"/>
  <c r="H8" i="30" s="1"/>
  <c r="G16" i="20" a="1"/>
  <c r="G16" i="20" s="1"/>
  <c r="F27" i="9" a="1"/>
  <c r="F27" i="9" s="1"/>
  <c r="D7" i="11" a="1"/>
  <c r="D7" i="11" s="1"/>
  <c r="F18" i="15" a="1"/>
  <c r="F18" i="15" s="1"/>
  <c r="G7" i="16" a="1"/>
  <c r="G7" i="16" s="1"/>
  <c r="G24" i="16" a="1"/>
  <c r="G24" i="16" s="1"/>
  <c r="D5" i="7" a="1"/>
  <c r="D5" i="7" s="1"/>
  <c r="D28" i="9" a="1"/>
  <c r="D28" i="9" s="1"/>
  <c r="C7" i="10" a="1"/>
  <c r="C7" i="10" s="1"/>
  <c r="D17" i="10" a="1"/>
  <c r="D17" i="10" s="1"/>
  <c r="C32" i="10" a="1"/>
  <c r="C32" i="10" s="1"/>
  <c r="G23" i="12" a="1"/>
  <c r="G23" i="12" s="1"/>
  <c r="C12" i="13" a="1"/>
  <c r="C12" i="13" s="1"/>
  <c r="H18" i="15" a="1"/>
  <c r="H18" i="15" s="1"/>
  <c r="H24" i="16" a="1"/>
  <c r="H24" i="16" s="1"/>
  <c r="H12" i="18" a="1"/>
  <c r="H12" i="18" s="1"/>
  <c r="D16" i="22" a="1"/>
  <c r="D16" i="22" s="1"/>
  <c r="D11" i="25" a="1"/>
  <c r="D11" i="25" s="1"/>
  <c r="F20" i="26" a="1"/>
  <c r="F20" i="26" s="1"/>
  <c r="C27" i="26" a="1"/>
  <c r="C27" i="26" s="1"/>
  <c r="F38" i="26" a="1"/>
  <c r="F38" i="26" s="1"/>
  <c r="C47" i="26" a="1"/>
  <c r="C47" i="26" s="1"/>
  <c r="H13" i="27" a="1"/>
  <c r="H13" i="27" s="1"/>
  <c r="G11" i="29" a="1"/>
  <c r="G11" i="29" s="1"/>
  <c r="D13" i="30" a="1"/>
  <c r="D13" i="30" s="1"/>
  <c r="D10" i="31" a="1"/>
  <c r="D10" i="31" s="1"/>
  <c r="F15" i="35" a="1"/>
  <c r="F15" i="35" s="1"/>
  <c r="G14" i="11" a="1"/>
  <c r="G14" i="11" s="1"/>
  <c r="D12" i="7" a="1"/>
  <c r="D12" i="7" s="1"/>
  <c r="F28" i="9" a="1"/>
  <c r="F28" i="9" s="1"/>
  <c r="A29" i="9" a="1"/>
  <c r="A29" i="9" s="1"/>
  <c r="F7" i="10" a="1"/>
  <c r="F7" i="10" s="1"/>
  <c r="F32" i="10" a="1"/>
  <c r="F32" i="10" s="1"/>
  <c r="F13" i="13" a="1"/>
  <c r="F13" i="13" s="1"/>
  <c r="G25" i="16" a="1"/>
  <c r="G25" i="16" s="1"/>
  <c r="D8" i="26" a="1"/>
  <c r="D8" i="26" s="1"/>
  <c r="G27" i="26" a="1"/>
  <c r="G27" i="26" s="1"/>
  <c r="G32" i="26" a="1"/>
  <c r="G32" i="26" s="1"/>
  <c r="F48" i="26" a="1"/>
  <c r="F48" i="26" s="1"/>
  <c r="D14" i="30" a="1"/>
  <c r="D14" i="30" s="1"/>
  <c r="H25" i="16" a="1"/>
  <c r="H25" i="16" s="1"/>
  <c r="G13" i="17" a="1"/>
  <c r="G13" i="17" s="1"/>
  <c r="H7" i="18" a="1"/>
  <c r="H7" i="18" s="1"/>
  <c r="G5" i="20" a="1"/>
  <c r="G5" i="20" s="1"/>
  <c r="H16" i="22" a="1"/>
  <c r="H16" i="22" s="1"/>
  <c r="D10" i="26" a="1"/>
  <c r="D10" i="26" s="1"/>
  <c r="D40" i="26" a="1"/>
  <c r="D40" i="26" s="1"/>
  <c r="G41" i="26" a="1"/>
  <c r="G41" i="26" s="1"/>
  <c r="G42" i="26" a="1"/>
  <c r="G42" i="26" s="1"/>
  <c r="F41" i="26" a="1"/>
  <c r="F41" i="26" s="1"/>
  <c r="F43" i="26" a="1"/>
  <c r="F43" i="26" s="1"/>
  <c r="G43" i="26" a="1"/>
  <c r="G43" i="26" s="1"/>
  <c r="F42" i="26" a="1"/>
  <c r="F42" i="26" s="1"/>
  <c r="D41" i="26" a="1"/>
  <c r="D41" i="26" s="1"/>
  <c r="D42" i="26" a="1"/>
  <c r="D42" i="26" s="1"/>
  <c r="D43" i="26" a="1"/>
  <c r="D43" i="26" s="1"/>
  <c r="C42" i="26" a="1"/>
  <c r="C42" i="26" s="1"/>
  <c r="C43" i="26" a="1"/>
  <c r="C43" i="26" s="1"/>
  <c r="C41" i="26" a="1"/>
  <c r="C41" i="26" s="1"/>
  <c r="G14" i="30" a="1"/>
  <c r="G14" i="30" s="1"/>
  <c r="H10" i="31" a="1"/>
  <c r="H10" i="31" s="1"/>
  <c r="F18" i="29" a="1"/>
  <c r="F18" i="29" s="1"/>
  <c r="D29" i="9" a="1"/>
  <c r="D29" i="9" s="1"/>
  <c r="D18" i="10" a="1"/>
  <c r="D18" i="10" s="1"/>
  <c r="G32" i="10" a="1"/>
  <c r="G32" i="10" s="1"/>
  <c r="C12" i="11" a="1"/>
  <c r="C12" i="11" s="1"/>
  <c r="G29" i="9" a="1"/>
  <c r="G29" i="9" s="1"/>
  <c r="D8" i="10" a="1"/>
  <c r="D8" i="10" s="1"/>
  <c r="H32" i="10" a="1"/>
  <c r="H32" i="10" s="1"/>
  <c r="F26" i="16" a="1"/>
  <c r="F26" i="16" s="1"/>
  <c r="C11" i="23" a="1"/>
  <c r="C11" i="23" s="1"/>
  <c r="F10" i="26" a="1"/>
  <c r="F10" i="26" s="1"/>
  <c r="H21" i="26" a="1"/>
  <c r="H21" i="26" s="1"/>
  <c r="H33" i="26" a="1"/>
  <c r="H33" i="26" s="1"/>
  <c r="F5" i="28" a="1"/>
  <c r="F5" i="28" s="1"/>
  <c r="H15" i="30" a="1"/>
  <c r="H15" i="30" s="1"/>
  <c r="F17" i="29" a="1"/>
  <c r="F17" i="29" s="1"/>
  <c r="A25" i="16" a="1"/>
  <c r="A25" i="16" s="1"/>
  <c r="F7" i="18" a="1"/>
  <c r="F7" i="18" s="1"/>
  <c r="H5" i="7" a="1"/>
  <c r="H5" i="7" s="1"/>
  <c r="F16" i="29" a="1"/>
  <c r="F16" i="29" s="1"/>
  <c r="F12" i="11" a="1"/>
  <c r="F12" i="11" s="1"/>
  <c r="C8" i="18" a="1"/>
  <c r="C8" i="18" s="1"/>
  <c r="H11" i="22" a="1"/>
  <c r="H11" i="22" s="1"/>
  <c r="F12" i="25" a="1"/>
  <c r="F12" i="25" s="1"/>
  <c r="D16" i="30" a="1"/>
  <c r="D16" i="30" s="1"/>
  <c r="F18" i="35" a="1"/>
  <c r="F18" i="35" s="1"/>
  <c r="G18" i="29" a="1"/>
  <c r="G18" i="29" s="1"/>
  <c r="G17" i="22" a="1"/>
  <c r="G17" i="22" s="1"/>
  <c r="F11" i="23" a="1"/>
  <c r="F11" i="23" s="1"/>
  <c r="C7" i="7" a="1"/>
  <c r="C7" i="7" s="1"/>
  <c r="F5" i="10" a="1"/>
  <c r="F5" i="10" s="1"/>
  <c r="C33" i="10" a="1"/>
  <c r="C33" i="10" s="1"/>
  <c r="G12" i="11" a="1"/>
  <c r="G12" i="11" s="1"/>
  <c r="J15" i="15"/>
  <c r="C15" i="15" s="1" a="1"/>
  <c r="C15" i="15" s="1"/>
  <c r="F7" i="7" a="1"/>
  <c r="F7" i="7" s="1"/>
  <c r="G5" i="10" a="1"/>
  <c r="G5" i="10" s="1"/>
  <c r="G8" i="10" a="1"/>
  <c r="G8" i="10" s="1"/>
  <c r="F33" i="10" a="1"/>
  <c r="F33" i="10" s="1"/>
  <c r="F16" i="12" a="1"/>
  <c r="F16" i="12" s="1"/>
  <c r="F5" i="16" a="1"/>
  <c r="F5" i="16" s="1"/>
  <c r="J5" i="17"/>
  <c r="D8" i="18" a="1"/>
  <c r="D8" i="18" s="1"/>
  <c r="H18" i="22" a="1"/>
  <c r="H18" i="22" s="1"/>
  <c r="G11" i="23" a="1"/>
  <c r="G11" i="23" s="1"/>
  <c r="D5" i="25" a="1"/>
  <c r="D5" i="25" s="1"/>
  <c r="F16" i="30" a="1"/>
  <c r="F16" i="30" s="1"/>
  <c r="G17" i="29" a="1"/>
  <c r="G17" i="29" s="1"/>
  <c r="C16" i="15" a="1"/>
  <c r="C16" i="15" s="1"/>
  <c r="D5" i="18" a="1"/>
  <c r="D5" i="18" s="1"/>
  <c r="H8" i="18" a="1"/>
  <c r="H8" i="18" s="1"/>
  <c r="D12" i="26" a="1"/>
  <c r="D12" i="26" s="1"/>
  <c r="D30" i="26" a="1"/>
  <c r="D30" i="26" s="1"/>
  <c r="D5" i="27" a="1"/>
  <c r="D5" i="27" s="1"/>
  <c r="H5" i="30" a="1"/>
  <c r="H5" i="30" s="1"/>
  <c r="G7" i="35" a="1"/>
  <c r="G7" i="35" s="1"/>
  <c r="G16" i="29" a="1"/>
  <c r="G16" i="29" s="1"/>
  <c r="D5" i="10" a="1"/>
  <c r="D5" i="10" s="1"/>
  <c r="F8" i="10" a="1"/>
  <c r="F8" i="10" s="1"/>
  <c r="G7" i="7" a="1"/>
  <c r="G7" i="7" s="1"/>
  <c r="F5" i="31" a="1"/>
  <c r="F5" i="31" s="1"/>
  <c r="F13" i="31" a="1"/>
  <c r="F13" i="31" s="1"/>
  <c r="H7" i="7" a="1"/>
  <c r="H7" i="7" s="1"/>
  <c r="G16" i="12" a="1"/>
  <c r="G16" i="12" s="1"/>
  <c r="H10" i="13" a="1"/>
  <c r="H10" i="13" s="1"/>
  <c r="D16" i="15" a="1"/>
  <c r="D16" i="15" s="1"/>
  <c r="H5" i="18" a="1"/>
  <c r="H5" i="18" s="1"/>
  <c r="G6" i="17" a="1"/>
  <c r="G6" i="17" s="1"/>
  <c r="H6" i="25" a="1"/>
  <c r="H6" i="25" s="1"/>
  <c r="F13" i="25" a="1"/>
  <c r="F13" i="25" s="1"/>
  <c r="H13" i="26" a="1"/>
  <c r="H13" i="26" s="1"/>
  <c r="H13" i="31" a="1"/>
  <c r="H13" i="31" s="1"/>
  <c r="H8" i="35" a="1"/>
  <c r="H8" i="35" s="1"/>
  <c r="H18" i="29" a="1"/>
  <c r="H18" i="29" s="1"/>
  <c r="H8" i="10" a="1"/>
  <c r="H8" i="10" s="1"/>
  <c r="H33" i="10" a="1"/>
  <c r="H33" i="10" s="1"/>
  <c r="H12" i="11" a="1"/>
  <c r="H12" i="11" s="1"/>
  <c r="D24" i="22" a="1"/>
  <c r="D24" i="22" s="1"/>
  <c r="C6" i="10" a="1"/>
  <c r="C6" i="10" s="1"/>
  <c r="F34" i="10" a="1"/>
  <c r="F34" i="10" s="1"/>
  <c r="F16" i="15" a="1"/>
  <c r="F16" i="15" s="1"/>
  <c r="H24" i="22" a="1"/>
  <c r="H24" i="22" s="1"/>
  <c r="J30" i="26"/>
  <c r="C30" i="26" s="1" a="1"/>
  <c r="C30" i="26" s="1"/>
  <c r="F36" i="26" a="1"/>
  <c r="F36" i="26" s="1"/>
  <c r="D8" i="7" a="1"/>
  <c r="D8" i="7" s="1"/>
  <c r="D6" i="10" a="1"/>
  <c r="D6" i="10" s="1"/>
  <c r="H34" i="10" a="1"/>
  <c r="H34" i="10" s="1"/>
  <c r="F14" i="11" a="1"/>
  <c r="F14" i="11" s="1"/>
  <c r="D23" i="16" a="1"/>
  <c r="D23" i="16" s="1"/>
  <c r="G11" i="18" a="1"/>
  <c r="G11" i="18" s="1"/>
  <c r="C13" i="22" a="1"/>
  <c r="C13" i="22" s="1"/>
  <c r="F25" i="22" a="1"/>
  <c r="F25" i="22" s="1"/>
  <c r="G13" i="25" a="1"/>
  <c r="G13" i="25" s="1"/>
  <c r="J25" i="26"/>
  <c r="C25" i="26" s="1" a="1"/>
  <c r="C25" i="26" s="1"/>
  <c r="H36" i="26" a="1"/>
  <c r="H36" i="26" s="1"/>
  <c r="D6" i="27" a="1"/>
  <c r="D6" i="27" s="1"/>
  <c r="H17" i="29" a="1"/>
  <c r="H17" i="29" s="1"/>
  <c r="H15" i="22" a="1"/>
  <c r="H15" i="22" s="1"/>
  <c r="H26" i="22" a="1"/>
  <c r="H26" i="22" s="1"/>
  <c r="C31" i="26" a="1"/>
  <c r="C31" i="26" s="1"/>
  <c r="D46" i="26" a="1"/>
  <c r="D46" i="26" s="1"/>
  <c r="H15" i="31" a="1"/>
  <c r="H15" i="31" s="1"/>
  <c r="H16" i="29" a="1"/>
  <c r="H16" i="29" s="1"/>
  <c r="H18" i="18" a="1"/>
  <c r="H18" i="18" s="1"/>
  <c r="F16" i="18" a="1"/>
  <c r="F16" i="18" s="1"/>
  <c r="H15" i="18" a="1"/>
  <c r="H15" i="18" s="1"/>
  <c r="G18" i="18" a="1"/>
  <c r="G18" i="18" s="1"/>
  <c r="D18" i="18" a="1"/>
  <c r="D18" i="18" s="1"/>
  <c r="C18" i="18" a="1"/>
  <c r="C18" i="18" s="1"/>
  <c r="G7" i="22" a="1"/>
  <c r="G7" i="22" s="1"/>
  <c r="D8" i="22" a="1"/>
  <c r="D8" i="22" s="1"/>
  <c r="G5" i="22" a="1"/>
  <c r="G5" i="22" s="1"/>
  <c r="F7" i="22" a="1"/>
  <c r="F7" i="22" s="1"/>
  <c r="F5" i="22" a="1"/>
  <c r="F5" i="22" s="1"/>
  <c r="D5" i="22" a="1"/>
  <c r="D5" i="22" s="1"/>
  <c r="C7" i="22" a="1"/>
  <c r="C7" i="22" s="1"/>
  <c r="H6" i="22" a="1"/>
  <c r="H6" i="22" s="1"/>
  <c r="D6" i="22" a="1"/>
  <c r="D6" i="22" s="1"/>
  <c r="F6" i="22" a="1"/>
  <c r="F6" i="22" s="1"/>
  <c r="D7" i="14" a="1"/>
  <c r="D7" i="14" s="1"/>
  <c r="C7" i="14" a="1"/>
  <c r="C7" i="14" s="1"/>
  <c r="F5" i="14" a="1"/>
  <c r="F5" i="14" s="1"/>
  <c r="H6" i="14" a="1"/>
  <c r="H6" i="14" s="1"/>
  <c r="H8" i="14" a="1"/>
  <c r="H8" i="14" s="1"/>
  <c r="G6" i="14" a="1"/>
  <c r="G6" i="14" s="1"/>
  <c r="F6" i="14" a="1"/>
  <c r="F6" i="14" s="1"/>
  <c r="G8" i="14" a="1"/>
  <c r="G8" i="14" s="1"/>
  <c r="F8" i="14" a="1"/>
  <c r="F8" i="14" s="1"/>
  <c r="D8" i="14" a="1"/>
  <c r="D8" i="14" s="1"/>
  <c r="D6" i="14" a="1"/>
  <c r="D6" i="14" s="1"/>
  <c r="H25" i="10" a="1"/>
  <c r="H25" i="10" s="1"/>
  <c r="J5" i="14"/>
  <c r="C5" i="14" s="1" a="1"/>
  <c r="C5" i="14" s="1"/>
  <c r="C7" i="15" a="1"/>
  <c r="C7" i="15" s="1"/>
  <c r="H8" i="15" a="1"/>
  <c r="H8" i="15" s="1"/>
  <c r="D7" i="15" a="1"/>
  <c r="D7" i="15" s="1"/>
  <c r="F6" i="15" a="1"/>
  <c r="F6" i="15" s="1"/>
  <c r="J5" i="15"/>
  <c r="J10" i="16"/>
  <c r="C10" i="16" s="1" a="1"/>
  <c r="C10" i="16" s="1"/>
  <c r="F15" i="17" a="1"/>
  <c r="F15" i="17" s="1"/>
  <c r="H16" i="17" a="1"/>
  <c r="H16" i="17" s="1"/>
  <c r="J5" i="22"/>
  <c r="C5" i="22" s="1" a="1"/>
  <c r="C5" i="22" s="1"/>
  <c r="H28" i="12" a="1"/>
  <c r="H28" i="12" s="1"/>
  <c r="H29" i="12" a="1"/>
  <c r="H29" i="12" s="1"/>
  <c r="F28" i="12" a="1"/>
  <c r="F28" i="12" s="1"/>
  <c r="C27" i="12" a="1"/>
  <c r="C27" i="12" s="1"/>
  <c r="C18" i="23" a="1"/>
  <c r="C18" i="23" s="1"/>
  <c r="G15" i="23" a="1"/>
  <c r="G15" i="23" s="1"/>
  <c r="H18" i="23" a="1"/>
  <c r="H18" i="23" s="1"/>
  <c r="F15" i="23" a="1"/>
  <c r="F15" i="23" s="1"/>
  <c r="F18" i="23" a="1"/>
  <c r="F18" i="23" s="1"/>
  <c r="D18" i="23" a="1"/>
  <c r="D18" i="23" s="1"/>
  <c r="H17" i="23" a="1"/>
  <c r="H17" i="23" s="1"/>
  <c r="G17" i="23" a="1"/>
  <c r="G17" i="23" s="1"/>
  <c r="F16" i="23" a="1"/>
  <c r="F16" i="23" s="1"/>
  <c r="H16" i="23" a="1"/>
  <c r="H16" i="23" s="1"/>
  <c r="G12" i="12" a="1"/>
  <c r="G12" i="12" s="1"/>
  <c r="D12" i="12" a="1"/>
  <c r="D12" i="12" s="1"/>
  <c r="C12" i="12" a="1"/>
  <c r="C12" i="12" s="1"/>
  <c r="G11" i="12" a="1"/>
  <c r="G11" i="12" s="1"/>
  <c r="D11" i="16" a="1"/>
  <c r="D11" i="16" s="1"/>
  <c r="G16" i="17" a="1"/>
  <c r="G16" i="17" s="1"/>
  <c r="G16" i="18" a="1"/>
  <c r="G16" i="18" s="1"/>
  <c r="J15" i="23"/>
  <c r="C15" i="23" s="1" a="1"/>
  <c r="C15" i="23" s="1"/>
  <c r="F13" i="8" a="1"/>
  <c r="F13" i="8" s="1"/>
  <c r="J10" i="12"/>
  <c r="F20" i="12" a="1"/>
  <c r="F20" i="12" s="1"/>
  <c r="F7" i="14" a="1"/>
  <c r="F7" i="14" s="1"/>
  <c r="F11" i="16" a="1"/>
  <c r="F11" i="16" s="1"/>
  <c r="H7" i="22" a="1"/>
  <c r="H7" i="22" s="1"/>
  <c r="G5" i="33" a="1"/>
  <c r="G5" i="33" s="1"/>
  <c r="F8" i="33" a="1"/>
  <c r="F8" i="33" s="1"/>
  <c r="D8" i="21" a="1"/>
  <c r="D8" i="21" s="1"/>
  <c r="H5" i="21" a="1"/>
  <c r="H5" i="21" s="1"/>
  <c r="H7" i="21" a="1"/>
  <c r="H7" i="21" s="1"/>
  <c r="F7" i="21" a="1"/>
  <c r="F7" i="21" s="1"/>
  <c r="D5" i="21" a="1"/>
  <c r="D5" i="21" s="1"/>
  <c r="C7" i="21" a="1"/>
  <c r="C7" i="21" s="1"/>
  <c r="G6" i="21" a="1"/>
  <c r="G6" i="21" s="1"/>
  <c r="F6" i="21" a="1"/>
  <c r="F6" i="21" s="1"/>
  <c r="C6" i="21" a="1"/>
  <c r="C6" i="21" s="1"/>
  <c r="H8" i="21" a="1"/>
  <c r="H8" i="21" s="1"/>
  <c r="D6" i="21" a="1"/>
  <c r="D6" i="21" s="1"/>
  <c r="G8" i="21" a="1"/>
  <c r="G8" i="21" s="1"/>
  <c r="H10" i="15" a="1"/>
  <c r="H10" i="15" s="1"/>
  <c r="D10" i="15" a="1"/>
  <c r="D10" i="15" s="1"/>
  <c r="F13" i="15" a="1"/>
  <c r="F13" i="15" s="1"/>
  <c r="C13" i="15" a="1"/>
  <c r="C13" i="15" s="1"/>
  <c r="J5" i="21"/>
  <c r="C5" i="21" s="1" a="1"/>
  <c r="C5" i="21" s="1"/>
  <c r="H18" i="21" a="1"/>
  <c r="H18" i="21" s="1"/>
  <c r="F17" i="21" a="1"/>
  <c r="F17" i="21" s="1"/>
  <c r="F15" i="21" a="1"/>
  <c r="F15" i="21" s="1"/>
  <c r="D15" i="21" a="1"/>
  <c r="D15" i="21" s="1"/>
  <c r="H16" i="21" a="1"/>
  <c r="H16" i="21" s="1"/>
  <c r="G18" i="21" a="1"/>
  <c r="G18" i="21" s="1"/>
  <c r="F16" i="21" a="1"/>
  <c r="F16" i="21" s="1"/>
  <c r="G16" i="21" a="1"/>
  <c r="G16" i="21" s="1"/>
  <c r="D16" i="21" a="1"/>
  <c r="D16" i="21" s="1"/>
  <c r="F18" i="21" a="1"/>
  <c r="F18" i="21" s="1"/>
  <c r="D18" i="21" a="1"/>
  <c r="D18" i="21" s="1"/>
  <c r="C16" i="21" a="1"/>
  <c r="C16" i="21" s="1"/>
  <c r="F8" i="22" a="1"/>
  <c r="F8" i="22" s="1"/>
  <c r="A16" i="6" a="1"/>
  <c r="A16" i="6" s="1"/>
  <c r="F6" i="8" a="1"/>
  <c r="F6" i="8" s="1"/>
  <c r="G18" i="9" a="1"/>
  <c r="G18" i="9" s="1"/>
  <c r="G27" i="10" a="1"/>
  <c r="G27" i="10" s="1"/>
  <c r="H7" i="14" a="1"/>
  <c r="H7" i="14" s="1"/>
  <c r="G10" i="17" a="1"/>
  <c r="G10" i="17" s="1"/>
  <c r="G8" i="22" a="1"/>
  <c r="G8" i="22" s="1"/>
  <c r="G7" i="14" a="1"/>
  <c r="G7" i="14" s="1"/>
  <c r="D17" i="18" a="1"/>
  <c r="D17" i="18" s="1"/>
  <c r="D15" i="6" a="1"/>
  <c r="D15" i="6" s="1"/>
  <c r="G20" i="12" a="1"/>
  <c r="G20" i="12" s="1"/>
  <c r="H17" i="8" a="1"/>
  <c r="H17" i="8" s="1"/>
  <c r="D16" i="8" a="1"/>
  <c r="D16" i="8" s="1"/>
  <c r="G18" i="12" a="1"/>
  <c r="G18" i="12" s="1"/>
  <c r="C16" i="12" a="1"/>
  <c r="C16" i="12" s="1"/>
  <c r="C18" i="12" a="1"/>
  <c r="C18" i="12" s="1"/>
  <c r="F15" i="12" a="1"/>
  <c r="F15" i="12" s="1"/>
  <c r="D15" i="12" a="1"/>
  <c r="D15" i="12" s="1"/>
  <c r="H17" i="12" a="1"/>
  <c r="H17" i="12" s="1"/>
  <c r="G17" i="12" a="1"/>
  <c r="G17" i="12" s="1"/>
  <c r="D17" i="12" a="1"/>
  <c r="D17" i="12" s="1"/>
  <c r="F11" i="15" a="1"/>
  <c r="F11" i="15" s="1"/>
  <c r="G13" i="16" a="1"/>
  <c r="G13" i="16" s="1"/>
  <c r="H8" i="22" a="1"/>
  <c r="H8" i="22" s="1"/>
  <c r="A14" i="6" a="1"/>
  <c r="A14" i="6" s="1"/>
  <c r="D22" i="12" a="1"/>
  <c r="D22" i="12" s="1"/>
  <c r="D23" i="12" a="1"/>
  <c r="D23" i="12" s="1"/>
  <c r="D20" i="12" a="1"/>
  <c r="D20" i="12" s="1"/>
  <c r="C22" i="12" a="1"/>
  <c r="C22" i="12" s="1"/>
  <c r="H21" i="12" a="1"/>
  <c r="H21" i="12" s="1"/>
  <c r="G21" i="12" a="1"/>
  <c r="G21" i="12" s="1"/>
  <c r="D21" i="12" a="1"/>
  <c r="D21" i="12" s="1"/>
  <c r="C13" i="17" a="1"/>
  <c r="C13" i="17" s="1"/>
  <c r="H12" i="17" a="1"/>
  <c r="H12" i="17" s="1"/>
  <c r="G12" i="17" a="1"/>
  <c r="G12" i="17" s="1"/>
  <c r="C12" i="17" a="1"/>
  <c r="C12" i="17" s="1"/>
  <c r="H11" i="17" a="1"/>
  <c r="H11" i="17" s="1"/>
  <c r="D11" i="17" a="1"/>
  <c r="D11" i="17" s="1"/>
  <c r="G53" i="26" a="1"/>
  <c r="G53" i="26" s="1"/>
  <c r="F54" i="26" a="1"/>
  <c r="F54" i="26" s="1"/>
  <c r="G12" i="8" a="1"/>
  <c r="G12" i="8" s="1"/>
  <c r="F6" i="13" a="1"/>
  <c r="F6" i="13" s="1"/>
  <c r="D6" i="13" a="1"/>
  <c r="D6" i="13" s="1"/>
  <c r="F5" i="13" a="1"/>
  <c r="F5" i="13" s="1"/>
  <c r="H8" i="13" a="1"/>
  <c r="H8" i="13" s="1"/>
  <c r="D5" i="13" a="1"/>
  <c r="D5" i="13" s="1"/>
  <c r="D8" i="13" a="1"/>
  <c r="D8" i="13" s="1"/>
  <c r="C8" i="13" a="1"/>
  <c r="C8" i="13" s="1"/>
  <c r="D16" i="6" a="1"/>
  <c r="D16" i="6" s="1"/>
  <c r="F16" i="6" a="1"/>
  <c r="F16" i="6" s="1"/>
  <c r="F28" i="10" a="1"/>
  <c r="F28" i="10" s="1"/>
  <c r="G6" i="13" a="1"/>
  <c r="G6" i="13" s="1"/>
  <c r="C8" i="14" a="1"/>
  <c r="C8" i="14" s="1"/>
  <c r="D10" i="20" a="1"/>
  <c r="D10" i="20" s="1"/>
  <c r="H10" i="20" a="1"/>
  <c r="H10" i="20" s="1"/>
  <c r="G7" i="21" a="1"/>
  <c r="G7" i="21" s="1"/>
  <c r="C17" i="21" a="1"/>
  <c r="C17" i="21" s="1"/>
  <c r="G8" i="24" a="1"/>
  <c r="G8" i="24" s="1"/>
  <c r="F5" i="24" a="1"/>
  <c r="F5" i="24" s="1"/>
  <c r="H8" i="24" a="1"/>
  <c r="H8" i="24" s="1"/>
  <c r="F8" i="24" a="1"/>
  <c r="F8" i="24" s="1"/>
  <c r="C8" i="24" a="1"/>
  <c r="C8" i="24" s="1"/>
  <c r="H7" i="24" a="1"/>
  <c r="H7" i="24" s="1"/>
  <c r="F7" i="24" a="1"/>
  <c r="F7" i="24" s="1"/>
  <c r="D7" i="24" a="1"/>
  <c r="D7" i="24" s="1"/>
  <c r="D6" i="24" a="1"/>
  <c r="D6" i="24" s="1"/>
  <c r="G16" i="6" a="1"/>
  <c r="G16" i="6" s="1"/>
  <c r="F10" i="8" a="1"/>
  <c r="F10" i="8" s="1"/>
  <c r="D16" i="12" a="1"/>
  <c r="D16" i="12" s="1"/>
  <c r="H6" i="13" a="1"/>
  <c r="H6" i="13" s="1"/>
  <c r="J10" i="17"/>
  <c r="C10" i="17" s="1" a="1"/>
  <c r="C10" i="17" s="1"/>
  <c r="G17" i="21" a="1"/>
  <c r="G17" i="21" s="1"/>
  <c r="J5" i="24"/>
  <c r="C5" i="24" s="1" a="1"/>
  <c r="C5" i="24" s="1"/>
  <c r="D14" i="6" a="1"/>
  <c r="D14" i="6" s="1"/>
  <c r="D13" i="8" a="1"/>
  <c r="D13" i="8" s="1"/>
  <c r="F14" i="6" a="1"/>
  <c r="F14" i="6" s="1"/>
  <c r="G14" i="6" a="1"/>
  <c r="G14" i="6" s="1"/>
  <c r="D27" i="10" a="1"/>
  <c r="D27" i="10" s="1"/>
  <c r="H16" i="6" a="1"/>
  <c r="H16" i="6" s="1"/>
  <c r="H23" i="10" a="1"/>
  <c r="H23" i="10" s="1"/>
  <c r="G23" i="10" a="1"/>
  <c r="G23" i="10" s="1"/>
  <c r="D22" i="10" a="1"/>
  <c r="D22" i="10" s="1"/>
  <c r="F21" i="10" a="1"/>
  <c r="F21" i="10" s="1"/>
  <c r="D5" i="14" a="1"/>
  <c r="D5" i="14" s="1"/>
  <c r="G11" i="20" a="1"/>
  <c r="G11" i="20" s="1"/>
  <c r="C8" i="21" a="1"/>
  <c r="C8" i="21" s="1"/>
  <c r="F52" i="26" a="1"/>
  <c r="F52" i="26" s="1"/>
  <c r="C13" i="16" a="1"/>
  <c r="C13" i="16" s="1"/>
  <c r="F13" i="16" a="1"/>
  <c r="F13" i="16" s="1"/>
  <c r="H10" i="16" a="1"/>
  <c r="H10" i="16" s="1"/>
  <c r="G10" i="16" a="1"/>
  <c r="G10" i="16" s="1"/>
  <c r="H12" i="16" a="1"/>
  <c r="H12" i="16" s="1"/>
  <c r="F10" i="16" a="1"/>
  <c r="F10" i="16" s="1"/>
  <c r="F12" i="16" a="1"/>
  <c r="F12" i="16" s="1"/>
  <c r="G12" i="16" a="1"/>
  <c r="G12" i="16" s="1"/>
  <c r="C12" i="16" a="1"/>
  <c r="C12" i="16" s="1"/>
  <c r="G7" i="11" a="1"/>
  <c r="G7" i="11" s="1"/>
  <c r="G8" i="11" a="1"/>
  <c r="G8" i="11" s="1"/>
  <c r="H22" i="12" a="1"/>
  <c r="H22" i="12" s="1"/>
  <c r="D7" i="13" a="1"/>
  <c r="D7" i="13" s="1"/>
  <c r="H15" i="28" a="1"/>
  <c r="H15" i="28" s="1"/>
  <c r="G17" i="28" a="1"/>
  <c r="G17" i="28" s="1"/>
  <c r="D22" i="31" a="1"/>
  <c r="D22" i="31" s="1"/>
  <c r="H23" i="31" a="1"/>
  <c r="H23" i="31" s="1"/>
  <c r="G22" i="31" a="1"/>
  <c r="G22" i="31" s="1"/>
  <c r="F21" i="31" a="1"/>
  <c r="F21" i="31" s="1"/>
  <c r="C22" i="31" a="1"/>
  <c r="C22" i="31" s="1"/>
  <c r="D12" i="8" a="1"/>
  <c r="D12" i="8" s="1"/>
  <c r="F12" i="8" a="1"/>
  <c r="F12" i="8" s="1"/>
  <c r="G11" i="8" a="1"/>
  <c r="G11" i="8" s="1"/>
  <c r="F11" i="8" a="1"/>
  <c r="F11" i="8" s="1"/>
  <c r="H10" i="7" a="1"/>
  <c r="H10" i="7" s="1"/>
  <c r="G11" i="7" a="1"/>
  <c r="G11" i="7" s="1"/>
  <c r="H11" i="8" a="1"/>
  <c r="H11" i="8" s="1"/>
  <c r="G6" i="11" a="1"/>
  <c r="G6" i="11" s="1"/>
  <c r="F23" i="12" a="1"/>
  <c r="F23" i="12" s="1"/>
  <c r="D17" i="26" a="1"/>
  <c r="D17" i="26" s="1"/>
  <c r="H18" i="26" a="1"/>
  <c r="H18" i="26" s="1"/>
  <c r="G17" i="26" a="1"/>
  <c r="G17" i="26" s="1"/>
  <c r="F16" i="26" a="1"/>
  <c r="F16" i="26" s="1"/>
  <c r="C16" i="26" a="1"/>
  <c r="C16" i="26" s="1"/>
  <c r="J20" i="31"/>
  <c r="F15" i="6" a="1"/>
  <c r="F15" i="6" s="1"/>
  <c r="H15" i="6" a="1"/>
  <c r="H15" i="6" s="1"/>
  <c r="G15" i="6" a="1"/>
  <c r="G15" i="6" s="1"/>
  <c r="A15" i="6" a="1"/>
  <c r="A15" i="6" s="1"/>
  <c r="H14" i="6" a="1"/>
  <c r="H14" i="6" s="1"/>
  <c r="D25" i="10" a="1"/>
  <c r="D25" i="10" s="1"/>
  <c r="J13" i="6"/>
  <c r="A13" i="6" s="1" a="1"/>
  <c r="A13" i="6" s="1"/>
  <c r="C13" i="8" a="1"/>
  <c r="C13" i="8" s="1"/>
  <c r="F18" i="8" a="1"/>
  <c r="F18" i="8" s="1"/>
  <c r="J20" i="10"/>
  <c r="C20" i="10" s="1" a="1"/>
  <c r="C20" i="10" s="1"/>
  <c r="F13" i="6" a="1"/>
  <c r="F13" i="6" s="1"/>
  <c r="C11" i="8" a="1"/>
  <c r="C11" i="8" s="1"/>
  <c r="H7" i="13" a="1"/>
  <c r="H7" i="13" s="1"/>
  <c r="G5" i="14" a="1"/>
  <c r="G5" i="14" s="1"/>
  <c r="F8" i="21" a="1"/>
  <c r="F8" i="21" s="1"/>
  <c r="G13" i="6" a="1"/>
  <c r="G13" i="6" s="1"/>
  <c r="H13" i="6" a="1"/>
  <c r="H13" i="6" s="1"/>
  <c r="F12" i="10" a="1"/>
  <c r="F12" i="10" s="1"/>
  <c r="H16" i="12" a="1"/>
  <c r="H16" i="12" s="1"/>
  <c r="H5" i="14" a="1"/>
  <c r="H5" i="14" s="1"/>
  <c r="F13" i="17" a="1"/>
  <c r="F13" i="17" s="1"/>
  <c r="D17" i="19" a="1"/>
  <c r="D17" i="19" s="1"/>
  <c r="D18" i="19" a="1"/>
  <c r="D18" i="19" s="1"/>
  <c r="D16" i="19" a="1"/>
  <c r="D16" i="19" s="1"/>
  <c r="G16" i="19" a="1"/>
  <c r="G16" i="19" s="1"/>
  <c r="H5" i="22" a="1"/>
  <c r="H5" i="22" s="1"/>
  <c r="H6" i="17" a="1"/>
  <c r="H6" i="17" s="1"/>
  <c r="C12" i="23" a="1"/>
  <c r="C12" i="23" s="1"/>
  <c r="F5" i="25" a="1"/>
  <c r="F5" i="25" s="1"/>
  <c r="F7" i="25" a="1"/>
  <c r="F7" i="25" s="1"/>
  <c r="J13" i="27"/>
  <c r="A13" i="27" s="1" a="1"/>
  <c r="A13" i="27" s="1"/>
  <c r="H16" i="27" a="1"/>
  <c r="H16" i="27" s="1"/>
  <c r="G12" i="29" a="1"/>
  <c r="G12" i="29" s="1"/>
  <c r="J5" i="30"/>
  <c r="C5" i="30" s="1" a="1"/>
  <c r="C5" i="30" s="1"/>
  <c r="F13" i="11" a="1"/>
  <c r="F13" i="11" s="1"/>
  <c r="G16" i="15" a="1"/>
  <c r="G16" i="15" s="1"/>
  <c r="D20" i="15" a="1"/>
  <c r="D20" i="15" s="1"/>
  <c r="F10" i="22" a="1"/>
  <c r="F10" i="22" s="1"/>
  <c r="H26" i="9" a="1"/>
  <c r="H26" i="9" s="1"/>
  <c r="D15" i="10" a="1"/>
  <c r="D15" i="10" s="1"/>
  <c r="F31" i="10" a="1"/>
  <c r="F31" i="10" s="1"/>
  <c r="G33" i="10" a="1"/>
  <c r="G33" i="10" s="1"/>
  <c r="D11" i="11" a="1"/>
  <c r="D11" i="11" s="1"/>
  <c r="H12" i="13" a="1"/>
  <c r="H12" i="13" s="1"/>
  <c r="F20" i="15" a="1"/>
  <c r="F20" i="15" s="1"/>
  <c r="J5" i="16"/>
  <c r="D8" i="16" a="1"/>
  <c r="D8" i="16" s="1"/>
  <c r="G6" i="18" a="1"/>
  <c r="G6" i="18" s="1"/>
  <c r="F8" i="18" a="1"/>
  <c r="F8" i="18" s="1"/>
  <c r="J15" i="20"/>
  <c r="D13" i="22" a="1"/>
  <c r="D13" i="22" s="1"/>
  <c r="C17" i="22" a="1"/>
  <c r="C17" i="22" s="1"/>
  <c r="G12" i="23" a="1"/>
  <c r="G12" i="23" s="1"/>
  <c r="G5" i="25" a="1"/>
  <c r="G5" i="25" s="1"/>
  <c r="G7" i="25" a="1"/>
  <c r="G7" i="25" s="1"/>
  <c r="H11" i="25" a="1"/>
  <c r="H11" i="25" s="1"/>
  <c r="H13" i="25" a="1"/>
  <c r="H13" i="25" s="1"/>
  <c r="H10" i="26" a="1"/>
  <c r="H10" i="26" s="1"/>
  <c r="H32" i="26" a="1"/>
  <c r="H32" i="26" s="1"/>
  <c r="D37" i="26" a="1"/>
  <c r="D37" i="26" s="1"/>
  <c r="G45" i="26" a="1"/>
  <c r="G45" i="26" s="1"/>
  <c r="F47" i="26" a="1"/>
  <c r="F47" i="26" s="1"/>
  <c r="D5" i="28" a="1"/>
  <c r="D5" i="28" s="1"/>
  <c r="C8" i="28" a="1"/>
  <c r="C8" i="28" s="1"/>
  <c r="F13" i="30" a="1"/>
  <c r="F13" i="30" s="1"/>
  <c r="H5" i="31" a="1"/>
  <c r="H5" i="31" s="1"/>
  <c r="J10" i="31"/>
  <c r="J15" i="31"/>
  <c r="D12" i="13" a="1"/>
  <c r="D12" i="13" s="1"/>
  <c r="D6" i="7" a="1"/>
  <c r="D6" i="7" s="1"/>
  <c r="H5" i="10" a="1"/>
  <c r="H5" i="10" s="1"/>
  <c r="G7" i="10" a="1"/>
  <c r="G7" i="10" s="1"/>
  <c r="H15" i="10" a="1"/>
  <c r="H15" i="10" s="1"/>
  <c r="G31" i="10" a="1"/>
  <c r="G31" i="10" s="1"/>
  <c r="G13" i="11" a="1"/>
  <c r="G13" i="11" s="1"/>
  <c r="H16" i="15" a="1"/>
  <c r="H16" i="15" s="1"/>
  <c r="D26" i="16" a="1"/>
  <c r="D26" i="16" s="1"/>
  <c r="C7" i="17" a="1"/>
  <c r="C7" i="17" s="1"/>
  <c r="H6" i="18" a="1"/>
  <c r="H6" i="18" s="1"/>
  <c r="C13" i="18" a="1"/>
  <c r="C13" i="18" s="1"/>
  <c r="H10" i="22" a="1"/>
  <c r="H10" i="22" s="1"/>
  <c r="F13" i="22" a="1"/>
  <c r="F13" i="22" s="1"/>
  <c r="F17" i="22" a="1"/>
  <c r="F17" i="22" s="1"/>
  <c r="H6" i="23" a="1"/>
  <c r="H6" i="23" s="1"/>
  <c r="H5" i="25" a="1"/>
  <c r="H5" i="25" s="1"/>
  <c r="F30" i="26" a="1"/>
  <c r="F30" i="26" s="1"/>
  <c r="G47" i="26" a="1"/>
  <c r="G47" i="26" s="1"/>
  <c r="D14" i="27" a="1"/>
  <c r="D14" i="27" s="1"/>
  <c r="H12" i="29" a="1"/>
  <c r="H12" i="29" s="1"/>
  <c r="D6" i="30" a="1"/>
  <c r="D6" i="30" s="1"/>
  <c r="H13" i="30" a="1"/>
  <c r="H13" i="30" s="1"/>
  <c r="F11" i="35" a="1"/>
  <c r="F11" i="35" s="1"/>
  <c r="G13" i="22" a="1"/>
  <c r="G13" i="22" s="1"/>
  <c r="H7" i="25" a="1"/>
  <c r="H7" i="25" s="1"/>
  <c r="C14" i="25" a="1"/>
  <c r="C14" i="25" s="1"/>
  <c r="H30" i="26" a="1"/>
  <c r="H30" i="26" s="1"/>
  <c r="C33" i="26" a="1"/>
  <c r="C33" i="26" s="1"/>
  <c r="H45" i="26" a="1"/>
  <c r="H45" i="26" s="1"/>
  <c r="G5" i="28" a="1"/>
  <c r="G5" i="28" s="1"/>
  <c r="D8" i="28" a="1"/>
  <c r="D8" i="28" s="1"/>
  <c r="F6" i="30" a="1"/>
  <c r="F6" i="30" s="1"/>
  <c r="F11" i="31" a="1"/>
  <c r="F11" i="31" s="1"/>
  <c r="H16" i="31" a="1"/>
  <c r="H16" i="31" s="1"/>
  <c r="H7" i="10" a="1"/>
  <c r="H7" i="10" s="1"/>
  <c r="G11" i="11" a="1"/>
  <c r="G11" i="11" s="1"/>
  <c r="G13" i="13" a="1"/>
  <c r="G13" i="13" s="1"/>
  <c r="G8" i="16" a="1"/>
  <c r="G8" i="16" s="1"/>
  <c r="F23" i="16" a="1"/>
  <c r="F23" i="16" s="1"/>
  <c r="F5" i="18" a="1"/>
  <c r="F5" i="18" s="1"/>
  <c r="D13" i="18" a="1"/>
  <c r="D13" i="18" s="1"/>
  <c r="H16" i="20" a="1"/>
  <c r="H16" i="20" s="1"/>
  <c r="J10" i="22"/>
  <c r="C10" i="22" s="1" a="1"/>
  <c r="C10" i="22" s="1"/>
  <c r="H13" i="22" a="1"/>
  <c r="H13" i="22" s="1"/>
  <c r="C13" i="23" a="1"/>
  <c r="C13" i="23" s="1"/>
  <c r="J5" i="25"/>
  <c r="C5" i="25" s="1" a="1"/>
  <c r="C5" i="25" s="1"/>
  <c r="J11" i="25"/>
  <c r="C11" i="25" s="1" a="1"/>
  <c r="C11" i="25" s="1"/>
  <c r="D14" i="25" a="1"/>
  <c r="D14" i="25" s="1"/>
  <c r="H11" i="26" a="1"/>
  <c r="H11" i="26" s="1"/>
  <c r="D33" i="26" a="1"/>
  <c r="D33" i="26" s="1"/>
  <c r="F14" i="27" a="1"/>
  <c r="F14" i="27" s="1"/>
  <c r="H5" i="28" a="1"/>
  <c r="H5" i="28" s="1"/>
  <c r="C13" i="29" a="1"/>
  <c r="C13" i="29" s="1"/>
  <c r="H6" i="30" a="1"/>
  <c r="H6" i="30" s="1"/>
  <c r="D6" i="31" a="1"/>
  <c r="D6" i="31" s="1"/>
  <c r="G12" i="35" a="1"/>
  <c r="G12" i="35" s="1"/>
  <c r="F11" i="11" a="1"/>
  <c r="F11" i="11" s="1"/>
  <c r="D15" i="15" a="1"/>
  <c r="D15" i="15" s="1"/>
  <c r="H6" i="7" a="1"/>
  <c r="H6" i="7" s="1"/>
  <c r="J5" i="10"/>
  <c r="C5" i="10" s="1" a="1"/>
  <c r="C5" i="10" s="1"/>
  <c r="G16" i="10" a="1"/>
  <c r="G16" i="10" s="1"/>
  <c r="J31" i="10"/>
  <c r="C31" i="10" s="1" a="1"/>
  <c r="C31" i="10" s="1"/>
  <c r="C34" i="10" a="1"/>
  <c r="C34" i="10" s="1"/>
  <c r="C14" i="11" a="1"/>
  <c r="C14" i="11" s="1"/>
  <c r="F15" i="15" a="1"/>
  <c r="F15" i="15" s="1"/>
  <c r="C17" i="15" a="1"/>
  <c r="C17" i="15" s="1"/>
  <c r="G21" i="15" a="1"/>
  <c r="G21" i="15" s="1"/>
  <c r="F6" i="16" a="1"/>
  <c r="F6" i="16" s="1"/>
  <c r="H8" i="16" a="1"/>
  <c r="H8" i="16" s="1"/>
  <c r="G23" i="16" a="1"/>
  <c r="G23" i="16" s="1"/>
  <c r="G26" i="16" a="1"/>
  <c r="G26" i="16" s="1"/>
  <c r="C7" i="18" a="1"/>
  <c r="C7" i="18" s="1"/>
  <c r="D10" i="18" a="1"/>
  <c r="D10" i="18" s="1"/>
  <c r="H13" i="18" a="1"/>
  <c r="H13" i="18" s="1"/>
  <c r="D15" i="22" a="1"/>
  <c r="D15" i="22" s="1"/>
  <c r="D18" i="22" a="1"/>
  <c r="D18" i="22" s="1"/>
  <c r="D10" i="23" a="1"/>
  <c r="D10" i="23" s="1"/>
  <c r="C48" i="26" a="1"/>
  <c r="C48" i="26" s="1"/>
  <c r="C6" i="27" a="1"/>
  <c r="C6" i="27" s="1"/>
  <c r="G14" i="27" a="1"/>
  <c r="G14" i="27" s="1"/>
  <c r="F8" i="28" a="1"/>
  <c r="F8" i="28" s="1"/>
  <c r="J13" i="30"/>
  <c r="F6" i="31" a="1"/>
  <c r="F6" i="31" s="1"/>
  <c r="H11" i="31" a="1"/>
  <c r="H11" i="31" s="1"/>
  <c r="C17" i="31" a="1"/>
  <c r="C17" i="31" s="1"/>
  <c r="D14" i="11" a="1"/>
  <c r="D14" i="11" s="1"/>
  <c r="G10" i="13" a="1"/>
  <c r="G10" i="13" s="1"/>
  <c r="H13" i="13" a="1"/>
  <c r="H13" i="13" s="1"/>
  <c r="G6" i="16" a="1"/>
  <c r="G6" i="16" s="1"/>
  <c r="C8" i="17" a="1"/>
  <c r="C8" i="17" s="1"/>
  <c r="G5" i="18" a="1"/>
  <c r="G5" i="18" s="1"/>
  <c r="H10" i="18" a="1"/>
  <c r="H10" i="18" s="1"/>
  <c r="D11" i="22" a="1"/>
  <c r="D11" i="22" s="1"/>
  <c r="F10" i="23" a="1"/>
  <c r="F10" i="23" s="1"/>
  <c r="F13" i="23" a="1"/>
  <c r="F13" i="23" s="1"/>
  <c r="C6" i="25" a="1"/>
  <c r="C6" i="25" s="1"/>
  <c r="C8" i="25" a="1"/>
  <c r="C8" i="25" s="1"/>
  <c r="F14" i="25" a="1"/>
  <c r="F14" i="25" s="1"/>
  <c r="F26" i="26" a="1"/>
  <c r="F26" i="26" s="1"/>
  <c r="F33" i="26" a="1"/>
  <c r="F33" i="26" s="1"/>
  <c r="G38" i="26" a="1"/>
  <c r="G38" i="26" s="1"/>
  <c r="J45" i="26"/>
  <c r="D48" i="26" a="1"/>
  <c r="D48" i="26" s="1"/>
  <c r="H14" i="27" a="1"/>
  <c r="H14" i="27" s="1"/>
  <c r="J5" i="28"/>
  <c r="D10" i="29" a="1"/>
  <c r="D10" i="29" s="1"/>
  <c r="F13" i="29" a="1"/>
  <c r="F13" i="29" s="1"/>
  <c r="C7" i="30" a="1"/>
  <c r="C7" i="30" s="1"/>
  <c r="A14" i="30" a="1"/>
  <c r="A14" i="30" s="1"/>
  <c r="H6" i="31" a="1"/>
  <c r="H6" i="31" s="1"/>
  <c r="G17" i="31" a="1"/>
  <c r="G17" i="31" s="1"/>
  <c r="F5" i="35" a="1"/>
  <c r="F5" i="35" s="1"/>
  <c r="F13" i="35" a="1"/>
  <c r="F13" i="35" s="1"/>
  <c r="J13" i="14"/>
  <c r="G15" i="15" a="1"/>
  <c r="G15" i="15" s="1"/>
  <c r="G17" i="15" a="1"/>
  <c r="G17" i="15" s="1"/>
  <c r="H21" i="15" a="1"/>
  <c r="H21" i="15" s="1"/>
  <c r="H6" i="16" a="1"/>
  <c r="H6" i="16" s="1"/>
  <c r="D5" i="17" a="1"/>
  <c r="D5" i="17" s="1"/>
  <c r="G11" i="22" a="1"/>
  <c r="G11" i="22" s="1"/>
  <c r="G15" i="22" a="1"/>
  <c r="G15" i="22" s="1"/>
  <c r="F18" i="22" a="1"/>
  <c r="F18" i="22" s="1"/>
  <c r="H10" i="23" a="1"/>
  <c r="H10" i="23" s="1"/>
  <c r="D6" i="25" a="1"/>
  <c r="D6" i="25" s="1"/>
  <c r="D8" i="25" a="1"/>
  <c r="D8" i="25" s="1"/>
  <c r="F10" i="29" a="1"/>
  <c r="F10" i="29" s="1"/>
  <c r="G13" i="29" a="1"/>
  <c r="G13" i="29" s="1"/>
  <c r="C12" i="31" a="1"/>
  <c r="C12" i="31" s="1"/>
  <c r="H13" i="23" a="1"/>
  <c r="H13" i="23" s="1"/>
  <c r="D15" i="27" a="1"/>
  <c r="D15" i="27" s="1"/>
  <c r="F7" i="30" a="1"/>
  <c r="F7" i="30" s="1"/>
  <c r="G12" i="31" a="1"/>
  <c r="G12" i="31" s="1"/>
  <c r="D18" i="31" a="1"/>
  <c r="D18" i="31" s="1"/>
  <c r="J5" i="35"/>
  <c r="C5" i="35" s="1" a="1"/>
  <c r="C5" i="35" s="1"/>
  <c r="D14" i="14" a="1"/>
  <c r="D14" i="14" s="1"/>
  <c r="H15" i="15" a="1"/>
  <c r="H15" i="15" s="1"/>
  <c r="H17" i="15" a="1"/>
  <c r="H17" i="15" s="1"/>
  <c r="H5" i="17" a="1"/>
  <c r="H5" i="17" s="1"/>
  <c r="F8" i="17" a="1"/>
  <c r="F8" i="17" s="1"/>
  <c r="G7" i="18" a="1"/>
  <c r="G7" i="18" s="1"/>
  <c r="F11" i="18" a="1"/>
  <c r="F11" i="18" s="1"/>
  <c r="J10" i="23"/>
  <c r="F6" i="25" a="1"/>
  <c r="F6" i="25" s="1"/>
  <c r="G8" i="25" a="1"/>
  <c r="G8" i="25" s="1"/>
  <c r="G12" i="25" a="1"/>
  <c r="G12" i="25" s="1"/>
  <c r="H14" i="25" a="1"/>
  <c r="H14" i="25" s="1"/>
  <c r="D13" i="26" a="1"/>
  <c r="D13" i="26" s="1"/>
  <c r="G31" i="26" a="1"/>
  <c r="G31" i="26" s="1"/>
  <c r="F46" i="26" a="1"/>
  <c r="F46" i="26" s="1"/>
  <c r="G48" i="26" a="1"/>
  <c r="G48" i="26" s="1"/>
  <c r="C7" i="27" a="1"/>
  <c r="C7" i="27" s="1"/>
  <c r="G15" i="27" a="1"/>
  <c r="G15" i="27" s="1"/>
  <c r="H14" i="30" a="1"/>
  <c r="H14" i="30" s="1"/>
  <c r="F18" i="31" a="1"/>
  <c r="F18" i="31" s="1"/>
  <c r="F23" i="15" a="1"/>
  <c r="F23" i="15" s="1"/>
  <c r="C7" i="16" a="1"/>
  <c r="C7" i="16" s="1"/>
  <c r="H8" i="17" a="1"/>
  <c r="H8" i="17" s="1"/>
  <c r="J5" i="18"/>
  <c r="C5" i="18" s="1" a="1"/>
  <c r="C5" i="18" s="1"/>
  <c r="C12" i="22" a="1"/>
  <c r="C12" i="22" s="1"/>
  <c r="G6" i="25" a="1"/>
  <c r="G6" i="25" s="1"/>
  <c r="H8" i="25" a="1"/>
  <c r="H8" i="25" s="1"/>
  <c r="H48" i="26" a="1"/>
  <c r="H48" i="26" s="1"/>
  <c r="D7" i="27" a="1"/>
  <c r="D7" i="27" s="1"/>
  <c r="H15" i="27" a="1"/>
  <c r="H15" i="27" s="1"/>
  <c r="F6" i="28" a="1"/>
  <c r="F6" i="28" s="1"/>
  <c r="C11" i="29" a="1"/>
  <c r="C11" i="29" s="1"/>
  <c r="D8" i="30" a="1"/>
  <c r="D8" i="30" s="1"/>
  <c r="G15" i="30" a="1"/>
  <c r="G15" i="30" s="1"/>
  <c r="H18" i="31" a="1"/>
  <c r="H18" i="31" s="1"/>
  <c r="F6" i="35" a="1"/>
  <c r="F6" i="35" s="1"/>
  <c r="F6" i="9" a="1"/>
  <c r="F6" i="9" s="1"/>
  <c r="C8" i="9" a="1"/>
  <c r="C8" i="9" s="1"/>
  <c r="H7" i="9" a="1"/>
  <c r="H7" i="9" s="1"/>
  <c r="D6" i="9" a="1"/>
  <c r="D6" i="9" s="1"/>
  <c r="G7" i="9" a="1"/>
  <c r="G7" i="9" s="1"/>
  <c r="C6" i="9" a="1"/>
  <c r="C6" i="9" s="1"/>
  <c r="H8" i="9" a="1"/>
  <c r="H8" i="9" s="1"/>
  <c r="D7" i="9" a="1"/>
  <c r="D7" i="9" s="1"/>
  <c r="H5" i="9" a="1"/>
  <c r="H5" i="9" s="1"/>
  <c r="G8" i="9" a="1"/>
  <c r="G8" i="9" s="1"/>
  <c r="C7" i="9" a="1"/>
  <c r="C7" i="9" s="1"/>
  <c r="G5" i="9" a="1"/>
  <c r="G5" i="9" s="1"/>
  <c r="G6" i="9" a="1"/>
  <c r="G6" i="9" s="1"/>
  <c r="D5" i="9" a="1"/>
  <c r="D5" i="9" s="1"/>
  <c r="F8" i="9" a="1"/>
  <c r="F8" i="9" s="1"/>
  <c r="F19" i="9" a="1"/>
  <c r="F19" i="9" s="1"/>
  <c r="G15" i="16" a="1"/>
  <c r="G15" i="16" s="1"/>
  <c r="D18" i="16" a="1"/>
  <c r="D18" i="16" s="1"/>
  <c r="H16" i="16" a="1"/>
  <c r="H16" i="16" s="1"/>
  <c r="H17" i="16" a="1"/>
  <c r="H17" i="16" s="1"/>
  <c r="C16" i="16" a="1"/>
  <c r="C16" i="16" s="1"/>
  <c r="C17" i="16" a="1"/>
  <c r="C17" i="16" s="1"/>
  <c r="H15" i="16" a="1"/>
  <c r="H15" i="16" s="1"/>
  <c r="C18" i="16" a="1"/>
  <c r="C18" i="16" s="1"/>
  <c r="G17" i="16" a="1"/>
  <c r="G17" i="16" s="1"/>
  <c r="F17" i="16" a="1"/>
  <c r="F17" i="16" s="1"/>
  <c r="F15" i="16" a="1"/>
  <c r="F15" i="16" s="1"/>
  <c r="D17" i="16" a="1"/>
  <c r="D17" i="16" s="1"/>
  <c r="D15" i="16" a="1"/>
  <c r="D15" i="16" s="1"/>
  <c r="H18" i="16" a="1"/>
  <c r="H18" i="16" s="1"/>
  <c r="G16" i="16" a="1"/>
  <c r="G16" i="16" s="1"/>
  <c r="G18" i="16" a="1"/>
  <c r="G18" i="16" s="1"/>
  <c r="F16" i="16" a="1"/>
  <c r="F16" i="16" s="1"/>
  <c r="F18" i="16" a="1"/>
  <c r="F18" i="16" s="1"/>
  <c r="D16" i="16" a="1"/>
  <c r="D16" i="16" s="1"/>
  <c r="J15" i="16"/>
  <c r="C15" i="16" s="1" a="1"/>
  <c r="C15" i="16" s="1"/>
  <c r="F27" i="7" a="1"/>
  <c r="F27" i="7" s="1"/>
  <c r="D8" i="6" a="1"/>
  <c r="D8" i="6" s="1"/>
  <c r="F25" i="8" a="1"/>
  <c r="F25" i="8" s="1"/>
  <c r="F12" i="7" a="1"/>
  <c r="F12" i="7" s="1"/>
  <c r="F12" i="9" a="1"/>
  <c r="F12" i="9" s="1"/>
  <c r="C13" i="10" a="1"/>
  <c r="C13" i="10" s="1"/>
  <c r="F5" i="8" a="1"/>
  <c r="F5" i="8" s="1"/>
  <c r="F16" i="8" a="1"/>
  <c r="F16" i="8" s="1"/>
  <c r="H32" i="8" a="1"/>
  <c r="H32" i="8" s="1"/>
  <c r="A20" i="9" a="1"/>
  <c r="A20" i="9" s="1"/>
  <c r="H18" i="7" a="1"/>
  <c r="H18" i="7" s="1"/>
  <c r="D21" i="7" a="1"/>
  <c r="D21" i="7" s="1"/>
  <c r="G32" i="8" a="1"/>
  <c r="G32" i="8" s="1"/>
  <c r="F6" i="6" a="1"/>
  <c r="F6" i="6" s="1"/>
  <c r="G22" i="6" a="1"/>
  <c r="G22" i="6" s="1"/>
  <c r="D7" i="8" a="1"/>
  <c r="D7" i="8" s="1"/>
  <c r="G6" i="6" a="1"/>
  <c r="G6" i="6" s="1"/>
  <c r="D20" i="9" a="1"/>
  <c r="D20" i="9" s="1"/>
  <c r="A21" i="7" a="1"/>
  <c r="A21" i="7" s="1"/>
  <c r="F19" i="7" a="1"/>
  <c r="F19" i="7" s="1"/>
  <c r="G20" i="7" a="1"/>
  <c r="G20" i="7" s="1"/>
  <c r="A19" i="7" a="1"/>
  <c r="A19" i="7" s="1"/>
  <c r="F21" i="7" a="1"/>
  <c r="F21" i="7" s="1"/>
  <c r="D5" i="8" a="1"/>
  <c r="D5" i="8" s="1"/>
  <c r="J5" i="9"/>
  <c r="C5" i="9" s="1" a="1"/>
  <c r="C5" i="9" s="1"/>
  <c r="F8" i="6" a="1"/>
  <c r="F8" i="6" s="1"/>
  <c r="J18" i="7"/>
  <c r="A18" i="7" s="1" a="1"/>
  <c r="A18" i="7" s="1"/>
  <c r="H27" i="7" a="1"/>
  <c r="H27" i="7" s="1"/>
  <c r="G25" i="8" a="1"/>
  <c r="G25" i="8" s="1"/>
  <c r="H6" i="6" a="1"/>
  <c r="H6" i="6" s="1"/>
  <c r="H22" i="6" a="1"/>
  <c r="H22" i="6" s="1"/>
  <c r="G5" i="8" a="1"/>
  <c r="G5" i="8" s="1"/>
  <c r="G7" i="8" a="1"/>
  <c r="G7" i="8" s="1"/>
  <c r="D23" i="8" a="1"/>
  <c r="D23" i="8" s="1"/>
  <c r="H25" i="8" a="1"/>
  <c r="H25" i="8" s="1"/>
  <c r="A33" i="8" a="1"/>
  <c r="A33" i="8" s="1"/>
  <c r="G13" i="10" a="1"/>
  <c r="G13" i="10" s="1"/>
  <c r="G8" i="6" a="1"/>
  <c r="G8" i="6" s="1"/>
  <c r="A23" i="6" a="1"/>
  <c r="A23" i="6" s="1"/>
  <c r="D19" i="7" a="1"/>
  <c r="D19" i="7" s="1"/>
  <c r="H21" i="7" a="1"/>
  <c r="H21" i="7" s="1"/>
  <c r="D28" i="7" a="1"/>
  <c r="D28" i="7" s="1"/>
  <c r="A26" i="8" a="1"/>
  <c r="A26" i="8" s="1"/>
  <c r="D33" i="8" a="1"/>
  <c r="D33" i="8" s="1"/>
  <c r="C13" i="9" a="1"/>
  <c r="C13" i="9" s="1"/>
  <c r="F10" i="10" a="1"/>
  <c r="F10" i="10" s="1"/>
  <c r="D12" i="9" a="1"/>
  <c r="D12" i="9" s="1"/>
  <c r="H24" i="6" a="1"/>
  <c r="H24" i="6" s="1"/>
  <c r="D23" i="6" a="1"/>
  <c r="D23" i="6" s="1"/>
  <c r="G10" i="7" a="1"/>
  <c r="G10" i="7" s="1"/>
  <c r="F10" i="7" a="1"/>
  <c r="F10" i="7" s="1"/>
  <c r="H12" i="7" a="1"/>
  <c r="H12" i="7" s="1"/>
  <c r="G12" i="7" a="1"/>
  <c r="G12" i="7" s="1"/>
  <c r="C11" i="7" a="1"/>
  <c r="C11" i="7" s="1"/>
  <c r="G13" i="7" a="1"/>
  <c r="G13" i="7" s="1"/>
  <c r="C13" i="7" a="1"/>
  <c r="C13" i="7" s="1"/>
  <c r="F28" i="7" a="1"/>
  <c r="F28" i="7" s="1"/>
  <c r="F23" i="8" a="1"/>
  <c r="F23" i="8" s="1"/>
  <c r="G33" i="8" a="1"/>
  <c r="G33" i="8" s="1"/>
  <c r="D8" i="8" a="1"/>
  <c r="D8" i="8" s="1"/>
  <c r="H6" i="8" a="1"/>
  <c r="H6" i="8" s="1"/>
  <c r="C8" i="8" a="1"/>
  <c r="C8" i="8" s="1"/>
  <c r="G6" i="8" a="1"/>
  <c r="G6" i="8" s="1"/>
  <c r="D6" i="8" a="1"/>
  <c r="D6" i="8" s="1"/>
  <c r="C6" i="8" a="1"/>
  <c r="C6" i="8" s="1"/>
  <c r="F7" i="8" a="1"/>
  <c r="F7" i="8" s="1"/>
  <c r="C7" i="8" a="1"/>
  <c r="C7" i="8" s="1"/>
  <c r="H5" i="8" a="1"/>
  <c r="H5" i="8" s="1"/>
  <c r="C17" i="8" a="1"/>
  <c r="C17" i="8" s="1"/>
  <c r="F26" i="8" a="1"/>
  <c r="F26" i="8" s="1"/>
  <c r="H6" i="9" a="1"/>
  <c r="H6" i="9" s="1"/>
  <c r="F5" i="6" a="1"/>
  <c r="F5" i="6" s="1"/>
  <c r="D5" i="6" a="1"/>
  <c r="D5" i="6" s="1"/>
  <c r="G7" i="6" a="1"/>
  <c r="G7" i="6" s="1"/>
  <c r="F7" i="6" a="1"/>
  <c r="F7" i="6" s="1"/>
  <c r="F20" i="7" a="1"/>
  <c r="F20" i="7" s="1"/>
  <c r="D6" i="6" a="1"/>
  <c r="D6" i="6" s="1"/>
  <c r="G18" i="7" a="1"/>
  <c r="G18" i="7" s="1"/>
  <c r="C7" i="6" a="1"/>
  <c r="C7" i="6" s="1"/>
  <c r="D21" i="6" a="1"/>
  <c r="D21" i="6" s="1"/>
  <c r="J10" i="7"/>
  <c r="C10" i="7" s="1" a="1"/>
  <c r="C10" i="7" s="1"/>
  <c r="D13" i="7" a="1"/>
  <c r="D13" i="7" s="1"/>
  <c r="G19" i="7" a="1"/>
  <c r="G19" i="7" s="1"/>
  <c r="C11" i="10" a="1"/>
  <c r="C11" i="10" s="1"/>
  <c r="G10" i="10" a="1"/>
  <c r="G10" i="10" s="1"/>
  <c r="C12" i="10" a="1"/>
  <c r="C12" i="10" s="1"/>
  <c r="H11" i="10" a="1"/>
  <c r="H11" i="10" s="1"/>
  <c r="F13" i="10" a="1"/>
  <c r="F13" i="10" s="1"/>
  <c r="D10" i="10" a="1"/>
  <c r="D10" i="10" s="1"/>
  <c r="D13" i="10" a="1"/>
  <c r="D13" i="10" s="1"/>
  <c r="G11" i="10" a="1"/>
  <c r="G11" i="10" s="1"/>
  <c r="D11" i="10" a="1"/>
  <c r="D11" i="10" s="1"/>
  <c r="H12" i="10" a="1"/>
  <c r="H12" i="10" s="1"/>
  <c r="G12" i="10" a="1"/>
  <c r="G12" i="10" s="1"/>
  <c r="J10" i="10"/>
  <c r="C10" i="10" s="1" a="1"/>
  <c r="C10" i="10" s="1"/>
  <c r="H13" i="10" a="1"/>
  <c r="H13" i="10" s="1"/>
  <c r="F24" i="8" a="1"/>
  <c r="F24" i="8" s="1"/>
  <c r="D24" i="8" a="1"/>
  <c r="D24" i="8" s="1"/>
  <c r="A24" i="8" a="1"/>
  <c r="A24" i="8" s="1"/>
  <c r="H23" i="8" a="1"/>
  <c r="H23" i="8" s="1"/>
  <c r="H26" i="8" a="1"/>
  <c r="H26" i="8" s="1"/>
  <c r="G23" i="8" a="1"/>
  <c r="G23" i="8" s="1"/>
  <c r="A25" i="8" a="1"/>
  <c r="A25" i="8" s="1"/>
  <c r="D26" i="8" a="1"/>
  <c r="D26" i="8" s="1"/>
  <c r="F10" i="9" a="1"/>
  <c r="F10" i="9" s="1"/>
  <c r="G13" i="9" a="1"/>
  <c r="G13" i="9" s="1"/>
  <c r="C12" i="9" a="1"/>
  <c r="C12" i="9" s="1"/>
  <c r="F13" i="9" a="1"/>
  <c r="F13" i="9" s="1"/>
  <c r="D13" i="9" a="1"/>
  <c r="D13" i="9" s="1"/>
  <c r="G11" i="9" a="1"/>
  <c r="G11" i="9" s="1"/>
  <c r="D10" i="9" a="1"/>
  <c r="D10" i="9" s="1"/>
  <c r="H12" i="9" a="1"/>
  <c r="H12" i="9" s="1"/>
  <c r="D11" i="9" a="1"/>
  <c r="D11" i="9" s="1"/>
  <c r="G12" i="9" a="1"/>
  <c r="G12" i="9" s="1"/>
  <c r="C11" i="9" a="1"/>
  <c r="C11" i="9" s="1"/>
  <c r="H10" i="9" a="1"/>
  <c r="H10" i="9" s="1"/>
  <c r="H13" i="9" a="1"/>
  <c r="H13" i="9" s="1"/>
  <c r="A21" i="9" a="1"/>
  <c r="A21" i="9" s="1"/>
  <c r="D7" i="6" a="1"/>
  <c r="D7" i="6" s="1"/>
  <c r="F21" i="6" a="1"/>
  <c r="F21" i="6" s="1"/>
  <c r="G23" i="6" a="1"/>
  <c r="G23" i="6" s="1"/>
  <c r="D11" i="7" a="1"/>
  <c r="D11" i="7" s="1"/>
  <c r="F26" i="7" a="1"/>
  <c r="F26" i="7" s="1"/>
  <c r="H28" i="7" a="1"/>
  <c r="H28" i="7" s="1"/>
  <c r="F17" i="8" a="1"/>
  <c r="F17" i="8" s="1"/>
  <c r="J10" i="9"/>
  <c r="C10" i="9" s="1" a="1"/>
  <c r="C10" i="9" s="1"/>
  <c r="H5" i="6" a="1"/>
  <c r="H5" i="6" s="1"/>
  <c r="G21" i="6" a="1"/>
  <c r="G21" i="6" s="1"/>
  <c r="H23" i="6" a="1"/>
  <c r="H23" i="6" s="1"/>
  <c r="F11" i="7" a="1"/>
  <c r="F11" i="7" s="1"/>
  <c r="A20" i="7" a="1"/>
  <c r="A20" i="7" s="1"/>
  <c r="A29" i="7" a="1"/>
  <c r="A29" i="7" s="1"/>
  <c r="F8" i="8" a="1"/>
  <c r="F8" i="8" s="1"/>
  <c r="J23" i="8"/>
  <c r="A23" i="8" s="1" a="1"/>
  <c r="A23" i="8" s="1"/>
  <c r="D31" i="8" a="1"/>
  <c r="D31" i="8" s="1"/>
  <c r="F34" i="8" a="1"/>
  <c r="F34" i="8" s="1"/>
  <c r="D21" i="9" a="1"/>
  <c r="D21" i="9" s="1"/>
  <c r="G24" i="6" a="1"/>
  <c r="G24" i="6" s="1"/>
  <c r="H8" i="6" a="1"/>
  <c r="H8" i="6" s="1"/>
  <c r="G5" i="6" a="1"/>
  <c r="G5" i="6" s="1"/>
  <c r="F23" i="6" a="1"/>
  <c r="F23" i="6" s="1"/>
  <c r="F13" i="7" a="1"/>
  <c r="F13" i="7" s="1"/>
  <c r="H19" i="7" a="1"/>
  <c r="H19" i="7" s="1"/>
  <c r="G28" i="7" a="1"/>
  <c r="G28" i="7" s="1"/>
  <c r="J5" i="8"/>
  <c r="C5" i="8" s="1" a="1"/>
  <c r="C5" i="8" s="1"/>
  <c r="D17" i="8" a="1"/>
  <c r="D17" i="8" s="1"/>
  <c r="G26" i="8" a="1"/>
  <c r="G26" i="8" s="1"/>
  <c r="H13" i="7" a="1"/>
  <c r="H13" i="7" s="1"/>
  <c r="D20" i="7" a="1"/>
  <c r="D20" i="7" s="1"/>
  <c r="H26" i="7" a="1"/>
  <c r="H26" i="7" s="1"/>
  <c r="G8" i="8" a="1"/>
  <c r="G8" i="8" s="1"/>
  <c r="F15" i="8" a="1"/>
  <c r="F15" i="8" s="1"/>
  <c r="F7" i="9" a="1"/>
  <c r="F7" i="9" s="1"/>
  <c r="H21" i="9" a="1"/>
  <c r="H21" i="9" s="1"/>
  <c r="F11" i="10" a="1"/>
  <c r="F11" i="10" s="1"/>
  <c r="C8" i="12" a="1"/>
  <c r="C8" i="12" s="1"/>
  <c r="G6" i="12" a="1"/>
  <c r="G6" i="12" s="1"/>
  <c r="D5" i="12" a="1"/>
  <c r="D5" i="12" s="1"/>
  <c r="G7" i="12" a="1"/>
  <c r="G7" i="12" s="1"/>
  <c r="C6" i="12" a="1"/>
  <c r="C6" i="12" s="1"/>
  <c r="H8" i="12" a="1"/>
  <c r="H8" i="12" s="1"/>
  <c r="J5" i="12"/>
  <c r="C5" i="12" s="1" a="1"/>
  <c r="C5" i="12" s="1"/>
  <c r="G8" i="12" a="1"/>
  <c r="G8" i="12" s="1"/>
  <c r="H6" i="12" a="1"/>
  <c r="H6" i="12" s="1"/>
  <c r="F8" i="12" a="1"/>
  <c r="F8" i="12" s="1"/>
  <c r="F6" i="12" a="1"/>
  <c r="F6" i="12" s="1"/>
  <c r="D8" i="12" a="1"/>
  <c r="D8" i="12" s="1"/>
  <c r="D6" i="12" a="1"/>
  <c r="D6" i="12" s="1"/>
  <c r="H7" i="12" a="1"/>
  <c r="H7" i="12" s="1"/>
  <c r="H5" i="12" a="1"/>
  <c r="H5" i="12" s="1"/>
  <c r="F7" i="12" a="1"/>
  <c r="F7" i="12" s="1"/>
  <c r="G5" i="12" a="1"/>
  <c r="G5" i="12" s="1"/>
  <c r="D7" i="12" a="1"/>
  <c r="D7" i="12" s="1"/>
  <c r="C7" i="12" a="1"/>
  <c r="C7" i="12" s="1"/>
  <c r="J21" i="6"/>
  <c r="A21" i="6" s="1" a="1"/>
  <c r="A21" i="6" s="1"/>
  <c r="A24" i="6" a="1"/>
  <c r="A24" i="6" s="1"/>
  <c r="F22" i="6" a="1"/>
  <c r="F22" i="6" s="1"/>
  <c r="D24" i="6" a="1"/>
  <c r="D24" i="6" s="1"/>
  <c r="H11" i="7" a="1"/>
  <c r="H11" i="7" s="1"/>
  <c r="D18" i="7" a="1"/>
  <c r="D18" i="7" s="1"/>
  <c r="J26" i="7"/>
  <c r="A26" i="7" s="1" a="1"/>
  <c r="A26" i="7" s="1"/>
  <c r="H8" i="8" a="1"/>
  <c r="H8" i="8" s="1"/>
  <c r="G24" i="8" a="1"/>
  <c r="G24" i="8" s="1"/>
  <c r="J31" i="8"/>
  <c r="A31" i="8" s="1" a="1"/>
  <c r="A31" i="8" s="1"/>
  <c r="H31" i="8" a="1"/>
  <c r="H31" i="8" s="1"/>
  <c r="H34" i="8" a="1"/>
  <c r="H34" i="8" s="1"/>
  <c r="G31" i="8" a="1"/>
  <c r="G31" i="8" s="1"/>
  <c r="G34" i="8" a="1"/>
  <c r="G34" i="8" s="1"/>
  <c r="F31" i="8" a="1"/>
  <c r="F31" i="8" s="1"/>
  <c r="D34" i="8" a="1"/>
  <c r="D34" i="8" s="1"/>
  <c r="F32" i="8" a="1"/>
  <c r="F32" i="8" s="1"/>
  <c r="A34" i="8" a="1"/>
  <c r="A34" i="8" s="1"/>
  <c r="D32" i="8" a="1"/>
  <c r="D32" i="8" s="1"/>
  <c r="F33" i="8" a="1"/>
  <c r="F33" i="8" s="1"/>
  <c r="H20" i="9" a="1"/>
  <c r="H20" i="9" s="1"/>
  <c r="G20" i="9" a="1"/>
  <c r="G20" i="9" s="1"/>
  <c r="J18" i="9"/>
  <c r="A18" i="9" s="1" a="1"/>
  <c r="A18" i="9" s="1"/>
  <c r="F20" i="9" a="1"/>
  <c r="F20" i="9" s="1"/>
  <c r="G21" i="9" a="1"/>
  <c r="G21" i="9" s="1"/>
  <c r="F18" i="9" a="1"/>
  <c r="F18" i="9" s="1"/>
  <c r="H19" i="9" a="1"/>
  <c r="H19" i="9" s="1"/>
  <c r="F21" i="9" a="1"/>
  <c r="F21" i="9" s="1"/>
  <c r="D18" i="9" a="1"/>
  <c r="D18" i="9" s="1"/>
  <c r="G19" i="9" a="1"/>
  <c r="G19" i="9" s="1"/>
  <c r="D19" i="9" a="1"/>
  <c r="D19" i="9" s="1"/>
  <c r="D12" i="10" a="1"/>
  <c r="D12" i="10" s="1"/>
  <c r="G29" i="7" a="1"/>
  <c r="G29" i="7" s="1"/>
  <c r="A28" i="7" a="1"/>
  <c r="A28" i="7" s="1"/>
  <c r="G26" i="7" a="1"/>
  <c r="G26" i="7" s="1"/>
  <c r="D29" i="7" a="1"/>
  <c r="D29" i="7" s="1"/>
  <c r="G27" i="7" a="1"/>
  <c r="G27" i="7" s="1"/>
  <c r="D26" i="7" a="1"/>
  <c r="D26" i="7" s="1"/>
  <c r="F11" i="9" a="1"/>
  <c r="F11" i="9" s="1"/>
  <c r="J5" i="6"/>
  <c r="C5" i="6" s="1" a="1"/>
  <c r="C5" i="6" s="1"/>
  <c r="H7" i="6" a="1"/>
  <c r="H7" i="6" s="1"/>
  <c r="A22" i="6" a="1"/>
  <c r="A22" i="6" s="1"/>
  <c r="F18" i="7" a="1"/>
  <c r="F18" i="7" s="1"/>
  <c r="A27" i="7" a="1"/>
  <c r="A27" i="7" s="1"/>
  <c r="H11" i="9" a="1"/>
  <c r="H11" i="9" s="1"/>
  <c r="C6" i="6" a="1"/>
  <c r="C6" i="6" s="1"/>
  <c r="D22" i="6" a="1"/>
  <c r="D22" i="6" s="1"/>
  <c r="F24" i="6" a="1"/>
  <c r="F24" i="6" s="1"/>
  <c r="C12" i="7" a="1"/>
  <c r="C12" i="7" s="1"/>
  <c r="H20" i="7" a="1"/>
  <c r="H20" i="7" s="1"/>
  <c r="D27" i="7" a="1"/>
  <c r="D27" i="7" s="1"/>
  <c r="H29" i="7" a="1"/>
  <c r="H29" i="7" s="1"/>
  <c r="C16" i="8" a="1"/>
  <c r="C16" i="8" s="1"/>
  <c r="H18" i="8" a="1"/>
  <c r="H18" i="8" s="1"/>
  <c r="J15" i="8"/>
  <c r="C15" i="8" s="1" a="1"/>
  <c r="C15" i="8" s="1"/>
  <c r="G18" i="8" a="1"/>
  <c r="G18" i="8" s="1"/>
  <c r="D18" i="8" a="1"/>
  <c r="D18" i="8" s="1"/>
  <c r="H16" i="8" a="1"/>
  <c r="H16" i="8" s="1"/>
  <c r="C18" i="8" a="1"/>
  <c r="C18" i="8" s="1"/>
  <c r="G16" i="8" a="1"/>
  <c r="G16" i="8" s="1"/>
  <c r="D15" i="8" a="1"/>
  <c r="D15" i="8" s="1"/>
  <c r="G17" i="8" a="1"/>
  <c r="G17" i="8" s="1"/>
  <c r="H24" i="8" a="1"/>
  <c r="H24" i="8" s="1"/>
  <c r="A32" i="8" a="1"/>
  <c r="A32" i="8" s="1"/>
  <c r="F5" i="9" a="1"/>
  <c r="F5" i="9" s="1"/>
  <c r="D8" i="9" a="1"/>
  <c r="D8" i="9" s="1"/>
  <c r="A19" i="9" a="1"/>
  <c r="A19" i="9" s="1"/>
  <c r="G5" i="7" a="1"/>
  <c r="G5" i="7" s="1"/>
  <c r="J10" i="8"/>
  <c r="C10" i="8" s="1" a="1"/>
  <c r="C10" i="8" s="1"/>
  <c r="H13" i="8" a="1"/>
  <c r="H13" i="8" s="1"/>
  <c r="G26" i="9" a="1"/>
  <c r="G26" i="9" s="1"/>
  <c r="H29" i="9" a="1"/>
  <c r="H29" i="9" s="1"/>
  <c r="F16" i="10" a="1"/>
  <c r="F16" i="10" s="1"/>
  <c r="C18" i="10" a="1"/>
  <c r="C18" i="10" s="1"/>
  <c r="H20" i="10" a="1"/>
  <c r="H20" i="10" s="1"/>
  <c r="F26" i="10" a="1"/>
  <c r="F26" i="10" s="1"/>
  <c r="C28" i="10" a="1"/>
  <c r="C28" i="10" s="1"/>
  <c r="D5" i="11" a="1"/>
  <c r="D5" i="11" s="1"/>
  <c r="H8" i="11" a="1"/>
  <c r="H8" i="11" s="1"/>
  <c r="G21" i="13" a="1"/>
  <c r="G21" i="13" s="1"/>
  <c r="C8" i="19" a="1"/>
  <c r="C8" i="19" s="1"/>
  <c r="G6" i="19" a="1"/>
  <c r="G6" i="19" s="1"/>
  <c r="D5" i="19" a="1"/>
  <c r="D5" i="19" s="1"/>
  <c r="F8" i="19" a="1"/>
  <c r="F8" i="19" s="1"/>
  <c r="F5" i="19" a="1"/>
  <c r="F5" i="19" s="1"/>
  <c r="H6" i="19" a="1"/>
  <c r="H6" i="19" s="1"/>
  <c r="D6" i="19" a="1"/>
  <c r="D6" i="19" s="1"/>
  <c r="C6" i="19" a="1"/>
  <c r="C6" i="19" s="1"/>
  <c r="G7" i="19" a="1"/>
  <c r="G7" i="19" s="1"/>
  <c r="J5" i="19"/>
  <c r="C5" i="19" s="1" a="1"/>
  <c r="C5" i="19" s="1"/>
  <c r="G8" i="19" a="1"/>
  <c r="G8" i="19" s="1"/>
  <c r="C7" i="19" a="1"/>
  <c r="C7" i="19" s="1"/>
  <c r="G5" i="19" a="1"/>
  <c r="G5" i="19" s="1"/>
  <c r="F6" i="19" a="1"/>
  <c r="F6" i="19" s="1"/>
  <c r="H5" i="19" a="1"/>
  <c r="H5" i="19" s="1"/>
  <c r="H8" i="19" a="1"/>
  <c r="H8" i="19" s="1"/>
  <c r="D8" i="19" a="1"/>
  <c r="D8" i="19" s="1"/>
  <c r="H7" i="19" a="1"/>
  <c r="H7" i="19" s="1"/>
  <c r="F7" i="19" a="1"/>
  <c r="F7" i="19" s="1"/>
  <c r="D7" i="19" a="1"/>
  <c r="D7" i="19" s="1"/>
  <c r="C23" i="10" a="1"/>
  <c r="C23" i="10" s="1"/>
  <c r="G21" i="10" a="1"/>
  <c r="G21" i="10" s="1"/>
  <c r="F22" i="10" a="1"/>
  <c r="F22" i="10" s="1"/>
  <c r="G26" i="10" a="1"/>
  <c r="G26" i="10" s="1"/>
  <c r="D28" i="10" a="1"/>
  <c r="D28" i="10" s="1"/>
  <c r="F5" i="11" a="1"/>
  <c r="F5" i="11" s="1"/>
  <c r="D10" i="12" a="1"/>
  <c r="D10" i="12" s="1"/>
  <c r="D27" i="12" a="1"/>
  <c r="D27" i="12" s="1"/>
  <c r="F20" i="13" a="1"/>
  <c r="F20" i="13" s="1"/>
  <c r="H18" i="13" a="1"/>
  <c r="H18" i="13" s="1"/>
  <c r="D20" i="13" a="1"/>
  <c r="D20" i="13" s="1"/>
  <c r="G18" i="13" a="1"/>
  <c r="G18" i="13" s="1"/>
  <c r="H21" i="13" a="1"/>
  <c r="H21" i="13" s="1"/>
  <c r="A20" i="13" a="1"/>
  <c r="A20" i="13" s="1"/>
  <c r="H19" i="13" a="1"/>
  <c r="H19" i="13" s="1"/>
  <c r="F21" i="13" a="1"/>
  <c r="F21" i="13" s="1"/>
  <c r="D18" i="13" a="1"/>
  <c r="D18" i="13" s="1"/>
  <c r="G19" i="13" a="1"/>
  <c r="G19" i="13" s="1"/>
  <c r="D21" i="13" a="1"/>
  <c r="D21" i="13" s="1"/>
  <c r="A18" i="13" a="1"/>
  <c r="A18" i="13" s="1"/>
  <c r="F19" i="13" a="1"/>
  <c r="F19" i="13" s="1"/>
  <c r="D7" i="7" a="1"/>
  <c r="D7" i="7" s="1"/>
  <c r="D11" i="8" a="1"/>
  <c r="D11" i="8" s="1"/>
  <c r="H16" i="10" a="1"/>
  <c r="H16" i="10" s="1"/>
  <c r="F18" i="10" a="1"/>
  <c r="F18" i="10" s="1"/>
  <c r="G22" i="10" a="1"/>
  <c r="G22" i="10" s="1"/>
  <c r="H26" i="10" a="1"/>
  <c r="H26" i="10" s="1"/>
  <c r="F10" i="12" a="1"/>
  <c r="F10" i="12" s="1"/>
  <c r="H27" i="12" a="1"/>
  <c r="H27" i="12" s="1"/>
  <c r="J18" i="13"/>
  <c r="J5" i="7"/>
  <c r="C5" i="7" s="1" a="1"/>
  <c r="C5" i="7" s="1"/>
  <c r="H8" i="7" a="1"/>
  <c r="H8" i="7" s="1"/>
  <c r="H12" i="8" a="1"/>
  <c r="H12" i="8" s="1"/>
  <c r="J26" i="9"/>
  <c r="A26" i="9" s="1" a="1"/>
  <c r="A26" i="9" s="1"/>
  <c r="G28" i="9" a="1"/>
  <c r="G28" i="9" s="1"/>
  <c r="F15" i="10" a="1"/>
  <c r="F15" i="10" s="1"/>
  <c r="C21" i="10" a="1"/>
  <c r="C21" i="10" s="1"/>
  <c r="F25" i="10" a="1"/>
  <c r="F25" i="10" s="1"/>
  <c r="G28" i="10" a="1"/>
  <c r="G28" i="10" s="1"/>
  <c r="F12" i="12" a="1"/>
  <c r="F12" i="12" s="1"/>
  <c r="A19" i="13" a="1"/>
  <c r="A19" i="13" s="1"/>
  <c r="C6" i="11" a="1"/>
  <c r="C6" i="11" s="1"/>
  <c r="F7" i="11" a="1"/>
  <c r="F7" i="11" s="1"/>
  <c r="C7" i="11" a="1"/>
  <c r="C7" i="11" s="1"/>
  <c r="H5" i="11" a="1"/>
  <c r="H5" i="11" s="1"/>
  <c r="D8" i="11" a="1"/>
  <c r="D8" i="11" s="1"/>
  <c r="H6" i="11" a="1"/>
  <c r="H6" i="11" s="1"/>
  <c r="H10" i="12" a="1"/>
  <c r="H10" i="12" s="1"/>
  <c r="A27" i="9" a="1"/>
  <c r="A27" i="9" s="1"/>
  <c r="H28" i="9" a="1"/>
  <c r="H28" i="9" s="1"/>
  <c r="H22" i="10" a="1"/>
  <c r="H22" i="10" s="1"/>
  <c r="C27" i="10" a="1"/>
  <c r="C27" i="10" s="1"/>
  <c r="C6" i="7" a="1"/>
  <c r="C6" i="7" s="1"/>
  <c r="D10" i="8" a="1"/>
  <c r="D10" i="8" s="1"/>
  <c r="D27" i="9" a="1"/>
  <c r="D27" i="9" s="1"/>
  <c r="G15" i="10" a="1"/>
  <c r="G15" i="10" s="1"/>
  <c r="C17" i="10" a="1"/>
  <c r="C17" i="10" s="1"/>
  <c r="D21" i="10" a="1"/>
  <c r="D21" i="10" s="1"/>
  <c r="J5" i="11"/>
  <c r="C5" i="11" s="1" a="1"/>
  <c r="C5" i="11" s="1"/>
  <c r="H7" i="11" a="1"/>
  <c r="H7" i="11" s="1"/>
  <c r="D28" i="12" a="1"/>
  <c r="D28" i="12" s="1"/>
  <c r="D19" i="13" a="1"/>
  <c r="D19" i="13" s="1"/>
  <c r="D13" i="12" a="1"/>
  <c r="D13" i="12" s="1"/>
  <c r="H11" i="12" a="1"/>
  <c r="H11" i="12" s="1"/>
  <c r="G10" i="12" a="1"/>
  <c r="G10" i="12" s="1"/>
  <c r="F13" i="12" a="1"/>
  <c r="F13" i="12" s="1"/>
  <c r="F11" i="12" a="1"/>
  <c r="F11" i="12" s="1"/>
  <c r="C10" i="12" a="1"/>
  <c r="C10" i="12" s="1"/>
  <c r="H12" i="12" a="1"/>
  <c r="H12" i="12" s="1"/>
  <c r="G25" i="10" a="1"/>
  <c r="G25" i="10" s="1"/>
  <c r="D26" i="10" a="1"/>
  <c r="D26" i="10" s="1"/>
  <c r="F27" i="10" a="1"/>
  <c r="F27" i="10" s="1"/>
  <c r="D6" i="11" a="1"/>
  <c r="D6" i="11" s="1"/>
  <c r="C8" i="11" a="1"/>
  <c r="C8" i="11" s="1"/>
  <c r="C13" i="12" a="1"/>
  <c r="C13" i="12" s="1"/>
  <c r="H17" i="10" a="1"/>
  <c r="H17" i="10" s="1"/>
  <c r="G18" i="10" a="1"/>
  <c r="G18" i="10" s="1"/>
  <c r="F17" i="10" a="1"/>
  <c r="F17" i="10" s="1"/>
  <c r="D23" i="10" a="1"/>
  <c r="D23" i="10" s="1"/>
  <c r="F6" i="7" a="1"/>
  <c r="F6" i="7" s="1"/>
  <c r="G10" i="8" a="1"/>
  <c r="G10" i="8" s="1"/>
  <c r="G27" i="9" a="1"/>
  <c r="G27" i="9" s="1"/>
  <c r="J15" i="10"/>
  <c r="C15" i="10" s="1" a="1"/>
  <c r="C15" i="10" s="1"/>
  <c r="D20" i="10" a="1"/>
  <c r="D20" i="10" s="1"/>
  <c r="J25" i="10"/>
  <c r="C25" i="10" s="1" a="1"/>
  <c r="C25" i="10" s="1"/>
  <c r="C11" i="12" a="1"/>
  <c r="C11" i="12" s="1"/>
  <c r="F26" i="12" a="1"/>
  <c r="F26" i="12" s="1"/>
  <c r="G20" i="13" a="1"/>
  <c r="G20" i="13" s="1"/>
  <c r="D26" i="9" a="1"/>
  <c r="D26" i="9" s="1"/>
  <c r="F29" i="9" a="1"/>
  <c r="F29" i="9" s="1"/>
  <c r="G17" i="10" a="1"/>
  <c r="G17" i="10" s="1"/>
  <c r="F20" i="10" a="1"/>
  <c r="F20" i="10" s="1"/>
  <c r="H21" i="10" a="1"/>
  <c r="H21" i="10" s="1"/>
  <c r="F23" i="10" a="1"/>
  <c r="F23" i="10" s="1"/>
  <c r="F6" i="11" a="1"/>
  <c r="F6" i="11" s="1"/>
  <c r="D11" i="12" a="1"/>
  <c r="D11" i="12" s="1"/>
  <c r="H26" i="12" a="1"/>
  <c r="H26" i="12" s="1"/>
  <c r="G6" i="7" a="1"/>
  <c r="G6" i="7" s="1"/>
  <c r="H10" i="8" a="1"/>
  <c r="H10" i="8" s="1"/>
  <c r="C12" i="8" a="1"/>
  <c r="C12" i="8" s="1"/>
  <c r="H27" i="9" a="1"/>
  <c r="H27" i="9" s="1"/>
  <c r="C16" i="10" a="1"/>
  <c r="C16" i="10" s="1"/>
  <c r="C26" i="10" a="1"/>
  <c r="C26" i="10" s="1"/>
  <c r="H27" i="10" a="1"/>
  <c r="H27" i="10" s="1"/>
  <c r="F8" i="11" a="1"/>
  <c r="F8" i="11" s="1"/>
  <c r="G13" i="12" a="1"/>
  <c r="G13" i="12" s="1"/>
  <c r="H20" i="13" a="1"/>
  <c r="H20" i="13" s="1"/>
  <c r="G28" i="12" a="1"/>
  <c r="G28" i="12" s="1"/>
  <c r="G29" i="12" a="1"/>
  <c r="G29" i="12" s="1"/>
  <c r="C28" i="12" a="1"/>
  <c r="C28" i="12" s="1"/>
  <c r="G26" i="12" a="1"/>
  <c r="G26" i="12" s="1"/>
  <c r="F29" i="12" a="1"/>
  <c r="F29" i="12" s="1"/>
  <c r="G27" i="12" a="1"/>
  <c r="G27" i="12" s="1"/>
  <c r="D26" i="12" a="1"/>
  <c r="D26" i="12" s="1"/>
  <c r="C29" i="12" a="1"/>
  <c r="C29" i="12" s="1"/>
  <c r="F27" i="12" a="1"/>
  <c r="F27" i="12" s="1"/>
  <c r="D29" i="12" a="1"/>
  <c r="D29" i="12" s="1"/>
  <c r="D16" i="10" a="1"/>
  <c r="D16" i="10" s="1"/>
  <c r="C22" i="10" a="1"/>
  <c r="C22" i="10" s="1"/>
  <c r="H13" i="12" a="1"/>
  <c r="H13" i="12" s="1"/>
  <c r="J26" i="12"/>
  <c r="C26" i="12" s="1" a="1"/>
  <c r="C26" i="12" s="1"/>
  <c r="A21" i="13" a="1"/>
  <c r="A21" i="13" s="1"/>
  <c r="G14" i="14" a="1"/>
  <c r="G14" i="14" s="1"/>
  <c r="F16" i="14" a="1"/>
  <c r="F16" i="14" s="1"/>
  <c r="G7" i="15" a="1"/>
  <c r="G7" i="15" s="1"/>
  <c r="H11" i="15" a="1"/>
  <c r="H11" i="15" s="1"/>
  <c r="G20" i="15" a="1"/>
  <c r="G20" i="15" s="1"/>
  <c r="C22" i="15" a="1"/>
  <c r="C22" i="15" s="1"/>
  <c r="H23" i="15" a="1"/>
  <c r="H23" i="15" s="1"/>
  <c r="F11" i="19" a="1"/>
  <c r="F11" i="19" s="1"/>
  <c r="F6" i="20" a="1"/>
  <c r="F6" i="20" s="1"/>
  <c r="G6" i="10" a="1"/>
  <c r="G6" i="10" s="1"/>
  <c r="C8" i="10" a="1"/>
  <c r="C8" i="10" s="1"/>
  <c r="D31" i="10" a="1"/>
  <c r="D31" i="10" s="1"/>
  <c r="H11" i="11" a="1"/>
  <c r="H11" i="11" s="1"/>
  <c r="C13" i="11" a="1"/>
  <c r="C13" i="11" s="1"/>
  <c r="D18" i="12" a="1"/>
  <c r="D18" i="12" s="1"/>
  <c r="F8" i="13" a="1"/>
  <c r="F8" i="13" s="1"/>
  <c r="J10" i="13"/>
  <c r="C10" i="13" s="1" a="1"/>
  <c r="C10" i="13" s="1"/>
  <c r="F12" i="13" a="1"/>
  <c r="F12" i="13" s="1"/>
  <c r="C6" i="15" a="1"/>
  <c r="C6" i="15" s="1"/>
  <c r="F10" i="15" a="1"/>
  <c r="F10" i="15" s="1"/>
  <c r="F17" i="17" a="1"/>
  <c r="F17" i="17" s="1"/>
  <c r="G6" i="20" a="1"/>
  <c r="G6" i="20" s="1"/>
  <c r="H23" i="12" a="1"/>
  <c r="H23" i="12" s="1"/>
  <c r="J20" i="12"/>
  <c r="C20" i="12" s="1" a="1"/>
  <c r="C20" i="12" s="1"/>
  <c r="F22" i="12" a="1"/>
  <c r="F22" i="12" s="1"/>
  <c r="G5" i="13" a="1"/>
  <c r="G5" i="13" s="1"/>
  <c r="D13" i="14" a="1"/>
  <c r="D13" i="14" s="1"/>
  <c r="H14" i="14" a="1"/>
  <c r="H14" i="14" s="1"/>
  <c r="G16" i="14" a="1"/>
  <c r="G16" i="14" s="1"/>
  <c r="H7" i="15" a="1"/>
  <c r="H7" i="15" s="1"/>
  <c r="C12" i="15" a="1"/>
  <c r="C12" i="15" s="1"/>
  <c r="H13" i="15" a="1"/>
  <c r="H13" i="15" s="1"/>
  <c r="H20" i="15" a="1"/>
  <c r="H20" i="15" s="1"/>
  <c r="D12" i="20" a="1"/>
  <c r="D12" i="20" s="1"/>
  <c r="D13" i="11" a="1"/>
  <c r="D13" i="11" s="1"/>
  <c r="F18" i="12" a="1"/>
  <c r="F18" i="12" s="1"/>
  <c r="C7" i="13" a="1"/>
  <c r="C7" i="13" s="1"/>
  <c r="G8" i="13" a="1"/>
  <c r="G8" i="13" s="1"/>
  <c r="C11" i="13" a="1"/>
  <c r="C11" i="13" s="1"/>
  <c r="G12" i="13" a="1"/>
  <c r="G12" i="13" s="1"/>
  <c r="D6" i="15" a="1"/>
  <c r="D6" i="15" s="1"/>
  <c r="D12" i="15" a="1"/>
  <c r="D12" i="15" s="1"/>
  <c r="G17" i="17" a="1"/>
  <c r="G17" i="17" s="1"/>
  <c r="C12" i="19" a="1"/>
  <c r="C12" i="19" s="1"/>
  <c r="D7" i="20" a="1"/>
  <c r="D7" i="20" s="1"/>
  <c r="F12" i="20" a="1"/>
  <c r="F12" i="20" s="1"/>
  <c r="D10" i="21" a="1"/>
  <c r="D10" i="21" s="1"/>
  <c r="D34" i="10" a="1"/>
  <c r="D34" i="10" s="1"/>
  <c r="J11" i="11"/>
  <c r="H14" i="11" a="1"/>
  <c r="H14" i="11" s="1"/>
  <c r="G15" i="12" a="1"/>
  <c r="G15" i="12" s="1"/>
  <c r="C21" i="12" a="1"/>
  <c r="C21" i="12" s="1"/>
  <c r="G22" i="12" a="1"/>
  <c r="G22" i="12" s="1"/>
  <c r="H5" i="13" a="1"/>
  <c r="H5" i="13" s="1"/>
  <c r="F13" i="14" a="1"/>
  <c r="F13" i="14" s="1"/>
  <c r="A15" i="14" a="1"/>
  <c r="A15" i="14" s="1"/>
  <c r="H16" i="14" a="1"/>
  <c r="H16" i="14" s="1"/>
  <c r="C21" i="15" a="1"/>
  <c r="C21" i="15" s="1"/>
  <c r="F22" i="15" a="1"/>
  <c r="F22" i="15" s="1"/>
  <c r="D21" i="15" a="1"/>
  <c r="D21" i="15" s="1"/>
  <c r="G22" i="15" a="1"/>
  <c r="G22" i="15" s="1"/>
  <c r="D15" i="17" a="1"/>
  <c r="D15" i="17" s="1"/>
  <c r="G10" i="15" a="1"/>
  <c r="G10" i="15" s="1"/>
  <c r="G13" i="15" a="1"/>
  <c r="G13" i="15" s="1"/>
  <c r="F12" i="15" a="1"/>
  <c r="F12" i="15" s="1"/>
  <c r="J20" i="15"/>
  <c r="C20" i="15" s="1" a="1"/>
  <c r="C20" i="15" s="1"/>
  <c r="H22" i="15" a="1"/>
  <c r="H22" i="15" s="1"/>
  <c r="F12" i="19" a="1"/>
  <c r="F12" i="19" s="1"/>
  <c r="D13" i="20" a="1"/>
  <c r="D13" i="20" s="1"/>
  <c r="C12" i="21" a="1"/>
  <c r="C12" i="21" s="1"/>
  <c r="H10" i="21" a="1"/>
  <c r="H10" i="21" s="1"/>
  <c r="F13" i="21" a="1"/>
  <c r="F13" i="21" s="1"/>
  <c r="C11" i="21" a="1"/>
  <c r="C11" i="21" s="1"/>
  <c r="C13" i="21" a="1"/>
  <c r="C13" i="21" s="1"/>
  <c r="F11" i="21" a="1"/>
  <c r="F11" i="21" s="1"/>
  <c r="H12" i="21" a="1"/>
  <c r="H12" i="21" s="1"/>
  <c r="G12" i="21" a="1"/>
  <c r="G12" i="21" s="1"/>
  <c r="J10" i="21"/>
  <c r="C10" i="21" s="1" a="1"/>
  <c r="C10" i="21" s="1"/>
  <c r="D12" i="21" a="1"/>
  <c r="D12" i="21" s="1"/>
  <c r="G10" i="21" a="1"/>
  <c r="G10" i="21" s="1"/>
  <c r="D13" i="21" a="1"/>
  <c r="D13" i="21" s="1"/>
  <c r="G11" i="21" a="1"/>
  <c r="G11" i="21" s="1"/>
  <c r="G13" i="14" a="1"/>
  <c r="G13" i="14" s="1"/>
  <c r="D15" i="14" a="1"/>
  <c r="D15" i="14" s="1"/>
  <c r="C5" i="15" a="1"/>
  <c r="C5" i="15" s="1"/>
  <c r="D8" i="15" a="1"/>
  <c r="D8" i="15" s="1"/>
  <c r="J10" i="15"/>
  <c r="C10" i="15" s="1" a="1"/>
  <c r="C10" i="15" s="1"/>
  <c r="C8" i="20" a="1"/>
  <c r="C8" i="20" s="1"/>
  <c r="C17" i="12" a="1"/>
  <c r="C17" i="12" s="1"/>
  <c r="H15" i="12" a="1"/>
  <c r="H15" i="12" s="1"/>
  <c r="J5" i="13"/>
  <c r="C5" i="13" s="1" a="1"/>
  <c r="C5" i="13" s="1"/>
  <c r="F7" i="13" a="1"/>
  <c r="F7" i="13" s="1"/>
  <c r="F11" i="13" a="1"/>
  <c r="F11" i="13" s="1"/>
  <c r="F8" i="15" a="1"/>
  <c r="F8" i="15" s="1"/>
  <c r="G12" i="15" a="1"/>
  <c r="G12" i="15" s="1"/>
  <c r="G15" i="17" a="1"/>
  <c r="G15" i="17" s="1"/>
  <c r="G18" i="17" a="1"/>
  <c r="G18" i="17" s="1"/>
  <c r="C17" i="17" a="1"/>
  <c r="C17" i="17" s="1"/>
  <c r="C18" i="17" a="1"/>
  <c r="C18" i="17" s="1"/>
  <c r="F16" i="17" a="1"/>
  <c r="F16" i="17" s="1"/>
  <c r="H17" i="17" a="1"/>
  <c r="H17" i="17" s="1"/>
  <c r="D16" i="17" a="1"/>
  <c r="D16" i="17" s="1"/>
  <c r="H18" i="17" a="1"/>
  <c r="H18" i="17" s="1"/>
  <c r="D17" i="17" a="1"/>
  <c r="D17" i="17" s="1"/>
  <c r="H15" i="17" a="1"/>
  <c r="H15" i="17" s="1"/>
  <c r="D18" i="17" a="1"/>
  <c r="D18" i="17" s="1"/>
  <c r="C13" i="19" a="1"/>
  <c r="C13" i="19" s="1"/>
  <c r="D8" i="20" a="1"/>
  <c r="D8" i="20" s="1"/>
  <c r="D11" i="21" a="1"/>
  <c r="D11" i="21" s="1"/>
  <c r="G34" i="10" a="1"/>
  <c r="G34" i="10" s="1"/>
  <c r="D12" i="11" a="1"/>
  <c r="D12" i="11" s="1"/>
  <c r="J15" i="12"/>
  <c r="C15" i="12" s="1" a="1"/>
  <c r="C15" i="12" s="1"/>
  <c r="F17" i="12" a="1"/>
  <c r="F17" i="12" s="1"/>
  <c r="F21" i="12" a="1"/>
  <c r="F21" i="12" s="1"/>
  <c r="C13" i="13" a="1"/>
  <c r="C13" i="13" s="1"/>
  <c r="H13" i="14" a="1"/>
  <c r="H13" i="14" s="1"/>
  <c r="D5" i="15" a="1"/>
  <c r="D5" i="15" s="1"/>
  <c r="H6" i="15" a="1"/>
  <c r="H6" i="15" s="1"/>
  <c r="C11" i="15" a="1"/>
  <c r="C11" i="15" s="1"/>
  <c r="C23" i="15" a="1"/>
  <c r="C23" i="15" s="1"/>
  <c r="J15" i="17"/>
  <c r="C15" i="17" s="1" a="1"/>
  <c r="C15" i="17" s="1"/>
  <c r="F18" i="17" a="1"/>
  <c r="F18" i="17" s="1"/>
  <c r="G8" i="20" a="1"/>
  <c r="G8" i="20" s="1"/>
  <c r="H11" i="21" a="1"/>
  <c r="H11" i="21" s="1"/>
  <c r="C11" i="11" a="1"/>
  <c r="C11" i="11" s="1"/>
  <c r="C23" i="12" a="1"/>
  <c r="C23" i="12" s="1"/>
  <c r="C6" i="13" a="1"/>
  <c r="C6" i="13" s="1"/>
  <c r="G7" i="13" a="1"/>
  <c r="G7" i="13" s="1"/>
  <c r="D10" i="13" a="1"/>
  <c r="D10" i="13" s="1"/>
  <c r="G11" i="13" a="1"/>
  <c r="G11" i="13" s="1"/>
  <c r="D13" i="13" a="1"/>
  <c r="D13" i="13" s="1"/>
  <c r="F5" i="15" a="1"/>
  <c r="F5" i="15" s="1"/>
  <c r="G8" i="15" a="1"/>
  <c r="G8" i="15" s="1"/>
  <c r="H12" i="15" a="1"/>
  <c r="H12" i="15" s="1"/>
  <c r="F21" i="15" a="1"/>
  <c r="F21" i="15" s="1"/>
  <c r="A16" i="14" a="1"/>
  <c r="A16" i="14" s="1"/>
  <c r="F14" i="14" a="1"/>
  <c r="F14" i="14" s="1"/>
  <c r="A13" i="14" a="1"/>
  <c r="A13" i="14" s="1"/>
  <c r="G15" i="14" a="1"/>
  <c r="G15" i="14" s="1"/>
  <c r="D11" i="15" a="1"/>
  <c r="D11" i="15" s="1"/>
  <c r="D23" i="15" a="1"/>
  <c r="D23" i="15" s="1"/>
  <c r="C16" i="17" a="1"/>
  <c r="C16" i="17" s="1"/>
  <c r="F12" i="21" a="1"/>
  <c r="F12" i="21" s="1"/>
  <c r="F13" i="24" a="1"/>
  <c r="F13" i="24" s="1"/>
  <c r="D11" i="24" a="1"/>
  <c r="D11" i="24" s="1"/>
  <c r="F12" i="24" a="1"/>
  <c r="F12" i="24" s="1"/>
  <c r="J10" i="24"/>
  <c r="C10" i="24" s="1" a="1"/>
  <c r="C10" i="24" s="1"/>
  <c r="G13" i="24" a="1"/>
  <c r="G13" i="24" s="1"/>
  <c r="C12" i="24" a="1"/>
  <c r="C12" i="24" s="1"/>
  <c r="H10" i="24" a="1"/>
  <c r="H10" i="24" s="1"/>
  <c r="D13" i="24" a="1"/>
  <c r="D13" i="24" s="1"/>
  <c r="H11" i="24" a="1"/>
  <c r="H11" i="24" s="1"/>
  <c r="F10" i="24" a="1"/>
  <c r="F10" i="24" s="1"/>
  <c r="C13" i="24" a="1"/>
  <c r="C13" i="24" s="1"/>
  <c r="G11" i="24" a="1"/>
  <c r="G11" i="24" s="1"/>
  <c r="D10" i="24" a="1"/>
  <c r="D10" i="24" s="1"/>
  <c r="F11" i="24" a="1"/>
  <c r="F11" i="24" s="1"/>
  <c r="H12" i="24" a="1"/>
  <c r="H12" i="24" s="1"/>
  <c r="G12" i="24" a="1"/>
  <c r="G12" i="24" s="1"/>
  <c r="D12" i="24" a="1"/>
  <c r="D12" i="24" s="1"/>
  <c r="C11" i="24" a="1"/>
  <c r="C11" i="24" s="1"/>
  <c r="G10" i="24" a="1"/>
  <c r="G10" i="24" s="1"/>
  <c r="D11" i="20" a="1"/>
  <c r="D11" i="20" s="1"/>
  <c r="G12" i="20" a="1"/>
  <c r="G12" i="20" s="1"/>
  <c r="G13" i="20" a="1"/>
  <c r="G13" i="20" s="1"/>
  <c r="F10" i="20" a="1"/>
  <c r="F10" i="20" s="1"/>
  <c r="F13" i="20" a="1"/>
  <c r="F13" i="20" s="1"/>
  <c r="H11" i="20" a="1"/>
  <c r="H11" i="20" s="1"/>
  <c r="C13" i="20" a="1"/>
  <c r="C13" i="20" s="1"/>
  <c r="F11" i="20" a="1"/>
  <c r="F11" i="20" s="1"/>
  <c r="C11" i="20" a="1"/>
  <c r="C11" i="20" s="1"/>
  <c r="H12" i="20" a="1"/>
  <c r="H12" i="20" s="1"/>
  <c r="J10" i="20"/>
  <c r="C10" i="20" s="1" a="1"/>
  <c r="C10" i="20" s="1"/>
  <c r="H13" i="20" a="1"/>
  <c r="H13" i="20" s="1"/>
  <c r="C12" i="20" a="1"/>
  <c r="C12" i="20" s="1"/>
  <c r="G10" i="20" a="1"/>
  <c r="G10" i="20" s="1"/>
  <c r="G10" i="19" a="1"/>
  <c r="G10" i="19" s="1"/>
  <c r="D13" i="19" a="1"/>
  <c r="D13" i="19" s="1"/>
  <c r="H11" i="19" a="1"/>
  <c r="H11" i="19" s="1"/>
  <c r="C11" i="19" a="1"/>
  <c r="C11" i="19" s="1"/>
  <c r="G12" i="19" a="1"/>
  <c r="G12" i="19" s="1"/>
  <c r="J10" i="19"/>
  <c r="C10" i="19" s="1" a="1"/>
  <c r="C10" i="19" s="1"/>
  <c r="D12" i="19" a="1"/>
  <c r="D12" i="19" s="1"/>
  <c r="H10" i="19" a="1"/>
  <c r="H10" i="19" s="1"/>
  <c r="H13" i="19" a="1"/>
  <c r="H13" i="19" s="1"/>
  <c r="G13" i="19" a="1"/>
  <c r="G13" i="19" s="1"/>
  <c r="D10" i="19" a="1"/>
  <c r="D10" i="19" s="1"/>
  <c r="F13" i="19" a="1"/>
  <c r="F13" i="19" s="1"/>
  <c r="G11" i="19" a="1"/>
  <c r="G11" i="19" s="1"/>
  <c r="D11" i="19" a="1"/>
  <c r="D11" i="19" s="1"/>
  <c r="H12" i="19" a="1"/>
  <c r="H12" i="19" s="1"/>
  <c r="G13" i="21" a="1"/>
  <c r="G13" i="21" s="1"/>
  <c r="C8" i="15" a="1"/>
  <c r="C8" i="15" s="1"/>
  <c r="G6" i="15" a="1"/>
  <c r="G6" i="15" s="1"/>
  <c r="G5" i="15" a="1"/>
  <c r="G5" i="15" s="1"/>
  <c r="F7" i="15" a="1"/>
  <c r="F7" i="15" s="1"/>
  <c r="G11" i="15" a="1"/>
  <c r="G11" i="15" s="1"/>
  <c r="D13" i="15" a="1"/>
  <c r="D13" i="15" s="1"/>
  <c r="F7" i="20" a="1"/>
  <c r="F7" i="20" s="1"/>
  <c r="H8" i="20" a="1"/>
  <c r="H8" i="20" s="1"/>
  <c r="J5" i="20"/>
  <c r="C5" i="20" s="1" a="1"/>
  <c r="C5" i="20" s="1"/>
  <c r="H7" i="20" a="1"/>
  <c r="H7" i="20" s="1"/>
  <c r="C6" i="20" a="1"/>
  <c r="C6" i="20" s="1"/>
  <c r="G7" i="20" a="1"/>
  <c r="G7" i="20" s="1"/>
  <c r="H5" i="20" a="1"/>
  <c r="H5" i="20" s="1"/>
  <c r="C7" i="20" a="1"/>
  <c r="C7" i="20" s="1"/>
  <c r="F8" i="20" a="1"/>
  <c r="F8" i="20" s="1"/>
  <c r="H6" i="20" a="1"/>
  <c r="H6" i="20" s="1"/>
  <c r="F5" i="20" a="1"/>
  <c r="F5" i="20" s="1"/>
  <c r="D6" i="20" a="1"/>
  <c r="D6" i="20" s="1"/>
  <c r="H13" i="21" a="1"/>
  <c r="H13" i="21" s="1"/>
  <c r="F25" i="16" a="1"/>
  <c r="F25" i="16" s="1"/>
  <c r="C5" i="17" a="1"/>
  <c r="C5" i="17" s="1"/>
  <c r="H7" i="17" a="1"/>
  <c r="H7" i="17" s="1"/>
  <c r="G11" i="17" a="1"/>
  <c r="G11" i="17" s="1"/>
  <c r="C16" i="18" a="1"/>
  <c r="C16" i="18" s="1"/>
  <c r="H18" i="19" a="1"/>
  <c r="H18" i="19" s="1"/>
  <c r="D16" i="20" a="1"/>
  <c r="D16" i="20" s="1"/>
  <c r="H23" i="22" a="1"/>
  <c r="H23" i="22" s="1"/>
  <c r="D6" i="23" a="1"/>
  <c r="D6" i="23" s="1"/>
  <c r="F8" i="23" a="1"/>
  <c r="F8" i="23" s="1"/>
  <c r="F7" i="26" a="1"/>
  <c r="F7" i="26" s="1"/>
  <c r="C6" i="14" a="1"/>
  <c r="C6" i="14" s="1"/>
  <c r="F17" i="15" a="1"/>
  <c r="F17" i="15" s="1"/>
  <c r="D5" i="16" a="1"/>
  <c r="D5" i="16" s="1"/>
  <c r="H11" i="16" a="1"/>
  <c r="H11" i="16" s="1"/>
  <c r="D13" i="16" a="1"/>
  <c r="D13" i="16" s="1"/>
  <c r="J23" i="16"/>
  <c r="A23" i="16" s="1" a="1"/>
  <c r="A23" i="16" s="1"/>
  <c r="F6" i="17" a="1"/>
  <c r="F6" i="17" s="1"/>
  <c r="F10" i="17" a="1"/>
  <c r="F10" i="17" s="1"/>
  <c r="D13" i="17" a="1"/>
  <c r="D13" i="17" s="1"/>
  <c r="G10" i="18" a="1"/>
  <c r="G10" i="18" s="1"/>
  <c r="G15" i="19" a="1"/>
  <c r="G15" i="19" s="1"/>
  <c r="C18" i="20" a="1"/>
  <c r="C18" i="20" s="1"/>
  <c r="G7" i="26" a="1"/>
  <c r="G7" i="26" s="1"/>
  <c r="G26" i="22" a="1"/>
  <c r="G26" i="22" s="1"/>
  <c r="A25" i="22" a="1"/>
  <c r="A25" i="22" s="1"/>
  <c r="G23" i="22" a="1"/>
  <c r="G23" i="22" s="1"/>
  <c r="A26" i="22" a="1"/>
  <c r="A26" i="22" s="1"/>
  <c r="F24" i="22" a="1"/>
  <c r="F24" i="22" s="1"/>
  <c r="G25" i="22" a="1"/>
  <c r="G25" i="22" s="1"/>
  <c r="A24" i="22" a="1"/>
  <c r="A24" i="22" s="1"/>
  <c r="F26" i="22" a="1"/>
  <c r="F26" i="22" s="1"/>
  <c r="F6" i="23" a="1"/>
  <c r="F6" i="23" s="1"/>
  <c r="G18" i="19" a="1"/>
  <c r="G18" i="19" s="1"/>
  <c r="C17" i="19" a="1"/>
  <c r="C17" i="19" s="1"/>
  <c r="H15" i="19" a="1"/>
  <c r="H15" i="19" s="1"/>
  <c r="F17" i="19" a="1"/>
  <c r="F17" i="19" s="1"/>
  <c r="C15" i="20" a="1"/>
  <c r="C15" i="20" s="1"/>
  <c r="D18" i="20" a="1"/>
  <c r="D18" i="20" s="1"/>
  <c r="J23" i="22"/>
  <c r="A23" i="22" s="1" a="1"/>
  <c r="A23" i="22" s="1"/>
  <c r="H8" i="23" a="1"/>
  <c r="H8" i="23" s="1"/>
  <c r="C8" i="26" a="1"/>
  <c r="C8" i="26" s="1"/>
  <c r="C11" i="18" a="1"/>
  <c r="C11" i="18" s="1"/>
  <c r="F12" i="18" a="1"/>
  <c r="F12" i="18" s="1"/>
  <c r="D15" i="18" a="1"/>
  <c r="D15" i="18" s="1"/>
  <c r="G17" i="19" a="1"/>
  <c r="G17" i="19" s="1"/>
  <c r="F15" i="20" a="1"/>
  <c r="F15" i="20" s="1"/>
  <c r="F18" i="20" a="1"/>
  <c r="F18" i="20" s="1"/>
  <c r="G8" i="26" a="1"/>
  <c r="G8" i="26" s="1"/>
  <c r="D12" i="16" a="1"/>
  <c r="D12" i="16" s="1"/>
  <c r="F24" i="16" a="1"/>
  <c r="F24" i="16" s="1"/>
  <c r="A26" i="16" a="1"/>
  <c r="A26" i="16" s="1"/>
  <c r="G5" i="17" a="1"/>
  <c r="G5" i="17" s="1"/>
  <c r="J10" i="18"/>
  <c r="C10" i="18" s="1" a="1"/>
  <c r="C10" i="18" s="1"/>
  <c r="G12" i="18" a="1"/>
  <c r="G12" i="18" s="1"/>
  <c r="H16" i="18" a="1"/>
  <c r="H16" i="18" s="1"/>
  <c r="F18" i="18" a="1"/>
  <c r="F18" i="18" s="1"/>
  <c r="C16" i="19" a="1"/>
  <c r="C16" i="19" s="1"/>
  <c r="C7" i="23" a="1"/>
  <c r="C7" i="23" s="1"/>
  <c r="D12" i="17" a="1"/>
  <c r="D12" i="17" s="1"/>
  <c r="H13" i="17" a="1"/>
  <c r="H13" i="17" s="1"/>
  <c r="F15" i="18" a="1"/>
  <c r="F15" i="18" s="1"/>
  <c r="H17" i="19" a="1"/>
  <c r="H17" i="19" s="1"/>
  <c r="G15" i="20" a="1"/>
  <c r="G15" i="20" s="1"/>
  <c r="C17" i="20" a="1"/>
  <c r="C17" i="20" s="1"/>
  <c r="G18" i="20" a="1"/>
  <c r="G18" i="20" s="1"/>
  <c r="G24" i="22" a="1"/>
  <c r="G24" i="22" s="1"/>
  <c r="D7" i="23" a="1"/>
  <c r="D7" i="23" s="1"/>
  <c r="H7" i="26" a="1"/>
  <c r="H7" i="26" s="1"/>
  <c r="C6" i="26" a="1"/>
  <c r="C6" i="26" s="1"/>
  <c r="H8" i="26" a="1"/>
  <c r="H8" i="26" s="1"/>
  <c r="C7" i="26" a="1"/>
  <c r="C7" i="26" s="1"/>
  <c r="G5" i="26" a="1"/>
  <c r="G5" i="26" s="1"/>
  <c r="F5" i="26" a="1"/>
  <c r="F5" i="26" s="1"/>
  <c r="F8" i="26" a="1"/>
  <c r="F8" i="26" s="1"/>
  <c r="H6" i="26" a="1"/>
  <c r="H6" i="26" s="1"/>
  <c r="D5" i="26" a="1"/>
  <c r="D5" i="26" s="1"/>
  <c r="D7" i="16" a="1"/>
  <c r="D7" i="16" s="1"/>
  <c r="C11" i="16" a="1"/>
  <c r="C11" i="16" s="1"/>
  <c r="G8" i="17" a="1"/>
  <c r="G8" i="17" s="1"/>
  <c r="F12" i="17" a="1"/>
  <c r="F12" i="17" s="1"/>
  <c r="D11" i="18" a="1"/>
  <c r="D11" i="18" s="1"/>
  <c r="G15" i="18" a="1"/>
  <c r="G15" i="18" s="1"/>
  <c r="C17" i="18" a="1"/>
  <c r="C17" i="18" s="1"/>
  <c r="H15" i="20" a="1"/>
  <c r="H15" i="20" s="1"/>
  <c r="D17" i="20" a="1"/>
  <c r="D17" i="20" s="1"/>
  <c r="G7" i="23" a="1"/>
  <c r="G7" i="23" s="1"/>
  <c r="J5" i="26"/>
  <c r="C5" i="26" s="1" a="1"/>
  <c r="C5" i="26" s="1"/>
  <c r="D7" i="17" a="1"/>
  <c r="D7" i="17" s="1"/>
  <c r="C11" i="17" a="1"/>
  <c r="C11" i="17" s="1"/>
  <c r="F16" i="19" a="1"/>
  <c r="F16" i="19" s="1"/>
  <c r="C18" i="19" a="1"/>
  <c r="C18" i="19" s="1"/>
  <c r="D25" i="22" a="1"/>
  <c r="D25" i="22" s="1"/>
  <c r="D15" i="20" a="1"/>
  <c r="D15" i="20" s="1"/>
  <c r="F16" i="20" a="1"/>
  <c r="F16" i="20" s="1"/>
  <c r="F17" i="20" a="1"/>
  <c r="F17" i="20" s="1"/>
  <c r="H5" i="23" a="1"/>
  <c r="H5" i="23" s="1"/>
  <c r="D6" i="26" a="1"/>
  <c r="D6" i="26" s="1"/>
  <c r="C6" i="23" a="1"/>
  <c r="C6" i="23" s="1"/>
  <c r="F7" i="23" a="1"/>
  <c r="F7" i="23" s="1"/>
  <c r="G8" i="23" a="1"/>
  <c r="G8" i="23" s="1"/>
  <c r="G5" i="23" a="1"/>
  <c r="G5" i="23" s="1"/>
  <c r="C8" i="23" a="1"/>
  <c r="C8" i="23" s="1"/>
  <c r="G6" i="23" a="1"/>
  <c r="G6" i="23" s="1"/>
  <c r="D5" i="23" a="1"/>
  <c r="D5" i="23" s="1"/>
  <c r="F6" i="26" a="1"/>
  <c r="F6" i="26" s="1"/>
  <c r="H17" i="18" a="1"/>
  <c r="H17" i="18" s="1"/>
  <c r="C15" i="18" a="1"/>
  <c r="C15" i="18" s="1"/>
  <c r="D16" i="18" a="1"/>
  <c r="D16" i="18" s="1"/>
  <c r="F17" i="18" a="1"/>
  <c r="F17" i="18" s="1"/>
  <c r="D15" i="19" a="1"/>
  <c r="D15" i="19" s="1"/>
  <c r="G17" i="20" a="1"/>
  <c r="G17" i="20" s="1"/>
  <c r="D23" i="22" a="1"/>
  <c r="D23" i="22" s="1"/>
  <c r="J5" i="23"/>
  <c r="C5" i="23" s="1" a="1"/>
  <c r="C5" i="23" s="1"/>
  <c r="G6" i="26" a="1"/>
  <c r="G6" i="26" s="1"/>
  <c r="G18" i="15" a="1"/>
  <c r="G18" i="15" s="1"/>
  <c r="D6" i="16" a="1"/>
  <c r="D6" i="16" s="1"/>
  <c r="D10" i="16" a="1"/>
  <c r="D10" i="16" s="1"/>
  <c r="H23" i="16" a="1"/>
  <c r="H23" i="16" s="1"/>
  <c r="D25" i="16" a="1"/>
  <c r="D25" i="16" s="1"/>
  <c r="G7" i="17" a="1"/>
  <c r="G7" i="17" s="1"/>
  <c r="F11" i="17" a="1"/>
  <c r="F11" i="17" s="1"/>
  <c r="J15" i="18"/>
  <c r="H16" i="19" a="1"/>
  <c r="H16" i="19" s="1"/>
  <c r="F18" i="19" a="1"/>
  <c r="F18" i="19" s="1"/>
  <c r="C16" i="20" a="1"/>
  <c r="C16" i="20" s="1"/>
  <c r="F23" i="22" a="1"/>
  <c r="F23" i="22" s="1"/>
  <c r="H25" i="22" a="1"/>
  <c r="H25" i="22" s="1"/>
  <c r="C5" i="16" a="1"/>
  <c r="C5" i="16" s="1"/>
  <c r="G11" i="16" a="1"/>
  <c r="G11" i="16" s="1"/>
  <c r="D10" i="17" a="1"/>
  <c r="D10" i="17" s="1"/>
  <c r="F10" i="18" a="1"/>
  <c r="F10" i="18" s="1"/>
  <c r="H11" i="18" a="1"/>
  <c r="H11" i="18" s="1"/>
  <c r="F13" i="18" a="1"/>
  <c r="F13" i="18" s="1"/>
  <c r="G17" i="18" a="1"/>
  <c r="G17" i="18" s="1"/>
  <c r="F15" i="19" a="1"/>
  <c r="F15" i="19" s="1"/>
  <c r="H17" i="20" a="1"/>
  <c r="H17" i="20" s="1"/>
  <c r="D8" i="23" a="1"/>
  <c r="D8" i="23" s="1"/>
  <c r="D7" i="26" a="1"/>
  <c r="D7" i="26" s="1"/>
  <c r="C13" i="26" a="1"/>
  <c r="C13" i="26" s="1"/>
  <c r="G11" i="26" a="1"/>
  <c r="G11" i="26" s="1"/>
  <c r="H12" i="26" a="1"/>
  <c r="H12" i="26" s="1"/>
  <c r="F12" i="26" a="1"/>
  <c r="F12" i="26" s="1"/>
  <c r="F18" i="26" a="1"/>
  <c r="F18" i="26" s="1"/>
  <c r="G22" i="26" a="1"/>
  <c r="G22" i="26" s="1"/>
  <c r="H41" i="26" a="1"/>
  <c r="H41" i="26" s="1"/>
  <c r="G51" i="26" a="1"/>
  <c r="G51" i="26" s="1"/>
  <c r="D53" i="26" a="1"/>
  <c r="D53" i="26" s="1"/>
  <c r="G16" i="28" a="1"/>
  <c r="G16" i="28" s="1"/>
  <c r="G18" i="28" a="1"/>
  <c r="G18" i="28" s="1"/>
  <c r="F6" i="29" a="1"/>
  <c r="F6" i="29" s="1"/>
  <c r="D7" i="21" a="1"/>
  <c r="D7" i="21" s="1"/>
  <c r="H17" i="21" a="1"/>
  <c r="H17" i="21" s="1"/>
  <c r="G6" i="22" a="1"/>
  <c r="G6" i="22" s="1"/>
  <c r="C8" i="22" a="1"/>
  <c r="C8" i="22" s="1"/>
  <c r="G10" i="22" a="1"/>
  <c r="G10" i="22" s="1"/>
  <c r="G18" i="22" a="1"/>
  <c r="G18" i="22" s="1"/>
  <c r="H11" i="23" a="1"/>
  <c r="H11" i="23" s="1"/>
  <c r="D13" i="23" a="1"/>
  <c r="D13" i="23" s="1"/>
  <c r="H15" i="23" a="1"/>
  <c r="H15" i="23" s="1"/>
  <c r="C17" i="23" a="1"/>
  <c r="C17" i="23" s="1"/>
  <c r="J10" i="26"/>
  <c r="C10" i="26" s="1" a="1"/>
  <c r="C10" i="26" s="1"/>
  <c r="D15" i="26" a="1"/>
  <c r="D15" i="26" s="1"/>
  <c r="H16" i="26" a="1"/>
  <c r="H16" i="26" s="1"/>
  <c r="C21" i="26" a="1"/>
  <c r="C21" i="26" s="1"/>
  <c r="F25" i="26" a="1"/>
  <c r="F25" i="26" s="1"/>
  <c r="H26" i="26" a="1"/>
  <c r="H26" i="26" s="1"/>
  <c r="F28" i="26" a="1"/>
  <c r="F28" i="26" s="1"/>
  <c r="F35" i="26" a="1"/>
  <c r="F35" i="26" s="1"/>
  <c r="F5" i="27" a="1"/>
  <c r="F5" i="27" s="1"/>
  <c r="H11" i="28" a="1"/>
  <c r="H11" i="28" s="1"/>
  <c r="G13" i="28" a="1"/>
  <c r="G13" i="28" s="1"/>
  <c r="H8" i="29" a="1"/>
  <c r="H8" i="29" s="1"/>
  <c r="C18" i="29" a="1"/>
  <c r="C18" i="29" s="1"/>
  <c r="D17" i="22" a="1"/>
  <c r="D17" i="22" s="1"/>
  <c r="G10" i="23" a="1"/>
  <c r="G10" i="23" s="1"/>
  <c r="G18" i="23" a="1"/>
  <c r="G18" i="23" s="1"/>
  <c r="C6" i="24" a="1"/>
  <c r="C6" i="24" s="1"/>
  <c r="G7" i="24" a="1"/>
  <c r="G7" i="24" s="1"/>
  <c r="G12" i="26" a="1"/>
  <c r="G12" i="26" s="1"/>
  <c r="F15" i="26" a="1"/>
  <c r="F15" i="26" s="1"/>
  <c r="G18" i="26" a="1"/>
  <c r="G18" i="26" s="1"/>
  <c r="H22" i="26" a="1"/>
  <c r="H22" i="26" s="1"/>
  <c r="H51" i="26" a="1"/>
  <c r="H51" i="26" s="1"/>
  <c r="F53" i="26" a="1"/>
  <c r="F53" i="26" s="1"/>
  <c r="H18" i="28" a="1"/>
  <c r="H18" i="28" s="1"/>
  <c r="D15" i="29" a="1"/>
  <c r="D15" i="29" s="1"/>
  <c r="D17" i="23" a="1"/>
  <c r="D17" i="23" s="1"/>
  <c r="C11" i="26" a="1"/>
  <c r="C11" i="26" s="1"/>
  <c r="C17" i="26" a="1"/>
  <c r="C17" i="26" s="1"/>
  <c r="D21" i="26" a="1"/>
  <c r="D21" i="26" s="1"/>
  <c r="G35" i="26" a="1"/>
  <c r="G35" i="26" s="1"/>
  <c r="H42" i="26" a="1"/>
  <c r="H42" i="26" s="1"/>
  <c r="H5" i="27" a="1"/>
  <c r="H5" i="27" s="1"/>
  <c r="H13" i="28" a="1"/>
  <c r="H13" i="28" s="1"/>
  <c r="C17" i="28" a="1"/>
  <c r="C17" i="28" s="1"/>
  <c r="F51" i="26" a="1"/>
  <c r="F51" i="26" s="1"/>
  <c r="C54" i="26" a="1"/>
  <c r="C54" i="26" s="1"/>
  <c r="G52" i="26" a="1"/>
  <c r="G52" i="26" s="1"/>
  <c r="H53" i="26" a="1"/>
  <c r="H53" i="26" s="1"/>
  <c r="C52" i="26" a="1"/>
  <c r="C52" i="26" s="1"/>
  <c r="F10" i="28" a="1"/>
  <c r="F10" i="28" s="1"/>
  <c r="C12" i="28" a="1"/>
  <c r="C12" i="28" s="1"/>
  <c r="D7" i="29" a="1"/>
  <c r="D7" i="29" s="1"/>
  <c r="F15" i="29" a="1"/>
  <c r="F15" i="29" s="1"/>
  <c r="D12" i="22" a="1"/>
  <c r="D12" i="22" s="1"/>
  <c r="C16" i="22" a="1"/>
  <c r="C16" i="22" s="1"/>
  <c r="G13" i="23" a="1"/>
  <c r="G13" i="23" s="1"/>
  <c r="F17" i="23" a="1"/>
  <c r="F17" i="23" s="1"/>
  <c r="D11" i="26" a="1"/>
  <c r="D11" i="26" s="1"/>
  <c r="H15" i="26" a="1"/>
  <c r="H15" i="26" s="1"/>
  <c r="F21" i="26" a="1"/>
  <c r="F21" i="26" s="1"/>
  <c r="C23" i="26" a="1"/>
  <c r="C23" i="26" s="1"/>
  <c r="J51" i="26"/>
  <c r="C51" i="26" s="1" a="1"/>
  <c r="C51" i="26" s="1"/>
  <c r="F8" i="27" a="1"/>
  <c r="F8" i="27" s="1"/>
  <c r="G5" i="27" a="1"/>
  <c r="G5" i="27" s="1"/>
  <c r="C8" i="27" a="1"/>
  <c r="C8" i="27" s="1"/>
  <c r="G6" i="27" a="1"/>
  <c r="G6" i="27" s="1"/>
  <c r="H7" i="27" a="1"/>
  <c r="H7" i="27" s="1"/>
  <c r="D17" i="28" a="1"/>
  <c r="D17" i="28" s="1"/>
  <c r="D12" i="23" a="1"/>
  <c r="D12" i="23" s="1"/>
  <c r="C16" i="23" a="1"/>
  <c r="C16" i="23" s="1"/>
  <c r="F6" i="24" a="1"/>
  <c r="F6" i="24" s="1"/>
  <c r="F11" i="26" a="1"/>
  <c r="F11" i="26" s="1"/>
  <c r="F27" i="26" a="1"/>
  <c r="F27" i="26" s="1"/>
  <c r="G28" i="26" a="1"/>
  <c r="G28" i="26" s="1"/>
  <c r="H43" i="26" a="1"/>
  <c r="H43" i="26" s="1"/>
  <c r="J5" i="27"/>
  <c r="C5" i="27" s="1" a="1"/>
  <c r="C5" i="27" s="1"/>
  <c r="G7" i="27" a="1"/>
  <c r="G7" i="27" s="1"/>
  <c r="G10" i="28" a="1"/>
  <c r="G10" i="28" s="1"/>
  <c r="D12" i="28" a="1"/>
  <c r="D12" i="28" s="1"/>
  <c r="F15" i="28" a="1"/>
  <c r="F15" i="28" s="1"/>
  <c r="F5" i="29" a="1"/>
  <c r="F5" i="29" s="1"/>
  <c r="F7" i="29" a="1"/>
  <c r="F7" i="29" s="1"/>
  <c r="G15" i="26" a="1"/>
  <c r="G15" i="26" s="1"/>
  <c r="C18" i="26" a="1"/>
  <c r="C18" i="26" s="1"/>
  <c r="G16" i="26" a="1"/>
  <c r="G16" i="26" s="1"/>
  <c r="F17" i="26" a="1"/>
  <c r="F17" i="26" s="1"/>
  <c r="G21" i="26" a="1"/>
  <c r="G21" i="26" s="1"/>
  <c r="D23" i="26" a="1"/>
  <c r="D23" i="26" s="1"/>
  <c r="D35" i="26" a="1"/>
  <c r="D35" i="26" s="1"/>
  <c r="D36" i="26" a="1"/>
  <c r="D36" i="26" s="1"/>
  <c r="F37" i="26" a="1"/>
  <c r="F37" i="26" s="1"/>
  <c r="D54" i="26" a="1"/>
  <c r="D54" i="26" s="1"/>
  <c r="F17" i="28" a="1"/>
  <c r="F17" i="28" s="1"/>
  <c r="G5" i="29" a="1"/>
  <c r="G5" i="29" s="1"/>
  <c r="D7" i="22" a="1"/>
  <c r="D7" i="22" s="1"/>
  <c r="C11" i="22" a="1"/>
  <c r="C11" i="22" s="1"/>
  <c r="C15" i="22" a="1"/>
  <c r="C15" i="22" s="1"/>
  <c r="H17" i="22" a="1"/>
  <c r="H17" i="22" s="1"/>
  <c r="F12" i="23" a="1"/>
  <c r="F12" i="23" s="1"/>
  <c r="D16" i="23" a="1"/>
  <c r="D16" i="23" s="1"/>
  <c r="D5" i="24" a="1"/>
  <c r="D5" i="24" s="1"/>
  <c r="G6" i="24" a="1"/>
  <c r="G6" i="24" s="1"/>
  <c r="J15" i="26"/>
  <c r="C15" i="26" s="1" a="1"/>
  <c r="C15" i="26" s="1"/>
  <c r="D20" i="26" a="1"/>
  <c r="D20" i="26" s="1"/>
  <c r="F23" i="26" a="1"/>
  <c r="F23" i="26" s="1"/>
  <c r="F40" i="26" a="1"/>
  <c r="F40" i="26" s="1"/>
  <c r="D52" i="26" a="1"/>
  <c r="D52" i="26" s="1"/>
  <c r="H10" i="28" a="1"/>
  <c r="H10" i="28" s="1"/>
  <c r="D16" i="29" a="1"/>
  <c r="D16" i="29" s="1"/>
  <c r="C16" i="29" a="1"/>
  <c r="C16" i="29" s="1"/>
  <c r="J15" i="29"/>
  <c r="C15" i="29" s="1" a="1"/>
  <c r="C15" i="29" s="1"/>
  <c r="D18" i="29" a="1"/>
  <c r="D18" i="29" s="1"/>
  <c r="H15" i="29" a="1"/>
  <c r="H15" i="29" s="1"/>
  <c r="G8" i="29" a="1"/>
  <c r="G8" i="29" s="1"/>
  <c r="C7" i="29" a="1"/>
  <c r="C7" i="29" s="1"/>
  <c r="H5" i="29" a="1"/>
  <c r="H5" i="29" s="1"/>
  <c r="D8" i="29" a="1"/>
  <c r="D8" i="29" s="1"/>
  <c r="H6" i="29" a="1"/>
  <c r="H6" i="29" s="1"/>
  <c r="C8" i="29" a="1"/>
  <c r="C8" i="29" s="1"/>
  <c r="G6" i="29" a="1"/>
  <c r="G6" i="29" s="1"/>
  <c r="D5" i="29" a="1"/>
  <c r="D5" i="29" s="1"/>
  <c r="C13" i="28" a="1"/>
  <c r="C13" i="28" s="1"/>
  <c r="G11" i="28" a="1"/>
  <c r="G11" i="28" s="1"/>
  <c r="D10" i="28" a="1"/>
  <c r="D10" i="28" s="1"/>
  <c r="D11" i="28" a="1"/>
  <c r="D11" i="28" s="1"/>
  <c r="C11" i="28" a="1"/>
  <c r="C11" i="28" s="1"/>
  <c r="F12" i="28" a="1"/>
  <c r="F12" i="28" s="1"/>
  <c r="G15" i="28" a="1"/>
  <c r="G15" i="28" s="1"/>
  <c r="D18" i="28" a="1"/>
  <c r="D18" i="28" s="1"/>
  <c r="H16" i="28" a="1"/>
  <c r="H16" i="28" s="1"/>
  <c r="D15" i="28" a="1"/>
  <c r="D15" i="28" s="1"/>
  <c r="H17" i="28" a="1"/>
  <c r="H17" i="28" s="1"/>
  <c r="D16" i="28" a="1"/>
  <c r="D16" i="28" s="1"/>
  <c r="J5" i="29"/>
  <c r="C5" i="29" s="1" a="1"/>
  <c r="C5" i="29" s="1"/>
  <c r="H7" i="29" a="1"/>
  <c r="H7" i="29" s="1"/>
  <c r="G8" i="18" a="1"/>
  <c r="G8" i="18" s="1"/>
  <c r="F5" i="21" a="1"/>
  <c r="F5" i="21" s="1"/>
  <c r="D17" i="21" a="1"/>
  <c r="D17" i="21" s="1"/>
  <c r="C6" i="22" a="1"/>
  <c r="C6" i="22" s="1"/>
  <c r="H12" i="22" a="1"/>
  <c r="H12" i="22" s="1"/>
  <c r="G16" i="22" a="1"/>
  <c r="G16" i="22" s="1"/>
  <c r="C18" i="22" a="1"/>
  <c r="C18" i="22" s="1"/>
  <c r="D11" i="23" a="1"/>
  <c r="D11" i="23" s="1"/>
  <c r="D15" i="23" a="1"/>
  <c r="D15" i="23" s="1"/>
  <c r="G5" i="24" a="1"/>
  <c r="G5" i="24" s="1"/>
  <c r="G13" i="26" a="1"/>
  <c r="G13" i="26" s="1"/>
  <c r="H17" i="26" a="1"/>
  <c r="H17" i="26" s="1"/>
  <c r="C22" i="26" a="1"/>
  <c r="C22" i="26" s="1"/>
  <c r="H23" i="26" a="1"/>
  <c r="H23" i="26" s="1"/>
  <c r="D26" i="26" a="1"/>
  <c r="D26" i="26" s="1"/>
  <c r="G30" i="26" a="1"/>
  <c r="G30" i="26" s="1"/>
  <c r="G33" i="26" a="1"/>
  <c r="G33" i="26" s="1"/>
  <c r="H40" i="26" a="1"/>
  <c r="H40" i="26" s="1"/>
  <c r="H52" i="26" a="1"/>
  <c r="H52" i="26" s="1"/>
  <c r="G54" i="26" a="1"/>
  <c r="G54" i="26" s="1"/>
  <c r="F6" i="27" a="1"/>
  <c r="F6" i="27" s="1"/>
  <c r="D8" i="27" a="1"/>
  <c r="D8" i="27" s="1"/>
  <c r="J10" i="28"/>
  <c r="C10" i="28" s="1" a="1"/>
  <c r="C10" i="28" s="1"/>
  <c r="J15" i="28"/>
  <c r="C15" i="28" s="1" a="1"/>
  <c r="C15" i="28" s="1"/>
  <c r="H6" i="21" a="1"/>
  <c r="H6" i="21" s="1"/>
  <c r="J15" i="21"/>
  <c r="C15" i="21" s="1" a="1"/>
  <c r="C15" i="21" s="1"/>
  <c r="C10" i="23" a="1"/>
  <c r="C10" i="23" s="1"/>
  <c r="G16" i="23" a="1"/>
  <c r="G16" i="23" s="1"/>
  <c r="C7" i="24" a="1"/>
  <c r="C7" i="24" s="1"/>
  <c r="G10" i="26" a="1"/>
  <c r="G10" i="26" s="1"/>
  <c r="C12" i="26" a="1"/>
  <c r="C12" i="26" s="1"/>
  <c r="D16" i="26" a="1"/>
  <c r="D16" i="26" s="1"/>
  <c r="C38" i="26" a="1"/>
  <c r="C38" i="26" s="1"/>
  <c r="C18" i="28" a="1"/>
  <c r="C18" i="28" s="1"/>
  <c r="C6" i="29" a="1"/>
  <c r="C6" i="29" s="1"/>
  <c r="C17" i="29" a="1"/>
  <c r="C17" i="29" s="1"/>
  <c r="H54" i="26" a="1"/>
  <c r="H54" i="26" s="1"/>
  <c r="G8" i="27" a="1"/>
  <c r="G8" i="27" s="1"/>
  <c r="D13" i="28" a="1"/>
  <c r="D13" i="28" s="1"/>
  <c r="C16" i="28" a="1"/>
  <c r="C16" i="28" s="1"/>
  <c r="G23" i="26" a="1"/>
  <c r="G23" i="26" s="1"/>
  <c r="G20" i="26" a="1"/>
  <c r="G20" i="26" s="1"/>
  <c r="F22" i="26" a="1"/>
  <c r="F22" i="26" s="1"/>
  <c r="C35" i="26" a="1"/>
  <c r="C35" i="26" s="1"/>
  <c r="G36" i="26" a="1"/>
  <c r="G36" i="26" s="1"/>
  <c r="D38" i="26" a="1"/>
  <c r="D38" i="26" s="1"/>
  <c r="J40" i="26"/>
  <c r="C40" i="26" s="1" a="1"/>
  <c r="C40" i="26" s="1"/>
  <c r="D51" i="26" a="1"/>
  <c r="D51" i="26" s="1"/>
  <c r="C53" i="26" a="1"/>
  <c r="C53" i="26" s="1"/>
  <c r="H6" i="27" a="1"/>
  <c r="H6" i="27" s="1"/>
  <c r="F18" i="28" a="1"/>
  <c r="F18" i="28" s="1"/>
  <c r="D6" i="29" a="1"/>
  <c r="D6" i="29" s="1"/>
  <c r="D17" i="29" a="1"/>
  <c r="D17" i="29" s="1"/>
  <c r="D8" i="24" a="1"/>
  <c r="D8" i="24" s="1"/>
  <c r="H6" i="24" a="1"/>
  <c r="H6" i="24" s="1"/>
  <c r="D18" i="26" a="1"/>
  <c r="D18" i="26" s="1"/>
  <c r="J20" i="26"/>
  <c r="C20" i="26" s="1" a="1"/>
  <c r="C20" i="26" s="1"/>
  <c r="D25" i="26" a="1"/>
  <c r="D25" i="26" s="1"/>
  <c r="G26" i="26" a="1"/>
  <c r="G26" i="26" s="1"/>
  <c r="D28" i="26" a="1"/>
  <c r="D28" i="26" s="1"/>
  <c r="D31" i="26" a="1"/>
  <c r="D31" i="26" s="1"/>
  <c r="F32" i="26" a="1"/>
  <c r="F32" i="26" s="1"/>
  <c r="H8" i="27" a="1"/>
  <c r="H8" i="27" s="1"/>
  <c r="F11" i="28" a="1"/>
  <c r="F11" i="28" s="1"/>
  <c r="F13" i="28" a="1"/>
  <c r="F13" i="28" s="1"/>
  <c r="F16" i="28" a="1"/>
  <c r="F16" i="28" s="1"/>
  <c r="F8" i="29" a="1"/>
  <c r="F8" i="29" s="1"/>
  <c r="D12" i="33" a="1"/>
  <c r="D12" i="33" s="1"/>
  <c r="C16" i="33" a="1"/>
  <c r="C16" i="33" s="1"/>
  <c r="D7" i="30" a="1"/>
  <c r="D7" i="30" s="1"/>
  <c r="G6" i="31" a="1"/>
  <c r="G6" i="31" s="1"/>
  <c r="C8" i="31" a="1"/>
  <c r="C8" i="31" s="1"/>
  <c r="G10" i="31" a="1"/>
  <c r="G10" i="31" s="1"/>
  <c r="G18" i="31" a="1"/>
  <c r="G18" i="31" s="1"/>
  <c r="F22" i="31" a="1"/>
  <c r="F22" i="31" s="1"/>
  <c r="D6" i="35" a="1"/>
  <c r="D6" i="35" s="1"/>
  <c r="D10" i="35" a="1"/>
  <c r="D10" i="35" s="1"/>
  <c r="H16" i="35" a="1"/>
  <c r="H16" i="35" s="1"/>
  <c r="D18" i="35" a="1"/>
  <c r="D18" i="35" s="1"/>
  <c r="H5" i="33" a="1"/>
  <c r="H5" i="33" s="1"/>
  <c r="C7" i="33" a="1"/>
  <c r="C7" i="33" s="1"/>
  <c r="J10" i="33"/>
  <c r="C10" i="33" s="1" a="1"/>
  <c r="C10" i="33" s="1"/>
  <c r="H13" i="33" a="1"/>
  <c r="H13" i="33" s="1"/>
  <c r="G17" i="33" a="1"/>
  <c r="G17" i="33" s="1"/>
  <c r="D17" i="31" a="1"/>
  <c r="D17" i="31" s="1"/>
  <c r="C21" i="31" a="1"/>
  <c r="C21" i="31" s="1"/>
  <c r="H7" i="35" a="1"/>
  <c r="H7" i="35" s="1"/>
  <c r="G11" i="35" a="1"/>
  <c r="G11" i="35" s="1"/>
  <c r="C13" i="35" a="1"/>
  <c r="C13" i="35" s="1"/>
  <c r="G15" i="35" a="1"/>
  <c r="G15" i="35" s="1"/>
  <c r="G8" i="33" a="1"/>
  <c r="G8" i="33" s="1"/>
  <c r="F12" i="33" a="1"/>
  <c r="F12" i="33" s="1"/>
  <c r="D16" i="33" a="1"/>
  <c r="D16" i="33" s="1"/>
  <c r="D7" i="33" a="1"/>
  <c r="D7" i="33" s="1"/>
  <c r="C11" i="33" a="1"/>
  <c r="C11" i="33" s="1"/>
  <c r="H17" i="33" a="1"/>
  <c r="H17" i="33" s="1"/>
  <c r="D47" i="26" a="1"/>
  <c r="D47" i="26" s="1"/>
  <c r="G8" i="28" a="1"/>
  <c r="G8" i="28" s="1"/>
  <c r="H11" i="29" a="1"/>
  <c r="H11" i="29" s="1"/>
  <c r="D13" i="29" a="1"/>
  <c r="D13" i="29" s="1"/>
  <c r="C6" i="30" a="1"/>
  <c r="C6" i="30" s="1"/>
  <c r="A13" i="30" a="1"/>
  <c r="A13" i="30" s="1"/>
  <c r="F14" i="30" a="1"/>
  <c r="F14" i="30" s="1"/>
  <c r="A16" i="30" a="1"/>
  <c r="A16" i="30" s="1"/>
  <c r="G5" i="31" a="1"/>
  <c r="G5" i="31" s="1"/>
  <c r="G13" i="31" a="1"/>
  <c r="G13" i="31" s="1"/>
  <c r="F17" i="31" a="1"/>
  <c r="F17" i="31" s="1"/>
  <c r="D21" i="31" a="1"/>
  <c r="D21" i="31" s="1"/>
  <c r="D5" i="35" a="1"/>
  <c r="D5" i="35" s="1"/>
  <c r="H11" i="35" a="1"/>
  <c r="H11" i="35" s="1"/>
  <c r="D13" i="35" a="1"/>
  <c r="D13" i="35" s="1"/>
  <c r="H15" i="35" a="1"/>
  <c r="H15" i="35" s="1"/>
  <c r="C17" i="35" a="1"/>
  <c r="C17" i="35" s="1"/>
  <c r="J5" i="33"/>
  <c r="C5" i="33" s="1" a="1"/>
  <c r="C5" i="33" s="1"/>
  <c r="H8" i="33" a="1"/>
  <c r="H8" i="33" s="1"/>
  <c r="G12" i="33" a="1"/>
  <c r="G12" i="33" s="1"/>
  <c r="F16" i="33" a="1"/>
  <c r="F16" i="33" s="1"/>
  <c r="D7" i="28" a="1"/>
  <c r="D7" i="28" s="1"/>
  <c r="G10" i="29" a="1"/>
  <c r="G10" i="29" s="1"/>
  <c r="G7" i="30" a="1"/>
  <c r="G7" i="30" s="1"/>
  <c r="F8" i="31" a="1"/>
  <c r="F8" i="31" s="1"/>
  <c r="D12" i="31" a="1"/>
  <c r="D12" i="31" s="1"/>
  <c r="C16" i="31" a="1"/>
  <c r="C16" i="31" s="1"/>
  <c r="C20" i="31" a="1"/>
  <c r="C20" i="31" s="1"/>
  <c r="H22" i="31" a="1"/>
  <c r="H22" i="31" s="1"/>
  <c r="G6" i="35" a="1"/>
  <c r="G6" i="35" s="1"/>
  <c r="C8" i="35" a="1"/>
  <c r="C8" i="35" s="1"/>
  <c r="G10" i="35" a="1"/>
  <c r="G10" i="35" s="1"/>
  <c r="G18" i="35" a="1"/>
  <c r="G18" i="35" s="1"/>
  <c r="F7" i="33" a="1"/>
  <c r="F7" i="33" s="1"/>
  <c r="D11" i="33" a="1"/>
  <c r="D11" i="33" s="1"/>
  <c r="D15" i="33" a="1"/>
  <c r="D15" i="33" s="1"/>
  <c r="D17" i="35" a="1"/>
  <c r="D17" i="35" s="1"/>
  <c r="C6" i="33" a="1"/>
  <c r="C6" i="33" s="1"/>
  <c r="H12" i="33" a="1"/>
  <c r="H12" i="33" s="1"/>
  <c r="G16" i="33" a="1"/>
  <c r="G16" i="33" s="1"/>
  <c r="C18" i="33" a="1"/>
  <c r="C18" i="33" s="1"/>
  <c r="D13" i="25" a="1"/>
  <c r="D13" i="25" s="1"/>
  <c r="C46" i="26" a="1"/>
  <c r="C46" i="26" s="1"/>
  <c r="G13" i="27" a="1"/>
  <c r="G13" i="27" s="1"/>
  <c r="G16" i="27" a="1"/>
  <c r="G16" i="27" s="1"/>
  <c r="F7" i="28" a="1"/>
  <c r="F7" i="28" s="1"/>
  <c r="H10" i="29" a="1"/>
  <c r="H10" i="29" s="1"/>
  <c r="C12" i="29" a="1"/>
  <c r="C12" i="29" s="1"/>
  <c r="H7" i="30" a="1"/>
  <c r="H7" i="30" s="1"/>
  <c r="G8" i="31" a="1"/>
  <c r="G8" i="31" s="1"/>
  <c r="F12" i="31" a="1"/>
  <c r="F12" i="31" s="1"/>
  <c r="D16" i="31" a="1"/>
  <c r="D16" i="31" s="1"/>
  <c r="D20" i="31" a="1"/>
  <c r="D20" i="31" s="1"/>
  <c r="H6" i="35" a="1"/>
  <c r="H6" i="35" s="1"/>
  <c r="D8" i="35" a="1"/>
  <c r="D8" i="35" s="1"/>
  <c r="H10" i="35" a="1"/>
  <c r="H10" i="35" s="1"/>
  <c r="C12" i="35" a="1"/>
  <c r="C12" i="35" s="1"/>
  <c r="J15" i="35"/>
  <c r="C15" i="35" s="1" a="1"/>
  <c r="C15" i="35" s="1"/>
  <c r="H18" i="35" a="1"/>
  <c r="H18" i="35" s="1"/>
  <c r="G7" i="33" a="1"/>
  <c r="G7" i="33" s="1"/>
  <c r="F11" i="33" a="1"/>
  <c r="F11" i="33" s="1"/>
  <c r="F15" i="33" a="1"/>
  <c r="F15" i="33" s="1"/>
  <c r="D7" i="31" a="1"/>
  <c r="D7" i="31" s="1"/>
  <c r="C11" i="31" a="1"/>
  <c r="C11" i="31" s="1"/>
  <c r="C15" i="31" a="1"/>
  <c r="C15" i="31" s="1"/>
  <c r="H17" i="31" a="1"/>
  <c r="H17" i="31" s="1"/>
  <c r="G21" i="31" a="1"/>
  <c r="G21" i="31" s="1"/>
  <c r="C23" i="31" a="1"/>
  <c r="C23" i="31" s="1"/>
  <c r="G5" i="35" a="1"/>
  <c r="G5" i="35" s="1"/>
  <c r="G13" i="35" a="1"/>
  <c r="G13" i="35" s="1"/>
  <c r="F17" i="35" a="1"/>
  <c r="F17" i="35" s="1"/>
  <c r="D6" i="33" a="1"/>
  <c r="D6" i="33" s="1"/>
  <c r="D10" i="33" a="1"/>
  <c r="D10" i="33" s="1"/>
  <c r="H16" i="33" a="1"/>
  <c r="H16" i="33" s="1"/>
  <c r="D18" i="33" a="1"/>
  <c r="D18" i="33" s="1"/>
  <c r="D12" i="29" a="1"/>
  <c r="D12" i="29" s="1"/>
  <c r="D5" i="30" a="1"/>
  <c r="D5" i="30" s="1"/>
  <c r="J5" i="31"/>
  <c r="C5" i="31" s="1" a="1"/>
  <c r="C5" i="31" s="1"/>
  <c r="H8" i="31" a="1"/>
  <c r="H8" i="31" s="1"/>
  <c r="F16" i="31" a="1"/>
  <c r="F16" i="31" s="1"/>
  <c r="F20" i="31" a="1"/>
  <c r="F20" i="31" s="1"/>
  <c r="F8" i="35" a="1"/>
  <c r="F8" i="35" s="1"/>
  <c r="D12" i="35" a="1"/>
  <c r="D12" i="35" s="1"/>
  <c r="C16" i="35" a="1"/>
  <c r="C16" i="35" s="1"/>
  <c r="H7" i="33" a="1"/>
  <c r="H7" i="33" s="1"/>
  <c r="G11" i="33" a="1"/>
  <c r="G11" i="33" s="1"/>
  <c r="C13" i="33" a="1"/>
  <c r="C13" i="33" s="1"/>
  <c r="G15" i="33" a="1"/>
  <c r="G15" i="33" s="1"/>
  <c r="C45" i="26" a="1"/>
  <c r="C45" i="26" s="1"/>
  <c r="D6" i="28" a="1"/>
  <c r="D6" i="28" s="1"/>
  <c r="J10" i="29"/>
  <c r="C10" i="29" s="1" a="1"/>
  <c r="C10" i="29" s="1"/>
  <c r="H13" i="29" a="1"/>
  <c r="H13" i="29" s="1"/>
  <c r="G6" i="30" a="1"/>
  <c r="G6" i="30" s="1"/>
  <c r="C8" i="30" a="1"/>
  <c r="C8" i="30" s="1"/>
  <c r="G13" i="30" a="1"/>
  <c r="G13" i="30" s="1"/>
  <c r="A15" i="30" a="1"/>
  <c r="A15" i="30" s="1"/>
  <c r="G16" i="30" a="1"/>
  <c r="G16" i="30" s="1"/>
  <c r="F7" i="31" a="1"/>
  <c r="F7" i="31" s="1"/>
  <c r="D11" i="31" a="1"/>
  <c r="D11" i="31" s="1"/>
  <c r="D15" i="31" a="1"/>
  <c r="D15" i="31" s="1"/>
  <c r="H21" i="31" a="1"/>
  <c r="H21" i="31" s="1"/>
  <c r="D23" i="31" a="1"/>
  <c r="D23" i="31" s="1"/>
  <c r="H5" i="35" a="1"/>
  <c r="H5" i="35" s="1"/>
  <c r="C7" i="35" a="1"/>
  <c r="C7" i="35" s="1"/>
  <c r="J10" i="35"/>
  <c r="C10" i="35" s="1" a="1"/>
  <c r="C10" i="35" s="1"/>
  <c r="H13" i="35" a="1"/>
  <c r="H13" i="35" s="1"/>
  <c r="G17" i="35" a="1"/>
  <c r="G17" i="35" s="1"/>
  <c r="F6" i="33" a="1"/>
  <c r="F6" i="33" s="1"/>
  <c r="F10" i="33" a="1"/>
  <c r="F10" i="33" s="1"/>
  <c r="F18" i="33" a="1"/>
  <c r="F18" i="33" s="1"/>
  <c r="C5" i="28" a="1"/>
  <c r="C5" i="28" s="1"/>
  <c r="C6" i="31" a="1"/>
  <c r="C6" i="31" s="1"/>
  <c r="C10" i="31" a="1"/>
  <c r="C10" i="31" s="1"/>
  <c r="H12" i="31" a="1"/>
  <c r="H12" i="31" s="1"/>
  <c r="G16" i="31" a="1"/>
  <c r="G16" i="31" s="1"/>
  <c r="C18" i="31" a="1"/>
  <c r="C18" i="31" s="1"/>
  <c r="G20" i="31" a="1"/>
  <c r="G20" i="31" s="1"/>
  <c r="G8" i="35" a="1"/>
  <c r="G8" i="35" s="1"/>
  <c r="F12" i="35" a="1"/>
  <c r="F12" i="35" s="1"/>
  <c r="D16" i="35" a="1"/>
  <c r="D16" i="35" s="1"/>
  <c r="D5" i="33" a="1"/>
  <c r="D5" i="33" s="1"/>
  <c r="H11" i="33" a="1"/>
  <c r="H11" i="33" s="1"/>
  <c r="D13" i="33" a="1"/>
  <c r="D13" i="33" s="1"/>
  <c r="H15" i="33" a="1"/>
  <c r="H15" i="33" s="1"/>
  <c r="C17" i="33" a="1"/>
  <c r="C17" i="33" s="1"/>
  <c r="D15" i="30" a="1"/>
  <c r="D15" i="30" s="1"/>
  <c r="H16" i="30" a="1"/>
  <c r="H16" i="30" s="1"/>
  <c r="G7" i="31" a="1"/>
  <c r="G7" i="31" s="1"/>
  <c r="F15" i="31" a="1"/>
  <c r="F15" i="31" s="1"/>
  <c r="F23" i="31" a="1"/>
  <c r="F23" i="31" s="1"/>
  <c r="D7" i="35" a="1"/>
  <c r="D7" i="35" s="1"/>
  <c r="C11" i="35" a="1"/>
  <c r="C11" i="35" s="1"/>
  <c r="H17" i="35" a="1"/>
  <c r="H17" i="35" s="1"/>
  <c r="G6" i="33" a="1"/>
  <c r="G6" i="33" s="1"/>
  <c r="C8" i="33" a="1"/>
  <c r="C8" i="33" s="1"/>
  <c r="G10" i="33" a="1"/>
  <c r="G10" i="33" s="1"/>
  <c r="G18" i="33" a="1"/>
  <c r="G18" i="33" s="1"/>
  <c r="F16" i="35" a="1"/>
  <c r="F16" i="35" s="1"/>
  <c r="F5" i="33" a="1"/>
  <c r="F5" i="33" s="1"/>
  <c r="F13" i="33" a="1"/>
  <c r="F13" i="33" s="1"/>
  <c r="D17" i="33" a="1"/>
  <c r="D17" i="33" s="1"/>
  <c r="G11" i="31" a="1"/>
  <c r="G11" i="31" s="1"/>
  <c r="G23" i="31" a="1"/>
  <c r="G23" i="31" s="1"/>
  <c r="F7" i="35" a="1"/>
  <c r="F7" i="35" s="1"/>
  <c r="D11" i="35" a="1"/>
  <c r="D11" i="35" s="1"/>
  <c r="D15" i="35" a="1"/>
  <c r="D15" i="35" s="1"/>
  <c r="H6" i="33" a="1"/>
  <c r="H6" i="33" s="1"/>
  <c r="D8" i="33" a="1"/>
  <c r="D8" i="33" s="1"/>
  <c r="H10" i="33" a="1"/>
  <c r="H10" i="33" s="1"/>
  <c r="C12" i="33" a="1"/>
  <c r="C12" i="33" s="1"/>
  <c r="J15" i="33"/>
  <c r="C15" i="33" s="1" a="1"/>
  <c r="C15" i="33" s="1"/>
  <c r="H18" i="33" a="1"/>
  <c r="H18" i="33" s="1"/>
  <c r="G16" i="35" a="1"/>
  <c r="G16" i="3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798FBA-1A95-468C-A7B0-C2FFB76DCEE1}" keepAlive="1" interval="60" name="Query - CM_Lots" description="Connection to the 'CM_Lots' query in the workbook." type="5" refreshedVersion="8" background="1" refreshOnLoad="1" saveData="1">
    <dbPr connection="Provider=Microsoft.Mashup.OleDb.1;Data Source=$Workbook$;Location=CM_Lots;Extended Properties=&quot;&quot;" command="SELECT * FROM [CM_Lot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<sst xmlns="http://schemas.openxmlformats.org/spreadsheetml/2006/main" count="5283" uniqueCount="707">
  <si>
    <t>PN</t>
  </si>
  <si>
    <t>LotNumber</t>
  </si>
  <si>
    <t>ExpirationDate</t>
  </si>
  <si>
    <t>Qty</t>
  </si>
  <si>
    <t>IsActive</t>
  </si>
  <si>
    <t>500-2608</t>
  </si>
  <si>
    <t>500-0952</t>
  </si>
  <si>
    <t>001-1689</t>
  </si>
  <si>
    <t>MTB RIF</t>
  </si>
  <si>
    <t>001-1683</t>
  </si>
  <si>
    <t>500-0995</t>
  </si>
  <si>
    <t>MTB ULTRA</t>
  </si>
  <si>
    <t>001-1923</t>
  </si>
  <si>
    <t>001-1968</t>
  </si>
  <si>
    <t>MTB JP</t>
  </si>
  <si>
    <t>001-1658</t>
  </si>
  <si>
    <t>001-1922</t>
  </si>
  <si>
    <t>MTB XDR</t>
  </si>
  <si>
    <t>325-00056</t>
  </si>
  <si>
    <t>325-00057</t>
  </si>
  <si>
    <t>525-00097</t>
  </si>
  <si>
    <t>525-00099</t>
  </si>
  <si>
    <t>525-00102</t>
  </si>
  <si>
    <t>325-00075</t>
  </si>
  <si>
    <t>525-00169</t>
  </si>
  <si>
    <t>001-1471</t>
  </si>
  <si>
    <t>Respiratory Panel</t>
  </si>
  <si>
    <t>525-00193</t>
  </si>
  <si>
    <t>525-00194</t>
  </si>
  <si>
    <t>525-00195</t>
  </si>
  <si>
    <t>525-00196</t>
  </si>
  <si>
    <t>CTNG | CTNG JP</t>
  </si>
  <si>
    <t>500-1526</t>
  </si>
  <si>
    <t>500-1544</t>
  </si>
  <si>
    <t>500-1514</t>
  </si>
  <si>
    <t>C.DIFF | C.DIFF JP</t>
  </si>
  <si>
    <t>500-1529</t>
  </si>
  <si>
    <t>500-2288</t>
  </si>
  <si>
    <t>EBOLA</t>
  </si>
  <si>
    <t>525-00038</t>
  </si>
  <si>
    <t>525-00327</t>
  </si>
  <si>
    <t>525-00065</t>
  </si>
  <si>
    <t>525-00066</t>
  </si>
  <si>
    <t>HPV</t>
  </si>
  <si>
    <t>500-1917</t>
  </si>
  <si>
    <t>500-1918</t>
  </si>
  <si>
    <t>500-2616</t>
  </si>
  <si>
    <t>HBV VL</t>
  </si>
  <si>
    <t>525-00114</t>
  </si>
  <si>
    <t>525-00071</t>
  </si>
  <si>
    <t>525-00072</t>
  </si>
  <si>
    <t>HCV VL</t>
  </si>
  <si>
    <t>525-00033</t>
  </si>
  <si>
    <t>525-00035</t>
  </si>
  <si>
    <t>525-00036</t>
  </si>
  <si>
    <t>HCV VL FS</t>
  </si>
  <si>
    <t>525-00113</t>
  </si>
  <si>
    <t>525-00103</t>
  </si>
  <si>
    <t>525-00104</t>
  </si>
  <si>
    <t>HIV VL</t>
  </si>
  <si>
    <t>525-00017</t>
  </si>
  <si>
    <t>525-00018</t>
  </si>
  <si>
    <t>HIV VL XC</t>
  </si>
  <si>
    <t>525-00120</t>
  </si>
  <si>
    <t>525-00131</t>
  </si>
  <si>
    <t>HIV QA</t>
  </si>
  <si>
    <t>525-00021</t>
  </si>
  <si>
    <t>525-00022</t>
  </si>
  <si>
    <t>500-1712</t>
  </si>
  <si>
    <t>HIV QA XC</t>
  </si>
  <si>
    <t>525-00145</t>
  </si>
  <si>
    <t>GI Panel</t>
  </si>
  <si>
    <t>025-00063</t>
  </si>
  <si>
    <t>525-00205</t>
  </si>
  <si>
    <t>525-00163</t>
  </si>
  <si>
    <t>FLU RSV</t>
  </si>
  <si>
    <t>500-1509</t>
  </si>
  <si>
    <t>525-00096</t>
  </si>
  <si>
    <t>525-00098</t>
  </si>
  <si>
    <t>525-00101</t>
  </si>
  <si>
    <t>325-00074</t>
  </si>
  <si>
    <t>MRSA SA</t>
  </si>
  <si>
    <t>500-0905</t>
  </si>
  <si>
    <t>MRSA NxG</t>
  </si>
  <si>
    <t>525-00081</t>
  </si>
  <si>
    <t>525-00080</t>
  </si>
  <si>
    <t>525-00079</t>
  </si>
  <si>
    <t>NORO</t>
  </si>
  <si>
    <t>500-1882</t>
  </si>
  <si>
    <t>500-1880</t>
  </si>
  <si>
    <t>500-1879</t>
  </si>
  <si>
    <t>VAN AB</t>
  </si>
  <si>
    <t>500-1747</t>
  </si>
  <si>
    <t>GBS</t>
  </si>
  <si>
    <t>525-00136</t>
  </si>
  <si>
    <t>525-00137</t>
  </si>
  <si>
    <t>STREP A</t>
  </si>
  <si>
    <t>525-00090</t>
  </si>
  <si>
    <t>525-00089</t>
  </si>
  <si>
    <t>525-00088</t>
  </si>
  <si>
    <t>CARBA R</t>
  </si>
  <si>
    <t>001-1688</t>
  </si>
  <si>
    <t>001-1687</t>
  </si>
  <si>
    <t>001-1686</t>
  </si>
  <si>
    <t>P/N</t>
  </si>
  <si>
    <t>Lotnr.</t>
  </si>
  <si>
    <t>Utgångsdatum</t>
  </si>
  <si>
    <t>Antal i lager</t>
  </si>
  <si>
    <t>Senast inventering</t>
  </si>
  <si>
    <t>SIGN</t>
  </si>
  <si>
    <t>Produkt</t>
  </si>
  <si>
    <t>Beskrivning</t>
  </si>
  <si>
    <t>Förvaringsplats</t>
  </si>
  <si>
    <t>Labb</t>
  </si>
  <si>
    <t>2.5 Flaska NEG</t>
  </si>
  <si>
    <t>vdao</t>
  </si>
  <si>
    <t>FLUVID</t>
  </si>
  <si>
    <t>FLUVID plus</t>
  </si>
  <si>
    <t>SARS</t>
  </si>
  <si>
    <t>SARS plus</t>
  </si>
  <si>
    <t>FLU</t>
  </si>
  <si>
    <t>Purified Serum Protein Matrix</t>
  </si>
  <si>
    <t>SR / TET / MATRIX</t>
  </si>
  <si>
    <t>3.5 Flaska POS</t>
  </si>
  <si>
    <t>JESP</t>
  </si>
  <si>
    <t>N/A</t>
  </si>
  <si>
    <t>A17MAR25A</t>
  </si>
  <si>
    <t>9 vialer</t>
  </si>
  <si>
    <t>ELS</t>
  </si>
  <si>
    <t>INTROL TBMDR1-04</t>
  </si>
  <si>
    <t>POS IPT kylskåp</t>
  </si>
  <si>
    <t>G25OCT24C</t>
  </si>
  <si>
    <t>3 lådor</t>
  </si>
  <si>
    <t>MTB</t>
  </si>
  <si>
    <t>INTROL TBWT-04</t>
  </si>
  <si>
    <t>E20AUG24A</t>
  </si>
  <si>
    <t>12 rör</t>
  </si>
  <si>
    <t>CARBA</t>
  </si>
  <si>
    <t>Xpert CARBA-R High POS</t>
  </si>
  <si>
    <t>D20AUG24A</t>
  </si>
  <si>
    <t>2 lådor</t>
  </si>
  <si>
    <t>Xpert CARBA-R Low POS</t>
  </si>
  <si>
    <t>C03FEB25A</t>
  </si>
  <si>
    <t>0.5 låda</t>
  </si>
  <si>
    <t>Xpert CARBA-R Negative</t>
  </si>
  <si>
    <t>NEG IPT kylskåp</t>
  </si>
  <si>
    <t>S19AUG24A</t>
  </si>
  <si>
    <t>1 låda</t>
  </si>
  <si>
    <t>4141EA</t>
  </si>
  <si>
    <t>3 L</t>
  </si>
  <si>
    <t>P/N 001-1689 PreservCyt Solution</t>
  </si>
  <si>
    <t>Q24APR24B</t>
  </si>
  <si>
    <t>11 vialer</t>
  </si>
  <si>
    <t>INTROL TBMDR2-04</t>
  </si>
  <si>
    <t>B27FEB25A</t>
  </si>
  <si>
    <t>5 Lådor</t>
  </si>
  <si>
    <t>MTB U</t>
  </si>
  <si>
    <t>INTROL TB1081MDR2</t>
  </si>
  <si>
    <t>062425MZ</t>
  </si>
  <si>
    <t>1 Låda</t>
  </si>
  <si>
    <t>MRSA/SA</t>
  </si>
  <si>
    <t>MRSA JP</t>
  </si>
  <si>
    <t>MRSA 5.3e3 cells</t>
  </si>
  <si>
    <t>POS IPT -80 frys</t>
  </si>
  <si>
    <t>10L</t>
  </si>
  <si>
    <t>P/N 500-0952 Buffer, TET (exp 6 mån) 500-0952 Samole buffer Van A/B</t>
  </si>
  <si>
    <t>25L</t>
  </si>
  <si>
    <t>P/N 500-0995 MTB TET Buffer (exp 6 mån) 500-0995, BUFFER, TET, 50_0.1_0.1</t>
  </si>
  <si>
    <t>22L</t>
  </si>
  <si>
    <t>8L</t>
  </si>
  <si>
    <t>011922DL</t>
  </si>
  <si>
    <t>34 rör</t>
  </si>
  <si>
    <t>VIRUS, CVA9, FINAL WORKING STOCK</t>
  </si>
  <si>
    <t>NEG IPT -80 frys</t>
  </si>
  <si>
    <t>2026-02</t>
  </si>
  <si>
    <t>CTNG</t>
  </si>
  <si>
    <t>CTNG JP</t>
  </si>
  <si>
    <t>P/N 500-1514 Transport buffer (exp 6 mån) 500-1514, TRANSPORT BUFFER,SWAB,BULK,CT/NG</t>
  </si>
  <si>
    <t>2026-07</t>
  </si>
  <si>
    <t>5 L</t>
  </si>
  <si>
    <t>012224ELIF</t>
  </si>
  <si>
    <t>10X Negative cells mix</t>
  </si>
  <si>
    <t>120425MMM</t>
  </si>
  <si>
    <t>CDIFF</t>
  </si>
  <si>
    <t>CDIFF JP</t>
  </si>
  <si>
    <t>C.difficile cells</t>
  </si>
  <si>
    <t>081823VW</t>
  </si>
  <si>
    <t>10X Positive cells mix</t>
  </si>
  <si>
    <t>011624MATE</t>
  </si>
  <si>
    <t>3 Lådor</t>
  </si>
  <si>
    <t>10 L</t>
  </si>
  <si>
    <t>P/N 500-1712 Lysis Reagent, Xpert Virus (exp 2 mån) 500-1712 LYSIS, REAGENT, XPERT,VIRUS</t>
  </si>
  <si>
    <t>500-1724</t>
  </si>
  <si>
    <t>FLU,A,H1N1,HIGH</t>
  </si>
  <si>
    <t>500-1725</t>
  </si>
  <si>
    <t>FLU,B, HIGH</t>
  </si>
  <si>
    <t>500-1739</t>
  </si>
  <si>
    <t>FLU,A,H1N1,LOW</t>
  </si>
  <si>
    <t>500-1740</t>
  </si>
  <si>
    <t>FLU,B, LOW</t>
  </si>
  <si>
    <t>052825MMM</t>
  </si>
  <si>
    <t>11 RÖR</t>
  </si>
  <si>
    <t>vanA/vanB cells</t>
  </si>
  <si>
    <t>082025MATE</t>
  </si>
  <si>
    <t>Positive control HIGH</t>
  </si>
  <si>
    <t>Positive control (PC) LOW</t>
  </si>
  <si>
    <t>081925ELIF</t>
  </si>
  <si>
    <t>Negative control (NTC) Rota virus</t>
  </si>
  <si>
    <t>073125MATE</t>
  </si>
  <si>
    <t>2 Lådor</t>
  </si>
  <si>
    <t>MMQCI E.coli HPV POS</t>
  </si>
  <si>
    <t>032525SAMI</t>
  </si>
  <si>
    <t>MMQCI E.coli HPV NEG</t>
  </si>
  <si>
    <t>MRSA</t>
  </si>
  <si>
    <t>MRSA NXG</t>
  </si>
  <si>
    <t>P/N 500-2288 GX Lysis buffer (exp 3 mån) 500-2288, GX Lysis buffer</t>
  </si>
  <si>
    <t>50L</t>
  </si>
  <si>
    <t>P/N 500-2608 MTB SR (exp 4 mån) 500-2608, IPT BULK REAGENT, SAMPLE TREATMENT, MTB</t>
  </si>
  <si>
    <t>090325MMM</t>
  </si>
  <si>
    <t>50 rör</t>
  </si>
  <si>
    <t>Human cells HPV NEG</t>
  </si>
  <si>
    <t>071924MATE</t>
  </si>
  <si>
    <t>6.5 Lådor</t>
  </si>
  <si>
    <t>HIV LOW positive control</t>
  </si>
  <si>
    <t>6 Lådor</t>
  </si>
  <si>
    <t>102125MMM</t>
  </si>
  <si>
    <t>HIV HIGH positive control</t>
  </si>
  <si>
    <t>0.5 Låda</t>
  </si>
  <si>
    <t>112025MMM</t>
  </si>
  <si>
    <t>HIV Qual Low</t>
  </si>
  <si>
    <t>HIV Qual High</t>
  </si>
  <si>
    <t>062625Masa</t>
  </si>
  <si>
    <t>HIV/HCV negative control</t>
  </si>
  <si>
    <t>042525MMM</t>
  </si>
  <si>
    <t>082625Masa</t>
  </si>
  <si>
    <t>4.5 Lådor</t>
  </si>
  <si>
    <t>HCV Quant low</t>
  </si>
  <si>
    <t>050525Masa</t>
  </si>
  <si>
    <t>041625Masa</t>
  </si>
  <si>
    <t>1.5 Låda</t>
  </si>
  <si>
    <t>HCV Quant high</t>
  </si>
  <si>
    <t>EDTA Human Whole  Blood (NTC)</t>
  </si>
  <si>
    <t>031825ELIF</t>
  </si>
  <si>
    <t>31 vialer</t>
  </si>
  <si>
    <t>Ebola PC-Low</t>
  </si>
  <si>
    <t>031224VW-A</t>
  </si>
  <si>
    <t>15 Vialer</t>
  </si>
  <si>
    <t>Ebola PC-High</t>
  </si>
  <si>
    <t>102924MOWA</t>
  </si>
  <si>
    <t>13 rör</t>
  </si>
  <si>
    <t>HBV</t>
  </si>
  <si>
    <t>HBV PC High</t>
  </si>
  <si>
    <t>POS IPT -20 frys</t>
  </si>
  <si>
    <t>HBV PC Low</t>
  </si>
  <si>
    <t>062024MOWA</t>
  </si>
  <si>
    <t>041625MATE</t>
  </si>
  <si>
    <t>26 rör</t>
  </si>
  <si>
    <t>ALQT,NATTROL,MRSA,HIGH</t>
  </si>
  <si>
    <t>051625MMM</t>
  </si>
  <si>
    <t>ALQT,NATTROL,MRSA, LOW</t>
  </si>
  <si>
    <t>080525Masa</t>
  </si>
  <si>
    <t>ALQT,NATTROL,MSSE</t>
  </si>
  <si>
    <t>081925Masa</t>
  </si>
  <si>
    <t>6 rör</t>
  </si>
  <si>
    <t>STREPA</t>
  </si>
  <si>
    <t>ALQT, NATTROL, STREP A HIGH</t>
  </si>
  <si>
    <t>27 rör</t>
  </si>
  <si>
    <t>ALQT, NATTROL, STREP A LOW</t>
  </si>
  <si>
    <t>071625Masa</t>
  </si>
  <si>
    <t>1 låda + 4 rör</t>
  </si>
  <si>
    <t>ALQT, NATTROL, NEG, STREP A</t>
  </si>
  <si>
    <t>102825ARMO</t>
  </si>
  <si>
    <t>4 rör</t>
  </si>
  <si>
    <t>FluA High control ALQT</t>
  </si>
  <si>
    <t>FluA Low control ALQT</t>
  </si>
  <si>
    <t>102225SAMI</t>
  </si>
  <si>
    <t xml:space="preserve"> 4 rör</t>
  </si>
  <si>
    <t>FluB High control ALQT</t>
  </si>
  <si>
    <t>100325MMM</t>
  </si>
  <si>
    <t>2 LÅdor</t>
  </si>
  <si>
    <t>FluB Low control ALQT</t>
  </si>
  <si>
    <t>RSVB High control ALQT</t>
  </si>
  <si>
    <t>RSVB Low control ALQT</t>
  </si>
  <si>
    <t>070325Masa</t>
  </si>
  <si>
    <t>30 rör</t>
  </si>
  <si>
    <t>HCV FS</t>
  </si>
  <si>
    <t>FS HCV Low</t>
  </si>
  <si>
    <t>030524VW-A</t>
  </si>
  <si>
    <t>5 rör</t>
  </si>
  <si>
    <t>FS HCV High</t>
  </si>
  <si>
    <t>030724VW-B</t>
  </si>
  <si>
    <t>6 RÖR</t>
  </si>
  <si>
    <t>els</t>
  </si>
  <si>
    <t>EDTA Human Whole Blood</t>
  </si>
  <si>
    <t>111924VW</t>
  </si>
  <si>
    <t>2 lådor NEG</t>
  </si>
  <si>
    <t>Serum “HBV NTC”</t>
  </si>
  <si>
    <t>102424VW</t>
  </si>
  <si>
    <t>1 låda POS</t>
  </si>
  <si>
    <t>NEG IPT -20 frys</t>
  </si>
  <si>
    <t>111524MATE</t>
  </si>
  <si>
    <t>081425ELIF</t>
  </si>
  <si>
    <t>4 Lådor</t>
  </si>
  <si>
    <t>HIV VL XC  LOW</t>
  </si>
  <si>
    <t>032725SAMI</t>
  </si>
  <si>
    <t>3.5 Låda</t>
  </si>
  <si>
    <t>101425MMM</t>
  </si>
  <si>
    <t>1.5 Lådor</t>
  </si>
  <si>
    <t>HIV VL XC HIGH</t>
  </si>
  <si>
    <t>2 RÖR</t>
  </si>
  <si>
    <t>110325ARMO</t>
  </si>
  <si>
    <t>GBS NAT-LAC</t>
  </si>
  <si>
    <t>082225MMM</t>
  </si>
  <si>
    <t>GBS NATtrol LOW</t>
  </si>
  <si>
    <t>031825SAMI</t>
  </si>
  <si>
    <t>HIV QA XC PC LOW</t>
  </si>
  <si>
    <t>041125VW</t>
  </si>
  <si>
    <t>10 rör</t>
  </si>
  <si>
    <t>SARS-CoV Positive Control</t>
  </si>
  <si>
    <t>121225ARMO</t>
  </si>
  <si>
    <t>ALQT SARS-COV-2, NATTROL POSTIVE CTRL</t>
  </si>
  <si>
    <t>L03OCT24C</t>
  </si>
  <si>
    <t>MTB/XDR WT Cells</t>
  </si>
  <si>
    <t>B04OCT24A</t>
  </si>
  <si>
    <t>2 rör</t>
  </si>
  <si>
    <t>MTB/XDR Mutant Cells</t>
  </si>
  <si>
    <t>061325ELIF</t>
  </si>
  <si>
    <t>Respiratory Panel, Sample Mix 1</t>
  </si>
  <si>
    <t>062525MMM</t>
  </si>
  <si>
    <t>31 rör</t>
  </si>
  <si>
    <t>Respiratory Panel, Sample Mix 2</t>
  </si>
  <si>
    <t>100325Masa</t>
  </si>
  <si>
    <t>53 rör</t>
  </si>
  <si>
    <t>Respiratory Panel, Sample Mix 3</t>
  </si>
  <si>
    <t>061325MATE</t>
  </si>
  <si>
    <t>24 rör</t>
  </si>
  <si>
    <t>Respiratory Panel, Sample Mix 4</t>
  </si>
  <si>
    <t>B01NOV24B</t>
  </si>
  <si>
    <t>5.5 lådor</t>
  </si>
  <si>
    <t>INTROL TBWT-04 MTB G4</t>
  </si>
  <si>
    <t>1 Flaska POS</t>
  </si>
  <si>
    <t>Stool diluent matrix</t>
  </si>
  <si>
    <t>1 Flaska NEG</t>
  </si>
  <si>
    <t>051625SAMI</t>
  </si>
  <si>
    <t>19 rör</t>
  </si>
  <si>
    <t>GI PANEL, POS CTR MIX 1, LOW</t>
  </si>
  <si>
    <t>M(A</t>
  </si>
  <si>
    <t>BULK Sample Reagent</t>
  </si>
  <si>
    <t>MTB - SR | 500-2608</t>
  </si>
  <si>
    <t>MTB - TET | 500-0995</t>
  </si>
  <si>
    <t>CTNG | 500-1514</t>
  </si>
  <si>
    <t>P/N 500-2608 MTB SR (exp 4 mån)
500-2608, IPT BULK REAGENT, SAMPLE TREATMENT, MTB</t>
  </si>
  <si>
    <t>P/N 500-0995 MTB TET Buffer (exp 6 mån)
500-0995, BUFFER, TET, 50_0.1_0.1</t>
  </si>
  <si>
    <t>P/N 500-1514 Transport buffer (exp 6 mån)
500-1514, TRANSPORT BUFFER,SWAB,BULK,CT/NG</t>
  </si>
  <si>
    <t>Lot #</t>
  </si>
  <si>
    <t>Exp</t>
  </si>
  <si>
    <t>Volym, L</t>
  </si>
  <si>
    <t>VAN A/B | 500-0952</t>
  </si>
  <si>
    <t>NORO, HIV QA | 500-1712</t>
  </si>
  <si>
    <t>C.DIFF, MRSA | 500-2288</t>
  </si>
  <si>
    <t>P/N 500-0952 Buffer, TET (exp 6 mån)
500-0952 Samole buffer Van A/B</t>
  </si>
  <si>
    <t>P/N 500-1712 Lysis Reagent, Xpert Virus (exp 2 mån)
500-1712 LYSIS, REAGENT, XPERT,VIRUS</t>
  </si>
  <si>
    <t>P/N 500-2288 GX Lysis buffer (exp 3 mån)
500-2288, GX Lysis buffer</t>
  </si>
  <si>
    <t>HPV | 001-1689</t>
  </si>
  <si>
    <t>Senast uppdaterad:</t>
  </si>
  <si>
    <t xml:space="preserve"> 2026-02-24</t>
  </si>
  <si>
    <t xml:space="preserve"> /</t>
  </si>
  <si>
    <t>MTB SR 700-6052</t>
  </si>
  <si>
    <t>CARBA 700-6822</t>
  </si>
  <si>
    <t>MRSA NxG 700-5280</t>
  </si>
  <si>
    <t>MRSA SA COMP 700-5197</t>
  </si>
  <si>
    <t>MRSA SA 700-5194</t>
  </si>
  <si>
    <t>NORO 700-5666</t>
  </si>
  <si>
    <t>VAN A/B 700-5662</t>
  </si>
  <si>
    <t>EA</t>
  </si>
  <si>
    <t>1001516088/C244500069</t>
  </si>
  <si>
    <t>1001516087/C254500068</t>
  </si>
  <si>
    <t>C254400067</t>
  </si>
  <si>
    <t>C254300066</t>
  </si>
  <si>
    <t>MRSA SA 700-5375</t>
  </si>
  <si>
    <t>EBOLA 700-6379</t>
  </si>
  <si>
    <t>MRSA SA COMP 700-6787</t>
  </si>
  <si>
    <t>MTB XDR SR 700-6609</t>
  </si>
  <si>
    <t>MTB SR 700-8870</t>
  </si>
  <si>
    <t>HIV QA 700-4521</t>
  </si>
  <si>
    <t>HIV QA 700-4383</t>
  </si>
  <si>
    <t>C.diff 700-5667</t>
  </si>
  <si>
    <t>C.diff 700-5196</t>
  </si>
  <si>
    <t>Artikel</t>
  </si>
  <si>
    <t>Lotnummer</t>
  </si>
  <si>
    <t>INTROL TBWT-04 MTB Ultra</t>
  </si>
  <si>
    <t>INTROL TBWT1-04</t>
  </si>
  <si>
    <t>FLUVID / FLUVID+</t>
  </si>
  <si>
    <t>ALQT,NATTROL,Sample Mix 1, Resp.Panel</t>
  </si>
  <si>
    <t>ALQT,NATTROL,Sample Mix 2, Resp.Panel</t>
  </si>
  <si>
    <t>ALQT,NATTROL,Sample Mix 3, Resp.Panel</t>
  </si>
  <si>
    <t>ALQT,NATTROL,Sample Mix 4, Resp.Panel</t>
  </si>
  <si>
    <t>CTNG - SR | 500-1514</t>
  </si>
  <si>
    <t>GX Lysis buffer | 500-2288</t>
  </si>
  <si>
    <t>PreservCyt | 001-1689</t>
  </si>
  <si>
    <t>Lysis Reagent Xpert Virus | 500-1712</t>
  </si>
  <si>
    <t>ALQT,NATTROL,
MSSE</t>
  </si>
  <si>
    <t>ALQT,NATTROL,
MRSA, LOW</t>
  </si>
  <si>
    <t>ALQT,NATTROL,
MRSA, HIGH</t>
  </si>
  <si>
    <t>Noro Positive control LOW</t>
  </si>
  <si>
    <t>Noro Positive control (PC) High</t>
  </si>
  <si>
    <t>VAN A/B</t>
  </si>
  <si>
    <t>NAT-LAC, aliquoted</t>
  </si>
  <si>
    <t>EDTA Human Whole 
Blood (NTC)</t>
  </si>
  <si>
    <t>ChangedAt</t>
  </si>
  <si>
    <t>ChangedByName</t>
  </si>
  <si>
    <t>334922</t>
  </si>
  <si>
    <t>Jesper Fredriksson</t>
  </si>
  <si>
    <t>1001496372</t>
  </si>
  <si>
    <t>1001510545</t>
  </si>
  <si>
    <t>1001497100</t>
  </si>
  <si>
    <t>040925MASA</t>
  </si>
  <si>
    <t>1001511780</t>
  </si>
  <si>
    <t>012825MOWA</t>
  </si>
  <si>
    <t>012725VW</t>
  </si>
  <si>
    <t>1001512409</t>
  </si>
  <si>
    <t>1001508989</t>
  </si>
  <si>
    <t>Elin Sidstedt</t>
  </si>
  <si>
    <t>042325MMM</t>
  </si>
  <si>
    <t>082625MASA</t>
  </si>
  <si>
    <t>041625MASA</t>
  </si>
  <si>
    <t>080525MASA</t>
  </si>
  <si>
    <t>081925MASA</t>
  </si>
  <si>
    <t>071625MASA</t>
  </si>
  <si>
    <t>012425ML</t>
  </si>
  <si>
    <t>050725ELIF</t>
  </si>
  <si>
    <t>021825VW</t>
  </si>
  <si>
    <t>021125ELIF</t>
  </si>
  <si>
    <t>070325MASA</t>
  </si>
  <si>
    <t>120524ELIF</t>
  </si>
  <si>
    <t>052325MATE</t>
  </si>
  <si>
    <t>334632</t>
  </si>
  <si>
    <t>23R3R</t>
  </si>
  <si>
    <t>24</t>
  </si>
  <si>
    <t>123</t>
  </si>
  <si>
    <t>LOT123</t>
  </si>
  <si>
    <t>1230</t>
  </si>
  <si>
    <t>321</t>
  </si>
  <si>
    <t>LotKey</t>
  </si>
  <si>
    <t>ChangedByEmail</t>
  </si>
  <si>
    <t>Comments</t>
  </si>
  <si>
    <t>InventoryStatus</t>
  </si>
  <si>
    <t>LastCheckedAt</t>
  </si>
  <si>
    <t>LastCheckedByName</t>
  </si>
  <si>
    <t>LastCheckedByEmail</t>
  </si>
  <si>
    <t>ID</t>
  </si>
  <si>
    <t>001-1471|334922</t>
  </si>
  <si>
    <t>jesper.fredriksson@cepheid.com</t>
  </si>
  <si>
    <t>Checked</t>
  </si>
  <si>
    <t>001-1658|A17MAR25A</t>
  </si>
  <si>
    <t>elin.sidstedt@cepheid.com</t>
  </si>
  <si>
    <t/>
  </si>
  <si>
    <t>001-1683|G25OCT24C</t>
  </si>
  <si>
    <t>vivian.dao@cepheid.com</t>
  </si>
  <si>
    <t>001-1687|D20AUG24A</t>
  </si>
  <si>
    <t>001-1688|S19AUG24A</t>
  </si>
  <si>
    <t>001-1689|4141EA</t>
  </si>
  <si>
    <t>001-1922|Q24APR24B</t>
  </si>
  <si>
    <t>001-1923|B27FEB25A</t>
  </si>
  <si>
    <t>Uppdaterade qty</t>
  </si>
  <si>
    <t>500-0905|062425MZ</t>
  </si>
  <si>
    <t>500-0952|1001496372</t>
  </si>
  <si>
    <t>500-0995|1001510545</t>
  </si>
  <si>
    <t>500-1509|011922DL</t>
  </si>
  <si>
    <t>500-1514|1001497100</t>
  </si>
  <si>
    <t>500-1526|012224ELIF</t>
  </si>
  <si>
    <t>500-1529|040925MASA</t>
  </si>
  <si>
    <t>500-1544|081823VW</t>
  </si>
  <si>
    <t>500-1712|1001511780</t>
  </si>
  <si>
    <t>500-1747|052825MMM</t>
  </si>
  <si>
    <t>500-1879|012825MOWA</t>
  </si>
  <si>
    <t>500-1880|082025MATE</t>
  </si>
  <si>
    <t>500-1882|012725VW</t>
  </si>
  <si>
    <t>500-1917|073125MATE</t>
  </si>
  <si>
    <t>500-1918|032525SAMI</t>
  </si>
  <si>
    <t>500-2288|1001512409</t>
  </si>
  <si>
    <t>500-2608|1001508989</t>
  </si>
  <si>
    <t>500-2616|090325MMM</t>
  </si>
  <si>
    <t>525-00017|071924MATE</t>
  </si>
  <si>
    <t>525-00018|102125MMM</t>
  </si>
  <si>
    <t>525-00033|042325MMM</t>
  </si>
  <si>
    <t>525-00035|082625MASA</t>
  </si>
  <si>
    <t>525-00036|041625MASA</t>
  </si>
  <si>
    <t>525-00065|031825ELIF</t>
  </si>
  <si>
    <t>525-00066|031224VW-A</t>
  </si>
  <si>
    <t>525-00071|102924MOWA</t>
  </si>
  <si>
    <t>525-00072|102924MOWA</t>
  </si>
  <si>
    <t>525-00079|041625MATE</t>
  </si>
  <si>
    <t>525-00080|051625MMM</t>
  </si>
  <si>
    <t>525-00081|080525MASA</t>
  </si>
  <si>
    <t>525-00088|081925MASA</t>
  </si>
  <si>
    <t>525-00089|081925MASA</t>
  </si>
  <si>
    <t>525-00090|071625MASA</t>
  </si>
  <si>
    <t>525-00096|012425ML</t>
  </si>
  <si>
    <t>525-00097|050725ELIF</t>
  </si>
  <si>
    <t>525-00098|021825VW</t>
  </si>
  <si>
    <t>525-00099|100325MMM</t>
  </si>
  <si>
    <t>525-00101|021125ELIF</t>
  </si>
  <si>
    <t>525-00103|070325MASA</t>
  </si>
  <si>
    <t>525-00104|030524VW-A</t>
  </si>
  <si>
    <t>525-00113|120524ELIF</t>
  </si>
  <si>
    <t>525-00114|111924VW</t>
  </si>
  <si>
    <t>525-00120|032725SAMI</t>
  </si>
  <si>
    <t>525-00131|081425ELIF</t>
  </si>
  <si>
    <t>525-00136|110325ARMO</t>
  </si>
  <si>
    <t>525-00137|082225MMM</t>
  </si>
  <si>
    <t>525-00145|031825SAMI</t>
  </si>
  <si>
    <t>525-00163|041125VW</t>
  </si>
  <si>
    <t>525-00169|121225ARMO</t>
  </si>
  <si>
    <t>325-00056|L03OCT24C</t>
  </si>
  <si>
    <t>325-00057|B04OCT24A</t>
  </si>
  <si>
    <t>525-00193|061325ELIF</t>
  </si>
  <si>
    <t>525-00194|062525MMM</t>
  </si>
  <si>
    <t>525-00195|052325MATE</t>
  </si>
  <si>
    <t>525-00196|061325MATE</t>
  </si>
  <si>
    <t>001-1968|B01NOV24B</t>
  </si>
  <si>
    <t>525-00327|022025VW</t>
  </si>
  <si>
    <t>025-00063|334632</t>
  </si>
  <si>
    <t>525-00205|051625SAMI</t>
  </si>
  <si>
    <t>001-1923|23R3R</t>
  </si>
  <si>
    <t>001-1923|24</t>
  </si>
  <si>
    <t>001-1923|123</t>
  </si>
  <si>
    <t>001-1923|LOT123</t>
  </si>
  <si>
    <t>TEST</t>
  </si>
  <si>
    <t>500-2608|1230</t>
  </si>
  <si>
    <t>525-00033|123</t>
  </si>
  <si>
    <t>001-1923|321</t>
  </si>
  <si>
    <t>TEST123</t>
  </si>
  <si>
    <t>001-1683|TEST123</t>
  </si>
  <si>
    <t>001-1683|TEST</t>
  </si>
  <si>
    <t>TEST1</t>
  </si>
  <si>
    <t>001-1683|TEST1</t>
  </si>
  <si>
    <t>789</t>
  </si>
  <si>
    <t>001-1683|789</t>
  </si>
  <si>
    <t>Not checked</t>
  </si>
  <si>
    <t>654</t>
  </si>
  <si>
    <t>001-1683|654</t>
  </si>
  <si>
    <t>500ASF</t>
  </si>
  <si>
    <t>500-0995|500ASF</t>
  </si>
  <si>
    <t>10010</t>
  </si>
  <si>
    <t>500-0995|10010</t>
  </si>
  <si>
    <t>FSDFSA</t>
  </si>
  <si>
    <t>500-0995|FSDFSA</t>
  </si>
  <si>
    <t>547</t>
  </si>
  <si>
    <t>500-0995|547</t>
  </si>
  <si>
    <t>1001515809</t>
  </si>
  <si>
    <t>500-2608|1001515809</t>
  </si>
  <si>
    <t>3 NEG 3 POS</t>
  </si>
  <si>
    <t>1001517370</t>
  </si>
  <si>
    <t>500-0995|1001517370</t>
  </si>
  <si>
    <t>525-00097|102825ARMO</t>
  </si>
  <si>
    <t>IPT Kylskåp POS</t>
  </si>
  <si>
    <t>IPT Kylskåp
POS &amp; NEG</t>
  </si>
  <si>
    <t>001-1923|TEST</t>
  </si>
  <si>
    <t>Test</t>
  </si>
  <si>
    <t>lådor</t>
  </si>
  <si>
    <t>J04FEB25A</t>
  </si>
  <si>
    <t>001-1686|J04FEB25A</t>
  </si>
  <si>
    <t>Rör</t>
  </si>
  <si>
    <t>rör</t>
  </si>
  <si>
    <t>4 rör NEG &amp; 1 låda POS</t>
  </si>
  <si>
    <t>060525Masa</t>
  </si>
  <si>
    <t>POS</t>
  </si>
  <si>
    <t>123TEST</t>
  </si>
  <si>
    <t>001-1471|123TEST</t>
  </si>
  <si>
    <t>POS och NEG</t>
  </si>
  <si>
    <t>K04FEB25A</t>
  </si>
  <si>
    <t>001-1687|K04FEB25A</t>
  </si>
  <si>
    <t>001-1688|C03FEB25A</t>
  </si>
  <si>
    <t>335690</t>
  </si>
  <si>
    <t>025-00063|335690</t>
  </si>
  <si>
    <t>NEG</t>
  </si>
  <si>
    <t>336020</t>
  </si>
  <si>
    <t>325-00074|336020</t>
  </si>
  <si>
    <t>336019</t>
  </si>
  <si>
    <t>325-00075|336019</t>
  </si>
  <si>
    <t>1001515040</t>
  </si>
  <si>
    <t>500-0952|1001515040</t>
  </si>
  <si>
    <t>1001518066</t>
  </si>
  <si>
    <t>500-0995|1001518066</t>
  </si>
  <si>
    <t>1001517662</t>
  </si>
  <si>
    <t>500-1514|1001517662</t>
  </si>
  <si>
    <t>1001506334</t>
  </si>
  <si>
    <t>500-1514|1001506334</t>
  </si>
  <si>
    <t>500-1529|120425MMM</t>
  </si>
  <si>
    <t>500-1544|011624MATE</t>
  </si>
  <si>
    <t>1001525749</t>
  </si>
  <si>
    <t>500-1712|1001525749</t>
  </si>
  <si>
    <t>500-1879|082025MATE</t>
  </si>
  <si>
    <t>500-1882|081925ELIF</t>
  </si>
  <si>
    <t>1001516526</t>
  </si>
  <si>
    <t>500-2288|1001516526</t>
  </si>
  <si>
    <t>1001521504</t>
  </si>
  <si>
    <t>500-2288|1001521504</t>
  </si>
  <si>
    <t>12345</t>
  </si>
  <si>
    <t>001-1683|12345</t>
  </si>
  <si>
    <t>Vivian Dao</t>
  </si>
  <si>
    <t>hej</t>
  </si>
  <si>
    <t>525-00018|112025MMM</t>
  </si>
  <si>
    <t>071625MMM</t>
  </si>
  <si>
    <t>525-00033|071625MMM</t>
  </si>
  <si>
    <t>091225ELIF</t>
  </si>
  <si>
    <t>525-00033|091225ELIF</t>
  </si>
  <si>
    <t>050525MASA</t>
  </si>
  <si>
    <t>525-00035|050525MASA</t>
  </si>
  <si>
    <t>525-00096|102825ARMO</t>
  </si>
  <si>
    <t>525-00098|102225SAMI</t>
  </si>
  <si>
    <t>100825ELIF</t>
  </si>
  <si>
    <t>525-00103|100825ELIF</t>
  </si>
  <si>
    <t>525-00104|030724VW-B</t>
  </si>
  <si>
    <t>013125ELIF</t>
  </si>
  <si>
    <t>525-00114|013125ELIF</t>
  </si>
  <si>
    <t>1 Låda NEG</t>
  </si>
  <si>
    <t>525-00120|081425ELIF</t>
  </si>
  <si>
    <t>525-00131|101425MMM</t>
  </si>
  <si>
    <t>051325MASA</t>
  </si>
  <si>
    <t>525-00145|051325MASA</t>
  </si>
  <si>
    <t>101725ELIF</t>
  </si>
  <si>
    <t>525-00193|101725ELIF</t>
  </si>
  <si>
    <t>091825MMM</t>
  </si>
  <si>
    <t>525-00194|091825MMM</t>
  </si>
  <si>
    <t>100325MASA</t>
  </si>
  <si>
    <t>525-00195|100325MASA</t>
  </si>
  <si>
    <t>101625MASA</t>
  </si>
  <si>
    <t>525-00196|101625MASA</t>
  </si>
  <si>
    <t>050625MATE</t>
  </si>
  <si>
    <t>525-00205|050625MATE</t>
  </si>
  <si>
    <t>IPT Kylskåp NEG</t>
  </si>
  <si>
    <t>IPT -80°C</t>
  </si>
  <si>
    <t>IPT kylskåp</t>
  </si>
  <si>
    <t>IPT -20°C</t>
  </si>
  <si>
    <t>låda</t>
  </si>
  <si>
    <t>336271 - NEG</t>
  </si>
  <si>
    <t>001-1471|336271 - NEG</t>
  </si>
  <si>
    <t>336271 - POS</t>
  </si>
  <si>
    <t>001-1471|336271 - POS</t>
  </si>
  <si>
    <t>4325EA</t>
  </si>
  <si>
    <t>001-1689|4325EA</t>
  </si>
  <si>
    <t>H10SEP25B</t>
  </si>
  <si>
    <t>001-1922|H10SEP25B</t>
  </si>
  <si>
    <t>Q24APR24C</t>
  </si>
  <si>
    <t>001-1922|Q24APR24C</t>
  </si>
  <si>
    <t>1001528927</t>
  </si>
  <si>
    <t>500-0995|1001528927</t>
  </si>
  <si>
    <t>1001533028</t>
  </si>
  <si>
    <t>500-0995|1001533028</t>
  </si>
  <si>
    <t>1001532707</t>
  </si>
  <si>
    <t>500-0995|1001532707</t>
  </si>
  <si>
    <t>1001529668</t>
  </si>
  <si>
    <t>500-1514|1001529668</t>
  </si>
  <si>
    <t>012624MATE</t>
  </si>
  <si>
    <t>500-1526|012624MATE</t>
  </si>
  <si>
    <t>1001531457</t>
  </si>
  <si>
    <t>500-1712|1001531457</t>
  </si>
  <si>
    <t>1001530108</t>
  </si>
  <si>
    <t>500-2288|1001530108</t>
  </si>
  <si>
    <t>1001534879</t>
  </si>
  <si>
    <t>500-2608|1001534879</t>
  </si>
  <si>
    <t>Liter</t>
  </si>
  <si>
    <t>1001521539</t>
  </si>
  <si>
    <t>500-2608|1001521539</t>
  </si>
  <si>
    <t>052726MMM</t>
  </si>
  <si>
    <t>500-2616|052726MMM</t>
  </si>
  <si>
    <t>525-00018|071924MATE</t>
  </si>
  <si>
    <t>091625SAHU</t>
  </si>
  <si>
    <t>525-00033|091625SAHU</t>
  </si>
  <si>
    <t>101525ARMO</t>
  </si>
  <si>
    <t>525-00033|101525ARMO</t>
  </si>
  <si>
    <t>100925ARMO</t>
  </si>
  <si>
    <t>525-00033|100925ARMO</t>
  </si>
  <si>
    <t>031524VW-B</t>
  </si>
  <si>
    <t>525-00066|031524VW-B</t>
  </si>
  <si>
    <t>030326ARMO</t>
  </si>
  <si>
    <t>525-00079|030326ARMO</t>
  </si>
  <si>
    <t>525-00080|030326ARMO</t>
  </si>
  <si>
    <t>030526ARMO</t>
  </si>
  <si>
    <t>525-00081|030526ARMO</t>
  </si>
  <si>
    <t>052926ARMO</t>
  </si>
  <si>
    <t>525-00088|052926ARMO</t>
  </si>
  <si>
    <t>525-00089|052926ARMO</t>
  </si>
  <si>
    <t>052026MMM</t>
  </si>
  <si>
    <t>525-00090|052026MMM</t>
  </si>
  <si>
    <t>112525MATE</t>
  </si>
  <si>
    <t>525-00096|112525MATE</t>
  </si>
  <si>
    <t>012726MATE</t>
  </si>
  <si>
    <t>525-00097|012726MATE</t>
  </si>
  <si>
    <t>120225MATE</t>
  </si>
  <si>
    <t>525-00098|120225MATE</t>
  </si>
  <si>
    <t>525-00099|102225SAMI</t>
  </si>
  <si>
    <t>525-00120|101425MMM</t>
  </si>
  <si>
    <t>041726ARMO</t>
  </si>
  <si>
    <t>525-00136|041726ARMO</t>
  </si>
  <si>
    <t>041426MATE</t>
  </si>
  <si>
    <t>525-00137|041426MATE</t>
  </si>
  <si>
    <t>121525MATE</t>
  </si>
  <si>
    <t>525-00145|121525MATE</t>
  </si>
  <si>
    <t>D15JAN26A</t>
  </si>
  <si>
    <t>325-00056|D15JAN26A</t>
  </si>
  <si>
    <t>B04OCT24C</t>
  </si>
  <si>
    <t>325-00057|B04OCT24C</t>
  </si>
  <si>
    <t>121925ARMO</t>
  </si>
  <si>
    <t>525-00327|121925ARMO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</si>
</sst>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Arial"/>
      <family val="2"/>
    </font>
    <font>
      <b/>
      <sz val="18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D2D"/>
        <bgColor indexed="64"/>
      </patternFill>
    </fill>
    <fill>
      <patternFill patternType="solid">
        <fgColor rgb="FFFFA219"/>
        <bgColor indexed="64"/>
      </patternFill>
    </fill>
    <fill>
      <patternFill patternType="solid">
        <fgColor rgb="FFA462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643C0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54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7" fillId="0" borderId="1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0" fillId="0" borderId="13" xfId="0" applyBorder="1"/>
    <xf numFmtId="0" fontId="9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6" borderId="0" xfId="0" applyFill="1"/>
    <xf numFmtId="0" fontId="1" fillId="0" borderId="0" xfId="0" applyFont="1"/>
    <xf numFmtId="14" fontId="0" fillId="0" borderId="0" xfId="0" applyNumberFormat="1"/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14" fontId="3" fillId="4" borderId="25" xfId="0" applyNumberFormat="1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3" fillId="12" borderId="4" xfId="0" applyFont="1" applyFill="1" applyBorder="1"/>
    <xf numFmtId="0" fontId="3" fillId="14" borderId="24" xfId="0" applyFont="1" applyFill="1" applyBorder="1" applyAlignment="1">
      <alignment horizontal="center" vertical="center"/>
    </xf>
    <xf numFmtId="0" fontId="3" fillId="14" borderId="25" xfId="0" applyFont="1" applyFill="1" applyBorder="1" applyAlignment="1">
      <alignment horizontal="center" vertical="center"/>
    </xf>
    <xf numFmtId="164" fontId="3" fillId="14" borderId="25" xfId="0" applyNumberFormat="1" applyFont="1" applyFill="1" applyBorder="1" applyAlignment="1">
      <alignment horizontal="center" vertical="center"/>
    </xf>
    <xf numFmtId="14" fontId="3" fillId="14" borderId="27" xfId="0" applyNumberFormat="1" applyFont="1" applyFill="1" applyBorder="1" applyAlignment="1">
      <alignment horizontal="center" vertical="center"/>
    </xf>
    <xf numFmtId="0" fontId="3" fillId="14" borderId="4" xfId="0" applyFont="1" applyFill="1" applyBorder="1" applyAlignment="1">
      <alignment horizontal="center" vertical="center"/>
    </xf>
    <xf numFmtId="0" fontId="3" fillId="14" borderId="33" xfId="0" applyFont="1" applyFill="1" applyBorder="1" applyAlignment="1">
      <alignment horizontal="center" vertical="center"/>
    </xf>
    <xf numFmtId="0" fontId="3" fillId="14" borderId="32" xfId="0" applyFont="1" applyFill="1" applyBorder="1" applyAlignment="1">
      <alignment horizontal="center" vertical="center"/>
    </xf>
    <xf numFmtId="164" fontId="3" fillId="14" borderId="32" xfId="0" applyNumberFormat="1" applyFont="1" applyFill="1" applyBorder="1" applyAlignment="1">
      <alignment horizontal="center" vertical="center"/>
    </xf>
    <xf numFmtId="14" fontId="3" fillId="14" borderId="34" xfId="0" applyNumberFormat="1" applyFont="1" applyFill="1" applyBorder="1" applyAlignment="1">
      <alignment horizontal="center" vertical="center"/>
    </xf>
    <xf numFmtId="0" fontId="3" fillId="14" borderId="35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3" fillId="17" borderId="24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164" fontId="3" fillId="17" borderId="25" xfId="0" applyNumberFormat="1" applyFont="1" applyFill="1" applyBorder="1" applyAlignment="1">
      <alignment horizontal="center" vertical="center"/>
    </xf>
    <xf numFmtId="164" fontId="3" fillId="17" borderId="27" xfId="0" applyNumberFormat="1" applyFont="1" applyFill="1" applyBorder="1" applyAlignment="1">
      <alignment horizontal="center" vertical="center"/>
    </xf>
    <xf numFmtId="0" fontId="3" fillId="17" borderId="4" xfId="0" applyFont="1" applyFill="1" applyBorder="1" applyAlignment="1">
      <alignment horizontal="center" vertical="center"/>
    </xf>
    <xf numFmtId="0" fontId="3" fillId="17" borderId="33" xfId="0" applyFont="1" applyFill="1" applyBorder="1" applyAlignment="1">
      <alignment horizontal="center" vertical="center"/>
    </xf>
    <xf numFmtId="0" fontId="3" fillId="17" borderId="32" xfId="0" applyFont="1" applyFill="1" applyBorder="1" applyAlignment="1">
      <alignment horizontal="center" vertical="center"/>
    </xf>
    <xf numFmtId="164" fontId="3" fillId="17" borderId="32" xfId="0" applyNumberFormat="1" applyFont="1" applyFill="1" applyBorder="1" applyAlignment="1">
      <alignment horizontal="center" vertical="center"/>
    </xf>
    <xf numFmtId="164" fontId="3" fillId="17" borderId="34" xfId="0" applyNumberFormat="1" applyFont="1" applyFill="1" applyBorder="1" applyAlignment="1">
      <alignment horizontal="center" vertical="center"/>
    </xf>
    <xf numFmtId="0" fontId="3" fillId="17" borderId="35" xfId="0" applyFont="1" applyFill="1" applyBorder="1" applyAlignment="1">
      <alignment horizontal="center" vertical="center"/>
    </xf>
    <xf numFmtId="0" fontId="11" fillId="16" borderId="24" xfId="0" applyFont="1" applyFill="1" applyBorder="1" applyAlignment="1">
      <alignment horizontal="center" vertical="center"/>
    </xf>
    <xf numFmtId="0" fontId="11" fillId="16" borderId="25" xfId="0" applyFont="1" applyFill="1" applyBorder="1" applyAlignment="1">
      <alignment horizontal="center" vertical="center"/>
    </xf>
    <xf numFmtId="164" fontId="11" fillId="16" borderId="25" xfId="0" applyNumberFormat="1" applyFont="1" applyFill="1" applyBorder="1" applyAlignment="1">
      <alignment horizontal="center" vertical="center"/>
    </xf>
    <xf numFmtId="164" fontId="11" fillId="16" borderId="27" xfId="0" applyNumberFormat="1" applyFont="1" applyFill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1" fillId="16" borderId="33" xfId="0" applyFont="1" applyFill="1" applyBorder="1" applyAlignment="1">
      <alignment horizontal="center" vertical="center"/>
    </xf>
    <xf numFmtId="0" fontId="11" fillId="16" borderId="32" xfId="0" applyFont="1" applyFill="1" applyBorder="1" applyAlignment="1">
      <alignment horizontal="center" vertical="center"/>
    </xf>
    <xf numFmtId="164" fontId="11" fillId="16" borderId="32" xfId="0" applyNumberFormat="1" applyFont="1" applyFill="1" applyBorder="1" applyAlignment="1">
      <alignment horizontal="center" vertical="center"/>
    </xf>
    <xf numFmtId="164" fontId="11" fillId="16" borderId="34" xfId="0" applyNumberFormat="1" applyFont="1" applyFill="1" applyBorder="1" applyAlignment="1">
      <alignment horizontal="center" vertical="center"/>
    </xf>
    <xf numFmtId="0" fontId="11" fillId="16" borderId="3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1" fillId="18" borderId="24" xfId="0" applyFont="1" applyFill="1" applyBorder="1" applyAlignment="1">
      <alignment horizontal="center" vertical="center"/>
    </xf>
    <xf numFmtId="0" fontId="11" fillId="18" borderId="25" xfId="0" applyFont="1" applyFill="1" applyBorder="1" applyAlignment="1">
      <alignment horizontal="center" vertical="center"/>
    </xf>
    <xf numFmtId="164" fontId="11" fillId="18" borderId="25" xfId="0" applyNumberFormat="1" applyFont="1" applyFill="1" applyBorder="1" applyAlignment="1">
      <alignment horizontal="center" vertical="center"/>
    </xf>
    <xf numFmtId="164" fontId="11" fillId="18" borderId="27" xfId="0" applyNumberFormat="1" applyFont="1" applyFill="1" applyBorder="1" applyAlignment="1">
      <alignment horizontal="center" vertical="center"/>
    </xf>
    <xf numFmtId="0" fontId="11" fillId="18" borderId="4" xfId="0" applyFont="1" applyFill="1" applyBorder="1" applyAlignment="1">
      <alignment horizontal="center" vertical="center"/>
    </xf>
    <xf numFmtId="0" fontId="11" fillId="18" borderId="33" xfId="0" applyFont="1" applyFill="1" applyBorder="1" applyAlignment="1">
      <alignment horizontal="center" vertical="center"/>
    </xf>
    <xf numFmtId="0" fontId="11" fillId="18" borderId="32" xfId="0" applyFont="1" applyFill="1" applyBorder="1" applyAlignment="1">
      <alignment horizontal="center" vertical="center"/>
    </xf>
    <xf numFmtId="164" fontId="11" fillId="18" borderId="32" xfId="0" applyNumberFormat="1" applyFont="1" applyFill="1" applyBorder="1" applyAlignment="1">
      <alignment horizontal="center" vertical="center"/>
    </xf>
    <xf numFmtId="164" fontId="11" fillId="18" borderId="34" xfId="0" applyNumberFormat="1" applyFont="1" applyFill="1" applyBorder="1" applyAlignment="1">
      <alignment horizontal="center" vertical="center"/>
    </xf>
    <xf numFmtId="0" fontId="11" fillId="18" borderId="35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4" fontId="9" fillId="19" borderId="25" xfId="0" applyNumberFormat="1" applyFont="1" applyFill="1" applyBorder="1" applyAlignment="1">
      <alignment horizontal="center" vertical="center"/>
    </xf>
    <xf numFmtId="164" fontId="9" fillId="19" borderId="27" xfId="0" applyNumberFormat="1" applyFont="1" applyFill="1" applyBorder="1" applyAlignment="1">
      <alignment horizontal="center" vertical="center"/>
    </xf>
    <xf numFmtId="0" fontId="9" fillId="19" borderId="4" xfId="0" applyFont="1" applyFill="1" applyBorder="1" applyAlignment="1">
      <alignment horizontal="center" vertical="center"/>
    </xf>
    <xf numFmtId="0" fontId="11" fillId="21" borderId="24" xfId="0" applyFont="1" applyFill="1" applyBorder="1" applyAlignment="1">
      <alignment horizontal="center" vertical="center"/>
    </xf>
    <xf numFmtId="0" fontId="11" fillId="21" borderId="25" xfId="0" applyFont="1" applyFill="1" applyBorder="1" applyAlignment="1">
      <alignment horizontal="center" vertical="center"/>
    </xf>
    <xf numFmtId="164" fontId="11" fillId="21" borderId="25" xfId="0" applyNumberFormat="1" applyFont="1" applyFill="1" applyBorder="1" applyAlignment="1">
      <alignment horizontal="center" vertical="center"/>
    </xf>
    <xf numFmtId="14" fontId="11" fillId="21" borderId="27" xfId="0" applyNumberFormat="1" applyFont="1" applyFill="1" applyBorder="1" applyAlignment="1">
      <alignment horizontal="center" vertical="center"/>
    </xf>
    <xf numFmtId="0" fontId="11" fillId="21" borderId="4" xfId="0" applyFont="1" applyFill="1" applyBorder="1" applyAlignment="1">
      <alignment horizontal="center" vertical="center"/>
    </xf>
    <xf numFmtId="0" fontId="11" fillId="21" borderId="33" xfId="0" applyFont="1" applyFill="1" applyBorder="1" applyAlignment="1">
      <alignment horizontal="center" vertical="center"/>
    </xf>
    <xf numFmtId="0" fontId="11" fillId="21" borderId="32" xfId="0" applyFont="1" applyFill="1" applyBorder="1" applyAlignment="1">
      <alignment horizontal="center" vertical="center"/>
    </xf>
    <xf numFmtId="164" fontId="11" fillId="21" borderId="32" xfId="0" applyNumberFormat="1" applyFont="1" applyFill="1" applyBorder="1" applyAlignment="1">
      <alignment horizontal="center" vertical="center"/>
    </xf>
    <xf numFmtId="14" fontId="11" fillId="21" borderId="34" xfId="0" applyNumberFormat="1" applyFont="1" applyFill="1" applyBorder="1" applyAlignment="1">
      <alignment horizontal="center" vertical="center"/>
    </xf>
    <xf numFmtId="0" fontId="11" fillId="21" borderId="35" xfId="0" applyFont="1" applyFill="1" applyBorder="1" applyAlignment="1">
      <alignment horizontal="center" vertical="center"/>
    </xf>
    <xf numFmtId="0" fontId="7" fillId="0" borderId="0" xfId="0" applyFont="1"/>
    <xf numFmtId="14" fontId="9" fillId="19" borderId="27" xfId="0" applyNumberFormat="1" applyFont="1" applyFill="1" applyBorder="1" applyAlignment="1">
      <alignment horizontal="center" vertical="center"/>
    </xf>
    <xf numFmtId="0" fontId="3" fillId="22" borderId="24" xfId="0" applyFont="1" applyFill="1" applyBorder="1" applyAlignment="1">
      <alignment horizontal="center" vertical="center"/>
    </xf>
    <xf numFmtId="0" fontId="3" fillId="22" borderId="25" xfId="0" applyFont="1" applyFill="1" applyBorder="1" applyAlignment="1">
      <alignment horizontal="center" vertical="center"/>
    </xf>
    <xf numFmtId="164" fontId="3" fillId="22" borderId="25" xfId="0" applyNumberFormat="1" applyFont="1" applyFill="1" applyBorder="1" applyAlignment="1">
      <alignment horizontal="center" vertical="center"/>
    </xf>
    <xf numFmtId="164" fontId="3" fillId="22" borderId="27" xfId="0" applyNumberFormat="1" applyFont="1" applyFill="1" applyBorder="1" applyAlignment="1">
      <alignment horizontal="center" vertical="center"/>
    </xf>
    <xf numFmtId="0" fontId="3" fillId="22" borderId="4" xfId="0" applyFont="1" applyFill="1" applyBorder="1" applyAlignment="1">
      <alignment horizontal="center" vertical="center"/>
    </xf>
    <xf numFmtId="0" fontId="3" fillId="22" borderId="33" xfId="0" applyFont="1" applyFill="1" applyBorder="1" applyAlignment="1">
      <alignment horizontal="center" vertical="center"/>
    </xf>
    <xf numFmtId="0" fontId="3" fillId="22" borderId="32" xfId="0" applyFont="1" applyFill="1" applyBorder="1" applyAlignment="1">
      <alignment horizontal="center" vertical="center"/>
    </xf>
    <xf numFmtId="164" fontId="3" fillId="22" borderId="32" xfId="0" applyNumberFormat="1" applyFont="1" applyFill="1" applyBorder="1" applyAlignment="1">
      <alignment horizontal="center" vertical="center"/>
    </xf>
    <xf numFmtId="164" fontId="3" fillId="22" borderId="34" xfId="0" applyNumberFormat="1" applyFont="1" applyFill="1" applyBorder="1" applyAlignment="1">
      <alignment horizontal="center" vertical="center"/>
    </xf>
    <xf numFmtId="0" fontId="3" fillId="22" borderId="35" xfId="0" applyFont="1" applyFill="1" applyBorder="1" applyAlignment="1">
      <alignment horizontal="center" vertical="center"/>
    </xf>
    <xf numFmtId="0" fontId="3" fillId="23" borderId="24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/>
    </xf>
    <xf numFmtId="164" fontId="3" fillId="23" borderId="25" xfId="0" applyNumberFormat="1" applyFont="1" applyFill="1" applyBorder="1" applyAlignment="1">
      <alignment horizontal="center" vertical="center"/>
    </xf>
    <xf numFmtId="164" fontId="3" fillId="23" borderId="27" xfId="0" applyNumberFormat="1" applyFont="1" applyFill="1" applyBorder="1" applyAlignment="1">
      <alignment horizontal="center" vertical="center"/>
    </xf>
    <xf numFmtId="0" fontId="3" fillId="23" borderId="4" xfId="0" applyFont="1" applyFill="1" applyBorder="1" applyAlignment="1">
      <alignment horizontal="center" vertical="center"/>
    </xf>
    <xf numFmtId="0" fontId="3" fillId="23" borderId="33" xfId="0" applyFont="1" applyFill="1" applyBorder="1" applyAlignment="1">
      <alignment horizontal="center" vertical="center"/>
    </xf>
    <xf numFmtId="164" fontId="3" fillId="23" borderId="34" xfId="0" applyNumberFormat="1" applyFont="1" applyFill="1" applyBorder="1" applyAlignment="1">
      <alignment horizontal="center" vertical="center"/>
    </xf>
    <xf numFmtId="0" fontId="3" fillId="23" borderId="35" xfId="0" applyFont="1" applyFill="1" applyBorder="1" applyAlignment="1">
      <alignment horizontal="center" vertical="center"/>
    </xf>
    <xf numFmtId="0" fontId="3" fillId="24" borderId="24" xfId="0" applyFont="1" applyFill="1" applyBorder="1" applyAlignment="1">
      <alignment horizontal="center" vertical="center"/>
    </xf>
    <xf numFmtId="0" fontId="3" fillId="24" borderId="25" xfId="0" applyFont="1" applyFill="1" applyBorder="1" applyAlignment="1">
      <alignment horizontal="center" vertical="center"/>
    </xf>
    <xf numFmtId="164" fontId="3" fillId="24" borderId="25" xfId="0" applyNumberFormat="1" applyFont="1" applyFill="1" applyBorder="1" applyAlignment="1">
      <alignment horizontal="center" vertical="center"/>
    </xf>
    <xf numFmtId="164" fontId="3" fillId="24" borderId="27" xfId="0" applyNumberFormat="1" applyFont="1" applyFill="1" applyBorder="1" applyAlignment="1">
      <alignment horizontal="center" vertical="center"/>
    </xf>
    <xf numFmtId="0" fontId="3" fillId="24" borderId="4" xfId="0" applyFont="1" applyFill="1" applyBorder="1" applyAlignment="1">
      <alignment horizontal="center" vertical="center"/>
    </xf>
    <xf numFmtId="0" fontId="3" fillId="24" borderId="33" xfId="0" applyFont="1" applyFill="1" applyBorder="1" applyAlignment="1">
      <alignment horizontal="center" vertical="center"/>
    </xf>
    <xf numFmtId="0" fontId="3" fillId="24" borderId="32" xfId="0" applyFont="1" applyFill="1" applyBorder="1" applyAlignment="1">
      <alignment horizontal="center" vertical="center"/>
    </xf>
    <xf numFmtId="164" fontId="3" fillId="24" borderId="32" xfId="0" applyNumberFormat="1" applyFont="1" applyFill="1" applyBorder="1" applyAlignment="1">
      <alignment horizontal="center" vertical="center"/>
    </xf>
    <xf numFmtId="164" fontId="3" fillId="24" borderId="34" xfId="0" applyNumberFormat="1" applyFont="1" applyFill="1" applyBorder="1" applyAlignment="1">
      <alignment horizontal="center" vertical="center"/>
    </xf>
    <xf numFmtId="0" fontId="3" fillId="24" borderId="35" xfId="0" applyFont="1" applyFill="1" applyBorder="1" applyAlignment="1">
      <alignment horizontal="center" vertical="center"/>
    </xf>
    <xf numFmtId="0" fontId="11" fillId="25" borderId="33" xfId="0" applyFont="1" applyFill="1" applyBorder="1" applyAlignment="1">
      <alignment horizontal="center" vertical="center"/>
    </xf>
    <xf numFmtId="164" fontId="11" fillId="25" borderId="34" xfId="0" applyNumberFormat="1" applyFont="1" applyFill="1" applyBorder="1" applyAlignment="1">
      <alignment horizontal="center" vertical="center"/>
    </xf>
    <xf numFmtId="0" fontId="11" fillId="25" borderId="35" xfId="0" applyFont="1" applyFill="1" applyBorder="1" applyAlignment="1">
      <alignment horizontal="center" vertical="center"/>
    </xf>
    <xf numFmtId="0" fontId="11" fillId="25" borderId="24" xfId="0" applyFont="1" applyFill="1" applyBorder="1" applyAlignment="1">
      <alignment horizontal="center" vertical="center"/>
    </xf>
    <xf numFmtId="0" fontId="11" fillId="25" borderId="25" xfId="0" applyFont="1" applyFill="1" applyBorder="1" applyAlignment="1">
      <alignment horizontal="center" vertical="center"/>
    </xf>
    <xf numFmtId="164" fontId="11" fillId="25" borderId="25" xfId="0" applyNumberFormat="1" applyFont="1" applyFill="1" applyBorder="1" applyAlignment="1">
      <alignment horizontal="center" vertical="center"/>
    </xf>
    <xf numFmtId="164" fontId="11" fillId="25" borderId="27" xfId="0" applyNumberFormat="1" applyFont="1" applyFill="1" applyBorder="1" applyAlignment="1">
      <alignment horizontal="center" vertical="center"/>
    </xf>
    <xf numFmtId="0" fontId="11" fillId="25" borderId="4" xfId="0" applyFont="1" applyFill="1" applyBorder="1" applyAlignment="1">
      <alignment horizontal="center" vertical="center"/>
    </xf>
    <xf numFmtId="0" fontId="3" fillId="26" borderId="24" xfId="0" applyFont="1" applyFill="1" applyBorder="1" applyAlignment="1">
      <alignment horizontal="center" vertical="center"/>
    </xf>
    <xf numFmtId="0" fontId="3" fillId="26" borderId="25" xfId="0" applyFont="1" applyFill="1" applyBorder="1" applyAlignment="1">
      <alignment horizontal="center" vertical="center"/>
    </xf>
    <xf numFmtId="164" fontId="3" fillId="26" borderId="25" xfId="0" applyNumberFormat="1" applyFont="1" applyFill="1" applyBorder="1" applyAlignment="1">
      <alignment horizontal="center" vertical="center"/>
    </xf>
    <xf numFmtId="164" fontId="3" fillId="26" borderId="27" xfId="0" applyNumberFormat="1" applyFont="1" applyFill="1" applyBorder="1" applyAlignment="1">
      <alignment horizontal="center" vertical="center"/>
    </xf>
    <xf numFmtId="0" fontId="3" fillId="26" borderId="4" xfId="0" applyFont="1" applyFill="1" applyBorder="1" applyAlignment="1">
      <alignment horizontal="center" vertical="center"/>
    </xf>
    <xf numFmtId="0" fontId="3" fillId="26" borderId="33" xfId="0" applyFont="1" applyFill="1" applyBorder="1" applyAlignment="1">
      <alignment horizontal="center" vertical="center"/>
    </xf>
    <xf numFmtId="164" fontId="3" fillId="26" borderId="34" xfId="0" applyNumberFormat="1" applyFont="1" applyFill="1" applyBorder="1" applyAlignment="1">
      <alignment horizontal="center" vertical="center"/>
    </xf>
    <xf numFmtId="0" fontId="3" fillId="26" borderId="35" xfId="0" applyFont="1" applyFill="1" applyBorder="1" applyAlignment="1">
      <alignment horizontal="center" vertical="center"/>
    </xf>
    <xf numFmtId="0" fontId="11" fillId="27" borderId="24" xfId="0" applyFont="1" applyFill="1" applyBorder="1" applyAlignment="1">
      <alignment horizontal="center" vertical="center"/>
    </xf>
    <xf numFmtId="0" fontId="11" fillId="27" borderId="25" xfId="0" applyFont="1" applyFill="1" applyBorder="1" applyAlignment="1">
      <alignment horizontal="center" vertical="center"/>
    </xf>
    <xf numFmtId="164" fontId="11" fillId="27" borderId="25" xfId="0" applyNumberFormat="1" applyFont="1" applyFill="1" applyBorder="1" applyAlignment="1">
      <alignment horizontal="center" vertical="center"/>
    </xf>
    <xf numFmtId="164" fontId="11" fillId="27" borderId="27" xfId="0" applyNumberFormat="1" applyFont="1" applyFill="1" applyBorder="1" applyAlignment="1">
      <alignment horizontal="center" vertical="center"/>
    </xf>
    <xf numFmtId="0" fontId="11" fillId="27" borderId="4" xfId="0" applyFont="1" applyFill="1" applyBorder="1" applyAlignment="1">
      <alignment horizontal="center" vertical="center"/>
    </xf>
    <xf numFmtId="0" fontId="11" fillId="27" borderId="33" xfId="0" applyFont="1" applyFill="1" applyBorder="1" applyAlignment="1">
      <alignment horizontal="center" vertical="center"/>
    </xf>
    <xf numFmtId="164" fontId="11" fillId="27" borderId="34" xfId="0" applyNumberFormat="1" applyFont="1" applyFill="1" applyBorder="1" applyAlignment="1">
      <alignment horizontal="center" vertical="center"/>
    </xf>
    <xf numFmtId="0" fontId="11" fillId="27" borderId="35" xfId="0" applyFont="1" applyFill="1" applyBorder="1" applyAlignment="1">
      <alignment horizontal="center" vertical="center"/>
    </xf>
    <xf numFmtId="0" fontId="11" fillId="15" borderId="25" xfId="0" applyFont="1" applyFill="1" applyBorder="1" applyAlignment="1">
      <alignment horizontal="center" vertical="center"/>
    </xf>
    <xf numFmtId="0" fontId="11" fillId="15" borderId="24" xfId="0" applyFont="1" applyFill="1" applyBorder="1" applyAlignment="1">
      <alignment horizontal="center" vertical="center"/>
    </xf>
    <xf numFmtId="164" fontId="11" fillId="15" borderId="25" xfId="0" applyNumberFormat="1" applyFont="1" applyFill="1" applyBorder="1" applyAlignment="1">
      <alignment horizontal="center" vertical="center"/>
    </xf>
    <xf numFmtId="164" fontId="11" fillId="15" borderId="27" xfId="0" applyNumberFormat="1" applyFont="1" applyFill="1" applyBorder="1" applyAlignment="1">
      <alignment horizontal="center" vertical="center"/>
    </xf>
    <xf numFmtId="0" fontId="11" fillId="15" borderId="4" xfId="0" applyFont="1" applyFill="1" applyBorder="1" applyAlignment="1">
      <alignment horizontal="center" vertical="center"/>
    </xf>
    <xf numFmtId="0" fontId="11" fillId="15" borderId="33" xfId="0" applyFont="1" applyFill="1" applyBorder="1" applyAlignment="1">
      <alignment horizontal="center" vertical="center"/>
    </xf>
    <xf numFmtId="164" fontId="11" fillId="15" borderId="34" xfId="0" applyNumberFormat="1" applyFont="1" applyFill="1" applyBorder="1" applyAlignment="1">
      <alignment horizontal="center" vertical="center"/>
    </xf>
    <xf numFmtId="0" fontId="11" fillId="15" borderId="35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164" fontId="3" fillId="5" borderId="25" xfId="0" applyNumberFormat="1" applyFont="1" applyFill="1" applyBorder="1" applyAlignment="1">
      <alignment horizontal="center" vertical="center"/>
    </xf>
    <xf numFmtId="164" fontId="3" fillId="5" borderId="27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164" fontId="3" fillId="5" borderId="34" xfId="0" applyNumberFormat="1" applyFont="1" applyFill="1" applyBorder="1" applyAlignment="1">
      <alignment horizontal="center" vertical="center"/>
    </xf>
    <xf numFmtId="0" fontId="3" fillId="5" borderId="35" xfId="0" applyFont="1" applyFill="1" applyBorder="1" applyAlignment="1">
      <alignment horizontal="center" vertical="center"/>
    </xf>
    <xf numFmtId="0" fontId="3" fillId="28" borderId="24" xfId="0" applyFont="1" applyFill="1" applyBorder="1" applyAlignment="1">
      <alignment horizontal="center" vertical="center"/>
    </xf>
    <xf numFmtId="0" fontId="3" fillId="28" borderId="25" xfId="0" applyFont="1" applyFill="1" applyBorder="1" applyAlignment="1">
      <alignment horizontal="center" vertical="center"/>
    </xf>
    <xf numFmtId="164" fontId="3" fillId="28" borderId="25" xfId="0" applyNumberFormat="1" applyFont="1" applyFill="1" applyBorder="1" applyAlignment="1">
      <alignment horizontal="center" vertical="center"/>
    </xf>
    <xf numFmtId="164" fontId="3" fillId="28" borderId="27" xfId="0" applyNumberFormat="1" applyFont="1" applyFill="1" applyBorder="1" applyAlignment="1">
      <alignment horizontal="center" vertical="center"/>
    </xf>
    <xf numFmtId="0" fontId="3" fillId="28" borderId="4" xfId="0" applyFont="1" applyFill="1" applyBorder="1" applyAlignment="1">
      <alignment horizontal="center" vertical="center"/>
    </xf>
    <xf numFmtId="0" fontId="3" fillId="28" borderId="33" xfId="0" applyFont="1" applyFill="1" applyBorder="1" applyAlignment="1">
      <alignment horizontal="center" vertical="center"/>
    </xf>
    <xf numFmtId="0" fontId="3" fillId="28" borderId="32" xfId="0" applyFont="1" applyFill="1" applyBorder="1" applyAlignment="1">
      <alignment horizontal="center" vertical="center"/>
    </xf>
    <xf numFmtId="164" fontId="3" fillId="28" borderId="32" xfId="0" applyNumberFormat="1" applyFont="1" applyFill="1" applyBorder="1" applyAlignment="1">
      <alignment horizontal="center" vertical="center"/>
    </xf>
    <xf numFmtId="164" fontId="3" fillId="28" borderId="34" xfId="0" applyNumberFormat="1" applyFont="1" applyFill="1" applyBorder="1" applyAlignment="1">
      <alignment horizontal="center" vertical="center"/>
    </xf>
    <xf numFmtId="0" fontId="3" fillId="28" borderId="3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29" borderId="24" xfId="0" applyFont="1" applyFill="1" applyBorder="1" applyAlignment="1">
      <alignment horizontal="center" vertical="center"/>
    </xf>
    <xf numFmtId="0" fontId="3" fillId="29" borderId="25" xfId="0" applyFont="1" applyFill="1" applyBorder="1" applyAlignment="1">
      <alignment horizontal="center" vertical="center"/>
    </xf>
    <xf numFmtId="164" fontId="3" fillId="29" borderId="25" xfId="0" applyNumberFormat="1" applyFont="1" applyFill="1" applyBorder="1" applyAlignment="1">
      <alignment horizontal="center" vertical="center"/>
    </xf>
    <xf numFmtId="164" fontId="3" fillId="29" borderId="27" xfId="0" applyNumberFormat="1" applyFont="1" applyFill="1" applyBorder="1" applyAlignment="1">
      <alignment horizontal="center" vertical="center"/>
    </xf>
    <xf numFmtId="0" fontId="3" fillId="29" borderId="4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3" fillId="4" borderId="25" xfId="0" applyFont="1" applyFill="1" applyBorder="1" applyAlignment="1">
      <alignment horizontal="center" vertical="center" wrapText="1"/>
    </xf>
    <xf numFmtId="0" fontId="3" fillId="30" borderId="24" xfId="0" applyFont="1" applyFill="1" applyBorder="1" applyAlignment="1">
      <alignment horizontal="center" vertical="center"/>
    </xf>
    <xf numFmtId="0" fontId="3" fillId="30" borderId="25" xfId="0" applyFont="1" applyFill="1" applyBorder="1" applyAlignment="1">
      <alignment horizontal="center" vertical="center"/>
    </xf>
    <xf numFmtId="164" fontId="3" fillId="30" borderId="25" xfId="0" applyNumberFormat="1" applyFont="1" applyFill="1" applyBorder="1" applyAlignment="1">
      <alignment horizontal="center" vertical="center"/>
    </xf>
    <xf numFmtId="164" fontId="3" fillId="30" borderId="27" xfId="0" applyNumberFormat="1" applyFont="1" applyFill="1" applyBorder="1" applyAlignment="1">
      <alignment horizontal="center" vertical="center"/>
    </xf>
    <xf numFmtId="0" fontId="3" fillId="30" borderId="4" xfId="0" applyFont="1" applyFill="1" applyBorder="1" applyAlignment="1">
      <alignment horizontal="center" vertical="center"/>
    </xf>
    <xf numFmtId="0" fontId="3" fillId="30" borderId="33" xfId="0" applyFont="1" applyFill="1" applyBorder="1" applyAlignment="1">
      <alignment horizontal="center" vertical="center"/>
    </xf>
    <xf numFmtId="164" fontId="3" fillId="30" borderId="34" xfId="0" applyNumberFormat="1" applyFont="1" applyFill="1" applyBorder="1" applyAlignment="1">
      <alignment horizontal="center" vertical="center"/>
    </xf>
    <xf numFmtId="0" fontId="3" fillId="30" borderId="35" xfId="0" applyFont="1" applyFill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center" vertical="center"/>
    </xf>
    <xf numFmtId="164" fontId="11" fillId="6" borderId="25" xfId="0" applyNumberFormat="1" applyFont="1" applyFill="1" applyBorder="1" applyAlignment="1">
      <alignment horizontal="center" vertical="center"/>
    </xf>
    <xf numFmtId="164" fontId="11" fillId="6" borderId="27" xfId="0" applyNumberFormat="1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31" borderId="24" xfId="0" applyFont="1" applyFill="1" applyBorder="1" applyAlignment="1">
      <alignment horizontal="center" vertical="center"/>
    </xf>
    <xf numFmtId="0" fontId="11" fillId="31" borderId="25" xfId="0" applyFont="1" applyFill="1" applyBorder="1" applyAlignment="1">
      <alignment horizontal="center" vertical="center"/>
    </xf>
    <xf numFmtId="164" fontId="11" fillId="31" borderId="25" xfId="0" applyNumberFormat="1" applyFont="1" applyFill="1" applyBorder="1" applyAlignment="1">
      <alignment horizontal="center" vertical="center"/>
    </xf>
    <xf numFmtId="164" fontId="11" fillId="31" borderId="27" xfId="0" applyNumberFormat="1" applyFont="1" applyFill="1" applyBorder="1" applyAlignment="1">
      <alignment horizontal="center" vertical="center"/>
    </xf>
    <xf numFmtId="0" fontId="11" fillId="31" borderId="4" xfId="0" applyFont="1" applyFill="1" applyBorder="1" applyAlignment="1">
      <alignment horizontal="center" vertical="center"/>
    </xf>
    <xf numFmtId="0" fontId="11" fillId="31" borderId="33" xfId="0" applyFont="1" applyFill="1" applyBorder="1" applyAlignment="1">
      <alignment horizontal="center" vertical="center"/>
    </xf>
    <xf numFmtId="0" fontId="11" fillId="31" borderId="32" xfId="0" applyFont="1" applyFill="1" applyBorder="1" applyAlignment="1">
      <alignment horizontal="center" vertical="center"/>
    </xf>
    <xf numFmtId="164" fontId="11" fillId="31" borderId="32" xfId="0" applyNumberFormat="1" applyFont="1" applyFill="1" applyBorder="1" applyAlignment="1">
      <alignment horizontal="center" vertical="center"/>
    </xf>
    <xf numFmtId="164" fontId="11" fillId="31" borderId="34" xfId="0" applyNumberFormat="1" applyFont="1" applyFill="1" applyBorder="1" applyAlignment="1">
      <alignment horizontal="center" vertical="center"/>
    </xf>
    <xf numFmtId="0" fontId="11" fillId="31" borderId="35" xfId="0" applyFont="1" applyFill="1" applyBorder="1" applyAlignment="1">
      <alignment horizontal="center" vertical="center"/>
    </xf>
    <xf numFmtId="0" fontId="3" fillId="32" borderId="24" xfId="0" applyFont="1" applyFill="1" applyBorder="1" applyAlignment="1">
      <alignment horizontal="center" vertical="center"/>
    </xf>
    <xf numFmtId="0" fontId="3" fillId="32" borderId="25" xfId="0" applyFont="1" applyFill="1" applyBorder="1" applyAlignment="1">
      <alignment horizontal="center" vertical="center"/>
    </xf>
    <xf numFmtId="164" fontId="3" fillId="32" borderId="25" xfId="0" applyNumberFormat="1" applyFont="1" applyFill="1" applyBorder="1" applyAlignment="1">
      <alignment horizontal="center" vertical="center"/>
    </xf>
    <xf numFmtId="164" fontId="3" fillId="32" borderId="27" xfId="0" applyNumberFormat="1" applyFont="1" applyFill="1" applyBorder="1" applyAlignment="1">
      <alignment horizontal="center" vertical="center"/>
    </xf>
    <xf numFmtId="0" fontId="3" fillId="32" borderId="4" xfId="0" applyFont="1" applyFill="1" applyBorder="1" applyAlignment="1">
      <alignment horizontal="center" vertical="center"/>
    </xf>
    <xf numFmtId="0" fontId="3" fillId="32" borderId="33" xfId="0" applyFont="1" applyFill="1" applyBorder="1" applyAlignment="1">
      <alignment horizontal="center" vertical="center"/>
    </xf>
    <xf numFmtId="164" fontId="3" fillId="32" borderId="34" xfId="0" applyNumberFormat="1" applyFont="1" applyFill="1" applyBorder="1" applyAlignment="1">
      <alignment horizontal="center" vertical="center"/>
    </xf>
    <xf numFmtId="0" fontId="3" fillId="32" borderId="35" xfId="0" applyFont="1" applyFill="1" applyBorder="1" applyAlignment="1">
      <alignment horizontal="center" vertical="center"/>
    </xf>
    <xf numFmtId="0" fontId="3" fillId="12" borderId="4" xfId="0" applyFont="1" applyFill="1" applyBorder="1" applyAlignment="1">
      <alignment horizontal="center" vertical="center"/>
    </xf>
    <xf numFmtId="0" fontId="0" fillId="33" borderId="0" xfId="0" applyFill="1"/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164" fontId="3" fillId="3" borderId="25" xfId="0" applyNumberFormat="1" applyFont="1" applyFill="1" applyBorder="1" applyAlignment="1">
      <alignment horizontal="center" vertical="center"/>
    </xf>
    <xf numFmtId="164" fontId="3" fillId="3" borderId="27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4" fillId="21" borderId="9" xfId="0" applyFont="1" applyFill="1" applyBorder="1" applyAlignment="1">
      <alignment horizontal="left" vertical="top"/>
    </xf>
    <xf numFmtId="0" fontId="15" fillId="34" borderId="9" xfId="0" applyFont="1" applyFill="1" applyBorder="1" applyAlignment="1">
      <alignment horizontal="left" vertical="top"/>
    </xf>
    <xf numFmtId="164" fontId="15" fillId="35" borderId="9" xfId="0" applyNumberFormat="1" applyFont="1" applyFill="1" applyBorder="1" applyAlignment="1">
      <alignment horizontal="left" vertical="top"/>
    </xf>
    <xf numFmtId="0" fontId="15" fillId="21" borderId="9" xfId="0" applyFont="1" applyFill="1" applyBorder="1" applyAlignment="1">
      <alignment horizontal="left" vertical="top"/>
    </xf>
    <xf numFmtId="0" fontId="15" fillId="36" borderId="9" xfId="0" applyFont="1" applyFill="1" applyBorder="1" applyAlignment="1">
      <alignment horizontal="left" vertical="top"/>
    </xf>
    <xf numFmtId="0" fontId="15" fillId="37" borderId="9" xfId="0" applyFont="1" applyFill="1" applyBorder="1" applyAlignment="1">
      <alignment horizontal="left" vertical="top"/>
    </xf>
    <xf numFmtId="0" fontId="15" fillId="25" borderId="9" xfId="0" applyFont="1" applyFill="1" applyBorder="1" applyAlignment="1">
      <alignment horizontal="left" vertical="top"/>
    </xf>
    <xf numFmtId="0" fontId="15" fillId="6" borderId="9" xfId="0" applyFont="1" applyFill="1" applyBorder="1" applyAlignment="1">
      <alignment horizontal="left" vertical="top"/>
    </xf>
    <xf numFmtId="0" fontId="16" fillId="21" borderId="9" xfId="0" applyFont="1" applyFill="1" applyBorder="1" applyAlignment="1">
      <alignment horizontal="left" vertical="top"/>
    </xf>
    <xf numFmtId="0" fontId="16" fillId="34" borderId="9" xfId="0" applyFont="1" applyFill="1" applyBorder="1" applyAlignment="1">
      <alignment horizontal="left" vertical="top"/>
    </xf>
    <xf numFmtId="164" fontId="16" fillId="35" borderId="9" xfId="0" applyNumberFormat="1" applyFont="1" applyFill="1" applyBorder="1" applyAlignment="1">
      <alignment horizontal="left" vertical="top"/>
    </xf>
    <xf numFmtId="0" fontId="16" fillId="36" borderId="9" xfId="0" applyFont="1" applyFill="1" applyBorder="1" applyAlignment="1">
      <alignment horizontal="left" vertical="top"/>
    </xf>
    <xf numFmtId="0" fontId="16" fillId="37" borderId="9" xfId="0" applyFont="1" applyFill="1" applyBorder="1" applyAlignment="1">
      <alignment horizontal="left" vertical="top"/>
    </xf>
    <xf numFmtId="0" fontId="16" fillId="25" borderId="9" xfId="0" applyFont="1" applyFill="1" applyBorder="1" applyAlignment="1">
      <alignment horizontal="left" vertical="top"/>
    </xf>
    <xf numFmtId="0" fontId="16" fillId="6" borderId="9" xfId="0" applyFont="1" applyFill="1" applyBorder="1" applyAlignment="1">
      <alignment horizontal="left" vertical="top"/>
    </xf>
    <xf numFmtId="0" fontId="13" fillId="6" borderId="9" xfId="0" applyFont="1" applyFill="1" applyBorder="1" applyAlignment="1">
      <alignment horizontal="left" vertical="top"/>
    </xf>
    <xf numFmtId="164" fontId="16" fillId="35" borderId="9" xfId="0" quotePrefix="1" applyNumberFormat="1" applyFont="1" applyFill="1" applyBorder="1" applyAlignment="1">
      <alignment horizontal="left" vertical="top"/>
    </xf>
    <xf numFmtId="0" fontId="16" fillId="25" borderId="9" xfId="0" applyFont="1" applyFill="1" applyBorder="1" applyAlignment="1">
      <alignment horizontal="left" vertical="top" wrapText="1"/>
    </xf>
    <xf numFmtId="0" fontId="16" fillId="21" borderId="9" xfId="0" applyFont="1" applyFill="1" applyBorder="1" applyAlignment="1">
      <alignment horizontal="left" vertical="top" wrapText="1"/>
    </xf>
    <xf numFmtId="0" fontId="16" fillId="34" borderId="9" xfId="0" applyFont="1" applyFill="1" applyBorder="1" applyAlignment="1">
      <alignment horizontal="left" vertical="top" wrapText="1"/>
    </xf>
    <xf numFmtId="164" fontId="16" fillId="35" borderId="9" xfId="0" applyNumberFormat="1" applyFont="1" applyFill="1" applyBorder="1" applyAlignment="1">
      <alignment horizontal="left" vertical="top" wrapText="1"/>
    </xf>
    <xf numFmtId="0" fontId="16" fillId="36" borderId="9" xfId="0" applyFont="1" applyFill="1" applyBorder="1" applyAlignment="1">
      <alignment horizontal="left" vertical="top" wrapText="1"/>
    </xf>
    <xf numFmtId="0" fontId="16" fillId="37" borderId="9" xfId="0" applyFont="1" applyFill="1" applyBorder="1" applyAlignment="1">
      <alignment horizontal="left" vertical="top" wrapText="1"/>
    </xf>
    <xf numFmtId="164" fontId="16" fillId="35" borderId="9" xfId="1" applyNumberFormat="1" applyFont="1" applyFill="1" applyBorder="1" applyAlignment="1">
      <alignment horizontal="left" vertical="top" wrapText="1"/>
    </xf>
    <xf numFmtId="14" fontId="16" fillId="21" borderId="9" xfId="0" applyNumberFormat="1" applyFont="1" applyFill="1" applyBorder="1" applyAlignment="1">
      <alignment horizontal="left" vertical="top" wrapText="1"/>
    </xf>
    <xf numFmtId="0" fontId="16" fillId="34" borderId="9" xfId="0" applyFont="1" applyFill="1" applyBorder="1"/>
    <xf numFmtId="0" fontId="16" fillId="21" borderId="9" xfId="0" applyFont="1" applyFill="1" applyBorder="1"/>
    <xf numFmtId="0" fontId="16" fillId="25" borderId="9" xfId="0" applyFont="1" applyFill="1" applyBorder="1"/>
    <xf numFmtId="0" fontId="16" fillId="36" borderId="9" xfId="0" applyFont="1" applyFill="1" applyBorder="1"/>
    <xf numFmtId="0" fontId="16" fillId="37" borderId="9" xfId="0" applyFont="1" applyFill="1" applyBorder="1"/>
    <xf numFmtId="0" fontId="16" fillId="6" borderId="9" xfId="0" applyFont="1" applyFill="1" applyBorder="1"/>
    <xf numFmtId="0" fontId="17" fillId="6" borderId="0" xfId="0" applyFont="1" applyFill="1"/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vertical="center"/>
    </xf>
    <xf numFmtId="14" fontId="4" fillId="6" borderId="0" xfId="0" applyNumberFormat="1" applyFont="1" applyFill="1" applyAlignment="1">
      <alignment vertical="center"/>
    </xf>
    <xf numFmtId="0" fontId="3" fillId="0" borderId="33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wrapText="1"/>
    </xf>
    <xf numFmtId="164" fontId="3" fillId="42" borderId="25" xfId="0" applyNumberFormat="1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3" fillId="29" borderId="33" xfId="0" applyFont="1" applyFill="1" applyBorder="1" applyAlignment="1">
      <alignment horizontal="center" vertical="center"/>
    </xf>
    <xf numFmtId="0" fontId="3" fillId="29" borderId="32" xfId="0" applyFont="1" applyFill="1" applyBorder="1" applyAlignment="1">
      <alignment horizontal="center" vertical="center"/>
    </xf>
    <xf numFmtId="164" fontId="3" fillId="29" borderId="32" xfId="0" applyNumberFormat="1" applyFont="1" applyFill="1" applyBorder="1" applyAlignment="1">
      <alignment horizontal="center" vertical="center"/>
    </xf>
    <xf numFmtId="164" fontId="3" fillId="29" borderId="34" xfId="0" applyNumberFormat="1" applyFont="1" applyFill="1" applyBorder="1" applyAlignment="1">
      <alignment horizontal="center" vertical="center"/>
    </xf>
    <xf numFmtId="0" fontId="3" fillId="29" borderId="35" xfId="0" applyFont="1" applyFill="1" applyBorder="1" applyAlignment="1">
      <alignment horizontal="center" vertical="center"/>
    </xf>
    <xf numFmtId="0" fontId="7" fillId="0" borderId="8" xfId="0" applyFont="1" applyBorder="1"/>
    <xf numFmtId="0" fontId="9" fillId="0" borderId="5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wrapText="1"/>
    </xf>
    <xf numFmtId="0" fontId="7" fillId="0" borderId="10" xfId="0" applyFont="1" applyBorder="1"/>
    <xf numFmtId="0" fontId="7" fillId="0" borderId="11" xfId="0" applyFont="1" applyBorder="1"/>
    <xf numFmtId="0" fontId="7" fillId="0" borderId="13" xfId="0" applyFont="1" applyBorder="1"/>
    <xf numFmtId="0" fontId="16" fillId="34" borderId="32" xfId="0" applyFont="1" applyFill="1" applyBorder="1"/>
    <xf numFmtId="0" fontId="11" fillId="43" borderId="24" xfId="0" applyFont="1" applyFill="1" applyBorder="1" applyAlignment="1">
      <alignment horizontal="center" vertical="center"/>
    </xf>
    <xf numFmtId="0" fontId="11" fillId="43" borderId="25" xfId="0" applyFont="1" applyFill="1" applyBorder="1" applyAlignment="1">
      <alignment horizontal="center" vertical="center"/>
    </xf>
    <xf numFmtId="164" fontId="11" fillId="43" borderId="25" xfId="0" applyNumberFormat="1" applyFont="1" applyFill="1" applyBorder="1" applyAlignment="1">
      <alignment horizontal="center" vertical="center"/>
    </xf>
    <xf numFmtId="164" fontId="11" fillId="43" borderId="27" xfId="0" applyNumberFormat="1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14" fontId="3" fillId="4" borderId="49" xfId="0" applyNumberFormat="1" applyFont="1" applyFill="1" applyBorder="1" applyAlignment="1">
      <alignment horizontal="center" vertical="center"/>
    </xf>
    <xf numFmtId="22" fontId="0" fillId="0" borderId="0" xfId="0" applyNumberFormat="1"/>
    <xf numFmtId="0" fontId="3" fillId="13" borderId="48" xfId="0" applyFont="1" applyFill="1" applyBorder="1" applyAlignment="1">
      <alignment horizontal="center" vertical="center"/>
    </xf>
    <xf numFmtId="0" fontId="3" fillId="13" borderId="49" xfId="0" applyFont="1" applyFill="1" applyBorder="1" applyAlignment="1">
      <alignment horizontal="center" vertical="center"/>
    </xf>
    <xf numFmtId="164" fontId="3" fillId="13" borderId="49" xfId="0" applyNumberFormat="1" applyFont="1" applyFill="1" applyBorder="1" applyAlignment="1">
      <alignment horizontal="center" vertical="center"/>
    </xf>
    <xf numFmtId="14" fontId="3" fillId="13" borderId="27" xfId="0" applyNumberFormat="1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164" fontId="3" fillId="4" borderId="49" xfId="0" applyNumberFormat="1" applyFont="1" applyFill="1" applyBorder="1" applyAlignment="1">
      <alignment horizontal="center" vertical="center"/>
    </xf>
    <xf numFmtId="0" fontId="11" fillId="20" borderId="48" xfId="0" applyFont="1" applyFill="1" applyBorder="1" applyAlignment="1">
      <alignment horizontal="center" vertical="center"/>
    </xf>
    <xf numFmtId="0" fontId="11" fillId="20" borderId="49" xfId="0" applyFont="1" applyFill="1" applyBorder="1" applyAlignment="1">
      <alignment horizontal="center" vertical="center"/>
    </xf>
    <xf numFmtId="164" fontId="11" fillId="20" borderId="49" xfId="0" applyNumberFormat="1" applyFont="1" applyFill="1" applyBorder="1" applyAlignment="1">
      <alignment horizontal="center" vertical="center"/>
    </xf>
    <xf numFmtId="164" fontId="11" fillId="20" borderId="27" xfId="0" applyNumberFormat="1" applyFont="1" applyFill="1" applyBorder="1" applyAlignment="1">
      <alignment horizontal="center" vertical="center"/>
    </xf>
    <xf numFmtId="0" fontId="11" fillId="20" borderId="4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45" xfId="0" applyFont="1" applyFill="1" applyBorder="1" applyAlignment="1">
      <alignment horizontal="center" vertical="center"/>
    </xf>
    <xf numFmtId="164" fontId="11" fillId="18" borderId="45" xfId="0" applyNumberFormat="1" applyFont="1" applyFill="1" applyBorder="1" applyAlignment="1">
      <alignment horizontal="center" vertical="center"/>
    </xf>
    <xf numFmtId="164" fontId="11" fillId="18" borderId="2" xfId="0" applyNumberFormat="1" applyFont="1" applyFill="1" applyBorder="1" applyAlignment="1">
      <alignment horizontal="center" vertical="center"/>
    </xf>
    <xf numFmtId="0" fontId="11" fillId="18" borderId="21" xfId="0" applyFont="1" applyFill="1" applyBorder="1" applyAlignment="1">
      <alignment horizontal="center" vertical="center"/>
    </xf>
    <xf numFmtId="0" fontId="3" fillId="29" borderId="46" xfId="0" applyFont="1" applyFill="1" applyBorder="1" applyAlignment="1">
      <alignment horizontal="center" vertical="center"/>
    </xf>
    <xf numFmtId="164" fontId="3" fillId="29" borderId="46" xfId="0" applyNumberFormat="1" applyFont="1" applyFill="1" applyBorder="1" applyAlignment="1">
      <alignment horizontal="center" vertical="center"/>
    </xf>
    <xf numFmtId="164" fontId="7" fillId="0" borderId="0" xfId="0" applyNumberFormat="1" applyFont="1"/>
    <xf numFmtId="0" fontId="3" fillId="22" borderId="46" xfId="0" applyFont="1" applyFill="1" applyBorder="1" applyAlignment="1">
      <alignment horizontal="center" vertical="center"/>
    </xf>
    <xf numFmtId="164" fontId="3" fillId="22" borderId="46" xfId="0" applyNumberFormat="1" applyFont="1" applyFill="1" applyBorder="1" applyAlignment="1">
      <alignment horizontal="center" vertical="center"/>
    </xf>
    <xf numFmtId="0" fontId="3" fillId="23" borderId="46" xfId="0" applyFont="1" applyFill="1" applyBorder="1" applyAlignment="1">
      <alignment horizontal="center" vertical="center"/>
    </xf>
    <xf numFmtId="164" fontId="3" fillId="23" borderId="46" xfId="0" applyNumberFormat="1" applyFont="1" applyFill="1" applyBorder="1" applyAlignment="1">
      <alignment horizontal="center" vertical="center"/>
    </xf>
    <xf numFmtId="0" fontId="3" fillId="32" borderId="46" xfId="0" applyFont="1" applyFill="1" applyBorder="1" applyAlignment="1">
      <alignment horizontal="center" vertical="center"/>
    </xf>
    <xf numFmtId="164" fontId="3" fillId="32" borderId="46" xfId="0" applyNumberFormat="1" applyFont="1" applyFill="1" applyBorder="1" applyAlignment="1">
      <alignment horizontal="center" vertical="center"/>
    </xf>
    <xf numFmtId="0" fontId="3" fillId="5" borderId="46" xfId="0" applyFont="1" applyFill="1" applyBorder="1" applyAlignment="1">
      <alignment horizontal="center" vertical="center"/>
    </xf>
    <xf numFmtId="164" fontId="3" fillId="5" borderId="46" xfId="0" applyNumberFormat="1" applyFont="1" applyFill="1" applyBorder="1" applyAlignment="1">
      <alignment horizontal="center" vertical="center"/>
    </xf>
    <xf numFmtId="0" fontId="11" fillId="31" borderId="46" xfId="0" applyFont="1" applyFill="1" applyBorder="1" applyAlignment="1">
      <alignment horizontal="center" vertical="center"/>
    </xf>
    <xf numFmtId="164" fontId="11" fillId="31" borderId="46" xfId="0" applyNumberFormat="1" applyFont="1" applyFill="1" applyBorder="1" applyAlignment="1">
      <alignment horizontal="center" vertical="center"/>
    </xf>
    <xf numFmtId="0" fontId="3" fillId="30" borderId="46" xfId="0" applyFont="1" applyFill="1" applyBorder="1" applyAlignment="1">
      <alignment horizontal="center" vertical="center"/>
    </xf>
    <xf numFmtId="164" fontId="3" fillId="30" borderId="46" xfId="0" applyNumberFormat="1" applyFont="1" applyFill="1" applyBorder="1" applyAlignment="1">
      <alignment horizontal="center" vertical="center"/>
    </xf>
    <xf numFmtId="0" fontId="3" fillId="24" borderId="46" xfId="0" applyFont="1" applyFill="1" applyBorder="1" applyAlignment="1">
      <alignment horizontal="center" vertical="center"/>
    </xf>
    <xf numFmtId="164" fontId="3" fillId="24" borderId="46" xfId="0" applyNumberFormat="1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164" fontId="11" fillId="15" borderId="46" xfId="0" applyNumberFormat="1" applyFont="1" applyFill="1" applyBorder="1" applyAlignment="1">
      <alignment horizontal="center" vertical="center"/>
    </xf>
    <xf numFmtId="0" fontId="11" fillId="27" borderId="46" xfId="0" applyFont="1" applyFill="1" applyBorder="1" applyAlignment="1">
      <alignment horizontal="center" vertical="center"/>
    </xf>
    <xf numFmtId="164" fontId="11" fillId="27" borderId="46" xfId="0" applyNumberFormat="1" applyFont="1" applyFill="1" applyBorder="1" applyAlignment="1">
      <alignment horizontal="center" vertical="center"/>
    </xf>
    <xf numFmtId="0" fontId="3" fillId="26" borderId="46" xfId="0" applyFont="1" applyFill="1" applyBorder="1" applyAlignment="1">
      <alignment horizontal="center" vertical="center"/>
    </xf>
    <xf numFmtId="164" fontId="3" fillId="26" borderId="46" xfId="0" applyNumberFormat="1" applyFont="1" applyFill="1" applyBorder="1" applyAlignment="1">
      <alignment horizontal="center" vertical="center"/>
    </xf>
    <xf numFmtId="0" fontId="11" fillId="25" borderId="46" xfId="0" applyFont="1" applyFill="1" applyBorder="1" applyAlignment="1">
      <alignment horizontal="center" vertical="center"/>
    </xf>
    <xf numFmtId="164" fontId="11" fillId="25" borderId="46" xfId="0" applyNumberFormat="1" applyFont="1" applyFill="1" applyBorder="1" applyAlignment="1">
      <alignment horizontal="center" vertical="center"/>
    </xf>
    <xf numFmtId="0" fontId="3" fillId="42" borderId="33" xfId="0" applyFont="1" applyFill="1" applyBorder="1" applyAlignment="1">
      <alignment horizontal="center" vertical="center"/>
    </xf>
    <xf numFmtId="0" fontId="3" fillId="42" borderId="46" xfId="0" applyFont="1" applyFill="1" applyBorder="1" applyAlignment="1">
      <alignment horizontal="center" vertical="center"/>
    </xf>
    <xf numFmtId="164" fontId="3" fillId="42" borderId="46" xfId="0" applyNumberFormat="1" applyFont="1" applyFill="1" applyBorder="1" applyAlignment="1">
      <alignment horizontal="center" vertical="center"/>
    </xf>
    <xf numFmtId="164" fontId="3" fillId="42" borderId="34" xfId="0" applyNumberFormat="1" applyFont="1" applyFill="1" applyBorder="1" applyAlignment="1">
      <alignment horizontal="center" vertical="center"/>
    </xf>
    <xf numFmtId="0" fontId="3" fillId="42" borderId="35" xfId="0" applyFont="1" applyFill="1" applyBorder="1" applyAlignment="1">
      <alignment horizontal="center" vertical="center"/>
    </xf>
    <xf numFmtId="0" fontId="11" fillId="43" borderId="48" xfId="0" applyFont="1" applyFill="1" applyBorder="1" applyAlignment="1">
      <alignment horizontal="center" vertical="center"/>
    </xf>
    <xf numFmtId="0" fontId="11" fillId="43" borderId="49" xfId="0" applyFont="1" applyFill="1" applyBorder="1" applyAlignment="1">
      <alignment horizontal="center" vertical="center"/>
    </xf>
    <xf numFmtId="164" fontId="11" fillId="43" borderId="49" xfId="0" applyNumberFormat="1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9" fillId="19" borderId="48" xfId="0" applyFont="1" applyFill="1" applyBorder="1" applyAlignment="1">
      <alignment horizontal="center" vertical="center"/>
    </xf>
    <xf numFmtId="0" fontId="9" fillId="19" borderId="49" xfId="0" applyFont="1" applyFill="1" applyBorder="1" applyAlignment="1">
      <alignment horizontal="center" vertical="center"/>
    </xf>
    <xf numFmtId="164" fontId="9" fillId="19" borderId="49" xfId="0" applyNumberFormat="1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0" fillId="0" borderId="38" xfId="0" applyBorder="1"/>
    <xf numFmtId="164" fontId="0" fillId="0" borderId="6" xfId="0" applyNumberFormat="1" applyBorder="1" applyAlignment="1">
      <alignment horizontal="center" vertical="center"/>
    </xf>
    <xf numFmtId="0" fontId="0" fillId="0" borderId="30" xfId="0" applyBorder="1"/>
    <xf numFmtId="0" fontId="0" fillId="0" borderId="5" xfId="0" applyBorder="1" applyAlignment="1">
      <alignment horizontal="center" vertical="center"/>
    </xf>
    <xf numFmtId="0" fontId="0" fillId="0" borderId="23" xfId="0" applyBorder="1"/>
    <xf numFmtId="0" fontId="0" fillId="0" borderId="36" xfId="0" applyBorder="1"/>
    <xf numFmtId="0" fontId="0" fillId="0" borderId="26" xfId="0" applyBorder="1"/>
    <xf numFmtId="0" fontId="0" fillId="0" borderId="0" xfId="0"/>
    <xf numFmtId="14" fontId="0" fillId="0" borderId="0" xfId="0" applyNumberFormat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37" xfId="0" applyBorder="1"/>
    <xf numFmtId="164" fontId="0" fillId="0" borderId="9" xfId="0" applyNumberFormat="1" applyBorder="1" applyAlignment="1">
      <alignment horizontal="center" vertical="center"/>
    </xf>
    <xf numFmtId="0" fontId="0" fillId="0" borderId="29" xfId="0" applyBorder="1"/>
    <xf numFmtId="164" fontId="0" fillId="0" borderId="12" xfId="0" applyNumberFormat="1" applyBorder="1" applyAlignment="1">
      <alignment horizontal="center" vertical="center"/>
    </xf>
    <xf numFmtId="0" fontId="0" fillId="0" borderId="31" xfId="0" applyBorder="1"/>
    <xf numFmtId="0" fontId="3" fillId="4" borderId="24" xfId="0" applyFont="1" applyFill="1" applyBorder="1" applyAlignment="1">
      <alignment horizontal="center" vertical="center" wrapText="1"/>
    </xf>
    <xf numFmtId="0" fontId="10" fillId="22" borderId="42" xfId="0" applyFont="1" applyFill="1" applyBorder="1" applyAlignment="1">
      <alignment horizontal="center" vertical="center" wrapText="1"/>
    </xf>
    <xf numFmtId="0" fontId="0" fillId="0" borderId="43" xfId="0" applyBorder="1"/>
    <xf numFmtId="0" fontId="0" fillId="0" borderId="22" xfId="0" applyBorder="1"/>
    <xf numFmtId="0" fontId="0" fillId="0" borderId="44" xfId="0" applyBorder="1" applyAlignment="1">
      <alignment horizontal="center" vertical="center" wrapText="1"/>
    </xf>
    <xf numFmtId="0" fontId="0" fillId="0" borderId="3" xfId="0" applyBorder="1"/>
    <xf numFmtId="0" fontId="0" fillId="0" borderId="8" xfId="0" applyBorder="1" applyAlignment="1">
      <alignment horizontal="center" vertical="center"/>
    </xf>
    <xf numFmtId="0" fontId="0" fillId="0" borderId="19" xfId="0" applyBorder="1"/>
    <xf numFmtId="0" fontId="0" fillId="0" borderId="18" xfId="0" applyBorder="1"/>
    <xf numFmtId="0" fontId="4" fillId="6" borderId="0" xfId="0" applyFont="1" applyFill="1" applyAlignment="1">
      <alignment horizontal="center" vertical="center"/>
    </xf>
    <xf numFmtId="0" fontId="10" fillId="40" borderId="4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20" xfId="0" applyBorder="1"/>
    <xf numFmtId="0" fontId="10" fillId="3" borderId="42" xfId="0" applyFont="1" applyFill="1" applyBorder="1" applyAlignment="1">
      <alignment horizontal="center" vertical="center" wrapText="1"/>
    </xf>
    <xf numFmtId="0" fontId="10" fillId="39" borderId="42" xfId="0" applyFont="1" applyFill="1" applyBorder="1" applyAlignment="1">
      <alignment horizontal="center" vertical="center" wrapText="1"/>
    </xf>
    <xf numFmtId="0" fontId="10" fillId="38" borderId="42" xfId="0" applyFont="1" applyFill="1" applyBorder="1" applyAlignment="1">
      <alignment horizontal="center" vertical="center" wrapText="1"/>
    </xf>
    <xf numFmtId="0" fontId="10" fillId="41" borderId="42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28" xfId="0" applyBorder="1"/>
    <xf numFmtId="0" fontId="8" fillId="11" borderId="1" xfId="0" applyFont="1" applyFill="1" applyBorder="1" applyAlignment="1">
      <alignment horizontal="center" vertical="center"/>
    </xf>
    <xf numFmtId="0" fontId="8" fillId="11" borderId="42" xfId="0" applyFont="1" applyFill="1" applyBorder="1" applyAlignment="1">
      <alignment horizontal="center" vertical="center" wrapText="1"/>
    </xf>
    <xf numFmtId="0" fontId="5" fillId="8" borderId="42" xfId="0" applyFont="1" applyFill="1" applyBorder="1" applyAlignment="1">
      <alignment horizontal="center" vertical="center" wrapText="1"/>
    </xf>
    <xf numFmtId="0" fontId="6" fillId="10" borderId="44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5" fillId="7" borderId="24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0" fontId="0" fillId="0" borderId="6" xfId="0" applyBorder="1"/>
    <xf numFmtId="0" fontId="3" fillId="4" borderId="49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9" xfId="0" applyBorder="1"/>
    <xf numFmtId="0" fontId="3" fillId="4" borderId="48" xfId="0" applyFont="1" applyFill="1" applyBorder="1" applyAlignment="1">
      <alignment horizontal="center" vertical="center" wrapText="1"/>
    </xf>
    <xf numFmtId="0" fontId="10" fillId="4" borderId="42" xfId="0" applyFont="1" applyFill="1" applyBorder="1" applyAlignment="1">
      <alignment horizontal="center" vertical="center" wrapText="1"/>
    </xf>
    <xf numFmtId="0" fontId="0" fillId="0" borderId="12" xfId="0" applyBorder="1"/>
    <xf numFmtId="0" fontId="10" fillId="13" borderId="42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10" fillId="14" borderId="42" xfId="0" applyFont="1" applyFill="1" applyBorder="1" applyAlignment="1">
      <alignment horizontal="center" vertical="center" wrapText="1"/>
    </xf>
    <xf numFmtId="0" fontId="10" fillId="17" borderId="42" xfId="0" applyFont="1" applyFill="1" applyBorder="1" applyAlignment="1">
      <alignment horizontal="center" vertical="center" wrapText="1"/>
    </xf>
    <xf numFmtId="0" fontId="4" fillId="16" borderId="42" xfId="0" applyFont="1" applyFill="1" applyBorder="1" applyAlignment="1">
      <alignment horizontal="center" vertical="center" wrapText="1"/>
    </xf>
    <xf numFmtId="0" fontId="4" fillId="18" borderId="42" xfId="0" applyFont="1" applyFill="1" applyBorder="1" applyAlignment="1">
      <alignment horizontal="center" vertical="center" wrapText="1"/>
    </xf>
    <xf numFmtId="0" fontId="4" fillId="20" borderId="42" xfId="0" applyFont="1" applyFill="1" applyBorder="1" applyAlignment="1">
      <alignment horizontal="center" vertical="center" wrapText="1"/>
    </xf>
    <xf numFmtId="0" fontId="0" fillId="0" borderId="46" xfId="0" applyBorder="1"/>
    <xf numFmtId="0" fontId="0" fillId="0" borderId="47" xfId="0" applyBorder="1"/>
    <xf numFmtId="0" fontId="10" fillId="29" borderId="42" xfId="0" applyFont="1" applyFill="1" applyBorder="1" applyAlignment="1">
      <alignment horizontal="center" vertical="center" wrapText="1"/>
    </xf>
    <xf numFmtId="0" fontId="4" fillId="21" borderId="42" xfId="0" applyFont="1" applyFill="1" applyBorder="1" applyAlignment="1">
      <alignment horizontal="center" vertical="center" wrapText="1"/>
    </xf>
    <xf numFmtId="0" fontId="12" fillId="19" borderId="42" xfId="0" applyFont="1" applyFill="1" applyBorder="1" applyAlignment="1">
      <alignment horizontal="center" vertical="center" wrapText="1"/>
    </xf>
    <xf numFmtId="0" fontId="0" fillId="0" borderId="4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0" fillId="28" borderId="42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/>
    </xf>
    <xf numFmtId="0" fontId="10" fillId="23" borderId="42" xfId="0" applyFont="1" applyFill="1" applyBorder="1" applyAlignment="1">
      <alignment horizontal="center" vertical="center" wrapText="1"/>
    </xf>
    <xf numFmtId="0" fontId="10" fillId="24" borderId="42" xfId="0" applyFont="1" applyFill="1" applyBorder="1" applyAlignment="1">
      <alignment horizontal="center" vertical="center" wrapText="1"/>
    </xf>
    <xf numFmtId="0" fontId="4" fillId="25" borderId="42" xfId="0" applyFont="1" applyFill="1" applyBorder="1" applyAlignment="1">
      <alignment horizontal="center" vertical="center" wrapText="1"/>
    </xf>
    <xf numFmtId="0" fontId="10" fillId="26" borderId="42" xfId="0" applyFont="1" applyFill="1" applyBorder="1" applyAlignment="1">
      <alignment horizontal="center" vertical="center" wrapText="1"/>
    </xf>
    <xf numFmtId="0" fontId="4" fillId="27" borderId="42" xfId="0" applyFont="1" applyFill="1" applyBorder="1" applyAlignment="1">
      <alignment horizontal="center" vertical="center" wrapText="1"/>
    </xf>
    <xf numFmtId="0" fontId="4" fillId="15" borderId="42" xfId="0" applyFont="1" applyFill="1" applyBorder="1" applyAlignment="1">
      <alignment horizontal="center" vertical="center" wrapText="1"/>
    </xf>
    <xf numFmtId="0" fontId="10" fillId="4" borderId="42" xfId="0" applyFont="1" applyFill="1" applyBorder="1" applyAlignment="1">
      <alignment horizontal="center" vertical="center"/>
    </xf>
    <xf numFmtId="0" fontId="10" fillId="5" borderId="42" xfId="0" applyFont="1" applyFill="1" applyBorder="1" applyAlignment="1">
      <alignment horizontal="center" vertical="center" wrapText="1"/>
    </xf>
    <xf numFmtId="0" fontId="4" fillId="43" borderId="42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0" fillId="30" borderId="42" xfId="0" applyFont="1" applyFill="1" applyBorder="1" applyAlignment="1">
      <alignment horizontal="center" vertical="center" wrapText="1"/>
    </xf>
    <xf numFmtId="0" fontId="4" fillId="6" borderId="42" xfId="0" applyFont="1" applyFill="1" applyBorder="1" applyAlignment="1">
      <alignment horizontal="center" vertical="center" wrapText="1"/>
    </xf>
    <xf numFmtId="0" fontId="4" fillId="31" borderId="42" xfId="0" applyFont="1" applyFill="1" applyBorder="1" applyAlignment="1">
      <alignment horizontal="center" vertical="center" wrapText="1"/>
    </xf>
    <xf numFmtId="0" fontId="10" fillId="32" borderId="42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6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2"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yyyy\-mm\-dd;@"/>
    </dxf>
    <dxf>
      <numFmt numFmtId="164" formatCode="yyyy\-mm\-dd;@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KONTROLLPROVSFIL%20-%20Version%202.5.xlsm" TargetMode="External"/><Relationship Id="rId2" Type="http://schemas.openxmlformats.org/officeDocument/2006/relationships/externalLinkPath" Target="file:///N:\QC\QC-1\IPT\KONTROLLPROVSFIL%20-%20Version%202.5.xlsm" TargetMode="External"/><Relationship Id="rId1" Type="http://schemas.openxmlformats.org/officeDocument/2006/relationships/externalLinkPath" Target="/QC/QC-1/IPT/KONTROLLPROVSFIL%20-%20Version%202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raw_data"/>
      <sheetName val="BULK SR"/>
      <sheetName val="KUND SR"/>
      <sheetName val="MTB RIF"/>
      <sheetName val="MTB ULTRA"/>
      <sheetName val="MTB JP"/>
      <sheetName val="MTB XDR"/>
      <sheetName val="FLUVID | FLUVID+"/>
      <sheetName val="SARS-COV-2 Plus"/>
      <sheetName val="Respiratory Panel"/>
      <sheetName val="CTNG | CTNG JP"/>
      <sheetName val="C.DIFF | C.DIFF JP"/>
      <sheetName val="EBOLA"/>
      <sheetName val="HPV"/>
      <sheetName val="HBV VL"/>
      <sheetName val="HCV VL"/>
      <sheetName val="HCV VL FS"/>
      <sheetName val="HIV VL"/>
      <sheetName val="HIV VL XC"/>
      <sheetName val="HIV QA"/>
      <sheetName val="HIV QA XC"/>
      <sheetName val="GI Panel"/>
      <sheetName val="SARS-COV-2"/>
      <sheetName val="FLU RSV"/>
      <sheetName val="MRSA SA"/>
      <sheetName val="MRSA NxG"/>
      <sheetName val="NORO"/>
      <sheetName val="VAN AB"/>
      <sheetName val="GBS"/>
      <sheetName val="STREP A"/>
      <sheetName val="CARBA R"/>
    </sheetNames>
    <sheetDataSet>
      <sheetData sheetId="0">
        <row r="2">
          <cell r="A2" t="str">
            <v>001-1471</v>
          </cell>
        </row>
        <row r="3">
          <cell r="A3" t="str">
            <v>001-1471</v>
          </cell>
        </row>
        <row r="4">
          <cell r="A4" t="str">
            <v>001-1471</v>
          </cell>
        </row>
        <row r="302">
          <cell r="A302" t="str">
            <v>525-00205</v>
          </cell>
        </row>
        <row r="303">
          <cell r="A303" t="str">
            <v>525-00205</v>
          </cell>
        </row>
        <row r="304">
          <cell r="A304" t="str">
            <v>525-00205</v>
          </cell>
        </row>
        <row r="305">
          <cell r="A305" t="str">
            <v>525-00205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5FEA0A9A-4CB9-4942-A42C-AB477E4C84C7}" autoFormatId="16" applyNumberFormats="0" applyBorderFormats="0" applyFontFormats="0" applyPatternFormats="0" applyAlignmentFormats="0" applyWidthHeightFormats="0">
  <queryTableRefresh nextId="25">
    <queryTableFields count="15">
      <queryTableField id="1" name="PN" tableColumnId="1"/>
      <queryTableField id="2" name="LotNumber" tableColumnId="2"/>
      <queryTableField id="16" name="LotKey" tableColumnId="3"/>
      <queryTableField id="4" name="ExpirationDate" tableColumnId="4"/>
      <queryTableField id="5" name="Qty" tableColumnId="5"/>
      <queryTableField id="6" name="IsActive" tableColumnId="6"/>
      <queryTableField id="7" name="ChangedAt" tableColumnId="7"/>
      <queryTableField id="8" name="ChangedByName" tableColumnId="8"/>
      <queryTableField id="17" name="ChangedByEmail" tableColumnId="9"/>
      <queryTableField id="18" name="Comments" tableColumnId="10"/>
      <queryTableField id="19" name="InventoryStatus" tableColumnId="11"/>
      <queryTableField id="20" name="LastCheckedAt" tableColumnId="12"/>
      <queryTableField id="21" name="LastCheckedByName" tableColumnId="13"/>
      <queryTableField id="22" name="LastCheckedByEmail" tableColumnId="14"/>
      <queryTableField id="23" name="ID" tableColumnId="15"/>
    </queryTableFields>
    <queryTableDeletedFields count="8">
      <deletedField name="ChangedByEmail"/>
      <deletedField name="Comments"/>
      <deletedField name="LotKey"/>
      <deletedField name="InventoryStatus"/>
      <deletedField name="LastCheckedAt"/>
      <deletedField name="LastCheckedByName"/>
      <deletedField name="LastCheckedByEmail"/>
      <deletedField name="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CD04EC-679A-4B9F-945D-2EE9E936051F}" name="tblLots" displayName="tblLots" ref="A1:O161" tableType="queryTable" totalsRowShown="0">
  <autoFilter ref="A1:O161" xr:uid="{BBCD04EC-679A-4B9F-945D-2EE9E936051F}"/>
  <tableColumns count="15">
    <tableColumn id="1" xr3:uid="{F6623DEC-1775-4ABB-A6A6-FC4051B346A9}" uniqueName="1" name="PN" queryTableFieldId="1" dataDxfId="11"/>
    <tableColumn id="2" xr3:uid="{7DDBEC49-3C9C-46DA-BEF8-21C1CC950EEB}" uniqueName="2" name="LotNumber" queryTableFieldId="2" dataDxfId="10"/>
    <tableColumn id="3" xr3:uid="{4B44369A-8895-4BEF-9664-4420D7E2E480}" uniqueName="3" name="LotKey" queryTableFieldId="16" dataDxfId="9"/>
    <tableColumn id="4" xr3:uid="{BA87A518-71FB-4672-9290-A27297960CA6}" uniqueName="4" name="ExpirationDate" queryTableFieldId="4" dataDxfId="8"/>
    <tableColumn id="5" xr3:uid="{8DE32237-B52B-4A5D-84C9-4C7F204D7CB6}" uniqueName="5" name="Qty" queryTableFieldId="5"/>
    <tableColumn id="6" xr3:uid="{14DAA434-267A-41B0-8994-36FCFC8263F7}" uniqueName="6" name="IsActive" queryTableFieldId="6"/>
    <tableColumn id="7" xr3:uid="{9E6B8BA5-8D8A-4198-AA54-FCCACB8C05DB}" uniqueName="7" name="ChangedAt" queryTableFieldId="7" dataDxfId="7"/>
    <tableColumn id="8" xr3:uid="{C8C74024-3588-4664-B523-4B31525E2AB7}" uniqueName="8" name="ChangedByName" queryTableFieldId="8" dataDxfId="6"/>
    <tableColumn id="9" xr3:uid="{444A5F65-75BD-4071-A2EA-0343D3A9D4BF}" uniqueName="9" name="ChangedByEmail" queryTableFieldId="17" dataDxfId="5"/>
    <tableColumn id="10" xr3:uid="{911C94F8-7D4E-41D7-A8D5-8D5B63EFB0DB}" uniqueName="10" name="Comments" queryTableFieldId="18" dataDxfId="4"/>
    <tableColumn id="11" xr3:uid="{915687D0-B302-4F6C-87A2-36368B606F98}" uniqueName="11" name="InventoryStatus" queryTableFieldId="19" dataDxfId="3"/>
    <tableColumn id="12" xr3:uid="{DBC8DEAB-AA6D-4514-9CE6-519BD07146A0}" uniqueName="12" name="LastCheckedAt" queryTableFieldId="20" dataDxfId="2"/>
    <tableColumn id="13" xr3:uid="{97AD5D74-2DF9-4511-AE9B-E8F0A74E5636}" uniqueName="13" name="LastCheckedByName" queryTableFieldId="21" dataDxfId="1"/>
    <tableColumn id="14" xr3:uid="{4ED6B381-D0BF-4F7A-8874-35DBEF577677}" uniqueName="14" name="LastCheckedByEmail" queryTableFieldId="22" dataDxfId="0"/>
    <tableColumn id="15" xr3:uid="{5C46B258-A552-4AEA-B7E8-3C4899E428B5}" uniqueName="15" name="ID" queryTableFieldId="2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D9108-C65A-42BD-A055-32FAB81448A0}">
  <sheetPr codeName="Sheet31"/>
  <dimension ref="A1:O161"/>
  <sheetViews>
    <sheetView workbookViewId="0"/>
  </sheetViews>
  <sheetFormatPr defaultRowHeight="15" x14ac:dyDescent="0.25"/>
  <cols>
    <col min="1" max="1" width="9.7109375" bestFit="1" customWidth="1"/>
    <col min="2" max="2" width="13.42578125" bestFit="1" customWidth="1"/>
    <col min="3" max="3" width="23.42578125" style="63" bestFit="1" customWidth="1"/>
    <col min="4" max="4" width="16.5703125" bestFit="1" customWidth="1"/>
    <col min="5" max="5" width="6.42578125" bestFit="1" customWidth="1"/>
    <col min="6" max="6" width="10.28515625" style="63" bestFit="1" customWidth="1"/>
    <col min="7" max="7" width="13" bestFit="1" customWidth="1"/>
    <col min="8" max="8" width="18.5703125" customWidth="1"/>
    <col min="9" max="9" width="31.140625" bestFit="1" customWidth="1"/>
    <col min="10" max="10" width="20.85546875" bestFit="1" customWidth="1"/>
    <col min="11" max="11" width="17.42578125" bestFit="1" customWidth="1"/>
    <col min="12" max="12" width="16.42578125" bestFit="1" customWidth="1"/>
    <col min="13" max="13" width="22" bestFit="1" customWidth="1"/>
    <col min="14" max="14" width="31.140625" bestFit="1" customWidth="1"/>
    <col min="15" max="15" width="5.140625" bestFit="1" customWidth="1"/>
  </cols>
  <sheetData>
    <row r="1" spans="1:15" x14ac:dyDescent="0.25">
      <c r="A1" t="s">
        <v>0</v>
      </c>
      <c r="B1" t="s">
        <v>1</v>
      </c>
      <c r="C1" t="s">
        <v>443</v>
      </c>
      <c r="D1" s="63" t="s">
        <v>2</v>
      </c>
      <c r="E1" t="s">
        <v>3</v>
      </c>
      <c r="F1" t="s">
        <v>4</v>
      </c>
      <c r="G1" s="63" t="s">
        <v>409</v>
      </c>
      <c r="H1" t="s">
        <v>410</v>
      </c>
      <c r="I1" t="s">
        <v>444</v>
      </c>
      <c r="J1" t="s">
        <v>445</v>
      </c>
      <c r="K1" t="s">
        <v>446</v>
      </c>
      <c r="L1" t="s">
        <v>447</v>
      </c>
      <c r="M1" t="s">
        <v>448</v>
      </c>
      <c r="N1" t="s">
        <v>449</v>
      </c>
      <c r="O1" t="s">
        <v>450</v>
      </c>
    </row>
    <row r="2" spans="1:15" x14ac:dyDescent="0.25">
      <c r="A2" s="448" t="s">
        <v>25</v>
      </c>
      <c r="B2" s="448" t="s">
        <v>411</v>
      </c>
      <c r="C2" s="448" t="s">
        <v>451</v>
      </c>
      <c r="D2" s="63">
        <v>46174</v>
      </c>
      <c r="E2">
        <v>6</v>
      </c>
      <c r="F2" t="b">
        <v>0</v>
      </c>
      <c r="G2" s="63">
        <v>46183.919444444444</v>
      </c>
      <c r="H2" s="448" t="s">
        <v>412</v>
      </c>
      <c r="I2" s="448" t="s">
        <v>452</v>
      </c>
      <c r="J2" s="448" t="s">
        <v>552</v>
      </c>
      <c r="K2" s="448" t="s">
        <v>453</v>
      </c>
      <c r="L2" s="303">
        <v>46106</v>
      </c>
      <c r="M2" s="448" t="s">
        <v>412</v>
      </c>
      <c r="N2" s="448" t="s">
        <v>452</v>
      </c>
      <c r="O2">
        <v>1</v>
      </c>
    </row>
    <row r="3" spans="1:15" x14ac:dyDescent="0.25">
      <c r="A3" s="448" t="s">
        <v>15</v>
      </c>
      <c r="B3" s="448" t="s">
        <v>126</v>
      </c>
      <c r="C3" s="448" t="s">
        <v>454</v>
      </c>
      <c r="D3" s="63">
        <v>46477</v>
      </c>
      <c r="E3">
        <v>12</v>
      </c>
      <c r="F3" t="b">
        <v>1</v>
      </c>
      <c r="G3" s="63">
        <v>46183.921527777777</v>
      </c>
      <c r="H3" s="448" t="s">
        <v>412</v>
      </c>
      <c r="I3" s="448" t="s">
        <v>452</v>
      </c>
      <c r="J3" s="448"/>
      <c r="K3" s="448" t="s">
        <v>453</v>
      </c>
      <c r="L3" s="303">
        <v>46184</v>
      </c>
      <c r="M3" s="448" t="s">
        <v>412</v>
      </c>
      <c r="N3" s="448" t="s">
        <v>452</v>
      </c>
      <c r="O3">
        <v>2</v>
      </c>
    </row>
    <row r="4" spans="1:15" x14ac:dyDescent="0.25">
      <c r="A4" s="448" t="s">
        <v>9</v>
      </c>
      <c r="B4" s="448" t="s">
        <v>131</v>
      </c>
      <c r="C4" s="448" t="s">
        <v>457</v>
      </c>
      <c r="D4" s="63">
        <v>46326</v>
      </c>
      <c r="E4">
        <v>5</v>
      </c>
      <c r="F4" t="b">
        <v>1</v>
      </c>
      <c r="G4" s="63">
        <v>46183.92291666667</v>
      </c>
      <c r="H4" s="448" t="s">
        <v>412</v>
      </c>
      <c r="I4" s="448" t="s">
        <v>452</v>
      </c>
      <c r="J4" s="448" t="s">
        <v>560</v>
      </c>
      <c r="K4" s="448" t="s">
        <v>453</v>
      </c>
      <c r="L4" s="303">
        <v>46184</v>
      </c>
      <c r="M4" s="448" t="s">
        <v>412</v>
      </c>
      <c r="N4" s="448" t="s">
        <v>452</v>
      </c>
      <c r="O4">
        <v>3</v>
      </c>
    </row>
    <row r="5" spans="1:15" x14ac:dyDescent="0.25">
      <c r="A5" s="448" t="s">
        <v>103</v>
      </c>
      <c r="B5" s="448" t="s">
        <v>561</v>
      </c>
      <c r="C5" s="448" t="s">
        <v>562</v>
      </c>
      <c r="D5" s="63">
        <v>46265</v>
      </c>
      <c r="E5">
        <v>11</v>
      </c>
      <c r="F5" t="b">
        <v>1</v>
      </c>
      <c r="G5" s="63">
        <v>46183.92291666667</v>
      </c>
      <c r="H5" s="448" t="s">
        <v>412</v>
      </c>
      <c r="I5" s="448" t="s">
        <v>452</v>
      </c>
      <c r="J5" s="448" t="s">
        <v>563</v>
      </c>
      <c r="K5" s="448" t="s">
        <v>453</v>
      </c>
      <c r="L5" s="303">
        <v>46184</v>
      </c>
      <c r="M5" s="448" t="s">
        <v>412</v>
      </c>
      <c r="N5" s="448" t="s">
        <v>452</v>
      </c>
      <c r="O5">
        <v>4</v>
      </c>
    </row>
    <row r="6" spans="1:15" x14ac:dyDescent="0.25">
      <c r="A6" s="448" t="s">
        <v>102</v>
      </c>
      <c r="B6" s="448" t="s">
        <v>139</v>
      </c>
      <c r="C6" s="448" t="s">
        <v>459</v>
      </c>
      <c r="D6" s="63">
        <v>46080</v>
      </c>
      <c r="E6">
        <v>2</v>
      </c>
      <c r="F6" t="b">
        <v>0</v>
      </c>
      <c r="G6" s="63">
        <v>46113.242361111108</v>
      </c>
      <c r="H6" s="448" t="s">
        <v>412</v>
      </c>
      <c r="I6" s="448" t="s">
        <v>452</v>
      </c>
      <c r="J6" s="448"/>
      <c r="K6" s="448" t="s">
        <v>456</v>
      </c>
      <c r="L6" s="303"/>
      <c r="M6" s="448" t="s">
        <v>456</v>
      </c>
      <c r="N6" s="448" t="s">
        <v>456</v>
      </c>
      <c r="O6">
        <v>5</v>
      </c>
    </row>
    <row r="7" spans="1:15" x14ac:dyDescent="0.25">
      <c r="A7" s="448" t="s">
        <v>101</v>
      </c>
      <c r="B7" s="448" t="s">
        <v>146</v>
      </c>
      <c r="C7" s="448" t="s">
        <v>460</v>
      </c>
      <c r="D7" s="63">
        <v>46080</v>
      </c>
      <c r="E7">
        <v>1</v>
      </c>
      <c r="F7" t="b">
        <v>0</v>
      </c>
      <c r="G7" s="63">
        <v>46113.243055555555</v>
      </c>
      <c r="H7" s="448" t="s">
        <v>412</v>
      </c>
      <c r="I7" s="448" t="s">
        <v>452</v>
      </c>
      <c r="J7" s="448"/>
      <c r="K7" s="448" t="s">
        <v>456</v>
      </c>
      <c r="L7" s="303"/>
      <c r="M7" s="448" t="s">
        <v>456</v>
      </c>
      <c r="N7" s="448" t="s">
        <v>456</v>
      </c>
      <c r="O7">
        <v>6</v>
      </c>
    </row>
    <row r="8" spans="1:15" x14ac:dyDescent="0.25">
      <c r="A8" s="448" t="s">
        <v>7</v>
      </c>
      <c r="B8" s="448" t="s">
        <v>148</v>
      </c>
      <c r="C8" s="448" t="s">
        <v>461</v>
      </c>
      <c r="D8" s="63">
        <v>46162</v>
      </c>
      <c r="E8">
        <v>3</v>
      </c>
      <c r="F8" t="b">
        <v>0</v>
      </c>
      <c r="G8" s="63">
        <v>46183.924305555556</v>
      </c>
      <c r="H8" s="448" t="s">
        <v>412</v>
      </c>
      <c r="I8" s="448" t="s">
        <v>452</v>
      </c>
      <c r="J8" s="448"/>
      <c r="K8" s="448" t="s">
        <v>453</v>
      </c>
      <c r="L8" s="303">
        <v>46113</v>
      </c>
      <c r="M8" s="448" t="s">
        <v>412</v>
      </c>
      <c r="N8" s="448" t="s">
        <v>452</v>
      </c>
      <c r="O8">
        <v>7</v>
      </c>
    </row>
    <row r="9" spans="1:15" x14ac:dyDescent="0.25">
      <c r="A9" s="448" t="s">
        <v>16</v>
      </c>
      <c r="B9" s="448" t="s">
        <v>151</v>
      </c>
      <c r="C9" s="448" t="s">
        <v>462</v>
      </c>
      <c r="D9" s="63">
        <v>46115</v>
      </c>
      <c r="E9">
        <v>11</v>
      </c>
      <c r="F9" t="b">
        <v>0</v>
      </c>
      <c r="G9" s="63">
        <v>46183.924305555556</v>
      </c>
      <c r="H9" s="448" t="s">
        <v>412</v>
      </c>
      <c r="I9" s="448" t="s">
        <v>452</v>
      </c>
      <c r="J9" s="448" t="s">
        <v>564</v>
      </c>
      <c r="K9" s="448" t="s">
        <v>453</v>
      </c>
      <c r="L9" s="303">
        <v>46113</v>
      </c>
      <c r="M9" s="448" t="s">
        <v>412</v>
      </c>
      <c r="N9" s="448" t="s">
        <v>452</v>
      </c>
      <c r="O9">
        <v>8</v>
      </c>
    </row>
    <row r="10" spans="1:15" x14ac:dyDescent="0.25">
      <c r="A10" s="448" t="s">
        <v>12</v>
      </c>
      <c r="B10" s="448" t="s">
        <v>154</v>
      </c>
      <c r="C10" s="448" t="s">
        <v>463</v>
      </c>
      <c r="D10" s="63">
        <v>46446</v>
      </c>
      <c r="E10">
        <v>5</v>
      </c>
      <c r="F10" t="b">
        <v>1</v>
      </c>
      <c r="G10" s="63">
        <v>46183.925694444442</v>
      </c>
      <c r="H10" s="448" t="s">
        <v>412</v>
      </c>
      <c r="I10" s="448" t="s">
        <v>452</v>
      </c>
      <c r="J10" s="448" t="s">
        <v>464</v>
      </c>
      <c r="K10" s="448" t="s">
        <v>453</v>
      </c>
      <c r="L10" s="303">
        <v>46184</v>
      </c>
      <c r="M10" s="448" t="s">
        <v>412</v>
      </c>
      <c r="N10" s="448" t="s">
        <v>452</v>
      </c>
      <c r="O10">
        <v>9</v>
      </c>
    </row>
    <row r="11" spans="1:15" x14ac:dyDescent="0.25">
      <c r="A11" s="448" t="s">
        <v>82</v>
      </c>
      <c r="B11" s="448" t="s">
        <v>158</v>
      </c>
      <c r="C11" s="448" t="s">
        <v>465</v>
      </c>
      <c r="D11" s="63">
        <v>46928</v>
      </c>
      <c r="E11">
        <v>1</v>
      </c>
      <c r="F11" t="b">
        <v>1</v>
      </c>
      <c r="G11" s="63">
        <v>46183.925694444442</v>
      </c>
      <c r="H11" s="448" t="s">
        <v>412</v>
      </c>
      <c r="I11" s="448" t="s">
        <v>452</v>
      </c>
      <c r="J11" s="448"/>
      <c r="K11" s="448" t="s">
        <v>453</v>
      </c>
      <c r="L11" s="303">
        <v>46184</v>
      </c>
      <c r="M11" s="448" t="s">
        <v>412</v>
      </c>
      <c r="N11" s="448" t="s">
        <v>452</v>
      </c>
      <c r="O11">
        <v>10</v>
      </c>
    </row>
    <row r="12" spans="1:15" x14ac:dyDescent="0.25">
      <c r="A12" s="448" t="s">
        <v>6</v>
      </c>
      <c r="B12" s="448" t="s">
        <v>413</v>
      </c>
      <c r="C12" s="448" t="s">
        <v>466</v>
      </c>
      <c r="D12" s="63">
        <v>46063</v>
      </c>
      <c r="E12">
        <v>10</v>
      </c>
      <c r="F12" t="b">
        <v>0</v>
      </c>
      <c r="G12" s="63">
        <v>46113.248611111114</v>
      </c>
      <c r="H12" s="448" t="s">
        <v>412</v>
      </c>
      <c r="I12" s="448" t="s">
        <v>452</v>
      </c>
      <c r="J12" s="448"/>
      <c r="K12" s="448" t="s">
        <v>456</v>
      </c>
      <c r="L12" s="303"/>
      <c r="M12" s="448" t="s">
        <v>456</v>
      </c>
      <c r="N12" s="448" t="s">
        <v>456</v>
      </c>
      <c r="O12">
        <v>11</v>
      </c>
    </row>
    <row r="13" spans="1:15" x14ac:dyDescent="0.25">
      <c r="A13" s="448" t="s">
        <v>10</v>
      </c>
      <c r="B13" s="448" t="s">
        <v>414</v>
      </c>
      <c r="C13" s="448" t="s">
        <v>467</v>
      </c>
      <c r="D13" s="63">
        <v>46155</v>
      </c>
      <c r="E13">
        <v>25</v>
      </c>
      <c r="F13" t="b">
        <v>0</v>
      </c>
      <c r="G13" s="63">
        <v>46106.615972222222</v>
      </c>
      <c r="H13" s="448" t="s">
        <v>412</v>
      </c>
      <c r="I13" s="448" t="s">
        <v>452</v>
      </c>
      <c r="J13" s="448"/>
      <c r="K13" s="448" t="s">
        <v>453</v>
      </c>
      <c r="L13" s="303">
        <v>46106</v>
      </c>
      <c r="M13" s="448" t="s">
        <v>412</v>
      </c>
      <c r="N13" s="448" t="s">
        <v>452</v>
      </c>
      <c r="O13">
        <v>12</v>
      </c>
    </row>
    <row r="14" spans="1:15" x14ac:dyDescent="0.25">
      <c r="A14" s="448" t="s">
        <v>76</v>
      </c>
      <c r="B14" s="448" t="s">
        <v>170</v>
      </c>
      <c r="C14" s="448" t="s">
        <v>468</v>
      </c>
      <c r="D14" s="63">
        <v>46406</v>
      </c>
      <c r="E14">
        <v>1</v>
      </c>
      <c r="F14" t="b">
        <v>1</v>
      </c>
      <c r="G14" s="63">
        <v>46183.929166666669</v>
      </c>
      <c r="H14" s="448" t="s">
        <v>412</v>
      </c>
      <c r="I14" s="448" t="s">
        <v>452</v>
      </c>
      <c r="J14" s="448" t="s">
        <v>636</v>
      </c>
      <c r="K14" s="448" t="s">
        <v>453</v>
      </c>
      <c r="L14" s="303">
        <v>46184</v>
      </c>
      <c r="M14" s="448" t="s">
        <v>412</v>
      </c>
      <c r="N14" s="448" t="s">
        <v>452</v>
      </c>
      <c r="O14">
        <v>13</v>
      </c>
    </row>
    <row r="15" spans="1:15" x14ac:dyDescent="0.25">
      <c r="A15" s="448" t="s">
        <v>34</v>
      </c>
      <c r="B15" s="448" t="s">
        <v>415</v>
      </c>
      <c r="C15" s="448" t="s">
        <v>469</v>
      </c>
      <c r="D15" s="63">
        <v>46405</v>
      </c>
      <c r="E15">
        <v>10</v>
      </c>
      <c r="F15" t="b">
        <v>0</v>
      </c>
      <c r="G15" s="63">
        <v>46113.249305555553</v>
      </c>
      <c r="H15" s="448" t="s">
        <v>412</v>
      </c>
      <c r="I15" s="448" t="s">
        <v>452</v>
      </c>
      <c r="J15" s="448"/>
      <c r="K15" s="448" t="s">
        <v>456</v>
      </c>
      <c r="L15" s="303"/>
      <c r="M15" s="448" t="s">
        <v>456</v>
      </c>
      <c r="N15" s="448" t="s">
        <v>456</v>
      </c>
      <c r="O15">
        <v>14</v>
      </c>
    </row>
    <row r="16" spans="1:15" x14ac:dyDescent="0.25">
      <c r="A16" s="448" t="s">
        <v>32</v>
      </c>
      <c r="B16" s="448" t="s">
        <v>180</v>
      </c>
      <c r="C16" s="448" t="s">
        <v>470</v>
      </c>
      <c r="D16" s="63">
        <v>46409</v>
      </c>
      <c r="E16">
        <v>2</v>
      </c>
      <c r="F16" t="b">
        <v>1</v>
      </c>
      <c r="G16" s="63">
        <v>46183.929861111108</v>
      </c>
      <c r="H16" s="448" t="s">
        <v>412</v>
      </c>
      <c r="I16" s="448" t="s">
        <v>452</v>
      </c>
      <c r="J16" s="448"/>
      <c r="K16" s="448" t="s">
        <v>453</v>
      </c>
      <c r="L16" s="303">
        <v>46184</v>
      </c>
      <c r="M16" s="448" t="s">
        <v>412</v>
      </c>
      <c r="N16" s="448" t="s">
        <v>452</v>
      </c>
      <c r="O16">
        <v>15</v>
      </c>
    </row>
    <row r="17" spans="1:15" x14ac:dyDescent="0.25">
      <c r="A17" s="448" t="s">
        <v>36</v>
      </c>
      <c r="B17" s="448" t="s">
        <v>416</v>
      </c>
      <c r="C17" s="448" t="s">
        <v>471</v>
      </c>
      <c r="D17" s="63">
        <v>46053</v>
      </c>
      <c r="E17">
        <v>1</v>
      </c>
      <c r="F17" t="b">
        <v>0</v>
      </c>
      <c r="G17" s="63">
        <v>46113.250694444447</v>
      </c>
      <c r="H17" s="448" t="s">
        <v>412</v>
      </c>
      <c r="I17" s="448" t="s">
        <v>452</v>
      </c>
      <c r="J17" s="448"/>
      <c r="K17" s="448" t="s">
        <v>456</v>
      </c>
      <c r="L17" s="303"/>
      <c r="M17" s="448" t="s">
        <v>456</v>
      </c>
      <c r="N17" s="448" t="s">
        <v>456</v>
      </c>
      <c r="O17">
        <v>16</v>
      </c>
    </row>
    <row r="18" spans="1:15" x14ac:dyDescent="0.25">
      <c r="A18" s="448" t="s">
        <v>33</v>
      </c>
      <c r="B18" s="448" t="s">
        <v>186</v>
      </c>
      <c r="C18" s="448" t="s">
        <v>472</v>
      </c>
      <c r="D18" s="63">
        <v>46252</v>
      </c>
      <c r="E18">
        <v>1</v>
      </c>
      <c r="F18" t="b">
        <v>0</v>
      </c>
      <c r="G18" s="63">
        <v>46183.930555555555</v>
      </c>
      <c r="H18" s="448" t="s">
        <v>412</v>
      </c>
      <c r="I18" s="448" t="s">
        <v>452</v>
      </c>
      <c r="J18" s="448"/>
      <c r="K18" s="448" t="s">
        <v>453</v>
      </c>
      <c r="L18" s="303">
        <v>46113</v>
      </c>
      <c r="M18" s="448" t="s">
        <v>412</v>
      </c>
      <c r="N18" s="448" t="s">
        <v>452</v>
      </c>
      <c r="O18">
        <v>17</v>
      </c>
    </row>
    <row r="19" spans="1:15" x14ac:dyDescent="0.25">
      <c r="A19" s="448" t="s">
        <v>68</v>
      </c>
      <c r="B19" s="448" t="s">
        <v>417</v>
      </c>
      <c r="C19" s="448" t="s">
        <v>473</v>
      </c>
      <c r="D19" s="63">
        <v>46045</v>
      </c>
      <c r="E19">
        <v>10</v>
      </c>
      <c r="F19" t="b">
        <v>0</v>
      </c>
      <c r="G19" s="63">
        <v>46113.252083333333</v>
      </c>
      <c r="H19" s="448" t="s">
        <v>412</v>
      </c>
      <c r="I19" s="448" t="s">
        <v>452</v>
      </c>
      <c r="J19" s="448"/>
      <c r="K19" s="448" t="s">
        <v>456</v>
      </c>
      <c r="L19" s="303"/>
      <c r="M19" s="448" t="s">
        <v>456</v>
      </c>
      <c r="N19" s="448" t="s">
        <v>456</v>
      </c>
      <c r="O19">
        <v>18</v>
      </c>
    </row>
    <row r="20" spans="1:15" x14ac:dyDescent="0.25">
      <c r="A20" s="448" t="s">
        <v>92</v>
      </c>
      <c r="B20" s="448" t="s">
        <v>200</v>
      </c>
      <c r="C20" s="448" t="s">
        <v>474</v>
      </c>
      <c r="D20" s="63">
        <v>46535</v>
      </c>
      <c r="E20">
        <v>1</v>
      </c>
      <c r="F20" t="b">
        <v>1</v>
      </c>
      <c r="G20" s="63">
        <v>46183.931944444441</v>
      </c>
      <c r="H20" s="448" t="s">
        <v>412</v>
      </c>
      <c r="I20" s="448" t="s">
        <v>452</v>
      </c>
      <c r="J20" s="448"/>
      <c r="K20" s="448" t="s">
        <v>453</v>
      </c>
      <c r="L20" s="303">
        <v>46184</v>
      </c>
      <c r="M20" s="448" t="s">
        <v>412</v>
      </c>
      <c r="N20" s="448" t="s">
        <v>452</v>
      </c>
      <c r="O20">
        <v>19</v>
      </c>
    </row>
    <row r="21" spans="1:15" x14ac:dyDescent="0.25">
      <c r="A21" s="448" t="s">
        <v>90</v>
      </c>
      <c r="B21" s="448" t="s">
        <v>418</v>
      </c>
      <c r="C21" s="448" t="s">
        <v>475</v>
      </c>
      <c r="D21" s="63">
        <v>46049</v>
      </c>
      <c r="E21">
        <v>6</v>
      </c>
      <c r="F21" t="b">
        <v>0</v>
      </c>
      <c r="G21" s="63">
        <v>46113.25277777778</v>
      </c>
      <c r="H21" s="448" t="s">
        <v>412</v>
      </c>
      <c r="I21" s="448" t="s">
        <v>452</v>
      </c>
      <c r="J21" s="448"/>
      <c r="K21" s="448" t="s">
        <v>456</v>
      </c>
      <c r="L21" s="303"/>
      <c r="M21" s="448" t="s">
        <v>456</v>
      </c>
      <c r="N21" s="448" t="s">
        <v>456</v>
      </c>
      <c r="O21">
        <v>20</v>
      </c>
    </row>
    <row r="22" spans="1:15" x14ac:dyDescent="0.25">
      <c r="A22" s="448" t="s">
        <v>89</v>
      </c>
      <c r="B22" s="448" t="s">
        <v>203</v>
      </c>
      <c r="C22" s="448" t="s">
        <v>476</v>
      </c>
      <c r="D22" s="63">
        <v>46254</v>
      </c>
      <c r="E22">
        <v>1</v>
      </c>
      <c r="F22" t="b">
        <v>1</v>
      </c>
      <c r="G22" s="63">
        <v>46183.932638888888</v>
      </c>
      <c r="H22" s="448" t="s">
        <v>412</v>
      </c>
      <c r="I22" s="448" t="s">
        <v>452</v>
      </c>
      <c r="J22" s="448"/>
      <c r="K22" s="448" t="s">
        <v>453</v>
      </c>
      <c r="L22" s="303">
        <v>46184</v>
      </c>
      <c r="M22" s="448" t="s">
        <v>412</v>
      </c>
      <c r="N22" s="448" t="s">
        <v>452</v>
      </c>
      <c r="O22">
        <v>21</v>
      </c>
    </row>
    <row r="23" spans="1:15" x14ac:dyDescent="0.25">
      <c r="A23" s="448" t="s">
        <v>88</v>
      </c>
      <c r="B23" s="448" t="s">
        <v>419</v>
      </c>
      <c r="C23" s="448" t="s">
        <v>477</v>
      </c>
      <c r="D23" s="63">
        <v>46048</v>
      </c>
      <c r="E23">
        <v>1</v>
      </c>
      <c r="F23" t="b">
        <v>0</v>
      </c>
      <c r="G23" s="63">
        <v>46113.253472222219</v>
      </c>
      <c r="H23" s="448" t="s">
        <v>412</v>
      </c>
      <c r="I23" s="448" t="s">
        <v>452</v>
      </c>
      <c r="J23" s="448"/>
      <c r="K23" s="448" t="s">
        <v>456</v>
      </c>
      <c r="L23" s="303"/>
      <c r="M23" s="448" t="s">
        <v>456</v>
      </c>
      <c r="N23" s="448" t="s">
        <v>456</v>
      </c>
      <c r="O23">
        <v>22</v>
      </c>
    </row>
    <row r="24" spans="1:15" x14ac:dyDescent="0.25">
      <c r="A24" s="448" t="s">
        <v>44</v>
      </c>
      <c r="B24" s="448" t="s">
        <v>208</v>
      </c>
      <c r="C24" s="448" t="s">
        <v>478</v>
      </c>
      <c r="D24" s="63">
        <v>46889</v>
      </c>
      <c r="E24">
        <v>17</v>
      </c>
      <c r="F24" t="b">
        <v>1</v>
      </c>
      <c r="G24" s="63">
        <v>46183.933333333334</v>
      </c>
      <c r="H24" s="448" t="s">
        <v>412</v>
      </c>
      <c r="I24" s="448" t="s">
        <v>452</v>
      </c>
      <c r="J24" s="448" t="s">
        <v>564</v>
      </c>
      <c r="K24" s="448" t="s">
        <v>453</v>
      </c>
      <c r="L24" s="303">
        <v>46184</v>
      </c>
      <c r="M24" s="448" t="s">
        <v>412</v>
      </c>
      <c r="N24" s="448" t="s">
        <v>452</v>
      </c>
      <c r="O24">
        <v>23</v>
      </c>
    </row>
    <row r="25" spans="1:15" x14ac:dyDescent="0.25">
      <c r="A25" s="448" t="s">
        <v>45</v>
      </c>
      <c r="B25" s="448" t="s">
        <v>211</v>
      </c>
      <c r="C25" s="448" t="s">
        <v>479</v>
      </c>
      <c r="D25" s="63">
        <v>46761</v>
      </c>
      <c r="E25">
        <v>18</v>
      </c>
      <c r="F25" t="b">
        <v>1</v>
      </c>
      <c r="G25" s="63">
        <v>46183.933333333334</v>
      </c>
      <c r="H25" s="448" t="s">
        <v>412</v>
      </c>
      <c r="I25" s="448" t="s">
        <v>452</v>
      </c>
      <c r="J25" s="448" t="s">
        <v>564</v>
      </c>
      <c r="K25" s="448" t="s">
        <v>539</v>
      </c>
      <c r="L25" s="303"/>
      <c r="M25" s="448" t="s">
        <v>456</v>
      </c>
      <c r="N25" s="448" t="s">
        <v>456</v>
      </c>
      <c r="O25">
        <v>24</v>
      </c>
    </row>
    <row r="26" spans="1:15" x14ac:dyDescent="0.25">
      <c r="A26" s="448" t="s">
        <v>37</v>
      </c>
      <c r="B26" s="448" t="s">
        <v>420</v>
      </c>
      <c r="C26" s="448" t="s">
        <v>480</v>
      </c>
      <c r="D26" s="63">
        <v>46082</v>
      </c>
      <c r="E26">
        <v>0</v>
      </c>
      <c r="F26" t="b">
        <v>0</v>
      </c>
      <c r="G26" s="63">
        <v>46113.254861111112</v>
      </c>
      <c r="H26" s="448" t="s">
        <v>412</v>
      </c>
      <c r="I26" s="448" t="s">
        <v>452</v>
      </c>
      <c r="J26" s="448"/>
      <c r="K26" s="448" t="s">
        <v>456</v>
      </c>
      <c r="L26" s="303"/>
      <c r="M26" s="448" t="s">
        <v>456</v>
      </c>
      <c r="N26" s="448" t="s">
        <v>456</v>
      </c>
      <c r="O26">
        <v>25</v>
      </c>
    </row>
    <row r="27" spans="1:15" x14ac:dyDescent="0.25">
      <c r="A27" s="448" t="s">
        <v>5</v>
      </c>
      <c r="B27" s="448" t="s">
        <v>421</v>
      </c>
      <c r="C27" s="448" t="s">
        <v>481</v>
      </c>
      <c r="D27" s="63">
        <v>46086</v>
      </c>
      <c r="E27">
        <v>25</v>
      </c>
      <c r="F27" t="b">
        <v>0</v>
      </c>
      <c r="G27" s="63">
        <v>46106.378472222219</v>
      </c>
      <c r="H27" s="448" t="s">
        <v>412</v>
      </c>
      <c r="I27" s="448" t="s">
        <v>452</v>
      </c>
      <c r="J27" s="448"/>
      <c r="K27" s="448" t="s">
        <v>453</v>
      </c>
      <c r="L27" s="303">
        <v>46105</v>
      </c>
      <c r="M27" s="448" t="s">
        <v>422</v>
      </c>
      <c r="N27" s="448" t="s">
        <v>455</v>
      </c>
      <c r="O27">
        <v>26</v>
      </c>
    </row>
    <row r="28" spans="1:15" x14ac:dyDescent="0.25">
      <c r="A28" s="448" t="s">
        <v>46</v>
      </c>
      <c r="B28" s="448" t="s">
        <v>218</v>
      </c>
      <c r="C28" s="448" t="s">
        <v>482</v>
      </c>
      <c r="D28" s="63">
        <v>46295</v>
      </c>
      <c r="E28">
        <v>39</v>
      </c>
      <c r="F28" t="b">
        <v>0</v>
      </c>
      <c r="G28" s="63">
        <v>46184.131944444445</v>
      </c>
      <c r="H28" s="448" t="s">
        <v>412</v>
      </c>
      <c r="I28" s="448" t="s">
        <v>452</v>
      </c>
      <c r="J28" s="448" t="s">
        <v>564</v>
      </c>
      <c r="K28" s="448" t="s">
        <v>453</v>
      </c>
      <c r="L28" s="303">
        <v>46114</v>
      </c>
      <c r="M28" s="448" t="s">
        <v>412</v>
      </c>
      <c r="N28" s="448" t="s">
        <v>452</v>
      </c>
      <c r="O28">
        <v>27</v>
      </c>
    </row>
    <row r="29" spans="1:15" x14ac:dyDescent="0.25">
      <c r="A29" s="448" t="s">
        <v>60</v>
      </c>
      <c r="B29" s="448" t="s">
        <v>221</v>
      </c>
      <c r="C29" s="448" t="s">
        <v>483</v>
      </c>
      <c r="D29" s="63">
        <v>46332</v>
      </c>
      <c r="E29">
        <v>6</v>
      </c>
      <c r="F29" t="b">
        <v>1</v>
      </c>
      <c r="G29" s="63">
        <v>46184.132638888892</v>
      </c>
      <c r="H29" s="448" t="s">
        <v>412</v>
      </c>
      <c r="I29" s="448" t="s">
        <v>452</v>
      </c>
      <c r="J29" s="448"/>
      <c r="K29" s="448" t="s">
        <v>453</v>
      </c>
      <c r="L29" s="303">
        <v>46184</v>
      </c>
      <c r="M29" s="448" t="s">
        <v>412</v>
      </c>
      <c r="N29" s="448" t="s">
        <v>452</v>
      </c>
      <c r="O29">
        <v>28</v>
      </c>
    </row>
    <row r="30" spans="1:15" x14ac:dyDescent="0.25">
      <c r="A30" s="448" t="s">
        <v>61</v>
      </c>
      <c r="B30" s="448" t="s">
        <v>225</v>
      </c>
      <c r="C30" s="448" t="s">
        <v>484</v>
      </c>
      <c r="D30" s="63">
        <v>46791</v>
      </c>
      <c r="E30">
        <v>1</v>
      </c>
      <c r="F30" t="b">
        <v>1</v>
      </c>
      <c r="G30" s="63">
        <v>46184.132638888892</v>
      </c>
      <c r="H30" s="448" t="s">
        <v>412</v>
      </c>
      <c r="I30" s="448" t="s">
        <v>452</v>
      </c>
      <c r="J30" s="448"/>
      <c r="K30" s="448" t="s">
        <v>453</v>
      </c>
      <c r="L30" s="303">
        <v>46184</v>
      </c>
      <c r="M30" s="448" t="s">
        <v>412</v>
      </c>
      <c r="N30" s="448" t="s">
        <v>452</v>
      </c>
      <c r="O30">
        <v>29</v>
      </c>
    </row>
    <row r="31" spans="1:15" x14ac:dyDescent="0.25">
      <c r="A31" s="448" t="s">
        <v>52</v>
      </c>
      <c r="B31" s="448" t="s">
        <v>423</v>
      </c>
      <c r="C31" s="448" t="s">
        <v>485</v>
      </c>
      <c r="D31" s="63">
        <v>46134</v>
      </c>
      <c r="E31">
        <v>1</v>
      </c>
      <c r="F31" t="b">
        <v>0</v>
      </c>
      <c r="G31" s="63">
        <v>46114.020138888889</v>
      </c>
      <c r="H31" s="448" t="s">
        <v>412</v>
      </c>
      <c r="I31" s="448" t="s">
        <v>452</v>
      </c>
      <c r="J31" s="448"/>
      <c r="K31" s="448" t="s">
        <v>456</v>
      </c>
      <c r="L31" s="303"/>
      <c r="M31" s="448" t="s">
        <v>456</v>
      </c>
      <c r="N31" s="448" t="s">
        <v>456</v>
      </c>
      <c r="O31">
        <v>30</v>
      </c>
    </row>
    <row r="32" spans="1:15" x14ac:dyDescent="0.25">
      <c r="A32" s="448" t="s">
        <v>53</v>
      </c>
      <c r="B32" s="448" t="s">
        <v>424</v>
      </c>
      <c r="C32" s="448" t="s">
        <v>486</v>
      </c>
      <c r="D32" s="63">
        <v>46746</v>
      </c>
      <c r="E32">
        <v>2</v>
      </c>
      <c r="F32" t="b">
        <v>1</v>
      </c>
      <c r="G32" s="63">
        <v>46184.234027777777</v>
      </c>
      <c r="H32" s="448" t="s">
        <v>412</v>
      </c>
      <c r="I32" s="448" t="s">
        <v>452</v>
      </c>
      <c r="J32" s="448" t="s">
        <v>560</v>
      </c>
      <c r="K32" s="448" t="s">
        <v>453</v>
      </c>
      <c r="L32" s="303">
        <v>46184</v>
      </c>
      <c r="M32" s="448" t="s">
        <v>412</v>
      </c>
      <c r="N32" s="448" t="s">
        <v>452</v>
      </c>
      <c r="O32">
        <v>31</v>
      </c>
    </row>
    <row r="33" spans="1:15" x14ac:dyDescent="0.25">
      <c r="A33" s="448" t="s">
        <v>54</v>
      </c>
      <c r="B33" s="448" t="s">
        <v>425</v>
      </c>
      <c r="C33" s="448" t="s">
        <v>487</v>
      </c>
      <c r="D33" s="63">
        <v>46766</v>
      </c>
      <c r="E33">
        <v>1.5</v>
      </c>
      <c r="F33" t="b">
        <v>1</v>
      </c>
      <c r="G33" s="63">
        <v>46184.23541666667</v>
      </c>
      <c r="H33" s="448" t="s">
        <v>412</v>
      </c>
      <c r="I33" s="448" t="s">
        <v>452</v>
      </c>
      <c r="J33" s="448"/>
      <c r="K33" s="448" t="s">
        <v>453</v>
      </c>
      <c r="L33" s="303">
        <v>46184</v>
      </c>
      <c r="M33" s="448" t="s">
        <v>412</v>
      </c>
      <c r="N33" s="448" t="s">
        <v>452</v>
      </c>
      <c r="O33">
        <v>32</v>
      </c>
    </row>
    <row r="34" spans="1:15" x14ac:dyDescent="0.25">
      <c r="A34" s="448" t="s">
        <v>41</v>
      </c>
      <c r="B34" s="448" t="s">
        <v>242</v>
      </c>
      <c r="C34" s="448" t="s">
        <v>488</v>
      </c>
      <c r="D34" s="63">
        <v>46274</v>
      </c>
      <c r="E34">
        <v>31</v>
      </c>
      <c r="F34" t="b">
        <v>1</v>
      </c>
      <c r="G34" s="63">
        <v>46184.236111111109</v>
      </c>
      <c r="H34" s="448" t="s">
        <v>412</v>
      </c>
      <c r="I34" s="448" t="s">
        <v>452</v>
      </c>
      <c r="J34" s="448" t="s">
        <v>564</v>
      </c>
      <c r="K34" s="448" t="s">
        <v>453</v>
      </c>
      <c r="L34" s="303">
        <v>46184</v>
      </c>
      <c r="M34" s="448" t="s">
        <v>412</v>
      </c>
      <c r="N34" s="448" t="s">
        <v>452</v>
      </c>
      <c r="O34">
        <v>33</v>
      </c>
    </row>
    <row r="35" spans="1:15" x14ac:dyDescent="0.25">
      <c r="A35" s="448" t="s">
        <v>42</v>
      </c>
      <c r="B35" s="448" t="s">
        <v>245</v>
      </c>
      <c r="C35" s="448" t="s">
        <v>489</v>
      </c>
      <c r="D35" s="63">
        <v>46203</v>
      </c>
      <c r="E35">
        <v>15</v>
      </c>
      <c r="F35" t="b">
        <v>1</v>
      </c>
      <c r="G35" s="63">
        <v>46184.236111111109</v>
      </c>
      <c r="H35" s="448" t="s">
        <v>412</v>
      </c>
      <c r="I35" s="448" t="s">
        <v>452</v>
      </c>
      <c r="J35" s="448" t="s">
        <v>564</v>
      </c>
      <c r="K35" s="448" t="s">
        <v>453</v>
      </c>
      <c r="L35" s="303">
        <v>46184</v>
      </c>
      <c r="M35" s="448" t="s">
        <v>412</v>
      </c>
      <c r="N35" s="448" t="s">
        <v>452</v>
      </c>
      <c r="O35">
        <v>34</v>
      </c>
    </row>
    <row r="36" spans="1:15" x14ac:dyDescent="0.25">
      <c r="A36" s="448" t="s">
        <v>49</v>
      </c>
      <c r="B36" s="448" t="s">
        <v>248</v>
      </c>
      <c r="C36" s="448" t="s">
        <v>490</v>
      </c>
      <c r="D36" s="63">
        <v>46674</v>
      </c>
      <c r="E36">
        <v>13</v>
      </c>
      <c r="F36" t="b">
        <v>1</v>
      </c>
      <c r="G36" s="63">
        <v>46184.236805555556</v>
      </c>
      <c r="H36" s="448" t="s">
        <v>412</v>
      </c>
      <c r="I36" s="448" t="s">
        <v>452</v>
      </c>
      <c r="J36" s="448" t="s">
        <v>564</v>
      </c>
      <c r="K36" s="448" t="s">
        <v>453</v>
      </c>
      <c r="L36" s="303">
        <v>46184</v>
      </c>
      <c r="M36" s="448" t="s">
        <v>412</v>
      </c>
      <c r="N36" s="448" t="s">
        <v>452</v>
      </c>
      <c r="O36">
        <v>35</v>
      </c>
    </row>
    <row r="37" spans="1:15" x14ac:dyDescent="0.25">
      <c r="A37" s="448" t="s">
        <v>50</v>
      </c>
      <c r="B37" s="448" t="s">
        <v>248</v>
      </c>
      <c r="C37" s="448" t="s">
        <v>491</v>
      </c>
      <c r="D37" s="63">
        <v>46674</v>
      </c>
      <c r="E37">
        <v>1</v>
      </c>
      <c r="F37" t="b">
        <v>1</v>
      </c>
      <c r="G37" s="63">
        <v>46184.236805555556</v>
      </c>
      <c r="H37" s="448" t="s">
        <v>412</v>
      </c>
      <c r="I37" s="448" t="s">
        <v>452</v>
      </c>
      <c r="J37" s="448" t="s">
        <v>636</v>
      </c>
      <c r="K37" s="448" t="s">
        <v>453</v>
      </c>
      <c r="L37" s="303">
        <v>46184</v>
      </c>
      <c r="M37" s="448" t="s">
        <v>412</v>
      </c>
      <c r="N37" s="448" t="s">
        <v>452</v>
      </c>
      <c r="O37">
        <v>36</v>
      </c>
    </row>
    <row r="38" spans="1:15" x14ac:dyDescent="0.25">
      <c r="A38" s="448" t="s">
        <v>86</v>
      </c>
      <c r="B38" s="448" t="s">
        <v>255</v>
      </c>
      <c r="C38" s="448" t="s">
        <v>492</v>
      </c>
      <c r="D38" s="63">
        <v>46112</v>
      </c>
      <c r="E38">
        <v>26</v>
      </c>
      <c r="F38" t="b">
        <v>0</v>
      </c>
      <c r="G38" s="63">
        <v>46114.023611111108</v>
      </c>
      <c r="H38" s="448" t="s">
        <v>412</v>
      </c>
      <c r="I38" s="448" t="s">
        <v>452</v>
      </c>
      <c r="J38" s="448"/>
      <c r="K38" s="448" t="s">
        <v>456</v>
      </c>
      <c r="L38" s="303"/>
      <c r="M38" s="448" t="s">
        <v>456</v>
      </c>
      <c r="N38" s="448" t="s">
        <v>456</v>
      </c>
      <c r="O38">
        <v>37</v>
      </c>
    </row>
    <row r="39" spans="1:15" x14ac:dyDescent="0.25">
      <c r="A39" s="448" t="s">
        <v>85</v>
      </c>
      <c r="B39" s="448" t="s">
        <v>258</v>
      </c>
      <c r="C39" s="448" t="s">
        <v>493</v>
      </c>
      <c r="D39" s="63">
        <v>46112</v>
      </c>
      <c r="E39">
        <v>2</v>
      </c>
      <c r="F39" t="b">
        <v>0</v>
      </c>
      <c r="G39" s="63">
        <v>46114.024305555555</v>
      </c>
      <c r="H39" s="448" t="s">
        <v>412</v>
      </c>
      <c r="I39" s="448" t="s">
        <v>452</v>
      </c>
      <c r="J39" s="448"/>
      <c r="K39" s="448" t="s">
        <v>456</v>
      </c>
      <c r="L39" s="303"/>
      <c r="M39" s="448" t="s">
        <v>456</v>
      </c>
      <c r="N39" s="448" t="s">
        <v>456</v>
      </c>
      <c r="O39">
        <v>38</v>
      </c>
    </row>
    <row r="40" spans="1:15" x14ac:dyDescent="0.25">
      <c r="A40" s="448" t="s">
        <v>84</v>
      </c>
      <c r="B40" s="448" t="s">
        <v>426</v>
      </c>
      <c r="C40" s="448" t="s">
        <v>494</v>
      </c>
      <c r="D40" s="63">
        <v>46112</v>
      </c>
      <c r="E40">
        <v>2.5</v>
      </c>
      <c r="F40" t="b">
        <v>0</v>
      </c>
      <c r="G40" s="63">
        <v>46114.024305555555</v>
      </c>
      <c r="H40" s="448" t="s">
        <v>412</v>
      </c>
      <c r="I40" s="448" t="s">
        <v>452</v>
      </c>
      <c r="J40" s="448"/>
      <c r="K40" s="448" t="s">
        <v>456</v>
      </c>
      <c r="L40" s="303"/>
      <c r="M40" s="448" t="s">
        <v>456</v>
      </c>
      <c r="N40" s="448" t="s">
        <v>456</v>
      </c>
      <c r="O40">
        <v>39</v>
      </c>
    </row>
    <row r="41" spans="1:15" x14ac:dyDescent="0.25">
      <c r="A41" s="448" t="s">
        <v>99</v>
      </c>
      <c r="B41" s="448" t="s">
        <v>427</v>
      </c>
      <c r="C41" s="448" t="s">
        <v>495</v>
      </c>
      <c r="D41" s="63">
        <v>46174</v>
      </c>
      <c r="E41">
        <v>6</v>
      </c>
      <c r="F41" t="b">
        <v>0</v>
      </c>
      <c r="G41" s="63">
        <v>46184.239583333336</v>
      </c>
      <c r="H41" s="448" t="s">
        <v>412</v>
      </c>
      <c r="I41" s="448" t="s">
        <v>452</v>
      </c>
      <c r="J41" s="448" t="s">
        <v>564</v>
      </c>
      <c r="K41" s="448" t="s">
        <v>539</v>
      </c>
      <c r="L41" s="303"/>
      <c r="M41" s="448" t="s">
        <v>456</v>
      </c>
      <c r="N41" s="448" t="s">
        <v>456</v>
      </c>
      <c r="O41">
        <v>40</v>
      </c>
    </row>
    <row r="42" spans="1:15" x14ac:dyDescent="0.25">
      <c r="A42" s="448" t="s">
        <v>98</v>
      </c>
      <c r="B42" s="448" t="s">
        <v>427</v>
      </c>
      <c r="C42" s="448" t="s">
        <v>496</v>
      </c>
      <c r="D42" s="63">
        <v>46174</v>
      </c>
      <c r="E42">
        <v>27</v>
      </c>
      <c r="F42" t="b">
        <v>0</v>
      </c>
      <c r="G42" s="63">
        <v>46184.240277777775</v>
      </c>
      <c r="H42" s="448" t="s">
        <v>412</v>
      </c>
      <c r="I42" s="448" t="s">
        <v>452</v>
      </c>
      <c r="J42" s="448" t="s">
        <v>564</v>
      </c>
      <c r="K42" s="448" t="s">
        <v>453</v>
      </c>
      <c r="L42" s="303">
        <v>46114</v>
      </c>
      <c r="M42" s="448" t="s">
        <v>412</v>
      </c>
      <c r="N42" s="448" t="s">
        <v>452</v>
      </c>
      <c r="O42">
        <v>41</v>
      </c>
    </row>
    <row r="43" spans="1:15" x14ac:dyDescent="0.25">
      <c r="A43" s="448" t="s">
        <v>97</v>
      </c>
      <c r="B43" s="448" t="s">
        <v>428</v>
      </c>
      <c r="C43" s="448" t="s">
        <v>497</v>
      </c>
      <c r="D43" s="63">
        <v>46174</v>
      </c>
      <c r="E43">
        <v>0.5</v>
      </c>
      <c r="F43" t="b">
        <v>0</v>
      </c>
      <c r="G43" s="63">
        <v>46184.240277777775</v>
      </c>
      <c r="H43" s="448" t="s">
        <v>412</v>
      </c>
      <c r="I43" s="448" t="s">
        <v>452</v>
      </c>
      <c r="J43" s="448"/>
      <c r="K43" s="448" t="s">
        <v>453</v>
      </c>
      <c r="L43" s="303">
        <v>46114</v>
      </c>
      <c r="M43" s="448" t="s">
        <v>412</v>
      </c>
      <c r="N43" s="448" t="s">
        <v>452</v>
      </c>
      <c r="O43">
        <v>42</v>
      </c>
    </row>
    <row r="44" spans="1:15" x14ac:dyDescent="0.25">
      <c r="A44" s="448" t="s">
        <v>77</v>
      </c>
      <c r="B44" s="448" t="s">
        <v>429</v>
      </c>
      <c r="C44" s="448" t="s">
        <v>498</v>
      </c>
      <c r="D44" s="63">
        <v>46053</v>
      </c>
      <c r="E44">
        <v>1</v>
      </c>
      <c r="F44" t="b">
        <v>0</v>
      </c>
      <c r="G44" s="63">
        <v>46114.025000000001</v>
      </c>
      <c r="H44" s="448" t="s">
        <v>412</v>
      </c>
      <c r="I44" s="448" t="s">
        <v>452</v>
      </c>
      <c r="J44" s="448"/>
      <c r="K44" s="448" t="s">
        <v>456</v>
      </c>
      <c r="L44" s="303"/>
      <c r="M44" s="448" t="s">
        <v>456</v>
      </c>
      <c r="N44" s="448" t="s">
        <v>456</v>
      </c>
      <c r="O44">
        <v>43</v>
      </c>
    </row>
    <row r="45" spans="1:15" x14ac:dyDescent="0.25">
      <c r="A45" s="448" t="s">
        <v>20</v>
      </c>
      <c r="B45" s="448" t="s">
        <v>430</v>
      </c>
      <c r="C45" s="448" t="s">
        <v>499</v>
      </c>
      <c r="D45" s="63">
        <v>46053</v>
      </c>
      <c r="E45">
        <v>2.5</v>
      </c>
      <c r="F45" t="b">
        <v>0</v>
      </c>
      <c r="G45" s="63">
        <v>46106.616666666669</v>
      </c>
      <c r="H45" s="448" t="s">
        <v>412</v>
      </c>
      <c r="I45" s="448" t="s">
        <v>452</v>
      </c>
      <c r="J45" s="448"/>
      <c r="K45" s="448" t="s">
        <v>456</v>
      </c>
      <c r="L45" s="303"/>
      <c r="M45" s="448" t="s">
        <v>456</v>
      </c>
      <c r="N45" s="448" t="s">
        <v>456</v>
      </c>
      <c r="O45">
        <v>44</v>
      </c>
    </row>
    <row r="46" spans="1:15" x14ac:dyDescent="0.25">
      <c r="A46" s="448" t="s">
        <v>78</v>
      </c>
      <c r="B46" s="448" t="s">
        <v>431</v>
      </c>
      <c r="C46" s="448" t="s">
        <v>500</v>
      </c>
      <c r="D46" s="63">
        <v>46053</v>
      </c>
      <c r="E46">
        <v>4</v>
      </c>
      <c r="F46" t="b">
        <v>0</v>
      </c>
      <c r="G46" s="63">
        <v>46114.025694444441</v>
      </c>
      <c r="H46" s="448" t="s">
        <v>412</v>
      </c>
      <c r="I46" s="448" t="s">
        <v>452</v>
      </c>
      <c r="J46" s="448"/>
      <c r="K46" s="448" t="s">
        <v>456</v>
      </c>
      <c r="L46" s="303"/>
      <c r="M46" s="448" t="s">
        <v>456</v>
      </c>
      <c r="N46" s="448" t="s">
        <v>456</v>
      </c>
      <c r="O46">
        <v>45</v>
      </c>
    </row>
    <row r="47" spans="1:15" x14ac:dyDescent="0.25">
      <c r="A47" s="448" t="s">
        <v>21</v>
      </c>
      <c r="B47" s="448" t="s">
        <v>278</v>
      </c>
      <c r="C47" s="448" t="s">
        <v>501</v>
      </c>
      <c r="D47" s="63">
        <v>46174</v>
      </c>
      <c r="E47">
        <v>2</v>
      </c>
      <c r="F47" t="b">
        <v>0</v>
      </c>
      <c r="G47" s="63">
        <v>46184.243055555555</v>
      </c>
      <c r="H47" s="448" t="s">
        <v>412</v>
      </c>
      <c r="I47" s="448" t="s">
        <v>452</v>
      </c>
      <c r="J47" s="448"/>
      <c r="K47" s="448" t="s">
        <v>453</v>
      </c>
      <c r="L47" s="303">
        <v>46106</v>
      </c>
      <c r="M47" s="448" t="s">
        <v>412</v>
      </c>
      <c r="N47" s="448" t="s">
        <v>452</v>
      </c>
      <c r="O47">
        <v>46</v>
      </c>
    </row>
    <row r="48" spans="1:15" x14ac:dyDescent="0.25">
      <c r="A48" s="448" t="s">
        <v>79</v>
      </c>
      <c r="B48" s="448" t="s">
        <v>432</v>
      </c>
      <c r="C48" s="448" t="s">
        <v>502</v>
      </c>
      <c r="D48" s="63">
        <v>46053</v>
      </c>
      <c r="E48">
        <v>4</v>
      </c>
      <c r="F48" t="b">
        <v>0</v>
      </c>
      <c r="G48" s="63">
        <v>46114.035416666666</v>
      </c>
      <c r="H48" s="448" t="s">
        <v>412</v>
      </c>
      <c r="I48" s="448" t="s">
        <v>452</v>
      </c>
      <c r="J48" s="448"/>
      <c r="K48" s="448" t="s">
        <v>456</v>
      </c>
      <c r="L48" s="303"/>
      <c r="M48" s="448" t="s">
        <v>456</v>
      </c>
      <c r="N48" s="448" t="s">
        <v>456</v>
      </c>
      <c r="O48">
        <v>47</v>
      </c>
    </row>
    <row r="49" spans="1:15" x14ac:dyDescent="0.25">
      <c r="A49" s="448" t="s">
        <v>57</v>
      </c>
      <c r="B49" s="448" t="s">
        <v>433</v>
      </c>
      <c r="C49" s="448" t="s">
        <v>503</v>
      </c>
      <c r="D49" s="63">
        <v>46681</v>
      </c>
      <c r="E49">
        <v>1</v>
      </c>
      <c r="F49" t="b">
        <v>1</v>
      </c>
      <c r="G49" s="63">
        <v>46184.244444444441</v>
      </c>
      <c r="H49" s="448" t="s">
        <v>412</v>
      </c>
      <c r="I49" s="448" t="s">
        <v>452</v>
      </c>
      <c r="J49" s="448" t="s">
        <v>564</v>
      </c>
      <c r="K49" s="448" t="s">
        <v>453</v>
      </c>
      <c r="L49" s="303">
        <v>46184</v>
      </c>
      <c r="M49" s="448" t="s">
        <v>412</v>
      </c>
      <c r="N49" s="448" t="s">
        <v>452</v>
      </c>
      <c r="O49">
        <v>48</v>
      </c>
    </row>
    <row r="50" spans="1:15" x14ac:dyDescent="0.25">
      <c r="A50" s="448" t="s">
        <v>58</v>
      </c>
      <c r="B50" s="448" t="s">
        <v>287</v>
      </c>
      <c r="C50" s="448" t="s">
        <v>504</v>
      </c>
      <c r="D50" s="63">
        <v>46196</v>
      </c>
      <c r="E50">
        <v>5</v>
      </c>
      <c r="F50" t="b">
        <v>0</v>
      </c>
      <c r="G50" s="63">
        <v>46184.244444444441</v>
      </c>
      <c r="H50" s="448" t="s">
        <v>412</v>
      </c>
      <c r="I50" s="448" t="s">
        <v>452</v>
      </c>
      <c r="J50" s="448" t="s">
        <v>564</v>
      </c>
      <c r="K50" s="448" t="s">
        <v>453</v>
      </c>
      <c r="L50" s="303">
        <v>46114</v>
      </c>
      <c r="M50" s="448" t="s">
        <v>412</v>
      </c>
      <c r="N50" s="448" t="s">
        <v>452</v>
      </c>
      <c r="O50">
        <v>49</v>
      </c>
    </row>
    <row r="51" spans="1:15" x14ac:dyDescent="0.25">
      <c r="A51" s="448" t="s">
        <v>56</v>
      </c>
      <c r="B51" s="448" t="s">
        <v>434</v>
      </c>
      <c r="C51" s="448" t="s">
        <v>505</v>
      </c>
      <c r="D51" s="63">
        <v>45995</v>
      </c>
      <c r="E51">
        <v>1</v>
      </c>
      <c r="F51" t="b">
        <v>0</v>
      </c>
      <c r="G51" s="63">
        <v>46114.036111111112</v>
      </c>
      <c r="H51" s="448" t="s">
        <v>412</v>
      </c>
      <c r="I51" s="448" t="s">
        <v>452</v>
      </c>
      <c r="J51" s="448"/>
      <c r="K51" s="448" t="s">
        <v>456</v>
      </c>
      <c r="L51" s="303"/>
      <c r="M51" s="448" t="s">
        <v>456</v>
      </c>
      <c r="N51" s="448" t="s">
        <v>456</v>
      </c>
      <c r="O51">
        <v>50</v>
      </c>
    </row>
    <row r="52" spans="1:15" x14ac:dyDescent="0.25">
      <c r="A52" s="448" t="s">
        <v>48</v>
      </c>
      <c r="B52" s="448" t="s">
        <v>294</v>
      </c>
      <c r="C52" s="448" t="s">
        <v>506</v>
      </c>
      <c r="D52" s="63">
        <v>46710</v>
      </c>
      <c r="E52">
        <v>1</v>
      </c>
      <c r="F52" t="b">
        <v>1</v>
      </c>
      <c r="G52" s="63">
        <v>46184.245138888888</v>
      </c>
      <c r="H52" s="448" t="s">
        <v>412</v>
      </c>
      <c r="I52" s="448" t="s">
        <v>452</v>
      </c>
      <c r="J52" s="448" t="s">
        <v>565</v>
      </c>
      <c r="K52" s="448" t="s">
        <v>453</v>
      </c>
      <c r="L52" s="303">
        <v>46184</v>
      </c>
      <c r="M52" s="448" t="s">
        <v>412</v>
      </c>
      <c r="N52" s="448" t="s">
        <v>452</v>
      </c>
      <c r="O52">
        <v>51</v>
      </c>
    </row>
    <row r="53" spans="1:15" x14ac:dyDescent="0.25">
      <c r="A53" s="448" t="s">
        <v>63</v>
      </c>
      <c r="B53" s="448" t="s">
        <v>304</v>
      </c>
      <c r="C53" s="448" t="s">
        <v>507</v>
      </c>
      <c r="D53" s="63">
        <v>46107</v>
      </c>
      <c r="E53">
        <v>6</v>
      </c>
      <c r="F53" t="b">
        <v>0</v>
      </c>
      <c r="G53" s="63">
        <v>46114.029166666667</v>
      </c>
      <c r="H53" s="448" t="s">
        <v>412</v>
      </c>
      <c r="I53" s="448" t="s">
        <v>452</v>
      </c>
      <c r="J53" s="448"/>
      <c r="K53" s="448" t="s">
        <v>456</v>
      </c>
      <c r="L53" s="303"/>
      <c r="M53" s="448" t="s">
        <v>456</v>
      </c>
      <c r="N53" s="448" t="s">
        <v>456</v>
      </c>
      <c r="O53">
        <v>52</v>
      </c>
    </row>
    <row r="54" spans="1:15" x14ac:dyDescent="0.25">
      <c r="A54" s="448" t="s">
        <v>64</v>
      </c>
      <c r="B54" s="448" t="s">
        <v>301</v>
      </c>
      <c r="C54" s="448" t="s">
        <v>508</v>
      </c>
      <c r="D54" s="63">
        <v>46248</v>
      </c>
      <c r="E54">
        <v>1</v>
      </c>
      <c r="F54" t="b">
        <v>1</v>
      </c>
      <c r="G54" s="63">
        <v>46184.246527777781</v>
      </c>
      <c r="H54" s="448" t="s">
        <v>412</v>
      </c>
      <c r="I54" s="448" t="s">
        <v>452</v>
      </c>
      <c r="J54" s="448"/>
      <c r="K54" s="448" t="s">
        <v>453</v>
      </c>
      <c r="L54" s="303">
        <v>46184</v>
      </c>
      <c r="M54" s="448" t="s">
        <v>412</v>
      </c>
      <c r="N54" s="448" t="s">
        <v>452</v>
      </c>
      <c r="O54">
        <v>53</v>
      </c>
    </row>
    <row r="55" spans="1:15" x14ac:dyDescent="0.25">
      <c r="A55" s="448" t="s">
        <v>94</v>
      </c>
      <c r="B55" s="448" t="s">
        <v>310</v>
      </c>
      <c r="C55" s="448" t="s">
        <v>509</v>
      </c>
      <c r="D55" s="63">
        <v>46165</v>
      </c>
      <c r="E55">
        <v>1</v>
      </c>
      <c r="F55" t="b">
        <v>0</v>
      </c>
      <c r="G55" s="63">
        <v>46184.246527777781</v>
      </c>
      <c r="H55" s="448" t="s">
        <v>412</v>
      </c>
      <c r="I55" s="448" t="s">
        <v>452</v>
      </c>
      <c r="J55" s="448"/>
      <c r="K55" s="448" t="s">
        <v>453</v>
      </c>
      <c r="L55" s="303">
        <v>46114</v>
      </c>
      <c r="M55" s="448" t="s">
        <v>412</v>
      </c>
      <c r="N55" s="448" t="s">
        <v>452</v>
      </c>
      <c r="O55">
        <v>54</v>
      </c>
    </row>
    <row r="56" spans="1:15" x14ac:dyDescent="0.25">
      <c r="A56" s="448" t="s">
        <v>95</v>
      </c>
      <c r="B56" s="448" t="s">
        <v>312</v>
      </c>
      <c r="C56" s="448" t="s">
        <v>510</v>
      </c>
      <c r="D56" s="63">
        <v>46112</v>
      </c>
      <c r="E56">
        <v>1</v>
      </c>
      <c r="F56" t="b">
        <v>0</v>
      </c>
      <c r="G56" s="63">
        <v>46114.03125</v>
      </c>
      <c r="H56" s="448" t="s">
        <v>412</v>
      </c>
      <c r="I56" s="448" t="s">
        <v>452</v>
      </c>
      <c r="J56" s="448"/>
      <c r="K56" s="448" t="s">
        <v>456</v>
      </c>
      <c r="L56" s="303"/>
      <c r="M56" s="448" t="s">
        <v>456</v>
      </c>
      <c r="N56" s="448" t="s">
        <v>456</v>
      </c>
      <c r="O56">
        <v>55</v>
      </c>
    </row>
    <row r="57" spans="1:15" x14ac:dyDescent="0.25">
      <c r="A57" s="448" t="s">
        <v>70</v>
      </c>
      <c r="B57" s="448" t="s">
        <v>314</v>
      </c>
      <c r="C57" s="448" t="s">
        <v>511</v>
      </c>
      <c r="D57" s="63">
        <v>46098</v>
      </c>
      <c r="E57">
        <v>1</v>
      </c>
      <c r="F57" t="b">
        <v>0</v>
      </c>
      <c r="G57" s="63">
        <v>46114.03125</v>
      </c>
      <c r="H57" s="448" t="s">
        <v>412</v>
      </c>
      <c r="I57" s="448" t="s">
        <v>452</v>
      </c>
      <c r="J57" s="448"/>
      <c r="K57" s="448" t="s">
        <v>456</v>
      </c>
      <c r="L57" s="303"/>
      <c r="M57" s="448" t="s">
        <v>456</v>
      </c>
      <c r="N57" s="448" t="s">
        <v>456</v>
      </c>
      <c r="O57">
        <v>56</v>
      </c>
    </row>
    <row r="58" spans="1:15" x14ac:dyDescent="0.25">
      <c r="A58" s="448" t="s">
        <v>74</v>
      </c>
      <c r="B58" s="448" t="s">
        <v>316</v>
      </c>
      <c r="C58" s="448" t="s">
        <v>512</v>
      </c>
      <c r="D58" s="63">
        <v>46123</v>
      </c>
      <c r="E58">
        <v>10</v>
      </c>
      <c r="F58" t="b">
        <v>0</v>
      </c>
      <c r="G58" s="63">
        <v>46184.24722222222</v>
      </c>
      <c r="H58" s="448" t="s">
        <v>412</v>
      </c>
      <c r="I58" s="448" t="s">
        <v>452</v>
      </c>
      <c r="J58" s="448" t="s">
        <v>564</v>
      </c>
      <c r="K58" s="448" t="s">
        <v>453</v>
      </c>
      <c r="L58" s="303">
        <v>46114</v>
      </c>
      <c r="M58" s="448" t="s">
        <v>412</v>
      </c>
      <c r="N58" s="448" t="s">
        <v>452</v>
      </c>
      <c r="O58">
        <v>57</v>
      </c>
    </row>
    <row r="59" spans="1:15" x14ac:dyDescent="0.25">
      <c r="A59" s="448" t="s">
        <v>24</v>
      </c>
      <c r="B59" s="448" t="s">
        <v>319</v>
      </c>
      <c r="C59" s="448" t="s">
        <v>513</v>
      </c>
      <c r="D59" s="63">
        <v>46325</v>
      </c>
      <c r="E59">
        <v>2</v>
      </c>
      <c r="F59" t="b">
        <v>1</v>
      </c>
      <c r="G59" s="63">
        <v>46184.248611111114</v>
      </c>
      <c r="H59" s="448" t="s">
        <v>412</v>
      </c>
      <c r="I59" s="448" t="s">
        <v>452</v>
      </c>
      <c r="J59" s="448"/>
      <c r="K59" s="448" t="s">
        <v>453</v>
      </c>
      <c r="L59" s="303">
        <v>46184</v>
      </c>
      <c r="M59" s="448" t="s">
        <v>412</v>
      </c>
      <c r="N59" s="448" t="s">
        <v>452</v>
      </c>
      <c r="O59">
        <v>58</v>
      </c>
    </row>
    <row r="60" spans="1:15" x14ac:dyDescent="0.25">
      <c r="A60" s="448" t="s">
        <v>18</v>
      </c>
      <c r="B60" s="448" t="s">
        <v>321</v>
      </c>
      <c r="C60" s="448" t="s">
        <v>514</v>
      </c>
      <c r="D60" s="63">
        <v>46142</v>
      </c>
      <c r="E60">
        <v>2</v>
      </c>
      <c r="F60" t="b">
        <v>0</v>
      </c>
      <c r="G60" s="63">
        <v>46184.248611111114</v>
      </c>
      <c r="H60" s="448" t="s">
        <v>412</v>
      </c>
      <c r="I60" s="448" t="s">
        <v>452</v>
      </c>
      <c r="J60" s="448"/>
      <c r="K60" s="448" t="s">
        <v>453</v>
      </c>
      <c r="L60" s="303">
        <v>46113</v>
      </c>
      <c r="M60" s="448" t="s">
        <v>412</v>
      </c>
      <c r="N60" s="448" t="s">
        <v>452</v>
      </c>
      <c r="O60">
        <v>59</v>
      </c>
    </row>
    <row r="61" spans="1:15" x14ac:dyDescent="0.25">
      <c r="A61" s="448" t="s">
        <v>19</v>
      </c>
      <c r="B61" s="448" t="s">
        <v>323</v>
      </c>
      <c r="C61" s="448" t="s">
        <v>515</v>
      </c>
      <c r="D61" s="63">
        <v>46142</v>
      </c>
      <c r="E61">
        <v>10</v>
      </c>
      <c r="F61" t="b">
        <v>0</v>
      </c>
      <c r="G61" s="63">
        <v>46184.249305555553</v>
      </c>
      <c r="H61" s="448" t="s">
        <v>412</v>
      </c>
      <c r="I61" s="448" t="s">
        <v>452</v>
      </c>
      <c r="J61" s="448" t="s">
        <v>564</v>
      </c>
      <c r="K61" s="448" t="s">
        <v>453</v>
      </c>
      <c r="L61" s="303">
        <v>46113</v>
      </c>
      <c r="M61" s="448" t="s">
        <v>412</v>
      </c>
      <c r="N61" s="448" t="s">
        <v>452</v>
      </c>
      <c r="O61">
        <v>60</v>
      </c>
    </row>
    <row r="62" spans="1:15" x14ac:dyDescent="0.25">
      <c r="A62" s="448" t="s">
        <v>27</v>
      </c>
      <c r="B62" s="448" t="s">
        <v>326</v>
      </c>
      <c r="C62" s="448" t="s">
        <v>516</v>
      </c>
      <c r="D62" s="63">
        <v>46090</v>
      </c>
      <c r="E62">
        <v>1</v>
      </c>
      <c r="F62" t="b">
        <v>0</v>
      </c>
      <c r="G62" s="63">
        <v>46114.031944444447</v>
      </c>
      <c r="H62" s="448" t="s">
        <v>412</v>
      </c>
      <c r="I62" s="448" t="s">
        <v>452</v>
      </c>
      <c r="J62" s="448"/>
      <c r="K62" s="448" t="s">
        <v>456</v>
      </c>
      <c r="L62" s="303"/>
      <c r="M62" s="448" t="s">
        <v>456</v>
      </c>
      <c r="N62" s="448" t="s">
        <v>456</v>
      </c>
      <c r="O62">
        <v>61</v>
      </c>
    </row>
    <row r="63" spans="1:15" x14ac:dyDescent="0.25">
      <c r="A63" s="448" t="s">
        <v>28</v>
      </c>
      <c r="B63" s="448" t="s">
        <v>328</v>
      </c>
      <c r="C63" s="448" t="s">
        <v>517</v>
      </c>
      <c r="D63" s="63">
        <v>46102</v>
      </c>
      <c r="E63">
        <v>31</v>
      </c>
      <c r="F63" t="b">
        <v>0</v>
      </c>
      <c r="G63" s="63">
        <v>46114.032638888886</v>
      </c>
      <c r="H63" s="448" t="s">
        <v>412</v>
      </c>
      <c r="I63" s="448" t="s">
        <v>452</v>
      </c>
      <c r="J63" s="448"/>
      <c r="K63" s="448" t="s">
        <v>456</v>
      </c>
      <c r="L63" s="303"/>
      <c r="M63" s="448" t="s">
        <v>456</v>
      </c>
      <c r="N63" s="448" t="s">
        <v>456</v>
      </c>
      <c r="O63">
        <v>62</v>
      </c>
    </row>
    <row r="64" spans="1:15" x14ac:dyDescent="0.25">
      <c r="A64" s="448" t="s">
        <v>29</v>
      </c>
      <c r="B64" s="448" t="s">
        <v>435</v>
      </c>
      <c r="C64" s="448" t="s">
        <v>518</v>
      </c>
      <c r="D64" s="63">
        <v>46069</v>
      </c>
      <c r="E64">
        <v>28</v>
      </c>
      <c r="F64" t="b">
        <v>0</v>
      </c>
      <c r="G64" s="63">
        <v>46114.033333333333</v>
      </c>
      <c r="H64" s="448" t="s">
        <v>412</v>
      </c>
      <c r="I64" s="448" t="s">
        <v>452</v>
      </c>
      <c r="J64" s="448"/>
      <c r="K64" s="448" t="s">
        <v>456</v>
      </c>
      <c r="L64" s="303"/>
      <c r="M64" s="448" t="s">
        <v>456</v>
      </c>
      <c r="N64" s="448" t="s">
        <v>456</v>
      </c>
      <c r="O64">
        <v>63</v>
      </c>
    </row>
    <row r="65" spans="1:15" x14ac:dyDescent="0.25">
      <c r="A65" s="448" t="s">
        <v>30</v>
      </c>
      <c r="B65" s="448" t="s">
        <v>334</v>
      </c>
      <c r="C65" s="448" t="s">
        <v>519</v>
      </c>
      <c r="D65" s="63">
        <v>46090</v>
      </c>
      <c r="E65">
        <v>24</v>
      </c>
      <c r="F65" t="b">
        <v>0</v>
      </c>
      <c r="G65" s="63">
        <v>46114.03402777778</v>
      </c>
      <c r="H65" s="448" t="s">
        <v>412</v>
      </c>
      <c r="I65" s="448" t="s">
        <v>452</v>
      </c>
      <c r="J65" s="448"/>
      <c r="K65" s="448" t="s">
        <v>456</v>
      </c>
      <c r="L65" s="303"/>
      <c r="M65" s="448" t="s">
        <v>456</v>
      </c>
      <c r="N65" s="448" t="s">
        <v>456</v>
      </c>
      <c r="O65">
        <v>64</v>
      </c>
    </row>
    <row r="66" spans="1:15" x14ac:dyDescent="0.25">
      <c r="A66" s="448" t="s">
        <v>13</v>
      </c>
      <c r="B66" s="448" t="s">
        <v>337</v>
      </c>
      <c r="C66" s="448" t="s">
        <v>520</v>
      </c>
      <c r="D66" s="63">
        <v>46356</v>
      </c>
      <c r="E66">
        <v>5</v>
      </c>
      <c r="F66" t="b">
        <v>1</v>
      </c>
      <c r="G66" s="63">
        <v>46184.25</v>
      </c>
      <c r="H66" s="448" t="s">
        <v>412</v>
      </c>
      <c r="I66" s="448" t="s">
        <v>452</v>
      </c>
      <c r="J66" s="448"/>
      <c r="K66" s="448" t="s">
        <v>453</v>
      </c>
      <c r="L66" s="303">
        <v>46184</v>
      </c>
      <c r="M66" s="448" t="s">
        <v>412</v>
      </c>
      <c r="N66" s="448" t="s">
        <v>452</v>
      </c>
      <c r="O66">
        <v>65</v>
      </c>
    </row>
    <row r="67" spans="1:15" x14ac:dyDescent="0.25">
      <c r="A67" s="448" t="s">
        <v>40</v>
      </c>
      <c r="B67" s="448" t="s">
        <v>566</v>
      </c>
      <c r="C67" s="448" t="s">
        <v>521</v>
      </c>
      <c r="D67" s="63">
        <v>46178</v>
      </c>
      <c r="E67">
        <v>1</v>
      </c>
      <c r="F67" t="b">
        <v>0</v>
      </c>
      <c r="G67" s="63">
        <v>46184.25</v>
      </c>
      <c r="H67" s="448" t="s">
        <v>412</v>
      </c>
      <c r="I67" s="448" t="s">
        <v>452</v>
      </c>
      <c r="J67" s="448"/>
      <c r="K67" s="448" t="s">
        <v>453</v>
      </c>
      <c r="L67" s="303">
        <v>46114</v>
      </c>
      <c r="M67" s="448" t="s">
        <v>412</v>
      </c>
      <c r="N67" s="448" t="s">
        <v>452</v>
      </c>
      <c r="O67">
        <v>66</v>
      </c>
    </row>
    <row r="68" spans="1:15" x14ac:dyDescent="0.25">
      <c r="A68" s="448" t="s">
        <v>72</v>
      </c>
      <c r="B68" s="448" t="s">
        <v>436</v>
      </c>
      <c r="C68" s="448" t="s">
        <v>522</v>
      </c>
      <c r="D68" s="63">
        <v>46113</v>
      </c>
      <c r="E68">
        <v>1</v>
      </c>
      <c r="F68" t="b">
        <v>0</v>
      </c>
      <c r="G68" s="63">
        <v>46114.036111111112</v>
      </c>
      <c r="H68" s="448" t="s">
        <v>412</v>
      </c>
      <c r="I68" s="448" t="s">
        <v>452</v>
      </c>
      <c r="J68" s="448" t="s">
        <v>567</v>
      </c>
      <c r="K68" s="448" t="s">
        <v>453</v>
      </c>
      <c r="L68" s="303">
        <v>46113</v>
      </c>
      <c r="M68" s="448" t="s">
        <v>412</v>
      </c>
      <c r="N68" s="448" t="s">
        <v>452</v>
      </c>
      <c r="O68">
        <v>67</v>
      </c>
    </row>
    <row r="69" spans="1:15" x14ac:dyDescent="0.25">
      <c r="A69" s="448" t="s">
        <v>73</v>
      </c>
      <c r="B69" s="448" t="s">
        <v>343</v>
      </c>
      <c r="C69" s="448" t="s">
        <v>523</v>
      </c>
      <c r="D69" s="63">
        <v>46333</v>
      </c>
      <c r="E69">
        <v>19</v>
      </c>
      <c r="F69" t="b">
        <v>1</v>
      </c>
      <c r="G69" s="63">
        <v>46114.034722222219</v>
      </c>
      <c r="H69" s="448" t="s">
        <v>412</v>
      </c>
      <c r="I69" s="448" t="s">
        <v>452</v>
      </c>
      <c r="J69" s="448" t="s">
        <v>564</v>
      </c>
      <c r="K69" s="448" t="s">
        <v>539</v>
      </c>
      <c r="L69" s="303"/>
      <c r="M69" s="448" t="s">
        <v>456</v>
      </c>
      <c r="N69" s="448" t="s">
        <v>456</v>
      </c>
      <c r="O69">
        <v>68</v>
      </c>
    </row>
    <row r="70" spans="1:15" x14ac:dyDescent="0.25">
      <c r="A70" s="448" t="s">
        <v>12</v>
      </c>
      <c r="B70" s="448" t="s">
        <v>437</v>
      </c>
      <c r="C70" s="448" t="s">
        <v>524</v>
      </c>
      <c r="D70" s="63">
        <v>46102</v>
      </c>
      <c r="E70">
        <v>23</v>
      </c>
      <c r="F70" t="b">
        <v>0</v>
      </c>
      <c r="G70" s="63">
        <v>46104.425694444442</v>
      </c>
      <c r="H70" s="448" t="s">
        <v>412</v>
      </c>
      <c r="I70" s="448" t="s">
        <v>452</v>
      </c>
      <c r="J70" s="448"/>
      <c r="K70" s="448" t="s">
        <v>456</v>
      </c>
      <c r="L70" s="303"/>
      <c r="M70" s="448" t="s">
        <v>456</v>
      </c>
      <c r="N70" s="448" t="s">
        <v>456</v>
      </c>
      <c r="O70">
        <v>69</v>
      </c>
    </row>
    <row r="71" spans="1:15" x14ac:dyDescent="0.25">
      <c r="A71" s="448" t="s">
        <v>12</v>
      </c>
      <c r="B71" s="448" t="s">
        <v>438</v>
      </c>
      <c r="C71" s="448" t="s">
        <v>525</v>
      </c>
      <c r="D71" s="63">
        <v>46102</v>
      </c>
      <c r="E71">
        <v>24</v>
      </c>
      <c r="F71" t="b">
        <v>0</v>
      </c>
      <c r="G71" s="63">
        <v>46104.426388888889</v>
      </c>
      <c r="H71" s="448" t="s">
        <v>412</v>
      </c>
      <c r="I71" s="448" t="s">
        <v>452</v>
      </c>
      <c r="J71" s="448"/>
      <c r="K71" s="448" t="s">
        <v>456</v>
      </c>
      <c r="L71" s="303"/>
      <c r="M71" s="448" t="s">
        <v>456</v>
      </c>
      <c r="N71" s="448" t="s">
        <v>456</v>
      </c>
      <c r="O71">
        <v>70</v>
      </c>
    </row>
    <row r="72" spans="1:15" x14ac:dyDescent="0.25">
      <c r="A72" s="448" t="s">
        <v>12</v>
      </c>
      <c r="B72" s="448" t="s">
        <v>439</v>
      </c>
      <c r="C72" s="448" t="s">
        <v>526</v>
      </c>
      <c r="D72" s="63">
        <v>46100</v>
      </c>
      <c r="E72">
        <v>1</v>
      </c>
      <c r="F72" t="b">
        <v>0</v>
      </c>
      <c r="G72" s="63">
        <v>46104.426388888889</v>
      </c>
      <c r="H72" s="448" t="s">
        <v>412</v>
      </c>
      <c r="I72" s="448" t="s">
        <v>452</v>
      </c>
      <c r="J72" s="448"/>
      <c r="K72" s="448" t="s">
        <v>456</v>
      </c>
      <c r="L72" s="303"/>
      <c r="M72" s="448" t="s">
        <v>456</v>
      </c>
      <c r="N72" s="448" t="s">
        <v>456</v>
      </c>
      <c r="O72">
        <v>71</v>
      </c>
    </row>
    <row r="73" spans="1:15" x14ac:dyDescent="0.25">
      <c r="A73" s="448" t="s">
        <v>12</v>
      </c>
      <c r="B73" s="448" t="s">
        <v>440</v>
      </c>
      <c r="C73" s="448" t="s">
        <v>527</v>
      </c>
      <c r="D73" s="63">
        <v>46290</v>
      </c>
      <c r="E73">
        <v>1</v>
      </c>
      <c r="F73" t="b">
        <v>0</v>
      </c>
      <c r="G73" s="63">
        <v>46105.536805555559</v>
      </c>
      <c r="H73" s="448" t="s">
        <v>412</v>
      </c>
      <c r="I73" s="448" t="s">
        <v>452</v>
      </c>
      <c r="J73" s="448" t="s">
        <v>528</v>
      </c>
      <c r="K73" s="448" t="s">
        <v>453</v>
      </c>
      <c r="L73" s="303">
        <v>46105</v>
      </c>
      <c r="M73" s="448" t="s">
        <v>412</v>
      </c>
      <c r="N73" s="448" t="s">
        <v>452</v>
      </c>
      <c r="O73">
        <v>73</v>
      </c>
    </row>
    <row r="74" spans="1:15" x14ac:dyDescent="0.25">
      <c r="A74" s="448" t="s">
        <v>5</v>
      </c>
      <c r="B74" s="448" t="s">
        <v>441</v>
      </c>
      <c r="C74" s="448" t="s">
        <v>529</v>
      </c>
      <c r="D74" s="63">
        <v>46104</v>
      </c>
      <c r="E74">
        <v>50</v>
      </c>
      <c r="F74" t="b">
        <v>0</v>
      </c>
      <c r="G74" s="63">
        <v>46104.504861111112</v>
      </c>
      <c r="H74" s="448" t="s">
        <v>412</v>
      </c>
      <c r="I74" s="448" t="s">
        <v>452</v>
      </c>
      <c r="J74" s="448"/>
      <c r="K74" s="448" t="s">
        <v>456</v>
      </c>
      <c r="L74" s="303"/>
      <c r="M74" s="448" t="s">
        <v>456</v>
      </c>
      <c r="N74" s="448" t="s">
        <v>456</v>
      </c>
      <c r="O74">
        <v>74</v>
      </c>
    </row>
    <row r="75" spans="1:15" x14ac:dyDescent="0.25">
      <c r="A75" s="448" t="s">
        <v>52</v>
      </c>
      <c r="B75" s="448" t="s">
        <v>439</v>
      </c>
      <c r="C75" s="448" t="s">
        <v>530</v>
      </c>
      <c r="D75" s="63">
        <v>46104</v>
      </c>
      <c r="E75">
        <v>1</v>
      </c>
      <c r="F75" t="b">
        <v>0</v>
      </c>
      <c r="G75" s="63">
        <v>46104.586111111108</v>
      </c>
      <c r="H75" s="448" t="s">
        <v>412</v>
      </c>
      <c r="I75" s="448" t="s">
        <v>452</v>
      </c>
      <c r="J75" s="448"/>
      <c r="K75" s="448" t="s">
        <v>456</v>
      </c>
      <c r="L75" s="303"/>
      <c r="M75" s="448" t="s">
        <v>456</v>
      </c>
      <c r="N75" s="448" t="s">
        <v>456</v>
      </c>
      <c r="O75">
        <v>75</v>
      </c>
    </row>
    <row r="76" spans="1:15" x14ac:dyDescent="0.25">
      <c r="A76" s="448" t="s">
        <v>12</v>
      </c>
      <c r="B76" s="448" t="s">
        <v>442</v>
      </c>
      <c r="C76" s="448" t="s">
        <v>531</v>
      </c>
      <c r="D76" s="63">
        <v>46105</v>
      </c>
      <c r="E76">
        <v>2</v>
      </c>
      <c r="F76" t="b">
        <v>0</v>
      </c>
      <c r="G76" s="63">
        <v>46106.612500000003</v>
      </c>
      <c r="H76" s="448" t="s">
        <v>412</v>
      </c>
      <c r="I76" s="448" t="s">
        <v>452</v>
      </c>
      <c r="J76" s="448" t="s">
        <v>528</v>
      </c>
      <c r="K76" s="448" t="s">
        <v>453</v>
      </c>
      <c r="L76" s="303">
        <v>46105</v>
      </c>
      <c r="M76" s="448" t="s">
        <v>412</v>
      </c>
      <c r="N76" s="448" t="s">
        <v>452</v>
      </c>
      <c r="O76">
        <v>77</v>
      </c>
    </row>
    <row r="77" spans="1:15" x14ac:dyDescent="0.25">
      <c r="A77" s="448" t="s">
        <v>9</v>
      </c>
      <c r="B77" s="448" t="s">
        <v>532</v>
      </c>
      <c r="C77" s="448" t="s">
        <v>533</v>
      </c>
      <c r="D77" s="63">
        <v>46109</v>
      </c>
      <c r="E77">
        <v>2</v>
      </c>
      <c r="F77" t="b">
        <v>0</v>
      </c>
      <c r="G77" s="63">
        <v>46106.361111111109</v>
      </c>
      <c r="H77" s="448" t="s">
        <v>412</v>
      </c>
      <c r="I77" s="448" t="s">
        <v>452</v>
      </c>
      <c r="J77" s="448" t="s">
        <v>528</v>
      </c>
      <c r="K77" s="448" t="s">
        <v>453</v>
      </c>
      <c r="L77" s="303">
        <v>46106</v>
      </c>
      <c r="M77" s="448" t="s">
        <v>412</v>
      </c>
      <c r="N77" s="448" t="s">
        <v>452</v>
      </c>
      <c r="O77">
        <v>78</v>
      </c>
    </row>
    <row r="78" spans="1:15" x14ac:dyDescent="0.25">
      <c r="A78" s="448" t="s">
        <v>9</v>
      </c>
      <c r="B78" s="448" t="s">
        <v>528</v>
      </c>
      <c r="C78" s="448" t="s">
        <v>534</v>
      </c>
      <c r="D78" s="63">
        <v>46106</v>
      </c>
      <c r="E78">
        <v>1</v>
      </c>
      <c r="F78" t="b">
        <v>0</v>
      </c>
      <c r="G78" s="63">
        <v>46106.374305555553</v>
      </c>
      <c r="H78" s="448" t="s">
        <v>412</v>
      </c>
      <c r="I78" s="448" t="s">
        <v>452</v>
      </c>
      <c r="J78" s="448" t="s">
        <v>528</v>
      </c>
      <c r="K78" s="448" t="s">
        <v>453</v>
      </c>
      <c r="L78" s="303">
        <v>46106</v>
      </c>
      <c r="M78" s="448" t="s">
        <v>412</v>
      </c>
      <c r="N78" s="448" t="s">
        <v>452</v>
      </c>
      <c r="O78">
        <v>79</v>
      </c>
    </row>
    <row r="79" spans="1:15" x14ac:dyDescent="0.25">
      <c r="A79" s="448" t="s">
        <v>9</v>
      </c>
      <c r="B79" s="448" t="s">
        <v>535</v>
      </c>
      <c r="C79" s="448" t="s">
        <v>536</v>
      </c>
      <c r="D79" s="63">
        <v>46106</v>
      </c>
      <c r="E79">
        <v>3</v>
      </c>
      <c r="F79" t="b">
        <v>0</v>
      </c>
      <c r="G79" s="63">
        <v>46106.527777777781</v>
      </c>
      <c r="H79" s="448" t="s">
        <v>412</v>
      </c>
      <c r="I79" s="448" t="s">
        <v>452</v>
      </c>
      <c r="J79" s="448"/>
      <c r="K79" s="448" t="s">
        <v>453</v>
      </c>
      <c r="L79" s="303">
        <v>46106</v>
      </c>
      <c r="M79" s="448" t="s">
        <v>412</v>
      </c>
      <c r="N79" s="448" t="s">
        <v>452</v>
      </c>
      <c r="O79">
        <v>80</v>
      </c>
    </row>
    <row r="80" spans="1:15" x14ac:dyDescent="0.25">
      <c r="A80" s="448" t="s">
        <v>9</v>
      </c>
      <c r="B80" s="448" t="s">
        <v>537</v>
      </c>
      <c r="C80" s="448" t="s">
        <v>538</v>
      </c>
      <c r="D80" s="63">
        <v>46106</v>
      </c>
      <c r="E80">
        <v>1</v>
      </c>
      <c r="F80" t="b">
        <v>0</v>
      </c>
      <c r="G80" s="63">
        <v>46106.527777777781</v>
      </c>
      <c r="H80" s="448" t="s">
        <v>412</v>
      </c>
      <c r="I80" s="448" t="s">
        <v>452</v>
      </c>
      <c r="J80" s="448"/>
      <c r="K80" s="448" t="s">
        <v>539</v>
      </c>
      <c r="L80" s="303"/>
      <c r="M80" s="448" t="s">
        <v>456</v>
      </c>
      <c r="N80" s="448" t="s">
        <v>456</v>
      </c>
      <c r="O80">
        <v>81</v>
      </c>
    </row>
    <row r="81" spans="1:15" x14ac:dyDescent="0.25">
      <c r="A81" s="448" t="s">
        <v>9</v>
      </c>
      <c r="B81" s="448" t="s">
        <v>540</v>
      </c>
      <c r="C81" s="448" t="s">
        <v>541</v>
      </c>
      <c r="D81" s="63">
        <v>46106</v>
      </c>
      <c r="E81">
        <v>3</v>
      </c>
      <c r="F81" t="b">
        <v>0</v>
      </c>
      <c r="G81" s="63">
        <v>46106.527777777781</v>
      </c>
      <c r="H81" s="448" t="s">
        <v>412</v>
      </c>
      <c r="I81" s="448" t="s">
        <v>452</v>
      </c>
      <c r="J81" s="448"/>
      <c r="K81" s="448" t="s">
        <v>453</v>
      </c>
      <c r="L81" s="303">
        <v>46106</v>
      </c>
      <c r="M81" s="448" t="s">
        <v>412</v>
      </c>
      <c r="N81" s="448" t="s">
        <v>452</v>
      </c>
      <c r="O81">
        <v>82</v>
      </c>
    </row>
    <row r="82" spans="1:15" x14ac:dyDescent="0.25">
      <c r="A82" s="448" t="s">
        <v>10</v>
      </c>
      <c r="B82" s="448" t="s">
        <v>542</v>
      </c>
      <c r="C82" s="448" t="s">
        <v>543</v>
      </c>
      <c r="D82" s="63">
        <v>46106</v>
      </c>
      <c r="E82">
        <v>15</v>
      </c>
      <c r="F82" t="b">
        <v>0</v>
      </c>
      <c r="G82" s="63">
        <v>46106.376388888886</v>
      </c>
      <c r="H82" s="448" t="s">
        <v>412</v>
      </c>
      <c r="I82" s="448" t="s">
        <v>452</v>
      </c>
      <c r="J82" s="448"/>
      <c r="K82" s="448" t="s">
        <v>539</v>
      </c>
      <c r="L82" s="303"/>
      <c r="M82" s="448" t="s">
        <v>456</v>
      </c>
      <c r="N82" s="448" t="s">
        <v>456</v>
      </c>
      <c r="O82">
        <v>83</v>
      </c>
    </row>
    <row r="83" spans="1:15" x14ac:dyDescent="0.25">
      <c r="A83" s="448" t="s">
        <v>10</v>
      </c>
      <c r="B83" s="448" t="s">
        <v>544</v>
      </c>
      <c r="C83" s="448" t="s">
        <v>545</v>
      </c>
      <c r="D83" s="63">
        <v>46106</v>
      </c>
      <c r="E83">
        <v>1</v>
      </c>
      <c r="F83" t="b">
        <v>0</v>
      </c>
      <c r="G83" s="63">
        <v>46106.376388888886</v>
      </c>
      <c r="H83" s="448" t="s">
        <v>412</v>
      </c>
      <c r="I83" s="448" t="s">
        <v>452</v>
      </c>
      <c r="J83" s="448"/>
      <c r="K83" s="448" t="s">
        <v>539</v>
      </c>
      <c r="L83" s="303"/>
      <c r="M83" s="448" t="s">
        <v>456</v>
      </c>
      <c r="N83" s="448" t="s">
        <v>456</v>
      </c>
      <c r="O83">
        <v>84</v>
      </c>
    </row>
    <row r="84" spans="1:15" x14ac:dyDescent="0.25">
      <c r="A84" s="448" t="s">
        <v>10</v>
      </c>
      <c r="B84" s="448" t="s">
        <v>546</v>
      </c>
      <c r="C84" s="448" t="s">
        <v>547</v>
      </c>
      <c r="D84" s="63">
        <v>46106</v>
      </c>
      <c r="E84">
        <v>2</v>
      </c>
      <c r="F84" t="b">
        <v>0</v>
      </c>
      <c r="G84" s="63">
        <v>46106.376388888886</v>
      </c>
      <c r="H84" s="448" t="s">
        <v>412</v>
      </c>
      <c r="I84" s="448" t="s">
        <v>452</v>
      </c>
      <c r="J84" s="448"/>
      <c r="K84" s="448" t="s">
        <v>539</v>
      </c>
      <c r="L84" s="303"/>
      <c r="M84" s="448" t="s">
        <v>456</v>
      </c>
      <c r="N84" s="448" t="s">
        <v>456</v>
      </c>
      <c r="O84">
        <v>85</v>
      </c>
    </row>
    <row r="85" spans="1:15" x14ac:dyDescent="0.25">
      <c r="A85" s="448" t="s">
        <v>10</v>
      </c>
      <c r="B85" s="448" t="s">
        <v>548</v>
      </c>
      <c r="C85" s="448" t="s">
        <v>549</v>
      </c>
      <c r="D85" s="63">
        <v>46106</v>
      </c>
      <c r="E85">
        <v>84</v>
      </c>
      <c r="F85" t="b">
        <v>0</v>
      </c>
      <c r="G85" s="63">
        <v>46106.375694444447</v>
      </c>
      <c r="H85" s="448" t="s">
        <v>412</v>
      </c>
      <c r="I85" s="448" t="s">
        <v>452</v>
      </c>
      <c r="J85" s="448"/>
      <c r="K85" s="448" t="s">
        <v>539</v>
      </c>
      <c r="L85" s="303"/>
      <c r="M85" s="448" t="s">
        <v>456</v>
      </c>
      <c r="N85" s="448" t="s">
        <v>456</v>
      </c>
      <c r="O85">
        <v>86</v>
      </c>
    </row>
    <row r="86" spans="1:15" x14ac:dyDescent="0.25">
      <c r="A86" s="448" t="s">
        <v>5</v>
      </c>
      <c r="B86" s="448" t="s">
        <v>550</v>
      </c>
      <c r="C86" s="448" t="s">
        <v>551</v>
      </c>
      <c r="D86" s="63">
        <v>46142</v>
      </c>
      <c r="E86">
        <v>50</v>
      </c>
      <c r="F86" t="b">
        <v>0</v>
      </c>
      <c r="G86" s="63">
        <v>46184.131249999999</v>
      </c>
      <c r="H86" s="448" t="s">
        <v>412</v>
      </c>
      <c r="I86" s="448" t="s">
        <v>452</v>
      </c>
      <c r="J86" s="448"/>
      <c r="K86" s="448" t="s">
        <v>453</v>
      </c>
      <c r="L86" s="303">
        <v>46106</v>
      </c>
      <c r="M86" s="448" t="s">
        <v>412</v>
      </c>
      <c r="N86" s="448" t="s">
        <v>452</v>
      </c>
      <c r="O86">
        <v>87</v>
      </c>
    </row>
    <row r="87" spans="1:15" x14ac:dyDescent="0.25">
      <c r="A87" s="448" t="s">
        <v>10</v>
      </c>
      <c r="B87" s="448" t="s">
        <v>553</v>
      </c>
      <c r="C87" s="448" t="s">
        <v>554</v>
      </c>
      <c r="D87" s="63">
        <v>46216</v>
      </c>
      <c r="E87">
        <v>22</v>
      </c>
      <c r="F87" t="b">
        <v>0</v>
      </c>
      <c r="G87" s="63">
        <v>46183.927083333336</v>
      </c>
      <c r="H87" s="448" t="s">
        <v>412</v>
      </c>
      <c r="I87" s="448" t="s">
        <v>452</v>
      </c>
      <c r="J87" s="448"/>
      <c r="K87" s="448" t="s">
        <v>453</v>
      </c>
      <c r="L87" s="303">
        <v>46106</v>
      </c>
      <c r="M87" s="448" t="s">
        <v>412</v>
      </c>
      <c r="N87" s="448" t="s">
        <v>452</v>
      </c>
      <c r="O87">
        <v>88</v>
      </c>
    </row>
    <row r="88" spans="1:15" x14ac:dyDescent="0.25">
      <c r="A88" s="448" t="s">
        <v>20</v>
      </c>
      <c r="B88" s="448" t="s">
        <v>271</v>
      </c>
      <c r="C88" s="448" t="s">
        <v>555</v>
      </c>
      <c r="D88" s="63">
        <v>46174</v>
      </c>
      <c r="E88">
        <v>2</v>
      </c>
      <c r="F88" t="b">
        <v>0</v>
      </c>
      <c r="G88" s="63">
        <v>46184.241666666669</v>
      </c>
      <c r="H88" s="448" t="s">
        <v>412</v>
      </c>
      <c r="I88" s="448" t="s">
        <v>452</v>
      </c>
      <c r="J88" s="448"/>
      <c r="K88" s="448" t="s">
        <v>453</v>
      </c>
      <c r="L88" s="303">
        <v>46106</v>
      </c>
      <c r="M88" s="448" t="s">
        <v>412</v>
      </c>
      <c r="N88" s="448" t="s">
        <v>452</v>
      </c>
      <c r="O88">
        <v>89</v>
      </c>
    </row>
    <row r="89" spans="1:15" x14ac:dyDescent="0.25">
      <c r="A89" s="448" t="s">
        <v>12</v>
      </c>
      <c r="B89" s="448" t="s">
        <v>528</v>
      </c>
      <c r="C89" s="448" t="s">
        <v>558</v>
      </c>
      <c r="D89" s="63">
        <v>46107</v>
      </c>
      <c r="E89">
        <v>1</v>
      </c>
      <c r="F89" t="b">
        <v>0</v>
      </c>
      <c r="G89" s="63">
        <v>46113.07916666667</v>
      </c>
      <c r="H89" s="448" t="s">
        <v>412</v>
      </c>
      <c r="I89" s="448" t="s">
        <v>452</v>
      </c>
      <c r="J89" s="448" t="s">
        <v>559</v>
      </c>
      <c r="K89" s="448" t="s">
        <v>453</v>
      </c>
      <c r="L89" s="303">
        <v>46107</v>
      </c>
      <c r="M89" s="448" t="s">
        <v>412</v>
      </c>
      <c r="N89" s="448" t="s">
        <v>452</v>
      </c>
      <c r="O89">
        <v>90</v>
      </c>
    </row>
    <row r="90" spans="1:15" x14ac:dyDescent="0.25">
      <c r="A90" s="448" t="s">
        <v>25</v>
      </c>
      <c r="B90" s="448" t="s">
        <v>568</v>
      </c>
      <c r="C90" s="448" t="s">
        <v>569</v>
      </c>
      <c r="D90" s="63">
        <v>46248</v>
      </c>
      <c r="E90">
        <v>6</v>
      </c>
      <c r="F90" t="b">
        <v>0</v>
      </c>
      <c r="G90" s="63">
        <v>46183.919444444444</v>
      </c>
      <c r="H90" s="448" t="s">
        <v>412</v>
      </c>
      <c r="I90" s="448" t="s">
        <v>452</v>
      </c>
      <c r="J90" s="448" t="s">
        <v>570</v>
      </c>
      <c r="K90" s="448" t="s">
        <v>453</v>
      </c>
      <c r="L90" s="303">
        <v>46113</v>
      </c>
      <c r="M90" s="448" t="s">
        <v>412</v>
      </c>
      <c r="N90" s="448" t="s">
        <v>452</v>
      </c>
      <c r="O90">
        <v>91</v>
      </c>
    </row>
    <row r="91" spans="1:15" x14ac:dyDescent="0.25">
      <c r="A91" s="448" t="s">
        <v>102</v>
      </c>
      <c r="B91" s="448" t="s">
        <v>571</v>
      </c>
      <c r="C91" s="448" t="s">
        <v>572</v>
      </c>
      <c r="D91" s="63">
        <v>46265</v>
      </c>
      <c r="E91">
        <v>20</v>
      </c>
      <c r="F91" t="b">
        <v>1</v>
      </c>
      <c r="G91" s="63">
        <v>46183.923611111109</v>
      </c>
      <c r="H91" s="448" t="s">
        <v>412</v>
      </c>
      <c r="I91" s="448" t="s">
        <v>452</v>
      </c>
      <c r="J91" s="448" t="s">
        <v>564</v>
      </c>
      <c r="K91" s="448" t="s">
        <v>453</v>
      </c>
      <c r="L91" s="303">
        <v>46184</v>
      </c>
      <c r="M91" s="448" t="s">
        <v>412</v>
      </c>
      <c r="N91" s="448" t="s">
        <v>452</v>
      </c>
      <c r="O91">
        <v>92</v>
      </c>
    </row>
    <row r="92" spans="1:15" x14ac:dyDescent="0.25">
      <c r="A92" s="448" t="s">
        <v>101</v>
      </c>
      <c r="B92" s="448" t="s">
        <v>142</v>
      </c>
      <c r="C92" s="448" t="s">
        <v>573</v>
      </c>
      <c r="D92" s="63">
        <v>46265</v>
      </c>
      <c r="E92">
        <v>22</v>
      </c>
      <c r="F92" t="b">
        <v>1</v>
      </c>
      <c r="G92" s="63">
        <v>46183.923611111109</v>
      </c>
      <c r="H92" s="448" t="s">
        <v>412</v>
      </c>
      <c r="I92" s="448" t="s">
        <v>452</v>
      </c>
      <c r="J92" s="448" t="s">
        <v>564</v>
      </c>
      <c r="K92" s="448" t="s">
        <v>453</v>
      </c>
      <c r="L92" s="303">
        <v>46184</v>
      </c>
      <c r="M92" s="448" t="s">
        <v>412</v>
      </c>
      <c r="N92" s="448" t="s">
        <v>452</v>
      </c>
      <c r="O92">
        <v>93</v>
      </c>
    </row>
    <row r="93" spans="1:15" x14ac:dyDescent="0.25">
      <c r="A93" s="448" t="s">
        <v>72</v>
      </c>
      <c r="B93" s="448" t="s">
        <v>574</v>
      </c>
      <c r="C93" s="448" t="s">
        <v>575</v>
      </c>
      <c r="D93" s="63">
        <v>46327</v>
      </c>
      <c r="E93">
        <v>1</v>
      </c>
      <c r="F93" t="b">
        <v>1</v>
      </c>
      <c r="G93" s="63">
        <v>46184.250694444447</v>
      </c>
      <c r="H93" s="448" t="s">
        <v>412</v>
      </c>
      <c r="I93" s="448" t="s">
        <v>452</v>
      </c>
      <c r="J93" s="448" t="s">
        <v>576</v>
      </c>
      <c r="K93" s="448" t="s">
        <v>453</v>
      </c>
      <c r="L93" s="303">
        <v>46184</v>
      </c>
      <c r="M93" s="448" t="s">
        <v>412</v>
      </c>
      <c r="N93" s="448" t="s">
        <v>452</v>
      </c>
      <c r="O93">
        <v>94</v>
      </c>
    </row>
    <row r="94" spans="1:15" x14ac:dyDescent="0.25">
      <c r="A94" s="448" t="s">
        <v>80</v>
      </c>
      <c r="B94" s="448" t="s">
        <v>577</v>
      </c>
      <c r="C94" s="448" t="s">
        <v>578</v>
      </c>
      <c r="D94" s="63">
        <v>46385</v>
      </c>
      <c r="E94">
        <v>4</v>
      </c>
      <c r="F94" t="b">
        <v>1</v>
      </c>
      <c r="G94" s="63">
        <v>46184.251388888886</v>
      </c>
      <c r="H94" s="448" t="s">
        <v>412</v>
      </c>
      <c r="I94" s="448" t="s">
        <v>452</v>
      </c>
      <c r="J94" s="448" t="s">
        <v>564</v>
      </c>
      <c r="K94" s="448" t="s">
        <v>453</v>
      </c>
      <c r="L94" s="303">
        <v>46184</v>
      </c>
      <c r="M94" s="448" t="s">
        <v>412</v>
      </c>
      <c r="N94" s="448" t="s">
        <v>452</v>
      </c>
      <c r="O94">
        <v>95</v>
      </c>
    </row>
    <row r="95" spans="1:15" x14ac:dyDescent="0.25">
      <c r="A95" s="448" t="s">
        <v>23</v>
      </c>
      <c r="B95" s="448" t="s">
        <v>579</v>
      </c>
      <c r="C95" s="448" t="s">
        <v>580</v>
      </c>
      <c r="D95" s="63">
        <v>46385</v>
      </c>
      <c r="E95">
        <v>2</v>
      </c>
      <c r="F95" t="b">
        <v>1</v>
      </c>
      <c r="G95" s="63">
        <v>46184.251388888886</v>
      </c>
      <c r="H95" s="448" t="s">
        <v>412</v>
      </c>
      <c r="I95" s="448" t="s">
        <v>452</v>
      </c>
      <c r="J95" s="448"/>
      <c r="K95" s="448" t="s">
        <v>453</v>
      </c>
      <c r="L95" s="303">
        <v>46184</v>
      </c>
      <c r="M95" s="448" t="s">
        <v>412</v>
      </c>
      <c r="N95" s="448" t="s">
        <v>452</v>
      </c>
      <c r="O95">
        <v>96</v>
      </c>
    </row>
    <row r="96" spans="1:15" x14ac:dyDescent="0.25">
      <c r="A96" s="448" t="s">
        <v>6</v>
      </c>
      <c r="B96" s="448" t="s">
        <v>581</v>
      </c>
      <c r="C96" s="448" t="s">
        <v>582</v>
      </c>
      <c r="D96" s="63">
        <v>46191</v>
      </c>
      <c r="E96">
        <v>10</v>
      </c>
      <c r="F96" t="b">
        <v>1</v>
      </c>
      <c r="G96" s="63">
        <v>46183.925694444442</v>
      </c>
      <c r="H96" s="448" t="s">
        <v>412</v>
      </c>
      <c r="I96" s="448" t="s">
        <v>452</v>
      </c>
      <c r="J96" s="448"/>
      <c r="K96" s="448" t="s">
        <v>453</v>
      </c>
      <c r="L96" s="303">
        <v>46184</v>
      </c>
      <c r="M96" s="448" t="s">
        <v>412</v>
      </c>
      <c r="N96" s="448" t="s">
        <v>452</v>
      </c>
      <c r="O96">
        <v>97</v>
      </c>
    </row>
    <row r="97" spans="1:15" x14ac:dyDescent="0.25">
      <c r="A97" s="448" t="s">
        <v>10</v>
      </c>
      <c r="B97" s="448" t="s">
        <v>583</v>
      </c>
      <c r="C97" s="448" t="s">
        <v>584</v>
      </c>
      <c r="D97" s="63">
        <v>46220</v>
      </c>
      <c r="E97">
        <v>3</v>
      </c>
      <c r="F97" t="b">
        <v>0</v>
      </c>
      <c r="G97" s="63">
        <v>46183.927083333336</v>
      </c>
      <c r="H97" s="448" t="s">
        <v>412</v>
      </c>
      <c r="I97" s="448" t="s">
        <v>452</v>
      </c>
      <c r="J97" s="448"/>
      <c r="K97" s="448" t="s">
        <v>453</v>
      </c>
      <c r="L97" s="303">
        <v>46113</v>
      </c>
      <c r="M97" s="448" t="s">
        <v>412</v>
      </c>
      <c r="N97" s="448" t="s">
        <v>452</v>
      </c>
      <c r="O97">
        <v>98</v>
      </c>
    </row>
    <row r="98" spans="1:15" x14ac:dyDescent="0.25">
      <c r="A98" s="448" t="s">
        <v>34</v>
      </c>
      <c r="B98" s="448" t="s">
        <v>585</v>
      </c>
      <c r="C98" s="448" t="s">
        <v>586</v>
      </c>
      <c r="D98" s="63">
        <v>46234</v>
      </c>
      <c r="E98">
        <v>5</v>
      </c>
      <c r="F98" t="b">
        <v>1</v>
      </c>
      <c r="G98" s="63">
        <v>46113.25</v>
      </c>
      <c r="H98" s="448" t="s">
        <v>412</v>
      </c>
      <c r="I98" s="448" t="s">
        <v>452</v>
      </c>
      <c r="J98" s="448"/>
      <c r="K98" s="448" t="s">
        <v>453</v>
      </c>
      <c r="L98" s="303">
        <v>46113</v>
      </c>
      <c r="M98" s="448" t="s">
        <v>412</v>
      </c>
      <c r="N98" s="448" t="s">
        <v>452</v>
      </c>
      <c r="O98">
        <v>99</v>
      </c>
    </row>
    <row r="99" spans="1:15" x14ac:dyDescent="0.25">
      <c r="A99" s="448" t="s">
        <v>34</v>
      </c>
      <c r="B99" s="448" t="s">
        <v>587</v>
      </c>
      <c r="C99" s="448" t="s">
        <v>588</v>
      </c>
      <c r="D99" s="63">
        <v>46142</v>
      </c>
      <c r="E99">
        <v>1</v>
      </c>
      <c r="F99" t="b">
        <v>0</v>
      </c>
      <c r="G99" s="63">
        <v>46183.929166666669</v>
      </c>
      <c r="H99" s="448" t="s">
        <v>412</v>
      </c>
      <c r="I99" s="448" t="s">
        <v>452</v>
      </c>
      <c r="J99" s="448"/>
      <c r="K99" s="448" t="s">
        <v>453</v>
      </c>
      <c r="L99" s="303">
        <v>46113</v>
      </c>
      <c r="M99" s="448" t="s">
        <v>412</v>
      </c>
      <c r="N99" s="448" t="s">
        <v>452</v>
      </c>
      <c r="O99">
        <v>100</v>
      </c>
    </row>
    <row r="100" spans="1:15" x14ac:dyDescent="0.25">
      <c r="A100" s="448" t="s">
        <v>36</v>
      </c>
      <c r="B100" s="448" t="s">
        <v>182</v>
      </c>
      <c r="C100" s="448" t="s">
        <v>589</v>
      </c>
      <c r="D100" s="63">
        <v>46357</v>
      </c>
      <c r="E100">
        <v>2</v>
      </c>
      <c r="F100" t="b">
        <v>1</v>
      </c>
      <c r="G100" s="63">
        <v>46183.929861111108</v>
      </c>
      <c r="H100" s="448" t="s">
        <v>412</v>
      </c>
      <c r="I100" s="448" t="s">
        <v>452</v>
      </c>
      <c r="J100" s="448"/>
      <c r="K100" s="448" t="s">
        <v>453</v>
      </c>
      <c r="L100" s="303">
        <v>46184</v>
      </c>
      <c r="M100" s="448" t="s">
        <v>412</v>
      </c>
      <c r="N100" s="448" t="s">
        <v>452</v>
      </c>
      <c r="O100">
        <v>101</v>
      </c>
    </row>
    <row r="101" spans="1:15" x14ac:dyDescent="0.25">
      <c r="A101" s="448" t="s">
        <v>33</v>
      </c>
      <c r="B101" s="448" t="s">
        <v>188</v>
      </c>
      <c r="C101" s="448" t="s">
        <v>590</v>
      </c>
      <c r="D101" s="63">
        <v>46403</v>
      </c>
      <c r="E101">
        <v>2</v>
      </c>
      <c r="F101" t="b">
        <v>1</v>
      </c>
      <c r="G101" s="63">
        <v>46183.930555555555</v>
      </c>
      <c r="H101" s="448" t="s">
        <v>412</v>
      </c>
      <c r="I101" s="448" t="s">
        <v>452</v>
      </c>
      <c r="J101" s="448"/>
      <c r="K101" s="448" t="s">
        <v>453</v>
      </c>
      <c r="L101" s="303">
        <v>46184</v>
      </c>
      <c r="M101" s="448" t="s">
        <v>412</v>
      </c>
      <c r="N101" s="448" t="s">
        <v>452</v>
      </c>
      <c r="O101">
        <v>102</v>
      </c>
    </row>
    <row r="102" spans="1:15" x14ac:dyDescent="0.25">
      <c r="A102" s="448" t="s">
        <v>68</v>
      </c>
      <c r="B102" s="448" t="s">
        <v>591</v>
      </c>
      <c r="C102" s="448" t="s">
        <v>592</v>
      </c>
      <c r="D102" s="63">
        <v>46159</v>
      </c>
      <c r="E102">
        <v>10</v>
      </c>
      <c r="F102" t="b">
        <v>0</v>
      </c>
      <c r="G102" s="63">
        <v>46183.930555555555</v>
      </c>
      <c r="H102" s="448" t="s">
        <v>412</v>
      </c>
      <c r="I102" s="448" t="s">
        <v>452</v>
      </c>
      <c r="J102" s="448"/>
      <c r="K102" s="448" t="s">
        <v>453</v>
      </c>
      <c r="L102" s="303">
        <v>46113</v>
      </c>
      <c r="M102" s="448" t="s">
        <v>412</v>
      </c>
      <c r="N102" s="448" t="s">
        <v>452</v>
      </c>
      <c r="O102">
        <v>103</v>
      </c>
    </row>
    <row r="103" spans="1:15" x14ac:dyDescent="0.25">
      <c r="A103" s="448" t="s">
        <v>90</v>
      </c>
      <c r="B103" s="448" t="s">
        <v>203</v>
      </c>
      <c r="C103" s="448" t="s">
        <v>593</v>
      </c>
      <c r="D103" s="63">
        <v>46254</v>
      </c>
      <c r="E103">
        <v>1</v>
      </c>
      <c r="F103" t="b">
        <v>1</v>
      </c>
      <c r="G103" s="63">
        <v>46183.931944444441</v>
      </c>
      <c r="H103" s="448" t="s">
        <v>412</v>
      </c>
      <c r="I103" s="448" t="s">
        <v>452</v>
      </c>
      <c r="J103" s="448"/>
      <c r="K103" s="448" t="s">
        <v>453</v>
      </c>
      <c r="L103" s="303">
        <v>46184</v>
      </c>
      <c r="M103" s="448" t="s">
        <v>412</v>
      </c>
      <c r="N103" s="448" t="s">
        <v>452</v>
      </c>
      <c r="O103">
        <v>104</v>
      </c>
    </row>
    <row r="104" spans="1:15" x14ac:dyDescent="0.25">
      <c r="A104" s="448" t="s">
        <v>88</v>
      </c>
      <c r="B104" s="448" t="s">
        <v>206</v>
      </c>
      <c r="C104" s="448" t="s">
        <v>594</v>
      </c>
      <c r="D104" s="63">
        <v>46253</v>
      </c>
      <c r="E104">
        <v>1</v>
      </c>
      <c r="F104" t="b">
        <v>1</v>
      </c>
      <c r="G104" s="63">
        <v>46183.932638888888</v>
      </c>
      <c r="H104" s="448" t="s">
        <v>412</v>
      </c>
      <c r="I104" s="448" t="s">
        <v>452</v>
      </c>
      <c r="J104" s="448"/>
      <c r="K104" s="448" t="s">
        <v>453</v>
      </c>
      <c r="L104" s="303">
        <v>46184</v>
      </c>
      <c r="M104" s="448" t="s">
        <v>412</v>
      </c>
      <c r="N104" s="448" t="s">
        <v>452</v>
      </c>
      <c r="O104">
        <v>105</v>
      </c>
    </row>
    <row r="105" spans="1:15" x14ac:dyDescent="0.25">
      <c r="A105" s="448" t="s">
        <v>37</v>
      </c>
      <c r="B105" s="448" t="s">
        <v>595</v>
      </c>
      <c r="C105" s="448" t="s">
        <v>596</v>
      </c>
      <c r="D105" s="63">
        <v>46120</v>
      </c>
      <c r="E105">
        <v>1</v>
      </c>
      <c r="F105" t="b">
        <v>0</v>
      </c>
      <c r="G105" s="63">
        <v>46184.130555555559</v>
      </c>
      <c r="H105" s="448" t="s">
        <v>412</v>
      </c>
      <c r="I105" s="448" t="s">
        <v>452</v>
      </c>
      <c r="J105" s="448"/>
      <c r="K105" s="448" t="s">
        <v>453</v>
      </c>
      <c r="L105" s="303">
        <v>46113</v>
      </c>
      <c r="M105" s="448" t="s">
        <v>412</v>
      </c>
      <c r="N105" s="448" t="s">
        <v>452</v>
      </c>
      <c r="O105">
        <v>106</v>
      </c>
    </row>
    <row r="106" spans="1:15" x14ac:dyDescent="0.25">
      <c r="A106" s="448" t="s">
        <v>37</v>
      </c>
      <c r="B106" s="448" t="s">
        <v>597</v>
      </c>
      <c r="C106" s="448" t="s">
        <v>598</v>
      </c>
      <c r="D106" s="63">
        <v>46156</v>
      </c>
      <c r="E106">
        <v>9</v>
      </c>
      <c r="F106" t="b">
        <v>0</v>
      </c>
      <c r="G106" s="63">
        <v>46184.130555555559</v>
      </c>
      <c r="H106" s="448" t="s">
        <v>412</v>
      </c>
      <c r="I106" s="448" t="s">
        <v>452</v>
      </c>
      <c r="J106" s="448"/>
      <c r="K106" s="448" t="s">
        <v>453</v>
      </c>
      <c r="L106" s="303">
        <v>46113</v>
      </c>
      <c r="M106" s="448" t="s">
        <v>412</v>
      </c>
      <c r="N106" s="448" t="s">
        <v>452</v>
      </c>
      <c r="O106">
        <v>107</v>
      </c>
    </row>
    <row r="107" spans="1:15" x14ac:dyDescent="0.25">
      <c r="A107" s="448" t="s">
        <v>9</v>
      </c>
      <c r="B107" s="448" t="s">
        <v>599</v>
      </c>
      <c r="C107" s="448" t="s">
        <v>600</v>
      </c>
      <c r="D107" s="63">
        <v>46114</v>
      </c>
      <c r="E107">
        <v>2</v>
      </c>
      <c r="F107" t="b">
        <v>0</v>
      </c>
      <c r="G107" s="63">
        <v>46114.012499999997</v>
      </c>
      <c r="H107" s="448" t="s">
        <v>601</v>
      </c>
      <c r="I107" s="448" t="s">
        <v>458</v>
      </c>
      <c r="J107" s="448" t="s">
        <v>602</v>
      </c>
      <c r="K107" s="448" t="s">
        <v>453</v>
      </c>
      <c r="L107" s="303">
        <v>46114</v>
      </c>
      <c r="M107" s="448" t="s">
        <v>601</v>
      </c>
      <c r="N107" s="448" t="s">
        <v>458</v>
      </c>
      <c r="O107">
        <v>108</v>
      </c>
    </row>
    <row r="108" spans="1:15" x14ac:dyDescent="0.25">
      <c r="A108" s="448" t="s">
        <v>61</v>
      </c>
      <c r="B108" s="448" t="s">
        <v>228</v>
      </c>
      <c r="C108" s="448" t="s">
        <v>603</v>
      </c>
      <c r="D108" s="63">
        <v>46821</v>
      </c>
      <c r="E108">
        <v>12</v>
      </c>
      <c r="F108" t="b">
        <v>1</v>
      </c>
      <c r="G108" s="63">
        <v>46184.133333333331</v>
      </c>
      <c r="H108" s="448" t="s">
        <v>412</v>
      </c>
      <c r="I108" s="448" t="s">
        <v>452</v>
      </c>
      <c r="J108" s="448" t="s">
        <v>564</v>
      </c>
      <c r="K108" s="448" t="s">
        <v>453</v>
      </c>
      <c r="L108" s="303">
        <v>46184</v>
      </c>
      <c r="M108" s="448" t="s">
        <v>412</v>
      </c>
      <c r="N108" s="448" t="s">
        <v>452</v>
      </c>
      <c r="O108">
        <v>109</v>
      </c>
    </row>
    <row r="109" spans="1:15" x14ac:dyDescent="0.25">
      <c r="A109" s="448" t="s">
        <v>52</v>
      </c>
      <c r="B109" s="448" t="s">
        <v>604</v>
      </c>
      <c r="C109" s="448" t="s">
        <v>605</v>
      </c>
      <c r="D109" s="63">
        <v>46219</v>
      </c>
      <c r="E109">
        <v>2</v>
      </c>
      <c r="F109" t="b">
        <v>0</v>
      </c>
      <c r="G109" s="63">
        <v>46184.229861111111</v>
      </c>
      <c r="H109" s="448" t="s">
        <v>412</v>
      </c>
      <c r="I109" s="448" t="s">
        <v>452</v>
      </c>
      <c r="J109" s="448"/>
      <c r="K109" s="448" t="s">
        <v>453</v>
      </c>
      <c r="L109" s="303">
        <v>46114</v>
      </c>
      <c r="M109" s="448" t="s">
        <v>412</v>
      </c>
      <c r="N109" s="448" t="s">
        <v>452</v>
      </c>
      <c r="O109">
        <v>110</v>
      </c>
    </row>
    <row r="110" spans="1:15" x14ac:dyDescent="0.25">
      <c r="A110" s="448" t="s">
        <v>52</v>
      </c>
      <c r="B110" s="448" t="s">
        <v>606</v>
      </c>
      <c r="C110" s="448" t="s">
        <v>607</v>
      </c>
      <c r="D110" s="63">
        <v>46277</v>
      </c>
      <c r="E110">
        <v>1</v>
      </c>
      <c r="F110" t="b">
        <v>0</v>
      </c>
      <c r="G110" s="63">
        <v>46184.229861111111</v>
      </c>
      <c r="H110" s="448" t="s">
        <v>412</v>
      </c>
      <c r="I110" s="448" t="s">
        <v>452</v>
      </c>
      <c r="J110" s="448"/>
      <c r="K110" s="448" t="s">
        <v>453</v>
      </c>
      <c r="L110" s="303">
        <v>46114</v>
      </c>
      <c r="M110" s="448" t="s">
        <v>412</v>
      </c>
      <c r="N110" s="448" t="s">
        <v>452</v>
      </c>
      <c r="O110">
        <v>111</v>
      </c>
    </row>
    <row r="111" spans="1:15" x14ac:dyDescent="0.25">
      <c r="A111" s="448" t="s">
        <v>53</v>
      </c>
      <c r="B111" s="448" t="s">
        <v>608</v>
      </c>
      <c r="C111" s="448" t="s">
        <v>609</v>
      </c>
      <c r="D111" s="63">
        <v>46268</v>
      </c>
      <c r="E111">
        <v>2</v>
      </c>
      <c r="F111" t="b">
        <v>1</v>
      </c>
      <c r="G111" s="63">
        <v>46184.234027777777</v>
      </c>
      <c r="H111" s="448" t="s">
        <v>412</v>
      </c>
      <c r="I111" s="448" t="s">
        <v>452</v>
      </c>
      <c r="J111" s="448" t="s">
        <v>560</v>
      </c>
      <c r="K111" s="448" t="s">
        <v>453</v>
      </c>
      <c r="L111" s="303">
        <v>46184</v>
      </c>
      <c r="M111" s="448" t="s">
        <v>412</v>
      </c>
      <c r="N111" s="448" t="s">
        <v>452</v>
      </c>
      <c r="O111">
        <v>112</v>
      </c>
    </row>
    <row r="112" spans="1:15" x14ac:dyDescent="0.25">
      <c r="A112" s="448" t="s">
        <v>77</v>
      </c>
      <c r="B112" s="448" t="s">
        <v>271</v>
      </c>
      <c r="C112" s="448" t="s">
        <v>610</v>
      </c>
      <c r="D112" s="63">
        <v>46174</v>
      </c>
      <c r="E112">
        <v>4</v>
      </c>
      <c r="F112" t="b">
        <v>0</v>
      </c>
      <c r="G112" s="63">
        <v>46184.240972222222</v>
      </c>
      <c r="H112" s="448" t="s">
        <v>412</v>
      </c>
      <c r="I112" s="448" t="s">
        <v>452</v>
      </c>
      <c r="J112" s="448" t="s">
        <v>564</v>
      </c>
      <c r="K112" s="448" t="s">
        <v>453</v>
      </c>
      <c r="L112" s="303">
        <v>46114</v>
      </c>
      <c r="M112" s="448" t="s">
        <v>412</v>
      </c>
      <c r="N112" s="448" t="s">
        <v>452</v>
      </c>
      <c r="O112">
        <v>113</v>
      </c>
    </row>
    <row r="113" spans="1:15" x14ac:dyDescent="0.25">
      <c r="A113" s="448" t="s">
        <v>78</v>
      </c>
      <c r="B113" s="448" t="s">
        <v>275</v>
      </c>
      <c r="C113" s="448" t="s">
        <v>611</v>
      </c>
      <c r="D113" s="63">
        <v>46174</v>
      </c>
      <c r="E113">
        <v>4</v>
      </c>
      <c r="F113" t="b">
        <v>0</v>
      </c>
      <c r="G113" s="63">
        <v>46184.242361111108</v>
      </c>
      <c r="H113" s="448" t="s">
        <v>412</v>
      </c>
      <c r="I113" s="448" t="s">
        <v>452</v>
      </c>
      <c r="J113" s="448" t="s">
        <v>564</v>
      </c>
      <c r="K113" s="448" t="s">
        <v>453</v>
      </c>
      <c r="L113" s="303">
        <v>46114</v>
      </c>
      <c r="M113" s="448" t="s">
        <v>412</v>
      </c>
      <c r="N113" s="448" t="s">
        <v>452</v>
      </c>
      <c r="O113">
        <v>114</v>
      </c>
    </row>
    <row r="114" spans="1:15" x14ac:dyDescent="0.25">
      <c r="A114" s="448" t="s">
        <v>57</v>
      </c>
      <c r="B114" s="448" t="s">
        <v>612</v>
      </c>
      <c r="C114" s="448" t="s">
        <v>613</v>
      </c>
      <c r="D114" s="63">
        <v>46778</v>
      </c>
      <c r="E114">
        <v>1</v>
      </c>
      <c r="F114" t="b">
        <v>1</v>
      </c>
      <c r="G114" s="63">
        <v>46184.244444444441</v>
      </c>
      <c r="H114" s="448" t="s">
        <v>412</v>
      </c>
      <c r="I114" s="448" t="s">
        <v>452</v>
      </c>
      <c r="J114" s="448" t="s">
        <v>636</v>
      </c>
      <c r="K114" s="448" t="s">
        <v>453</v>
      </c>
      <c r="L114" s="303">
        <v>46184</v>
      </c>
      <c r="M114" s="448" t="s">
        <v>412</v>
      </c>
      <c r="N114" s="448" t="s">
        <v>452</v>
      </c>
      <c r="O114">
        <v>115</v>
      </c>
    </row>
    <row r="115" spans="1:15" x14ac:dyDescent="0.25">
      <c r="A115" s="448" t="s">
        <v>58</v>
      </c>
      <c r="B115" s="448" t="s">
        <v>290</v>
      </c>
      <c r="C115" s="448" t="s">
        <v>614</v>
      </c>
      <c r="D115" s="63">
        <v>46198</v>
      </c>
      <c r="E115">
        <v>6</v>
      </c>
      <c r="F115" t="b">
        <v>1</v>
      </c>
      <c r="G115" s="63">
        <v>46184.245138888888</v>
      </c>
      <c r="H115" s="448" t="s">
        <v>412</v>
      </c>
      <c r="I115" s="448" t="s">
        <v>452</v>
      </c>
      <c r="J115" s="448" t="s">
        <v>564</v>
      </c>
      <c r="K115" s="448" t="s">
        <v>453</v>
      </c>
      <c r="L115" s="303">
        <v>46184</v>
      </c>
      <c r="M115" s="448" t="s">
        <v>412</v>
      </c>
      <c r="N115" s="448" t="s">
        <v>452</v>
      </c>
      <c r="O115">
        <v>116</v>
      </c>
    </row>
    <row r="116" spans="1:15" x14ac:dyDescent="0.25">
      <c r="A116" s="448" t="s">
        <v>48</v>
      </c>
      <c r="B116" s="448" t="s">
        <v>615</v>
      </c>
      <c r="C116" s="448" t="s">
        <v>616</v>
      </c>
      <c r="D116" s="63">
        <v>46783</v>
      </c>
      <c r="E116">
        <v>1</v>
      </c>
      <c r="F116" t="b">
        <v>1</v>
      </c>
      <c r="G116" s="63">
        <v>46184.245138888888</v>
      </c>
      <c r="H116" s="448" t="s">
        <v>412</v>
      </c>
      <c r="I116" s="448" t="s">
        <v>452</v>
      </c>
      <c r="J116" s="448" t="s">
        <v>617</v>
      </c>
      <c r="K116" s="448" t="s">
        <v>453</v>
      </c>
      <c r="L116" s="303">
        <v>46184</v>
      </c>
      <c r="M116" s="448" t="s">
        <v>412</v>
      </c>
      <c r="N116" s="448" t="s">
        <v>452</v>
      </c>
      <c r="O116">
        <v>117</v>
      </c>
    </row>
    <row r="117" spans="1:15" x14ac:dyDescent="0.25">
      <c r="A117" s="448" t="s">
        <v>63</v>
      </c>
      <c r="B117" s="448" t="s">
        <v>301</v>
      </c>
      <c r="C117" s="448" t="s">
        <v>618</v>
      </c>
      <c r="D117" s="63">
        <v>46248</v>
      </c>
      <c r="E117">
        <v>3</v>
      </c>
      <c r="F117" t="b">
        <v>1</v>
      </c>
      <c r="G117" s="63">
        <v>46184.245833333334</v>
      </c>
      <c r="H117" s="448" t="s">
        <v>412</v>
      </c>
      <c r="I117" s="448" t="s">
        <v>452</v>
      </c>
      <c r="J117" s="448" t="s">
        <v>560</v>
      </c>
      <c r="K117" s="448" t="s">
        <v>453</v>
      </c>
      <c r="L117" s="303">
        <v>46184</v>
      </c>
      <c r="M117" s="448" t="s">
        <v>412</v>
      </c>
      <c r="N117" s="448" t="s">
        <v>452</v>
      </c>
      <c r="O117">
        <v>118</v>
      </c>
    </row>
    <row r="118" spans="1:15" x14ac:dyDescent="0.25">
      <c r="A118" s="448" t="s">
        <v>64</v>
      </c>
      <c r="B118" s="448" t="s">
        <v>306</v>
      </c>
      <c r="C118" s="448" t="s">
        <v>619</v>
      </c>
      <c r="D118" s="63">
        <v>46309</v>
      </c>
      <c r="E118">
        <v>3</v>
      </c>
      <c r="F118" t="b">
        <v>1</v>
      </c>
      <c r="G118" s="63">
        <v>46184.246527777781</v>
      </c>
      <c r="H118" s="448" t="s">
        <v>412</v>
      </c>
      <c r="I118" s="448" t="s">
        <v>452</v>
      </c>
      <c r="J118" s="448"/>
      <c r="K118" s="448" t="s">
        <v>453</v>
      </c>
      <c r="L118" s="303">
        <v>46184</v>
      </c>
      <c r="M118" s="448" t="s">
        <v>412</v>
      </c>
      <c r="N118" s="448" t="s">
        <v>452</v>
      </c>
      <c r="O118">
        <v>119</v>
      </c>
    </row>
    <row r="119" spans="1:15" x14ac:dyDescent="0.25">
      <c r="A119" s="448" t="s">
        <v>70</v>
      </c>
      <c r="B119" s="448" t="s">
        <v>620</v>
      </c>
      <c r="C119" s="448" t="s">
        <v>621</v>
      </c>
      <c r="D119" s="63">
        <v>46145</v>
      </c>
      <c r="E119">
        <v>0.5</v>
      </c>
      <c r="F119" t="b">
        <v>0</v>
      </c>
      <c r="G119" s="63">
        <v>46184.24722222222</v>
      </c>
      <c r="H119" s="448" t="s">
        <v>412</v>
      </c>
      <c r="I119" s="448" t="s">
        <v>452</v>
      </c>
      <c r="J119" s="448"/>
      <c r="K119" s="448" t="s">
        <v>453</v>
      </c>
      <c r="L119" s="303">
        <v>46114</v>
      </c>
      <c r="M119" s="448" t="s">
        <v>412</v>
      </c>
      <c r="N119" s="448" t="s">
        <v>452</v>
      </c>
      <c r="O119">
        <v>120</v>
      </c>
    </row>
    <row r="120" spans="1:15" x14ac:dyDescent="0.25">
      <c r="A120" s="448" t="s">
        <v>27</v>
      </c>
      <c r="B120" s="448" t="s">
        <v>622</v>
      </c>
      <c r="C120" s="448" t="s">
        <v>623</v>
      </c>
      <c r="D120" s="63">
        <v>46217</v>
      </c>
      <c r="E120">
        <v>1</v>
      </c>
      <c r="F120" t="b">
        <v>1</v>
      </c>
      <c r="G120" s="63">
        <v>46184.249305555553</v>
      </c>
      <c r="H120" s="448" t="s">
        <v>412</v>
      </c>
      <c r="I120" s="448" t="s">
        <v>452</v>
      </c>
      <c r="J120" s="448"/>
      <c r="K120" s="448" t="s">
        <v>453</v>
      </c>
      <c r="L120" s="303">
        <v>46184</v>
      </c>
      <c r="M120" s="448" t="s">
        <v>412</v>
      </c>
      <c r="N120" s="448" t="s">
        <v>452</v>
      </c>
      <c r="O120">
        <v>121</v>
      </c>
    </row>
    <row r="121" spans="1:15" x14ac:dyDescent="0.25">
      <c r="A121" s="448" t="s">
        <v>28</v>
      </c>
      <c r="B121" s="448" t="s">
        <v>624</v>
      </c>
      <c r="C121" s="448" t="s">
        <v>625</v>
      </c>
      <c r="D121" s="63">
        <v>46188</v>
      </c>
      <c r="E121">
        <v>0.5</v>
      </c>
      <c r="F121" t="b">
        <v>1</v>
      </c>
      <c r="G121" s="63">
        <v>46184.249305555553</v>
      </c>
      <c r="H121" s="448" t="s">
        <v>412</v>
      </c>
      <c r="I121" s="448" t="s">
        <v>452</v>
      </c>
      <c r="J121" s="448"/>
      <c r="K121" s="448" t="s">
        <v>453</v>
      </c>
      <c r="L121" s="303">
        <v>46184</v>
      </c>
      <c r="M121" s="448" t="s">
        <v>412</v>
      </c>
      <c r="N121" s="448" t="s">
        <v>452</v>
      </c>
      <c r="O121">
        <v>122</v>
      </c>
    </row>
    <row r="122" spans="1:15" x14ac:dyDescent="0.25">
      <c r="A122" s="448" t="s">
        <v>29</v>
      </c>
      <c r="B122" s="448" t="s">
        <v>626</v>
      </c>
      <c r="C122" s="448" t="s">
        <v>627</v>
      </c>
      <c r="D122" s="63">
        <v>46203</v>
      </c>
      <c r="E122">
        <v>53</v>
      </c>
      <c r="F122" t="b">
        <v>1</v>
      </c>
      <c r="G122" s="63">
        <v>46184.25</v>
      </c>
      <c r="H122" s="448" t="s">
        <v>412</v>
      </c>
      <c r="I122" s="448" t="s">
        <v>452</v>
      </c>
      <c r="J122" s="448" t="s">
        <v>564</v>
      </c>
      <c r="K122" s="448" t="s">
        <v>453</v>
      </c>
      <c r="L122" s="303">
        <v>46184</v>
      </c>
      <c r="M122" s="448" t="s">
        <v>412</v>
      </c>
      <c r="N122" s="448" t="s">
        <v>452</v>
      </c>
      <c r="O122">
        <v>123</v>
      </c>
    </row>
    <row r="123" spans="1:15" x14ac:dyDescent="0.25">
      <c r="A123" s="448" t="s">
        <v>30</v>
      </c>
      <c r="B123" s="448" t="s">
        <v>628</v>
      </c>
      <c r="C123" s="448" t="s">
        <v>629</v>
      </c>
      <c r="D123" s="63">
        <v>46216</v>
      </c>
      <c r="E123">
        <v>0.5</v>
      </c>
      <c r="F123" t="b">
        <v>1</v>
      </c>
      <c r="G123" s="63">
        <v>46184.25</v>
      </c>
      <c r="H123" s="448" t="s">
        <v>412</v>
      </c>
      <c r="I123" s="448" t="s">
        <v>452</v>
      </c>
      <c r="J123" s="448" t="s">
        <v>636</v>
      </c>
      <c r="K123" s="448" t="s">
        <v>453</v>
      </c>
      <c r="L123" s="303">
        <v>46184</v>
      </c>
      <c r="M123" s="448" t="s">
        <v>412</v>
      </c>
      <c r="N123" s="448" t="s">
        <v>452</v>
      </c>
      <c r="O123">
        <v>124</v>
      </c>
    </row>
    <row r="124" spans="1:15" x14ac:dyDescent="0.25">
      <c r="A124" s="448" t="s">
        <v>73</v>
      </c>
      <c r="B124" s="448" t="s">
        <v>630</v>
      </c>
      <c r="C124" s="448" t="s">
        <v>631</v>
      </c>
      <c r="D124" s="63">
        <v>46323</v>
      </c>
      <c r="E124">
        <v>16</v>
      </c>
      <c r="F124" t="b">
        <v>1</v>
      </c>
      <c r="G124" s="63">
        <v>46114.035416666666</v>
      </c>
      <c r="H124" s="448" t="s">
        <v>412</v>
      </c>
      <c r="I124" s="448" t="s">
        <v>452</v>
      </c>
      <c r="J124" s="448" t="s">
        <v>564</v>
      </c>
      <c r="K124" s="448" t="s">
        <v>539</v>
      </c>
      <c r="L124" s="303"/>
      <c r="M124" s="448" t="s">
        <v>456</v>
      </c>
      <c r="N124" s="448" t="s">
        <v>456</v>
      </c>
      <c r="O124">
        <v>125</v>
      </c>
    </row>
    <row r="125" spans="1:15" x14ac:dyDescent="0.25">
      <c r="A125" s="448" t="s">
        <v>25</v>
      </c>
      <c r="B125" s="448" t="s">
        <v>637</v>
      </c>
      <c r="C125" s="448" t="s">
        <v>638</v>
      </c>
      <c r="D125" s="63">
        <v>46478</v>
      </c>
      <c r="E125">
        <v>2</v>
      </c>
      <c r="F125" t="b">
        <v>1</v>
      </c>
      <c r="G125" s="63">
        <v>46183.92083333333</v>
      </c>
      <c r="H125" s="448" t="s">
        <v>412</v>
      </c>
      <c r="I125" s="448" t="s">
        <v>452</v>
      </c>
      <c r="J125" s="448"/>
      <c r="K125" s="448" t="s">
        <v>453</v>
      </c>
      <c r="L125" s="303">
        <v>46184</v>
      </c>
      <c r="M125" s="448" t="s">
        <v>412</v>
      </c>
      <c r="N125" s="448" t="s">
        <v>452</v>
      </c>
      <c r="O125">
        <v>126</v>
      </c>
    </row>
    <row r="126" spans="1:15" x14ac:dyDescent="0.25">
      <c r="A126" s="448" t="s">
        <v>25</v>
      </c>
      <c r="B126" s="448" t="s">
        <v>639</v>
      </c>
      <c r="C126" s="448" t="s">
        <v>640</v>
      </c>
      <c r="D126" s="63">
        <v>46478</v>
      </c>
      <c r="E126">
        <v>5</v>
      </c>
      <c r="F126" t="b">
        <v>1</v>
      </c>
      <c r="G126" s="63">
        <v>46183.921527777777</v>
      </c>
      <c r="H126" s="448" t="s">
        <v>412</v>
      </c>
      <c r="I126" s="448" t="s">
        <v>452</v>
      </c>
      <c r="J126" s="448"/>
      <c r="K126" s="448" t="s">
        <v>453</v>
      </c>
      <c r="L126" s="303">
        <v>46184</v>
      </c>
      <c r="M126" s="448" t="s">
        <v>412</v>
      </c>
      <c r="N126" s="448" t="s">
        <v>452</v>
      </c>
      <c r="O126">
        <v>127</v>
      </c>
    </row>
    <row r="127" spans="1:15" x14ac:dyDescent="0.25">
      <c r="A127" s="448" t="s">
        <v>7</v>
      </c>
      <c r="B127" s="448" t="s">
        <v>641</v>
      </c>
      <c r="C127" s="448" t="s">
        <v>642</v>
      </c>
      <c r="D127" s="63">
        <v>46346</v>
      </c>
      <c r="E127">
        <v>3</v>
      </c>
      <c r="F127" t="b">
        <v>1</v>
      </c>
      <c r="G127" s="63">
        <v>46183.924305555556</v>
      </c>
      <c r="H127" s="448" t="s">
        <v>412</v>
      </c>
      <c r="I127" s="448" t="s">
        <v>452</v>
      </c>
      <c r="J127" s="448"/>
      <c r="K127" s="448" t="s">
        <v>453</v>
      </c>
      <c r="L127" s="303">
        <v>46184</v>
      </c>
      <c r="M127" s="448" t="s">
        <v>412</v>
      </c>
      <c r="N127" s="448" t="s">
        <v>452</v>
      </c>
      <c r="O127">
        <v>128</v>
      </c>
    </row>
    <row r="128" spans="1:15" x14ac:dyDescent="0.25">
      <c r="A128" s="448" t="s">
        <v>16</v>
      </c>
      <c r="B128" s="448" t="s">
        <v>643</v>
      </c>
      <c r="C128" s="448" t="s">
        <v>644</v>
      </c>
      <c r="D128" s="63">
        <v>46660</v>
      </c>
      <c r="E128">
        <v>3</v>
      </c>
      <c r="F128" t="b">
        <v>1</v>
      </c>
      <c r="G128" s="63">
        <v>46183.925000000003</v>
      </c>
      <c r="H128" s="448" t="s">
        <v>412</v>
      </c>
      <c r="I128" s="448" t="s">
        <v>452</v>
      </c>
      <c r="J128" s="448"/>
      <c r="K128" s="448" t="s">
        <v>453</v>
      </c>
      <c r="L128" s="303">
        <v>46184</v>
      </c>
      <c r="M128" s="448" t="s">
        <v>412</v>
      </c>
      <c r="N128" s="448" t="s">
        <v>452</v>
      </c>
      <c r="O128">
        <v>129</v>
      </c>
    </row>
    <row r="129" spans="1:15" x14ac:dyDescent="0.25">
      <c r="A129" s="448" t="s">
        <v>16</v>
      </c>
      <c r="B129" s="448" t="s">
        <v>645</v>
      </c>
      <c r="C129" s="448" t="s">
        <v>646</v>
      </c>
      <c r="D129" s="63">
        <v>46274</v>
      </c>
      <c r="E129">
        <v>3</v>
      </c>
      <c r="F129" t="b">
        <v>1</v>
      </c>
      <c r="G129" s="63">
        <v>46183.925000000003</v>
      </c>
      <c r="H129" s="448" t="s">
        <v>412</v>
      </c>
      <c r="I129" s="448" t="s">
        <v>452</v>
      </c>
      <c r="J129" s="448"/>
      <c r="K129" s="448" t="s">
        <v>453</v>
      </c>
      <c r="L129" s="303">
        <v>46184</v>
      </c>
      <c r="M129" s="448" t="s">
        <v>412</v>
      </c>
      <c r="N129" s="448" t="s">
        <v>452</v>
      </c>
      <c r="O129">
        <v>130</v>
      </c>
    </row>
    <row r="130" spans="1:15" x14ac:dyDescent="0.25">
      <c r="A130" s="448" t="s">
        <v>10</v>
      </c>
      <c r="B130" s="448" t="s">
        <v>647</v>
      </c>
      <c r="C130" s="448" t="s">
        <v>648</v>
      </c>
      <c r="D130" s="63">
        <v>46275</v>
      </c>
      <c r="E130">
        <v>15</v>
      </c>
      <c r="F130" t="b">
        <v>1</v>
      </c>
      <c r="G130" s="63">
        <v>46183.927777777775</v>
      </c>
      <c r="H130" s="448" t="s">
        <v>412</v>
      </c>
      <c r="I130" s="448" t="s">
        <v>452</v>
      </c>
      <c r="J130" s="448"/>
      <c r="K130" s="448" t="s">
        <v>453</v>
      </c>
      <c r="L130" s="303">
        <v>46184</v>
      </c>
      <c r="M130" s="448" t="s">
        <v>412</v>
      </c>
      <c r="N130" s="448" t="s">
        <v>452</v>
      </c>
      <c r="O130">
        <v>131</v>
      </c>
    </row>
    <row r="131" spans="1:15" x14ac:dyDescent="0.25">
      <c r="A131" s="448" t="s">
        <v>10</v>
      </c>
      <c r="B131" s="448" t="s">
        <v>649</v>
      </c>
      <c r="C131" s="448" t="s">
        <v>650</v>
      </c>
      <c r="D131" s="63">
        <v>46339</v>
      </c>
      <c r="E131">
        <v>25</v>
      </c>
      <c r="F131" t="b">
        <v>1</v>
      </c>
      <c r="G131" s="63">
        <v>46183.928472222222</v>
      </c>
      <c r="H131" s="448" t="s">
        <v>412</v>
      </c>
      <c r="I131" s="448" t="s">
        <v>452</v>
      </c>
      <c r="J131" s="448"/>
      <c r="K131" s="448" t="s">
        <v>453</v>
      </c>
      <c r="L131" s="303">
        <v>46184</v>
      </c>
      <c r="M131" s="448" t="s">
        <v>412</v>
      </c>
      <c r="N131" s="448" t="s">
        <v>452</v>
      </c>
      <c r="O131">
        <v>132</v>
      </c>
    </row>
    <row r="132" spans="1:15" x14ac:dyDescent="0.25">
      <c r="A132" s="448" t="s">
        <v>10</v>
      </c>
      <c r="B132" s="448" t="s">
        <v>651</v>
      </c>
      <c r="C132" s="448" t="s">
        <v>652</v>
      </c>
      <c r="D132" s="63">
        <v>46337</v>
      </c>
      <c r="E132">
        <v>25</v>
      </c>
      <c r="F132" t="b">
        <v>1</v>
      </c>
      <c r="G132" s="63">
        <v>46183.928472222222</v>
      </c>
      <c r="H132" s="448" t="s">
        <v>412</v>
      </c>
      <c r="I132" s="448" t="s">
        <v>452</v>
      </c>
      <c r="J132" s="448"/>
      <c r="K132" s="448" t="s">
        <v>453</v>
      </c>
      <c r="L132" s="303">
        <v>46184</v>
      </c>
      <c r="M132" s="448" t="s">
        <v>412</v>
      </c>
      <c r="N132" s="448" t="s">
        <v>452</v>
      </c>
      <c r="O132">
        <v>133</v>
      </c>
    </row>
    <row r="133" spans="1:15" x14ac:dyDescent="0.25">
      <c r="A133" s="448" t="s">
        <v>34</v>
      </c>
      <c r="B133" s="448" t="s">
        <v>653</v>
      </c>
      <c r="C133" s="448" t="s">
        <v>654</v>
      </c>
      <c r="D133" s="63">
        <v>46326</v>
      </c>
      <c r="E133">
        <v>10</v>
      </c>
      <c r="F133" t="b">
        <v>1</v>
      </c>
      <c r="G133" s="63">
        <v>46183.929166666669</v>
      </c>
      <c r="H133" s="448" t="s">
        <v>412</v>
      </c>
      <c r="I133" s="448" t="s">
        <v>452</v>
      </c>
      <c r="J133" s="448"/>
      <c r="K133" s="448" t="s">
        <v>539</v>
      </c>
      <c r="L133" s="303"/>
      <c r="M133" s="448" t="s">
        <v>456</v>
      </c>
      <c r="N133" s="448" t="s">
        <v>456</v>
      </c>
      <c r="O133">
        <v>134</v>
      </c>
    </row>
    <row r="134" spans="1:15" x14ac:dyDescent="0.25">
      <c r="A134" s="448" t="s">
        <v>32</v>
      </c>
      <c r="B134" s="448" t="s">
        <v>655</v>
      </c>
      <c r="C134" s="448" t="s">
        <v>656</v>
      </c>
      <c r="D134" s="63">
        <v>46413</v>
      </c>
      <c r="E134">
        <v>0.5</v>
      </c>
      <c r="F134" t="b">
        <v>1</v>
      </c>
      <c r="G134" s="63">
        <v>46183.929861111108</v>
      </c>
      <c r="H134" s="448" t="s">
        <v>412</v>
      </c>
      <c r="I134" s="448" t="s">
        <v>452</v>
      </c>
      <c r="J134" s="448"/>
      <c r="K134" s="448" t="s">
        <v>539</v>
      </c>
      <c r="L134" s="303"/>
      <c r="M134" s="448" t="s">
        <v>456</v>
      </c>
      <c r="N134" s="448" t="s">
        <v>456</v>
      </c>
      <c r="O134">
        <v>135</v>
      </c>
    </row>
    <row r="135" spans="1:15" x14ac:dyDescent="0.25">
      <c r="A135" s="448" t="s">
        <v>68</v>
      </c>
      <c r="B135" s="448" t="s">
        <v>657</v>
      </c>
      <c r="C135" s="448" t="s">
        <v>658</v>
      </c>
      <c r="D135" s="63">
        <v>46203</v>
      </c>
      <c r="E135">
        <v>6</v>
      </c>
      <c r="F135" t="b">
        <v>1</v>
      </c>
      <c r="G135" s="63">
        <v>46183.930555555555</v>
      </c>
      <c r="H135" s="448" t="s">
        <v>412</v>
      </c>
      <c r="I135" s="448" t="s">
        <v>452</v>
      </c>
      <c r="J135" s="448"/>
      <c r="K135" s="448" t="s">
        <v>453</v>
      </c>
      <c r="L135" s="303">
        <v>46184</v>
      </c>
      <c r="M135" s="448" t="s">
        <v>412</v>
      </c>
      <c r="N135" s="448" t="s">
        <v>452</v>
      </c>
      <c r="O135">
        <v>136</v>
      </c>
    </row>
    <row r="136" spans="1:15" x14ac:dyDescent="0.25">
      <c r="A136" s="448" t="s">
        <v>37</v>
      </c>
      <c r="B136" s="448" t="s">
        <v>659</v>
      </c>
      <c r="C136" s="448" t="s">
        <v>660</v>
      </c>
      <c r="D136" s="63">
        <v>46224</v>
      </c>
      <c r="E136">
        <v>10</v>
      </c>
      <c r="F136" t="b">
        <v>1</v>
      </c>
      <c r="G136" s="63">
        <v>46184.131249999999</v>
      </c>
      <c r="H136" s="448" t="s">
        <v>412</v>
      </c>
      <c r="I136" s="448" t="s">
        <v>452</v>
      </c>
      <c r="J136" s="448"/>
      <c r="K136" s="448" t="s">
        <v>453</v>
      </c>
      <c r="L136" s="303">
        <v>46184</v>
      </c>
      <c r="M136" s="448" t="s">
        <v>412</v>
      </c>
      <c r="N136" s="448" t="s">
        <v>452</v>
      </c>
      <c r="O136">
        <v>137</v>
      </c>
    </row>
    <row r="137" spans="1:15" x14ac:dyDescent="0.25">
      <c r="A137" s="448" t="s">
        <v>5</v>
      </c>
      <c r="B137" s="448" t="s">
        <v>661</v>
      </c>
      <c r="C137" s="448" t="s">
        <v>662</v>
      </c>
      <c r="D137" s="63">
        <v>46291</v>
      </c>
      <c r="E137">
        <v>50</v>
      </c>
      <c r="F137" t="b">
        <v>1</v>
      </c>
      <c r="G137" s="63">
        <v>46184.131944444445</v>
      </c>
      <c r="H137" s="448" t="s">
        <v>412</v>
      </c>
      <c r="I137" s="448" t="s">
        <v>452</v>
      </c>
      <c r="J137" s="448" t="s">
        <v>663</v>
      </c>
      <c r="K137" s="448" t="s">
        <v>453</v>
      </c>
      <c r="L137" s="303">
        <v>46184</v>
      </c>
      <c r="M137" s="448" t="s">
        <v>412</v>
      </c>
      <c r="N137" s="448" t="s">
        <v>452</v>
      </c>
      <c r="O137">
        <v>138</v>
      </c>
    </row>
    <row r="138" spans="1:15" x14ac:dyDescent="0.25">
      <c r="A138" s="448" t="s">
        <v>5</v>
      </c>
      <c r="B138" s="448" t="s">
        <v>664</v>
      </c>
      <c r="C138" s="448" t="s">
        <v>665</v>
      </c>
      <c r="D138" s="63">
        <v>46186</v>
      </c>
      <c r="E138">
        <v>3</v>
      </c>
      <c r="F138" t="b">
        <v>0</v>
      </c>
      <c r="G138" s="63">
        <v>46188.234722222223</v>
      </c>
      <c r="H138" s="448" t="s">
        <v>412</v>
      </c>
      <c r="I138" s="448" t="s">
        <v>452</v>
      </c>
      <c r="J138" s="448" t="s">
        <v>663</v>
      </c>
      <c r="K138" s="448" t="s">
        <v>453</v>
      </c>
      <c r="L138" s="303">
        <v>46184</v>
      </c>
      <c r="M138" s="448" t="s">
        <v>412</v>
      </c>
      <c r="N138" s="448" t="s">
        <v>452</v>
      </c>
      <c r="O138">
        <v>139</v>
      </c>
    </row>
    <row r="139" spans="1:15" x14ac:dyDescent="0.25">
      <c r="A139" s="448" t="s">
        <v>46</v>
      </c>
      <c r="B139" s="448" t="s">
        <v>666</v>
      </c>
      <c r="C139" s="448" t="s">
        <v>667</v>
      </c>
      <c r="D139" s="63">
        <v>46295</v>
      </c>
      <c r="E139">
        <v>8</v>
      </c>
      <c r="F139" t="b">
        <v>1</v>
      </c>
      <c r="G139" s="63">
        <v>46184.132638888892</v>
      </c>
      <c r="H139" s="448" t="s">
        <v>412</v>
      </c>
      <c r="I139" s="448" t="s">
        <v>452</v>
      </c>
      <c r="J139" s="448" t="s">
        <v>564</v>
      </c>
      <c r="K139" s="448" t="s">
        <v>453</v>
      </c>
      <c r="L139" s="303">
        <v>46184</v>
      </c>
      <c r="M139" s="448" t="s">
        <v>412</v>
      </c>
      <c r="N139" s="448" t="s">
        <v>452</v>
      </c>
      <c r="O139">
        <v>140</v>
      </c>
    </row>
    <row r="140" spans="1:15" x14ac:dyDescent="0.25">
      <c r="A140" s="448" t="s">
        <v>61</v>
      </c>
      <c r="B140" s="448" t="s">
        <v>221</v>
      </c>
      <c r="C140" s="448" t="s">
        <v>668</v>
      </c>
      <c r="D140" s="63">
        <v>46332</v>
      </c>
      <c r="E140">
        <v>0.5</v>
      </c>
      <c r="F140" t="b">
        <v>1</v>
      </c>
      <c r="G140" s="63">
        <v>46184.133333333331</v>
      </c>
      <c r="H140" s="448" t="s">
        <v>412</v>
      </c>
      <c r="I140" s="448" t="s">
        <v>452</v>
      </c>
      <c r="J140" s="448" t="s">
        <v>636</v>
      </c>
      <c r="K140" s="448" t="s">
        <v>453</v>
      </c>
      <c r="L140" s="303">
        <v>46184</v>
      </c>
      <c r="M140" s="448" t="s">
        <v>412</v>
      </c>
      <c r="N140" s="448" t="s">
        <v>452</v>
      </c>
      <c r="O140">
        <v>141</v>
      </c>
    </row>
    <row r="141" spans="1:15" x14ac:dyDescent="0.25">
      <c r="A141" s="448" t="s">
        <v>52</v>
      </c>
      <c r="B141" s="448" t="s">
        <v>669</v>
      </c>
      <c r="C141" s="448" t="s">
        <v>670</v>
      </c>
      <c r="D141" s="63">
        <v>46281</v>
      </c>
      <c r="E141">
        <v>1</v>
      </c>
      <c r="F141" t="b">
        <v>1</v>
      </c>
      <c r="G141" s="63">
        <v>46184.23333333333</v>
      </c>
      <c r="H141" s="448" t="s">
        <v>412</v>
      </c>
      <c r="I141" s="448" t="s">
        <v>452</v>
      </c>
      <c r="J141" s="448" t="s">
        <v>636</v>
      </c>
      <c r="K141" s="448" t="s">
        <v>453</v>
      </c>
      <c r="L141" s="303">
        <v>46184</v>
      </c>
      <c r="M141" s="448" t="s">
        <v>412</v>
      </c>
      <c r="N141" s="448" t="s">
        <v>452</v>
      </c>
      <c r="O141">
        <v>142</v>
      </c>
    </row>
    <row r="142" spans="1:15" x14ac:dyDescent="0.25">
      <c r="A142" s="448" t="s">
        <v>52</v>
      </c>
      <c r="B142" s="448" t="s">
        <v>671</v>
      </c>
      <c r="C142" s="448" t="s">
        <v>672</v>
      </c>
      <c r="D142" s="63">
        <v>46310</v>
      </c>
      <c r="E142">
        <v>3</v>
      </c>
      <c r="F142" t="b">
        <v>1</v>
      </c>
      <c r="G142" s="63">
        <v>46184.23333333333</v>
      </c>
      <c r="H142" s="448" t="s">
        <v>412</v>
      </c>
      <c r="I142" s="448" t="s">
        <v>452</v>
      </c>
      <c r="J142" s="448" t="s">
        <v>560</v>
      </c>
      <c r="K142" s="448" t="s">
        <v>453</v>
      </c>
      <c r="L142" s="303">
        <v>46184</v>
      </c>
      <c r="M142" s="448" t="s">
        <v>412</v>
      </c>
      <c r="N142" s="448" t="s">
        <v>452</v>
      </c>
      <c r="O142">
        <v>143</v>
      </c>
    </row>
    <row r="143" spans="1:15" x14ac:dyDescent="0.25">
      <c r="A143" s="448" t="s">
        <v>52</v>
      </c>
      <c r="B143" s="448" t="s">
        <v>673</v>
      </c>
      <c r="C143" s="448" t="s">
        <v>674</v>
      </c>
      <c r="D143" s="63">
        <v>46304</v>
      </c>
      <c r="E143">
        <v>2</v>
      </c>
      <c r="F143" t="b">
        <v>1</v>
      </c>
      <c r="G143" s="63">
        <v>46184.232638888891</v>
      </c>
      <c r="H143" s="448" t="s">
        <v>412</v>
      </c>
      <c r="I143" s="448" t="s">
        <v>452</v>
      </c>
      <c r="J143" s="448" t="s">
        <v>560</v>
      </c>
      <c r="K143" s="448" t="s">
        <v>453</v>
      </c>
      <c r="L143" s="303">
        <v>46184</v>
      </c>
      <c r="M143" s="448" t="s">
        <v>412</v>
      </c>
      <c r="N143" s="448" t="s">
        <v>452</v>
      </c>
      <c r="O143">
        <v>144</v>
      </c>
    </row>
    <row r="144" spans="1:15" x14ac:dyDescent="0.25">
      <c r="A144" s="448" t="s">
        <v>42</v>
      </c>
      <c r="B144" s="448" t="s">
        <v>675</v>
      </c>
      <c r="C144" s="448" t="s">
        <v>676</v>
      </c>
      <c r="D144" s="63">
        <v>46205</v>
      </c>
      <c r="E144">
        <v>15</v>
      </c>
      <c r="F144" t="b">
        <v>1</v>
      </c>
      <c r="G144" s="63">
        <v>46184.236805555556</v>
      </c>
      <c r="H144" s="448" t="s">
        <v>412</v>
      </c>
      <c r="I144" s="448" t="s">
        <v>452</v>
      </c>
      <c r="J144" s="448" t="s">
        <v>564</v>
      </c>
      <c r="K144" s="448" t="s">
        <v>453</v>
      </c>
      <c r="L144" s="303">
        <v>46184</v>
      </c>
      <c r="M144" s="448" t="s">
        <v>412</v>
      </c>
      <c r="N144" s="448" t="s">
        <v>452</v>
      </c>
      <c r="O144">
        <v>145</v>
      </c>
    </row>
    <row r="145" spans="1:15" x14ac:dyDescent="0.25">
      <c r="A145" s="448" t="s">
        <v>86</v>
      </c>
      <c r="B145" s="448" t="s">
        <v>677</v>
      </c>
      <c r="C145" s="448" t="s">
        <v>678</v>
      </c>
      <c r="D145" s="63">
        <v>46447</v>
      </c>
      <c r="E145">
        <v>0.5</v>
      </c>
      <c r="F145" t="b">
        <v>1</v>
      </c>
      <c r="G145" s="63">
        <v>46184.237500000003</v>
      </c>
      <c r="H145" s="448" t="s">
        <v>412</v>
      </c>
      <c r="I145" s="448" t="s">
        <v>452</v>
      </c>
      <c r="J145" s="448" t="s">
        <v>636</v>
      </c>
      <c r="K145" s="448" t="s">
        <v>453</v>
      </c>
      <c r="L145" s="303">
        <v>46184</v>
      </c>
      <c r="M145" s="448" t="s">
        <v>412</v>
      </c>
      <c r="N145" s="448" t="s">
        <v>452</v>
      </c>
      <c r="O145">
        <v>146</v>
      </c>
    </row>
    <row r="146" spans="1:15" x14ac:dyDescent="0.25">
      <c r="A146" s="448" t="s">
        <v>85</v>
      </c>
      <c r="B146" s="448" t="s">
        <v>677</v>
      </c>
      <c r="C146" s="448" t="s">
        <v>679</v>
      </c>
      <c r="D146" s="63">
        <v>46447</v>
      </c>
      <c r="E146">
        <v>1</v>
      </c>
      <c r="F146" t="b">
        <v>1</v>
      </c>
      <c r="G146" s="63">
        <v>46184.237500000003</v>
      </c>
      <c r="H146" s="448" t="s">
        <v>412</v>
      </c>
      <c r="I146" s="448" t="s">
        <v>452</v>
      </c>
      <c r="J146" s="448" t="s">
        <v>636</v>
      </c>
      <c r="K146" s="448" t="s">
        <v>453</v>
      </c>
      <c r="L146" s="303">
        <v>46184</v>
      </c>
      <c r="M146" s="448" t="s">
        <v>412</v>
      </c>
      <c r="N146" s="448" t="s">
        <v>452</v>
      </c>
      <c r="O146">
        <v>147</v>
      </c>
    </row>
    <row r="147" spans="1:15" x14ac:dyDescent="0.25">
      <c r="A147" s="448" t="s">
        <v>84</v>
      </c>
      <c r="B147" s="448" t="s">
        <v>680</v>
      </c>
      <c r="C147" s="448" t="s">
        <v>681</v>
      </c>
      <c r="D147" s="63">
        <v>46447</v>
      </c>
      <c r="E147">
        <v>2</v>
      </c>
      <c r="F147" t="b">
        <v>1</v>
      </c>
      <c r="G147" s="63">
        <v>46184.239583333336</v>
      </c>
      <c r="H147" s="448" t="s">
        <v>412</v>
      </c>
      <c r="I147" s="448" t="s">
        <v>452</v>
      </c>
      <c r="J147" s="448" t="s">
        <v>560</v>
      </c>
      <c r="K147" s="448" t="s">
        <v>453</v>
      </c>
      <c r="L147" s="303">
        <v>46184</v>
      </c>
      <c r="M147" s="448" t="s">
        <v>412</v>
      </c>
      <c r="N147" s="448" t="s">
        <v>452</v>
      </c>
      <c r="O147">
        <v>148</v>
      </c>
    </row>
    <row r="148" spans="1:15" x14ac:dyDescent="0.25">
      <c r="A148" s="448" t="s">
        <v>99</v>
      </c>
      <c r="B148" s="448" t="s">
        <v>682</v>
      </c>
      <c r="C148" s="448" t="s">
        <v>683</v>
      </c>
      <c r="D148" s="63">
        <v>46478</v>
      </c>
      <c r="E148">
        <v>1</v>
      </c>
      <c r="F148" t="b">
        <v>1</v>
      </c>
      <c r="G148" s="63">
        <v>46184.239583333336</v>
      </c>
      <c r="H148" s="448" t="s">
        <v>412</v>
      </c>
      <c r="I148" s="448" t="s">
        <v>452</v>
      </c>
      <c r="J148" s="448" t="s">
        <v>636</v>
      </c>
      <c r="K148" s="448" t="s">
        <v>453</v>
      </c>
      <c r="L148" s="303">
        <v>46184</v>
      </c>
      <c r="M148" s="448" t="s">
        <v>412</v>
      </c>
      <c r="N148" s="448" t="s">
        <v>452</v>
      </c>
      <c r="O148">
        <v>149</v>
      </c>
    </row>
    <row r="149" spans="1:15" x14ac:dyDescent="0.25">
      <c r="A149" s="448" t="s">
        <v>98</v>
      </c>
      <c r="B149" s="448" t="s">
        <v>682</v>
      </c>
      <c r="C149" s="448" t="s">
        <v>684</v>
      </c>
      <c r="D149" s="63">
        <v>46478</v>
      </c>
      <c r="E149">
        <v>2</v>
      </c>
      <c r="F149" t="b">
        <v>1</v>
      </c>
      <c r="G149" s="63">
        <v>46184.240277777775</v>
      </c>
      <c r="H149" s="448" t="s">
        <v>412</v>
      </c>
      <c r="I149" s="448" t="s">
        <v>452</v>
      </c>
      <c r="J149" s="448" t="s">
        <v>560</v>
      </c>
      <c r="K149" s="448" t="s">
        <v>453</v>
      </c>
      <c r="L149" s="303">
        <v>46184</v>
      </c>
      <c r="M149" s="448" t="s">
        <v>412</v>
      </c>
      <c r="N149" s="448" t="s">
        <v>452</v>
      </c>
      <c r="O149">
        <v>150</v>
      </c>
    </row>
    <row r="150" spans="1:15" x14ac:dyDescent="0.25">
      <c r="A150" s="448" t="s">
        <v>97</v>
      </c>
      <c r="B150" s="448" t="s">
        <v>685</v>
      </c>
      <c r="C150" s="448" t="s">
        <v>686</v>
      </c>
      <c r="D150" s="63">
        <v>46478</v>
      </c>
      <c r="E150">
        <v>14</v>
      </c>
      <c r="F150" t="b">
        <v>1</v>
      </c>
      <c r="G150" s="63">
        <v>46184.240972222222</v>
      </c>
      <c r="H150" s="448" t="s">
        <v>412</v>
      </c>
      <c r="I150" s="448" t="s">
        <v>452</v>
      </c>
      <c r="J150" s="448" t="s">
        <v>564</v>
      </c>
      <c r="K150" s="448" t="s">
        <v>453</v>
      </c>
      <c r="L150" s="303">
        <v>46184</v>
      </c>
      <c r="M150" s="448" t="s">
        <v>412</v>
      </c>
      <c r="N150" s="448" t="s">
        <v>452</v>
      </c>
      <c r="O150">
        <v>151</v>
      </c>
    </row>
    <row r="151" spans="1:15" x14ac:dyDescent="0.25">
      <c r="A151" s="448" t="s">
        <v>77</v>
      </c>
      <c r="B151" s="448" t="s">
        <v>687</v>
      </c>
      <c r="C151" s="448" t="s">
        <v>688</v>
      </c>
      <c r="D151" s="63">
        <v>46191</v>
      </c>
      <c r="E151">
        <v>1</v>
      </c>
      <c r="F151" t="b">
        <v>1</v>
      </c>
      <c r="G151" s="63">
        <v>46184.241666666669</v>
      </c>
      <c r="H151" s="448" t="s">
        <v>412</v>
      </c>
      <c r="I151" s="448" t="s">
        <v>452</v>
      </c>
      <c r="J151" s="448" t="s">
        <v>636</v>
      </c>
      <c r="K151" s="448" t="s">
        <v>453</v>
      </c>
      <c r="L151" s="303">
        <v>46184</v>
      </c>
      <c r="M151" s="448" t="s">
        <v>412</v>
      </c>
      <c r="N151" s="448" t="s">
        <v>452</v>
      </c>
      <c r="O151">
        <v>152</v>
      </c>
    </row>
    <row r="152" spans="1:15" x14ac:dyDescent="0.25">
      <c r="A152" s="448" t="s">
        <v>20</v>
      </c>
      <c r="B152" s="448" t="s">
        <v>689</v>
      </c>
      <c r="C152" s="448" t="s">
        <v>690</v>
      </c>
      <c r="D152" s="63">
        <v>46193</v>
      </c>
      <c r="E152">
        <v>3</v>
      </c>
      <c r="F152" t="b">
        <v>1</v>
      </c>
      <c r="G152" s="63">
        <v>46184.242361111108</v>
      </c>
      <c r="H152" s="448" t="s">
        <v>412</v>
      </c>
      <c r="I152" s="448" t="s">
        <v>452</v>
      </c>
      <c r="J152" s="448" t="s">
        <v>560</v>
      </c>
      <c r="K152" s="448" t="s">
        <v>453</v>
      </c>
      <c r="L152" s="303">
        <v>46184</v>
      </c>
      <c r="M152" s="448" t="s">
        <v>412</v>
      </c>
      <c r="N152" s="448" t="s">
        <v>452</v>
      </c>
      <c r="O152">
        <v>153</v>
      </c>
    </row>
    <row r="153" spans="1:15" x14ac:dyDescent="0.25">
      <c r="A153" s="448" t="s">
        <v>78</v>
      </c>
      <c r="B153" s="448" t="s">
        <v>691</v>
      </c>
      <c r="C153" s="448" t="s">
        <v>692</v>
      </c>
      <c r="D153" s="63">
        <v>46316</v>
      </c>
      <c r="E153">
        <v>1</v>
      </c>
      <c r="F153" t="b">
        <v>1</v>
      </c>
      <c r="G153" s="63">
        <v>46184.243055555555</v>
      </c>
      <c r="H153" s="448" t="s">
        <v>412</v>
      </c>
      <c r="I153" s="448" t="s">
        <v>452</v>
      </c>
      <c r="J153" s="448" t="s">
        <v>636</v>
      </c>
      <c r="K153" s="448" t="s">
        <v>453</v>
      </c>
      <c r="L153" s="303">
        <v>46184</v>
      </c>
      <c r="M153" s="448" t="s">
        <v>412</v>
      </c>
      <c r="N153" s="448" t="s">
        <v>452</v>
      </c>
      <c r="O153">
        <v>154</v>
      </c>
    </row>
    <row r="154" spans="1:15" x14ac:dyDescent="0.25">
      <c r="A154" s="448" t="s">
        <v>21</v>
      </c>
      <c r="B154" s="448" t="s">
        <v>275</v>
      </c>
      <c r="C154" s="448" t="s">
        <v>693</v>
      </c>
      <c r="D154" s="63">
        <v>46287</v>
      </c>
      <c r="E154">
        <v>1</v>
      </c>
      <c r="F154" t="b">
        <v>1</v>
      </c>
      <c r="G154" s="63">
        <v>46184.243750000001</v>
      </c>
      <c r="H154" s="448" t="s">
        <v>412</v>
      </c>
      <c r="I154" s="448" t="s">
        <v>452</v>
      </c>
      <c r="J154" s="448" t="s">
        <v>636</v>
      </c>
      <c r="K154" s="448" t="s">
        <v>453</v>
      </c>
      <c r="L154" s="303">
        <v>46184</v>
      </c>
      <c r="M154" s="448" t="s">
        <v>412</v>
      </c>
      <c r="N154" s="448" t="s">
        <v>452</v>
      </c>
      <c r="O154">
        <v>155</v>
      </c>
    </row>
    <row r="155" spans="1:15" x14ac:dyDescent="0.25">
      <c r="A155" s="448" t="s">
        <v>63</v>
      </c>
      <c r="B155" s="448" t="s">
        <v>306</v>
      </c>
      <c r="C155" s="448" t="s">
        <v>694</v>
      </c>
      <c r="D155" s="63">
        <v>46309</v>
      </c>
      <c r="E155">
        <v>3</v>
      </c>
      <c r="F155" t="b">
        <v>1</v>
      </c>
      <c r="G155" s="63">
        <v>46184.245833333334</v>
      </c>
      <c r="H155" s="448" t="s">
        <v>412</v>
      </c>
      <c r="I155" s="448" t="s">
        <v>452</v>
      </c>
      <c r="J155" s="448" t="s">
        <v>560</v>
      </c>
      <c r="K155" s="448" t="s">
        <v>453</v>
      </c>
      <c r="L155" s="303">
        <v>46184</v>
      </c>
      <c r="M155" s="448" t="s">
        <v>412</v>
      </c>
      <c r="N155" s="448" t="s">
        <v>452</v>
      </c>
      <c r="O155">
        <v>156</v>
      </c>
    </row>
    <row r="156" spans="1:15" x14ac:dyDescent="0.25">
      <c r="A156" s="448" t="s">
        <v>94</v>
      </c>
      <c r="B156" s="448" t="s">
        <v>695</v>
      </c>
      <c r="C156" s="448" t="s">
        <v>696</v>
      </c>
      <c r="D156" s="63">
        <v>46349</v>
      </c>
      <c r="E156">
        <v>4</v>
      </c>
      <c r="F156" t="b">
        <v>1</v>
      </c>
      <c r="G156" s="63">
        <v>46184.246527777781</v>
      </c>
      <c r="H156" s="448" t="s">
        <v>412</v>
      </c>
      <c r="I156" s="448" t="s">
        <v>452</v>
      </c>
      <c r="J156" s="448" t="s">
        <v>564</v>
      </c>
      <c r="K156" s="448" t="s">
        <v>453</v>
      </c>
      <c r="L156" s="303">
        <v>46184</v>
      </c>
      <c r="M156" s="448" t="s">
        <v>412</v>
      </c>
      <c r="N156" s="448" t="s">
        <v>452</v>
      </c>
      <c r="O156">
        <v>157</v>
      </c>
    </row>
    <row r="157" spans="1:15" x14ac:dyDescent="0.25">
      <c r="A157" s="448" t="s">
        <v>95</v>
      </c>
      <c r="B157" s="448" t="s">
        <v>697</v>
      </c>
      <c r="C157" s="448" t="s">
        <v>698</v>
      </c>
      <c r="D157" s="63">
        <v>46415</v>
      </c>
      <c r="E157">
        <v>1</v>
      </c>
      <c r="F157" t="b">
        <v>1</v>
      </c>
      <c r="G157" s="63">
        <v>46184.24722222222</v>
      </c>
      <c r="H157" s="448" t="s">
        <v>412</v>
      </c>
      <c r="I157" s="448" t="s">
        <v>452</v>
      </c>
      <c r="J157" s="448" t="s">
        <v>636</v>
      </c>
      <c r="K157" s="448" t="s">
        <v>453</v>
      </c>
      <c r="L157" s="303">
        <v>46184</v>
      </c>
      <c r="M157" s="448" t="s">
        <v>412</v>
      </c>
      <c r="N157" s="448" t="s">
        <v>452</v>
      </c>
      <c r="O157">
        <v>158</v>
      </c>
    </row>
    <row r="158" spans="1:15" x14ac:dyDescent="0.25">
      <c r="A158" s="448" t="s">
        <v>70</v>
      </c>
      <c r="B158" s="448" t="s">
        <v>699</v>
      </c>
      <c r="C158" s="448" t="s">
        <v>700</v>
      </c>
      <c r="D158" s="63">
        <v>46371</v>
      </c>
      <c r="E158">
        <v>1</v>
      </c>
      <c r="F158" t="b">
        <v>1</v>
      </c>
      <c r="G158" s="63">
        <v>46184.24722222222</v>
      </c>
      <c r="H158" s="448" t="s">
        <v>412</v>
      </c>
      <c r="I158" s="448" t="s">
        <v>452</v>
      </c>
      <c r="J158" s="448" t="s">
        <v>636</v>
      </c>
      <c r="K158" s="448" t="s">
        <v>453</v>
      </c>
      <c r="L158" s="303">
        <v>46184</v>
      </c>
      <c r="M158" s="448" t="s">
        <v>412</v>
      </c>
      <c r="N158" s="448" t="s">
        <v>452</v>
      </c>
      <c r="O158">
        <v>159</v>
      </c>
    </row>
    <row r="159" spans="1:15" x14ac:dyDescent="0.25">
      <c r="A159" s="448" t="s">
        <v>18</v>
      </c>
      <c r="B159" s="448" t="s">
        <v>701</v>
      </c>
      <c r="C159" s="448" t="s">
        <v>702</v>
      </c>
      <c r="D159" s="63">
        <v>46599</v>
      </c>
      <c r="E159">
        <v>1</v>
      </c>
      <c r="F159" t="b">
        <v>1</v>
      </c>
      <c r="G159" s="63">
        <v>46184.248611111114</v>
      </c>
      <c r="H159" s="448" t="s">
        <v>412</v>
      </c>
      <c r="I159" s="448" t="s">
        <v>452</v>
      </c>
      <c r="J159" s="448" t="s">
        <v>636</v>
      </c>
      <c r="K159" s="448" t="s">
        <v>453</v>
      </c>
      <c r="L159" s="303">
        <v>46184</v>
      </c>
      <c r="M159" s="448" t="s">
        <v>412</v>
      </c>
      <c r="N159" s="448" t="s">
        <v>452</v>
      </c>
      <c r="O159">
        <v>162</v>
      </c>
    </row>
    <row r="160" spans="1:15" x14ac:dyDescent="0.25">
      <c r="A160" s="448" t="s">
        <v>19</v>
      </c>
      <c r="B160" s="448" t="s">
        <v>703</v>
      </c>
      <c r="C160" s="448" t="s">
        <v>704</v>
      </c>
      <c r="D160" s="63">
        <v>46260</v>
      </c>
      <c r="E160">
        <v>0.5</v>
      </c>
      <c r="F160" t="b">
        <v>1</v>
      </c>
      <c r="G160" s="63">
        <v>46184.249305555553</v>
      </c>
      <c r="H160" s="448" t="s">
        <v>412</v>
      </c>
      <c r="I160" s="448" t="s">
        <v>452</v>
      </c>
      <c r="J160" s="448" t="s">
        <v>636</v>
      </c>
      <c r="K160" s="448" t="s">
        <v>453</v>
      </c>
      <c r="L160" s="303">
        <v>46184</v>
      </c>
      <c r="M160" s="448" t="s">
        <v>412</v>
      </c>
      <c r="N160" s="448" t="s">
        <v>452</v>
      </c>
      <c r="O160">
        <v>163</v>
      </c>
    </row>
    <row r="161" spans="1:15" x14ac:dyDescent="0.25">
      <c r="A161" s="448" t="s">
        <v>40</v>
      </c>
      <c r="B161" s="448" t="s">
        <v>705</v>
      </c>
      <c r="C161" s="448" t="s">
        <v>706</v>
      </c>
      <c r="D161" s="63">
        <v>46375</v>
      </c>
      <c r="E161">
        <v>1</v>
      </c>
      <c r="F161" t="b">
        <v>1</v>
      </c>
      <c r="G161" s="63">
        <v>46184.250694444447</v>
      </c>
      <c r="H161" s="448" t="s">
        <v>412</v>
      </c>
      <c r="I161" s="448" t="s">
        <v>452</v>
      </c>
      <c r="J161" s="448" t="s">
        <v>636</v>
      </c>
      <c r="K161" s="448" t="s">
        <v>453</v>
      </c>
      <c r="L161" s="303">
        <v>46184</v>
      </c>
      <c r="M161" s="448" t="s">
        <v>412</v>
      </c>
      <c r="N161" s="448" t="s">
        <v>452</v>
      </c>
      <c r="O161">
        <v>164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313"/>
  <sheetViews>
    <sheetView zoomScale="70" zoomScaleNormal="70" workbookViewId="0"/>
  </sheetViews>
  <sheetFormatPr defaultRowHeight="15" x14ac:dyDescent="0.25"/>
  <cols>
    <col min="1" max="1" width="15.85546875" customWidth="1"/>
    <col min="2" max="2" width="16.7109375" customWidth="1"/>
    <col min="3" max="3" width="18.140625" bestFit="1" customWidth="1"/>
    <col min="4" max="4" width="24.5703125" bestFit="1" customWidth="1"/>
    <col min="5" max="5" width="23.42578125" bestFit="1" customWidth="1"/>
    <col min="6" max="6" width="7.42578125" bestFit="1" customWidth="1"/>
    <col min="7" max="7" width="18.140625" bestFit="1" customWidth="1"/>
    <col min="8" max="8" width="12.85546875" bestFit="1" customWidth="1"/>
    <col min="9" max="9" width="12.140625" bestFit="1" customWidth="1"/>
    <col min="10" max="10" width="11.42578125" bestFit="1" customWidth="1"/>
    <col min="11" max="11" width="10.5703125" bestFit="1" customWidth="1"/>
    <col min="12" max="12" width="18.140625" bestFit="1" customWidth="1"/>
    <col min="13" max="13" width="10.5703125" bestFit="1" customWidth="1"/>
    <col min="14" max="14" width="96.140625" bestFit="1" customWidth="1"/>
    <col min="15" max="15" width="39.7109375" style="110" customWidth="1"/>
    <col min="16" max="16" width="7.28515625" style="196" bestFit="1" customWidth="1"/>
  </cols>
  <sheetData>
    <row r="1" spans="1:16" ht="23.25" customHeight="1" x14ac:dyDescent="0.25">
      <c r="A1" s="236" t="s">
        <v>104</v>
      </c>
      <c r="B1" s="237" t="s">
        <v>105</v>
      </c>
      <c r="C1" s="238" t="s">
        <v>106</v>
      </c>
      <c r="D1" s="239" t="s">
        <v>107</v>
      </c>
      <c r="E1" s="238" t="s">
        <v>108</v>
      </c>
      <c r="F1" s="240" t="s">
        <v>109</v>
      </c>
      <c r="G1" s="241" t="s">
        <v>110</v>
      </c>
      <c r="H1" s="241" t="s">
        <v>110</v>
      </c>
      <c r="I1" s="241" t="s">
        <v>110</v>
      </c>
      <c r="J1" s="241" t="s">
        <v>110</v>
      </c>
      <c r="K1" s="241" t="s">
        <v>110</v>
      </c>
      <c r="L1" s="241" t="s">
        <v>110</v>
      </c>
      <c r="M1" s="241" t="s">
        <v>110</v>
      </c>
      <c r="N1" s="242" t="s">
        <v>111</v>
      </c>
      <c r="O1" s="243" t="s">
        <v>112</v>
      </c>
      <c r="P1" s="243" t="s">
        <v>113</v>
      </c>
    </row>
    <row r="2" spans="1:16" x14ac:dyDescent="0.25">
      <c r="A2" s="244" t="s">
        <v>25</v>
      </c>
      <c r="B2" s="245">
        <v>334922</v>
      </c>
      <c r="C2" s="246">
        <v>46174</v>
      </c>
      <c r="D2" s="244" t="s">
        <v>114</v>
      </c>
      <c r="E2" s="246">
        <v>46062</v>
      </c>
      <c r="F2" s="247" t="s">
        <v>115</v>
      </c>
      <c r="G2" s="248" t="s">
        <v>116</v>
      </c>
      <c r="H2" s="248" t="s">
        <v>117</v>
      </c>
      <c r="I2" s="248" t="s">
        <v>118</v>
      </c>
      <c r="J2" s="248" t="s">
        <v>119</v>
      </c>
      <c r="K2" s="248" t="s">
        <v>75</v>
      </c>
      <c r="L2" s="248" t="s">
        <v>26</v>
      </c>
      <c r="M2" s="248" t="s">
        <v>120</v>
      </c>
      <c r="N2" s="249" t="s">
        <v>121</v>
      </c>
      <c r="O2" s="250" t="s">
        <v>122</v>
      </c>
      <c r="P2" s="251">
        <v>2</v>
      </c>
    </row>
    <row r="3" spans="1:16" x14ac:dyDescent="0.25">
      <c r="A3" s="244" t="s">
        <v>25</v>
      </c>
      <c r="B3" s="245">
        <v>334922</v>
      </c>
      <c r="C3" s="246">
        <v>46174</v>
      </c>
      <c r="D3" s="244" t="s">
        <v>123</v>
      </c>
      <c r="E3" s="246">
        <v>46042</v>
      </c>
      <c r="F3" s="247" t="s">
        <v>124</v>
      </c>
      <c r="G3" s="248" t="s">
        <v>116</v>
      </c>
      <c r="H3" s="248" t="s">
        <v>117</v>
      </c>
      <c r="I3" s="248" t="s">
        <v>118</v>
      </c>
      <c r="J3" s="248" t="s">
        <v>119</v>
      </c>
      <c r="K3" s="248" t="s">
        <v>75</v>
      </c>
      <c r="L3" s="248" t="s">
        <v>26</v>
      </c>
      <c r="M3" s="248" t="s">
        <v>120</v>
      </c>
      <c r="N3" s="249" t="s">
        <v>121</v>
      </c>
      <c r="O3" s="250" t="s">
        <v>122</v>
      </c>
      <c r="P3" s="251">
        <v>2</v>
      </c>
    </row>
    <row r="4" spans="1:16" x14ac:dyDescent="0.25">
      <c r="A4" s="244" t="s">
        <v>25</v>
      </c>
      <c r="B4" s="245" t="s">
        <v>125</v>
      </c>
      <c r="C4" s="246" t="s">
        <v>125</v>
      </c>
      <c r="D4" s="244" t="s">
        <v>125</v>
      </c>
      <c r="E4" s="246" t="s">
        <v>125</v>
      </c>
      <c r="F4" s="247" t="s">
        <v>125</v>
      </c>
      <c r="G4" s="248" t="s">
        <v>116</v>
      </c>
      <c r="H4" s="248" t="s">
        <v>117</v>
      </c>
      <c r="I4" s="248" t="s">
        <v>118</v>
      </c>
      <c r="J4" s="248" t="s">
        <v>119</v>
      </c>
      <c r="K4" s="248" t="s">
        <v>75</v>
      </c>
      <c r="L4" s="248" t="s">
        <v>26</v>
      </c>
      <c r="M4" s="248" t="s">
        <v>120</v>
      </c>
      <c r="N4" s="249" t="s">
        <v>121</v>
      </c>
      <c r="O4" s="250" t="s">
        <v>122</v>
      </c>
      <c r="P4" s="251">
        <v>2</v>
      </c>
    </row>
    <row r="5" spans="1:16" x14ac:dyDescent="0.25">
      <c r="A5" s="244" t="s">
        <v>25</v>
      </c>
      <c r="B5" s="245" t="s">
        <v>125</v>
      </c>
      <c r="C5" s="246" t="s">
        <v>125</v>
      </c>
      <c r="D5" s="244" t="s">
        <v>125</v>
      </c>
      <c r="E5" s="246" t="s">
        <v>125</v>
      </c>
      <c r="F5" s="247" t="s">
        <v>125</v>
      </c>
      <c r="G5" s="248" t="s">
        <v>116</v>
      </c>
      <c r="H5" s="248" t="s">
        <v>117</v>
      </c>
      <c r="I5" s="248" t="s">
        <v>118</v>
      </c>
      <c r="J5" s="248" t="s">
        <v>119</v>
      </c>
      <c r="K5" s="248" t="s">
        <v>75</v>
      </c>
      <c r="L5" s="248" t="s">
        <v>26</v>
      </c>
      <c r="M5" s="248" t="s">
        <v>120</v>
      </c>
      <c r="N5" s="249" t="s">
        <v>121</v>
      </c>
      <c r="O5" s="250" t="s">
        <v>122</v>
      </c>
      <c r="P5" s="251">
        <v>2</v>
      </c>
    </row>
    <row r="6" spans="1:16" x14ac:dyDescent="0.25">
      <c r="A6" s="244" t="s">
        <v>15</v>
      </c>
      <c r="B6" s="245" t="s">
        <v>126</v>
      </c>
      <c r="C6" s="246">
        <v>46477</v>
      </c>
      <c r="D6" s="244" t="s">
        <v>127</v>
      </c>
      <c r="E6" s="246">
        <v>45985</v>
      </c>
      <c r="F6" s="247" t="s">
        <v>128</v>
      </c>
      <c r="G6" s="248" t="s">
        <v>14</v>
      </c>
      <c r="H6" s="248"/>
      <c r="I6" s="248"/>
      <c r="J6" s="248"/>
      <c r="K6" s="248"/>
      <c r="L6" s="248"/>
      <c r="M6" s="248"/>
      <c r="N6" s="249" t="s">
        <v>129</v>
      </c>
      <c r="O6" s="250" t="s">
        <v>130</v>
      </c>
      <c r="P6" s="251">
        <v>1</v>
      </c>
    </row>
    <row r="7" spans="1:16" x14ac:dyDescent="0.25">
      <c r="A7" s="244" t="s">
        <v>15</v>
      </c>
      <c r="B7" s="245" t="s">
        <v>125</v>
      </c>
      <c r="C7" s="246" t="s">
        <v>125</v>
      </c>
      <c r="D7" s="244" t="s">
        <v>125</v>
      </c>
      <c r="E7" s="246" t="s">
        <v>125</v>
      </c>
      <c r="F7" s="247" t="s">
        <v>125</v>
      </c>
      <c r="G7" s="248" t="s">
        <v>14</v>
      </c>
      <c r="H7" s="248"/>
      <c r="I7" s="248"/>
      <c r="J7" s="248"/>
      <c r="K7" s="248"/>
      <c r="L7" s="248"/>
      <c r="M7" s="248"/>
      <c r="N7" s="249" t="s">
        <v>129</v>
      </c>
      <c r="O7" s="250" t="s">
        <v>130</v>
      </c>
      <c r="P7" s="251">
        <v>1</v>
      </c>
    </row>
    <row r="8" spans="1:16" x14ac:dyDescent="0.25">
      <c r="A8" s="244" t="s">
        <v>15</v>
      </c>
      <c r="B8" s="245" t="s">
        <v>125</v>
      </c>
      <c r="C8" s="246" t="s">
        <v>125</v>
      </c>
      <c r="D8" s="244" t="s">
        <v>125</v>
      </c>
      <c r="E8" s="246" t="s">
        <v>125</v>
      </c>
      <c r="F8" s="247" t="s">
        <v>125</v>
      </c>
      <c r="G8" s="248" t="s">
        <v>14</v>
      </c>
      <c r="H8" s="248"/>
      <c r="I8" s="248"/>
      <c r="J8" s="248"/>
      <c r="K8" s="248"/>
      <c r="L8" s="248"/>
      <c r="M8" s="248"/>
      <c r="N8" s="249" t="s">
        <v>129</v>
      </c>
      <c r="O8" s="250" t="s">
        <v>130</v>
      </c>
      <c r="P8" s="251">
        <v>1</v>
      </c>
    </row>
    <row r="9" spans="1:16" x14ac:dyDescent="0.25">
      <c r="A9" s="244" t="s">
        <v>15</v>
      </c>
      <c r="B9" s="245" t="s">
        <v>125</v>
      </c>
      <c r="C9" s="246" t="s">
        <v>125</v>
      </c>
      <c r="D9" s="244" t="s">
        <v>125</v>
      </c>
      <c r="E9" s="246" t="s">
        <v>125</v>
      </c>
      <c r="F9" s="247" t="s">
        <v>125</v>
      </c>
      <c r="G9" s="248" t="s">
        <v>14</v>
      </c>
      <c r="H9" s="248"/>
      <c r="I9" s="248"/>
      <c r="J9" s="248"/>
      <c r="K9" s="248"/>
      <c r="L9" s="248"/>
      <c r="M9" s="248"/>
      <c r="N9" s="249" t="s">
        <v>129</v>
      </c>
      <c r="O9" s="250" t="s">
        <v>130</v>
      </c>
      <c r="P9" s="251">
        <v>1</v>
      </c>
    </row>
    <row r="10" spans="1:16" x14ac:dyDescent="0.25">
      <c r="A10" s="244" t="s">
        <v>9</v>
      </c>
      <c r="B10" s="245" t="s">
        <v>131</v>
      </c>
      <c r="C10" s="246">
        <v>46326</v>
      </c>
      <c r="D10" s="244" t="s">
        <v>132</v>
      </c>
      <c r="E10" s="246">
        <v>46042</v>
      </c>
      <c r="F10" s="247" t="s">
        <v>115</v>
      </c>
      <c r="G10" s="248" t="s">
        <v>133</v>
      </c>
      <c r="H10" s="248" t="s">
        <v>14</v>
      </c>
      <c r="I10" s="248"/>
      <c r="J10" s="248"/>
      <c r="K10" s="248"/>
      <c r="L10" s="248"/>
      <c r="M10" s="248"/>
      <c r="N10" s="249" t="s">
        <v>134</v>
      </c>
      <c r="O10" s="250" t="s">
        <v>130</v>
      </c>
      <c r="P10" s="251">
        <v>1</v>
      </c>
    </row>
    <row r="11" spans="1:16" x14ac:dyDescent="0.25">
      <c r="A11" s="244" t="s">
        <v>9</v>
      </c>
      <c r="B11" s="245" t="s">
        <v>125</v>
      </c>
      <c r="C11" s="246" t="s">
        <v>125</v>
      </c>
      <c r="D11" s="244" t="s">
        <v>125</v>
      </c>
      <c r="E11" s="246" t="s">
        <v>125</v>
      </c>
      <c r="F11" s="247" t="s">
        <v>125</v>
      </c>
      <c r="G11" s="248" t="s">
        <v>133</v>
      </c>
      <c r="H11" s="248" t="s">
        <v>14</v>
      </c>
      <c r="I11" s="248"/>
      <c r="J11" s="248"/>
      <c r="K11" s="248"/>
      <c r="L11" s="248"/>
      <c r="M11" s="248"/>
      <c r="N11" s="249" t="s">
        <v>134</v>
      </c>
      <c r="O11" s="250" t="s">
        <v>130</v>
      </c>
      <c r="P11" s="251">
        <v>1</v>
      </c>
    </row>
    <row r="12" spans="1:16" x14ac:dyDescent="0.25">
      <c r="A12" s="244" t="s">
        <v>9</v>
      </c>
      <c r="B12" s="245" t="s">
        <v>125</v>
      </c>
      <c r="C12" s="246" t="s">
        <v>125</v>
      </c>
      <c r="D12" s="244" t="s">
        <v>125</v>
      </c>
      <c r="E12" s="246" t="s">
        <v>125</v>
      </c>
      <c r="F12" s="247" t="s">
        <v>125</v>
      </c>
      <c r="G12" s="248" t="s">
        <v>133</v>
      </c>
      <c r="H12" s="248" t="s">
        <v>14</v>
      </c>
      <c r="I12" s="248"/>
      <c r="J12" s="248"/>
      <c r="K12" s="248"/>
      <c r="L12" s="248"/>
      <c r="M12" s="248"/>
      <c r="N12" s="249" t="s">
        <v>134</v>
      </c>
      <c r="O12" s="250" t="s">
        <v>130</v>
      </c>
      <c r="P12" s="251">
        <v>1</v>
      </c>
    </row>
    <row r="13" spans="1:16" x14ac:dyDescent="0.25">
      <c r="A13" s="244" t="s">
        <v>9</v>
      </c>
      <c r="B13" s="245" t="s">
        <v>125</v>
      </c>
      <c r="C13" s="246" t="s">
        <v>125</v>
      </c>
      <c r="D13" s="254" t="s">
        <v>125</v>
      </c>
      <c r="E13" s="246" t="s">
        <v>125</v>
      </c>
      <c r="F13" s="247" t="s">
        <v>125</v>
      </c>
      <c r="G13" s="248" t="s">
        <v>133</v>
      </c>
      <c r="H13" s="248" t="s">
        <v>14</v>
      </c>
      <c r="I13" s="248"/>
      <c r="J13" s="248"/>
      <c r="K13" s="248"/>
      <c r="L13" s="248"/>
      <c r="M13" s="248"/>
      <c r="N13" s="249" t="s">
        <v>134</v>
      </c>
      <c r="O13" s="250" t="s">
        <v>130</v>
      </c>
      <c r="P13" s="251">
        <v>1</v>
      </c>
    </row>
    <row r="14" spans="1:16" x14ac:dyDescent="0.25">
      <c r="A14" s="244" t="s">
        <v>103</v>
      </c>
      <c r="B14" s="245" t="s">
        <v>135</v>
      </c>
      <c r="C14" s="246">
        <v>46081</v>
      </c>
      <c r="D14" s="244" t="s">
        <v>136</v>
      </c>
      <c r="E14" s="246">
        <v>45838</v>
      </c>
      <c r="F14" s="247" t="s">
        <v>115</v>
      </c>
      <c r="G14" s="248" t="s">
        <v>137</v>
      </c>
      <c r="H14" s="248"/>
      <c r="I14" s="248"/>
      <c r="J14" s="248"/>
      <c r="K14" s="248"/>
      <c r="L14" s="248"/>
      <c r="M14" s="248"/>
      <c r="N14" s="249" t="s">
        <v>138</v>
      </c>
      <c r="O14" s="250" t="s">
        <v>130</v>
      </c>
      <c r="P14" s="251">
        <v>1</v>
      </c>
    </row>
    <row r="15" spans="1:16" x14ac:dyDescent="0.25">
      <c r="A15" s="244" t="s">
        <v>103</v>
      </c>
      <c r="B15" s="245" t="s">
        <v>125</v>
      </c>
      <c r="C15" s="246" t="s">
        <v>125</v>
      </c>
      <c r="D15" s="244" t="s">
        <v>125</v>
      </c>
      <c r="E15" s="246" t="s">
        <v>125</v>
      </c>
      <c r="F15" s="247" t="s">
        <v>125</v>
      </c>
      <c r="G15" s="248" t="s">
        <v>137</v>
      </c>
      <c r="H15" s="248"/>
      <c r="I15" s="248"/>
      <c r="J15" s="248"/>
      <c r="K15" s="248"/>
      <c r="L15" s="248"/>
      <c r="M15" s="248"/>
      <c r="N15" s="249" t="s">
        <v>138</v>
      </c>
      <c r="O15" s="250" t="s">
        <v>130</v>
      </c>
      <c r="P15" s="251">
        <v>1</v>
      </c>
    </row>
    <row r="16" spans="1:16" x14ac:dyDescent="0.25">
      <c r="A16" s="244" t="s">
        <v>103</v>
      </c>
      <c r="B16" s="245" t="s">
        <v>125</v>
      </c>
      <c r="C16" s="246" t="s">
        <v>125</v>
      </c>
      <c r="D16" s="244" t="s">
        <v>125</v>
      </c>
      <c r="E16" s="246" t="s">
        <v>125</v>
      </c>
      <c r="F16" s="247" t="s">
        <v>125</v>
      </c>
      <c r="G16" s="248" t="s">
        <v>137</v>
      </c>
      <c r="H16" s="248"/>
      <c r="I16" s="248"/>
      <c r="J16" s="248"/>
      <c r="K16" s="248"/>
      <c r="L16" s="248"/>
      <c r="M16" s="248"/>
      <c r="N16" s="249" t="s">
        <v>138</v>
      </c>
      <c r="O16" s="250" t="s">
        <v>130</v>
      </c>
      <c r="P16" s="251">
        <v>1</v>
      </c>
    </row>
    <row r="17" spans="1:16" x14ac:dyDescent="0.25">
      <c r="A17" s="244" t="s">
        <v>103</v>
      </c>
      <c r="B17" s="245" t="s">
        <v>125</v>
      </c>
      <c r="C17" s="246" t="s">
        <v>125</v>
      </c>
      <c r="D17" s="244" t="s">
        <v>125</v>
      </c>
      <c r="E17" s="246" t="s">
        <v>125</v>
      </c>
      <c r="F17" s="247" t="s">
        <v>125</v>
      </c>
      <c r="G17" s="248" t="s">
        <v>137</v>
      </c>
      <c r="H17" s="248"/>
      <c r="I17" s="248"/>
      <c r="J17" s="248"/>
      <c r="K17" s="248"/>
      <c r="L17" s="248"/>
      <c r="M17" s="248"/>
      <c r="N17" s="249" t="s">
        <v>138</v>
      </c>
      <c r="O17" s="250" t="s">
        <v>130</v>
      </c>
      <c r="P17" s="251">
        <v>1</v>
      </c>
    </row>
    <row r="18" spans="1:16" x14ac:dyDescent="0.25">
      <c r="A18" s="244" t="s">
        <v>102</v>
      </c>
      <c r="B18" s="245" t="s">
        <v>139</v>
      </c>
      <c r="C18" s="246">
        <v>46081</v>
      </c>
      <c r="D18" s="244" t="s">
        <v>140</v>
      </c>
      <c r="E18" s="246">
        <v>45932</v>
      </c>
      <c r="F18" s="247" t="s">
        <v>115</v>
      </c>
      <c r="G18" s="248" t="s">
        <v>137</v>
      </c>
      <c r="H18" s="248"/>
      <c r="I18" s="248"/>
      <c r="J18" s="248"/>
      <c r="K18" s="248"/>
      <c r="L18" s="248"/>
      <c r="M18" s="248"/>
      <c r="N18" s="249" t="s">
        <v>141</v>
      </c>
      <c r="O18" s="250" t="s">
        <v>130</v>
      </c>
      <c r="P18" s="251">
        <v>1</v>
      </c>
    </row>
    <row r="19" spans="1:16" x14ac:dyDescent="0.25">
      <c r="A19" s="244" t="s">
        <v>102</v>
      </c>
      <c r="B19" s="245" t="s">
        <v>125</v>
      </c>
      <c r="C19" s="246" t="s">
        <v>125</v>
      </c>
      <c r="D19" s="244" t="s">
        <v>125</v>
      </c>
      <c r="E19" s="246" t="s">
        <v>125</v>
      </c>
      <c r="F19" s="247" t="s">
        <v>125</v>
      </c>
      <c r="G19" s="248" t="s">
        <v>137</v>
      </c>
      <c r="H19" s="248"/>
      <c r="I19" s="248"/>
      <c r="J19" s="248"/>
      <c r="K19" s="248"/>
      <c r="L19" s="248"/>
      <c r="M19" s="248"/>
      <c r="N19" s="249" t="s">
        <v>141</v>
      </c>
      <c r="O19" s="250" t="s">
        <v>130</v>
      </c>
      <c r="P19" s="251">
        <v>1</v>
      </c>
    </row>
    <row r="20" spans="1:16" x14ac:dyDescent="0.25">
      <c r="A20" s="244" t="s">
        <v>102</v>
      </c>
      <c r="B20" s="245" t="s">
        <v>125</v>
      </c>
      <c r="C20" s="246" t="s">
        <v>125</v>
      </c>
      <c r="D20" s="244" t="s">
        <v>125</v>
      </c>
      <c r="E20" s="246" t="s">
        <v>125</v>
      </c>
      <c r="F20" s="247" t="s">
        <v>125</v>
      </c>
      <c r="G20" s="248" t="s">
        <v>137</v>
      </c>
      <c r="H20" s="248"/>
      <c r="I20" s="248"/>
      <c r="J20" s="248"/>
      <c r="K20" s="248"/>
      <c r="L20" s="248"/>
      <c r="M20" s="248"/>
      <c r="N20" s="249" t="s">
        <v>141</v>
      </c>
      <c r="O20" s="250" t="s">
        <v>130</v>
      </c>
      <c r="P20" s="251">
        <v>1</v>
      </c>
    </row>
    <row r="21" spans="1:16" x14ac:dyDescent="0.25">
      <c r="A21" s="244" t="s">
        <v>102</v>
      </c>
      <c r="B21" s="245" t="s">
        <v>125</v>
      </c>
      <c r="C21" s="246" t="s">
        <v>125</v>
      </c>
      <c r="D21" s="244" t="s">
        <v>125</v>
      </c>
      <c r="E21" s="246" t="s">
        <v>125</v>
      </c>
      <c r="F21" s="247" t="s">
        <v>125</v>
      </c>
      <c r="G21" s="248" t="s">
        <v>137</v>
      </c>
      <c r="H21" s="248"/>
      <c r="I21" s="248"/>
      <c r="J21" s="248"/>
      <c r="K21" s="248"/>
      <c r="L21" s="248"/>
      <c r="M21" s="248"/>
      <c r="N21" s="249" t="s">
        <v>141</v>
      </c>
      <c r="O21" s="250" t="s">
        <v>130</v>
      </c>
      <c r="P21" s="251">
        <v>1</v>
      </c>
    </row>
    <row r="22" spans="1:16" x14ac:dyDescent="0.25">
      <c r="A22" s="244" t="s">
        <v>101</v>
      </c>
      <c r="B22" s="245" t="s">
        <v>142</v>
      </c>
      <c r="C22" s="246">
        <v>46265</v>
      </c>
      <c r="D22" s="244" t="s">
        <v>143</v>
      </c>
      <c r="E22" s="246">
        <v>46043</v>
      </c>
      <c r="F22" s="247" t="s">
        <v>115</v>
      </c>
      <c r="G22" s="248" t="s">
        <v>137</v>
      </c>
      <c r="H22" s="248"/>
      <c r="I22" s="248"/>
      <c r="J22" s="248"/>
      <c r="K22" s="248"/>
      <c r="L22" s="248"/>
      <c r="M22" s="248"/>
      <c r="N22" s="249" t="s">
        <v>144</v>
      </c>
      <c r="O22" s="250" t="s">
        <v>145</v>
      </c>
      <c r="P22" s="251">
        <v>0</v>
      </c>
    </row>
    <row r="23" spans="1:16" x14ac:dyDescent="0.25">
      <c r="A23" s="244" t="s">
        <v>101</v>
      </c>
      <c r="B23" s="245" t="s">
        <v>146</v>
      </c>
      <c r="C23" s="246">
        <v>46081</v>
      </c>
      <c r="D23" s="244" t="s">
        <v>147</v>
      </c>
      <c r="E23" s="246">
        <v>46043</v>
      </c>
      <c r="F23" s="247" t="s">
        <v>115</v>
      </c>
      <c r="G23" s="248" t="s">
        <v>137</v>
      </c>
      <c r="H23" s="248"/>
      <c r="I23" s="248"/>
      <c r="J23" s="248"/>
      <c r="K23" s="248"/>
      <c r="L23" s="248"/>
      <c r="M23" s="248"/>
      <c r="N23" s="249" t="s">
        <v>144</v>
      </c>
      <c r="O23" s="250" t="s">
        <v>145</v>
      </c>
      <c r="P23" s="251">
        <v>0</v>
      </c>
    </row>
    <row r="24" spans="1:16" x14ac:dyDescent="0.25">
      <c r="A24" s="244" t="s">
        <v>101</v>
      </c>
      <c r="B24" s="245" t="s">
        <v>125</v>
      </c>
      <c r="C24" s="246" t="s">
        <v>125</v>
      </c>
      <c r="D24" s="244" t="s">
        <v>125</v>
      </c>
      <c r="E24" s="246" t="s">
        <v>125</v>
      </c>
      <c r="F24" s="247" t="s">
        <v>125</v>
      </c>
      <c r="G24" s="248" t="s">
        <v>137</v>
      </c>
      <c r="H24" s="248"/>
      <c r="I24" s="248"/>
      <c r="J24" s="248"/>
      <c r="K24" s="248"/>
      <c r="L24" s="248"/>
      <c r="M24" s="248"/>
      <c r="N24" s="249" t="s">
        <v>144</v>
      </c>
      <c r="O24" s="250" t="s">
        <v>145</v>
      </c>
      <c r="P24" s="251">
        <v>0</v>
      </c>
    </row>
    <row r="25" spans="1:16" x14ac:dyDescent="0.25">
      <c r="A25" s="244" t="s">
        <v>101</v>
      </c>
      <c r="B25" s="245" t="s">
        <v>125</v>
      </c>
      <c r="C25" s="246" t="s">
        <v>125</v>
      </c>
      <c r="D25" s="244" t="s">
        <v>125</v>
      </c>
      <c r="E25" s="246" t="s">
        <v>125</v>
      </c>
      <c r="F25" s="247" t="s">
        <v>125</v>
      </c>
      <c r="G25" s="248" t="s">
        <v>137</v>
      </c>
      <c r="H25" s="248"/>
      <c r="I25" s="248"/>
      <c r="J25" s="248"/>
      <c r="K25" s="248"/>
      <c r="L25" s="248"/>
      <c r="M25" s="248"/>
      <c r="N25" s="249" t="s">
        <v>144</v>
      </c>
      <c r="O25" s="250" t="s">
        <v>145</v>
      </c>
      <c r="P25" s="251">
        <v>0</v>
      </c>
    </row>
    <row r="26" spans="1:16" x14ac:dyDescent="0.25">
      <c r="A26" s="244" t="s">
        <v>7</v>
      </c>
      <c r="B26" s="245" t="s">
        <v>148</v>
      </c>
      <c r="C26" s="246">
        <v>46162</v>
      </c>
      <c r="D26" s="244" t="s">
        <v>149</v>
      </c>
      <c r="E26" s="246">
        <v>45818</v>
      </c>
      <c r="F26" s="247" t="s">
        <v>124</v>
      </c>
      <c r="G26" s="248" t="s">
        <v>43</v>
      </c>
      <c r="H26" s="248"/>
      <c r="I26" s="248"/>
      <c r="J26" s="248"/>
      <c r="K26" s="248"/>
      <c r="L26" s="248"/>
      <c r="M26" s="248"/>
      <c r="N26" s="249" t="s">
        <v>150</v>
      </c>
      <c r="O26" s="250" t="s">
        <v>122</v>
      </c>
      <c r="P26" s="251">
        <v>2</v>
      </c>
    </row>
    <row r="27" spans="1:16" x14ac:dyDescent="0.25">
      <c r="A27" s="244" t="s">
        <v>7</v>
      </c>
      <c r="B27" s="245" t="s">
        <v>125</v>
      </c>
      <c r="C27" s="246" t="s">
        <v>125</v>
      </c>
      <c r="D27" s="244" t="s">
        <v>125</v>
      </c>
      <c r="E27" s="246" t="s">
        <v>125</v>
      </c>
      <c r="F27" s="247" t="s">
        <v>125</v>
      </c>
      <c r="G27" s="248" t="s">
        <v>43</v>
      </c>
      <c r="H27" s="248"/>
      <c r="I27" s="248"/>
      <c r="J27" s="248"/>
      <c r="K27" s="248"/>
      <c r="L27" s="248"/>
      <c r="M27" s="248"/>
      <c r="N27" s="249" t="s">
        <v>150</v>
      </c>
      <c r="O27" s="250" t="s">
        <v>122</v>
      </c>
      <c r="P27" s="251">
        <v>2</v>
      </c>
    </row>
    <row r="28" spans="1:16" x14ac:dyDescent="0.25">
      <c r="A28" s="244" t="s">
        <v>7</v>
      </c>
      <c r="B28" s="245" t="s">
        <v>125</v>
      </c>
      <c r="C28" s="246" t="s">
        <v>125</v>
      </c>
      <c r="D28" s="244" t="s">
        <v>125</v>
      </c>
      <c r="E28" s="246" t="s">
        <v>125</v>
      </c>
      <c r="F28" s="247" t="s">
        <v>125</v>
      </c>
      <c r="G28" s="248" t="s">
        <v>43</v>
      </c>
      <c r="H28" s="248"/>
      <c r="I28" s="248"/>
      <c r="J28" s="248"/>
      <c r="K28" s="248"/>
      <c r="L28" s="248"/>
      <c r="M28" s="248"/>
      <c r="N28" s="249" t="s">
        <v>150</v>
      </c>
      <c r="O28" s="250" t="s">
        <v>122</v>
      </c>
      <c r="P28" s="251">
        <v>2</v>
      </c>
    </row>
    <row r="29" spans="1:16" x14ac:dyDescent="0.25">
      <c r="A29" s="244" t="s">
        <v>7</v>
      </c>
      <c r="B29" s="245" t="s">
        <v>125</v>
      </c>
      <c r="C29" s="246" t="s">
        <v>125</v>
      </c>
      <c r="D29" s="244" t="s">
        <v>125</v>
      </c>
      <c r="E29" s="246" t="s">
        <v>125</v>
      </c>
      <c r="F29" s="247" t="s">
        <v>125</v>
      </c>
      <c r="G29" s="248" t="s">
        <v>43</v>
      </c>
      <c r="H29" s="248"/>
      <c r="I29" s="248"/>
      <c r="J29" s="248"/>
      <c r="K29" s="248"/>
      <c r="L29" s="248"/>
      <c r="M29" s="248"/>
      <c r="N29" s="249" t="s">
        <v>150</v>
      </c>
      <c r="O29" s="250" t="s">
        <v>122</v>
      </c>
      <c r="P29" s="251">
        <v>2</v>
      </c>
    </row>
    <row r="30" spans="1:16" x14ac:dyDescent="0.25">
      <c r="A30" s="244" t="s">
        <v>16</v>
      </c>
      <c r="B30" s="245" t="s">
        <v>151</v>
      </c>
      <c r="C30" s="246">
        <v>46115</v>
      </c>
      <c r="D30" s="244" t="s">
        <v>152</v>
      </c>
      <c r="E30" s="246">
        <v>45985</v>
      </c>
      <c r="F30" s="247" t="s">
        <v>128</v>
      </c>
      <c r="G30" s="248" t="s">
        <v>14</v>
      </c>
      <c r="H30" s="248"/>
      <c r="I30" s="248"/>
      <c r="J30" s="248"/>
      <c r="K30" s="248"/>
      <c r="L30" s="248"/>
      <c r="M30" s="248"/>
      <c r="N30" s="249" t="s">
        <v>153</v>
      </c>
      <c r="O30" s="250" t="s">
        <v>130</v>
      </c>
      <c r="P30" s="251">
        <v>1</v>
      </c>
    </row>
    <row r="31" spans="1:16" x14ac:dyDescent="0.25">
      <c r="A31" s="244" t="s">
        <v>16</v>
      </c>
      <c r="B31" s="245" t="s">
        <v>125</v>
      </c>
      <c r="C31" s="246" t="s">
        <v>125</v>
      </c>
      <c r="D31" s="244" t="s">
        <v>125</v>
      </c>
      <c r="E31" s="246" t="s">
        <v>125</v>
      </c>
      <c r="F31" s="247" t="s">
        <v>125</v>
      </c>
      <c r="G31" s="248" t="s">
        <v>14</v>
      </c>
      <c r="H31" s="248"/>
      <c r="I31" s="248"/>
      <c r="J31" s="248"/>
      <c r="K31" s="248"/>
      <c r="L31" s="248"/>
      <c r="M31" s="248"/>
      <c r="N31" s="249" t="s">
        <v>153</v>
      </c>
      <c r="O31" s="250" t="s">
        <v>130</v>
      </c>
      <c r="P31" s="251">
        <v>1</v>
      </c>
    </row>
    <row r="32" spans="1:16" x14ac:dyDescent="0.25">
      <c r="A32" s="244" t="s">
        <v>16</v>
      </c>
      <c r="B32" s="245" t="s">
        <v>125</v>
      </c>
      <c r="C32" s="246" t="s">
        <v>125</v>
      </c>
      <c r="D32" s="244" t="s">
        <v>125</v>
      </c>
      <c r="E32" s="246" t="s">
        <v>125</v>
      </c>
      <c r="F32" s="247" t="s">
        <v>125</v>
      </c>
      <c r="G32" s="248" t="s">
        <v>14</v>
      </c>
      <c r="H32" s="248"/>
      <c r="I32" s="248"/>
      <c r="J32" s="248"/>
      <c r="K32" s="248"/>
      <c r="L32" s="248"/>
      <c r="M32" s="248"/>
      <c r="N32" s="249" t="s">
        <v>153</v>
      </c>
      <c r="O32" s="250" t="s">
        <v>130</v>
      </c>
      <c r="P32" s="251">
        <v>1</v>
      </c>
    </row>
    <row r="33" spans="1:16" x14ac:dyDescent="0.25">
      <c r="A33" s="244" t="s">
        <v>16</v>
      </c>
      <c r="B33" s="245" t="s">
        <v>125</v>
      </c>
      <c r="C33" s="246" t="s">
        <v>125</v>
      </c>
      <c r="D33" s="244" t="s">
        <v>125</v>
      </c>
      <c r="E33" s="246" t="s">
        <v>125</v>
      </c>
      <c r="F33" s="247" t="s">
        <v>125</v>
      </c>
      <c r="G33" s="248" t="s">
        <v>14</v>
      </c>
      <c r="H33" s="248"/>
      <c r="I33" s="248"/>
      <c r="J33" s="248"/>
      <c r="K33" s="248"/>
      <c r="L33" s="248"/>
      <c r="M33" s="248"/>
      <c r="N33" s="249" t="s">
        <v>153</v>
      </c>
      <c r="O33" s="250" t="s">
        <v>130</v>
      </c>
      <c r="P33" s="251">
        <v>1</v>
      </c>
    </row>
    <row r="34" spans="1:16" x14ac:dyDescent="0.25">
      <c r="A34" s="244" t="s">
        <v>12</v>
      </c>
      <c r="B34" s="245" t="s">
        <v>154</v>
      </c>
      <c r="C34" s="246">
        <v>46446</v>
      </c>
      <c r="D34" s="244" t="s">
        <v>155</v>
      </c>
      <c r="E34" s="246">
        <v>45989</v>
      </c>
      <c r="F34" s="247" t="s">
        <v>124</v>
      </c>
      <c r="G34" s="248" t="s">
        <v>156</v>
      </c>
      <c r="H34" s="248"/>
      <c r="I34" s="248"/>
      <c r="J34" s="248"/>
      <c r="K34" s="248"/>
      <c r="L34" s="248"/>
      <c r="M34" s="248"/>
      <c r="N34" s="249" t="s">
        <v>157</v>
      </c>
      <c r="O34" s="250" t="s">
        <v>130</v>
      </c>
      <c r="P34" s="251">
        <v>1</v>
      </c>
    </row>
    <row r="35" spans="1:16" x14ac:dyDescent="0.25">
      <c r="A35" s="244" t="s">
        <v>12</v>
      </c>
      <c r="B35" s="245" t="s">
        <v>125</v>
      </c>
      <c r="C35" s="246" t="s">
        <v>125</v>
      </c>
      <c r="D35" s="244" t="s">
        <v>125</v>
      </c>
      <c r="E35" s="246" t="s">
        <v>125</v>
      </c>
      <c r="F35" s="247" t="s">
        <v>125</v>
      </c>
      <c r="G35" s="248" t="s">
        <v>156</v>
      </c>
      <c r="H35" s="248"/>
      <c r="I35" s="248"/>
      <c r="J35" s="248"/>
      <c r="K35" s="248"/>
      <c r="L35" s="248"/>
      <c r="M35" s="248"/>
      <c r="N35" s="249" t="s">
        <v>157</v>
      </c>
      <c r="O35" s="250" t="s">
        <v>130</v>
      </c>
      <c r="P35" s="251">
        <v>1</v>
      </c>
    </row>
    <row r="36" spans="1:16" x14ac:dyDescent="0.25">
      <c r="A36" s="244" t="s">
        <v>12</v>
      </c>
      <c r="B36" s="245" t="s">
        <v>125</v>
      </c>
      <c r="C36" s="246" t="s">
        <v>125</v>
      </c>
      <c r="D36" s="244" t="s">
        <v>125</v>
      </c>
      <c r="E36" s="246" t="s">
        <v>125</v>
      </c>
      <c r="F36" s="247" t="s">
        <v>125</v>
      </c>
      <c r="G36" s="248" t="s">
        <v>156</v>
      </c>
      <c r="H36" s="248"/>
      <c r="I36" s="248"/>
      <c r="J36" s="248"/>
      <c r="K36" s="248"/>
      <c r="L36" s="248"/>
      <c r="M36" s="248"/>
      <c r="N36" s="249" t="s">
        <v>157</v>
      </c>
      <c r="O36" s="250" t="s">
        <v>130</v>
      </c>
      <c r="P36" s="251">
        <v>1</v>
      </c>
    </row>
    <row r="37" spans="1:16" x14ac:dyDescent="0.25">
      <c r="A37" s="244" t="s">
        <v>12</v>
      </c>
      <c r="B37" s="245" t="s">
        <v>125</v>
      </c>
      <c r="C37" s="246" t="s">
        <v>125</v>
      </c>
      <c r="D37" s="244" t="s">
        <v>125</v>
      </c>
      <c r="E37" s="246" t="s">
        <v>125</v>
      </c>
      <c r="F37" s="247" t="s">
        <v>125</v>
      </c>
      <c r="G37" s="248" t="s">
        <v>156</v>
      </c>
      <c r="H37" s="248"/>
      <c r="I37" s="248"/>
      <c r="J37" s="248"/>
      <c r="K37" s="248"/>
      <c r="L37" s="248"/>
      <c r="M37" s="248"/>
      <c r="N37" s="249" t="s">
        <v>157</v>
      </c>
      <c r="O37" s="250" t="s">
        <v>130</v>
      </c>
      <c r="P37" s="251">
        <v>1</v>
      </c>
    </row>
    <row r="38" spans="1:16" x14ac:dyDescent="0.25">
      <c r="A38" s="244" t="s">
        <v>82</v>
      </c>
      <c r="B38" s="245" t="s">
        <v>158</v>
      </c>
      <c r="C38" s="246">
        <v>46928</v>
      </c>
      <c r="D38" s="244" t="s">
        <v>159</v>
      </c>
      <c r="E38" s="246">
        <v>46034</v>
      </c>
      <c r="F38" s="247" t="s">
        <v>124</v>
      </c>
      <c r="G38" s="248" t="s">
        <v>160</v>
      </c>
      <c r="H38" s="248" t="s">
        <v>161</v>
      </c>
      <c r="I38" s="248"/>
      <c r="J38" s="248"/>
      <c r="K38" s="248"/>
      <c r="L38" s="248"/>
      <c r="M38" s="248"/>
      <c r="N38" s="249" t="s">
        <v>162</v>
      </c>
      <c r="O38" s="250" t="s">
        <v>163</v>
      </c>
      <c r="P38" s="251">
        <v>1</v>
      </c>
    </row>
    <row r="39" spans="1:16" x14ac:dyDescent="0.25">
      <c r="A39" s="244" t="s">
        <v>82</v>
      </c>
      <c r="B39" s="245" t="s">
        <v>125</v>
      </c>
      <c r="C39" s="246" t="s">
        <v>125</v>
      </c>
      <c r="D39" s="244" t="s">
        <v>125</v>
      </c>
      <c r="E39" s="246" t="s">
        <v>125</v>
      </c>
      <c r="F39" s="247" t="s">
        <v>125</v>
      </c>
      <c r="G39" s="248" t="s">
        <v>160</v>
      </c>
      <c r="H39" s="248" t="s">
        <v>161</v>
      </c>
      <c r="I39" s="248"/>
      <c r="J39" s="248"/>
      <c r="K39" s="248"/>
      <c r="L39" s="248"/>
      <c r="M39" s="248"/>
      <c r="N39" s="249" t="s">
        <v>162</v>
      </c>
      <c r="O39" s="250" t="s">
        <v>163</v>
      </c>
      <c r="P39" s="251">
        <v>1</v>
      </c>
    </row>
    <row r="40" spans="1:16" x14ac:dyDescent="0.25">
      <c r="A40" s="244" t="s">
        <v>82</v>
      </c>
      <c r="B40" s="245" t="s">
        <v>125</v>
      </c>
      <c r="C40" s="246" t="s">
        <v>125</v>
      </c>
      <c r="D40" s="244" t="s">
        <v>125</v>
      </c>
      <c r="E40" s="246" t="s">
        <v>125</v>
      </c>
      <c r="F40" s="247" t="s">
        <v>125</v>
      </c>
      <c r="G40" s="248" t="s">
        <v>160</v>
      </c>
      <c r="H40" s="248" t="s">
        <v>161</v>
      </c>
      <c r="I40" s="248"/>
      <c r="J40" s="248"/>
      <c r="K40" s="248"/>
      <c r="L40" s="248"/>
      <c r="M40" s="248"/>
      <c r="N40" s="249" t="s">
        <v>162</v>
      </c>
      <c r="O40" s="250" t="s">
        <v>163</v>
      </c>
      <c r="P40" s="251">
        <v>1</v>
      </c>
    </row>
    <row r="41" spans="1:16" x14ac:dyDescent="0.25">
      <c r="A41" s="244" t="s">
        <v>82</v>
      </c>
      <c r="B41" s="245" t="s">
        <v>125</v>
      </c>
      <c r="C41" s="246" t="s">
        <v>125</v>
      </c>
      <c r="D41" s="244" t="s">
        <v>125</v>
      </c>
      <c r="E41" s="246" t="s">
        <v>125</v>
      </c>
      <c r="F41" s="247" t="s">
        <v>125</v>
      </c>
      <c r="G41" s="248" t="s">
        <v>160</v>
      </c>
      <c r="H41" s="248" t="s">
        <v>161</v>
      </c>
      <c r="I41" s="248"/>
      <c r="J41" s="248"/>
      <c r="K41" s="248"/>
      <c r="L41" s="248"/>
      <c r="M41" s="248"/>
      <c r="N41" s="249" t="s">
        <v>162</v>
      </c>
      <c r="O41" s="250" t="s">
        <v>163</v>
      </c>
      <c r="P41" s="251">
        <v>1</v>
      </c>
    </row>
    <row r="42" spans="1:16" x14ac:dyDescent="0.25">
      <c r="A42" s="244" t="s">
        <v>6</v>
      </c>
      <c r="B42" s="245">
        <v>1001515040</v>
      </c>
      <c r="C42" s="246">
        <v>46191</v>
      </c>
      <c r="D42" s="244" t="s">
        <v>164</v>
      </c>
      <c r="E42" s="246">
        <v>46059</v>
      </c>
      <c r="F42" s="247" t="s">
        <v>128</v>
      </c>
      <c r="G42" s="248" t="s">
        <v>91</v>
      </c>
      <c r="H42" s="248"/>
      <c r="I42" s="248"/>
      <c r="J42" s="248"/>
      <c r="K42" s="248"/>
      <c r="L42" s="248"/>
      <c r="M42" s="248"/>
      <c r="N42" s="249" t="s">
        <v>165</v>
      </c>
      <c r="O42" s="250" t="s">
        <v>122</v>
      </c>
      <c r="P42" s="251">
        <v>2</v>
      </c>
    </row>
    <row r="43" spans="1:16" x14ac:dyDescent="0.25">
      <c r="A43" s="244" t="s">
        <v>6</v>
      </c>
      <c r="B43" s="245" t="s">
        <v>125</v>
      </c>
      <c r="C43" s="246" t="s">
        <v>125</v>
      </c>
      <c r="D43" s="244" t="s">
        <v>125</v>
      </c>
      <c r="E43" s="246" t="s">
        <v>125</v>
      </c>
      <c r="F43" s="247" t="s">
        <v>125</v>
      </c>
      <c r="G43" s="248" t="s">
        <v>91</v>
      </c>
      <c r="H43" s="248"/>
      <c r="I43" s="248"/>
      <c r="J43" s="248"/>
      <c r="K43" s="248"/>
      <c r="L43" s="248"/>
      <c r="M43" s="248"/>
      <c r="N43" s="249" t="s">
        <v>165</v>
      </c>
      <c r="O43" s="250" t="s">
        <v>122</v>
      </c>
      <c r="P43" s="251">
        <v>2</v>
      </c>
    </row>
    <row r="44" spans="1:16" x14ac:dyDescent="0.25">
      <c r="A44" s="244" t="s">
        <v>6</v>
      </c>
      <c r="B44" s="245" t="s">
        <v>125</v>
      </c>
      <c r="C44" s="246" t="s">
        <v>125</v>
      </c>
      <c r="D44" s="244" t="s">
        <v>125</v>
      </c>
      <c r="E44" s="246" t="s">
        <v>125</v>
      </c>
      <c r="F44" s="247" t="s">
        <v>125</v>
      </c>
      <c r="G44" s="248" t="s">
        <v>91</v>
      </c>
      <c r="H44" s="248"/>
      <c r="I44" s="248"/>
      <c r="J44" s="248"/>
      <c r="K44" s="248"/>
      <c r="L44" s="248"/>
      <c r="M44" s="248"/>
      <c r="N44" s="249" t="s">
        <v>165</v>
      </c>
      <c r="O44" s="250" t="s">
        <v>122</v>
      </c>
      <c r="P44" s="251">
        <v>2</v>
      </c>
    </row>
    <row r="45" spans="1:16" x14ac:dyDescent="0.25">
      <c r="A45" s="244" t="s">
        <v>6</v>
      </c>
      <c r="B45" s="245" t="s">
        <v>125</v>
      </c>
      <c r="C45" s="246" t="s">
        <v>125</v>
      </c>
      <c r="D45" s="244" t="s">
        <v>125</v>
      </c>
      <c r="E45" s="246" t="s">
        <v>125</v>
      </c>
      <c r="F45" s="247" t="s">
        <v>125</v>
      </c>
      <c r="G45" s="248" t="s">
        <v>91</v>
      </c>
      <c r="H45" s="248"/>
      <c r="I45" s="248"/>
      <c r="J45" s="248"/>
      <c r="K45" s="248"/>
      <c r="L45" s="248"/>
      <c r="M45" s="248"/>
      <c r="N45" s="249" t="s">
        <v>165</v>
      </c>
      <c r="O45" s="250" t="s">
        <v>122</v>
      </c>
      <c r="P45" s="251">
        <v>2</v>
      </c>
    </row>
    <row r="46" spans="1:16" x14ac:dyDescent="0.25">
      <c r="A46" s="244" t="s">
        <v>10</v>
      </c>
      <c r="B46" s="245">
        <v>1001510545</v>
      </c>
      <c r="C46" s="246">
        <v>46156</v>
      </c>
      <c r="D46" s="244" t="s">
        <v>166</v>
      </c>
      <c r="E46" s="246">
        <v>45982</v>
      </c>
      <c r="F46" s="247" t="s">
        <v>128</v>
      </c>
      <c r="G46" s="248" t="s">
        <v>133</v>
      </c>
      <c r="H46" s="248" t="s">
        <v>156</v>
      </c>
      <c r="I46" s="248" t="s">
        <v>14</v>
      </c>
      <c r="J46" s="248" t="s">
        <v>17</v>
      </c>
      <c r="K46" s="248"/>
      <c r="L46" s="248"/>
      <c r="M46" s="248"/>
      <c r="N46" s="249" t="s">
        <v>167</v>
      </c>
      <c r="O46" s="250" t="s">
        <v>122</v>
      </c>
      <c r="P46" s="251">
        <v>2</v>
      </c>
    </row>
    <row r="47" spans="1:16" x14ac:dyDescent="0.25">
      <c r="A47" s="244" t="s">
        <v>10</v>
      </c>
      <c r="B47" s="245">
        <v>1001517370</v>
      </c>
      <c r="C47" s="246">
        <v>46216</v>
      </c>
      <c r="D47" s="244" t="s">
        <v>168</v>
      </c>
      <c r="E47" s="246">
        <v>46059</v>
      </c>
      <c r="F47" s="247" t="s">
        <v>128</v>
      </c>
      <c r="G47" s="248" t="s">
        <v>133</v>
      </c>
      <c r="H47" s="248" t="s">
        <v>156</v>
      </c>
      <c r="I47" s="248" t="s">
        <v>14</v>
      </c>
      <c r="J47" s="248" t="s">
        <v>17</v>
      </c>
      <c r="K47" s="248"/>
      <c r="L47" s="248"/>
      <c r="M47" s="248"/>
      <c r="N47" s="249" t="s">
        <v>167</v>
      </c>
      <c r="O47" s="250" t="s">
        <v>122</v>
      </c>
      <c r="P47" s="251">
        <v>2</v>
      </c>
    </row>
    <row r="48" spans="1:16" x14ac:dyDescent="0.25">
      <c r="A48" s="244" t="s">
        <v>10</v>
      </c>
      <c r="B48" s="245">
        <v>1001503562</v>
      </c>
      <c r="C48" s="246">
        <v>46111</v>
      </c>
      <c r="D48" s="244" t="s">
        <v>164</v>
      </c>
      <c r="E48" s="246">
        <v>45985</v>
      </c>
      <c r="F48" s="247" t="s">
        <v>115</v>
      </c>
      <c r="G48" s="248" t="s">
        <v>133</v>
      </c>
      <c r="H48" s="248" t="s">
        <v>156</v>
      </c>
      <c r="I48" s="248" t="s">
        <v>14</v>
      </c>
      <c r="J48" s="248" t="s">
        <v>17</v>
      </c>
      <c r="K48" s="248"/>
      <c r="L48" s="248"/>
      <c r="M48" s="248"/>
      <c r="N48" s="249" t="s">
        <v>167</v>
      </c>
      <c r="O48" s="250" t="s">
        <v>122</v>
      </c>
      <c r="P48" s="251">
        <v>2</v>
      </c>
    </row>
    <row r="49" spans="1:16" x14ac:dyDescent="0.25">
      <c r="A49" s="244" t="s">
        <v>10</v>
      </c>
      <c r="B49" s="245">
        <v>1001518066</v>
      </c>
      <c r="C49" s="246">
        <v>46220</v>
      </c>
      <c r="D49" s="244" t="s">
        <v>169</v>
      </c>
      <c r="E49" s="246">
        <v>46059</v>
      </c>
      <c r="F49" s="247" t="s">
        <v>128</v>
      </c>
      <c r="G49" s="248" t="s">
        <v>133</v>
      </c>
      <c r="H49" s="248" t="s">
        <v>156</v>
      </c>
      <c r="I49" s="248" t="s">
        <v>14</v>
      </c>
      <c r="J49" s="248" t="s">
        <v>17</v>
      </c>
      <c r="K49" s="248"/>
      <c r="L49" s="248"/>
      <c r="M49" s="248"/>
      <c r="N49" s="249" t="s">
        <v>167</v>
      </c>
      <c r="O49" s="250" t="s">
        <v>122</v>
      </c>
      <c r="P49" s="251">
        <v>2</v>
      </c>
    </row>
    <row r="50" spans="1:16" x14ac:dyDescent="0.25">
      <c r="A50" s="244" t="s">
        <v>76</v>
      </c>
      <c r="B50" s="245" t="s">
        <v>170</v>
      </c>
      <c r="C50" s="246">
        <v>46406</v>
      </c>
      <c r="D50" s="244" t="s">
        <v>171</v>
      </c>
      <c r="E50" s="246">
        <v>46007</v>
      </c>
      <c r="F50" s="247" t="s">
        <v>128</v>
      </c>
      <c r="G50" s="248" t="s">
        <v>75</v>
      </c>
      <c r="H50" s="248"/>
      <c r="I50" s="248"/>
      <c r="J50" s="248"/>
      <c r="K50" s="248"/>
      <c r="L50" s="248"/>
      <c r="M50" s="248"/>
      <c r="N50" s="249" t="s">
        <v>172</v>
      </c>
      <c r="O50" s="250" t="s">
        <v>173</v>
      </c>
      <c r="P50" s="251">
        <v>0</v>
      </c>
    </row>
    <row r="51" spans="1:16" x14ac:dyDescent="0.25">
      <c r="A51" s="244" t="s">
        <v>76</v>
      </c>
      <c r="B51" s="245" t="s">
        <v>125</v>
      </c>
      <c r="C51" s="246" t="s">
        <v>125</v>
      </c>
      <c r="D51" s="244" t="s">
        <v>125</v>
      </c>
      <c r="E51" s="246" t="s">
        <v>125</v>
      </c>
      <c r="F51" s="247" t="s">
        <v>125</v>
      </c>
      <c r="G51" s="248" t="s">
        <v>75</v>
      </c>
      <c r="H51" s="248"/>
      <c r="I51" s="248"/>
      <c r="J51" s="248"/>
      <c r="K51" s="248"/>
      <c r="L51" s="248"/>
      <c r="M51" s="248"/>
      <c r="N51" s="249" t="s">
        <v>172</v>
      </c>
      <c r="O51" s="250" t="s">
        <v>173</v>
      </c>
      <c r="P51" s="251">
        <v>0</v>
      </c>
    </row>
    <row r="52" spans="1:16" x14ac:dyDescent="0.25">
      <c r="A52" s="244" t="s">
        <v>76</v>
      </c>
      <c r="B52" s="245" t="s">
        <v>125</v>
      </c>
      <c r="C52" s="246" t="s">
        <v>125</v>
      </c>
      <c r="D52" s="244" t="s">
        <v>125</v>
      </c>
      <c r="E52" s="246" t="s">
        <v>125</v>
      </c>
      <c r="F52" s="247" t="s">
        <v>125</v>
      </c>
      <c r="G52" s="248" t="s">
        <v>75</v>
      </c>
      <c r="H52" s="248"/>
      <c r="I52" s="248"/>
      <c r="J52" s="248"/>
      <c r="K52" s="248"/>
      <c r="L52" s="248"/>
      <c r="M52" s="248"/>
      <c r="N52" s="249" t="s">
        <v>172</v>
      </c>
      <c r="O52" s="250" t="s">
        <v>173</v>
      </c>
      <c r="P52" s="251">
        <v>0</v>
      </c>
    </row>
    <row r="53" spans="1:16" x14ac:dyDescent="0.25">
      <c r="A53" s="244" t="s">
        <v>76</v>
      </c>
      <c r="B53" s="245" t="s">
        <v>125</v>
      </c>
      <c r="C53" s="246" t="s">
        <v>125</v>
      </c>
      <c r="D53" s="244" t="s">
        <v>125</v>
      </c>
      <c r="E53" s="246" t="s">
        <v>125</v>
      </c>
      <c r="F53" s="247" t="s">
        <v>125</v>
      </c>
      <c r="G53" s="248" t="s">
        <v>75</v>
      </c>
      <c r="H53" s="248"/>
      <c r="I53" s="248"/>
      <c r="J53" s="248"/>
      <c r="K53" s="248"/>
      <c r="L53" s="248"/>
      <c r="M53" s="248"/>
      <c r="N53" s="249" t="s">
        <v>172</v>
      </c>
      <c r="O53" s="250" t="s">
        <v>173</v>
      </c>
      <c r="P53" s="251">
        <v>0</v>
      </c>
    </row>
    <row r="54" spans="1:16" x14ac:dyDescent="0.25">
      <c r="A54" s="244" t="s">
        <v>34</v>
      </c>
      <c r="B54" s="245">
        <v>1001497100</v>
      </c>
      <c r="C54" s="252" t="s">
        <v>174</v>
      </c>
      <c r="D54" s="244" t="s">
        <v>164</v>
      </c>
      <c r="E54" s="246">
        <v>45890</v>
      </c>
      <c r="F54" s="247" t="s">
        <v>115</v>
      </c>
      <c r="G54" s="248" t="s">
        <v>175</v>
      </c>
      <c r="H54" s="248" t="s">
        <v>176</v>
      </c>
      <c r="I54" s="248"/>
      <c r="J54" s="248"/>
      <c r="K54" s="248"/>
      <c r="L54" s="248"/>
      <c r="M54" s="248"/>
      <c r="N54" s="249" t="s">
        <v>177</v>
      </c>
      <c r="O54" s="250" t="s">
        <v>122</v>
      </c>
      <c r="P54" s="251">
        <v>2</v>
      </c>
    </row>
    <row r="55" spans="1:16" x14ac:dyDescent="0.25">
      <c r="A55" s="244" t="s">
        <v>34</v>
      </c>
      <c r="B55" s="245">
        <v>1001517662</v>
      </c>
      <c r="C55" s="252" t="s">
        <v>178</v>
      </c>
      <c r="D55" s="244" t="s">
        <v>179</v>
      </c>
      <c r="E55" s="246">
        <v>46042</v>
      </c>
      <c r="F55" s="247" t="s">
        <v>124</v>
      </c>
      <c r="G55" s="248" t="s">
        <v>175</v>
      </c>
      <c r="H55" s="248" t="s">
        <v>176</v>
      </c>
      <c r="I55" s="248"/>
      <c r="J55" s="248"/>
      <c r="K55" s="248"/>
      <c r="L55" s="248"/>
      <c r="M55" s="248"/>
      <c r="N55" s="249" t="s">
        <v>177</v>
      </c>
      <c r="O55" s="250" t="s">
        <v>122</v>
      </c>
      <c r="P55" s="251">
        <v>2</v>
      </c>
    </row>
    <row r="56" spans="1:16" x14ac:dyDescent="0.25">
      <c r="A56" s="244" t="s">
        <v>34</v>
      </c>
      <c r="B56" s="245" t="s">
        <v>125</v>
      </c>
      <c r="C56" s="252" t="s">
        <v>125</v>
      </c>
      <c r="D56" s="244" t="s">
        <v>125</v>
      </c>
      <c r="E56" s="246" t="s">
        <v>125</v>
      </c>
      <c r="F56" s="247" t="s">
        <v>125</v>
      </c>
      <c r="G56" s="248" t="s">
        <v>175</v>
      </c>
      <c r="H56" s="248" t="s">
        <v>176</v>
      </c>
      <c r="I56" s="248"/>
      <c r="J56" s="248"/>
      <c r="K56" s="248"/>
      <c r="L56" s="248"/>
      <c r="M56" s="248"/>
      <c r="N56" s="249" t="s">
        <v>177</v>
      </c>
      <c r="O56" s="250" t="s">
        <v>122</v>
      </c>
      <c r="P56" s="251">
        <v>2</v>
      </c>
    </row>
    <row r="57" spans="1:16" x14ac:dyDescent="0.25">
      <c r="A57" s="244" t="s">
        <v>34</v>
      </c>
      <c r="B57" s="245" t="s">
        <v>125</v>
      </c>
      <c r="C57" s="252" t="s">
        <v>125</v>
      </c>
      <c r="D57" s="244" t="s">
        <v>125</v>
      </c>
      <c r="E57" s="246" t="s">
        <v>125</v>
      </c>
      <c r="F57" s="247" t="s">
        <v>125</v>
      </c>
      <c r="G57" s="248" t="s">
        <v>175</v>
      </c>
      <c r="H57" s="248" t="s">
        <v>176</v>
      </c>
      <c r="I57" s="248"/>
      <c r="J57" s="248"/>
      <c r="K57" s="248"/>
      <c r="L57" s="248"/>
      <c r="M57" s="248"/>
      <c r="N57" s="249" t="s">
        <v>177</v>
      </c>
      <c r="O57" s="250" t="s">
        <v>122</v>
      </c>
      <c r="P57" s="251">
        <v>2</v>
      </c>
    </row>
    <row r="58" spans="1:16" x14ac:dyDescent="0.25">
      <c r="A58" s="244" t="s">
        <v>32</v>
      </c>
      <c r="B58" s="245" t="s">
        <v>180</v>
      </c>
      <c r="C58" s="246">
        <v>46409</v>
      </c>
      <c r="D58" s="244" t="s">
        <v>132</v>
      </c>
      <c r="E58" s="246">
        <v>46043</v>
      </c>
      <c r="F58" s="247" t="s">
        <v>115</v>
      </c>
      <c r="G58" s="248" t="s">
        <v>175</v>
      </c>
      <c r="H58" s="248" t="s">
        <v>176</v>
      </c>
      <c r="I58" s="248"/>
      <c r="J58" s="248"/>
      <c r="K58" s="248"/>
      <c r="L58" s="248"/>
      <c r="M58" s="248"/>
      <c r="N58" s="249" t="s">
        <v>181</v>
      </c>
      <c r="O58" s="250" t="s">
        <v>145</v>
      </c>
      <c r="P58" s="251">
        <v>0</v>
      </c>
    </row>
    <row r="59" spans="1:16" x14ac:dyDescent="0.25">
      <c r="A59" s="244" t="s">
        <v>32</v>
      </c>
      <c r="B59" s="245" t="s">
        <v>125</v>
      </c>
      <c r="C59" s="246" t="s">
        <v>125</v>
      </c>
      <c r="D59" s="244" t="s">
        <v>125</v>
      </c>
      <c r="E59" s="246" t="s">
        <v>125</v>
      </c>
      <c r="F59" s="247" t="s">
        <v>125</v>
      </c>
      <c r="G59" s="248" t="s">
        <v>175</v>
      </c>
      <c r="H59" s="248" t="s">
        <v>176</v>
      </c>
      <c r="I59" s="248"/>
      <c r="J59" s="248"/>
      <c r="K59" s="248"/>
      <c r="L59" s="248"/>
      <c r="M59" s="248"/>
      <c r="N59" s="249" t="s">
        <v>181</v>
      </c>
      <c r="O59" s="250" t="s">
        <v>145</v>
      </c>
      <c r="P59" s="251">
        <v>0</v>
      </c>
    </row>
    <row r="60" spans="1:16" x14ac:dyDescent="0.25">
      <c r="A60" s="244" t="s">
        <v>32</v>
      </c>
      <c r="B60" s="245" t="s">
        <v>125</v>
      </c>
      <c r="C60" s="246" t="s">
        <v>125</v>
      </c>
      <c r="D60" s="244" t="s">
        <v>125</v>
      </c>
      <c r="E60" s="246" t="s">
        <v>125</v>
      </c>
      <c r="F60" s="247" t="s">
        <v>125</v>
      </c>
      <c r="G60" s="248" t="s">
        <v>175</v>
      </c>
      <c r="H60" s="248" t="s">
        <v>176</v>
      </c>
      <c r="I60" s="248"/>
      <c r="J60" s="248"/>
      <c r="K60" s="248"/>
      <c r="L60" s="248"/>
      <c r="M60" s="248"/>
      <c r="N60" s="249" t="s">
        <v>181</v>
      </c>
      <c r="O60" s="250" t="s">
        <v>145</v>
      </c>
      <c r="P60" s="251">
        <v>0</v>
      </c>
    </row>
    <row r="61" spans="1:16" x14ac:dyDescent="0.25">
      <c r="A61" s="244" t="s">
        <v>32</v>
      </c>
      <c r="B61" s="245" t="s">
        <v>125</v>
      </c>
      <c r="C61" s="246" t="s">
        <v>125</v>
      </c>
      <c r="D61" s="244" t="s">
        <v>125</v>
      </c>
      <c r="E61" s="246" t="s">
        <v>125</v>
      </c>
      <c r="F61" s="247" t="s">
        <v>125</v>
      </c>
      <c r="G61" s="248" t="s">
        <v>175</v>
      </c>
      <c r="H61" s="248" t="s">
        <v>176</v>
      </c>
      <c r="I61" s="248"/>
      <c r="J61" s="248"/>
      <c r="K61" s="248"/>
      <c r="L61" s="248"/>
      <c r="M61" s="248"/>
      <c r="N61" s="249" t="s">
        <v>181</v>
      </c>
      <c r="O61" s="250" t="s">
        <v>145</v>
      </c>
      <c r="P61" s="251">
        <v>0</v>
      </c>
    </row>
    <row r="62" spans="1:16" x14ac:dyDescent="0.25">
      <c r="A62" s="244" t="s">
        <v>36</v>
      </c>
      <c r="B62" s="245" t="s">
        <v>182</v>
      </c>
      <c r="C62" s="246">
        <v>46357</v>
      </c>
      <c r="D62" s="244" t="s">
        <v>140</v>
      </c>
      <c r="E62" s="246">
        <v>46063</v>
      </c>
      <c r="F62" s="247" t="s">
        <v>115</v>
      </c>
      <c r="G62" s="248" t="s">
        <v>183</v>
      </c>
      <c r="H62" s="248" t="s">
        <v>184</v>
      </c>
      <c r="I62" s="248"/>
      <c r="J62" s="248"/>
      <c r="K62" s="248"/>
      <c r="L62" s="248"/>
      <c r="M62" s="248"/>
      <c r="N62" s="249" t="s">
        <v>185</v>
      </c>
      <c r="O62" s="250" t="s">
        <v>130</v>
      </c>
      <c r="P62" s="251">
        <v>1</v>
      </c>
    </row>
    <row r="63" spans="1:16" x14ac:dyDescent="0.25">
      <c r="A63" s="244" t="s">
        <v>36</v>
      </c>
      <c r="B63" s="245" t="s">
        <v>125</v>
      </c>
      <c r="C63" s="246" t="s">
        <v>125</v>
      </c>
      <c r="D63" s="244" t="s">
        <v>125</v>
      </c>
      <c r="E63" s="246" t="s">
        <v>125</v>
      </c>
      <c r="F63" s="247" t="s">
        <v>125</v>
      </c>
      <c r="G63" s="248" t="s">
        <v>183</v>
      </c>
      <c r="H63" s="248" t="s">
        <v>184</v>
      </c>
      <c r="I63" s="248"/>
      <c r="J63" s="248"/>
      <c r="K63" s="248"/>
      <c r="L63" s="248"/>
      <c r="M63" s="248"/>
      <c r="N63" s="249" t="s">
        <v>185</v>
      </c>
      <c r="O63" s="250" t="s">
        <v>130</v>
      </c>
      <c r="P63" s="251">
        <v>1</v>
      </c>
    </row>
    <row r="64" spans="1:16" x14ac:dyDescent="0.25">
      <c r="A64" s="244" t="s">
        <v>36</v>
      </c>
      <c r="B64" s="245" t="s">
        <v>125</v>
      </c>
      <c r="C64" s="246" t="s">
        <v>125</v>
      </c>
      <c r="D64" s="244" t="s">
        <v>125</v>
      </c>
      <c r="E64" s="246" t="s">
        <v>125</v>
      </c>
      <c r="F64" s="247" t="s">
        <v>125</v>
      </c>
      <c r="G64" s="248" t="s">
        <v>183</v>
      </c>
      <c r="H64" s="248" t="s">
        <v>184</v>
      </c>
      <c r="I64" s="248"/>
      <c r="J64" s="248"/>
      <c r="K64" s="248"/>
      <c r="L64" s="248"/>
      <c r="M64" s="248"/>
      <c r="N64" s="249" t="s">
        <v>185</v>
      </c>
      <c r="O64" s="250" t="s">
        <v>130</v>
      </c>
      <c r="P64" s="251">
        <v>1</v>
      </c>
    </row>
    <row r="65" spans="1:16" x14ac:dyDescent="0.25">
      <c r="A65" s="244" t="s">
        <v>36</v>
      </c>
      <c r="B65" s="245" t="s">
        <v>125</v>
      </c>
      <c r="C65" s="246" t="s">
        <v>125</v>
      </c>
      <c r="D65" s="244" t="s">
        <v>125</v>
      </c>
      <c r="E65" s="246" t="s">
        <v>125</v>
      </c>
      <c r="F65" s="247" t="s">
        <v>125</v>
      </c>
      <c r="G65" s="248" t="s">
        <v>183</v>
      </c>
      <c r="H65" s="248" t="s">
        <v>184</v>
      </c>
      <c r="I65" s="248"/>
      <c r="J65" s="248"/>
      <c r="K65" s="248"/>
      <c r="L65" s="248"/>
      <c r="M65" s="248"/>
      <c r="N65" s="249" t="s">
        <v>185</v>
      </c>
      <c r="O65" s="250" t="s">
        <v>130</v>
      </c>
      <c r="P65" s="251">
        <v>1</v>
      </c>
    </row>
    <row r="66" spans="1:16" x14ac:dyDescent="0.25">
      <c r="A66" s="244" t="s">
        <v>33</v>
      </c>
      <c r="B66" s="245" t="s">
        <v>186</v>
      </c>
      <c r="C66" s="246">
        <v>46252</v>
      </c>
      <c r="D66" s="244" t="s">
        <v>143</v>
      </c>
      <c r="E66" s="246">
        <v>45985</v>
      </c>
      <c r="F66" s="247" t="s">
        <v>128</v>
      </c>
      <c r="G66" s="248" t="s">
        <v>175</v>
      </c>
      <c r="H66" s="248" t="s">
        <v>176</v>
      </c>
      <c r="I66" s="248"/>
      <c r="J66" s="248"/>
      <c r="K66" s="248"/>
      <c r="L66" s="248"/>
      <c r="M66" s="248"/>
      <c r="N66" s="249" t="s">
        <v>187</v>
      </c>
      <c r="O66" s="250" t="s">
        <v>130</v>
      </c>
      <c r="P66" s="251">
        <v>1</v>
      </c>
    </row>
    <row r="67" spans="1:16" x14ac:dyDescent="0.25">
      <c r="A67" s="244" t="s">
        <v>33</v>
      </c>
      <c r="B67" s="245" t="s">
        <v>188</v>
      </c>
      <c r="C67" s="246">
        <v>46403</v>
      </c>
      <c r="D67" s="244" t="s">
        <v>189</v>
      </c>
      <c r="E67" s="246">
        <v>46042</v>
      </c>
      <c r="F67" s="247" t="s">
        <v>124</v>
      </c>
      <c r="G67" s="248" t="s">
        <v>175</v>
      </c>
      <c r="H67" s="248" t="s">
        <v>176</v>
      </c>
      <c r="I67" s="248"/>
      <c r="J67" s="248"/>
      <c r="K67" s="248"/>
      <c r="L67" s="248"/>
      <c r="M67" s="248"/>
      <c r="N67" s="249" t="s">
        <v>187</v>
      </c>
      <c r="O67" s="250" t="s">
        <v>130</v>
      </c>
      <c r="P67" s="251">
        <v>1</v>
      </c>
    </row>
    <row r="68" spans="1:16" x14ac:dyDescent="0.25">
      <c r="A68" s="244" t="s">
        <v>33</v>
      </c>
      <c r="B68" s="245" t="s">
        <v>125</v>
      </c>
      <c r="C68" s="246" t="s">
        <v>125</v>
      </c>
      <c r="D68" s="244" t="s">
        <v>125</v>
      </c>
      <c r="E68" s="246" t="s">
        <v>125</v>
      </c>
      <c r="F68" s="247" t="s">
        <v>125</v>
      </c>
      <c r="G68" s="248" t="s">
        <v>175</v>
      </c>
      <c r="H68" s="248" t="s">
        <v>176</v>
      </c>
      <c r="I68" s="248"/>
      <c r="J68" s="248"/>
      <c r="K68" s="248"/>
      <c r="L68" s="248"/>
      <c r="M68" s="248"/>
      <c r="N68" s="249" t="s">
        <v>187</v>
      </c>
      <c r="O68" s="250" t="s">
        <v>130</v>
      </c>
      <c r="P68" s="251">
        <v>1</v>
      </c>
    </row>
    <row r="69" spans="1:16" x14ac:dyDescent="0.25">
      <c r="A69" s="244" t="s">
        <v>33</v>
      </c>
      <c r="B69" s="245" t="s">
        <v>125</v>
      </c>
      <c r="C69" s="246" t="s">
        <v>125</v>
      </c>
      <c r="D69" s="244" t="s">
        <v>125</v>
      </c>
      <c r="E69" s="246" t="s">
        <v>125</v>
      </c>
      <c r="F69" s="247" t="s">
        <v>125</v>
      </c>
      <c r="G69" s="248" t="s">
        <v>175</v>
      </c>
      <c r="H69" s="248" t="s">
        <v>176</v>
      </c>
      <c r="I69" s="248"/>
      <c r="J69" s="248"/>
      <c r="K69" s="248"/>
      <c r="L69" s="248"/>
      <c r="M69" s="248"/>
      <c r="N69" s="249" t="s">
        <v>187</v>
      </c>
      <c r="O69" s="250" t="s">
        <v>130</v>
      </c>
      <c r="P69" s="251">
        <v>1</v>
      </c>
    </row>
    <row r="70" spans="1:16" x14ac:dyDescent="0.25">
      <c r="A70" s="244" t="s">
        <v>68</v>
      </c>
      <c r="B70" s="245">
        <v>1001519069</v>
      </c>
      <c r="C70" s="246">
        <v>46107</v>
      </c>
      <c r="D70" s="244" t="s">
        <v>190</v>
      </c>
      <c r="E70" s="246">
        <v>46050</v>
      </c>
      <c r="F70" s="247" t="s">
        <v>124</v>
      </c>
      <c r="G70" s="248" t="s">
        <v>87</v>
      </c>
      <c r="H70" s="248" t="s">
        <v>65</v>
      </c>
      <c r="I70" s="248"/>
      <c r="J70" s="248"/>
      <c r="K70" s="248"/>
      <c r="L70" s="248"/>
      <c r="M70" s="248"/>
      <c r="N70" s="253" t="s">
        <v>191</v>
      </c>
      <c r="O70" s="250" t="s">
        <v>122</v>
      </c>
      <c r="P70" s="251">
        <v>2</v>
      </c>
    </row>
    <row r="71" spans="1:16" x14ac:dyDescent="0.25">
      <c r="A71" s="244" t="s">
        <v>68</v>
      </c>
      <c r="B71" s="245" t="s">
        <v>125</v>
      </c>
      <c r="C71" s="246" t="s">
        <v>125</v>
      </c>
      <c r="D71" s="244" t="s">
        <v>125</v>
      </c>
      <c r="E71" s="246" t="s">
        <v>125</v>
      </c>
      <c r="F71" s="247" t="s">
        <v>125</v>
      </c>
      <c r="G71" s="248" t="s">
        <v>87</v>
      </c>
      <c r="H71" s="248" t="s">
        <v>65</v>
      </c>
      <c r="I71" s="248"/>
      <c r="J71" s="248"/>
      <c r="K71" s="248"/>
      <c r="L71" s="248"/>
      <c r="M71" s="248"/>
      <c r="N71" s="253" t="s">
        <v>191</v>
      </c>
      <c r="O71" s="250" t="s">
        <v>122</v>
      </c>
      <c r="P71" s="251">
        <v>2</v>
      </c>
    </row>
    <row r="72" spans="1:16" x14ac:dyDescent="0.25">
      <c r="A72" s="244" t="s">
        <v>68</v>
      </c>
      <c r="B72" s="245" t="s">
        <v>125</v>
      </c>
      <c r="C72" s="246" t="s">
        <v>125</v>
      </c>
      <c r="D72" s="244" t="s">
        <v>125</v>
      </c>
      <c r="E72" s="246" t="s">
        <v>125</v>
      </c>
      <c r="F72" s="247" t="s">
        <v>125</v>
      </c>
      <c r="G72" s="248" t="s">
        <v>87</v>
      </c>
      <c r="H72" s="248" t="s">
        <v>65</v>
      </c>
      <c r="I72" s="248"/>
      <c r="J72" s="248"/>
      <c r="K72" s="248"/>
      <c r="L72" s="248"/>
      <c r="M72" s="248"/>
      <c r="N72" s="253" t="s">
        <v>191</v>
      </c>
      <c r="O72" s="250" t="s">
        <v>122</v>
      </c>
      <c r="P72" s="251">
        <v>2</v>
      </c>
    </row>
    <row r="73" spans="1:16" x14ac:dyDescent="0.25">
      <c r="A73" s="244" t="s">
        <v>68</v>
      </c>
      <c r="B73" s="245" t="s">
        <v>125</v>
      </c>
      <c r="C73" s="246" t="s">
        <v>125</v>
      </c>
      <c r="D73" s="244" t="s">
        <v>125</v>
      </c>
      <c r="E73" s="246" t="s">
        <v>125</v>
      </c>
      <c r="F73" s="247" t="s">
        <v>125</v>
      </c>
      <c r="G73" s="248" t="s">
        <v>87</v>
      </c>
      <c r="H73" s="248" t="s">
        <v>65</v>
      </c>
      <c r="I73" s="248"/>
      <c r="J73" s="248"/>
      <c r="K73" s="248"/>
      <c r="L73" s="248"/>
      <c r="M73" s="248"/>
      <c r="N73" s="253" t="s">
        <v>191</v>
      </c>
      <c r="O73" s="250" t="s">
        <v>122</v>
      </c>
      <c r="P73" s="251">
        <v>2</v>
      </c>
    </row>
    <row r="74" spans="1:16" x14ac:dyDescent="0.25">
      <c r="A74" s="254" t="s">
        <v>192</v>
      </c>
      <c r="B74" s="245" t="s">
        <v>125</v>
      </c>
      <c r="C74" s="246" t="s">
        <v>125</v>
      </c>
      <c r="D74" s="244" t="s">
        <v>125</v>
      </c>
      <c r="E74" s="246" t="s">
        <v>125</v>
      </c>
      <c r="F74" s="247" t="s">
        <v>125</v>
      </c>
      <c r="G74" s="248"/>
      <c r="H74" s="248"/>
      <c r="I74" s="248"/>
      <c r="J74" s="248"/>
      <c r="K74" s="248"/>
      <c r="L74" s="248"/>
      <c r="M74" s="248"/>
      <c r="N74" s="253" t="s">
        <v>193</v>
      </c>
      <c r="O74" s="250" t="s">
        <v>130</v>
      </c>
      <c r="P74" s="251">
        <v>1</v>
      </c>
    </row>
    <row r="75" spans="1:16" x14ac:dyDescent="0.25">
      <c r="A75" s="254" t="s">
        <v>192</v>
      </c>
      <c r="B75" s="245" t="s">
        <v>125</v>
      </c>
      <c r="C75" s="246" t="s">
        <v>125</v>
      </c>
      <c r="D75" s="244" t="s">
        <v>125</v>
      </c>
      <c r="E75" s="246" t="s">
        <v>125</v>
      </c>
      <c r="F75" s="247" t="s">
        <v>125</v>
      </c>
      <c r="G75" s="248"/>
      <c r="H75" s="248"/>
      <c r="I75" s="248"/>
      <c r="J75" s="248"/>
      <c r="K75" s="248"/>
      <c r="L75" s="248"/>
      <c r="M75" s="248"/>
      <c r="N75" s="253" t="s">
        <v>193</v>
      </c>
      <c r="O75" s="250" t="s">
        <v>130</v>
      </c>
      <c r="P75" s="251">
        <v>1</v>
      </c>
    </row>
    <row r="76" spans="1:16" x14ac:dyDescent="0.25">
      <c r="A76" s="254" t="s">
        <v>192</v>
      </c>
      <c r="B76" s="245" t="s">
        <v>125</v>
      </c>
      <c r="C76" s="246" t="s">
        <v>125</v>
      </c>
      <c r="D76" s="244" t="s">
        <v>125</v>
      </c>
      <c r="E76" s="246" t="s">
        <v>125</v>
      </c>
      <c r="F76" s="247" t="s">
        <v>125</v>
      </c>
      <c r="G76" s="248"/>
      <c r="H76" s="248"/>
      <c r="I76" s="248"/>
      <c r="J76" s="248"/>
      <c r="K76" s="248"/>
      <c r="L76" s="248"/>
      <c r="M76" s="248"/>
      <c r="N76" s="253" t="s">
        <v>193</v>
      </c>
      <c r="O76" s="250" t="s">
        <v>130</v>
      </c>
      <c r="P76" s="251">
        <v>1</v>
      </c>
    </row>
    <row r="77" spans="1:16" x14ac:dyDescent="0.25">
      <c r="A77" s="254" t="s">
        <v>192</v>
      </c>
      <c r="B77" s="245" t="s">
        <v>125</v>
      </c>
      <c r="C77" s="246" t="s">
        <v>125</v>
      </c>
      <c r="D77" s="244" t="s">
        <v>125</v>
      </c>
      <c r="E77" s="246" t="s">
        <v>125</v>
      </c>
      <c r="F77" s="247" t="s">
        <v>125</v>
      </c>
      <c r="G77" s="248"/>
      <c r="H77" s="248"/>
      <c r="I77" s="248"/>
      <c r="J77" s="248"/>
      <c r="K77" s="248"/>
      <c r="L77" s="248"/>
      <c r="M77" s="248"/>
      <c r="N77" s="253" t="s">
        <v>193</v>
      </c>
      <c r="O77" s="250" t="s">
        <v>130</v>
      </c>
      <c r="P77" s="251">
        <v>1</v>
      </c>
    </row>
    <row r="78" spans="1:16" x14ac:dyDescent="0.25">
      <c r="A78" s="254" t="s">
        <v>194</v>
      </c>
      <c r="B78" s="245" t="s">
        <v>125</v>
      </c>
      <c r="C78" s="246" t="s">
        <v>125</v>
      </c>
      <c r="D78" s="244" t="s">
        <v>125</v>
      </c>
      <c r="E78" s="246" t="s">
        <v>125</v>
      </c>
      <c r="F78" s="247" t="s">
        <v>125</v>
      </c>
      <c r="G78" s="248"/>
      <c r="H78" s="248"/>
      <c r="I78" s="248"/>
      <c r="J78" s="248"/>
      <c r="K78" s="248"/>
      <c r="L78" s="248"/>
      <c r="M78" s="248"/>
      <c r="N78" s="253" t="s">
        <v>195</v>
      </c>
      <c r="O78" s="250" t="s">
        <v>130</v>
      </c>
      <c r="P78" s="251">
        <v>1</v>
      </c>
    </row>
    <row r="79" spans="1:16" x14ac:dyDescent="0.25">
      <c r="A79" s="254" t="s">
        <v>194</v>
      </c>
      <c r="B79" s="245" t="s">
        <v>125</v>
      </c>
      <c r="C79" s="246" t="s">
        <v>125</v>
      </c>
      <c r="D79" s="244" t="s">
        <v>125</v>
      </c>
      <c r="E79" s="246" t="s">
        <v>125</v>
      </c>
      <c r="F79" s="247" t="s">
        <v>125</v>
      </c>
      <c r="G79" s="248"/>
      <c r="H79" s="248"/>
      <c r="I79" s="248"/>
      <c r="J79" s="248"/>
      <c r="K79" s="248"/>
      <c r="L79" s="248"/>
      <c r="M79" s="248"/>
      <c r="N79" s="253" t="s">
        <v>195</v>
      </c>
      <c r="O79" s="250" t="s">
        <v>130</v>
      </c>
      <c r="P79" s="251">
        <v>1</v>
      </c>
    </row>
    <row r="80" spans="1:16" x14ac:dyDescent="0.25">
      <c r="A80" s="254" t="s">
        <v>194</v>
      </c>
      <c r="B80" s="245" t="s">
        <v>125</v>
      </c>
      <c r="C80" s="246" t="s">
        <v>125</v>
      </c>
      <c r="D80" s="244" t="s">
        <v>125</v>
      </c>
      <c r="E80" s="246" t="s">
        <v>125</v>
      </c>
      <c r="F80" s="247" t="s">
        <v>125</v>
      </c>
      <c r="G80" s="248"/>
      <c r="H80" s="248"/>
      <c r="I80" s="248"/>
      <c r="J80" s="248"/>
      <c r="K80" s="248"/>
      <c r="L80" s="248"/>
      <c r="M80" s="248"/>
      <c r="N80" s="253" t="s">
        <v>195</v>
      </c>
      <c r="O80" s="250" t="s">
        <v>130</v>
      </c>
      <c r="P80" s="251">
        <v>1</v>
      </c>
    </row>
    <row r="81" spans="1:16" x14ac:dyDescent="0.25">
      <c r="A81" s="254" t="s">
        <v>194</v>
      </c>
      <c r="B81" s="245" t="s">
        <v>125</v>
      </c>
      <c r="C81" s="246" t="s">
        <v>125</v>
      </c>
      <c r="D81" s="244" t="s">
        <v>125</v>
      </c>
      <c r="E81" s="246" t="s">
        <v>125</v>
      </c>
      <c r="F81" s="247" t="s">
        <v>125</v>
      </c>
      <c r="G81" s="248"/>
      <c r="H81" s="248"/>
      <c r="I81" s="248"/>
      <c r="J81" s="248"/>
      <c r="K81" s="248"/>
      <c r="L81" s="248"/>
      <c r="M81" s="248"/>
      <c r="N81" s="253" t="s">
        <v>195</v>
      </c>
      <c r="O81" s="250" t="s">
        <v>130</v>
      </c>
      <c r="P81" s="251">
        <v>1</v>
      </c>
    </row>
    <row r="82" spans="1:16" x14ac:dyDescent="0.25">
      <c r="A82" s="254" t="s">
        <v>196</v>
      </c>
      <c r="B82" s="245" t="s">
        <v>125</v>
      </c>
      <c r="C82" s="246" t="s">
        <v>125</v>
      </c>
      <c r="D82" s="244" t="s">
        <v>125</v>
      </c>
      <c r="E82" s="246" t="s">
        <v>125</v>
      </c>
      <c r="F82" s="247" t="s">
        <v>125</v>
      </c>
      <c r="G82" s="248"/>
      <c r="H82" s="248"/>
      <c r="I82" s="248"/>
      <c r="J82" s="248"/>
      <c r="K82" s="248"/>
      <c r="L82" s="248"/>
      <c r="M82" s="248"/>
      <c r="N82" s="253" t="s">
        <v>197</v>
      </c>
      <c r="O82" s="250" t="s">
        <v>130</v>
      </c>
      <c r="P82" s="251">
        <v>1</v>
      </c>
    </row>
    <row r="83" spans="1:16" x14ac:dyDescent="0.25">
      <c r="A83" s="254" t="s">
        <v>196</v>
      </c>
      <c r="B83" s="245" t="s">
        <v>125</v>
      </c>
      <c r="C83" s="246" t="s">
        <v>125</v>
      </c>
      <c r="D83" s="244" t="s">
        <v>125</v>
      </c>
      <c r="E83" s="246" t="s">
        <v>125</v>
      </c>
      <c r="F83" s="247" t="s">
        <v>125</v>
      </c>
      <c r="G83" s="248"/>
      <c r="H83" s="248"/>
      <c r="I83" s="248"/>
      <c r="J83" s="248"/>
      <c r="K83" s="248"/>
      <c r="L83" s="248"/>
      <c r="M83" s="248"/>
      <c r="N83" s="253" t="s">
        <v>197</v>
      </c>
      <c r="O83" s="250" t="s">
        <v>130</v>
      </c>
      <c r="P83" s="251">
        <v>1</v>
      </c>
    </row>
    <row r="84" spans="1:16" x14ac:dyDescent="0.25">
      <c r="A84" s="254" t="s">
        <v>196</v>
      </c>
      <c r="B84" s="245" t="s">
        <v>125</v>
      </c>
      <c r="C84" s="246" t="s">
        <v>125</v>
      </c>
      <c r="D84" s="244" t="s">
        <v>125</v>
      </c>
      <c r="E84" s="246" t="s">
        <v>125</v>
      </c>
      <c r="F84" s="247" t="s">
        <v>125</v>
      </c>
      <c r="G84" s="248"/>
      <c r="H84" s="248"/>
      <c r="I84" s="248"/>
      <c r="J84" s="248"/>
      <c r="K84" s="248"/>
      <c r="L84" s="248"/>
      <c r="M84" s="248"/>
      <c r="N84" s="253" t="s">
        <v>197</v>
      </c>
      <c r="O84" s="250" t="s">
        <v>130</v>
      </c>
      <c r="P84" s="251">
        <v>1</v>
      </c>
    </row>
    <row r="85" spans="1:16" x14ac:dyDescent="0.25">
      <c r="A85" s="254" t="s">
        <v>196</v>
      </c>
      <c r="B85" s="245" t="s">
        <v>125</v>
      </c>
      <c r="C85" s="246" t="s">
        <v>125</v>
      </c>
      <c r="D85" s="244" t="s">
        <v>125</v>
      </c>
      <c r="E85" s="246" t="s">
        <v>125</v>
      </c>
      <c r="F85" s="247" t="s">
        <v>125</v>
      </c>
      <c r="G85" s="248"/>
      <c r="H85" s="248"/>
      <c r="I85" s="248"/>
      <c r="J85" s="248"/>
      <c r="K85" s="248"/>
      <c r="L85" s="248"/>
      <c r="M85" s="248"/>
      <c r="N85" s="253" t="s">
        <v>197</v>
      </c>
      <c r="O85" s="250" t="s">
        <v>130</v>
      </c>
      <c r="P85" s="251">
        <v>1</v>
      </c>
    </row>
    <row r="86" spans="1:16" x14ac:dyDescent="0.25">
      <c r="A86" s="254" t="s">
        <v>198</v>
      </c>
      <c r="B86" s="245" t="s">
        <v>125</v>
      </c>
      <c r="C86" s="246" t="s">
        <v>125</v>
      </c>
      <c r="D86" s="244" t="s">
        <v>125</v>
      </c>
      <c r="E86" s="246" t="s">
        <v>125</v>
      </c>
      <c r="F86" s="247" t="s">
        <v>125</v>
      </c>
      <c r="G86" s="248"/>
      <c r="H86" s="248"/>
      <c r="I86" s="248"/>
      <c r="J86" s="248"/>
      <c r="K86" s="248"/>
      <c r="L86" s="248"/>
      <c r="M86" s="248"/>
      <c r="N86" s="253" t="s">
        <v>199</v>
      </c>
      <c r="O86" s="250" t="s">
        <v>130</v>
      </c>
      <c r="P86" s="251">
        <v>1</v>
      </c>
    </row>
    <row r="87" spans="1:16" x14ac:dyDescent="0.25">
      <c r="A87" s="254" t="s">
        <v>198</v>
      </c>
      <c r="B87" s="245" t="s">
        <v>125</v>
      </c>
      <c r="C87" s="246" t="s">
        <v>125</v>
      </c>
      <c r="D87" s="244" t="s">
        <v>125</v>
      </c>
      <c r="E87" s="246" t="s">
        <v>125</v>
      </c>
      <c r="F87" s="247" t="s">
        <v>125</v>
      </c>
      <c r="G87" s="248"/>
      <c r="H87" s="248"/>
      <c r="I87" s="248"/>
      <c r="J87" s="248"/>
      <c r="K87" s="248"/>
      <c r="L87" s="248"/>
      <c r="M87" s="248"/>
      <c r="N87" s="253" t="s">
        <v>199</v>
      </c>
      <c r="O87" s="250" t="s">
        <v>130</v>
      </c>
      <c r="P87" s="251">
        <v>1</v>
      </c>
    </row>
    <row r="88" spans="1:16" x14ac:dyDescent="0.25">
      <c r="A88" s="254" t="s">
        <v>198</v>
      </c>
      <c r="B88" s="245" t="s">
        <v>125</v>
      </c>
      <c r="C88" s="246" t="s">
        <v>125</v>
      </c>
      <c r="D88" s="244" t="s">
        <v>125</v>
      </c>
      <c r="E88" s="246" t="s">
        <v>125</v>
      </c>
      <c r="F88" s="247" t="s">
        <v>125</v>
      </c>
      <c r="G88" s="248"/>
      <c r="H88" s="248"/>
      <c r="I88" s="248"/>
      <c r="J88" s="248"/>
      <c r="K88" s="248"/>
      <c r="L88" s="248"/>
      <c r="M88" s="248"/>
      <c r="N88" s="253" t="s">
        <v>199</v>
      </c>
      <c r="O88" s="250" t="s">
        <v>130</v>
      </c>
      <c r="P88" s="251">
        <v>1</v>
      </c>
    </row>
    <row r="89" spans="1:16" x14ac:dyDescent="0.25">
      <c r="A89" s="254" t="s">
        <v>198</v>
      </c>
      <c r="B89" s="245" t="s">
        <v>125</v>
      </c>
      <c r="C89" s="246" t="s">
        <v>125</v>
      </c>
      <c r="D89" s="244" t="s">
        <v>125</v>
      </c>
      <c r="E89" s="246" t="s">
        <v>125</v>
      </c>
      <c r="F89" s="247" t="s">
        <v>125</v>
      </c>
      <c r="G89" s="248"/>
      <c r="H89" s="248"/>
      <c r="I89" s="248"/>
      <c r="J89" s="248"/>
      <c r="K89" s="248"/>
      <c r="L89" s="248"/>
      <c r="M89" s="248"/>
      <c r="N89" s="253" t="s">
        <v>199</v>
      </c>
      <c r="O89" s="250" t="s">
        <v>130</v>
      </c>
      <c r="P89" s="251">
        <v>1</v>
      </c>
    </row>
    <row r="90" spans="1:16" x14ac:dyDescent="0.25">
      <c r="A90" s="244" t="s">
        <v>92</v>
      </c>
      <c r="B90" s="245" t="s">
        <v>200</v>
      </c>
      <c r="C90" s="246">
        <v>46535</v>
      </c>
      <c r="D90" s="244" t="s">
        <v>201</v>
      </c>
      <c r="E90" s="246">
        <v>45947</v>
      </c>
      <c r="F90" s="247" t="s">
        <v>128</v>
      </c>
      <c r="G90" s="248" t="s">
        <v>91</v>
      </c>
      <c r="H90" s="248"/>
      <c r="I90" s="248"/>
      <c r="J90" s="248"/>
      <c r="K90" s="248"/>
      <c r="L90" s="248"/>
      <c r="M90" s="248"/>
      <c r="N90" s="249" t="s">
        <v>202</v>
      </c>
      <c r="O90" s="250" t="s">
        <v>163</v>
      </c>
      <c r="P90" s="251">
        <v>1</v>
      </c>
    </row>
    <row r="91" spans="1:16" x14ac:dyDescent="0.25">
      <c r="A91" s="244" t="s">
        <v>92</v>
      </c>
      <c r="B91" s="245" t="s">
        <v>125</v>
      </c>
      <c r="C91" s="246" t="s">
        <v>125</v>
      </c>
      <c r="D91" s="244" t="s">
        <v>125</v>
      </c>
      <c r="E91" s="246" t="s">
        <v>125</v>
      </c>
      <c r="F91" s="247" t="s">
        <v>125</v>
      </c>
      <c r="G91" s="248" t="s">
        <v>91</v>
      </c>
      <c r="H91" s="248"/>
      <c r="I91" s="248"/>
      <c r="J91" s="248"/>
      <c r="K91" s="248"/>
      <c r="L91" s="248"/>
      <c r="M91" s="248"/>
      <c r="N91" s="249" t="s">
        <v>202</v>
      </c>
      <c r="O91" s="250" t="s">
        <v>163</v>
      </c>
      <c r="P91" s="251">
        <v>1</v>
      </c>
    </row>
    <row r="92" spans="1:16" x14ac:dyDescent="0.25">
      <c r="A92" s="244" t="s">
        <v>92</v>
      </c>
      <c r="B92" s="245" t="s">
        <v>125</v>
      </c>
      <c r="C92" s="246" t="s">
        <v>125</v>
      </c>
      <c r="D92" s="244" t="s">
        <v>125</v>
      </c>
      <c r="E92" s="246" t="s">
        <v>125</v>
      </c>
      <c r="F92" s="247" t="s">
        <v>125</v>
      </c>
      <c r="G92" s="248" t="s">
        <v>91</v>
      </c>
      <c r="H92" s="248"/>
      <c r="I92" s="248"/>
      <c r="J92" s="248"/>
      <c r="K92" s="248"/>
      <c r="L92" s="248"/>
      <c r="M92" s="248"/>
      <c r="N92" s="249" t="s">
        <v>202</v>
      </c>
      <c r="O92" s="250" t="s">
        <v>163</v>
      </c>
      <c r="P92" s="251">
        <v>1</v>
      </c>
    </row>
    <row r="93" spans="1:16" x14ac:dyDescent="0.25">
      <c r="A93" s="244" t="s">
        <v>92</v>
      </c>
      <c r="B93" s="245" t="s">
        <v>125</v>
      </c>
      <c r="C93" s="246" t="s">
        <v>125</v>
      </c>
      <c r="D93" s="244" t="s">
        <v>125</v>
      </c>
      <c r="E93" s="246" t="s">
        <v>125</v>
      </c>
      <c r="F93" s="247" t="s">
        <v>125</v>
      </c>
      <c r="G93" s="248" t="s">
        <v>91</v>
      </c>
      <c r="H93" s="248"/>
      <c r="I93" s="248"/>
      <c r="J93" s="248"/>
      <c r="K93" s="248"/>
      <c r="L93" s="248"/>
      <c r="M93" s="248"/>
      <c r="N93" s="249" t="s">
        <v>202</v>
      </c>
      <c r="O93" s="250" t="s">
        <v>163</v>
      </c>
      <c r="P93" s="251">
        <v>1</v>
      </c>
    </row>
    <row r="94" spans="1:16" x14ac:dyDescent="0.25">
      <c r="A94" s="244" t="s">
        <v>90</v>
      </c>
      <c r="B94" s="245" t="s">
        <v>203</v>
      </c>
      <c r="C94" s="246">
        <v>46254</v>
      </c>
      <c r="D94" s="244" t="s">
        <v>143</v>
      </c>
      <c r="E94" s="246">
        <v>46057</v>
      </c>
      <c r="F94" s="247" t="s">
        <v>115</v>
      </c>
      <c r="G94" s="248" t="s">
        <v>87</v>
      </c>
      <c r="H94" s="248"/>
      <c r="I94" s="248"/>
      <c r="J94" s="248"/>
      <c r="K94" s="248"/>
      <c r="L94" s="248"/>
      <c r="M94" s="248"/>
      <c r="N94" s="249" t="s">
        <v>204</v>
      </c>
      <c r="O94" s="250" t="s">
        <v>163</v>
      </c>
      <c r="P94" s="251">
        <v>1</v>
      </c>
    </row>
    <row r="95" spans="1:16" x14ac:dyDescent="0.25">
      <c r="A95" s="244" t="s">
        <v>90</v>
      </c>
      <c r="B95" s="245" t="s">
        <v>125</v>
      </c>
      <c r="C95" s="246" t="s">
        <v>125</v>
      </c>
      <c r="D95" s="244" t="s">
        <v>125</v>
      </c>
      <c r="E95" s="246" t="s">
        <v>125</v>
      </c>
      <c r="F95" s="247" t="s">
        <v>125</v>
      </c>
      <c r="G95" s="248" t="s">
        <v>87</v>
      </c>
      <c r="H95" s="248"/>
      <c r="I95" s="248"/>
      <c r="J95" s="248"/>
      <c r="K95" s="248"/>
      <c r="L95" s="248"/>
      <c r="M95" s="248"/>
      <c r="N95" s="249" t="s">
        <v>204</v>
      </c>
      <c r="O95" s="250" t="s">
        <v>163</v>
      </c>
      <c r="P95" s="251">
        <v>1</v>
      </c>
    </row>
    <row r="96" spans="1:16" x14ac:dyDescent="0.25">
      <c r="A96" s="244" t="s">
        <v>90</v>
      </c>
      <c r="B96" s="245" t="s">
        <v>125</v>
      </c>
      <c r="C96" s="246" t="s">
        <v>125</v>
      </c>
      <c r="D96" s="244" t="s">
        <v>125</v>
      </c>
      <c r="E96" s="246" t="s">
        <v>125</v>
      </c>
      <c r="F96" s="247" t="s">
        <v>125</v>
      </c>
      <c r="G96" s="248" t="s">
        <v>87</v>
      </c>
      <c r="H96" s="248"/>
      <c r="I96" s="248"/>
      <c r="J96" s="248"/>
      <c r="K96" s="248"/>
      <c r="L96" s="248"/>
      <c r="M96" s="248"/>
      <c r="N96" s="249" t="s">
        <v>204</v>
      </c>
      <c r="O96" s="250" t="s">
        <v>163</v>
      </c>
      <c r="P96" s="251">
        <v>1</v>
      </c>
    </row>
    <row r="97" spans="1:16" x14ac:dyDescent="0.25">
      <c r="A97" s="244" t="s">
        <v>90</v>
      </c>
      <c r="B97" s="245" t="s">
        <v>125</v>
      </c>
      <c r="C97" s="246" t="s">
        <v>125</v>
      </c>
      <c r="D97" s="244" t="s">
        <v>125</v>
      </c>
      <c r="E97" s="246" t="s">
        <v>125</v>
      </c>
      <c r="F97" s="247" t="s">
        <v>125</v>
      </c>
      <c r="G97" s="248" t="s">
        <v>87</v>
      </c>
      <c r="H97" s="248"/>
      <c r="I97" s="248"/>
      <c r="J97" s="248"/>
      <c r="K97" s="248"/>
      <c r="L97" s="248"/>
      <c r="M97" s="248"/>
      <c r="N97" s="249" t="s">
        <v>204</v>
      </c>
      <c r="O97" s="250" t="s">
        <v>163</v>
      </c>
      <c r="P97" s="251">
        <v>1</v>
      </c>
    </row>
    <row r="98" spans="1:16" x14ac:dyDescent="0.25">
      <c r="A98" s="244" t="s">
        <v>89</v>
      </c>
      <c r="B98" s="245" t="s">
        <v>203</v>
      </c>
      <c r="C98" s="246">
        <v>46254</v>
      </c>
      <c r="D98" s="244" t="s">
        <v>159</v>
      </c>
      <c r="E98" s="246">
        <v>46050</v>
      </c>
      <c r="F98" s="247" t="s">
        <v>124</v>
      </c>
      <c r="G98" s="248" t="s">
        <v>87</v>
      </c>
      <c r="H98" s="248"/>
      <c r="I98" s="248"/>
      <c r="J98" s="248"/>
      <c r="K98" s="248"/>
      <c r="L98" s="248"/>
      <c r="M98" s="248"/>
      <c r="N98" s="249" t="s">
        <v>205</v>
      </c>
      <c r="O98" s="250" t="s">
        <v>163</v>
      </c>
      <c r="P98" s="251">
        <v>1</v>
      </c>
    </row>
    <row r="99" spans="1:16" x14ac:dyDescent="0.25">
      <c r="A99" s="244" t="s">
        <v>89</v>
      </c>
      <c r="B99" s="245" t="s">
        <v>125</v>
      </c>
      <c r="C99" s="246" t="s">
        <v>125</v>
      </c>
      <c r="D99" s="244" t="s">
        <v>125</v>
      </c>
      <c r="E99" s="246" t="s">
        <v>125</v>
      </c>
      <c r="F99" s="247" t="s">
        <v>125</v>
      </c>
      <c r="G99" s="248" t="s">
        <v>87</v>
      </c>
      <c r="H99" s="248"/>
      <c r="I99" s="248"/>
      <c r="J99" s="248"/>
      <c r="K99" s="248"/>
      <c r="L99" s="248"/>
      <c r="M99" s="248"/>
      <c r="N99" s="249" t="s">
        <v>205</v>
      </c>
      <c r="O99" s="250" t="s">
        <v>163</v>
      </c>
      <c r="P99" s="251">
        <v>1</v>
      </c>
    </row>
    <row r="100" spans="1:16" x14ac:dyDescent="0.25">
      <c r="A100" s="244" t="s">
        <v>89</v>
      </c>
      <c r="B100" s="245" t="s">
        <v>125</v>
      </c>
      <c r="C100" s="246" t="s">
        <v>125</v>
      </c>
      <c r="D100" s="244" t="s">
        <v>125</v>
      </c>
      <c r="E100" s="246" t="s">
        <v>125</v>
      </c>
      <c r="F100" s="247" t="s">
        <v>125</v>
      </c>
      <c r="G100" s="248" t="s">
        <v>87</v>
      </c>
      <c r="H100" s="248"/>
      <c r="I100" s="248"/>
      <c r="J100" s="248"/>
      <c r="K100" s="248"/>
      <c r="L100" s="248"/>
      <c r="M100" s="248"/>
      <c r="N100" s="249" t="s">
        <v>205</v>
      </c>
      <c r="O100" s="250" t="s">
        <v>163</v>
      </c>
      <c r="P100" s="251">
        <v>1</v>
      </c>
    </row>
    <row r="101" spans="1:16" x14ac:dyDescent="0.25">
      <c r="A101" s="244" t="s">
        <v>89</v>
      </c>
      <c r="B101" s="245" t="s">
        <v>125</v>
      </c>
      <c r="C101" s="246" t="s">
        <v>125</v>
      </c>
      <c r="D101" s="244" t="s">
        <v>125</v>
      </c>
      <c r="E101" s="246" t="s">
        <v>125</v>
      </c>
      <c r="F101" s="247" t="s">
        <v>125</v>
      </c>
      <c r="G101" s="248" t="s">
        <v>87</v>
      </c>
      <c r="H101" s="248"/>
      <c r="I101" s="248"/>
      <c r="J101" s="248"/>
      <c r="K101" s="248"/>
      <c r="L101" s="248"/>
      <c r="M101" s="248"/>
      <c r="N101" s="249" t="s">
        <v>205</v>
      </c>
      <c r="O101" s="250" t="s">
        <v>163</v>
      </c>
      <c r="P101" s="251">
        <v>1</v>
      </c>
    </row>
    <row r="102" spans="1:16" x14ac:dyDescent="0.25">
      <c r="A102" s="244" t="s">
        <v>88</v>
      </c>
      <c r="B102" s="245" t="s">
        <v>206</v>
      </c>
      <c r="C102" s="246">
        <v>46253</v>
      </c>
      <c r="D102" s="244" t="s">
        <v>140</v>
      </c>
      <c r="E102" s="246">
        <v>46062</v>
      </c>
      <c r="F102" s="247" t="s">
        <v>115</v>
      </c>
      <c r="G102" s="248" t="s">
        <v>87</v>
      </c>
      <c r="H102" s="248"/>
      <c r="I102" s="248"/>
      <c r="J102" s="248"/>
      <c r="K102" s="248"/>
      <c r="L102" s="248"/>
      <c r="M102" s="248"/>
      <c r="N102" s="249" t="s">
        <v>207</v>
      </c>
      <c r="O102" s="250" t="s">
        <v>145</v>
      </c>
      <c r="P102" s="251">
        <v>0</v>
      </c>
    </row>
    <row r="103" spans="1:16" x14ac:dyDescent="0.25">
      <c r="A103" s="244" t="s">
        <v>88</v>
      </c>
      <c r="B103" s="245" t="s">
        <v>125</v>
      </c>
      <c r="C103" s="246" t="s">
        <v>125</v>
      </c>
      <c r="D103" s="244" t="s">
        <v>125</v>
      </c>
      <c r="E103" s="246" t="s">
        <v>125</v>
      </c>
      <c r="F103" s="247" t="s">
        <v>125</v>
      </c>
      <c r="G103" s="248" t="s">
        <v>87</v>
      </c>
      <c r="H103" s="248"/>
      <c r="I103" s="248"/>
      <c r="J103" s="248"/>
      <c r="K103" s="248"/>
      <c r="L103" s="248"/>
      <c r="M103" s="248"/>
      <c r="N103" s="249" t="s">
        <v>207</v>
      </c>
      <c r="O103" s="250" t="s">
        <v>145</v>
      </c>
      <c r="P103" s="251">
        <v>0</v>
      </c>
    </row>
    <row r="104" spans="1:16" x14ac:dyDescent="0.25">
      <c r="A104" s="244" t="s">
        <v>88</v>
      </c>
      <c r="B104" s="245" t="s">
        <v>125</v>
      </c>
      <c r="C104" s="246" t="s">
        <v>125</v>
      </c>
      <c r="D104" s="244" t="s">
        <v>125</v>
      </c>
      <c r="E104" s="246" t="s">
        <v>125</v>
      </c>
      <c r="F104" s="247" t="s">
        <v>125</v>
      </c>
      <c r="G104" s="248" t="s">
        <v>87</v>
      </c>
      <c r="H104" s="248"/>
      <c r="I104" s="248"/>
      <c r="J104" s="248"/>
      <c r="K104" s="248"/>
      <c r="L104" s="248"/>
      <c r="M104" s="248"/>
      <c r="N104" s="249" t="s">
        <v>207</v>
      </c>
      <c r="O104" s="250" t="s">
        <v>145</v>
      </c>
      <c r="P104" s="251">
        <v>0</v>
      </c>
    </row>
    <row r="105" spans="1:16" x14ac:dyDescent="0.25">
      <c r="A105" s="244" t="s">
        <v>88</v>
      </c>
      <c r="B105" s="245" t="s">
        <v>125</v>
      </c>
      <c r="C105" s="246" t="s">
        <v>125</v>
      </c>
      <c r="D105" s="244" t="s">
        <v>125</v>
      </c>
      <c r="E105" s="246" t="s">
        <v>125</v>
      </c>
      <c r="F105" s="247" t="s">
        <v>125</v>
      </c>
      <c r="G105" s="248" t="s">
        <v>87</v>
      </c>
      <c r="H105" s="248"/>
      <c r="I105" s="248"/>
      <c r="J105" s="248"/>
      <c r="K105" s="248"/>
      <c r="L105" s="248"/>
      <c r="M105" s="248"/>
      <c r="N105" s="249" t="s">
        <v>207</v>
      </c>
      <c r="O105" s="250" t="s">
        <v>145</v>
      </c>
      <c r="P105" s="251">
        <v>0</v>
      </c>
    </row>
    <row r="106" spans="1:16" x14ac:dyDescent="0.25">
      <c r="A106" s="244" t="s">
        <v>44</v>
      </c>
      <c r="B106" s="245" t="s">
        <v>208</v>
      </c>
      <c r="C106" s="246">
        <v>46889</v>
      </c>
      <c r="D106" s="244" t="s">
        <v>209</v>
      </c>
      <c r="E106" s="246">
        <v>46042</v>
      </c>
      <c r="F106" s="247" t="s">
        <v>124</v>
      </c>
      <c r="G106" s="248" t="s">
        <v>43</v>
      </c>
      <c r="H106" s="248"/>
      <c r="I106" s="248"/>
      <c r="J106" s="248"/>
      <c r="K106" s="248"/>
      <c r="L106" s="248"/>
      <c r="M106" s="248"/>
      <c r="N106" s="249" t="s">
        <v>210</v>
      </c>
      <c r="O106" s="250" t="s">
        <v>130</v>
      </c>
      <c r="P106" s="251">
        <v>1</v>
      </c>
    </row>
    <row r="107" spans="1:16" x14ac:dyDescent="0.25">
      <c r="A107" s="244" t="s">
        <v>44</v>
      </c>
      <c r="B107" s="245" t="s">
        <v>125</v>
      </c>
      <c r="C107" s="246" t="s">
        <v>125</v>
      </c>
      <c r="D107" s="244" t="s">
        <v>125</v>
      </c>
      <c r="E107" s="246" t="s">
        <v>125</v>
      </c>
      <c r="F107" s="247" t="s">
        <v>125</v>
      </c>
      <c r="G107" s="248" t="s">
        <v>43</v>
      </c>
      <c r="H107" s="248"/>
      <c r="I107" s="248"/>
      <c r="J107" s="248"/>
      <c r="K107" s="248"/>
      <c r="L107" s="248"/>
      <c r="M107" s="248"/>
      <c r="N107" s="249" t="s">
        <v>210</v>
      </c>
      <c r="O107" s="250" t="s">
        <v>130</v>
      </c>
      <c r="P107" s="251">
        <v>1</v>
      </c>
    </row>
    <row r="108" spans="1:16" x14ac:dyDescent="0.25">
      <c r="A108" s="244" t="s">
        <v>44</v>
      </c>
      <c r="B108" s="245" t="s">
        <v>125</v>
      </c>
      <c r="C108" s="246" t="s">
        <v>125</v>
      </c>
      <c r="D108" s="244" t="s">
        <v>125</v>
      </c>
      <c r="E108" s="246" t="s">
        <v>125</v>
      </c>
      <c r="F108" s="247" t="s">
        <v>125</v>
      </c>
      <c r="G108" s="248" t="s">
        <v>43</v>
      </c>
      <c r="H108" s="248"/>
      <c r="I108" s="248"/>
      <c r="J108" s="248"/>
      <c r="K108" s="248"/>
      <c r="L108" s="248"/>
      <c r="M108" s="248"/>
      <c r="N108" s="249" t="s">
        <v>210</v>
      </c>
      <c r="O108" s="250" t="s">
        <v>130</v>
      </c>
      <c r="P108" s="251">
        <v>1</v>
      </c>
    </row>
    <row r="109" spans="1:16" x14ac:dyDescent="0.25">
      <c r="A109" s="244" t="s">
        <v>44</v>
      </c>
      <c r="B109" s="245" t="s">
        <v>125</v>
      </c>
      <c r="C109" s="246" t="s">
        <v>125</v>
      </c>
      <c r="D109" s="244" t="s">
        <v>125</v>
      </c>
      <c r="E109" s="246" t="s">
        <v>125</v>
      </c>
      <c r="F109" s="247" t="s">
        <v>125</v>
      </c>
      <c r="G109" s="248" t="s">
        <v>43</v>
      </c>
      <c r="H109" s="248"/>
      <c r="I109" s="248"/>
      <c r="J109" s="248"/>
      <c r="K109" s="248"/>
      <c r="L109" s="248"/>
      <c r="M109" s="248"/>
      <c r="N109" s="249" t="s">
        <v>210</v>
      </c>
      <c r="O109" s="250" t="s">
        <v>130</v>
      </c>
      <c r="P109" s="251">
        <v>1</v>
      </c>
    </row>
    <row r="110" spans="1:16" x14ac:dyDescent="0.25">
      <c r="A110" s="244" t="s">
        <v>45</v>
      </c>
      <c r="B110" s="245" t="s">
        <v>211</v>
      </c>
      <c r="C110" s="246">
        <v>46761</v>
      </c>
      <c r="D110" s="244" t="s">
        <v>140</v>
      </c>
      <c r="E110" s="246">
        <v>46006</v>
      </c>
      <c r="F110" s="247" t="s">
        <v>115</v>
      </c>
      <c r="G110" s="248" t="s">
        <v>43</v>
      </c>
      <c r="H110" s="248"/>
      <c r="I110" s="248"/>
      <c r="J110" s="248"/>
      <c r="K110" s="248"/>
      <c r="L110" s="248"/>
      <c r="M110" s="248"/>
      <c r="N110" s="249" t="s">
        <v>212</v>
      </c>
      <c r="O110" s="250" t="s">
        <v>145</v>
      </c>
      <c r="P110" s="251">
        <v>0</v>
      </c>
    </row>
    <row r="111" spans="1:16" x14ac:dyDescent="0.25">
      <c r="A111" s="244" t="s">
        <v>45</v>
      </c>
      <c r="B111" s="245" t="s">
        <v>125</v>
      </c>
      <c r="C111" s="246" t="s">
        <v>125</v>
      </c>
      <c r="D111" s="244" t="s">
        <v>125</v>
      </c>
      <c r="E111" s="246" t="s">
        <v>125</v>
      </c>
      <c r="F111" s="247" t="s">
        <v>125</v>
      </c>
      <c r="G111" s="248" t="s">
        <v>43</v>
      </c>
      <c r="H111" s="248"/>
      <c r="I111" s="248"/>
      <c r="J111" s="248"/>
      <c r="K111" s="248"/>
      <c r="L111" s="248"/>
      <c r="M111" s="248"/>
      <c r="N111" s="249" t="s">
        <v>212</v>
      </c>
      <c r="O111" s="250" t="s">
        <v>145</v>
      </c>
      <c r="P111" s="251">
        <v>0</v>
      </c>
    </row>
    <row r="112" spans="1:16" x14ac:dyDescent="0.25">
      <c r="A112" s="244" t="s">
        <v>45</v>
      </c>
      <c r="B112" s="245" t="s">
        <v>125</v>
      </c>
      <c r="C112" s="246" t="s">
        <v>125</v>
      </c>
      <c r="D112" s="244" t="s">
        <v>125</v>
      </c>
      <c r="E112" s="246" t="s">
        <v>125</v>
      </c>
      <c r="F112" s="247" t="s">
        <v>125</v>
      </c>
      <c r="G112" s="248" t="s">
        <v>43</v>
      </c>
      <c r="H112" s="248"/>
      <c r="I112" s="248"/>
      <c r="J112" s="248"/>
      <c r="K112" s="248"/>
      <c r="L112" s="248"/>
      <c r="M112" s="248"/>
      <c r="N112" s="249" t="s">
        <v>212</v>
      </c>
      <c r="O112" s="250" t="s">
        <v>145</v>
      </c>
      <c r="P112" s="251">
        <v>0</v>
      </c>
    </row>
    <row r="113" spans="1:16" x14ac:dyDescent="0.25">
      <c r="A113" s="244" t="s">
        <v>45</v>
      </c>
      <c r="B113" s="245" t="s">
        <v>125</v>
      </c>
      <c r="C113" s="246" t="s">
        <v>125</v>
      </c>
      <c r="D113" s="244" t="s">
        <v>125</v>
      </c>
      <c r="E113" s="246" t="s">
        <v>125</v>
      </c>
      <c r="F113" s="247" t="s">
        <v>125</v>
      </c>
      <c r="G113" s="248" t="s">
        <v>43</v>
      </c>
      <c r="H113" s="248"/>
      <c r="I113" s="248"/>
      <c r="J113" s="248"/>
      <c r="K113" s="248"/>
      <c r="L113" s="248"/>
      <c r="M113" s="248"/>
      <c r="N113" s="249" t="s">
        <v>212</v>
      </c>
      <c r="O113" s="250" t="s">
        <v>145</v>
      </c>
      <c r="P113" s="251">
        <v>0</v>
      </c>
    </row>
    <row r="114" spans="1:16" x14ac:dyDescent="0.25">
      <c r="A114" s="244" t="s">
        <v>37</v>
      </c>
      <c r="B114" s="245">
        <v>1001516526</v>
      </c>
      <c r="C114" s="246">
        <v>46120</v>
      </c>
      <c r="D114" s="244" t="s">
        <v>190</v>
      </c>
      <c r="E114" s="246">
        <v>46034</v>
      </c>
      <c r="F114" s="247" t="s">
        <v>124</v>
      </c>
      <c r="G114" s="248" t="s">
        <v>213</v>
      </c>
      <c r="H114" s="248" t="s">
        <v>183</v>
      </c>
      <c r="I114" s="248" t="s">
        <v>214</v>
      </c>
      <c r="J114" s="248"/>
      <c r="K114" s="248"/>
      <c r="L114" s="248"/>
      <c r="M114" s="248"/>
      <c r="N114" s="249" t="s">
        <v>215</v>
      </c>
      <c r="O114" s="250" t="s">
        <v>122</v>
      </c>
      <c r="P114" s="251">
        <v>2</v>
      </c>
    </row>
    <row r="115" spans="1:16" x14ac:dyDescent="0.25">
      <c r="A115" s="244" t="s">
        <v>37</v>
      </c>
      <c r="B115" s="245">
        <v>1001521504</v>
      </c>
      <c r="C115" s="246">
        <v>46156</v>
      </c>
      <c r="D115" s="244" t="s">
        <v>164</v>
      </c>
      <c r="E115" s="246">
        <v>46070</v>
      </c>
      <c r="F115" s="247" t="s">
        <v>128</v>
      </c>
      <c r="G115" s="248" t="s">
        <v>213</v>
      </c>
      <c r="H115" s="248" t="s">
        <v>183</v>
      </c>
      <c r="I115" s="248" t="s">
        <v>214</v>
      </c>
      <c r="J115" s="248"/>
      <c r="K115" s="248"/>
      <c r="L115" s="248"/>
      <c r="M115" s="248"/>
      <c r="N115" s="249" t="s">
        <v>215</v>
      </c>
      <c r="O115" s="250" t="s">
        <v>122</v>
      </c>
      <c r="P115" s="251">
        <v>2</v>
      </c>
    </row>
    <row r="116" spans="1:16" x14ac:dyDescent="0.25">
      <c r="A116" s="244" t="s">
        <v>37</v>
      </c>
      <c r="B116" s="245" t="s">
        <v>125</v>
      </c>
      <c r="C116" s="246" t="s">
        <v>125</v>
      </c>
      <c r="D116" s="244" t="s">
        <v>125</v>
      </c>
      <c r="E116" s="246" t="s">
        <v>125</v>
      </c>
      <c r="F116" s="247" t="s">
        <v>125</v>
      </c>
      <c r="G116" s="248" t="s">
        <v>213</v>
      </c>
      <c r="H116" s="248" t="s">
        <v>183</v>
      </c>
      <c r="I116" s="248" t="s">
        <v>214</v>
      </c>
      <c r="J116" s="248"/>
      <c r="K116" s="248"/>
      <c r="L116" s="248"/>
      <c r="M116" s="248"/>
      <c r="N116" s="249" t="s">
        <v>215</v>
      </c>
      <c r="O116" s="250" t="s">
        <v>122</v>
      </c>
      <c r="P116" s="251">
        <v>2</v>
      </c>
    </row>
    <row r="117" spans="1:16" x14ac:dyDescent="0.25">
      <c r="A117" s="244" t="s">
        <v>37</v>
      </c>
      <c r="B117" s="245" t="s">
        <v>125</v>
      </c>
      <c r="C117" s="246" t="s">
        <v>125</v>
      </c>
      <c r="D117" s="244" t="s">
        <v>125</v>
      </c>
      <c r="E117" s="246" t="s">
        <v>125</v>
      </c>
      <c r="F117" s="247" t="s">
        <v>125</v>
      </c>
      <c r="G117" s="248" t="s">
        <v>213</v>
      </c>
      <c r="H117" s="248" t="s">
        <v>183</v>
      </c>
      <c r="I117" s="248" t="s">
        <v>214</v>
      </c>
      <c r="J117" s="248"/>
      <c r="K117" s="248"/>
      <c r="L117" s="248"/>
      <c r="M117" s="248"/>
      <c r="N117" s="249" t="s">
        <v>215</v>
      </c>
      <c r="O117" s="250" t="s">
        <v>122</v>
      </c>
      <c r="P117" s="251">
        <v>2</v>
      </c>
    </row>
    <row r="118" spans="1:16" x14ac:dyDescent="0.25">
      <c r="A118" s="244" t="s">
        <v>5</v>
      </c>
      <c r="B118" s="245">
        <v>1001508989</v>
      </c>
      <c r="C118" s="246">
        <v>46087</v>
      </c>
      <c r="D118" s="244" t="s">
        <v>216</v>
      </c>
      <c r="E118" s="246">
        <v>45982</v>
      </c>
      <c r="F118" s="247" t="s">
        <v>128</v>
      </c>
      <c r="G118" s="248" t="s">
        <v>133</v>
      </c>
      <c r="H118" s="248" t="s">
        <v>156</v>
      </c>
      <c r="I118" s="248" t="s">
        <v>14</v>
      </c>
      <c r="J118" s="248" t="s">
        <v>17</v>
      </c>
      <c r="K118" s="248"/>
      <c r="L118" s="248"/>
      <c r="M118" s="248"/>
      <c r="N118" s="253" t="s">
        <v>217</v>
      </c>
      <c r="O118" s="250" t="s">
        <v>122</v>
      </c>
      <c r="P118" s="251">
        <v>2</v>
      </c>
    </row>
    <row r="119" spans="1:16" x14ac:dyDescent="0.25">
      <c r="A119" s="244" t="s">
        <v>5</v>
      </c>
      <c r="B119" s="245">
        <v>1001515809</v>
      </c>
      <c r="C119" s="246">
        <v>46142</v>
      </c>
      <c r="D119" s="244" t="s">
        <v>216</v>
      </c>
      <c r="E119" s="246">
        <v>46070</v>
      </c>
      <c r="F119" s="247" t="s">
        <v>128</v>
      </c>
      <c r="G119" s="248" t="s">
        <v>133</v>
      </c>
      <c r="H119" s="248" t="s">
        <v>156</v>
      </c>
      <c r="I119" s="248" t="s">
        <v>14</v>
      </c>
      <c r="J119" s="248" t="s">
        <v>17</v>
      </c>
      <c r="K119" s="248"/>
      <c r="L119" s="248"/>
      <c r="M119" s="248"/>
      <c r="N119" s="253" t="s">
        <v>217</v>
      </c>
      <c r="O119" s="250" t="s">
        <v>122</v>
      </c>
      <c r="P119" s="251">
        <v>2</v>
      </c>
    </row>
    <row r="120" spans="1:16" x14ac:dyDescent="0.25">
      <c r="A120" s="244" t="s">
        <v>5</v>
      </c>
      <c r="B120" s="245" t="s">
        <v>125</v>
      </c>
      <c r="C120" s="246" t="s">
        <v>125</v>
      </c>
      <c r="D120" s="244" t="s">
        <v>125</v>
      </c>
      <c r="E120" s="246" t="s">
        <v>125</v>
      </c>
      <c r="F120" s="247" t="s">
        <v>125</v>
      </c>
      <c r="G120" s="248" t="s">
        <v>133</v>
      </c>
      <c r="H120" s="248" t="s">
        <v>156</v>
      </c>
      <c r="I120" s="248" t="s">
        <v>14</v>
      </c>
      <c r="J120" s="248" t="s">
        <v>17</v>
      </c>
      <c r="K120" s="248"/>
      <c r="L120" s="248"/>
      <c r="M120" s="248"/>
      <c r="N120" s="253" t="s">
        <v>217</v>
      </c>
      <c r="O120" s="250" t="s">
        <v>122</v>
      </c>
      <c r="P120" s="251">
        <v>2</v>
      </c>
    </row>
    <row r="121" spans="1:16" x14ac:dyDescent="0.25">
      <c r="A121" s="244" t="s">
        <v>5</v>
      </c>
      <c r="B121" s="245" t="s">
        <v>125</v>
      </c>
      <c r="C121" s="246" t="s">
        <v>125</v>
      </c>
      <c r="D121" s="244" t="s">
        <v>125</v>
      </c>
      <c r="E121" s="246" t="s">
        <v>125</v>
      </c>
      <c r="F121" s="247" t="s">
        <v>125</v>
      </c>
      <c r="G121" s="248" t="s">
        <v>133</v>
      </c>
      <c r="H121" s="248" t="s">
        <v>156</v>
      </c>
      <c r="I121" s="248" t="s">
        <v>14</v>
      </c>
      <c r="J121" s="248" t="s">
        <v>17</v>
      </c>
      <c r="K121" s="248"/>
      <c r="L121" s="248"/>
      <c r="M121" s="248"/>
      <c r="N121" s="253" t="s">
        <v>217</v>
      </c>
      <c r="O121" s="250" t="s">
        <v>122</v>
      </c>
      <c r="P121" s="251">
        <v>2</v>
      </c>
    </row>
    <row r="122" spans="1:16" x14ac:dyDescent="0.25">
      <c r="A122" s="244" t="s">
        <v>46</v>
      </c>
      <c r="B122" s="245" t="s">
        <v>218</v>
      </c>
      <c r="C122" s="246">
        <v>46295</v>
      </c>
      <c r="D122" s="244" t="s">
        <v>219</v>
      </c>
      <c r="E122" s="246">
        <v>46076</v>
      </c>
      <c r="F122" s="247" t="s">
        <v>115</v>
      </c>
      <c r="G122" s="248" t="s">
        <v>43</v>
      </c>
      <c r="H122" s="248"/>
      <c r="I122" s="248"/>
      <c r="J122" s="248"/>
      <c r="K122" s="248"/>
      <c r="L122" s="248"/>
      <c r="M122" s="248"/>
      <c r="N122" s="249" t="s">
        <v>220</v>
      </c>
      <c r="O122" s="250" t="s">
        <v>130</v>
      </c>
      <c r="P122" s="251">
        <v>1</v>
      </c>
    </row>
    <row r="123" spans="1:16" x14ac:dyDescent="0.25">
      <c r="A123" s="244" t="s">
        <v>46</v>
      </c>
      <c r="B123" s="245" t="s">
        <v>125</v>
      </c>
      <c r="C123" s="246" t="s">
        <v>125</v>
      </c>
      <c r="D123" s="244" t="s">
        <v>125</v>
      </c>
      <c r="E123" s="246" t="s">
        <v>125</v>
      </c>
      <c r="F123" s="247" t="s">
        <v>125</v>
      </c>
      <c r="G123" s="248" t="s">
        <v>43</v>
      </c>
      <c r="H123" s="248"/>
      <c r="I123" s="248"/>
      <c r="J123" s="248"/>
      <c r="K123" s="248"/>
      <c r="L123" s="248"/>
      <c r="M123" s="248"/>
      <c r="N123" s="249" t="s">
        <v>220</v>
      </c>
      <c r="O123" s="250" t="s">
        <v>130</v>
      </c>
      <c r="P123" s="251">
        <v>1</v>
      </c>
    </row>
    <row r="124" spans="1:16" x14ac:dyDescent="0.25">
      <c r="A124" s="244" t="s">
        <v>46</v>
      </c>
      <c r="B124" s="245" t="s">
        <v>125</v>
      </c>
      <c r="C124" s="246" t="s">
        <v>125</v>
      </c>
      <c r="D124" s="244" t="s">
        <v>125</v>
      </c>
      <c r="E124" s="246" t="s">
        <v>125</v>
      </c>
      <c r="F124" s="247" t="s">
        <v>125</v>
      </c>
      <c r="G124" s="248" t="s">
        <v>43</v>
      </c>
      <c r="H124" s="248"/>
      <c r="I124" s="248"/>
      <c r="J124" s="248"/>
      <c r="K124" s="248"/>
      <c r="L124" s="248"/>
      <c r="M124" s="248"/>
      <c r="N124" s="249" t="s">
        <v>220</v>
      </c>
      <c r="O124" s="250" t="s">
        <v>130</v>
      </c>
      <c r="P124" s="251">
        <v>1</v>
      </c>
    </row>
    <row r="125" spans="1:16" x14ac:dyDescent="0.25">
      <c r="A125" s="244" t="s">
        <v>46</v>
      </c>
      <c r="B125" s="245" t="s">
        <v>125</v>
      </c>
      <c r="C125" s="246" t="s">
        <v>125</v>
      </c>
      <c r="D125" s="244" t="s">
        <v>125</v>
      </c>
      <c r="E125" s="246" t="s">
        <v>125</v>
      </c>
      <c r="F125" s="247" t="s">
        <v>125</v>
      </c>
      <c r="G125" s="248" t="s">
        <v>43</v>
      </c>
      <c r="H125" s="248"/>
      <c r="I125" s="248"/>
      <c r="J125" s="248"/>
      <c r="K125" s="248"/>
      <c r="L125" s="248"/>
      <c r="M125" s="248"/>
      <c r="N125" s="249" t="s">
        <v>220</v>
      </c>
      <c r="O125" s="250" t="s">
        <v>130</v>
      </c>
      <c r="P125" s="251">
        <v>1</v>
      </c>
    </row>
    <row r="126" spans="1:16" x14ac:dyDescent="0.25">
      <c r="A126" s="244" t="s">
        <v>60</v>
      </c>
      <c r="B126" s="245" t="s">
        <v>221</v>
      </c>
      <c r="C126" s="246">
        <v>46332</v>
      </c>
      <c r="D126" s="244" t="s">
        <v>222</v>
      </c>
      <c r="E126" s="246">
        <v>45986</v>
      </c>
      <c r="F126" s="247" t="s">
        <v>128</v>
      </c>
      <c r="G126" s="248" t="s">
        <v>59</v>
      </c>
      <c r="H126" s="248"/>
      <c r="I126" s="248"/>
      <c r="J126" s="248"/>
      <c r="K126" s="248"/>
      <c r="L126" s="248"/>
      <c r="M126" s="248"/>
      <c r="N126" s="249" t="s">
        <v>223</v>
      </c>
      <c r="O126" s="250" t="s">
        <v>163</v>
      </c>
      <c r="P126" s="251">
        <v>1</v>
      </c>
    </row>
    <row r="127" spans="1:16" x14ac:dyDescent="0.25">
      <c r="A127" s="244" t="s">
        <v>60</v>
      </c>
      <c r="B127" s="245" t="s">
        <v>125</v>
      </c>
      <c r="C127" s="246" t="s">
        <v>125</v>
      </c>
      <c r="D127" s="244" t="s">
        <v>224</v>
      </c>
      <c r="E127" s="246">
        <v>45895</v>
      </c>
      <c r="F127" s="247" t="s">
        <v>128</v>
      </c>
      <c r="G127" s="248" t="s">
        <v>59</v>
      </c>
      <c r="H127" s="248"/>
      <c r="I127" s="248"/>
      <c r="J127" s="248"/>
      <c r="K127" s="248"/>
      <c r="L127" s="248"/>
      <c r="M127" s="248"/>
      <c r="N127" s="249" t="s">
        <v>223</v>
      </c>
      <c r="O127" s="250" t="s">
        <v>163</v>
      </c>
      <c r="P127" s="251">
        <v>1</v>
      </c>
    </row>
    <row r="128" spans="1:16" x14ac:dyDescent="0.25">
      <c r="A128" s="244" t="s">
        <v>60</v>
      </c>
      <c r="B128" s="245" t="s">
        <v>125</v>
      </c>
      <c r="C128" s="246" t="s">
        <v>125</v>
      </c>
      <c r="D128" s="244" t="s">
        <v>125</v>
      </c>
      <c r="E128" s="246" t="s">
        <v>125</v>
      </c>
      <c r="F128" s="247" t="s">
        <v>125</v>
      </c>
      <c r="G128" s="248" t="s">
        <v>59</v>
      </c>
      <c r="H128" s="248"/>
      <c r="I128" s="248"/>
      <c r="J128" s="248"/>
      <c r="K128" s="248"/>
      <c r="L128" s="248"/>
      <c r="M128" s="248"/>
      <c r="N128" s="249" t="s">
        <v>223</v>
      </c>
      <c r="O128" s="250" t="s">
        <v>163</v>
      </c>
      <c r="P128" s="251">
        <v>1</v>
      </c>
    </row>
    <row r="129" spans="1:16" x14ac:dyDescent="0.25">
      <c r="A129" s="244" t="s">
        <v>60</v>
      </c>
      <c r="B129" s="245" t="s">
        <v>125</v>
      </c>
      <c r="C129" s="246" t="s">
        <v>125</v>
      </c>
      <c r="D129" s="244" t="s">
        <v>125</v>
      </c>
      <c r="E129" s="246" t="s">
        <v>125</v>
      </c>
      <c r="F129" s="247" t="s">
        <v>125</v>
      </c>
      <c r="G129" s="248" t="s">
        <v>59</v>
      </c>
      <c r="H129" s="248"/>
      <c r="I129" s="248"/>
      <c r="J129" s="248"/>
      <c r="K129" s="248"/>
      <c r="L129" s="248"/>
      <c r="M129" s="248"/>
      <c r="N129" s="249" t="s">
        <v>223</v>
      </c>
      <c r="O129" s="250" t="s">
        <v>163</v>
      </c>
      <c r="P129" s="251">
        <v>1</v>
      </c>
    </row>
    <row r="130" spans="1:16" x14ac:dyDescent="0.25">
      <c r="A130" s="244" t="s">
        <v>61</v>
      </c>
      <c r="B130" s="255" t="s">
        <v>225</v>
      </c>
      <c r="C130" s="256">
        <v>46791</v>
      </c>
      <c r="D130" s="254" t="s">
        <v>147</v>
      </c>
      <c r="E130" s="246">
        <v>45986</v>
      </c>
      <c r="F130" s="247" t="s">
        <v>128</v>
      </c>
      <c r="G130" s="248" t="s">
        <v>59</v>
      </c>
      <c r="H130" s="248"/>
      <c r="I130" s="248"/>
      <c r="J130" s="248"/>
      <c r="K130" s="248"/>
      <c r="L130" s="248"/>
      <c r="M130" s="248"/>
      <c r="N130" s="249" t="s">
        <v>226</v>
      </c>
      <c r="O130" s="250" t="s">
        <v>163</v>
      </c>
      <c r="P130" s="251">
        <v>1</v>
      </c>
    </row>
    <row r="131" spans="1:16" x14ac:dyDescent="0.25">
      <c r="A131" s="244" t="s">
        <v>61</v>
      </c>
      <c r="B131" s="255" t="s">
        <v>221</v>
      </c>
      <c r="C131" s="256">
        <v>46332</v>
      </c>
      <c r="D131" s="254" t="s">
        <v>227</v>
      </c>
      <c r="E131" s="246">
        <v>45964</v>
      </c>
      <c r="F131" s="247" t="s">
        <v>128</v>
      </c>
      <c r="G131" s="248" t="s">
        <v>59</v>
      </c>
      <c r="H131" s="248"/>
      <c r="I131" s="248"/>
      <c r="J131" s="248"/>
      <c r="K131" s="248"/>
      <c r="L131" s="248"/>
      <c r="M131" s="248"/>
      <c r="N131" s="249" t="s">
        <v>226</v>
      </c>
      <c r="O131" s="250" t="s">
        <v>163</v>
      </c>
      <c r="P131" s="251">
        <v>1</v>
      </c>
    </row>
    <row r="132" spans="1:16" x14ac:dyDescent="0.25">
      <c r="A132" s="244" t="s">
        <v>61</v>
      </c>
      <c r="B132" s="255" t="s">
        <v>228</v>
      </c>
      <c r="C132" s="256">
        <v>46821</v>
      </c>
      <c r="D132" s="254" t="s">
        <v>136</v>
      </c>
      <c r="E132" s="246">
        <v>46007</v>
      </c>
      <c r="F132" s="247" t="s">
        <v>128</v>
      </c>
      <c r="G132" s="248" t="s">
        <v>59</v>
      </c>
      <c r="H132" s="248"/>
      <c r="I132" s="248"/>
      <c r="J132" s="248"/>
      <c r="K132" s="248"/>
      <c r="L132" s="248"/>
      <c r="M132" s="248"/>
      <c r="N132" s="249" t="s">
        <v>226</v>
      </c>
      <c r="O132" s="250" t="s">
        <v>163</v>
      </c>
      <c r="P132" s="251">
        <v>1</v>
      </c>
    </row>
    <row r="133" spans="1:16" x14ac:dyDescent="0.25">
      <c r="A133" s="244" t="s">
        <v>61</v>
      </c>
      <c r="B133" s="255" t="s">
        <v>125</v>
      </c>
      <c r="C133" s="256" t="s">
        <v>125</v>
      </c>
      <c r="D133" s="254" t="s">
        <v>125</v>
      </c>
      <c r="E133" s="246" t="s">
        <v>125</v>
      </c>
      <c r="F133" s="247" t="s">
        <v>125</v>
      </c>
      <c r="G133" s="248" t="s">
        <v>59</v>
      </c>
      <c r="H133" s="248"/>
      <c r="I133" s="248"/>
      <c r="J133" s="248"/>
      <c r="K133" s="248"/>
      <c r="L133" s="248"/>
      <c r="M133" s="248"/>
      <c r="N133" s="249" t="s">
        <v>226</v>
      </c>
      <c r="O133" s="250" t="s">
        <v>163</v>
      </c>
      <c r="P133" s="251">
        <v>1</v>
      </c>
    </row>
    <row r="134" spans="1:16" x14ac:dyDescent="0.25">
      <c r="A134" s="244" t="s">
        <v>66</v>
      </c>
      <c r="B134" s="255" t="s">
        <v>125</v>
      </c>
      <c r="C134" s="256" t="s">
        <v>125</v>
      </c>
      <c r="D134" s="254" t="s">
        <v>125</v>
      </c>
      <c r="E134" s="256" t="s">
        <v>125</v>
      </c>
      <c r="F134" s="257" t="s">
        <v>125</v>
      </c>
      <c r="G134" s="258" t="s">
        <v>65</v>
      </c>
      <c r="H134" s="258"/>
      <c r="I134" s="258"/>
      <c r="J134" s="258"/>
      <c r="K134" s="258"/>
      <c r="L134" s="258"/>
      <c r="M134" s="258"/>
      <c r="N134" s="249" t="s">
        <v>229</v>
      </c>
      <c r="O134" s="250" t="s">
        <v>163</v>
      </c>
      <c r="P134" s="251">
        <v>1</v>
      </c>
    </row>
    <row r="135" spans="1:16" x14ac:dyDescent="0.25">
      <c r="A135" s="244" t="s">
        <v>66</v>
      </c>
      <c r="B135" s="255" t="s">
        <v>125</v>
      </c>
      <c r="C135" s="256" t="s">
        <v>125</v>
      </c>
      <c r="D135" s="254" t="s">
        <v>125</v>
      </c>
      <c r="E135" s="256" t="s">
        <v>125</v>
      </c>
      <c r="F135" s="257" t="s">
        <v>125</v>
      </c>
      <c r="G135" s="258" t="s">
        <v>65</v>
      </c>
      <c r="H135" s="258"/>
      <c r="I135" s="258"/>
      <c r="J135" s="258"/>
      <c r="K135" s="258"/>
      <c r="L135" s="258"/>
      <c r="M135" s="258"/>
      <c r="N135" s="249" t="s">
        <v>229</v>
      </c>
      <c r="O135" s="250" t="s">
        <v>163</v>
      </c>
      <c r="P135" s="251">
        <v>1</v>
      </c>
    </row>
    <row r="136" spans="1:16" x14ac:dyDescent="0.25">
      <c r="A136" s="244" t="s">
        <v>66</v>
      </c>
      <c r="B136" s="255" t="s">
        <v>125</v>
      </c>
      <c r="C136" s="256" t="s">
        <v>125</v>
      </c>
      <c r="D136" s="254" t="s">
        <v>125</v>
      </c>
      <c r="E136" s="256" t="s">
        <v>125</v>
      </c>
      <c r="F136" s="257" t="s">
        <v>125</v>
      </c>
      <c r="G136" s="258" t="s">
        <v>65</v>
      </c>
      <c r="H136" s="258"/>
      <c r="I136" s="258"/>
      <c r="J136" s="258"/>
      <c r="K136" s="258"/>
      <c r="L136" s="258"/>
      <c r="M136" s="258"/>
      <c r="N136" s="249" t="s">
        <v>229</v>
      </c>
      <c r="O136" s="250" t="s">
        <v>163</v>
      </c>
      <c r="P136" s="251">
        <v>1</v>
      </c>
    </row>
    <row r="137" spans="1:16" x14ac:dyDescent="0.25">
      <c r="A137" s="244" t="s">
        <v>66</v>
      </c>
      <c r="B137" s="255" t="s">
        <v>125</v>
      </c>
      <c r="C137" s="256" t="s">
        <v>125</v>
      </c>
      <c r="D137" s="254" t="s">
        <v>125</v>
      </c>
      <c r="E137" s="256" t="s">
        <v>125</v>
      </c>
      <c r="F137" s="257" t="s">
        <v>125</v>
      </c>
      <c r="G137" s="258" t="s">
        <v>65</v>
      </c>
      <c r="H137" s="258"/>
      <c r="I137" s="258"/>
      <c r="J137" s="258"/>
      <c r="K137" s="258"/>
      <c r="L137" s="258"/>
      <c r="M137" s="258"/>
      <c r="N137" s="249" t="s">
        <v>229</v>
      </c>
      <c r="O137" s="250" t="s">
        <v>163</v>
      </c>
      <c r="P137" s="251">
        <v>1</v>
      </c>
    </row>
    <row r="138" spans="1:16" x14ac:dyDescent="0.25">
      <c r="A138" s="244" t="s">
        <v>67</v>
      </c>
      <c r="B138" s="255" t="s">
        <v>125</v>
      </c>
      <c r="C138" s="256" t="s">
        <v>125</v>
      </c>
      <c r="D138" s="254" t="s">
        <v>125</v>
      </c>
      <c r="E138" s="246" t="s">
        <v>125</v>
      </c>
      <c r="F138" s="247" t="s">
        <v>125</v>
      </c>
      <c r="G138" s="248" t="s">
        <v>65</v>
      </c>
      <c r="H138" s="248"/>
      <c r="I138" s="248"/>
      <c r="J138" s="248"/>
      <c r="K138" s="248"/>
      <c r="L138" s="248"/>
      <c r="M138" s="248"/>
      <c r="N138" s="249" t="s">
        <v>230</v>
      </c>
      <c r="O138" s="250" t="s">
        <v>163</v>
      </c>
      <c r="P138" s="251">
        <v>1</v>
      </c>
    </row>
    <row r="139" spans="1:16" x14ac:dyDescent="0.25">
      <c r="A139" s="244" t="s">
        <v>67</v>
      </c>
      <c r="B139" s="255" t="s">
        <v>125</v>
      </c>
      <c r="C139" s="256" t="s">
        <v>125</v>
      </c>
      <c r="D139" s="254" t="s">
        <v>125</v>
      </c>
      <c r="E139" s="246" t="s">
        <v>125</v>
      </c>
      <c r="F139" s="247" t="s">
        <v>125</v>
      </c>
      <c r="G139" s="248" t="s">
        <v>65</v>
      </c>
      <c r="H139" s="248"/>
      <c r="I139" s="248"/>
      <c r="J139" s="248"/>
      <c r="K139" s="248"/>
      <c r="L139" s="248"/>
      <c r="M139" s="248"/>
      <c r="N139" s="249" t="s">
        <v>230</v>
      </c>
      <c r="O139" s="250" t="s">
        <v>163</v>
      </c>
      <c r="P139" s="251">
        <v>1</v>
      </c>
    </row>
    <row r="140" spans="1:16" x14ac:dyDescent="0.25">
      <c r="A140" s="244" t="s">
        <v>67</v>
      </c>
      <c r="B140" s="255" t="s">
        <v>125</v>
      </c>
      <c r="C140" s="256" t="s">
        <v>125</v>
      </c>
      <c r="D140" s="254" t="s">
        <v>125</v>
      </c>
      <c r="E140" s="246" t="s">
        <v>125</v>
      </c>
      <c r="F140" s="247" t="s">
        <v>125</v>
      </c>
      <c r="G140" s="248" t="s">
        <v>65</v>
      </c>
      <c r="H140" s="248"/>
      <c r="I140" s="248"/>
      <c r="J140" s="248"/>
      <c r="K140" s="248"/>
      <c r="L140" s="248"/>
      <c r="M140" s="248"/>
      <c r="N140" s="249" t="s">
        <v>230</v>
      </c>
      <c r="O140" s="250" t="s">
        <v>163</v>
      </c>
      <c r="P140" s="251">
        <v>1</v>
      </c>
    </row>
    <row r="141" spans="1:16" x14ac:dyDescent="0.25">
      <c r="A141" s="244" t="s">
        <v>67</v>
      </c>
      <c r="B141" s="255" t="s">
        <v>125</v>
      </c>
      <c r="C141" s="256" t="s">
        <v>125</v>
      </c>
      <c r="D141" s="254" t="s">
        <v>125</v>
      </c>
      <c r="E141" s="246" t="s">
        <v>125</v>
      </c>
      <c r="F141" s="247" t="s">
        <v>125</v>
      </c>
      <c r="G141" s="248" t="s">
        <v>65</v>
      </c>
      <c r="H141" s="248"/>
      <c r="I141" s="248"/>
      <c r="J141" s="248"/>
      <c r="K141" s="248"/>
      <c r="L141" s="248"/>
      <c r="M141" s="248"/>
      <c r="N141" s="249" t="s">
        <v>230</v>
      </c>
      <c r="O141" s="250" t="s">
        <v>163</v>
      </c>
      <c r="P141" s="251">
        <v>1</v>
      </c>
    </row>
    <row r="142" spans="1:16" x14ac:dyDescent="0.25">
      <c r="A142" s="244" t="s">
        <v>52</v>
      </c>
      <c r="B142" s="255" t="s">
        <v>231</v>
      </c>
      <c r="C142" s="259">
        <v>46199</v>
      </c>
      <c r="D142" s="254" t="s">
        <v>140</v>
      </c>
      <c r="E142" s="246">
        <v>46043</v>
      </c>
      <c r="F142" s="247" t="s">
        <v>115</v>
      </c>
      <c r="G142" s="248" t="s">
        <v>59</v>
      </c>
      <c r="H142" s="248" t="s">
        <v>51</v>
      </c>
      <c r="I142" s="248" t="s">
        <v>62</v>
      </c>
      <c r="J142" s="248"/>
      <c r="K142" s="248"/>
      <c r="L142" s="248"/>
      <c r="M142" s="248"/>
      <c r="N142" s="249" t="s">
        <v>232</v>
      </c>
      <c r="O142" s="250" t="s">
        <v>173</v>
      </c>
      <c r="P142" s="251">
        <v>0</v>
      </c>
    </row>
    <row r="143" spans="1:16" x14ac:dyDescent="0.25">
      <c r="A143" s="244" t="s">
        <v>52</v>
      </c>
      <c r="B143" s="255" t="s">
        <v>233</v>
      </c>
      <c r="C143" s="259">
        <v>46137</v>
      </c>
      <c r="D143" s="254" t="s">
        <v>147</v>
      </c>
      <c r="E143" s="246">
        <v>46062</v>
      </c>
      <c r="F143" s="247" t="s">
        <v>115</v>
      </c>
      <c r="G143" s="248" t="s">
        <v>59</v>
      </c>
      <c r="H143" s="248" t="s">
        <v>51</v>
      </c>
      <c r="I143" s="248" t="s">
        <v>62</v>
      </c>
      <c r="J143" s="248"/>
      <c r="K143" s="248"/>
      <c r="L143" s="248"/>
      <c r="M143" s="248"/>
      <c r="N143" s="249" t="s">
        <v>232</v>
      </c>
      <c r="O143" s="250" t="s">
        <v>173</v>
      </c>
      <c r="P143" s="251">
        <v>0</v>
      </c>
    </row>
    <row r="144" spans="1:16" x14ac:dyDescent="0.25">
      <c r="A144" s="244" t="s">
        <v>52</v>
      </c>
      <c r="B144" s="255" t="s">
        <v>125</v>
      </c>
      <c r="C144" s="259" t="s">
        <v>125</v>
      </c>
      <c r="D144" s="254" t="s">
        <v>125</v>
      </c>
      <c r="E144" s="246" t="s">
        <v>125</v>
      </c>
      <c r="F144" s="247" t="s">
        <v>125</v>
      </c>
      <c r="G144" s="248" t="s">
        <v>59</v>
      </c>
      <c r="H144" s="248" t="s">
        <v>51</v>
      </c>
      <c r="I144" s="248" t="s">
        <v>62</v>
      </c>
      <c r="J144" s="248"/>
      <c r="K144" s="248"/>
      <c r="L144" s="248"/>
      <c r="M144" s="248"/>
      <c r="N144" s="249" t="s">
        <v>232</v>
      </c>
      <c r="O144" s="250" t="s">
        <v>173</v>
      </c>
      <c r="P144" s="251">
        <v>0</v>
      </c>
    </row>
    <row r="145" spans="1:16" x14ac:dyDescent="0.25">
      <c r="A145" s="244" t="s">
        <v>52</v>
      </c>
      <c r="B145" s="255" t="s">
        <v>125</v>
      </c>
      <c r="C145" s="259" t="s">
        <v>125</v>
      </c>
      <c r="D145" s="254" t="s">
        <v>125</v>
      </c>
      <c r="E145" s="246" t="s">
        <v>125</v>
      </c>
      <c r="F145" s="247" t="s">
        <v>125</v>
      </c>
      <c r="G145" s="248" t="s">
        <v>59</v>
      </c>
      <c r="H145" s="248" t="s">
        <v>51</v>
      </c>
      <c r="I145" s="248" t="s">
        <v>62</v>
      </c>
      <c r="J145" s="248"/>
      <c r="K145" s="248"/>
      <c r="L145" s="248"/>
      <c r="M145" s="248"/>
      <c r="N145" s="249" t="s">
        <v>232</v>
      </c>
      <c r="O145" s="250" t="s">
        <v>173</v>
      </c>
      <c r="P145" s="251">
        <v>0</v>
      </c>
    </row>
    <row r="146" spans="1:16" x14ac:dyDescent="0.25">
      <c r="A146" s="244" t="s">
        <v>53</v>
      </c>
      <c r="B146" s="255" t="s">
        <v>234</v>
      </c>
      <c r="C146" s="246">
        <v>46746</v>
      </c>
      <c r="D146" s="254" t="s">
        <v>235</v>
      </c>
      <c r="E146" s="246">
        <v>46007</v>
      </c>
      <c r="F146" s="247" t="s">
        <v>128</v>
      </c>
      <c r="G146" s="248" t="s">
        <v>51</v>
      </c>
      <c r="H146" s="248"/>
      <c r="I146" s="248"/>
      <c r="J146" s="248"/>
      <c r="K146" s="248"/>
      <c r="L146" s="248"/>
      <c r="M146" s="248"/>
      <c r="N146" s="249" t="s">
        <v>236</v>
      </c>
      <c r="O146" s="250" t="s">
        <v>163</v>
      </c>
      <c r="P146" s="251">
        <v>1</v>
      </c>
    </row>
    <row r="147" spans="1:16" x14ac:dyDescent="0.25">
      <c r="A147" s="244" t="s">
        <v>53</v>
      </c>
      <c r="B147" s="255" t="s">
        <v>237</v>
      </c>
      <c r="C147" s="246">
        <v>46633</v>
      </c>
      <c r="D147" s="254" t="s">
        <v>159</v>
      </c>
      <c r="E147" s="246">
        <v>46007</v>
      </c>
      <c r="F147" s="247" t="s">
        <v>128</v>
      </c>
      <c r="G147" s="248" t="s">
        <v>51</v>
      </c>
      <c r="H147" s="248"/>
      <c r="I147" s="248"/>
      <c r="J147" s="248"/>
      <c r="K147" s="248"/>
      <c r="L147" s="248"/>
      <c r="M147" s="248"/>
      <c r="N147" s="249" t="s">
        <v>236</v>
      </c>
      <c r="O147" s="250" t="s">
        <v>163</v>
      </c>
      <c r="P147" s="251">
        <v>1</v>
      </c>
    </row>
    <row r="148" spans="1:16" x14ac:dyDescent="0.25">
      <c r="A148" s="244" t="s">
        <v>53</v>
      </c>
      <c r="B148" s="255" t="s">
        <v>125</v>
      </c>
      <c r="C148" s="246" t="s">
        <v>125</v>
      </c>
      <c r="D148" s="254" t="s">
        <v>125</v>
      </c>
      <c r="E148" s="246" t="s">
        <v>125</v>
      </c>
      <c r="F148" s="247" t="s">
        <v>125</v>
      </c>
      <c r="G148" s="248" t="s">
        <v>51</v>
      </c>
      <c r="H148" s="248"/>
      <c r="I148" s="248"/>
      <c r="J148" s="248"/>
      <c r="K148" s="248"/>
      <c r="L148" s="248"/>
      <c r="M148" s="248"/>
      <c r="N148" s="249" t="s">
        <v>236</v>
      </c>
      <c r="O148" s="250" t="s">
        <v>163</v>
      </c>
      <c r="P148" s="251">
        <v>1</v>
      </c>
    </row>
    <row r="149" spans="1:16" x14ac:dyDescent="0.25">
      <c r="A149" s="244" t="s">
        <v>53</v>
      </c>
      <c r="B149" s="255" t="s">
        <v>125</v>
      </c>
      <c r="C149" s="246" t="s">
        <v>125</v>
      </c>
      <c r="D149" s="254" t="s">
        <v>125</v>
      </c>
      <c r="E149" s="246" t="s">
        <v>125</v>
      </c>
      <c r="F149" s="247" t="s">
        <v>125</v>
      </c>
      <c r="G149" s="248" t="s">
        <v>51</v>
      </c>
      <c r="H149" s="248"/>
      <c r="I149" s="248"/>
      <c r="J149" s="248"/>
      <c r="K149" s="248"/>
      <c r="L149" s="248"/>
      <c r="M149" s="248"/>
      <c r="N149" s="249" t="s">
        <v>236</v>
      </c>
      <c r="O149" s="250" t="s">
        <v>163</v>
      </c>
      <c r="P149" s="251">
        <v>1</v>
      </c>
    </row>
    <row r="150" spans="1:16" x14ac:dyDescent="0.25">
      <c r="A150" s="244" t="s">
        <v>54</v>
      </c>
      <c r="B150" s="255" t="s">
        <v>238</v>
      </c>
      <c r="C150" s="256">
        <v>46766</v>
      </c>
      <c r="D150" s="254" t="s">
        <v>239</v>
      </c>
      <c r="E150" s="246">
        <v>46007</v>
      </c>
      <c r="F150" s="247" t="s">
        <v>128</v>
      </c>
      <c r="G150" s="248" t="s">
        <v>51</v>
      </c>
      <c r="H150" s="248"/>
      <c r="I150" s="248"/>
      <c r="J150" s="248"/>
      <c r="K150" s="248"/>
      <c r="L150" s="248"/>
      <c r="M150" s="248"/>
      <c r="N150" s="249" t="s">
        <v>240</v>
      </c>
      <c r="O150" s="250" t="s">
        <v>163</v>
      </c>
      <c r="P150" s="251">
        <v>1</v>
      </c>
    </row>
    <row r="151" spans="1:16" x14ac:dyDescent="0.25">
      <c r="A151" s="244" t="s">
        <v>54</v>
      </c>
      <c r="B151" s="255" t="s">
        <v>125</v>
      </c>
      <c r="C151" s="256" t="s">
        <v>125</v>
      </c>
      <c r="D151" s="254" t="s">
        <v>125</v>
      </c>
      <c r="E151" s="246" t="s">
        <v>125</v>
      </c>
      <c r="F151" s="247" t="s">
        <v>125</v>
      </c>
      <c r="G151" s="248" t="s">
        <v>51</v>
      </c>
      <c r="H151" s="248"/>
      <c r="I151" s="248"/>
      <c r="J151" s="248"/>
      <c r="K151" s="248"/>
      <c r="L151" s="248"/>
      <c r="M151" s="248"/>
      <c r="N151" s="249" t="s">
        <v>240</v>
      </c>
      <c r="O151" s="250" t="s">
        <v>163</v>
      </c>
      <c r="P151" s="251">
        <v>1</v>
      </c>
    </row>
    <row r="152" spans="1:16" x14ac:dyDescent="0.25">
      <c r="A152" s="244" t="s">
        <v>54</v>
      </c>
      <c r="B152" s="255" t="s">
        <v>125</v>
      </c>
      <c r="C152" s="256" t="s">
        <v>125</v>
      </c>
      <c r="D152" s="254" t="s">
        <v>125</v>
      </c>
      <c r="E152" s="246" t="s">
        <v>125</v>
      </c>
      <c r="F152" s="247" t="s">
        <v>125</v>
      </c>
      <c r="G152" s="248" t="s">
        <v>51</v>
      </c>
      <c r="H152" s="248"/>
      <c r="I152" s="248"/>
      <c r="J152" s="248"/>
      <c r="K152" s="248"/>
      <c r="L152" s="248"/>
      <c r="M152" s="248"/>
      <c r="N152" s="249" t="s">
        <v>240</v>
      </c>
      <c r="O152" s="250" t="s">
        <v>163</v>
      </c>
      <c r="P152" s="251">
        <v>1</v>
      </c>
    </row>
    <row r="153" spans="1:16" x14ac:dyDescent="0.25">
      <c r="A153" s="244" t="s">
        <v>54</v>
      </c>
      <c r="B153" s="255" t="s">
        <v>125</v>
      </c>
      <c r="C153" s="256" t="s">
        <v>125</v>
      </c>
      <c r="D153" s="254" t="s">
        <v>125</v>
      </c>
      <c r="E153" s="246" t="s">
        <v>125</v>
      </c>
      <c r="F153" s="247" t="s">
        <v>125</v>
      </c>
      <c r="G153" s="248" t="s">
        <v>51</v>
      </c>
      <c r="H153" s="248"/>
      <c r="I153" s="248"/>
      <c r="J153" s="248"/>
      <c r="K153" s="248"/>
      <c r="L153" s="248"/>
      <c r="M153" s="248"/>
      <c r="N153" s="249" t="s">
        <v>240</v>
      </c>
      <c r="O153" s="250" t="s">
        <v>163</v>
      </c>
      <c r="P153" s="251">
        <v>1</v>
      </c>
    </row>
    <row r="154" spans="1:16" x14ac:dyDescent="0.25">
      <c r="A154" s="244" t="s">
        <v>39</v>
      </c>
      <c r="B154" s="255" t="s">
        <v>125</v>
      </c>
      <c r="C154" s="256" t="s">
        <v>125</v>
      </c>
      <c r="D154" s="244" t="s">
        <v>125</v>
      </c>
      <c r="E154" s="246" t="s">
        <v>125</v>
      </c>
      <c r="F154" s="247" t="s">
        <v>125</v>
      </c>
      <c r="G154" s="248" t="s">
        <v>38</v>
      </c>
      <c r="H154" s="248" t="s">
        <v>93</v>
      </c>
      <c r="I154" s="248" t="s">
        <v>65</v>
      </c>
      <c r="J154" s="248"/>
      <c r="K154" s="248"/>
      <c r="L154" s="248"/>
      <c r="M154" s="248"/>
      <c r="N154" s="253" t="s">
        <v>241</v>
      </c>
      <c r="O154" s="250" t="s">
        <v>173</v>
      </c>
      <c r="P154" s="251">
        <v>0</v>
      </c>
    </row>
    <row r="155" spans="1:16" x14ac:dyDescent="0.25">
      <c r="A155" s="244" t="s">
        <v>39</v>
      </c>
      <c r="B155" s="255" t="s">
        <v>125</v>
      </c>
      <c r="C155" s="256" t="s">
        <v>125</v>
      </c>
      <c r="D155" s="244" t="s">
        <v>125</v>
      </c>
      <c r="E155" s="246" t="s">
        <v>125</v>
      </c>
      <c r="F155" s="247" t="s">
        <v>125</v>
      </c>
      <c r="G155" s="248" t="s">
        <v>38</v>
      </c>
      <c r="H155" s="248" t="s">
        <v>93</v>
      </c>
      <c r="I155" s="248" t="s">
        <v>65</v>
      </c>
      <c r="J155" s="248"/>
      <c r="K155" s="248"/>
      <c r="L155" s="248"/>
      <c r="M155" s="248"/>
      <c r="N155" s="253" t="s">
        <v>241</v>
      </c>
      <c r="O155" s="250" t="s">
        <v>173</v>
      </c>
      <c r="P155" s="251">
        <v>0</v>
      </c>
    </row>
    <row r="156" spans="1:16" x14ac:dyDescent="0.25">
      <c r="A156" s="244" t="s">
        <v>39</v>
      </c>
      <c r="B156" s="255" t="s">
        <v>125</v>
      </c>
      <c r="C156" s="256" t="s">
        <v>125</v>
      </c>
      <c r="D156" s="244" t="s">
        <v>125</v>
      </c>
      <c r="E156" s="246" t="s">
        <v>125</v>
      </c>
      <c r="F156" s="247" t="s">
        <v>125</v>
      </c>
      <c r="G156" s="248" t="s">
        <v>38</v>
      </c>
      <c r="H156" s="248" t="s">
        <v>93</v>
      </c>
      <c r="I156" s="248" t="s">
        <v>65</v>
      </c>
      <c r="J156" s="248"/>
      <c r="K156" s="248"/>
      <c r="L156" s="248"/>
      <c r="M156" s="248"/>
      <c r="N156" s="253" t="s">
        <v>241</v>
      </c>
      <c r="O156" s="250" t="s">
        <v>173</v>
      </c>
      <c r="P156" s="251">
        <v>0</v>
      </c>
    </row>
    <row r="157" spans="1:16" x14ac:dyDescent="0.25">
      <c r="A157" s="244" t="s">
        <v>39</v>
      </c>
      <c r="B157" s="255" t="s">
        <v>125</v>
      </c>
      <c r="C157" s="256" t="s">
        <v>125</v>
      </c>
      <c r="D157" s="244" t="s">
        <v>125</v>
      </c>
      <c r="E157" s="246" t="s">
        <v>125</v>
      </c>
      <c r="F157" s="247" t="s">
        <v>125</v>
      </c>
      <c r="G157" s="248" t="s">
        <v>38</v>
      </c>
      <c r="H157" s="248" t="s">
        <v>93</v>
      </c>
      <c r="I157" s="248" t="s">
        <v>65</v>
      </c>
      <c r="J157" s="248"/>
      <c r="K157" s="248"/>
      <c r="L157" s="248"/>
      <c r="M157" s="248"/>
      <c r="N157" s="253" t="s">
        <v>241</v>
      </c>
      <c r="O157" s="250" t="s">
        <v>173</v>
      </c>
      <c r="P157" s="251">
        <v>0</v>
      </c>
    </row>
    <row r="158" spans="1:16" x14ac:dyDescent="0.25">
      <c r="A158" s="244" t="s">
        <v>41</v>
      </c>
      <c r="B158" s="255" t="s">
        <v>242</v>
      </c>
      <c r="C158" s="246">
        <v>46274</v>
      </c>
      <c r="D158" s="244" t="s">
        <v>243</v>
      </c>
      <c r="E158" s="246">
        <v>45986</v>
      </c>
      <c r="F158" s="247" t="s">
        <v>128</v>
      </c>
      <c r="G158" s="248" t="s">
        <v>38</v>
      </c>
      <c r="H158" s="248"/>
      <c r="I158" s="248"/>
      <c r="J158" s="248"/>
      <c r="K158" s="248"/>
      <c r="L158" s="248"/>
      <c r="M158" s="248"/>
      <c r="N158" s="249" t="s">
        <v>244</v>
      </c>
      <c r="O158" s="250" t="s">
        <v>163</v>
      </c>
      <c r="P158" s="251">
        <v>1</v>
      </c>
    </row>
    <row r="159" spans="1:16" x14ac:dyDescent="0.25">
      <c r="A159" s="244" t="s">
        <v>41</v>
      </c>
      <c r="B159" s="255" t="s">
        <v>125</v>
      </c>
      <c r="C159" s="246" t="s">
        <v>125</v>
      </c>
      <c r="D159" s="244" t="s">
        <v>125</v>
      </c>
      <c r="E159" s="246" t="s">
        <v>125</v>
      </c>
      <c r="F159" s="247" t="s">
        <v>125</v>
      </c>
      <c r="G159" s="248" t="s">
        <v>38</v>
      </c>
      <c r="H159" s="248"/>
      <c r="I159" s="248"/>
      <c r="J159" s="248"/>
      <c r="K159" s="248"/>
      <c r="L159" s="248"/>
      <c r="M159" s="248"/>
      <c r="N159" s="249" t="s">
        <v>244</v>
      </c>
      <c r="O159" s="250" t="s">
        <v>163</v>
      </c>
      <c r="P159" s="251">
        <v>1</v>
      </c>
    </row>
    <row r="160" spans="1:16" x14ac:dyDescent="0.25">
      <c r="A160" s="244" t="s">
        <v>41</v>
      </c>
      <c r="B160" s="255" t="s">
        <v>125</v>
      </c>
      <c r="C160" s="246" t="s">
        <v>125</v>
      </c>
      <c r="D160" s="244" t="s">
        <v>125</v>
      </c>
      <c r="E160" s="246" t="s">
        <v>125</v>
      </c>
      <c r="F160" s="247" t="s">
        <v>125</v>
      </c>
      <c r="G160" s="248" t="s">
        <v>38</v>
      </c>
      <c r="H160" s="248"/>
      <c r="I160" s="248"/>
      <c r="J160" s="248"/>
      <c r="K160" s="248"/>
      <c r="L160" s="248"/>
      <c r="M160" s="248"/>
      <c r="N160" s="249" t="s">
        <v>244</v>
      </c>
      <c r="O160" s="250" t="s">
        <v>163</v>
      </c>
      <c r="P160" s="251">
        <v>1</v>
      </c>
    </row>
    <row r="161" spans="1:16" x14ac:dyDescent="0.25">
      <c r="A161" s="244" t="s">
        <v>41</v>
      </c>
      <c r="B161" s="255" t="s">
        <v>125</v>
      </c>
      <c r="C161" s="246" t="s">
        <v>125</v>
      </c>
      <c r="D161" s="244" t="s">
        <v>125</v>
      </c>
      <c r="E161" s="246" t="s">
        <v>125</v>
      </c>
      <c r="F161" s="247" t="s">
        <v>125</v>
      </c>
      <c r="G161" s="248" t="s">
        <v>38</v>
      </c>
      <c r="H161" s="248"/>
      <c r="I161" s="248"/>
      <c r="J161" s="248"/>
      <c r="K161" s="248"/>
      <c r="L161" s="248"/>
      <c r="M161" s="248"/>
      <c r="N161" s="249" t="s">
        <v>244</v>
      </c>
      <c r="O161" s="250" t="s">
        <v>163</v>
      </c>
      <c r="P161" s="251">
        <v>1</v>
      </c>
    </row>
    <row r="162" spans="1:16" x14ac:dyDescent="0.25">
      <c r="A162" s="244" t="s">
        <v>42</v>
      </c>
      <c r="B162" s="255" t="s">
        <v>245</v>
      </c>
      <c r="C162" s="246">
        <v>46203</v>
      </c>
      <c r="D162" s="244" t="s">
        <v>246</v>
      </c>
      <c r="E162" s="246">
        <v>45916</v>
      </c>
      <c r="F162" s="247" t="s">
        <v>124</v>
      </c>
      <c r="G162" s="248" t="s">
        <v>38</v>
      </c>
      <c r="H162" s="248"/>
      <c r="I162" s="248"/>
      <c r="J162" s="248"/>
      <c r="K162" s="248"/>
      <c r="L162" s="248"/>
      <c r="M162" s="248"/>
      <c r="N162" s="249" t="s">
        <v>247</v>
      </c>
      <c r="O162" s="250" t="s">
        <v>163</v>
      </c>
      <c r="P162" s="251">
        <v>1</v>
      </c>
    </row>
    <row r="163" spans="1:16" x14ac:dyDescent="0.25">
      <c r="A163" s="244" t="s">
        <v>42</v>
      </c>
      <c r="B163" s="255" t="s">
        <v>125</v>
      </c>
      <c r="C163" s="246" t="s">
        <v>125</v>
      </c>
      <c r="D163" s="244" t="s">
        <v>125</v>
      </c>
      <c r="E163" s="246" t="s">
        <v>125</v>
      </c>
      <c r="F163" s="247" t="s">
        <v>125</v>
      </c>
      <c r="G163" s="248" t="s">
        <v>38</v>
      </c>
      <c r="H163" s="248"/>
      <c r="I163" s="248"/>
      <c r="J163" s="248"/>
      <c r="K163" s="248"/>
      <c r="L163" s="248"/>
      <c r="M163" s="248"/>
      <c r="N163" s="249" t="s">
        <v>247</v>
      </c>
      <c r="O163" s="250" t="s">
        <v>163</v>
      </c>
      <c r="P163" s="251">
        <v>1</v>
      </c>
    </row>
    <row r="164" spans="1:16" x14ac:dyDescent="0.25">
      <c r="A164" s="244" t="s">
        <v>42</v>
      </c>
      <c r="B164" s="255" t="s">
        <v>125</v>
      </c>
      <c r="C164" s="246" t="s">
        <v>125</v>
      </c>
      <c r="D164" s="244" t="s">
        <v>125</v>
      </c>
      <c r="E164" s="246" t="s">
        <v>125</v>
      </c>
      <c r="F164" s="247" t="s">
        <v>125</v>
      </c>
      <c r="G164" s="248" t="s">
        <v>38</v>
      </c>
      <c r="H164" s="248"/>
      <c r="I164" s="248"/>
      <c r="J164" s="248"/>
      <c r="K164" s="248"/>
      <c r="L164" s="248"/>
      <c r="M164" s="248"/>
      <c r="N164" s="249" t="s">
        <v>247</v>
      </c>
      <c r="O164" s="250" t="s">
        <v>163</v>
      </c>
      <c r="P164" s="251">
        <v>1</v>
      </c>
    </row>
    <row r="165" spans="1:16" x14ac:dyDescent="0.25">
      <c r="A165" s="244" t="s">
        <v>42</v>
      </c>
      <c r="B165" s="255" t="s">
        <v>125</v>
      </c>
      <c r="C165" s="246" t="s">
        <v>125</v>
      </c>
      <c r="D165" s="244" t="s">
        <v>125</v>
      </c>
      <c r="E165" s="246" t="s">
        <v>125</v>
      </c>
      <c r="F165" s="247" t="s">
        <v>125</v>
      </c>
      <c r="G165" s="248" t="s">
        <v>38</v>
      </c>
      <c r="H165" s="248"/>
      <c r="I165" s="248"/>
      <c r="J165" s="248"/>
      <c r="K165" s="248"/>
      <c r="L165" s="248"/>
      <c r="M165" s="248"/>
      <c r="N165" s="249" t="s">
        <v>247</v>
      </c>
      <c r="O165" s="250" t="s">
        <v>163</v>
      </c>
      <c r="P165" s="251">
        <v>1</v>
      </c>
    </row>
    <row r="166" spans="1:16" x14ac:dyDescent="0.25">
      <c r="A166" s="244" t="s">
        <v>49</v>
      </c>
      <c r="B166" s="255" t="s">
        <v>248</v>
      </c>
      <c r="C166" s="256">
        <v>46674</v>
      </c>
      <c r="D166" s="244" t="s">
        <v>249</v>
      </c>
      <c r="E166" s="246">
        <v>46006</v>
      </c>
      <c r="F166" s="247" t="s">
        <v>128</v>
      </c>
      <c r="G166" s="248" t="s">
        <v>250</v>
      </c>
      <c r="H166" s="248"/>
      <c r="I166" s="248"/>
      <c r="J166" s="248"/>
      <c r="K166" s="248"/>
      <c r="L166" s="248"/>
      <c r="M166" s="248"/>
      <c r="N166" s="249" t="s">
        <v>251</v>
      </c>
      <c r="O166" s="250" t="s">
        <v>252</v>
      </c>
      <c r="P166" s="251">
        <v>1</v>
      </c>
    </row>
    <row r="167" spans="1:16" x14ac:dyDescent="0.25">
      <c r="A167" s="244" t="s">
        <v>49</v>
      </c>
      <c r="B167" s="255" t="s">
        <v>125</v>
      </c>
      <c r="C167" s="256" t="s">
        <v>125</v>
      </c>
      <c r="D167" s="244" t="s">
        <v>125</v>
      </c>
      <c r="E167" s="246" t="s">
        <v>125</v>
      </c>
      <c r="F167" s="247" t="s">
        <v>125</v>
      </c>
      <c r="G167" s="248" t="s">
        <v>250</v>
      </c>
      <c r="H167" s="248"/>
      <c r="I167" s="248"/>
      <c r="J167" s="248"/>
      <c r="K167" s="248"/>
      <c r="L167" s="248"/>
      <c r="M167" s="248"/>
      <c r="N167" s="249" t="s">
        <v>251</v>
      </c>
      <c r="O167" s="250" t="s">
        <v>252</v>
      </c>
      <c r="P167" s="251">
        <v>1</v>
      </c>
    </row>
    <row r="168" spans="1:16" x14ac:dyDescent="0.25">
      <c r="A168" s="244" t="s">
        <v>49</v>
      </c>
      <c r="B168" s="255" t="s">
        <v>125</v>
      </c>
      <c r="C168" s="256" t="s">
        <v>125</v>
      </c>
      <c r="D168" s="244" t="s">
        <v>125</v>
      </c>
      <c r="E168" s="246" t="s">
        <v>125</v>
      </c>
      <c r="F168" s="247" t="s">
        <v>125</v>
      </c>
      <c r="G168" s="248" t="s">
        <v>250</v>
      </c>
      <c r="H168" s="248"/>
      <c r="I168" s="248"/>
      <c r="J168" s="248"/>
      <c r="K168" s="248"/>
      <c r="L168" s="248"/>
      <c r="M168" s="248"/>
      <c r="N168" s="249" t="s">
        <v>251</v>
      </c>
      <c r="O168" s="250" t="s">
        <v>252</v>
      </c>
      <c r="P168" s="251">
        <v>1</v>
      </c>
    </row>
    <row r="169" spans="1:16" x14ac:dyDescent="0.25">
      <c r="A169" s="244" t="s">
        <v>49</v>
      </c>
      <c r="B169" s="255" t="s">
        <v>125</v>
      </c>
      <c r="C169" s="256" t="s">
        <v>125</v>
      </c>
      <c r="D169" s="244" t="s">
        <v>125</v>
      </c>
      <c r="E169" s="246" t="s">
        <v>125</v>
      </c>
      <c r="F169" s="247" t="s">
        <v>125</v>
      </c>
      <c r="G169" s="248" t="s">
        <v>250</v>
      </c>
      <c r="H169" s="248"/>
      <c r="I169" s="248"/>
      <c r="J169" s="248"/>
      <c r="K169" s="248"/>
      <c r="L169" s="248"/>
      <c r="M169" s="248"/>
      <c r="N169" s="249" t="s">
        <v>251</v>
      </c>
      <c r="O169" s="250" t="s">
        <v>252</v>
      </c>
      <c r="P169" s="251">
        <v>1</v>
      </c>
    </row>
    <row r="170" spans="1:16" x14ac:dyDescent="0.25">
      <c r="A170" s="244" t="s">
        <v>50</v>
      </c>
      <c r="B170" s="255" t="s">
        <v>248</v>
      </c>
      <c r="C170" s="256">
        <v>46674</v>
      </c>
      <c r="D170" s="254" t="s">
        <v>227</v>
      </c>
      <c r="E170" s="246">
        <v>46006</v>
      </c>
      <c r="F170" s="247" t="s">
        <v>128</v>
      </c>
      <c r="G170" s="248" t="s">
        <v>250</v>
      </c>
      <c r="H170" s="248"/>
      <c r="I170" s="248"/>
      <c r="J170" s="248"/>
      <c r="K170" s="248"/>
      <c r="L170" s="248"/>
      <c r="M170" s="248"/>
      <c r="N170" s="249" t="s">
        <v>253</v>
      </c>
      <c r="O170" s="250" t="s">
        <v>252</v>
      </c>
      <c r="P170" s="251">
        <v>1</v>
      </c>
    </row>
    <row r="171" spans="1:16" x14ac:dyDescent="0.25">
      <c r="A171" s="244" t="s">
        <v>50</v>
      </c>
      <c r="B171" s="255" t="s">
        <v>254</v>
      </c>
      <c r="C171" s="256">
        <v>46130</v>
      </c>
      <c r="D171" s="254" t="s">
        <v>143</v>
      </c>
      <c r="E171" s="246">
        <v>45986</v>
      </c>
      <c r="F171" s="247" t="s">
        <v>128</v>
      </c>
      <c r="G171" s="248" t="s">
        <v>250</v>
      </c>
      <c r="H171" s="248"/>
      <c r="I171" s="248"/>
      <c r="J171" s="248"/>
      <c r="K171" s="248"/>
      <c r="L171" s="248"/>
      <c r="M171" s="248"/>
      <c r="N171" s="249" t="s">
        <v>253</v>
      </c>
      <c r="O171" s="250" t="s">
        <v>252</v>
      </c>
      <c r="P171" s="251">
        <v>1</v>
      </c>
    </row>
    <row r="172" spans="1:16" x14ac:dyDescent="0.25">
      <c r="A172" s="244" t="s">
        <v>50</v>
      </c>
      <c r="B172" s="255" t="s">
        <v>125</v>
      </c>
      <c r="C172" s="256" t="s">
        <v>125</v>
      </c>
      <c r="D172" s="254" t="s">
        <v>125</v>
      </c>
      <c r="E172" s="246" t="s">
        <v>125</v>
      </c>
      <c r="F172" s="247" t="s">
        <v>125</v>
      </c>
      <c r="G172" s="248" t="s">
        <v>250</v>
      </c>
      <c r="H172" s="248"/>
      <c r="I172" s="248"/>
      <c r="J172" s="248"/>
      <c r="K172" s="248"/>
      <c r="L172" s="248"/>
      <c r="M172" s="248"/>
      <c r="N172" s="249" t="s">
        <v>253</v>
      </c>
      <c r="O172" s="250" t="s">
        <v>252</v>
      </c>
      <c r="P172" s="251">
        <v>1</v>
      </c>
    </row>
    <row r="173" spans="1:16" x14ac:dyDescent="0.25">
      <c r="A173" s="244" t="s">
        <v>50</v>
      </c>
      <c r="B173" s="255" t="s">
        <v>125</v>
      </c>
      <c r="C173" s="256" t="s">
        <v>125</v>
      </c>
      <c r="D173" s="254" t="s">
        <v>125</v>
      </c>
      <c r="E173" s="246" t="s">
        <v>125</v>
      </c>
      <c r="F173" s="247" t="s">
        <v>125</v>
      </c>
      <c r="G173" s="248" t="s">
        <v>250</v>
      </c>
      <c r="H173" s="248"/>
      <c r="I173" s="248"/>
      <c r="J173" s="248"/>
      <c r="K173" s="248"/>
      <c r="L173" s="248"/>
      <c r="M173" s="248"/>
      <c r="N173" s="249" t="s">
        <v>253</v>
      </c>
      <c r="O173" s="250" t="s">
        <v>252</v>
      </c>
      <c r="P173" s="251">
        <v>1</v>
      </c>
    </row>
    <row r="174" spans="1:16" x14ac:dyDescent="0.25">
      <c r="A174" s="244" t="s">
        <v>86</v>
      </c>
      <c r="B174" s="255" t="s">
        <v>255</v>
      </c>
      <c r="C174" s="256">
        <v>46113</v>
      </c>
      <c r="D174" s="254" t="s">
        <v>256</v>
      </c>
      <c r="E174" s="246">
        <v>46006</v>
      </c>
      <c r="F174" s="247" t="s">
        <v>128</v>
      </c>
      <c r="G174" s="248" t="s">
        <v>214</v>
      </c>
      <c r="H174" s="248"/>
      <c r="I174" s="248"/>
      <c r="J174" s="248"/>
      <c r="K174" s="248"/>
      <c r="L174" s="248"/>
      <c r="M174" s="248"/>
      <c r="N174" s="249" t="s">
        <v>257</v>
      </c>
      <c r="O174" s="250" t="s">
        <v>130</v>
      </c>
      <c r="P174" s="251">
        <v>1</v>
      </c>
    </row>
    <row r="175" spans="1:16" x14ac:dyDescent="0.25">
      <c r="A175" s="244" t="s">
        <v>86</v>
      </c>
      <c r="B175" s="255" t="s">
        <v>125</v>
      </c>
      <c r="C175" s="256" t="s">
        <v>125</v>
      </c>
      <c r="D175" s="254" t="s">
        <v>125</v>
      </c>
      <c r="E175" s="246" t="s">
        <v>125</v>
      </c>
      <c r="F175" s="247" t="s">
        <v>125</v>
      </c>
      <c r="G175" s="248" t="s">
        <v>214</v>
      </c>
      <c r="H175" s="248"/>
      <c r="I175" s="248"/>
      <c r="J175" s="248"/>
      <c r="K175" s="248"/>
      <c r="L175" s="248"/>
      <c r="M175" s="248"/>
      <c r="N175" s="249" t="s">
        <v>257</v>
      </c>
      <c r="O175" s="250" t="s">
        <v>130</v>
      </c>
      <c r="P175" s="251">
        <v>1</v>
      </c>
    </row>
    <row r="176" spans="1:16" x14ac:dyDescent="0.25">
      <c r="A176" s="244" t="s">
        <v>86</v>
      </c>
      <c r="B176" s="255" t="s">
        <v>125</v>
      </c>
      <c r="C176" s="256" t="s">
        <v>125</v>
      </c>
      <c r="D176" s="254" t="s">
        <v>125</v>
      </c>
      <c r="E176" s="246" t="s">
        <v>125</v>
      </c>
      <c r="F176" s="247" t="s">
        <v>125</v>
      </c>
      <c r="G176" s="248" t="s">
        <v>214</v>
      </c>
      <c r="H176" s="248"/>
      <c r="I176" s="248"/>
      <c r="J176" s="248"/>
      <c r="K176" s="248"/>
      <c r="L176" s="248"/>
      <c r="M176" s="248"/>
      <c r="N176" s="249" t="s">
        <v>257</v>
      </c>
      <c r="O176" s="250" t="s">
        <v>130</v>
      </c>
      <c r="P176" s="251">
        <v>1</v>
      </c>
    </row>
    <row r="177" spans="1:16" x14ac:dyDescent="0.25">
      <c r="A177" s="244" t="s">
        <v>86</v>
      </c>
      <c r="B177" s="255" t="s">
        <v>125</v>
      </c>
      <c r="C177" s="256" t="s">
        <v>125</v>
      </c>
      <c r="D177" s="254" t="s">
        <v>125</v>
      </c>
      <c r="E177" s="246" t="s">
        <v>125</v>
      </c>
      <c r="F177" s="247" t="s">
        <v>125</v>
      </c>
      <c r="G177" s="248" t="s">
        <v>214</v>
      </c>
      <c r="H177" s="248"/>
      <c r="I177" s="248"/>
      <c r="J177" s="248"/>
      <c r="K177" s="248"/>
      <c r="L177" s="248"/>
      <c r="M177" s="248"/>
      <c r="N177" s="249" t="s">
        <v>257</v>
      </c>
      <c r="O177" s="250" t="s">
        <v>130</v>
      </c>
      <c r="P177" s="251">
        <v>1</v>
      </c>
    </row>
    <row r="178" spans="1:16" x14ac:dyDescent="0.25">
      <c r="A178" s="244" t="s">
        <v>85</v>
      </c>
      <c r="B178" s="255" t="s">
        <v>258</v>
      </c>
      <c r="C178" s="256">
        <v>46113</v>
      </c>
      <c r="D178" s="254" t="s">
        <v>209</v>
      </c>
      <c r="E178" s="246">
        <v>46006</v>
      </c>
      <c r="F178" s="247" t="s">
        <v>128</v>
      </c>
      <c r="G178" s="248" t="s">
        <v>214</v>
      </c>
      <c r="H178" s="248"/>
      <c r="I178" s="248"/>
      <c r="J178" s="248"/>
      <c r="K178" s="248"/>
      <c r="L178" s="248"/>
      <c r="M178" s="248"/>
      <c r="N178" s="249" t="s">
        <v>259</v>
      </c>
      <c r="O178" s="250" t="s">
        <v>130</v>
      </c>
      <c r="P178" s="251">
        <v>1</v>
      </c>
    </row>
    <row r="179" spans="1:16" x14ac:dyDescent="0.25">
      <c r="A179" s="244" t="s">
        <v>85</v>
      </c>
      <c r="B179" s="255" t="s">
        <v>125</v>
      </c>
      <c r="C179" s="256" t="s">
        <v>125</v>
      </c>
      <c r="D179" s="254" t="s">
        <v>125</v>
      </c>
      <c r="E179" s="246" t="s">
        <v>125</v>
      </c>
      <c r="F179" s="247" t="s">
        <v>125</v>
      </c>
      <c r="G179" s="248" t="s">
        <v>214</v>
      </c>
      <c r="H179" s="248"/>
      <c r="I179" s="248"/>
      <c r="J179" s="248"/>
      <c r="K179" s="248"/>
      <c r="L179" s="248"/>
      <c r="M179" s="248"/>
      <c r="N179" s="249" t="s">
        <v>259</v>
      </c>
      <c r="O179" s="250" t="s">
        <v>130</v>
      </c>
      <c r="P179" s="251">
        <v>1</v>
      </c>
    </row>
    <row r="180" spans="1:16" x14ac:dyDescent="0.25">
      <c r="A180" s="244" t="s">
        <v>85</v>
      </c>
      <c r="B180" s="255" t="s">
        <v>125</v>
      </c>
      <c r="C180" s="256" t="s">
        <v>125</v>
      </c>
      <c r="D180" s="254" t="s">
        <v>125</v>
      </c>
      <c r="E180" s="246" t="s">
        <v>125</v>
      </c>
      <c r="F180" s="247" t="s">
        <v>125</v>
      </c>
      <c r="G180" s="248" t="s">
        <v>214</v>
      </c>
      <c r="H180" s="248"/>
      <c r="I180" s="248"/>
      <c r="J180" s="248"/>
      <c r="K180" s="248"/>
      <c r="L180" s="248"/>
      <c r="M180" s="248"/>
      <c r="N180" s="249" t="s">
        <v>259</v>
      </c>
      <c r="O180" s="250" t="s">
        <v>130</v>
      </c>
      <c r="P180" s="251">
        <v>1</v>
      </c>
    </row>
    <row r="181" spans="1:16" x14ac:dyDescent="0.25">
      <c r="A181" s="244" t="s">
        <v>85</v>
      </c>
      <c r="B181" s="255" t="s">
        <v>125</v>
      </c>
      <c r="C181" s="256" t="s">
        <v>125</v>
      </c>
      <c r="D181" s="254" t="s">
        <v>125</v>
      </c>
      <c r="E181" s="246" t="s">
        <v>125</v>
      </c>
      <c r="F181" s="247" t="s">
        <v>125</v>
      </c>
      <c r="G181" s="248" t="s">
        <v>214</v>
      </c>
      <c r="H181" s="248"/>
      <c r="I181" s="248"/>
      <c r="J181" s="248"/>
      <c r="K181" s="248"/>
      <c r="L181" s="248"/>
      <c r="M181" s="248"/>
      <c r="N181" s="249" t="s">
        <v>259</v>
      </c>
      <c r="O181" s="250" t="s">
        <v>130</v>
      </c>
      <c r="P181" s="251">
        <v>1</v>
      </c>
    </row>
    <row r="182" spans="1:16" x14ac:dyDescent="0.25">
      <c r="A182" s="244" t="s">
        <v>84</v>
      </c>
      <c r="B182" s="255" t="s">
        <v>260</v>
      </c>
      <c r="C182" s="256">
        <v>46113</v>
      </c>
      <c r="D182" s="254" t="s">
        <v>140</v>
      </c>
      <c r="E182" s="246">
        <v>46043</v>
      </c>
      <c r="F182" s="247" t="s">
        <v>115</v>
      </c>
      <c r="G182" s="248" t="s">
        <v>214</v>
      </c>
      <c r="H182" s="248"/>
      <c r="I182" s="248"/>
      <c r="J182" s="248"/>
      <c r="K182" s="248"/>
      <c r="L182" s="248"/>
      <c r="M182" s="248"/>
      <c r="N182" s="253" t="s">
        <v>261</v>
      </c>
      <c r="O182" s="250" t="s">
        <v>145</v>
      </c>
      <c r="P182" s="251">
        <v>0</v>
      </c>
    </row>
    <row r="183" spans="1:16" x14ac:dyDescent="0.25">
      <c r="A183" s="244" t="s">
        <v>84</v>
      </c>
      <c r="B183" s="255" t="s">
        <v>125</v>
      </c>
      <c r="C183" s="256" t="s">
        <v>125</v>
      </c>
      <c r="D183" s="254" t="s">
        <v>125</v>
      </c>
      <c r="E183" s="246" t="s">
        <v>125</v>
      </c>
      <c r="F183" s="247" t="s">
        <v>125</v>
      </c>
      <c r="G183" s="248" t="s">
        <v>214</v>
      </c>
      <c r="H183" s="248"/>
      <c r="I183" s="248"/>
      <c r="J183" s="248"/>
      <c r="K183" s="248"/>
      <c r="L183" s="248"/>
      <c r="M183" s="248"/>
      <c r="N183" s="253" t="s">
        <v>261</v>
      </c>
      <c r="O183" s="250" t="s">
        <v>145</v>
      </c>
      <c r="P183" s="251">
        <v>0</v>
      </c>
    </row>
    <row r="184" spans="1:16" x14ac:dyDescent="0.25">
      <c r="A184" s="244" t="s">
        <v>84</v>
      </c>
      <c r="B184" s="255" t="s">
        <v>125</v>
      </c>
      <c r="C184" s="256" t="s">
        <v>125</v>
      </c>
      <c r="D184" s="254" t="s">
        <v>125</v>
      </c>
      <c r="E184" s="246" t="s">
        <v>125</v>
      </c>
      <c r="F184" s="247" t="s">
        <v>125</v>
      </c>
      <c r="G184" s="248" t="s">
        <v>214</v>
      </c>
      <c r="H184" s="248"/>
      <c r="I184" s="248"/>
      <c r="J184" s="248"/>
      <c r="K184" s="248"/>
      <c r="L184" s="248"/>
      <c r="M184" s="248"/>
      <c r="N184" s="253" t="s">
        <v>261</v>
      </c>
      <c r="O184" s="250" t="s">
        <v>145</v>
      </c>
      <c r="P184" s="251">
        <v>0</v>
      </c>
    </row>
    <row r="185" spans="1:16" x14ac:dyDescent="0.25">
      <c r="A185" s="244" t="s">
        <v>84</v>
      </c>
      <c r="B185" s="255" t="s">
        <v>125</v>
      </c>
      <c r="C185" s="256" t="s">
        <v>125</v>
      </c>
      <c r="D185" s="254" t="s">
        <v>125</v>
      </c>
      <c r="E185" s="246" t="s">
        <v>125</v>
      </c>
      <c r="F185" s="247" t="s">
        <v>125</v>
      </c>
      <c r="G185" s="248" t="s">
        <v>214</v>
      </c>
      <c r="H185" s="248"/>
      <c r="I185" s="248"/>
      <c r="J185" s="248"/>
      <c r="K185" s="248"/>
      <c r="L185" s="248"/>
      <c r="M185" s="248"/>
      <c r="N185" s="253" t="s">
        <v>261</v>
      </c>
      <c r="O185" s="250" t="s">
        <v>145</v>
      </c>
      <c r="P185" s="251">
        <v>0</v>
      </c>
    </row>
    <row r="186" spans="1:16" x14ac:dyDescent="0.25">
      <c r="A186" s="244" t="s">
        <v>99</v>
      </c>
      <c r="B186" s="255" t="s">
        <v>262</v>
      </c>
      <c r="C186" s="256">
        <v>46174</v>
      </c>
      <c r="D186" s="244" t="s">
        <v>263</v>
      </c>
      <c r="E186" s="246">
        <v>45985</v>
      </c>
      <c r="F186" s="247" t="s">
        <v>128</v>
      </c>
      <c r="G186" s="248" t="s">
        <v>264</v>
      </c>
      <c r="H186" s="248"/>
      <c r="I186" s="248"/>
      <c r="J186" s="248"/>
      <c r="K186" s="248"/>
      <c r="L186" s="248"/>
      <c r="M186" s="248"/>
      <c r="N186" s="249" t="s">
        <v>265</v>
      </c>
      <c r="O186" s="250" t="s">
        <v>130</v>
      </c>
      <c r="P186" s="251">
        <v>1</v>
      </c>
    </row>
    <row r="187" spans="1:16" x14ac:dyDescent="0.25">
      <c r="A187" s="244" t="s">
        <v>99</v>
      </c>
      <c r="B187" s="255" t="s">
        <v>125</v>
      </c>
      <c r="C187" s="256" t="s">
        <v>125</v>
      </c>
      <c r="D187" s="244" t="s">
        <v>125</v>
      </c>
      <c r="E187" s="246" t="s">
        <v>125</v>
      </c>
      <c r="F187" s="247" t="s">
        <v>125</v>
      </c>
      <c r="G187" s="248" t="s">
        <v>264</v>
      </c>
      <c r="H187" s="248"/>
      <c r="I187" s="248"/>
      <c r="J187" s="248"/>
      <c r="K187" s="248"/>
      <c r="L187" s="248"/>
      <c r="M187" s="248"/>
      <c r="N187" s="249" t="s">
        <v>265</v>
      </c>
      <c r="O187" s="250" t="s">
        <v>130</v>
      </c>
      <c r="P187" s="251">
        <v>1</v>
      </c>
    </row>
    <row r="188" spans="1:16" x14ac:dyDescent="0.25">
      <c r="A188" s="244" t="s">
        <v>99</v>
      </c>
      <c r="B188" s="255" t="s">
        <v>125</v>
      </c>
      <c r="C188" s="256" t="s">
        <v>125</v>
      </c>
      <c r="D188" s="244" t="s">
        <v>125</v>
      </c>
      <c r="E188" s="246" t="s">
        <v>125</v>
      </c>
      <c r="F188" s="247" t="s">
        <v>125</v>
      </c>
      <c r="G188" s="248" t="s">
        <v>264</v>
      </c>
      <c r="H188" s="248"/>
      <c r="I188" s="248"/>
      <c r="J188" s="248"/>
      <c r="K188" s="248"/>
      <c r="L188" s="248"/>
      <c r="M188" s="248"/>
      <c r="N188" s="249" t="s">
        <v>265</v>
      </c>
      <c r="O188" s="250" t="s">
        <v>130</v>
      </c>
      <c r="P188" s="251">
        <v>1</v>
      </c>
    </row>
    <row r="189" spans="1:16" x14ac:dyDescent="0.25">
      <c r="A189" s="244" t="s">
        <v>99</v>
      </c>
      <c r="B189" s="255" t="s">
        <v>125</v>
      </c>
      <c r="C189" s="256" t="s">
        <v>125</v>
      </c>
      <c r="D189" s="244" t="s">
        <v>125</v>
      </c>
      <c r="E189" s="246" t="s">
        <v>125</v>
      </c>
      <c r="F189" s="247" t="s">
        <v>125</v>
      </c>
      <c r="G189" s="248" t="s">
        <v>264</v>
      </c>
      <c r="H189" s="248"/>
      <c r="I189" s="248"/>
      <c r="J189" s="248"/>
      <c r="K189" s="248"/>
      <c r="L189" s="248"/>
      <c r="M189" s="248"/>
      <c r="N189" s="249" t="s">
        <v>265</v>
      </c>
      <c r="O189" s="250" t="s">
        <v>130</v>
      </c>
      <c r="P189" s="251">
        <v>1</v>
      </c>
    </row>
    <row r="190" spans="1:16" x14ac:dyDescent="0.25">
      <c r="A190" s="244" t="s">
        <v>98</v>
      </c>
      <c r="B190" s="245" t="s">
        <v>262</v>
      </c>
      <c r="C190" s="246">
        <v>46174</v>
      </c>
      <c r="D190" s="244" t="s">
        <v>266</v>
      </c>
      <c r="E190" s="246">
        <v>46006</v>
      </c>
      <c r="F190" s="247" t="s">
        <v>128</v>
      </c>
      <c r="G190" s="248" t="s">
        <v>264</v>
      </c>
      <c r="H190" s="248"/>
      <c r="I190" s="248"/>
      <c r="J190" s="248"/>
      <c r="K190" s="248"/>
      <c r="L190" s="248"/>
      <c r="M190" s="248"/>
      <c r="N190" s="249" t="s">
        <v>267</v>
      </c>
      <c r="O190" s="250" t="s">
        <v>130</v>
      </c>
      <c r="P190" s="251">
        <v>1</v>
      </c>
    </row>
    <row r="191" spans="1:16" x14ac:dyDescent="0.25">
      <c r="A191" s="244" t="s">
        <v>98</v>
      </c>
      <c r="B191" s="245" t="s">
        <v>125</v>
      </c>
      <c r="C191" s="246" t="s">
        <v>125</v>
      </c>
      <c r="D191" s="244" t="s">
        <v>125</v>
      </c>
      <c r="E191" s="246" t="s">
        <v>125</v>
      </c>
      <c r="F191" s="247" t="s">
        <v>125</v>
      </c>
      <c r="G191" s="248" t="s">
        <v>264</v>
      </c>
      <c r="H191" s="248"/>
      <c r="I191" s="248"/>
      <c r="J191" s="248"/>
      <c r="K191" s="248"/>
      <c r="L191" s="248"/>
      <c r="M191" s="248"/>
      <c r="N191" s="249" t="s">
        <v>267</v>
      </c>
      <c r="O191" s="250" t="s">
        <v>130</v>
      </c>
      <c r="P191" s="251">
        <v>1</v>
      </c>
    </row>
    <row r="192" spans="1:16" x14ac:dyDescent="0.25">
      <c r="A192" s="244" t="s">
        <v>98</v>
      </c>
      <c r="B192" s="245" t="s">
        <v>125</v>
      </c>
      <c r="C192" s="246" t="s">
        <v>125</v>
      </c>
      <c r="D192" s="244" t="s">
        <v>125</v>
      </c>
      <c r="E192" s="246" t="s">
        <v>125</v>
      </c>
      <c r="F192" s="247" t="s">
        <v>125</v>
      </c>
      <c r="G192" s="248" t="s">
        <v>264</v>
      </c>
      <c r="H192" s="248"/>
      <c r="I192" s="248"/>
      <c r="J192" s="248"/>
      <c r="K192" s="248"/>
      <c r="L192" s="248"/>
      <c r="M192" s="248"/>
      <c r="N192" s="249" t="s">
        <v>267</v>
      </c>
      <c r="O192" s="250" t="s">
        <v>130</v>
      </c>
      <c r="P192" s="251">
        <v>1</v>
      </c>
    </row>
    <row r="193" spans="1:16" x14ac:dyDescent="0.25">
      <c r="A193" s="244" t="s">
        <v>98</v>
      </c>
      <c r="B193" s="245" t="s">
        <v>125</v>
      </c>
      <c r="C193" s="246" t="s">
        <v>125</v>
      </c>
      <c r="D193" s="244" t="s">
        <v>125</v>
      </c>
      <c r="E193" s="246" t="s">
        <v>125</v>
      </c>
      <c r="F193" s="247" t="s">
        <v>125</v>
      </c>
      <c r="G193" s="248" t="s">
        <v>264</v>
      </c>
      <c r="H193" s="248"/>
      <c r="I193" s="248"/>
      <c r="J193" s="248"/>
      <c r="K193" s="248"/>
      <c r="L193" s="248"/>
      <c r="M193" s="248"/>
      <c r="N193" s="249" t="s">
        <v>267</v>
      </c>
      <c r="O193" s="250" t="s">
        <v>130</v>
      </c>
      <c r="P193" s="251">
        <v>1</v>
      </c>
    </row>
    <row r="194" spans="1:16" x14ac:dyDescent="0.25">
      <c r="A194" s="244" t="s">
        <v>97</v>
      </c>
      <c r="B194" s="245" t="s">
        <v>268</v>
      </c>
      <c r="C194" s="246">
        <v>46174</v>
      </c>
      <c r="D194" s="244" t="s">
        <v>269</v>
      </c>
      <c r="E194" s="246">
        <v>46006</v>
      </c>
      <c r="F194" s="247" t="s">
        <v>115</v>
      </c>
      <c r="G194" s="248" t="s">
        <v>264</v>
      </c>
      <c r="H194" s="248"/>
      <c r="I194" s="248"/>
      <c r="J194" s="248"/>
      <c r="K194" s="248"/>
      <c r="L194" s="248"/>
      <c r="M194" s="248"/>
      <c r="N194" s="249" t="s">
        <v>270</v>
      </c>
      <c r="O194" s="250" t="s">
        <v>145</v>
      </c>
      <c r="P194" s="251">
        <v>0</v>
      </c>
    </row>
    <row r="195" spans="1:16" x14ac:dyDescent="0.25">
      <c r="A195" s="244" t="s">
        <v>97</v>
      </c>
      <c r="B195" s="245" t="s">
        <v>125</v>
      </c>
      <c r="C195" s="246" t="s">
        <v>125</v>
      </c>
      <c r="D195" s="244" t="s">
        <v>125</v>
      </c>
      <c r="E195" s="246" t="s">
        <v>125</v>
      </c>
      <c r="F195" s="247" t="s">
        <v>125</v>
      </c>
      <c r="G195" s="248" t="s">
        <v>264</v>
      </c>
      <c r="H195" s="248"/>
      <c r="I195" s="248"/>
      <c r="J195" s="248"/>
      <c r="K195" s="248"/>
      <c r="L195" s="248"/>
      <c r="M195" s="248"/>
      <c r="N195" s="249" t="s">
        <v>270</v>
      </c>
      <c r="O195" s="250" t="s">
        <v>145</v>
      </c>
      <c r="P195" s="251">
        <v>0</v>
      </c>
    </row>
    <row r="196" spans="1:16" x14ac:dyDescent="0.25">
      <c r="A196" s="244" t="s">
        <v>97</v>
      </c>
      <c r="B196" s="245" t="s">
        <v>125</v>
      </c>
      <c r="C196" s="246" t="s">
        <v>125</v>
      </c>
      <c r="D196" s="244" t="s">
        <v>125</v>
      </c>
      <c r="E196" s="246" t="s">
        <v>125</v>
      </c>
      <c r="F196" s="247" t="s">
        <v>125</v>
      </c>
      <c r="G196" s="248" t="s">
        <v>264</v>
      </c>
      <c r="H196" s="248"/>
      <c r="I196" s="248"/>
      <c r="J196" s="248"/>
      <c r="K196" s="248"/>
      <c r="L196" s="248"/>
      <c r="M196" s="248"/>
      <c r="N196" s="249" t="s">
        <v>270</v>
      </c>
      <c r="O196" s="250" t="s">
        <v>145</v>
      </c>
      <c r="P196" s="251">
        <v>0</v>
      </c>
    </row>
    <row r="197" spans="1:16" x14ac:dyDescent="0.25">
      <c r="A197" s="244" t="s">
        <v>97</v>
      </c>
      <c r="B197" s="245" t="s">
        <v>125</v>
      </c>
      <c r="C197" s="246" t="s">
        <v>125</v>
      </c>
      <c r="D197" s="244" t="s">
        <v>125</v>
      </c>
      <c r="E197" s="246" t="s">
        <v>125</v>
      </c>
      <c r="F197" s="247" t="s">
        <v>125</v>
      </c>
      <c r="G197" s="248" t="s">
        <v>264</v>
      </c>
      <c r="H197" s="248"/>
      <c r="I197" s="248"/>
      <c r="J197" s="248"/>
      <c r="K197" s="248"/>
      <c r="L197" s="248"/>
      <c r="M197" s="248"/>
      <c r="N197" s="249" t="s">
        <v>270</v>
      </c>
      <c r="O197" s="250" t="s">
        <v>145</v>
      </c>
      <c r="P197" s="251">
        <v>0</v>
      </c>
    </row>
    <row r="198" spans="1:16" x14ac:dyDescent="0.25">
      <c r="A198" s="244" t="s">
        <v>77</v>
      </c>
      <c r="B198" s="255" t="s">
        <v>271</v>
      </c>
      <c r="C198" s="256">
        <v>46174</v>
      </c>
      <c r="D198" s="254" t="s">
        <v>272</v>
      </c>
      <c r="E198" s="246">
        <v>46052</v>
      </c>
      <c r="F198" s="247" t="s">
        <v>128</v>
      </c>
      <c r="G198" s="248" t="s">
        <v>75</v>
      </c>
      <c r="H198" s="248"/>
      <c r="I198" s="248"/>
      <c r="J198" s="248"/>
      <c r="K198" s="248"/>
      <c r="L198" s="248"/>
      <c r="M198" s="248"/>
      <c r="N198" s="249" t="s">
        <v>273</v>
      </c>
      <c r="O198" s="250" t="s">
        <v>130</v>
      </c>
      <c r="P198" s="251">
        <v>1</v>
      </c>
    </row>
    <row r="199" spans="1:16" x14ac:dyDescent="0.25">
      <c r="A199" s="244" t="s">
        <v>77</v>
      </c>
      <c r="B199" s="255" t="s">
        <v>125</v>
      </c>
      <c r="C199" s="256" t="s">
        <v>125</v>
      </c>
      <c r="D199" s="254" t="s">
        <v>125</v>
      </c>
      <c r="E199" s="246" t="s">
        <v>125</v>
      </c>
      <c r="F199" s="247" t="s">
        <v>125</v>
      </c>
      <c r="G199" s="248" t="s">
        <v>75</v>
      </c>
      <c r="H199" s="248"/>
      <c r="I199" s="248"/>
      <c r="J199" s="248"/>
      <c r="K199" s="248"/>
      <c r="L199" s="248"/>
      <c r="M199" s="248"/>
      <c r="N199" s="249" t="s">
        <v>273</v>
      </c>
      <c r="O199" s="250" t="s">
        <v>130</v>
      </c>
      <c r="P199" s="251">
        <v>1</v>
      </c>
    </row>
    <row r="200" spans="1:16" x14ac:dyDescent="0.25">
      <c r="A200" s="244" t="s">
        <v>77</v>
      </c>
      <c r="B200" s="255" t="s">
        <v>125</v>
      </c>
      <c r="C200" s="256" t="s">
        <v>125</v>
      </c>
      <c r="D200" s="254" t="s">
        <v>125</v>
      </c>
      <c r="E200" s="246" t="s">
        <v>125</v>
      </c>
      <c r="F200" s="247" t="s">
        <v>125</v>
      </c>
      <c r="G200" s="248" t="s">
        <v>75</v>
      </c>
      <c r="H200" s="248"/>
      <c r="I200" s="248"/>
      <c r="J200" s="248"/>
      <c r="K200" s="248"/>
      <c r="L200" s="248"/>
      <c r="M200" s="248"/>
      <c r="N200" s="249" t="s">
        <v>273</v>
      </c>
      <c r="O200" s="250" t="s">
        <v>130</v>
      </c>
      <c r="P200" s="251">
        <v>1</v>
      </c>
    </row>
    <row r="201" spans="1:16" x14ac:dyDescent="0.25">
      <c r="A201" s="244" t="s">
        <v>77</v>
      </c>
      <c r="B201" s="255" t="s">
        <v>125</v>
      </c>
      <c r="C201" s="256" t="s">
        <v>125</v>
      </c>
      <c r="D201" s="254" t="s">
        <v>125</v>
      </c>
      <c r="E201" s="246" t="s">
        <v>125</v>
      </c>
      <c r="F201" s="247" t="s">
        <v>125</v>
      </c>
      <c r="G201" s="248" t="s">
        <v>75</v>
      </c>
      <c r="H201" s="248"/>
      <c r="I201" s="248"/>
      <c r="J201" s="248"/>
      <c r="K201" s="248"/>
      <c r="L201" s="248"/>
      <c r="M201" s="248"/>
      <c r="N201" s="249" t="s">
        <v>273</v>
      </c>
      <c r="O201" s="250" t="s">
        <v>130</v>
      </c>
      <c r="P201" s="251">
        <v>1</v>
      </c>
    </row>
    <row r="202" spans="1:16" x14ac:dyDescent="0.25">
      <c r="A202" s="244" t="s">
        <v>20</v>
      </c>
      <c r="B202" s="255" t="s">
        <v>271</v>
      </c>
      <c r="C202" s="256">
        <v>46174</v>
      </c>
      <c r="D202" s="244" t="s">
        <v>132</v>
      </c>
      <c r="E202" s="246">
        <v>46063</v>
      </c>
      <c r="F202" s="247" t="s">
        <v>115</v>
      </c>
      <c r="G202" s="248" t="s">
        <v>116</v>
      </c>
      <c r="H202" s="248" t="s">
        <v>75</v>
      </c>
      <c r="I202" s="248"/>
      <c r="J202" s="248"/>
      <c r="K202" s="248"/>
      <c r="L202" s="248"/>
      <c r="M202" s="248"/>
      <c r="N202" s="249" t="s">
        <v>274</v>
      </c>
      <c r="O202" s="250" t="s">
        <v>130</v>
      </c>
      <c r="P202" s="251">
        <v>1</v>
      </c>
    </row>
    <row r="203" spans="1:16" x14ac:dyDescent="0.25">
      <c r="A203" s="244" t="s">
        <v>20</v>
      </c>
      <c r="B203" s="255" t="s">
        <v>125</v>
      </c>
      <c r="C203" s="256" t="s">
        <v>125</v>
      </c>
      <c r="D203" s="244" t="s">
        <v>125</v>
      </c>
      <c r="E203" s="246" t="s">
        <v>125</v>
      </c>
      <c r="F203" s="247" t="s">
        <v>125</v>
      </c>
      <c r="G203" s="248" t="s">
        <v>116</v>
      </c>
      <c r="H203" s="248" t="s">
        <v>75</v>
      </c>
      <c r="I203" s="248"/>
      <c r="J203" s="248"/>
      <c r="K203" s="248"/>
      <c r="L203" s="248"/>
      <c r="M203" s="248"/>
      <c r="N203" s="249" t="s">
        <v>274</v>
      </c>
      <c r="O203" s="250" t="s">
        <v>130</v>
      </c>
      <c r="P203" s="251">
        <v>1</v>
      </c>
    </row>
    <row r="204" spans="1:16" x14ac:dyDescent="0.25">
      <c r="A204" s="244" t="s">
        <v>20</v>
      </c>
      <c r="B204" s="255" t="s">
        <v>125</v>
      </c>
      <c r="C204" s="256" t="s">
        <v>125</v>
      </c>
      <c r="D204" s="244" t="s">
        <v>125</v>
      </c>
      <c r="E204" s="246" t="s">
        <v>125</v>
      </c>
      <c r="F204" s="247" t="s">
        <v>125</v>
      </c>
      <c r="G204" s="248" t="s">
        <v>116</v>
      </c>
      <c r="H204" s="248" t="s">
        <v>75</v>
      </c>
      <c r="I204" s="248"/>
      <c r="J204" s="248"/>
      <c r="K204" s="248"/>
      <c r="L204" s="248"/>
      <c r="M204" s="248"/>
      <c r="N204" s="249" t="s">
        <v>274</v>
      </c>
      <c r="O204" s="250" t="s">
        <v>130</v>
      </c>
      <c r="P204" s="251">
        <v>1</v>
      </c>
    </row>
    <row r="205" spans="1:16" x14ac:dyDescent="0.25">
      <c r="A205" s="244" t="s">
        <v>20</v>
      </c>
      <c r="B205" s="255" t="s">
        <v>125</v>
      </c>
      <c r="C205" s="256" t="s">
        <v>125</v>
      </c>
      <c r="D205" s="244" t="s">
        <v>125</v>
      </c>
      <c r="E205" s="246" t="s">
        <v>125</v>
      </c>
      <c r="F205" s="247" t="s">
        <v>125</v>
      </c>
      <c r="G205" s="248" t="s">
        <v>116</v>
      </c>
      <c r="H205" s="248" t="s">
        <v>75</v>
      </c>
      <c r="I205" s="248"/>
      <c r="J205" s="248"/>
      <c r="K205" s="248"/>
      <c r="L205" s="248"/>
      <c r="M205" s="248"/>
      <c r="N205" s="249" t="s">
        <v>274</v>
      </c>
      <c r="O205" s="250" t="s">
        <v>130</v>
      </c>
      <c r="P205" s="251">
        <v>1</v>
      </c>
    </row>
    <row r="206" spans="1:16" x14ac:dyDescent="0.25">
      <c r="A206" s="244" t="s">
        <v>78</v>
      </c>
      <c r="B206" s="255" t="s">
        <v>275</v>
      </c>
      <c r="C206" s="256">
        <v>46174</v>
      </c>
      <c r="D206" s="254" t="s">
        <v>276</v>
      </c>
      <c r="E206" s="246">
        <v>46052</v>
      </c>
      <c r="F206" s="247" t="s">
        <v>128</v>
      </c>
      <c r="G206" s="248" t="s">
        <v>75</v>
      </c>
      <c r="H206" s="248"/>
      <c r="I206" s="248"/>
      <c r="J206" s="248"/>
      <c r="K206" s="248"/>
      <c r="L206" s="248"/>
      <c r="M206" s="248"/>
      <c r="N206" s="249" t="s">
        <v>277</v>
      </c>
      <c r="O206" s="250" t="s">
        <v>130</v>
      </c>
      <c r="P206" s="251">
        <v>1</v>
      </c>
    </row>
    <row r="207" spans="1:16" x14ac:dyDescent="0.25">
      <c r="A207" s="244" t="s">
        <v>78</v>
      </c>
      <c r="B207" s="255" t="s">
        <v>125</v>
      </c>
      <c r="C207" s="256" t="s">
        <v>125</v>
      </c>
      <c r="D207" s="254" t="s">
        <v>125</v>
      </c>
      <c r="E207" s="246" t="s">
        <v>125</v>
      </c>
      <c r="F207" s="247" t="s">
        <v>125</v>
      </c>
      <c r="G207" s="248" t="s">
        <v>75</v>
      </c>
      <c r="H207" s="248"/>
      <c r="I207" s="248"/>
      <c r="J207" s="248"/>
      <c r="K207" s="248"/>
      <c r="L207" s="248"/>
      <c r="M207" s="248"/>
      <c r="N207" s="249" t="s">
        <v>277</v>
      </c>
      <c r="O207" s="250" t="s">
        <v>130</v>
      </c>
      <c r="P207" s="251">
        <v>1</v>
      </c>
    </row>
    <row r="208" spans="1:16" x14ac:dyDescent="0.25">
      <c r="A208" s="244" t="s">
        <v>78</v>
      </c>
      <c r="B208" s="255" t="s">
        <v>125</v>
      </c>
      <c r="C208" s="256" t="s">
        <v>125</v>
      </c>
      <c r="D208" s="254" t="s">
        <v>125</v>
      </c>
      <c r="E208" s="246" t="s">
        <v>125</v>
      </c>
      <c r="F208" s="247" t="s">
        <v>125</v>
      </c>
      <c r="G208" s="248" t="s">
        <v>75</v>
      </c>
      <c r="H208" s="248"/>
      <c r="I208" s="248"/>
      <c r="J208" s="248"/>
      <c r="K208" s="248"/>
      <c r="L208" s="248"/>
      <c r="M208" s="248"/>
      <c r="N208" s="249" t="s">
        <v>277</v>
      </c>
      <c r="O208" s="250" t="s">
        <v>130</v>
      </c>
      <c r="P208" s="251">
        <v>1</v>
      </c>
    </row>
    <row r="209" spans="1:16" x14ac:dyDescent="0.25">
      <c r="A209" s="244" t="s">
        <v>78</v>
      </c>
      <c r="B209" s="255" t="s">
        <v>125</v>
      </c>
      <c r="C209" s="256" t="s">
        <v>125</v>
      </c>
      <c r="D209" s="254" t="s">
        <v>125</v>
      </c>
      <c r="E209" s="246" t="s">
        <v>125</v>
      </c>
      <c r="F209" s="247" t="s">
        <v>125</v>
      </c>
      <c r="G209" s="248" t="s">
        <v>75</v>
      </c>
      <c r="H209" s="248"/>
      <c r="I209" s="248"/>
      <c r="J209" s="248"/>
      <c r="K209" s="248"/>
      <c r="L209" s="248"/>
      <c r="M209" s="248"/>
      <c r="N209" s="249" t="s">
        <v>277</v>
      </c>
      <c r="O209" s="250" t="s">
        <v>130</v>
      </c>
      <c r="P209" s="251">
        <v>1</v>
      </c>
    </row>
    <row r="210" spans="1:16" x14ac:dyDescent="0.25">
      <c r="A210" s="244" t="s">
        <v>21</v>
      </c>
      <c r="B210" s="255" t="s">
        <v>278</v>
      </c>
      <c r="C210" s="256">
        <v>46174</v>
      </c>
      <c r="D210" s="244" t="s">
        <v>279</v>
      </c>
      <c r="E210" s="246">
        <v>46052</v>
      </c>
      <c r="F210" s="247" t="s">
        <v>128</v>
      </c>
      <c r="G210" s="248" t="s">
        <v>116</v>
      </c>
      <c r="H210" s="248" t="s">
        <v>75</v>
      </c>
      <c r="I210" s="248"/>
      <c r="J210" s="248"/>
      <c r="K210" s="248"/>
      <c r="L210" s="248"/>
      <c r="M210" s="248"/>
      <c r="N210" s="249" t="s">
        <v>280</v>
      </c>
      <c r="O210" s="250" t="s">
        <v>130</v>
      </c>
      <c r="P210" s="251">
        <v>1</v>
      </c>
    </row>
    <row r="211" spans="1:16" x14ac:dyDescent="0.25">
      <c r="A211" s="244" t="s">
        <v>21</v>
      </c>
      <c r="B211" s="255" t="s">
        <v>125</v>
      </c>
      <c r="C211" s="256" t="s">
        <v>125</v>
      </c>
      <c r="D211" s="244" t="s">
        <v>125</v>
      </c>
      <c r="E211" s="246" t="s">
        <v>125</v>
      </c>
      <c r="F211" s="247" t="s">
        <v>125</v>
      </c>
      <c r="G211" s="248" t="s">
        <v>116</v>
      </c>
      <c r="H211" s="248" t="s">
        <v>75</v>
      </c>
      <c r="I211" s="248"/>
      <c r="J211" s="248"/>
      <c r="K211" s="248"/>
      <c r="L211" s="248"/>
      <c r="M211" s="248"/>
      <c r="N211" s="249" t="s">
        <v>280</v>
      </c>
      <c r="O211" s="250" t="s">
        <v>130</v>
      </c>
      <c r="P211" s="251">
        <v>1</v>
      </c>
    </row>
    <row r="212" spans="1:16" x14ac:dyDescent="0.25">
      <c r="A212" s="244" t="s">
        <v>21</v>
      </c>
      <c r="B212" s="255" t="s">
        <v>125</v>
      </c>
      <c r="C212" s="256" t="s">
        <v>125</v>
      </c>
      <c r="D212" s="244" t="s">
        <v>125</v>
      </c>
      <c r="E212" s="246" t="s">
        <v>125</v>
      </c>
      <c r="F212" s="247" t="s">
        <v>125</v>
      </c>
      <c r="G212" s="248" t="s">
        <v>116</v>
      </c>
      <c r="H212" s="248" t="s">
        <v>75</v>
      </c>
      <c r="I212" s="248"/>
      <c r="J212" s="248"/>
      <c r="K212" s="248"/>
      <c r="L212" s="248"/>
      <c r="M212" s="248"/>
      <c r="N212" s="249" t="s">
        <v>280</v>
      </c>
      <c r="O212" s="250" t="s">
        <v>130</v>
      </c>
      <c r="P212" s="251">
        <v>1</v>
      </c>
    </row>
    <row r="213" spans="1:16" x14ac:dyDescent="0.25">
      <c r="A213" s="244" t="s">
        <v>21</v>
      </c>
      <c r="B213" s="255" t="s">
        <v>125</v>
      </c>
      <c r="C213" s="256" t="s">
        <v>125</v>
      </c>
      <c r="D213" s="244" t="s">
        <v>125</v>
      </c>
      <c r="E213" s="246" t="s">
        <v>125</v>
      </c>
      <c r="F213" s="247" t="s">
        <v>125</v>
      </c>
      <c r="G213" s="248" t="s">
        <v>116</v>
      </c>
      <c r="H213" s="248" t="s">
        <v>75</v>
      </c>
      <c r="I213" s="248"/>
      <c r="J213" s="248"/>
      <c r="K213" s="248"/>
      <c r="L213" s="248"/>
      <c r="M213" s="248"/>
      <c r="N213" s="249" t="s">
        <v>280</v>
      </c>
      <c r="O213" s="250" t="s">
        <v>130</v>
      </c>
      <c r="P213" s="251">
        <v>1</v>
      </c>
    </row>
    <row r="214" spans="1:16" x14ac:dyDescent="0.25">
      <c r="A214" s="244" t="s">
        <v>79</v>
      </c>
      <c r="B214" s="245" t="s">
        <v>125</v>
      </c>
      <c r="C214" s="246" t="s">
        <v>125</v>
      </c>
      <c r="D214" s="244" t="s">
        <v>125</v>
      </c>
      <c r="E214" s="246" t="s">
        <v>125</v>
      </c>
      <c r="F214" s="247" t="s">
        <v>125</v>
      </c>
      <c r="G214" s="248" t="s">
        <v>75</v>
      </c>
      <c r="H214" s="248"/>
      <c r="I214" s="248"/>
      <c r="J214" s="248"/>
      <c r="K214" s="248"/>
      <c r="L214" s="248"/>
      <c r="M214" s="248"/>
      <c r="N214" s="249" t="s">
        <v>281</v>
      </c>
      <c r="O214" s="250" t="s">
        <v>130</v>
      </c>
      <c r="P214" s="251">
        <v>1</v>
      </c>
    </row>
    <row r="215" spans="1:16" x14ac:dyDescent="0.25">
      <c r="A215" s="244" t="s">
        <v>79</v>
      </c>
      <c r="B215" s="245" t="s">
        <v>125</v>
      </c>
      <c r="C215" s="246" t="s">
        <v>125</v>
      </c>
      <c r="D215" s="244" t="s">
        <v>125</v>
      </c>
      <c r="E215" s="246" t="s">
        <v>125</v>
      </c>
      <c r="F215" s="247" t="s">
        <v>125</v>
      </c>
      <c r="G215" s="248" t="s">
        <v>75</v>
      </c>
      <c r="H215" s="248"/>
      <c r="I215" s="248"/>
      <c r="J215" s="248"/>
      <c r="K215" s="248"/>
      <c r="L215" s="248"/>
      <c r="M215" s="248"/>
      <c r="N215" s="249" t="s">
        <v>281</v>
      </c>
      <c r="O215" s="250" t="s">
        <v>130</v>
      </c>
      <c r="P215" s="251">
        <v>1</v>
      </c>
    </row>
    <row r="216" spans="1:16" x14ac:dyDescent="0.25">
      <c r="A216" s="244" t="s">
        <v>79</v>
      </c>
      <c r="B216" s="245" t="s">
        <v>125</v>
      </c>
      <c r="C216" s="246" t="s">
        <v>125</v>
      </c>
      <c r="D216" s="244" t="s">
        <v>125</v>
      </c>
      <c r="E216" s="246" t="s">
        <v>125</v>
      </c>
      <c r="F216" s="247" t="s">
        <v>125</v>
      </c>
      <c r="G216" s="248" t="s">
        <v>75</v>
      </c>
      <c r="H216" s="248"/>
      <c r="I216" s="248"/>
      <c r="J216" s="248"/>
      <c r="K216" s="248"/>
      <c r="L216" s="248"/>
      <c r="M216" s="248"/>
      <c r="N216" s="249" t="s">
        <v>281</v>
      </c>
      <c r="O216" s="250" t="s">
        <v>130</v>
      </c>
      <c r="P216" s="251">
        <v>1</v>
      </c>
    </row>
    <row r="217" spans="1:16" x14ac:dyDescent="0.25">
      <c r="A217" s="244" t="s">
        <v>79</v>
      </c>
      <c r="B217" s="245" t="s">
        <v>125</v>
      </c>
      <c r="C217" s="246" t="s">
        <v>125</v>
      </c>
      <c r="D217" s="244" t="s">
        <v>125</v>
      </c>
      <c r="E217" s="246" t="s">
        <v>125</v>
      </c>
      <c r="F217" s="247" t="s">
        <v>125</v>
      </c>
      <c r="G217" s="248" t="s">
        <v>75</v>
      </c>
      <c r="H217" s="248"/>
      <c r="I217" s="248"/>
      <c r="J217" s="248"/>
      <c r="K217" s="248"/>
      <c r="L217" s="248"/>
      <c r="M217" s="248"/>
      <c r="N217" s="249" t="s">
        <v>281</v>
      </c>
      <c r="O217" s="250" t="s">
        <v>130</v>
      </c>
      <c r="P217" s="251">
        <v>1</v>
      </c>
    </row>
    <row r="218" spans="1:16" x14ac:dyDescent="0.25">
      <c r="A218" s="244" t="s">
        <v>22</v>
      </c>
      <c r="B218" s="255" t="s">
        <v>125</v>
      </c>
      <c r="C218" s="256" t="s">
        <v>125</v>
      </c>
      <c r="D218" s="254" t="s">
        <v>125</v>
      </c>
      <c r="E218" s="246" t="s">
        <v>125</v>
      </c>
      <c r="F218" s="247" t="s">
        <v>125</v>
      </c>
      <c r="G218" s="248" t="s">
        <v>116</v>
      </c>
      <c r="H218" s="248" t="s">
        <v>75</v>
      </c>
      <c r="I218" s="248"/>
      <c r="J218" s="248"/>
      <c r="K218" s="248"/>
      <c r="L218" s="248"/>
      <c r="M218" s="248"/>
      <c r="N218" s="249" t="s">
        <v>282</v>
      </c>
      <c r="O218" s="250" t="s">
        <v>130</v>
      </c>
      <c r="P218" s="251">
        <v>1</v>
      </c>
    </row>
    <row r="219" spans="1:16" x14ac:dyDescent="0.25">
      <c r="A219" s="244" t="s">
        <v>22</v>
      </c>
      <c r="B219" s="255" t="s">
        <v>125</v>
      </c>
      <c r="C219" s="256" t="s">
        <v>125</v>
      </c>
      <c r="D219" s="254" t="s">
        <v>125</v>
      </c>
      <c r="E219" s="246" t="s">
        <v>125</v>
      </c>
      <c r="F219" s="247" t="s">
        <v>125</v>
      </c>
      <c r="G219" s="248" t="s">
        <v>116</v>
      </c>
      <c r="H219" s="248" t="s">
        <v>75</v>
      </c>
      <c r="I219" s="248"/>
      <c r="J219" s="248"/>
      <c r="K219" s="248"/>
      <c r="L219" s="248"/>
      <c r="M219" s="248"/>
      <c r="N219" s="249" t="s">
        <v>282</v>
      </c>
      <c r="O219" s="250" t="s">
        <v>130</v>
      </c>
      <c r="P219" s="251">
        <v>1</v>
      </c>
    </row>
    <row r="220" spans="1:16" x14ac:dyDescent="0.25">
      <c r="A220" s="244" t="s">
        <v>22</v>
      </c>
      <c r="B220" s="255" t="s">
        <v>125</v>
      </c>
      <c r="C220" s="256" t="s">
        <v>125</v>
      </c>
      <c r="D220" s="254" t="s">
        <v>125</v>
      </c>
      <c r="E220" s="246" t="s">
        <v>125</v>
      </c>
      <c r="F220" s="247" t="s">
        <v>125</v>
      </c>
      <c r="G220" s="248" t="s">
        <v>116</v>
      </c>
      <c r="H220" s="248" t="s">
        <v>75</v>
      </c>
      <c r="I220" s="248"/>
      <c r="J220" s="248"/>
      <c r="K220" s="248"/>
      <c r="L220" s="248"/>
      <c r="M220" s="248"/>
      <c r="N220" s="249" t="s">
        <v>282</v>
      </c>
      <c r="O220" s="250" t="s">
        <v>130</v>
      </c>
      <c r="P220" s="251">
        <v>1</v>
      </c>
    </row>
    <row r="221" spans="1:16" x14ac:dyDescent="0.25">
      <c r="A221" s="244" t="s">
        <v>22</v>
      </c>
      <c r="B221" s="255" t="s">
        <v>125</v>
      </c>
      <c r="C221" s="256" t="s">
        <v>125</v>
      </c>
      <c r="D221" s="254" t="s">
        <v>125</v>
      </c>
      <c r="E221" s="246" t="s">
        <v>125</v>
      </c>
      <c r="F221" s="247" t="s">
        <v>125</v>
      </c>
      <c r="G221" s="248" t="s">
        <v>116</v>
      </c>
      <c r="H221" s="248" t="s">
        <v>75</v>
      </c>
      <c r="I221" s="248"/>
      <c r="J221" s="248"/>
      <c r="K221" s="248"/>
      <c r="L221" s="248"/>
      <c r="M221" s="248"/>
      <c r="N221" s="249" t="s">
        <v>282</v>
      </c>
      <c r="O221" s="250" t="s">
        <v>130</v>
      </c>
      <c r="P221" s="251">
        <v>1</v>
      </c>
    </row>
    <row r="222" spans="1:16" x14ac:dyDescent="0.25">
      <c r="A222" s="244" t="s">
        <v>57</v>
      </c>
      <c r="B222" s="245" t="s">
        <v>283</v>
      </c>
      <c r="C222" s="246">
        <v>46681</v>
      </c>
      <c r="D222" s="244" t="s">
        <v>284</v>
      </c>
      <c r="E222" s="246">
        <v>46007</v>
      </c>
      <c r="F222" s="247" t="s">
        <v>128</v>
      </c>
      <c r="G222" s="248" t="s">
        <v>285</v>
      </c>
      <c r="H222" s="248"/>
      <c r="I222" s="248"/>
      <c r="J222" s="248"/>
      <c r="K222" s="248"/>
      <c r="L222" s="248"/>
      <c r="M222" s="248"/>
      <c r="N222" s="249" t="s">
        <v>286</v>
      </c>
      <c r="O222" s="250" t="s">
        <v>163</v>
      </c>
      <c r="P222" s="251">
        <v>1</v>
      </c>
    </row>
    <row r="223" spans="1:16" x14ac:dyDescent="0.25">
      <c r="A223" s="244" t="s">
        <v>57</v>
      </c>
      <c r="B223" s="245" t="s">
        <v>125</v>
      </c>
      <c r="C223" s="246" t="s">
        <v>125</v>
      </c>
      <c r="D223" s="244" t="s">
        <v>125</v>
      </c>
      <c r="E223" s="246" t="s">
        <v>125</v>
      </c>
      <c r="F223" s="247" t="s">
        <v>125</v>
      </c>
      <c r="G223" s="248" t="s">
        <v>285</v>
      </c>
      <c r="H223" s="248"/>
      <c r="I223" s="248"/>
      <c r="J223" s="248"/>
      <c r="K223" s="248"/>
      <c r="L223" s="248"/>
      <c r="M223" s="248"/>
      <c r="N223" s="249" t="s">
        <v>286</v>
      </c>
      <c r="O223" s="250" t="s">
        <v>163</v>
      </c>
      <c r="P223" s="251">
        <v>1</v>
      </c>
    </row>
    <row r="224" spans="1:16" x14ac:dyDescent="0.25">
      <c r="A224" s="244" t="s">
        <v>57</v>
      </c>
      <c r="B224" s="245" t="s">
        <v>125</v>
      </c>
      <c r="C224" s="246" t="s">
        <v>125</v>
      </c>
      <c r="D224" s="244" t="s">
        <v>125</v>
      </c>
      <c r="E224" s="246" t="s">
        <v>125</v>
      </c>
      <c r="F224" s="247" t="s">
        <v>125</v>
      </c>
      <c r="G224" s="248" t="s">
        <v>285</v>
      </c>
      <c r="H224" s="248"/>
      <c r="I224" s="248"/>
      <c r="J224" s="248"/>
      <c r="K224" s="248"/>
      <c r="L224" s="248"/>
      <c r="M224" s="248"/>
      <c r="N224" s="249" t="s">
        <v>286</v>
      </c>
      <c r="O224" s="250" t="s">
        <v>163</v>
      </c>
      <c r="P224" s="251">
        <v>1</v>
      </c>
    </row>
    <row r="225" spans="1:16" x14ac:dyDescent="0.25">
      <c r="A225" s="244" t="s">
        <v>57</v>
      </c>
      <c r="B225" s="245" t="s">
        <v>125</v>
      </c>
      <c r="C225" s="246" t="s">
        <v>125</v>
      </c>
      <c r="D225" s="244" t="s">
        <v>125</v>
      </c>
      <c r="E225" s="246" t="s">
        <v>125</v>
      </c>
      <c r="F225" s="247" t="s">
        <v>125</v>
      </c>
      <c r="G225" s="248" t="s">
        <v>285</v>
      </c>
      <c r="H225" s="248"/>
      <c r="I225" s="248"/>
      <c r="J225" s="248"/>
      <c r="K225" s="248"/>
      <c r="L225" s="248"/>
      <c r="M225" s="248"/>
      <c r="N225" s="249" t="s">
        <v>286</v>
      </c>
      <c r="O225" s="250" t="s">
        <v>163</v>
      </c>
      <c r="P225" s="251">
        <v>1</v>
      </c>
    </row>
    <row r="226" spans="1:16" x14ac:dyDescent="0.25">
      <c r="A226" s="244" t="s">
        <v>58</v>
      </c>
      <c r="B226" s="245" t="s">
        <v>287</v>
      </c>
      <c r="C226" s="246">
        <v>46196</v>
      </c>
      <c r="D226" s="244" t="s">
        <v>288</v>
      </c>
      <c r="E226" s="246">
        <v>46007</v>
      </c>
      <c r="F226" s="247" t="s">
        <v>128</v>
      </c>
      <c r="G226" s="248" t="s">
        <v>285</v>
      </c>
      <c r="H226" s="248"/>
      <c r="I226" s="248"/>
      <c r="J226" s="248"/>
      <c r="K226" s="248"/>
      <c r="L226" s="248"/>
      <c r="M226" s="248"/>
      <c r="N226" s="249" t="s">
        <v>289</v>
      </c>
      <c r="O226" s="250" t="s">
        <v>163</v>
      </c>
      <c r="P226" s="251">
        <v>1</v>
      </c>
    </row>
    <row r="227" spans="1:16" x14ac:dyDescent="0.25">
      <c r="A227" s="244" t="s">
        <v>58</v>
      </c>
      <c r="B227" s="245" t="s">
        <v>290</v>
      </c>
      <c r="C227" s="246">
        <v>46198</v>
      </c>
      <c r="D227" s="244" t="s">
        <v>291</v>
      </c>
      <c r="E227" s="246">
        <v>46007</v>
      </c>
      <c r="F227" s="247" t="s">
        <v>292</v>
      </c>
      <c r="G227" s="248" t="s">
        <v>285</v>
      </c>
      <c r="H227" s="248"/>
      <c r="I227" s="248"/>
      <c r="J227" s="248"/>
      <c r="K227" s="248"/>
      <c r="L227" s="248"/>
      <c r="M227" s="248"/>
      <c r="N227" s="249" t="s">
        <v>289</v>
      </c>
      <c r="O227" s="250" t="s">
        <v>163</v>
      </c>
      <c r="P227" s="251">
        <v>1</v>
      </c>
    </row>
    <row r="228" spans="1:16" x14ac:dyDescent="0.25">
      <c r="A228" s="244" t="s">
        <v>58</v>
      </c>
      <c r="B228" s="245" t="s">
        <v>125</v>
      </c>
      <c r="C228" s="246" t="s">
        <v>125</v>
      </c>
      <c r="D228" s="244" t="s">
        <v>125</v>
      </c>
      <c r="E228" s="246" t="s">
        <v>125</v>
      </c>
      <c r="F228" s="247" t="s">
        <v>125</v>
      </c>
      <c r="G228" s="248" t="s">
        <v>285</v>
      </c>
      <c r="H228" s="248"/>
      <c r="I228" s="248"/>
      <c r="J228" s="248"/>
      <c r="K228" s="248"/>
      <c r="L228" s="248"/>
      <c r="M228" s="248"/>
      <c r="N228" s="249" t="s">
        <v>289</v>
      </c>
      <c r="O228" s="250" t="s">
        <v>163</v>
      </c>
      <c r="P228" s="251">
        <v>1</v>
      </c>
    </row>
    <row r="229" spans="1:16" x14ac:dyDescent="0.25">
      <c r="A229" s="244" t="s">
        <v>58</v>
      </c>
      <c r="B229" s="245" t="s">
        <v>125</v>
      </c>
      <c r="C229" s="246" t="s">
        <v>125</v>
      </c>
      <c r="D229" s="244" t="s">
        <v>125</v>
      </c>
      <c r="E229" s="246" t="s">
        <v>125</v>
      </c>
      <c r="F229" s="247" t="s">
        <v>125</v>
      </c>
      <c r="G229" s="248" t="s">
        <v>285</v>
      </c>
      <c r="H229" s="248"/>
      <c r="I229" s="248"/>
      <c r="J229" s="248"/>
      <c r="K229" s="248"/>
      <c r="L229" s="248"/>
      <c r="M229" s="248"/>
      <c r="N229" s="249" t="s">
        <v>289</v>
      </c>
      <c r="O229" s="250" t="s">
        <v>163</v>
      </c>
      <c r="P229" s="251">
        <v>1</v>
      </c>
    </row>
    <row r="230" spans="1:16" x14ac:dyDescent="0.25">
      <c r="A230" s="244" t="s">
        <v>56</v>
      </c>
      <c r="B230" s="255" t="s">
        <v>125</v>
      </c>
      <c r="C230" s="256" t="s">
        <v>125</v>
      </c>
      <c r="D230" s="254" t="s">
        <v>125</v>
      </c>
      <c r="E230" s="246" t="s">
        <v>125</v>
      </c>
      <c r="F230" s="247" t="s">
        <v>125</v>
      </c>
      <c r="G230" s="248" t="s">
        <v>285</v>
      </c>
      <c r="H230" s="248" t="s">
        <v>69</v>
      </c>
      <c r="I230" s="248"/>
      <c r="J230" s="248"/>
      <c r="K230" s="248"/>
      <c r="L230" s="248"/>
      <c r="M230" s="248"/>
      <c r="N230" s="249" t="s">
        <v>293</v>
      </c>
      <c r="O230" s="250" t="s">
        <v>145</v>
      </c>
      <c r="P230" s="251">
        <v>0</v>
      </c>
    </row>
    <row r="231" spans="1:16" x14ac:dyDescent="0.25">
      <c r="A231" s="244" t="s">
        <v>56</v>
      </c>
      <c r="B231" s="255" t="s">
        <v>125</v>
      </c>
      <c r="C231" s="256" t="s">
        <v>125</v>
      </c>
      <c r="D231" s="254" t="s">
        <v>125</v>
      </c>
      <c r="E231" s="246" t="s">
        <v>125</v>
      </c>
      <c r="F231" s="247" t="s">
        <v>125</v>
      </c>
      <c r="G231" s="248" t="s">
        <v>285</v>
      </c>
      <c r="H231" s="248" t="s">
        <v>69</v>
      </c>
      <c r="I231" s="248"/>
      <c r="J231" s="248"/>
      <c r="K231" s="248"/>
      <c r="L231" s="248"/>
      <c r="M231" s="248"/>
      <c r="N231" s="249" t="s">
        <v>293</v>
      </c>
      <c r="O231" s="250" t="s">
        <v>145</v>
      </c>
      <c r="P231" s="251">
        <v>0</v>
      </c>
    </row>
    <row r="232" spans="1:16" x14ac:dyDescent="0.25">
      <c r="A232" s="244" t="s">
        <v>56</v>
      </c>
      <c r="B232" s="255" t="s">
        <v>125</v>
      </c>
      <c r="C232" s="256" t="s">
        <v>125</v>
      </c>
      <c r="D232" s="254" t="s">
        <v>125</v>
      </c>
      <c r="E232" s="246" t="s">
        <v>125</v>
      </c>
      <c r="F232" s="247" t="s">
        <v>125</v>
      </c>
      <c r="G232" s="248" t="s">
        <v>285</v>
      </c>
      <c r="H232" s="248" t="s">
        <v>69</v>
      </c>
      <c r="I232" s="248"/>
      <c r="J232" s="248"/>
      <c r="K232" s="248"/>
      <c r="L232" s="248"/>
      <c r="M232" s="248"/>
      <c r="N232" s="249" t="s">
        <v>293</v>
      </c>
      <c r="O232" s="250" t="s">
        <v>145</v>
      </c>
      <c r="P232" s="251">
        <v>0</v>
      </c>
    </row>
    <row r="233" spans="1:16" x14ac:dyDescent="0.25">
      <c r="A233" s="244" t="s">
        <v>56</v>
      </c>
      <c r="B233" s="255" t="s">
        <v>125</v>
      </c>
      <c r="C233" s="256" t="s">
        <v>125</v>
      </c>
      <c r="D233" s="254" t="s">
        <v>125</v>
      </c>
      <c r="E233" s="246" t="s">
        <v>125</v>
      </c>
      <c r="F233" s="247" t="s">
        <v>125</v>
      </c>
      <c r="G233" s="248" t="s">
        <v>285</v>
      </c>
      <c r="H233" s="248" t="s">
        <v>69</v>
      </c>
      <c r="I233" s="248"/>
      <c r="J233" s="248"/>
      <c r="K233" s="248"/>
      <c r="L233" s="248"/>
      <c r="M233" s="248"/>
      <c r="N233" s="249" t="s">
        <v>293</v>
      </c>
      <c r="O233" s="250" t="s">
        <v>145</v>
      </c>
      <c r="P233" s="251">
        <v>0</v>
      </c>
    </row>
    <row r="234" spans="1:16" x14ac:dyDescent="0.25">
      <c r="A234" s="244" t="s">
        <v>48</v>
      </c>
      <c r="B234" s="255" t="s">
        <v>294</v>
      </c>
      <c r="C234" s="256">
        <v>46710</v>
      </c>
      <c r="D234" s="260" t="s">
        <v>295</v>
      </c>
      <c r="E234" s="246">
        <v>46062</v>
      </c>
      <c r="F234" s="247" t="s">
        <v>115</v>
      </c>
      <c r="G234" s="248" t="s">
        <v>250</v>
      </c>
      <c r="H234" s="248"/>
      <c r="I234" s="248"/>
      <c r="J234" s="248"/>
      <c r="K234" s="248"/>
      <c r="L234" s="248"/>
      <c r="M234" s="248"/>
      <c r="N234" s="249" t="s">
        <v>296</v>
      </c>
      <c r="O234" s="250" t="s">
        <v>252</v>
      </c>
      <c r="P234" s="251">
        <v>2</v>
      </c>
    </row>
    <row r="235" spans="1:16" x14ac:dyDescent="0.25">
      <c r="A235" s="244" t="s">
        <v>48</v>
      </c>
      <c r="B235" s="255" t="s">
        <v>297</v>
      </c>
      <c r="C235" s="256">
        <v>46684</v>
      </c>
      <c r="D235" s="254">
        <v>0</v>
      </c>
      <c r="E235" s="246">
        <v>46062</v>
      </c>
      <c r="F235" s="247" t="s">
        <v>115</v>
      </c>
      <c r="G235" s="248" t="s">
        <v>250</v>
      </c>
      <c r="H235" s="248"/>
      <c r="I235" s="248"/>
      <c r="J235" s="248"/>
      <c r="K235" s="248"/>
      <c r="L235" s="248"/>
      <c r="M235" s="248"/>
      <c r="N235" s="249" t="s">
        <v>296</v>
      </c>
      <c r="O235" s="250" t="s">
        <v>252</v>
      </c>
      <c r="P235" s="251">
        <v>2</v>
      </c>
    </row>
    <row r="236" spans="1:16" x14ac:dyDescent="0.25">
      <c r="A236" s="244" t="s">
        <v>48</v>
      </c>
      <c r="B236" s="255" t="s">
        <v>294</v>
      </c>
      <c r="C236" s="256">
        <v>46710</v>
      </c>
      <c r="D236" s="254" t="s">
        <v>298</v>
      </c>
      <c r="E236" s="246">
        <v>46063</v>
      </c>
      <c r="F236" s="247" t="s">
        <v>115</v>
      </c>
      <c r="G236" s="248" t="s">
        <v>250</v>
      </c>
      <c r="H236" s="248"/>
      <c r="I236" s="248"/>
      <c r="J236" s="248"/>
      <c r="K236" s="248"/>
      <c r="L236" s="248"/>
      <c r="M236" s="248"/>
      <c r="N236" s="249" t="s">
        <v>296</v>
      </c>
      <c r="O236" s="250" t="s">
        <v>299</v>
      </c>
      <c r="P236" s="251">
        <v>2</v>
      </c>
    </row>
    <row r="237" spans="1:16" x14ac:dyDescent="0.25">
      <c r="A237" s="244" t="s">
        <v>48</v>
      </c>
      <c r="B237" s="255" t="s">
        <v>300</v>
      </c>
      <c r="C237" s="256">
        <v>46706</v>
      </c>
      <c r="D237" s="254" t="s">
        <v>298</v>
      </c>
      <c r="E237" s="246">
        <v>46063</v>
      </c>
      <c r="F237" s="247" t="s">
        <v>115</v>
      </c>
      <c r="G237" s="248" t="s">
        <v>250</v>
      </c>
      <c r="H237" s="248"/>
      <c r="I237" s="248"/>
      <c r="J237" s="248"/>
      <c r="K237" s="248"/>
      <c r="L237" s="248"/>
      <c r="M237" s="248"/>
      <c r="N237" s="249" t="s">
        <v>296</v>
      </c>
      <c r="O237" s="250" t="s">
        <v>299</v>
      </c>
      <c r="P237" s="251">
        <v>2</v>
      </c>
    </row>
    <row r="238" spans="1:16" x14ac:dyDescent="0.25">
      <c r="A238" s="244" t="s">
        <v>63</v>
      </c>
      <c r="B238" s="245" t="s">
        <v>301</v>
      </c>
      <c r="C238" s="246">
        <v>46248</v>
      </c>
      <c r="D238" s="254" t="s">
        <v>302</v>
      </c>
      <c r="E238" s="246">
        <v>46064</v>
      </c>
      <c r="F238" s="247" t="s">
        <v>128</v>
      </c>
      <c r="G238" s="248" t="s">
        <v>62</v>
      </c>
      <c r="H238" s="248"/>
      <c r="I238" s="248"/>
      <c r="J238" s="248"/>
      <c r="K238" s="248"/>
      <c r="L238" s="248"/>
      <c r="M238" s="248"/>
      <c r="N238" s="249" t="s">
        <v>303</v>
      </c>
      <c r="O238" s="250" t="s">
        <v>163</v>
      </c>
      <c r="P238" s="251">
        <v>1</v>
      </c>
    </row>
    <row r="239" spans="1:16" x14ac:dyDescent="0.25">
      <c r="A239" s="244" t="s">
        <v>63</v>
      </c>
      <c r="B239" s="245" t="s">
        <v>304</v>
      </c>
      <c r="C239" s="246">
        <v>46108</v>
      </c>
      <c r="D239" s="254" t="s">
        <v>305</v>
      </c>
      <c r="E239" s="246">
        <v>46064</v>
      </c>
      <c r="F239" s="247" t="s">
        <v>292</v>
      </c>
      <c r="G239" s="248" t="s">
        <v>62</v>
      </c>
      <c r="H239" s="248"/>
      <c r="I239" s="248"/>
      <c r="J239" s="248"/>
      <c r="K239" s="248"/>
      <c r="L239" s="248"/>
      <c r="M239" s="248"/>
      <c r="N239" s="249" t="s">
        <v>303</v>
      </c>
      <c r="O239" s="250" t="s">
        <v>163</v>
      </c>
      <c r="P239" s="251">
        <v>1</v>
      </c>
    </row>
    <row r="240" spans="1:16" x14ac:dyDescent="0.25">
      <c r="A240" s="244" t="s">
        <v>63</v>
      </c>
      <c r="B240" s="245" t="s">
        <v>125</v>
      </c>
      <c r="C240" s="246" t="s">
        <v>125</v>
      </c>
      <c r="D240" s="254" t="s">
        <v>125</v>
      </c>
      <c r="E240" s="246" t="s">
        <v>125</v>
      </c>
      <c r="F240" s="247" t="s">
        <v>125</v>
      </c>
      <c r="G240" s="248" t="s">
        <v>62</v>
      </c>
      <c r="H240" s="248"/>
      <c r="I240" s="248"/>
      <c r="J240" s="248"/>
      <c r="K240" s="248"/>
      <c r="L240" s="248"/>
      <c r="M240" s="248"/>
      <c r="N240" s="249" t="s">
        <v>303</v>
      </c>
      <c r="O240" s="250" t="s">
        <v>163</v>
      </c>
      <c r="P240" s="251">
        <v>1</v>
      </c>
    </row>
    <row r="241" spans="1:16" x14ac:dyDescent="0.25">
      <c r="A241" s="244" t="s">
        <v>63</v>
      </c>
      <c r="B241" s="245" t="s">
        <v>125</v>
      </c>
      <c r="C241" s="246" t="s">
        <v>125</v>
      </c>
      <c r="D241" s="254" t="s">
        <v>125</v>
      </c>
      <c r="E241" s="246" t="s">
        <v>125</v>
      </c>
      <c r="F241" s="247" t="s">
        <v>125</v>
      </c>
      <c r="G241" s="248" t="s">
        <v>62</v>
      </c>
      <c r="H241" s="248"/>
      <c r="I241" s="248"/>
      <c r="J241" s="248"/>
      <c r="K241" s="248"/>
      <c r="L241" s="248"/>
      <c r="M241" s="248"/>
      <c r="N241" s="249" t="s">
        <v>303</v>
      </c>
      <c r="O241" s="250" t="s">
        <v>163</v>
      </c>
      <c r="P241" s="251">
        <v>1</v>
      </c>
    </row>
    <row r="242" spans="1:16" x14ac:dyDescent="0.25">
      <c r="A242" s="244" t="s">
        <v>64</v>
      </c>
      <c r="B242" s="255" t="s">
        <v>306</v>
      </c>
      <c r="C242" s="256">
        <v>46309</v>
      </c>
      <c r="D242" s="244" t="s">
        <v>307</v>
      </c>
      <c r="E242" s="246">
        <v>46064</v>
      </c>
      <c r="F242" s="247" t="s">
        <v>128</v>
      </c>
      <c r="G242" s="248" t="s">
        <v>62</v>
      </c>
      <c r="H242" s="248"/>
      <c r="I242" s="248"/>
      <c r="J242" s="248"/>
      <c r="K242" s="248"/>
      <c r="L242" s="248"/>
      <c r="M242" s="248"/>
      <c r="N242" s="249" t="s">
        <v>308</v>
      </c>
      <c r="O242" s="250" t="s">
        <v>163</v>
      </c>
      <c r="P242" s="251">
        <v>1</v>
      </c>
    </row>
    <row r="243" spans="1:16" x14ac:dyDescent="0.25">
      <c r="A243" s="244" t="s">
        <v>64</v>
      </c>
      <c r="B243" s="255" t="s">
        <v>304</v>
      </c>
      <c r="C243" s="256">
        <v>46108</v>
      </c>
      <c r="D243" s="244" t="s">
        <v>309</v>
      </c>
      <c r="E243" s="246">
        <v>46064</v>
      </c>
      <c r="F243" s="247" t="s">
        <v>128</v>
      </c>
      <c r="G243" s="248" t="s">
        <v>62</v>
      </c>
      <c r="H243" s="248"/>
      <c r="I243" s="248"/>
      <c r="J243" s="248"/>
      <c r="K243" s="248"/>
      <c r="L243" s="248"/>
      <c r="M243" s="248"/>
      <c r="N243" s="249" t="s">
        <v>308</v>
      </c>
      <c r="O243" s="250" t="s">
        <v>163</v>
      </c>
      <c r="P243" s="251">
        <v>1</v>
      </c>
    </row>
    <row r="244" spans="1:16" x14ac:dyDescent="0.25">
      <c r="A244" s="244" t="s">
        <v>64</v>
      </c>
      <c r="B244" s="255" t="s">
        <v>301</v>
      </c>
      <c r="C244" s="256">
        <v>46248</v>
      </c>
      <c r="D244" s="244" t="s">
        <v>147</v>
      </c>
      <c r="E244" s="246">
        <v>45986</v>
      </c>
      <c r="F244" s="247" t="s">
        <v>128</v>
      </c>
      <c r="G244" s="248" t="s">
        <v>62</v>
      </c>
      <c r="H244" s="248"/>
      <c r="I244" s="248"/>
      <c r="J244" s="248"/>
      <c r="K244" s="248"/>
      <c r="L244" s="248"/>
      <c r="M244" s="248"/>
      <c r="N244" s="249" t="s">
        <v>308</v>
      </c>
      <c r="O244" s="250" t="s">
        <v>163</v>
      </c>
      <c r="P244" s="251">
        <v>1</v>
      </c>
    </row>
    <row r="245" spans="1:16" x14ac:dyDescent="0.25">
      <c r="A245" s="244" t="s">
        <v>64</v>
      </c>
      <c r="B245" s="255" t="s">
        <v>125</v>
      </c>
      <c r="C245" s="256" t="s">
        <v>125</v>
      </c>
      <c r="D245" s="244" t="s">
        <v>125</v>
      </c>
      <c r="E245" s="246" t="s">
        <v>125</v>
      </c>
      <c r="F245" s="247" t="s">
        <v>125</v>
      </c>
      <c r="G245" s="248" t="s">
        <v>62</v>
      </c>
      <c r="H245" s="248"/>
      <c r="I245" s="248"/>
      <c r="J245" s="248"/>
      <c r="K245" s="248"/>
      <c r="L245" s="248"/>
      <c r="M245" s="248"/>
      <c r="N245" s="249" t="s">
        <v>308</v>
      </c>
      <c r="O245" s="250" t="s">
        <v>163</v>
      </c>
      <c r="P245" s="251">
        <v>1</v>
      </c>
    </row>
    <row r="246" spans="1:16" x14ac:dyDescent="0.25">
      <c r="A246" s="244" t="s">
        <v>94</v>
      </c>
      <c r="B246" s="255" t="s">
        <v>310</v>
      </c>
      <c r="C246" s="256">
        <v>46165</v>
      </c>
      <c r="D246" s="254" t="s">
        <v>143</v>
      </c>
      <c r="E246" s="246">
        <v>46043</v>
      </c>
      <c r="F246" s="247" t="s">
        <v>115</v>
      </c>
      <c r="G246" s="248" t="s">
        <v>93</v>
      </c>
      <c r="H246" s="248"/>
      <c r="I246" s="248"/>
      <c r="J246" s="248"/>
      <c r="K246" s="248"/>
      <c r="L246" s="248"/>
      <c r="M246" s="248"/>
      <c r="N246" s="249" t="s">
        <v>311</v>
      </c>
      <c r="O246" s="250" t="s">
        <v>145</v>
      </c>
      <c r="P246" s="251">
        <v>0</v>
      </c>
    </row>
    <row r="247" spans="1:16" x14ac:dyDescent="0.25">
      <c r="A247" s="244" t="s">
        <v>94</v>
      </c>
      <c r="B247" s="255" t="s">
        <v>125</v>
      </c>
      <c r="C247" s="256" t="s">
        <v>125</v>
      </c>
      <c r="D247" s="254" t="s">
        <v>125</v>
      </c>
      <c r="E247" s="246" t="s">
        <v>125</v>
      </c>
      <c r="F247" s="247" t="s">
        <v>125</v>
      </c>
      <c r="G247" s="248" t="s">
        <v>93</v>
      </c>
      <c r="H247" s="248"/>
      <c r="I247" s="248"/>
      <c r="J247" s="248"/>
      <c r="K247" s="248"/>
      <c r="L247" s="248"/>
      <c r="M247" s="248"/>
      <c r="N247" s="249" t="s">
        <v>311</v>
      </c>
      <c r="O247" s="250" t="s">
        <v>145</v>
      </c>
      <c r="P247" s="251">
        <v>0</v>
      </c>
    </row>
    <row r="248" spans="1:16" x14ac:dyDescent="0.25">
      <c r="A248" s="244" t="s">
        <v>94</v>
      </c>
      <c r="B248" s="255" t="s">
        <v>125</v>
      </c>
      <c r="C248" s="256" t="s">
        <v>125</v>
      </c>
      <c r="D248" s="254" t="s">
        <v>125</v>
      </c>
      <c r="E248" s="246" t="s">
        <v>125</v>
      </c>
      <c r="F248" s="247" t="s">
        <v>125</v>
      </c>
      <c r="G248" s="248" t="s">
        <v>93</v>
      </c>
      <c r="H248" s="248"/>
      <c r="I248" s="248"/>
      <c r="J248" s="248"/>
      <c r="K248" s="248"/>
      <c r="L248" s="248"/>
      <c r="M248" s="248"/>
      <c r="N248" s="249" t="s">
        <v>311</v>
      </c>
      <c r="O248" s="250" t="s">
        <v>145</v>
      </c>
      <c r="P248" s="251">
        <v>0</v>
      </c>
    </row>
    <row r="249" spans="1:16" x14ac:dyDescent="0.25">
      <c r="A249" s="244" t="s">
        <v>94</v>
      </c>
      <c r="B249" s="255" t="s">
        <v>125</v>
      </c>
      <c r="C249" s="256" t="s">
        <v>125</v>
      </c>
      <c r="D249" s="254" t="s">
        <v>125</v>
      </c>
      <c r="E249" s="246" t="s">
        <v>125</v>
      </c>
      <c r="F249" s="247" t="s">
        <v>125</v>
      </c>
      <c r="G249" s="248" t="s">
        <v>93</v>
      </c>
      <c r="H249" s="248"/>
      <c r="I249" s="248"/>
      <c r="J249" s="248"/>
      <c r="K249" s="248"/>
      <c r="L249" s="248"/>
      <c r="M249" s="248"/>
      <c r="N249" s="249" t="s">
        <v>311</v>
      </c>
      <c r="O249" s="250" t="s">
        <v>145</v>
      </c>
      <c r="P249" s="251">
        <v>0</v>
      </c>
    </row>
    <row r="250" spans="1:16" x14ac:dyDescent="0.25">
      <c r="A250" s="244" t="s">
        <v>95</v>
      </c>
      <c r="B250" s="255" t="s">
        <v>312</v>
      </c>
      <c r="C250" s="256">
        <v>46113</v>
      </c>
      <c r="D250" s="254" t="s">
        <v>140</v>
      </c>
      <c r="E250" s="246">
        <v>46063</v>
      </c>
      <c r="F250" s="247" t="s">
        <v>115</v>
      </c>
      <c r="G250" s="248" t="s">
        <v>93</v>
      </c>
      <c r="H250" s="248"/>
      <c r="I250" s="248"/>
      <c r="J250" s="248"/>
      <c r="K250" s="248"/>
      <c r="L250" s="248"/>
      <c r="M250" s="248"/>
      <c r="N250" s="249" t="s">
        <v>313</v>
      </c>
      <c r="O250" s="250" t="s">
        <v>130</v>
      </c>
      <c r="P250" s="251">
        <v>1</v>
      </c>
    </row>
    <row r="251" spans="1:16" x14ac:dyDescent="0.25">
      <c r="A251" s="244" t="s">
        <v>95</v>
      </c>
      <c r="B251" s="255" t="s">
        <v>125</v>
      </c>
      <c r="C251" s="256" t="s">
        <v>125</v>
      </c>
      <c r="D251" s="254" t="s">
        <v>125</v>
      </c>
      <c r="E251" s="246" t="s">
        <v>125</v>
      </c>
      <c r="F251" s="247" t="s">
        <v>125</v>
      </c>
      <c r="G251" s="248" t="s">
        <v>93</v>
      </c>
      <c r="H251" s="248"/>
      <c r="I251" s="248"/>
      <c r="J251" s="248"/>
      <c r="K251" s="248"/>
      <c r="L251" s="248"/>
      <c r="M251" s="248"/>
      <c r="N251" s="249" t="s">
        <v>313</v>
      </c>
      <c r="O251" s="250" t="s">
        <v>130</v>
      </c>
      <c r="P251" s="251">
        <v>1</v>
      </c>
    </row>
    <row r="252" spans="1:16" x14ac:dyDescent="0.25">
      <c r="A252" s="244" t="s">
        <v>95</v>
      </c>
      <c r="B252" s="255" t="s">
        <v>125</v>
      </c>
      <c r="C252" s="256" t="s">
        <v>125</v>
      </c>
      <c r="D252" s="254" t="s">
        <v>125</v>
      </c>
      <c r="E252" s="246" t="s">
        <v>125</v>
      </c>
      <c r="F252" s="247" t="s">
        <v>125</v>
      </c>
      <c r="G252" s="248" t="s">
        <v>93</v>
      </c>
      <c r="H252" s="248"/>
      <c r="I252" s="248"/>
      <c r="J252" s="248"/>
      <c r="K252" s="248"/>
      <c r="L252" s="248"/>
      <c r="M252" s="248"/>
      <c r="N252" s="249" t="s">
        <v>313</v>
      </c>
      <c r="O252" s="250" t="s">
        <v>130</v>
      </c>
      <c r="P252" s="251">
        <v>1</v>
      </c>
    </row>
    <row r="253" spans="1:16" x14ac:dyDescent="0.25">
      <c r="A253" s="244" t="s">
        <v>95</v>
      </c>
      <c r="B253" s="245" t="s">
        <v>125</v>
      </c>
      <c r="C253" s="246" t="s">
        <v>125</v>
      </c>
      <c r="D253" s="244" t="s">
        <v>125</v>
      </c>
      <c r="E253" s="246" t="s">
        <v>125</v>
      </c>
      <c r="F253" s="247" t="s">
        <v>125</v>
      </c>
      <c r="G253" s="248" t="s">
        <v>93</v>
      </c>
      <c r="H253" s="248"/>
      <c r="I253" s="248"/>
      <c r="J253" s="248"/>
      <c r="K253" s="248"/>
      <c r="L253" s="248"/>
      <c r="M253" s="248"/>
      <c r="N253" s="249" t="s">
        <v>313</v>
      </c>
      <c r="O253" s="250" t="s">
        <v>130</v>
      </c>
      <c r="P253" s="251">
        <v>1</v>
      </c>
    </row>
    <row r="254" spans="1:16" x14ac:dyDescent="0.25">
      <c r="A254" s="244" t="s">
        <v>70</v>
      </c>
      <c r="B254" s="255" t="s">
        <v>314</v>
      </c>
      <c r="C254" s="256">
        <v>46099</v>
      </c>
      <c r="D254" s="254" t="s">
        <v>159</v>
      </c>
      <c r="E254" s="246">
        <v>46072</v>
      </c>
      <c r="F254" s="247" t="s">
        <v>124</v>
      </c>
      <c r="G254" s="248" t="s">
        <v>69</v>
      </c>
      <c r="H254" s="248"/>
      <c r="I254" s="248"/>
      <c r="J254" s="248"/>
      <c r="K254" s="248"/>
      <c r="L254" s="248"/>
      <c r="M254" s="248"/>
      <c r="N254" s="249" t="s">
        <v>315</v>
      </c>
      <c r="O254" s="250" t="s">
        <v>163</v>
      </c>
      <c r="P254" s="251">
        <v>1</v>
      </c>
    </row>
    <row r="255" spans="1:16" x14ac:dyDescent="0.25">
      <c r="A255" s="244" t="s">
        <v>70</v>
      </c>
      <c r="B255" s="255" t="s">
        <v>125</v>
      </c>
      <c r="C255" s="256" t="s">
        <v>125</v>
      </c>
      <c r="D255" s="254" t="s">
        <v>125</v>
      </c>
      <c r="E255" s="246" t="s">
        <v>125</v>
      </c>
      <c r="F255" s="247" t="s">
        <v>125</v>
      </c>
      <c r="G255" s="248" t="s">
        <v>69</v>
      </c>
      <c r="H255" s="248"/>
      <c r="I255" s="248"/>
      <c r="J255" s="248"/>
      <c r="K255" s="248"/>
      <c r="L255" s="248"/>
      <c r="M255" s="248"/>
      <c r="N255" s="249" t="s">
        <v>315</v>
      </c>
      <c r="O255" s="250" t="s">
        <v>163</v>
      </c>
      <c r="P255" s="251">
        <v>1</v>
      </c>
    </row>
    <row r="256" spans="1:16" x14ac:dyDescent="0.25">
      <c r="A256" s="244" t="s">
        <v>70</v>
      </c>
      <c r="B256" s="255" t="s">
        <v>125</v>
      </c>
      <c r="C256" s="256" t="s">
        <v>125</v>
      </c>
      <c r="D256" s="254" t="s">
        <v>125</v>
      </c>
      <c r="E256" s="246" t="s">
        <v>125</v>
      </c>
      <c r="F256" s="247" t="s">
        <v>125</v>
      </c>
      <c r="G256" s="248" t="s">
        <v>69</v>
      </c>
      <c r="H256" s="248"/>
      <c r="I256" s="248"/>
      <c r="J256" s="248"/>
      <c r="K256" s="248"/>
      <c r="L256" s="248"/>
      <c r="M256" s="248"/>
      <c r="N256" s="249" t="s">
        <v>315</v>
      </c>
      <c r="O256" s="250" t="s">
        <v>163</v>
      </c>
      <c r="P256" s="251">
        <v>1</v>
      </c>
    </row>
    <row r="257" spans="1:16" x14ac:dyDescent="0.25">
      <c r="A257" s="244" t="s">
        <v>70</v>
      </c>
      <c r="B257" s="255" t="s">
        <v>125</v>
      </c>
      <c r="C257" s="256" t="s">
        <v>125</v>
      </c>
      <c r="D257" s="254" t="s">
        <v>125</v>
      </c>
      <c r="E257" s="246" t="s">
        <v>125</v>
      </c>
      <c r="F257" s="247" t="s">
        <v>125</v>
      </c>
      <c r="G257" s="248" t="s">
        <v>69</v>
      </c>
      <c r="H257" s="248"/>
      <c r="I257" s="248"/>
      <c r="J257" s="248"/>
      <c r="K257" s="248"/>
      <c r="L257" s="248"/>
      <c r="M257" s="248"/>
      <c r="N257" s="249" t="s">
        <v>315</v>
      </c>
      <c r="O257" s="250" t="s">
        <v>163</v>
      </c>
      <c r="P257" s="251">
        <v>1</v>
      </c>
    </row>
    <row r="258" spans="1:16" x14ac:dyDescent="0.25">
      <c r="A258" s="244" t="s">
        <v>74</v>
      </c>
      <c r="B258" s="255" t="s">
        <v>316</v>
      </c>
      <c r="C258" s="256">
        <v>46123</v>
      </c>
      <c r="D258" s="254" t="s">
        <v>317</v>
      </c>
      <c r="E258" s="246">
        <v>45987</v>
      </c>
      <c r="F258" s="247" t="s">
        <v>115</v>
      </c>
      <c r="G258" s="248" t="s">
        <v>118</v>
      </c>
      <c r="H258" s="248"/>
      <c r="I258" s="248"/>
      <c r="J258" s="248"/>
      <c r="K258" s="248"/>
      <c r="L258" s="248"/>
      <c r="M258" s="248"/>
      <c r="N258" s="249" t="s">
        <v>318</v>
      </c>
      <c r="O258" s="250" t="s">
        <v>130</v>
      </c>
      <c r="P258" s="251">
        <v>1</v>
      </c>
    </row>
    <row r="259" spans="1:16" x14ac:dyDescent="0.25">
      <c r="A259" s="244" t="s">
        <v>74</v>
      </c>
      <c r="B259" s="255" t="s">
        <v>125</v>
      </c>
      <c r="C259" s="256" t="s">
        <v>125</v>
      </c>
      <c r="D259" s="254" t="s">
        <v>125</v>
      </c>
      <c r="E259" s="246" t="s">
        <v>125</v>
      </c>
      <c r="F259" s="247" t="s">
        <v>125</v>
      </c>
      <c r="G259" s="248" t="s">
        <v>118</v>
      </c>
      <c r="H259" s="248"/>
      <c r="I259" s="248"/>
      <c r="J259" s="248"/>
      <c r="K259" s="248"/>
      <c r="L259" s="248"/>
      <c r="M259" s="248"/>
      <c r="N259" s="249" t="s">
        <v>318</v>
      </c>
      <c r="O259" s="250" t="s">
        <v>130</v>
      </c>
      <c r="P259" s="251">
        <v>1</v>
      </c>
    </row>
    <row r="260" spans="1:16" x14ac:dyDescent="0.25">
      <c r="A260" s="244" t="s">
        <v>74</v>
      </c>
      <c r="B260" s="255" t="s">
        <v>125</v>
      </c>
      <c r="C260" s="256" t="s">
        <v>125</v>
      </c>
      <c r="D260" s="254" t="s">
        <v>125</v>
      </c>
      <c r="E260" s="246" t="s">
        <v>125</v>
      </c>
      <c r="F260" s="247" t="s">
        <v>125</v>
      </c>
      <c r="G260" s="248" t="s">
        <v>118</v>
      </c>
      <c r="H260" s="248"/>
      <c r="I260" s="248"/>
      <c r="J260" s="248"/>
      <c r="K260" s="248"/>
      <c r="L260" s="248"/>
      <c r="M260" s="248"/>
      <c r="N260" s="249" t="s">
        <v>318</v>
      </c>
      <c r="O260" s="250" t="s">
        <v>130</v>
      </c>
      <c r="P260" s="251">
        <v>1</v>
      </c>
    </row>
    <row r="261" spans="1:16" x14ac:dyDescent="0.25">
      <c r="A261" s="244" t="s">
        <v>74</v>
      </c>
      <c r="B261" s="255" t="s">
        <v>125</v>
      </c>
      <c r="C261" s="256" t="s">
        <v>125</v>
      </c>
      <c r="D261" s="254" t="s">
        <v>125</v>
      </c>
      <c r="E261" s="246" t="s">
        <v>125</v>
      </c>
      <c r="F261" s="247" t="s">
        <v>125</v>
      </c>
      <c r="G261" s="248" t="s">
        <v>118</v>
      </c>
      <c r="H261" s="248"/>
      <c r="I261" s="248"/>
      <c r="J261" s="248"/>
      <c r="K261" s="248"/>
      <c r="L261" s="248"/>
      <c r="M261" s="248"/>
      <c r="N261" s="249" t="s">
        <v>318</v>
      </c>
      <c r="O261" s="250" t="s">
        <v>130</v>
      </c>
      <c r="P261" s="251">
        <v>1</v>
      </c>
    </row>
    <row r="262" spans="1:16" x14ac:dyDescent="0.25">
      <c r="A262" s="244" t="s">
        <v>24</v>
      </c>
      <c r="B262" s="245" t="s">
        <v>319</v>
      </c>
      <c r="C262" s="246">
        <v>46325</v>
      </c>
      <c r="D262" s="244" t="s">
        <v>140</v>
      </c>
      <c r="E262" s="246">
        <v>46063</v>
      </c>
      <c r="F262" s="247" t="s">
        <v>115</v>
      </c>
      <c r="G262" s="248" t="s">
        <v>116</v>
      </c>
      <c r="H262" s="248" t="s">
        <v>117</v>
      </c>
      <c r="I262" s="248" t="s">
        <v>119</v>
      </c>
      <c r="J262" s="248"/>
      <c r="K262" s="248"/>
      <c r="L262" s="248"/>
      <c r="M262" s="248"/>
      <c r="N262" s="249" t="s">
        <v>320</v>
      </c>
      <c r="O262" s="250" t="s">
        <v>130</v>
      </c>
      <c r="P262" s="251">
        <v>1</v>
      </c>
    </row>
    <row r="263" spans="1:16" x14ac:dyDescent="0.25">
      <c r="A263" s="244" t="s">
        <v>24</v>
      </c>
      <c r="B263" s="245" t="s">
        <v>125</v>
      </c>
      <c r="C263" s="246" t="s">
        <v>125</v>
      </c>
      <c r="D263" s="244" t="s">
        <v>125</v>
      </c>
      <c r="E263" s="246" t="s">
        <v>125</v>
      </c>
      <c r="F263" s="247" t="s">
        <v>125</v>
      </c>
      <c r="G263" s="248" t="s">
        <v>116</v>
      </c>
      <c r="H263" s="248" t="s">
        <v>117</v>
      </c>
      <c r="I263" s="248" t="s">
        <v>119</v>
      </c>
      <c r="J263" s="248"/>
      <c r="K263" s="248"/>
      <c r="L263" s="248"/>
      <c r="M263" s="248"/>
      <c r="N263" s="249" t="s">
        <v>320</v>
      </c>
      <c r="O263" s="250" t="s">
        <v>130</v>
      </c>
      <c r="P263" s="251">
        <v>1</v>
      </c>
    </row>
    <row r="264" spans="1:16" x14ac:dyDescent="0.25">
      <c r="A264" s="244" t="s">
        <v>24</v>
      </c>
      <c r="B264" s="255" t="s">
        <v>125</v>
      </c>
      <c r="C264" s="256" t="s">
        <v>125</v>
      </c>
      <c r="D264" s="254" t="s">
        <v>125</v>
      </c>
      <c r="E264" s="246" t="s">
        <v>125</v>
      </c>
      <c r="F264" s="247" t="s">
        <v>125</v>
      </c>
      <c r="G264" s="248" t="s">
        <v>116</v>
      </c>
      <c r="H264" s="248" t="s">
        <v>117</v>
      </c>
      <c r="I264" s="248" t="s">
        <v>119</v>
      </c>
      <c r="J264" s="248"/>
      <c r="K264" s="248"/>
      <c r="L264" s="248"/>
      <c r="M264" s="248"/>
      <c r="N264" s="249" t="s">
        <v>320</v>
      </c>
      <c r="O264" s="250" t="s">
        <v>130</v>
      </c>
      <c r="P264" s="251">
        <v>1</v>
      </c>
    </row>
    <row r="265" spans="1:16" x14ac:dyDescent="0.25">
      <c r="A265" s="244" t="s">
        <v>24</v>
      </c>
      <c r="B265" s="255" t="s">
        <v>125</v>
      </c>
      <c r="C265" s="256" t="s">
        <v>125</v>
      </c>
      <c r="D265" s="254" t="s">
        <v>125</v>
      </c>
      <c r="E265" s="246" t="s">
        <v>125</v>
      </c>
      <c r="F265" s="247" t="s">
        <v>125</v>
      </c>
      <c r="G265" s="248" t="s">
        <v>116</v>
      </c>
      <c r="H265" s="248" t="s">
        <v>117</v>
      </c>
      <c r="I265" s="248" t="s">
        <v>119</v>
      </c>
      <c r="J265" s="248"/>
      <c r="K265" s="248"/>
      <c r="L265" s="248"/>
      <c r="M265" s="248"/>
      <c r="N265" s="249" t="s">
        <v>320</v>
      </c>
      <c r="O265" s="250" t="s">
        <v>130</v>
      </c>
      <c r="P265" s="251">
        <v>1</v>
      </c>
    </row>
    <row r="266" spans="1:16" x14ac:dyDescent="0.25">
      <c r="A266" s="244" t="s">
        <v>18</v>
      </c>
      <c r="B266" s="261" t="s">
        <v>321</v>
      </c>
      <c r="C266" s="246">
        <v>46142</v>
      </c>
      <c r="D266" s="262" t="s">
        <v>209</v>
      </c>
      <c r="E266" s="246">
        <v>46006</v>
      </c>
      <c r="F266" s="247" t="s">
        <v>128</v>
      </c>
      <c r="G266" s="248" t="s">
        <v>17</v>
      </c>
      <c r="H266" s="248"/>
      <c r="I266" s="248"/>
      <c r="J266" s="248"/>
      <c r="K266" s="248"/>
      <c r="L266" s="248"/>
      <c r="M266" s="248"/>
      <c r="N266" s="249" t="s">
        <v>322</v>
      </c>
      <c r="O266" s="250" t="s">
        <v>130</v>
      </c>
      <c r="P266" s="251">
        <v>1</v>
      </c>
    </row>
    <row r="267" spans="1:16" x14ac:dyDescent="0.25">
      <c r="A267" s="244" t="s">
        <v>18</v>
      </c>
      <c r="B267" s="261" t="s">
        <v>125</v>
      </c>
      <c r="C267" s="246" t="s">
        <v>125</v>
      </c>
      <c r="D267" s="262" t="s">
        <v>125</v>
      </c>
      <c r="E267" s="246" t="s">
        <v>125</v>
      </c>
      <c r="F267" s="247" t="s">
        <v>125</v>
      </c>
      <c r="G267" s="248" t="s">
        <v>17</v>
      </c>
      <c r="H267" s="248"/>
      <c r="I267" s="248"/>
      <c r="J267" s="248"/>
      <c r="K267" s="248"/>
      <c r="L267" s="248"/>
      <c r="M267" s="248"/>
      <c r="N267" s="249" t="s">
        <v>322</v>
      </c>
      <c r="O267" s="250" t="s">
        <v>130</v>
      </c>
      <c r="P267" s="251">
        <v>1</v>
      </c>
    </row>
    <row r="268" spans="1:16" x14ac:dyDescent="0.25">
      <c r="A268" s="244" t="s">
        <v>18</v>
      </c>
      <c r="B268" s="261" t="s">
        <v>125</v>
      </c>
      <c r="C268" s="246" t="s">
        <v>125</v>
      </c>
      <c r="D268" s="262" t="s">
        <v>125</v>
      </c>
      <c r="E268" s="246" t="s">
        <v>125</v>
      </c>
      <c r="F268" s="247" t="s">
        <v>125</v>
      </c>
      <c r="G268" s="248" t="s">
        <v>17</v>
      </c>
      <c r="H268" s="248"/>
      <c r="I268" s="248"/>
      <c r="J268" s="248"/>
      <c r="K268" s="248"/>
      <c r="L268" s="248"/>
      <c r="M268" s="248"/>
      <c r="N268" s="249" t="s">
        <v>322</v>
      </c>
      <c r="O268" s="250" t="s">
        <v>130</v>
      </c>
      <c r="P268" s="251">
        <v>1</v>
      </c>
    </row>
    <row r="269" spans="1:16" x14ac:dyDescent="0.25">
      <c r="A269" s="244" t="s">
        <v>18</v>
      </c>
      <c r="B269" s="261" t="s">
        <v>125</v>
      </c>
      <c r="C269" s="246" t="s">
        <v>125</v>
      </c>
      <c r="D269" s="262" t="s">
        <v>125</v>
      </c>
      <c r="E269" s="246" t="s">
        <v>125</v>
      </c>
      <c r="F269" s="247" t="s">
        <v>125</v>
      </c>
      <c r="G269" s="248" t="s">
        <v>17</v>
      </c>
      <c r="H269" s="248"/>
      <c r="I269" s="248"/>
      <c r="J269" s="248"/>
      <c r="K269" s="248"/>
      <c r="L269" s="248"/>
      <c r="M269" s="248"/>
      <c r="N269" s="263" t="s">
        <v>322</v>
      </c>
      <c r="O269" s="250" t="s">
        <v>130</v>
      </c>
      <c r="P269" s="251">
        <v>1</v>
      </c>
    </row>
    <row r="270" spans="1:16" x14ac:dyDescent="0.25">
      <c r="A270" s="244" t="s">
        <v>19</v>
      </c>
      <c r="B270" s="261" t="s">
        <v>323</v>
      </c>
      <c r="C270" s="246">
        <v>46142</v>
      </c>
      <c r="D270" s="262" t="s">
        <v>324</v>
      </c>
      <c r="E270" s="246">
        <v>45972</v>
      </c>
      <c r="F270" s="247" t="s">
        <v>124</v>
      </c>
      <c r="G270" s="248" t="s">
        <v>17</v>
      </c>
      <c r="H270" s="248"/>
      <c r="I270" s="248"/>
      <c r="J270" s="248"/>
      <c r="K270" s="248"/>
      <c r="L270" s="248"/>
      <c r="M270" s="248"/>
      <c r="N270" s="249" t="s">
        <v>325</v>
      </c>
      <c r="O270" s="250" t="s">
        <v>130</v>
      </c>
      <c r="P270" s="251">
        <v>1</v>
      </c>
    </row>
    <row r="271" spans="1:16" x14ac:dyDescent="0.25">
      <c r="A271" s="244" t="s">
        <v>19</v>
      </c>
      <c r="B271" s="261" t="s">
        <v>125</v>
      </c>
      <c r="C271" s="246" t="s">
        <v>125</v>
      </c>
      <c r="D271" s="262" t="s">
        <v>125</v>
      </c>
      <c r="E271" s="246" t="s">
        <v>125</v>
      </c>
      <c r="F271" s="247" t="s">
        <v>125</v>
      </c>
      <c r="G271" s="248" t="s">
        <v>17</v>
      </c>
      <c r="H271" s="248"/>
      <c r="I271" s="248"/>
      <c r="J271" s="248"/>
      <c r="K271" s="248"/>
      <c r="L271" s="248"/>
      <c r="M271" s="248"/>
      <c r="N271" s="249" t="s">
        <v>325</v>
      </c>
      <c r="O271" s="250" t="s">
        <v>130</v>
      </c>
      <c r="P271" s="251">
        <v>1</v>
      </c>
    </row>
    <row r="272" spans="1:16" x14ac:dyDescent="0.25">
      <c r="A272" s="244" t="s">
        <v>19</v>
      </c>
      <c r="B272" s="261" t="s">
        <v>125</v>
      </c>
      <c r="C272" s="246" t="s">
        <v>125</v>
      </c>
      <c r="D272" s="262" t="s">
        <v>125</v>
      </c>
      <c r="E272" s="246" t="s">
        <v>125</v>
      </c>
      <c r="F272" s="247" t="s">
        <v>125</v>
      </c>
      <c r="G272" s="248" t="s">
        <v>17</v>
      </c>
      <c r="H272" s="248"/>
      <c r="I272" s="248"/>
      <c r="J272" s="248"/>
      <c r="K272" s="248"/>
      <c r="L272" s="248"/>
      <c r="M272" s="248"/>
      <c r="N272" s="263" t="s">
        <v>325</v>
      </c>
      <c r="O272" s="250" t="s">
        <v>130</v>
      </c>
      <c r="P272" s="251">
        <v>1</v>
      </c>
    </row>
    <row r="273" spans="1:16" x14ac:dyDescent="0.25">
      <c r="A273" s="244" t="s">
        <v>19</v>
      </c>
      <c r="B273" s="261" t="s">
        <v>125</v>
      </c>
      <c r="C273" s="246" t="s">
        <v>125</v>
      </c>
      <c r="D273" s="262" t="s">
        <v>125</v>
      </c>
      <c r="E273" s="246" t="s">
        <v>125</v>
      </c>
      <c r="F273" s="247" t="s">
        <v>125</v>
      </c>
      <c r="G273" s="248" t="s">
        <v>17</v>
      </c>
      <c r="H273" s="248"/>
      <c r="I273" s="248"/>
      <c r="J273" s="248"/>
      <c r="K273" s="248"/>
      <c r="L273" s="248"/>
      <c r="M273" s="248"/>
      <c r="N273" s="263" t="s">
        <v>325</v>
      </c>
      <c r="O273" s="250" t="s">
        <v>130</v>
      </c>
      <c r="P273" s="251">
        <v>1</v>
      </c>
    </row>
    <row r="274" spans="1:16" s="32" customFormat="1" ht="14.25" customHeight="1" x14ac:dyDescent="0.2">
      <c r="A274" s="262" t="s">
        <v>27</v>
      </c>
      <c r="B274" s="261" t="s">
        <v>326</v>
      </c>
      <c r="C274" s="246">
        <v>46091</v>
      </c>
      <c r="D274" s="262" t="s">
        <v>159</v>
      </c>
      <c r="E274" s="246">
        <v>46006</v>
      </c>
      <c r="F274" s="264" t="s">
        <v>128</v>
      </c>
      <c r="G274" s="265" t="s">
        <v>26</v>
      </c>
      <c r="H274" s="265"/>
      <c r="I274" s="265"/>
      <c r="J274" s="265"/>
      <c r="K274" s="265"/>
      <c r="L274" s="265"/>
      <c r="M274" s="265"/>
      <c r="N274" s="263" t="s">
        <v>327</v>
      </c>
      <c r="O274" s="266" t="s">
        <v>130</v>
      </c>
      <c r="P274" s="250">
        <v>1</v>
      </c>
    </row>
    <row r="275" spans="1:16" s="32" customFormat="1" ht="14.25" customHeight="1" x14ac:dyDescent="0.2">
      <c r="A275" s="262" t="s">
        <v>27</v>
      </c>
      <c r="B275" s="261" t="s">
        <v>125</v>
      </c>
      <c r="C275" s="246" t="s">
        <v>125</v>
      </c>
      <c r="D275" s="262" t="s">
        <v>125</v>
      </c>
      <c r="E275" s="246" t="s">
        <v>125</v>
      </c>
      <c r="F275" s="264" t="s">
        <v>125</v>
      </c>
      <c r="G275" s="265" t="s">
        <v>26</v>
      </c>
      <c r="H275" s="265"/>
      <c r="I275" s="265"/>
      <c r="J275" s="265"/>
      <c r="K275" s="265"/>
      <c r="L275" s="265"/>
      <c r="M275" s="265"/>
      <c r="N275" s="263" t="s">
        <v>327</v>
      </c>
      <c r="O275" s="266" t="s">
        <v>130</v>
      </c>
      <c r="P275" s="250">
        <v>1</v>
      </c>
    </row>
    <row r="276" spans="1:16" s="32" customFormat="1" ht="14.25" customHeight="1" x14ac:dyDescent="0.2">
      <c r="A276" s="262" t="s">
        <v>27</v>
      </c>
      <c r="B276" s="261" t="s">
        <v>125</v>
      </c>
      <c r="C276" s="246" t="s">
        <v>125</v>
      </c>
      <c r="D276" s="262" t="s">
        <v>125</v>
      </c>
      <c r="E276" s="246" t="s">
        <v>125</v>
      </c>
      <c r="F276" s="264" t="s">
        <v>125</v>
      </c>
      <c r="G276" s="265" t="s">
        <v>26</v>
      </c>
      <c r="H276" s="265"/>
      <c r="I276" s="265"/>
      <c r="J276" s="265"/>
      <c r="K276" s="265"/>
      <c r="L276" s="265"/>
      <c r="M276" s="265"/>
      <c r="N276" s="263" t="s">
        <v>327</v>
      </c>
      <c r="O276" s="266" t="s">
        <v>130</v>
      </c>
      <c r="P276" s="250">
        <v>1</v>
      </c>
    </row>
    <row r="277" spans="1:16" s="32" customFormat="1" ht="14.25" customHeight="1" x14ac:dyDescent="0.2">
      <c r="A277" s="262" t="s">
        <v>27</v>
      </c>
      <c r="B277" s="261" t="s">
        <v>125</v>
      </c>
      <c r="C277" s="246" t="s">
        <v>125</v>
      </c>
      <c r="D277" s="262" t="s">
        <v>125</v>
      </c>
      <c r="E277" s="246" t="s">
        <v>125</v>
      </c>
      <c r="F277" s="264" t="s">
        <v>125</v>
      </c>
      <c r="G277" s="265" t="s">
        <v>26</v>
      </c>
      <c r="H277" s="265"/>
      <c r="I277" s="265"/>
      <c r="J277" s="265"/>
      <c r="K277" s="265"/>
      <c r="L277" s="265"/>
      <c r="M277" s="265"/>
      <c r="N277" s="263" t="s">
        <v>327</v>
      </c>
      <c r="O277" s="266" t="s">
        <v>130</v>
      </c>
      <c r="P277" s="250">
        <v>1</v>
      </c>
    </row>
    <row r="278" spans="1:16" s="32" customFormat="1" ht="14.25" customHeight="1" x14ac:dyDescent="0.2">
      <c r="A278" s="262" t="s">
        <v>28</v>
      </c>
      <c r="B278" s="261" t="s">
        <v>328</v>
      </c>
      <c r="C278" s="246">
        <v>46103</v>
      </c>
      <c r="D278" s="262" t="s">
        <v>329</v>
      </c>
      <c r="E278" s="246">
        <v>46006</v>
      </c>
      <c r="F278" s="264" t="s">
        <v>128</v>
      </c>
      <c r="G278" s="265" t="s">
        <v>26</v>
      </c>
      <c r="H278" s="265"/>
      <c r="I278" s="265"/>
      <c r="J278" s="265"/>
      <c r="K278" s="265"/>
      <c r="L278" s="265"/>
      <c r="M278" s="265"/>
      <c r="N278" s="263" t="s">
        <v>330</v>
      </c>
      <c r="O278" s="266" t="s">
        <v>130</v>
      </c>
      <c r="P278" s="250">
        <v>1</v>
      </c>
    </row>
    <row r="279" spans="1:16" s="32" customFormat="1" ht="14.25" customHeight="1" x14ac:dyDescent="0.2">
      <c r="A279" s="262" t="s">
        <v>28</v>
      </c>
      <c r="B279" s="261" t="s">
        <v>125</v>
      </c>
      <c r="C279" s="246" t="s">
        <v>125</v>
      </c>
      <c r="D279" s="262" t="s">
        <v>125</v>
      </c>
      <c r="E279" s="246" t="s">
        <v>125</v>
      </c>
      <c r="F279" s="264" t="s">
        <v>125</v>
      </c>
      <c r="G279" s="265" t="s">
        <v>26</v>
      </c>
      <c r="H279" s="265"/>
      <c r="I279" s="265"/>
      <c r="J279" s="265"/>
      <c r="K279" s="265"/>
      <c r="L279" s="265"/>
      <c r="M279" s="265"/>
      <c r="N279" s="263" t="s">
        <v>330</v>
      </c>
      <c r="O279" s="266" t="s">
        <v>130</v>
      </c>
      <c r="P279" s="250">
        <v>1</v>
      </c>
    </row>
    <row r="280" spans="1:16" s="32" customFormat="1" ht="14.25" customHeight="1" x14ac:dyDescent="0.2">
      <c r="A280" s="262" t="s">
        <v>28</v>
      </c>
      <c r="B280" s="261" t="s">
        <v>125</v>
      </c>
      <c r="C280" s="246" t="s">
        <v>125</v>
      </c>
      <c r="D280" s="262" t="s">
        <v>125</v>
      </c>
      <c r="E280" s="246" t="s">
        <v>125</v>
      </c>
      <c r="F280" s="264" t="s">
        <v>125</v>
      </c>
      <c r="G280" s="265" t="s">
        <v>26</v>
      </c>
      <c r="H280" s="265"/>
      <c r="I280" s="265"/>
      <c r="J280" s="265"/>
      <c r="K280" s="265"/>
      <c r="L280" s="265"/>
      <c r="M280" s="265"/>
      <c r="N280" s="263" t="s">
        <v>330</v>
      </c>
      <c r="O280" s="266" t="s">
        <v>130</v>
      </c>
      <c r="P280" s="250">
        <v>1</v>
      </c>
    </row>
    <row r="281" spans="1:16" s="32" customFormat="1" ht="14.25" customHeight="1" x14ac:dyDescent="0.2">
      <c r="A281" s="262" t="s">
        <v>28</v>
      </c>
      <c r="B281" s="261" t="s">
        <v>125</v>
      </c>
      <c r="C281" s="246" t="s">
        <v>125</v>
      </c>
      <c r="D281" s="262" t="s">
        <v>125</v>
      </c>
      <c r="E281" s="246" t="s">
        <v>125</v>
      </c>
      <c r="F281" s="264" t="s">
        <v>125</v>
      </c>
      <c r="G281" s="265" t="s">
        <v>26</v>
      </c>
      <c r="H281" s="265"/>
      <c r="I281" s="265"/>
      <c r="J281" s="265"/>
      <c r="K281" s="265"/>
      <c r="L281" s="265"/>
      <c r="M281" s="265"/>
      <c r="N281" s="263" t="s">
        <v>330</v>
      </c>
      <c r="O281" s="266" t="s">
        <v>130</v>
      </c>
      <c r="P281" s="250">
        <v>1</v>
      </c>
    </row>
    <row r="282" spans="1:16" s="32" customFormat="1" ht="14.25" customHeight="1" x14ac:dyDescent="0.2">
      <c r="A282" s="262" t="s">
        <v>29</v>
      </c>
      <c r="B282" s="261" t="s">
        <v>331</v>
      </c>
      <c r="C282" s="246">
        <v>46203</v>
      </c>
      <c r="D282" s="262" t="s">
        <v>332</v>
      </c>
      <c r="E282" s="246">
        <v>46070</v>
      </c>
      <c r="F282" s="264" t="s">
        <v>128</v>
      </c>
      <c r="G282" s="265" t="s">
        <v>26</v>
      </c>
      <c r="H282" s="265"/>
      <c r="I282" s="265"/>
      <c r="J282" s="265"/>
      <c r="K282" s="265"/>
      <c r="L282" s="265"/>
      <c r="M282" s="265"/>
      <c r="N282" s="263" t="s">
        <v>333</v>
      </c>
      <c r="O282" s="266" t="s">
        <v>130</v>
      </c>
      <c r="P282" s="250">
        <v>1</v>
      </c>
    </row>
    <row r="283" spans="1:16" s="32" customFormat="1" ht="14.25" customHeight="1" x14ac:dyDescent="0.2">
      <c r="A283" s="262" t="s">
        <v>29</v>
      </c>
      <c r="B283" s="261" t="s">
        <v>125</v>
      </c>
      <c r="C283" s="246" t="s">
        <v>125</v>
      </c>
      <c r="D283" s="262" t="s">
        <v>125</v>
      </c>
      <c r="E283" s="246" t="s">
        <v>125</v>
      </c>
      <c r="F283" s="264" t="s">
        <v>125</v>
      </c>
      <c r="G283" s="265" t="s">
        <v>26</v>
      </c>
      <c r="H283" s="265"/>
      <c r="I283" s="265"/>
      <c r="J283" s="265"/>
      <c r="K283" s="265"/>
      <c r="L283" s="265"/>
      <c r="M283" s="265"/>
      <c r="N283" s="263" t="s">
        <v>333</v>
      </c>
      <c r="O283" s="266" t="s">
        <v>130</v>
      </c>
      <c r="P283" s="250">
        <v>1</v>
      </c>
    </row>
    <row r="284" spans="1:16" s="32" customFormat="1" ht="14.25" customHeight="1" x14ac:dyDescent="0.2">
      <c r="A284" s="262" t="s">
        <v>29</v>
      </c>
      <c r="B284" s="261" t="s">
        <v>125</v>
      </c>
      <c r="C284" s="246" t="s">
        <v>125</v>
      </c>
      <c r="D284" s="262" t="s">
        <v>125</v>
      </c>
      <c r="E284" s="246" t="s">
        <v>125</v>
      </c>
      <c r="F284" s="264" t="s">
        <v>125</v>
      </c>
      <c r="G284" s="265" t="s">
        <v>26</v>
      </c>
      <c r="H284" s="265"/>
      <c r="I284" s="265"/>
      <c r="J284" s="265"/>
      <c r="K284" s="265"/>
      <c r="L284" s="265"/>
      <c r="M284" s="265"/>
      <c r="N284" s="263" t="s">
        <v>333</v>
      </c>
      <c r="O284" s="266" t="s">
        <v>130</v>
      </c>
      <c r="P284" s="250">
        <v>1</v>
      </c>
    </row>
    <row r="285" spans="1:16" s="32" customFormat="1" ht="14.25" customHeight="1" x14ac:dyDescent="0.2">
      <c r="A285" s="262" t="s">
        <v>29</v>
      </c>
      <c r="B285" s="261" t="s">
        <v>125</v>
      </c>
      <c r="C285" s="246" t="s">
        <v>125</v>
      </c>
      <c r="D285" s="262" t="s">
        <v>125</v>
      </c>
      <c r="E285" s="246" t="s">
        <v>125</v>
      </c>
      <c r="F285" s="264" t="s">
        <v>125</v>
      </c>
      <c r="G285" s="265" t="s">
        <v>26</v>
      </c>
      <c r="H285" s="265"/>
      <c r="I285" s="265"/>
      <c r="J285" s="265"/>
      <c r="K285" s="265"/>
      <c r="L285" s="265"/>
      <c r="M285" s="265"/>
      <c r="N285" s="263" t="s">
        <v>333</v>
      </c>
      <c r="O285" s="266" t="s">
        <v>130</v>
      </c>
      <c r="P285" s="250">
        <v>1</v>
      </c>
    </row>
    <row r="286" spans="1:16" s="32" customFormat="1" ht="14.25" customHeight="1" x14ac:dyDescent="0.2">
      <c r="A286" s="262" t="s">
        <v>30</v>
      </c>
      <c r="B286" s="261" t="s">
        <v>334</v>
      </c>
      <c r="C286" s="246">
        <v>46091</v>
      </c>
      <c r="D286" s="262" t="s">
        <v>335</v>
      </c>
      <c r="E286" s="246">
        <v>46006</v>
      </c>
      <c r="F286" s="264" t="s">
        <v>128</v>
      </c>
      <c r="G286" s="265" t="s">
        <v>26</v>
      </c>
      <c r="H286" s="265"/>
      <c r="I286" s="265"/>
      <c r="J286" s="265"/>
      <c r="K286" s="265"/>
      <c r="L286" s="265"/>
      <c r="M286" s="265"/>
      <c r="N286" s="263" t="s">
        <v>336</v>
      </c>
      <c r="O286" s="266" t="s">
        <v>130</v>
      </c>
      <c r="P286" s="250">
        <v>1</v>
      </c>
    </row>
    <row r="287" spans="1:16" s="32" customFormat="1" ht="14.25" customHeight="1" x14ac:dyDescent="0.2">
      <c r="A287" s="262" t="s">
        <v>30</v>
      </c>
      <c r="B287" s="261" t="s">
        <v>125</v>
      </c>
      <c r="C287" s="246" t="s">
        <v>125</v>
      </c>
      <c r="D287" s="262" t="s">
        <v>125</v>
      </c>
      <c r="E287" s="246" t="s">
        <v>125</v>
      </c>
      <c r="F287" s="264" t="s">
        <v>125</v>
      </c>
      <c r="G287" s="265" t="s">
        <v>26</v>
      </c>
      <c r="H287" s="265"/>
      <c r="I287" s="265"/>
      <c r="J287" s="265"/>
      <c r="K287" s="265"/>
      <c r="L287" s="265"/>
      <c r="M287" s="265"/>
      <c r="N287" s="263" t="s">
        <v>336</v>
      </c>
      <c r="O287" s="266" t="s">
        <v>130</v>
      </c>
      <c r="P287" s="250">
        <v>1</v>
      </c>
    </row>
    <row r="288" spans="1:16" s="32" customFormat="1" ht="14.25" customHeight="1" x14ac:dyDescent="0.2">
      <c r="A288" s="262" t="s">
        <v>30</v>
      </c>
      <c r="B288" s="261" t="s">
        <v>125</v>
      </c>
      <c r="C288" s="246" t="s">
        <v>125</v>
      </c>
      <c r="D288" s="262" t="s">
        <v>125</v>
      </c>
      <c r="E288" s="246" t="s">
        <v>125</v>
      </c>
      <c r="F288" s="264" t="s">
        <v>125</v>
      </c>
      <c r="G288" s="265" t="s">
        <v>26</v>
      </c>
      <c r="H288" s="265"/>
      <c r="I288" s="265"/>
      <c r="J288" s="265"/>
      <c r="K288" s="265"/>
      <c r="L288" s="265"/>
      <c r="M288" s="265"/>
      <c r="N288" s="263" t="s">
        <v>336</v>
      </c>
      <c r="O288" s="266" t="s">
        <v>130</v>
      </c>
      <c r="P288" s="250">
        <v>1</v>
      </c>
    </row>
    <row r="289" spans="1:16" s="32" customFormat="1" ht="14.25" customHeight="1" x14ac:dyDescent="0.2">
      <c r="A289" s="262" t="s">
        <v>30</v>
      </c>
      <c r="B289" s="261" t="s">
        <v>125</v>
      </c>
      <c r="C289" s="246" t="s">
        <v>125</v>
      </c>
      <c r="D289" s="262" t="s">
        <v>125</v>
      </c>
      <c r="E289" s="246" t="s">
        <v>125</v>
      </c>
      <c r="F289" s="264" t="s">
        <v>125</v>
      </c>
      <c r="G289" s="265" t="s">
        <v>26</v>
      </c>
      <c r="H289" s="265"/>
      <c r="I289" s="265"/>
      <c r="J289" s="265"/>
      <c r="K289" s="265"/>
      <c r="L289" s="265"/>
      <c r="M289" s="265"/>
      <c r="N289" s="263" t="s">
        <v>336</v>
      </c>
      <c r="O289" s="266" t="s">
        <v>130</v>
      </c>
      <c r="P289" s="250">
        <v>1</v>
      </c>
    </row>
    <row r="290" spans="1:16" x14ac:dyDescent="0.25">
      <c r="A290" s="262" t="s">
        <v>13</v>
      </c>
      <c r="B290" s="261" t="s">
        <v>337</v>
      </c>
      <c r="C290" s="246">
        <v>46356</v>
      </c>
      <c r="D290" s="262" t="s">
        <v>338</v>
      </c>
      <c r="E290" s="246">
        <v>45985</v>
      </c>
      <c r="F290" s="264" t="s">
        <v>128</v>
      </c>
      <c r="G290" s="248" t="s">
        <v>156</v>
      </c>
      <c r="H290" s="248"/>
      <c r="I290" s="248"/>
      <c r="J290" s="248"/>
      <c r="K290" s="248"/>
      <c r="L290" s="248"/>
      <c r="M290" s="248"/>
      <c r="N290" s="249" t="s">
        <v>339</v>
      </c>
      <c r="O290" s="266" t="s">
        <v>130</v>
      </c>
      <c r="P290" s="250">
        <v>1</v>
      </c>
    </row>
    <row r="291" spans="1:16" x14ac:dyDescent="0.25">
      <c r="A291" s="262" t="s">
        <v>13</v>
      </c>
      <c r="B291" s="261" t="s">
        <v>125</v>
      </c>
      <c r="C291" s="246" t="s">
        <v>125</v>
      </c>
      <c r="D291" s="262" t="s">
        <v>125</v>
      </c>
      <c r="E291" s="246" t="s">
        <v>125</v>
      </c>
      <c r="F291" s="264" t="s">
        <v>125</v>
      </c>
      <c r="G291" s="248" t="s">
        <v>156</v>
      </c>
      <c r="H291" s="248"/>
      <c r="I291" s="248"/>
      <c r="J291" s="248"/>
      <c r="K291" s="248"/>
      <c r="L291" s="248"/>
      <c r="M291" s="248"/>
      <c r="N291" s="249" t="s">
        <v>339</v>
      </c>
      <c r="O291" s="266" t="s">
        <v>130</v>
      </c>
      <c r="P291" s="250">
        <v>1</v>
      </c>
    </row>
    <row r="292" spans="1:16" x14ac:dyDescent="0.25">
      <c r="A292" s="262" t="s">
        <v>13</v>
      </c>
      <c r="B292" s="261" t="s">
        <v>125</v>
      </c>
      <c r="C292" s="246" t="s">
        <v>125</v>
      </c>
      <c r="D292" s="262" t="s">
        <v>125</v>
      </c>
      <c r="E292" s="246" t="s">
        <v>125</v>
      </c>
      <c r="F292" s="264" t="s">
        <v>125</v>
      </c>
      <c r="G292" s="248" t="s">
        <v>156</v>
      </c>
      <c r="H292" s="248"/>
      <c r="I292" s="248"/>
      <c r="J292" s="248"/>
      <c r="K292" s="248"/>
      <c r="L292" s="248"/>
      <c r="M292" s="248"/>
      <c r="N292" s="249" t="s">
        <v>339</v>
      </c>
      <c r="O292" s="266" t="s">
        <v>130</v>
      </c>
      <c r="P292" s="250">
        <v>1</v>
      </c>
    </row>
    <row r="293" spans="1:16" x14ac:dyDescent="0.25">
      <c r="A293" s="262" t="s">
        <v>13</v>
      </c>
      <c r="B293" s="261" t="s">
        <v>125</v>
      </c>
      <c r="C293" s="246" t="s">
        <v>125</v>
      </c>
      <c r="D293" s="262" t="s">
        <v>125</v>
      </c>
      <c r="E293" s="246" t="s">
        <v>125</v>
      </c>
      <c r="F293" s="264" t="s">
        <v>125</v>
      </c>
      <c r="G293" s="248" t="s">
        <v>156</v>
      </c>
      <c r="H293" s="248"/>
      <c r="I293" s="248"/>
      <c r="J293" s="248"/>
      <c r="K293" s="248"/>
      <c r="L293" s="248"/>
      <c r="M293" s="248"/>
      <c r="N293" s="249" t="s">
        <v>339</v>
      </c>
      <c r="O293" s="266" t="s">
        <v>130</v>
      </c>
      <c r="P293" s="250">
        <v>1</v>
      </c>
    </row>
    <row r="294" spans="1:16" x14ac:dyDescent="0.25">
      <c r="A294" s="262" t="s">
        <v>40</v>
      </c>
      <c r="B294" s="261" t="s">
        <v>314</v>
      </c>
      <c r="C294" s="246">
        <v>46099</v>
      </c>
      <c r="D294" s="262" t="s">
        <v>159</v>
      </c>
      <c r="E294" s="246">
        <v>46070</v>
      </c>
      <c r="F294" s="264" t="s">
        <v>128</v>
      </c>
      <c r="G294" s="248" t="s">
        <v>38</v>
      </c>
      <c r="H294" s="248" t="s">
        <v>93</v>
      </c>
      <c r="I294" s="248" t="s">
        <v>65</v>
      </c>
      <c r="J294" s="248"/>
      <c r="K294" s="248"/>
      <c r="L294" s="248"/>
      <c r="M294" s="248"/>
      <c r="N294" s="253" t="s">
        <v>241</v>
      </c>
      <c r="O294" s="250" t="s">
        <v>173</v>
      </c>
      <c r="P294" s="251">
        <v>0</v>
      </c>
    </row>
    <row r="295" spans="1:16" x14ac:dyDescent="0.25">
      <c r="A295" s="262" t="s">
        <v>40</v>
      </c>
      <c r="B295" s="261" t="s">
        <v>125</v>
      </c>
      <c r="C295" s="246" t="s">
        <v>125</v>
      </c>
      <c r="D295" s="262" t="s">
        <v>125</v>
      </c>
      <c r="E295" s="246" t="s">
        <v>125</v>
      </c>
      <c r="F295" s="264" t="s">
        <v>125</v>
      </c>
      <c r="G295" s="248" t="s">
        <v>38</v>
      </c>
      <c r="H295" s="248" t="s">
        <v>93</v>
      </c>
      <c r="I295" s="248" t="s">
        <v>65</v>
      </c>
      <c r="J295" s="248"/>
      <c r="K295" s="248"/>
      <c r="L295" s="248"/>
      <c r="M295" s="248"/>
      <c r="N295" s="253" t="s">
        <v>241</v>
      </c>
      <c r="O295" s="250" t="s">
        <v>173</v>
      </c>
      <c r="P295" s="251">
        <v>0</v>
      </c>
    </row>
    <row r="296" spans="1:16" x14ac:dyDescent="0.25">
      <c r="A296" s="262" t="s">
        <v>40</v>
      </c>
      <c r="B296" s="261" t="s">
        <v>125</v>
      </c>
      <c r="C296" s="246" t="s">
        <v>125</v>
      </c>
      <c r="D296" s="262" t="s">
        <v>125</v>
      </c>
      <c r="E296" s="246" t="s">
        <v>125</v>
      </c>
      <c r="F296" s="264" t="s">
        <v>125</v>
      </c>
      <c r="G296" s="248" t="s">
        <v>38</v>
      </c>
      <c r="H296" s="248" t="s">
        <v>93</v>
      </c>
      <c r="I296" s="248" t="s">
        <v>65</v>
      </c>
      <c r="J296" s="248"/>
      <c r="K296" s="248"/>
      <c r="L296" s="248"/>
      <c r="M296" s="248"/>
      <c r="N296" s="253" t="s">
        <v>241</v>
      </c>
      <c r="O296" s="250" t="s">
        <v>173</v>
      </c>
      <c r="P296" s="251">
        <v>0</v>
      </c>
    </row>
    <row r="297" spans="1:16" x14ac:dyDescent="0.25">
      <c r="A297" s="262" t="s">
        <v>40</v>
      </c>
      <c r="B297" s="261" t="s">
        <v>125</v>
      </c>
      <c r="C297" s="246" t="s">
        <v>125</v>
      </c>
      <c r="D297" s="262" t="s">
        <v>125</v>
      </c>
      <c r="E297" s="246" t="s">
        <v>125</v>
      </c>
      <c r="F297" s="264" t="s">
        <v>125</v>
      </c>
      <c r="G297" s="248" t="s">
        <v>38</v>
      </c>
      <c r="H297" s="248" t="s">
        <v>93</v>
      </c>
      <c r="I297" s="248" t="s">
        <v>65</v>
      </c>
      <c r="J297" s="248"/>
      <c r="K297" s="248"/>
      <c r="L297" s="248"/>
      <c r="M297" s="248"/>
      <c r="N297" s="253" t="s">
        <v>241</v>
      </c>
      <c r="O297" s="250" t="s">
        <v>173</v>
      </c>
      <c r="P297" s="251">
        <v>0</v>
      </c>
    </row>
    <row r="298" spans="1:16" x14ac:dyDescent="0.25">
      <c r="A298" s="262" t="s">
        <v>72</v>
      </c>
      <c r="B298" s="261">
        <v>334632</v>
      </c>
      <c r="C298" s="246">
        <v>46113</v>
      </c>
      <c r="D298" s="262" t="s">
        <v>340</v>
      </c>
      <c r="E298" s="246">
        <v>46029</v>
      </c>
      <c r="F298" s="264" t="s">
        <v>124</v>
      </c>
      <c r="G298" s="248" t="s">
        <v>71</v>
      </c>
      <c r="H298" s="248"/>
      <c r="I298" s="248"/>
      <c r="J298" s="248"/>
      <c r="K298" s="248"/>
      <c r="L298" s="248"/>
      <c r="M298" s="248"/>
      <c r="N298" s="253" t="s">
        <v>341</v>
      </c>
      <c r="O298" s="250" t="s">
        <v>145</v>
      </c>
      <c r="P298" s="251">
        <v>0</v>
      </c>
    </row>
    <row r="299" spans="1:16" x14ac:dyDescent="0.25">
      <c r="A299" s="262" t="s">
        <v>72</v>
      </c>
      <c r="B299" s="261">
        <v>335690</v>
      </c>
      <c r="C299" s="246">
        <v>46327</v>
      </c>
      <c r="D299" s="262" t="s">
        <v>342</v>
      </c>
      <c r="E299" s="246">
        <v>46029</v>
      </c>
      <c r="F299" s="264" t="s">
        <v>124</v>
      </c>
      <c r="G299" s="248" t="s">
        <v>71</v>
      </c>
      <c r="H299" s="248"/>
      <c r="I299" s="248"/>
      <c r="J299" s="248"/>
      <c r="K299" s="248"/>
      <c r="L299" s="248"/>
      <c r="M299" s="248"/>
      <c r="N299" s="253" t="s">
        <v>341</v>
      </c>
      <c r="O299" s="250" t="s">
        <v>145</v>
      </c>
      <c r="P299" s="251">
        <v>0</v>
      </c>
    </row>
    <row r="300" spans="1:16" x14ac:dyDescent="0.25">
      <c r="A300" s="262" t="s">
        <v>72</v>
      </c>
      <c r="B300" s="295" t="s">
        <v>125</v>
      </c>
      <c r="C300" s="246" t="s">
        <v>125</v>
      </c>
      <c r="D300" s="262" t="s">
        <v>125</v>
      </c>
      <c r="E300" s="246" t="s">
        <v>125</v>
      </c>
      <c r="F300" s="264" t="s">
        <v>125</v>
      </c>
      <c r="G300" s="248" t="s">
        <v>71</v>
      </c>
      <c r="H300" s="248"/>
      <c r="I300" s="248"/>
      <c r="J300" s="248"/>
      <c r="K300" s="248"/>
      <c r="L300" s="248"/>
      <c r="M300" s="248"/>
      <c r="N300" s="253" t="s">
        <v>341</v>
      </c>
      <c r="O300" s="250" t="s">
        <v>130</v>
      </c>
      <c r="P300" s="250">
        <v>1</v>
      </c>
    </row>
    <row r="301" spans="1:16" x14ac:dyDescent="0.25">
      <c r="A301" s="262" t="s">
        <v>72</v>
      </c>
      <c r="B301" s="295" t="s">
        <v>125</v>
      </c>
      <c r="C301" s="246" t="s">
        <v>125</v>
      </c>
      <c r="D301" s="262" t="s">
        <v>125</v>
      </c>
      <c r="E301" s="246" t="s">
        <v>125</v>
      </c>
      <c r="F301" s="264" t="s">
        <v>125</v>
      </c>
      <c r="G301" s="248" t="s">
        <v>71</v>
      </c>
      <c r="H301" s="248"/>
      <c r="I301" s="248"/>
      <c r="J301" s="248"/>
      <c r="K301" s="248"/>
      <c r="L301" s="248"/>
      <c r="M301" s="248"/>
      <c r="N301" s="253" t="s">
        <v>341</v>
      </c>
      <c r="O301" s="250" t="s">
        <v>130</v>
      </c>
      <c r="P301" s="250">
        <v>1</v>
      </c>
    </row>
    <row r="302" spans="1:16" x14ac:dyDescent="0.25">
      <c r="A302" s="262" t="s">
        <v>73</v>
      </c>
      <c r="B302" s="261" t="s">
        <v>343</v>
      </c>
      <c r="C302" s="246">
        <v>46333</v>
      </c>
      <c r="D302" s="262" t="s">
        <v>344</v>
      </c>
      <c r="E302" s="246">
        <v>46037</v>
      </c>
      <c r="F302" s="264" t="s">
        <v>128</v>
      </c>
      <c r="G302" s="248" t="s">
        <v>71</v>
      </c>
      <c r="H302" s="248"/>
      <c r="I302" s="248"/>
      <c r="J302" s="248"/>
      <c r="K302" s="248"/>
      <c r="L302" s="248"/>
      <c r="M302" s="248"/>
      <c r="N302" s="253" t="s">
        <v>345</v>
      </c>
      <c r="O302" s="250" t="s">
        <v>130</v>
      </c>
      <c r="P302" s="251">
        <v>1</v>
      </c>
    </row>
    <row r="303" spans="1:16" x14ac:dyDescent="0.25">
      <c r="A303" s="262" t="s">
        <v>73</v>
      </c>
      <c r="B303" s="261" t="s">
        <v>125</v>
      </c>
      <c r="C303" s="246" t="s">
        <v>125</v>
      </c>
      <c r="D303" s="262" t="s">
        <v>125</v>
      </c>
      <c r="E303" s="246" t="s">
        <v>125</v>
      </c>
      <c r="F303" s="264" t="s">
        <v>125</v>
      </c>
      <c r="G303" s="248" t="s">
        <v>71</v>
      </c>
      <c r="H303" s="248"/>
      <c r="I303" s="248"/>
      <c r="J303" s="248"/>
      <c r="K303" s="248"/>
      <c r="L303" s="248"/>
      <c r="M303" s="248"/>
      <c r="N303" s="253" t="s">
        <v>345</v>
      </c>
      <c r="O303" s="250" t="s">
        <v>130</v>
      </c>
      <c r="P303" s="251">
        <v>1</v>
      </c>
    </row>
    <row r="304" spans="1:16" x14ac:dyDescent="0.25">
      <c r="A304" s="262" t="s">
        <v>73</v>
      </c>
      <c r="B304" s="295" t="s">
        <v>125</v>
      </c>
      <c r="C304" s="246" t="s">
        <v>125</v>
      </c>
      <c r="D304" s="262" t="s">
        <v>125</v>
      </c>
      <c r="E304" s="246" t="s">
        <v>125</v>
      </c>
      <c r="F304" s="264" t="s">
        <v>125</v>
      </c>
      <c r="G304" s="248" t="s">
        <v>71</v>
      </c>
      <c r="H304" s="248"/>
      <c r="I304" s="248"/>
      <c r="J304" s="248"/>
      <c r="K304" s="248"/>
      <c r="L304" s="248"/>
      <c r="M304" s="248"/>
      <c r="N304" s="253" t="s">
        <v>345</v>
      </c>
      <c r="O304" s="250" t="s">
        <v>130</v>
      </c>
      <c r="P304" s="250">
        <v>1</v>
      </c>
    </row>
    <row r="305" spans="1:16" x14ac:dyDescent="0.25">
      <c r="A305" s="262" t="s">
        <v>73</v>
      </c>
      <c r="B305" s="295" t="s">
        <v>125</v>
      </c>
      <c r="C305" s="246" t="s">
        <v>125</v>
      </c>
      <c r="D305" s="262" t="s">
        <v>125</v>
      </c>
      <c r="E305" s="246" t="s">
        <v>125</v>
      </c>
      <c r="F305" s="264" t="s">
        <v>125</v>
      </c>
      <c r="G305" s="248" t="s">
        <v>71</v>
      </c>
      <c r="H305" s="248"/>
      <c r="I305" s="248"/>
      <c r="J305" s="248"/>
      <c r="K305" s="248"/>
      <c r="L305" s="248"/>
      <c r="M305" s="248"/>
      <c r="N305" s="253" t="s">
        <v>345</v>
      </c>
      <c r="O305" s="250" t="s">
        <v>130</v>
      </c>
      <c r="P305" s="250">
        <v>1</v>
      </c>
    </row>
    <row r="306" spans="1:16" x14ac:dyDescent="0.25">
      <c r="A306" s="244" t="s">
        <v>80</v>
      </c>
      <c r="B306" s="245">
        <v>336020</v>
      </c>
      <c r="C306" s="246">
        <v>46385</v>
      </c>
      <c r="D306" s="262" t="s">
        <v>272</v>
      </c>
      <c r="E306" s="246">
        <v>46058</v>
      </c>
      <c r="F306" s="264" t="s">
        <v>128</v>
      </c>
      <c r="G306" s="248" t="s">
        <v>75</v>
      </c>
      <c r="H306" s="248"/>
      <c r="I306" s="248"/>
      <c r="J306" s="248"/>
      <c r="K306" s="248"/>
      <c r="L306" s="248"/>
      <c r="M306" s="248"/>
      <c r="N306" s="249" t="s">
        <v>281</v>
      </c>
      <c r="O306" s="250" t="s">
        <v>130</v>
      </c>
      <c r="P306" s="251">
        <v>1</v>
      </c>
    </row>
    <row r="307" spans="1:16" x14ac:dyDescent="0.25">
      <c r="A307" s="244" t="s">
        <v>80</v>
      </c>
      <c r="B307" s="245" t="s">
        <v>346</v>
      </c>
      <c r="C307" s="246" t="s">
        <v>125</v>
      </c>
      <c r="D307" s="262" t="s">
        <v>125</v>
      </c>
      <c r="E307" s="246" t="s">
        <v>125</v>
      </c>
      <c r="F307" s="264" t="s">
        <v>125</v>
      </c>
      <c r="G307" s="248" t="s">
        <v>75</v>
      </c>
      <c r="H307" s="248"/>
      <c r="I307" s="248"/>
      <c r="J307" s="248"/>
      <c r="K307" s="248"/>
      <c r="L307" s="248"/>
      <c r="M307" s="248"/>
      <c r="N307" s="249" t="s">
        <v>281</v>
      </c>
      <c r="O307" s="250" t="s">
        <v>130</v>
      </c>
      <c r="P307" s="251">
        <v>1</v>
      </c>
    </row>
    <row r="308" spans="1:16" x14ac:dyDescent="0.25">
      <c r="A308" s="244" t="s">
        <v>80</v>
      </c>
      <c r="B308" s="245" t="s">
        <v>125</v>
      </c>
      <c r="C308" s="246" t="s">
        <v>125</v>
      </c>
      <c r="D308" s="244" t="s">
        <v>125</v>
      </c>
      <c r="E308" s="246" t="s">
        <v>125</v>
      </c>
      <c r="F308" s="247" t="s">
        <v>125</v>
      </c>
      <c r="G308" s="248" t="s">
        <v>75</v>
      </c>
      <c r="H308" s="248"/>
      <c r="I308" s="248"/>
      <c r="J308" s="248"/>
      <c r="K308" s="248"/>
      <c r="L308" s="248"/>
      <c r="M308" s="248"/>
      <c r="N308" s="249" t="s">
        <v>281</v>
      </c>
      <c r="O308" s="250" t="s">
        <v>130</v>
      </c>
      <c r="P308" s="251">
        <v>1</v>
      </c>
    </row>
    <row r="309" spans="1:16" x14ac:dyDescent="0.25">
      <c r="A309" s="244" t="s">
        <v>80</v>
      </c>
      <c r="B309" s="245" t="s">
        <v>125</v>
      </c>
      <c r="C309" s="246" t="s">
        <v>125</v>
      </c>
      <c r="D309" s="244" t="s">
        <v>125</v>
      </c>
      <c r="E309" s="246" t="s">
        <v>125</v>
      </c>
      <c r="F309" s="247" t="s">
        <v>125</v>
      </c>
      <c r="G309" s="248" t="s">
        <v>75</v>
      </c>
      <c r="H309" s="248"/>
      <c r="I309" s="248"/>
      <c r="J309" s="248"/>
      <c r="K309" s="248"/>
      <c r="L309" s="248"/>
      <c r="M309" s="248"/>
      <c r="N309" s="249" t="s">
        <v>281</v>
      </c>
      <c r="O309" s="250" t="s">
        <v>130</v>
      </c>
      <c r="P309" s="251">
        <v>1</v>
      </c>
    </row>
    <row r="310" spans="1:16" x14ac:dyDescent="0.25">
      <c r="A310" s="244" t="s">
        <v>23</v>
      </c>
      <c r="B310" s="255">
        <v>336019</v>
      </c>
      <c r="C310" s="256">
        <v>46385</v>
      </c>
      <c r="D310" s="254" t="s">
        <v>140</v>
      </c>
      <c r="E310" s="246">
        <v>46063</v>
      </c>
      <c r="F310" s="247" t="s">
        <v>115</v>
      </c>
      <c r="G310" s="248" t="s">
        <v>116</v>
      </c>
      <c r="H310" s="248" t="s">
        <v>75</v>
      </c>
      <c r="I310" s="248"/>
      <c r="J310" s="248"/>
      <c r="K310" s="248"/>
      <c r="L310" s="248"/>
      <c r="M310" s="248"/>
      <c r="N310" s="249" t="s">
        <v>282</v>
      </c>
      <c r="O310" s="250" t="s">
        <v>130</v>
      </c>
      <c r="P310" s="251">
        <v>1</v>
      </c>
    </row>
    <row r="311" spans="1:16" x14ac:dyDescent="0.25">
      <c r="A311" s="244" t="s">
        <v>23</v>
      </c>
      <c r="B311" s="255" t="s">
        <v>125</v>
      </c>
      <c r="C311" s="256" t="s">
        <v>125</v>
      </c>
      <c r="D311" s="254" t="s">
        <v>125</v>
      </c>
      <c r="E311" s="246" t="s">
        <v>125</v>
      </c>
      <c r="F311" s="247" t="s">
        <v>125</v>
      </c>
      <c r="G311" s="248" t="s">
        <v>116</v>
      </c>
      <c r="H311" s="248" t="s">
        <v>75</v>
      </c>
      <c r="I311" s="248"/>
      <c r="J311" s="248"/>
      <c r="K311" s="248"/>
      <c r="L311" s="248"/>
      <c r="M311" s="248"/>
      <c r="N311" s="249" t="s">
        <v>282</v>
      </c>
      <c r="O311" s="250" t="s">
        <v>130</v>
      </c>
      <c r="P311" s="251">
        <v>1</v>
      </c>
    </row>
    <row r="312" spans="1:16" x14ac:dyDescent="0.25">
      <c r="A312" s="244" t="s">
        <v>23</v>
      </c>
      <c r="B312" s="255" t="s">
        <v>125</v>
      </c>
      <c r="C312" s="256" t="s">
        <v>125</v>
      </c>
      <c r="D312" s="254" t="s">
        <v>125</v>
      </c>
      <c r="E312" s="246" t="s">
        <v>125</v>
      </c>
      <c r="F312" s="247" t="s">
        <v>125</v>
      </c>
      <c r="G312" s="248" t="s">
        <v>116</v>
      </c>
      <c r="H312" s="248" t="s">
        <v>75</v>
      </c>
      <c r="I312" s="248"/>
      <c r="J312" s="248"/>
      <c r="K312" s="248"/>
      <c r="L312" s="248"/>
      <c r="M312" s="248"/>
      <c r="N312" s="249" t="s">
        <v>282</v>
      </c>
      <c r="O312" s="250" t="s">
        <v>130</v>
      </c>
      <c r="P312" s="251">
        <v>1</v>
      </c>
    </row>
    <row r="313" spans="1:16" x14ac:dyDescent="0.25">
      <c r="A313" s="244" t="s">
        <v>23</v>
      </c>
      <c r="B313" s="255" t="s">
        <v>125</v>
      </c>
      <c r="C313" s="256" t="s">
        <v>125</v>
      </c>
      <c r="D313" s="254" t="s">
        <v>125</v>
      </c>
      <c r="E313" s="246" t="s">
        <v>125</v>
      </c>
      <c r="F313" s="247" t="s">
        <v>125</v>
      </c>
      <c r="G313" s="248" t="s">
        <v>116</v>
      </c>
      <c r="H313" s="248" t="s">
        <v>75</v>
      </c>
      <c r="I313" s="248"/>
      <c r="J313" s="248"/>
      <c r="K313" s="248"/>
      <c r="L313" s="248"/>
      <c r="M313" s="248"/>
      <c r="N313" s="249" t="s">
        <v>282</v>
      </c>
      <c r="O313" s="250" t="s">
        <v>130</v>
      </c>
      <c r="P313" s="251">
        <v>1</v>
      </c>
    </row>
  </sheetData>
  <sheetProtection algorithmName="SHA-512" hashValue="YlX6Lft3syJqXFbDkBrFIfbWuAJBtJvKIW4k/TjyZ6ZRaeR0dPxDYmLmEzhVr8e7pKkqKOmPg8azqJMg19nXtg==" saltValue="itkMBffNcQGw8ynPAEDJRw==" spinCount="100000" sheet="1" objects="1" scenarios="1"/>
  <pageMargins left="0.7" right="0.7" top="0.75" bottom="0.75" header="0.3" footer="0.3"/>
  <pageSetup paperSize="9"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E59"/>
  <sheetViews>
    <sheetView zoomScale="85" zoomScaleNormal="85" workbookViewId="0">
      <selection activeCell="M30" sqref="M30"/>
    </sheetView>
  </sheetViews>
  <sheetFormatPr defaultColWidth="11.85546875" defaultRowHeight="15" x14ac:dyDescent="0.25"/>
  <cols>
    <col min="1" max="1" width="5.5703125" customWidth="1"/>
    <col min="2" max="2" width="4.140625" hidden="1" customWidth="1"/>
    <col min="3" max="3" width="5" customWidth="1"/>
    <col min="4" max="4" width="6.5703125" customWidth="1"/>
    <col min="5" max="5" width="3.42578125" customWidth="1"/>
    <col min="6" max="6" width="12.28515625" bestFit="1" customWidth="1"/>
    <col min="7" max="7" width="8.42578125" customWidth="1"/>
    <col min="8" max="8" width="11.7109375" customWidth="1"/>
    <col min="9" max="9" width="13.5703125" customWidth="1"/>
    <col min="10" max="10" width="18.5703125" bestFit="1" customWidth="1"/>
    <col min="11" max="11" width="5" customWidth="1"/>
    <col min="12" max="12" width="4.42578125" customWidth="1"/>
    <col min="13" max="13" width="4.85546875" customWidth="1"/>
    <col min="14" max="14" width="7.7109375" customWidth="1"/>
    <col min="15" max="15" width="7.140625" style="33" customWidth="1"/>
    <col min="16" max="16" width="7.28515625" style="33" customWidth="1"/>
    <col min="17" max="17" width="16" bestFit="1" customWidth="1"/>
    <col min="18" max="18" width="14.28515625" customWidth="1"/>
    <col min="19" max="19" width="18.5703125" bestFit="1" customWidth="1"/>
    <col min="20" max="20" width="5.28515625" customWidth="1"/>
    <col min="21" max="21" width="4" customWidth="1"/>
    <col min="22" max="22" width="6" customWidth="1"/>
    <col min="23" max="23" width="5.140625" customWidth="1"/>
    <col min="24" max="24" width="6.7109375" customWidth="1"/>
    <col min="25" max="25" width="3.85546875" customWidth="1"/>
    <col min="26" max="26" width="13.5703125" customWidth="1"/>
    <col min="27" max="27" width="17.85546875" bestFit="1" customWidth="1"/>
    <col min="28" max="28" width="18.5703125" bestFit="1" customWidth="1"/>
    <col min="29" max="29" width="3.42578125" customWidth="1"/>
    <col min="30" max="30" width="4.7109375" customWidth="1"/>
    <col min="52" max="57" width="13" hidden="1" customWidth="1"/>
  </cols>
  <sheetData>
    <row r="1" spans="1:30" ht="7.5" customHeight="1" x14ac:dyDescent="0.25"/>
    <row r="2" spans="1:30" ht="25.15" customHeight="1" x14ac:dyDescent="0.25">
      <c r="A2" s="230"/>
      <c r="B2" s="230"/>
      <c r="C2" s="384" t="s">
        <v>347</v>
      </c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6"/>
      <c r="P2" s="366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230"/>
    </row>
    <row r="3" spans="1:30" ht="15.75" customHeight="1" thickBot="1" x14ac:dyDescent="0.3">
      <c r="A3" s="230"/>
      <c r="AD3" s="230"/>
    </row>
    <row r="4" spans="1:30" ht="24" customHeight="1" thickBot="1" x14ac:dyDescent="0.3">
      <c r="A4" s="230"/>
      <c r="C4" s="388" t="s">
        <v>348</v>
      </c>
      <c r="D4" s="377"/>
      <c r="E4" s="377"/>
      <c r="F4" s="377"/>
      <c r="G4" s="377"/>
      <c r="H4" s="377"/>
      <c r="I4" s="377"/>
      <c r="J4" s="378"/>
      <c r="L4" s="388" t="s">
        <v>349</v>
      </c>
      <c r="M4" s="377"/>
      <c r="N4" s="377"/>
      <c r="O4" s="377"/>
      <c r="P4" s="377"/>
      <c r="Q4" s="377"/>
      <c r="R4" s="377"/>
      <c r="S4" s="378"/>
      <c r="U4" s="390" t="s">
        <v>350</v>
      </c>
      <c r="V4" s="377"/>
      <c r="W4" s="377"/>
      <c r="X4" s="377"/>
      <c r="Y4" s="377"/>
      <c r="Z4" s="377"/>
      <c r="AA4" s="377"/>
      <c r="AB4" s="378"/>
      <c r="AD4" s="230"/>
    </row>
    <row r="5" spans="1:30" ht="38.25" customHeight="1" thickBot="1" x14ac:dyDescent="0.3">
      <c r="A5" s="230"/>
      <c r="C5" s="379" t="s">
        <v>351</v>
      </c>
      <c r="D5" s="362"/>
      <c r="E5" s="362"/>
      <c r="F5" s="362"/>
      <c r="G5" s="362"/>
      <c r="H5" s="362"/>
      <c r="I5" s="362"/>
      <c r="J5" s="380"/>
      <c r="L5" s="379" t="s">
        <v>352</v>
      </c>
      <c r="M5" s="362"/>
      <c r="N5" s="362"/>
      <c r="O5" s="362"/>
      <c r="P5" s="362"/>
      <c r="Q5" s="362"/>
      <c r="R5" s="362"/>
      <c r="S5" s="380"/>
      <c r="U5" s="379" t="s">
        <v>353</v>
      </c>
      <c r="V5" s="362"/>
      <c r="W5" s="362"/>
      <c r="X5" s="362"/>
      <c r="Y5" s="362"/>
      <c r="Z5" s="362"/>
      <c r="AA5" s="362"/>
      <c r="AB5" s="380"/>
      <c r="AD5" s="230"/>
    </row>
    <row r="6" spans="1:30" ht="28.5" customHeight="1" thickBot="1" x14ac:dyDescent="0.3">
      <c r="A6" s="230"/>
      <c r="C6" s="375" t="s">
        <v>354</v>
      </c>
      <c r="D6" s="362"/>
      <c r="E6" s="358"/>
      <c r="F6" s="357" t="s">
        <v>355</v>
      </c>
      <c r="G6" s="358"/>
      <c r="H6" s="50" t="s">
        <v>356</v>
      </c>
      <c r="I6" s="197" t="s">
        <v>108</v>
      </c>
      <c r="J6" s="229" t="s">
        <v>109</v>
      </c>
      <c r="K6" s="35"/>
      <c r="L6" s="375" t="s">
        <v>354</v>
      </c>
      <c r="M6" s="362"/>
      <c r="N6" s="358"/>
      <c r="O6" s="357" t="s">
        <v>355</v>
      </c>
      <c r="P6" s="358"/>
      <c r="Q6" s="50" t="s">
        <v>356</v>
      </c>
      <c r="R6" s="197" t="s">
        <v>108</v>
      </c>
      <c r="S6" s="229" t="s">
        <v>109</v>
      </c>
      <c r="T6" s="35"/>
      <c r="U6" s="375" t="s">
        <v>354</v>
      </c>
      <c r="V6" s="362"/>
      <c r="W6" s="358"/>
      <c r="X6" s="357" t="s">
        <v>355</v>
      </c>
      <c r="Y6" s="358"/>
      <c r="Z6" s="49" t="s">
        <v>356</v>
      </c>
      <c r="AA6" s="197" t="s">
        <v>108</v>
      </c>
      <c r="AB6" s="229" t="s">
        <v>109</v>
      </c>
      <c r="AD6" s="230"/>
    </row>
    <row r="7" spans="1:30" x14ac:dyDescent="0.25">
      <c r="A7" s="230"/>
      <c r="B7" t="s">
        <v>5</v>
      </c>
      <c r="C7" s="361" t="str" cm="1">
        <f t="array" ref="C7">_xlfn.LET(_xlpm.x,IFERROR(INDEX(_xlfn.ANCHORARRAY($C$35),ROWS($C$7:C7),1),""),IF(_xlpm.x="","N/A",_xlpm.x))</f>
        <v>1001534879</v>
      </c>
      <c r="D7" s="403"/>
      <c r="E7" s="403"/>
      <c r="F7" s="359" cm="1">
        <f t="array" ref="F7">_xlfn.LET(_xlpm.x,IFERROR(INDEX(_xlfn.ANCHORARRAY($C$35),ROWS($F$7:F7),2),""),IF(_xlpm.x="","N/A",_xlpm.x))</f>
        <v>46291</v>
      </c>
      <c r="G7" s="403"/>
      <c r="H7" s="42" cm="1">
        <f t="array" ref="H7">_xlfn.LET(_xlpm.x,IFERROR(INDEX(_xlfn.ANCHORARRAY($C$35),ROWS($H$7:H7),3),""),IF(_xlpm.x="","N/A",_xlpm.x))</f>
        <v>50</v>
      </c>
      <c r="I7" s="43" cm="1">
        <f t="array" ref="I7">_xlfn.LET(_xlpm.x,IFERROR(INDEX(_xlfn.ANCHORARRAY($C$35),ROWS($I$7:I7),4),""),IF(_xlpm.x="","N/A",_xlpm.x))</f>
        <v>46184.131944444445</v>
      </c>
      <c r="J7" s="45" t="str" cm="1">
        <f t="array" ref="J7">_xlfn.LET(_xlpm.x,IFERROR(INDEX(_xlfn.ANCHORARRAY($C$35),ROWS($J$7:J7),5),""),IF(_xlpm.x="","N/A",_xlpm.x))</f>
        <v>Jesper Fredriksson</v>
      </c>
      <c r="L7" s="361" t="str" cm="1">
        <f t="array" ref="L7">_xlfn.LET(_xlpm.x,IFERROR(INDEX(_xlfn.ANCHORARRAY($C$39),ROWS($L$7:L7),1),""),IF(_xlpm.x="","N/A",_xlpm.x))</f>
        <v>1001528927</v>
      </c>
      <c r="M7" s="403"/>
      <c r="N7" s="403"/>
      <c r="O7" s="359" cm="1">
        <f t="array" ref="O7">_xlfn.LET(_xlpm.x,IFERROR(INDEX(_xlfn.ANCHORARRAY($C$39),ROWS($O$7:O7),2),""),IF(_xlpm.x="","N/A",_xlpm.x))</f>
        <v>46275</v>
      </c>
      <c r="P7" s="403"/>
      <c r="Q7" s="42" cm="1">
        <f t="array" ref="Q7">_xlfn.LET(_xlpm.x,IFERROR(INDEX(_xlfn.ANCHORARRAY($C$39),ROWS($Q$7:Q7),3),""),IF(_xlpm.x="","N/A",_xlpm.x))</f>
        <v>15</v>
      </c>
      <c r="R7" s="43" cm="1">
        <f t="array" ref="R7">_xlfn.LET(_xlpm.x,IFERROR(INDEX(_xlfn.ANCHORARRAY($C$39),ROWS($R$7:R7),4),""),IF(_xlpm.x="","N/A",_xlpm.x))</f>
        <v>46183.927777777775</v>
      </c>
      <c r="S7" s="45" t="str" cm="1">
        <f t="array" ref="S7">_xlfn.LET(_xlpm.x,IFERROR(INDEX(_xlfn.ANCHORARRAY($C$39),ROWS($S$7:S7),5),""),IF(_xlpm.x="","N/A",_xlpm.x))</f>
        <v>Jesper Fredriksson</v>
      </c>
      <c r="U7" s="361" t="str" cm="1">
        <f t="array" ref="U7">_xlfn.LET(_xlpm.x,IFERROR(INDEX(_xlfn.ANCHORARRAY($C$43),ROWS($U$7:U7),1),""),IF(_xlpm.x="","N/A",_xlpm.x))</f>
        <v>1001517662</v>
      </c>
      <c r="V7" s="403"/>
      <c r="W7" s="403"/>
      <c r="X7" s="359" cm="1">
        <f t="array" ref="X7">_xlfn.LET(_xlpm.x,IFERROR(INDEX(_xlfn.ANCHORARRAY($C$43),ROWS($X$7:X7),2),""),IF(_xlpm.x="","N/A",_xlpm.x))</f>
        <v>46234</v>
      </c>
      <c r="Y7" s="403"/>
      <c r="Z7" s="449" cm="1">
        <f t="array" ref="Z7">_xlfn.LET(_xlpm.x,IFERROR(INDEX(_xlfn.ANCHORARRAY($C$43),ROWS($Z$7:Z7),3),""),IF(_xlpm.x="","N/A",_xlpm.x))</f>
        <v>5</v>
      </c>
      <c r="AA7" s="43" cm="1">
        <f t="array" ref="AA7">_xlfn.LET(_xlpm.x,IFERROR(INDEX(_xlfn.ANCHORARRAY($C$43),ROWS($AA$7:AA7),4),""),IF(_xlpm.x="","N/A",_xlpm.x))</f>
        <v>46113.25</v>
      </c>
      <c r="AB7" s="45" t="str" cm="1">
        <f t="array" ref="AB7">_xlfn.LET(_xlpm.x,IFERROR(INDEX(_xlfn.ANCHORARRAY($C$43),ROWS($AB$7:AB7),5),""),IF(_xlpm.x="","N/A",_xlpm.x))</f>
        <v>Jesper Fredriksson</v>
      </c>
      <c r="AD7" s="230"/>
    </row>
    <row r="8" spans="1:30" x14ac:dyDescent="0.25">
      <c r="A8" s="230"/>
      <c r="C8" s="381" t="str" cm="1">
        <f t="array" ref="C8">_xlfn.LET(_xlpm.x,IFERROR(INDEX(_xlfn.ANCHORARRAY($C$35),ROWS($C$7:C8),1),""),IF(_xlpm.x="","N/A",_xlpm.x))</f>
        <v>N/A</v>
      </c>
      <c r="D8" s="406"/>
      <c r="E8" s="406"/>
      <c r="F8" s="371" t="str" cm="1">
        <f t="array" ref="F8">_xlfn.LET(_xlpm.x,IFERROR(INDEX(_xlfn.ANCHORARRAY($C$35),ROWS($F$7:F8),2),""),IF(_xlpm.x="","N/A",_xlpm.x))</f>
        <v>N/A</v>
      </c>
      <c r="G8" s="406"/>
      <c r="H8" s="37" t="str" cm="1">
        <f t="array" ref="H8">_xlfn.LET(_xlpm.x,IFERROR(INDEX(_xlfn.ANCHORARRAY($C$35),ROWS($H$7:H8),3),""),IF(_xlpm.x="","N/A",_xlpm.x))</f>
        <v>N/A</v>
      </c>
      <c r="I8" s="38" t="str" cm="1">
        <f t="array" ref="I8">_xlfn.LET(_xlpm.x,IFERROR(INDEX(_xlfn.ANCHORARRAY($C$35),ROWS($I$7:I8),4),""),IF(_xlpm.x="","N/A",_xlpm.x))</f>
        <v>N/A</v>
      </c>
      <c r="J8" s="26" t="str" cm="1">
        <f t="array" ref="J8">_xlfn.LET(_xlpm.x,IFERROR(INDEX(_xlfn.ANCHORARRAY($C$35),ROWS($J$7:J8),5),""),IF(_xlpm.x="","N/A",_xlpm.x))</f>
        <v>N/A</v>
      </c>
      <c r="L8" s="381" t="str" cm="1">
        <f t="array" ref="L8">_xlfn.LET(_xlpm.x,IFERROR(INDEX(_xlfn.ANCHORARRAY($C$39),ROWS($L$7:L8),1),""),IF(_xlpm.x="","N/A",_xlpm.x))</f>
        <v>1001532707</v>
      </c>
      <c r="M8" s="406"/>
      <c r="N8" s="406"/>
      <c r="O8" s="371" cm="1">
        <f t="array" ref="O8">_xlfn.LET(_xlpm.x,IFERROR(INDEX(_xlfn.ANCHORARRAY($C$39),ROWS($O$7:O8),2),""),IF(_xlpm.x="","N/A",_xlpm.x))</f>
        <v>46337</v>
      </c>
      <c r="P8" s="406"/>
      <c r="Q8" s="37" cm="1">
        <f t="array" ref="Q8">_xlfn.LET(_xlpm.x,IFERROR(INDEX(_xlfn.ANCHORARRAY($C$39),ROWS($Q$7:Q8),3),""),IF(_xlpm.x="","N/A",_xlpm.x))</f>
        <v>25</v>
      </c>
      <c r="R8" s="38" cm="1">
        <f t="array" ref="R8">_xlfn.LET(_xlpm.x,IFERROR(INDEX(_xlfn.ANCHORARRAY($C$39),ROWS($R$7:R8),4),""),IF(_xlpm.x="","N/A",_xlpm.x))</f>
        <v>46183.928472222222</v>
      </c>
      <c r="S8" s="26" t="str" cm="1">
        <f t="array" ref="S8">_xlfn.LET(_xlpm.x,IFERROR(INDEX(_xlfn.ANCHORARRAY($C$39),ROWS($S$7:S8),5),""),IF(_xlpm.x="","N/A",_xlpm.x))</f>
        <v>Jesper Fredriksson</v>
      </c>
      <c r="U8" s="381" t="str" cm="1">
        <f t="array" ref="U8">_xlfn.LET(_xlpm.x,IFERROR(INDEX(_xlfn.ANCHORARRAY($C$43),ROWS($U$7:U8),1),""),IF(_xlpm.x="","N/A",_xlpm.x))</f>
        <v>1001529668</v>
      </c>
      <c r="V8" s="406"/>
      <c r="W8" s="406"/>
      <c r="X8" s="371" cm="1">
        <f t="array" ref="X8">_xlfn.LET(_xlpm.x,IFERROR(INDEX(_xlfn.ANCHORARRAY($C$43),ROWS($X$7:X8),2),""),IF(_xlpm.x="","N/A",_xlpm.x))</f>
        <v>46326</v>
      </c>
      <c r="Y8" s="406"/>
      <c r="Z8" s="450" cm="1">
        <f t="array" ref="Z8">_xlfn.LET(_xlpm.x,IFERROR(INDEX(_xlfn.ANCHORARRAY($C$43),ROWS($Z$7:Z8),3),""),IF(_xlpm.x="","N/A",_xlpm.x))</f>
        <v>10</v>
      </c>
      <c r="AA8" s="38" cm="1">
        <f t="array" ref="AA8">_xlfn.LET(_xlpm.x,IFERROR(INDEX(_xlfn.ANCHORARRAY($C$43),ROWS($AA$7:AA8),4),""),IF(_xlpm.x="","N/A",_xlpm.x))</f>
        <v>46183.929166666669</v>
      </c>
      <c r="AB8" s="26" t="str" cm="1">
        <f t="array" ref="AB8">_xlfn.LET(_xlpm.x,IFERROR(INDEX(_xlfn.ANCHORARRAY($C$43),ROWS($AB$7:AB8),5),""),IF(_xlpm.x="","N/A",_xlpm.x))</f>
        <v>Jesper Fredriksson</v>
      </c>
      <c r="AD8" s="230"/>
    </row>
    <row r="9" spans="1:30" x14ac:dyDescent="0.25">
      <c r="A9" s="230"/>
      <c r="C9" s="381" t="str" cm="1">
        <f t="array" ref="C9">_xlfn.LET(_xlpm.x,IFERROR(INDEX(_xlfn.ANCHORARRAY($C$35),ROWS($C$7:C9),1),""),IF(_xlpm.x="","N/A",_xlpm.x))</f>
        <v>N/A</v>
      </c>
      <c r="D9" s="406"/>
      <c r="E9" s="406"/>
      <c r="F9" s="371" t="str" cm="1">
        <f t="array" ref="F9">_xlfn.LET(_xlpm.x,IFERROR(INDEX(_xlfn.ANCHORARRAY($C$35),ROWS($F$7:F9),2),""),IF(_xlpm.x="","N/A",_xlpm.x))</f>
        <v>N/A</v>
      </c>
      <c r="G9" s="406"/>
      <c r="H9" s="37" t="str" cm="1">
        <f t="array" ref="H9">_xlfn.LET(_xlpm.x,IFERROR(INDEX(_xlfn.ANCHORARRAY($C$35),ROWS($H$7:H9),3),""),IF(_xlpm.x="","N/A",_xlpm.x))</f>
        <v>N/A</v>
      </c>
      <c r="I9" s="38" t="str" cm="1">
        <f t="array" ref="I9">_xlfn.LET(_xlpm.x,IFERROR(INDEX(_xlfn.ANCHORARRAY($C$35),ROWS($I$7:I9),4),""),IF(_xlpm.x="","N/A",_xlpm.x))</f>
        <v>N/A</v>
      </c>
      <c r="J9" s="26" t="str" cm="1">
        <f t="array" ref="J9">_xlfn.LET(_xlpm.x,IFERROR(INDEX(_xlfn.ANCHORARRAY($C$35),ROWS($J$7:J9),5),""),IF(_xlpm.x="","N/A",_xlpm.x))</f>
        <v>N/A</v>
      </c>
      <c r="L9" s="381" t="str" cm="1">
        <f t="array" ref="L9">_xlfn.LET(_xlpm.x,IFERROR(INDEX(_xlfn.ANCHORARRAY($C$39),ROWS($L$7:L9),1),""),IF(_xlpm.x="","N/A",_xlpm.x))</f>
        <v>1001533028</v>
      </c>
      <c r="M9" s="406"/>
      <c r="N9" s="406"/>
      <c r="O9" s="371" cm="1">
        <f t="array" ref="O9">_xlfn.LET(_xlpm.x,IFERROR(INDEX(_xlfn.ANCHORARRAY($C$39),ROWS($O$7:O9),2),""),IF(_xlpm.x="","N/A",_xlpm.x))</f>
        <v>46339</v>
      </c>
      <c r="P9" s="406"/>
      <c r="Q9" s="37" cm="1">
        <f t="array" ref="Q9">_xlfn.LET(_xlpm.x,IFERROR(INDEX(_xlfn.ANCHORARRAY($C$39),ROWS($Q$7:Q9),3),""),IF(_xlpm.x="","N/A",_xlpm.x))</f>
        <v>25</v>
      </c>
      <c r="R9" s="38" cm="1">
        <f t="array" ref="R9">_xlfn.LET(_xlpm.x,IFERROR(INDEX(_xlfn.ANCHORARRAY($C$39),ROWS($R$7:R9),4),""),IF(_xlpm.x="","N/A",_xlpm.x))</f>
        <v>46183.928472222222</v>
      </c>
      <c r="S9" s="26" t="str" cm="1">
        <f t="array" ref="S9">_xlfn.LET(_xlpm.x,IFERROR(INDEX(_xlfn.ANCHORARRAY($C$39),ROWS($S$7:S9),5),""),IF(_xlpm.x="","N/A",_xlpm.x))</f>
        <v>Jesper Fredriksson</v>
      </c>
      <c r="U9" s="381" t="str" cm="1">
        <f t="array" ref="U9">_xlfn.LET(_xlpm.x,IFERROR(INDEX(_xlfn.ANCHORARRAY($C$43),ROWS($U$7:U9),1),""),IF(_xlpm.x="","N/A",_xlpm.x))</f>
        <v>N/A</v>
      </c>
      <c r="V9" s="406"/>
      <c r="W9" s="406"/>
      <c r="X9" s="371" t="str" cm="1">
        <f t="array" ref="X9">_xlfn.LET(_xlpm.x,IFERROR(INDEX(_xlfn.ANCHORARRAY($C$43),ROWS($X$7:X9),2),""),IF(_xlpm.x="","N/A",_xlpm.x))</f>
        <v>N/A</v>
      </c>
      <c r="Y9" s="406"/>
      <c r="Z9" s="450" t="str" cm="1">
        <f t="array" ref="Z9">_xlfn.LET(_xlpm.x,IFERROR(INDEX(_xlfn.ANCHORARRAY($C$43),ROWS($Z$7:Z9),3),""),IF(_xlpm.x="","N/A",_xlpm.x))</f>
        <v>N/A</v>
      </c>
      <c r="AA9" s="38" t="str" cm="1">
        <f t="array" ref="AA9">_xlfn.LET(_xlpm.x,IFERROR(INDEX(_xlfn.ANCHORARRAY($C$43),ROWS($AA$7:AA9),4),""),IF(_xlpm.x="","N/A",_xlpm.x))</f>
        <v>N/A</v>
      </c>
      <c r="AB9" s="26" t="str" cm="1">
        <f t="array" ref="AB9">_xlfn.LET(_xlpm.x,IFERROR(INDEX(_xlfn.ANCHORARRAY($C$43),ROWS($AB$7:AB9),5),""),IF(_xlpm.x="","N/A",_xlpm.x))</f>
        <v>N/A</v>
      </c>
      <c r="AD9" s="230"/>
    </row>
    <row r="10" spans="1:30" ht="15.75" customHeight="1" thickBot="1" x14ac:dyDescent="0.3">
      <c r="A10" s="230"/>
      <c r="C10" s="386" t="str" cm="1">
        <f t="array" ref="C10">_xlfn.LET(_xlpm.x,IFERROR(INDEX(_xlfn.ANCHORARRAY($C$35),ROWS($C$7:C10),1),""),IF(_xlpm.x="","N/A",_xlpm.x))</f>
        <v>N/A</v>
      </c>
      <c r="D10" s="409"/>
      <c r="E10" s="409"/>
      <c r="F10" s="373" t="str" cm="1">
        <f t="array" ref="F10">_xlfn.LET(_xlpm.x,IFERROR(INDEX(_xlfn.ANCHORARRAY($C$35),ROWS($F$7:F10),2),""),IF(_xlpm.x="","N/A",_xlpm.x))</f>
        <v>N/A</v>
      </c>
      <c r="G10" s="409"/>
      <c r="H10" s="39" t="str" cm="1">
        <f t="array" ref="H10">_xlfn.LET(_xlpm.x,IFERROR(INDEX(_xlfn.ANCHORARRAY($C$35),ROWS($H$7:H10),3),""),IF(_xlpm.x="","N/A",_xlpm.x))</f>
        <v>N/A</v>
      </c>
      <c r="I10" s="40" t="str" cm="1">
        <f t="array" ref="I10">_xlfn.LET(_xlpm.x,IFERROR(INDEX(_xlfn.ANCHORARRAY($C$35),ROWS($I$7:I10),4),""),IF(_xlpm.x="","N/A",_xlpm.x))</f>
        <v>N/A</v>
      </c>
      <c r="J10" s="30" t="str" cm="1">
        <f t="array" ref="J10">_xlfn.LET(_xlpm.x,IFERROR(INDEX(_xlfn.ANCHORARRAY($C$35),ROWS($J$7:J10),5),""),IF(_xlpm.x="","N/A",_xlpm.x))</f>
        <v>N/A</v>
      </c>
      <c r="L10" s="386" t="str" cm="1">
        <f t="array" ref="L10">_xlfn.LET(_xlpm.x,IFERROR(INDEX(_xlfn.ANCHORARRAY($C$39),ROWS($L$7:L10),1),""),IF(_xlpm.x="","N/A",_xlpm.x))</f>
        <v>N/A</v>
      </c>
      <c r="M10" s="409"/>
      <c r="N10" s="409"/>
      <c r="O10" s="373" t="str" cm="1">
        <f t="array" ref="O10">_xlfn.LET(_xlpm.x,IFERROR(INDEX(_xlfn.ANCHORARRAY($C$39),ROWS($O$7:O10),2),""),IF(_xlpm.x="","N/A",_xlpm.x))</f>
        <v>N/A</v>
      </c>
      <c r="P10" s="409"/>
      <c r="Q10" s="39" t="str" cm="1">
        <f t="array" ref="Q10">_xlfn.LET(_xlpm.x,IFERROR(INDEX(_xlfn.ANCHORARRAY($C$39),ROWS($Q$7:Q10),3),""),IF(_xlpm.x="","N/A",_xlpm.x))</f>
        <v>N/A</v>
      </c>
      <c r="R10" s="40" t="str" cm="1">
        <f t="array" ref="R10">_xlfn.LET(_xlpm.x,IFERROR(INDEX(_xlfn.ANCHORARRAY($C$39),ROWS($R$7:R10),4),""),IF(_xlpm.x="","N/A",_xlpm.x))</f>
        <v>N/A</v>
      </c>
      <c r="S10" s="30" t="str" cm="1">
        <f t="array" ref="S10">_xlfn.LET(_xlpm.x,IFERROR(INDEX(_xlfn.ANCHORARRAY($C$39),ROWS($S$7:S10),5),""),IF(_xlpm.x="","N/A",_xlpm.x))</f>
        <v>N/A</v>
      </c>
      <c r="U10" s="386" t="str" cm="1">
        <f t="array" ref="U10">_xlfn.LET(_xlpm.x,IFERROR(INDEX(_xlfn.ANCHORARRAY($C$43),ROWS($U$7:U10),1),""),IF(_xlpm.x="","N/A",_xlpm.x))</f>
        <v>N/A</v>
      </c>
      <c r="V10" s="409"/>
      <c r="W10" s="409"/>
      <c r="X10" s="373" t="str" cm="1">
        <f t="array" ref="X10">_xlfn.LET(_xlpm.x,IFERROR(INDEX(_xlfn.ANCHORARRAY($C$43),ROWS($X$7:X10),2),""),IF(_xlpm.x="","N/A",_xlpm.x))</f>
        <v>N/A</v>
      </c>
      <c r="Y10" s="409"/>
      <c r="Z10" s="451" t="str" cm="1">
        <f t="array" ref="Z10">_xlfn.LET(_xlpm.x,IFERROR(INDEX(_xlfn.ANCHORARRAY($C$43),ROWS($Z$7:Z10),3),""),IF(_xlpm.x="","N/A",_xlpm.x))</f>
        <v>N/A</v>
      </c>
      <c r="AA10" s="40" t="str" cm="1">
        <f t="array" ref="AA10">_xlfn.LET(_xlpm.x,IFERROR(INDEX(_xlfn.ANCHORARRAY($C$43),ROWS($AA$7:AA10),4),""),IF(_xlpm.x="","N/A",_xlpm.x))</f>
        <v>N/A</v>
      </c>
      <c r="AB10" s="30" t="str" cm="1">
        <f t="array" ref="AB10">_xlfn.LET(_xlpm.x,IFERROR(INDEX(_xlfn.ANCHORARRAY($C$43),ROWS($AB$7:AB10),5),""),IF(_xlpm.x="","N/A",_xlpm.x))</f>
        <v>N/A</v>
      </c>
      <c r="AD10" s="230"/>
    </row>
    <row r="11" spans="1:30" ht="15.75" customHeight="1" thickBot="1" x14ac:dyDescent="0.3">
      <c r="A11" s="230"/>
      <c r="AD11" s="230"/>
    </row>
    <row r="12" spans="1:30" ht="24" customHeight="1" thickBot="1" x14ac:dyDescent="0.3">
      <c r="A12" s="230"/>
      <c r="C12" s="376" t="s">
        <v>357</v>
      </c>
      <c r="D12" s="377"/>
      <c r="E12" s="377"/>
      <c r="F12" s="377"/>
      <c r="G12" s="377"/>
      <c r="H12" s="377"/>
      <c r="I12" s="377"/>
      <c r="J12" s="378"/>
      <c r="L12" s="389" t="s">
        <v>358</v>
      </c>
      <c r="M12" s="377"/>
      <c r="N12" s="377"/>
      <c r="O12" s="377"/>
      <c r="P12" s="377"/>
      <c r="Q12" s="377"/>
      <c r="R12" s="377"/>
      <c r="S12" s="378"/>
      <c r="U12" s="385" t="s">
        <v>359</v>
      </c>
      <c r="V12" s="377"/>
      <c r="W12" s="377"/>
      <c r="X12" s="377"/>
      <c r="Y12" s="377"/>
      <c r="Z12" s="377"/>
      <c r="AA12" s="377"/>
      <c r="AB12" s="378"/>
      <c r="AD12" s="230"/>
    </row>
    <row r="13" spans="1:30" ht="37.5" customHeight="1" thickBot="1" x14ac:dyDescent="0.3">
      <c r="A13" s="230"/>
      <c r="C13" s="379" t="s">
        <v>360</v>
      </c>
      <c r="D13" s="362"/>
      <c r="E13" s="362"/>
      <c r="F13" s="362"/>
      <c r="G13" s="362"/>
      <c r="H13" s="362"/>
      <c r="I13" s="362"/>
      <c r="J13" s="380"/>
      <c r="L13" s="379" t="s">
        <v>361</v>
      </c>
      <c r="M13" s="362"/>
      <c r="N13" s="362"/>
      <c r="O13" s="362"/>
      <c r="P13" s="362"/>
      <c r="Q13" s="362"/>
      <c r="R13" s="362"/>
      <c r="S13" s="380"/>
      <c r="U13" s="379" t="s">
        <v>362</v>
      </c>
      <c r="V13" s="362"/>
      <c r="W13" s="362"/>
      <c r="X13" s="362"/>
      <c r="Y13" s="362"/>
      <c r="Z13" s="362"/>
      <c r="AA13" s="362"/>
      <c r="AB13" s="380"/>
      <c r="AD13" s="230"/>
    </row>
    <row r="14" spans="1:30" ht="30.75" customHeight="1" thickBot="1" x14ac:dyDescent="0.3">
      <c r="A14" s="230"/>
      <c r="C14" s="375" t="s">
        <v>354</v>
      </c>
      <c r="D14" s="362"/>
      <c r="E14" s="358"/>
      <c r="F14" s="357" t="s">
        <v>355</v>
      </c>
      <c r="G14" s="358"/>
      <c r="H14" s="50" t="s">
        <v>356</v>
      </c>
      <c r="I14" s="197" t="s">
        <v>108</v>
      </c>
      <c r="J14" s="229" t="s">
        <v>109</v>
      </c>
      <c r="L14" s="375" t="s">
        <v>354</v>
      </c>
      <c r="M14" s="362"/>
      <c r="N14" s="358"/>
      <c r="O14" s="357" t="s">
        <v>355</v>
      </c>
      <c r="P14" s="358"/>
      <c r="Q14" s="50" t="s">
        <v>356</v>
      </c>
      <c r="R14" s="197" t="s">
        <v>108</v>
      </c>
      <c r="S14" s="229" t="s">
        <v>109</v>
      </c>
      <c r="U14" s="375" t="s">
        <v>354</v>
      </c>
      <c r="V14" s="362"/>
      <c r="W14" s="358"/>
      <c r="X14" s="357" t="s">
        <v>355</v>
      </c>
      <c r="Y14" s="358"/>
      <c r="Z14" s="49" t="s">
        <v>356</v>
      </c>
      <c r="AA14" s="197" t="s">
        <v>108</v>
      </c>
      <c r="AB14" s="229" t="s">
        <v>109</v>
      </c>
      <c r="AD14" s="230"/>
    </row>
    <row r="15" spans="1:30" x14ac:dyDescent="0.25">
      <c r="A15" s="230"/>
      <c r="B15" t="s">
        <v>6</v>
      </c>
      <c r="C15" s="424" t="str" cm="1">
        <f t="array" ref="C15">_xlfn.LET(_xlpm.x,IFERROR(INDEX(_xlfn.ANCHORARRAY($C$47),ROWS($C$15:C15),1),""),IF(_xlpm.x="","N/A",_xlpm.x))</f>
        <v>1001515040</v>
      </c>
      <c r="D15" s="406"/>
      <c r="E15" s="406"/>
      <c r="F15" s="371" cm="1">
        <f t="array" ref="F15">_xlfn.LET(_xlpm.x,IFERROR(INDEX(_xlfn.ANCHORARRAY($C$47),ROWS($F$15:F15),2),""),IF(_xlpm.x="","N/A",_xlpm.x))</f>
        <v>46191</v>
      </c>
      <c r="G15" s="406"/>
      <c r="H15" s="37" cm="1">
        <f t="array" ref="H15">_xlfn.LET(_xlpm.x,IFERROR(INDEX(_xlfn.ANCHORARRAY($C$47),ROWS($H$15:H15),3),""),IF(_xlpm.x="","N/A",_xlpm.x))</f>
        <v>10</v>
      </c>
      <c r="I15" s="38" cm="1">
        <f t="array" ref="I15">_xlfn.LET(_xlpm.x,IFERROR(INDEX(_xlfn.ANCHORARRAY($C$47),ROWS($I$15:I15),4),""),IF(_xlpm.x="","N/A",_xlpm.x))</f>
        <v>46183.925694444442</v>
      </c>
      <c r="J15" s="37" t="str" cm="1">
        <f t="array" ref="J15">_xlfn.LET(_xlpm.x,IFERROR(INDEX(_xlfn.ANCHORARRAY($C$47),ROWS($J$15:J15),5),""),IF(_xlpm.x="","N/A",_xlpm.x))</f>
        <v>Jesper Fredriksson</v>
      </c>
      <c r="L15" s="361" t="str" cm="1">
        <f t="array" ref="L15">_xlfn.LET(_xlpm.x,IFERROR(INDEX(_xlfn.ANCHORARRAY($C$51),ROWS($L$15:L15),1),""),IF(_xlpm.x="","N/A",_xlpm.x))</f>
        <v>1001531457</v>
      </c>
      <c r="M15" s="403"/>
      <c r="N15" s="403"/>
      <c r="O15" s="359" cm="1">
        <f t="array" ref="O15">_xlfn.LET(_xlpm.x,IFERROR(INDEX(_xlfn.ANCHORARRAY($C$51),ROWS($O$15:O15),2),""),IF(_xlpm.x="","N/A",_xlpm.x))</f>
        <v>46203</v>
      </c>
      <c r="P15" s="403"/>
      <c r="Q15" s="42" cm="1">
        <f t="array" ref="Q15">_xlfn.LET(_xlpm.x,IFERROR(INDEX(_xlfn.ANCHORARRAY($C$51),ROWS($Q$15:Q15),3),""),IF(_xlpm.x="","N/A",_xlpm.x))</f>
        <v>6</v>
      </c>
      <c r="R15" s="43" cm="1">
        <f t="array" ref="R15">_xlfn.LET(_xlpm.x,IFERROR(INDEX(_xlfn.ANCHORARRAY($C$51),ROWS(R$15:$R15),4),""),IF(_xlpm.x="","N/A",_xlpm.x))</f>
        <v>46183.930555555555</v>
      </c>
      <c r="S15" s="45" t="str" cm="1">
        <f t="array" ref="S15">_xlfn.LET(_xlpm.x,IFERROR(INDEX(_xlfn.ANCHORARRAY($C$51),ROWS($S$15:S15),5),""),IF(_xlpm.x="","N/A",_xlpm.x))</f>
        <v>Jesper Fredriksson</v>
      </c>
      <c r="U15" s="361" t="str" cm="1">
        <f t="array" ref="U15">_xlfn.LET(_xlpm.x,IFERROR(INDEX(_xlfn.ANCHORARRAY($C$55),ROWS($U$15:U15),1),""),IF(_xlpm.x="","N/A",_xlpm.x))</f>
        <v>1001530108</v>
      </c>
      <c r="V15" s="403"/>
      <c r="W15" s="403"/>
      <c r="X15" s="359" cm="1">
        <f t="array" ref="X15">_xlfn.LET(_xlpm.x,IFERROR(INDEX(_xlfn.ANCHORARRAY($C$55),ROWS($X$15:X15),2),""),IF(_xlpm.x="","N/A",_xlpm.x))</f>
        <v>46224</v>
      </c>
      <c r="Y15" s="403"/>
      <c r="Z15" s="42" cm="1">
        <f t="array" ref="Z15">_xlfn.LET(_xlpm.x,IFERROR(INDEX(_xlfn.ANCHORARRAY($C$55),ROWS($Z$15:Z15),3),""),IF(_xlpm.x="","N/A",_xlpm.x))</f>
        <v>10</v>
      </c>
      <c r="AA15" s="43" cm="1">
        <f t="array" ref="AA15">_xlfn.LET(_xlpm.x,IFERROR(INDEX(_xlfn.ANCHORARRAY($C$55),ROWS($AA$15:AA15),4),""),IF(_xlpm.x="","N/A",_xlpm.x))</f>
        <v>46184.131249999999</v>
      </c>
      <c r="AB15" s="45" t="str" cm="1">
        <f t="array" ref="AB15">_xlfn.LET(_xlpm.x,IFERROR(INDEX(_xlfn.ANCHORARRAY($C$55),ROWS($AB$15:AB15),5),""),IF(_xlpm.x="","N/A",_xlpm.x))</f>
        <v>Jesper Fredriksson</v>
      </c>
      <c r="AD15" s="230"/>
    </row>
    <row r="16" spans="1:30" x14ac:dyDescent="0.25">
      <c r="A16" s="230"/>
      <c r="C16" s="424" t="str" cm="1">
        <f t="array" ref="C16">_xlfn.LET(_xlpm.x,IFERROR(INDEX(_xlfn.ANCHORARRAY($C$47),ROWS($C$15:C16),1),""),IF(_xlpm.x="","N/A",_xlpm.x))</f>
        <v>N/A</v>
      </c>
      <c r="D16" s="406"/>
      <c r="E16" s="406"/>
      <c r="F16" s="371" t="str" cm="1">
        <f t="array" ref="F16">_xlfn.LET(_xlpm.x,IFERROR(INDEX(_xlfn.ANCHORARRAY($C$47),ROWS($F$15:F16),2),""),IF(_xlpm.x="","N/A",_xlpm.x))</f>
        <v>N/A</v>
      </c>
      <c r="G16" s="406"/>
      <c r="H16" s="37" t="str" cm="1">
        <f t="array" ref="H16">_xlfn.LET(_xlpm.x,IFERROR(INDEX(_xlfn.ANCHORARRAY($C$47),ROWS($H$15:H16),3),""),IF(_xlpm.x="","N/A",_xlpm.x))</f>
        <v>N/A</v>
      </c>
      <c r="I16" s="38" t="str" cm="1">
        <f t="array" ref="I16">_xlfn.LET(_xlpm.x,IFERROR(INDEX(_xlfn.ANCHORARRAY($C$47),ROWS($I$15:I16),4),""),IF(_xlpm.x="","N/A",_xlpm.x))</f>
        <v>N/A</v>
      </c>
      <c r="J16" s="37" t="str" cm="1">
        <f t="array" ref="J16">_xlfn.LET(_xlpm.x,IFERROR(INDEX(_xlfn.ANCHORARRAY($C$47),ROWS($J$15:J16),5),""),IF(_xlpm.x="","N/A",_xlpm.x))</f>
        <v>N/A</v>
      </c>
      <c r="L16" s="381" t="str" cm="1">
        <f t="array" ref="L16">_xlfn.LET(_xlpm.x,IFERROR(INDEX(_xlfn.ANCHORARRAY($C$51),ROWS($L$15:L16),1),""),IF(_xlpm.x="","N/A",_xlpm.x))</f>
        <v>N/A</v>
      </c>
      <c r="M16" s="406"/>
      <c r="N16" s="406"/>
      <c r="O16" s="371" t="str" cm="1">
        <f t="array" ref="O16">_xlfn.LET(_xlpm.x,IFERROR(INDEX(_xlfn.ANCHORARRAY($C$51),ROWS($O$15:O16),2),""),IF(_xlpm.x="","N/A",_xlpm.x))</f>
        <v>N/A</v>
      </c>
      <c r="P16" s="406"/>
      <c r="Q16" s="37" t="str" cm="1">
        <f t="array" ref="Q16">_xlfn.LET(_xlpm.x,IFERROR(INDEX(_xlfn.ANCHORARRAY($C$51),ROWS($Q$15:Q16),3),""),IF(_xlpm.x="","N/A",_xlpm.x))</f>
        <v>N/A</v>
      </c>
      <c r="R16" s="38" t="str" cm="1">
        <f t="array" ref="R16">_xlfn.LET(_xlpm.x,IFERROR(INDEX(_xlfn.ANCHORARRAY($C$51),ROWS(R$15:$R16),4),""),IF(_xlpm.x="","N/A",_xlpm.x))</f>
        <v>N/A</v>
      </c>
      <c r="S16" s="26" t="str" cm="1">
        <f t="array" ref="S16">_xlfn.LET(_xlpm.x,IFERROR(INDEX(_xlfn.ANCHORARRAY($C$51),ROWS($S$15:S16),5),""),IF(_xlpm.x="","N/A",_xlpm.x))</f>
        <v>N/A</v>
      </c>
      <c r="U16" s="381" t="str" cm="1">
        <f t="array" ref="U16">_xlfn.LET(_xlpm.x,IFERROR(INDEX(_xlfn.ANCHORARRAY($C$55),ROWS($U$15:U16),1),""),IF(_xlpm.x="","N/A",_xlpm.x))</f>
        <v>N/A</v>
      </c>
      <c r="V16" s="406"/>
      <c r="W16" s="406"/>
      <c r="X16" s="371" t="str" cm="1">
        <f t="array" ref="X16">_xlfn.LET(_xlpm.x,IFERROR(INDEX(_xlfn.ANCHORARRAY($C$55),ROWS($X$15:X16),2),""),IF(_xlpm.x="","N/A",_xlpm.x))</f>
        <v>N/A</v>
      </c>
      <c r="Y16" s="406"/>
      <c r="Z16" s="37" t="str" cm="1">
        <f t="array" ref="Z16">_xlfn.LET(_xlpm.x,IFERROR(INDEX(_xlfn.ANCHORARRAY($C$55),ROWS($Z$15:Z16),3),""),IF(_xlpm.x="","N/A",_xlpm.x))</f>
        <v>N/A</v>
      </c>
      <c r="AA16" s="38" t="str" cm="1">
        <f t="array" ref="AA16">_xlfn.LET(_xlpm.x,IFERROR(INDEX(_xlfn.ANCHORARRAY($C$55),ROWS($AA$15:AA16),4),""),IF(_xlpm.x="","N/A",_xlpm.x))</f>
        <v>N/A</v>
      </c>
      <c r="AB16" s="26" t="str" cm="1">
        <f t="array" ref="AB16">_xlfn.LET(_xlpm.x,IFERROR(INDEX(_xlfn.ANCHORARRAY($C$55),ROWS($AB$15:AB16),5),""),IF(_xlpm.x="","N/A",_xlpm.x))</f>
        <v>N/A</v>
      </c>
      <c r="AD16" s="230"/>
    </row>
    <row r="17" spans="1:30" x14ac:dyDescent="0.25">
      <c r="A17" s="230"/>
      <c r="C17" s="424" t="str" cm="1">
        <f t="array" ref="C17">_xlfn.LET(_xlpm.x,IFERROR(INDEX(_xlfn.ANCHORARRAY($C$47),ROWS($C$15:C17),1),""),IF(_xlpm.x="","N/A",_xlpm.x))</f>
        <v>N/A</v>
      </c>
      <c r="D17" s="406"/>
      <c r="E17" s="406"/>
      <c r="F17" s="371" t="str" cm="1">
        <f t="array" ref="F17">_xlfn.LET(_xlpm.x,IFERROR(INDEX(_xlfn.ANCHORARRAY($C$47),ROWS($F$15:F17),2),""),IF(_xlpm.x="","N/A",_xlpm.x))</f>
        <v>N/A</v>
      </c>
      <c r="G17" s="406"/>
      <c r="H17" s="37" t="str" cm="1">
        <f t="array" ref="H17">_xlfn.LET(_xlpm.x,IFERROR(INDEX(_xlfn.ANCHORARRAY($C$47),ROWS($H$15:H17),3),""),IF(_xlpm.x="","N/A",_xlpm.x))</f>
        <v>N/A</v>
      </c>
      <c r="I17" s="38" t="str" cm="1">
        <f t="array" ref="I17">_xlfn.LET(_xlpm.x,IFERROR(INDEX(_xlfn.ANCHORARRAY($C$47),ROWS($I$15:I17),4),""),IF(_xlpm.x="","N/A",_xlpm.x))</f>
        <v>N/A</v>
      </c>
      <c r="J17" s="37" t="str" cm="1">
        <f t="array" ref="J17">_xlfn.LET(_xlpm.x,IFERROR(INDEX(_xlfn.ANCHORARRAY($C$47),ROWS($J$15:J17),5),""),IF(_xlpm.x="","N/A",_xlpm.x))</f>
        <v>N/A</v>
      </c>
      <c r="L17" s="381" t="str" cm="1">
        <f t="array" ref="L17">_xlfn.LET(_xlpm.x,IFERROR(INDEX(_xlfn.ANCHORARRAY($C$51),ROWS($L$15:L17),1),""),IF(_xlpm.x="","N/A",_xlpm.x))</f>
        <v>N/A</v>
      </c>
      <c r="M17" s="406"/>
      <c r="N17" s="406"/>
      <c r="O17" s="371" t="str" cm="1">
        <f t="array" ref="O17">_xlfn.LET(_xlpm.x,IFERROR(INDEX(_xlfn.ANCHORARRAY($C$51),ROWS($O$15:O17),2),""),IF(_xlpm.x="","N/A",_xlpm.x))</f>
        <v>N/A</v>
      </c>
      <c r="P17" s="406"/>
      <c r="Q17" s="37" t="str" cm="1">
        <f t="array" ref="Q17">_xlfn.LET(_xlpm.x,IFERROR(INDEX(_xlfn.ANCHORARRAY($C$51),ROWS($Q$15:Q17),3),""),IF(_xlpm.x="","N/A",_xlpm.x))</f>
        <v>N/A</v>
      </c>
      <c r="R17" s="38" t="str" cm="1">
        <f t="array" ref="R17">_xlfn.LET(_xlpm.x,IFERROR(INDEX(_xlfn.ANCHORARRAY($C$51),ROWS(R$15:$R17),4),""),IF(_xlpm.x="","N/A",_xlpm.x))</f>
        <v>N/A</v>
      </c>
      <c r="S17" s="26" t="str" cm="1">
        <f t="array" ref="S17">_xlfn.LET(_xlpm.x,IFERROR(INDEX(_xlfn.ANCHORARRAY($C$51),ROWS($S$15:S17),5),""),IF(_xlpm.x="","N/A",_xlpm.x))</f>
        <v>N/A</v>
      </c>
      <c r="U17" s="381" t="str" cm="1">
        <f t="array" ref="U17">_xlfn.LET(_xlpm.x,IFERROR(INDEX(_xlfn.ANCHORARRAY($C$55),ROWS($U$15:U17),1),""),IF(_xlpm.x="","N/A",_xlpm.x))</f>
        <v>N/A</v>
      </c>
      <c r="V17" s="406"/>
      <c r="W17" s="406"/>
      <c r="X17" s="371" t="str" cm="1">
        <f t="array" ref="X17">_xlfn.LET(_xlpm.x,IFERROR(INDEX(_xlfn.ANCHORARRAY($C$55),ROWS($X$15:X17),2),""),IF(_xlpm.x="","N/A",_xlpm.x))</f>
        <v>N/A</v>
      </c>
      <c r="Y17" s="406"/>
      <c r="Z17" s="37" t="str" cm="1">
        <f t="array" ref="Z17">_xlfn.LET(_xlpm.x,IFERROR(INDEX(_xlfn.ANCHORARRAY($C$55),ROWS($Z$15:Z17),3),""),IF(_xlpm.x="","N/A",_xlpm.x))</f>
        <v>N/A</v>
      </c>
      <c r="AA17" s="38" t="str" cm="1">
        <f t="array" ref="AA17">_xlfn.LET(_xlpm.x,IFERROR(INDEX(_xlfn.ANCHORARRAY($C$55),ROWS($AA$15:AA17),4),""),IF(_xlpm.x="","N/A",_xlpm.x))</f>
        <v>N/A</v>
      </c>
      <c r="AB17" s="26" t="str" cm="1">
        <f t="array" ref="AB17">_xlfn.LET(_xlpm.x,IFERROR(INDEX(_xlfn.ANCHORARRAY($C$55),ROWS($AB$15:AB17),5),""),IF(_xlpm.x="","N/A",_xlpm.x))</f>
        <v>N/A</v>
      </c>
      <c r="AD17" s="230"/>
    </row>
    <row r="18" spans="1:30" ht="15.75" customHeight="1" thickBot="1" x14ac:dyDescent="0.3">
      <c r="A18" s="230"/>
      <c r="C18" s="424" t="str" cm="1">
        <f t="array" ref="C18">_xlfn.LET(_xlpm.x,IFERROR(INDEX(_xlfn.ANCHORARRAY($C$47),ROWS($C$15:C18),1),""),IF(_xlpm.x="","N/A",_xlpm.x))</f>
        <v>N/A</v>
      </c>
      <c r="D18" s="406"/>
      <c r="E18" s="406"/>
      <c r="F18" s="371" t="str" cm="1">
        <f t="array" ref="F18">_xlfn.LET(_xlpm.x,IFERROR(INDEX(_xlfn.ANCHORARRAY($C$47),ROWS($F$15:F18),2),""),IF(_xlpm.x="","N/A",_xlpm.x))</f>
        <v>N/A</v>
      </c>
      <c r="G18" s="406"/>
      <c r="H18" s="37" t="str" cm="1">
        <f t="array" ref="H18">_xlfn.LET(_xlpm.x,IFERROR(INDEX(_xlfn.ANCHORARRAY($C$47),ROWS($H$15:H18),3),""),IF(_xlpm.x="","N/A",_xlpm.x))</f>
        <v>N/A</v>
      </c>
      <c r="I18" s="38" t="str" cm="1">
        <f t="array" ref="I18">_xlfn.LET(_xlpm.x,IFERROR(INDEX(_xlfn.ANCHORARRAY($C$47),ROWS($I$15:I18),4),""),IF(_xlpm.x="","N/A",_xlpm.x))</f>
        <v>N/A</v>
      </c>
      <c r="J18" s="37" t="str" cm="1">
        <f t="array" ref="J18">_xlfn.LET(_xlpm.x,IFERROR(INDEX(_xlfn.ANCHORARRAY($C$47),ROWS($J$15:J18),5),""),IF(_xlpm.x="","N/A",_xlpm.x))</f>
        <v>N/A</v>
      </c>
      <c r="L18" s="386" t="str" cm="1">
        <f t="array" ref="L18">_xlfn.LET(_xlpm.x,IFERROR(INDEX(_xlfn.ANCHORARRAY($C$51),ROWS($L$15:L18),1),""),IF(_xlpm.x="","N/A",_xlpm.x))</f>
        <v>N/A</v>
      </c>
      <c r="M18" s="409"/>
      <c r="N18" s="409"/>
      <c r="O18" s="373" t="str" cm="1">
        <f t="array" ref="O18">_xlfn.LET(_xlpm.x,IFERROR(INDEX(_xlfn.ANCHORARRAY($C$51),ROWS($O$15:O18),2),""),IF(_xlpm.x="","N/A",_xlpm.x))</f>
        <v>N/A</v>
      </c>
      <c r="P18" s="409"/>
      <c r="Q18" s="39" t="str" cm="1">
        <f t="array" ref="Q18">_xlfn.LET(_xlpm.x,IFERROR(INDEX(_xlfn.ANCHORARRAY($C$51),ROWS($Q$15:Q18),3),""),IF(_xlpm.x="","N/A",_xlpm.x))</f>
        <v>N/A</v>
      </c>
      <c r="R18" s="40" t="str" cm="1">
        <f t="array" ref="R18">_xlfn.LET(_xlpm.x,IFERROR(INDEX(_xlfn.ANCHORARRAY($C$51),ROWS(R$15:$R18),4),""),IF(_xlpm.x="","N/A",_xlpm.x))</f>
        <v>N/A</v>
      </c>
      <c r="S18" s="30" t="str" cm="1">
        <f t="array" ref="S18">_xlfn.LET(_xlpm.x,IFERROR(INDEX(_xlfn.ANCHORARRAY($C$51),ROWS($S$15:S18),5),""),IF(_xlpm.x="","N/A",_xlpm.x))</f>
        <v>N/A</v>
      </c>
      <c r="U18" s="386" t="str" cm="1">
        <f t="array" ref="U18">_xlfn.LET(_xlpm.x,IFERROR(INDEX(_xlfn.ANCHORARRAY($C$55),ROWS($U$15:U18),1),""),IF(_xlpm.x="","N/A",_xlpm.x))</f>
        <v>N/A</v>
      </c>
      <c r="V18" s="409"/>
      <c r="W18" s="409"/>
      <c r="X18" s="373" t="str" cm="1">
        <f t="array" ref="X18">_xlfn.LET(_xlpm.x,IFERROR(INDEX(_xlfn.ANCHORARRAY($C$55),ROWS($X$15:X18),2),""),IF(_xlpm.x="","N/A",_xlpm.x))</f>
        <v>N/A</v>
      </c>
      <c r="Y18" s="409"/>
      <c r="Z18" s="39" t="str" cm="1">
        <f t="array" ref="Z18">_xlfn.LET(_xlpm.x,IFERROR(INDEX(_xlfn.ANCHORARRAY($C$55),ROWS($Z$15:Z18),3),""),IF(_xlpm.x="","N/A",_xlpm.x))</f>
        <v>N/A</v>
      </c>
      <c r="AA18" s="40" t="str" cm="1">
        <f t="array" ref="AA18">_xlfn.LET(_xlpm.x,IFERROR(INDEX(_xlfn.ANCHORARRAY($C$55),ROWS($AA$15:AA18),4),""),IF(_xlpm.x="","N/A",_xlpm.x))</f>
        <v>N/A</v>
      </c>
      <c r="AB18" s="30" t="str" cm="1">
        <f t="array" ref="AB18">_xlfn.LET(_xlpm.x,IFERROR(INDEX(_xlfn.ANCHORARRAY($C$55),ROWS($AB$15:AB18),5),""),IF(_xlpm.x="","N/A",_xlpm.x))</f>
        <v>N/A</v>
      </c>
      <c r="AD18" s="230"/>
    </row>
    <row r="19" spans="1:30" ht="15.75" customHeight="1" thickBot="1" x14ac:dyDescent="0.3">
      <c r="A19" s="230"/>
      <c r="AD19" s="230"/>
    </row>
    <row r="20" spans="1:30" ht="24" customHeight="1" thickBot="1" x14ac:dyDescent="0.3">
      <c r="A20" s="230"/>
      <c r="C20" s="391" t="s">
        <v>363</v>
      </c>
      <c r="D20" s="377"/>
      <c r="E20" s="377"/>
      <c r="F20" s="377"/>
      <c r="G20" s="377"/>
      <c r="H20" s="377"/>
      <c r="I20" s="377"/>
      <c r="J20" s="378"/>
      <c r="L20" s="361"/>
      <c r="M20" s="362"/>
      <c r="N20" s="362"/>
      <c r="O20" s="362"/>
      <c r="P20" s="362"/>
      <c r="Q20" s="362"/>
      <c r="R20" s="362"/>
      <c r="S20" s="362"/>
      <c r="T20" s="362"/>
      <c r="U20" s="362"/>
      <c r="V20" s="362"/>
      <c r="W20" s="362"/>
      <c r="X20" s="362"/>
      <c r="Y20" s="362"/>
      <c r="Z20" s="362"/>
      <c r="AA20" s="362"/>
      <c r="AB20" s="363"/>
      <c r="AD20" s="230"/>
    </row>
    <row r="21" spans="1:30" ht="33.75" customHeight="1" thickBot="1" x14ac:dyDescent="0.3">
      <c r="A21" s="230"/>
      <c r="C21" s="379" t="s">
        <v>150</v>
      </c>
      <c r="D21" s="362"/>
      <c r="E21" s="362"/>
      <c r="F21" s="362"/>
      <c r="G21" s="362"/>
      <c r="H21" s="362"/>
      <c r="I21" s="362"/>
      <c r="J21" s="380"/>
      <c r="L21" s="364"/>
      <c r="M21" s="365"/>
      <c r="N21" s="365"/>
      <c r="O21" s="366"/>
      <c r="P21" s="366"/>
      <c r="Q21" s="365"/>
      <c r="R21" s="365"/>
      <c r="S21" s="365"/>
      <c r="T21" s="365"/>
      <c r="U21" s="365"/>
      <c r="V21" s="365"/>
      <c r="W21" s="365"/>
      <c r="X21" s="365"/>
      <c r="Y21" s="365"/>
      <c r="Z21" s="365"/>
      <c r="AA21" s="365"/>
      <c r="AB21" s="367"/>
      <c r="AD21" s="230"/>
    </row>
    <row r="22" spans="1:30" ht="30.75" customHeight="1" thickBot="1" x14ac:dyDescent="0.3">
      <c r="A22" s="230"/>
      <c r="C22" s="375" t="s">
        <v>354</v>
      </c>
      <c r="D22" s="362"/>
      <c r="E22" s="358"/>
      <c r="F22" s="357" t="s">
        <v>355</v>
      </c>
      <c r="G22" s="358"/>
      <c r="H22" s="50" t="s">
        <v>356</v>
      </c>
      <c r="I22" s="197" t="s">
        <v>108</v>
      </c>
      <c r="J22" s="229" t="s">
        <v>109</v>
      </c>
      <c r="L22" s="364"/>
      <c r="M22" s="365"/>
      <c r="N22" s="365"/>
      <c r="O22" s="366"/>
      <c r="P22" s="366"/>
      <c r="Q22" s="365"/>
      <c r="R22" s="365"/>
      <c r="S22" s="365"/>
      <c r="T22" s="365"/>
      <c r="U22" s="365"/>
      <c r="V22" s="365"/>
      <c r="W22" s="365"/>
      <c r="X22" s="365"/>
      <c r="Y22" s="365"/>
      <c r="Z22" s="365"/>
      <c r="AA22" s="365"/>
      <c r="AB22" s="367"/>
      <c r="AD22" s="230"/>
    </row>
    <row r="23" spans="1:30" x14ac:dyDescent="0.25">
      <c r="A23" s="230"/>
      <c r="B23" t="s">
        <v>7</v>
      </c>
      <c r="C23" s="361" t="str" cm="1">
        <f t="array" ref="C23">_xlfn.LET(_xlpm.x,IFERROR(INDEX(_xlfn.ANCHORARRAY($C$59),ROWS($C$23:C23),1),""),IF(_xlpm.x="","N/A",_xlpm.x))</f>
        <v>4325EA</v>
      </c>
      <c r="D23" s="403"/>
      <c r="E23" s="403"/>
      <c r="F23" s="359" cm="1">
        <f t="array" ref="F23">_xlfn.LET(_xlpm.x,IFERROR(INDEX(_xlfn.ANCHORARRAY($C$59),ROWS($F$23:F23),2),""),IF(_xlpm.x="","N/A",_xlpm.x))</f>
        <v>46346</v>
      </c>
      <c r="G23" s="403"/>
      <c r="H23" s="42" cm="1">
        <f t="array" ref="H23">_xlfn.LET(_xlpm.x,IFERROR(INDEX(_xlfn.ANCHORARRAY($C$59),ROWS($H$23:H23),3),""),IF(_xlpm.x="","N/A",_xlpm.x))</f>
        <v>3</v>
      </c>
      <c r="I23" s="43" cm="1">
        <f t="array" ref="I23">_xlfn.LET(_xlpm.x,IFERROR(INDEX(_xlfn.ANCHORARRAY($C$59),ROWS(I$23:$I23),4),""),IF(_xlpm.x="","N/A",_xlpm.x))</f>
        <v>46183.924305555556</v>
      </c>
      <c r="J23" s="45" t="str" cm="1">
        <f t="array" ref="J23">_xlfn.LET(_xlpm.x,IFERROR(INDEX(_xlfn.ANCHORARRAY($C$59),ROWS($J$23:J23),5),""),IF(_xlpm.x="","N/A",_xlpm.x))</f>
        <v>Jesper Fredriksson</v>
      </c>
      <c r="L23" s="364"/>
      <c r="M23" s="365"/>
      <c r="N23" s="365"/>
      <c r="O23" s="366"/>
      <c r="P23" s="366"/>
      <c r="Q23" s="365"/>
      <c r="R23" s="365"/>
      <c r="S23" s="365"/>
      <c r="T23" s="365"/>
      <c r="U23" s="365"/>
      <c r="V23" s="365"/>
      <c r="W23" s="365"/>
      <c r="X23" s="365"/>
      <c r="Y23" s="365"/>
      <c r="Z23" s="365"/>
      <c r="AA23" s="365"/>
      <c r="AB23" s="367"/>
      <c r="AD23" s="230"/>
    </row>
    <row r="24" spans="1:30" x14ac:dyDescent="0.25">
      <c r="A24" s="230"/>
      <c r="C24" s="381" t="str" cm="1">
        <f t="array" ref="C24">_xlfn.LET(_xlpm.x,IFERROR(INDEX(_xlfn.ANCHORARRAY($C$59),ROWS($C$23:C24),1),""),IF(_xlpm.x="","N/A",_xlpm.x))</f>
        <v>N/A</v>
      </c>
      <c r="D24" s="406"/>
      <c r="E24" s="406"/>
      <c r="F24" s="371" t="str" cm="1">
        <f t="array" ref="F24">_xlfn.LET(_xlpm.x,IFERROR(INDEX(_xlfn.ANCHORARRAY($C$59),ROWS($F$23:F24),2),""),IF(_xlpm.x="","N/A",_xlpm.x))</f>
        <v>N/A</v>
      </c>
      <c r="G24" s="406"/>
      <c r="H24" s="37" t="str" cm="1">
        <f t="array" ref="H24">_xlfn.LET(_xlpm.x,IFERROR(INDEX(_xlfn.ANCHORARRAY($C$59),ROWS($H$23:H24),3),""),IF(_xlpm.x="","N/A",_xlpm.x))</f>
        <v>N/A</v>
      </c>
      <c r="I24" s="38" t="str" cm="1">
        <f t="array" ref="I24">_xlfn.LET(_xlpm.x,IFERROR(INDEX(_xlfn.ANCHORARRAY($C$59),ROWS(I$23:$I24),4),""),IF(_xlpm.x="","N/A",_xlpm.x))</f>
        <v>N/A</v>
      </c>
      <c r="J24" s="26" t="str" cm="1">
        <f t="array" ref="J24">_xlfn.LET(_xlpm.x,IFERROR(INDEX(_xlfn.ANCHORARRAY($C$59),ROWS($J$23:J24),5),""),IF(_xlpm.x="","N/A",_xlpm.x))</f>
        <v>N/A</v>
      </c>
      <c r="L24" s="364"/>
      <c r="M24" s="365"/>
      <c r="N24" s="365"/>
      <c r="O24" s="366"/>
      <c r="P24" s="366"/>
      <c r="Q24" s="365"/>
      <c r="R24" s="365"/>
      <c r="S24" s="365"/>
      <c r="T24" s="365"/>
      <c r="U24" s="365"/>
      <c r="V24" s="365"/>
      <c r="W24" s="365"/>
      <c r="X24" s="365"/>
      <c r="Y24" s="365"/>
      <c r="Z24" s="365"/>
      <c r="AA24" s="365"/>
      <c r="AB24" s="367"/>
      <c r="AD24" s="230"/>
    </row>
    <row r="25" spans="1:30" x14ac:dyDescent="0.25">
      <c r="A25" s="230"/>
      <c r="C25" s="381" t="str" cm="1">
        <f t="array" ref="C25">_xlfn.LET(_xlpm.x,IFERROR(INDEX(_xlfn.ANCHORARRAY($C$59),ROWS($C$23:C25),1),""),IF(_xlpm.x="","N/A",_xlpm.x))</f>
        <v>N/A</v>
      </c>
      <c r="D25" s="406"/>
      <c r="E25" s="406"/>
      <c r="F25" s="371" t="str" cm="1">
        <f t="array" ref="F25">_xlfn.LET(_xlpm.x,IFERROR(INDEX(_xlfn.ANCHORARRAY($C$59),ROWS($F$23:F25),2),""),IF(_xlpm.x="","N/A",_xlpm.x))</f>
        <v>N/A</v>
      </c>
      <c r="G25" s="406"/>
      <c r="H25" s="37" t="str" cm="1">
        <f t="array" ref="H25">_xlfn.LET(_xlpm.x,IFERROR(INDEX(_xlfn.ANCHORARRAY($C$59),ROWS($H$23:H25),3),""),IF(_xlpm.x="","N/A",_xlpm.x))</f>
        <v>N/A</v>
      </c>
      <c r="I25" s="38" t="str" cm="1">
        <f t="array" ref="I25">_xlfn.LET(_xlpm.x,IFERROR(INDEX(_xlfn.ANCHORARRAY($C$59),ROWS(I$23:$I25),4),""),IF(_xlpm.x="","N/A",_xlpm.x))</f>
        <v>N/A</v>
      </c>
      <c r="J25" s="26" t="str" cm="1">
        <f t="array" ref="J25">_xlfn.LET(_xlpm.x,IFERROR(INDEX(_xlfn.ANCHORARRAY($C$59),ROWS($J$23:J25),5),""),IF(_xlpm.x="","N/A",_xlpm.x))</f>
        <v>N/A</v>
      </c>
      <c r="L25" s="364"/>
      <c r="M25" s="365"/>
      <c r="N25" s="365"/>
      <c r="O25" s="366"/>
      <c r="P25" s="366"/>
      <c r="Q25" s="365"/>
      <c r="R25" s="365"/>
      <c r="S25" s="365"/>
      <c r="T25" s="365"/>
      <c r="U25" s="365"/>
      <c r="V25" s="365"/>
      <c r="W25" s="365"/>
      <c r="X25" s="365"/>
      <c r="Y25" s="365"/>
      <c r="Z25" s="365"/>
      <c r="AA25" s="365"/>
      <c r="AB25" s="367"/>
      <c r="AD25" s="230"/>
    </row>
    <row r="26" spans="1:30" ht="15.75" customHeight="1" thickBot="1" x14ac:dyDescent="0.3">
      <c r="A26" s="230"/>
      <c r="C26" s="386" t="str" cm="1">
        <f t="array" ref="C26">_xlfn.LET(_xlpm.x,IFERROR(INDEX(_xlfn.ANCHORARRAY($C$59),ROWS($C$23:C26),1),""),IF(_xlpm.x="","N/A",_xlpm.x))</f>
        <v>N/A</v>
      </c>
      <c r="D26" s="409"/>
      <c r="E26" s="409"/>
      <c r="F26" s="373" t="str" cm="1">
        <f t="array" ref="F26">_xlfn.LET(_xlpm.x,IFERROR(INDEX(_xlfn.ANCHORARRAY($C$59),ROWS($F$23:F26),2),""),IF(_xlpm.x="","N/A",_xlpm.x))</f>
        <v>N/A</v>
      </c>
      <c r="G26" s="409"/>
      <c r="H26" s="39" t="str" cm="1">
        <f t="array" ref="H26">_xlfn.LET(_xlpm.x,IFERROR(INDEX(_xlfn.ANCHORARRAY($C$59),ROWS($H$23:H26),3),""),IF(_xlpm.x="","N/A",_xlpm.x))</f>
        <v>N/A</v>
      </c>
      <c r="I26" s="40" t="str" cm="1">
        <f t="array" ref="I26">_xlfn.LET(_xlpm.x,IFERROR(INDEX(_xlfn.ANCHORARRAY($C$59),ROWS(I$23:$I26),4),""),IF(_xlpm.x="","N/A",_xlpm.x))</f>
        <v>N/A</v>
      </c>
      <c r="J26" s="30" t="str" cm="1">
        <f t="array" ref="J26">_xlfn.LET(_xlpm.x,IFERROR(INDEX(_xlfn.ANCHORARRAY($C$59),ROWS($J$23:J26),5),""),IF(_xlpm.x="","N/A",_xlpm.x))</f>
        <v>N/A</v>
      </c>
      <c r="L26" s="368"/>
      <c r="M26" s="369"/>
      <c r="N26" s="369"/>
      <c r="O26" s="369"/>
      <c r="P26" s="369"/>
      <c r="Q26" s="369"/>
      <c r="R26" s="369"/>
      <c r="S26" s="369"/>
      <c r="T26" s="369"/>
      <c r="U26" s="369"/>
      <c r="V26" s="369"/>
      <c r="W26" s="369"/>
      <c r="X26" s="369"/>
      <c r="Y26" s="369"/>
      <c r="Z26" s="369"/>
      <c r="AA26" s="369"/>
      <c r="AB26" s="370"/>
      <c r="AD26" s="230"/>
    </row>
    <row r="27" spans="1:30" x14ac:dyDescent="0.25">
      <c r="A27" s="230"/>
      <c r="AD27" s="230"/>
    </row>
    <row r="28" spans="1:30" ht="23.25" customHeight="1" x14ac:dyDescent="0.25">
      <c r="A28" s="230"/>
      <c r="B28" s="230"/>
      <c r="C28" s="384"/>
      <c r="D28" s="365"/>
      <c r="E28" s="365"/>
      <c r="F28" s="365"/>
      <c r="G28" s="365"/>
      <c r="H28" s="365"/>
      <c r="I28" s="365"/>
      <c r="J28" s="365"/>
      <c r="K28" s="365"/>
      <c r="L28" s="365"/>
      <c r="M28" s="365"/>
      <c r="N28" s="365"/>
      <c r="O28" s="366"/>
      <c r="P28" s="366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D28" s="230"/>
    </row>
    <row r="35" spans="3:7" x14ac:dyDescent="0.25">
      <c r="C35" t="str" cm="1">
        <f t="array" ref="C35:G35">_xlfn.LET(_xlpm.pn,"500-2608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1001534879</v>
      </c>
      <c r="D35">
        <v>46291</v>
      </c>
      <c r="E35">
        <v>50</v>
      </c>
      <c r="F35">
        <v>46184.131944444445</v>
      </c>
      <c r="G35" t="str">
        <v>Jesper Fredriksson</v>
      </c>
    </row>
    <row r="39" spans="3:7" x14ac:dyDescent="0.25">
      <c r="C39" t="str" cm="1">
        <f t="array" ref="C39:G41">_xlfn.LET(_xlpm.pn,"500-0995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1001528927</v>
      </c>
      <c r="D39">
        <v>46275</v>
      </c>
      <c r="E39">
        <v>15</v>
      </c>
      <c r="F39">
        <v>46183.927777777775</v>
      </c>
      <c r="G39" t="str">
        <v>Jesper Fredriksson</v>
      </c>
    </row>
    <row r="40" spans="3:7" x14ac:dyDescent="0.25">
      <c r="C40" t="str">
        <v>1001532707</v>
      </c>
      <c r="D40">
        <v>46337</v>
      </c>
      <c r="E40">
        <v>25</v>
      </c>
      <c r="F40">
        <v>46183.928472222222</v>
      </c>
      <c r="G40" t="str">
        <v>Jesper Fredriksson</v>
      </c>
    </row>
    <row r="41" spans="3:7" x14ac:dyDescent="0.25">
      <c r="C41" t="str">
        <v>1001533028</v>
      </c>
      <c r="D41">
        <v>46339</v>
      </c>
      <c r="E41">
        <v>25</v>
      </c>
      <c r="F41">
        <v>46183.928472222222</v>
      </c>
      <c r="G41" t="str">
        <v>Jesper Fredriksson</v>
      </c>
    </row>
    <row r="43" spans="3:7" x14ac:dyDescent="0.25">
      <c r="C43" t="str" cm="1">
        <f t="array" ref="C43:G44">_xlfn.LET(_xlpm.pn,"500-1514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1001517662</v>
      </c>
      <c r="D43">
        <v>46234</v>
      </c>
      <c r="E43">
        <v>5</v>
      </c>
      <c r="F43">
        <v>46113.25</v>
      </c>
      <c r="G43" t="str">
        <v>Jesper Fredriksson</v>
      </c>
    </row>
    <row r="44" spans="3:7" x14ac:dyDescent="0.25">
      <c r="C44" t="str">
        <v>1001529668</v>
      </c>
      <c r="D44">
        <v>46326</v>
      </c>
      <c r="E44">
        <v>10</v>
      </c>
      <c r="F44">
        <v>46183.929166666669</v>
      </c>
      <c r="G44" t="str">
        <v>Jesper Fredriksson</v>
      </c>
    </row>
    <row r="47" spans="3:7" x14ac:dyDescent="0.25">
      <c r="C47" t="str" cm="1">
        <f t="array" ref="C47:G47">_xlfn.LET(_xlpm.pn,"500-0952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1001515040</v>
      </c>
      <c r="D47">
        <v>46191</v>
      </c>
      <c r="E47">
        <v>10</v>
      </c>
      <c r="F47">
        <v>46183.925694444442</v>
      </c>
      <c r="G47" t="str">
        <v>Jesper Fredriksson</v>
      </c>
    </row>
    <row r="51" spans="3:7" x14ac:dyDescent="0.25">
      <c r="C51" t="str" cm="1">
        <f t="array" ref="C51:G51">_xlfn.LET(_xlpm.pn,"500-1712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1001531457</v>
      </c>
      <c r="D51">
        <v>46203</v>
      </c>
      <c r="E51">
        <v>6</v>
      </c>
      <c r="F51">
        <v>46183.930555555555</v>
      </c>
      <c r="G51" t="str">
        <v>Jesper Fredriksson</v>
      </c>
    </row>
    <row r="55" spans="3:7" x14ac:dyDescent="0.25">
      <c r="C55" t="str" cm="1">
        <f t="array" ref="C55:G55">_xlfn.LET(_xlpm.pn,"500-2288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1001530108</v>
      </c>
      <c r="D55">
        <v>46224</v>
      </c>
      <c r="E55">
        <v>10</v>
      </c>
      <c r="F55">
        <v>46184.131249999999</v>
      </c>
      <c r="G55" t="str">
        <v>Jesper Fredriksson</v>
      </c>
    </row>
    <row r="59" spans="3:7" x14ac:dyDescent="0.25">
      <c r="C59" t="str" cm="1">
        <f t="array" ref="C59:G59">_xlfn.LET(_xlpm.pn,"001-1689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4325EA</v>
      </c>
      <c r="D59">
        <v>46346</v>
      </c>
      <c r="E59">
        <v>3</v>
      </c>
      <c r="F59">
        <v>46183.924305555556</v>
      </c>
      <c r="G59" t="str">
        <v>Jesper Fredriksson</v>
      </c>
    </row>
  </sheetData>
  <sheetProtection formatCells="0" formatColumns="0" formatRows="0" insertColumns="0" insertRows="0" insertHyperlinks="0" deleteColumns="0" deleteRows="0" sort="0" autoFilter="0" pivotTables="0"/>
  <mergeCells count="87">
    <mergeCell ref="O14:P14"/>
    <mergeCell ref="X9:Y9"/>
    <mergeCell ref="C26:E26"/>
    <mergeCell ref="F17:G17"/>
    <mergeCell ref="F22:G22"/>
    <mergeCell ref="L17:N17"/>
    <mergeCell ref="U15:W15"/>
    <mergeCell ref="U5:AB5"/>
    <mergeCell ref="O10:P10"/>
    <mergeCell ref="O18:P18"/>
    <mergeCell ref="C5:J5"/>
    <mergeCell ref="F24:G24"/>
    <mergeCell ref="C8:E8"/>
    <mergeCell ref="C17:E17"/>
    <mergeCell ref="C24:E24"/>
    <mergeCell ref="C10:E10"/>
    <mergeCell ref="C16:E16"/>
    <mergeCell ref="X18:Y18"/>
    <mergeCell ref="C20:J20"/>
    <mergeCell ref="C23:E23"/>
    <mergeCell ref="U18:W18"/>
    <mergeCell ref="F23:G23"/>
    <mergeCell ref="C18:E18"/>
    <mergeCell ref="U4:AB4"/>
    <mergeCell ref="U16:W16"/>
    <mergeCell ref="L14:N14"/>
    <mergeCell ref="C9:E9"/>
    <mergeCell ref="O9:P9"/>
    <mergeCell ref="F7:G7"/>
    <mergeCell ref="C4:J4"/>
    <mergeCell ref="X7:Y7"/>
    <mergeCell ref="X16:Y16"/>
    <mergeCell ref="L5:S5"/>
    <mergeCell ref="F8:G8"/>
    <mergeCell ref="U7:W7"/>
    <mergeCell ref="L13:S13"/>
    <mergeCell ref="F15:G15"/>
    <mergeCell ref="L9:N9"/>
    <mergeCell ref="C14:E14"/>
    <mergeCell ref="C28:AC28"/>
    <mergeCell ref="O8:P8"/>
    <mergeCell ref="O17:P17"/>
    <mergeCell ref="C13:J13"/>
    <mergeCell ref="U17:W17"/>
    <mergeCell ref="C25:E25"/>
    <mergeCell ref="L15:N15"/>
    <mergeCell ref="L18:N18"/>
    <mergeCell ref="F10:G10"/>
    <mergeCell ref="C22:E22"/>
    <mergeCell ref="L8:N8"/>
    <mergeCell ref="X8:Y8"/>
    <mergeCell ref="X17:Y17"/>
    <mergeCell ref="L12:S12"/>
    <mergeCell ref="L10:N10"/>
    <mergeCell ref="F18:G18"/>
    <mergeCell ref="C2:AC2"/>
    <mergeCell ref="C7:E7"/>
    <mergeCell ref="U8:W8"/>
    <mergeCell ref="O16:P16"/>
    <mergeCell ref="X6:Y6"/>
    <mergeCell ref="X15:Y15"/>
    <mergeCell ref="U12:AB12"/>
    <mergeCell ref="U10:W10"/>
    <mergeCell ref="F6:G6"/>
    <mergeCell ref="L4:S4"/>
    <mergeCell ref="X14:Y14"/>
    <mergeCell ref="C15:E15"/>
    <mergeCell ref="F9:G9"/>
    <mergeCell ref="U14:W14"/>
    <mergeCell ref="C6:E6"/>
    <mergeCell ref="U6:W6"/>
    <mergeCell ref="O6:P6"/>
    <mergeCell ref="O15:P15"/>
    <mergeCell ref="L20:AB26"/>
    <mergeCell ref="F14:G14"/>
    <mergeCell ref="O7:P7"/>
    <mergeCell ref="F16:G16"/>
    <mergeCell ref="F25:G25"/>
    <mergeCell ref="F26:G26"/>
    <mergeCell ref="L6:N6"/>
    <mergeCell ref="C12:J12"/>
    <mergeCell ref="U13:AB13"/>
    <mergeCell ref="C21:J21"/>
    <mergeCell ref="U9:W9"/>
    <mergeCell ref="L7:N7"/>
    <mergeCell ref="L16:N16"/>
    <mergeCell ref="X10:Y10"/>
  </mergeCells>
  <pageMargins left="0.7" right="0.7" top="0.75" bottom="0.75" header="0.3" footer="0.3"/>
  <pageSetup paperSize="9" scale="3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B1:BE37"/>
  <sheetViews>
    <sheetView tabSelected="1" zoomScaleNormal="100" workbookViewId="0">
      <selection activeCell="P1" sqref="P1"/>
    </sheetView>
  </sheetViews>
  <sheetFormatPr defaultRowHeight="15" x14ac:dyDescent="0.25"/>
  <cols>
    <col min="1" max="1" width="1.7109375" customWidth="1"/>
    <col min="2" max="2" width="2.5703125" customWidth="1"/>
    <col min="3" max="3" width="1.85546875" customWidth="1"/>
    <col min="4" max="4" width="23.28515625" bestFit="1" customWidth="1"/>
    <col min="5" max="5" width="11.85546875" customWidth="1"/>
    <col min="6" max="6" width="2.5703125" customWidth="1"/>
    <col min="7" max="7" width="11.7109375" customWidth="1"/>
    <col min="8" max="8" width="12.28515625" customWidth="1"/>
    <col min="9" max="9" width="2.5703125" customWidth="1"/>
    <col min="10" max="10" width="12" bestFit="1" customWidth="1"/>
    <col min="11" max="11" width="17.140625" customWidth="1"/>
    <col min="12" max="12" width="2.28515625" customWidth="1"/>
    <col min="13" max="13" width="12.5703125" customWidth="1"/>
    <col min="14" max="14" width="15.7109375" customWidth="1"/>
    <col min="15" max="15" width="2.140625" customWidth="1"/>
    <col min="16" max="16" width="11" bestFit="1" customWidth="1"/>
    <col min="17" max="17" width="8.5703125" customWidth="1"/>
    <col min="18" max="18" width="2.140625" customWidth="1"/>
    <col min="19" max="19" width="13.140625" customWidth="1"/>
    <col min="21" max="21" width="2.28515625" customWidth="1"/>
    <col min="22" max="22" width="11" bestFit="1" customWidth="1"/>
    <col min="29" max="29" width="10.7109375" customWidth="1"/>
    <col min="30" max="30" width="4.5703125" customWidth="1"/>
    <col min="52" max="57" width="13" hidden="1" customWidth="1"/>
  </cols>
  <sheetData>
    <row r="1" spans="2:30" ht="21" customHeight="1" x14ac:dyDescent="0.25">
      <c r="B1" s="31"/>
      <c r="C1" s="31"/>
      <c r="D1" s="31"/>
      <c r="E1" s="31"/>
      <c r="F1" s="31"/>
      <c r="G1" s="31"/>
      <c r="H1" s="31"/>
      <c r="I1" s="31"/>
      <c r="J1" s="31"/>
      <c r="K1" s="269"/>
      <c r="L1" s="269" t="s">
        <v>364</v>
      </c>
      <c r="M1" s="269"/>
      <c r="N1" s="269"/>
      <c r="O1" s="269"/>
      <c r="P1" s="270" t="s">
        <v>365</v>
      </c>
      <c r="Q1" s="269"/>
      <c r="R1" s="268" t="s">
        <v>366</v>
      </c>
      <c r="S1" s="269" t="s">
        <v>128</v>
      </c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31"/>
    </row>
    <row r="2" spans="2:30" ht="15.75" customHeight="1" thickBot="1" x14ac:dyDescent="0.3">
      <c r="B2" s="31"/>
      <c r="AD2" s="31"/>
    </row>
    <row r="3" spans="2:30" ht="16.5" customHeight="1" thickBot="1" x14ac:dyDescent="0.3">
      <c r="B3" s="31"/>
      <c r="D3" s="392" t="s">
        <v>367</v>
      </c>
      <c r="E3" s="393"/>
      <c r="G3" s="399" t="s">
        <v>368</v>
      </c>
      <c r="H3" s="358"/>
      <c r="J3" s="401" t="s">
        <v>369</v>
      </c>
      <c r="K3" s="358"/>
      <c r="L3" s="1"/>
      <c r="M3" s="402" t="s">
        <v>370</v>
      </c>
      <c r="N3" s="393"/>
      <c r="O3" s="2"/>
      <c r="P3" s="402" t="s">
        <v>371</v>
      </c>
      <c r="Q3" s="393"/>
      <c r="S3" s="398" t="s">
        <v>372</v>
      </c>
      <c r="T3" s="393"/>
      <c r="V3" s="400" t="s">
        <v>373</v>
      </c>
      <c r="W3" s="378"/>
      <c r="AD3" s="31"/>
    </row>
    <row r="4" spans="2:30" x14ac:dyDescent="0.25">
      <c r="B4" s="31"/>
      <c r="D4" s="271" t="s">
        <v>354</v>
      </c>
      <c r="E4" s="272" t="s">
        <v>374</v>
      </c>
      <c r="G4" s="273" t="s">
        <v>354</v>
      </c>
      <c r="H4" s="274" t="s">
        <v>374</v>
      </c>
      <c r="J4" s="288" t="s">
        <v>354</v>
      </c>
      <c r="K4" s="289" t="s">
        <v>374</v>
      </c>
      <c r="L4" s="7"/>
      <c r="M4" s="23" t="s">
        <v>354</v>
      </c>
      <c r="N4" s="290" t="s">
        <v>374</v>
      </c>
      <c r="O4" s="7"/>
      <c r="P4" s="3" t="s">
        <v>354</v>
      </c>
      <c r="Q4" s="4" t="s">
        <v>374</v>
      </c>
      <c r="S4" s="3" t="s">
        <v>354</v>
      </c>
      <c r="T4" s="4" t="s">
        <v>374</v>
      </c>
      <c r="V4" s="23" t="s">
        <v>354</v>
      </c>
      <c r="W4" s="290" t="s">
        <v>374</v>
      </c>
      <c r="AD4" s="31"/>
    </row>
    <row r="5" spans="2:30" ht="15" customHeight="1" x14ac:dyDescent="0.25">
      <c r="B5" s="31"/>
      <c r="D5" s="25" t="s">
        <v>375</v>
      </c>
      <c r="E5" s="13"/>
      <c r="G5" s="275">
        <v>1001514528</v>
      </c>
      <c r="H5" s="13">
        <v>40</v>
      </c>
      <c r="J5" s="10">
        <v>1001517216</v>
      </c>
      <c r="K5" s="11">
        <v>20</v>
      </c>
      <c r="L5" s="12"/>
      <c r="M5" s="10">
        <v>1001507431</v>
      </c>
      <c r="N5" s="11">
        <v>20</v>
      </c>
      <c r="O5" s="12"/>
      <c r="P5" s="10"/>
      <c r="Q5" s="11"/>
      <c r="S5" s="10">
        <v>1001491397</v>
      </c>
      <c r="T5" s="11">
        <v>20</v>
      </c>
      <c r="V5" s="10">
        <v>1001516904</v>
      </c>
      <c r="W5" s="11">
        <v>20</v>
      </c>
      <c r="AD5" s="31"/>
    </row>
    <row r="6" spans="2:30" ht="15" customHeight="1" x14ac:dyDescent="0.25">
      <c r="B6" s="31"/>
      <c r="D6" s="25" t="s">
        <v>376</v>
      </c>
      <c r="E6" s="13"/>
      <c r="G6" s="275">
        <v>1001514602</v>
      </c>
      <c r="H6" s="13">
        <v>40</v>
      </c>
      <c r="J6" s="10">
        <v>1001519082</v>
      </c>
      <c r="K6" s="11">
        <v>20</v>
      </c>
      <c r="L6" s="12"/>
      <c r="M6" s="10">
        <v>1001518837</v>
      </c>
      <c r="N6" s="11">
        <v>20</v>
      </c>
      <c r="O6" s="12"/>
      <c r="P6" s="281"/>
      <c r="Q6" s="11"/>
      <c r="S6" s="8">
        <v>1001496921</v>
      </c>
      <c r="T6" s="26">
        <v>20</v>
      </c>
      <c r="V6" s="10"/>
      <c r="W6" s="11"/>
      <c r="AD6" s="31"/>
    </row>
    <row r="7" spans="2:30" ht="15" customHeight="1" x14ac:dyDescent="0.25">
      <c r="B7" s="31"/>
      <c r="D7" s="10" t="s">
        <v>377</v>
      </c>
      <c r="E7" s="13"/>
      <c r="G7" s="275">
        <v>1001514605</v>
      </c>
      <c r="H7" s="13">
        <v>40</v>
      </c>
      <c r="J7" s="10">
        <v>1001519733</v>
      </c>
      <c r="K7" s="11">
        <v>20</v>
      </c>
      <c r="L7" s="12"/>
      <c r="M7" s="10">
        <v>1001520019</v>
      </c>
      <c r="N7" s="11">
        <v>20</v>
      </c>
      <c r="O7" s="12"/>
      <c r="P7" s="281"/>
      <c r="Q7" s="11"/>
      <c r="S7" s="10">
        <v>1001517626</v>
      </c>
      <c r="T7" s="11">
        <v>20</v>
      </c>
      <c r="V7" s="10"/>
      <c r="W7" s="11"/>
      <c r="AD7" s="31"/>
    </row>
    <row r="8" spans="2:30" ht="15" customHeight="1" x14ac:dyDescent="0.25">
      <c r="B8" s="31"/>
      <c r="D8" s="277" t="s">
        <v>378</v>
      </c>
      <c r="E8" s="9"/>
      <c r="G8" s="275">
        <v>1001518700</v>
      </c>
      <c r="H8" s="13">
        <v>40</v>
      </c>
      <c r="J8" s="10">
        <v>1001517570</v>
      </c>
      <c r="K8" s="11">
        <v>20</v>
      </c>
      <c r="L8" s="12"/>
      <c r="M8" s="10">
        <v>1001520175</v>
      </c>
      <c r="N8" s="11">
        <v>20</v>
      </c>
      <c r="O8" s="12"/>
      <c r="P8" s="280"/>
      <c r="Q8" s="11"/>
      <c r="S8" s="10"/>
      <c r="T8" s="11"/>
      <c r="V8" s="10"/>
      <c r="W8" s="11"/>
      <c r="AD8" s="31"/>
    </row>
    <row r="9" spans="2:30" x14ac:dyDescent="0.25">
      <c r="B9" s="31"/>
      <c r="D9" s="278"/>
      <c r="E9" s="9"/>
      <c r="G9" s="275">
        <v>1001518701</v>
      </c>
      <c r="H9" s="13">
        <v>40</v>
      </c>
      <c r="J9" s="10">
        <v>1001520174</v>
      </c>
      <c r="K9" s="11">
        <v>20</v>
      </c>
      <c r="L9" s="12"/>
      <c r="M9" s="10"/>
      <c r="N9" s="11"/>
      <c r="O9" s="12"/>
      <c r="P9" s="10"/>
      <c r="Q9" s="11"/>
      <c r="S9" s="10"/>
      <c r="T9" s="11"/>
      <c r="V9" s="10"/>
      <c r="W9" s="11"/>
      <c r="AD9" s="31"/>
    </row>
    <row r="10" spans="2:30" x14ac:dyDescent="0.25">
      <c r="B10" s="31"/>
      <c r="D10" s="8"/>
      <c r="E10" s="9"/>
      <c r="G10" s="275">
        <v>1001517218</v>
      </c>
      <c r="H10" s="13">
        <v>40</v>
      </c>
      <c r="J10" s="10">
        <v>1001520199</v>
      </c>
      <c r="K10" s="11">
        <v>20</v>
      </c>
      <c r="L10" s="12"/>
      <c r="M10" s="10"/>
      <c r="N10" s="11"/>
      <c r="O10" s="12"/>
      <c r="P10" s="10"/>
      <c r="Q10" s="11"/>
      <c r="S10" s="10"/>
      <c r="T10" s="11"/>
      <c r="V10" s="10"/>
      <c r="W10" s="11"/>
      <c r="AD10" s="31"/>
    </row>
    <row r="11" spans="2:30" x14ac:dyDescent="0.25">
      <c r="B11" s="31"/>
      <c r="D11" s="8"/>
      <c r="E11" s="9"/>
      <c r="G11" s="275">
        <v>1001521888</v>
      </c>
      <c r="H11" s="13">
        <v>40</v>
      </c>
      <c r="J11" s="10">
        <v>1001520669</v>
      </c>
      <c r="K11" s="11">
        <v>20</v>
      </c>
      <c r="L11" s="12"/>
      <c r="M11" s="10"/>
      <c r="N11" s="11"/>
      <c r="O11" s="12"/>
      <c r="P11" s="10"/>
      <c r="Q11" s="11"/>
      <c r="S11" s="10"/>
      <c r="T11" s="11"/>
      <c r="V11" s="10"/>
      <c r="W11" s="11"/>
      <c r="AD11" s="31"/>
    </row>
    <row r="12" spans="2:30" x14ac:dyDescent="0.25">
      <c r="B12" s="31"/>
      <c r="D12" s="10"/>
      <c r="E12" s="13"/>
      <c r="G12" s="275">
        <v>1001521901</v>
      </c>
      <c r="H12" s="13">
        <v>40</v>
      </c>
      <c r="J12" s="10">
        <v>1001520948</v>
      </c>
      <c r="K12" s="11">
        <v>20</v>
      </c>
      <c r="L12" s="12"/>
      <c r="M12" s="10"/>
      <c r="N12" s="11"/>
      <c r="O12" s="12"/>
      <c r="P12" s="10"/>
      <c r="Q12" s="11"/>
      <c r="S12" s="10"/>
      <c r="T12" s="11"/>
      <c r="V12" s="10"/>
      <c r="W12" s="11"/>
      <c r="AD12" s="31"/>
    </row>
    <row r="13" spans="2:30" x14ac:dyDescent="0.25">
      <c r="B13" s="31"/>
      <c r="D13" s="10"/>
      <c r="E13" s="13"/>
      <c r="G13" s="275">
        <v>1001521887</v>
      </c>
      <c r="H13" s="13">
        <v>40</v>
      </c>
      <c r="J13" s="10"/>
      <c r="K13" s="11"/>
      <c r="L13" s="12"/>
      <c r="M13" s="10"/>
      <c r="N13" s="11"/>
      <c r="O13" s="12"/>
      <c r="P13" s="10"/>
      <c r="Q13" s="11"/>
      <c r="S13" s="10"/>
      <c r="T13" s="11"/>
      <c r="V13" s="10"/>
      <c r="W13" s="11"/>
      <c r="AD13" s="31"/>
    </row>
    <row r="14" spans="2:30" ht="15.75" customHeight="1" thickBot="1" x14ac:dyDescent="0.3">
      <c r="B14" s="31"/>
      <c r="D14" s="10"/>
      <c r="E14" s="13"/>
      <c r="G14" s="275"/>
      <c r="H14" s="13"/>
      <c r="J14" s="10"/>
      <c r="K14" s="11"/>
      <c r="L14" s="12"/>
      <c r="M14" s="10"/>
      <c r="N14" s="11"/>
      <c r="O14" s="12"/>
      <c r="P14" s="10"/>
      <c r="Q14" s="11"/>
      <c r="S14" s="10"/>
      <c r="T14" s="11"/>
      <c r="V14" s="14"/>
      <c r="W14" s="15"/>
      <c r="AD14" s="31"/>
    </row>
    <row r="15" spans="2:30" ht="16.5" customHeight="1" thickBot="1" x14ac:dyDescent="0.3">
      <c r="B15" s="31"/>
      <c r="D15" s="8"/>
      <c r="E15" s="9"/>
      <c r="G15" s="275"/>
      <c r="H15" s="13"/>
      <c r="J15" s="10"/>
      <c r="K15" s="11"/>
      <c r="L15" s="12"/>
      <c r="M15" s="10"/>
      <c r="N15" s="11"/>
      <c r="O15" s="2"/>
      <c r="P15" s="396" t="s">
        <v>379</v>
      </c>
      <c r="Q15" s="378"/>
      <c r="S15" s="10"/>
      <c r="T15" s="11"/>
      <c r="V15" s="400" t="s">
        <v>380</v>
      </c>
      <c r="W15" s="378"/>
      <c r="AD15" s="31"/>
    </row>
    <row r="16" spans="2:30" ht="16.5" customHeight="1" thickBot="1" x14ac:dyDescent="0.3">
      <c r="B16" s="31"/>
      <c r="D16" s="8"/>
      <c r="E16" s="9"/>
      <c r="G16" s="275"/>
      <c r="H16" s="13"/>
      <c r="J16" s="10"/>
      <c r="K16" s="11"/>
      <c r="L16" s="12"/>
      <c r="M16" s="396" t="s">
        <v>381</v>
      </c>
      <c r="N16" s="378"/>
      <c r="O16" s="7"/>
      <c r="P16" s="5" t="s">
        <v>354</v>
      </c>
      <c r="Q16" s="6" t="s">
        <v>374</v>
      </c>
      <c r="S16" s="10"/>
      <c r="T16" s="11"/>
      <c r="V16" s="3" t="s">
        <v>354</v>
      </c>
      <c r="W16" s="4" t="s">
        <v>374</v>
      </c>
      <c r="AD16" s="31"/>
    </row>
    <row r="17" spans="2:30" x14ac:dyDescent="0.25">
      <c r="B17" s="31"/>
      <c r="D17" s="8"/>
      <c r="E17" s="9"/>
      <c r="G17" s="275"/>
      <c r="H17" s="13"/>
      <c r="J17" s="10"/>
      <c r="K17" s="11"/>
      <c r="L17" s="12"/>
      <c r="M17" s="5" t="s">
        <v>354</v>
      </c>
      <c r="N17" s="6" t="s">
        <v>374</v>
      </c>
      <c r="O17" s="12"/>
      <c r="P17" s="16"/>
      <c r="Q17" s="17"/>
      <c r="S17" s="10"/>
      <c r="T17" s="11"/>
      <c r="V17" s="10"/>
      <c r="W17" s="11"/>
      <c r="AD17" s="31"/>
    </row>
    <row r="18" spans="2:30" x14ac:dyDescent="0.25">
      <c r="B18" s="31"/>
      <c r="D18" s="8"/>
      <c r="E18" s="9"/>
      <c r="G18" s="275"/>
      <c r="H18" s="13"/>
      <c r="J18" s="10"/>
      <c r="K18" s="11"/>
      <c r="L18" s="12"/>
      <c r="M18" s="3"/>
      <c r="N18" s="4"/>
      <c r="O18" s="12"/>
      <c r="P18" s="16"/>
      <c r="Q18" s="17"/>
      <c r="S18" s="10"/>
      <c r="T18" s="11"/>
      <c r="V18" s="10"/>
      <c r="W18" s="11"/>
      <c r="AD18" s="31"/>
    </row>
    <row r="19" spans="2:30" ht="15.75" customHeight="1" thickBot="1" x14ac:dyDescent="0.3">
      <c r="B19" s="31"/>
      <c r="D19" s="8"/>
      <c r="E19" s="13"/>
      <c r="G19" s="275"/>
      <c r="H19" s="13"/>
      <c r="J19" s="10"/>
      <c r="K19" s="11"/>
      <c r="L19" s="12"/>
      <c r="M19" s="10"/>
      <c r="N19" s="11"/>
      <c r="O19" s="12"/>
      <c r="P19" s="16"/>
      <c r="Q19" s="17"/>
      <c r="S19" s="10"/>
      <c r="T19" s="11"/>
      <c r="V19" s="10"/>
      <c r="W19" s="11"/>
      <c r="AD19" s="31"/>
    </row>
    <row r="20" spans="2:30" ht="16.5" customHeight="1" thickBot="1" x14ac:dyDescent="0.3">
      <c r="B20" s="31"/>
      <c r="D20" s="392" t="s">
        <v>382</v>
      </c>
      <c r="E20" s="393"/>
      <c r="G20" s="392" t="s">
        <v>383</v>
      </c>
      <c r="H20" s="393"/>
      <c r="J20" s="10"/>
      <c r="K20" s="11"/>
      <c r="L20" s="12"/>
      <c r="M20" s="10"/>
      <c r="N20" s="11"/>
      <c r="O20" s="12"/>
      <c r="P20" s="16"/>
      <c r="Q20" s="17"/>
      <c r="S20" s="10"/>
      <c r="T20" s="11"/>
      <c r="V20" s="10"/>
      <c r="W20" s="11"/>
      <c r="AD20" s="31"/>
    </row>
    <row r="21" spans="2:30" x14ac:dyDescent="0.25">
      <c r="B21" s="31"/>
      <c r="D21" s="271" t="s">
        <v>354</v>
      </c>
      <c r="E21" s="272" t="s">
        <v>374</v>
      </c>
      <c r="G21" s="271" t="s">
        <v>354</v>
      </c>
      <c r="H21" s="272" t="s">
        <v>374</v>
      </c>
      <c r="J21" s="10"/>
      <c r="K21" s="11"/>
      <c r="L21" s="12"/>
      <c r="M21" s="10"/>
      <c r="N21" s="11"/>
      <c r="O21" s="12"/>
      <c r="P21" s="16"/>
      <c r="Q21" s="17"/>
      <c r="S21" s="10"/>
      <c r="T21" s="11"/>
      <c r="V21" s="10"/>
      <c r="W21" s="11"/>
      <c r="AD21" s="31"/>
    </row>
    <row r="22" spans="2:30" x14ac:dyDescent="0.25">
      <c r="B22" s="31"/>
      <c r="D22" s="8"/>
      <c r="E22" s="9"/>
      <c r="G22" s="291"/>
      <c r="H22" s="13"/>
      <c r="J22" s="10"/>
      <c r="K22" s="11"/>
      <c r="L22" s="12"/>
      <c r="M22" s="10"/>
      <c r="N22" s="11"/>
      <c r="O22" s="12"/>
      <c r="P22" s="16"/>
      <c r="Q22" s="17"/>
      <c r="S22" s="10"/>
      <c r="T22" s="11"/>
      <c r="V22" s="10"/>
      <c r="W22" s="11"/>
      <c r="AD22" s="31"/>
    </row>
    <row r="23" spans="2:30" ht="15.75" customHeight="1" thickBot="1" x14ac:dyDescent="0.3">
      <c r="B23" s="31"/>
      <c r="D23" s="276"/>
      <c r="E23" s="9"/>
      <c r="G23" s="10"/>
      <c r="H23" s="13"/>
      <c r="J23" s="10"/>
      <c r="K23" s="11"/>
      <c r="L23" s="12"/>
      <c r="M23" s="20"/>
      <c r="N23" s="21"/>
      <c r="O23" s="12"/>
      <c r="P23" s="18"/>
      <c r="Q23" s="22"/>
      <c r="S23" s="20"/>
      <c r="T23" s="21"/>
      <c r="V23" s="20"/>
      <c r="W23" s="21"/>
      <c r="AD23" s="31"/>
    </row>
    <row r="24" spans="2:30" ht="15.75" customHeight="1" thickBot="1" x14ac:dyDescent="0.3">
      <c r="B24" s="31"/>
      <c r="D24" s="276"/>
      <c r="E24" s="9"/>
      <c r="G24" s="10"/>
      <c r="H24" s="13"/>
      <c r="J24" s="8"/>
      <c r="K24" s="17"/>
      <c r="AD24" s="31"/>
    </row>
    <row r="25" spans="2:30" ht="16.5" customHeight="1" thickBot="1" x14ac:dyDescent="0.3">
      <c r="B25" s="31"/>
      <c r="D25" s="16"/>
      <c r="E25" s="9"/>
      <c r="G25" s="25"/>
      <c r="H25" s="13"/>
      <c r="J25" s="8"/>
      <c r="K25" s="17"/>
      <c r="M25" s="397" t="s">
        <v>384</v>
      </c>
      <c r="N25" s="380"/>
      <c r="P25" s="397" t="s">
        <v>385</v>
      </c>
      <c r="Q25" s="380"/>
      <c r="S25" s="394" t="s">
        <v>386</v>
      </c>
      <c r="T25" s="393"/>
      <c r="V25" s="395" t="s">
        <v>387</v>
      </c>
      <c r="W25" s="378"/>
      <c r="AD25" s="31"/>
    </row>
    <row r="26" spans="2:30" x14ac:dyDescent="0.25">
      <c r="B26" s="31"/>
      <c r="D26" s="16"/>
      <c r="E26" s="9"/>
      <c r="G26" s="291"/>
      <c r="H26" s="13"/>
      <c r="J26" s="8"/>
      <c r="K26" s="17"/>
      <c r="M26" s="5" t="s">
        <v>354</v>
      </c>
      <c r="N26" s="6" t="s">
        <v>374</v>
      </c>
      <c r="P26" s="5" t="s">
        <v>354</v>
      </c>
      <c r="Q26" s="6" t="s">
        <v>374</v>
      </c>
      <c r="S26" s="23" t="s">
        <v>354</v>
      </c>
      <c r="T26" s="24" t="s">
        <v>374</v>
      </c>
      <c r="V26" s="23" t="s">
        <v>354</v>
      </c>
      <c r="W26" s="24" t="s">
        <v>374</v>
      </c>
      <c r="AD26" s="31"/>
    </row>
    <row r="27" spans="2:30" x14ac:dyDescent="0.25">
      <c r="B27" s="31"/>
      <c r="D27" s="16"/>
      <c r="E27" s="9"/>
      <c r="G27" s="10"/>
      <c r="H27" s="13"/>
      <c r="J27" s="8"/>
      <c r="K27" s="17"/>
      <c r="M27" s="25"/>
      <c r="N27" s="11"/>
      <c r="P27" s="10"/>
      <c r="Q27" s="11"/>
      <c r="S27" s="10"/>
      <c r="T27" s="26"/>
      <c r="V27" s="10">
        <v>1001520020</v>
      </c>
      <c r="W27" s="11">
        <v>20</v>
      </c>
      <c r="AD27" s="31"/>
    </row>
    <row r="28" spans="2:30" x14ac:dyDescent="0.25">
      <c r="B28" s="31"/>
      <c r="D28" s="16"/>
      <c r="E28" s="9"/>
      <c r="G28" s="10"/>
      <c r="H28" s="13"/>
      <c r="J28" s="8"/>
      <c r="K28" s="17"/>
      <c r="M28" s="10"/>
      <c r="N28" s="11"/>
      <c r="P28" s="25"/>
      <c r="Q28" s="11"/>
      <c r="S28" s="27"/>
      <c r="T28" s="28"/>
      <c r="V28" s="10"/>
      <c r="W28" s="11"/>
      <c r="AD28" s="31"/>
    </row>
    <row r="29" spans="2:30" x14ac:dyDescent="0.25">
      <c r="B29" s="31"/>
      <c r="D29" s="16"/>
      <c r="E29" s="9"/>
      <c r="G29" s="10"/>
      <c r="H29" s="13"/>
      <c r="J29" s="8"/>
      <c r="K29" s="17"/>
      <c r="M29" s="16"/>
      <c r="N29" s="17"/>
      <c r="P29" s="25"/>
      <c r="Q29" s="11"/>
      <c r="S29" s="8"/>
      <c r="T29" s="26"/>
      <c r="V29" s="10"/>
      <c r="W29" s="11"/>
      <c r="AD29" s="31"/>
    </row>
    <row r="30" spans="2:30" x14ac:dyDescent="0.25">
      <c r="B30" s="31"/>
      <c r="D30" s="16"/>
      <c r="E30" s="9"/>
      <c r="G30" s="287"/>
      <c r="H30" s="292"/>
      <c r="J30" s="16"/>
      <c r="K30" s="17"/>
      <c r="M30" s="16"/>
      <c r="N30" s="17"/>
      <c r="P30" s="10"/>
      <c r="Q30" s="11"/>
      <c r="S30" s="8"/>
      <c r="T30" s="26"/>
      <c r="V30" s="10"/>
      <c r="W30" s="11"/>
      <c r="AD30" s="31"/>
    </row>
    <row r="31" spans="2:30" x14ac:dyDescent="0.25">
      <c r="B31" s="31"/>
      <c r="D31" s="16"/>
      <c r="E31" s="9"/>
      <c r="G31" s="287"/>
      <c r="H31" s="292"/>
      <c r="J31" s="16"/>
      <c r="K31" s="17"/>
      <c r="M31" s="10"/>
      <c r="N31" s="11"/>
      <c r="P31" s="10"/>
      <c r="Q31" s="11"/>
      <c r="S31" s="8"/>
      <c r="T31" s="26"/>
      <c r="V31" s="10"/>
      <c r="W31" s="11"/>
      <c r="AD31" s="31"/>
    </row>
    <row r="32" spans="2:30" x14ac:dyDescent="0.25">
      <c r="B32" s="31"/>
      <c r="D32" s="16"/>
      <c r="E32" s="9"/>
      <c r="G32" s="287"/>
      <c r="H32" s="292"/>
      <c r="J32" s="16"/>
      <c r="K32" s="17"/>
      <c r="M32" s="10"/>
      <c r="N32" s="11"/>
      <c r="P32" s="10"/>
      <c r="Q32" s="11"/>
      <c r="S32" s="8"/>
      <c r="T32" s="26"/>
      <c r="V32" s="10"/>
      <c r="W32" s="11"/>
      <c r="AD32" s="31"/>
    </row>
    <row r="33" spans="2:30" x14ac:dyDescent="0.25">
      <c r="B33" s="31"/>
      <c r="D33" s="16"/>
      <c r="E33" s="9"/>
      <c r="G33" s="287"/>
      <c r="H33" s="292"/>
      <c r="J33" s="16"/>
      <c r="K33" s="17"/>
      <c r="M33" s="10"/>
      <c r="N33" s="11"/>
      <c r="P33" s="10"/>
      <c r="Q33" s="11"/>
      <c r="S33" s="8"/>
      <c r="T33" s="26"/>
      <c r="V33" s="10"/>
      <c r="W33" s="11"/>
      <c r="AD33" s="31"/>
    </row>
    <row r="34" spans="2:30" ht="15.75" customHeight="1" thickBot="1" x14ac:dyDescent="0.3">
      <c r="B34" s="31"/>
      <c r="D34" s="18"/>
      <c r="E34" s="19"/>
      <c r="G34" s="293"/>
      <c r="H34" s="294"/>
      <c r="J34" s="18"/>
      <c r="K34" s="22"/>
      <c r="M34" s="20"/>
      <c r="N34" s="21"/>
      <c r="P34" s="20"/>
      <c r="Q34" s="21"/>
      <c r="S34" s="29"/>
      <c r="T34" s="30"/>
      <c r="V34" s="20"/>
      <c r="W34" s="21"/>
      <c r="AD34" s="31"/>
    </row>
    <row r="35" spans="2:30" x14ac:dyDescent="0.25">
      <c r="B35" s="31"/>
      <c r="AD35" s="31"/>
    </row>
    <row r="36" spans="2:30" x14ac:dyDescent="0.25">
      <c r="B36" s="31"/>
      <c r="C36" s="267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</row>
    <row r="37" spans="2:30" ht="7.5" customHeight="1" x14ac:dyDescent="0.25">
      <c r="B37" s="31"/>
      <c r="C37" s="267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</row>
  </sheetData>
  <mergeCells count="16">
    <mergeCell ref="D3:E3"/>
    <mergeCell ref="S25:T25"/>
    <mergeCell ref="V25:W25"/>
    <mergeCell ref="P15:Q15"/>
    <mergeCell ref="P25:Q25"/>
    <mergeCell ref="D20:E20"/>
    <mergeCell ref="M25:N25"/>
    <mergeCell ref="G20:H20"/>
    <mergeCell ref="S3:T3"/>
    <mergeCell ref="G3:H3"/>
    <mergeCell ref="V3:W3"/>
    <mergeCell ref="M16:N16"/>
    <mergeCell ref="V15:W15"/>
    <mergeCell ref="J3:K3"/>
    <mergeCell ref="P3:Q3"/>
    <mergeCell ref="M3:N3"/>
  </mergeCells>
  <pageMargins left="0.7" right="0.7" top="0.75" bottom="0.75" header="0.3" footer="0.3"/>
  <pageSetup paperSize="9" scale="66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CD2D"/>
  </sheetPr>
  <dimension ref="A1:BE24"/>
  <sheetViews>
    <sheetView zoomScaleNormal="100" workbookViewId="0">
      <selection activeCell="A13" sqref="A13:C13"/>
    </sheetView>
  </sheetViews>
  <sheetFormatPr defaultRowHeight="15" x14ac:dyDescent="0.25"/>
  <cols>
    <col min="1" max="1" width="8.7109375" bestFit="1" customWidth="1"/>
    <col min="2" max="2" width="15.7109375" bestFit="1" customWidth="1"/>
    <col min="3" max="3" width="11" bestFit="1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17.7109375" bestFit="1" customWidth="1"/>
    <col min="10" max="10" width="11" bestFit="1" customWidth="1"/>
    <col min="11" max="11" width="10.42578125" style="63" bestFit="1" customWidth="1"/>
    <col min="12" max="12" width="3" bestFit="1" customWidth="1"/>
    <col min="13" max="13" width="10.42578125" style="63" bestFit="1" customWidth="1"/>
    <col min="14" max="14" width="17.7109375" bestFit="1" customWidth="1"/>
    <col min="15" max="15" width="8.5703125" bestFit="1" customWidth="1"/>
    <col min="16" max="16" width="10.28515625" customWidth="1"/>
    <col min="17" max="17" width="9.7109375" customWidth="1"/>
    <col min="52" max="57" width="13" hidden="1" customWidth="1"/>
  </cols>
  <sheetData>
    <row r="1" spans="1:15" ht="15.75" customHeight="1" thickBot="1" x14ac:dyDescent="0.3">
      <c r="O1" s="33"/>
    </row>
    <row r="2" spans="1:15" ht="24" customHeight="1" thickBot="1" x14ac:dyDescent="0.3">
      <c r="A2" s="410" t="s">
        <v>8</v>
      </c>
      <c r="B2" s="377"/>
      <c r="C2" s="377"/>
      <c r="D2" s="377"/>
      <c r="E2" s="377"/>
      <c r="F2" s="377"/>
      <c r="G2" s="377"/>
      <c r="H2" s="378"/>
    </row>
    <row r="3" spans="1:15" ht="15.75" customHeight="1" thickBot="1" x14ac:dyDescent="0.3">
      <c r="A3" s="34"/>
      <c r="B3" s="35"/>
      <c r="C3" s="35"/>
      <c r="D3" s="36"/>
      <c r="E3" s="35"/>
      <c r="F3" s="35"/>
    </row>
    <row r="4" spans="1:15" ht="15.75" customHeight="1" thickBot="1" x14ac:dyDescent="0.3">
      <c r="A4" s="304" t="s">
        <v>104</v>
      </c>
      <c r="B4" s="305" t="s">
        <v>388</v>
      </c>
      <c r="C4" s="305" t="s">
        <v>105</v>
      </c>
      <c r="D4" s="306" t="s">
        <v>106</v>
      </c>
      <c r="E4" s="305" t="s">
        <v>112</v>
      </c>
      <c r="F4" s="305" t="s">
        <v>107</v>
      </c>
      <c r="G4" s="307" t="s">
        <v>108</v>
      </c>
      <c r="H4" s="308" t="s">
        <v>109</v>
      </c>
      <c r="J4" s="48"/>
    </row>
    <row r="5" spans="1:15" x14ac:dyDescent="0.25">
      <c r="A5" s="41" t="s">
        <v>9</v>
      </c>
      <c r="B5" s="411" t="s">
        <v>134</v>
      </c>
      <c r="C5" s="42" t="str" cm="1">
        <f t="array" ref="C5">_xlfn.LET(_xlpm.x,IFERROR(INDEX(_xlfn.ANCHORARRAY($J$5),ROWS($C$5:C5),1),""),IF(_xlpm.x="","N/A",_xlpm.x))</f>
        <v>G25OCT24C</v>
      </c>
      <c r="D5" s="43" cm="1">
        <f t="array" ref="D5">_xlfn.LET(_xlpm.x,IFERROR(INDEX(_xlfn.ANCHORARRAY($J$5),ROWS($D$5:D5),2),""),IF(_xlpm.x="","N/A",_xlpm.x))</f>
        <v>46326</v>
      </c>
      <c r="E5" s="411" t="s">
        <v>556</v>
      </c>
      <c r="F5" s="42" cm="1">
        <f t="array" ref="F5">_xlfn.LET(_xlpm.x,IFERROR(INDEX(_xlfn.ANCHORARRAY($J$5),ROWS($F$5:F5),3),""),IF(_xlpm.x="","N/A",_xlpm.x))</f>
        <v>5</v>
      </c>
      <c r="G5" s="43" cm="1">
        <f t="array" ref="G5">_xlfn.LET(_xlpm.x,IFERROR(INDEX(_xlfn.ANCHORARRAY($J$5),ROWS($G$5:G5),4),""),IF(_xlpm.x="","N/A",_xlpm.x))</f>
        <v>46183.92291666667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001-1683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G25OCT24C</v>
      </c>
      <c r="K5" s="63">
        <v>46326</v>
      </c>
      <c r="L5">
        <v>5</v>
      </c>
      <c r="M5" s="63">
        <v>46183.92291666667</v>
      </c>
      <c r="N5" t="str">
        <v>Jesper Fredriksson</v>
      </c>
    </row>
    <row r="6" spans="1:15" x14ac:dyDescent="0.25">
      <c r="A6" s="8" t="str">
        <f>A$5</f>
        <v>001-1683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06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5" x14ac:dyDescent="0.25">
      <c r="A7" s="8" t="str">
        <f>A$5</f>
        <v>001-1683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06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5" ht="15.75" customHeight="1" thickBot="1" x14ac:dyDescent="0.3">
      <c r="A8" s="29" t="str">
        <f>A$5</f>
        <v>001-1683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0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5" ht="15.75" customHeight="1" thickBot="1" x14ac:dyDescent="0.3">
      <c r="N9" s="48"/>
    </row>
    <row r="10" spans="1:15" ht="24" customHeight="1" thickBot="1" x14ac:dyDescent="0.3">
      <c r="A10" s="408" t="s">
        <v>349</v>
      </c>
      <c r="B10" s="377"/>
      <c r="C10" s="377"/>
      <c r="D10" s="377"/>
      <c r="E10" s="377"/>
      <c r="F10" s="377"/>
      <c r="G10" s="377"/>
      <c r="H10" s="378"/>
    </row>
    <row r="11" spans="1:15" ht="15.75" customHeight="1" thickBot="1" x14ac:dyDescent="0.3">
      <c r="A11" s="405" t="s">
        <v>352</v>
      </c>
      <c r="B11" s="377"/>
      <c r="C11" s="377"/>
      <c r="D11" s="377"/>
      <c r="E11" s="377"/>
      <c r="F11" s="377"/>
      <c r="G11" s="377"/>
      <c r="H11" s="378"/>
    </row>
    <row r="12" spans="1:15" ht="15.75" customHeight="1" thickBot="1" x14ac:dyDescent="0.3">
      <c r="A12" s="407" t="s">
        <v>389</v>
      </c>
      <c r="B12" s="362"/>
      <c r="C12" s="358"/>
      <c r="D12" s="404" t="s">
        <v>106</v>
      </c>
      <c r="E12" s="358"/>
      <c r="F12" s="302" t="s">
        <v>356</v>
      </c>
      <c r="G12" s="301" t="s">
        <v>108</v>
      </c>
      <c r="H12" s="51" t="s">
        <v>109</v>
      </c>
    </row>
    <row r="13" spans="1:15" x14ac:dyDescent="0.25">
      <c r="A13" s="361" t="str" cm="1">
        <f t="array" ref="A13">_xlfn.LET(_xlpm.x,IFERROR(INDEX(_xlfn.ANCHORARRAY($J$13),ROWS($A$13:A13),1),""),IF(_xlpm.x="","N/A",_xlpm.x))</f>
        <v>1001528927</v>
      </c>
      <c r="B13" s="403"/>
      <c r="C13" s="403"/>
      <c r="D13" s="359" cm="1">
        <f t="array" ref="D13">_xlfn.LET(_xlpm.x,IFERROR(INDEX(_xlfn.ANCHORARRAY($J$13),ROWS($D$13:D13),2),""),IF(_xlpm.x="","N/A",_xlpm.x))</f>
        <v>46275</v>
      </c>
      <c r="E13" s="403"/>
      <c r="F13" s="42" cm="1">
        <f t="array" ref="F13">_xlfn.LET(_xlpm.x,IFERROR(INDEX(_xlfn.ANCHORARRAY($J$13),ROWS($F$13:F13),3),""),IF(_xlpm.x="","N/A",_xlpm.x))</f>
        <v>15</v>
      </c>
      <c r="G13" s="43" cm="1">
        <f t="array" ref="G13">_xlfn.LET(_xlpm.x,IFERROR(INDEX(_xlfn.ANCHORARRAY($J$13),ROWS($G$13:G13),4),""),IF(_xlpm.x="","N/A",_xlpm.x))</f>
        <v>46183.927777777775</v>
      </c>
      <c r="H13" s="45" t="str" cm="1">
        <f t="array" ref="H13">_xlfn.LET(_xlpm.x,IFERROR(INDEX(_xlfn.ANCHORARRAY($J$13),ROWS($H$13:H13),5),""),IF(_xlpm.x="","N/A",_xlpm.x))</f>
        <v>Jesper Fredriksson</v>
      </c>
      <c r="J13" t="str" cm="1">
        <f t="array" ref="J13:N15">_xlfn.LET(
_xlpm.pn,"500-0995",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1001528927</v>
      </c>
      <c r="K13" s="63">
        <v>46275</v>
      </c>
      <c r="L13">
        <v>15</v>
      </c>
      <c r="M13" s="63">
        <v>46183.927777777775</v>
      </c>
      <c r="N13" t="str">
        <v>Jesper Fredriksson</v>
      </c>
    </row>
    <row r="14" spans="1:15" x14ac:dyDescent="0.25">
      <c r="A14" s="381" t="str" cm="1">
        <f t="array" ref="A14">_xlfn.LET(_xlpm.x,IFERROR(INDEX(_xlfn.ANCHORARRAY($J$13),ROWS($A$13:A14),1),""),IF(_xlpm.x="","N/A",_xlpm.x))</f>
        <v>1001532707</v>
      </c>
      <c r="B14" s="406"/>
      <c r="C14" s="406"/>
      <c r="D14" s="371" cm="1">
        <f t="array" ref="D14">_xlfn.LET(_xlpm.x,IFERROR(INDEX(_xlfn.ANCHORARRAY($J$13),ROWS($D$13:D14),2),""),IF(_xlpm.x="","N/A",_xlpm.x))</f>
        <v>46337</v>
      </c>
      <c r="E14" s="406"/>
      <c r="F14" s="37" cm="1">
        <f t="array" ref="F14">_xlfn.LET(_xlpm.x,IFERROR(INDEX(_xlfn.ANCHORARRAY($J$13),ROWS($F$13:F14),3),""),IF(_xlpm.x="","N/A",_xlpm.x))</f>
        <v>25</v>
      </c>
      <c r="G14" s="38" cm="1">
        <f t="array" ref="G14">_xlfn.LET(_xlpm.x,IFERROR(INDEX(_xlfn.ANCHORARRAY($J$13),ROWS($G$13:G14),4),""),IF(_xlpm.x="","N/A",_xlpm.x))</f>
        <v>46183.928472222222</v>
      </c>
      <c r="H14" s="26" t="str" cm="1">
        <f t="array" ref="H14">_xlfn.LET(_xlpm.x,IFERROR(INDEX(_xlfn.ANCHORARRAY($J$13),ROWS($H$13:H14),5),""),IF(_xlpm.x="","N/A",_xlpm.x))</f>
        <v>Jesper Fredriksson</v>
      </c>
      <c r="J14" t="str">
        <v>1001532707</v>
      </c>
      <c r="K14" s="63">
        <v>46337</v>
      </c>
      <c r="L14">
        <v>25</v>
      </c>
      <c r="M14" s="63">
        <v>46183.928472222222</v>
      </c>
      <c r="N14" t="str">
        <v>Jesper Fredriksson</v>
      </c>
    </row>
    <row r="15" spans="1:15" x14ac:dyDescent="0.25">
      <c r="A15" s="381" t="str" cm="1">
        <f t="array" ref="A15">_xlfn.LET(_xlpm.x,IFERROR(INDEX(_xlfn.ANCHORARRAY($J$13),ROWS($A$13:A15),1),""),IF(_xlpm.x="","N/A",_xlpm.x))</f>
        <v>1001533028</v>
      </c>
      <c r="B15" s="406"/>
      <c r="C15" s="406"/>
      <c r="D15" s="371" cm="1">
        <f t="array" ref="D15">_xlfn.LET(_xlpm.x,IFERROR(INDEX(_xlfn.ANCHORARRAY($J$13),ROWS($D$13:D15),2),""),IF(_xlpm.x="","N/A",_xlpm.x))</f>
        <v>46339</v>
      </c>
      <c r="E15" s="406"/>
      <c r="F15" s="37" cm="1">
        <f t="array" ref="F15">_xlfn.LET(_xlpm.x,IFERROR(INDEX(_xlfn.ANCHORARRAY($J$13),ROWS($F$13:F15),3),""),IF(_xlpm.x="","N/A",_xlpm.x))</f>
        <v>25</v>
      </c>
      <c r="G15" s="38" cm="1">
        <f t="array" ref="G15">_xlfn.LET(_xlpm.x,IFERROR(INDEX(_xlfn.ANCHORARRAY($J$13),ROWS($G$13:G15),4),""),IF(_xlpm.x="","N/A",_xlpm.x))</f>
        <v>46183.928472222222</v>
      </c>
      <c r="H15" s="26" t="str" cm="1">
        <f t="array" ref="H15">_xlfn.LET(_xlpm.x,IFERROR(INDEX(_xlfn.ANCHORARRAY($J$13),ROWS($H$13:H15),5),""),IF(_xlpm.x="","N/A",_xlpm.x))</f>
        <v>Jesper Fredriksson</v>
      </c>
      <c r="J15" t="str">
        <v>1001533028</v>
      </c>
      <c r="K15" s="63">
        <v>46339</v>
      </c>
      <c r="L15">
        <v>25</v>
      </c>
      <c r="M15" s="63">
        <v>46183.928472222222</v>
      </c>
      <c r="N15" t="str">
        <v>Jesper Fredriksson</v>
      </c>
    </row>
    <row r="16" spans="1:15" ht="15.75" customHeight="1" thickBot="1" x14ac:dyDescent="0.3">
      <c r="A16" s="386" t="str" cm="1">
        <f t="array" ref="A16">_xlfn.LET(_xlpm.x,IFERROR(INDEX(_xlfn.ANCHORARRAY($J$13),ROWS($A$13:A16),1),""),IF(_xlpm.x="","N/A",_xlpm.x))</f>
        <v>N/A</v>
      </c>
      <c r="B16" s="409"/>
      <c r="C16" s="409"/>
      <c r="D16" s="373" t="str" cm="1">
        <f t="array" ref="D16">_xlfn.LET(_xlpm.x,IFERROR(INDEX(_xlfn.ANCHORARRAY($J$13),ROWS($D$13:D16),2),""),IF(_xlpm.x="","N/A",_xlpm.x))</f>
        <v>N/A</v>
      </c>
      <c r="E16" s="409"/>
      <c r="F16" s="39" t="str" cm="1">
        <f t="array" ref="F16">_xlfn.LET(_xlpm.x,IFERROR(INDEX(_xlfn.ANCHORARRAY($J$13),ROWS($F$13:F16),3),""),IF(_xlpm.x="","N/A",_xlpm.x))</f>
        <v>N/A</v>
      </c>
      <c r="G16" s="40" t="str" cm="1">
        <f t="array" ref="G16">_xlfn.LET(_xlpm.x,IFERROR(INDEX(_xlfn.ANCHORARRAY($J$13),ROWS($G$13:G16),4),""),IF(_xlpm.x="","N/A",_xlpm.x))</f>
        <v>N/A</v>
      </c>
      <c r="H16" s="30" t="str" cm="1">
        <f t="array" ref="H16">_xlfn.LET(_xlpm.x,IFERROR(INDEX(_xlfn.ANCHORARRAY($J$13),ROWS($H$13:H16),5),""),IF(_xlpm.x="","N/A",_xlpm.x))</f>
        <v>N/A</v>
      </c>
    </row>
    <row r="17" spans="1:14" ht="15.75" customHeight="1" thickBot="1" x14ac:dyDescent="0.3"/>
    <row r="18" spans="1:14" ht="24" customHeight="1" thickBot="1" x14ac:dyDescent="0.3">
      <c r="A18" s="408" t="s">
        <v>348</v>
      </c>
      <c r="B18" s="377"/>
      <c r="C18" s="377"/>
      <c r="D18" s="377"/>
      <c r="E18" s="377"/>
      <c r="F18" s="377"/>
      <c r="G18" s="377"/>
      <c r="H18" s="378"/>
    </row>
    <row r="19" spans="1:14" ht="15.75" customHeight="1" thickBot="1" x14ac:dyDescent="0.3">
      <c r="A19" s="405" t="s">
        <v>351</v>
      </c>
      <c r="B19" s="377"/>
      <c r="C19" s="377"/>
      <c r="D19" s="377"/>
      <c r="E19" s="377"/>
      <c r="F19" s="377"/>
      <c r="G19" s="377"/>
      <c r="H19" s="378"/>
    </row>
    <row r="20" spans="1:14" ht="15.75" customHeight="1" thickBot="1" x14ac:dyDescent="0.3">
      <c r="A20" s="407" t="s">
        <v>389</v>
      </c>
      <c r="B20" s="362"/>
      <c r="C20" s="358"/>
      <c r="D20" s="404" t="s">
        <v>106</v>
      </c>
      <c r="E20" s="358"/>
      <c r="F20" s="302" t="s">
        <v>356</v>
      </c>
      <c r="G20" s="301" t="s">
        <v>108</v>
      </c>
      <c r="H20" s="51" t="s">
        <v>109</v>
      </c>
    </row>
    <row r="21" spans="1:14" x14ac:dyDescent="0.25">
      <c r="A21" s="361" t="str" cm="1">
        <f t="array" ref="A21">_xlfn.LET(_xlpm.x,IFERROR(INDEX(_xlfn.ANCHORARRAY($J$21),ROWS($A$21:A21),1),""),IF(_xlpm.x="","N/A",_xlpm.x))</f>
        <v>1001534879</v>
      </c>
      <c r="B21" s="403"/>
      <c r="C21" s="403"/>
      <c r="D21" s="359" cm="1">
        <f t="array" ref="D21">_xlfn.LET(_xlpm.x,IFERROR(INDEX(_xlfn.ANCHORARRAY($J$21),ROWS($D$21:D21),2),""),IF(_xlpm.x="","N/A",_xlpm.x))</f>
        <v>46291</v>
      </c>
      <c r="E21" s="403"/>
      <c r="F21" s="42" cm="1">
        <f t="array" ref="F21">_xlfn.LET(_xlpm.x,IFERROR(INDEX(_xlfn.ANCHORARRAY($J$21),ROWS($F$21:F21),3),""),IF(_xlpm.x="","N/A",_xlpm.x))</f>
        <v>50</v>
      </c>
      <c r="G21" s="43" cm="1">
        <f t="array" ref="G21">_xlfn.LET(_xlpm.x,IFERROR(INDEX(_xlfn.ANCHORARRAY($J$21),ROWS($G$21:G21),4),""),IF(_xlpm.x="","N/A",_xlpm.x))</f>
        <v>46184.131944444445</v>
      </c>
      <c r="H21" s="45" t="str" cm="1">
        <f t="array" ref="H21">_xlfn.LET(_xlpm.x,IFERROR(INDEX(_xlfn.ANCHORARRAY($J$21),ROWS($H$21:H21),5),""),IF(_xlpm.x="","N/A",_xlpm.x))</f>
        <v>Jesper Fredriksson</v>
      </c>
      <c r="J21" t="str" cm="1">
        <f t="array" ref="J21:N21">_xlfn.LET(
_xlpm.pn,"500-2608",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1001534879</v>
      </c>
      <c r="K21" s="63">
        <v>46291</v>
      </c>
      <c r="L21">
        <v>50</v>
      </c>
      <c r="M21" s="63">
        <v>46184.131944444445</v>
      </c>
      <c r="N21" t="str">
        <v>Jesper Fredriksson</v>
      </c>
    </row>
    <row r="22" spans="1:14" x14ac:dyDescent="0.25">
      <c r="A22" s="381" t="str" cm="1">
        <f t="array" ref="A22">_xlfn.LET(_xlpm.x,IFERROR(INDEX(_xlfn.ANCHORARRAY($J$21),ROWS($A$21:A22),1),""),IF(_xlpm.x="","N/A",_xlpm.x))</f>
        <v>N/A</v>
      </c>
      <c r="B22" s="406"/>
      <c r="C22" s="406"/>
      <c r="D22" s="371" t="str" cm="1">
        <f t="array" ref="D22">_xlfn.LET(_xlpm.x,IFERROR(INDEX(_xlfn.ANCHORARRAY($J$21),ROWS($D$21:D22),2),""),IF(_xlpm.x="","N/A",_xlpm.x))</f>
        <v>N/A</v>
      </c>
      <c r="E22" s="406"/>
      <c r="F22" s="37" t="str" cm="1">
        <f t="array" ref="F22">_xlfn.LET(_xlpm.x,IFERROR(INDEX(_xlfn.ANCHORARRAY($J$21),ROWS($F$21:F22),3),""),IF(_xlpm.x="","N/A",_xlpm.x))</f>
        <v>N/A</v>
      </c>
      <c r="G22" s="38" t="str" cm="1">
        <f t="array" ref="G22">_xlfn.LET(_xlpm.x,IFERROR(INDEX(_xlfn.ANCHORARRAY($J$21),ROWS($G$21:G22),4),""),IF(_xlpm.x="","N/A",_xlpm.x))</f>
        <v>N/A</v>
      </c>
      <c r="H22" s="26" t="str" cm="1">
        <f t="array" ref="H22">_xlfn.LET(_xlpm.x,IFERROR(INDEX(_xlfn.ANCHORARRAY($J$21),ROWS($H$21:H22),5),""),IF(_xlpm.x="","N/A",_xlpm.x))</f>
        <v>N/A</v>
      </c>
    </row>
    <row r="23" spans="1:14" x14ac:dyDescent="0.25">
      <c r="A23" s="381" t="str" cm="1">
        <f t="array" ref="A23">_xlfn.LET(_xlpm.x,IFERROR(INDEX(_xlfn.ANCHORARRAY($J$21),ROWS($A$21:A23),1),""),IF(_xlpm.x="","N/A",_xlpm.x))</f>
        <v>N/A</v>
      </c>
      <c r="B23" s="406"/>
      <c r="C23" s="406"/>
      <c r="D23" s="371" t="str" cm="1">
        <f t="array" ref="D23">_xlfn.LET(_xlpm.x,IFERROR(INDEX(_xlfn.ANCHORARRAY($J$21),ROWS($D$21:D23),2),""),IF(_xlpm.x="","N/A",_xlpm.x))</f>
        <v>N/A</v>
      </c>
      <c r="E23" s="406"/>
      <c r="F23" s="37" t="str" cm="1">
        <f t="array" ref="F23">_xlfn.LET(_xlpm.x,IFERROR(INDEX(_xlfn.ANCHORARRAY($J$21),ROWS($F$21:F23),3),""),IF(_xlpm.x="","N/A",_xlpm.x))</f>
        <v>N/A</v>
      </c>
      <c r="G23" s="38" t="str" cm="1">
        <f t="array" ref="G23">_xlfn.LET(_xlpm.x,IFERROR(INDEX(_xlfn.ANCHORARRAY($J$21),ROWS($G$21:G23),4),""),IF(_xlpm.x="","N/A",_xlpm.x))</f>
        <v>N/A</v>
      </c>
      <c r="H23" s="26" t="str" cm="1">
        <f t="array" ref="H23">_xlfn.LET(_xlpm.x,IFERROR(INDEX(_xlfn.ANCHORARRAY($J$21),ROWS($H$21:H23),5),""),IF(_xlpm.x="","N/A",_xlpm.x))</f>
        <v>N/A</v>
      </c>
    </row>
    <row r="24" spans="1:14" ht="15.75" customHeight="1" thickBot="1" x14ac:dyDescent="0.3">
      <c r="A24" s="386" t="str" cm="1">
        <f t="array" ref="A24">_xlfn.LET(_xlpm.x,IFERROR(INDEX(_xlfn.ANCHORARRAY($J$21),ROWS($A$21:A24),1),""),IF(_xlpm.x="","N/A",_xlpm.x))</f>
        <v>N/A</v>
      </c>
      <c r="B24" s="409"/>
      <c r="C24" s="409"/>
      <c r="D24" s="373" t="str" cm="1">
        <f t="array" ref="D24">_xlfn.LET(_xlpm.x,IFERROR(INDEX(_xlfn.ANCHORARRAY($J$21),ROWS($D$21:D24),2),""),IF(_xlpm.x="","N/A",_xlpm.x))</f>
        <v>N/A</v>
      </c>
      <c r="E24" s="409"/>
      <c r="F24" s="39" t="str" cm="1">
        <f t="array" ref="F24">_xlfn.LET(_xlpm.x,IFERROR(INDEX(_xlfn.ANCHORARRAY($J$21),ROWS($F$21:F24),3),""),IF(_xlpm.x="","N/A",_xlpm.x))</f>
        <v>N/A</v>
      </c>
      <c r="G24" s="40" t="str" cm="1">
        <f t="array" ref="G24">_xlfn.LET(_xlpm.x,IFERROR(INDEX(_xlfn.ANCHORARRAY($J$21),ROWS($G$21:G24),4),""),IF(_xlpm.x="","N/A",_xlpm.x))</f>
        <v>N/A</v>
      </c>
      <c r="H24" s="30" t="str" cm="1">
        <f t="array" ref="H24">_xlfn.LET(_xlpm.x,IFERROR(INDEX(_xlfn.ANCHORARRAY($J$21),ROWS($H$21:H24),5),""),IF(_xlpm.x="","N/A",_xlpm.x))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27">
    <mergeCell ref="A2:H2"/>
    <mergeCell ref="A15:C15"/>
    <mergeCell ref="A24:C24"/>
    <mergeCell ref="D12:E12"/>
    <mergeCell ref="B5:B8"/>
    <mergeCell ref="D24:E24"/>
    <mergeCell ref="D15:E15"/>
    <mergeCell ref="A10:H10"/>
    <mergeCell ref="D23:E23"/>
    <mergeCell ref="D14:E14"/>
    <mergeCell ref="A19:H19"/>
    <mergeCell ref="A16:C16"/>
    <mergeCell ref="E5:E8"/>
    <mergeCell ref="D21:E21"/>
    <mergeCell ref="A23:C23"/>
    <mergeCell ref="D13:E13"/>
    <mergeCell ref="A13:C13"/>
    <mergeCell ref="D20:E20"/>
    <mergeCell ref="A11:H11"/>
    <mergeCell ref="D22:E22"/>
    <mergeCell ref="A21:C21"/>
    <mergeCell ref="A12:C12"/>
    <mergeCell ref="A14:C14"/>
    <mergeCell ref="A22:C22"/>
    <mergeCell ref="A20:C20"/>
    <mergeCell ref="A18:H18"/>
    <mergeCell ref="D16:E16"/>
  </mergeCells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A219"/>
  </sheetPr>
  <dimension ref="A1:BE29"/>
  <sheetViews>
    <sheetView zoomScaleNormal="100" workbookViewId="0"/>
  </sheetViews>
  <sheetFormatPr defaultRowHeight="15" x14ac:dyDescent="0.25"/>
  <cols>
    <col min="1" max="1" width="11.28515625" bestFit="1" customWidth="1"/>
    <col min="2" max="2" width="15.140625" customWidth="1"/>
    <col min="3" max="3" width="12.85546875" customWidth="1"/>
    <col min="4" max="4" width="14" bestFit="1" customWidth="1"/>
    <col min="5" max="5" width="15" bestFit="1" customWidth="1"/>
    <col min="6" max="6" width="11.5703125" bestFit="1" customWidth="1"/>
    <col min="7" max="7" width="19" bestFit="1" customWidth="1"/>
    <col min="8" max="8" width="17.7109375" bestFit="1" customWidth="1"/>
    <col min="10" max="10" width="11.42578125" bestFit="1" customWidth="1"/>
    <col min="11" max="11" width="10.42578125" style="63" bestFit="1" customWidth="1"/>
    <col min="12" max="12" width="3" bestFit="1" customWidth="1"/>
    <col min="13" max="13" width="10.42578125" style="63" bestFit="1" customWidth="1"/>
    <col min="14" max="14" width="17.7109375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13" t="s">
        <v>11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</row>
    <row r="4" spans="1:14" ht="15.75" customHeight="1" thickBot="1" x14ac:dyDescent="0.3">
      <c r="A4" s="52" t="s">
        <v>104</v>
      </c>
      <c r="B4" s="53" t="s">
        <v>388</v>
      </c>
      <c r="C4" s="53" t="s">
        <v>105</v>
      </c>
      <c r="D4" s="54" t="s">
        <v>106</v>
      </c>
      <c r="E4" s="53" t="s">
        <v>112</v>
      </c>
      <c r="F4" s="53" t="s">
        <v>107</v>
      </c>
      <c r="G4" s="55" t="s">
        <v>108</v>
      </c>
      <c r="H4" s="56" t="s">
        <v>109</v>
      </c>
    </row>
    <row r="5" spans="1:14" x14ac:dyDescent="0.25">
      <c r="A5" s="41" t="s">
        <v>12</v>
      </c>
      <c r="B5" s="412" t="s">
        <v>157</v>
      </c>
      <c r="C5" s="42" t="str" cm="1">
        <f t="array" ref="C5">_xlfn.LET(_xlpm.x,IFERROR(INDEX(_xlfn.ANCHORARRAY($J$5),ROWS($C$5:C5),1),""),IF(_xlpm.x="","N/A",_xlpm.x))</f>
        <v>B27FEB25A</v>
      </c>
      <c r="D5" s="43" cm="1">
        <f t="array" ref="D5">_xlfn.LET(_xlpm.x,IFERROR(INDEX(_xlfn.ANCHORARRAY($J$5),ROWS($D$5:D5),2),""),IF(_xlpm.x="","N/A",_xlpm.x))</f>
        <v>46446</v>
      </c>
      <c r="E5" s="411" t="s">
        <v>556</v>
      </c>
      <c r="F5" s="42" cm="1">
        <f t="array" ref="F5">_xlfn.LET(_xlpm.x,IFERROR(INDEX(_xlfn.ANCHORARRAY($J$5),ROWS($F$5:F5),3),""),IF(_xlpm.x="","N/A",_xlpm.x))</f>
        <v>5</v>
      </c>
      <c r="G5" s="43" cm="1">
        <f t="array" ref="G5">_xlfn.LET(_xlpm.x,IFERROR(INDEX(_xlfn.ANCHORARRAY($J$5),ROWS($G$5:G5),4),""),IF(_xlpm.x="","N/A",_xlpm.x))</f>
        <v>46183.925694444442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
_xlpm.pn,"001-1923",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B27FEB25A</v>
      </c>
      <c r="K5" s="63">
        <v>46446</v>
      </c>
      <c r="L5">
        <v>5</v>
      </c>
      <c r="M5" s="63">
        <v>46183.925694444442</v>
      </c>
      <c r="N5" t="str">
        <v>Jesper Fredriksson</v>
      </c>
    </row>
    <row r="6" spans="1:14" x14ac:dyDescent="0.25">
      <c r="A6" s="8" t="str">
        <f>A$5</f>
        <v>001-1923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06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001-1923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06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001-1923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0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57" t="s">
        <v>104</v>
      </c>
      <c r="B9" s="58" t="s">
        <v>388</v>
      </c>
      <c r="C9" s="58" t="s">
        <v>105</v>
      </c>
      <c r="D9" s="59" t="s">
        <v>106</v>
      </c>
      <c r="E9" s="58" t="s">
        <v>112</v>
      </c>
      <c r="F9" s="58" t="s">
        <v>107</v>
      </c>
      <c r="G9" s="60" t="s">
        <v>108</v>
      </c>
      <c r="H9" s="61" t="s">
        <v>109</v>
      </c>
    </row>
    <row r="10" spans="1:14" x14ac:dyDescent="0.25">
      <c r="A10" s="41" t="s">
        <v>13</v>
      </c>
      <c r="B10" s="412" t="s">
        <v>390</v>
      </c>
      <c r="C10" s="42" t="str" cm="1">
        <f t="array" ref="C10">_xlfn.LET(_xlpm.x,IFERROR(INDEX(_xlfn.ANCHORARRAY($J$10),ROWS($C$10:C10),1),""),IF(_xlpm.x="","N/A",_xlpm.x))</f>
        <v>B01NOV24B</v>
      </c>
      <c r="D10" s="43" cm="1">
        <f t="array" ref="D10">_xlfn.LET(_xlpm.x,IFERROR(INDEX(_xlfn.ANCHORARRAY($J$10),ROWS($D$10:D10),2),""),IF(_xlpm.x="","N/A",_xlpm.x))</f>
        <v>46356</v>
      </c>
      <c r="E10" s="411" t="s">
        <v>556</v>
      </c>
      <c r="F10" s="42" cm="1">
        <f t="array" ref="F10">_xlfn.LET(_xlpm.x,IFERROR(INDEX(_xlfn.ANCHORARRAY($J$10),ROWS($F$10:F10),3),""),IF(_xlpm.x="","N/A",_xlpm.x))</f>
        <v>5</v>
      </c>
      <c r="G10" s="43" cm="1">
        <f t="array" ref="G10">_xlfn.LET(_xlpm.x,IFERROR(INDEX(_xlfn.ANCHORARRAY($J$10),ROWS($G$10:G10),4),""),IF(_xlpm.x="","N/A",_xlpm.x))</f>
        <v>46184.25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
_xlpm.pn,"001-1968",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B01NOV24B</v>
      </c>
      <c r="K10" s="63">
        <v>46356</v>
      </c>
      <c r="L10">
        <v>5</v>
      </c>
      <c r="M10" s="63">
        <v>46184.25</v>
      </c>
      <c r="N10" t="str">
        <v>Jesper Fredriksson</v>
      </c>
    </row>
    <row r="11" spans="1:14" x14ac:dyDescent="0.25">
      <c r="A11" s="8" t="str">
        <f>A$10</f>
        <v>001-1968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06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001-1968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06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001-1968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09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35"/>
      <c r="B14" s="35"/>
      <c r="C14" s="35"/>
      <c r="D14" s="36"/>
      <c r="E14" s="35"/>
      <c r="F14" s="62"/>
      <c r="G14" s="36"/>
      <c r="H14" s="35"/>
    </row>
    <row r="15" spans="1:14" ht="28.5" customHeight="1" thickBot="1" x14ac:dyDescent="0.3">
      <c r="A15" s="408" t="s">
        <v>349</v>
      </c>
      <c r="B15" s="377"/>
      <c r="C15" s="377"/>
      <c r="D15" s="377"/>
      <c r="E15" s="377"/>
      <c r="F15" s="377"/>
      <c r="G15" s="377"/>
      <c r="H15" s="378"/>
    </row>
    <row r="16" spans="1:14" ht="15.75" customHeight="1" thickBot="1" x14ac:dyDescent="0.3">
      <c r="A16" s="405" t="s">
        <v>352</v>
      </c>
      <c r="B16" s="377"/>
      <c r="C16" s="377"/>
      <c r="D16" s="377"/>
      <c r="E16" s="377"/>
      <c r="F16" s="377"/>
      <c r="G16" s="377"/>
      <c r="H16" s="378"/>
    </row>
    <row r="17" spans="1:14" ht="15.75" customHeight="1" thickBot="1" x14ac:dyDescent="0.3">
      <c r="A17" s="407" t="s">
        <v>389</v>
      </c>
      <c r="B17" s="362"/>
      <c r="C17" s="358"/>
      <c r="D17" s="404" t="s">
        <v>106</v>
      </c>
      <c r="E17" s="358"/>
      <c r="F17" s="302" t="s">
        <v>356</v>
      </c>
      <c r="G17" s="301" t="s">
        <v>108</v>
      </c>
      <c r="H17" s="51" t="s">
        <v>109</v>
      </c>
    </row>
    <row r="18" spans="1:14" x14ac:dyDescent="0.25">
      <c r="A18" s="361" t="str" cm="1">
        <f t="array" ref="A18">_xlfn.LET(_xlpm.x,IFERROR(INDEX(_xlfn.ANCHORARRAY($J$18),ROWS($A$18:A18),1),""),IF(_xlpm.x="","N/A",_xlpm.x))</f>
        <v>1001528927</v>
      </c>
      <c r="B18" s="403"/>
      <c r="C18" s="403"/>
      <c r="D18" s="359" cm="1">
        <f t="array" ref="D18">_xlfn.LET(_xlpm.x,IFERROR(INDEX(_xlfn.ANCHORARRAY($J$18),ROWS($D$18:D18),2),""),IF(_xlpm.x="","N/A",_xlpm.x))</f>
        <v>46275</v>
      </c>
      <c r="E18" s="403"/>
      <c r="F18" s="42" cm="1">
        <f t="array" ref="F18">_xlfn.LET(_xlpm.x,IFERROR(INDEX(_xlfn.ANCHORARRAY($J$18),ROWS($F$18:F18),3),""),IF(_xlpm.x="","N/A",_xlpm.x))</f>
        <v>15</v>
      </c>
      <c r="G18" s="43" cm="1">
        <f t="array" ref="G18">_xlfn.LET(_xlpm.x,IFERROR(INDEX(_xlfn.ANCHORARRAY($J$18),ROWS($G$18:G18),4),""),IF(_xlpm.x="","N/A",_xlpm.x))</f>
        <v>46183.927777777775</v>
      </c>
      <c r="H18" s="45" t="str" cm="1">
        <f t="array" ref="H18">_xlfn.LET(_xlpm.x,IFERROR(INDEX(_xlfn.ANCHORARRAY($J$18),ROWS($H$18:H18),5),""),IF(_xlpm.x="","N/A",_xlpm.x))</f>
        <v>Jesper Fredriksson</v>
      </c>
      <c r="J18" t="str" cm="1">
        <f t="array" ref="J18:N20">_xlfn.LET(
_xlpm.pn,"500-0995",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1001528927</v>
      </c>
      <c r="K18" s="63">
        <v>46275</v>
      </c>
      <c r="L18">
        <v>15</v>
      </c>
      <c r="M18" s="63">
        <v>46183.927777777775</v>
      </c>
      <c r="N18" t="str">
        <v>Jesper Fredriksson</v>
      </c>
    </row>
    <row r="19" spans="1:14" x14ac:dyDescent="0.25">
      <c r="A19" s="381" t="str" cm="1">
        <f t="array" ref="A19">_xlfn.LET(_xlpm.x,IFERROR(INDEX(_xlfn.ANCHORARRAY($J$18),ROWS($A$18:A19),1),""),IF(_xlpm.x="","N/A",_xlpm.x))</f>
        <v>1001532707</v>
      </c>
      <c r="B19" s="406"/>
      <c r="C19" s="406"/>
      <c r="D19" s="371" cm="1">
        <f t="array" ref="D19">_xlfn.LET(_xlpm.x,IFERROR(INDEX(_xlfn.ANCHORARRAY($J$18),ROWS($D$18:D19),2),""),IF(_xlpm.x="","N/A",_xlpm.x))</f>
        <v>46337</v>
      </c>
      <c r="E19" s="406"/>
      <c r="F19" s="37" cm="1">
        <f t="array" ref="F19">_xlfn.LET(_xlpm.x,IFERROR(INDEX(_xlfn.ANCHORARRAY($J$18),ROWS($F$18:F19),3),""),IF(_xlpm.x="","N/A",_xlpm.x))</f>
        <v>25</v>
      </c>
      <c r="G19" s="38" cm="1">
        <f t="array" ref="G19">_xlfn.LET(_xlpm.x,IFERROR(INDEX(_xlfn.ANCHORARRAY($J$18),ROWS($G$18:G19),4),""),IF(_xlpm.x="","N/A",_xlpm.x))</f>
        <v>46183.928472222222</v>
      </c>
      <c r="H19" s="26" t="str" cm="1">
        <f t="array" ref="H19">_xlfn.LET(_xlpm.x,IFERROR(INDEX(_xlfn.ANCHORARRAY($J$18),ROWS($H$18:H19),5),""),IF(_xlpm.x="","N/A",_xlpm.x))</f>
        <v>Jesper Fredriksson</v>
      </c>
      <c r="J19" s="48" t="str">
        <v>1001532707</v>
      </c>
      <c r="K19" s="63">
        <v>46337</v>
      </c>
      <c r="L19">
        <v>25</v>
      </c>
      <c r="M19" s="63">
        <v>46183.928472222222</v>
      </c>
      <c r="N19" t="str">
        <v>Jesper Fredriksson</v>
      </c>
    </row>
    <row r="20" spans="1:14" x14ac:dyDescent="0.25">
      <c r="A20" s="381" t="str" cm="1">
        <f t="array" ref="A20">_xlfn.LET(_xlpm.x,IFERROR(INDEX(_xlfn.ANCHORARRAY($J$18),ROWS($A$18:A20),1),""),IF(_xlpm.x="","N/A",_xlpm.x))</f>
        <v>1001533028</v>
      </c>
      <c r="B20" s="406"/>
      <c r="C20" s="406"/>
      <c r="D20" s="371" cm="1">
        <f t="array" ref="D20">_xlfn.LET(_xlpm.x,IFERROR(INDEX(_xlfn.ANCHORARRAY($J$18),ROWS($D$18:D20),2),""),IF(_xlpm.x="","N/A",_xlpm.x))</f>
        <v>46339</v>
      </c>
      <c r="E20" s="406"/>
      <c r="F20" s="37" cm="1">
        <f t="array" ref="F20">_xlfn.LET(_xlpm.x,IFERROR(INDEX(_xlfn.ANCHORARRAY($J$18),ROWS($F$18:F20),3),""),IF(_xlpm.x="","N/A",_xlpm.x))</f>
        <v>25</v>
      </c>
      <c r="G20" s="38" cm="1">
        <f t="array" ref="G20">_xlfn.LET(_xlpm.x,IFERROR(INDEX(_xlfn.ANCHORARRAY($J$18),ROWS($G$18:G20),4),""),IF(_xlpm.x="","N/A",_xlpm.x))</f>
        <v>46183.928472222222</v>
      </c>
      <c r="H20" s="26" t="str" cm="1">
        <f t="array" ref="H20">_xlfn.LET(_xlpm.x,IFERROR(INDEX(_xlfn.ANCHORARRAY($J$18),ROWS($H$18:H20),5),""),IF(_xlpm.x="","N/A",_xlpm.x))</f>
        <v>Jesper Fredriksson</v>
      </c>
      <c r="J20" t="str">
        <v>1001533028</v>
      </c>
      <c r="K20" s="63">
        <v>46339</v>
      </c>
      <c r="L20">
        <v>25</v>
      </c>
      <c r="M20" s="63">
        <v>46183.928472222222</v>
      </c>
      <c r="N20" t="str">
        <v>Jesper Fredriksson</v>
      </c>
    </row>
    <row r="21" spans="1:14" ht="15" customHeight="1" thickBot="1" x14ac:dyDescent="0.3">
      <c r="A21" s="386" t="str" cm="1">
        <f t="array" ref="A21">_xlfn.LET(_xlpm.x,IFERROR(INDEX(_xlfn.ANCHORARRAY($J$18),ROWS($A$18:A21),1),""),IF(_xlpm.x="","N/A",_xlpm.x))</f>
        <v>N/A</v>
      </c>
      <c r="B21" s="409"/>
      <c r="C21" s="409"/>
      <c r="D21" s="373" t="str" cm="1">
        <f t="array" ref="D21">_xlfn.LET(_xlpm.x,IFERROR(INDEX(_xlfn.ANCHORARRAY($J$18),ROWS($D$18:D21),2),""),IF(_xlpm.x="","N/A",_xlpm.x))</f>
        <v>N/A</v>
      </c>
      <c r="E21" s="409"/>
      <c r="F21" s="39" t="str" cm="1">
        <f t="array" ref="F21">_xlfn.LET(_xlpm.x,IFERROR(INDEX(_xlfn.ANCHORARRAY($J$18),ROWS($F$18:F21),3),""),IF(_xlpm.x="","N/A",_xlpm.x))</f>
        <v>N/A</v>
      </c>
      <c r="G21" s="40" t="str" cm="1">
        <f t="array" ref="G21">_xlfn.LET(_xlpm.x,IFERROR(INDEX(_xlfn.ANCHORARRAY($J$18),ROWS($G$18:G21),4),""),IF(_xlpm.x="","N/A",_xlpm.x))</f>
        <v>N/A</v>
      </c>
      <c r="H21" s="30" t="str" cm="1">
        <f t="array" ref="H21">_xlfn.LET(_xlpm.x,IFERROR(INDEX(_xlfn.ANCHORARRAY($J$18),ROWS($H$18:H21),5),""),IF(_xlpm.x="","N/A",_xlpm.x))</f>
        <v>N/A</v>
      </c>
    </row>
    <row r="22" spans="1:14" ht="15.75" customHeight="1" thickBot="1" x14ac:dyDescent="0.3"/>
    <row r="23" spans="1:14" ht="24" customHeight="1" thickBot="1" x14ac:dyDescent="0.3">
      <c r="A23" s="408" t="s">
        <v>348</v>
      </c>
      <c r="B23" s="377"/>
      <c r="C23" s="377"/>
      <c r="D23" s="377"/>
      <c r="E23" s="377"/>
      <c r="F23" s="377"/>
      <c r="G23" s="377"/>
      <c r="H23" s="378"/>
    </row>
    <row r="24" spans="1:14" ht="15.75" customHeight="1" thickBot="1" x14ac:dyDescent="0.3">
      <c r="A24" s="405" t="s">
        <v>351</v>
      </c>
      <c r="B24" s="377"/>
      <c r="C24" s="377"/>
      <c r="D24" s="377"/>
      <c r="E24" s="377"/>
      <c r="F24" s="377"/>
      <c r="G24" s="377"/>
      <c r="H24" s="378"/>
    </row>
    <row r="25" spans="1:14" ht="15.75" customHeight="1" thickBot="1" x14ac:dyDescent="0.3">
      <c r="A25" s="407" t="s">
        <v>389</v>
      </c>
      <c r="B25" s="362"/>
      <c r="C25" s="358"/>
      <c r="D25" s="404" t="s">
        <v>106</v>
      </c>
      <c r="E25" s="358"/>
      <c r="F25" s="302" t="s">
        <v>356</v>
      </c>
      <c r="G25" s="301" t="s">
        <v>108</v>
      </c>
      <c r="H25" s="51" t="s">
        <v>109</v>
      </c>
    </row>
    <row r="26" spans="1:14" x14ac:dyDescent="0.25">
      <c r="A26" s="361" t="str" cm="1">
        <f t="array" ref="A26">_xlfn.LET(_xlpm.x,IFERROR(INDEX(_xlfn.ANCHORARRAY($J$26),ROWS($A$26:A26),1),""),IF(_xlpm.x="","N/A",_xlpm.x))</f>
        <v>1001534879</v>
      </c>
      <c r="B26" s="403"/>
      <c r="C26" s="403"/>
      <c r="D26" s="359" cm="1">
        <f t="array" ref="D26">_xlfn.LET(_xlpm.x,IFERROR(INDEX(_xlfn.ANCHORARRAY($J$26),ROWS($D$26:D26),2),""),IF(_xlpm.x="","N/A",_xlpm.x))</f>
        <v>46291</v>
      </c>
      <c r="E26" s="403"/>
      <c r="F26" s="42" cm="1">
        <f t="array" ref="F26">_xlfn.LET(_xlpm.x,IFERROR(INDEX(_xlfn.ANCHORARRAY($J$26),ROWS($F$26:F26),3),""),IF(_xlpm.x="","N/A",_xlpm.x))</f>
        <v>50</v>
      </c>
      <c r="G26" s="43" cm="1">
        <f t="array" ref="G26">_xlfn.LET(_xlpm.x,IFERROR(INDEX(_xlfn.ANCHORARRAY($J$26),ROWS($G$26:G26),4),""),IF(_xlpm.x="","N/A",_xlpm.x))</f>
        <v>46184.131944444445</v>
      </c>
      <c r="H26" s="45" t="str" cm="1">
        <f t="array" ref="H26">_xlfn.LET(_xlpm.x,IFERROR(INDEX(_xlfn.ANCHORARRAY($J$26),ROWS($H$26:H26),5),""),IF(_xlpm.x="","N/A",_xlpm.x))</f>
        <v>Jesper Fredriksson</v>
      </c>
      <c r="J26" t="str" cm="1">
        <f t="array" ref="J26:N26">_xlfn.LET(
_xlpm.pn,"500-2608",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1001534879</v>
      </c>
      <c r="K26" s="63">
        <v>46291</v>
      </c>
      <c r="L26">
        <v>50</v>
      </c>
      <c r="M26" s="63">
        <v>46184.131944444445</v>
      </c>
      <c r="N26" t="str">
        <v>Jesper Fredriksson</v>
      </c>
    </row>
    <row r="27" spans="1:14" x14ac:dyDescent="0.25">
      <c r="A27" s="381" t="str" cm="1">
        <f t="array" ref="A27">_xlfn.LET(_xlpm.x,IFERROR(INDEX(_xlfn.ANCHORARRAY($J$26),ROWS($A$26:A27),1),""),IF(_xlpm.x="","N/A",_xlpm.x))</f>
        <v>N/A</v>
      </c>
      <c r="B27" s="406"/>
      <c r="C27" s="406"/>
      <c r="D27" s="371" t="str" cm="1">
        <f t="array" ref="D27">_xlfn.LET(_xlpm.x,IFERROR(INDEX(_xlfn.ANCHORARRAY($J$26),ROWS($D$26:D27),2),""),IF(_xlpm.x="","N/A",_xlpm.x))</f>
        <v>N/A</v>
      </c>
      <c r="E27" s="406"/>
      <c r="F27" s="37" t="str" cm="1">
        <f t="array" ref="F27">_xlfn.LET(_xlpm.x,IFERROR(INDEX(_xlfn.ANCHORARRAY($J$26),ROWS($F$26:F27),3),""),IF(_xlpm.x="","N/A",_xlpm.x))</f>
        <v>N/A</v>
      </c>
      <c r="G27" s="38" t="str" cm="1">
        <f t="array" ref="G27">_xlfn.LET(_xlpm.x,IFERROR(INDEX(_xlfn.ANCHORARRAY($J$26),ROWS($G$26:G27),4),""),IF(_xlpm.x="","N/A",_xlpm.x))</f>
        <v>N/A</v>
      </c>
      <c r="H27" s="26" t="str" cm="1">
        <f t="array" ref="H27">_xlfn.LET(_xlpm.x,IFERROR(INDEX(_xlfn.ANCHORARRAY($J$26),ROWS($H$26:H27),5),""),IF(_xlpm.x="","N/A",_xlpm.x))</f>
        <v>N/A</v>
      </c>
    </row>
    <row r="28" spans="1:14" x14ac:dyDescent="0.25">
      <c r="A28" s="381" t="str" cm="1">
        <f t="array" ref="A28">_xlfn.LET(_xlpm.x,IFERROR(INDEX(_xlfn.ANCHORARRAY($J$26),ROWS($A$26:A28),1),""),IF(_xlpm.x="","N/A",_xlpm.x))</f>
        <v>N/A</v>
      </c>
      <c r="B28" s="406"/>
      <c r="C28" s="406"/>
      <c r="D28" s="371" t="str" cm="1">
        <f t="array" ref="D28">_xlfn.LET(_xlpm.x,IFERROR(INDEX(_xlfn.ANCHORARRAY($J$26),ROWS($D$26:D28),2),""),IF(_xlpm.x="","N/A",_xlpm.x))</f>
        <v>N/A</v>
      </c>
      <c r="E28" s="406"/>
      <c r="F28" s="37" t="str" cm="1">
        <f t="array" ref="F28">_xlfn.LET(_xlpm.x,IFERROR(INDEX(_xlfn.ANCHORARRAY($J$26),ROWS($F$26:F28),3),""),IF(_xlpm.x="","N/A",_xlpm.x))</f>
        <v>N/A</v>
      </c>
      <c r="G28" s="38" t="str" cm="1">
        <f t="array" ref="G28">_xlfn.LET(_xlpm.x,IFERROR(INDEX(_xlfn.ANCHORARRAY($J$26),ROWS($G$26:G28),4),""),IF(_xlpm.x="","N/A",_xlpm.x))</f>
        <v>N/A</v>
      </c>
      <c r="H28" s="26" t="str" cm="1">
        <f t="array" ref="H28">_xlfn.LET(_xlpm.x,IFERROR(INDEX(_xlfn.ANCHORARRAY($J$26),ROWS($H$26:H28),5),""),IF(_xlpm.x="","N/A",_xlpm.x))</f>
        <v>N/A</v>
      </c>
    </row>
    <row r="29" spans="1:14" ht="15.75" customHeight="1" thickBot="1" x14ac:dyDescent="0.3">
      <c r="A29" s="386" t="str" cm="1">
        <f t="array" ref="A29">_xlfn.LET(_xlpm.x,IFERROR(INDEX(_xlfn.ANCHORARRAY($J$26),ROWS($A$26:A29),1),""),IF(_xlpm.x="","N/A",_xlpm.x))</f>
        <v>N/A</v>
      </c>
      <c r="B29" s="409"/>
      <c r="C29" s="409"/>
      <c r="D29" s="373" t="str" cm="1">
        <f t="array" ref="D29">_xlfn.LET(_xlpm.x,IFERROR(INDEX(_xlfn.ANCHORARRAY($J$26),ROWS($D$26:D29),2),""),IF(_xlpm.x="","N/A",_xlpm.x))</f>
        <v>N/A</v>
      </c>
      <c r="E29" s="409"/>
      <c r="F29" s="39" t="str" cm="1">
        <f t="array" ref="F29">_xlfn.LET(_xlpm.x,IFERROR(INDEX(_xlfn.ANCHORARRAY($J$26),ROWS($F$26:F29),3),""),IF(_xlpm.x="","N/A",_xlpm.x))</f>
        <v>N/A</v>
      </c>
      <c r="G29" s="40" t="str" cm="1">
        <f t="array" ref="G29">_xlfn.LET(_xlpm.x,IFERROR(INDEX(_xlfn.ANCHORARRAY($J$26),ROWS($G$26:G29),4),""),IF(_xlpm.x="","N/A",_xlpm.x))</f>
        <v>N/A</v>
      </c>
      <c r="H29" s="30" t="str" cm="1">
        <f t="array" ref="H29">_xlfn.LET(_xlpm.x,IFERROR(INDEX(_xlfn.ANCHORARRAY($J$26),ROWS($H$26:H29),5),""),IF(_xlpm.x="","N/A",_xlpm.x))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29">
    <mergeCell ref="A2:H2"/>
    <mergeCell ref="D28:E28"/>
    <mergeCell ref="D18:E18"/>
    <mergeCell ref="A23:H23"/>
    <mergeCell ref="D25:E25"/>
    <mergeCell ref="B5:B8"/>
    <mergeCell ref="D26:E26"/>
    <mergeCell ref="E5:E8"/>
    <mergeCell ref="A25:C25"/>
    <mergeCell ref="A15:H15"/>
    <mergeCell ref="D19:E19"/>
    <mergeCell ref="A24:H24"/>
    <mergeCell ref="A18:C18"/>
    <mergeCell ref="A29:C29"/>
    <mergeCell ref="D17:E17"/>
    <mergeCell ref="A20:C20"/>
    <mergeCell ref="B10:B13"/>
    <mergeCell ref="A28:C28"/>
    <mergeCell ref="A19:C19"/>
    <mergeCell ref="D29:E29"/>
    <mergeCell ref="A27:C27"/>
    <mergeCell ref="A21:C21"/>
    <mergeCell ref="A26:C26"/>
    <mergeCell ref="E10:E13"/>
    <mergeCell ref="D21:E21"/>
    <mergeCell ref="A16:H16"/>
    <mergeCell ref="D27:E27"/>
    <mergeCell ref="A17:C17"/>
    <mergeCell ref="D20:E20"/>
  </mergeCells>
  <pageMargins left="0.7" right="0.7" top="0.75" bottom="0.75" header="0.3" footer="0.3"/>
  <pageSetup paperSize="9" orientation="portrait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E7F00"/>
  </sheetPr>
  <dimension ref="A1:BE34"/>
  <sheetViews>
    <sheetView workbookViewId="0"/>
  </sheetViews>
  <sheetFormatPr defaultRowHeight="15" x14ac:dyDescent="0.25"/>
  <cols>
    <col min="1" max="1" width="8.7109375" bestFit="1" customWidth="1"/>
    <col min="2" max="2" width="18.140625" bestFit="1" customWidth="1"/>
    <col min="3" max="3" width="11.42578125" bestFit="1" customWidth="1"/>
    <col min="4" max="4" width="14" style="63" bestFit="1" customWidth="1"/>
    <col min="5" max="5" width="15" bestFit="1" customWidth="1"/>
    <col min="6" max="6" width="11.5703125" bestFit="1" customWidth="1"/>
    <col min="7" max="7" width="19" style="63" bestFit="1" customWidth="1"/>
    <col min="8" max="8" width="17.7109375" bestFit="1" customWidth="1"/>
    <col min="9" max="9" width="9.140625" customWidth="1"/>
    <col min="10" max="10" width="11" bestFit="1" customWidth="1"/>
    <col min="11" max="11" width="10.42578125" style="63" bestFit="1" customWidth="1"/>
    <col min="13" max="13" width="10.42578125" style="63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14" t="s">
        <v>14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</row>
    <row r="4" spans="1:14" ht="15.75" customHeight="1" thickBot="1" x14ac:dyDescent="0.3">
      <c r="A4" s="64" t="s">
        <v>104</v>
      </c>
      <c r="B4" s="65" t="s">
        <v>388</v>
      </c>
      <c r="C4" s="65" t="s">
        <v>105</v>
      </c>
      <c r="D4" s="66" t="s">
        <v>106</v>
      </c>
      <c r="E4" s="65" t="s">
        <v>112</v>
      </c>
      <c r="F4" s="65" t="s">
        <v>107</v>
      </c>
      <c r="G4" s="67" t="s">
        <v>108</v>
      </c>
      <c r="H4" s="68" t="s">
        <v>109</v>
      </c>
    </row>
    <row r="5" spans="1:14" x14ac:dyDescent="0.25">
      <c r="A5" s="41" t="s">
        <v>9</v>
      </c>
      <c r="B5" s="411" t="s">
        <v>134</v>
      </c>
      <c r="C5" s="42" t="str" cm="1">
        <f t="array" ref="C5">_xlfn.LET(_xlpm.x,IFERROR(INDEX(_xlfn.ANCHORARRAY($J$5),ROWS($C$5:C5),1),""),IF(_xlpm.x="","N/A",_xlpm.x))</f>
        <v>G25OCT24C</v>
      </c>
      <c r="D5" s="43" cm="1">
        <f t="array" ref="D5">_xlfn.LET(_xlpm.x,IFERROR(INDEX(_xlfn.ANCHORARRAY($J$5),ROWS($D$5:D5),2),""),IF(_xlpm.x="","N/A",_xlpm.x))</f>
        <v>46326</v>
      </c>
      <c r="E5" s="411" t="s">
        <v>556</v>
      </c>
      <c r="F5" s="42" cm="1">
        <f t="array" ref="F5">_xlfn.LET(_xlpm.x,IFERROR(INDEX(_xlfn.ANCHORARRAY($J$5),ROWS($F$5:F5),3),""),IF(_xlpm.x="","N/A",_xlpm.x))</f>
        <v>5</v>
      </c>
      <c r="G5" s="43" cm="1">
        <f t="array" ref="G5">_xlfn.LET(_xlpm.x,IFERROR(INDEX(_xlfn.ANCHORARRAY($J$5),ROWS($G$5:G5),4),""),IF(_xlpm.x="","N/A",_xlpm.x))</f>
        <v>46183.92291666667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001-1683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G25OCT24C</v>
      </c>
      <c r="K5" s="63">
        <v>46326</v>
      </c>
      <c r="L5">
        <v>5</v>
      </c>
      <c r="M5" s="63">
        <v>46183.92291666667</v>
      </c>
      <c r="N5" t="str">
        <v>Jesper Fredriksson</v>
      </c>
    </row>
    <row r="6" spans="1:14" x14ac:dyDescent="0.25">
      <c r="A6" s="8" t="str">
        <f>A$5</f>
        <v>001-1683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06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001-1683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06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001-1683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0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69" t="s">
        <v>104</v>
      </c>
      <c r="B9" s="70" t="s">
        <v>388</v>
      </c>
      <c r="C9" s="70" t="s">
        <v>105</v>
      </c>
      <c r="D9" s="71" t="s">
        <v>106</v>
      </c>
      <c r="E9" s="70" t="s">
        <v>112</v>
      </c>
      <c r="F9" s="70" t="s">
        <v>107</v>
      </c>
      <c r="G9" s="72" t="s">
        <v>108</v>
      </c>
      <c r="H9" s="73" t="s">
        <v>109</v>
      </c>
    </row>
    <row r="10" spans="1:14" x14ac:dyDescent="0.25">
      <c r="A10" s="41" t="s">
        <v>15</v>
      </c>
      <c r="B10" s="411" t="s">
        <v>391</v>
      </c>
      <c r="C10" s="42" t="str" cm="1">
        <f t="array" ref="C10">_xlfn.LET(_xlpm.x,IFERROR(INDEX(_xlfn.ANCHORARRAY($J$10),ROWS($C$10:C10),1),""),IF(_xlpm.x="","N/A",_xlpm.x))</f>
        <v>A17MAR25A</v>
      </c>
      <c r="D10" s="43" cm="1">
        <f t="array" ref="D10">_xlfn.LET(_xlpm.x,IFERROR(INDEX(_xlfn.ANCHORARRAY($J$10),ROWS($D$10:D10),2),""),IF(_xlpm.x="","N/A",_xlpm.x))</f>
        <v>46477</v>
      </c>
      <c r="E10" s="411" t="s">
        <v>556</v>
      </c>
      <c r="F10" s="42" cm="1">
        <f t="array" ref="F10">_xlfn.LET(_xlpm.x,IFERROR(INDEX(_xlfn.ANCHORARRAY($J$10),ROWS($F$10:F10),3),""),IF(_xlpm.x="","N/A",_xlpm.x))</f>
        <v>12</v>
      </c>
      <c r="G10" s="43" cm="1">
        <f t="array" ref="G10">_xlfn.LET(_xlpm.x,IFERROR(INDEX(_xlfn.ANCHORARRAY($J$10),ROWS($G$10:G10),4),""),IF(_xlpm.x="","N/A",_xlpm.x))</f>
        <v>46183.921527777777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001-1658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A17MAR25A</v>
      </c>
      <c r="K10" s="63">
        <v>46477</v>
      </c>
      <c r="L10">
        <v>12</v>
      </c>
      <c r="M10" s="63">
        <v>46183.921527777777</v>
      </c>
      <c r="N10" t="str">
        <v>Jesper Fredriksson</v>
      </c>
    </row>
    <row r="11" spans="1:14" x14ac:dyDescent="0.25">
      <c r="A11" s="8" t="str">
        <f>A$10</f>
        <v>001-1658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06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001-1658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06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001-1658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09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69" t="s">
        <v>104</v>
      </c>
      <c r="B14" s="70" t="s">
        <v>388</v>
      </c>
      <c r="C14" s="70" t="s">
        <v>105</v>
      </c>
      <c r="D14" s="71" t="s">
        <v>106</v>
      </c>
      <c r="E14" s="70" t="s">
        <v>112</v>
      </c>
      <c r="F14" s="70" t="s">
        <v>107</v>
      </c>
      <c r="G14" s="72" t="s">
        <v>108</v>
      </c>
      <c r="H14" s="73" t="s">
        <v>109</v>
      </c>
    </row>
    <row r="15" spans="1:14" x14ac:dyDescent="0.25">
      <c r="A15" s="41" t="s">
        <v>16</v>
      </c>
      <c r="B15" s="412" t="s">
        <v>153</v>
      </c>
      <c r="C15" s="42" t="str" cm="1">
        <f t="array" ref="C15">_xlfn.LET(_xlpm.x,IFERROR(INDEX(_xlfn.ANCHORARRAY($J$15),ROWS($C$15:C15),1),""),IF(_xlpm.x="","N/A",_xlpm.x))</f>
        <v>Q24APR24C</v>
      </c>
      <c r="D15" s="43" cm="1">
        <f t="array" ref="D15">_xlfn.LET(_xlpm.x,IFERROR(INDEX(_xlfn.ANCHORARRAY($J$15),ROWS($D$15:D15),2),""),IF(_xlpm.x="","N/A",_xlpm.x))</f>
        <v>46274</v>
      </c>
      <c r="E15" s="411" t="s">
        <v>556</v>
      </c>
      <c r="F15" s="42" cm="1">
        <f t="array" ref="F15">_xlfn.LET(_xlpm.x,IFERROR(INDEX(_xlfn.ANCHORARRAY($J$15),ROWS($F$15:F15),3),""),IF(_xlpm.x="","N/A",_xlpm.x))</f>
        <v>3</v>
      </c>
      <c r="G15" s="43" cm="1">
        <f t="array" ref="G15">_xlfn.LET(_xlpm.x,IFERROR(INDEX(_xlfn.ANCHORARRAY($J$15),ROWS($G$15:G15),4),""),IF(_xlpm.x="","N/A",_xlpm.x))</f>
        <v>46183.925000000003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6">_xlfn.LET(_xlpm.pn,"001-1922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Q24APR24C</v>
      </c>
      <c r="K15" s="63">
        <v>46274</v>
      </c>
      <c r="L15">
        <v>3</v>
      </c>
      <c r="M15" s="63">
        <v>46183.925000000003</v>
      </c>
      <c r="N15" t="str">
        <v>Jesper Fredriksson</v>
      </c>
    </row>
    <row r="16" spans="1:14" x14ac:dyDescent="0.25">
      <c r="A16" s="8" t="str">
        <f>A$15</f>
        <v>001-1922</v>
      </c>
      <c r="B16" s="406"/>
      <c r="C16" s="37" t="str" cm="1">
        <f t="array" ref="C16">_xlfn.LET(_xlpm.x,IFERROR(INDEX(_xlfn.ANCHORARRAY($J$15),ROWS($C$15:C16),1),""),IF(_xlpm.x="","N/A",_xlpm.x))</f>
        <v>H10SEP25B</v>
      </c>
      <c r="D16" s="38" cm="1">
        <f t="array" ref="D16">_xlfn.LET(_xlpm.x,IFERROR(INDEX(_xlfn.ANCHORARRAY($J$15),ROWS($D$15:D16),2),""),IF(_xlpm.x="","N/A",_xlpm.x))</f>
        <v>46660</v>
      </c>
      <c r="E16" s="406"/>
      <c r="F16" s="37" cm="1">
        <f t="array" ref="F16">_xlfn.LET(_xlpm.x,IFERROR(INDEX(_xlfn.ANCHORARRAY($J$15),ROWS($F$15:F16),3),""),IF(_xlpm.x="","N/A",_xlpm.x))</f>
        <v>3</v>
      </c>
      <c r="G16" s="38" cm="1">
        <f t="array" ref="G16">_xlfn.LET(_xlpm.x,IFERROR(INDEX(_xlfn.ANCHORARRAY($J$15),ROWS($G$15:G16),4),""),IF(_xlpm.x="","N/A",_xlpm.x))</f>
        <v>46183.925000000003</v>
      </c>
      <c r="H16" s="26" t="str" cm="1">
        <f t="array" ref="H16">_xlfn.LET(_xlpm.x,IFERROR(INDEX(_xlfn.ANCHORARRAY($J$15),ROWS($H$15:H16),5),""),IF(_xlpm.x="","N/A",_xlpm.x))</f>
        <v>Jesper Fredriksson</v>
      </c>
      <c r="J16" t="str">
        <v>H10SEP25B</v>
      </c>
      <c r="K16" s="63">
        <v>46660</v>
      </c>
      <c r="L16">
        <v>3</v>
      </c>
      <c r="M16" s="63">
        <v>46183.925000000003</v>
      </c>
      <c r="N16" t="str">
        <v>Jesper Fredriksson</v>
      </c>
    </row>
    <row r="17" spans="1:14" x14ac:dyDescent="0.25">
      <c r="A17" s="8" t="str">
        <f>A$15</f>
        <v>001-1922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06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001-1922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09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>
      <c r="A19" s="35"/>
      <c r="B19" s="35"/>
      <c r="C19" s="35"/>
      <c r="D19" s="36"/>
      <c r="E19" s="35"/>
      <c r="F19" s="62"/>
      <c r="G19" s="36"/>
      <c r="H19" s="35"/>
    </row>
    <row r="20" spans="1:14" ht="24" customHeight="1" thickBot="1" x14ac:dyDescent="0.3">
      <c r="A20" s="408" t="s">
        <v>349</v>
      </c>
      <c r="B20" s="377"/>
      <c r="C20" s="377"/>
      <c r="D20" s="377"/>
      <c r="E20" s="377"/>
      <c r="F20" s="377"/>
      <c r="G20" s="377"/>
      <c r="H20" s="378"/>
    </row>
    <row r="21" spans="1:14" ht="24" customHeight="1" thickBot="1" x14ac:dyDescent="0.3">
      <c r="A21" s="405" t="s">
        <v>352</v>
      </c>
      <c r="B21" s="377"/>
      <c r="C21" s="377"/>
      <c r="D21" s="377"/>
      <c r="E21" s="377"/>
      <c r="F21" s="377"/>
      <c r="G21" s="377"/>
      <c r="H21" s="378"/>
    </row>
    <row r="22" spans="1:14" ht="15.75" customHeight="1" thickBot="1" x14ac:dyDescent="0.3">
      <c r="A22" s="407" t="s">
        <v>389</v>
      </c>
      <c r="B22" s="362"/>
      <c r="C22" s="358"/>
      <c r="D22" s="404" t="s">
        <v>106</v>
      </c>
      <c r="E22" s="358"/>
      <c r="F22" s="302" t="s">
        <v>356</v>
      </c>
      <c r="G22" s="309" t="s">
        <v>108</v>
      </c>
      <c r="H22" s="51" t="s">
        <v>109</v>
      </c>
    </row>
    <row r="23" spans="1:14" x14ac:dyDescent="0.25">
      <c r="A23" s="361" t="str" cm="1">
        <f t="array" ref="A23">_xlfn.LET(_xlpm.x,IFERROR(INDEX(_xlfn.ANCHORARRAY($J$23),ROWS($A$23:A23),1),""),IF(_xlpm.x="","N/A",_xlpm.x))</f>
        <v>1001528927</v>
      </c>
      <c r="B23" s="403"/>
      <c r="C23" s="403"/>
      <c r="D23" s="359" cm="1">
        <f t="array" ref="D23">_xlfn.LET(_xlpm.x,IFERROR(INDEX(_xlfn.ANCHORARRAY($J$23),ROWS($D$23:D23),2),""),IF(_xlpm.x="","N/A",_xlpm.x))</f>
        <v>46275</v>
      </c>
      <c r="E23" s="403"/>
      <c r="F23" s="42" cm="1">
        <f t="array" ref="F23">_xlfn.LET(_xlpm.x,IFERROR(INDEX(_xlfn.ANCHORARRAY($J$23),ROWS($F$23:F23),3),""),IF(_xlpm.x="","N/A",_xlpm.x))</f>
        <v>15</v>
      </c>
      <c r="G23" s="43" cm="1">
        <f t="array" ref="G23">_xlfn.LET(_xlpm.x,IFERROR(INDEX(_xlfn.ANCHORARRAY($J$23),ROWS($G$23:G23),4),""),IF(_xlpm.x="","N/A",_xlpm.x))</f>
        <v>46183.927777777775</v>
      </c>
      <c r="H23" s="45" t="str" cm="1">
        <f t="array" ref="H23">_xlfn.LET(_xlpm.x,IFERROR(INDEX(_xlfn.ANCHORARRAY($J$23),ROWS($H$23:H23),5),""),IF(_xlpm.x="","N/A",_xlpm.x))</f>
        <v>Jesper Fredriksson</v>
      </c>
      <c r="J23" t="str" cm="1">
        <f t="array" ref="J23:N25">_xlfn.LET(
_xlpm.pn,"500-0995",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1001528927</v>
      </c>
      <c r="K23" s="63">
        <v>46275</v>
      </c>
      <c r="L23">
        <v>15</v>
      </c>
      <c r="M23" s="63">
        <v>46183.927777777775</v>
      </c>
      <c r="N23" t="str">
        <v>Jesper Fredriksson</v>
      </c>
    </row>
    <row r="24" spans="1:14" ht="15.75" customHeight="1" x14ac:dyDescent="0.25">
      <c r="A24" s="381" t="str" cm="1">
        <f t="array" ref="A24">_xlfn.LET(_xlpm.x,IFERROR(INDEX(_xlfn.ANCHORARRAY($J$23),ROWS($A$23:A24),1),""),IF(_xlpm.x="","N/A",_xlpm.x))</f>
        <v>1001532707</v>
      </c>
      <c r="B24" s="406"/>
      <c r="C24" s="406"/>
      <c r="D24" s="371" cm="1">
        <f t="array" ref="D24">_xlfn.LET(_xlpm.x,IFERROR(INDEX(_xlfn.ANCHORARRAY($J$23),ROWS($D$23:D24),2),""),IF(_xlpm.x="","N/A",_xlpm.x))</f>
        <v>46337</v>
      </c>
      <c r="E24" s="406"/>
      <c r="F24" s="37" cm="1">
        <f t="array" ref="F24">_xlfn.LET(_xlpm.x,IFERROR(INDEX(_xlfn.ANCHORARRAY($J$23),ROWS($F$23:F24),3),""),IF(_xlpm.x="","N/A",_xlpm.x))</f>
        <v>25</v>
      </c>
      <c r="G24" s="38" cm="1">
        <f t="array" ref="G24">_xlfn.LET(_xlpm.x,IFERROR(INDEX(_xlfn.ANCHORARRAY($J$23),ROWS($G$23:G24),4),""),IF(_xlpm.x="","N/A",_xlpm.x))</f>
        <v>46183.928472222222</v>
      </c>
      <c r="H24" s="26" t="str" cm="1">
        <f t="array" ref="H24">_xlfn.LET(_xlpm.x,IFERROR(INDEX(_xlfn.ANCHORARRAY($J$23),ROWS($H$23:H24),5),""),IF(_xlpm.x="","N/A",_xlpm.x))</f>
        <v>Jesper Fredriksson</v>
      </c>
      <c r="J24" t="str">
        <v>1001532707</v>
      </c>
      <c r="K24" s="63">
        <v>46337</v>
      </c>
      <c r="L24">
        <v>25</v>
      </c>
      <c r="M24" s="63">
        <v>46183.928472222222</v>
      </c>
      <c r="N24" t="str">
        <v>Jesper Fredriksson</v>
      </c>
    </row>
    <row r="25" spans="1:14" ht="15.75" customHeight="1" x14ac:dyDescent="0.25">
      <c r="A25" s="381" t="str" cm="1">
        <f t="array" ref="A25">_xlfn.LET(_xlpm.x,IFERROR(INDEX(_xlfn.ANCHORARRAY($J$23),ROWS($A$23:A25),1),""),IF(_xlpm.x="","N/A",_xlpm.x))</f>
        <v>1001533028</v>
      </c>
      <c r="B25" s="406"/>
      <c r="C25" s="406"/>
      <c r="D25" s="371" cm="1">
        <f t="array" ref="D25">_xlfn.LET(_xlpm.x,IFERROR(INDEX(_xlfn.ANCHORARRAY($J$23),ROWS($D$23:D25),2),""),IF(_xlpm.x="","N/A",_xlpm.x))</f>
        <v>46339</v>
      </c>
      <c r="E25" s="406"/>
      <c r="F25" s="37" cm="1">
        <f t="array" ref="F25">_xlfn.LET(_xlpm.x,IFERROR(INDEX(_xlfn.ANCHORARRAY($J$23),ROWS($F$23:F25),3),""),IF(_xlpm.x="","N/A",_xlpm.x))</f>
        <v>25</v>
      </c>
      <c r="G25" s="38" cm="1">
        <f t="array" ref="G25">_xlfn.LET(_xlpm.x,IFERROR(INDEX(_xlfn.ANCHORARRAY($J$23),ROWS($G$23:G25),4),""),IF(_xlpm.x="","N/A",_xlpm.x))</f>
        <v>46183.928472222222</v>
      </c>
      <c r="H25" s="26" t="str" cm="1">
        <f t="array" ref="H25">_xlfn.LET(_xlpm.x,IFERROR(INDEX(_xlfn.ANCHORARRAY($J$23),ROWS($H$23:H25),5),""),IF(_xlpm.x="","N/A",_xlpm.x))</f>
        <v>Jesper Fredriksson</v>
      </c>
      <c r="J25" t="str">
        <v>1001533028</v>
      </c>
      <c r="K25" s="63">
        <v>46339</v>
      </c>
      <c r="L25">
        <v>25</v>
      </c>
      <c r="M25" s="63">
        <v>46183.928472222222</v>
      </c>
      <c r="N25" t="str">
        <v>Jesper Fredriksson</v>
      </c>
    </row>
    <row r="26" spans="1:14" ht="15.75" customHeight="1" thickBot="1" x14ac:dyDescent="0.3">
      <c r="A26" s="386" t="str" cm="1">
        <f t="array" ref="A26">_xlfn.LET(_xlpm.x,IFERROR(INDEX(_xlfn.ANCHORARRAY($J$23),ROWS($A$23:A26),1),""),IF(_xlpm.x="","N/A",_xlpm.x))</f>
        <v>N/A</v>
      </c>
      <c r="B26" s="409"/>
      <c r="C26" s="409"/>
      <c r="D26" s="373" t="str" cm="1">
        <f t="array" ref="D26">_xlfn.LET(_xlpm.x,IFERROR(INDEX(_xlfn.ANCHORARRAY($J$23),ROWS($D$23:D26),2),""),IF(_xlpm.x="","N/A",_xlpm.x))</f>
        <v>N/A</v>
      </c>
      <c r="E26" s="409"/>
      <c r="F26" s="39" t="str" cm="1">
        <f t="array" ref="F26">_xlfn.LET(_xlpm.x,IFERROR(INDEX(_xlfn.ANCHORARRAY($J$23),ROWS($F$23:F26),3),""),IF(_xlpm.x="","N/A",_xlpm.x))</f>
        <v>N/A</v>
      </c>
      <c r="G26" s="40" t="str" cm="1">
        <f t="array" ref="G26">_xlfn.LET(_xlpm.x,IFERROR(INDEX(_xlfn.ANCHORARRAY($J$23),ROWS($G$23:G26),4),""),IF(_xlpm.x="","N/A",_xlpm.x))</f>
        <v>N/A</v>
      </c>
      <c r="H26" s="30" t="str" cm="1">
        <f t="array" ref="H26">_xlfn.LET(_xlpm.x,IFERROR(INDEX(_xlfn.ANCHORARRAY($J$23),ROWS($H$23:H26),5),""),IF(_xlpm.x="","N/A",_xlpm.x))</f>
        <v>N/A</v>
      </c>
    </row>
    <row r="27" spans="1:14" ht="15.75" customHeight="1" thickBot="1" x14ac:dyDescent="0.3"/>
    <row r="28" spans="1:14" ht="24" customHeight="1" thickBot="1" x14ac:dyDescent="0.3">
      <c r="A28" s="408" t="s">
        <v>348</v>
      </c>
      <c r="B28" s="377"/>
      <c r="C28" s="377"/>
      <c r="D28" s="377"/>
      <c r="E28" s="377"/>
      <c r="F28" s="377"/>
      <c r="G28" s="377"/>
      <c r="H28" s="378"/>
      <c r="J28" s="48"/>
    </row>
    <row r="29" spans="1:14" ht="32.25" customHeight="1" thickBot="1" x14ac:dyDescent="0.3">
      <c r="A29" s="405" t="s">
        <v>351</v>
      </c>
      <c r="B29" s="377"/>
      <c r="C29" s="377"/>
      <c r="D29" s="377"/>
      <c r="E29" s="377"/>
      <c r="F29" s="377"/>
      <c r="G29" s="377"/>
      <c r="H29" s="378"/>
    </row>
    <row r="30" spans="1:14" ht="15" customHeight="1" thickBot="1" x14ac:dyDescent="0.3">
      <c r="A30" s="407" t="s">
        <v>389</v>
      </c>
      <c r="B30" s="362"/>
      <c r="C30" s="358"/>
      <c r="D30" s="404" t="s">
        <v>106</v>
      </c>
      <c r="E30" s="358"/>
      <c r="F30" s="302" t="s">
        <v>356</v>
      </c>
      <c r="G30" s="309" t="s">
        <v>108</v>
      </c>
      <c r="H30" s="51" t="s">
        <v>109</v>
      </c>
    </row>
    <row r="31" spans="1:14" ht="15.75" customHeight="1" x14ac:dyDescent="0.25">
      <c r="A31" s="361" t="str" cm="1">
        <f t="array" ref="A31">_xlfn.LET(_xlpm.x,IFERROR(INDEX(_xlfn.ANCHORARRAY($J$31),ROWS($A$31:A31),1),""),IF(_xlpm.x="","N/A",_xlpm.x))</f>
        <v>1001534879</v>
      </c>
      <c r="B31" s="403"/>
      <c r="C31" s="403"/>
      <c r="D31" s="359" cm="1">
        <f t="array" ref="D31">_xlfn.LET(_xlpm.x,IFERROR(INDEX(_xlfn.ANCHORARRAY($J$31),ROWS($D$31:D31),2),""),IF(_xlpm.x="","N/A",_xlpm.x))</f>
        <v>46291</v>
      </c>
      <c r="E31" s="403"/>
      <c r="F31" s="42" cm="1">
        <f t="array" ref="F31">_xlfn.LET(_xlpm.x,IFERROR(INDEX(_xlfn.ANCHORARRAY($J$31),ROWS($F$31:F31),3),""),IF(_xlpm.x="","N/A",_xlpm.x))</f>
        <v>50</v>
      </c>
      <c r="G31" s="43" cm="1">
        <f t="array" ref="G31">_xlfn.LET(_xlpm.x,IFERROR(INDEX(_xlfn.ANCHORARRAY($J$31),ROWS($G31:G31),4),""),IF(_xlpm.x="","N/A",_xlpm.x))</f>
        <v>46184.131944444445</v>
      </c>
      <c r="H31" s="45" t="str" cm="1">
        <f t="array" ref="H31">_xlfn.LET(_xlpm.x,IFERROR(INDEX(_xlfn.ANCHORARRAY($J$31),ROWS($H$31:H31),5),""),IF(_xlpm.x="","N/A",_xlpm.x))</f>
        <v>Jesper Fredriksson</v>
      </c>
      <c r="J31" t="str" cm="1">
        <f t="array" ref="J31:N31">_xlfn.LET(
_xlpm.pn,"500-2608",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1001534879</v>
      </c>
      <c r="K31" s="63">
        <v>46291</v>
      </c>
      <c r="L31">
        <v>50</v>
      </c>
      <c r="M31" s="63">
        <v>46184.131944444445</v>
      </c>
      <c r="N31" t="str">
        <v>Jesper Fredriksson</v>
      </c>
    </row>
    <row r="32" spans="1:14" x14ac:dyDescent="0.25">
      <c r="A32" s="381" t="str" cm="1">
        <f t="array" ref="A32">_xlfn.LET(_xlpm.x,IFERROR(INDEX(_xlfn.ANCHORARRAY($J$31),ROWS($A$31:A32),1),""),IF(_xlpm.x="","N/A",_xlpm.x))</f>
        <v>N/A</v>
      </c>
      <c r="B32" s="406"/>
      <c r="C32" s="406"/>
      <c r="D32" s="371" t="str" cm="1">
        <f t="array" ref="D32">_xlfn.LET(_xlpm.x,IFERROR(INDEX(_xlfn.ANCHORARRAY($J$31),ROWS($D$31:D32),2),""),IF(_xlpm.x="","N/A",_xlpm.x))</f>
        <v>N/A</v>
      </c>
      <c r="E32" s="406"/>
      <c r="F32" s="37" t="str" cm="1">
        <f t="array" ref="F32">_xlfn.LET(_xlpm.x,IFERROR(INDEX(_xlfn.ANCHORARRAY($J$31),ROWS($F$31:F32),3),""),IF(_xlpm.x="","N/A",_xlpm.x))</f>
        <v>N/A</v>
      </c>
      <c r="G32" s="38" cm="1">
        <f t="array" ref="G32">_xlfn.LET(_xlpm.x,IFERROR(INDEX(_xlfn.ANCHORARRAY($J$31),ROWS($G32:G32),4),""),IF(_xlpm.x="","N/A",_xlpm.x))</f>
        <v>46184.131944444445</v>
      </c>
      <c r="H32" s="26" t="str" cm="1">
        <f t="array" ref="H32">_xlfn.LET(_xlpm.x,IFERROR(INDEX(_xlfn.ANCHORARRAY($J$31),ROWS($H$31:H32),5),""),IF(_xlpm.x="","N/A",_xlpm.x))</f>
        <v>N/A</v>
      </c>
    </row>
    <row r="33" spans="1:8" ht="15.75" customHeight="1" x14ac:dyDescent="0.25">
      <c r="A33" s="381" t="str" cm="1">
        <f t="array" ref="A33">_xlfn.LET(_xlpm.x,IFERROR(INDEX(_xlfn.ANCHORARRAY($J$31),ROWS($A$31:A33),1),""),IF(_xlpm.x="","N/A",_xlpm.x))</f>
        <v>N/A</v>
      </c>
      <c r="B33" s="406"/>
      <c r="C33" s="406"/>
      <c r="D33" s="371" t="str" cm="1">
        <f t="array" ref="D33">_xlfn.LET(_xlpm.x,IFERROR(INDEX(_xlfn.ANCHORARRAY($J$31),ROWS($D$31:D33),2),""),IF(_xlpm.x="","N/A",_xlpm.x))</f>
        <v>N/A</v>
      </c>
      <c r="E33" s="406"/>
      <c r="F33" s="37" t="str" cm="1">
        <f t="array" ref="F33">_xlfn.LET(_xlpm.x,IFERROR(INDEX(_xlfn.ANCHORARRAY($J$31),ROWS($F$31:F33),3),""),IF(_xlpm.x="","N/A",_xlpm.x))</f>
        <v>N/A</v>
      </c>
      <c r="G33" s="38" cm="1">
        <f t="array" ref="G33">_xlfn.LET(_xlpm.x,IFERROR(INDEX(_xlfn.ANCHORARRAY($J$31),ROWS($G33:G33),4),""),IF(_xlpm.x="","N/A",_xlpm.x))</f>
        <v>46184.131944444445</v>
      </c>
      <c r="H33" s="26" t="str" cm="1">
        <f t="array" ref="H33">_xlfn.LET(_xlpm.x,IFERROR(INDEX(_xlfn.ANCHORARRAY($J$31),ROWS($H$31:H33),5),""),IF(_xlpm.x="","N/A",_xlpm.x))</f>
        <v>N/A</v>
      </c>
    </row>
    <row r="34" spans="1:8" ht="15.75" customHeight="1" thickBot="1" x14ac:dyDescent="0.3">
      <c r="A34" s="386" t="str" cm="1">
        <f t="array" ref="A34">_xlfn.LET(_xlpm.x,IFERROR(INDEX(_xlfn.ANCHORARRAY($J$31),ROWS($A$31:A34),1),""),IF(_xlpm.x="","N/A",_xlpm.x))</f>
        <v>N/A</v>
      </c>
      <c r="B34" s="409"/>
      <c r="C34" s="409"/>
      <c r="D34" s="373" t="str" cm="1">
        <f t="array" ref="D34">_xlfn.LET(_xlpm.x,IFERROR(INDEX(_xlfn.ANCHORARRAY($J$31),ROWS($D$31:D34),2),""),IF(_xlpm.x="","N/A",_xlpm.x))</f>
        <v>N/A</v>
      </c>
      <c r="E34" s="409"/>
      <c r="F34" s="39" t="str" cm="1">
        <f t="array" ref="F34">_xlfn.LET(_xlpm.x,IFERROR(INDEX(_xlfn.ANCHORARRAY($J$31),ROWS($F$31:F34),3),""),IF(_xlpm.x="","N/A",_xlpm.x))</f>
        <v>N/A</v>
      </c>
      <c r="G34" s="40" cm="1">
        <f t="array" ref="G34">_xlfn.LET(_xlpm.x,IFERROR(INDEX(_xlfn.ANCHORARRAY($J$31),ROWS($G34:G34),4),""),IF(_xlpm.x="","N/A",_xlpm.x))</f>
        <v>46184.131944444445</v>
      </c>
      <c r="H34" s="30" t="str" cm="1">
        <f t="array" ref="H34">_xlfn.LET(_xlpm.x,IFERROR(INDEX(_xlfn.ANCHORARRAY($J$31),ROWS($H$31:H34),5),""),IF(_xlpm.x="","N/A",_xlpm.x))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31">
    <mergeCell ref="A2:H2"/>
    <mergeCell ref="A30:C30"/>
    <mergeCell ref="B15:B18"/>
    <mergeCell ref="A34:C34"/>
    <mergeCell ref="A24:C24"/>
    <mergeCell ref="D25:E25"/>
    <mergeCell ref="B5:B8"/>
    <mergeCell ref="D30:E30"/>
    <mergeCell ref="A29:H29"/>
    <mergeCell ref="D24:E24"/>
    <mergeCell ref="D33:E33"/>
    <mergeCell ref="A20:H20"/>
    <mergeCell ref="D23:E23"/>
    <mergeCell ref="A28:H28"/>
    <mergeCell ref="D26:E26"/>
    <mergeCell ref="A25:C25"/>
    <mergeCell ref="D34:E34"/>
    <mergeCell ref="D22:E22"/>
    <mergeCell ref="D31:E31"/>
    <mergeCell ref="E5:E8"/>
    <mergeCell ref="A26:C26"/>
    <mergeCell ref="E10:E13"/>
    <mergeCell ref="A33:C33"/>
    <mergeCell ref="A23:C23"/>
    <mergeCell ref="A32:C32"/>
    <mergeCell ref="A22:C22"/>
    <mergeCell ref="D32:E32"/>
    <mergeCell ref="E15:E18"/>
    <mergeCell ref="B10:B13"/>
    <mergeCell ref="A21:H21"/>
    <mergeCell ref="A31:C31"/>
  </mergeCells>
  <pageMargins left="0.7" right="0.7" top="0.75" bottom="0.75" header="0.3" footer="0.3"/>
  <pageSetup paperSize="9" orientation="portrait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CC6600"/>
  </sheetPr>
  <dimension ref="A1:BE29"/>
  <sheetViews>
    <sheetView workbookViewId="0"/>
  </sheetViews>
  <sheetFormatPr defaultRowHeight="15" x14ac:dyDescent="0.25"/>
  <cols>
    <col min="1" max="1" width="9.7109375" bestFit="1" customWidth="1"/>
    <col min="2" max="2" width="16.7109375" hidden="1" bestFit="1" customWidth="1"/>
    <col min="3" max="3" width="15.42578125" customWidth="1"/>
    <col min="4" max="4" width="14.7109375" customWidth="1"/>
    <col min="5" max="5" width="15" bestFit="1" customWidth="1"/>
    <col min="6" max="6" width="14.5703125" customWidth="1"/>
    <col min="7" max="7" width="17.85546875" bestFit="1" customWidth="1"/>
    <col min="8" max="8" width="17.7109375" bestFit="1" customWidth="1"/>
    <col min="10" max="10" width="11" bestFit="1" customWidth="1"/>
    <col min="11" max="11" width="10.42578125" bestFit="1" customWidth="1"/>
    <col min="12" max="12" width="3" bestFit="1" customWidth="1"/>
    <col min="13" max="13" width="10.42578125" bestFit="1" customWidth="1"/>
    <col min="14" max="14" width="17.7109375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15" t="s">
        <v>17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74" t="s">
        <v>104</v>
      </c>
      <c r="B4" s="75" t="s">
        <v>388</v>
      </c>
      <c r="C4" s="75" t="s">
        <v>105</v>
      </c>
      <c r="D4" s="76" t="s">
        <v>106</v>
      </c>
      <c r="E4" s="75" t="s">
        <v>112</v>
      </c>
      <c r="F4" s="75" t="s">
        <v>107</v>
      </c>
      <c r="G4" s="77" t="s">
        <v>108</v>
      </c>
      <c r="H4" s="78" t="s">
        <v>109</v>
      </c>
    </row>
    <row r="5" spans="1:14" x14ac:dyDescent="0.25">
      <c r="A5" s="41" t="s">
        <v>18</v>
      </c>
      <c r="B5" s="412" t="s">
        <v>322</v>
      </c>
      <c r="C5" s="42" t="str" cm="1">
        <f t="array" ref="C5">_xlfn.LET(_xlpm.x,IFERROR(INDEX(_xlfn.ANCHORARRAY($J$5),ROWS($C$5:C5),1),""),IF(_xlpm.x="","N/A",_xlpm.x))</f>
        <v>D15JAN26A</v>
      </c>
      <c r="D5" s="43" cm="1">
        <f t="array" ref="D5">_xlfn.LET(_xlpm.x,IFERROR(INDEX(_xlfn.ANCHORARRAY($J$5),ROWS($D$5:D5),2),""),IF(_xlpm.x="","N/A",_xlpm.x))</f>
        <v>46599</v>
      </c>
      <c r="E5" s="411" t="s">
        <v>556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46184.248611111114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325-00056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D15JAN26A</v>
      </c>
      <c r="K5">
        <v>46599</v>
      </c>
      <c r="L5">
        <v>1</v>
      </c>
      <c r="M5">
        <v>46184.248611111114</v>
      </c>
      <c r="N5" t="str">
        <v>Jesper Fredriksson</v>
      </c>
    </row>
    <row r="6" spans="1:14" x14ac:dyDescent="0.25">
      <c r="A6" s="8" t="str">
        <f>A$5</f>
        <v>325-00056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06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325-00056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06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325-00056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0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79" t="s">
        <v>104</v>
      </c>
      <c r="B9" s="80" t="s">
        <v>388</v>
      </c>
      <c r="C9" s="80" t="s">
        <v>105</v>
      </c>
      <c r="D9" s="81" t="s">
        <v>106</v>
      </c>
      <c r="E9" s="80" t="s">
        <v>112</v>
      </c>
      <c r="F9" s="80" t="s">
        <v>107</v>
      </c>
      <c r="G9" s="82" t="s">
        <v>108</v>
      </c>
      <c r="H9" s="83" t="s">
        <v>109</v>
      </c>
    </row>
    <row r="10" spans="1:14" x14ac:dyDescent="0.25">
      <c r="A10" s="41" t="s">
        <v>19</v>
      </c>
      <c r="B10" s="412" t="s">
        <v>325</v>
      </c>
      <c r="C10" s="42" t="str" cm="1">
        <f t="array" ref="C10">_xlfn.LET(_xlpm.x,IFERROR(INDEX(_xlfn.ANCHORARRAY($J$10),ROWS($C$10:C10),1),""),IF(_xlpm.x="","N/A",_xlpm.x))</f>
        <v>B04OCT24C</v>
      </c>
      <c r="D10" s="43" cm="1">
        <f t="array" ref="D10">_xlfn.LET(_xlpm.x,IFERROR(INDEX(_xlfn.ANCHORARRAY($J$10),ROWS($D$10:D10),2),""),IF(_xlpm.x="","N/A",_xlpm.x))</f>
        <v>46260</v>
      </c>
      <c r="E10" s="411" t="s">
        <v>556</v>
      </c>
      <c r="F10" s="42" cm="1">
        <f t="array" ref="F10">_xlfn.LET(_xlpm.x,IFERROR(INDEX(_xlfn.ANCHORARRAY($J$10),ROWS($F$10:F10),3),""),IF(_xlpm.x="","N/A",_xlpm.x))</f>
        <v>0.5</v>
      </c>
      <c r="G10" s="43" cm="1">
        <f t="array" ref="G10">_xlfn.LET(_xlpm.x,IFERROR(INDEX(_xlfn.ANCHORARRAY($J$10),ROWS($G$10:G10),4),""),IF(_xlpm.x="","N/A",_xlpm.x))</f>
        <v>46184.249305555553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325-00057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B04OCT24C</v>
      </c>
      <c r="K10">
        <v>46260</v>
      </c>
      <c r="L10">
        <v>0.5</v>
      </c>
      <c r="M10">
        <v>46184.249305555553</v>
      </c>
      <c r="N10" t="str">
        <v>Jesper Fredriksson</v>
      </c>
    </row>
    <row r="11" spans="1:14" x14ac:dyDescent="0.25">
      <c r="A11" s="8" t="str">
        <f>A$10</f>
        <v>325-00057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06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325-00057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06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325-00057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09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/>
    <row r="15" spans="1:14" ht="24" customHeight="1" thickBot="1" x14ac:dyDescent="0.3">
      <c r="A15" s="408" t="s">
        <v>349</v>
      </c>
      <c r="B15" s="377"/>
      <c r="C15" s="377"/>
      <c r="D15" s="377"/>
      <c r="E15" s="377"/>
      <c r="F15" s="377"/>
      <c r="G15" s="377"/>
      <c r="H15" s="378"/>
      <c r="K15" s="63"/>
      <c r="M15" s="63"/>
    </row>
    <row r="16" spans="1:14" ht="35.25" customHeight="1" thickBot="1" x14ac:dyDescent="0.3">
      <c r="A16" s="405" t="s">
        <v>352</v>
      </c>
      <c r="B16" s="377"/>
      <c r="C16" s="377"/>
      <c r="D16" s="377"/>
      <c r="E16" s="377"/>
      <c r="F16" s="377"/>
      <c r="G16" s="377"/>
      <c r="H16" s="378"/>
      <c r="K16" s="63"/>
      <c r="M16" s="63"/>
    </row>
    <row r="17" spans="1:14" ht="15.75" customHeight="1" thickBot="1" x14ac:dyDescent="0.3">
      <c r="A17" s="407" t="s">
        <v>389</v>
      </c>
      <c r="B17" s="362"/>
      <c r="C17" s="358"/>
      <c r="D17" s="404" t="s">
        <v>106</v>
      </c>
      <c r="E17" s="358"/>
      <c r="F17" s="302" t="s">
        <v>356</v>
      </c>
      <c r="G17" s="309" t="s">
        <v>108</v>
      </c>
      <c r="H17" s="51" t="s">
        <v>109</v>
      </c>
      <c r="K17" s="63"/>
      <c r="M17" s="63"/>
    </row>
    <row r="18" spans="1:14" ht="15.75" customHeight="1" x14ac:dyDescent="0.25">
      <c r="A18" s="361" t="str" cm="1">
        <f t="array" ref="A18">_xlfn.LET(_xlpm.x,IFERROR(INDEX(_xlfn.ANCHORARRAY($J$18),ROWS($A18:A$18),1),""),IF(_xlpm.x="","N/A",_xlpm.x))</f>
        <v>1001528927</v>
      </c>
      <c r="B18" s="403"/>
      <c r="C18" s="403"/>
      <c r="D18" s="359" cm="1">
        <f t="array" ref="D18">_xlfn.LET(_xlpm.x,IFERROR(INDEX(_xlfn.ANCHORARRAY($J$18),ROWS($D18:D$18),2),""),IF(_xlpm.x="","N/A",_xlpm.x))</f>
        <v>46275</v>
      </c>
      <c r="E18" s="403"/>
      <c r="F18" s="42" cm="1">
        <f t="array" ref="F18">_xlfn.LET(_xlpm.x,IFERROR(INDEX(_xlfn.ANCHORARRAY($J$18),ROWS($F18:F$18),3),""),IF(_xlpm.x="","N/A",_xlpm.x))</f>
        <v>15</v>
      </c>
      <c r="G18" s="43" cm="1">
        <f t="array" ref="G18">_xlfn.LET(_xlpm.x,IFERROR(INDEX(_xlfn.ANCHORARRAY($J$18),ROWS($G18:G$18),4),""),IF(_xlpm.x="","N/A",_xlpm.x))</f>
        <v>46183.927777777775</v>
      </c>
      <c r="H18" s="45" t="str" cm="1">
        <f t="array" ref="H18">_xlfn.LET(_xlpm.x,IFERROR(INDEX(_xlfn.ANCHORARRAY($J$18),ROWS($H18:H$18),5),""),IF(_xlpm.x="","N/A",_xlpm.x))</f>
        <v>Jesper Fredriksson</v>
      </c>
      <c r="J18" t="str" cm="1">
        <f t="array" ref="J18:N20">_xlfn.LET(
_xlpm.pn,"500-0995",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1001528927</v>
      </c>
      <c r="K18" s="63">
        <v>46275</v>
      </c>
      <c r="L18">
        <v>15</v>
      </c>
      <c r="M18" s="63">
        <v>46183.927777777775</v>
      </c>
      <c r="N18" t="str">
        <v>Jesper Fredriksson</v>
      </c>
    </row>
    <row r="19" spans="1:14" ht="15.75" customHeight="1" x14ac:dyDescent="0.25">
      <c r="A19" s="381" t="str" cm="1">
        <f t="array" ref="A19">_xlfn.LET(_xlpm.x,IFERROR(INDEX(_xlfn.ANCHORARRAY($J$18),ROWS($A$18:A19),1),""),IF(_xlpm.x="","N/A",_xlpm.x))</f>
        <v>1001532707</v>
      </c>
      <c r="B19" s="406"/>
      <c r="C19" s="406"/>
      <c r="D19" s="371" cm="1">
        <f t="array" ref="D19">_xlfn.LET(_xlpm.x,IFERROR(INDEX(_xlfn.ANCHORARRAY($J$18),ROWS($D$18:D19),2),""),IF(_xlpm.x="","N/A",_xlpm.x))</f>
        <v>46337</v>
      </c>
      <c r="E19" s="406"/>
      <c r="F19" s="37" cm="1">
        <f t="array" ref="F19">_xlfn.LET(_xlpm.x,IFERROR(INDEX(_xlfn.ANCHORARRAY($J$18),ROWS($F$18:F19),3),""),IF(_xlpm.x="","N/A",_xlpm.x))</f>
        <v>25</v>
      </c>
      <c r="G19" s="38" cm="1">
        <f t="array" ref="G19">_xlfn.LET(_xlpm.x,IFERROR(INDEX(_xlfn.ANCHORARRAY($J$18),ROWS($G$18:G19),4),""),IF(_xlpm.x="","N/A",_xlpm.x))</f>
        <v>46183.928472222222</v>
      </c>
      <c r="H19" s="26" t="str" cm="1">
        <f t="array" ref="H19">_xlfn.LET(_xlpm.x,IFERROR(INDEX(_xlfn.ANCHORARRAY($J$18),ROWS($H$18:H19),5),""),IF(_xlpm.x="","N/A",_xlpm.x))</f>
        <v>Jesper Fredriksson</v>
      </c>
      <c r="J19" t="str">
        <v>1001532707</v>
      </c>
      <c r="K19" s="63">
        <v>46337</v>
      </c>
      <c r="L19">
        <v>25</v>
      </c>
      <c r="M19" s="63">
        <v>46183.928472222222</v>
      </c>
      <c r="N19" t="str">
        <v>Jesper Fredriksson</v>
      </c>
    </row>
    <row r="20" spans="1:14" ht="15.75" customHeight="1" x14ac:dyDescent="0.25">
      <c r="A20" s="381" t="str" cm="1">
        <f t="array" ref="A20">_xlfn.LET(_xlpm.x,IFERROR(INDEX(_xlfn.ANCHORARRAY($J$18),ROWS($A$18:A20),1),""),IF(_xlpm.x="","N/A",_xlpm.x))</f>
        <v>1001533028</v>
      </c>
      <c r="B20" s="406"/>
      <c r="C20" s="406"/>
      <c r="D20" s="371" cm="1">
        <f t="array" ref="D20">_xlfn.LET(_xlpm.x,IFERROR(INDEX(_xlfn.ANCHORARRAY($J$18),ROWS($D$18:D20),2),""),IF(_xlpm.x="","N/A",_xlpm.x))</f>
        <v>46339</v>
      </c>
      <c r="E20" s="406"/>
      <c r="F20" s="37" cm="1">
        <f t="array" ref="F20">_xlfn.LET(_xlpm.x,IFERROR(INDEX(_xlfn.ANCHORARRAY($J$18),ROWS($F$18:F20),3),""),IF(_xlpm.x="","N/A",_xlpm.x))</f>
        <v>25</v>
      </c>
      <c r="G20" s="38" cm="1">
        <f t="array" ref="G20">_xlfn.LET(_xlpm.x,IFERROR(INDEX(_xlfn.ANCHORARRAY($J$18),ROWS($G$18:G20),4),""),IF(_xlpm.x="","N/A",_xlpm.x))</f>
        <v>46183.928472222222</v>
      </c>
      <c r="H20" s="26" t="str" cm="1">
        <f t="array" ref="H20">_xlfn.LET(_xlpm.x,IFERROR(INDEX(_xlfn.ANCHORARRAY($J$18),ROWS($H$18:H20),5),""),IF(_xlpm.x="","N/A",_xlpm.x))</f>
        <v>Jesper Fredriksson</v>
      </c>
      <c r="J20" t="str">
        <v>1001533028</v>
      </c>
      <c r="K20" s="63">
        <v>46339</v>
      </c>
      <c r="L20">
        <v>25</v>
      </c>
      <c r="M20" s="63">
        <v>46183.928472222222</v>
      </c>
      <c r="N20" t="str">
        <v>Jesper Fredriksson</v>
      </c>
    </row>
    <row r="21" spans="1:14" ht="15.75" customHeight="1" thickBot="1" x14ac:dyDescent="0.3">
      <c r="A21" s="386" t="str" cm="1">
        <f t="array" ref="A21">_xlfn.LET(_xlpm.x,IFERROR(INDEX(_xlfn.ANCHORARRAY($J$18),ROWS($A$18:A21),1),""),IF(_xlpm.x="","N/A",_xlpm.x))</f>
        <v>N/A</v>
      </c>
      <c r="B21" s="409"/>
      <c r="C21" s="409"/>
      <c r="D21" s="373" t="str" cm="1">
        <f t="array" ref="D21">_xlfn.LET(_xlpm.x,IFERROR(INDEX(_xlfn.ANCHORARRAY($J$18),ROWS($D$18:D21),2),""),IF(_xlpm.x="","N/A",_xlpm.x))</f>
        <v>N/A</v>
      </c>
      <c r="E21" s="409"/>
      <c r="F21" s="39" t="str" cm="1">
        <f t="array" ref="F21">_xlfn.LET(_xlpm.x,IFERROR(INDEX(_xlfn.ANCHORARRAY($J$18),ROWS($F$18:F21),3),""),IF(_xlpm.x="","N/A",_xlpm.x))</f>
        <v>N/A</v>
      </c>
      <c r="G21" s="40" t="str" cm="1">
        <f t="array" ref="G21">_xlfn.LET(_xlpm.x,IFERROR(INDEX(_xlfn.ANCHORARRAY($J$18),ROWS($G$18:G21),4),""),IF(_xlpm.x="","N/A",_xlpm.x))</f>
        <v>N/A</v>
      </c>
      <c r="H21" s="30" t="str" cm="1">
        <f t="array" ref="H21">_xlfn.LET(_xlpm.x,IFERROR(INDEX(_xlfn.ANCHORARRAY($J$18),ROWS($H$18:H21),5),""),IF(_xlpm.x="","N/A",_xlpm.x))</f>
        <v>N/A</v>
      </c>
      <c r="K21" s="63"/>
      <c r="M21" s="63"/>
    </row>
    <row r="22" spans="1:14" ht="15.75" customHeight="1" thickBot="1" x14ac:dyDescent="0.3">
      <c r="D22" s="63"/>
      <c r="G22" s="63"/>
      <c r="K22" s="63"/>
      <c r="M22" s="63"/>
    </row>
    <row r="23" spans="1:14" ht="24" customHeight="1" thickBot="1" x14ac:dyDescent="0.3">
      <c r="A23" s="408" t="s">
        <v>348</v>
      </c>
      <c r="B23" s="377"/>
      <c r="C23" s="377"/>
      <c r="D23" s="377"/>
      <c r="E23" s="377"/>
      <c r="F23" s="377"/>
      <c r="G23" s="377"/>
      <c r="H23" s="378"/>
      <c r="J23" s="48"/>
      <c r="K23" s="63"/>
      <c r="M23" s="63"/>
    </row>
    <row r="24" spans="1:14" ht="15.75" customHeight="1" thickBot="1" x14ac:dyDescent="0.3">
      <c r="A24" s="405" t="s">
        <v>351</v>
      </c>
      <c r="B24" s="377"/>
      <c r="C24" s="377"/>
      <c r="D24" s="377"/>
      <c r="E24" s="377"/>
      <c r="F24" s="377"/>
      <c r="G24" s="377"/>
      <c r="H24" s="378"/>
      <c r="K24" s="63"/>
      <c r="M24" s="63"/>
    </row>
    <row r="25" spans="1:14" ht="15.75" customHeight="1" thickBot="1" x14ac:dyDescent="0.3">
      <c r="A25" s="407" t="s">
        <v>389</v>
      </c>
      <c r="B25" s="362"/>
      <c r="C25" s="358"/>
      <c r="D25" s="404" t="s">
        <v>106</v>
      </c>
      <c r="E25" s="358"/>
      <c r="F25" s="302" t="s">
        <v>356</v>
      </c>
      <c r="G25" s="309" t="s">
        <v>108</v>
      </c>
      <c r="H25" s="51" t="s">
        <v>109</v>
      </c>
      <c r="K25" s="63"/>
      <c r="M25" s="63"/>
    </row>
    <row r="26" spans="1:14" x14ac:dyDescent="0.25">
      <c r="A26" s="361" t="str" cm="1">
        <f t="array" ref="A26">_xlfn.LET(_xlpm.x,IFERROR(INDEX(_xlfn.ANCHORARRAY($J$26),ROWS($A$26:A26),1),""),IF(_xlpm.x="","N/A",_xlpm.x))</f>
        <v>1001534879</v>
      </c>
      <c r="B26" s="403"/>
      <c r="C26" s="403"/>
      <c r="D26" s="359" cm="1">
        <f t="array" ref="D26">_xlfn.LET(_xlpm.x,IFERROR(INDEX(_xlfn.ANCHORARRAY($J$26),ROWS($D$26:D26),2),""),IF(_xlpm.x="","N/A",_xlpm.x))</f>
        <v>46291</v>
      </c>
      <c r="E26" s="403"/>
      <c r="F26" s="42" cm="1">
        <f t="array" ref="F26">_xlfn.LET(_xlpm.x,IFERROR(INDEX(_xlfn.ANCHORARRAY($J$26),ROWS($F$26:F26),3),""),IF(_xlpm.x="","N/A",_xlpm.x))</f>
        <v>50</v>
      </c>
      <c r="G26" s="43" cm="1">
        <f t="array" ref="G26">_xlfn.LET(_xlpm.x,IFERROR(INDEX(_xlfn.ANCHORARRAY($J$26),ROWS($G$26:G26),4),""),IF(_xlpm.x="","N/A",_xlpm.x))</f>
        <v>46184.131944444445</v>
      </c>
      <c r="H26" s="45" t="str" cm="1">
        <f t="array" ref="H26">_xlfn.LET(_xlpm.x,IFERROR(INDEX(_xlfn.ANCHORARRAY($J$26),ROWS($H$26:H26),5),""),IF(_xlpm.x="","N/A",_xlpm.x))</f>
        <v>Jesper Fredriksson</v>
      </c>
      <c r="J26" t="str" cm="1">
        <f t="array" ref="J26:N26">_xlfn.LET(
_xlpm.pn,"500-2608",
_xlpm.crit,(tblLots[PN]=_xlpm.pn)*(tblLots[IsActive]=TRUE),
IFERROR(
_xlfn.TAKE(
_xlfn.SORTBY(
_xlfn._xlws.FILTER(CHOOSE({1,2,3,4,5},tblLots[LotNumber],tblLots[ExpirationDate],tblLots[Qty],tblLots[ChangedAt],tblLots[ChangedByName]),_xlpm.crit),
_xlfn._xlws.FILTER(tblLots[ExpirationDate],_xlpm.crit),1,
_xlfn._xlws.FILTER(tblLots[ChangedAt],_xlpm.crit),-1
),
4
),
""
)
)</f>
        <v>1001534879</v>
      </c>
      <c r="K26" s="63">
        <v>46291</v>
      </c>
      <c r="L26">
        <v>50</v>
      </c>
      <c r="M26" s="63">
        <v>46184.131944444445</v>
      </c>
      <c r="N26" t="str">
        <v>Jesper Fredriksson</v>
      </c>
    </row>
    <row r="27" spans="1:14" x14ac:dyDescent="0.25">
      <c r="A27" s="381" t="str" cm="1">
        <f t="array" ref="A27">_xlfn.LET(_xlpm.x,IFERROR(INDEX(_xlfn.ANCHORARRAY($J$26),ROWS($A$26:A27),1),""),IF(_xlpm.x="","N/A",_xlpm.x))</f>
        <v>N/A</v>
      </c>
      <c r="B27" s="406"/>
      <c r="C27" s="406"/>
      <c r="D27" s="371" t="str" cm="1">
        <f t="array" ref="D27">_xlfn.LET(_xlpm.x,IFERROR(INDEX(_xlfn.ANCHORARRAY($J$26),ROWS($D$26:D27),2),""),IF(_xlpm.x="","N/A",_xlpm.x))</f>
        <v>N/A</v>
      </c>
      <c r="E27" s="406"/>
      <c r="F27" s="37" t="str" cm="1">
        <f t="array" ref="F27">_xlfn.LET(_xlpm.x,IFERROR(INDEX(_xlfn.ANCHORARRAY($J$26),ROWS($F$26:F27),3),""),IF(_xlpm.x="","N/A",_xlpm.x))</f>
        <v>N/A</v>
      </c>
      <c r="G27" s="38" t="str" cm="1">
        <f t="array" ref="G27">_xlfn.LET(_xlpm.x,IFERROR(INDEX(_xlfn.ANCHORARRAY($J$26),ROWS($G$26:G27),4),""),IF(_xlpm.x="","N/A",_xlpm.x))</f>
        <v>N/A</v>
      </c>
      <c r="H27" s="26" t="str" cm="1">
        <f t="array" ref="H27">_xlfn.LET(_xlpm.x,IFERROR(INDEX(_xlfn.ANCHORARRAY($J$26),ROWS($H$26:H27),5),""),IF(_xlpm.x="","N/A",_xlpm.x))</f>
        <v>N/A</v>
      </c>
      <c r="K27" s="63"/>
      <c r="M27" s="63"/>
    </row>
    <row r="28" spans="1:14" x14ac:dyDescent="0.25">
      <c r="A28" s="381" t="str" cm="1">
        <f t="array" ref="A28">_xlfn.LET(_xlpm.x,IFERROR(INDEX(_xlfn.ANCHORARRAY($J$26),ROWS($A$26:A28),1),""),IF(_xlpm.x="","N/A",_xlpm.x))</f>
        <v>N/A</v>
      </c>
      <c r="B28" s="406"/>
      <c r="C28" s="406"/>
      <c r="D28" s="371" t="str" cm="1">
        <f t="array" ref="D28">_xlfn.LET(_xlpm.x,IFERROR(INDEX(_xlfn.ANCHORARRAY($J$26),ROWS($D$26:D28),2),""),IF(_xlpm.x="","N/A",_xlpm.x))</f>
        <v>N/A</v>
      </c>
      <c r="E28" s="406"/>
      <c r="F28" s="37" t="str" cm="1">
        <f t="array" ref="F28">_xlfn.LET(_xlpm.x,IFERROR(INDEX(_xlfn.ANCHORARRAY($J$26),ROWS($F$26:F28),3),""),IF(_xlpm.x="","N/A",_xlpm.x))</f>
        <v>N/A</v>
      </c>
      <c r="G28" s="38" t="str" cm="1">
        <f t="array" ref="G28">_xlfn.LET(_xlpm.x,IFERROR(INDEX(_xlfn.ANCHORARRAY($J$26),ROWS($G$26:G28),4),""),IF(_xlpm.x="","N/A",_xlpm.x))</f>
        <v>N/A</v>
      </c>
      <c r="H28" s="26" t="str" cm="1">
        <f t="array" ref="H28">_xlfn.LET(_xlpm.x,IFERROR(INDEX(_xlfn.ANCHORARRAY($J$26),ROWS($H$26:H28),5),""),IF(_xlpm.x="","N/A",_xlpm.x))</f>
        <v>N/A</v>
      </c>
      <c r="K28" s="63"/>
      <c r="M28" s="63"/>
    </row>
    <row r="29" spans="1:14" ht="15.75" customHeight="1" thickBot="1" x14ac:dyDescent="0.3">
      <c r="A29" s="386" t="str" cm="1">
        <f t="array" ref="A29">_xlfn.LET(_xlpm.x,IFERROR(INDEX(_xlfn.ANCHORARRAY($J$26),ROWS($A$26:A29),1),""),IF(_xlpm.x="","N/A",_xlpm.x))</f>
        <v>N/A</v>
      </c>
      <c r="B29" s="409"/>
      <c r="C29" s="409"/>
      <c r="D29" s="373" t="str" cm="1">
        <f t="array" ref="D29">_xlfn.LET(_xlpm.x,IFERROR(INDEX(_xlfn.ANCHORARRAY($J$26),ROWS($D$26:D29),2),""),IF(_xlpm.x="","N/A",_xlpm.x))</f>
        <v>N/A</v>
      </c>
      <c r="E29" s="409"/>
      <c r="F29" s="39" t="str" cm="1">
        <f t="array" ref="F29">_xlfn.LET(_xlpm.x,IFERROR(INDEX(_xlfn.ANCHORARRAY($J$26),ROWS($F$26:F29),3),""),IF(_xlpm.x="","N/A",_xlpm.x))</f>
        <v>N/A</v>
      </c>
      <c r="G29" s="40" t="str" cm="1">
        <f t="array" ref="G29">_xlfn.LET(_xlpm.x,IFERROR(INDEX(_xlfn.ANCHORARRAY($J$26),ROWS($G$26:G29),4),""),IF(_xlpm.x="","N/A",_xlpm.x))</f>
        <v>N/A</v>
      </c>
      <c r="H29" s="30" t="str" cm="1">
        <f t="array" ref="H29">_xlfn.LET(_xlpm.x,IFERROR(INDEX(_xlfn.ANCHORARRAY($J$26),ROWS($H$26:H29),5),""),IF(_xlpm.x="","N/A",_xlpm.x))</f>
        <v>N/A</v>
      </c>
      <c r="K29" s="63"/>
      <c r="M29" s="63"/>
    </row>
  </sheetData>
  <sheetProtection formatCells="0" formatColumns="0" formatRows="0" insertColumns="0" insertRows="0" insertHyperlinks="0" deleteColumns="0" deleteRows="0" sort="0" autoFilter="0" pivotTables="0"/>
  <mergeCells count="29">
    <mergeCell ref="A2:H2"/>
    <mergeCell ref="A29:C29"/>
    <mergeCell ref="D26:E26"/>
    <mergeCell ref="A28:C28"/>
    <mergeCell ref="D18:E18"/>
    <mergeCell ref="B5:B8"/>
    <mergeCell ref="D28:E28"/>
    <mergeCell ref="D27:E27"/>
    <mergeCell ref="D29:E29"/>
    <mergeCell ref="E5:E8"/>
    <mergeCell ref="E10:E13"/>
    <mergeCell ref="D21:E21"/>
    <mergeCell ref="A16:H16"/>
    <mergeCell ref="D25:E25"/>
    <mergeCell ref="A17:C17"/>
    <mergeCell ref="A27:C27"/>
    <mergeCell ref="D17:E17"/>
    <mergeCell ref="A20:C20"/>
    <mergeCell ref="B10:B13"/>
    <mergeCell ref="A26:C26"/>
    <mergeCell ref="A24:H24"/>
    <mergeCell ref="A19:C19"/>
    <mergeCell ref="D20:E20"/>
    <mergeCell ref="A15:H15"/>
    <mergeCell ref="D19:E19"/>
    <mergeCell ref="A18:C18"/>
    <mergeCell ref="A25:C25"/>
    <mergeCell ref="A21:C21"/>
    <mergeCell ref="A23:H23"/>
  </mergeCells>
  <pageMargins left="0.7" right="0.7" top="0.75" bottom="0.75" header="0.3" footer="0.3"/>
  <pageSetup paperSize="9" orientation="portrait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CC0099"/>
  </sheetPr>
  <dimension ref="A1:BE35"/>
  <sheetViews>
    <sheetView zoomScaleNormal="100" workbookViewId="0"/>
  </sheetViews>
  <sheetFormatPr defaultRowHeight="15" x14ac:dyDescent="0.25"/>
  <cols>
    <col min="1" max="1" width="12.85546875" customWidth="1"/>
    <col min="2" max="2" width="16.7109375" bestFit="1" customWidth="1"/>
    <col min="3" max="3" width="15.28515625" customWidth="1"/>
    <col min="4" max="4" width="14" style="63" bestFit="1" customWidth="1"/>
    <col min="5" max="5" width="16.42578125" customWidth="1"/>
    <col min="6" max="6" width="15.5703125" customWidth="1"/>
    <col min="7" max="7" width="18.85546875" style="63" customWidth="1"/>
    <col min="8" max="8" width="17.7109375" bestFit="1" customWidth="1"/>
    <col min="9" max="9" width="10.140625" bestFit="1" customWidth="1"/>
    <col min="10" max="10" width="8.28515625" bestFit="1" customWidth="1"/>
    <col min="11" max="11" width="12.140625" bestFit="1" customWidth="1"/>
    <col min="12" max="12" width="10.140625" bestFit="1" customWidth="1"/>
    <col min="13" max="13" width="10.42578125" style="63" bestFit="1" customWidth="1"/>
    <col min="14" max="14" width="7.42578125" bestFit="1" customWidth="1"/>
    <col min="15" max="15" width="10.140625" bestFit="1" customWidth="1"/>
    <col min="16" max="16" width="8.5703125" bestFit="1" customWidth="1"/>
    <col min="17" max="17" width="7.42578125" bestFit="1" customWidth="1"/>
    <col min="18" max="18" width="10.140625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16" t="s">
        <v>392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</row>
    <row r="4" spans="1:14" ht="15.75" customHeight="1" thickBot="1" x14ac:dyDescent="0.3">
      <c r="A4" s="85" t="s">
        <v>104</v>
      </c>
      <c r="B4" s="86" t="s">
        <v>388</v>
      </c>
      <c r="C4" s="86" t="s">
        <v>105</v>
      </c>
      <c r="D4" s="87" t="s">
        <v>106</v>
      </c>
      <c r="E4" s="86" t="s">
        <v>112</v>
      </c>
      <c r="F4" s="86" t="s">
        <v>107</v>
      </c>
      <c r="G4" s="88" t="s">
        <v>108</v>
      </c>
      <c r="H4" s="89" t="s">
        <v>109</v>
      </c>
    </row>
    <row r="5" spans="1:14" x14ac:dyDescent="0.25">
      <c r="A5" s="41" t="s">
        <v>20</v>
      </c>
      <c r="B5" s="412" t="s">
        <v>274</v>
      </c>
      <c r="C5" s="42" t="str" cm="1">
        <f t="array" ref="C5">_xlfn.LET(_xlpm.x,IFERROR(INDEX(_xlfn.ANCHORARRAY($J$5),ROWS($C$5:C5),1),""),IF(_xlpm.x="","N/A",_xlpm.x))</f>
        <v>012726MATE</v>
      </c>
      <c r="D5" s="43" cm="1">
        <f t="array" ref="D5">_xlfn.LET(_xlpm.x,IFERROR(INDEX(_xlfn.ANCHORARRAY($J$5),ROWS($D$5:D5),2),""),IF(_xlpm.x="","N/A",_xlpm.x))</f>
        <v>46193</v>
      </c>
      <c r="E5" s="411" t="s">
        <v>556</v>
      </c>
      <c r="F5" s="42" cm="1">
        <f t="array" ref="F5">_xlfn.LET(_xlpm.x,IFERROR(INDEX(_xlfn.ANCHORARRAY($J$5),ROWS($F$5:F5),3),""),IF(_xlpm.x="","N/A",_xlpm.x))</f>
        <v>3</v>
      </c>
      <c r="G5" s="43" cm="1">
        <f t="array" ref="G5">_xlfn.LET(_xlpm.x,IFERROR(INDEX(_xlfn.ANCHORARRAY($J$5),ROWS($G$5:G5),4),""),IF(_xlpm.x="","N/A",_xlpm.x))</f>
        <v>46184.242361111108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525-00097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012726MATE</v>
      </c>
      <c r="K5">
        <v>46193</v>
      </c>
      <c r="L5">
        <v>3</v>
      </c>
      <c r="M5" s="63">
        <v>46184.242361111108</v>
      </c>
      <c r="N5" t="str">
        <v>Jesper Fredriksson</v>
      </c>
    </row>
    <row r="6" spans="1:14" x14ac:dyDescent="0.25">
      <c r="A6" s="8" t="str">
        <f>A$5</f>
        <v>525-00097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06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525-00097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06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525-00097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0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315" t="s">
        <v>104</v>
      </c>
      <c r="B9" s="316" t="s">
        <v>388</v>
      </c>
      <c r="C9" s="316" t="s">
        <v>105</v>
      </c>
      <c r="D9" s="317" t="s">
        <v>106</v>
      </c>
      <c r="E9" s="316" t="s">
        <v>112</v>
      </c>
      <c r="F9" s="316" t="s">
        <v>107</v>
      </c>
      <c r="G9" s="318" t="s">
        <v>108</v>
      </c>
      <c r="H9" s="319" t="s">
        <v>109</v>
      </c>
    </row>
    <row r="10" spans="1:14" x14ac:dyDescent="0.25">
      <c r="A10" s="41" t="s">
        <v>21</v>
      </c>
      <c r="B10" s="412" t="s">
        <v>280</v>
      </c>
      <c r="C10" s="42" t="str" cm="1">
        <f t="array" ref="C10">_xlfn.LET(_xlpm.x,IFERROR(INDEX(_xlfn.ANCHORARRAY($J$10),ROWS($C$10:C10),1),""),IF(_xlpm.x="","N/A",_xlpm.x))</f>
        <v>102225SAMI</v>
      </c>
      <c r="D10" s="43" cm="1">
        <f t="array" ref="D10">_xlfn.LET(_xlpm.x,IFERROR(INDEX(_xlfn.ANCHORARRAY($J$10),ROWS($D$10:D10),2),""),IF(_xlpm.x="","N/A",_xlpm.x))</f>
        <v>46287</v>
      </c>
      <c r="E10" s="411" t="s">
        <v>556</v>
      </c>
      <c r="F10" s="42" cm="1">
        <f t="array" ref="F10">_xlfn.LET(_xlpm.x,IFERROR(INDEX(_xlfn.ANCHORARRAY($J$10),ROWS($F$10:F10),3),""),IF(_xlpm.x="","N/A",_xlpm.x))</f>
        <v>1</v>
      </c>
      <c r="G10" s="43" cm="1">
        <f t="array" ref="G10">_xlfn.LET(_xlpm.x,IFERROR(INDEX(_xlfn.ANCHORARRAY($J$10),ROWS($G$10:G10),4),""),IF(_xlpm.x="","N/A",_xlpm.x))</f>
        <v>46184.243750000001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525-00099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102225SAMI</v>
      </c>
      <c r="K10">
        <v>46287</v>
      </c>
      <c r="L10">
        <v>1</v>
      </c>
      <c r="M10" s="63">
        <v>46184.243750000001</v>
      </c>
      <c r="N10" t="str">
        <v>Jesper Fredriksson</v>
      </c>
    </row>
    <row r="11" spans="1:14" x14ac:dyDescent="0.25">
      <c r="A11" s="8" t="str">
        <f>A$10</f>
        <v>525-00099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06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525-00099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06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525-00099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09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90" t="s">
        <v>104</v>
      </c>
      <c r="B14" s="91" t="s">
        <v>388</v>
      </c>
      <c r="C14" s="91" t="s">
        <v>105</v>
      </c>
      <c r="D14" s="92" t="s">
        <v>106</v>
      </c>
      <c r="E14" s="91" t="s">
        <v>112</v>
      </c>
      <c r="F14" s="91" t="s">
        <v>107</v>
      </c>
      <c r="G14" s="93" t="s">
        <v>108</v>
      </c>
      <c r="H14" s="94" t="s">
        <v>109</v>
      </c>
    </row>
    <row r="15" spans="1:14" x14ac:dyDescent="0.25">
      <c r="A15" s="41" t="s">
        <v>22</v>
      </c>
      <c r="B15" s="412" t="s">
        <v>282</v>
      </c>
      <c r="C15" s="42" t="str" cm="1">
        <f t="array" ref="C15">_xlfn.LET(_xlpm.x,IFERROR(INDEX(_xlfn.ANCHORARRAY($J$15),ROWS($C$15:C15),1),""),IF(_xlpm.x="","N/A",_xlpm.x))</f>
        <v>N/A</v>
      </c>
      <c r="D15" s="43" t="str" cm="1">
        <f t="array" ref="D15">_xlfn.LET(_xlpm.x,IFERROR(INDEX(_xlfn.ANCHORARRAY($J$15),ROWS($D$15:D15),2),""),IF(_xlpm.x="","N/A",_xlpm.x))</f>
        <v>N/A</v>
      </c>
      <c r="E15" s="411" t="s">
        <v>556</v>
      </c>
      <c r="F15" s="42" t="str" cm="1">
        <f t="array" ref="F15">_xlfn.LET(_xlpm.x,IFERROR(INDEX(_xlfn.ANCHORARRAY($J$15),ROWS($F$15:F15),3),""),IF(_xlpm.x="","N/A",_xlpm.x))</f>
        <v>N/A</v>
      </c>
      <c r="G15" s="43" t="str" cm="1">
        <f t="array" ref="G15">_xlfn.LET(_xlpm.x,IFERROR(INDEX(_xlfn.ANCHORARRAY($J$15),ROWS($G$15:G15),4),""),IF(_xlpm.x="","N/A",_xlpm.x))</f>
        <v>N/A</v>
      </c>
      <c r="H15" s="45" t="str" cm="1">
        <f t="array" ref="H15">_xlfn.LET(_xlpm.x,IFERROR(INDEX(_xlfn.ANCHORARRAY($J$15),ROWS($H$15:H15),5),""),IF(_xlpm.x="","N/A",_xlpm.x))</f>
        <v>N/A</v>
      </c>
      <c r="J15" t="str" cm="1">
        <f t="array" ref="J15">_xlfn.LET(_xlpm.pn,"525-00102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16" spans="1:14" x14ac:dyDescent="0.25">
      <c r="A16" s="8" t="str">
        <f>A$15</f>
        <v>525-00102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06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x14ac:dyDescent="0.25">
      <c r="A17" s="8" t="str">
        <f>A$15</f>
        <v>525-00102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06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525-00102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09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>
      <c r="A19" s="90" t="s">
        <v>104</v>
      </c>
      <c r="B19" s="91" t="s">
        <v>388</v>
      </c>
      <c r="C19" s="91" t="s">
        <v>105</v>
      </c>
      <c r="D19" s="92" t="s">
        <v>106</v>
      </c>
      <c r="E19" s="91" t="s">
        <v>112</v>
      </c>
      <c r="F19" s="91" t="s">
        <v>107</v>
      </c>
      <c r="G19" s="93" t="s">
        <v>108</v>
      </c>
      <c r="H19" s="94" t="s">
        <v>109</v>
      </c>
    </row>
    <row r="20" spans="1:14" x14ac:dyDescent="0.25">
      <c r="A20" s="41" t="s">
        <v>23</v>
      </c>
      <c r="B20" s="412" t="s">
        <v>282</v>
      </c>
      <c r="C20" s="42" t="str" cm="1">
        <f t="array" ref="C20">_xlfn.LET(_xlpm.x,IFERROR(INDEX(_xlfn.ANCHORARRAY($J$20),ROWS($C$20:C20),1),""),IF(_xlpm.x="","N/A",_xlpm.x))</f>
        <v>336019</v>
      </c>
      <c r="D20" s="43" cm="1">
        <f t="array" ref="D20">_xlfn.LET(_xlpm.x,IFERROR(INDEX(_xlfn.ANCHORARRAY($J$20),ROWS($D$20:D20),2),""),IF(_xlpm.x="","N/A",_xlpm.x))</f>
        <v>46385</v>
      </c>
      <c r="E20" s="411" t="s">
        <v>556</v>
      </c>
      <c r="F20" s="42" cm="1">
        <f t="array" ref="F20">_xlfn.LET(_xlpm.x,IFERROR(INDEX(_xlfn.ANCHORARRAY($J$20),ROWS($F$20:F20),3),""),IF(_xlpm.x="","N/A",_xlpm.x))</f>
        <v>2</v>
      </c>
      <c r="G20" s="43" cm="1">
        <f t="array" ref="G20">_xlfn.LET(_xlpm.x,IFERROR(INDEX(_xlfn.ANCHORARRAY($J$20),ROWS($G$20:G20),4),""),IF(_xlpm.x="","N/A",_xlpm.x))</f>
        <v>46184.251388888886</v>
      </c>
      <c r="H20" s="45" t="str" cm="1">
        <f t="array" ref="H20">_xlfn.LET(_xlpm.x,IFERROR(INDEX(_xlfn.ANCHORARRAY($J$20),ROWS($H$20:H20),5),""),IF(_xlpm.x="","N/A",_xlpm.x))</f>
        <v>Jesper Fredriksson</v>
      </c>
      <c r="J20" t="str" cm="1">
        <f t="array" ref="J20:N20">_xlfn.LET(_xlpm.pn,"325-00075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336019</v>
      </c>
      <c r="K20">
        <v>46385</v>
      </c>
      <c r="L20">
        <v>2</v>
      </c>
      <c r="M20" s="63">
        <v>46184.251388888886</v>
      </c>
      <c r="N20" t="str">
        <v>Jesper Fredriksson</v>
      </c>
    </row>
    <row r="21" spans="1:14" x14ac:dyDescent="0.25">
      <c r="A21" s="8" t="str">
        <f>A$20</f>
        <v>325-00075</v>
      </c>
      <c r="B21" s="406"/>
      <c r="C21" s="37" t="str" cm="1">
        <f t="array" ref="C21">_xlfn.LET(_xlpm.x,IFERROR(INDEX(_xlfn.ANCHORARRAY($J$20),ROWS($C$20:C21),1),""),IF(_xlpm.x="","N/A",_xlpm.x))</f>
        <v>N/A</v>
      </c>
      <c r="D21" s="38" t="str" cm="1">
        <f t="array" ref="D21">_xlfn.LET(_xlpm.x,IFERROR(INDEX(_xlfn.ANCHORARRAY($J$20),ROWS($D$20:D21),2),""),IF(_xlpm.x="","N/A",_xlpm.x))</f>
        <v>N/A</v>
      </c>
      <c r="E21" s="406"/>
      <c r="F21" s="37" t="str" cm="1">
        <f t="array" ref="F21">_xlfn.LET(_xlpm.x,IFERROR(INDEX(_xlfn.ANCHORARRAY($J$20),ROWS($F$20:F21),3),""),IF(_xlpm.x="","N/A",_xlpm.x))</f>
        <v>N/A</v>
      </c>
      <c r="G21" s="38" t="str" cm="1">
        <f t="array" ref="G21">_xlfn.LET(_xlpm.x,IFERROR(INDEX(_xlfn.ANCHORARRAY($J$20),ROWS($G$20:G21),4),""),IF(_xlpm.x="","N/A",_xlpm.x))</f>
        <v>N/A</v>
      </c>
      <c r="H21" s="26" t="str" cm="1">
        <f t="array" ref="H21">_xlfn.LET(_xlpm.x,IFERROR(INDEX(_xlfn.ANCHORARRAY($J$20),ROWS($H$20:H21),5),""),IF(_xlpm.x="","N/A",_xlpm.x))</f>
        <v>N/A</v>
      </c>
    </row>
    <row r="22" spans="1:14" x14ac:dyDescent="0.25">
      <c r="A22" s="8" t="str">
        <f>A$20</f>
        <v>325-00075</v>
      </c>
      <c r="B22" s="406"/>
      <c r="C22" s="37" t="str" cm="1">
        <f t="array" ref="C22">_xlfn.LET(_xlpm.x,IFERROR(INDEX(_xlfn.ANCHORARRAY($J$20),ROWS($C$20:C22),1),""),IF(_xlpm.x="","N/A",_xlpm.x))</f>
        <v>N/A</v>
      </c>
      <c r="D22" s="38" t="str" cm="1">
        <f t="array" ref="D22">_xlfn.LET(_xlpm.x,IFERROR(INDEX(_xlfn.ANCHORARRAY($J$20),ROWS($D$20:D22),2),""),IF(_xlpm.x="","N/A",_xlpm.x))</f>
        <v>N/A</v>
      </c>
      <c r="E22" s="406"/>
      <c r="F22" s="37" t="str" cm="1">
        <f t="array" ref="F22">_xlfn.LET(_xlpm.x,IFERROR(INDEX(_xlfn.ANCHORARRAY($J$20),ROWS($F$20:F22),3),""),IF(_xlpm.x="","N/A",_xlpm.x))</f>
        <v>N/A</v>
      </c>
      <c r="G22" s="38" t="str" cm="1">
        <f t="array" ref="G22">_xlfn.LET(_xlpm.x,IFERROR(INDEX(_xlfn.ANCHORARRAY($J$20),ROWS($G$20:G22),4),""),IF(_xlpm.x="","N/A",_xlpm.x))</f>
        <v>N/A</v>
      </c>
      <c r="H22" s="26" t="str" cm="1">
        <f t="array" ref="H22">_xlfn.LET(_xlpm.x,IFERROR(INDEX(_xlfn.ANCHORARRAY($J$20),ROWS($H$20:H22),5),""),IF(_xlpm.x="","N/A",_xlpm.x))</f>
        <v>N/A</v>
      </c>
    </row>
    <row r="23" spans="1:14" ht="15.75" customHeight="1" thickBot="1" x14ac:dyDescent="0.3">
      <c r="A23" s="29" t="str">
        <f>A$20</f>
        <v>325-00075</v>
      </c>
      <c r="B23" s="409"/>
      <c r="C23" s="39" t="str" cm="1">
        <f t="array" ref="C23">_xlfn.LET(_xlpm.x,IFERROR(INDEX(_xlfn.ANCHORARRAY($J$20),ROWS($C$20:C23),1),""),IF(_xlpm.x="","N/A",_xlpm.x))</f>
        <v>N/A</v>
      </c>
      <c r="D23" s="40" t="str" cm="1">
        <f t="array" ref="D23">_xlfn.LET(_xlpm.x,IFERROR(INDEX(_xlfn.ANCHORARRAY($J$20),ROWS($D$20:D23),2),""),IF(_xlpm.x="","N/A",_xlpm.x))</f>
        <v>N/A</v>
      </c>
      <c r="E23" s="409"/>
      <c r="F23" s="39" t="str" cm="1">
        <f t="array" ref="F23">_xlfn.LET(_xlpm.x,IFERROR(INDEX(_xlfn.ANCHORARRAY($J$20),ROWS($F$20:F23),3),""),IF(_xlpm.x="","N/A",_xlpm.x))</f>
        <v>N/A</v>
      </c>
      <c r="G23" s="40" t="str" cm="1">
        <f t="array" ref="G23">_xlfn.LET(_xlpm.x,IFERROR(INDEX(_xlfn.ANCHORARRAY($J$20),ROWS($G$20:G23),4),""),IF(_xlpm.x="","N/A",_xlpm.x))</f>
        <v>N/A</v>
      </c>
      <c r="H23" s="30" t="str" cm="1">
        <f t="array" ref="H23">_xlfn.LET(_xlpm.x,IFERROR(INDEX(_xlfn.ANCHORARRAY($J$20),ROWS($H$20:H23),5),""),IF(_xlpm.x="","N/A",_xlpm.x))</f>
        <v>N/A</v>
      </c>
    </row>
    <row r="24" spans="1:14" ht="15.75" customHeight="1" thickBot="1" x14ac:dyDescent="0.3">
      <c r="A24" s="90" t="s">
        <v>104</v>
      </c>
      <c r="B24" s="91" t="s">
        <v>388</v>
      </c>
      <c r="C24" s="91" t="s">
        <v>105</v>
      </c>
      <c r="D24" s="92" t="s">
        <v>106</v>
      </c>
      <c r="E24" s="91" t="s">
        <v>112</v>
      </c>
      <c r="F24" s="91" t="s">
        <v>107</v>
      </c>
      <c r="G24" s="93" t="s">
        <v>108</v>
      </c>
      <c r="H24" s="94" t="s">
        <v>109</v>
      </c>
    </row>
    <row r="25" spans="1:14" x14ac:dyDescent="0.25">
      <c r="A25" s="41" t="s">
        <v>24</v>
      </c>
      <c r="B25" s="412" t="s">
        <v>320</v>
      </c>
      <c r="C25" s="42" t="str" cm="1">
        <f t="array" ref="C25">_xlfn.LET(_xlpm.x,IFERROR(INDEX(_xlfn.ANCHORARRAY($J$25),ROWS($C$25:C25),1),""),IF(_xlpm.x="","N/A",_xlpm.x))</f>
        <v>121225ARMO</v>
      </c>
      <c r="D25" s="43" cm="1">
        <f t="array" ref="D25">_xlfn.LET(_xlpm.x,IFERROR(INDEX(_xlfn.ANCHORARRAY($J$25),ROWS($D$25:D25),2),""),IF(_xlpm.x="","N/A",_xlpm.x))</f>
        <v>46325</v>
      </c>
      <c r="E25" s="411" t="s">
        <v>556</v>
      </c>
      <c r="F25" s="42" cm="1">
        <f t="array" ref="F25">_xlfn.LET(_xlpm.x,IFERROR(INDEX(_xlfn.ANCHORARRAY($J$25),ROWS($F$25:F25),3),""),IF(_xlpm.x="","N/A",_xlpm.x))</f>
        <v>2</v>
      </c>
      <c r="G25" s="43" cm="1">
        <f t="array" ref="G25">_xlfn.LET(_xlpm.x,IFERROR(INDEX(_xlfn.ANCHORARRAY($J$25),ROWS($G$25:G25),4),""),IF(_xlpm.x="","N/A",_xlpm.x))</f>
        <v>46184.248611111114</v>
      </c>
      <c r="H25" s="45" t="str" cm="1">
        <f t="array" ref="H25">_xlfn.LET(_xlpm.x,IFERROR(INDEX(_xlfn.ANCHORARRAY($J$25),ROWS($H$25:H25),5),""),IF(_xlpm.x="","N/A",_xlpm.x))</f>
        <v>Jesper Fredriksson</v>
      </c>
      <c r="J25" t="str" cm="1">
        <f t="array" ref="J25:N25">_xlfn.LET(_xlpm.pn,"525-00169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121225ARMO</v>
      </c>
      <c r="K25">
        <v>46325</v>
      </c>
      <c r="L25">
        <v>2</v>
      </c>
      <c r="M25" s="63">
        <v>46184.248611111114</v>
      </c>
      <c r="N25" t="str">
        <v>Jesper Fredriksson</v>
      </c>
    </row>
    <row r="26" spans="1:14" ht="15" customHeight="1" x14ac:dyDescent="0.25">
      <c r="A26" s="8" t="str">
        <f>A$25</f>
        <v>525-00169</v>
      </c>
      <c r="B26" s="406"/>
      <c r="C26" s="37" t="str" cm="1">
        <f t="array" ref="C26">_xlfn.LET(_xlpm.x,IFERROR(INDEX(_xlfn.ANCHORARRAY($J$25),ROWS($C$25:C26),1),""),IF(_xlpm.x="","N/A",_xlpm.x))</f>
        <v>N/A</v>
      </c>
      <c r="D26" s="38" t="str" cm="1">
        <f t="array" ref="D26">_xlfn.LET(_xlpm.x,IFERROR(INDEX(_xlfn.ANCHORARRAY($J$25),ROWS($D$25:D26),2),""),IF(_xlpm.x="","N/A",_xlpm.x))</f>
        <v>N/A</v>
      </c>
      <c r="E26" s="406"/>
      <c r="F26" s="37" t="str" cm="1">
        <f t="array" ref="F26">_xlfn.LET(_xlpm.x,IFERROR(INDEX(_xlfn.ANCHORARRAY($J$25),ROWS($F$25:F26),3),""),IF(_xlpm.x="","N/A",_xlpm.x))</f>
        <v>N/A</v>
      </c>
      <c r="G26" s="38" t="str" cm="1">
        <f t="array" ref="G26">_xlfn.LET(_xlpm.x,IFERROR(INDEX(_xlfn.ANCHORARRAY($J$25),ROWS($G$25:G26),4),""),IF(_xlpm.x="","N/A",_xlpm.x))</f>
        <v>N/A</v>
      </c>
      <c r="H26" s="26" t="str" cm="1">
        <f t="array" ref="H26">_xlfn.LET(_xlpm.x,IFERROR(INDEX(_xlfn.ANCHORARRAY($J$25),ROWS($H$25:H26),5),""),IF(_xlpm.x="","N/A",_xlpm.x))</f>
        <v>N/A</v>
      </c>
    </row>
    <row r="27" spans="1:14" x14ac:dyDescent="0.25">
      <c r="A27" s="8" t="str">
        <f>A$25</f>
        <v>525-00169</v>
      </c>
      <c r="B27" s="406"/>
      <c r="C27" s="37" t="str" cm="1">
        <f t="array" ref="C27">_xlfn.LET(_xlpm.x,IFERROR(INDEX(_xlfn.ANCHORARRAY($J$25),ROWS($C$25:C27),1),""),IF(_xlpm.x="","N/A",_xlpm.x))</f>
        <v>N/A</v>
      </c>
      <c r="D27" s="38" t="str" cm="1">
        <f t="array" ref="D27">_xlfn.LET(_xlpm.x,IFERROR(INDEX(_xlfn.ANCHORARRAY($J$25),ROWS($D$25:D27),2),""),IF(_xlpm.x="","N/A",_xlpm.x))</f>
        <v>N/A</v>
      </c>
      <c r="E27" s="406"/>
      <c r="F27" s="37" t="str" cm="1">
        <f t="array" ref="F27">_xlfn.LET(_xlpm.x,IFERROR(INDEX(_xlfn.ANCHORARRAY($J$25),ROWS($F$25:F27),3),""),IF(_xlpm.x="","N/A",_xlpm.x))</f>
        <v>N/A</v>
      </c>
      <c r="G27" s="38" t="str" cm="1">
        <f t="array" ref="G27">_xlfn.LET(_xlpm.x,IFERROR(INDEX(_xlfn.ANCHORARRAY($J$25),ROWS($G$25:G27),4),""),IF(_xlpm.x="","N/A",_xlpm.x))</f>
        <v>N/A</v>
      </c>
      <c r="H27" s="26" t="str" cm="1">
        <f t="array" ref="H27">_xlfn.LET(_xlpm.x,IFERROR(INDEX(_xlfn.ANCHORARRAY($J$25),ROWS($H$25:H27),5),""),IF(_xlpm.x="","N/A",_xlpm.x))</f>
        <v>N/A</v>
      </c>
    </row>
    <row r="28" spans="1:14" ht="15.75" customHeight="1" thickBot="1" x14ac:dyDescent="0.3">
      <c r="A28" s="29" t="str">
        <f>A$25</f>
        <v>525-00169</v>
      </c>
      <c r="B28" s="409"/>
      <c r="C28" s="39" t="str" cm="1">
        <f t="array" ref="C28">_xlfn.LET(_xlpm.x,IFERROR(INDEX(_xlfn.ANCHORARRAY($J$25),ROWS($C$25:C28),1),""),IF(_xlpm.x="","N/A",_xlpm.x))</f>
        <v>N/A</v>
      </c>
      <c r="D28" s="40" t="str" cm="1">
        <f t="array" ref="D28">_xlfn.LET(_xlpm.x,IFERROR(INDEX(_xlfn.ANCHORARRAY($J$25),ROWS($D$25:D28),2),""),IF(_xlpm.x="","N/A",_xlpm.x))</f>
        <v>N/A</v>
      </c>
      <c r="E28" s="409"/>
      <c r="F28" s="39" t="str" cm="1">
        <f t="array" ref="F28">_xlfn.LET(_xlpm.x,IFERROR(INDEX(_xlfn.ANCHORARRAY($J$25),ROWS($F$25:F28),3),""),IF(_xlpm.x="","N/A",_xlpm.x))</f>
        <v>N/A</v>
      </c>
      <c r="G28" s="40" t="str" cm="1">
        <f t="array" ref="G28">_xlfn.LET(_xlpm.x,IFERROR(INDEX(_xlfn.ANCHORARRAY($J$25),ROWS($G$25:G28),4),""),IF(_xlpm.x="","N/A",_xlpm.x))</f>
        <v>N/A</v>
      </c>
      <c r="H28" s="30" t="str" cm="1">
        <f t="array" ref="H28">_xlfn.LET(_xlpm.x,IFERROR(INDEX(_xlfn.ANCHORARRAY($J$25),ROWS($H$25:H28),5),""),IF(_xlpm.x="","N/A",_xlpm.x))</f>
        <v>N/A</v>
      </c>
    </row>
    <row r="29" spans="1:14" ht="15.75" customHeight="1" thickBot="1" x14ac:dyDescent="0.3">
      <c r="A29" s="35"/>
      <c r="B29" s="84"/>
      <c r="C29" s="35"/>
      <c r="D29" s="36"/>
      <c r="E29" s="35"/>
      <c r="F29" s="35"/>
      <c r="G29" s="36"/>
      <c r="H29" s="35"/>
    </row>
    <row r="30" spans="1:14" ht="15.75" customHeight="1" thickBot="1" x14ac:dyDescent="0.3">
      <c r="A30" s="95" t="s">
        <v>104</v>
      </c>
      <c r="B30" s="96" t="s">
        <v>388</v>
      </c>
      <c r="C30" s="96" t="s">
        <v>105</v>
      </c>
      <c r="D30" s="97" t="s">
        <v>106</v>
      </c>
      <c r="E30" s="96" t="s">
        <v>112</v>
      </c>
      <c r="F30" s="96" t="s">
        <v>107</v>
      </c>
      <c r="G30" s="98" t="s">
        <v>108</v>
      </c>
      <c r="H30" s="99" t="s">
        <v>109</v>
      </c>
    </row>
    <row r="31" spans="1:14" x14ac:dyDescent="0.25">
      <c r="A31" s="41" t="s">
        <v>25</v>
      </c>
      <c r="B31" s="412" t="s">
        <v>121</v>
      </c>
      <c r="C31" s="42" t="str" cm="1">
        <f t="array" ref="C31">_xlfn.LET(_xlpm.x,IFERROR(INDEX(_xlfn.ANCHORARRAY($J$31),ROWS($C$31:C31),1),""),IF(_xlpm.x="","N/A",_xlpm.x))</f>
        <v>336271 - POS</v>
      </c>
      <c r="D31" s="43" cm="1">
        <f t="array" ref="D31">_xlfn.LET(_xlpm.x,IFERROR(INDEX(_xlfn.ANCHORARRAY($J$31),ROWS($D$31:D31),2),""),IF(_xlpm.x="","N/A",_xlpm.x))</f>
        <v>46478</v>
      </c>
      <c r="E31" s="412" t="s">
        <v>557</v>
      </c>
      <c r="F31" s="42" cm="1">
        <f t="array" ref="F31">_xlfn.LET(_xlpm.x,IFERROR(INDEX(_xlfn.ANCHORARRAY($J$31),ROWS($F$31:F31),3),""),IF(_xlpm.x="","N/A",_xlpm.x))</f>
        <v>5</v>
      </c>
      <c r="G31" s="43" cm="1">
        <f t="array" ref="G31">_xlfn.LET(_xlpm.x,IFERROR(INDEX(_xlfn.ANCHORARRAY($J$31),ROWS($G$31:G31),4),""),IF(_xlpm.x="","N/A",_xlpm.x))</f>
        <v>46183.921527777777</v>
      </c>
      <c r="H31" s="45" t="str" cm="1">
        <f t="array" ref="H31">_xlfn.LET(_xlpm.x,IFERROR(INDEX(_xlfn.ANCHORARRAY($J$31),ROWS($H$31:H31),5),""),IF(_xlpm.x="","N/A",_xlpm.x))</f>
        <v>Jesper Fredriksson</v>
      </c>
      <c r="J31" t="str" cm="1">
        <f t="array" ref="J31:N32">_xlfn.LET(_xlpm.pn,"001-1471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336271 - POS</v>
      </c>
      <c r="K31">
        <v>46478</v>
      </c>
      <c r="L31">
        <v>5</v>
      </c>
      <c r="M31" s="63">
        <v>46183.921527777777</v>
      </c>
      <c r="N31" t="str">
        <v>Jesper Fredriksson</v>
      </c>
    </row>
    <row r="32" spans="1:14" x14ac:dyDescent="0.25">
      <c r="A32" s="8" t="str">
        <f>A$31</f>
        <v>001-1471</v>
      </c>
      <c r="B32" s="406"/>
      <c r="C32" s="37" t="str" cm="1">
        <f t="array" ref="C32">_xlfn.LET(_xlpm.x,IFERROR(INDEX(_xlfn.ANCHORARRAY($J$31),ROWS($C$31:C32),1),""),IF(_xlpm.x="","N/A",_xlpm.x))</f>
        <v>336271 - NEG</v>
      </c>
      <c r="D32" s="38" cm="1">
        <f t="array" ref="D32">_xlfn.LET(_xlpm.x,IFERROR(INDEX(_xlfn.ANCHORARRAY($J$31),ROWS($D$31:D32),2),""),IF(_xlpm.x="","N/A",_xlpm.x))</f>
        <v>46478</v>
      </c>
      <c r="E32" s="406"/>
      <c r="F32" s="37" cm="1">
        <f t="array" ref="F32">_xlfn.LET(_xlpm.x,IFERROR(INDEX(_xlfn.ANCHORARRAY($J$31),ROWS($F$31:F32),3),""),IF(_xlpm.x="","N/A",_xlpm.x))</f>
        <v>2</v>
      </c>
      <c r="G32" s="38" cm="1">
        <f t="array" ref="G32">_xlfn.LET(_xlpm.x,IFERROR(INDEX(_xlfn.ANCHORARRAY($J$31),ROWS($G$31:G32),4),""),IF(_xlpm.x="","N/A",_xlpm.x))</f>
        <v>46183.92083333333</v>
      </c>
      <c r="H32" s="26" t="str" cm="1">
        <f t="array" ref="H32">_xlfn.LET(_xlpm.x,IFERROR(INDEX(_xlfn.ANCHORARRAY($J$31),ROWS($H$31:H32),5),""),IF(_xlpm.x="","N/A",_xlpm.x))</f>
        <v>Jesper Fredriksson</v>
      </c>
      <c r="J32" t="str">
        <v>336271 - NEG</v>
      </c>
      <c r="K32">
        <v>46478</v>
      </c>
      <c r="L32">
        <v>2</v>
      </c>
      <c r="M32" s="63">
        <v>46183.92083333333</v>
      </c>
      <c r="N32" t="str">
        <v>Jesper Fredriksson</v>
      </c>
    </row>
    <row r="33" spans="1:8" x14ac:dyDescent="0.25">
      <c r="A33" s="8" t="str">
        <f>A$31</f>
        <v>001-1471</v>
      </c>
      <c r="B33" s="406"/>
      <c r="C33" s="37" t="str" cm="1">
        <f t="array" ref="C33">_xlfn.LET(_xlpm.x,IFERROR(INDEX(_xlfn.ANCHORARRAY($J$31),ROWS($C$31:C33),1),""),IF(_xlpm.x="","N/A",_xlpm.x))</f>
        <v>N/A</v>
      </c>
      <c r="D33" s="38" t="str" cm="1">
        <f t="array" ref="D33">_xlfn.LET(_xlpm.x,IFERROR(INDEX(_xlfn.ANCHORARRAY($J$31),ROWS($D$31:D33),2),""),IF(_xlpm.x="","N/A",_xlpm.x))</f>
        <v>N/A</v>
      </c>
      <c r="E33" s="406"/>
      <c r="F33" s="37" t="str" cm="1">
        <f t="array" ref="F33">_xlfn.LET(_xlpm.x,IFERROR(INDEX(_xlfn.ANCHORARRAY($J$31),ROWS($F$31:F33),3),""),IF(_xlpm.x="","N/A",_xlpm.x))</f>
        <v>N/A</v>
      </c>
      <c r="G33" s="38" t="str" cm="1">
        <f t="array" ref="G33">_xlfn.LET(_xlpm.x,IFERROR(INDEX(_xlfn.ANCHORARRAY($J$31),ROWS($G$31:G33),4),""),IF(_xlpm.x="","N/A",_xlpm.x))</f>
        <v>N/A</v>
      </c>
      <c r="H33" s="26" t="str" cm="1">
        <f t="array" ref="H33">_xlfn.LET(_xlpm.x,IFERROR(INDEX(_xlfn.ANCHORARRAY($J$31),ROWS($H$31:H33),5),""),IF(_xlpm.x="","N/A",_xlpm.x))</f>
        <v>N/A</v>
      </c>
    </row>
    <row r="34" spans="1:8" ht="15.75" customHeight="1" thickBot="1" x14ac:dyDescent="0.3">
      <c r="A34" s="29" t="str">
        <f>A$31</f>
        <v>001-1471</v>
      </c>
      <c r="B34" s="409"/>
      <c r="C34" s="39" t="str" cm="1">
        <f t="array" ref="C34">_xlfn.LET(_xlpm.x,IFERROR(INDEX(_xlfn.ANCHORARRAY($J$31),ROWS($C$31:C34),1),""),IF(_xlpm.x="","N/A",_xlpm.x))</f>
        <v>N/A</v>
      </c>
      <c r="D34" s="40" t="str" cm="1">
        <f t="array" ref="D34">_xlfn.LET(_xlpm.x,IFERROR(INDEX(_xlfn.ANCHORARRAY($J$31),ROWS($D$31:D34),2),""),IF(_xlpm.x="","N/A",_xlpm.x))</f>
        <v>N/A</v>
      </c>
      <c r="E34" s="409"/>
      <c r="F34" s="39" t="str" cm="1">
        <f t="array" ref="F34">_xlfn.LET(_xlpm.x,IFERROR(INDEX(_xlfn.ANCHORARRAY($J$31),ROWS($F$31:F34),3),""),IF(_xlpm.x="","N/A",_xlpm.x))</f>
        <v>N/A</v>
      </c>
      <c r="G34" s="40" t="str" cm="1">
        <f t="array" ref="G34">_xlfn.LET(_xlpm.x,IFERROR(INDEX(_xlfn.ANCHORARRAY($J$31),ROWS($G$31:G34),4),""),IF(_xlpm.x="","N/A",_xlpm.x))</f>
        <v>N/A</v>
      </c>
      <c r="H34" s="30" t="str" cm="1">
        <f t="array" ref="H34">_xlfn.LET(_xlpm.x,IFERROR(INDEX(_xlfn.ANCHORARRAY($J$31),ROWS($H$31:H34),5),""),IF(_xlpm.x="","N/A",_xlpm.x))</f>
        <v>N/A</v>
      </c>
    </row>
    <row r="35" spans="1:8" x14ac:dyDescent="0.25">
      <c r="A35" s="35"/>
      <c r="B35" s="84"/>
      <c r="C35" s="35"/>
      <c r="D35" s="36"/>
      <c r="E35" s="35"/>
      <c r="F35" s="35"/>
      <c r="G35" s="36"/>
      <c r="H35" s="35"/>
    </row>
  </sheetData>
  <sheetProtection formatCells="0" formatColumns="0" formatRows="0" insertColumns="0" insertRows="0" insertHyperlinks="0" deleteColumns="0" deleteRows="0" sort="0" autoFilter="0" pivotTables="0"/>
  <mergeCells count="13">
    <mergeCell ref="B31:B34"/>
    <mergeCell ref="E5:E8"/>
    <mergeCell ref="E15:E18"/>
    <mergeCell ref="E31:E34"/>
    <mergeCell ref="A2:H2"/>
    <mergeCell ref="B20:B23"/>
    <mergeCell ref="E20:E23"/>
    <mergeCell ref="B15:B18"/>
    <mergeCell ref="B25:B28"/>
    <mergeCell ref="E25:E28"/>
    <mergeCell ref="B10:B13"/>
    <mergeCell ref="E10:E13"/>
    <mergeCell ref="B5:B8"/>
  </mergeCells>
  <pageMargins left="0.7" right="0.7" top="0.75" bottom="0.75" header="0.3" footer="0.3"/>
  <pageSetup paperSize="9" orientation="portrait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66FF"/>
  </sheetPr>
  <dimension ref="A1:BE14"/>
  <sheetViews>
    <sheetView workbookViewId="0"/>
  </sheetViews>
  <sheetFormatPr defaultRowHeight="15" x14ac:dyDescent="0.25"/>
  <cols>
    <col min="1" max="1" width="9.7109375" bestFit="1" customWidth="1"/>
    <col min="2" max="2" width="16.140625" customWidth="1"/>
    <col min="3" max="3" width="14.28515625" customWidth="1"/>
    <col min="4" max="4" width="15.5703125" customWidth="1"/>
    <col min="5" max="5" width="15" bestFit="1" customWidth="1"/>
    <col min="6" max="6" width="15" customWidth="1"/>
    <col min="7" max="7" width="17.85546875" bestFit="1" customWidth="1"/>
    <col min="8" max="8" width="17.7109375" bestFit="1" customWidth="1"/>
    <col min="13" max="13" width="10.42578125" style="63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17" t="s">
        <v>119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310" t="s">
        <v>104</v>
      </c>
      <c r="B4" s="311" t="s">
        <v>388</v>
      </c>
      <c r="C4" s="311" t="s">
        <v>105</v>
      </c>
      <c r="D4" s="312" t="s">
        <v>106</v>
      </c>
      <c r="E4" s="311" t="s">
        <v>112</v>
      </c>
      <c r="F4" s="311" t="s">
        <v>107</v>
      </c>
      <c r="G4" s="313" t="s">
        <v>108</v>
      </c>
      <c r="H4" s="314" t="s">
        <v>109</v>
      </c>
    </row>
    <row r="5" spans="1:14" x14ac:dyDescent="0.25">
      <c r="A5" s="41" t="s">
        <v>24</v>
      </c>
      <c r="B5" s="412" t="s">
        <v>320</v>
      </c>
      <c r="C5" s="42" t="str" cm="1">
        <f t="array" ref="C5">_xlfn.LET(_xlpm.x,IFERROR(INDEX(_xlfn.ANCHORARRAY($J$5),ROWS($C$5:C5),1),""),IF(_xlpm.x="","N/A",_xlpm.x))</f>
        <v>121225ARMO</v>
      </c>
      <c r="D5" s="43" cm="1">
        <f t="array" ref="D5">_xlfn.LET(_xlpm.x,IFERROR(INDEX(_xlfn.ANCHORARRAY($J$5),ROWS($D$5:D5),2),""),IF(_xlpm.x="","N/A",_xlpm.x))</f>
        <v>46325</v>
      </c>
      <c r="E5" s="411" t="s">
        <v>556</v>
      </c>
      <c r="F5" s="42" cm="1">
        <f t="array" ref="F5">_xlfn.LET(_xlpm.x,IFERROR(INDEX(_xlfn.ANCHORARRAY($J$5),ROWS($F$5:F5),3),""),IF(_xlpm.x="","N/A",_xlpm.x))</f>
        <v>2</v>
      </c>
      <c r="G5" s="43" cm="1">
        <f t="array" ref="G5">_xlfn.LET(_xlpm.x,IFERROR(INDEX(_xlfn.ANCHORARRAY($J$5),ROWS($G$5:G5),4),""),IF(_xlpm.x="","N/A",_xlpm.x))</f>
        <v>46184.248611111114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525-00169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121225ARMO</v>
      </c>
      <c r="K5">
        <v>46325</v>
      </c>
      <c r="L5">
        <v>2</v>
      </c>
      <c r="M5" s="63">
        <v>46184.248611111114</v>
      </c>
      <c r="N5" t="str">
        <v>Jesper Fredriksson</v>
      </c>
    </row>
    <row r="6" spans="1:14" x14ac:dyDescent="0.25">
      <c r="A6" s="8" t="str">
        <f>A$5</f>
        <v>525-00169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06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525-00169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06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525-00169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0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35"/>
      <c r="B9" s="84"/>
      <c r="C9" s="35"/>
      <c r="D9" s="36"/>
      <c r="E9" s="35"/>
      <c r="F9" s="35"/>
      <c r="G9" s="36"/>
      <c r="H9" s="35"/>
    </row>
    <row r="10" spans="1:14" ht="15.75" customHeight="1" thickBot="1" x14ac:dyDescent="0.3">
      <c r="A10" s="95" t="s">
        <v>104</v>
      </c>
      <c r="B10" s="96" t="s">
        <v>388</v>
      </c>
      <c r="C10" s="96" t="s">
        <v>105</v>
      </c>
      <c r="D10" s="97" t="s">
        <v>106</v>
      </c>
      <c r="E10" s="96" t="s">
        <v>112</v>
      </c>
      <c r="F10" s="96" t="s">
        <v>107</v>
      </c>
      <c r="G10" s="98" t="s">
        <v>108</v>
      </c>
      <c r="H10" s="99" t="s">
        <v>109</v>
      </c>
    </row>
    <row r="11" spans="1:14" x14ac:dyDescent="0.25">
      <c r="A11" s="41" t="s">
        <v>25</v>
      </c>
      <c r="B11" s="412" t="s">
        <v>121</v>
      </c>
      <c r="C11" s="42" t="str" cm="1">
        <f t="array" ref="C11">_xlfn.LET(_xlpm.x,IFERROR(INDEX(_xlfn.ANCHORARRAY($J$11),ROWS($C$11:C11),1),""),IF(_xlpm.x="","N/A",_xlpm.x))</f>
        <v>336271 - POS</v>
      </c>
      <c r="D11" s="43" cm="1">
        <f t="array" ref="D11">_xlfn.LET(_xlpm.x,IFERROR(INDEX(_xlfn.ANCHORARRAY($J$11),ROWS($D$11:D11),2),""),IF(_xlpm.x="","N/A",_xlpm.x))</f>
        <v>46478</v>
      </c>
      <c r="E11" s="412" t="s">
        <v>557</v>
      </c>
      <c r="F11" s="42" cm="1">
        <f t="array" ref="F11">_xlfn.LET(_xlpm.x,IFERROR(INDEX(_xlfn.ANCHORARRAY($J$11),ROWS($F$11:F11),3),""),IF(_xlpm.x="","N/A",_xlpm.x))</f>
        <v>5</v>
      </c>
      <c r="G11" s="43" cm="1">
        <f t="array" ref="G11">_xlfn.LET(_xlpm.x,IFERROR(INDEX(_xlfn.ANCHORARRAY($J$11),ROWS($G$11:G11),4),""),IF(_xlpm.x="","N/A",_xlpm.x))</f>
        <v>46183.921527777777</v>
      </c>
      <c r="H11" s="45" t="str" cm="1">
        <f t="array" ref="H11">_xlfn.LET(_xlpm.x,IFERROR(INDEX(_xlfn.ANCHORARRAY($J$11),ROWS($H$11:H11),5),""),IF(_xlpm.x="","N/A",_xlpm.x))</f>
        <v>Jesper Fredriksson</v>
      </c>
      <c r="J11" t="str" cm="1">
        <f t="array" ref="J11:N12">_xlfn.LET(_xlpm.pn,"001-1471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336271 - POS</v>
      </c>
      <c r="K11">
        <v>46478</v>
      </c>
      <c r="L11">
        <v>5</v>
      </c>
      <c r="M11" s="63">
        <v>46183.921527777777</v>
      </c>
      <c r="N11" t="str">
        <v>Jesper Fredriksson</v>
      </c>
    </row>
    <row r="12" spans="1:14" x14ac:dyDescent="0.25">
      <c r="A12" s="8" t="str">
        <f>A$11</f>
        <v>001-1471</v>
      </c>
      <c r="B12" s="406"/>
      <c r="C12" s="37" t="str" cm="1">
        <f t="array" ref="C12">_xlfn.LET(_xlpm.x,IFERROR(INDEX(_xlfn.ANCHORARRAY($J$11),ROWS($C$11:C12),1),""),IF(_xlpm.x="","N/A",_xlpm.x))</f>
        <v>336271 - NEG</v>
      </c>
      <c r="D12" s="38" cm="1">
        <f t="array" ref="D12">_xlfn.LET(_xlpm.x,IFERROR(INDEX(_xlfn.ANCHORARRAY($J$11),ROWS($D$11:D12),2),""),IF(_xlpm.x="","N/A",_xlpm.x))</f>
        <v>46478</v>
      </c>
      <c r="E12" s="406"/>
      <c r="F12" s="37" cm="1">
        <f t="array" ref="F12">_xlfn.LET(_xlpm.x,IFERROR(INDEX(_xlfn.ANCHORARRAY($J$11),ROWS($F$11:F12),3),""),IF(_xlpm.x="","N/A",_xlpm.x))</f>
        <v>2</v>
      </c>
      <c r="G12" s="38" cm="1">
        <f t="array" ref="G12">_xlfn.LET(_xlpm.x,IFERROR(INDEX(_xlfn.ANCHORARRAY($J$11),ROWS($G$11:G12),4),""),IF(_xlpm.x="","N/A",_xlpm.x))</f>
        <v>46183.92083333333</v>
      </c>
      <c r="H12" s="26" t="str" cm="1">
        <f t="array" ref="H12">_xlfn.LET(_xlpm.x,IFERROR(INDEX(_xlfn.ANCHORARRAY($J$11),ROWS($H$11:H12),5),""),IF(_xlpm.x="","N/A",_xlpm.x))</f>
        <v>Jesper Fredriksson</v>
      </c>
      <c r="J12" t="str">
        <v>336271 - NEG</v>
      </c>
      <c r="K12">
        <v>46478</v>
      </c>
      <c r="L12">
        <v>2</v>
      </c>
      <c r="M12" s="63">
        <v>46183.92083333333</v>
      </c>
      <c r="N12" t="str">
        <v>Jesper Fredriksson</v>
      </c>
    </row>
    <row r="13" spans="1:14" x14ac:dyDescent="0.25">
      <c r="A13" s="8" t="str">
        <f>A$11</f>
        <v>001-1471</v>
      </c>
      <c r="B13" s="406"/>
      <c r="C13" s="37" t="str" cm="1">
        <f t="array" ref="C13">_xlfn.LET(_xlpm.x,IFERROR(INDEX(_xlfn.ANCHORARRAY($J$11),ROWS($C$11:C13),1),""),IF(_xlpm.x="","N/A",_xlpm.x))</f>
        <v>N/A</v>
      </c>
      <c r="D13" s="38" t="str" cm="1">
        <f t="array" ref="D13">_xlfn.LET(_xlpm.x,IFERROR(INDEX(_xlfn.ANCHORARRAY($J$11),ROWS($D$11:D13),2),""),IF(_xlpm.x="","N/A",_xlpm.x))</f>
        <v>N/A</v>
      </c>
      <c r="E13" s="406"/>
      <c r="F13" s="37" t="str" cm="1">
        <f t="array" ref="F13">_xlfn.LET(_xlpm.x,IFERROR(INDEX(_xlfn.ANCHORARRAY($J$11),ROWS($F$11:F13),3),""),IF(_xlpm.x="","N/A",_xlpm.x))</f>
        <v>N/A</v>
      </c>
      <c r="G13" s="38" t="str" cm="1">
        <f t="array" ref="G13">_xlfn.LET(_xlpm.x,IFERROR(INDEX(_xlfn.ANCHORARRAY($J$11),ROWS($G$11:G13),4),""),IF(_xlpm.x="","N/A",_xlpm.x))</f>
        <v>N/A</v>
      </c>
      <c r="H13" s="26" t="str" cm="1">
        <f t="array" ref="H13">_xlfn.LET(_xlpm.x,IFERROR(INDEX(_xlfn.ANCHORARRAY($J$11),ROWS($H$11:H13),5),""),IF(_xlpm.x="","N/A",_xlpm.x))</f>
        <v>N/A</v>
      </c>
    </row>
    <row r="14" spans="1:14" ht="15.75" customHeight="1" thickBot="1" x14ac:dyDescent="0.3">
      <c r="A14" s="29" t="str">
        <f>A$11</f>
        <v>001-1471</v>
      </c>
      <c r="B14" s="409"/>
      <c r="C14" s="39" t="str" cm="1">
        <f t="array" ref="C14">_xlfn.LET(_xlpm.x,IFERROR(INDEX(_xlfn.ANCHORARRAY($J$11),ROWS($C$11:C14),1),""),IF(_xlpm.x="","N/A",_xlpm.x))</f>
        <v>N/A</v>
      </c>
      <c r="D14" s="40" t="str" cm="1">
        <f t="array" ref="D14">_xlfn.LET(_xlpm.x,IFERROR(INDEX(_xlfn.ANCHORARRAY($J$11),ROWS($D$11:D14),2),""),IF(_xlpm.x="","N/A",_xlpm.x))</f>
        <v>N/A</v>
      </c>
      <c r="E14" s="409"/>
      <c r="F14" s="39" t="str" cm="1">
        <f t="array" ref="F14">_xlfn.LET(_xlpm.x,IFERROR(INDEX(_xlfn.ANCHORARRAY($J$11),ROWS($F$11:F14),3),""),IF(_xlpm.x="","N/A",_xlpm.x))</f>
        <v>N/A</v>
      </c>
      <c r="G14" s="40" t="str" cm="1">
        <f t="array" ref="G14">_xlfn.LET(_xlpm.x,IFERROR(INDEX(_xlfn.ANCHORARRAY($J$11),ROWS($G$11:G14),4),""),IF(_xlpm.x="","N/A",_xlpm.x))</f>
        <v>N/A</v>
      </c>
      <c r="H14" s="30" t="str" cm="1">
        <f t="array" ref="H14">_xlfn.LET(_xlpm.x,IFERROR(INDEX(_xlfn.ANCHORARRAY($J$11),ROWS($H$11:H14),5),""),IF(_xlpm.x="","N/A",_xlpm.x))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B5:B8"/>
    <mergeCell ref="A2:H2"/>
    <mergeCell ref="E11:E14"/>
    <mergeCell ref="B11:B14"/>
    <mergeCell ref="E5:E8"/>
  </mergeCells>
  <pageMargins left="0.7" right="0.7" top="0.75" bottom="0.75" header="0.3" footer="0.3"/>
  <pageSetup paperSize="9" orientation="portrait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0">
    <tabColor rgb="FF66FF33"/>
  </sheetPr>
  <dimension ref="A1:BE29"/>
  <sheetViews>
    <sheetView workbookViewId="0"/>
  </sheetViews>
  <sheetFormatPr defaultRowHeight="15" x14ac:dyDescent="0.25"/>
  <cols>
    <col min="1" max="1" width="9.7109375" bestFit="1" customWidth="1"/>
    <col min="2" max="2" width="36.5703125" bestFit="1" customWidth="1"/>
    <col min="3" max="3" width="13.85546875" customWidth="1"/>
    <col min="4" max="4" width="13.140625" bestFit="1" customWidth="1"/>
    <col min="5" max="5" width="16.28515625" customWidth="1"/>
    <col min="6" max="6" width="13.7109375" bestFit="1" customWidth="1"/>
    <col min="7" max="7" width="17.85546875" bestFit="1" customWidth="1"/>
    <col min="8" max="8" width="17.7109375" bestFit="1" customWidth="1"/>
    <col min="11" max="11" width="10.42578125" style="63" bestFit="1" customWidth="1"/>
    <col min="13" max="13" width="10.42578125" style="63" bestFit="1" customWidth="1"/>
    <col min="52" max="57" width="13" hidden="1" customWidth="1"/>
  </cols>
  <sheetData>
    <row r="1" spans="1:14" ht="15.75" customHeight="1" thickBot="1" x14ac:dyDescent="0.3">
      <c r="D1" s="63"/>
      <c r="G1" s="63"/>
    </row>
    <row r="2" spans="1:14" ht="24" customHeight="1" thickBot="1" x14ac:dyDescent="0.3">
      <c r="A2" s="420" t="s">
        <v>26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thickBot="1" x14ac:dyDescent="0.3">
      <c r="A4" s="191" t="s">
        <v>104</v>
      </c>
      <c r="B4" s="192" t="s">
        <v>388</v>
      </c>
      <c r="C4" s="192" t="s">
        <v>105</v>
      </c>
      <c r="D4" s="193" t="s">
        <v>106</v>
      </c>
      <c r="E4" s="192" t="s">
        <v>112</v>
      </c>
      <c r="F4" s="192" t="s">
        <v>107</v>
      </c>
      <c r="G4" s="194" t="s">
        <v>108</v>
      </c>
      <c r="H4" s="195" t="s">
        <v>109</v>
      </c>
    </row>
    <row r="5" spans="1:14" x14ac:dyDescent="0.25">
      <c r="A5" s="41" t="s">
        <v>27</v>
      </c>
      <c r="B5" s="412" t="s">
        <v>393</v>
      </c>
      <c r="C5" s="42" t="str" cm="1">
        <f t="array" ref="C5">_xlfn.LET(_xlpm.x,IFERROR(INDEX(_xlfn.ANCHORARRAY($J$5),ROWS($C$5:C5),1),""),IF(_xlpm.x="","N/A",_xlpm.x))</f>
        <v>101725ELIF</v>
      </c>
      <c r="D5" s="43" cm="1">
        <f t="array" ref="D5">_xlfn.LET(_xlpm.x,IFERROR(INDEX(_xlfn.ANCHORARRAY($J$5),ROWS($D$5:D5),2),""),IF(_xlpm.x="","N/A",_xlpm.x))</f>
        <v>46217</v>
      </c>
      <c r="E5" s="411" t="s">
        <v>556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46184.249305555553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525-00193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101725ELIF</v>
      </c>
      <c r="K5" s="63">
        <v>46217</v>
      </c>
      <c r="L5">
        <v>1</v>
      </c>
      <c r="M5" s="63">
        <v>46184.249305555553</v>
      </c>
      <c r="N5" t="str">
        <v>Jesper Fredriksson</v>
      </c>
    </row>
    <row r="6" spans="1:14" x14ac:dyDescent="0.25">
      <c r="A6" s="8" t="str">
        <f>A$5</f>
        <v>525-00193</v>
      </c>
      <c r="B6" s="418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18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525-00193</v>
      </c>
      <c r="B7" s="418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18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525-00193</v>
      </c>
      <c r="B8" s="41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1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thickBot="1" x14ac:dyDescent="0.3">
      <c r="A9" s="191" t="s">
        <v>104</v>
      </c>
      <c r="B9" s="192" t="s">
        <v>388</v>
      </c>
      <c r="C9" s="192" t="s">
        <v>105</v>
      </c>
      <c r="D9" s="193" t="s">
        <v>106</v>
      </c>
      <c r="E9" s="192" t="s">
        <v>112</v>
      </c>
      <c r="F9" s="192" t="s">
        <v>107</v>
      </c>
      <c r="G9" s="194" t="s">
        <v>108</v>
      </c>
      <c r="H9" s="195" t="s">
        <v>109</v>
      </c>
    </row>
    <row r="10" spans="1:14" x14ac:dyDescent="0.25">
      <c r="A10" s="41" t="s">
        <v>28</v>
      </c>
      <c r="B10" s="412" t="s">
        <v>394</v>
      </c>
      <c r="C10" s="42" t="str" cm="1">
        <f t="array" ref="C10">_xlfn.LET(_xlpm.x,IFERROR(INDEX(_xlfn.ANCHORARRAY($J$10),ROWS($C$10:C10),1),""),IF(_xlpm.x="","N/A",_xlpm.x))</f>
        <v>091825MMM</v>
      </c>
      <c r="D10" s="43" cm="1">
        <f t="array" ref="D10">_xlfn.LET(_xlpm.x,IFERROR(INDEX(_xlfn.ANCHORARRAY($J$10),ROWS($D$10:D10),2),""),IF(_xlpm.x="","N/A",_xlpm.x))</f>
        <v>46188</v>
      </c>
      <c r="E10" s="411" t="s">
        <v>556</v>
      </c>
      <c r="F10" s="42" cm="1">
        <f t="array" ref="F10">_xlfn.LET(_xlpm.x,IFERROR(INDEX(_xlfn.ANCHORARRAY($J$10),ROWS($F$10:F10),3),""),IF(_xlpm.x="","N/A",_xlpm.x))</f>
        <v>0.5</v>
      </c>
      <c r="G10" s="43" cm="1">
        <f t="array" ref="G10">_xlfn.LET(_xlpm.x,IFERROR(INDEX(_xlfn.ANCHORARRAY($J$10),ROWS($G$10:G10),4),""),IF(_xlpm.x="","N/A",_xlpm.x))</f>
        <v>46184.249305555553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525-00194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091825MMM</v>
      </c>
      <c r="K10" s="63">
        <v>46188</v>
      </c>
      <c r="L10">
        <v>0.5</v>
      </c>
      <c r="M10" s="63">
        <v>46184.249305555553</v>
      </c>
      <c r="N10" t="str">
        <v>Jesper Fredriksson</v>
      </c>
    </row>
    <row r="11" spans="1:14" x14ac:dyDescent="0.25">
      <c r="A11" s="8" t="str">
        <f>A$10</f>
        <v>525-00194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06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525-00194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06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525-00194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09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thickBot="1" x14ac:dyDescent="0.3">
      <c r="A14" s="282" t="s">
        <v>104</v>
      </c>
      <c r="B14" s="320" t="s">
        <v>388</v>
      </c>
      <c r="C14" s="320" t="s">
        <v>105</v>
      </c>
      <c r="D14" s="321" t="s">
        <v>106</v>
      </c>
      <c r="E14" s="320" t="s">
        <v>112</v>
      </c>
      <c r="F14" s="320" t="s">
        <v>107</v>
      </c>
      <c r="G14" s="285" t="s">
        <v>108</v>
      </c>
      <c r="H14" s="286" t="s">
        <v>109</v>
      </c>
    </row>
    <row r="15" spans="1:14" x14ac:dyDescent="0.25">
      <c r="A15" s="41" t="s">
        <v>29</v>
      </c>
      <c r="B15" s="412" t="s">
        <v>395</v>
      </c>
      <c r="C15" s="42" t="str" cm="1">
        <f t="array" ref="C15">_xlfn.LET(_xlpm.x,IFERROR(INDEX(_xlfn.ANCHORARRAY($J$15),ROWS($C$15:C15),1),""),IF(_xlpm.x="","N/A",_xlpm.x))</f>
        <v>100325MASA</v>
      </c>
      <c r="D15" s="43" cm="1">
        <f t="array" ref="D15">_xlfn.LET(_xlpm.x,IFERROR(INDEX(_xlfn.ANCHORARRAY($J$15),ROWS($D$15:D15),2),""),IF(_xlpm.x="","N/A",_xlpm.x))</f>
        <v>46203</v>
      </c>
      <c r="E15" s="411" t="s">
        <v>556</v>
      </c>
      <c r="F15" s="42" cm="1">
        <f t="array" ref="F15">_xlfn.LET(_xlpm.x,IFERROR(INDEX(_xlfn.ANCHORARRAY($J$15),ROWS($F$15:F15),3),""),IF(_xlpm.x="","N/A",_xlpm.x))</f>
        <v>53</v>
      </c>
      <c r="G15" s="43" cm="1">
        <f t="array" ref="G15">_xlfn.LET(_xlpm.x,IFERROR(INDEX(_xlfn.ANCHORARRAY($J$15),ROWS($G$15:G15),4),""),IF(_xlpm.x="","N/A",_xlpm.x))</f>
        <v>46184.25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-00195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100325MASA</v>
      </c>
      <c r="K15" s="63">
        <v>46203</v>
      </c>
      <c r="L15">
        <v>53</v>
      </c>
      <c r="M15" s="63">
        <v>46184.25</v>
      </c>
      <c r="N15" t="str">
        <v>Jesper Fredriksson</v>
      </c>
    </row>
    <row r="16" spans="1:14" x14ac:dyDescent="0.25">
      <c r="A16" s="8" t="str">
        <f>A$15</f>
        <v>525-00195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06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x14ac:dyDescent="0.25">
      <c r="A17" s="8" t="str">
        <f>A$15</f>
        <v>525-00195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06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525-00195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09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thickBot="1" x14ac:dyDescent="0.3">
      <c r="A19" s="282" t="s">
        <v>104</v>
      </c>
      <c r="B19" s="283" t="s">
        <v>388</v>
      </c>
      <c r="C19" s="283" t="s">
        <v>105</v>
      </c>
      <c r="D19" s="284" t="s">
        <v>106</v>
      </c>
      <c r="E19" s="283" t="s">
        <v>112</v>
      </c>
      <c r="F19" s="283" t="s">
        <v>107</v>
      </c>
      <c r="G19" s="285" t="s">
        <v>108</v>
      </c>
      <c r="H19" s="286" t="s">
        <v>109</v>
      </c>
    </row>
    <row r="20" spans="1:14" x14ac:dyDescent="0.25">
      <c r="A20" s="41" t="s">
        <v>30</v>
      </c>
      <c r="B20" s="412" t="s">
        <v>396</v>
      </c>
      <c r="C20" s="42" t="str" cm="1">
        <f t="array" ref="C20">_xlfn.LET(_xlpm.x,IFERROR(INDEX(_xlfn.ANCHORARRAY($J$20),ROWS($C$20:C20),1),""),IF(_xlpm.x="","N/A",_xlpm.x))</f>
        <v>102225SAMI</v>
      </c>
      <c r="D20" s="43" cm="1">
        <f t="array" ref="D20">_xlfn.LET(_xlpm.x,IFERROR(INDEX(_xlfn.ANCHORARRAY($J$20),ROWS($D$20:D20),2),""),IF(_xlpm.x="","N/A",_xlpm.x))</f>
        <v>46287</v>
      </c>
      <c r="E20" s="411" t="s">
        <v>556</v>
      </c>
      <c r="F20" s="42" cm="1">
        <f t="array" ref="F20">_xlfn.LET(_xlpm.x,IFERROR(INDEX(_xlfn.ANCHORARRAY($J$20),ROWS($F$20:F20),3),""),IF(_xlpm.x="","N/A",_xlpm.x))</f>
        <v>1</v>
      </c>
      <c r="G20" s="43" cm="1">
        <f t="array" ref="G20">_xlfn.LET(_xlpm.x,IFERROR(INDEX(_xlfn.ANCHORARRAY($J$20),ROWS($G$20:G20),4),""),IF(_xlpm.x="","N/A",_xlpm.x))</f>
        <v>46184.243750000001</v>
      </c>
      <c r="H20" s="45" t="str" cm="1">
        <f t="array" ref="H20">_xlfn.LET(_xlpm.x,IFERROR(INDEX(_xlfn.ANCHORARRAY($J$20),ROWS($H$20:H20),5),""),IF(_xlpm.x="","N/A",_xlpm.x))</f>
        <v>Jesper Fredriksson</v>
      </c>
      <c r="J20" t="str" cm="1">
        <f t="array" ref="J20:N20">_xlfn.LET(_xlpm.pn,"525-00099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102225SAMI</v>
      </c>
      <c r="K20" s="63">
        <v>46287</v>
      </c>
      <c r="L20">
        <v>1</v>
      </c>
      <c r="M20" s="63">
        <v>46184.243750000001</v>
      </c>
      <c r="N20" t="str">
        <v>Jesper Fredriksson</v>
      </c>
    </row>
    <row r="21" spans="1:14" x14ac:dyDescent="0.25">
      <c r="A21" s="8" t="str">
        <f>A$20</f>
        <v>525-00196</v>
      </c>
      <c r="B21" s="406"/>
      <c r="C21" s="37" t="str" cm="1">
        <f t="array" ref="C21">_xlfn.LET(_xlpm.x,IFERROR(INDEX(_xlfn.ANCHORARRAY($J$20),ROWS($C$20:C21),1),""),IF(_xlpm.x="","N/A",_xlpm.x))</f>
        <v>N/A</v>
      </c>
      <c r="D21" s="38" t="str" cm="1">
        <f t="array" ref="D21">_xlfn.LET(_xlpm.x,IFERROR(INDEX(_xlfn.ANCHORARRAY($J$20),ROWS($D$20:D21),2),""),IF(_xlpm.x="","N/A",_xlpm.x))</f>
        <v>N/A</v>
      </c>
      <c r="E21" s="406"/>
      <c r="F21" s="37" t="str" cm="1">
        <f t="array" ref="F21">_xlfn.LET(_xlpm.x,IFERROR(INDEX(_xlfn.ANCHORARRAY($J$20),ROWS($F$20:F21),3),""),IF(_xlpm.x="","N/A",_xlpm.x))</f>
        <v>N/A</v>
      </c>
      <c r="G21" s="38" t="str" cm="1">
        <f t="array" ref="G21">_xlfn.LET(_xlpm.x,IFERROR(INDEX(_xlfn.ANCHORARRAY($J$20),ROWS($G$20:G21),4),""),IF(_xlpm.x="","N/A",_xlpm.x))</f>
        <v>N/A</v>
      </c>
      <c r="H21" s="26" t="str" cm="1">
        <f t="array" ref="H21">_xlfn.LET(_xlpm.x,IFERROR(INDEX(_xlfn.ANCHORARRAY($J$20),ROWS($H$20:H21),5),""),IF(_xlpm.x="","N/A",_xlpm.x))</f>
        <v>N/A</v>
      </c>
    </row>
    <row r="22" spans="1:14" x14ac:dyDescent="0.25">
      <c r="A22" s="8" t="str">
        <f>A$20</f>
        <v>525-00196</v>
      </c>
      <c r="B22" s="406"/>
      <c r="C22" s="37" t="str" cm="1">
        <f t="array" ref="C22">_xlfn.LET(_xlpm.x,IFERROR(INDEX(_xlfn.ANCHORARRAY($J$20),ROWS($C$20:C22),1),""),IF(_xlpm.x="","N/A",_xlpm.x))</f>
        <v>N/A</v>
      </c>
      <c r="D22" s="38" t="str" cm="1">
        <f t="array" ref="D22">_xlfn.LET(_xlpm.x,IFERROR(INDEX(_xlfn.ANCHORARRAY($J$20),ROWS($D$20:D22),2),""),IF(_xlpm.x="","N/A",_xlpm.x))</f>
        <v>N/A</v>
      </c>
      <c r="E22" s="406"/>
      <c r="F22" s="37" t="str" cm="1">
        <f t="array" ref="F22">_xlfn.LET(_xlpm.x,IFERROR(INDEX(_xlfn.ANCHORARRAY($J$20),ROWS($F$20:F22),3),""),IF(_xlpm.x="","N/A",_xlpm.x))</f>
        <v>N/A</v>
      </c>
      <c r="G22" s="38" t="str" cm="1">
        <f t="array" ref="G22">_xlfn.LET(_xlpm.x,IFERROR(INDEX(_xlfn.ANCHORARRAY($J$20),ROWS($G$20:G22),4),""),IF(_xlpm.x="","N/A",_xlpm.x))</f>
        <v>N/A</v>
      </c>
      <c r="H22" s="26" t="str" cm="1">
        <f t="array" ref="H22">_xlfn.LET(_xlpm.x,IFERROR(INDEX(_xlfn.ANCHORARRAY($J$20),ROWS($H$20:H22),5),""),IF(_xlpm.x="","N/A",_xlpm.x))</f>
        <v>N/A</v>
      </c>
    </row>
    <row r="23" spans="1:14" ht="15.75" customHeight="1" thickBot="1" x14ac:dyDescent="0.3">
      <c r="A23" s="29" t="str">
        <f>A$20</f>
        <v>525-00196</v>
      </c>
      <c r="B23" s="409"/>
      <c r="C23" s="39" t="str" cm="1">
        <f t="array" ref="C23">_xlfn.LET(_xlpm.x,IFERROR(INDEX(_xlfn.ANCHORARRAY($J$20),ROWS($C$20:C23),1),""),IF(_xlpm.x="","N/A",_xlpm.x))</f>
        <v>N/A</v>
      </c>
      <c r="D23" s="40" t="str" cm="1">
        <f t="array" ref="D23">_xlfn.LET(_xlpm.x,IFERROR(INDEX(_xlfn.ANCHORARRAY($J$20),ROWS($D$20:D23),2),""),IF(_xlpm.x="","N/A",_xlpm.x))</f>
        <v>N/A</v>
      </c>
      <c r="E23" s="409"/>
      <c r="F23" s="39" t="str" cm="1">
        <f t="array" ref="F23">_xlfn.LET(_xlpm.x,IFERROR(INDEX(_xlfn.ANCHORARRAY($J$20),ROWS($F$20:F23),3),""),IF(_xlpm.x="","N/A",_xlpm.x))</f>
        <v>N/A</v>
      </c>
      <c r="G23" s="40" t="str" cm="1">
        <f t="array" ref="G23">_xlfn.LET(_xlpm.x,IFERROR(INDEX(_xlfn.ANCHORARRAY($J$20),ROWS($G$20:G23),4),""),IF(_xlpm.x="","N/A",_xlpm.x))</f>
        <v>N/A</v>
      </c>
      <c r="H23" s="30" t="str" cm="1">
        <f t="array" ref="H23">_xlfn.LET(_xlpm.x,IFERROR(INDEX(_xlfn.ANCHORARRAY($J$20),ROWS($H$20:H23),5),""),IF(_xlpm.x="","N/A",_xlpm.x))</f>
        <v>N/A</v>
      </c>
    </row>
    <row r="24" spans="1:14" ht="15.75" customHeight="1" thickBot="1" x14ac:dyDescent="0.3">
      <c r="A24" s="35"/>
      <c r="B24" s="84"/>
      <c r="C24" s="35"/>
      <c r="D24" s="36"/>
      <c r="E24" s="35"/>
      <c r="F24" s="35"/>
      <c r="G24" s="36"/>
      <c r="H24" s="35"/>
    </row>
    <row r="25" spans="1:14" ht="15.75" customHeight="1" thickBot="1" x14ac:dyDescent="0.3">
      <c r="A25" s="95" t="s">
        <v>104</v>
      </c>
      <c r="B25" s="96" t="s">
        <v>388</v>
      </c>
      <c r="C25" s="96" t="s">
        <v>105</v>
      </c>
      <c r="D25" s="97" t="s">
        <v>106</v>
      </c>
      <c r="E25" s="96" t="s">
        <v>112</v>
      </c>
      <c r="F25" s="96" t="s">
        <v>107</v>
      </c>
      <c r="G25" s="98" t="s">
        <v>108</v>
      </c>
      <c r="H25" s="99" t="s">
        <v>109</v>
      </c>
    </row>
    <row r="26" spans="1:14" x14ac:dyDescent="0.25">
      <c r="A26" s="41" t="s">
        <v>25</v>
      </c>
      <c r="B26" s="412" t="s">
        <v>121</v>
      </c>
      <c r="C26" s="42" t="str" cm="1">
        <f t="array" ref="C26">_xlfn.LET(_xlpm.x,IFERROR(INDEX(_xlfn.ANCHORARRAY($J$26),ROWS($C$26:C26),1),""),IF(_xlpm.x="","N/A",_xlpm.x))</f>
        <v>336271 - POS</v>
      </c>
      <c r="D26" s="43" cm="1">
        <f t="array" ref="D26">_xlfn.LET(_xlpm.x,IFERROR(INDEX(_xlfn.ANCHORARRAY($J$26),ROWS($D$26:D26),2),""),IF(_xlpm.x="","N/A",_xlpm.x))</f>
        <v>46478</v>
      </c>
      <c r="E26" s="412" t="s">
        <v>557</v>
      </c>
      <c r="F26" s="42" cm="1">
        <f t="array" ref="F26">_xlfn.LET(_xlpm.x,IFERROR(INDEX(_xlfn.ANCHORARRAY($J$26),ROWS($F$26:F26),3),""),IF(_xlpm.x="","N/A",_xlpm.x))</f>
        <v>5</v>
      </c>
      <c r="G26" s="43" cm="1">
        <f t="array" ref="G26">_xlfn.LET(_xlpm.x,IFERROR(INDEX(_xlfn.ANCHORARRAY($J$26),ROWS($G$26:G26),4),""),IF(_xlpm.x="","N/A",_xlpm.x))</f>
        <v>46183.921527777777</v>
      </c>
      <c r="H26" s="45" t="str" cm="1">
        <f t="array" ref="H26">_xlfn.LET(_xlpm.x,IFERROR(INDEX(_xlfn.ANCHORARRAY($J$26),ROWS($H$26:H26),5),""),IF(_xlpm.x="","N/A",_xlpm.x))</f>
        <v>Jesper Fredriksson</v>
      </c>
      <c r="J26" t="str" cm="1">
        <f t="array" ref="J26:N27">_xlfn.LET(_xlpm.pn,"001-1471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336271 - POS</v>
      </c>
      <c r="K26" s="63">
        <v>46478</v>
      </c>
      <c r="L26">
        <v>5</v>
      </c>
      <c r="M26" s="63">
        <v>46183.921527777777</v>
      </c>
      <c r="N26" t="str">
        <v>Jesper Fredriksson</v>
      </c>
    </row>
    <row r="27" spans="1:14" x14ac:dyDescent="0.25">
      <c r="A27" s="8" t="str">
        <f>A$26</f>
        <v>001-1471</v>
      </c>
      <c r="B27" s="406"/>
      <c r="C27" s="37" t="str" cm="1">
        <f t="array" ref="C27">_xlfn.LET(_xlpm.x,IFERROR(INDEX(_xlfn.ANCHORARRAY($J$26),ROWS($C$26:C27),1),""),IF(_xlpm.x="","N/A",_xlpm.x))</f>
        <v>336271 - NEG</v>
      </c>
      <c r="D27" s="38" cm="1">
        <f t="array" ref="D27">_xlfn.LET(_xlpm.x,IFERROR(INDEX(_xlfn.ANCHORARRAY($J$26),ROWS($D$26:D27),2),""),IF(_xlpm.x="","N/A",_xlpm.x))</f>
        <v>46478</v>
      </c>
      <c r="E27" s="406"/>
      <c r="F27" s="37" cm="1">
        <f t="array" ref="F27">_xlfn.LET(_xlpm.x,IFERROR(INDEX(_xlfn.ANCHORARRAY($J$26),ROWS($F$26:F27),3),""),IF(_xlpm.x="","N/A",_xlpm.x))</f>
        <v>2</v>
      </c>
      <c r="G27" s="38" cm="1">
        <f t="array" ref="G27">_xlfn.LET(_xlpm.x,IFERROR(INDEX(_xlfn.ANCHORARRAY($J$26),ROWS($G$26:G27),4),""),IF(_xlpm.x="","N/A",_xlpm.x))</f>
        <v>46183.92083333333</v>
      </c>
      <c r="H27" s="26" t="str" cm="1">
        <f t="array" ref="H27">_xlfn.LET(_xlpm.x,IFERROR(INDEX(_xlfn.ANCHORARRAY($J$26),ROWS($H$26:H27),5),""),IF(_xlpm.x="","N/A",_xlpm.x))</f>
        <v>Jesper Fredriksson</v>
      </c>
      <c r="J27" t="str">
        <v>336271 - NEG</v>
      </c>
      <c r="K27" s="63">
        <v>46478</v>
      </c>
      <c r="L27">
        <v>2</v>
      </c>
      <c r="M27" s="63">
        <v>46183.92083333333</v>
      </c>
      <c r="N27" t="str">
        <v>Jesper Fredriksson</v>
      </c>
    </row>
    <row r="28" spans="1:14" x14ac:dyDescent="0.25">
      <c r="A28" s="8" t="str">
        <f>A$26</f>
        <v>001-1471</v>
      </c>
      <c r="B28" s="406"/>
      <c r="C28" s="37" t="str" cm="1">
        <f t="array" ref="C28">_xlfn.LET(_xlpm.x,IFERROR(INDEX(_xlfn.ANCHORARRAY($J$26),ROWS($C$26:C28),1),""),IF(_xlpm.x="","N/A",_xlpm.x))</f>
        <v>N/A</v>
      </c>
      <c r="D28" s="38" t="str" cm="1">
        <f t="array" ref="D28">_xlfn.LET(_xlpm.x,IFERROR(INDEX(_xlfn.ANCHORARRAY($J$26),ROWS($D$26:D28),2),""),IF(_xlpm.x="","N/A",_xlpm.x))</f>
        <v>N/A</v>
      </c>
      <c r="E28" s="406"/>
      <c r="F28" s="37" t="str" cm="1">
        <f t="array" ref="F28">_xlfn.LET(_xlpm.x,IFERROR(INDEX(_xlfn.ANCHORARRAY($J$26),ROWS($F$26:F28),3),""),IF(_xlpm.x="","N/A",_xlpm.x))</f>
        <v>N/A</v>
      </c>
      <c r="G28" s="38" t="str" cm="1">
        <f t="array" ref="G28">_xlfn.LET(_xlpm.x,IFERROR(INDEX(_xlfn.ANCHORARRAY($J$26),ROWS($G$26:G28),4),""),IF(_xlpm.x="","N/A",_xlpm.x))</f>
        <v>N/A</v>
      </c>
      <c r="H28" s="26" t="str" cm="1">
        <f t="array" ref="H28">_xlfn.LET(_xlpm.x,IFERROR(INDEX(_xlfn.ANCHORARRAY($J$26),ROWS($H$26:H28),5),""),IF(_xlpm.x="","N/A",_xlpm.x))</f>
        <v>N/A</v>
      </c>
    </row>
    <row r="29" spans="1:14" ht="15.75" customHeight="1" thickBot="1" x14ac:dyDescent="0.3">
      <c r="A29" s="29" t="str">
        <f>A$26</f>
        <v>001-1471</v>
      </c>
      <c r="B29" s="409"/>
      <c r="C29" s="39" t="str" cm="1">
        <f t="array" ref="C29">_xlfn.LET(_xlpm.x,IFERROR(INDEX(_xlfn.ANCHORARRAY($J$26),ROWS($C$26:C29),1),""),IF(_xlpm.x="","N/A",_xlpm.x))</f>
        <v>N/A</v>
      </c>
      <c r="D29" s="40" t="str" cm="1">
        <f t="array" ref="D29">_xlfn.LET(_xlpm.x,IFERROR(INDEX(_xlfn.ANCHORARRAY($J$26),ROWS($D$26:D29),2),""),IF(_xlpm.x="","N/A",_xlpm.x))</f>
        <v>N/A</v>
      </c>
      <c r="E29" s="409"/>
      <c r="F29" s="39" t="str" cm="1">
        <f t="array" ref="F29">_xlfn.LET(_xlpm.x,IFERROR(INDEX(_xlfn.ANCHORARRAY($J$26),ROWS($F$26:F29),3),""),IF(_xlpm.x="","N/A",_xlpm.x))</f>
        <v>N/A</v>
      </c>
      <c r="G29" s="40" t="str" cm="1">
        <f t="array" ref="G29">_xlfn.LET(_xlpm.x,IFERROR(INDEX(_xlfn.ANCHORARRAY($J$26),ROWS($G$26:G29),4),""),IF(_xlpm.x="","N/A",_xlpm.x))</f>
        <v>N/A</v>
      </c>
      <c r="H29" s="30" t="str" cm="1">
        <f t="array" ref="H29">_xlfn.LET(_xlpm.x,IFERROR(INDEX(_xlfn.ANCHORARRAY($J$26),ROWS($H$26:H29),5),""),IF(_xlpm.x="","N/A",_xlpm.x))</f>
        <v>N/A</v>
      </c>
    </row>
  </sheetData>
  <mergeCells count="11">
    <mergeCell ref="E26:E29"/>
    <mergeCell ref="B5:B8"/>
    <mergeCell ref="A2:H2"/>
    <mergeCell ref="B26:B29"/>
    <mergeCell ref="B20:B23"/>
    <mergeCell ref="E20:E23"/>
    <mergeCell ref="B15:B18"/>
    <mergeCell ref="E15:E18"/>
    <mergeCell ref="E5:E8"/>
    <mergeCell ref="B10:B13"/>
    <mergeCell ref="E10:E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-0.249977111117893"/>
  </sheetPr>
  <dimension ref="A1:BE21"/>
  <sheetViews>
    <sheetView workbookViewId="0"/>
  </sheetViews>
  <sheetFormatPr defaultRowHeight="15" x14ac:dyDescent="0.25"/>
  <cols>
    <col min="1" max="1" width="8.7109375" bestFit="1" customWidth="1"/>
    <col min="2" max="2" width="21" bestFit="1" customWidth="1"/>
    <col min="3" max="3" width="15" customWidth="1"/>
    <col min="4" max="4" width="14" bestFit="1" customWidth="1"/>
    <col min="5" max="5" width="15.85546875" customWidth="1"/>
    <col min="6" max="7" width="17.85546875" bestFit="1" customWidth="1"/>
    <col min="8" max="8" width="17.7109375" bestFit="1" customWidth="1"/>
    <col min="11" max="11" width="10.42578125" style="63" bestFit="1" customWidth="1"/>
    <col min="13" max="13" width="10.42578125" style="63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21" t="s">
        <v>31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</row>
    <row r="4" spans="1:14" ht="15.75" customHeight="1" thickBot="1" x14ac:dyDescent="0.3">
      <c r="A4" s="100" t="s">
        <v>104</v>
      </c>
      <c r="B4" s="101" t="s">
        <v>388</v>
      </c>
      <c r="C4" s="101" t="s">
        <v>105</v>
      </c>
      <c r="D4" s="102" t="s">
        <v>106</v>
      </c>
      <c r="E4" s="101" t="s">
        <v>112</v>
      </c>
      <c r="F4" s="101" t="s">
        <v>107</v>
      </c>
      <c r="G4" s="103" t="s">
        <v>108</v>
      </c>
      <c r="H4" s="104" t="s">
        <v>109</v>
      </c>
    </row>
    <row r="5" spans="1:14" x14ac:dyDescent="0.25">
      <c r="A5" s="41" t="s">
        <v>32</v>
      </c>
      <c r="B5" s="412" t="s">
        <v>181</v>
      </c>
      <c r="C5" s="42" t="str" cm="1">
        <f t="array" ref="C5">_xlfn.LET(_xlpm.x,IFERROR(INDEX(_xlfn.ANCHORARRAY($J$5),ROWS($C$5:C5),1),""),IF(_xlpm.x="","N/A",_xlpm.x))</f>
        <v>012224ELIF</v>
      </c>
      <c r="D5" s="43" cm="1">
        <f t="array" ref="D5">_xlfn.LET(_xlpm.x,IFERROR(INDEX(_xlfn.ANCHORARRAY($J$5),ROWS($D$5:D5),2),""),IF(_xlpm.x="","N/A",_xlpm.x))</f>
        <v>46409</v>
      </c>
      <c r="E5" s="411" t="s">
        <v>632</v>
      </c>
      <c r="F5" s="42" cm="1">
        <f t="array" ref="F5">_xlfn.LET(_xlpm.x,IFERROR(INDEX(_xlfn.ANCHORARRAY($J$5),ROWS($F$5:F5),3),""),IF(_xlpm.x="","N/A",_xlpm.x))</f>
        <v>2</v>
      </c>
      <c r="G5" s="43" cm="1">
        <f t="array" ref="G5">_xlfn.LET(_xlpm.x,IFERROR(INDEX(_xlfn.ANCHORARRAY($J$5),ROWS($G$5:G5),4),""),IF(_xlpm.x="","N/A",_xlpm.x))</f>
        <v>46183.929861111108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6">_xlfn.LET(_xlpm.pn,"500-1526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012224ELIF</v>
      </c>
      <c r="K5" s="63">
        <v>46409</v>
      </c>
      <c r="L5">
        <v>2</v>
      </c>
      <c r="M5" s="63">
        <v>46183.929861111108</v>
      </c>
      <c r="N5" t="str">
        <v>Jesper Fredriksson</v>
      </c>
    </row>
    <row r="6" spans="1:14" x14ac:dyDescent="0.25">
      <c r="A6" s="8" t="str">
        <f>A$5</f>
        <v>500-1526</v>
      </c>
      <c r="B6" s="406"/>
      <c r="C6" s="37" t="str" cm="1">
        <f t="array" ref="C6">_xlfn.LET(_xlpm.x,IFERROR(INDEX(_xlfn.ANCHORARRAY($J$5),ROWS($C$5:C6),1),""),IF(_xlpm.x="","N/A",_xlpm.x))</f>
        <v>012624MATE</v>
      </c>
      <c r="D6" s="38" cm="1">
        <f t="array" ref="D6">_xlfn.LET(_xlpm.x,IFERROR(INDEX(_xlfn.ANCHORARRAY($J$5),ROWS($D$5:D6),2),""),IF(_xlpm.x="","N/A",_xlpm.x))</f>
        <v>46413</v>
      </c>
      <c r="E6" s="406"/>
      <c r="F6" s="37" cm="1">
        <f t="array" ref="F6">_xlfn.LET(_xlpm.x,IFERROR(INDEX(_xlfn.ANCHORARRAY($J$5),ROWS($F$5:F6),3),""),IF(_xlpm.x="","N/A",_xlpm.x))</f>
        <v>0.5</v>
      </c>
      <c r="G6" s="38" cm="1">
        <f t="array" ref="G6">_xlfn.LET(_xlpm.x,IFERROR(INDEX(_xlfn.ANCHORARRAY($J$5),ROWS($G$5:G6),4),""),IF(_xlpm.x="","N/A",_xlpm.x))</f>
        <v>46183.929861111108</v>
      </c>
      <c r="H6" s="26" t="str" cm="1">
        <f t="array" ref="H6">_xlfn.LET(_xlpm.x,IFERROR(INDEX(_xlfn.ANCHORARRAY($J$5),ROWS($H$5:H6),5),""),IF(_xlpm.x="","N/A",_xlpm.x))</f>
        <v>Jesper Fredriksson</v>
      </c>
      <c r="J6" t="str">
        <v>012624MATE</v>
      </c>
      <c r="K6" s="63">
        <v>46413</v>
      </c>
      <c r="L6">
        <v>0.5</v>
      </c>
      <c r="M6" s="63">
        <v>46183.929861111108</v>
      </c>
      <c r="N6" t="str">
        <v>Jesper Fredriksson</v>
      </c>
    </row>
    <row r="7" spans="1:14" x14ac:dyDescent="0.25">
      <c r="A7" s="8" t="str">
        <f>A$5</f>
        <v>500-1526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06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500-1526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0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05" t="s">
        <v>104</v>
      </c>
      <c r="B9" s="106" t="s">
        <v>388</v>
      </c>
      <c r="C9" s="106" t="s">
        <v>105</v>
      </c>
      <c r="D9" s="107" t="s">
        <v>106</v>
      </c>
      <c r="E9" s="106" t="s">
        <v>112</v>
      </c>
      <c r="F9" s="106" t="s">
        <v>107</v>
      </c>
      <c r="G9" s="108" t="s">
        <v>108</v>
      </c>
      <c r="H9" s="109" t="s">
        <v>109</v>
      </c>
    </row>
    <row r="10" spans="1:14" x14ac:dyDescent="0.25">
      <c r="A10" s="41" t="s">
        <v>33</v>
      </c>
      <c r="B10" s="411" t="s">
        <v>187</v>
      </c>
      <c r="C10" s="42" t="str" cm="1">
        <f t="array" ref="C10">_xlfn.LET(_xlpm.x,IFERROR(INDEX(_xlfn.ANCHORARRAY($J$10),ROWS($C$10:C10),1),""),IF(_xlpm.x="","N/A",_xlpm.x))</f>
        <v>011624MATE</v>
      </c>
      <c r="D10" s="43" cm="1">
        <f t="array" ref="D10">_xlfn.LET(_xlpm.x,IFERROR(INDEX(_xlfn.ANCHORARRAY($J$10),ROWS($D$10:D10),2),""),IF(_xlpm.x="","N/A",_xlpm.x))</f>
        <v>46403</v>
      </c>
      <c r="E10" s="411" t="s">
        <v>556</v>
      </c>
      <c r="F10" s="42" cm="1">
        <f t="array" ref="F10">_xlfn.LET(_xlpm.x,IFERROR(INDEX(_xlfn.ANCHORARRAY($J$10),ROWS($F$10:F10),3),""),IF(_xlpm.x="","N/A",_xlpm.x))</f>
        <v>2</v>
      </c>
      <c r="G10" s="43" cm="1">
        <f t="array" ref="G10">_xlfn.LET(_xlpm.x,IFERROR(INDEX(_xlfn.ANCHORARRAY($J$10),ROWS($G$10:G10),4),""),IF(_xlpm.x="","N/A",_xlpm.x))</f>
        <v>46183.930555555555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500-1544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011624MATE</v>
      </c>
      <c r="K10" s="63">
        <v>46403</v>
      </c>
      <c r="L10">
        <v>2</v>
      </c>
      <c r="M10" s="63">
        <v>46183.930555555555</v>
      </c>
      <c r="N10" t="str">
        <v>Jesper Fredriksson</v>
      </c>
    </row>
    <row r="11" spans="1:14" x14ac:dyDescent="0.25">
      <c r="A11" s="8" t="str">
        <f>A$10</f>
        <v>500-1544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06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500-1544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06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500-1544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09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/>
    <row r="15" spans="1:14" ht="24" customHeight="1" thickBot="1" x14ac:dyDescent="0.3">
      <c r="A15" s="408" t="s">
        <v>397</v>
      </c>
      <c r="B15" s="377"/>
      <c r="C15" s="377"/>
      <c r="D15" s="377"/>
      <c r="E15" s="377"/>
      <c r="F15" s="377"/>
      <c r="G15" s="377"/>
      <c r="H15" s="378"/>
    </row>
    <row r="16" spans="1:14" ht="15.75" customHeight="1" thickBot="1" x14ac:dyDescent="0.3">
      <c r="A16" s="405" t="s">
        <v>177</v>
      </c>
      <c r="B16" s="377"/>
      <c r="C16" s="377"/>
      <c r="D16" s="377"/>
      <c r="E16" s="377"/>
      <c r="F16" s="377"/>
      <c r="G16" s="377"/>
      <c r="H16" s="378"/>
    </row>
    <row r="17" spans="1:14" ht="15.75" customHeight="1" thickBot="1" x14ac:dyDescent="0.3">
      <c r="A17" s="407" t="s">
        <v>389</v>
      </c>
      <c r="B17" s="362"/>
      <c r="C17" s="363"/>
      <c r="D17" s="404" t="s">
        <v>106</v>
      </c>
      <c r="E17" s="363"/>
      <c r="F17" s="49" t="s">
        <v>356</v>
      </c>
      <c r="G17" s="50" t="s">
        <v>108</v>
      </c>
      <c r="H17" s="51" t="s">
        <v>109</v>
      </c>
    </row>
    <row r="18" spans="1:14" x14ac:dyDescent="0.25">
      <c r="A18" s="361" t="str" cm="1">
        <f t="array" ref="A18">_xlfn.LET(_xlpm.x,IFERROR(INDEX(_xlfn.ANCHORARRAY($J$18),ROWS($C$18:C18),1),""),IF(_xlpm.x="","N/A",_xlpm.x))</f>
        <v>1001517662</v>
      </c>
      <c r="B18" s="403"/>
      <c r="C18" s="403"/>
      <c r="D18" s="359" cm="1">
        <f t="array" ref="D18">_xlfn.LET(_xlpm.x,IFERROR(INDEX(_xlfn.ANCHORARRAY($J$18),ROWS($D$18:D18),2),""),IF(_xlpm.x="","N/A",_xlpm.x))</f>
        <v>46234</v>
      </c>
      <c r="E18" s="403"/>
      <c r="F18" s="42" cm="1">
        <f t="array" ref="F18">_xlfn.LET(_xlpm.x,IFERROR(INDEX(_xlfn.ANCHORARRAY($J$18),ROWS($F$18:F18),3),""),IF(_xlpm.x="","N/A",_xlpm.x))</f>
        <v>5</v>
      </c>
      <c r="G18" s="43" cm="1">
        <f t="array" ref="G18">_xlfn.LET(_xlpm.x,IFERROR(INDEX(_xlfn.ANCHORARRAY($J$18),ROWS($G$18:G18),4),""),IF(_xlpm.x="","N/A",_xlpm.x))</f>
        <v>46113.25</v>
      </c>
      <c r="H18" s="45" t="str" cm="1">
        <f t="array" ref="H18">_xlfn.LET(_xlpm.x,IFERROR(INDEX(_xlfn.ANCHORARRAY($J$18),ROWS($H$18:H18),5),""),IF(_xlpm.x="","N/A",_xlpm.x))</f>
        <v>Jesper Fredriksson</v>
      </c>
      <c r="J18" t="str" cm="1">
        <f t="array" ref="J18:N19">_xlfn.LET(_xlpm.pn,"500-1514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1001517662</v>
      </c>
      <c r="K18" s="63">
        <v>46234</v>
      </c>
      <c r="L18">
        <v>5</v>
      </c>
      <c r="M18" s="63">
        <v>46113.25</v>
      </c>
      <c r="N18" t="str">
        <v>Jesper Fredriksson</v>
      </c>
    </row>
    <row r="19" spans="1:14" x14ac:dyDescent="0.25">
      <c r="A19" s="381" t="str" cm="1">
        <f t="array" ref="A19">_xlfn.LET(_xlpm.x,IFERROR(INDEX(_xlfn.ANCHORARRAY($J$18),ROWS($C$18:C19),1),""),IF(_xlpm.x="","N/A",_xlpm.x))</f>
        <v>1001529668</v>
      </c>
      <c r="B19" s="406"/>
      <c r="C19" s="406"/>
      <c r="D19" s="371" cm="1">
        <f t="array" ref="D19">_xlfn.LET(_xlpm.x,IFERROR(INDEX(_xlfn.ANCHORARRAY($J$18),ROWS($D$18:D19),2),""),IF(_xlpm.x="","N/A",_xlpm.x))</f>
        <v>46326</v>
      </c>
      <c r="E19" s="406"/>
      <c r="F19" s="37" cm="1">
        <f t="array" ref="F19">_xlfn.LET(_xlpm.x,IFERROR(INDEX(_xlfn.ANCHORARRAY($J$18),ROWS($F$18:F19),3),""),IF(_xlpm.x="","N/A",_xlpm.x))</f>
        <v>10</v>
      </c>
      <c r="G19" s="38" cm="1">
        <f t="array" ref="G19">_xlfn.LET(_xlpm.x,IFERROR(INDEX(_xlfn.ANCHORARRAY($J$18),ROWS($G$18:G19),4),""),IF(_xlpm.x="","N/A",_xlpm.x))</f>
        <v>46183.929166666669</v>
      </c>
      <c r="H19" s="26" t="str" cm="1">
        <f t="array" ref="H19">_xlfn.LET(_xlpm.x,IFERROR(INDEX(_xlfn.ANCHORARRAY($J$18),ROWS($H$18:H19),5),""),IF(_xlpm.x="","N/A",_xlpm.x))</f>
        <v>Jesper Fredriksson</v>
      </c>
      <c r="J19" t="str">
        <v>1001529668</v>
      </c>
      <c r="K19" s="63">
        <v>46326</v>
      </c>
      <c r="L19">
        <v>10</v>
      </c>
      <c r="M19" s="63">
        <v>46183.929166666669</v>
      </c>
      <c r="N19" t="str">
        <v>Jesper Fredriksson</v>
      </c>
    </row>
    <row r="20" spans="1:14" x14ac:dyDescent="0.25">
      <c r="A20" s="381" t="str" cm="1">
        <f t="array" ref="A20">_xlfn.LET(_xlpm.x,IFERROR(INDEX(_xlfn.ANCHORARRAY($J$18),ROWS($C$18:C20),1),""),IF(_xlpm.x="","N/A",_xlpm.x))</f>
        <v>N/A</v>
      </c>
      <c r="B20" s="406"/>
      <c r="C20" s="406"/>
      <c r="D20" s="371" t="str" cm="1">
        <f t="array" ref="D20">_xlfn.LET(_xlpm.x,IFERROR(INDEX(_xlfn.ANCHORARRAY($J$18),ROWS($D$18:D20),2),""),IF(_xlpm.x="","N/A",_xlpm.x))</f>
        <v>N/A</v>
      </c>
      <c r="E20" s="406"/>
      <c r="F20" s="37" t="str" cm="1">
        <f t="array" ref="F20">_xlfn.LET(_xlpm.x,IFERROR(INDEX(_xlfn.ANCHORARRAY($J$18),ROWS($F$18:F20),3),""),IF(_xlpm.x="","N/A",_xlpm.x))</f>
        <v>N/A</v>
      </c>
      <c r="G20" s="38" t="str" cm="1">
        <f t="array" ref="G20">_xlfn.LET(_xlpm.x,IFERROR(INDEX(_xlfn.ANCHORARRAY($J$18),ROWS($G$18:G20),4),""),IF(_xlpm.x="","N/A",_xlpm.x))</f>
        <v>N/A</v>
      </c>
      <c r="H20" s="26" t="str" cm="1">
        <f t="array" ref="H20">_xlfn.LET(_xlpm.x,IFERROR(INDEX(_xlfn.ANCHORARRAY($J$18),ROWS($H$18:H20),5),""),IF(_xlpm.x="","N/A",_xlpm.x))</f>
        <v>N/A</v>
      </c>
    </row>
    <row r="21" spans="1:14" ht="15.75" customHeight="1" thickBot="1" x14ac:dyDescent="0.3">
      <c r="A21" s="386" t="str" cm="1">
        <f t="array" ref="A21">_xlfn.LET(_xlpm.x,IFERROR(INDEX(_xlfn.ANCHORARRAY($J$18),ROWS($C$18:C21),1),""),IF(_xlpm.x="","N/A",_xlpm.x))</f>
        <v>N/A</v>
      </c>
      <c r="B21" s="409"/>
      <c r="C21" s="409"/>
      <c r="D21" s="373" t="str" cm="1">
        <f t="array" ref="D21">_xlfn.LET(_xlpm.x,IFERROR(INDEX(_xlfn.ANCHORARRAY($J$18),ROWS($D$18:D21),2),""),IF(_xlpm.x="","N/A",_xlpm.x))</f>
        <v>N/A</v>
      </c>
      <c r="E21" s="409"/>
      <c r="F21" s="39" t="str" cm="1">
        <f t="array" ref="F21">_xlfn.LET(_xlpm.x,IFERROR(INDEX(_xlfn.ANCHORARRAY($J$18),ROWS($F$18:F21),3),""),IF(_xlpm.x="","N/A",_xlpm.x))</f>
        <v>N/A</v>
      </c>
      <c r="G21" s="40" t="str" cm="1">
        <f t="array" ref="G21">_xlfn.LET(_xlpm.x,IFERROR(INDEX(_xlfn.ANCHORARRAY($J$18),ROWS($G$18:G21),4),""),IF(_xlpm.x="","N/A",_xlpm.x))</f>
        <v>N/A</v>
      </c>
      <c r="H21" s="30" t="str" cm="1">
        <f t="array" ref="H21">_xlfn.LET(_xlpm.x,IFERROR(INDEX(_xlfn.ANCHORARRAY($J$18),ROWS($H$18:H21),5),""),IF(_xlpm.x="","N/A",_xlpm.x))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17">
    <mergeCell ref="D19:E19"/>
    <mergeCell ref="A2:H2"/>
    <mergeCell ref="A16:H16"/>
    <mergeCell ref="A17:C17"/>
    <mergeCell ref="A18:C18"/>
    <mergeCell ref="A21:C21"/>
    <mergeCell ref="D18:E18"/>
    <mergeCell ref="E5:E8"/>
    <mergeCell ref="D17:E17"/>
    <mergeCell ref="A20:C20"/>
    <mergeCell ref="B10:B13"/>
    <mergeCell ref="D21:E21"/>
    <mergeCell ref="B5:B8"/>
    <mergeCell ref="D20:E20"/>
    <mergeCell ref="A19:C19"/>
    <mergeCell ref="A15:H15"/>
    <mergeCell ref="E10:E13"/>
  </mergeCells>
  <pageMargins left="0.7" right="0.7" top="0.75" bottom="0.75" header="0.3" footer="0.3"/>
  <pageSetup paperSize="9" orientation="portrait" verticalDpi="0"/>
  <ignoredErrors>
    <ignoredError sqref="A18:C21" emptyCellReferenc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7" tint="0.59999389629810485"/>
  </sheetPr>
  <dimension ref="A1:BE16"/>
  <sheetViews>
    <sheetView workbookViewId="0"/>
  </sheetViews>
  <sheetFormatPr defaultRowHeight="15" x14ac:dyDescent="0.25"/>
  <cols>
    <col min="1" max="1" width="8.7109375" bestFit="1" customWidth="1"/>
    <col min="2" max="2" width="21" hidden="1" bestFit="1" customWidth="1"/>
    <col min="3" max="3" width="15" customWidth="1"/>
    <col min="4" max="4" width="14" bestFit="1" customWidth="1"/>
    <col min="5" max="5" width="15" customWidth="1"/>
    <col min="6" max="6" width="13.42578125" bestFit="1" customWidth="1"/>
    <col min="7" max="7" width="17.85546875" bestFit="1" customWidth="1"/>
    <col min="8" max="8" width="17.85546875" customWidth="1"/>
    <col min="11" max="11" width="10.42578125" style="63" bestFit="1" customWidth="1"/>
    <col min="13" max="13" width="10.42578125" style="63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22" t="s">
        <v>35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</row>
    <row r="4" spans="1:14" ht="15.75" customHeight="1" thickBot="1" x14ac:dyDescent="0.3">
      <c r="A4" s="95" t="s">
        <v>104</v>
      </c>
      <c r="B4" s="96" t="s">
        <v>388</v>
      </c>
      <c r="C4" s="96" t="s">
        <v>105</v>
      </c>
      <c r="D4" s="97" t="s">
        <v>106</v>
      </c>
      <c r="E4" s="96" t="s">
        <v>112</v>
      </c>
      <c r="F4" s="96" t="s">
        <v>107</v>
      </c>
      <c r="G4" s="111" t="s">
        <v>108</v>
      </c>
      <c r="H4" s="99" t="s">
        <v>109</v>
      </c>
    </row>
    <row r="5" spans="1:14" x14ac:dyDescent="0.25">
      <c r="A5" s="41" t="s">
        <v>36</v>
      </c>
      <c r="B5" s="412" t="s">
        <v>185</v>
      </c>
      <c r="C5" s="42" t="str" cm="1">
        <f t="array" ref="C5">_xlfn.LET(_xlpm.x,IFERROR(INDEX(_xlfn.ANCHORARRAY($J$5),ROWS($C$5:C5),1),""),IF(_xlpm.x="","N/A",_xlpm.x))</f>
        <v>120425MMM</v>
      </c>
      <c r="D5" s="43" cm="1">
        <f t="array" ref="D5">_xlfn.LET(_xlpm.x,IFERROR(INDEX(_xlfn.ANCHORARRAY($J$5),ROWS($D$5:D5),2),""),IF(_xlpm.x="","N/A",_xlpm.x))</f>
        <v>46357</v>
      </c>
      <c r="E5" s="411" t="s">
        <v>556</v>
      </c>
      <c r="F5" s="42" cm="1">
        <f t="array" ref="F5">_xlfn.LET(_xlpm.x,IFERROR(INDEX(_xlfn.ANCHORARRAY($J$5),ROWS($F$5:F5),3),""),IF(_xlpm.x="","N/A",_xlpm.x))</f>
        <v>2</v>
      </c>
      <c r="G5" s="43" cm="1">
        <f t="array" ref="G5">_xlfn.LET(_xlpm.x,IFERROR(INDEX(_xlfn.ANCHORARRAY($J$5),ROWS($G$5:G5),4),""),IF(_xlpm.x="","N/A",_xlpm.x))</f>
        <v>46183.929861111108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500-1529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120425MMM</v>
      </c>
      <c r="K5" s="63">
        <v>46357</v>
      </c>
      <c r="L5">
        <v>2</v>
      </c>
      <c r="M5" s="63">
        <v>46183.929861111108</v>
      </c>
      <c r="N5" t="str">
        <v>Jesper Fredriksson</v>
      </c>
    </row>
    <row r="6" spans="1:14" x14ac:dyDescent="0.25">
      <c r="A6" s="8" t="str">
        <f>A$5</f>
        <v>500-1529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06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500-1529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06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500-1529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09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/>
    <row r="10" spans="1:14" ht="24" customHeight="1" thickBot="1" x14ac:dyDescent="0.3">
      <c r="A10" s="408" t="s">
        <v>398</v>
      </c>
      <c r="B10" s="377"/>
      <c r="C10" s="377"/>
      <c r="D10" s="377"/>
      <c r="E10" s="377"/>
      <c r="F10" s="377"/>
      <c r="G10" s="377"/>
      <c r="H10" s="378"/>
    </row>
    <row r="11" spans="1:14" ht="15.75" customHeight="1" thickBot="1" x14ac:dyDescent="0.3">
      <c r="A11" s="423" t="s">
        <v>215</v>
      </c>
      <c r="B11" s="362"/>
      <c r="C11" s="362"/>
      <c r="D11" s="362"/>
      <c r="E11" s="362"/>
      <c r="F11" s="362"/>
      <c r="G11" s="362"/>
      <c r="H11" s="380"/>
    </row>
    <row r="12" spans="1:14" ht="15.75" customHeight="1" thickBot="1" x14ac:dyDescent="0.3">
      <c r="A12" s="375" t="s">
        <v>389</v>
      </c>
      <c r="B12" s="362"/>
      <c r="C12" s="358"/>
      <c r="D12" s="357" t="s">
        <v>106</v>
      </c>
      <c r="E12" s="358"/>
      <c r="F12" s="50" t="s">
        <v>356</v>
      </c>
      <c r="G12" s="50" t="s">
        <v>108</v>
      </c>
      <c r="H12" s="51" t="s">
        <v>109</v>
      </c>
    </row>
    <row r="13" spans="1:14" x14ac:dyDescent="0.25">
      <c r="A13" s="361" t="str" cm="1">
        <f t="array" ref="A13">_xlfn.LET(_xlpm.x,IFERROR(INDEX(_xlfn.ANCHORARRAY($J$13),ROWS($C$13:C13),1),""),IF(_xlpm.x="","N/A",_xlpm.x))</f>
        <v>1001530108</v>
      </c>
      <c r="B13" s="403"/>
      <c r="C13" s="403"/>
      <c r="D13" s="359" cm="1">
        <f t="array" ref="D13">_xlfn.LET(_xlpm.x,IFERROR(INDEX(_xlfn.ANCHORARRAY($J$13),ROWS($D$13:D13),2),""),IF(_xlpm.x="","N/A",_xlpm.x))</f>
        <v>46224</v>
      </c>
      <c r="E13" s="403"/>
      <c r="F13" s="42" cm="1">
        <f t="array" ref="F13">_xlfn.LET(_xlpm.x,IFERROR(INDEX(_xlfn.ANCHORARRAY($J$13),ROWS($F$13:F13),3),""),IF(_xlpm.x="","N/A",_xlpm.x))</f>
        <v>10</v>
      </c>
      <c r="G13" s="43" cm="1">
        <f t="array" ref="G13">_xlfn.LET(_xlpm.x,IFERROR(INDEX(_xlfn.ANCHORARRAY($J$13),ROWS($G$13:G13),4),""),IF(_xlpm.x="","N/A",_xlpm.x))</f>
        <v>46184.131249999999</v>
      </c>
      <c r="H13" s="45" t="str" cm="1">
        <f t="array" ref="H13">_xlfn.LET(_xlpm.x,IFERROR(INDEX(_xlfn.ANCHORARRAY($J$13),ROWS($H$13:H13),5),""),IF(_xlpm.x="","N/A",_xlpm.x))</f>
        <v>Jesper Fredriksson</v>
      </c>
      <c r="J13" t="str" cm="1">
        <f t="array" ref="J13:N13">_xlfn.LET(_xlpm.pn,"500-2288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1001530108</v>
      </c>
      <c r="K13" s="322">
        <v>46224</v>
      </c>
      <c r="L13">
        <v>10</v>
      </c>
      <c r="M13" s="63">
        <v>46184.131249999999</v>
      </c>
      <c r="N13" t="str">
        <v>Jesper Fredriksson</v>
      </c>
    </row>
    <row r="14" spans="1:14" x14ac:dyDescent="0.25">
      <c r="A14" s="381" t="str" cm="1">
        <f t="array" ref="A14">_xlfn.LET(_xlpm.x,IFERROR(INDEX(_xlfn.ANCHORARRAY($J$13),ROWS($C$13:C14),1),""),IF(_xlpm.x="","N/A",_xlpm.x))</f>
        <v>N/A</v>
      </c>
      <c r="B14" s="406"/>
      <c r="C14" s="406"/>
      <c r="D14" s="371" t="str" cm="1">
        <f t="array" ref="D14">_xlfn.LET(_xlpm.x,IFERROR(INDEX(_xlfn.ANCHORARRAY($J$13),ROWS($D$13:D14),2),""),IF(_xlpm.x="","N/A",_xlpm.x))</f>
        <v>N/A</v>
      </c>
      <c r="E14" s="406"/>
      <c r="F14" s="37" t="str" cm="1">
        <f t="array" ref="F14">_xlfn.LET(_xlpm.x,IFERROR(INDEX(_xlfn.ANCHORARRAY($J$13),ROWS($F$13:F14),3),""),IF(_xlpm.x="","N/A",_xlpm.x))</f>
        <v>N/A</v>
      </c>
      <c r="G14" s="38" t="str" cm="1">
        <f t="array" ref="G14">_xlfn.LET(_xlpm.x,IFERROR(INDEX(_xlfn.ANCHORARRAY($J$13),ROWS($G$13:G14),4),""),IF(_xlpm.x="","N/A",_xlpm.x))</f>
        <v>N/A</v>
      </c>
      <c r="H14" s="26" t="str" cm="1">
        <f t="array" ref="H14">_xlfn.LET(_xlpm.x,IFERROR(INDEX(_xlfn.ANCHORARRAY($J$13),ROWS($H$13:H14),5),""),IF(_xlpm.x="","N/A",_xlpm.x))</f>
        <v>N/A</v>
      </c>
    </row>
    <row r="15" spans="1:14" x14ac:dyDescent="0.25">
      <c r="A15" s="381" t="str" cm="1">
        <f t="array" ref="A15">_xlfn.LET(_xlpm.x,IFERROR(INDEX(_xlfn.ANCHORARRAY($J$13),ROWS($C$13:C15),1),""),IF(_xlpm.x="","N/A",_xlpm.x))</f>
        <v>N/A</v>
      </c>
      <c r="B15" s="406"/>
      <c r="C15" s="406"/>
      <c r="D15" s="371" t="str" cm="1">
        <f t="array" ref="D15">_xlfn.LET(_xlpm.x,IFERROR(INDEX(_xlfn.ANCHORARRAY($J$13),ROWS($D$13:D15),2),""),IF(_xlpm.x="","N/A",_xlpm.x))</f>
        <v>N/A</v>
      </c>
      <c r="E15" s="406"/>
      <c r="F15" s="37" t="str" cm="1">
        <f t="array" ref="F15">_xlfn.LET(_xlpm.x,IFERROR(INDEX(_xlfn.ANCHORARRAY($J$13),ROWS($F$13:F15),3),""),IF(_xlpm.x="","N/A",_xlpm.x))</f>
        <v>N/A</v>
      </c>
      <c r="G15" s="38" t="str" cm="1">
        <f t="array" ref="G15">_xlfn.LET(_xlpm.x,IFERROR(INDEX(_xlfn.ANCHORARRAY($J$13),ROWS($G$13:G15),4),""),IF(_xlpm.x="","N/A",_xlpm.x))</f>
        <v>N/A</v>
      </c>
      <c r="H15" s="26" t="str" cm="1">
        <f t="array" ref="H15">_xlfn.LET(_xlpm.x,IFERROR(INDEX(_xlfn.ANCHORARRAY($J$13),ROWS($H$13:H15),5),""),IF(_xlpm.x="","N/A",_xlpm.x))</f>
        <v>N/A</v>
      </c>
    </row>
    <row r="16" spans="1:14" ht="15.75" customHeight="1" thickBot="1" x14ac:dyDescent="0.3">
      <c r="A16" s="386" t="str" cm="1">
        <f t="array" ref="A16">_xlfn.LET(_xlpm.x,IFERROR(INDEX(_xlfn.ANCHORARRAY($J$13),ROWS($C$13:C16),1),""),IF(_xlpm.x="","N/A",_xlpm.x))</f>
        <v>N/A</v>
      </c>
      <c r="B16" s="409"/>
      <c r="C16" s="409"/>
      <c r="D16" s="373" t="str" cm="1">
        <f t="array" ref="D16">_xlfn.LET(_xlpm.x,IFERROR(INDEX(_xlfn.ANCHORARRAY($J$13),ROWS($D$13:D16),2),""),IF(_xlpm.x="","N/A",_xlpm.x))</f>
        <v>N/A</v>
      </c>
      <c r="E16" s="409"/>
      <c r="F16" s="39" t="str" cm="1">
        <f t="array" ref="F16">_xlfn.LET(_xlpm.x,IFERROR(INDEX(_xlfn.ANCHORARRAY($J$13),ROWS($F$13:F16),3),""),IF(_xlpm.x="","N/A",_xlpm.x))</f>
        <v>N/A</v>
      </c>
      <c r="G16" s="40" t="str" cm="1">
        <f t="array" ref="G16">_xlfn.LET(_xlpm.x,IFERROR(INDEX(_xlfn.ANCHORARRAY($J$13),ROWS($G$13:G16),4),""),IF(_xlpm.x="","N/A",_xlpm.x))</f>
        <v>N/A</v>
      </c>
      <c r="H16" s="30" t="str" cm="1">
        <f t="array" ref="H16">_xlfn.LET(_xlpm.x,IFERROR(INDEX(_xlfn.ANCHORARRAY($J$13),ROWS($H$13:H16),5),""),IF(_xlpm.x="","N/A",_xlpm.x))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15">
    <mergeCell ref="A2:H2"/>
    <mergeCell ref="A14:C14"/>
    <mergeCell ref="A10:H10"/>
    <mergeCell ref="D14:E14"/>
    <mergeCell ref="A11:H11"/>
    <mergeCell ref="A12:C12"/>
    <mergeCell ref="E5:E8"/>
    <mergeCell ref="D12:E12"/>
    <mergeCell ref="B5:B8"/>
    <mergeCell ref="D16:E16"/>
    <mergeCell ref="A13:C13"/>
    <mergeCell ref="D15:E15"/>
    <mergeCell ref="D13:E13"/>
    <mergeCell ref="A16:C16"/>
    <mergeCell ref="A15:C15"/>
  </mergeCells>
  <pageMargins left="0.7" right="0.7" top="0.75" bottom="0.75" header="0.3" footer="0.3"/>
  <pageSetup paperSize="9" orientation="portrait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tabColor theme="8" tint="0.59999389629810485"/>
  </sheetPr>
  <dimension ref="A1:BE23"/>
  <sheetViews>
    <sheetView workbookViewId="0"/>
  </sheetViews>
  <sheetFormatPr defaultRowHeight="15" x14ac:dyDescent="0.25"/>
  <cols>
    <col min="1" max="1" width="12.28515625" bestFit="1" customWidth="1"/>
    <col min="2" max="2" width="19.28515625" customWidth="1"/>
    <col min="3" max="3" width="15.28515625" customWidth="1"/>
    <col min="4" max="4" width="14" bestFit="1" customWidth="1"/>
    <col min="5" max="5" width="14.5703125" bestFit="1" customWidth="1"/>
    <col min="6" max="7" width="17.85546875" bestFit="1" customWidth="1"/>
    <col min="8" max="8" width="19.85546875" customWidth="1"/>
    <col min="9" max="9" width="12.7109375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376" t="s">
        <v>38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112" t="s">
        <v>104</v>
      </c>
      <c r="B4" s="113" t="s">
        <v>388</v>
      </c>
      <c r="C4" s="113" t="s">
        <v>105</v>
      </c>
      <c r="D4" s="114" t="s">
        <v>106</v>
      </c>
      <c r="E4" s="113" t="s">
        <v>112</v>
      </c>
      <c r="F4" s="113" t="s">
        <v>107</v>
      </c>
      <c r="G4" s="115" t="s">
        <v>108</v>
      </c>
      <c r="H4" s="116" t="s">
        <v>109</v>
      </c>
    </row>
    <row r="5" spans="1:14" x14ac:dyDescent="0.25">
      <c r="A5" s="41" t="s">
        <v>39</v>
      </c>
      <c r="B5" s="412" t="s">
        <v>241</v>
      </c>
      <c r="C5" s="42" t="str" cm="1">
        <f t="array" ref="C5">_xlfn.LET(_xlpm.x,IFERROR(INDEX(_xlfn.ANCHORARRAY($J$5),ROWS($C$5:C5),1),""),IF(_xlpm.x="","N/A",_xlpm.x))</f>
        <v>N/A</v>
      </c>
      <c r="D5" s="43" t="str" cm="1">
        <f t="array" ref="D5">_xlfn.LET(_xlpm.x,IFERROR(INDEX(_xlfn.ANCHORARRAY($J$5),ROWS($D$5:D5),2),""),IF(_xlpm.x="","N/A",_xlpm.x))</f>
        <v>N/A</v>
      </c>
      <c r="E5" s="411" t="s">
        <v>633</v>
      </c>
      <c r="F5" s="44" t="str" cm="1">
        <f t="array" ref="F5">_xlfn.LET(_xlpm.x,IFERROR(INDEX(_xlfn.ANCHORARRAY($J$5),ROWS($F$5:F5),3),""),IF(_xlpm.x="","N/A",_xlpm.x))</f>
        <v>N/A</v>
      </c>
      <c r="G5" s="43" t="str" cm="1">
        <f t="array" ref="G5">_xlfn.LET(_xlpm.x,IFERROR(INDEX(_xlfn.ANCHORARRAY($J$5),ROWS($G$5:G5),4),""),IF(_xlpm.x="","N/A",_xlpm.x))</f>
        <v>N/A</v>
      </c>
      <c r="H5" s="45" t="str" cm="1">
        <f t="array" ref="H5">_xlfn.LET(_xlpm.x,IFERROR(INDEX(_xlfn.ANCHORARRAY($J$5),ROWS($H$5:H5),5),""),IF(_xlpm.x="","N/A",_xlpm.x))</f>
        <v>N/A</v>
      </c>
      <c r="J5" t="str" cm="1">
        <f t="array" ref="J5">_xlfn.LET(_xlpm.pn,"525-00038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6" spans="1:14" x14ac:dyDescent="0.25">
      <c r="A6" s="8" t="str">
        <f>A$5</f>
        <v>525-00038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46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525-00038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46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525-00038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47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17" t="s">
        <v>104</v>
      </c>
      <c r="B9" s="323" t="s">
        <v>388</v>
      </c>
      <c r="C9" s="323" t="s">
        <v>105</v>
      </c>
      <c r="D9" s="324" t="s">
        <v>106</v>
      </c>
      <c r="E9" s="323" t="s">
        <v>112</v>
      </c>
      <c r="F9" s="323" t="s">
        <v>107</v>
      </c>
      <c r="G9" s="120" t="s">
        <v>108</v>
      </c>
      <c r="H9" s="121" t="s">
        <v>109</v>
      </c>
    </row>
    <row r="10" spans="1:14" x14ac:dyDescent="0.25">
      <c r="A10" s="41" t="s">
        <v>40</v>
      </c>
      <c r="B10" s="412" t="s">
        <v>241</v>
      </c>
      <c r="C10" s="42" t="str" cm="1">
        <f t="array" ref="C10">_xlfn.LET(_xlpm.x,IFERROR(INDEX(_xlfn.ANCHORARRAY($J$10),ROWS($C$10:C10),1),""),IF(_xlpm.x="","N/A",_xlpm.x))</f>
        <v>121925ARMO</v>
      </c>
      <c r="D10" s="43" cm="1">
        <f t="array" ref="D10">_xlfn.LET(_xlpm.x,IFERROR(INDEX(_xlfn.ANCHORARRAY($J$10),ROWS($D$10:D10),2),""),IF(_xlpm.x="","N/A",_xlpm.x))</f>
        <v>46375</v>
      </c>
      <c r="E10" s="411" t="s">
        <v>633</v>
      </c>
      <c r="F10" s="42" cm="1">
        <f t="array" ref="F10">_xlfn.LET(_xlpm.x,IFERROR(INDEX(_xlfn.ANCHORARRAY($J$10),ROWS($F$10:F10),3),""),IF(_xlpm.x="","N/A",_xlpm.x))</f>
        <v>1</v>
      </c>
      <c r="G10" s="43" cm="1">
        <f t="array" ref="G10">_xlfn.LET(_xlpm.x,IFERROR(INDEX(_xlfn.ANCHORARRAY($J$10),ROWS($G$10:G10),4),""),IF(_xlpm.x="","N/A",_xlpm.x))</f>
        <v>46184.250694444447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525-00327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121925ARMO</v>
      </c>
      <c r="K10">
        <v>46375</v>
      </c>
      <c r="L10">
        <v>1</v>
      </c>
      <c r="M10">
        <v>46184.250694444447</v>
      </c>
      <c r="N10" t="str">
        <v>Jesper Fredriksson</v>
      </c>
    </row>
    <row r="11" spans="1:14" x14ac:dyDescent="0.25">
      <c r="A11" s="8" t="str">
        <f>A$10</f>
        <v>525-00327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46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525-00327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46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525-00327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47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17" t="s">
        <v>104</v>
      </c>
      <c r="B14" s="118" t="s">
        <v>388</v>
      </c>
      <c r="C14" s="118" t="s">
        <v>105</v>
      </c>
      <c r="D14" s="119" t="s">
        <v>106</v>
      </c>
      <c r="E14" s="118" t="s">
        <v>112</v>
      </c>
      <c r="F14" s="118" t="s">
        <v>107</v>
      </c>
      <c r="G14" s="120" t="s">
        <v>108</v>
      </c>
      <c r="H14" s="121" t="s">
        <v>109</v>
      </c>
    </row>
    <row r="15" spans="1:14" x14ac:dyDescent="0.25">
      <c r="A15" s="41" t="s">
        <v>41</v>
      </c>
      <c r="B15" s="411" t="s">
        <v>244</v>
      </c>
      <c r="C15" s="42" t="str" cm="1">
        <f t="array" ref="C15">_xlfn.LET(_xlpm.x,IFERROR(INDEX(_xlfn.ANCHORARRAY($J$15),ROWS($C$15:C15),1),""),IF(_xlpm.x="","N/A",_xlpm.x))</f>
        <v>031825ELIF</v>
      </c>
      <c r="D15" s="43" cm="1">
        <f t="array" ref="D15">_xlfn.LET(_xlpm.x,IFERROR(INDEX(_xlfn.ANCHORARRAY($J$15),ROWS($D$15:D15),2),""),IF(_xlpm.x="","N/A",_xlpm.x))</f>
        <v>46274</v>
      </c>
      <c r="E15" s="411" t="s">
        <v>633</v>
      </c>
      <c r="F15" s="42" cm="1">
        <f t="array" ref="F15">_xlfn.LET(_xlpm.x,IFERROR(INDEX(_xlfn.ANCHORARRAY($J$15),ROWS($F$15:F15),3),""),IF(_xlpm.x="","N/A",_xlpm.x))</f>
        <v>31</v>
      </c>
      <c r="G15" s="43" cm="1">
        <f t="array" ref="G15">_xlfn.LET(_xlpm.x,IFERROR(INDEX(_xlfn.ANCHORARRAY($J$15),ROWS($G$15:G15),4),""),IF(_xlpm.x="","N/A",_xlpm.x))</f>
        <v>46184.236111111109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-00065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031825ELIF</v>
      </c>
      <c r="K15">
        <v>46274</v>
      </c>
      <c r="L15">
        <v>31</v>
      </c>
      <c r="M15">
        <v>46184.236111111109</v>
      </c>
      <c r="N15" t="str">
        <v>Jesper Fredriksson</v>
      </c>
    </row>
    <row r="16" spans="1:14" x14ac:dyDescent="0.25">
      <c r="A16" s="8" t="str">
        <f>A$15</f>
        <v>525-00065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x14ac:dyDescent="0.25">
      <c r="A17" s="8" t="str">
        <f>A$15</f>
        <v>525-00065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525-00065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>
      <c r="A19" s="117" t="s">
        <v>104</v>
      </c>
      <c r="B19" s="118" t="s">
        <v>388</v>
      </c>
      <c r="C19" s="118" t="s">
        <v>105</v>
      </c>
      <c r="D19" s="119" t="s">
        <v>106</v>
      </c>
      <c r="E19" s="118" t="s">
        <v>112</v>
      </c>
      <c r="F19" s="118" t="s">
        <v>107</v>
      </c>
      <c r="G19" s="120" t="s">
        <v>108</v>
      </c>
      <c r="H19" s="121" t="s">
        <v>109</v>
      </c>
    </row>
    <row r="20" spans="1:14" x14ac:dyDescent="0.25">
      <c r="A20" s="41" t="s">
        <v>42</v>
      </c>
      <c r="B20" s="412" t="s">
        <v>247</v>
      </c>
      <c r="C20" s="42" t="str" cm="1">
        <f t="array" ref="C20">_xlfn.LET(_xlpm.x,IFERROR(INDEX(_xlfn.ANCHORARRAY($J$20),ROWS($C$20:C20),1),""),IF(_xlpm.x="","N/A",_xlpm.x))</f>
        <v>031224VW-A</v>
      </c>
      <c r="D20" s="43" cm="1">
        <f t="array" ref="D20">_xlfn.LET(_xlpm.x,IFERROR(INDEX(_xlfn.ANCHORARRAY($J$20),ROWS($D$20:D20),2),""),IF(_xlpm.x="","N/A",_xlpm.x))</f>
        <v>46203</v>
      </c>
      <c r="E20" s="411" t="s">
        <v>633</v>
      </c>
      <c r="F20" s="42" cm="1">
        <f t="array" ref="F20">_xlfn.LET(_xlpm.x,IFERROR(INDEX(_xlfn.ANCHORARRAY($J$20),ROWS($F$20:F20),3),""),IF(_xlpm.x="","N/A",_xlpm.x))</f>
        <v>15</v>
      </c>
      <c r="G20" s="43" cm="1">
        <f t="array" ref="G20">_xlfn.LET(_xlpm.x,IFERROR(INDEX(_xlfn.ANCHORARRAY($J$20),ROWS($G$20:G20),4),""),IF(_xlpm.x="","N/A",_xlpm.x))</f>
        <v>46184.236111111109</v>
      </c>
      <c r="H20" s="45" t="str" cm="1">
        <f t="array" ref="H20">_xlfn.LET(_xlpm.x,IFERROR(INDEX(_xlfn.ANCHORARRAY($J$20),ROWS($H$20:H20),5),""),IF(_xlpm.x="","N/A",_xlpm.x))</f>
        <v>Jesper Fredriksson</v>
      </c>
      <c r="J20" t="str" cm="1">
        <f t="array" ref="J20:N21">_xlfn.LET(_xlpm.pn,"525-00066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031224VW-A</v>
      </c>
      <c r="K20">
        <v>46203</v>
      </c>
      <c r="L20">
        <v>15</v>
      </c>
      <c r="M20">
        <v>46184.236111111109</v>
      </c>
      <c r="N20" t="str">
        <v>Jesper Fredriksson</v>
      </c>
    </row>
    <row r="21" spans="1:14" x14ac:dyDescent="0.25">
      <c r="A21" s="8" t="str">
        <f>A$20</f>
        <v>525-00066</v>
      </c>
      <c r="B21" s="406"/>
      <c r="C21" s="37" t="str" cm="1">
        <f t="array" ref="C21">_xlfn.LET(_xlpm.x,IFERROR(INDEX(_xlfn.ANCHORARRAY($J$20),ROWS($C$20:C21),1),""),IF(_xlpm.x="","N/A",_xlpm.x))</f>
        <v>031524VW-B</v>
      </c>
      <c r="D21" s="38" cm="1">
        <f t="array" ref="D21">_xlfn.LET(_xlpm.x,IFERROR(INDEX(_xlfn.ANCHORARRAY($J$20),ROWS($D$20:D21),2),""),IF(_xlpm.x="","N/A",_xlpm.x))</f>
        <v>46205</v>
      </c>
      <c r="E21" s="424"/>
      <c r="F21" s="37" cm="1">
        <f t="array" ref="F21">_xlfn.LET(_xlpm.x,IFERROR(INDEX(_xlfn.ANCHORARRAY($J$20),ROWS($F$20:F21),3),""),IF(_xlpm.x="","N/A",_xlpm.x))</f>
        <v>15</v>
      </c>
      <c r="G21" s="38" cm="1">
        <f t="array" ref="G21">_xlfn.LET(_xlpm.x,IFERROR(INDEX(_xlfn.ANCHORARRAY($J$20),ROWS($G$20:G21),4),""),IF(_xlpm.x="","N/A",_xlpm.x))</f>
        <v>46184.236805555556</v>
      </c>
      <c r="H21" s="26" t="str" cm="1">
        <f t="array" ref="H21">_xlfn.LET(_xlpm.x,IFERROR(INDEX(_xlfn.ANCHORARRAY($J$20),ROWS($H$20:H21),5),""),IF(_xlpm.x="","N/A",_xlpm.x))</f>
        <v>Jesper Fredriksson</v>
      </c>
      <c r="J21" t="str">
        <v>031524VW-B</v>
      </c>
      <c r="K21">
        <v>46205</v>
      </c>
      <c r="L21">
        <v>15</v>
      </c>
      <c r="M21">
        <v>46184.236805555556</v>
      </c>
      <c r="N21" t="str">
        <v>Jesper Fredriksson</v>
      </c>
    </row>
    <row r="22" spans="1:14" x14ac:dyDescent="0.25">
      <c r="A22" s="8" t="str">
        <f>A$20</f>
        <v>525-00066</v>
      </c>
      <c r="B22" s="406"/>
      <c r="C22" s="37" t="str" cm="1">
        <f t="array" ref="C22">_xlfn.LET(_xlpm.x,IFERROR(INDEX(_xlfn.ANCHORARRAY($J$20),ROWS($C$20:C22),1),""),IF(_xlpm.x="","N/A",_xlpm.x))</f>
        <v>N/A</v>
      </c>
      <c r="D22" s="38" t="str" cm="1">
        <f t="array" ref="D22">_xlfn.LET(_xlpm.x,IFERROR(INDEX(_xlfn.ANCHORARRAY($J$20),ROWS($D$20:D22),2),""),IF(_xlpm.x="","N/A",_xlpm.x))</f>
        <v>N/A</v>
      </c>
      <c r="E22" s="424"/>
      <c r="F22" s="37" t="str" cm="1">
        <f t="array" ref="F22">_xlfn.LET(_xlpm.x,IFERROR(INDEX(_xlfn.ANCHORARRAY($J$20),ROWS($F$20:F22),3),""),IF(_xlpm.x="","N/A",_xlpm.x))</f>
        <v>N/A</v>
      </c>
      <c r="G22" s="38" t="str" cm="1">
        <f t="array" ref="G22">_xlfn.LET(_xlpm.x,IFERROR(INDEX(_xlfn.ANCHORARRAY($J$20),ROWS($G$20:G22),4),""),IF(_xlpm.x="","N/A",_xlpm.x))</f>
        <v>N/A</v>
      </c>
      <c r="H22" s="26" t="str" cm="1">
        <f t="array" ref="H22">_xlfn.LET(_xlpm.x,IFERROR(INDEX(_xlfn.ANCHORARRAY($J$20),ROWS($H$20:H22),5),""),IF(_xlpm.x="","N/A",_xlpm.x))</f>
        <v>N/A</v>
      </c>
    </row>
    <row r="23" spans="1:14" ht="15.75" customHeight="1" thickBot="1" x14ac:dyDescent="0.3">
      <c r="A23" s="29" t="str">
        <f>A$20</f>
        <v>525-00066</v>
      </c>
      <c r="B23" s="409"/>
      <c r="C23" s="39" t="str" cm="1">
        <f t="array" ref="C23">_xlfn.LET(_xlpm.x,IFERROR(INDEX(_xlfn.ANCHORARRAY($J$20),ROWS($C$20:C23),1),""),IF(_xlpm.x="","N/A",_xlpm.x))</f>
        <v>N/A</v>
      </c>
      <c r="D23" s="40" t="str" cm="1">
        <f t="array" ref="D23">_xlfn.LET(_xlpm.x,IFERROR(INDEX(_xlfn.ANCHORARRAY($J$20),ROWS($D$20:D23),2),""),IF(_xlpm.x="","N/A",_xlpm.x))</f>
        <v>N/A</v>
      </c>
      <c r="E23" s="425"/>
      <c r="F23" s="39" t="str" cm="1">
        <f t="array" ref="F23">_xlfn.LET(_xlpm.x,IFERROR(INDEX(_xlfn.ANCHORARRAY($J$20),ROWS($F$20:F23),3),""),IF(_xlpm.x="","N/A",_xlpm.x))</f>
        <v>N/A</v>
      </c>
      <c r="G23" s="40" t="str" cm="1">
        <f t="array" ref="G23">_xlfn.LET(_xlpm.x,IFERROR(INDEX(_xlfn.ANCHORARRAY($J$20),ROWS($G$20:G23),4),""),IF(_xlpm.x="","N/A",_xlpm.x))</f>
        <v>N/A</v>
      </c>
      <c r="H23" s="30" t="str" cm="1">
        <f t="array" ref="H23">_xlfn.LET(_xlpm.x,IFERROR(INDEX(_xlfn.ANCHORARRAY($J$20),ROWS($H$20:H23),5),""),IF(_xlpm.x="","N/A",_xlpm.x))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9">
    <mergeCell ref="B5:B8"/>
    <mergeCell ref="A2:H2"/>
    <mergeCell ref="B20:B23"/>
    <mergeCell ref="E20:E23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FF3399"/>
  </sheetPr>
  <dimension ref="A1:BE26"/>
  <sheetViews>
    <sheetView workbookViewId="0"/>
  </sheetViews>
  <sheetFormatPr defaultRowHeight="15" x14ac:dyDescent="0.25"/>
  <cols>
    <col min="1" max="1" width="8.7109375" bestFit="1" customWidth="1"/>
    <col min="2" max="2" width="21.42578125" hidden="1" bestFit="1" customWidth="1"/>
    <col min="3" max="3" width="13.7109375" customWidth="1"/>
    <col min="4" max="4" width="14" bestFit="1" customWidth="1"/>
    <col min="5" max="5" width="14.5703125" bestFit="1" customWidth="1"/>
    <col min="6" max="6" width="16.42578125" customWidth="1"/>
    <col min="7" max="7" width="17.85546875" bestFit="1" customWidth="1"/>
    <col min="8" max="8" width="18.85546875" customWidth="1"/>
    <col min="9" max="9" width="9.7109375" bestFit="1" customWidth="1"/>
    <col min="10" max="10" width="12" bestFit="1" customWidth="1"/>
    <col min="11" max="11" width="7.42578125" bestFit="1" customWidth="1"/>
    <col min="12" max="12" width="9.85546875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31" t="s">
        <v>43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180" t="s">
        <v>104</v>
      </c>
      <c r="B4" s="181" t="s">
        <v>388</v>
      </c>
      <c r="C4" s="181" t="s">
        <v>105</v>
      </c>
      <c r="D4" s="182" t="s">
        <v>106</v>
      </c>
      <c r="E4" s="181" t="s">
        <v>112</v>
      </c>
      <c r="F4" s="181" t="s">
        <v>107</v>
      </c>
      <c r="G4" s="183" t="s">
        <v>108</v>
      </c>
      <c r="H4" s="184" t="s">
        <v>109</v>
      </c>
    </row>
    <row r="5" spans="1:14" x14ac:dyDescent="0.25">
      <c r="A5" s="41" t="s">
        <v>44</v>
      </c>
      <c r="B5" s="411" t="s">
        <v>210</v>
      </c>
      <c r="C5" s="42" t="str" cm="1">
        <f t="array" ref="C5">_xlfn.LET(_xlpm.x,IFERROR(INDEX(_xlfn.ANCHORARRAY($J$5),ROWS($C$5:C5),1),""),IF(_xlpm.x="","N/A",_xlpm.x))</f>
        <v>073125MATE</v>
      </c>
      <c r="D5" s="43" cm="1">
        <f t="array" ref="D5">_xlfn.LET(_xlpm.x,IFERROR(INDEX(_xlfn.ANCHORARRAY($J$5),ROWS($D$5:D5),2),""),IF(_xlpm.x="","N/A",_xlpm.x))</f>
        <v>46889</v>
      </c>
      <c r="E5" s="411" t="s">
        <v>634</v>
      </c>
      <c r="F5" s="42" cm="1">
        <f t="array" ref="F5">_xlfn.LET(_xlpm.x,IFERROR(INDEX(_xlfn.ANCHORARRAY($J$5),ROWS($F$5:F5),3),""),IF(_xlpm.x="","N/A",_xlpm.x))</f>
        <v>17</v>
      </c>
      <c r="G5" s="43" cm="1">
        <f t="array" ref="G5">_xlfn.LET(_xlpm.x,IFERROR(INDEX(_xlfn.ANCHORARRAY($J$5),ROWS($G$5:G5),4),""),IF(_xlpm.x="","N/A",_xlpm.x))</f>
        <v>46183.933333333334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500-1917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073125MATE</v>
      </c>
      <c r="K5">
        <v>46889</v>
      </c>
      <c r="L5">
        <v>17</v>
      </c>
      <c r="M5">
        <v>46183.933333333334</v>
      </c>
      <c r="N5" t="str">
        <v>Jesper Fredriksson</v>
      </c>
    </row>
    <row r="6" spans="1:14" x14ac:dyDescent="0.25">
      <c r="A6" s="8" t="str">
        <f>A$5</f>
        <v>500-1917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500-1917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500-1917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85" t="s">
        <v>104</v>
      </c>
      <c r="B9" s="186" t="s">
        <v>388</v>
      </c>
      <c r="C9" s="186" t="s">
        <v>105</v>
      </c>
      <c r="D9" s="187" t="s">
        <v>106</v>
      </c>
      <c r="E9" s="186" t="s">
        <v>112</v>
      </c>
      <c r="F9" s="186" t="s">
        <v>107</v>
      </c>
      <c r="G9" s="188" t="s">
        <v>108</v>
      </c>
      <c r="H9" s="189" t="s">
        <v>109</v>
      </c>
    </row>
    <row r="10" spans="1:14" x14ac:dyDescent="0.25">
      <c r="A10" s="41" t="s">
        <v>45</v>
      </c>
      <c r="B10" s="411" t="s">
        <v>212</v>
      </c>
      <c r="C10" s="42" t="str" cm="1">
        <f t="array" ref="C10">_xlfn.LET(_xlpm.x,IFERROR(INDEX(_xlfn.ANCHORARRAY($J$10),ROWS($C$10:C10),1),""),IF(_xlpm.x="","N/A",_xlpm.x))</f>
        <v>032525SAMI</v>
      </c>
      <c r="D10" s="43" cm="1">
        <f t="array" ref="D10">_xlfn.LET(_xlpm.x,IFERROR(INDEX(_xlfn.ANCHORARRAY($J$10),ROWS($D$10:D10),2),""),IF(_xlpm.x="","N/A",_xlpm.x))</f>
        <v>46761</v>
      </c>
      <c r="E10" s="411" t="s">
        <v>634</v>
      </c>
      <c r="F10" s="42" cm="1">
        <f t="array" ref="F10">_xlfn.LET(_xlpm.x,IFERROR(INDEX(_xlfn.ANCHORARRAY($J$10),ROWS($F$10:F10),3),""),IF(_xlpm.x="","N/A",_xlpm.x))</f>
        <v>18</v>
      </c>
      <c r="G10" s="43" cm="1">
        <f t="array" ref="G10">_xlfn.LET(_xlpm.x,IFERROR(INDEX(_xlfn.ANCHORARRAY($J$10),ROWS($G$10:G10),4),""),IF(_xlpm.x="","N/A",_xlpm.x))</f>
        <v>46183.933333333334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500-1918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032525SAMI</v>
      </c>
      <c r="K10">
        <v>46761</v>
      </c>
      <c r="L10">
        <v>18</v>
      </c>
      <c r="M10">
        <v>46183.933333333334</v>
      </c>
      <c r="N10" t="str">
        <v>Jesper Fredriksson</v>
      </c>
    </row>
    <row r="11" spans="1:14" x14ac:dyDescent="0.25">
      <c r="A11" s="8" t="str">
        <f>A$10</f>
        <v>500-1918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500-1918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500-1918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85" t="s">
        <v>104</v>
      </c>
      <c r="B14" s="186" t="s">
        <v>388</v>
      </c>
      <c r="C14" s="186" t="s">
        <v>105</v>
      </c>
      <c r="D14" s="187" t="s">
        <v>106</v>
      </c>
      <c r="E14" s="186" t="s">
        <v>112</v>
      </c>
      <c r="F14" s="186" t="s">
        <v>107</v>
      </c>
      <c r="G14" s="188" t="s">
        <v>108</v>
      </c>
      <c r="H14" s="189" t="s">
        <v>109</v>
      </c>
    </row>
    <row r="15" spans="1:14" x14ac:dyDescent="0.25">
      <c r="A15" s="41" t="s">
        <v>46</v>
      </c>
      <c r="B15" s="412" t="s">
        <v>220</v>
      </c>
      <c r="C15" s="42" t="str" cm="1">
        <f t="array" ref="C15">_xlfn.LET(_xlpm.x,IFERROR(INDEX(_xlfn.ANCHORARRAY($J$15),ROWS($C$15:C15),1),""),IF(_xlpm.x="","N/A",_xlpm.x))</f>
        <v>052726MMM</v>
      </c>
      <c r="D15" s="43" cm="1">
        <f t="array" ref="D15">_xlfn.LET(_xlpm.x,IFERROR(INDEX(_xlfn.ANCHORARRAY($J$15),ROWS($D$15:D15),2),""),IF(_xlpm.x="","N/A",_xlpm.x))</f>
        <v>46295</v>
      </c>
      <c r="E15" s="411" t="s">
        <v>634</v>
      </c>
      <c r="F15" s="42" cm="1">
        <f t="array" ref="F15">_xlfn.LET(_xlpm.x,IFERROR(INDEX(_xlfn.ANCHORARRAY($J$15),ROWS($F$15:F15),3),""),IF(_xlpm.x="","N/A",_xlpm.x))</f>
        <v>8</v>
      </c>
      <c r="G15" s="43" cm="1">
        <f t="array" ref="G15">_xlfn.LET(_xlpm.x,IFERROR(INDEX(_xlfn.ANCHORARRAY($J$15),ROWS($G$15:G15),4),""),IF(_xlpm.x="","N/A",_xlpm.x))</f>
        <v>46184.132638888892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500-2616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052726MMM</v>
      </c>
      <c r="K15">
        <v>46295</v>
      </c>
      <c r="L15">
        <v>8</v>
      </c>
      <c r="M15">
        <v>46184.132638888892</v>
      </c>
      <c r="N15" t="str">
        <v>Jesper Fredriksson</v>
      </c>
    </row>
    <row r="16" spans="1:14" x14ac:dyDescent="0.25">
      <c r="A16" s="8" t="str">
        <f>A$15</f>
        <v>500-2616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x14ac:dyDescent="0.25">
      <c r="A17" s="8" t="str">
        <f>A$15</f>
        <v>500-2616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500-2616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/>
    <row r="20" spans="1:14" ht="24" customHeight="1" thickBot="1" x14ac:dyDescent="0.3">
      <c r="A20" s="408" t="s">
        <v>399</v>
      </c>
      <c r="B20" s="377"/>
      <c r="C20" s="377"/>
      <c r="D20" s="377"/>
      <c r="E20" s="377"/>
      <c r="F20" s="377"/>
      <c r="G20" s="377"/>
      <c r="H20" s="378"/>
    </row>
    <row r="21" spans="1:14" ht="15.75" customHeight="1" thickBot="1" x14ac:dyDescent="0.3">
      <c r="A21" s="423" t="s">
        <v>150</v>
      </c>
      <c r="B21" s="362"/>
      <c r="C21" s="362"/>
      <c r="D21" s="362"/>
      <c r="E21" s="362"/>
      <c r="F21" s="362"/>
      <c r="G21" s="362"/>
      <c r="H21" s="380"/>
    </row>
    <row r="22" spans="1:14" x14ac:dyDescent="0.25">
      <c r="A22" s="428" t="s">
        <v>389</v>
      </c>
      <c r="B22" s="429"/>
      <c r="C22" s="430"/>
      <c r="D22" s="432" t="s">
        <v>106</v>
      </c>
      <c r="E22" s="430"/>
      <c r="F22" s="190" t="s">
        <v>356</v>
      </c>
      <c r="G22" s="190" t="s">
        <v>108</v>
      </c>
      <c r="H22" s="353" t="s">
        <v>109</v>
      </c>
    </row>
    <row r="23" spans="1:14" x14ac:dyDescent="0.25">
      <c r="A23" s="381" t="str" cm="1">
        <f t="array" ref="A23">_xlfn.LET(_xlpm.x,IFERROR(INDEX(_xlfn.ANCHORARRAY($J$23),ROWS($C$23:C23),1),""),IF(_xlpm.x="","N/A",_xlpm.x))</f>
        <v>4325EA</v>
      </c>
      <c r="B23" s="426"/>
      <c r="C23" s="427"/>
      <c r="D23" s="371" cm="1">
        <f t="array" ref="D23">_xlfn.LET(_xlpm.x,IFERROR(INDEX(_xlfn.ANCHORARRAY($J$23),ROWS($D$23:D23),2),""),IF(_xlpm.x="","N/A",_xlpm.x))</f>
        <v>46346</v>
      </c>
      <c r="E23" s="427"/>
      <c r="F23" s="37" cm="1">
        <f t="array" ref="F23">_xlfn.LET(_xlpm.x,IFERROR(INDEX(_xlfn.ANCHORARRAY($J$23),ROWS($F$23:F23),3),""),IF(_xlpm.x="","N/A",_xlpm.x))</f>
        <v>3</v>
      </c>
      <c r="G23" s="38" cm="1">
        <f t="array" ref="G23">_xlfn.LET(_xlpm.x,IFERROR(INDEX(_xlfn.ANCHORARRAY($J$23),ROWS($G$23:G23),4),""),IF(_xlpm.x="","N/A",_xlpm.x))</f>
        <v>46183.924305555556</v>
      </c>
      <c r="H23" s="26" t="str" cm="1">
        <f t="array" ref="H23">_xlfn.LET(_xlpm.x,IFERROR(INDEX(_xlfn.ANCHORARRAY($J$23),ROWS($H$23:H23),5),""),IF(_xlpm.x="","N/A",_xlpm.x))</f>
        <v>Jesper Fredriksson</v>
      </c>
      <c r="J23" t="str" cm="1">
        <f t="array" ref="J23:N23">_xlfn.LET(_xlpm.pn,"001-1689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4325EA</v>
      </c>
      <c r="K23">
        <v>46346</v>
      </c>
      <c r="L23">
        <v>3</v>
      </c>
      <c r="M23">
        <v>46183.924305555556</v>
      </c>
      <c r="N23" t="str">
        <v>Jesper Fredriksson</v>
      </c>
    </row>
    <row r="24" spans="1:14" x14ac:dyDescent="0.25">
      <c r="A24" s="381" t="str" cm="1">
        <f t="array" ref="A24">_xlfn.LET(_xlpm.x,IFERROR(INDEX(_xlfn.ANCHORARRAY($J$23),ROWS($C$23:C24),1),""),IF(_xlpm.x="","N/A",_xlpm.x))</f>
        <v>N/A</v>
      </c>
      <c r="B24" s="426"/>
      <c r="C24" s="427"/>
      <c r="D24" s="371" t="str" cm="1">
        <f t="array" ref="D24">_xlfn.LET(_xlpm.x,IFERROR(INDEX(_xlfn.ANCHORARRAY($J$23),ROWS($D$23:D24),2),""),IF(_xlpm.x="","N/A",_xlpm.x))</f>
        <v>N/A</v>
      </c>
      <c r="E24" s="427"/>
      <c r="F24" s="37" t="str" cm="1">
        <f t="array" ref="F24">_xlfn.LET(_xlpm.x,IFERROR(INDEX(_xlfn.ANCHORARRAY($J$23),ROWS($F$23:F24),3),""),IF(_xlpm.x="","N/A",_xlpm.x))</f>
        <v>N/A</v>
      </c>
      <c r="G24" s="38" t="str" cm="1">
        <f t="array" ref="G24">_xlfn.LET(_xlpm.x,IFERROR(INDEX(_xlfn.ANCHORARRAY($J$23),ROWS($G$23:G24),4),""),IF(_xlpm.x="","N/A",_xlpm.x))</f>
        <v>N/A</v>
      </c>
      <c r="H24" s="26" t="str" cm="1">
        <f t="array" ref="H24">_xlfn.LET(_xlpm.x,IFERROR(INDEX(_xlfn.ANCHORARRAY($J$23),ROWS($H$23:H24),5),""),IF(_xlpm.x="","N/A",_xlpm.x))</f>
        <v>N/A</v>
      </c>
    </row>
    <row r="25" spans="1:14" x14ac:dyDescent="0.25">
      <c r="A25" s="381" t="str" cm="1">
        <f t="array" ref="A25">_xlfn.LET(_xlpm.x,IFERROR(INDEX(_xlfn.ANCHORARRAY($J$23),ROWS($C$23:C25),1),""),IF(_xlpm.x="","N/A",_xlpm.x))</f>
        <v>N/A</v>
      </c>
      <c r="B25" s="426"/>
      <c r="C25" s="427"/>
      <c r="D25" s="371" t="str" cm="1">
        <f t="array" ref="D25">_xlfn.LET(_xlpm.x,IFERROR(INDEX(_xlfn.ANCHORARRAY($J$23),ROWS($D$23:D25),2),""),IF(_xlpm.x="","N/A",_xlpm.x))</f>
        <v>N/A</v>
      </c>
      <c r="E25" s="427"/>
      <c r="F25" s="37" t="str" cm="1">
        <f t="array" ref="F25">_xlfn.LET(_xlpm.x,IFERROR(INDEX(_xlfn.ANCHORARRAY($J$23),ROWS($F$23:F25),3),""),IF(_xlpm.x="","N/A",_xlpm.x))</f>
        <v>N/A</v>
      </c>
      <c r="G25" s="38" t="str" cm="1">
        <f t="array" ref="G25">_xlfn.LET(_xlpm.x,IFERROR(INDEX(_xlfn.ANCHORARRAY($J$23),ROWS($G$23:G25),4),""),IF(_xlpm.x="","N/A",_xlpm.x))</f>
        <v>N/A</v>
      </c>
      <c r="H25" s="26" t="str" cm="1">
        <f t="array" ref="H25">_xlfn.LET(_xlpm.x,IFERROR(INDEX(_xlfn.ANCHORARRAY($J$23),ROWS($H$23:H25),5),""),IF(_xlpm.x="","N/A",_xlpm.x))</f>
        <v>N/A</v>
      </c>
    </row>
    <row r="26" spans="1:14" ht="15.75" customHeight="1" thickBot="1" x14ac:dyDescent="0.3">
      <c r="A26" s="386" t="str" cm="1">
        <f t="array" ref="A26">_xlfn.LET(_xlpm.x,IFERROR(INDEX(_xlfn.ANCHORARRAY($J$23),ROWS($C$23:C26),1),""),IF(_xlpm.x="","N/A",_xlpm.x))</f>
        <v>N/A</v>
      </c>
      <c r="B26" s="452"/>
      <c r="C26" s="453"/>
      <c r="D26" s="373" t="str" cm="1">
        <f t="array" ref="D26">_xlfn.LET(_xlpm.x,IFERROR(INDEX(_xlfn.ANCHORARRAY($J$23),ROWS($D$23:D26),2),""),IF(_xlpm.x="","N/A",_xlpm.x))</f>
        <v>N/A</v>
      </c>
      <c r="E26" s="453"/>
      <c r="F26" s="39" t="str" cm="1">
        <f t="array" ref="F26">_xlfn.LET(_xlpm.x,IFERROR(INDEX(_xlfn.ANCHORARRAY($J$23),ROWS($F$23:F26),3),""),IF(_xlpm.x="","N/A",_xlpm.x))</f>
        <v>N/A</v>
      </c>
      <c r="G26" s="40" t="str" cm="1">
        <f t="array" ref="G26">_xlfn.LET(_xlpm.x,IFERROR(INDEX(_xlfn.ANCHORARRAY($J$23),ROWS($G$23:G26),4),""),IF(_xlpm.x="","N/A",_xlpm.x))</f>
        <v>N/A</v>
      </c>
      <c r="H26" s="30" t="str" cm="1">
        <f t="array" ref="H26">_xlfn.LET(_xlpm.x,IFERROR(INDEX(_xlfn.ANCHORARRAY($J$23),ROWS($H$23:H26),5),""),IF(_xlpm.x="","N/A",_xlpm.x))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19">
    <mergeCell ref="A2:H2"/>
    <mergeCell ref="B15:B18"/>
    <mergeCell ref="A24:C24"/>
    <mergeCell ref="D25:E25"/>
    <mergeCell ref="B5:B8"/>
    <mergeCell ref="D24:E24"/>
    <mergeCell ref="A20:H20"/>
    <mergeCell ref="D23:E23"/>
    <mergeCell ref="A25:C25"/>
    <mergeCell ref="D22:E22"/>
    <mergeCell ref="E5:E8"/>
    <mergeCell ref="A26:C26"/>
    <mergeCell ref="E10:E13"/>
    <mergeCell ref="A23:C23"/>
    <mergeCell ref="A22:C22"/>
    <mergeCell ref="E15:E18"/>
    <mergeCell ref="B10:B13"/>
    <mergeCell ref="A21:H21"/>
    <mergeCell ref="D26:E26"/>
  </mergeCells>
  <pageMargins left="0.7" right="0.7" top="0.75" bottom="0.75" header="0.3" footer="0.3"/>
  <pageSetup paperSize="9" orientation="portrait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rgb="FFFF0000"/>
  </sheetPr>
  <dimension ref="A1:BE18"/>
  <sheetViews>
    <sheetView workbookViewId="0"/>
  </sheetViews>
  <sheetFormatPr defaultRowHeight="15" x14ac:dyDescent="0.25"/>
  <cols>
    <col min="1" max="1" width="9.7109375" bestFit="1" customWidth="1"/>
    <col min="2" max="2" width="19.42578125" bestFit="1" customWidth="1"/>
    <col min="3" max="3" width="14.7109375" customWidth="1"/>
    <col min="4" max="4" width="14" bestFit="1" customWidth="1"/>
    <col min="5" max="5" width="14.5703125" bestFit="1" customWidth="1"/>
    <col min="6" max="6" width="13.28515625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33" t="s">
        <v>47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122" t="s">
        <v>104</v>
      </c>
      <c r="B4" s="123" t="s">
        <v>388</v>
      </c>
      <c r="C4" s="123" t="s">
        <v>105</v>
      </c>
      <c r="D4" s="124" t="s">
        <v>106</v>
      </c>
      <c r="E4" s="123" t="s">
        <v>112</v>
      </c>
      <c r="F4" s="123" t="s">
        <v>107</v>
      </c>
      <c r="G4" s="125" t="s">
        <v>108</v>
      </c>
      <c r="H4" s="126" t="s">
        <v>109</v>
      </c>
    </row>
    <row r="5" spans="1:14" x14ac:dyDescent="0.25">
      <c r="A5" s="41" t="s">
        <v>48</v>
      </c>
      <c r="B5" s="411" t="s">
        <v>296</v>
      </c>
      <c r="C5" s="42" t="str" cm="1">
        <f t="array" ref="C5">_xlfn.LET(_xlpm.x,IFERROR(INDEX(_xlfn.ANCHORARRAY($J$5),ROWS($C$5:C5),1),""),IF(_xlpm.x="","N/A",_xlpm.x))</f>
        <v>111924VW</v>
      </c>
      <c r="D5" s="43" cm="1">
        <f t="array" ref="D5">_xlfn.LET(_xlpm.x,IFERROR(INDEX(_xlfn.ANCHORARRAY($J$5),ROWS($D$5:D5),2),""),IF(_xlpm.x="","N/A",_xlpm.x))</f>
        <v>46710</v>
      </c>
      <c r="E5" s="411" t="s">
        <v>635</v>
      </c>
      <c r="F5" s="44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46184.245138888888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6">_xlfn.LET(_xlpm.pn,"525-00114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111924VW</v>
      </c>
      <c r="K5">
        <v>46710</v>
      </c>
      <c r="L5">
        <v>1</v>
      </c>
      <c r="M5">
        <v>46184.245138888888</v>
      </c>
      <c r="N5" t="str">
        <v>Jesper Fredriksson</v>
      </c>
    </row>
    <row r="6" spans="1:14" x14ac:dyDescent="0.25">
      <c r="A6" s="8" t="str">
        <f>A$5</f>
        <v>525-00114</v>
      </c>
      <c r="B6" s="406"/>
      <c r="C6" s="37" t="str" cm="1">
        <f t="array" ref="C6">_xlfn.LET(_xlpm.x,IFERROR(INDEX(_xlfn.ANCHORARRAY($J$5),ROWS($C$5:C6),1),""),IF(_xlpm.x="","N/A",_xlpm.x))</f>
        <v>013125ELIF</v>
      </c>
      <c r="D6" s="38" cm="1">
        <f t="array" ref="D6">_xlfn.LET(_xlpm.x,IFERROR(INDEX(_xlfn.ANCHORARRAY($J$5),ROWS($D$5:D6),2),""),IF(_xlpm.x="","N/A",_xlpm.x))</f>
        <v>46783</v>
      </c>
      <c r="E6" s="424"/>
      <c r="F6" s="46" cm="1">
        <f t="array" ref="F6">_xlfn.LET(_xlpm.x,IFERROR(INDEX(_xlfn.ANCHORARRAY($J$5),ROWS($F$5:F6),3),""),IF(_xlpm.x="","N/A",_xlpm.x))</f>
        <v>1</v>
      </c>
      <c r="G6" s="38" cm="1">
        <f t="array" ref="G6">_xlfn.LET(_xlpm.x,IFERROR(INDEX(_xlfn.ANCHORARRAY($J$5),ROWS($G$5:G6),4),""),IF(_xlpm.x="","N/A",_xlpm.x))</f>
        <v>46184.245138888888</v>
      </c>
      <c r="H6" s="26" t="str" cm="1">
        <f t="array" ref="H6">_xlfn.LET(_xlpm.x,IFERROR(INDEX(_xlfn.ANCHORARRAY($J$5),ROWS($H$5:H6),5),""),IF(_xlpm.x="","N/A",_xlpm.x))</f>
        <v>Jesper Fredriksson</v>
      </c>
      <c r="J6" t="str">
        <v>013125ELIF</v>
      </c>
      <c r="K6">
        <v>46783</v>
      </c>
      <c r="L6">
        <v>1</v>
      </c>
      <c r="M6">
        <v>46184.245138888888</v>
      </c>
      <c r="N6" t="str">
        <v>Jesper Fredriksson</v>
      </c>
    </row>
    <row r="7" spans="1:14" x14ac:dyDescent="0.25">
      <c r="A7" s="8" t="str">
        <f>A$5</f>
        <v>525-00114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46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525-00114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47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27" t="s">
        <v>104</v>
      </c>
      <c r="B9" s="325" t="s">
        <v>388</v>
      </c>
      <c r="C9" s="325" t="s">
        <v>105</v>
      </c>
      <c r="D9" s="326" t="s">
        <v>106</v>
      </c>
      <c r="E9" s="325" t="s">
        <v>112</v>
      </c>
      <c r="F9" s="325" t="s">
        <v>107</v>
      </c>
      <c r="G9" s="128" t="s">
        <v>108</v>
      </c>
      <c r="H9" s="129" t="s">
        <v>109</v>
      </c>
    </row>
    <row r="10" spans="1:14" x14ac:dyDescent="0.25">
      <c r="A10" s="41" t="s">
        <v>49</v>
      </c>
      <c r="B10" s="411" t="s">
        <v>251</v>
      </c>
      <c r="C10" s="42" t="str" cm="1">
        <f t="array" ref="C10">_xlfn.LET(_xlpm.x,IFERROR(INDEX(_xlfn.ANCHORARRAY($J$10),ROWS($C$10:C10),1),""),IF(_xlpm.x="","N/A",_xlpm.x))</f>
        <v>102924MOWA</v>
      </c>
      <c r="D10" s="43" cm="1">
        <f t="array" ref="D10">_xlfn.LET(_xlpm.x,IFERROR(INDEX(_xlfn.ANCHORARRAY($J$10),ROWS($D$10:D10),2),""),IF(_xlpm.x="","N/A",_xlpm.x))</f>
        <v>46674</v>
      </c>
      <c r="E10" s="411" t="s">
        <v>635</v>
      </c>
      <c r="F10" s="42" cm="1">
        <f t="array" ref="F10">_xlfn.LET(_xlpm.x,IFERROR(INDEX(_xlfn.ANCHORARRAY($J$10),ROWS($F$10:F10),3),""),IF(_xlpm.x="","N/A",_xlpm.x))</f>
        <v>13</v>
      </c>
      <c r="G10" s="43" cm="1">
        <f t="array" ref="G10">_xlfn.LET(_xlpm.x,IFERROR(INDEX(_xlfn.ANCHORARRAY($J$10),ROWS($G$10:G10),4),""),IF(_xlpm.x="","N/A",_xlpm.x))</f>
        <v>46184.236805555556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525-00071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102924MOWA</v>
      </c>
      <c r="K10">
        <v>46674</v>
      </c>
      <c r="L10">
        <v>13</v>
      </c>
      <c r="M10">
        <v>46184.236805555556</v>
      </c>
      <c r="N10" t="str">
        <v>Jesper Fredriksson</v>
      </c>
    </row>
    <row r="11" spans="1:14" x14ac:dyDescent="0.25">
      <c r="A11" s="8" t="str">
        <f>A$10</f>
        <v>525-00071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525-00071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525-00071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27" t="s">
        <v>104</v>
      </c>
      <c r="B14" s="325" t="s">
        <v>388</v>
      </c>
      <c r="C14" s="325" t="s">
        <v>105</v>
      </c>
      <c r="D14" s="326" t="s">
        <v>106</v>
      </c>
      <c r="E14" s="325" t="s">
        <v>112</v>
      </c>
      <c r="F14" s="325" t="s">
        <v>107</v>
      </c>
      <c r="G14" s="128" t="s">
        <v>108</v>
      </c>
      <c r="H14" s="129" t="s">
        <v>109</v>
      </c>
    </row>
    <row r="15" spans="1:14" x14ac:dyDescent="0.25">
      <c r="A15" s="41" t="s">
        <v>50</v>
      </c>
      <c r="B15" s="412" t="s">
        <v>253</v>
      </c>
      <c r="C15" s="42" t="str" cm="1">
        <f t="array" ref="C15">_xlfn.LET(_xlpm.x,IFERROR(INDEX(_xlfn.ANCHORARRAY($J$15),ROWS($C$15:C15),1),""),IF(_xlpm.x="","N/A",_xlpm.x))</f>
        <v>102924MOWA</v>
      </c>
      <c r="D15" s="43" cm="1">
        <f t="array" ref="D15">_xlfn.LET(_xlpm.x,IFERROR(INDEX(_xlfn.ANCHORARRAY($J$15),ROWS($D$15:D15),2),""),IF(_xlpm.x="","N/A",_xlpm.x))</f>
        <v>46674</v>
      </c>
      <c r="E15" s="411" t="s">
        <v>635</v>
      </c>
      <c r="F15" s="42" cm="1">
        <f t="array" ref="F15">_xlfn.LET(_xlpm.x,IFERROR(INDEX(_xlfn.ANCHORARRAY($J$15),ROWS($F$15:F15),3),""),IF(_xlpm.x="","N/A",_xlpm.x))</f>
        <v>1</v>
      </c>
      <c r="G15" s="43" cm="1">
        <f t="array" ref="G15">_xlfn.LET(_xlpm.x,IFERROR(INDEX(_xlfn.ANCHORARRAY($J$15),ROWS($G$15:G15),4),""),IF(_xlpm.x="","N/A",_xlpm.x))</f>
        <v>46184.236805555556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-00072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102924MOWA</v>
      </c>
      <c r="K15">
        <v>46674</v>
      </c>
      <c r="L15">
        <v>1</v>
      </c>
      <c r="M15">
        <v>46184.236805555556</v>
      </c>
      <c r="N15" t="str">
        <v>Jesper Fredriksson</v>
      </c>
    </row>
    <row r="16" spans="1:14" x14ac:dyDescent="0.25">
      <c r="A16" s="8" t="str">
        <f>A$15</f>
        <v>525-00072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8" x14ac:dyDescent="0.25">
      <c r="A17" s="8" t="str">
        <f>A$15</f>
        <v>525-00072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8" ht="15.75" customHeight="1" thickBot="1" x14ac:dyDescent="0.3">
      <c r="A18" s="29" t="str">
        <f>A$15</f>
        <v>525-00072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>
    <tabColor rgb="FFFFFF00"/>
  </sheetPr>
  <dimension ref="A1:BE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7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34" t="s">
        <v>51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130" t="s">
        <v>104</v>
      </c>
      <c r="B4" s="131" t="s">
        <v>388</v>
      </c>
      <c r="C4" s="131" t="s">
        <v>105</v>
      </c>
      <c r="D4" s="132" t="s">
        <v>106</v>
      </c>
      <c r="E4" s="131" t="s">
        <v>112</v>
      </c>
      <c r="F4" s="131" t="s">
        <v>107</v>
      </c>
      <c r="G4" s="133" t="s">
        <v>108</v>
      </c>
      <c r="H4" s="134" t="s">
        <v>109</v>
      </c>
    </row>
    <row r="5" spans="1:14" x14ac:dyDescent="0.25">
      <c r="A5" s="41" t="s">
        <v>52</v>
      </c>
      <c r="B5" s="411" t="s">
        <v>232</v>
      </c>
      <c r="C5" s="42" t="str" cm="1">
        <f t="array" ref="C5">_xlfn.LET(_xlpm.x,IFERROR(INDEX(_xlfn.ANCHORARRAY($J$5),ROWS($C$5:C5),1),""),IF(_xlpm.x="","N/A",_xlpm.x))</f>
        <v>091625SAHU</v>
      </c>
      <c r="D5" s="43" cm="1">
        <f t="array" ref="D5">_xlfn.LET(_xlpm.x,IFERROR(INDEX(_xlfn.ANCHORARRAY($J$5),ROWS($D$5:D5),2),""),IF(_xlpm.x="","N/A",_xlpm.x))</f>
        <v>46281</v>
      </c>
      <c r="E5" s="411" t="s">
        <v>633</v>
      </c>
      <c r="F5" s="44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46184.23333333333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7">_xlfn.LET(_xlpm.pn,"525-00033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091625SAHU</v>
      </c>
      <c r="K5">
        <v>46281</v>
      </c>
      <c r="L5">
        <v>1</v>
      </c>
      <c r="M5">
        <v>46184.23333333333</v>
      </c>
      <c r="N5" t="str">
        <v>Jesper Fredriksson</v>
      </c>
    </row>
    <row r="6" spans="1:14" x14ac:dyDescent="0.25">
      <c r="A6" s="8" t="str">
        <f>A$5</f>
        <v>525-00033</v>
      </c>
      <c r="B6" s="406"/>
      <c r="C6" s="37" t="str" cm="1">
        <f t="array" ref="C6">_xlfn.LET(_xlpm.x,IFERROR(INDEX(_xlfn.ANCHORARRAY($J$5),ROWS($C$5:C6),1),""),IF(_xlpm.x="","N/A",_xlpm.x))</f>
        <v>100925ARMO</v>
      </c>
      <c r="D6" s="38" cm="1">
        <f t="array" ref="D6">_xlfn.LET(_xlpm.x,IFERROR(INDEX(_xlfn.ANCHORARRAY($J$5),ROWS($D$5:D6),2),""),IF(_xlpm.x="","N/A",_xlpm.x))</f>
        <v>46304</v>
      </c>
      <c r="E6" s="424"/>
      <c r="F6" s="46" cm="1">
        <f t="array" ref="F6">_xlfn.LET(_xlpm.x,IFERROR(INDEX(_xlfn.ANCHORARRAY($J$5),ROWS($F$5:F6),3),""),IF(_xlpm.x="","N/A",_xlpm.x))</f>
        <v>2</v>
      </c>
      <c r="G6" s="38" cm="1">
        <f t="array" ref="G6">_xlfn.LET(_xlpm.x,IFERROR(INDEX(_xlfn.ANCHORARRAY($J$5),ROWS($G$5:G6),4),""),IF(_xlpm.x="","N/A",_xlpm.x))</f>
        <v>46184.232638888891</v>
      </c>
      <c r="H6" s="26" t="str" cm="1">
        <f t="array" ref="H6">_xlfn.LET(_xlpm.x,IFERROR(INDEX(_xlfn.ANCHORARRAY($J$5),ROWS($H$5:H6),5),""),IF(_xlpm.x="","N/A",_xlpm.x))</f>
        <v>Jesper Fredriksson</v>
      </c>
      <c r="J6" t="str">
        <v>100925ARMO</v>
      </c>
      <c r="K6">
        <v>46304</v>
      </c>
      <c r="L6">
        <v>2</v>
      </c>
      <c r="M6">
        <v>46184.232638888891</v>
      </c>
      <c r="N6" t="str">
        <v>Jesper Fredriksson</v>
      </c>
    </row>
    <row r="7" spans="1:14" x14ac:dyDescent="0.25">
      <c r="A7" s="8" t="str">
        <f>A$5</f>
        <v>525-00033</v>
      </c>
      <c r="B7" s="406"/>
      <c r="C7" s="37" t="str" cm="1">
        <f t="array" ref="C7">_xlfn.LET(_xlpm.x,IFERROR(INDEX(_xlfn.ANCHORARRAY($J$5),ROWS($C$5:C7),1),""),IF(_xlpm.x="","N/A",_xlpm.x))</f>
        <v>101525ARMO</v>
      </c>
      <c r="D7" s="38" cm="1">
        <f t="array" ref="D7">_xlfn.LET(_xlpm.x,IFERROR(INDEX(_xlfn.ANCHORARRAY($J$5),ROWS($D$5:D7),2),""),IF(_xlpm.x="","N/A",_xlpm.x))</f>
        <v>46310</v>
      </c>
      <c r="E7" s="424"/>
      <c r="F7" s="46" cm="1">
        <f t="array" ref="F7">_xlfn.LET(_xlpm.x,IFERROR(INDEX(_xlfn.ANCHORARRAY($J$5),ROWS($F$5:F7),3),""),IF(_xlpm.x="","N/A",_xlpm.x))</f>
        <v>3</v>
      </c>
      <c r="G7" s="38" cm="1">
        <f t="array" ref="G7">_xlfn.LET(_xlpm.x,IFERROR(INDEX(_xlfn.ANCHORARRAY($J$5),ROWS($G$5:G7),4),""),IF(_xlpm.x="","N/A",_xlpm.x))</f>
        <v>46184.23333333333</v>
      </c>
      <c r="H7" s="26" t="str" cm="1">
        <f t="array" ref="H7">_xlfn.LET(_xlpm.x,IFERROR(INDEX(_xlfn.ANCHORARRAY($J$5),ROWS($H$5:H7),5),""),IF(_xlpm.x="","N/A",_xlpm.x))</f>
        <v>Jesper Fredriksson</v>
      </c>
      <c r="J7" t="str">
        <v>101525ARMO</v>
      </c>
      <c r="K7">
        <v>46310</v>
      </c>
      <c r="L7">
        <v>3</v>
      </c>
      <c r="M7">
        <v>46184.23333333333</v>
      </c>
      <c r="N7" t="str">
        <v>Jesper Fredriksson</v>
      </c>
    </row>
    <row r="8" spans="1:14" ht="15.75" customHeight="1" thickBot="1" x14ac:dyDescent="0.3">
      <c r="A8" s="29" t="str">
        <f>A$5</f>
        <v>525-00033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47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35" t="s">
        <v>104</v>
      </c>
      <c r="B9" s="335" t="s">
        <v>388</v>
      </c>
      <c r="C9" s="335" t="s">
        <v>105</v>
      </c>
      <c r="D9" s="336" t="s">
        <v>106</v>
      </c>
      <c r="E9" s="335" t="s">
        <v>112</v>
      </c>
      <c r="F9" s="335" t="s">
        <v>107</v>
      </c>
      <c r="G9" s="138" t="s">
        <v>108</v>
      </c>
      <c r="H9" s="139" t="s">
        <v>109</v>
      </c>
    </row>
    <row r="10" spans="1:14" x14ac:dyDescent="0.25">
      <c r="A10" s="41" t="s">
        <v>53</v>
      </c>
      <c r="B10" s="411" t="s">
        <v>236</v>
      </c>
      <c r="C10" s="42" t="str" cm="1">
        <f t="array" ref="C10">_xlfn.LET(_xlpm.x,IFERROR(INDEX(_xlfn.ANCHORARRAY($J$10),ROWS($C$10:C10),1),""),IF(_xlpm.x="","N/A",_xlpm.x))</f>
        <v>050525MASA</v>
      </c>
      <c r="D10" s="43" cm="1">
        <f t="array" ref="D10">_xlfn.LET(_xlpm.x,IFERROR(INDEX(_xlfn.ANCHORARRAY($J$10),ROWS($D$10:D10),2),""),IF(_xlpm.x="","N/A",_xlpm.x))</f>
        <v>46268</v>
      </c>
      <c r="E10" s="411" t="s">
        <v>633</v>
      </c>
      <c r="F10" s="42" cm="1">
        <f t="array" ref="F10">_xlfn.LET(_xlpm.x,IFERROR(INDEX(_xlfn.ANCHORARRAY($J$10),ROWS($F$10:F10),3),""),IF(_xlpm.x="","N/A",_xlpm.x))</f>
        <v>2</v>
      </c>
      <c r="G10" s="43" cm="1">
        <f t="array" ref="G10">_xlfn.LET(_xlpm.x,IFERROR(INDEX(_xlfn.ANCHORARRAY($J$10),ROWS($G$10:G10),4),""),IF(_xlpm.x="","N/A",_xlpm.x))</f>
        <v>46184.234027777777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1">_xlfn.LET(_xlpm.pn,"525-00035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050525MASA</v>
      </c>
      <c r="K10">
        <v>46268</v>
      </c>
      <c r="L10">
        <v>2</v>
      </c>
      <c r="M10">
        <v>46184.234027777777</v>
      </c>
      <c r="N10" t="str">
        <v>Jesper Fredriksson</v>
      </c>
    </row>
    <row r="11" spans="1:14" x14ac:dyDescent="0.25">
      <c r="A11" s="8" t="str">
        <f>A$10</f>
        <v>525-00035</v>
      </c>
      <c r="B11" s="406"/>
      <c r="C11" s="37" t="str" cm="1">
        <f t="array" ref="C11">_xlfn.LET(_xlpm.x,IFERROR(INDEX(_xlfn.ANCHORARRAY($J$10),ROWS($C$10:C11),1),""),IF(_xlpm.x="","N/A",_xlpm.x))</f>
        <v>082625MASA</v>
      </c>
      <c r="D11" s="38" cm="1">
        <f t="array" ref="D11">_xlfn.LET(_xlpm.x,IFERROR(INDEX(_xlfn.ANCHORARRAY($J$10),ROWS($D$10:D11),2),""),IF(_xlpm.x="","N/A",_xlpm.x))</f>
        <v>46746</v>
      </c>
      <c r="E11" s="424"/>
      <c r="F11" s="37" cm="1">
        <f t="array" ref="F11">_xlfn.LET(_xlpm.x,IFERROR(INDEX(_xlfn.ANCHORARRAY($J$10),ROWS($F$10:F11),3),""),IF(_xlpm.x="","N/A",_xlpm.x))</f>
        <v>2</v>
      </c>
      <c r="G11" s="38" cm="1">
        <f t="array" ref="G11">_xlfn.LET(_xlpm.x,IFERROR(INDEX(_xlfn.ANCHORARRAY($J$10),ROWS($G$10:G11),4),""),IF(_xlpm.x="","N/A",_xlpm.x))</f>
        <v>46184.234027777777</v>
      </c>
      <c r="H11" s="26" t="str" cm="1">
        <f t="array" ref="H11">_xlfn.LET(_xlpm.x,IFERROR(INDEX(_xlfn.ANCHORARRAY($J$10),ROWS($H$10:H11),5),""),IF(_xlpm.x="","N/A",_xlpm.x))</f>
        <v>Jesper Fredriksson</v>
      </c>
      <c r="J11" t="str">
        <v>082625MASA</v>
      </c>
      <c r="K11">
        <v>46746</v>
      </c>
      <c r="L11">
        <v>2</v>
      </c>
      <c r="M11">
        <v>46184.234027777777</v>
      </c>
      <c r="N11" t="str">
        <v>Jesper Fredriksson</v>
      </c>
    </row>
    <row r="12" spans="1:14" x14ac:dyDescent="0.25">
      <c r="A12" s="8" t="str">
        <f>A$10</f>
        <v>525-00035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525-00035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35" t="s">
        <v>104</v>
      </c>
      <c r="B14" s="335" t="s">
        <v>388</v>
      </c>
      <c r="C14" s="335" t="s">
        <v>105</v>
      </c>
      <c r="D14" s="336" t="s">
        <v>106</v>
      </c>
      <c r="E14" s="335" t="s">
        <v>112</v>
      </c>
      <c r="F14" s="335" t="s">
        <v>107</v>
      </c>
      <c r="G14" s="138" t="s">
        <v>108</v>
      </c>
      <c r="H14" s="139" t="s">
        <v>109</v>
      </c>
    </row>
    <row r="15" spans="1:14" x14ac:dyDescent="0.25">
      <c r="A15" s="41" t="s">
        <v>54</v>
      </c>
      <c r="B15" s="412" t="s">
        <v>240</v>
      </c>
      <c r="C15" s="42" t="str" cm="1">
        <f t="array" ref="C15">_xlfn.LET(_xlpm.x,IFERROR(INDEX(_xlfn.ANCHORARRAY($J$15),ROWS($C$15:C15),1),""),IF(_xlpm.x="","N/A",_xlpm.x))</f>
        <v>041625MASA</v>
      </c>
      <c r="D15" s="43" cm="1">
        <f t="array" ref="D15">_xlfn.LET(_xlpm.x,IFERROR(INDEX(_xlfn.ANCHORARRAY($J$15),ROWS($D$15:D15),2),""),IF(_xlpm.x="","N/A",_xlpm.x))</f>
        <v>46766</v>
      </c>
      <c r="E15" s="411" t="s">
        <v>633</v>
      </c>
      <c r="F15" s="42" cm="1">
        <f t="array" ref="F15">_xlfn.LET(_xlpm.x,IFERROR(INDEX(_xlfn.ANCHORARRAY($J$15),ROWS($F$15:F15),3),""),IF(_xlpm.x="","N/A",_xlpm.x))</f>
        <v>1.5</v>
      </c>
      <c r="G15" s="43" cm="1">
        <f t="array" ref="G15">_xlfn.LET(_xlpm.x,IFERROR(INDEX(_xlfn.ANCHORARRAY($J$15),ROWS($G$15:G15),4),""),IF(_xlpm.x="","N/A",_xlpm.x))</f>
        <v>46184.23541666667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-00036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041625MASA</v>
      </c>
      <c r="K15">
        <v>46766</v>
      </c>
      <c r="L15">
        <v>1.5</v>
      </c>
      <c r="M15">
        <v>46184.23541666667</v>
      </c>
      <c r="N15" t="str">
        <v>Jesper Fredriksson</v>
      </c>
    </row>
    <row r="16" spans="1:14" x14ac:dyDescent="0.25">
      <c r="A16" s="8" t="str">
        <f>A$15</f>
        <v>525-00036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8" x14ac:dyDescent="0.25">
      <c r="A17" s="8" t="str">
        <f>A$15</f>
        <v>525-00036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8" ht="15.75" customHeight="1" thickBot="1" x14ac:dyDescent="0.3">
      <c r="A18" s="29" t="str">
        <f>A$15</f>
        <v>525-00036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tabColor rgb="FF7030A0"/>
  </sheetPr>
  <dimension ref="A1:BE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5.28515625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35" t="s">
        <v>55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143" t="s">
        <v>104</v>
      </c>
      <c r="B4" s="144" t="s">
        <v>388</v>
      </c>
      <c r="C4" s="144" t="s">
        <v>105</v>
      </c>
      <c r="D4" s="145" t="s">
        <v>106</v>
      </c>
      <c r="E4" s="144" t="s">
        <v>112</v>
      </c>
      <c r="F4" s="144" t="s">
        <v>107</v>
      </c>
      <c r="G4" s="146" t="s">
        <v>108</v>
      </c>
      <c r="H4" s="147" t="s">
        <v>109</v>
      </c>
    </row>
    <row r="5" spans="1:14" x14ac:dyDescent="0.25">
      <c r="A5" s="41" t="s">
        <v>56</v>
      </c>
      <c r="B5" s="411" t="s">
        <v>293</v>
      </c>
      <c r="C5" s="42" t="str" cm="1">
        <f t="array" ref="C5">_xlfn.LET(_xlpm.x,IFERROR(INDEX(_xlfn.ANCHORARRAY($J$5),ROWS($C$5:C5),1),""),IF(_xlpm.x="","N/A",_xlpm.x))</f>
        <v>N/A</v>
      </c>
      <c r="D5" s="43" t="str" cm="1">
        <f t="array" ref="D5">_xlfn.LET(_xlpm.x,IFERROR(INDEX(_xlfn.ANCHORARRAY($J$5),ROWS($D$5:D5),2),""),IF(_xlpm.x="","N/A",_xlpm.x))</f>
        <v>N/A</v>
      </c>
      <c r="E5" s="411" t="s">
        <v>633</v>
      </c>
      <c r="F5" s="44" t="str" cm="1">
        <f t="array" ref="F5">_xlfn.LET(_xlpm.x,IFERROR(INDEX(_xlfn.ANCHORARRAY($J$5),ROWS($F$5:F5),3),""),IF(_xlpm.x="","N/A",_xlpm.x))</f>
        <v>N/A</v>
      </c>
      <c r="G5" s="43" t="str" cm="1">
        <f t="array" ref="G5">_xlfn.LET(_xlpm.x,IFERROR(INDEX(_xlfn.ANCHORARRAY($J$5),ROWS($G$5:G5),4),""),IF(_xlpm.x="","N/A",_xlpm.x))</f>
        <v>N/A</v>
      </c>
      <c r="H5" s="45" t="str" cm="1">
        <f t="array" ref="H5">_xlfn.LET(_xlpm.x,IFERROR(INDEX(_xlfn.ANCHORARRAY($J$5),ROWS($H$5:H5),5),""),IF(_xlpm.x="","N/A",_xlpm.x))</f>
        <v>N/A</v>
      </c>
      <c r="J5" t="str" cm="1">
        <f t="array" ref="J5">_xlfn.LET(_xlpm.pn,"525-00113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6" spans="1:14" x14ac:dyDescent="0.25">
      <c r="A6" s="8" t="str">
        <f>A$5</f>
        <v>525-00113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46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525-00113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46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525-00113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47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40" t="s">
        <v>104</v>
      </c>
      <c r="B9" s="343" t="s">
        <v>388</v>
      </c>
      <c r="C9" s="343" t="s">
        <v>105</v>
      </c>
      <c r="D9" s="344" t="s">
        <v>106</v>
      </c>
      <c r="E9" s="343" t="s">
        <v>112</v>
      </c>
      <c r="F9" s="343" t="s">
        <v>107</v>
      </c>
      <c r="G9" s="141" t="s">
        <v>108</v>
      </c>
      <c r="H9" s="142" t="s">
        <v>109</v>
      </c>
    </row>
    <row r="10" spans="1:14" x14ac:dyDescent="0.25">
      <c r="A10" s="41" t="s">
        <v>57</v>
      </c>
      <c r="B10" s="411" t="s">
        <v>286</v>
      </c>
      <c r="C10" s="42" t="str" cm="1">
        <f t="array" ref="C10">_xlfn.LET(_xlpm.x,IFERROR(INDEX(_xlfn.ANCHORARRAY($J$10),ROWS($C$10:C10),1),""),IF(_xlpm.x="","N/A",_xlpm.x))</f>
        <v>070325MASA</v>
      </c>
      <c r="D10" s="43" cm="1">
        <f t="array" ref="D10">_xlfn.LET(_xlpm.x,IFERROR(INDEX(_xlfn.ANCHORARRAY($J$10),ROWS($D$10:D10),2),""),IF(_xlpm.x="","N/A",_xlpm.x))</f>
        <v>46681</v>
      </c>
      <c r="E10" s="411" t="s">
        <v>633</v>
      </c>
      <c r="F10" s="42" cm="1">
        <f t="array" ref="F10">_xlfn.LET(_xlpm.x,IFERROR(INDEX(_xlfn.ANCHORARRAY($J$10),ROWS($F$10:F10),3),""),IF(_xlpm.x="","N/A",_xlpm.x))</f>
        <v>1</v>
      </c>
      <c r="G10" s="43" cm="1">
        <f t="array" ref="G10">_xlfn.LET(_xlpm.x,IFERROR(INDEX(_xlfn.ANCHORARRAY($J$10),ROWS($G$10:G10),4),""),IF(_xlpm.x="","N/A",_xlpm.x))</f>
        <v>46184.244444444441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1">_xlfn.LET(_xlpm.pn,"525-00103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070325MASA</v>
      </c>
      <c r="K10">
        <v>46681</v>
      </c>
      <c r="L10">
        <v>1</v>
      </c>
      <c r="M10">
        <v>46184.244444444441</v>
      </c>
      <c r="N10" t="str">
        <v>Jesper Fredriksson</v>
      </c>
    </row>
    <row r="11" spans="1:14" x14ac:dyDescent="0.25">
      <c r="A11" s="8" t="str">
        <f>A$10</f>
        <v>525-00103</v>
      </c>
      <c r="B11" s="406"/>
      <c r="C11" s="37" t="str" cm="1">
        <f t="array" ref="C11">_xlfn.LET(_xlpm.x,IFERROR(INDEX(_xlfn.ANCHORARRAY($J$10),ROWS($C$10:C11),1),""),IF(_xlpm.x="","N/A",_xlpm.x))</f>
        <v>100825ELIF</v>
      </c>
      <c r="D11" s="38" cm="1">
        <f t="array" ref="D11">_xlfn.LET(_xlpm.x,IFERROR(INDEX(_xlfn.ANCHORARRAY($J$10),ROWS($D$10:D11),2),""),IF(_xlpm.x="","N/A",_xlpm.x))</f>
        <v>46778</v>
      </c>
      <c r="E11" s="424"/>
      <c r="F11" s="37" cm="1">
        <f t="array" ref="F11">_xlfn.LET(_xlpm.x,IFERROR(INDEX(_xlfn.ANCHORARRAY($J$10),ROWS($F$10:F11),3),""),IF(_xlpm.x="","N/A",_xlpm.x))</f>
        <v>1</v>
      </c>
      <c r="G11" s="38" cm="1">
        <f t="array" ref="G11">_xlfn.LET(_xlpm.x,IFERROR(INDEX(_xlfn.ANCHORARRAY($J$10),ROWS($G$10:G11),4),""),IF(_xlpm.x="","N/A",_xlpm.x))</f>
        <v>46184.244444444441</v>
      </c>
      <c r="H11" s="26" t="str" cm="1">
        <f t="array" ref="H11">_xlfn.LET(_xlpm.x,IFERROR(INDEX(_xlfn.ANCHORARRAY($J$10),ROWS($H$10:H11),5),""),IF(_xlpm.x="","N/A",_xlpm.x))</f>
        <v>Jesper Fredriksson</v>
      </c>
      <c r="J11" t="str">
        <v>100825ELIF</v>
      </c>
      <c r="K11">
        <v>46778</v>
      </c>
      <c r="L11">
        <v>1</v>
      </c>
      <c r="M11">
        <v>46184.244444444441</v>
      </c>
      <c r="N11" t="str">
        <v>Jesper Fredriksson</v>
      </c>
    </row>
    <row r="12" spans="1:14" x14ac:dyDescent="0.25">
      <c r="A12" s="8" t="str">
        <f>A$10</f>
        <v>525-00103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525-00103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40" t="s">
        <v>104</v>
      </c>
      <c r="B14" s="343" t="s">
        <v>388</v>
      </c>
      <c r="C14" s="343" t="s">
        <v>105</v>
      </c>
      <c r="D14" s="344" t="s">
        <v>106</v>
      </c>
      <c r="E14" s="343" t="s">
        <v>112</v>
      </c>
      <c r="F14" s="343" t="s">
        <v>107</v>
      </c>
      <c r="G14" s="141" t="s">
        <v>108</v>
      </c>
      <c r="H14" s="142" t="s">
        <v>109</v>
      </c>
    </row>
    <row r="15" spans="1:14" x14ac:dyDescent="0.25">
      <c r="A15" s="41" t="s">
        <v>58</v>
      </c>
      <c r="B15" s="412" t="s">
        <v>289</v>
      </c>
      <c r="C15" s="42" t="str" cm="1">
        <f t="array" ref="C15">_xlfn.LET(_xlpm.x,IFERROR(INDEX(_xlfn.ANCHORARRAY($J$15),ROWS($C$15:C15),1),""),IF(_xlpm.x="","N/A",_xlpm.x))</f>
        <v>030724VW-B</v>
      </c>
      <c r="D15" s="43" cm="1">
        <f t="array" ref="D15">_xlfn.LET(_xlpm.x,IFERROR(INDEX(_xlfn.ANCHORARRAY($J$15),ROWS($D$15:D15),2),""),IF(_xlpm.x="","N/A",_xlpm.x))</f>
        <v>46198</v>
      </c>
      <c r="E15" s="411" t="s">
        <v>633</v>
      </c>
      <c r="F15" s="42" cm="1">
        <f t="array" ref="F15">_xlfn.LET(_xlpm.x,IFERROR(INDEX(_xlfn.ANCHORARRAY($J$15),ROWS($F$15:F15),3),""),IF(_xlpm.x="","N/A",_xlpm.x))</f>
        <v>6</v>
      </c>
      <c r="G15" s="43" cm="1">
        <f t="array" ref="G15">_xlfn.LET(_xlpm.x,IFERROR(INDEX(_xlfn.ANCHORARRAY($J$15),ROWS($G$15:G15),4),""),IF(_xlpm.x="","N/A",_xlpm.x))</f>
        <v>46184.245138888888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-00104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030724VW-B</v>
      </c>
      <c r="K15">
        <v>46198</v>
      </c>
      <c r="L15">
        <v>6</v>
      </c>
      <c r="M15">
        <v>46184.245138888888</v>
      </c>
      <c r="N15" t="str">
        <v>Jesper Fredriksson</v>
      </c>
    </row>
    <row r="16" spans="1:14" x14ac:dyDescent="0.25">
      <c r="A16" s="8" t="str">
        <f>A$15</f>
        <v>525-00104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8" x14ac:dyDescent="0.25">
      <c r="A17" s="8" t="str">
        <f>A$15</f>
        <v>525-00104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8" ht="15.75" customHeight="1" thickBot="1" x14ac:dyDescent="0.3">
      <c r="A18" s="29" t="str">
        <f>A$15</f>
        <v>525-00104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>
    <tabColor rgb="FFFFCC00"/>
  </sheetPr>
  <dimension ref="A1:BE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7.42578125" customWidth="1"/>
    <col min="4" max="4" width="14" bestFit="1" customWidth="1"/>
    <col min="5" max="5" width="14.5703125" bestFit="1" customWidth="1"/>
    <col min="6" max="6" width="15.7109375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36" t="s">
        <v>59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148" t="s">
        <v>104</v>
      </c>
      <c r="B4" s="149" t="s">
        <v>388</v>
      </c>
      <c r="C4" s="149" t="s">
        <v>105</v>
      </c>
      <c r="D4" s="150" t="s">
        <v>106</v>
      </c>
      <c r="E4" s="149" t="s">
        <v>112</v>
      </c>
      <c r="F4" s="149" t="s">
        <v>107</v>
      </c>
      <c r="G4" s="151" t="s">
        <v>108</v>
      </c>
      <c r="H4" s="152" t="s">
        <v>109</v>
      </c>
    </row>
    <row r="5" spans="1:14" x14ac:dyDescent="0.25">
      <c r="A5" s="41" t="s">
        <v>52</v>
      </c>
      <c r="B5" s="411" t="s">
        <v>232</v>
      </c>
      <c r="C5" s="42" t="str" cm="1">
        <f t="array" ref="C5">_xlfn.LET(_xlpm.x,IFERROR(INDEX(_xlfn.ANCHORARRAY($J$5),ROWS($C$5:C5),1),""),IF(_xlpm.x="","N/A",_xlpm.x))</f>
        <v>091625SAHU</v>
      </c>
      <c r="D5" s="43" cm="1">
        <f t="array" ref="D5">_xlfn.LET(_xlpm.x,IFERROR(INDEX(_xlfn.ANCHORARRAY($J$5),ROWS($D$5:D5),2),""),IF(_xlpm.x="","N/A",_xlpm.x))</f>
        <v>46281</v>
      </c>
      <c r="E5" s="411" t="s">
        <v>633</v>
      </c>
      <c r="F5" s="44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46184.23333333333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7">_xlfn.LET(_xlpm.pn,"525-00033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091625SAHU</v>
      </c>
      <c r="K5">
        <v>46281</v>
      </c>
      <c r="L5">
        <v>1</v>
      </c>
      <c r="M5">
        <v>46184.23333333333</v>
      </c>
      <c r="N5" t="str">
        <v>Jesper Fredriksson</v>
      </c>
    </row>
    <row r="6" spans="1:14" x14ac:dyDescent="0.25">
      <c r="A6" s="8" t="str">
        <f>A$5</f>
        <v>525-00033</v>
      </c>
      <c r="B6" s="406"/>
      <c r="C6" s="37" t="str" cm="1">
        <f t="array" ref="C6">_xlfn.LET(_xlpm.x,IFERROR(INDEX(_xlfn.ANCHORARRAY($J$5),ROWS($C$5:C6),1),""),IF(_xlpm.x="","N/A",_xlpm.x))</f>
        <v>100925ARMO</v>
      </c>
      <c r="D6" s="38" cm="1">
        <f t="array" ref="D6">_xlfn.LET(_xlpm.x,IFERROR(INDEX(_xlfn.ANCHORARRAY($J$5),ROWS($D$5:D6),2),""),IF(_xlpm.x="","N/A",_xlpm.x))</f>
        <v>46304</v>
      </c>
      <c r="E6" s="424"/>
      <c r="F6" s="46" cm="1">
        <f t="array" ref="F6">_xlfn.LET(_xlpm.x,IFERROR(INDEX(_xlfn.ANCHORARRAY($J$5),ROWS($F$5:F6),3),""),IF(_xlpm.x="","N/A",_xlpm.x))</f>
        <v>2</v>
      </c>
      <c r="G6" s="38" cm="1">
        <f t="array" ref="G6">_xlfn.LET(_xlpm.x,IFERROR(INDEX(_xlfn.ANCHORARRAY($J$5),ROWS($G$5:G6),4),""),IF(_xlpm.x="","N/A",_xlpm.x))</f>
        <v>46184.232638888891</v>
      </c>
      <c r="H6" s="26" t="str" cm="1">
        <f t="array" ref="H6">_xlfn.LET(_xlpm.x,IFERROR(INDEX(_xlfn.ANCHORARRAY($J$5),ROWS($H$5:H6),5),""),IF(_xlpm.x="","N/A",_xlpm.x))</f>
        <v>Jesper Fredriksson</v>
      </c>
      <c r="J6" t="str">
        <v>100925ARMO</v>
      </c>
      <c r="K6">
        <v>46304</v>
      </c>
      <c r="L6">
        <v>2</v>
      </c>
      <c r="M6">
        <v>46184.232638888891</v>
      </c>
      <c r="N6" t="str">
        <v>Jesper Fredriksson</v>
      </c>
    </row>
    <row r="7" spans="1:14" x14ac:dyDescent="0.25">
      <c r="A7" s="8" t="str">
        <f>A$5</f>
        <v>525-00033</v>
      </c>
      <c r="B7" s="406"/>
      <c r="C7" s="37" t="str" cm="1">
        <f t="array" ref="C7">_xlfn.LET(_xlpm.x,IFERROR(INDEX(_xlfn.ANCHORARRAY($J$5),ROWS($C$5:C7),1),""),IF(_xlpm.x="","N/A",_xlpm.x))</f>
        <v>101525ARMO</v>
      </c>
      <c r="D7" s="38" cm="1">
        <f t="array" ref="D7">_xlfn.LET(_xlpm.x,IFERROR(INDEX(_xlfn.ANCHORARRAY($J$5),ROWS($D$5:D7),2),""),IF(_xlpm.x="","N/A",_xlpm.x))</f>
        <v>46310</v>
      </c>
      <c r="E7" s="424"/>
      <c r="F7" s="46" cm="1">
        <f t="array" ref="F7">_xlfn.LET(_xlpm.x,IFERROR(INDEX(_xlfn.ANCHORARRAY($J$5),ROWS($F$5:F7),3),""),IF(_xlpm.x="","N/A",_xlpm.x))</f>
        <v>3</v>
      </c>
      <c r="G7" s="38" cm="1">
        <f t="array" ref="G7">_xlfn.LET(_xlpm.x,IFERROR(INDEX(_xlfn.ANCHORARRAY($J$5),ROWS($G$5:G7),4),""),IF(_xlpm.x="","N/A",_xlpm.x))</f>
        <v>46184.23333333333</v>
      </c>
      <c r="H7" s="26" t="str" cm="1">
        <f t="array" ref="H7">_xlfn.LET(_xlpm.x,IFERROR(INDEX(_xlfn.ANCHORARRAY($J$5),ROWS($H$5:H7),5),""),IF(_xlpm.x="","N/A",_xlpm.x))</f>
        <v>Jesper Fredriksson</v>
      </c>
      <c r="J7" t="str">
        <v>101525ARMO</v>
      </c>
      <c r="K7">
        <v>46310</v>
      </c>
      <c r="L7">
        <v>3</v>
      </c>
      <c r="M7">
        <v>46184.23333333333</v>
      </c>
      <c r="N7" t="str">
        <v>Jesper Fredriksson</v>
      </c>
    </row>
    <row r="8" spans="1:14" ht="15.75" customHeight="1" thickBot="1" x14ac:dyDescent="0.3">
      <c r="A8" s="29" t="str">
        <f>A$5</f>
        <v>525-00033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47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53" t="s">
        <v>104</v>
      </c>
      <c r="B9" s="341" t="s">
        <v>388</v>
      </c>
      <c r="C9" s="341" t="s">
        <v>105</v>
      </c>
      <c r="D9" s="342" t="s">
        <v>106</v>
      </c>
      <c r="E9" s="341" t="s">
        <v>112</v>
      </c>
      <c r="F9" s="341" t="s">
        <v>107</v>
      </c>
      <c r="G9" s="154" t="s">
        <v>108</v>
      </c>
      <c r="H9" s="155" t="s">
        <v>109</v>
      </c>
    </row>
    <row r="10" spans="1:14" x14ac:dyDescent="0.25">
      <c r="A10" s="41" t="s">
        <v>60</v>
      </c>
      <c r="B10" s="411" t="s">
        <v>223</v>
      </c>
      <c r="C10" s="42" t="str" cm="1">
        <f t="array" ref="C10">_xlfn.LET(_xlpm.x,IFERROR(INDEX(_xlfn.ANCHORARRAY($J$10),ROWS($C$10:C10),1),""),IF(_xlpm.x="","N/A",_xlpm.x))</f>
        <v>071924MATE</v>
      </c>
      <c r="D10" s="43" cm="1">
        <f t="array" ref="D10">_xlfn.LET(_xlpm.x,IFERROR(INDEX(_xlfn.ANCHORARRAY($J$10),ROWS($D$10:D10),2),""),IF(_xlpm.x="","N/A",_xlpm.x))</f>
        <v>46332</v>
      </c>
      <c r="E10" s="411" t="s">
        <v>633</v>
      </c>
      <c r="F10" s="42" cm="1">
        <f t="array" ref="F10">_xlfn.LET(_xlpm.x,IFERROR(INDEX(_xlfn.ANCHORARRAY($J$10),ROWS($F$10:F10),3),""),IF(_xlpm.x="","N/A",_xlpm.x))</f>
        <v>6</v>
      </c>
      <c r="G10" s="43" cm="1">
        <f t="array" ref="G10">_xlfn.LET(_xlpm.x,IFERROR(INDEX(_xlfn.ANCHORARRAY($J$10),ROWS($G$10:G10),4),""),IF(_xlpm.x="","N/A",_xlpm.x))</f>
        <v>46184.132638888892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525-00017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071924MATE</v>
      </c>
      <c r="K10">
        <v>46332</v>
      </c>
      <c r="L10">
        <v>6</v>
      </c>
      <c r="M10">
        <v>46184.132638888892</v>
      </c>
      <c r="N10" t="str">
        <v>Jesper Fredriksson</v>
      </c>
    </row>
    <row r="11" spans="1:14" x14ac:dyDescent="0.25">
      <c r="A11" s="8" t="str">
        <f>A$10</f>
        <v>525-00017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525-00017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525-00017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53" t="s">
        <v>104</v>
      </c>
      <c r="B14" s="341" t="s">
        <v>388</v>
      </c>
      <c r="C14" s="341" t="s">
        <v>105</v>
      </c>
      <c r="D14" s="342" t="s">
        <v>106</v>
      </c>
      <c r="E14" s="341" t="s">
        <v>112</v>
      </c>
      <c r="F14" s="341" t="s">
        <v>107</v>
      </c>
      <c r="G14" s="154" t="s">
        <v>108</v>
      </c>
      <c r="H14" s="155" t="s">
        <v>109</v>
      </c>
    </row>
    <row r="15" spans="1:14" x14ac:dyDescent="0.25">
      <c r="A15" s="41" t="s">
        <v>61</v>
      </c>
      <c r="B15" s="412" t="s">
        <v>226</v>
      </c>
      <c r="C15" s="42" t="str" cm="1">
        <f t="array" ref="C15">_xlfn.LET(_xlpm.x,IFERROR(INDEX(_xlfn.ANCHORARRAY($J$15),ROWS($C$15:C15),1),""),IF(_xlpm.x="","N/A",_xlpm.x))</f>
        <v>071924MATE</v>
      </c>
      <c r="D15" s="43" cm="1">
        <f t="array" ref="D15">_xlfn.LET(_xlpm.x,IFERROR(INDEX(_xlfn.ANCHORARRAY($J$15),ROWS($D$15:D15),2),""),IF(_xlpm.x="","N/A",_xlpm.x))</f>
        <v>46332</v>
      </c>
      <c r="E15" s="411" t="s">
        <v>633</v>
      </c>
      <c r="F15" s="42" cm="1">
        <f t="array" ref="F15">_xlfn.LET(_xlpm.x,IFERROR(INDEX(_xlfn.ANCHORARRAY($J$15),ROWS($F$15:F15),3),""),IF(_xlpm.x="","N/A",_xlpm.x))</f>
        <v>0.5</v>
      </c>
      <c r="G15" s="43" cm="1">
        <f t="array" ref="G15">_xlfn.LET(_xlpm.x,IFERROR(INDEX(_xlfn.ANCHORARRAY($J$15),ROWS($G$15:G15),4),""),IF(_xlpm.x="","N/A",_xlpm.x))</f>
        <v>46184.133333333331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7">_xlfn.LET(_xlpm.pn,"525-00018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071924MATE</v>
      </c>
      <c r="K15">
        <v>46332</v>
      </c>
      <c r="L15">
        <v>0.5</v>
      </c>
      <c r="M15">
        <v>46184.133333333331</v>
      </c>
      <c r="N15" t="str">
        <v>Jesper Fredriksson</v>
      </c>
    </row>
    <row r="16" spans="1:14" x14ac:dyDescent="0.25">
      <c r="A16" s="8" t="str">
        <f>A$15</f>
        <v>525-00018</v>
      </c>
      <c r="B16" s="406"/>
      <c r="C16" s="37" t="str" cm="1">
        <f t="array" ref="C16">_xlfn.LET(_xlpm.x,IFERROR(INDEX(_xlfn.ANCHORARRAY($J$15),ROWS($C$15:C16),1),""),IF(_xlpm.x="","N/A",_xlpm.x))</f>
        <v>102125MMM</v>
      </c>
      <c r="D16" s="38" cm="1">
        <f t="array" ref="D16">_xlfn.LET(_xlpm.x,IFERROR(INDEX(_xlfn.ANCHORARRAY($J$15),ROWS($D$15:D16),2),""),IF(_xlpm.x="","N/A",_xlpm.x))</f>
        <v>46791</v>
      </c>
      <c r="E16" s="424"/>
      <c r="F16" s="37" cm="1">
        <f t="array" ref="F16">_xlfn.LET(_xlpm.x,IFERROR(INDEX(_xlfn.ANCHORARRAY($J$15),ROWS($F$15:F16),3),""),IF(_xlpm.x="","N/A",_xlpm.x))</f>
        <v>1</v>
      </c>
      <c r="G16" s="38" cm="1">
        <f t="array" ref="G16">_xlfn.LET(_xlpm.x,IFERROR(INDEX(_xlfn.ANCHORARRAY($J$15),ROWS($G$15:G16),4),""),IF(_xlpm.x="","N/A",_xlpm.x))</f>
        <v>46184.132638888892</v>
      </c>
      <c r="H16" s="26" t="str" cm="1">
        <f t="array" ref="H16">_xlfn.LET(_xlpm.x,IFERROR(INDEX(_xlfn.ANCHORARRAY($J$15),ROWS($H$15:H16),5),""),IF(_xlpm.x="","N/A",_xlpm.x))</f>
        <v>Jesper Fredriksson</v>
      </c>
      <c r="J16" t="str">
        <v>102125MMM</v>
      </c>
      <c r="K16">
        <v>46791</v>
      </c>
      <c r="L16">
        <v>1</v>
      </c>
      <c r="M16">
        <v>46184.132638888892</v>
      </c>
      <c r="N16" t="str">
        <v>Jesper Fredriksson</v>
      </c>
    </row>
    <row r="17" spans="1:14" x14ac:dyDescent="0.25">
      <c r="A17" s="8" t="str">
        <f>A$15</f>
        <v>525-00018</v>
      </c>
      <c r="B17" s="406"/>
      <c r="C17" s="37" t="str" cm="1">
        <f t="array" ref="C17">_xlfn.LET(_xlpm.x,IFERROR(INDEX(_xlfn.ANCHORARRAY($J$15),ROWS($C$15:C17),1),""),IF(_xlpm.x="","N/A",_xlpm.x))</f>
        <v>112025MMM</v>
      </c>
      <c r="D17" s="38" cm="1">
        <f t="array" ref="D17">_xlfn.LET(_xlpm.x,IFERROR(INDEX(_xlfn.ANCHORARRAY($J$15),ROWS($D$15:D17),2),""),IF(_xlpm.x="","N/A",_xlpm.x))</f>
        <v>46821</v>
      </c>
      <c r="E17" s="424"/>
      <c r="F17" s="37" cm="1">
        <f t="array" ref="F17">_xlfn.LET(_xlpm.x,IFERROR(INDEX(_xlfn.ANCHORARRAY($J$15),ROWS($F$15:F17),3),""),IF(_xlpm.x="","N/A",_xlpm.x))</f>
        <v>12</v>
      </c>
      <c r="G17" s="38" cm="1">
        <f t="array" ref="G17">_xlfn.LET(_xlpm.x,IFERROR(INDEX(_xlfn.ANCHORARRAY($J$15),ROWS($G$15:G17),4),""),IF(_xlpm.x="","N/A",_xlpm.x))</f>
        <v>46184.133333333331</v>
      </c>
      <c r="H17" s="26" t="str" cm="1">
        <f t="array" ref="H17">_xlfn.LET(_xlpm.x,IFERROR(INDEX(_xlfn.ANCHORARRAY($J$15),ROWS($H$15:H17),5),""),IF(_xlpm.x="","N/A",_xlpm.x))</f>
        <v>Jesper Fredriksson</v>
      </c>
      <c r="J17" t="str">
        <v>112025MMM</v>
      </c>
      <c r="K17">
        <v>46821</v>
      </c>
      <c r="L17">
        <v>12</v>
      </c>
      <c r="M17">
        <v>46184.133333333331</v>
      </c>
      <c r="N17" t="str">
        <v>Jesper Fredriksson</v>
      </c>
    </row>
    <row r="18" spans="1:14" ht="15.75" customHeight="1" thickBot="1" x14ac:dyDescent="0.3">
      <c r="A18" s="29" t="str">
        <f>A$15</f>
        <v>525-00018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tabColor theme="1"/>
  </sheetPr>
  <dimension ref="A1:BE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6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37" t="s">
        <v>62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156" t="s">
        <v>104</v>
      </c>
      <c r="B4" s="157" t="s">
        <v>388</v>
      </c>
      <c r="C4" s="157" t="s">
        <v>105</v>
      </c>
      <c r="D4" s="158" t="s">
        <v>106</v>
      </c>
      <c r="E4" s="157" t="s">
        <v>112</v>
      </c>
      <c r="F4" s="157" t="s">
        <v>107</v>
      </c>
      <c r="G4" s="159" t="s">
        <v>108</v>
      </c>
      <c r="H4" s="160" t="s">
        <v>109</v>
      </c>
    </row>
    <row r="5" spans="1:14" x14ac:dyDescent="0.25">
      <c r="A5" s="41" t="s">
        <v>52</v>
      </c>
      <c r="B5" s="411" t="s">
        <v>232</v>
      </c>
      <c r="C5" s="42" t="str" cm="1">
        <f t="array" ref="C5">_xlfn.LET(_xlpm.x,IFERROR(INDEX(_xlfn.ANCHORARRAY($J$5),ROWS($C$5:C5),1),""),IF(_xlpm.x="","N/A",_xlpm.x))</f>
        <v>091625SAHU</v>
      </c>
      <c r="D5" s="43" cm="1">
        <f t="array" ref="D5">_xlfn.LET(_xlpm.x,IFERROR(INDEX(_xlfn.ANCHORARRAY($J$5),ROWS($D$5:D5),2),""),IF(_xlpm.x="","N/A",_xlpm.x))</f>
        <v>46281</v>
      </c>
      <c r="E5" s="411" t="s">
        <v>633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46184.23333333333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7">_xlfn.LET(_xlpm.pn,"525-00033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091625SAHU</v>
      </c>
      <c r="K5">
        <v>46281</v>
      </c>
      <c r="L5">
        <v>1</v>
      </c>
      <c r="M5">
        <v>46184.23333333333</v>
      </c>
      <c r="N5" t="str">
        <v>Jesper Fredriksson</v>
      </c>
    </row>
    <row r="6" spans="1:14" x14ac:dyDescent="0.25">
      <c r="A6" s="8" t="str">
        <f>A$5</f>
        <v>525-00033</v>
      </c>
      <c r="B6" s="406"/>
      <c r="C6" s="37" t="str" cm="1">
        <f t="array" ref="C6">_xlfn.LET(_xlpm.x,IFERROR(INDEX(_xlfn.ANCHORARRAY($J$5),ROWS($C$5:C6),1),""),IF(_xlpm.x="","N/A",_xlpm.x))</f>
        <v>100925ARMO</v>
      </c>
      <c r="D6" s="38" cm="1">
        <f t="array" ref="D6">_xlfn.LET(_xlpm.x,IFERROR(INDEX(_xlfn.ANCHORARRAY($J$5),ROWS($D$5:D6),2),""),IF(_xlpm.x="","N/A",_xlpm.x))</f>
        <v>46304</v>
      </c>
      <c r="E6" s="424"/>
      <c r="F6" s="37" cm="1">
        <f t="array" ref="F6">_xlfn.LET(_xlpm.x,IFERROR(INDEX(_xlfn.ANCHORARRAY($J$5),ROWS($F$5:F6),3),""),IF(_xlpm.x="","N/A",_xlpm.x))</f>
        <v>2</v>
      </c>
      <c r="G6" s="38" cm="1">
        <f t="array" ref="G6">_xlfn.LET(_xlpm.x,IFERROR(INDEX(_xlfn.ANCHORARRAY($J$5),ROWS($G$5:G6),4),""),IF(_xlpm.x="","N/A",_xlpm.x))</f>
        <v>46184.232638888891</v>
      </c>
      <c r="H6" s="26" t="str" cm="1">
        <f t="array" ref="H6">_xlfn.LET(_xlpm.x,IFERROR(INDEX(_xlfn.ANCHORARRAY($J$5),ROWS($H$5:H6),5),""),IF(_xlpm.x="","N/A",_xlpm.x))</f>
        <v>Jesper Fredriksson</v>
      </c>
      <c r="J6" t="str">
        <v>100925ARMO</v>
      </c>
      <c r="K6">
        <v>46304</v>
      </c>
      <c r="L6">
        <v>2</v>
      </c>
      <c r="M6">
        <v>46184.232638888891</v>
      </c>
      <c r="N6" t="str">
        <v>Jesper Fredriksson</v>
      </c>
    </row>
    <row r="7" spans="1:14" x14ac:dyDescent="0.25">
      <c r="A7" s="8" t="str">
        <f>A$5</f>
        <v>525-00033</v>
      </c>
      <c r="B7" s="406"/>
      <c r="C7" s="37" t="str" cm="1">
        <f t="array" ref="C7">_xlfn.LET(_xlpm.x,IFERROR(INDEX(_xlfn.ANCHORARRAY($J$5),ROWS($C$5:C7),1),""),IF(_xlpm.x="","N/A",_xlpm.x))</f>
        <v>101525ARMO</v>
      </c>
      <c r="D7" s="38" cm="1">
        <f t="array" ref="D7">_xlfn.LET(_xlpm.x,IFERROR(INDEX(_xlfn.ANCHORARRAY($J$5),ROWS($D$5:D7),2),""),IF(_xlpm.x="","N/A",_xlpm.x))</f>
        <v>46310</v>
      </c>
      <c r="E7" s="424"/>
      <c r="F7" s="37" cm="1">
        <f t="array" ref="F7">_xlfn.LET(_xlpm.x,IFERROR(INDEX(_xlfn.ANCHORARRAY($J$5),ROWS($F$5:F7),3),""),IF(_xlpm.x="","N/A",_xlpm.x))</f>
        <v>3</v>
      </c>
      <c r="G7" s="38" cm="1">
        <f t="array" ref="G7">_xlfn.LET(_xlpm.x,IFERROR(INDEX(_xlfn.ANCHORARRAY($J$5),ROWS($G$5:G7),4),""),IF(_xlpm.x="","N/A",_xlpm.x))</f>
        <v>46184.23333333333</v>
      </c>
      <c r="H7" s="26" t="str" cm="1">
        <f t="array" ref="H7">_xlfn.LET(_xlpm.x,IFERROR(INDEX(_xlfn.ANCHORARRAY($J$5),ROWS($H$5:H7),5),""),IF(_xlpm.x="","N/A",_xlpm.x))</f>
        <v>Jesper Fredriksson</v>
      </c>
      <c r="J7" t="str">
        <v>101525ARMO</v>
      </c>
      <c r="K7">
        <v>46310</v>
      </c>
      <c r="L7">
        <v>3</v>
      </c>
      <c r="M7">
        <v>46184.23333333333</v>
      </c>
      <c r="N7" t="str">
        <v>Jesper Fredriksson</v>
      </c>
    </row>
    <row r="8" spans="1:14" ht="15.75" customHeight="1" thickBot="1" x14ac:dyDescent="0.3">
      <c r="A8" s="29" t="str">
        <f>A$5</f>
        <v>525-00033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61" t="s">
        <v>104</v>
      </c>
      <c r="B9" s="339" t="s">
        <v>388</v>
      </c>
      <c r="C9" s="339" t="s">
        <v>105</v>
      </c>
      <c r="D9" s="340" t="s">
        <v>106</v>
      </c>
      <c r="E9" s="339" t="s">
        <v>112</v>
      </c>
      <c r="F9" s="339" t="s">
        <v>107</v>
      </c>
      <c r="G9" s="162" t="s">
        <v>108</v>
      </c>
      <c r="H9" s="163" t="s">
        <v>109</v>
      </c>
    </row>
    <row r="10" spans="1:14" x14ac:dyDescent="0.25">
      <c r="A10" s="41" t="s">
        <v>63</v>
      </c>
      <c r="B10" s="411" t="s">
        <v>303</v>
      </c>
      <c r="C10" s="42" t="str" cm="1">
        <f t="array" ref="C10">_xlfn.LET(_xlpm.x,IFERROR(INDEX(_xlfn.ANCHORARRAY($J$10),ROWS($C$10:C10),1),""),IF(_xlpm.x="","N/A",_xlpm.x))</f>
        <v>081425ELIF</v>
      </c>
      <c r="D10" s="43" cm="1">
        <f t="array" ref="D10">_xlfn.LET(_xlpm.x,IFERROR(INDEX(_xlfn.ANCHORARRAY($J$10),ROWS($D$10:D10),2),""),IF(_xlpm.x="","N/A",_xlpm.x))</f>
        <v>46248</v>
      </c>
      <c r="E10" s="411" t="s">
        <v>633</v>
      </c>
      <c r="F10" s="42" cm="1">
        <f t="array" ref="F10">_xlfn.LET(_xlpm.x,IFERROR(INDEX(_xlfn.ANCHORARRAY($J$10),ROWS($F$10:F10),3),""),IF(_xlpm.x="","N/A",_xlpm.x))</f>
        <v>3</v>
      </c>
      <c r="G10" s="43" cm="1">
        <f t="array" ref="G10">_xlfn.LET(_xlpm.x,IFERROR(INDEX(_xlfn.ANCHORARRAY($J$10),ROWS($G$10:G10),4),""),IF(_xlpm.x="","N/A",_xlpm.x))</f>
        <v>46184.245833333334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1">_xlfn.LET(_xlpm.pn,"525-00120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081425ELIF</v>
      </c>
      <c r="K10">
        <v>46248</v>
      </c>
      <c r="L10">
        <v>3</v>
      </c>
      <c r="M10">
        <v>46184.245833333334</v>
      </c>
      <c r="N10" t="str">
        <v>Jesper Fredriksson</v>
      </c>
    </row>
    <row r="11" spans="1:14" x14ac:dyDescent="0.25">
      <c r="A11" s="8" t="str">
        <f>A$10</f>
        <v>525-00120</v>
      </c>
      <c r="B11" s="406"/>
      <c r="C11" s="37" t="str" cm="1">
        <f t="array" ref="C11">_xlfn.LET(_xlpm.x,IFERROR(INDEX(_xlfn.ANCHORARRAY($J$10),ROWS($C$10:C11),1),""),IF(_xlpm.x="","N/A",_xlpm.x))</f>
        <v>101425MMM</v>
      </c>
      <c r="D11" s="38" cm="1">
        <f t="array" ref="D11">_xlfn.LET(_xlpm.x,IFERROR(INDEX(_xlfn.ANCHORARRAY($J$10),ROWS($D$10:D11),2),""),IF(_xlpm.x="","N/A",_xlpm.x))</f>
        <v>46309</v>
      </c>
      <c r="E11" s="424"/>
      <c r="F11" s="37" cm="1">
        <f t="array" ref="F11">_xlfn.LET(_xlpm.x,IFERROR(INDEX(_xlfn.ANCHORARRAY($J$10),ROWS($F$10:F11),3),""),IF(_xlpm.x="","N/A",_xlpm.x))</f>
        <v>3</v>
      </c>
      <c r="G11" s="38" cm="1">
        <f t="array" ref="G11">_xlfn.LET(_xlpm.x,IFERROR(INDEX(_xlfn.ANCHORARRAY($J$10),ROWS($G$10:G11),4),""),IF(_xlpm.x="","N/A",_xlpm.x))</f>
        <v>46184.245833333334</v>
      </c>
      <c r="H11" s="26" t="str" cm="1">
        <f t="array" ref="H11">_xlfn.LET(_xlpm.x,IFERROR(INDEX(_xlfn.ANCHORARRAY($J$10),ROWS($H$10:H11),5),""),IF(_xlpm.x="","N/A",_xlpm.x))</f>
        <v>Jesper Fredriksson</v>
      </c>
      <c r="J11" t="str">
        <v>101425MMM</v>
      </c>
      <c r="K11">
        <v>46309</v>
      </c>
      <c r="L11">
        <v>3</v>
      </c>
      <c r="M11">
        <v>46184.245833333334</v>
      </c>
      <c r="N11" t="str">
        <v>Jesper Fredriksson</v>
      </c>
    </row>
    <row r="12" spans="1:14" x14ac:dyDescent="0.25">
      <c r="A12" s="8" t="str">
        <f>A$10</f>
        <v>525-00120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525-00120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61" t="s">
        <v>104</v>
      </c>
      <c r="B14" s="339" t="s">
        <v>388</v>
      </c>
      <c r="C14" s="339" t="s">
        <v>105</v>
      </c>
      <c r="D14" s="340" t="s">
        <v>106</v>
      </c>
      <c r="E14" s="339" t="s">
        <v>112</v>
      </c>
      <c r="F14" s="339" t="s">
        <v>107</v>
      </c>
      <c r="G14" s="162" t="s">
        <v>108</v>
      </c>
      <c r="H14" s="163" t="s">
        <v>109</v>
      </c>
    </row>
    <row r="15" spans="1:14" x14ac:dyDescent="0.25">
      <c r="A15" s="41" t="s">
        <v>64</v>
      </c>
      <c r="B15" s="412" t="s">
        <v>308</v>
      </c>
      <c r="C15" s="42" t="str" cm="1">
        <f t="array" ref="C15">_xlfn.LET(_xlpm.x,IFERROR(INDEX(_xlfn.ANCHORARRAY($J$15),ROWS($C$15:C15),1),""),IF(_xlpm.x="","N/A",_xlpm.x))</f>
        <v>081425ELIF</v>
      </c>
      <c r="D15" s="43" cm="1">
        <f t="array" ref="D15">_xlfn.LET(_xlpm.x,IFERROR(INDEX(_xlfn.ANCHORARRAY($J$15),ROWS($D$15:D15),2),""),IF(_xlpm.x="","N/A",_xlpm.x))</f>
        <v>46248</v>
      </c>
      <c r="E15" s="411" t="s">
        <v>633</v>
      </c>
      <c r="F15" s="42" cm="1">
        <f t="array" ref="F15">_xlfn.LET(_xlpm.x,IFERROR(INDEX(_xlfn.ANCHORARRAY($J$15),ROWS($F$15:F15),3),""),IF(_xlpm.x="","N/A",_xlpm.x))</f>
        <v>1</v>
      </c>
      <c r="G15" s="43" cm="1">
        <f t="array" ref="G15">_xlfn.LET(_xlpm.x,IFERROR(INDEX(_xlfn.ANCHORARRAY($J$15),ROWS($G$15:G15),4),""),IF(_xlpm.x="","N/A",_xlpm.x))</f>
        <v>46184.246527777781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6">_xlfn.LET(_xlpm.pn,"525-00131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081425ELIF</v>
      </c>
      <c r="K15">
        <v>46248</v>
      </c>
      <c r="L15">
        <v>1</v>
      </c>
      <c r="M15">
        <v>46184.246527777781</v>
      </c>
      <c r="N15" t="str">
        <v>Jesper Fredriksson</v>
      </c>
    </row>
    <row r="16" spans="1:14" x14ac:dyDescent="0.25">
      <c r="A16" s="8" t="str">
        <f>A$15</f>
        <v>525-00131</v>
      </c>
      <c r="B16" s="406"/>
      <c r="C16" s="37" t="str" cm="1">
        <f t="array" ref="C16">_xlfn.LET(_xlpm.x,IFERROR(INDEX(_xlfn.ANCHORARRAY($J$15),ROWS($C$15:C16),1),""),IF(_xlpm.x="","N/A",_xlpm.x))</f>
        <v>101425MMM</v>
      </c>
      <c r="D16" s="38" cm="1">
        <f t="array" ref="D16">_xlfn.LET(_xlpm.x,IFERROR(INDEX(_xlfn.ANCHORARRAY($J$15),ROWS($D$15:D16),2),""),IF(_xlpm.x="","N/A",_xlpm.x))</f>
        <v>46309</v>
      </c>
      <c r="E16" s="424"/>
      <c r="F16" s="37" cm="1">
        <f t="array" ref="F16">_xlfn.LET(_xlpm.x,IFERROR(INDEX(_xlfn.ANCHORARRAY($J$15),ROWS($F$15:F16),3),""),IF(_xlpm.x="","N/A",_xlpm.x))</f>
        <v>3</v>
      </c>
      <c r="G16" s="38" cm="1">
        <f t="array" ref="G16">_xlfn.LET(_xlpm.x,IFERROR(INDEX(_xlfn.ANCHORARRAY($J$15),ROWS($G$15:G16),4),""),IF(_xlpm.x="","N/A",_xlpm.x))</f>
        <v>46184.246527777781</v>
      </c>
      <c r="H16" s="26" t="str" cm="1">
        <f t="array" ref="H16">_xlfn.LET(_xlpm.x,IFERROR(INDEX(_xlfn.ANCHORARRAY($J$15),ROWS($H$15:H16),5),""),IF(_xlpm.x="","N/A",_xlpm.x))</f>
        <v>Jesper Fredriksson</v>
      </c>
      <c r="J16" t="str">
        <v>101425MMM</v>
      </c>
      <c r="K16">
        <v>46309</v>
      </c>
      <c r="L16">
        <v>3</v>
      </c>
      <c r="M16">
        <v>46184.246527777781</v>
      </c>
      <c r="N16" t="str">
        <v>Jesper Fredriksson</v>
      </c>
    </row>
    <row r="17" spans="1:8" x14ac:dyDescent="0.25">
      <c r="A17" s="8" t="str">
        <f>A$15</f>
        <v>525-00131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8" ht="15.75" customHeight="1" thickBot="1" x14ac:dyDescent="0.3">
      <c r="A18" s="29" t="str">
        <f>A$15</f>
        <v>525-00131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>
    <tabColor theme="7" tint="-0.249977111117893"/>
  </sheetPr>
  <dimension ref="A1:BE26"/>
  <sheetViews>
    <sheetView workbookViewId="0"/>
  </sheetViews>
  <sheetFormatPr defaultRowHeight="15" x14ac:dyDescent="0.25"/>
  <cols>
    <col min="1" max="1" width="14.140625" customWidth="1"/>
    <col min="2" max="2" width="18.42578125" customWidth="1"/>
    <col min="3" max="3" width="6.140625" bestFit="1" customWidth="1"/>
    <col min="4" max="4" width="14" bestFit="1" customWidth="1"/>
    <col min="5" max="5" width="22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0" ht="15.75" customHeight="1" thickBot="1" x14ac:dyDescent="0.3"/>
    <row r="2" spans="1:10" ht="24" customHeight="1" thickBot="1" x14ac:dyDescent="0.3">
      <c r="A2" s="438" t="s">
        <v>65</v>
      </c>
      <c r="B2" s="377"/>
      <c r="C2" s="377"/>
      <c r="D2" s="377"/>
      <c r="E2" s="377"/>
      <c r="F2" s="377"/>
      <c r="G2" s="377"/>
      <c r="H2" s="378"/>
    </row>
    <row r="3" spans="1:10" ht="15.75" customHeight="1" thickBot="1" x14ac:dyDescent="0.3">
      <c r="A3" s="34"/>
      <c r="B3" s="35"/>
      <c r="C3" s="35"/>
      <c r="D3" s="36"/>
      <c r="E3" s="35"/>
      <c r="F3" s="35"/>
      <c r="G3" s="63"/>
    </row>
    <row r="4" spans="1:10" ht="15.75" customHeight="1" thickBot="1" x14ac:dyDescent="0.3">
      <c r="A4" s="165" t="s">
        <v>104</v>
      </c>
      <c r="B4" s="164" t="s">
        <v>388</v>
      </c>
      <c r="C4" s="164" t="s">
        <v>105</v>
      </c>
      <c r="D4" s="166" t="s">
        <v>106</v>
      </c>
      <c r="E4" s="164" t="s">
        <v>112</v>
      </c>
      <c r="F4" s="164" t="s">
        <v>107</v>
      </c>
      <c r="G4" s="167" t="s">
        <v>108</v>
      </c>
      <c r="H4" s="168" t="s">
        <v>109</v>
      </c>
    </row>
    <row r="5" spans="1:10" x14ac:dyDescent="0.25">
      <c r="A5" s="41" t="s">
        <v>39</v>
      </c>
      <c r="B5" s="412" t="s">
        <v>241</v>
      </c>
      <c r="C5" s="42" t="str" cm="1">
        <f t="array" ref="C5">_xlfn.LET(_xlpm.x,IFERROR(INDEX(_xlfn.ANCHORARRAY($J$5),ROWS($C$5:C5),1),""),IF(_xlpm.x="","N/A",_xlpm.x))</f>
        <v>N/A</v>
      </c>
      <c r="D5" s="43" t="str" cm="1">
        <f t="array" ref="D5">_xlfn.LET(_xlpm.x,IFERROR(INDEX(_xlfn.ANCHORARRAY($J$5),ROWS($D$5:D5),2),""),IF(_xlpm.x="","N/A",_xlpm.x))</f>
        <v>N/A</v>
      </c>
      <c r="E5" s="411" t="s">
        <v>633</v>
      </c>
      <c r="F5" s="44" t="str" cm="1">
        <f t="array" ref="F5">_xlfn.LET(_xlpm.x,IFERROR(INDEX(_xlfn.ANCHORARRAY($J$5),ROWS($F$5:F5),3),""),IF(_xlpm.x="","N/A",_xlpm.x))</f>
        <v>N/A</v>
      </c>
      <c r="G5" s="43" t="str" cm="1">
        <f t="array" ref="G5">_xlfn.LET(_xlpm.x,IFERROR(INDEX(_xlfn.ANCHORARRAY($J$5),ROWS($G$5:G5),4),""),IF(_xlpm.x="","N/A",_xlpm.x))</f>
        <v>N/A</v>
      </c>
      <c r="H5" s="45" t="str" cm="1">
        <f t="array" ref="H5">_xlfn.LET(_xlpm.x,IFERROR(INDEX(_xlfn.ANCHORARRAY($J$5),ROWS($H$5:H5),5),""),IF(_xlpm.x="","N/A",_xlpm.x))</f>
        <v>N/A</v>
      </c>
      <c r="J5" t="str" cm="1">
        <f t="array" ref="J5">_xlfn.LET(_xlpm.pn,"525-00038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6" spans="1:10" x14ac:dyDescent="0.25">
      <c r="A6" s="8" t="str">
        <f>A$5</f>
        <v>525-00038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46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0" x14ac:dyDescent="0.25">
      <c r="A7" s="8" t="str">
        <f>A$5</f>
        <v>525-00038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46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0" ht="15.75" customHeight="1" thickBot="1" x14ac:dyDescent="0.3">
      <c r="A8" s="29" t="str">
        <f>A$5</f>
        <v>525-00038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47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0" ht="15.75" customHeight="1" thickBot="1" x14ac:dyDescent="0.3">
      <c r="A9" s="169" t="s">
        <v>104</v>
      </c>
      <c r="B9" s="337" t="s">
        <v>388</v>
      </c>
      <c r="C9" s="337" t="s">
        <v>105</v>
      </c>
      <c r="D9" s="338" t="s">
        <v>106</v>
      </c>
      <c r="E9" s="337" t="s">
        <v>112</v>
      </c>
      <c r="F9" s="337" t="s">
        <v>107</v>
      </c>
      <c r="G9" s="170" t="s">
        <v>108</v>
      </c>
      <c r="H9" s="171" t="s">
        <v>109</v>
      </c>
    </row>
    <row r="10" spans="1:10" x14ac:dyDescent="0.25">
      <c r="A10" s="41" t="s">
        <v>66</v>
      </c>
      <c r="B10" s="411" t="s">
        <v>229</v>
      </c>
      <c r="C10" s="42" t="str" cm="1">
        <f t="array" ref="C10">_xlfn.LET(_xlpm.x,IFERROR(INDEX(_xlfn.ANCHORARRAY($J$10),ROWS($C$10:C10),1),""),IF(_xlpm.x="","N/A",_xlpm.x))</f>
        <v>N/A</v>
      </c>
      <c r="D10" s="43" t="str" cm="1">
        <f t="array" ref="D10">_xlfn.LET(_xlpm.x,IFERROR(INDEX(_xlfn.ANCHORARRAY($J$10),ROWS($D$10:D10),2),""),IF(_xlpm.x="","N/A",_xlpm.x))</f>
        <v>N/A</v>
      </c>
      <c r="E10" s="411" t="s">
        <v>633</v>
      </c>
      <c r="F10" s="42" t="str" cm="1">
        <f t="array" ref="F10">_xlfn.LET(_xlpm.x,IFERROR(INDEX(_xlfn.ANCHORARRAY($J$10),ROWS($F$10:F10),3),""),IF(_xlpm.x="","N/A",_xlpm.x))</f>
        <v>N/A</v>
      </c>
      <c r="G10" s="43" t="str" cm="1">
        <f t="array" ref="G10">_xlfn.LET(_xlpm.x,IFERROR(INDEX(_xlfn.ANCHORARRAY($J$10),ROWS($G$10:G10),4),""),IF(_xlpm.x="","N/A",_xlpm.x))</f>
        <v>N/A</v>
      </c>
      <c r="H10" s="45" t="str" cm="1">
        <f t="array" ref="H10">_xlfn.LET(_xlpm.x,IFERROR(INDEX(_xlfn.ANCHORARRAY($J$10),ROWS($H$10:H10),5),""),IF(_xlpm.x="","N/A",_xlpm.x))</f>
        <v>N/A</v>
      </c>
      <c r="J10" t="str" cm="1">
        <f t="array" ref="J10">_xlfn.LET(_xlpm.pn,"525-00021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11" spans="1:10" x14ac:dyDescent="0.25">
      <c r="A11" s="8" t="str">
        <f>A$10</f>
        <v>525-00021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0" x14ac:dyDescent="0.25">
      <c r="A12" s="8" t="str">
        <f>A$10</f>
        <v>525-00021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0" ht="15.75" customHeight="1" thickBot="1" x14ac:dyDescent="0.3">
      <c r="A13" s="29" t="str">
        <f>A$10</f>
        <v>525-00021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0" ht="15.75" customHeight="1" thickBot="1" x14ac:dyDescent="0.3">
      <c r="A14" s="169" t="s">
        <v>104</v>
      </c>
      <c r="B14" s="337" t="s">
        <v>388</v>
      </c>
      <c r="C14" s="337" t="s">
        <v>105</v>
      </c>
      <c r="D14" s="338" t="s">
        <v>106</v>
      </c>
      <c r="E14" s="337" t="s">
        <v>112</v>
      </c>
      <c r="F14" s="337" t="s">
        <v>107</v>
      </c>
      <c r="G14" s="170" t="s">
        <v>108</v>
      </c>
      <c r="H14" s="171" t="s">
        <v>109</v>
      </c>
    </row>
    <row r="15" spans="1:10" x14ac:dyDescent="0.25">
      <c r="A15" s="41" t="s">
        <v>67</v>
      </c>
      <c r="B15" s="412" t="s">
        <v>230</v>
      </c>
      <c r="C15" s="42" t="str" cm="1">
        <f t="array" ref="C15">_xlfn.LET(_xlpm.x,IFERROR(INDEX(_xlfn.ANCHORARRAY($J$15),ROWS($C$15:C15),1),""),IF(_xlpm.x="","N/A",_xlpm.x))</f>
        <v>N/A</v>
      </c>
      <c r="D15" s="43" t="str" cm="1">
        <f t="array" ref="D15">_xlfn.LET(_xlpm.x,IFERROR(INDEX(_xlfn.ANCHORARRAY($J$15),ROWS($D$15:D15),2),""),IF(_xlpm.x="","N/A",_xlpm.x))</f>
        <v>N/A</v>
      </c>
      <c r="E15" s="411" t="s">
        <v>633</v>
      </c>
      <c r="F15" s="42" t="str" cm="1">
        <f t="array" ref="F15">_xlfn.LET(_xlpm.x,IFERROR(INDEX(_xlfn.ANCHORARRAY($J$15),ROWS($F$15:F15),3),""),IF(_xlpm.x="","N/A",_xlpm.x))</f>
        <v>N/A</v>
      </c>
      <c r="G15" s="43" t="str" cm="1">
        <f t="array" ref="G15">_xlfn.LET(_xlpm.x,IFERROR(INDEX(_xlfn.ANCHORARRAY($J$15),ROWS($G$15:G15),4),""),IF(_xlpm.x="","N/A",_xlpm.x))</f>
        <v>N/A</v>
      </c>
      <c r="H15" s="45" t="str" cm="1">
        <f t="array" ref="H15">_xlfn.LET(_xlpm.x,IFERROR(INDEX(_xlfn.ANCHORARRAY($J$15),ROWS($H$15:H15),5),""),IF(_xlpm.x="","N/A",_xlpm.x))</f>
        <v>N/A</v>
      </c>
      <c r="J15" t="str" cm="1">
        <f t="array" ref="J15">_xlfn.LET(_xlpm.pn,"525-00022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16" spans="1:10" x14ac:dyDescent="0.25">
      <c r="A16" s="8" t="str">
        <f>A$15</f>
        <v>525-00022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ht="15.75" customHeight="1" x14ac:dyDescent="0.25">
      <c r="A17" s="8" t="str">
        <f>A$15</f>
        <v>525-00022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525-00022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/>
    <row r="20" spans="1:14" ht="15.75" customHeight="1" thickBot="1" x14ac:dyDescent="0.3">
      <c r="A20" s="439" t="s">
        <v>400</v>
      </c>
      <c r="B20" s="377"/>
      <c r="C20" s="377"/>
      <c r="D20" s="377"/>
      <c r="E20" s="377"/>
      <c r="F20" s="377"/>
      <c r="G20" s="377"/>
      <c r="H20" s="378"/>
    </row>
    <row r="21" spans="1:14" ht="15.75" customHeight="1" thickBot="1" x14ac:dyDescent="0.3">
      <c r="A21" s="379" t="s">
        <v>361</v>
      </c>
      <c r="B21" s="362"/>
      <c r="C21" s="362"/>
      <c r="D21" s="362"/>
      <c r="E21" s="362"/>
      <c r="F21" s="362"/>
      <c r="G21" s="362"/>
      <c r="H21" s="380"/>
    </row>
    <row r="22" spans="1:14" ht="30.75" customHeight="1" thickBot="1" x14ac:dyDescent="0.3">
      <c r="A22" s="375" t="s">
        <v>354</v>
      </c>
      <c r="B22" s="362"/>
      <c r="C22" s="358"/>
      <c r="D22" s="357" t="s">
        <v>355</v>
      </c>
      <c r="E22" s="358"/>
      <c r="F22" s="50" t="s">
        <v>356</v>
      </c>
      <c r="G22" s="197" t="s">
        <v>108</v>
      </c>
      <c r="H22" s="229" t="s">
        <v>109</v>
      </c>
    </row>
    <row r="23" spans="1:14" x14ac:dyDescent="0.25">
      <c r="A23" s="361" t="str" cm="1">
        <f t="array" ref="A23">_xlfn.LET(_xlpm.x,IFERROR(INDEX(_xlfn.ANCHORARRAY($J$23),ROWS($A$23:A23),1),""),IF(_xlpm.x="","N/A",_xlpm.x))</f>
        <v>1001531457</v>
      </c>
      <c r="B23" s="403"/>
      <c r="C23" s="403"/>
      <c r="D23" s="359" cm="1">
        <f t="array" ref="D23">_xlfn.LET(_xlpm.x,IFERROR(INDEX(_xlfn.ANCHORARRAY($J$23),ROWS($D$23:D23),2),""),IF(_xlpm.x="","N/A",_xlpm.x))</f>
        <v>46203</v>
      </c>
      <c r="E23" s="403"/>
      <c r="F23" s="42" cm="1">
        <f t="array" ref="F23">_xlfn.LET(_xlpm.x,IFERROR(INDEX(_xlfn.ANCHORARRAY($J$23),ROWS($F$23:F23),3),""),IF(_xlpm.x="","N/A",_xlpm.x))</f>
        <v>6</v>
      </c>
      <c r="G23" s="43" cm="1">
        <f t="array" ref="G23">_xlfn.LET(_xlpm.x,IFERROR(INDEX(_xlfn.ANCHORARRAY($J$23),ROWS($G$23:G23),4),""),IF(_xlpm.x="","N/A",_xlpm.x))</f>
        <v>46183.930555555555</v>
      </c>
      <c r="H23" s="45" t="str" cm="1">
        <f t="array" ref="H23">_xlfn.LET(_xlpm.x,IFERROR(INDEX(_xlfn.ANCHORARRAY($J$23),ROWS($H$23:H23),5),""),IF(_xlpm.x="","N/A",_xlpm.x))</f>
        <v>Jesper Fredriksson</v>
      </c>
      <c r="J23" t="str" cm="1">
        <f t="array" ref="J23:N23">_xlfn.LET(_xlpm.pn,"500-1712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1001531457</v>
      </c>
      <c r="K23">
        <v>46203</v>
      </c>
      <c r="L23">
        <v>6</v>
      </c>
      <c r="M23">
        <v>46183.930555555555</v>
      </c>
      <c r="N23" t="str">
        <v>Jesper Fredriksson</v>
      </c>
    </row>
    <row r="24" spans="1:14" x14ac:dyDescent="0.25">
      <c r="A24" s="381" t="str" cm="1">
        <f t="array" ref="A24">_xlfn.LET(_xlpm.x,IFERROR(INDEX(_xlfn.ANCHORARRAY($J$23),ROWS($A$23:A24),1),""),IF(_xlpm.x="","N/A",_xlpm.x))</f>
        <v>N/A</v>
      </c>
      <c r="B24" s="406"/>
      <c r="C24" s="406"/>
      <c r="D24" s="371" t="str" cm="1">
        <f t="array" ref="D24">_xlfn.LET(_xlpm.x,IFERROR(INDEX(_xlfn.ANCHORARRAY($J$23),ROWS($D$23:D24),2),""),IF(_xlpm.x="","N/A",_xlpm.x))</f>
        <v>N/A</v>
      </c>
      <c r="E24" s="406"/>
      <c r="F24" s="37" t="str" cm="1">
        <f t="array" ref="F24">_xlfn.LET(_xlpm.x,IFERROR(INDEX(_xlfn.ANCHORARRAY($J$23),ROWS($F$23:F24),3),""),IF(_xlpm.x="","N/A",_xlpm.x))</f>
        <v>N/A</v>
      </c>
      <c r="G24" s="38" t="str" cm="1">
        <f t="array" ref="G24">_xlfn.LET(_xlpm.x,IFERROR(INDEX(_xlfn.ANCHORARRAY($J$23),ROWS($G$23:G24),4),""),IF(_xlpm.x="","N/A",_xlpm.x))</f>
        <v>N/A</v>
      </c>
      <c r="H24" s="26" t="str" cm="1">
        <f t="array" ref="H24">_xlfn.LET(_xlpm.x,IFERROR(INDEX(_xlfn.ANCHORARRAY($J$23),ROWS($H$23:H24),5),""),IF(_xlpm.x="","N/A",_xlpm.x))</f>
        <v>N/A</v>
      </c>
    </row>
    <row r="25" spans="1:14" x14ac:dyDescent="0.25">
      <c r="A25" s="381" t="str" cm="1">
        <f t="array" ref="A25">_xlfn.LET(_xlpm.x,IFERROR(INDEX(_xlfn.ANCHORARRAY($J$23),ROWS($A$23:A25),1),""),IF(_xlpm.x="","N/A",_xlpm.x))</f>
        <v>N/A</v>
      </c>
      <c r="B25" s="406"/>
      <c r="C25" s="406"/>
      <c r="D25" s="371" t="str" cm="1">
        <f t="array" ref="D25">_xlfn.LET(_xlpm.x,IFERROR(INDEX(_xlfn.ANCHORARRAY($J$23),ROWS($D$23:D25),2),""),IF(_xlpm.x="","N/A",_xlpm.x))</f>
        <v>N/A</v>
      </c>
      <c r="E25" s="406"/>
      <c r="F25" s="37" t="str" cm="1">
        <f t="array" ref="F25">_xlfn.LET(_xlpm.x,IFERROR(INDEX(_xlfn.ANCHORARRAY($J$23),ROWS($F$23:F25),3),""),IF(_xlpm.x="","N/A",_xlpm.x))</f>
        <v>N/A</v>
      </c>
      <c r="G25" s="38" t="str" cm="1">
        <f t="array" ref="G25">_xlfn.LET(_xlpm.x,IFERROR(INDEX(_xlfn.ANCHORARRAY($J$23),ROWS($G$23:G25),4),""),IF(_xlpm.x="","N/A",_xlpm.x))</f>
        <v>N/A</v>
      </c>
      <c r="H25" s="26" t="str" cm="1">
        <f t="array" ref="H25">_xlfn.LET(_xlpm.x,IFERROR(INDEX(_xlfn.ANCHORARRAY($J$23),ROWS($H$23:H25),5),""),IF(_xlpm.x="","N/A",_xlpm.x))</f>
        <v>N/A</v>
      </c>
    </row>
    <row r="26" spans="1:14" ht="15.75" customHeight="1" thickBot="1" x14ac:dyDescent="0.3">
      <c r="A26" s="386" t="str" cm="1">
        <f t="array" ref="A26">_xlfn.LET(_xlpm.x,IFERROR(INDEX(_xlfn.ANCHORARRAY($J$23),ROWS($A$23:A26),1),""),IF(_xlpm.x="","N/A",_xlpm.x))</f>
        <v>N/A</v>
      </c>
      <c r="B26" s="409"/>
      <c r="C26" s="409"/>
      <c r="D26" s="373" t="str" cm="1">
        <f t="array" ref="D26">_xlfn.LET(_xlpm.x,IFERROR(INDEX(_xlfn.ANCHORARRAY($J$23),ROWS($D$23:D26),2),""),IF(_xlpm.x="","N/A",_xlpm.x))</f>
        <v>N/A</v>
      </c>
      <c r="E26" s="409"/>
      <c r="F26" s="39" t="str" cm="1">
        <f t="array" ref="F26">_xlfn.LET(_xlpm.x,IFERROR(INDEX(_xlfn.ANCHORARRAY($J$23),ROWS($F$23:F26),3),""),IF(_xlpm.x="","N/A",_xlpm.x))</f>
        <v>N/A</v>
      </c>
      <c r="G26" s="40" t="str" cm="1">
        <f t="array" ref="G26">_xlfn.LET(_xlpm.x,IFERROR(INDEX(_xlfn.ANCHORARRAY($J$23),ROWS($G$23:G26),4),""),IF(_xlpm.x="","N/A",_xlpm.x))</f>
        <v>N/A</v>
      </c>
      <c r="H26" s="30" t="str" cm="1">
        <f t="array" ref="H26">_xlfn.LET(_xlpm.x,IFERROR(INDEX(_xlfn.ANCHORARRAY($J$23),ROWS($H$23:H26),5),""),IF(_xlpm.x="","N/A",_xlpm.x))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19">
    <mergeCell ref="A2:H2"/>
    <mergeCell ref="B15:B18"/>
    <mergeCell ref="A24:C24"/>
    <mergeCell ref="D25:E25"/>
    <mergeCell ref="B5:B8"/>
    <mergeCell ref="D24:E24"/>
    <mergeCell ref="A20:H20"/>
    <mergeCell ref="D23:E23"/>
    <mergeCell ref="A25:C25"/>
    <mergeCell ref="D22:E22"/>
    <mergeCell ref="E5:E8"/>
    <mergeCell ref="A26:C26"/>
    <mergeCell ref="E10:E13"/>
    <mergeCell ref="A23:C23"/>
    <mergeCell ref="A22:C22"/>
    <mergeCell ref="E15:E18"/>
    <mergeCell ref="B10:B13"/>
    <mergeCell ref="A21:H21"/>
    <mergeCell ref="D26:E26"/>
  </mergeCells>
  <pageMargins left="0.7" right="0.7" top="0.75" bottom="0.75" header="0.3" footer="0.3"/>
  <pageSetup paperSize="9" orientation="portrait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>
    <tabColor theme="9" tint="0.59999389629810485"/>
  </sheetPr>
  <dimension ref="A1:BE18"/>
  <sheetViews>
    <sheetView workbookViewId="0">
      <selection activeCell="E5" sqref="E5:E8"/>
    </sheetView>
  </sheetViews>
  <sheetFormatPr defaultRowHeight="15" x14ac:dyDescent="0.25"/>
  <cols>
    <col min="1" max="1" width="9.7109375" bestFit="1" customWidth="1"/>
    <col min="2" max="2" width="24.5703125" bestFit="1" customWidth="1"/>
    <col min="3" max="3" width="15.42578125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40" t="s">
        <v>69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>
      <c r="A3" s="34"/>
      <c r="B3" s="35"/>
      <c r="C3" s="35"/>
      <c r="D3" s="36"/>
      <c r="E3" s="35"/>
      <c r="F3" s="35"/>
      <c r="G3" s="63"/>
    </row>
    <row r="4" spans="1:14" ht="15.75" customHeight="1" thickBot="1" x14ac:dyDescent="0.3">
      <c r="A4" s="172" t="s">
        <v>104</v>
      </c>
      <c r="B4" s="173" t="s">
        <v>388</v>
      </c>
      <c r="C4" s="173" t="s">
        <v>105</v>
      </c>
      <c r="D4" s="279" t="s">
        <v>106</v>
      </c>
      <c r="E4" s="173" t="s">
        <v>112</v>
      </c>
      <c r="F4" s="173" t="s">
        <v>107</v>
      </c>
      <c r="G4" s="175" t="s">
        <v>108</v>
      </c>
      <c r="H4" s="176" t="s">
        <v>109</v>
      </c>
    </row>
    <row r="5" spans="1:14" x14ac:dyDescent="0.25">
      <c r="A5" s="41" t="s">
        <v>56</v>
      </c>
      <c r="B5" s="411" t="s">
        <v>293</v>
      </c>
      <c r="C5" s="42" t="str" cm="1">
        <f t="array" ref="C5">_xlfn.LET(_xlpm.x,IFERROR(INDEX(_xlfn.ANCHORARRAY($J$5),ROWS($C$5:C5),1),""),IF(_xlpm.x="","N/A",_xlpm.x))</f>
        <v>N/A</v>
      </c>
      <c r="D5" s="43" t="str" cm="1">
        <f t="array" ref="D5">_xlfn.LET(_xlpm.x,IFERROR(INDEX(_xlfn.ANCHORARRAY($J$5),ROWS($D$5:D5),2),""),IF(_xlpm.x="","N/A",_xlpm.x))</f>
        <v>N/A</v>
      </c>
      <c r="E5" s="411" t="s">
        <v>633</v>
      </c>
      <c r="F5" s="44" t="str" cm="1">
        <f t="array" ref="F5">_xlfn.LET(_xlpm.x,IFERROR(INDEX(_xlfn.ANCHORARRAY($J$5),ROWS($F$5:F5),3),""),IF(_xlpm.x="","N/A",_xlpm.x))</f>
        <v>N/A</v>
      </c>
      <c r="G5" s="43" t="str" cm="1">
        <f t="array" ref="G5">_xlfn.LET(_xlpm.x,IFERROR(INDEX(_xlfn.ANCHORARRAY($J$5),ROWS($G$5:G5),4),""),IF(_xlpm.x="","N/A",_xlpm.x))</f>
        <v>N/A</v>
      </c>
      <c r="H5" s="45" t="str" cm="1">
        <f t="array" ref="H5">_xlfn.LET(_xlpm.x,IFERROR(INDEX(_xlfn.ANCHORARRAY($J$5),ROWS($H$5:H5),5),""),IF(_xlpm.x="","N/A",_xlpm.x))</f>
        <v>N/A</v>
      </c>
      <c r="J5" t="str" cm="1">
        <f t="array" ref="J5">_xlfn.LET(_xlpm.pn,"525-00113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6" spans="1:14" x14ac:dyDescent="0.25">
      <c r="A6" s="8" t="str">
        <f>A$5</f>
        <v>525-00113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46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525-00113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46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525-00113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47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345" t="s">
        <v>104</v>
      </c>
      <c r="B9" s="346" t="s">
        <v>388</v>
      </c>
      <c r="C9" s="346" t="s">
        <v>105</v>
      </c>
      <c r="D9" s="347" t="s">
        <v>106</v>
      </c>
      <c r="E9" s="346" t="s">
        <v>112</v>
      </c>
      <c r="F9" s="346" t="s">
        <v>107</v>
      </c>
      <c r="G9" s="348" t="s">
        <v>108</v>
      </c>
      <c r="H9" s="349" t="s">
        <v>109</v>
      </c>
    </row>
    <row r="10" spans="1:14" x14ac:dyDescent="0.25">
      <c r="A10" s="41" t="s">
        <v>40</v>
      </c>
      <c r="B10" s="412" t="s">
        <v>241</v>
      </c>
      <c r="C10" s="42" t="str" cm="1">
        <f t="array" ref="C10">_xlfn.LET(_xlpm.x,IFERROR(INDEX(_xlfn.ANCHORARRAY($J$10),ROWS($C$10:C10),1),""),IF(_xlpm.x="","N/A",_xlpm.x))</f>
        <v>121925ARMO</v>
      </c>
      <c r="D10" s="43" cm="1">
        <f t="array" ref="D10">_xlfn.LET(_xlpm.x,IFERROR(INDEX(_xlfn.ANCHORARRAY($J$10),ROWS($D$10:D10),2),""),IF(_xlpm.x="","N/A",_xlpm.x))</f>
        <v>46375</v>
      </c>
      <c r="E10" s="411" t="s">
        <v>633</v>
      </c>
      <c r="F10" s="42" cm="1">
        <f t="array" ref="F10">_xlfn.LET(_xlpm.x,IFERROR(INDEX(_xlfn.ANCHORARRAY($J$10),ROWS($F$10:F10),3),""),IF(_xlpm.x="","N/A",_xlpm.x))</f>
        <v>1</v>
      </c>
      <c r="G10" s="43" cm="1">
        <f t="array" ref="G10">_xlfn.LET(_xlpm.x,IFERROR(INDEX(_xlfn.ANCHORARRAY($J$10),ROWS($G$10:G10),4),""),IF(_xlpm.x="","N/A",_xlpm.x))</f>
        <v>46184.250694444447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525-00327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121925ARMO</v>
      </c>
      <c r="K10">
        <v>46375</v>
      </c>
      <c r="L10">
        <v>1</v>
      </c>
      <c r="M10">
        <v>46184.250694444447</v>
      </c>
      <c r="N10" t="str">
        <v>Jesper Fredriksson</v>
      </c>
    </row>
    <row r="11" spans="1:14" x14ac:dyDescent="0.25">
      <c r="A11" s="8" t="str">
        <f>A$10</f>
        <v>525-00327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525-00327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525-00327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77" t="s">
        <v>104</v>
      </c>
      <c r="B14" s="329" t="s">
        <v>388</v>
      </c>
      <c r="C14" s="329" t="s">
        <v>105</v>
      </c>
      <c r="D14" s="330" t="s">
        <v>106</v>
      </c>
      <c r="E14" s="329" t="s">
        <v>112</v>
      </c>
      <c r="F14" s="329" t="s">
        <v>107</v>
      </c>
      <c r="G14" s="178" t="s">
        <v>108</v>
      </c>
      <c r="H14" s="179" t="s">
        <v>109</v>
      </c>
    </row>
    <row r="15" spans="1:14" x14ac:dyDescent="0.25">
      <c r="A15" s="41" t="s">
        <v>70</v>
      </c>
      <c r="B15" s="411" t="s">
        <v>315</v>
      </c>
      <c r="C15" s="42" t="str" cm="1">
        <f t="array" ref="C15">_xlfn.LET(_xlpm.x,IFERROR(INDEX(_xlfn.ANCHORARRAY($J$15),ROWS($C$15:C15),1),""),IF(_xlpm.x="","N/A",_xlpm.x))</f>
        <v>121525MATE</v>
      </c>
      <c r="D15" s="43" cm="1">
        <f t="array" ref="D15">_xlfn.LET(_xlpm.x,IFERROR(INDEX(_xlfn.ANCHORARRAY($J$15),ROWS($D$15:D15),2),""),IF(_xlpm.x="","N/A",_xlpm.x))</f>
        <v>46371</v>
      </c>
      <c r="E15" s="411" t="s">
        <v>633</v>
      </c>
      <c r="F15" s="42" cm="1">
        <f t="array" ref="F15">_xlfn.LET(_xlpm.x,IFERROR(INDEX(_xlfn.ANCHORARRAY($J$15),ROWS($F$15:F15),3),""),IF(_xlpm.x="","N/A",_xlpm.x))</f>
        <v>1</v>
      </c>
      <c r="G15" s="43" cm="1">
        <f t="array" ref="G15">_xlfn.LET(_xlpm.x,IFERROR(INDEX(_xlfn.ANCHORARRAY($J$15),ROWS($G$15:G15),4),""),IF(_xlpm.x="","N/A",_xlpm.x))</f>
        <v>46184.24722222222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-00145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121525MATE</v>
      </c>
      <c r="K15">
        <v>46371</v>
      </c>
      <c r="L15">
        <v>1</v>
      </c>
      <c r="M15">
        <v>46184.24722222222</v>
      </c>
      <c r="N15" t="str">
        <v>Jesper Fredriksson</v>
      </c>
    </row>
    <row r="16" spans="1:14" x14ac:dyDescent="0.25">
      <c r="A16" s="8" t="str">
        <f>A$15</f>
        <v>525-00145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8" x14ac:dyDescent="0.25">
      <c r="A17" s="8" t="str">
        <f>A$15</f>
        <v>525-00145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8" ht="15.75" customHeight="1" thickBot="1" x14ac:dyDescent="0.3">
      <c r="A18" s="29" t="str">
        <f>A$15</f>
        <v>525-00145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3">
    <tabColor rgb="FF643C00"/>
  </sheetPr>
  <dimension ref="A1:BE13"/>
  <sheetViews>
    <sheetView workbookViewId="0"/>
  </sheetViews>
  <sheetFormatPr defaultRowHeight="15" x14ac:dyDescent="0.25"/>
  <cols>
    <col min="1" max="1" width="9.7109375" bestFit="1" customWidth="1"/>
    <col min="2" max="2" width="28.28515625" bestFit="1" customWidth="1"/>
    <col min="3" max="3" width="11.5703125" bestFit="1" customWidth="1"/>
    <col min="4" max="4" width="14" bestFit="1" customWidth="1"/>
    <col min="5" max="5" width="14.85546875" bestFit="1" customWidth="1"/>
    <col min="6" max="6" width="12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41" t="s">
        <v>71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296" t="s">
        <v>104</v>
      </c>
      <c r="B4" s="297" t="s">
        <v>388</v>
      </c>
      <c r="C4" s="297" t="s">
        <v>105</v>
      </c>
      <c r="D4" s="298" t="s">
        <v>106</v>
      </c>
      <c r="E4" s="297" t="s">
        <v>112</v>
      </c>
      <c r="F4" s="297" t="s">
        <v>107</v>
      </c>
      <c r="G4" s="299" t="s">
        <v>108</v>
      </c>
      <c r="H4" s="300" t="s">
        <v>109</v>
      </c>
    </row>
    <row r="5" spans="1:14" x14ac:dyDescent="0.25">
      <c r="A5" s="41" t="s">
        <v>72</v>
      </c>
      <c r="B5" s="412" t="s">
        <v>341</v>
      </c>
      <c r="C5" s="42" t="str" cm="1">
        <f t="array" ref="C5">_xlfn.LET(_xlpm.x,IFERROR(INDEX(_xlfn.ANCHORARRAY($J$5),ROWS($C$5:C5),1),""),IF(_xlpm.x="","N/A",_xlpm.x))</f>
        <v>111924VW</v>
      </c>
      <c r="D5" s="43" cm="1">
        <f t="array" ref="D5">_xlfn.LET(_xlpm.x,IFERROR(INDEX(_xlfn.ANCHORARRAY($J$5),ROWS($D$5:D5),2),""),IF(_xlpm.x="","N/A",_xlpm.x))</f>
        <v>46710</v>
      </c>
      <c r="E5" s="412" t="s">
        <v>130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46184.245138888888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6">_xlfn.LET(_xlpm.pn,"525-00114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111924VW</v>
      </c>
      <c r="K5">
        <v>46710</v>
      </c>
      <c r="L5">
        <v>1</v>
      </c>
      <c r="M5">
        <v>46184.245138888888</v>
      </c>
      <c r="N5" t="str">
        <v>Jesper Fredriksson</v>
      </c>
    </row>
    <row r="6" spans="1:14" x14ac:dyDescent="0.25">
      <c r="A6" s="8" t="str">
        <f>A$5</f>
        <v>025-00063</v>
      </c>
      <c r="B6" s="406"/>
      <c r="C6" s="37" t="str" cm="1">
        <f t="array" ref="C6">_xlfn.LET(_xlpm.x,IFERROR(INDEX(_xlfn.ANCHORARRAY($J$5),ROWS($C$5:C6),1),""),IF(_xlpm.x="","N/A",_xlpm.x))</f>
        <v>013125ELIF</v>
      </c>
      <c r="D6" s="38" cm="1">
        <f t="array" ref="D6">_xlfn.LET(_xlpm.x,IFERROR(INDEX(_xlfn.ANCHORARRAY($J$5),ROWS($D$5:D6),2),""),IF(_xlpm.x="","N/A",_xlpm.x))</f>
        <v>46783</v>
      </c>
      <c r="E6" s="424"/>
      <c r="F6" s="37" cm="1">
        <f t="array" ref="F6">_xlfn.LET(_xlpm.x,IFERROR(INDEX(_xlfn.ANCHORARRAY($J$5),ROWS($F$5:F6),3),""),IF(_xlpm.x="","N/A",_xlpm.x))</f>
        <v>1</v>
      </c>
      <c r="G6" s="38" cm="1">
        <f t="array" ref="G6">_xlfn.LET(_xlpm.x,IFERROR(INDEX(_xlfn.ANCHORARRAY($J$5),ROWS($G$5:G6),4),""),IF(_xlpm.x="","N/A",_xlpm.x))</f>
        <v>46184.245138888888</v>
      </c>
      <c r="H6" s="26" t="str" cm="1">
        <f t="array" ref="H6">_xlfn.LET(_xlpm.x,IFERROR(INDEX(_xlfn.ANCHORARRAY($J$5),ROWS($H$5:H6),5),""),IF(_xlpm.x="","N/A",_xlpm.x))</f>
        <v>Jesper Fredriksson</v>
      </c>
      <c r="J6" t="str">
        <v>013125ELIF</v>
      </c>
      <c r="K6">
        <v>46783</v>
      </c>
      <c r="L6">
        <v>1</v>
      </c>
      <c r="M6">
        <v>46184.245138888888</v>
      </c>
      <c r="N6" t="str">
        <v>Jesper Fredriksson</v>
      </c>
    </row>
    <row r="7" spans="1:14" x14ac:dyDescent="0.25">
      <c r="A7" s="8" t="str">
        <f>A$5</f>
        <v>025-00063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025-00063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350" t="s">
        <v>104</v>
      </c>
      <c r="B9" s="351" t="s">
        <v>388</v>
      </c>
      <c r="C9" s="351" t="s">
        <v>105</v>
      </c>
      <c r="D9" s="352" t="s">
        <v>106</v>
      </c>
      <c r="E9" s="351" t="s">
        <v>112</v>
      </c>
      <c r="F9" s="351" t="s">
        <v>107</v>
      </c>
      <c r="G9" s="299" t="s">
        <v>108</v>
      </c>
      <c r="H9" s="300" t="s">
        <v>109</v>
      </c>
    </row>
    <row r="10" spans="1:14" x14ac:dyDescent="0.25">
      <c r="A10" s="41" t="str">
        <f>[1]raw_data!A302</f>
        <v>525-00205</v>
      </c>
      <c r="B10" s="412" t="s">
        <v>345</v>
      </c>
      <c r="C10" s="42" t="str" cm="1">
        <f t="array" ref="C10">_xlfn.LET(_xlpm.x,IFERROR(INDEX(_xlfn.ANCHORARRAY($J$10),ROWS($C$10:C10),1),""),IF(_xlpm.x="","N/A",_xlpm.x))</f>
        <v>050625MATE</v>
      </c>
      <c r="D10" s="43" cm="1">
        <f t="array" ref="D10">_xlfn.LET(_xlpm.x,IFERROR(INDEX(_xlfn.ANCHORARRAY($J$10),ROWS($D$10:D10),2),""),IF(_xlpm.x="","N/A",_xlpm.x))</f>
        <v>46323</v>
      </c>
      <c r="E10" s="412" t="s">
        <v>130</v>
      </c>
      <c r="F10" s="42" cm="1">
        <f t="array" ref="F10">_xlfn.LET(_xlpm.x,IFERROR(INDEX(_xlfn.ANCHORARRAY($J$10),ROWS($F$10:F10),3),""),IF(_xlpm.x="","N/A",_xlpm.x))</f>
        <v>16</v>
      </c>
      <c r="G10" s="43" cm="1">
        <f t="array" ref="G10">_xlfn.LET(_xlpm.x,IFERROR(INDEX(_xlfn.ANCHORARRAY($J$10),ROWS($G$10:G10),4),""),IF(_xlpm.x="","N/A",_xlpm.x))</f>
        <v>46114.035416666666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1">_xlfn.LET(_xlpm.pn,"525-00205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050625MATE</v>
      </c>
      <c r="K10">
        <v>46323</v>
      </c>
      <c r="L10">
        <v>16</v>
      </c>
      <c r="M10">
        <v>46114.035416666666</v>
      </c>
      <c r="N10" t="str">
        <v>Jesper Fredriksson</v>
      </c>
    </row>
    <row r="11" spans="1:14" x14ac:dyDescent="0.25">
      <c r="A11" s="8" t="str">
        <f>[1]raw_data!A303</f>
        <v>525-00205</v>
      </c>
      <c r="B11" s="442"/>
      <c r="C11" s="37" t="str" cm="1">
        <f t="array" ref="C11">_xlfn.LET(_xlpm.x,IFERROR(INDEX(_xlfn.ANCHORARRAY($J$10),ROWS($C$10:C11),1),""),IF(_xlpm.x="","N/A",_xlpm.x))</f>
        <v>051625SAMI</v>
      </c>
      <c r="D11" s="38" cm="1">
        <f t="array" ref="D11">_xlfn.LET(_xlpm.x,IFERROR(INDEX(_xlfn.ANCHORARRAY($J$10),ROWS($D$10:D11),2),""),IF(_xlpm.x="","N/A",_xlpm.x))</f>
        <v>46333</v>
      </c>
      <c r="E11" s="424"/>
      <c r="F11" s="37" cm="1">
        <f t="array" ref="F11">_xlfn.LET(_xlpm.x,IFERROR(INDEX(_xlfn.ANCHORARRAY($J$10),ROWS($F$10:F11),3),""),IF(_xlpm.x="","N/A",_xlpm.x))</f>
        <v>19</v>
      </c>
      <c r="G11" s="38" cm="1">
        <f t="array" ref="G11">_xlfn.LET(_xlpm.x,IFERROR(INDEX(_xlfn.ANCHORARRAY($J$10),ROWS($G$10:G11),4),""),IF(_xlpm.x="","N/A",_xlpm.x))</f>
        <v>46114.034722222219</v>
      </c>
      <c r="H11" s="26" t="str" cm="1">
        <f t="array" ref="H11">_xlfn.LET(_xlpm.x,IFERROR(INDEX(_xlfn.ANCHORARRAY($J$10),ROWS($H$10:H11),5),""),IF(_xlpm.x="","N/A",_xlpm.x))</f>
        <v>Jesper Fredriksson</v>
      </c>
      <c r="J11" t="str">
        <v>051625SAMI</v>
      </c>
      <c r="K11">
        <v>46333</v>
      </c>
      <c r="L11">
        <v>19</v>
      </c>
      <c r="M11">
        <v>46114.034722222219</v>
      </c>
      <c r="N11" t="str">
        <v>Jesper Fredriksson</v>
      </c>
    </row>
    <row r="12" spans="1:14" x14ac:dyDescent="0.25">
      <c r="A12" s="8" t="str">
        <f>[1]raw_data!A304</f>
        <v>525-00205</v>
      </c>
      <c r="B12" s="442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[1]raw_data!A305</f>
        <v>525-00205</v>
      </c>
      <c r="B13" s="443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</sheetData>
  <mergeCells count="5">
    <mergeCell ref="B5:B8"/>
    <mergeCell ref="A2:H2"/>
    <mergeCell ref="E10:E13"/>
    <mergeCell ref="B10:B13"/>
    <mergeCell ref="E5:E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rgb="FF66FF33"/>
  </sheetPr>
  <dimension ref="A1:BE14"/>
  <sheetViews>
    <sheetView workbookViewId="0"/>
  </sheetViews>
  <sheetFormatPr defaultRowHeight="15" x14ac:dyDescent="0.25"/>
  <cols>
    <col min="1" max="1" width="9.7109375" bestFit="1" customWidth="1"/>
    <col min="2" max="2" width="24" customWidth="1"/>
    <col min="3" max="3" width="15.5703125" customWidth="1"/>
    <col min="4" max="4" width="14" bestFit="1" customWidth="1"/>
    <col min="5" max="5" width="14.5703125" bestFit="1" customWidth="1"/>
    <col min="6" max="6" width="12.8554687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20" t="s">
        <v>119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191" t="s">
        <v>104</v>
      </c>
      <c r="B4" s="192" t="s">
        <v>388</v>
      </c>
      <c r="C4" s="192" t="s">
        <v>105</v>
      </c>
      <c r="D4" s="193" t="s">
        <v>106</v>
      </c>
      <c r="E4" s="192" t="s">
        <v>112</v>
      </c>
      <c r="F4" s="192" t="s">
        <v>107</v>
      </c>
      <c r="G4" s="194" t="s">
        <v>108</v>
      </c>
      <c r="H4" s="195" t="s">
        <v>109</v>
      </c>
    </row>
    <row r="5" spans="1:14" x14ac:dyDescent="0.25">
      <c r="A5" s="41" t="s">
        <v>74</v>
      </c>
      <c r="B5" s="412" t="s">
        <v>318</v>
      </c>
      <c r="C5" s="42" t="str" cm="1">
        <f t="array" ref="C5">_xlfn.LET(_xlpm.x,IFERROR(INDEX(_xlfn.ANCHORARRAY($J$5),ROWS($C$5:C5),1),""),IF(_xlpm.x="","N/A",_xlpm.x))</f>
        <v>111924VW</v>
      </c>
      <c r="D5" s="43" cm="1">
        <f t="array" ref="D5">_xlfn.LET(_xlpm.x,IFERROR(INDEX(_xlfn.ANCHORARRAY($J$5),ROWS($D$5:D5),2),""),IF(_xlpm.x="","N/A",_xlpm.x))</f>
        <v>46710</v>
      </c>
      <c r="E5" s="412" t="s">
        <v>130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46184.245138888888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6">_xlfn.LET(_xlpm.pn,"525-00114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111924VW</v>
      </c>
      <c r="K5">
        <v>46710</v>
      </c>
      <c r="L5">
        <v>1</v>
      </c>
      <c r="M5">
        <v>46184.245138888888</v>
      </c>
      <c r="N5" t="str">
        <v>Jesper Fredriksson</v>
      </c>
    </row>
    <row r="6" spans="1:14" x14ac:dyDescent="0.25">
      <c r="A6" s="8" t="str">
        <f>A$5</f>
        <v>525-00163</v>
      </c>
      <c r="B6" s="406"/>
      <c r="C6" s="37" t="str" cm="1">
        <f t="array" ref="C6">_xlfn.LET(_xlpm.x,IFERROR(INDEX(_xlfn.ANCHORARRAY($J$5),ROWS($C$5:C6),1),""),IF(_xlpm.x="","N/A",_xlpm.x))</f>
        <v>013125ELIF</v>
      </c>
      <c r="D6" s="38" cm="1">
        <f t="array" ref="D6">_xlfn.LET(_xlpm.x,IFERROR(INDEX(_xlfn.ANCHORARRAY($J$5),ROWS($D$5:D6),2),""),IF(_xlpm.x="","N/A",_xlpm.x))</f>
        <v>46783</v>
      </c>
      <c r="E6" s="424"/>
      <c r="F6" s="37" cm="1">
        <f t="array" ref="F6">_xlfn.LET(_xlpm.x,IFERROR(INDEX(_xlfn.ANCHORARRAY($J$5),ROWS($F$5:F6),3),""),IF(_xlpm.x="","N/A",_xlpm.x))</f>
        <v>1</v>
      </c>
      <c r="G6" s="38" cm="1">
        <f t="array" ref="G6">_xlfn.LET(_xlpm.x,IFERROR(INDEX(_xlfn.ANCHORARRAY($J$5),ROWS($G$5:G6),4),""),IF(_xlpm.x="","N/A",_xlpm.x))</f>
        <v>46184.245138888888</v>
      </c>
      <c r="H6" s="26" t="str" cm="1">
        <f t="array" ref="H6">_xlfn.LET(_xlpm.x,IFERROR(INDEX(_xlfn.ANCHORARRAY($J$5),ROWS($H$5:H6),5),""),IF(_xlpm.x="","N/A",_xlpm.x))</f>
        <v>Jesper Fredriksson</v>
      </c>
      <c r="J6" t="str">
        <v>013125ELIF</v>
      </c>
      <c r="K6">
        <v>46783</v>
      </c>
      <c r="L6">
        <v>1</v>
      </c>
      <c r="M6">
        <v>46184.245138888888</v>
      </c>
      <c r="N6" t="str">
        <v>Jesper Fredriksson</v>
      </c>
    </row>
    <row r="7" spans="1:14" x14ac:dyDescent="0.25">
      <c r="A7" s="8" t="str">
        <f>A$5</f>
        <v>525-00163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525-00163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/>
    <row r="10" spans="1:14" ht="15" customHeight="1" thickBot="1" x14ac:dyDescent="0.3">
      <c r="A10" s="354" t="s">
        <v>104</v>
      </c>
      <c r="B10" s="355" t="s">
        <v>388</v>
      </c>
      <c r="C10" s="355" t="s">
        <v>105</v>
      </c>
      <c r="D10" s="356" t="s">
        <v>106</v>
      </c>
      <c r="E10" s="355" t="s">
        <v>112</v>
      </c>
      <c r="F10" s="355" t="s">
        <v>107</v>
      </c>
      <c r="G10" s="98" t="s">
        <v>108</v>
      </c>
      <c r="H10" s="99" t="s">
        <v>109</v>
      </c>
    </row>
    <row r="11" spans="1:14" x14ac:dyDescent="0.25">
      <c r="A11" s="41" t="s">
        <v>25</v>
      </c>
      <c r="B11" s="412" t="s">
        <v>121</v>
      </c>
      <c r="C11" s="42" t="str" cm="1">
        <f t="array" ref="C11">_xlfn.LET(_xlpm.x,IFERROR(INDEX(_xlfn.ANCHORARRAY($J$11),ROWS($C$11:C11),1),""),IF(_xlpm.x="","N/A",_xlpm.x))</f>
        <v>336271 - POS</v>
      </c>
      <c r="D11" s="43" cm="1">
        <f t="array" ref="D11">_xlfn.LET(_xlpm.x,IFERROR(INDEX(_xlfn.ANCHORARRAY($J$11),ROWS($D$11:D11),2),""),IF(_xlpm.x="","N/A",_xlpm.x))</f>
        <v>46478</v>
      </c>
      <c r="E11" s="411" t="s">
        <v>634</v>
      </c>
      <c r="F11" s="42" cm="1">
        <f t="array" ref="F11">_xlfn.LET(_xlpm.x,IFERROR(INDEX(_xlfn.ANCHORARRAY($J$11),ROWS($F$11:F11),3),""),IF(_xlpm.x="","N/A",_xlpm.x))</f>
        <v>5</v>
      </c>
      <c r="G11" s="43" cm="1">
        <f t="array" ref="G11">_xlfn.LET(_xlpm.x,IFERROR(INDEX(_xlfn.ANCHORARRAY($J$11),ROWS($G$11:G11),4),""),IF(_xlpm.x="","N/A",_xlpm.x))</f>
        <v>46183.921527777777</v>
      </c>
      <c r="H11" s="45" t="str" cm="1">
        <f t="array" ref="H11">_xlfn.LET(_xlpm.x,IFERROR(INDEX(_xlfn.ANCHORARRAY($J$11),ROWS($H$11:H11),5),""),IF(_xlpm.x="","N/A",_xlpm.x))</f>
        <v>Jesper Fredriksson</v>
      </c>
      <c r="J11" t="str" cm="1">
        <f t="array" ref="J11:N12">_xlfn.LET(_xlpm.pn,"001-1471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336271 - POS</v>
      </c>
      <c r="K11">
        <v>46478</v>
      </c>
      <c r="L11">
        <v>5</v>
      </c>
      <c r="M11">
        <v>46183.921527777777</v>
      </c>
      <c r="N11" t="str">
        <v>Jesper Fredriksson</v>
      </c>
    </row>
    <row r="12" spans="1:14" x14ac:dyDescent="0.25">
      <c r="A12" s="8" t="str">
        <f>[1]raw_data!A2</f>
        <v>001-1471</v>
      </c>
      <c r="B12" s="442"/>
      <c r="C12" s="37" t="str" cm="1">
        <f t="array" ref="C12">_xlfn.LET(_xlpm.x,IFERROR(INDEX(_xlfn.ANCHORARRAY($J$11),ROWS($C$11:C12),1),""),IF(_xlpm.x="","N/A",_xlpm.x))</f>
        <v>336271 - NEG</v>
      </c>
      <c r="D12" s="38" cm="1">
        <f t="array" ref="D12">_xlfn.LET(_xlpm.x,IFERROR(INDEX(_xlfn.ANCHORARRAY($J$11),ROWS($D$11:D12),2),""),IF(_xlpm.x="","N/A",_xlpm.x))</f>
        <v>46478</v>
      </c>
      <c r="E12" s="424"/>
      <c r="F12" s="37" cm="1">
        <f t="array" ref="F12">_xlfn.LET(_xlpm.x,IFERROR(INDEX(_xlfn.ANCHORARRAY($J$11),ROWS($F$11:F12),3),""),IF(_xlpm.x="","N/A",_xlpm.x))</f>
        <v>2</v>
      </c>
      <c r="G12" s="38" cm="1">
        <f t="array" ref="G12">_xlfn.LET(_xlpm.x,IFERROR(INDEX(_xlfn.ANCHORARRAY($J$11),ROWS($G$11:G12),4),""),IF(_xlpm.x="","N/A",_xlpm.x))</f>
        <v>46183.92083333333</v>
      </c>
      <c r="H12" s="26" t="str" cm="1">
        <f t="array" ref="H12">_xlfn.LET(_xlpm.x,IFERROR(INDEX(_xlfn.ANCHORARRAY($J$11),ROWS($H$11:H12),5),""),IF(_xlpm.x="","N/A",_xlpm.x))</f>
        <v>Jesper Fredriksson</v>
      </c>
      <c r="J12" t="str">
        <v>336271 - NEG</v>
      </c>
      <c r="K12">
        <v>46478</v>
      </c>
      <c r="L12">
        <v>2</v>
      </c>
      <c r="M12">
        <v>46183.92083333333</v>
      </c>
      <c r="N12" t="str">
        <v>Jesper Fredriksson</v>
      </c>
    </row>
    <row r="13" spans="1:14" ht="15.75" customHeight="1" x14ac:dyDescent="0.25">
      <c r="A13" s="8" t="str">
        <f>[1]raw_data!A3</f>
        <v>001-1471</v>
      </c>
      <c r="B13" s="442"/>
      <c r="C13" s="37" t="str" cm="1">
        <f t="array" ref="C13">_xlfn.LET(_xlpm.x,IFERROR(INDEX(_xlfn.ANCHORARRAY($J$11),ROWS($C$11:C13),1),""),IF(_xlpm.x="","N/A",_xlpm.x))</f>
        <v>N/A</v>
      </c>
      <c r="D13" s="38" t="str" cm="1">
        <f t="array" ref="D13">_xlfn.LET(_xlpm.x,IFERROR(INDEX(_xlfn.ANCHORARRAY($J$11),ROWS($D$11:D13),2),""),IF(_xlpm.x="","N/A",_xlpm.x))</f>
        <v>N/A</v>
      </c>
      <c r="E13" s="424"/>
      <c r="F13" s="37" t="str" cm="1">
        <f t="array" ref="F13">_xlfn.LET(_xlpm.x,IFERROR(INDEX(_xlfn.ANCHORARRAY($J$11),ROWS($F$11:F13),3),""),IF(_xlpm.x="","N/A",_xlpm.x))</f>
        <v>N/A</v>
      </c>
      <c r="G13" s="38" t="str" cm="1">
        <f t="array" ref="G13">_xlfn.LET(_xlpm.x,IFERROR(INDEX(_xlfn.ANCHORARRAY($J$11),ROWS($G$11:G13),4),""),IF(_xlpm.x="","N/A",_xlpm.x))</f>
        <v>N/A</v>
      </c>
      <c r="H13" s="26" t="str" cm="1">
        <f t="array" ref="H13">_xlfn.LET(_xlpm.x,IFERROR(INDEX(_xlfn.ANCHORARRAY($J$11),ROWS($H$11:H13),5),""),IF(_xlpm.x="","N/A",_xlpm.x))</f>
        <v>N/A</v>
      </c>
    </row>
    <row r="14" spans="1:14" ht="15.75" thickBot="1" x14ac:dyDescent="0.3">
      <c r="A14" s="29" t="str">
        <f>[1]raw_data!A4</f>
        <v>001-1471</v>
      </c>
      <c r="B14" s="443"/>
      <c r="C14" s="39" t="str" cm="1">
        <f t="array" ref="C14">_xlfn.LET(_xlpm.x,IFERROR(INDEX(_xlfn.ANCHORARRAY($J$11),ROWS($C$11:C14),1),""),IF(_xlpm.x="","N/A",_xlpm.x))</f>
        <v>N/A</v>
      </c>
      <c r="D14" s="40" t="str" cm="1">
        <f t="array" ref="D14">_xlfn.LET(_xlpm.x,IFERROR(INDEX(_xlfn.ANCHORARRAY($J$11),ROWS($D$11:D14),2),""),IF(_xlpm.x="","N/A",_xlpm.x))</f>
        <v>N/A</v>
      </c>
      <c r="E14" s="425"/>
      <c r="F14" s="39" t="str" cm="1">
        <f t="array" ref="F14">_xlfn.LET(_xlpm.x,IFERROR(INDEX(_xlfn.ANCHORARRAY($J$11),ROWS($F$11:F14),3),""),IF(_xlpm.x="","N/A",_xlpm.x))</f>
        <v>N/A</v>
      </c>
      <c r="G14" s="40" t="str" cm="1">
        <f t="array" ref="G14">_xlfn.LET(_xlpm.x,IFERROR(INDEX(_xlfn.ANCHORARRAY($J$11),ROWS($G$11:G14),4),""),IF(_xlpm.x="","N/A",_xlpm.x))</f>
        <v>N/A</v>
      </c>
      <c r="H14" s="30" t="str" cm="1">
        <f t="array" ref="H14">_xlfn.LET(_xlpm.x,IFERROR(INDEX(_xlfn.ANCHORARRAY($J$11),ROWS($H$11:H14),5),""),IF(_xlpm.x="","N/A",_xlpm.x))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E11:E14"/>
    <mergeCell ref="B11:B14"/>
    <mergeCell ref="B5:B8"/>
    <mergeCell ref="A2:H2"/>
    <mergeCell ref="E5:E8"/>
  </mergeCells>
  <pageMargins left="0.7" right="0.7" top="0.75" bottom="0.75" header="0.3" footer="0.3"/>
  <pageSetup paperSize="9" orientation="portrait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rgb="FFFFFF00"/>
  </sheetPr>
  <dimension ref="A1:BE54"/>
  <sheetViews>
    <sheetView workbookViewId="0"/>
  </sheetViews>
  <sheetFormatPr defaultRowHeight="15" x14ac:dyDescent="0.25"/>
  <cols>
    <col min="1" max="1" width="9.7109375" bestFit="1" customWidth="1"/>
    <col min="2" max="2" width="34.42578125" bestFit="1" customWidth="1"/>
    <col min="3" max="3" width="15.85546875" customWidth="1"/>
    <col min="4" max="4" width="14" style="63" bestFit="1" customWidth="1"/>
    <col min="5" max="5" width="14.85546875" bestFit="1" customWidth="1"/>
    <col min="6" max="6" width="20.140625" customWidth="1"/>
    <col min="7" max="7" width="17.85546875" style="63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34" t="s">
        <v>75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130" t="s">
        <v>104</v>
      </c>
      <c r="B4" s="131" t="s">
        <v>388</v>
      </c>
      <c r="C4" s="131" t="s">
        <v>105</v>
      </c>
      <c r="D4" s="132" t="s">
        <v>106</v>
      </c>
      <c r="E4" s="131" t="s">
        <v>112</v>
      </c>
      <c r="F4" s="131" t="s">
        <v>107</v>
      </c>
      <c r="G4" s="133" t="s">
        <v>108</v>
      </c>
      <c r="H4" s="134" t="s">
        <v>109</v>
      </c>
    </row>
    <row r="5" spans="1:14" x14ac:dyDescent="0.25">
      <c r="A5" s="41" t="s">
        <v>76</v>
      </c>
      <c r="B5" s="411" t="s">
        <v>172</v>
      </c>
      <c r="C5" s="42" t="str" cm="1">
        <f t="array" ref="C5">_xlfn.LET(_xlpm.x,IFERROR(INDEX(_xlfn.ANCHORARRAY($J$5),ROWS($C$5:C5),1),""),IF(_xlpm.x="","N/A",_xlpm.x))</f>
        <v>011922DL</v>
      </c>
      <c r="D5" s="43" cm="1">
        <f t="array" ref="D5">_xlfn.LET(_xlpm.x,IFERROR(INDEX(_xlfn.ANCHORARRAY($J$5),ROWS($D$5:D5),2),""),IF(_xlpm.x="","N/A",_xlpm.x))</f>
        <v>46406</v>
      </c>
      <c r="E5" s="411" t="s">
        <v>634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46183.929166666669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500-1509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011922DL</v>
      </c>
      <c r="K5">
        <v>46406</v>
      </c>
      <c r="L5">
        <v>1</v>
      </c>
      <c r="M5">
        <v>46183.929166666669</v>
      </c>
      <c r="N5" t="str">
        <v>Jesper Fredriksson</v>
      </c>
    </row>
    <row r="6" spans="1:14" x14ac:dyDescent="0.25">
      <c r="A6" s="8" t="str">
        <f>A$5</f>
        <v>500-1509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500-1509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500-1509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35" t="s">
        <v>104</v>
      </c>
      <c r="B9" s="335" t="s">
        <v>388</v>
      </c>
      <c r="C9" s="335" t="s">
        <v>105</v>
      </c>
      <c r="D9" s="336" t="s">
        <v>106</v>
      </c>
      <c r="E9" s="335" t="s">
        <v>112</v>
      </c>
      <c r="F9" s="335" t="s">
        <v>107</v>
      </c>
      <c r="G9" s="138" t="s">
        <v>108</v>
      </c>
      <c r="H9" s="139" t="s">
        <v>109</v>
      </c>
    </row>
    <row r="10" spans="1:14" x14ac:dyDescent="0.25">
      <c r="A10" s="41" t="s">
        <v>77</v>
      </c>
      <c r="B10" s="411" t="s">
        <v>273</v>
      </c>
      <c r="C10" s="42" t="str" cm="1">
        <f t="array" ref="C10">_xlfn.LET(_xlpm.x,IFERROR(INDEX(_xlfn.ANCHORARRAY($J$10),ROWS($C$10:C10),1),""),IF(_xlpm.x="","N/A",_xlpm.x))</f>
        <v>112525MATE</v>
      </c>
      <c r="D10" s="43" cm="1">
        <f t="array" ref="D10">_xlfn.LET(_xlpm.x,IFERROR(INDEX(_xlfn.ANCHORARRAY($J$10),ROWS($D$10:D10),2),""),IF(_xlpm.x="","N/A",_xlpm.x))</f>
        <v>46191</v>
      </c>
      <c r="E10" s="411" t="s">
        <v>634</v>
      </c>
      <c r="F10" s="42" cm="1">
        <f t="array" ref="F10">_xlfn.LET(_xlpm.x,IFERROR(INDEX(_xlfn.ANCHORARRAY($J$10),ROWS($F$10:F10),3),""),IF(_xlpm.x="","N/A",_xlpm.x))</f>
        <v>1</v>
      </c>
      <c r="G10" s="43" cm="1">
        <f t="array" ref="G10">_xlfn.LET(_xlpm.x,IFERROR(INDEX(_xlfn.ANCHORARRAY($J$10),ROWS($G$10:G10),4),""),IF(_xlpm.x="","N/A",_xlpm.x))</f>
        <v>46184.241666666669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525-00096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112525MATE</v>
      </c>
      <c r="K10">
        <v>46191</v>
      </c>
      <c r="L10">
        <v>1</v>
      </c>
      <c r="M10">
        <v>46184.241666666669</v>
      </c>
      <c r="N10" t="str">
        <v>Jesper Fredriksson</v>
      </c>
    </row>
    <row r="11" spans="1:14" x14ac:dyDescent="0.25">
      <c r="A11" s="8" t="str">
        <f>A$10</f>
        <v>525-00096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525-00096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525-00096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35" t="s">
        <v>104</v>
      </c>
      <c r="B14" s="335" t="s">
        <v>388</v>
      </c>
      <c r="C14" s="335" t="s">
        <v>105</v>
      </c>
      <c r="D14" s="336" t="s">
        <v>106</v>
      </c>
      <c r="E14" s="335" t="s">
        <v>112</v>
      </c>
      <c r="F14" s="335" t="s">
        <v>107</v>
      </c>
      <c r="G14" s="138" t="s">
        <v>108</v>
      </c>
      <c r="H14" s="139" t="s">
        <v>109</v>
      </c>
    </row>
    <row r="15" spans="1:14" x14ac:dyDescent="0.25">
      <c r="A15" s="41" t="s">
        <v>20</v>
      </c>
      <c r="B15" s="411" t="s">
        <v>274</v>
      </c>
      <c r="C15" s="42" t="str" cm="1">
        <f t="array" ref="C15">_xlfn.LET(_xlpm.x,IFERROR(INDEX(_xlfn.ANCHORARRAY($J$15),ROWS($C$15:C15),1),""),IF(_xlpm.x="","N/A",_xlpm.x))</f>
        <v>012726MATE</v>
      </c>
      <c r="D15" s="43" cm="1">
        <f t="array" ref="D15">_xlfn.LET(_xlpm.x,IFERROR(INDEX(_xlfn.ANCHORARRAY($J$15),ROWS($D$15:D15),2),""),IF(_xlpm.x="","N/A",_xlpm.x))</f>
        <v>46193</v>
      </c>
      <c r="E15" s="411" t="s">
        <v>634</v>
      </c>
      <c r="F15" s="42" cm="1">
        <f t="array" ref="F15">_xlfn.LET(_xlpm.x,IFERROR(INDEX(_xlfn.ANCHORARRAY($J$15),ROWS($F$15:F15),3),""),IF(_xlpm.x="","N/A",_xlpm.x))</f>
        <v>3</v>
      </c>
      <c r="G15" s="43" cm="1">
        <f t="array" ref="G15">_xlfn.LET(_xlpm.x,IFERROR(INDEX(_xlfn.ANCHORARRAY($J$15),ROWS($G$15:G15),4),""),IF(_xlpm.x="","N/A",_xlpm.x))</f>
        <v>46184.242361111108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-00097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012726MATE</v>
      </c>
      <c r="K15">
        <v>46193</v>
      </c>
      <c r="L15">
        <v>3</v>
      </c>
      <c r="M15">
        <v>46184.242361111108</v>
      </c>
      <c r="N15" t="str">
        <v>Jesper Fredriksson</v>
      </c>
    </row>
    <row r="16" spans="1:14" x14ac:dyDescent="0.25">
      <c r="A16" s="8" t="str">
        <f>A$15</f>
        <v>525-00097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x14ac:dyDescent="0.25">
      <c r="A17" s="8" t="str">
        <f>A$15</f>
        <v>525-00097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525-00097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>
      <c r="A19" s="135" t="s">
        <v>104</v>
      </c>
      <c r="B19" s="335" t="s">
        <v>388</v>
      </c>
      <c r="C19" s="335" t="s">
        <v>105</v>
      </c>
      <c r="D19" s="336" t="s">
        <v>106</v>
      </c>
      <c r="E19" s="335" t="s">
        <v>112</v>
      </c>
      <c r="F19" s="335" t="s">
        <v>107</v>
      </c>
      <c r="G19" s="138" t="s">
        <v>108</v>
      </c>
      <c r="H19" s="139" t="s">
        <v>109</v>
      </c>
    </row>
    <row r="20" spans="1:14" x14ac:dyDescent="0.25">
      <c r="A20" s="41" t="s">
        <v>78</v>
      </c>
      <c r="B20" s="411" t="s">
        <v>277</v>
      </c>
      <c r="C20" s="42" t="str" cm="1">
        <f t="array" ref="C20">_xlfn.LET(_xlpm.x,IFERROR(INDEX(_xlfn.ANCHORARRAY($J$20),ROWS($C$20:C20),1),""),IF(_xlpm.x="","N/A",_xlpm.x))</f>
        <v>120225MATE</v>
      </c>
      <c r="D20" s="43" cm="1">
        <f t="array" ref="D20">_xlfn.LET(_xlpm.x,IFERROR(INDEX(_xlfn.ANCHORARRAY($J$20),ROWS($D$20:D20),2),""),IF(_xlpm.x="","N/A",_xlpm.x))</f>
        <v>46316</v>
      </c>
      <c r="E20" s="411" t="s">
        <v>634</v>
      </c>
      <c r="F20" s="42" cm="1">
        <f t="array" ref="F20">_xlfn.LET(_xlpm.x,IFERROR(INDEX(_xlfn.ANCHORARRAY($J$20),ROWS($F$20:F20),3),""),IF(_xlpm.x="","N/A",_xlpm.x))</f>
        <v>1</v>
      </c>
      <c r="G20" s="43" cm="1">
        <f t="array" ref="G20">_xlfn.LET(_xlpm.x,IFERROR(INDEX(_xlfn.ANCHORARRAY($J$20),ROWS($G$20:G20),4),""),IF(_xlpm.x="","N/A",_xlpm.x))</f>
        <v>46184.243055555555</v>
      </c>
      <c r="H20" s="45" t="str" cm="1">
        <f t="array" ref="H20">_xlfn.LET(_xlpm.x,IFERROR(INDEX(_xlfn.ANCHORARRAY($J$20),ROWS($H$20:H20),5),""),IF(_xlpm.x="","N/A",_xlpm.x))</f>
        <v>Jesper Fredriksson</v>
      </c>
      <c r="J20" t="str" cm="1">
        <f t="array" ref="J20:N20">_xlfn.LET(_xlpm.pn,"525-00098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120225MATE</v>
      </c>
      <c r="K20">
        <v>46316</v>
      </c>
      <c r="L20">
        <v>1</v>
      </c>
      <c r="M20">
        <v>46184.243055555555</v>
      </c>
      <c r="N20" t="str">
        <v>Jesper Fredriksson</v>
      </c>
    </row>
    <row r="21" spans="1:14" x14ac:dyDescent="0.25">
      <c r="A21" s="8" t="str">
        <f>A$20</f>
        <v>525-00098</v>
      </c>
      <c r="B21" s="406"/>
      <c r="C21" s="37" t="str" cm="1">
        <f t="array" ref="C21">_xlfn.LET(_xlpm.x,IFERROR(INDEX(_xlfn.ANCHORARRAY($J$20),ROWS($C$20:C21),1),""),IF(_xlpm.x="","N/A",_xlpm.x))</f>
        <v>N/A</v>
      </c>
      <c r="D21" s="38" t="str" cm="1">
        <f t="array" ref="D21">_xlfn.LET(_xlpm.x,IFERROR(INDEX(_xlfn.ANCHORARRAY($J$20),ROWS($D$20:D21),2),""),IF(_xlpm.x="","N/A",_xlpm.x))</f>
        <v>N/A</v>
      </c>
      <c r="E21" s="424"/>
      <c r="F21" s="37" t="str" cm="1">
        <f t="array" ref="F21">_xlfn.LET(_xlpm.x,IFERROR(INDEX(_xlfn.ANCHORARRAY($J$20),ROWS($F$20:F21),3),""),IF(_xlpm.x="","N/A",_xlpm.x))</f>
        <v>N/A</v>
      </c>
      <c r="G21" s="38" t="str" cm="1">
        <f t="array" ref="G21">_xlfn.LET(_xlpm.x,IFERROR(INDEX(_xlfn.ANCHORARRAY($J$20),ROWS($G$20:G21),4),""),IF(_xlpm.x="","N/A",_xlpm.x))</f>
        <v>N/A</v>
      </c>
      <c r="H21" s="26" t="str" cm="1">
        <f t="array" ref="H21">_xlfn.LET(_xlpm.x,IFERROR(INDEX(_xlfn.ANCHORARRAY($J$20),ROWS($H$20:H21),5),""),IF(_xlpm.x="","N/A",_xlpm.x))</f>
        <v>N/A</v>
      </c>
    </row>
    <row r="22" spans="1:14" x14ac:dyDescent="0.25">
      <c r="A22" s="8" t="str">
        <f>A$20</f>
        <v>525-00098</v>
      </c>
      <c r="B22" s="406"/>
      <c r="C22" s="37" t="str" cm="1">
        <f t="array" ref="C22">_xlfn.LET(_xlpm.x,IFERROR(INDEX(_xlfn.ANCHORARRAY($J$20),ROWS($C$20:C22),1),""),IF(_xlpm.x="","N/A",_xlpm.x))</f>
        <v>N/A</v>
      </c>
      <c r="D22" s="38" t="str" cm="1">
        <f t="array" ref="D22">_xlfn.LET(_xlpm.x,IFERROR(INDEX(_xlfn.ANCHORARRAY($J$20),ROWS($D$20:D22),2),""),IF(_xlpm.x="","N/A",_xlpm.x))</f>
        <v>N/A</v>
      </c>
      <c r="E22" s="424"/>
      <c r="F22" s="37" t="str" cm="1">
        <f t="array" ref="F22">_xlfn.LET(_xlpm.x,IFERROR(INDEX(_xlfn.ANCHORARRAY($J$20),ROWS($F$20:F22),3),""),IF(_xlpm.x="","N/A",_xlpm.x))</f>
        <v>N/A</v>
      </c>
      <c r="G22" s="38" t="str" cm="1">
        <f t="array" ref="G22">_xlfn.LET(_xlpm.x,IFERROR(INDEX(_xlfn.ANCHORARRAY($J$20),ROWS($G$20:G22),4),""),IF(_xlpm.x="","N/A",_xlpm.x))</f>
        <v>N/A</v>
      </c>
      <c r="H22" s="26" t="str" cm="1">
        <f t="array" ref="H22">_xlfn.LET(_xlpm.x,IFERROR(INDEX(_xlfn.ANCHORARRAY($J$20),ROWS($H$20:H22),5),""),IF(_xlpm.x="","N/A",_xlpm.x))</f>
        <v>N/A</v>
      </c>
    </row>
    <row r="23" spans="1:14" ht="15.75" customHeight="1" thickBot="1" x14ac:dyDescent="0.3">
      <c r="A23" s="29" t="str">
        <f>A$20</f>
        <v>525-00098</v>
      </c>
      <c r="B23" s="409"/>
      <c r="C23" s="39" t="str" cm="1">
        <f t="array" ref="C23">_xlfn.LET(_xlpm.x,IFERROR(INDEX(_xlfn.ANCHORARRAY($J$20),ROWS($C$20:C23),1),""),IF(_xlpm.x="","N/A",_xlpm.x))</f>
        <v>N/A</v>
      </c>
      <c r="D23" s="40" t="str" cm="1">
        <f t="array" ref="D23">_xlfn.LET(_xlpm.x,IFERROR(INDEX(_xlfn.ANCHORARRAY($J$20),ROWS($D$20:D23),2),""),IF(_xlpm.x="","N/A",_xlpm.x))</f>
        <v>N/A</v>
      </c>
      <c r="E23" s="425"/>
      <c r="F23" s="39" t="str" cm="1">
        <f t="array" ref="F23">_xlfn.LET(_xlpm.x,IFERROR(INDEX(_xlfn.ANCHORARRAY($J$20),ROWS($F$20:F23),3),""),IF(_xlpm.x="","N/A",_xlpm.x))</f>
        <v>N/A</v>
      </c>
      <c r="G23" s="40" t="str" cm="1">
        <f t="array" ref="G23">_xlfn.LET(_xlpm.x,IFERROR(INDEX(_xlfn.ANCHORARRAY($J$20),ROWS($G$20:G23),4),""),IF(_xlpm.x="","N/A",_xlpm.x))</f>
        <v>N/A</v>
      </c>
      <c r="H23" s="30" t="str" cm="1">
        <f t="array" ref="H23">_xlfn.LET(_xlpm.x,IFERROR(INDEX(_xlfn.ANCHORARRAY($J$20),ROWS($H$20:H23),5),""),IF(_xlpm.x="","N/A",_xlpm.x))</f>
        <v>N/A</v>
      </c>
    </row>
    <row r="24" spans="1:14" ht="15.75" customHeight="1" thickBot="1" x14ac:dyDescent="0.3">
      <c r="A24" s="135" t="s">
        <v>104</v>
      </c>
      <c r="B24" s="335" t="s">
        <v>388</v>
      </c>
      <c r="C24" s="335" t="s">
        <v>105</v>
      </c>
      <c r="D24" s="336" t="s">
        <v>106</v>
      </c>
      <c r="E24" s="335" t="s">
        <v>112</v>
      </c>
      <c r="F24" s="335" t="s">
        <v>107</v>
      </c>
      <c r="G24" s="138" t="s">
        <v>108</v>
      </c>
      <c r="H24" s="139" t="s">
        <v>109</v>
      </c>
    </row>
    <row r="25" spans="1:14" x14ac:dyDescent="0.25">
      <c r="A25" s="41" t="s">
        <v>21</v>
      </c>
      <c r="B25" s="411" t="s">
        <v>280</v>
      </c>
      <c r="C25" s="42" t="str" cm="1">
        <f t="array" ref="C25">_xlfn.LET(_xlpm.x,IFERROR(INDEX(_xlfn.ANCHORARRAY($J$25),ROWS($C$25:C25),1),""),IF(_xlpm.x="","N/A",_xlpm.x))</f>
        <v>102225SAMI</v>
      </c>
      <c r="D25" s="43" cm="1">
        <f t="array" ref="D25">_xlfn.LET(_xlpm.x,IFERROR(INDEX(_xlfn.ANCHORARRAY($J$25),ROWS($D$25:D25),2),""),IF(_xlpm.x="","N/A",_xlpm.x))</f>
        <v>46287</v>
      </c>
      <c r="E25" s="411" t="s">
        <v>634</v>
      </c>
      <c r="F25" s="42" cm="1">
        <f t="array" ref="F25">_xlfn.LET(_xlpm.x,IFERROR(INDEX(_xlfn.ANCHORARRAY($J$25),ROWS($F$25:F25),3),""),IF(_xlpm.x="","N/A",_xlpm.x))</f>
        <v>1</v>
      </c>
      <c r="G25" s="43" cm="1">
        <f t="array" ref="G25">_xlfn.LET(_xlpm.x,IFERROR(INDEX(_xlfn.ANCHORARRAY($J$25),ROWS($G$25:G25),4),""),IF(_xlpm.x="","N/A",_xlpm.x))</f>
        <v>46184.243750000001</v>
      </c>
      <c r="H25" s="45" t="str" cm="1">
        <f t="array" ref="H25">_xlfn.LET(_xlpm.x,IFERROR(INDEX(_xlfn.ANCHORARRAY($J$25),ROWS($H$25:H25),5),""),IF(_xlpm.x="","N/A",_xlpm.x))</f>
        <v>Jesper Fredriksson</v>
      </c>
      <c r="J25" t="str" cm="1">
        <f t="array" ref="J25:N25">_xlfn.LET(_xlpm.pn,"525-00099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102225SAMI</v>
      </c>
      <c r="K25">
        <v>46287</v>
      </c>
      <c r="L25">
        <v>1</v>
      </c>
      <c r="M25">
        <v>46184.243750000001</v>
      </c>
      <c r="N25" t="str">
        <v>Jesper Fredriksson</v>
      </c>
    </row>
    <row r="26" spans="1:14" x14ac:dyDescent="0.25">
      <c r="A26" s="8" t="str">
        <f>A$25</f>
        <v>525-00099</v>
      </c>
      <c r="B26" s="406"/>
      <c r="C26" s="37" t="str" cm="1">
        <f t="array" ref="C26">_xlfn.LET(_xlpm.x,IFERROR(INDEX(_xlfn.ANCHORARRAY($J$25),ROWS($C$25:C26),1),""),IF(_xlpm.x="","N/A",_xlpm.x))</f>
        <v>N/A</v>
      </c>
      <c r="D26" s="38" t="str" cm="1">
        <f t="array" ref="D26">_xlfn.LET(_xlpm.x,IFERROR(INDEX(_xlfn.ANCHORARRAY($J$25),ROWS($D$25:D26),2),""),IF(_xlpm.x="","N/A",_xlpm.x))</f>
        <v>N/A</v>
      </c>
      <c r="E26" s="424"/>
      <c r="F26" s="37" t="str" cm="1">
        <f t="array" ref="F26">_xlfn.LET(_xlpm.x,IFERROR(INDEX(_xlfn.ANCHORARRAY($J$25),ROWS($F$25:F26),3),""),IF(_xlpm.x="","N/A",_xlpm.x))</f>
        <v>N/A</v>
      </c>
      <c r="G26" s="38" t="str" cm="1">
        <f t="array" ref="G26">_xlfn.LET(_xlpm.x,IFERROR(INDEX(_xlfn.ANCHORARRAY($J$25),ROWS($G$25:G26),4),""),IF(_xlpm.x="","N/A",_xlpm.x))</f>
        <v>N/A</v>
      </c>
      <c r="H26" s="26" t="str" cm="1">
        <f t="array" ref="H26">_xlfn.LET(_xlpm.x,IFERROR(INDEX(_xlfn.ANCHORARRAY($J$25),ROWS($H$25:H26),5),""),IF(_xlpm.x="","N/A",_xlpm.x))</f>
        <v>N/A</v>
      </c>
    </row>
    <row r="27" spans="1:14" x14ac:dyDescent="0.25">
      <c r="A27" s="8" t="str">
        <f>A$25</f>
        <v>525-00099</v>
      </c>
      <c r="B27" s="406"/>
      <c r="C27" s="37" t="str" cm="1">
        <f t="array" ref="C27">_xlfn.LET(_xlpm.x,IFERROR(INDEX(_xlfn.ANCHORARRAY($J$25),ROWS($C$25:C27),1),""),IF(_xlpm.x="","N/A",_xlpm.x))</f>
        <v>N/A</v>
      </c>
      <c r="D27" s="38" t="str" cm="1">
        <f t="array" ref="D27">_xlfn.LET(_xlpm.x,IFERROR(INDEX(_xlfn.ANCHORARRAY($J$25),ROWS($D$25:D27),2),""),IF(_xlpm.x="","N/A",_xlpm.x))</f>
        <v>N/A</v>
      </c>
      <c r="E27" s="424"/>
      <c r="F27" s="37" t="str" cm="1">
        <f t="array" ref="F27">_xlfn.LET(_xlpm.x,IFERROR(INDEX(_xlfn.ANCHORARRAY($J$25),ROWS($F$25:F27),3),""),IF(_xlpm.x="","N/A",_xlpm.x))</f>
        <v>N/A</v>
      </c>
      <c r="G27" s="38" t="str" cm="1">
        <f t="array" ref="G27">_xlfn.LET(_xlpm.x,IFERROR(INDEX(_xlfn.ANCHORARRAY($J$25),ROWS($G$25:G27),4),""),IF(_xlpm.x="","N/A",_xlpm.x))</f>
        <v>N/A</v>
      </c>
      <c r="H27" s="26" t="str" cm="1">
        <f t="array" ref="H27">_xlfn.LET(_xlpm.x,IFERROR(INDEX(_xlfn.ANCHORARRAY($J$25),ROWS($H$25:H27),5),""),IF(_xlpm.x="","N/A",_xlpm.x))</f>
        <v>N/A</v>
      </c>
    </row>
    <row r="28" spans="1:14" ht="15.75" customHeight="1" thickBot="1" x14ac:dyDescent="0.3">
      <c r="A28" s="29" t="str">
        <f>A$25</f>
        <v>525-00099</v>
      </c>
      <c r="B28" s="409"/>
      <c r="C28" s="39" t="str" cm="1">
        <f t="array" ref="C28">_xlfn.LET(_xlpm.x,IFERROR(INDEX(_xlfn.ANCHORARRAY($J$25),ROWS($C$25:C28),1),""),IF(_xlpm.x="","N/A",_xlpm.x))</f>
        <v>N/A</v>
      </c>
      <c r="D28" s="40" t="str" cm="1">
        <f t="array" ref="D28">_xlfn.LET(_xlpm.x,IFERROR(INDEX(_xlfn.ANCHORARRAY($J$25),ROWS($D$25:D28),2),""),IF(_xlpm.x="","N/A",_xlpm.x))</f>
        <v>N/A</v>
      </c>
      <c r="E28" s="425"/>
      <c r="F28" s="39" t="str" cm="1">
        <f t="array" ref="F28">_xlfn.LET(_xlpm.x,IFERROR(INDEX(_xlfn.ANCHORARRAY($J$25),ROWS($F$25:F28),3),""),IF(_xlpm.x="","N/A",_xlpm.x))</f>
        <v>N/A</v>
      </c>
      <c r="G28" s="40" t="str" cm="1">
        <f t="array" ref="G28">_xlfn.LET(_xlpm.x,IFERROR(INDEX(_xlfn.ANCHORARRAY($J$25),ROWS($G$25:G28),4),""),IF(_xlpm.x="","N/A",_xlpm.x))</f>
        <v>N/A</v>
      </c>
      <c r="H28" s="30" t="str" cm="1">
        <f t="array" ref="H28">_xlfn.LET(_xlpm.x,IFERROR(INDEX(_xlfn.ANCHORARRAY($J$25),ROWS($H$25:H28),5),""),IF(_xlpm.x="","N/A",_xlpm.x))</f>
        <v>N/A</v>
      </c>
    </row>
    <row r="29" spans="1:14" ht="15.75" customHeight="1" thickBot="1" x14ac:dyDescent="0.3">
      <c r="A29" s="135" t="s">
        <v>104</v>
      </c>
      <c r="B29" s="335" t="s">
        <v>388</v>
      </c>
      <c r="C29" s="335" t="s">
        <v>105</v>
      </c>
      <c r="D29" s="336" t="s">
        <v>106</v>
      </c>
      <c r="E29" s="335" t="s">
        <v>112</v>
      </c>
      <c r="F29" s="335" t="s">
        <v>107</v>
      </c>
      <c r="G29" s="138" t="s">
        <v>108</v>
      </c>
      <c r="H29" s="139" t="s">
        <v>109</v>
      </c>
    </row>
    <row r="30" spans="1:14" x14ac:dyDescent="0.25">
      <c r="A30" s="41" t="s">
        <v>79</v>
      </c>
      <c r="B30" s="411" t="s">
        <v>281</v>
      </c>
      <c r="C30" s="42" t="str" cm="1">
        <f t="array" ref="C30">_xlfn.LET(_xlpm.x,IFERROR(INDEX(_xlfn.ANCHORARRAY($J$30),ROWS($C$30:C30),1),""),IF(_xlpm.x="","N/A",_xlpm.x))</f>
        <v>N/A</v>
      </c>
      <c r="D30" s="43" t="str" cm="1">
        <f t="array" ref="D30">_xlfn.LET(_xlpm.x,IFERROR(INDEX(_xlfn.ANCHORARRAY($J$30),ROWS($D$30:D30),2),""),IF(_xlpm.x="","N/A",_xlpm.x))</f>
        <v>N/A</v>
      </c>
      <c r="E30" s="411" t="s">
        <v>634</v>
      </c>
      <c r="F30" s="42" t="str" cm="1">
        <f t="array" ref="F30">_xlfn.LET(_xlpm.x,IFERROR(INDEX(_xlfn.ANCHORARRAY($J$30),ROWS($F$30:F30),3),""),IF(_xlpm.x="","N/A",_xlpm.x))</f>
        <v>N/A</v>
      </c>
      <c r="G30" s="43" t="str" cm="1">
        <f t="array" ref="G30">_xlfn.LET(_xlpm.x,IFERROR(INDEX(_xlfn.ANCHORARRAY($J$30),ROWS($G$30:G30),4),""),IF(_xlpm.x="","N/A",_xlpm.x))</f>
        <v>N/A</v>
      </c>
      <c r="H30" s="45" t="str" cm="1">
        <f t="array" ref="H30">_xlfn.LET(_xlpm.x,IFERROR(INDEX(_xlfn.ANCHORARRAY($J$30),ROWS($H$30:H30),5),""),IF(_xlpm.x="","N/A",_xlpm.x))</f>
        <v>N/A</v>
      </c>
      <c r="J30" t="str" cm="1">
        <f t="array" ref="J30">_xlfn.LET(_xlpm.pn,"525-00101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31" spans="1:14" x14ac:dyDescent="0.25">
      <c r="A31" s="8" t="str">
        <f>A$30</f>
        <v>525-00101</v>
      </c>
      <c r="B31" s="406"/>
      <c r="C31" s="37" t="str" cm="1">
        <f t="array" ref="C31">_xlfn.LET(_xlpm.x,IFERROR(INDEX(_xlfn.ANCHORARRAY($J$30),ROWS($C$30:C31),1),""),IF(_xlpm.x="","N/A",_xlpm.x))</f>
        <v>N/A</v>
      </c>
      <c r="D31" s="38" t="str" cm="1">
        <f t="array" ref="D31">_xlfn.LET(_xlpm.x,IFERROR(INDEX(_xlfn.ANCHORARRAY($J$30),ROWS($D$30:D31),2),""),IF(_xlpm.x="","N/A",_xlpm.x))</f>
        <v>N/A</v>
      </c>
      <c r="E31" s="424"/>
      <c r="F31" s="37" t="str" cm="1">
        <f t="array" ref="F31">_xlfn.LET(_xlpm.x,IFERROR(INDEX(_xlfn.ANCHORARRAY($J$30),ROWS($F$30:F31),3),""),IF(_xlpm.x="","N/A",_xlpm.x))</f>
        <v>N/A</v>
      </c>
      <c r="G31" s="38" t="str" cm="1">
        <f t="array" ref="G31">_xlfn.LET(_xlpm.x,IFERROR(INDEX(_xlfn.ANCHORARRAY($J$30),ROWS($G$30:G31),4),""),IF(_xlpm.x="","N/A",_xlpm.x))</f>
        <v>N/A</v>
      </c>
      <c r="H31" s="26" t="str" cm="1">
        <f t="array" ref="H31">_xlfn.LET(_xlpm.x,IFERROR(INDEX(_xlfn.ANCHORARRAY($J$30),ROWS($H$30:H31),5),""),IF(_xlpm.x="","N/A",_xlpm.x))</f>
        <v>N/A</v>
      </c>
    </row>
    <row r="32" spans="1:14" x14ac:dyDescent="0.25">
      <c r="A32" s="8" t="str">
        <f>A$30</f>
        <v>525-00101</v>
      </c>
      <c r="B32" s="406"/>
      <c r="C32" s="37" t="str" cm="1">
        <f t="array" ref="C32">_xlfn.LET(_xlpm.x,IFERROR(INDEX(_xlfn.ANCHORARRAY($J$30),ROWS($C$30:C32),1),""),IF(_xlpm.x="","N/A",_xlpm.x))</f>
        <v>N/A</v>
      </c>
      <c r="D32" s="38" t="str" cm="1">
        <f t="array" ref="D32">_xlfn.LET(_xlpm.x,IFERROR(INDEX(_xlfn.ANCHORARRAY($J$30),ROWS($D$30:D32),2),""),IF(_xlpm.x="","N/A",_xlpm.x))</f>
        <v>N/A</v>
      </c>
      <c r="E32" s="424"/>
      <c r="F32" s="37" t="str" cm="1">
        <f t="array" ref="F32">_xlfn.LET(_xlpm.x,IFERROR(INDEX(_xlfn.ANCHORARRAY($J$30),ROWS($F$30:F32),3),""),IF(_xlpm.x="","N/A",_xlpm.x))</f>
        <v>N/A</v>
      </c>
      <c r="G32" s="38" t="str" cm="1">
        <f t="array" ref="G32">_xlfn.LET(_xlpm.x,IFERROR(INDEX(_xlfn.ANCHORARRAY($J$30),ROWS($G$30:G32),4),""),IF(_xlpm.x="","N/A",_xlpm.x))</f>
        <v>N/A</v>
      </c>
      <c r="H32" s="26" t="str" cm="1">
        <f t="array" ref="H32">_xlfn.LET(_xlpm.x,IFERROR(INDEX(_xlfn.ANCHORARRAY($J$30),ROWS($H$30:H32),5),""),IF(_xlpm.x="","N/A",_xlpm.x))</f>
        <v>N/A</v>
      </c>
    </row>
    <row r="33" spans="1:14" ht="15.75" customHeight="1" thickBot="1" x14ac:dyDescent="0.3">
      <c r="A33" s="29" t="str">
        <f>A$30</f>
        <v>525-00101</v>
      </c>
      <c r="B33" s="409"/>
      <c r="C33" s="39" t="str" cm="1">
        <f t="array" ref="C33">_xlfn.LET(_xlpm.x,IFERROR(INDEX(_xlfn.ANCHORARRAY($J$30),ROWS($C$30:C33),1),""),IF(_xlpm.x="","N/A",_xlpm.x))</f>
        <v>N/A</v>
      </c>
      <c r="D33" s="40" t="str" cm="1">
        <f t="array" ref="D33">_xlfn.LET(_xlpm.x,IFERROR(INDEX(_xlfn.ANCHORARRAY($J$30),ROWS($D$30:D33),2),""),IF(_xlpm.x="","N/A",_xlpm.x))</f>
        <v>N/A</v>
      </c>
      <c r="E33" s="425"/>
      <c r="F33" s="39" t="str" cm="1">
        <f t="array" ref="F33">_xlfn.LET(_xlpm.x,IFERROR(INDEX(_xlfn.ANCHORARRAY($J$30),ROWS($F$30:F33),3),""),IF(_xlpm.x="","N/A",_xlpm.x))</f>
        <v>N/A</v>
      </c>
      <c r="G33" s="40" t="str" cm="1">
        <f t="array" ref="G33">_xlfn.LET(_xlpm.x,IFERROR(INDEX(_xlfn.ANCHORARRAY($J$30),ROWS($G$30:G33),4),""),IF(_xlpm.x="","N/A",_xlpm.x))</f>
        <v>N/A</v>
      </c>
      <c r="H33" s="30" t="str" cm="1">
        <f t="array" ref="H33">_xlfn.LET(_xlpm.x,IFERROR(INDEX(_xlfn.ANCHORARRAY($J$30),ROWS($H$30:H33),5),""),IF(_xlpm.x="","N/A",_xlpm.x))</f>
        <v>N/A</v>
      </c>
    </row>
    <row r="34" spans="1:14" ht="15.75" customHeight="1" thickBot="1" x14ac:dyDescent="0.3">
      <c r="A34" s="135" t="s">
        <v>104</v>
      </c>
      <c r="B34" s="335" t="s">
        <v>388</v>
      </c>
      <c r="C34" s="335" t="s">
        <v>105</v>
      </c>
      <c r="D34" s="336" t="s">
        <v>106</v>
      </c>
      <c r="E34" s="335" t="s">
        <v>112</v>
      </c>
      <c r="F34" s="335" t="s">
        <v>107</v>
      </c>
      <c r="G34" s="138" t="s">
        <v>108</v>
      </c>
      <c r="H34" s="139" t="s">
        <v>109</v>
      </c>
    </row>
    <row r="35" spans="1:14" x14ac:dyDescent="0.25">
      <c r="A35" s="41" t="s">
        <v>80</v>
      </c>
      <c r="B35" s="411" t="s">
        <v>282</v>
      </c>
      <c r="C35" s="42" t="str" cm="1">
        <f t="array" ref="C35">_xlfn.LET(_xlpm.x,IFERROR(INDEX(_xlfn.ANCHORARRAY($J$35),ROWS($C$35:C35),1),""),IF(_xlpm.x="","N/A",_xlpm.x))</f>
        <v>336020</v>
      </c>
      <c r="D35" s="43" cm="1">
        <f t="array" ref="D35">_xlfn.LET(_xlpm.x,IFERROR(INDEX(_xlfn.ANCHORARRAY($J$35),ROWS($D$35:D35),2),""),IF(_xlpm.x="","N/A",_xlpm.x))</f>
        <v>46385</v>
      </c>
      <c r="E35" s="411" t="s">
        <v>634</v>
      </c>
      <c r="F35" s="42" cm="1">
        <f t="array" ref="F35">_xlfn.LET(_xlpm.x,IFERROR(INDEX(_xlfn.ANCHORARRAY($J$35),ROWS($F$35:F35),3),""),IF(_xlpm.x="","N/A",_xlpm.x))</f>
        <v>4</v>
      </c>
      <c r="G35" s="43" cm="1">
        <f t="array" ref="G35">_xlfn.LET(_xlpm.x,IFERROR(INDEX(_xlfn.ANCHORARRAY($J$35),ROWS($G$35:G35),4),""),IF(_xlpm.x="","N/A",_xlpm.x))</f>
        <v>46184.251388888886</v>
      </c>
      <c r="H35" s="45" t="str" cm="1">
        <f t="array" ref="H35">_xlfn.LET(_xlpm.x,IFERROR(INDEX(_xlfn.ANCHORARRAY($J$35),ROWS($H$35:H35),5),""),IF(_xlpm.x="","N/A",_xlpm.x))</f>
        <v>Jesper Fredriksson</v>
      </c>
      <c r="J35" t="str" cm="1">
        <f t="array" ref="J35:N35">_xlfn.LET(_xlpm.pn,"325-00074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336020</v>
      </c>
      <c r="K35">
        <v>46385</v>
      </c>
      <c r="L35">
        <v>4</v>
      </c>
      <c r="M35">
        <v>46184.251388888886</v>
      </c>
      <c r="N35" t="str">
        <v>Jesper Fredriksson</v>
      </c>
    </row>
    <row r="36" spans="1:14" x14ac:dyDescent="0.25">
      <c r="A36" s="8" t="str">
        <f>A$35</f>
        <v>325-00074</v>
      </c>
      <c r="B36" s="406"/>
      <c r="C36" s="37" t="str" cm="1">
        <f t="array" ref="C36">_xlfn.LET(_xlpm.x,IFERROR(INDEX(_xlfn.ANCHORARRAY($J$35),ROWS($C$35:C36),1),""),IF(_xlpm.x="","N/A",_xlpm.x))</f>
        <v>N/A</v>
      </c>
      <c r="D36" s="38" t="str" cm="1">
        <f t="array" ref="D36">_xlfn.LET(_xlpm.x,IFERROR(INDEX(_xlfn.ANCHORARRAY($J$35),ROWS($D$35:D36),2),""),IF(_xlpm.x="","N/A",_xlpm.x))</f>
        <v>N/A</v>
      </c>
      <c r="E36" s="424"/>
      <c r="F36" s="37" t="str" cm="1">
        <f t="array" ref="F36">_xlfn.LET(_xlpm.x,IFERROR(INDEX(_xlfn.ANCHORARRAY($J$35),ROWS($F$35:F36),3),""),IF(_xlpm.x="","N/A",_xlpm.x))</f>
        <v>N/A</v>
      </c>
      <c r="G36" s="38" t="str" cm="1">
        <f t="array" ref="G36">_xlfn.LET(_xlpm.x,IFERROR(INDEX(_xlfn.ANCHORARRAY($J$35),ROWS($G$35:G36),4),""),IF(_xlpm.x="","N/A",_xlpm.x))</f>
        <v>N/A</v>
      </c>
      <c r="H36" s="26" t="str" cm="1">
        <f t="array" ref="H36">_xlfn.LET(_xlpm.x,IFERROR(INDEX(_xlfn.ANCHORARRAY($J$35),ROWS($H$35:H36),5),""),IF(_xlpm.x="","N/A",_xlpm.x))</f>
        <v>N/A</v>
      </c>
    </row>
    <row r="37" spans="1:14" x14ac:dyDescent="0.25">
      <c r="A37" s="8" t="str">
        <f>A$35</f>
        <v>325-00074</v>
      </c>
      <c r="B37" s="406"/>
      <c r="C37" s="37" t="str" cm="1">
        <f t="array" ref="C37">_xlfn.LET(_xlpm.x,IFERROR(INDEX(_xlfn.ANCHORARRAY($J$35),ROWS($C$35:C37),1),""),IF(_xlpm.x="","N/A",_xlpm.x))</f>
        <v>N/A</v>
      </c>
      <c r="D37" s="38" t="str" cm="1">
        <f t="array" ref="D37">_xlfn.LET(_xlpm.x,IFERROR(INDEX(_xlfn.ANCHORARRAY($J$35),ROWS($D$35:D37),2),""),IF(_xlpm.x="","N/A",_xlpm.x))</f>
        <v>N/A</v>
      </c>
      <c r="E37" s="424"/>
      <c r="F37" s="37" t="str" cm="1">
        <f t="array" ref="F37">_xlfn.LET(_xlpm.x,IFERROR(INDEX(_xlfn.ANCHORARRAY($J$35),ROWS($F$35:F37),3),""),IF(_xlpm.x="","N/A",_xlpm.x))</f>
        <v>N/A</v>
      </c>
      <c r="G37" s="38" t="str" cm="1">
        <f t="array" ref="G37">_xlfn.LET(_xlpm.x,IFERROR(INDEX(_xlfn.ANCHORARRAY($J$35),ROWS($G$35:G37),4),""),IF(_xlpm.x="","N/A",_xlpm.x))</f>
        <v>N/A</v>
      </c>
      <c r="H37" s="26" t="str" cm="1">
        <f t="array" ref="H37">_xlfn.LET(_xlpm.x,IFERROR(INDEX(_xlfn.ANCHORARRAY($J$35),ROWS($H$35:H37),5),""),IF(_xlpm.x="","N/A",_xlpm.x))</f>
        <v>N/A</v>
      </c>
    </row>
    <row r="38" spans="1:14" ht="15.75" customHeight="1" thickBot="1" x14ac:dyDescent="0.3">
      <c r="A38" s="29" t="str">
        <f>A$35</f>
        <v>325-00074</v>
      </c>
      <c r="B38" s="409"/>
      <c r="C38" s="39" t="str" cm="1">
        <f t="array" ref="C38">_xlfn.LET(_xlpm.x,IFERROR(INDEX(_xlfn.ANCHORARRAY($J$35),ROWS($C$35:C38),1),""),IF(_xlpm.x="","N/A",_xlpm.x))</f>
        <v>N/A</v>
      </c>
      <c r="D38" s="40" t="str" cm="1">
        <f t="array" ref="D38">_xlfn.LET(_xlpm.x,IFERROR(INDEX(_xlfn.ANCHORARRAY($J$35),ROWS($D$35:D38),2),""),IF(_xlpm.x="","N/A",_xlpm.x))</f>
        <v>N/A</v>
      </c>
      <c r="E38" s="425"/>
      <c r="F38" s="39" t="str" cm="1">
        <f t="array" ref="F38">_xlfn.LET(_xlpm.x,IFERROR(INDEX(_xlfn.ANCHORARRAY($J$35),ROWS($F$35:F38),3),""),IF(_xlpm.x="","N/A",_xlpm.x))</f>
        <v>N/A</v>
      </c>
      <c r="G38" s="40" t="str" cm="1">
        <f t="array" ref="G38">_xlfn.LET(_xlpm.x,IFERROR(INDEX(_xlfn.ANCHORARRAY($J$35),ROWS($G$35:G38),4),""),IF(_xlpm.x="","N/A",_xlpm.x))</f>
        <v>N/A</v>
      </c>
      <c r="H38" s="30" t="str" cm="1">
        <f t="array" ref="H38">_xlfn.LET(_xlpm.x,IFERROR(INDEX(_xlfn.ANCHORARRAY($J$35),ROWS($H$35:H38),5),""),IF(_xlpm.x="","N/A",_xlpm.x))</f>
        <v>N/A</v>
      </c>
    </row>
    <row r="39" spans="1:14" ht="15.75" customHeight="1" thickBot="1" x14ac:dyDescent="0.3">
      <c r="A39" s="135" t="s">
        <v>104</v>
      </c>
      <c r="B39" s="136" t="s">
        <v>388</v>
      </c>
      <c r="C39" s="136" t="s">
        <v>105</v>
      </c>
      <c r="D39" s="137" t="s">
        <v>106</v>
      </c>
      <c r="E39" s="136" t="s">
        <v>112</v>
      </c>
      <c r="F39" s="136" t="s">
        <v>107</v>
      </c>
      <c r="G39" s="138" t="s">
        <v>108</v>
      </c>
      <c r="H39" s="139" t="s">
        <v>109</v>
      </c>
    </row>
    <row r="40" spans="1:14" x14ac:dyDescent="0.25">
      <c r="A40" s="41" t="s">
        <v>22</v>
      </c>
      <c r="B40" s="411" t="s">
        <v>282</v>
      </c>
      <c r="C40" s="42" t="str" cm="1">
        <f t="array" ref="C40">_xlfn.LET(_xlpm.x,IFERROR(INDEX(_xlfn.ANCHORARRAY($J$40),ROWS($C$40:C40),1),""),IF(_xlpm.x="","N/A",_xlpm.x))</f>
        <v>N/A</v>
      </c>
      <c r="D40" s="43" t="str" cm="1">
        <f t="array" ref="D40">_xlfn.LET(_xlpm.x,IFERROR(INDEX(_xlfn.ANCHORARRAY($J$40),ROWS($D$40:D40),2),""),IF(_xlpm.x="","N/A",_xlpm.x))</f>
        <v>N/A</v>
      </c>
      <c r="E40" s="411" t="s">
        <v>634</v>
      </c>
      <c r="F40" s="42" t="str" cm="1">
        <f t="array" ref="F40">_xlfn.LET(_xlpm.x,IFERROR(INDEX(_xlfn.ANCHORARRAY($J$40),ROWS($F$40:F40),3),""),IF(_xlpm.x="","N/A",_xlpm.x))</f>
        <v>N/A</v>
      </c>
      <c r="G40" s="43" t="str" cm="1">
        <f t="array" ref="G40">_xlfn.LET(_xlpm.x,IFERROR(INDEX(_xlfn.ANCHORARRAY($J$40),ROWS($G$40:G40),4),""),IF(_xlpm.x="","N/A",_xlpm.x))</f>
        <v>N/A</v>
      </c>
      <c r="H40" s="45" t="str" cm="1">
        <f t="array" ref="H40">_xlfn.LET(_xlpm.x,IFERROR(INDEX(_xlfn.ANCHORARRAY($J$40),ROWS($H$40:H40),5),""),IF(_xlpm.x="","N/A",_xlpm.x))</f>
        <v>N/A</v>
      </c>
      <c r="J40" t="str" cm="1">
        <f t="array" ref="J40">_xlfn.LET(_xlpm.pn,"525-00102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41" spans="1:14" x14ac:dyDescent="0.25">
      <c r="A41" s="8" t="str">
        <f>A$40</f>
        <v>525-00102</v>
      </c>
      <c r="B41" s="406"/>
      <c r="C41" s="37" t="str" cm="1">
        <f t="array" ref="C41">_xlfn.LET(_xlpm.x,IFERROR(INDEX(_xlfn.ANCHORARRAY($J$40),ROWS($C$40:C41),1),""),IF(_xlpm.x="","N/A",_xlpm.x))</f>
        <v>N/A</v>
      </c>
      <c r="D41" s="38" t="str" cm="1">
        <f t="array" ref="D41">_xlfn.LET(_xlpm.x,IFERROR(INDEX(_xlfn.ANCHORARRAY($J$40),ROWS($D$40:D41),2),""),IF(_xlpm.x="","N/A",_xlpm.x))</f>
        <v>N/A</v>
      </c>
      <c r="E41" s="424"/>
      <c r="F41" s="37" t="str" cm="1">
        <f t="array" ref="F41">_xlfn.LET(_xlpm.x,IFERROR(INDEX(_xlfn.ANCHORARRAY($J$40),ROWS($F$40:F41),3),""),IF(_xlpm.x="","N/A",_xlpm.x))</f>
        <v>N/A</v>
      </c>
      <c r="G41" s="38" t="str" cm="1">
        <f t="array" ref="G41">_xlfn.LET(_xlpm.x,IFERROR(INDEX(_xlfn.ANCHORARRAY($J$40),ROWS($G$40:G41),4),""),IF(_xlpm.x="","N/A",_xlpm.x))</f>
        <v>N/A</v>
      </c>
      <c r="H41" s="26" t="str" cm="1">
        <f t="array" ref="H41">_xlfn.LET(_xlpm.x,IFERROR(INDEX(_xlfn.ANCHORARRAY($J$40),ROWS($H$40:H41),5),""),IF(_xlpm.x="","N/A",_xlpm.x))</f>
        <v>N/A</v>
      </c>
    </row>
    <row r="42" spans="1:14" x14ac:dyDescent="0.25">
      <c r="A42" s="8" t="str">
        <f>A$40</f>
        <v>525-00102</v>
      </c>
      <c r="B42" s="406"/>
      <c r="C42" s="37" t="str" cm="1">
        <f t="array" ref="C42">_xlfn.LET(_xlpm.x,IFERROR(INDEX(_xlfn.ANCHORARRAY($J$40),ROWS($C$40:C42),1),""),IF(_xlpm.x="","N/A",_xlpm.x))</f>
        <v>N/A</v>
      </c>
      <c r="D42" s="38" t="str" cm="1">
        <f t="array" ref="D42">_xlfn.LET(_xlpm.x,IFERROR(INDEX(_xlfn.ANCHORARRAY($J$40),ROWS($D$40:D42),2),""),IF(_xlpm.x="","N/A",_xlpm.x))</f>
        <v>N/A</v>
      </c>
      <c r="E42" s="424"/>
      <c r="F42" s="37" t="str" cm="1">
        <f t="array" ref="F42">_xlfn.LET(_xlpm.x,IFERROR(INDEX(_xlfn.ANCHORARRAY($J$40),ROWS($F$40:F42),3),""),IF(_xlpm.x="","N/A",_xlpm.x))</f>
        <v>N/A</v>
      </c>
      <c r="G42" s="38" t="str" cm="1">
        <f t="array" ref="G42">_xlfn.LET(_xlpm.x,IFERROR(INDEX(_xlfn.ANCHORARRAY($J$40),ROWS($G$40:G42),4),""),IF(_xlpm.x="","N/A",_xlpm.x))</f>
        <v>N/A</v>
      </c>
      <c r="H42" s="26" t="str" cm="1">
        <f t="array" ref="H42">_xlfn.LET(_xlpm.x,IFERROR(INDEX(_xlfn.ANCHORARRAY($J$40),ROWS($H$40:H42),5),""),IF(_xlpm.x="","N/A",_xlpm.x))</f>
        <v>N/A</v>
      </c>
    </row>
    <row r="43" spans="1:14" ht="15.75" customHeight="1" thickBot="1" x14ac:dyDescent="0.3">
      <c r="A43" s="29" t="str">
        <f>A$40</f>
        <v>525-00102</v>
      </c>
      <c r="B43" s="409"/>
      <c r="C43" s="39" t="str" cm="1">
        <f t="array" ref="C43">_xlfn.LET(_xlpm.x,IFERROR(INDEX(_xlfn.ANCHORARRAY($J$40),ROWS($C$40:C43),1),""),IF(_xlpm.x="","N/A",_xlpm.x))</f>
        <v>N/A</v>
      </c>
      <c r="D43" s="40" t="str" cm="1">
        <f t="array" ref="D43">_xlfn.LET(_xlpm.x,IFERROR(INDEX(_xlfn.ANCHORARRAY($J$40),ROWS($D$40:D43),2),""),IF(_xlpm.x="","N/A",_xlpm.x))</f>
        <v>N/A</v>
      </c>
      <c r="E43" s="425"/>
      <c r="F43" s="39" t="str" cm="1">
        <f t="array" ref="F43">_xlfn.LET(_xlpm.x,IFERROR(INDEX(_xlfn.ANCHORARRAY($J$40),ROWS($F$40:F43),3),""),IF(_xlpm.x="","N/A",_xlpm.x))</f>
        <v>N/A</v>
      </c>
      <c r="G43" s="40" t="str" cm="1">
        <f t="array" ref="G43">_xlfn.LET(_xlpm.x,IFERROR(INDEX(_xlfn.ANCHORARRAY($J$40),ROWS($G$40:G43),4),""),IF(_xlpm.x="","N/A",_xlpm.x))</f>
        <v>N/A</v>
      </c>
      <c r="H43" s="30" t="str" cm="1">
        <f t="array" ref="H43">_xlfn.LET(_xlpm.x,IFERROR(INDEX(_xlfn.ANCHORARRAY($J$40),ROWS($H$40:H43),5),""),IF(_xlpm.x="","N/A",_xlpm.x))</f>
        <v>N/A</v>
      </c>
    </row>
    <row r="44" spans="1:14" ht="15.75" customHeight="1" thickBot="1" x14ac:dyDescent="0.3">
      <c r="A44" s="135" t="s">
        <v>104</v>
      </c>
      <c r="B44" s="136" t="s">
        <v>388</v>
      </c>
      <c r="C44" s="136" t="s">
        <v>105</v>
      </c>
      <c r="D44" s="137" t="s">
        <v>106</v>
      </c>
      <c r="E44" s="136" t="s">
        <v>112</v>
      </c>
      <c r="F44" s="136" t="s">
        <v>107</v>
      </c>
      <c r="G44" s="138" t="s">
        <v>108</v>
      </c>
      <c r="H44" s="139" t="s">
        <v>109</v>
      </c>
    </row>
    <row r="45" spans="1:14" x14ac:dyDescent="0.25">
      <c r="A45" s="41" t="s">
        <v>23</v>
      </c>
      <c r="B45" s="412" t="s">
        <v>282</v>
      </c>
      <c r="C45" s="42" t="str" cm="1">
        <f t="array" ref="C45">_xlfn.LET(_xlpm.x,IFERROR(INDEX(_xlfn.ANCHORARRAY($J$45),ROWS($C$45:C45),1),""),IF(_xlpm.x="","N/A",_xlpm.x))</f>
        <v>336019</v>
      </c>
      <c r="D45" s="43" cm="1">
        <f t="array" ref="D45">_xlfn.LET(_xlpm.x,IFERROR(INDEX(_xlfn.ANCHORARRAY($J$45),ROWS($D$45:D45),2),""),IF(_xlpm.x="","N/A",_xlpm.x))</f>
        <v>46385</v>
      </c>
      <c r="E45" s="411" t="s">
        <v>634</v>
      </c>
      <c r="F45" s="42" cm="1">
        <f t="array" ref="F45">_xlfn.LET(_xlpm.x,IFERROR(INDEX(_xlfn.ANCHORARRAY($J$45),ROWS($F$45:F45),3),""),IF(_xlpm.x="","N/A",_xlpm.x))</f>
        <v>2</v>
      </c>
      <c r="G45" s="43" cm="1">
        <f t="array" ref="G45">_xlfn.LET(_xlpm.x,IFERROR(INDEX(_xlfn.ANCHORARRAY($J$45),ROWS($G$45:G45),4),""),IF(_xlpm.x="","N/A",_xlpm.x))</f>
        <v>46184.251388888886</v>
      </c>
      <c r="H45" s="45" t="str" cm="1">
        <f t="array" ref="H45">_xlfn.LET(_xlpm.x,IFERROR(INDEX(_xlfn.ANCHORARRAY($J$45),ROWS($H$45:H45),5),""),IF(_xlpm.x="","N/A",_xlpm.x))</f>
        <v>Jesper Fredriksson</v>
      </c>
      <c r="J45" t="str" cm="1">
        <f t="array" ref="J45:N45">_xlfn.LET(_xlpm.pn,"325-00075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336019</v>
      </c>
      <c r="K45">
        <v>46385</v>
      </c>
      <c r="L45">
        <v>2</v>
      </c>
      <c r="M45">
        <v>46184.251388888886</v>
      </c>
      <c r="N45" t="str">
        <v>Jesper Fredriksson</v>
      </c>
    </row>
    <row r="46" spans="1:14" x14ac:dyDescent="0.25">
      <c r="A46" s="8" t="str">
        <f>A$45</f>
        <v>325-00075</v>
      </c>
      <c r="B46" s="406"/>
      <c r="C46" s="37" t="str" cm="1">
        <f t="array" ref="C46">_xlfn.LET(_xlpm.x,IFERROR(INDEX(_xlfn.ANCHORARRAY($J$45),ROWS($C$45:C46),1),""),IF(_xlpm.x="","N/A",_xlpm.x))</f>
        <v>N/A</v>
      </c>
      <c r="D46" s="38" t="str" cm="1">
        <f t="array" ref="D46">_xlfn.LET(_xlpm.x,IFERROR(INDEX(_xlfn.ANCHORARRAY($J$45),ROWS($D$45:D46),2),""),IF(_xlpm.x="","N/A",_xlpm.x))</f>
        <v>N/A</v>
      </c>
      <c r="E46" s="424"/>
      <c r="F46" s="37" t="str" cm="1">
        <f t="array" ref="F46">_xlfn.LET(_xlpm.x,IFERROR(INDEX(_xlfn.ANCHORARRAY($J$45),ROWS($F$45:F46),3),""),IF(_xlpm.x="","N/A",_xlpm.x))</f>
        <v>N/A</v>
      </c>
      <c r="G46" s="38" t="str" cm="1">
        <f t="array" ref="G46">_xlfn.LET(_xlpm.x,IFERROR(INDEX(_xlfn.ANCHORARRAY($J$45),ROWS($G$45:G46),4),""),IF(_xlpm.x="","N/A",_xlpm.x))</f>
        <v>N/A</v>
      </c>
      <c r="H46" s="26" t="str" cm="1">
        <f t="array" ref="H46">_xlfn.LET(_xlpm.x,IFERROR(INDEX(_xlfn.ANCHORARRAY($J$45),ROWS($H$45:H46),5),""),IF(_xlpm.x="","N/A",_xlpm.x))</f>
        <v>N/A</v>
      </c>
    </row>
    <row r="47" spans="1:14" x14ac:dyDescent="0.25">
      <c r="A47" s="8" t="str">
        <f>A$45</f>
        <v>325-00075</v>
      </c>
      <c r="B47" s="406"/>
      <c r="C47" s="37" t="str" cm="1">
        <f t="array" ref="C47">_xlfn.LET(_xlpm.x,IFERROR(INDEX(_xlfn.ANCHORARRAY($J$45),ROWS($C$45:C47),1),""),IF(_xlpm.x="","N/A",_xlpm.x))</f>
        <v>N/A</v>
      </c>
      <c r="D47" s="38" t="str" cm="1">
        <f t="array" ref="D47">_xlfn.LET(_xlpm.x,IFERROR(INDEX(_xlfn.ANCHORARRAY($J$45),ROWS($D$45:D47),2),""),IF(_xlpm.x="","N/A",_xlpm.x))</f>
        <v>N/A</v>
      </c>
      <c r="E47" s="424"/>
      <c r="F47" s="37" t="str" cm="1">
        <f t="array" ref="F47">_xlfn.LET(_xlpm.x,IFERROR(INDEX(_xlfn.ANCHORARRAY($J$45),ROWS($F$45:F47),3),""),IF(_xlpm.x="","N/A",_xlpm.x))</f>
        <v>N/A</v>
      </c>
      <c r="G47" s="38" t="str" cm="1">
        <f t="array" ref="G47">_xlfn.LET(_xlpm.x,IFERROR(INDEX(_xlfn.ANCHORARRAY($J$45),ROWS($G$45:G47),4),""),IF(_xlpm.x="","N/A",_xlpm.x))</f>
        <v>N/A</v>
      </c>
      <c r="H47" s="26" t="str" cm="1">
        <f t="array" ref="H47">_xlfn.LET(_xlpm.x,IFERROR(INDEX(_xlfn.ANCHORARRAY($J$45),ROWS($H$45:H47),5),""),IF(_xlpm.x="","N/A",_xlpm.x))</f>
        <v>N/A</v>
      </c>
    </row>
    <row r="48" spans="1:14" ht="15.75" customHeight="1" thickBot="1" x14ac:dyDescent="0.3">
      <c r="A48" s="29" t="str">
        <f>A$45</f>
        <v>325-00075</v>
      </c>
      <c r="B48" s="409"/>
      <c r="C48" s="39" t="str" cm="1">
        <f t="array" ref="C48">_xlfn.LET(_xlpm.x,IFERROR(INDEX(_xlfn.ANCHORARRAY($J$45),ROWS($C$45:C48),1),""),IF(_xlpm.x="","N/A",_xlpm.x))</f>
        <v>N/A</v>
      </c>
      <c r="D48" s="40" t="str" cm="1">
        <f t="array" ref="D48">_xlfn.LET(_xlpm.x,IFERROR(INDEX(_xlfn.ANCHORARRAY($J$45),ROWS($D$45:D48),2),""),IF(_xlpm.x="","N/A",_xlpm.x))</f>
        <v>N/A</v>
      </c>
      <c r="E48" s="425"/>
      <c r="F48" s="39" t="str" cm="1">
        <f t="array" ref="F48">_xlfn.LET(_xlpm.x,IFERROR(INDEX(_xlfn.ANCHORARRAY($J$45),ROWS($F$45:F48),3),""),IF(_xlpm.x="","N/A",_xlpm.x))</f>
        <v>N/A</v>
      </c>
      <c r="G48" s="40" t="str" cm="1">
        <f t="array" ref="G48">_xlfn.LET(_xlpm.x,IFERROR(INDEX(_xlfn.ANCHORARRAY($J$45),ROWS($G$45:G48),4),""),IF(_xlpm.x="","N/A",_xlpm.x))</f>
        <v>N/A</v>
      </c>
      <c r="H48" s="30" t="str" cm="1">
        <f t="array" ref="H48">_xlfn.LET(_xlpm.x,IFERROR(INDEX(_xlfn.ANCHORARRAY($J$45),ROWS($H$45:H48),5),""),IF(_xlpm.x="","N/A",_xlpm.x))</f>
        <v>N/A</v>
      </c>
    </row>
    <row r="49" spans="1:14" ht="15.75" customHeight="1" thickBot="1" x14ac:dyDescent="0.3"/>
    <row r="50" spans="1:14" ht="15.75" customHeight="1" thickBot="1" x14ac:dyDescent="0.3">
      <c r="A50" s="95" t="s">
        <v>104</v>
      </c>
      <c r="B50" s="96" t="s">
        <v>388</v>
      </c>
      <c r="C50" s="96" t="s">
        <v>105</v>
      </c>
      <c r="D50" s="97" t="s">
        <v>106</v>
      </c>
      <c r="E50" s="96" t="s">
        <v>112</v>
      </c>
      <c r="F50" s="96" t="s">
        <v>107</v>
      </c>
      <c r="G50" s="98" t="s">
        <v>108</v>
      </c>
      <c r="H50" s="99" t="s">
        <v>109</v>
      </c>
    </row>
    <row r="51" spans="1:14" x14ac:dyDescent="0.25">
      <c r="A51" s="41" t="s">
        <v>25</v>
      </c>
      <c r="B51" s="412" t="s">
        <v>121</v>
      </c>
      <c r="C51" s="42" t="str" cm="1">
        <f t="array" ref="C51">_xlfn.LET(_xlpm.x,IFERROR(INDEX(_xlfn.ANCHORARRAY($J$51),ROWS($C$51:C51),1),""),IF(_xlpm.x="","N/A",_xlpm.x))</f>
        <v>336271 - POS</v>
      </c>
      <c r="D51" s="43" cm="1">
        <f t="array" ref="D51">_xlfn.LET(_xlpm.x,IFERROR(INDEX(_xlfn.ANCHORARRAY($J$51),ROWS($D$51:D51),2),""),IF(_xlpm.x="","N/A",_xlpm.x))</f>
        <v>46478</v>
      </c>
      <c r="E51" s="411" t="s">
        <v>634</v>
      </c>
      <c r="F51" s="42" cm="1">
        <f t="array" ref="F51">_xlfn.LET(_xlpm.x,IFERROR(INDEX(_xlfn.ANCHORARRAY($J$51),ROWS($F$51:F51),3),""),IF(_xlpm.x="","N/A",_xlpm.x))</f>
        <v>5</v>
      </c>
      <c r="G51" s="43" cm="1">
        <f t="array" ref="G51">_xlfn.LET(_xlpm.x,IFERROR(INDEX(_xlfn.ANCHORARRAY($J$51),ROWS($G$51:G51),4),""),IF(_xlpm.x="","N/A",_xlpm.x))</f>
        <v>46183.921527777777</v>
      </c>
      <c r="H51" s="45" t="str" cm="1">
        <f t="array" ref="H51">_xlfn.LET(_xlpm.x,IFERROR(INDEX(_xlfn.ANCHORARRAY($J$51),ROWS($H$51:H51),5),""),IF(_xlpm.x="","N/A",_xlpm.x))</f>
        <v>Jesper Fredriksson</v>
      </c>
      <c r="J51" t="str" cm="1">
        <f t="array" ref="J51:N52">_xlfn.LET(_xlpm.pn,"001-1471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336271 - POS</v>
      </c>
      <c r="K51">
        <v>46478</v>
      </c>
      <c r="L51">
        <v>5</v>
      </c>
      <c r="M51">
        <v>46183.921527777777</v>
      </c>
      <c r="N51" t="str">
        <v>Jesper Fredriksson</v>
      </c>
    </row>
    <row r="52" spans="1:14" x14ac:dyDescent="0.25">
      <c r="A52" s="8" t="str">
        <f>A$51</f>
        <v>001-1471</v>
      </c>
      <c r="B52" s="406"/>
      <c r="C52" s="37" t="str" cm="1">
        <f t="array" ref="C52">_xlfn.LET(_xlpm.x,IFERROR(INDEX(_xlfn.ANCHORARRAY($J$51),ROWS($C$51:C52),1),""),IF(_xlpm.x="","N/A",_xlpm.x))</f>
        <v>336271 - NEG</v>
      </c>
      <c r="D52" s="38" cm="1">
        <f t="array" ref="D52">_xlfn.LET(_xlpm.x,IFERROR(INDEX(_xlfn.ANCHORARRAY($J$51),ROWS($D$51:D52),2),""),IF(_xlpm.x="","N/A",_xlpm.x))</f>
        <v>46478</v>
      </c>
      <c r="E52" s="424"/>
      <c r="F52" s="37" cm="1">
        <f t="array" ref="F52">_xlfn.LET(_xlpm.x,IFERROR(INDEX(_xlfn.ANCHORARRAY($J$51),ROWS($F$51:F52),3),""),IF(_xlpm.x="","N/A",_xlpm.x))</f>
        <v>2</v>
      </c>
      <c r="G52" s="38" cm="1">
        <f t="array" ref="G52">_xlfn.LET(_xlpm.x,IFERROR(INDEX(_xlfn.ANCHORARRAY($J$51),ROWS($G$51:G52),4),""),IF(_xlpm.x="","N/A",_xlpm.x))</f>
        <v>46183.92083333333</v>
      </c>
      <c r="H52" s="26" t="str" cm="1">
        <f t="array" ref="H52">_xlfn.LET(_xlpm.x,IFERROR(INDEX(_xlfn.ANCHORARRAY($J$51),ROWS($H$51:H52),5),""),IF(_xlpm.x="","N/A",_xlpm.x))</f>
        <v>Jesper Fredriksson</v>
      </c>
      <c r="J52" t="str">
        <v>336271 - NEG</v>
      </c>
      <c r="K52">
        <v>46478</v>
      </c>
      <c r="L52">
        <v>2</v>
      </c>
      <c r="M52">
        <v>46183.92083333333</v>
      </c>
      <c r="N52" t="str">
        <v>Jesper Fredriksson</v>
      </c>
    </row>
    <row r="53" spans="1:14" x14ac:dyDescent="0.25">
      <c r="A53" s="8" t="str">
        <f>A$51</f>
        <v>001-1471</v>
      </c>
      <c r="B53" s="406"/>
      <c r="C53" s="37" t="str" cm="1">
        <f t="array" ref="C53">_xlfn.LET(_xlpm.x,IFERROR(INDEX(_xlfn.ANCHORARRAY($J$51),ROWS($C$51:C53),1),""),IF(_xlpm.x="","N/A",_xlpm.x))</f>
        <v>N/A</v>
      </c>
      <c r="D53" s="38" t="str" cm="1">
        <f t="array" ref="D53">_xlfn.LET(_xlpm.x,IFERROR(INDEX(_xlfn.ANCHORARRAY($J$51),ROWS($D$51:D53),2),""),IF(_xlpm.x="","N/A",_xlpm.x))</f>
        <v>N/A</v>
      </c>
      <c r="E53" s="424"/>
      <c r="F53" s="37" t="str" cm="1">
        <f t="array" ref="F53">_xlfn.LET(_xlpm.x,IFERROR(INDEX(_xlfn.ANCHORARRAY($J$51),ROWS($F$51:F53),3),""),IF(_xlpm.x="","N/A",_xlpm.x))</f>
        <v>N/A</v>
      </c>
      <c r="G53" s="38" t="str" cm="1">
        <f t="array" ref="G53">_xlfn.LET(_xlpm.x,IFERROR(INDEX(_xlfn.ANCHORARRAY($J$51),ROWS($G$51:G53),4),""),IF(_xlpm.x="","N/A",_xlpm.x))</f>
        <v>N/A</v>
      </c>
      <c r="H53" s="26" t="str" cm="1">
        <f t="array" ref="H53">_xlfn.LET(_xlpm.x,IFERROR(INDEX(_xlfn.ANCHORARRAY($J$51),ROWS($H$51:H53),5),""),IF(_xlpm.x="","N/A",_xlpm.x))</f>
        <v>N/A</v>
      </c>
    </row>
    <row r="54" spans="1:14" ht="15.75" customHeight="1" thickBot="1" x14ac:dyDescent="0.3">
      <c r="A54" s="29" t="str">
        <f>A$51</f>
        <v>001-1471</v>
      </c>
      <c r="B54" s="409"/>
      <c r="C54" s="39" t="str" cm="1">
        <f t="array" ref="C54">_xlfn.LET(_xlpm.x,IFERROR(INDEX(_xlfn.ANCHORARRAY($J$51),ROWS($C$51:C54),1),""),IF(_xlpm.x="","N/A",_xlpm.x))</f>
        <v>N/A</v>
      </c>
      <c r="D54" s="40" t="str" cm="1">
        <f t="array" ref="D54">_xlfn.LET(_xlpm.x,IFERROR(INDEX(_xlfn.ANCHORARRAY($J$51),ROWS($D$51:D54),2),""),IF(_xlpm.x="","N/A",_xlpm.x))</f>
        <v>N/A</v>
      </c>
      <c r="E54" s="425"/>
      <c r="F54" s="39" t="str" cm="1">
        <f t="array" ref="F54">_xlfn.LET(_xlpm.x,IFERROR(INDEX(_xlfn.ANCHORARRAY($J$51),ROWS($F$51:F54),3),""),IF(_xlpm.x="","N/A",_xlpm.x))</f>
        <v>N/A</v>
      </c>
      <c r="G54" s="40" t="str" cm="1">
        <f t="array" ref="G54">_xlfn.LET(_xlpm.x,IFERROR(INDEX(_xlfn.ANCHORARRAY($J$51),ROWS($G$51:G54),4),""),IF(_xlpm.x="","N/A",_xlpm.x))</f>
        <v>N/A</v>
      </c>
      <c r="H54" s="30" t="str" cm="1">
        <f t="array" ref="H54">_xlfn.LET(_xlpm.x,IFERROR(INDEX(_xlfn.ANCHORARRAY($J$51),ROWS($H$51:H54),5),""),IF(_xlpm.x="","N/A",_xlpm.x))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A2:H2"/>
    <mergeCell ref="B30:B33"/>
    <mergeCell ref="B15:B18"/>
    <mergeCell ref="E45:E48"/>
    <mergeCell ref="E25:E28"/>
    <mergeCell ref="B5:B8"/>
    <mergeCell ref="B20:B23"/>
    <mergeCell ref="B45:B48"/>
    <mergeCell ref="B25:B28"/>
    <mergeCell ref="B35:B38"/>
    <mergeCell ref="B51:B54"/>
    <mergeCell ref="E35:E38"/>
    <mergeCell ref="E20:E23"/>
    <mergeCell ref="E5:E8"/>
    <mergeCell ref="E10:E13"/>
    <mergeCell ref="E51:E54"/>
    <mergeCell ref="E15:E18"/>
    <mergeCell ref="B10:B13"/>
    <mergeCell ref="E40:E43"/>
    <mergeCell ref="E30:E33"/>
    <mergeCell ref="B40:B43"/>
  </mergeCells>
  <pageMargins left="0.7" right="0.7" top="0.75" bottom="0.75" header="0.3" footer="0.3"/>
  <pageSetup paperSize="9" orientation="portrait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tabColor theme="5"/>
  </sheetPr>
  <dimension ref="A1:BE16"/>
  <sheetViews>
    <sheetView workbookViewId="0"/>
  </sheetViews>
  <sheetFormatPr defaultRowHeight="15" x14ac:dyDescent="0.25"/>
  <cols>
    <col min="1" max="1" width="9.7109375" bestFit="1" customWidth="1"/>
    <col min="2" max="2" width="21" hidden="1" bestFit="1" customWidth="1"/>
    <col min="3" max="3" width="13.425781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17.7109375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388" t="s">
        <v>81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231" t="s">
        <v>104</v>
      </c>
      <c r="B4" s="232" t="s">
        <v>388</v>
      </c>
      <c r="C4" s="232" t="s">
        <v>105</v>
      </c>
      <c r="D4" s="233" t="s">
        <v>106</v>
      </c>
      <c r="E4" s="232" t="s">
        <v>112</v>
      </c>
      <c r="F4" s="232" t="s">
        <v>107</v>
      </c>
      <c r="G4" s="234" t="s">
        <v>108</v>
      </c>
      <c r="H4" s="235" t="s">
        <v>109</v>
      </c>
    </row>
    <row r="5" spans="1:14" x14ac:dyDescent="0.25">
      <c r="A5" s="41" t="s">
        <v>82</v>
      </c>
      <c r="B5" s="411" t="s">
        <v>162</v>
      </c>
      <c r="C5" s="42" t="str" cm="1">
        <f t="array" ref="C5">_xlfn.LET(_xlpm.x,IFERROR(INDEX(_xlfn.ANCHORARRAY($J$5),ROWS($C$5:C5),1),""),IF(_xlpm.x="","N/A",_xlpm.x))</f>
        <v>062425MZ</v>
      </c>
      <c r="D5" s="43" cm="1">
        <f t="array" ref="D5">_xlfn.LET(_xlpm.x,IFERROR(INDEX(_xlfn.ANCHORARRAY($J$5),ROWS($D$5:D5),2),""),IF(_xlpm.x="","N/A",_xlpm.x))</f>
        <v>46928</v>
      </c>
      <c r="E5" s="411" t="s">
        <v>633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46183.925694444442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500-0905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062425MZ</v>
      </c>
      <c r="K5">
        <v>46928</v>
      </c>
      <c r="L5">
        <v>1</v>
      </c>
      <c r="M5">
        <v>46183.925694444442</v>
      </c>
      <c r="N5" t="str">
        <v>Jesper Fredriksson</v>
      </c>
    </row>
    <row r="6" spans="1:14" x14ac:dyDescent="0.25">
      <c r="A6" s="8" t="str">
        <f>A$5</f>
        <v>500-0905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500-0905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500-0905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/>
    <row r="10" spans="1:14" ht="24" customHeight="1" thickBot="1" x14ac:dyDescent="0.3">
      <c r="A10" s="408" t="s">
        <v>398</v>
      </c>
      <c r="B10" s="377"/>
      <c r="C10" s="377"/>
      <c r="D10" s="377"/>
      <c r="E10" s="377"/>
      <c r="F10" s="377"/>
      <c r="G10" s="377"/>
      <c r="H10" s="378"/>
    </row>
    <row r="11" spans="1:14" ht="15.75" customHeight="1" thickBot="1" x14ac:dyDescent="0.3">
      <c r="A11" s="423" t="s">
        <v>215</v>
      </c>
      <c r="B11" s="362"/>
      <c r="C11" s="362"/>
      <c r="D11" s="362"/>
      <c r="E11" s="362"/>
      <c r="F11" s="362"/>
      <c r="G11" s="362"/>
      <c r="H11" s="380"/>
    </row>
    <row r="12" spans="1:14" ht="15.75" thickBot="1" x14ac:dyDescent="0.3">
      <c r="A12" s="407" t="s">
        <v>389</v>
      </c>
      <c r="B12" s="362"/>
      <c r="C12" s="358"/>
      <c r="D12" s="404" t="s">
        <v>106</v>
      </c>
      <c r="E12" s="358"/>
      <c r="F12" s="301" t="s">
        <v>356</v>
      </c>
      <c r="G12" s="301" t="s">
        <v>108</v>
      </c>
      <c r="H12" s="51" t="s">
        <v>109</v>
      </c>
    </row>
    <row r="13" spans="1:14" x14ac:dyDescent="0.25">
      <c r="A13" s="361" t="str" cm="1">
        <f t="array" ref="A13">_xlfn.LET(_xlpm.x,IFERROR(INDEX(_xlfn.ANCHORARRAY($J$13),ROWS($A$13:A13),1),""),IF(_xlpm.x="","N/A",_xlpm.x))</f>
        <v>1001530108</v>
      </c>
      <c r="B13" s="403"/>
      <c r="C13" s="403"/>
      <c r="D13" s="359" cm="1">
        <f t="array" ref="D13">_xlfn.LET(_xlpm.x,IFERROR(INDEX(_xlfn.ANCHORARRAY($J$13),ROWS($D$13:D13),2),""),IF(_xlpm.x="","N/A",_xlpm.x))</f>
        <v>46224</v>
      </c>
      <c r="E13" s="403"/>
      <c r="F13" s="42" cm="1">
        <f t="array" ref="F13">_xlfn.LET(_xlpm.x,IFERROR(INDEX(_xlfn.ANCHORARRAY($J$13),ROWS($F$13:F13),3),""),IF(_xlpm.x="","N/A",_xlpm.x))</f>
        <v>10</v>
      </c>
      <c r="G13" s="43" cm="1">
        <f t="array" ref="G13">_xlfn.LET(_xlpm.x,IFERROR(INDEX(_xlfn.ANCHORARRAY($J$13),ROWS($G$13:G13),4),""),IF(_xlpm.x="","N/A",_xlpm.x))</f>
        <v>46184.131249999999</v>
      </c>
      <c r="H13" s="45" t="str" cm="1">
        <f t="array" ref="H13">_xlfn.LET(_xlpm.x,IFERROR(INDEX(_xlfn.ANCHORARRAY($J$13),ROWS($H$13:H13),5),""),IF(_xlpm.x="","N/A",_xlpm.x))</f>
        <v>Jesper Fredriksson</v>
      </c>
      <c r="J13" t="str" cm="1">
        <f t="array" ref="J13:N13">_xlfn.LET(_xlpm.pn,"500-2288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1001530108</v>
      </c>
      <c r="K13">
        <v>46224</v>
      </c>
      <c r="L13">
        <v>10</v>
      </c>
      <c r="M13">
        <v>46184.131249999999</v>
      </c>
      <c r="N13" t="str">
        <v>Jesper Fredriksson</v>
      </c>
    </row>
    <row r="14" spans="1:14" x14ac:dyDescent="0.25">
      <c r="A14" s="381" t="str" cm="1">
        <f t="array" ref="A14">_xlfn.LET(_xlpm.x,IFERROR(INDEX(_xlfn.ANCHORARRAY($J$13),ROWS($A$13:A14),1),""),IF(_xlpm.x="","N/A",_xlpm.x))</f>
        <v>N/A</v>
      </c>
      <c r="B14" s="406"/>
      <c r="C14" s="406"/>
      <c r="D14" s="371" t="str" cm="1">
        <f t="array" ref="D14">_xlfn.LET(_xlpm.x,IFERROR(INDEX(_xlfn.ANCHORARRAY($J$13),ROWS($D$13:D14),2),""),IF(_xlpm.x="","N/A",_xlpm.x))</f>
        <v>N/A</v>
      </c>
      <c r="E14" s="406"/>
      <c r="F14" s="37" t="str" cm="1">
        <f t="array" ref="F14">_xlfn.LET(_xlpm.x,IFERROR(INDEX(_xlfn.ANCHORARRAY($J$13),ROWS($F$13:F14),3),""),IF(_xlpm.x="","N/A",_xlpm.x))</f>
        <v>N/A</v>
      </c>
      <c r="G14" s="38" t="str" cm="1">
        <f t="array" ref="G14">_xlfn.LET(_xlpm.x,IFERROR(INDEX(_xlfn.ANCHORARRAY($J$13),ROWS($G$13:G14),4),""),IF(_xlpm.x="","N/A",_xlpm.x))</f>
        <v>N/A</v>
      </c>
      <c r="H14" s="26" t="str" cm="1">
        <f t="array" ref="H14">_xlfn.LET(_xlpm.x,IFERROR(INDEX(_xlfn.ANCHORARRAY($J$13),ROWS($H$13:H14),5),""),IF(_xlpm.x="","N/A",_xlpm.x))</f>
        <v>N/A</v>
      </c>
    </row>
    <row r="15" spans="1:14" x14ac:dyDescent="0.25">
      <c r="A15" s="381" t="str" cm="1">
        <f t="array" ref="A15">_xlfn.LET(_xlpm.x,IFERROR(INDEX(_xlfn.ANCHORARRAY($J$13),ROWS($A$13:A15),1),""),IF(_xlpm.x="","N/A",_xlpm.x))</f>
        <v>N/A</v>
      </c>
      <c r="B15" s="406"/>
      <c r="C15" s="406"/>
      <c r="D15" s="371" t="str" cm="1">
        <f t="array" ref="D15">_xlfn.LET(_xlpm.x,IFERROR(INDEX(_xlfn.ANCHORARRAY($J$13),ROWS($D$13:D15),2),""),IF(_xlpm.x="","N/A",_xlpm.x))</f>
        <v>N/A</v>
      </c>
      <c r="E15" s="406"/>
      <c r="F15" s="37" t="str" cm="1">
        <f t="array" ref="F15">_xlfn.LET(_xlpm.x,IFERROR(INDEX(_xlfn.ANCHORARRAY($J$13),ROWS($F$13:F15),3),""),IF(_xlpm.x="","N/A",_xlpm.x))</f>
        <v>N/A</v>
      </c>
      <c r="G15" s="38" t="str" cm="1">
        <f t="array" ref="G15">_xlfn.LET(_xlpm.x,IFERROR(INDEX(_xlfn.ANCHORARRAY($J$13),ROWS($G$13:G15),4),""),IF(_xlpm.x="","N/A",_xlpm.x))</f>
        <v>N/A</v>
      </c>
      <c r="H15" s="26" t="str" cm="1">
        <f t="array" ref="H15">_xlfn.LET(_xlpm.x,IFERROR(INDEX(_xlfn.ANCHORARRAY($J$13),ROWS($H$13:H15),5),""),IF(_xlpm.x="","N/A",_xlpm.x))</f>
        <v>N/A</v>
      </c>
    </row>
    <row r="16" spans="1:14" ht="15.75" customHeight="1" thickBot="1" x14ac:dyDescent="0.3">
      <c r="A16" s="386" t="str" cm="1">
        <f t="array" ref="A16">_xlfn.LET(_xlpm.x,IFERROR(INDEX(_xlfn.ANCHORARRAY($J$13),ROWS($A$13:A16),1),""),IF(_xlpm.x="","N/A",_xlpm.x))</f>
        <v>N/A</v>
      </c>
      <c r="B16" s="409"/>
      <c r="C16" s="409"/>
      <c r="D16" s="373" t="str" cm="1">
        <f t="array" ref="D16">_xlfn.LET(_xlpm.x,IFERROR(INDEX(_xlfn.ANCHORARRAY($J$13),ROWS($D$13:D16),2),""),IF(_xlpm.x="","N/A",_xlpm.x))</f>
        <v>N/A</v>
      </c>
      <c r="E16" s="409"/>
      <c r="F16" s="39" t="str" cm="1">
        <f t="array" ref="F16">_xlfn.LET(_xlpm.x,IFERROR(INDEX(_xlfn.ANCHORARRAY($J$13),ROWS($F$13:F16),3),""),IF(_xlpm.x="","N/A",_xlpm.x))</f>
        <v>N/A</v>
      </c>
      <c r="G16" s="40" t="str" cm="1">
        <f t="array" ref="G16">_xlfn.LET(_xlpm.x,IFERROR(INDEX(_xlfn.ANCHORARRAY($J$13),ROWS($G$13:G16),4),""),IF(_xlpm.x="","N/A",_xlpm.x))</f>
        <v>N/A</v>
      </c>
      <c r="H16" s="30" t="str" cm="1">
        <f t="array" ref="H16">_xlfn.LET(_xlpm.x,IFERROR(INDEX(_xlfn.ANCHORARRAY($J$13),ROWS($H$13:H16),5),""),IF(_xlpm.x="","N/A",_xlpm.x))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15">
    <mergeCell ref="A2:H2"/>
    <mergeCell ref="A14:C14"/>
    <mergeCell ref="A10:H10"/>
    <mergeCell ref="D14:E14"/>
    <mergeCell ref="A11:H11"/>
    <mergeCell ref="A12:C12"/>
    <mergeCell ref="E5:E8"/>
    <mergeCell ref="D12:E12"/>
    <mergeCell ref="B5:B8"/>
    <mergeCell ref="D16:E16"/>
    <mergeCell ref="A13:C13"/>
    <mergeCell ref="D15:E15"/>
    <mergeCell ref="D13:E13"/>
    <mergeCell ref="A16:C16"/>
    <mergeCell ref="A15:C15"/>
  </mergeCells>
  <pageMargins left="0.7" right="0.7" top="0.75" bottom="0.75" header="0.3" footer="0.3"/>
  <pageSetup paperSize="9" orientation="portrait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theme="8" tint="0.39997558519241921"/>
  </sheetPr>
  <dimension ref="A1:BE26"/>
  <sheetViews>
    <sheetView workbookViewId="0"/>
  </sheetViews>
  <sheetFormatPr defaultRowHeight="15" x14ac:dyDescent="0.25"/>
  <cols>
    <col min="1" max="1" width="9.7109375" bestFit="1" customWidth="1"/>
    <col min="2" max="2" width="34.42578125" hidden="1" bestFit="1" customWidth="1"/>
    <col min="3" max="3" width="14.85546875" customWidth="1"/>
    <col min="4" max="4" width="14" bestFit="1" customWidth="1"/>
    <col min="5" max="5" width="14.85546875" bestFit="1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44" t="s">
        <v>83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198" t="s">
        <v>104</v>
      </c>
      <c r="B4" s="199" t="s">
        <v>388</v>
      </c>
      <c r="C4" s="199" t="s">
        <v>105</v>
      </c>
      <c r="D4" s="200" t="s">
        <v>106</v>
      </c>
      <c r="E4" s="199" t="s">
        <v>112</v>
      </c>
      <c r="F4" s="199" t="s">
        <v>107</v>
      </c>
      <c r="G4" s="201" t="s">
        <v>108</v>
      </c>
      <c r="H4" s="202" t="s">
        <v>109</v>
      </c>
    </row>
    <row r="5" spans="1:14" ht="15.75" customHeight="1" x14ac:dyDescent="0.25">
      <c r="A5" s="41" t="s">
        <v>84</v>
      </c>
      <c r="B5" s="411" t="s">
        <v>401</v>
      </c>
      <c r="C5" s="42" t="str" cm="1">
        <f t="array" ref="C5">_xlfn.LET(_xlpm.x,IFERROR(INDEX(_xlfn.ANCHORARRAY($J$5),ROWS($C$5:C5),1),""),IF(_xlpm.x="","N/A",_xlpm.x))</f>
        <v>030526ARMO</v>
      </c>
      <c r="D5" s="43" cm="1">
        <f t="array" ref="D5">_xlfn.LET(_xlpm.x,IFERROR(INDEX(_xlfn.ANCHORARRAY($J$5),ROWS($D$5:D5),2),""),IF(_xlpm.x="","N/A",_xlpm.x))</f>
        <v>46447</v>
      </c>
      <c r="E5" s="411" t="s">
        <v>634</v>
      </c>
      <c r="F5" s="42" cm="1">
        <f t="array" ref="F5">_xlfn.LET(_xlpm.x,IFERROR(INDEX(_xlfn.ANCHORARRAY($J$5),ROWS($F$5:F5),3),""),IF(_xlpm.x="","N/A",_xlpm.x))</f>
        <v>2</v>
      </c>
      <c r="G5" s="43" cm="1">
        <f t="array" ref="G5">_xlfn.LET(_xlpm.x,IFERROR(INDEX(_xlfn.ANCHORARRAY($J$5),ROWS($G$5:G5),4),""),IF(_xlpm.x="","N/A",_xlpm.x))</f>
        <v>46184.239583333336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525-00081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030526ARMO</v>
      </c>
      <c r="K5">
        <v>46447</v>
      </c>
      <c r="L5">
        <v>2</v>
      </c>
      <c r="M5">
        <v>46184.239583333336</v>
      </c>
      <c r="N5" t="str">
        <v>Jesper Fredriksson</v>
      </c>
    </row>
    <row r="6" spans="1:14" x14ac:dyDescent="0.25">
      <c r="A6" s="8" t="str">
        <f>A$5</f>
        <v>525-00081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525-00081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525-00081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203" t="s">
        <v>104</v>
      </c>
      <c r="B9" s="333" t="s">
        <v>388</v>
      </c>
      <c r="C9" s="333" t="s">
        <v>105</v>
      </c>
      <c r="D9" s="334" t="s">
        <v>106</v>
      </c>
      <c r="E9" s="333" t="s">
        <v>112</v>
      </c>
      <c r="F9" s="333" t="s">
        <v>107</v>
      </c>
      <c r="G9" s="204" t="s">
        <v>108</v>
      </c>
      <c r="H9" s="205" t="s">
        <v>109</v>
      </c>
    </row>
    <row r="10" spans="1:14" x14ac:dyDescent="0.25">
      <c r="A10" s="41" t="s">
        <v>85</v>
      </c>
      <c r="B10" s="411" t="s">
        <v>402</v>
      </c>
      <c r="C10" s="42" t="str" cm="1">
        <f t="array" ref="C10">_xlfn.LET(_xlpm.x,IFERROR(INDEX(_xlfn.ANCHORARRAY($J$10),ROWS($C$10:C10),1),""),IF(_xlpm.x="","N/A",_xlpm.x))</f>
        <v>030326ARMO</v>
      </c>
      <c r="D10" s="43" cm="1">
        <f t="array" ref="D10">_xlfn.LET(_xlpm.x,IFERROR(INDEX(_xlfn.ANCHORARRAY($J$10),ROWS($D$10:D10),2),""),IF(_xlpm.x="","N/A",_xlpm.x))</f>
        <v>46447</v>
      </c>
      <c r="E10" s="411" t="s">
        <v>634</v>
      </c>
      <c r="F10" s="42" cm="1">
        <f t="array" ref="F10">_xlfn.LET(_xlpm.x,IFERROR(INDEX(_xlfn.ANCHORARRAY($J$10),ROWS($F$10:F10),3),""),IF(_xlpm.x="","N/A",_xlpm.x))</f>
        <v>1</v>
      </c>
      <c r="G10" s="43" cm="1">
        <f t="array" ref="G10">_xlfn.LET(_xlpm.x,IFERROR(INDEX(_xlfn.ANCHORARRAY($J$10),ROWS($G$10:G10),4),""),IF(_xlpm.x="","N/A",_xlpm.x))</f>
        <v>46184.237500000003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525-00080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030326ARMO</v>
      </c>
      <c r="K10">
        <v>46447</v>
      </c>
      <c r="L10">
        <v>1</v>
      </c>
      <c r="M10">
        <v>46184.237500000003</v>
      </c>
      <c r="N10" t="str">
        <v>Jesper Fredriksson</v>
      </c>
    </row>
    <row r="11" spans="1:14" x14ac:dyDescent="0.25">
      <c r="A11" s="8" t="str">
        <f>A$10</f>
        <v>525-00080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525-00080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525-00080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203" t="s">
        <v>104</v>
      </c>
      <c r="B14" s="333" t="s">
        <v>388</v>
      </c>
      <c r="C14" s="333" t="s">
        <v>105</v>
      </c>
      <c r="D14" s="334" t="s">
        <v>106</v>
      </c>
      <c r="E14" s="333" t="s">
        <v>112</v>
      </c>
      <c r="F14" s="333" t="s">
        <v>107</v>
      </c>
      <c r="G14" s="204" t="s">
        <v>108</v>
      </c>
      <c r="H14" s="205" t="s">
        <v>109</v>
      </c>
    </row>
    <row r="15" spans="1:14" x14ac:dyDescent="0.25">
      <c r="A15" s="41" t="s">
        <v>86</v>
      </c>
      <c r="B15" s="411" t="s">
        <v>403</v>
      </c>
      <c r="C15" s="42" t="str" cm="1">
        <f t="array" ref="C15">_xlfn.LET(_xlpm.x,IFERROR(INDEX(_xlfn.ANCHORARRAY($J$15),ROWS($C$15:C15),1),""),IF(_xlpm.x="","N/A",_xlpm.x))</f>
        <v>030326ARMO</v>
      </c>
      <c r="D15" s="43" cm="1">
        <f t="array" ref="D15">_xlfn.LET(_xlpm.x,IFERROR(INDEX(_xlfn.ANCHORARRAY($J$15),ROWS($D$15:D15),2),""),IF(_xlpm.x="","N/A",_xlpm.x))</f>
        <v>46447</v>
      </c>
      <c r="E15" s="411" t="s">
        <v>634</v>
      </c>
      <c r="F15" s="42" cm="1">
        <f t="array" ref="F15">_xlfn.LET(_xlpm.x,IFERROR(INDEX(_xlfn.ANCHORARRAY($J$15),ROWS($F$15:F15),3),""),IF(_xlpm.x="","N/A",_xlpm.x))</f>
        <v>0.5</v>
      </c>
      <c r="G15" s="43" cm="1">
        <f t="array" ref="G15">_xlfn.LET(_xlpm.x,IFERROR(INDEX(_xlfn.ANCHORARRAY($J$15),ROWS($G$15:G15),4),""),IF(_xlpm.x="","N/A",_xlpm.x))</f>
        <v>46184.237500000003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-00079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030326ARMO</v>
      </c>
      <c r="K15">
        <v>46447</v>
      </c>
      <c r="L15">
        <v>0.5</v>
      </c>
      <c r="M15">
        <v>46184.237500000003</v>
      </c>
      <c r="N15" t="str">
        <v>Jesper Fredriksson</v>
      </c>
    </row>
    <row r="16" spans="1:14" x14ac:dyDescent="0.25">
      <c r="A16" s="8" t="str">
        <f>A$15</f>
        <v>525-00079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x14ac:dyDescent="0.25">
      <c r="A17" s="8" t="str">
        <f>A$15</f>
        <v>525-00079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525-00079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/>
    <row r="20" spans="1:14" ht="24" customHeight="1" thickBot="1" x14ac:dyDescent="0.3">
      <c r="A20" s="408" t="s">
        <v>398</v>
      </c>
      <c r="B20" s="377"/>
      <c r="C20" s="377"/>
      <c r="D20" s="377"/>
      <c r="E20" s="377"/>
      <c r="F20" s="377"/>
      <c r="G20" s="377"/>
      <c r="H20" s="378"/>
    </row>
    <row r="21" spans="1:14" ht="15.75" customHeight="1" thickBot="1" x14ac:dyDescent="0.3">
      <c r="A21" s="423" t="s">
        <v>215</v>
      </c>
      <c r="B21" s="362"/>
      <c r="C21" s="362"/>
      <c r="D21" s="362"/>
      <c r="E21" s="362"/>
      <c r="F21" s="362"/>
      <c r="G21" s="362"/>
      <c r="H21" s="380"/>
    </row>
    <row r="22" spans="1:14" ht="15.75" customHeight="1" thickBot="1" x14ac:dyDescent="0.3">
      <c r="A22" s="407" t="s">
        <v>389</v>
      </c>
      <c r="B22" s="362"/>
      <c r="C22" s="358"/>
      <c r="D22" s="404" t="s">
        <v>106</v>
      </c>
      <c r="E22" s="358"/>
      <c r="F22" s="301" t="s">
        <v>356</v>
      </c>
      <c r="G22" s="301" t="s">
        <v>108</v>
      </c>
      <c r="H22" s="51" t="s">
        <v>109</v>
      </c>
    </row>
    <row r="23" spans="1:14" x14ac:dyDescent="0.25">
      <c r="A23" s="361" t="str" cm="1">
        <f t="array" ref="A23">_xlfn.LET(_xlpm.x,IFERROR(INDEX(_xlfn.ANCHORARRAY($J$23),ROWS($A$23:A23),1),""),IF(_xlpm.x="","N/A",_xlpm.x))</f>
        <v>1001531457</v>
      </c>
      <c r="B23" s="383"/>
      <c r="C23" s="360"/>
      <c r="D23" s="359" cm="1">
        <f t="array" ref="D23">_xlfn.LET(_xlpm.x,IFERROR(INDEX(_xlfn.ANCHORARRAY($J$23),ROWS($D$23:D23),2),""),IF(_xlpm.x="","N/A",_xlpm.x))</f>
        <v>46203</v>
      </c>
      <c r="E23" s="360"/>
      <c r="F23" s="42" cm="1">
        <f t="array" ref="F23">_xlfn.LET(_xlpm.x,IFERROR(INDEX(_xlfn.ANCHORARRAY($J$23),ROWS($F$23:F23),3),""),IF(_xlpm.x="","N/A",_xlpm.x))</f>
        <v>6</v>
      </c>
      <c r="G23" s="43" cm="1">
        <f t="array" ref="G23">_xlfn.LET(_xlpm.x,IFERROR(INDEX(_xlfn.ANCHORARRAY($J$23),ROWS($G$23:G23),4),""),IF(_xlpm.x="","N/A",_xlpm.x))</f>
        <v>46183.930555555555</v>
      </c>
      <c r="H23" s="45" t="str" cm="1">
        <f t="array" ref="H23">_xlfn.LET(_xlpm.x,IFERROR(INDEX(_xlfn.ANCHORARRAY($J$23),ROWS($H$23:H23),5),""),IF(_xlpm.x="","N/A",_xlpm.x))</f>
        <v>Jesper Fredriksson</v>
      </c>
      <c r="J23" t="str" cm="1">
        <f t="array" ref="J23:N23">_xlfn.LET(_xlpm.pn,"500-1712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1001531457</v>
      </c>
      <c r="K23">
        <v>46203</v>
      </c>
      <c r="L23">
        <v>6</v>
      </c>
      <c r="M23">
        <v>46183.930555555555</v>
      </c>
      <c r="N23" t="str">
        <v>Jesper Fredriksson</v>
      </c>
    </row>
    <row r="24" spans="1:14" x14ac:dyDescent="0.25">
      <c r="A24" s="381" t="str" cm="1">
        <f t="array" ref="A24">_xlfn.LET(_xlpm.x,IFERROR(INDEX(_xlfn.ANCHORARRAY($J$23),ROWS($A$23:A24),1),""),IF(_xlpm.x="","N/A",_xlpm.x))</f>
        <v>N/A</v>
      </c>
      <c r="B24" s="382"/>
      <c r="C24" s="372"/>
      <c r="D24" s="371" t="str" cm="1">
        <f t="array" ref="D24">_xlfn.LET(_xlpm.x,IFERROR(INDEX(_xlfn.ANCHORARRAY($J$23),ROWS($D$23:D24),2),""),IF(_xlpm.x="","N/A",_xlpm.x))</f>
        <v>N/A</v>
      </c>
      <c r="E24" s="372"/>
      <c r="F24" s="37" t="str" cm="1">
        <f t="array" ref="F24">_xlfn.LET(_xlpm.x,IFERROR(INDEX(_xlfn.ANCHORARRAY($J$23),ROWS($F$23:F24),3),""),IF(_xlpm.x="","N/A",_xlpm.x))</f>
        <v>N/A</v>
      </c>
      <c r="G24" s="38" t="str" cm="1">
        <f t="array" ref="G24">_xlfn.LET(_xlpm.x,IFERROR(INDEX(_xlfn.ANCHORARRAY($J$23),ROWS($G$23:G24),4),""),IF(_xlpm.x="","N/A",_xlpm.x))</f>
        <v>N/A</v>
      </c>
      <c r="H24" s="26" t="str" cm="1">
        <f t="array" ref="H24">_xlfn.LET(_xlpm.x,IFERROR(INDEX(_xlfn.ANCHORARRAY($J$23),ROWS($H$23:H24),5),""),IF(_xlpm.x="","N/A",_xlpm.x))</f>
        <v>N/A</v>
      </c>
    </row>
    <row r="25" spans="1:14" x14ac:dyDescent="0.25">
      <c r="A25" s="381" t="str" cm="1">
        <f t="array" ref="A25">_xlfn.LET(_xlpm.x,IFERROR(INDEX(_xlfn.ANCHORARRAY($J$23),ROWS($A$23:A25),1),""),IF(_xlpm.x="","N/A",_xlpm.x))</f>
        <v>N/A</v>
      </c>
      <c r="B25" s="382"/>
      <c r="C25" s="372"/>
      <c r="D25" s="371" t="str" cm="1">
        <f t="array" ref="D25">_xlfn.LET(_xlpm.x,IFERROR(INDEX(_xlfn.ANCHORARRAY($J$23),ROWS($D$23:D25),2),""),IF(_xlpm.x="","N/A",_xlpm.x))</f>
        <v>N/A</v>
      </c>
      <c r="E25" s="372"/>
      <c r="F25" s="37" t="str" cm="1">
        <f t="array" ref="F25">_xlfn.LET(_xlpm.x,IFERROR(INDEX(_xlfn.ANCHORARRAY($J$23),ROWS($F$23:F25),3),""),IF(_xlpm.x="","N/A",_xlpm.x))</f>
        <v>N/A</v>
      </c>
      <c r="G25" s="38" t="str" cm="1">
        <f t="array" ref="G25">_xlfn.LET(_xlpm.x,IFERROR(INDEX(_xlfn.ANCHORARRAY($J$23),ROWS($G$23:G25),4),""),IF(_xlpm.x="","N/A",_xlpm.x))</f>
        <v>N/A</v>
      </c>
      <c r="H25" s="26" t="str" cm="1">
        <f t="array" ref="H25">_xlfn.LET(_xlpm.x,IFERROR(INDEX(_xlfn.ANCHORARRAY($J$23),ROWS($H$23:H25),5),""),IF(_xlpm.x="","N/A",_xlpm.x))</f>
        <v>N/A</v>
      </c>
    </row>
    <row r="26" spans="1:14" ht="15.75" customHeight="1" thickBot="1" x14ac:dyDescent="0.3">
      <c r="A26" s="386" t="str" cm="1">
        <f t="array" ref="A26">_xlfn.LET(_xlpm.x,IFERROR(INDEX(_xlfn.ANCHORARRAY($J$23),ROWS($A$23:A26),1),""),IF(_xlpm.x="","N/A",_xlpm.x))</f>
        <v>N/A</v>
      </c>
      <c r="B26" s="387"/>
      <c r="C26" s="374"/>
      <c r="D26" s="373" t="str" cm="1">
        <f t="array" ref="D26">_xlfn.LET(_xlpm.x,IFERROR(INDEX(_xlfn.ANCHORARRAY($J$23),ROWS($D$23:D26),2),""),IF(_xlpm.x="","N/A",_xlpm.x))</f>
        <v>N/A</v>
      </c>
      <c r="E26" s="374"/>
      <c r="F26" s="39" t="str" cm="1">
        <f t="array" ref="F26">_xlfn.LET(_xlpm.x,IFERROR(INDEX(_xlfn.ANCHORARRAY($J$23),ROWS($F$23:F26),3),""),IF(_xlpm.x="","N/A",_xlpm.x))</f>
        <v>N/A</v>
      </c>
      <c r="G26" s="40" t="str" cm="1">
        <f t="array" ref="G26">_xlfn.LET(_xlpm.x,IFERROR(INDEX(_xlfn.ANCHORARRAY($J$23),ROWS($G$23:G26),4),""),IF(_xlpm.x="","N/A",_xlpm.x))</f>
        <v>N/A</v>
      </c>
      <c r="H26" s="30" t="str" cm="1">
        <f t="array" ref="H26">_xlfn.LET(_xlpm.x,IFERROR(INDEX(_xlfn.ANCHORARRAY($J$23),ROWS($H$23:H26),5),""),IF(_xlpm.x="","N/A",_xlpm.x))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19">
    <mergeCell ref="A2:H2"/>
    <mergeCell ref="B15:B18"/>
    <mergeCell ref="A24:C24"/>
    <mergeCell ref="D25:E25"/>
    <mergeCell ref="B5:B8"/>
    <mergeCell ref="D24:E24"/>
    <mergeCell ref="A20:H20"/>
    <mergeCell ref="D23:E23"/>
    <mergeCell ref="A25:C25"/>
    <mergeCell ref="D22:E22"/>
    <mergeCell ref="E5:E8"/>
    <mergeCell ref="A26:C26"/>
    <mergeCell ref="E10:E13"/>
    <mergeCell ref="A23:C23"/>
    <mergeCell ref="A22:C22"/>
    <mergeCell ref="E15:E18"/>
    <mergeCell ref="B10:B13"/>
    <mergeCell ref="A21:H21"/>
    <mergeCell ref="D26:E26"/>
  </mergeCells>
  <pageMargins left="0.7" right="0.7" top="0.75" bottom="0.75" header="0.3" footer="0.3"/>
  <pageSetup paperSize="9" orientation="portrait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5">
    <tabColor theme="9" tint="0.59999389629810485"/>
  </sheetPr>
  <dimension ref="A1:BE26"/>
  <sheetViews>
    <sheetView zoomScaleNormal="100" workbookViewId="0">
      <selection activeCell="A23" sqref="A23:C23"/>
    </sheetView>
  </sheetViews>
  <sheetFormatPr defaultRowHeight="15" x14ac:dyDescent="0.25"/>
  <cols>
    <col min="1" max="1" width="9.7109375" bestFit="1" customWidth="1"/>
    <col min="2" max="2" width="31" hidden="1" bestFit="1" customWidth="1"/>
    <col min="3" max="3" width="13.710937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40" t="s">
        <v>87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172" t="s">
        <v>104</v>
      </c>
      <c r="B4" s="173" t="s">
        <v>388</v>
      </c>
      <c r="C4" s="173" t="s">
        <v>105</v>
      </c>
      <c r="D4" s="174" t="s">
        <v>106</v>
      </c>
      <c r="E4" s="173" t="s">
        <v>112</v>
      </c>
      <c r="F4" s="173" t="s">
        <v>107</v>
      </c>
      <c r="G4" s="175" t="s">
        <v>108</v>
      </c>
      <c r="H4" s="176" t="s">
        <v>109</v>
      </c>
    </row>
    <row r="5" spans="1:14" x14ac:dyDescent="0.25">
      <c r="A5" s="41" t="s">
        <v>88</v>
      </c>
      <c r="B5" s="412" t="s">
        <v>207</v>
      </c>
      <c r="C5" s="42" t="str" cm="1">
        <f t="array" ref="C5">_xlfn.LET(_xlpm.x,IFERROR(INDEX(_xlfn.ANCHORARRAY($J$5),ROWS($C$5:C5),1),""),IF(_xlpm.x="","N/A",_xlpm.x))</f>
        <v>081925ELIF</v>
      </c>
      <c r="D5" s="43" cm="1">
        <f t="array" ref="D5">_xlfn.LET(_xlpm.x,IFERROR(INDEX(_xlfn.ANCHORARRAY($J$5),ROWS($D$5:D5),2),""),IF(_xlpm.x="","N/A",_xlpm.x))</f>
        <v>46253</v>
      </c>
      <c r="E5" s="411" t="s">
        <v>145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46183.932638888888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500-1882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081925ELIF</v>
      </c>
      <c r="K5">
        <v>46253</v>
      </c>
      <c r="L5">
        <v>1</v>
      </c>
      <c r="M5">
        <v>46183.932638888888</v>
      </c>
      <c r="N5" t="str">
        <v>Jesper Fredriksson</v>
      </c>
    </row>
    <row r="6" spans="1:14" x14ac:dyDescent="0.25">
      <c r="A6" s="8" t="str">
        <f>A$5</f>
        <v>500-1882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500-1882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500-1882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177" t="s">
        <v>104</v>
      </c>
      <c r="B9" s="329" t="s">
        <v>388</v>
      </c>
      <c r="C9" s="329" t="s">
        <v>105</v>
      </c>
      <c r="D9" s="330" t="s">
        <v>106</v>
      </c>
      <c r="E9" s="329" t="s">
        <v>112</v>
      </c>
      <c r="F9" s="329" t="s">
        <v>107</v>
      </c>
      <c r="G9" s="178" t="s">
        <v>108</v>
      </c>
      <c r="H9" s="179" t="s">
        <v>109</v>
      </c>
    </row>
    <row r="10" spans="1:14" x14ac:dyDescent="0.25">
      <c r="A10" s="41" t="s">
        <v>89</v>
      </c>
      <c r="B10" s="411" t="s">
        <v>404</v>
      </c>
      <c r="C10" s="42" t="str" cm="1">
        <f t="array" ref="C10">_xlfn.LET(_xlpm.x,IFERROR(INDEX(_xlfn.ANCHORARRAY($J$10),ROWS($C$10:C10),1),""),IF(_xlpm.x="","N/A",_xlpm.x))</f>
        <v>082025MATE</v>
      </c>
      <c r="D10" s="43" cm="1">
        <f t="array" ref="D10">_xlfn.LET(_xlpm.x,IFERROR(INDEX(_xlfn.ANCHORARRAY($J$10),ROWS($D$10:D10),2),""),IF(_xlpm.x="","N/A",_xlpm.x))</f>
        <v>46254</v>
      </c>
      <c r="E10" s="411" t="s">
        <v>130</v>
      </c>
      <c r="F10" s="42" cm="1">
        <f t="array" ref="F10">_xlfn.LET(_xlpm.x,IFERROR(INDEX(_xlfn.ANCHORARRAY($J$10),ROWS($F$10:F10),3),""),IF(_xlpm.x="","N/A",_xlpm.x))</f>
        <v>1</v>
      </c>
      <c r="G10" s="43" cm="1">
        <f t="array" ref="G10">_xlfn.LET(_xlpm.x,IFERROR(INDEX(_xlfn.ANCHORARRAY($J$10),ROWS($G$10:G10),4),""),IF(_xlpm.x="","N/A",_xlpm.x))</f>
        <v>46183.932638888888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500-1880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082025MATE</v>
      </c>
      <c r="K10">
        <v>46254</v>
      </c>
      <c r="L10">
        <v>1</v>
      </c>
      <c r="M10">
        <v>46183.932638888888</v>
      </c>
      <c r="N10" t="str">
        <v>Jesper Fredriksson</v>
      </c>
    </row>
    <row r="11" spans="1:14" x14ac:dyDescent="0.25">
      <c r="A11" s="8" t="str">
        <f>A$10</f>
        <v>500-1880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500-1880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500-1880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177" t="s">
        <v>104</v>
      </c>
      <c r="B14" s="329" t="s">
        <v>388</v>
      </c>
      <c r="C14" s="329" t="s">
        <v>105</v>
      </c>
      <c r="D14" s="330" t="s">
        <v>106</v>
      </c>
      <c r="E14" s="329" t="s">
        <v>112</v>
      </c>
      <c r="F14" s="329" t="s">
        <v>107</v>
      </c>
      <c r="G14" s="178" t="s">
        <v>108</v>
      </c>
      <c r="H14" s="179" t="s">
        <v>109</v>
      </c>
    </row>
    <row r="15" spans="1:14" x14ac:dyDescent="0.25">
      <c r="A15" s="41" t="s">
        <v>90</v>
      </c>
      <c r="B15" s="411" t="s">
        <v>405</v>
      </c>
      <c r="C15" s="42" t="str" cm="1">
        <f t="array" ref="C15">_xlfn.LET(_xlpm.x,IFERROR(INDEX(_xlfn.ANCHORARRAY($J$15),ROWS($C$15:C15),1),""),IF(_xlpm.x="","N/A",_xlpm.x))</f>
        <v>082025MATE</v>
      </c>
      <c r="D15" s="43" cm="1">
        <f t="array" ref="D15">_xlfn.LET(_xlpm.x,IFERROR(INDEX(_xlfn.ANCHORARRAY($J$15),ROWS($D$15:D15),2),""),IF(_xlpm.x="","N/A",_xlpm.x))</f>
        <v>46254</v>
      </c>
      <c r="E15" s="411" t="s">
        <v>130</v>
      </c>
      <c r="F15" s="42" cm="1">
        <f t="array" ref="F15">_xlfn.LET(_xlpm.x,IFERROR(INDEX(_xlfn.ANCHORARRAY($J$15),ROWS($F$15:F15),3),""),IF(_xlpm.x="","N/A",_xlpm.x))</f>
        <v>1</v>
      </c>
      <c r="G15" s="43" cm="1">
        <f t="array" ref="G15">_xlfn.LET(_xlpm.x,IFERROR(INDEX(_xlfn.ANCHORARRAY($J$15),ROWS($G$15:G15),4),""),IF(_xlpm.x="","N/A",_xlpm.x))</f>
        <v>46183.931944444441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500-1879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082025MATE</v>
      </c>
      <c r="K15">
        <v>46254</v>
      </c>
      <c r="L15">
        <v>1</v>
      </c>
      <c r="M15">
        <v>46183.931944444441</v>
      </c>
      <c r="N15" t="str">
        <v>Jesper Fredriksson</v>
      </c>
    </row>
    <row r="16" spans="1:14" x14ac:dyDescent="0.25">
      <c r="A16" s="8" t="str">
        <f>A$15</f>
        <v>500-1879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x14ac:dyDescent="0.25">
      <c r="A17" s="8" t="str">
        <f>A$15</f>
        <v>500-1879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500-1879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/>
    <row r="20" spans="1:14" ht="24" customHeight="1" thickBot="1" x14ac:dyDescent="0.3">
      <c r="A20" s="408" t="s">
        <v>400</v>
      </c>
      <c r="B20" s="377"/>
      <c r="C20" s="377"/>
      <c r="D20" s="377"/>
      <c r="E20" s="377"/>
      <c r="F20" s="377"/>
      <c r="G20" s="377"/>
      <c r="H20" s="378"/>
    </row>
    <row r="21" spans="1:14" ht="15.75" customHeight="1" thickBot="1" x14ac:dyDescent="0.3">
      <c r="A21" s="423" t="s">
        <v>191</v>
      </c>
      <c r="B21" s="362"/>
      <c r="C21" s="362"/>
      <c r="D21" s="362"/>
      <c r="E21" s="362"/>
      <c r="F21" s="362"/>
      <c r="G21" s="362"/>
      <c r="H21" s="380"/>
    </row>
    <row r="22" spans="1:14" ht="15.75" customHeight="1" thickBot="1" x14ac:dyDescent="0.3">
      <c r="A22" s="375" t="s">
        <v>389</v>
      </c>
      <c r="B22" s="362"/>
      <c r="C22" s="358"/>
      <c r="D22" s="357" t="s">
        <v>106</v>
      </c>
      <c r="E22" s="358"/>
      <c r="F22" s="50" t="s">
        <v>356</v>
      </c>
      <c r="G22" s="50" t="s">
        <v>108</v>
      </c>
      <c r="H22" s="51" t="s">
        <v>109</v>
      </c>
    </row>
    <row r="23" spans="1:14" x14ac:dyDescent="0.25">
      <c r="A23" s="361" t="str" cm="1">
        <f t="array" ref="A23">_xlfn.LET(_xlpm.x,IFERROR(INDEX(_xlfn.ANCHORARRAY($J$23),ROWS($C$23:C23),1),""),IF(_xlpm.x="","N/A",_xlpm.x))</f>
        <v>1001531457</v>
      </c>
      <c r="B23" s="403"/>
      <c r="C23" s="403"/>
      <c r="D23" s="359" cm="1">
        <f t="array" ref="D23">_xlfn.LET(_xlpm.x,IFERROR(INDEX(_xlfn.ANCHORARRAY($J$23),ROWS($D$23:D23),2),""),IF(_xlpm.x="","N/A",_xlpm.x))</f>
        <v>46203</v>
      </c>
      <c r="E23" s="403"/>
      <c r="F23" s="42" cm="1">
        <f t="array" ref="F23">_xlfn.LET(_xlpm.x,IFERROR(INDEX(_xlfn.ANCHORARRAY($J$23),ROWS($F$23:F23),3),""),IF(_xlpm.x="","N/A",_xlpm.x))</f>
        <v>6</v>
      </c>
      <c r="G23" s="43" cm="1">
        <f t="array" ref="G23">_xlfn.LET(_xlpm.x,IFERROR(INDEX(_xlfn.ANCHORARRAY($J$23),ROWS($G$23:G23),4),""),IF(_xlpm.x="","N/A",_xlpm.x))</f>
        <v>46183.930555555555</v>
      </c>
      <c r="H23" s="45" t="str" cm="1">
        <f t="array" ref="H23">_xlfn.LET(_xlpm.x,IFERROR(INDEX(_xlfn.ANCHORARRAY($J$23),ROWS($H$23:H23),5),""),IF(_xlpm.x="","N/A",_xlpm.x))</f>
        <v>Jesper Fredriksson</v>
      </c>
      <c r="J23" t="str" cm="1">
        <f t="array" ref="J23:N23">_xlfn.LET(_xlpm.pn,"500-1712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1001531457</v>
      </c>
      <c r="K23">
        <v>46203</v>
      </c>
      <c r="L23">
        <v>6</v>
      </c>
      <c r="M23">
        <v>46183.930555555555</v>
      </c>
      <c r="N23" t="str">
        <v>Jesper Fredriksson</v>
      </c>
    </row>
    <row r="24" spans="1:14" x14ac:dyDescent="0.25">
      <c r="A24" s="381" t="str" cm="1">
        <f t="array" ref="A24">_xlfn.LET(_xlpm.x,IFERROR(INDEX(_xlfn.ANCHORARRAY($J$23),ROWS($C$23:C24),1),""),IF(_xlpm.x="","N/A",_xlpm.x))</f>
        <v>N/A</v>
      </c>
      <c r="B24" s="406"/>
      <c r="C24" s="406"/>
      <c r="D24" s="371" t="str" cm="1">
        <f t="array" ref="D24">_xlfn.LET(_xlpm.x,IFERROR(INDEX(_xlfn.ANCHORARRAY($J$23),ROWS($D$23:D24),2),""),IF(_xlpm.x="","N/A",_xlpm.x))</f>
        <v>N/A</v>
      </c>
      <c r="E24" s="406"/>
      <c r="F24" s="37" t="str" cm="1">
        <f t="array" ref="F24">_xlfn.LET(_xlpm.x,IFERROR(INDEX(_xlfn.ANCHORARRAY($J$23),ROWS($F$23:F24),3),""),IF(_xlpm.x="","N/A",_xlpm.x))</f>
        <v>N/A</v>
      </c>
      <c r="G24" s="38" t="str" cm="1">
        <f t="array" ref="G24">_xlfn.LET(_xlpm.x,IFERROR(INDEX(_xlfn.ANCHORARRAY($J$23),ROWS($G$23:G24),4),""),IF(_xlpm.x="","N/A",_xlpm.x))</f>
        <v>N/A</v>
      </c>
      <c r="H24" s="26" t="str" cm="1">
        <f t="array" ref="H24">_xlfn.LET(_xlpm.x,IFERROR(INDEX(_xlfn.ANCHORARRAY($J$23),ROWS($H$23:H24),5),""),IF(_xlpm.x="","N/A",_xlpm.x))</f>
        <v>N/A</v>
      </c>
    </row>
    <row r="25" spans="1:14" x14ac:dyDescent="0.25">
      <c r="A25" s="381" t="str" cm="1">
        <f t="array" ref="A25">_xlfn.LET(_xlpm.x,IFERROR(INDEX(_xlfn.ANCHORARRAY($J$23),ROWS($C$23:C25),1),""),IF(_xlpm.x="","N/A",_xlpm.x))</f>
        <v>N/A</v>
      </c>
      <c r="B25" s="406"/>
      <c r="C25" s="406"/>
      <c r="D25" s="371" t="str" cm="1">
        <f t="array" ref="D25">_xlfn.LET(_xlpm.x,IFERROR(INDEX(_xlfn.ANCHORARRAY($J$23),ROWS($D$23:D25),2),""),IF(_xlpm.x="","N/A",_xlpm.x))</f>
        <v>N/A</v>
      </c>
      <c r="E25" s="406"/>
      <c r="F25" s="37" t="str" cm="1">
        <f t="array" ref="F25">_xlfn.LET(_xlpm.x,IFERROR(INDEX(_xlfn.ANCHORARRAY($J$23),ROWS($F$23:F25),3),""),IF(_xlpm.x="","N/A",_xlpm.x))</f>
        <v>N/A</v>
      </c>
      <c r="G25" s="38" t="str" cm="1">
        <f t="array" ref="G25">_xlfn.LET(_xlpm.x,IFERROR(INDEX(_xlfn.ANCHORARRAY($J$23),ROWS($G$23:G25),4),""),IF(_xlpm.x="","N/A",_xlpm.x))</f>
        <v>N/A</v>
      </c>
      <c r="H25" s="26" t="str" cm="1">
        <f t="array" ref="H25">_xlfn.LET(_xlpm.x,IFERROR(INDEX(_xlfn.ANCHORARRAY($J$23),ROWS($H$23:H25),5),""),IF(_xlpm.x="","N/A",_xlpm.x))</f>
        <v>N/A</v>
      </c>
    </row>
    <row r="26" spans="1:14" ht="15.75" customHeight="1" thickBot="1" x14ac:dyDescent="0.3">
      <c r="A26" s="386" t="str" cm="1">
        <f t="array" ref="A26">_xlfn.LET(_xlpm.x,IFERROR(INDEX(_xlfn.ANCHORARRAY($J$23),ROWS($C$23:C26),1),""),IF(_xlpm.x="","N/A",_xlpm.x))</f>
        <v>N/A</v>
      </c>
      <c r="B26" s="409"/>
      <c r="C26" s="409"/>
      <c r="D26" s="373" t="str" cm="1">
        <f t="array" ref="D26">_xlfn.LET(_xlpm.x,IFERROR(INDEX(_xlfn.ANCHORARRAY($J$23),ROWS($D$23:D26),2),""),IF(_xlpm.x="","N/A",_xlpm.x))</f>
        <v>N/A</v>
      </c>
      <c r="E26" s="409"/>
      <c r="F26" s="39" t="str" cm="1">
        <f t="array" ref="F26">_xlfn.LET(_xlpm.x,IFERROR(INDEX(_xlfn.ANCHORARRAY($J$23),ROWS($F$23:F26),3),""),IF(_xlpm.x="","N/A",_xlpm.x))</f>
        <v>N/A</v>
      </c>
      <c r="G26" s="40" t="str" cm="1">
        <f t="array" ref="G26">_xlfn.LET(_xlpm.x,IFERROR(INDEX(_xlfn.ANCHORARRAY($J$23),ROWS($G$23:G26),4),""),IF(_xlpm.x="","N/A",_xlpm.x))</f>
        <v>N/A</v>
      </c>
      <c r="H26" s="30" t="str" cm="1">
        <f t="array" ref="H26">_xlfn.LET(_xlpm.x,IFERROR(INDEX(_xlfn.ANCHORARRAY($J$23),ROWS($H$23:H26),5),""),IF(_xlpm.x="","N/A",_xlpm.x))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19">
    <mergeCell ref="A2:H2"/>
    <mergeCell ref="B15:B18"/>
    <mergeCell ref="A24:C24"/>
    <mergeCell ref="D25:E25"/>
    <mergeCell ref="B5:B8"/>
    <mergeCell ref="D24:E24"/>
    <mergeCell ref="A20:H20"/>
    <mergeCell ref="D23:E23"/>
    <mergeCell ref="A25:C25"/>
    <mergeCell ref="D22:E22"/>
    <mergeCell ref="E5:E8"/>
    <mergeCell ref="A26:C26"/>
    <mergeCell ref="E10:E13"/>
    <mergeCell ref="A23:C23"/>
    <mergeCell ref="A22:C22"/>
    <mergeCell ref="E15:E18"/>
    <mergeCell ref="B10:B13"/>
    <mergeCell ref="A21:H21"/>
    <mergeCell ref="D26:E26"/>
  </mergeCells>
  <pageMargins left="0.7" right="0.7" top="0.75" bottom="0.75" header="0.3" footer="0.3"/>
  <pageSetup paperSize="9" orientation="portrait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6">
    <tabColor rgb="FF0070C0"/>
  </sheetPr>
  <dimension ref="A1:BE16"/>
  <sheetViews>
    <sheetView workbookViewId="0"/>
  </sheetViews>
  <sheetFormatPr defaultRowHeight="15" x14ac:dyDescent="0.25"/>
  <cols>
    <col min="1" max="1" width="8.7109375" bestFit="1" customWidth="1"/>
    <col min="2" max="2" width="15.140625" bestFit="1" customWidth="1"/>
    <col min="3" max="3" width="13.7109375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17.7109375" bestFit="1" customWidth="1"/>
    <col min="10" max="10" width="12.140625" bestFit="1" customWidth="1"/>
    <col min="11" max="11" width="6" bestFit="1" customWidth="1"/>
    <col min="12" max="12" width="3" bestFit="1" customWidth="1"/>
    <col min="13" max="13" width="12" bestFit="1" customWidth="1"/>
    <col min="14" max="14" width="17.7109375" bestFit="1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45" t="s">
        <v>406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206" t="s">
        <v>104</v>
      </c>
      <c r="B4" s="207" t="s">
        <v>388</v>
      </c>
      <c r="C4" s="207" t="s">
        <v>105</v>
      </c>
      <c r="D4" s="208" t="s">
        <v>106</v>
      </c>
      <c r="E4" s="207" t="s">
        <v>112</v>
      </c>
      <c r="F4" s="207" t="s">
        <v>107</v>
      </c>
      <c r="G4" s="209" t="s">
        <v>108</v>
      </c>
      <c r="H4" s="210" t="s">
        <v>109</v>
      </c>
    </row>
    <row r="5" spans="1:14" x14ac:dyDescent="0.25">
      <c r="A5" s="41" t="s">
        <v>92</v>
      </c>
      <c r="B5" s="411" t="s">
        <v>202</v>
      </c>
      <c r="C5" s="42" t="str" cm="1">
        <f t="array" ref="C5">_xlfn.LET(_xlpm.x,IFERROR(INDEX(_xlfn.ANCHORARRAY($J$5),ROWS($C$5:C5),1),""),IF(_xlpm.x="","N/A",_xlpm.x))</f>
        <v>052825MMM</v>
      </c>
      <c r="D5" s="43" cm="1">
        <f t="array" ref="D5">_xlfn.LET(_xlpm.x,IFERROR(INDEX(_xlfn.ANCHORARRAY($J$5),ROWS($D$5:D5),2),""),IF(_xlpm.x="","N/A",_xlpm.x))</f>
        <v>46535</v>
      </c>
      <c r="E5" s="411" t="s">
        <v>163</v>
      </c>
      <c r="F5" s="42" cm="1">
        <f t="array" ref="F5">_xlfn.LET(_xlpm.x,IFERROR(INDEX(_xlfn.ANCHORARRAY($J$5),ROWS($F$5:F5),3),""),IF(_xlpm.x="","N/A",_xlpm.x))</f>
        <v>1</v>
      </c>
      <c r="G5" s="43" cm="1">
        <f t="array" ref="G5">_xlfn.LET(_xlpm.x,IFERROR(INDEX(_xlfn.ANCHORARRAY($J$5),ROWS($G$5:G5),4),""),IF(_xlpm.x="","N/A",_xlpm.x))</f>
        <v>46183.931944444441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500-1747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052825MMM</v>
      </c>
      <c r="K5">
        <v>46535</v>
      </c>
      <c r="L5">
        <v>1</v>
      </c>
      <c r="M5">
        <v>46183.931944444441</v>
      </c>
      <c r="N5" t="str">
        <v>Jesper Fredriksson</v>
      </c>
    </row>
    <row r="6" spans="1:14" x14ac:dyDescent="0.25">
      <c r="A6" s="8" t="str">
        <f>A$5</f>
        <v>500-1747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500-1747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500-1747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/>
    <row r="10" spans="1:14" ht="24" customHeight="1" thickBot="1" x14ac:dyDescent="0.3">
      <c r="A10" s="408" t="s">
        <v>357</v>
      </c>
      <c r="B10" s="377"/>
      <c r="C10" s="377"/>
      <c r="D10" s="377"/>
      <c r="E10" s="377"/>
      <c r="F10" s="377"/>
      <c r="G10" s="377"/>
      <c r="H10" s="378"/>
    </row>
    <row r="11" spans="1:14" ht="15.75" customHeight="1" thickBot="1" x14ac:dyDescent="0.3">
      <c r="A11" s="405" t="s">
        <v>360</v>
      </c>
      <c r="B11" s="377"/>
      <c r="C11" s="377"/>
      <c r="D11" s="377"/>
      <c r="E11" s="377"/>
      <c r="F11" s="377"/>
      <c r="G11" s="377"/>
      <c r="H11" s="378"/>
    </row>
    <row r="12" spans="1:14" ht="15.75" customHeight="1" thickBot="1" x14ac:dyDescent="0.3">
      <c r="A12" s="375" t="s">
        <v>389</v>
      </c>
      <c r="B12" s="362"/>
      <c r="C12" s="358"/>
      <c r="D12" s="357" t="s">
        <v>106</v>
      </c>
      <c r="E12" s="358"/>
      <c r="F12" s="49" t="s">
        <v>356</v>
      </c>
      <c r="G12" s="50" t="s">
        <v>108</v>
      </c>
      <c r="H12" s="51" t="s">
        <v>109</v>
      </c>
    </row>
    <row r="13" spans="1:14" x14ac:dyDescent="0.25">
      <c r="A13" s="361" t="str" cm="1">
        <f t="array" ref="A13">_xlfn.LET(_xlpm.x,IFERROR(INDEX(_xlfn.ANCHORARRAY($J$13),ROWS($C$13:C13),1),""),IF(_xlpm.x="","N/A",_xlpm.x))</f>
        <v>1001515040</v>
      </c>
      <c r="B13" s="403"/>
      <c r="C13" s="403"/>
      <c r="D13" s="359" cm="1">
        <f t="array" ref="D13">_xlfn.LET(_xlpm.x,IFERROR(INDEX(_xlfn.ANCHORARRAY($J$13),ROWS($D$13:D13),2),""),IF(_xlpm.x="","N/A",_xlpm.x))</f>
        <v>46191</v>
      </c>
      <c r="E13" s="403"/>
      <c r="F13" s="43" cm="1">
        <f t="array" ref="F13">_xlfn.LET(_xlpm.x,IFERROR(INDEX(_xlfn.ANCHORARRAY($J$13),ROWS($F$13:F13),3),""),IF(_xlpm.x="","N/A",_xlpm.x))</f>
        <v>10</v>
      </c>
      <c r="G13" s="43" cm="1">
        <f t="array" ref="G13">_xlfn.LET(_xlpm.x,IFERROR(INDEX(_xlfn.ANCHORARRAY($J$13),ROWS($G$13:G13),4),""),IF(_xlpm.x="","N/A",_xlpm.x))</f>
        <v>46183.925694444442</v>
      </c>
      <c r="H13" s="45" t="str" cm="1">
        <f t="array" ref="H13">_xlfn.LET(_xlpm.x,IFERROR(INDEX(_xlfn.ANCHORARRAY($J$13),ROWS($H$13:H13),5),""),IF(_xlpm.x="","N/A",_xlpm.x))</f>
        <v>Jesper Fredriksson</v>
      </c>
      <c r="J13" t="str" cm="1">
        <f t="array" ref="J13:N13">_xlfn.LET(_xlpm.pn,"500-0952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1001515040</v>
      </c>
      <c r="K13">
        <v>46191</v>
      </c>
      <c r="L13">
        <v>10</v>
      </c>
      <c r="M13">
        <v>46183.925694444442</v>
      </c>
      <c r="N13" t="str">
        <v>Jesper Fredriksson</v>
      </c>
    </row>
    <row r="14" spans="1:14" x14ac:dyDescent="0.25">
      <c r="A14" s="381" t="str" cm="1">
        <f t="array" ref="A14">_xlfn.LET(_xlpm.x,IFERROR(INDEX(_xlfn.ANCHORARRAY($J$13),ROWS($C$13:C14),1),""),IF(_xlpm.x="","N/A",_xlpm.x))</f>
        <v>N/A</v>
      </c>
      <c r="B14" s="406"/>
      <c r="C14" s="406"/>
      <c r="D14" s="371" t="str" cm="1">
        <f t="array" ref="D14">_xlfn.LET(_xlpm.x,IFERROR(INDEX(_xlfn.ANCHORARRAY($J$13),ROWS($D$13:D14),2),""),IF(_xlpm.x="","N/A",_xlpm.x))</f>
        <v>N/A</v>
      </c>
      <c r="E14" s="406"/>
      <c r="F14" s="38" t="str" cm="1">
        <f t="array" ref="F14">_xlfn.LET(_xlpm.x,IFERROR(INDEX(_xlfn.ANCHORARRAY($J$13),ROWS($F$13:F14),3),""),IF(_xlpm.x="","N/A",_xlpm.x))</f>
        <v>N/A</v>
      </c>
      <c r="G14" s="38" t="str" cm="1">
        <f t="array" ref="G14">_xlfn.LET(_xlpm.x,IFERROR(INDEX(_xlfn.ANCHORARRAY($J$13),ROWS($G$13:G14),4),""),IF(_xlpm.x="","N/A",_xlpm.x))</f>
        <v>N/A</v>
      </c>
      <c r="H14" s="26" t="str" cm="1">
        <f t="array" ref="H14">_xlfn.LET(_xlpm.x,IFERROR(INDEX(_xlfn.ANCHORARRAY($J$13),ROWS($H$13:H14),5),""),IF(_xlpm.x="","N/A",_xlpm.x))</f>
        <v>N/A</v>
      </c>
    </row>
    <row r="15" spans="1:14" x14ac:dyDescent="0.25">
      <c r="A15" s="381" t="str" cm="1">
        <f t="array" ref="A15">_xlfn.LET(_xlpm.x,IFERROR(INDEX(_xlfn.ANCHORARRAY($J$13),ROWS($C$13:C15),1),""),IF(_xlpm.x="","N/A",_xlpm.x))</f>
        <v>N/A</v>
      </c>
      <c r="B15" s="406"/>
      <c r="C15" s="406"/>
      <c r="D15" s="371" t="str" cm="1">
        <f t="array" ref="D15">_xlfn.LET(_xlpm.x,IFERROR(INDEX(_xlfn.ANCHORARRAY($J$13),ROWS($D$13:D15),2),""),IF(_xlpm.x="","N/A",_xlpm.x))</f>
        <v>N/A</v>
      </c>
      <c r="E15" s="406"/>
      <c r="F15" s="38" t="str" cm="1">
        <f t="array" ref="F15">_xlfn.LET(_xlpm.x,IFERROR(INDEX(_xlfn.ANCHORARRAY($J$13),ROWS($F$13:F15),3),""),IF(_xlpm.x="","N/A",_xlpm.x))</f>
        <v>N/A</v>
      </c>
      <c r="G15" s="38" t="str" cm="1">
        <f t="array" ref="G15">_xlfn.LET(_xlpm.x,IFERROR(INDEX(_xlfn.ANCHORARRAY($J$13),ROWS($G$13:G15),4),""),IF(_xlpm.x="","N/A",_xlpm.x))</f>
        <v>N/A</v>
      </c>
      <c r="H15" s="26" t="str" cm="1">
        <f t="array" ref="H15">_xlfn.LET(_xlpm.x,IFERROR(INDEX(_xlfn.ANCHORARRAY($J$13),ROWS($H$13:H15),5),""),IF(_xlpm.x="","N/A",_xlpm.x))</f>
        <v>N/A</v>
      </c>
    </row>
    <row r="16" spans="1:14" ht="15.75" customHeight="1" thickBot="1" x14ac:dyDescent="0.3">
      <c r="A16" s="386" t="str" cm="1">
        <f t="array" ref="A16">_xlfn.LET(_xlpm.x,IFERROR(INDEX(_xlfn.ANCHORARRAY($J$13),ROWS($C$13:C16),1),""),IF(_xlpm.x="","N/A",_xlpm.x))</f>
        <v>N/A</v>
      </c>
      <c r="B16" s="409"/>
      <c r="C16" s="409"/>
      <c r="D16" s="373" t="str" cm="1">
        <f t="array" ref="D16">_xlfn.LET(_xlpm.x,IFERROR(INDEX(_xlfn.ANCHORARRAY($J$13),ROWS($D$13:D16),2),""),IF(_xlpm.x="","N/A",_xlpm.x))</f>
        <v>N/A</v>
      </c>
      <c r="E16" s="409"/>
      <c r="F16" s="40" t="str" cm="1">
        <f t="array" ref="F16">_xlfn.LET(_xlpm.x,IFERROR(INDEX(_xlfn.ANCHORARRAY($J$13),ROWS($F$13:F16),3),""),IF(_xlpm.x="","N/A",_xlpm.x))</f>
        <v>N/A</v>
      </c>
      <c r="G16" s="40" t="str" cm="1">
        <f t="array" ref="G16">_xlfn.LET(_xlpm.x,IFERROR(INDEX(_xlfn.ANCHORARRAY($J$13),ROWS($G$13:G16),4),""),IF(_xlpm.x="","N/A",_xlpm.x))</f>
        <v>N/A</v>
      </c>
      <c r="H16" s="30" t="str" cm="1">
        <f t="array" ref="H16">_xlfn.LET(_xlpm.x,IFERROR(INDEX(_xlfn.ANCHORARRAY($J$13),ROWS($H$13:H16),5),""),IF(_xlpm.x="","N/A",_xlpm.x))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15">
    <mergeCell ref="A2:H2"/>
    <mergeCell ref="A14:C14"/>
    <mergeCell ref="A10:H10"/>
    <mergeCell ref="D14:E14"/>
    <mergeCell ref="A11:H11"/>
    <mergeCell ref="A12:C12"/>
    <mergeCell ref="E5:E8"/>
    <mergeCell ref="D12:E12"/>
    <mergeCell ref="B5:B8"/>
    <mergeCell ref="D16:E16"/>
    <mergeCell ref="A13:C13"/>
    <mergeCell ref="D15:E15"/>
    <mergeCell ref="D13:E13"/>
    <mergeCell ref="A16:C16"/>
    <mergeCell ref="A15:C15"/>
  </mergeCells>
  <pageMargins left="0.7" right="0.7" top="0.75" bottom="0.75" header="0.3" footer="0.3"/>
  <pageSetup paperSize="9" orientation="portrait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7">
    <tabColor rgb="FF00B050"/>
  </sheetPr>
  <dimension ref="A1:BE23"/>
  <sheetViews>
    <sheetView workbookViewId="0"/>
  </sheetViews>
  <sheetFormatPr defaultRowHeight="15" x14ac:dyDescent="0.25"/>
  <cols>
    <col min="1" max="1" width="9.7109375" bestFit="1" customWidth="1"/>
    <col min="2" max="2" width="27.140625" bestFit="1" customWidth="1"/>
    <col min="3" max="3" width="14.425781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46" t="s">
        <v>93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211" t="s">
        <v>104</v>
      </c>
      <c r="B4" s="212" t="s">
        <v>388</v>
      </c>
      <c r="C4" s="212" t="s">
        <v>105</v>
      </c>
      <c r="D4" s="213" t="s">
        <v>106</v>
      </c>
      <c r="E4" s="212" t="s">
        <v>112</v>
      </c>
      <c r="F4" s="212" t="s">
        <v>107</v>
      </c>
      <c r="G4" s="214" t="s">
        <v>108</v>
      </c>
      <c r="H4" s="215" t="s">
        <v>109</v>
      </c>
    </row>
    <row r="5" spans="1:14" x14ac:dyDescent="0.25">
      <c r="A5" s="41" t="s">
        <v>94</v>
      </c>
      <c r="B5" s="411" t="s">
        <v>407</v>
      </c>
      <c r="C5" s="42" t="str" cm="1">
        <f t="array" ref="C5">_xlfn.LET(_xlpm.x,IFERROR(INDEX(_xlfn.ANCHORARRAY($J$5),ROWS($C$5:C5),1),""),IF(_xlpm.x="","N/A",_xlpm.x))</f>
        <v>041726ARMO</v>
      </c>
      <c r="D5" s="43" cm="1">
        <f t="array" ref="D5">_xlfn.LET(_xlpm.x,IFERROR(INDEX(_xlfn.ANCHORARRAY($J$5),ROWS($D$5:D5),2),""),IF(_xlpm.x="","N/A",_xlpm.x))</f>
        <v>46349</v>
      </c>
      <c r="E5" s="411" t="s">
        <v>145</v>
      </c>
      <c r="F5" s="42" cm="1">
        <f t="array" ref="F5">_xlfn.LET(_xlpm.x,IFERROR(INDEX(_xlfn.ANCHORARRAY($J$5),ROWS($F$5:F5),3),""),IF(_xlpm.x="","N/A",_xlpm.x))</f>
        <v>4</v>
      </c>
      <c r="G5" s="43" cm="1">
        <f t="array" ref="G5">_xlfn.LET(_xlpm.x,IFERROR(INDEX(_xlfn.ANCHORARRAY($J$5),ROWS($G$5:G5),4),""),IF(_xlpm.x="","N/A",_xlpm.x))</f>
        <v>46184.246527777781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525-00136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041726ARMO</v>
      </c>
      <c r="K5">
        <v>46349</v>
      </c>
      <c r="L5">
        <v>4</v>
      </c>
      <c r="M5">
        <v>46184.246527777781</v>
      </c>
      <c r="N5" t="str">
        <v>Jesper Fredriksson</v>
      </c>
    </row>
    <row r="6" spans="1:14" x14ac:dyDescent="0.25">
      <c r="A6" s="8" t="str">
        <f>A$5</f>
        <v>525-00136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525-00136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525-00136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216" t="s">
        <v>104</v>
      </c>
      <c r="B9" s="331" t="s">
        <v>388</v>
      </c>
      <c r="C9" s="331" t="s">
        <v>105</v>
      </c>
      <c r="D9" s="332" t="s">
        <v>106</v>
      </c>
      <c r="E9" s="331" t="s">
        <v>112</v>
      </c>
      <c r="F9" s="331" t="s">
        <v>107</v>
      </c>
      <c r="G9" s="219" t="s">
        <v>108</v>
      </c>
      <c r="H9" s="220" t="s">
        <v>109</v>
      </c>
    </row>
    <row r="10" spans="1:14" x14ac:dyDescent="0.25">
      <c r="A10" s="41" t="s">
        <v>39</v>
      </c>
      <c r="B10" s="412" t="s">
        <v>408</v>
      </c>
      <c r="C10" s="42" t="str" cm="1">
        <f t="array" ref="C10">_xlfn.LET(_xlpm.x,IFERROR(INDEX(_xlfn.ANCHORARRAY($J$10),ROWS($C$10:C10),1),""),IF(_xlpm.x="","N/A",_xlpm.x))</f>
        <v>N/A</v>
      </c>
      <c r="D10" s="43" t="str" cm="1">
        <f t="array" ref="D10">_xlfn.LET(_xlpm.x,IFERROR(INDEX(_xlfn.ANCHORARRAY($J$10),ROWS($D$10:D10),2),""),IF(_xlpm.x="","N/A",_xlpm.x))</f>
        <v>N/A</v>
      </c>
      <c r="E10" s="411" t="s">
        <v>173</v>
      </c>
      <c r="F10" s="42" t="str" cm="1">
        <f t="array" ref="F10">_xlfn.LET(_xlpm.x,IFERROR(INDEX(_xlfn.ANCHORARRAY($J$10),ROWS($F$10:F10),3),""),IF(_xlpm.x="","N/A",_xlpm.x))</f>
        <v>N/A</v>
      </c>
      <c r="G10" s="43" t="str" cm="1">
        <f t="array" ref="G10">_xlfn.LET(_xlpm.x,IFERROR(INDEX(_xlfn.ANCHORARRAY($J$10),ROWS($G$10:G10),4),""),IF(_xlpm.x="","N/A",_xlpm.x))</f>
        <v>N/A</v>
      </c>
      <c r="H10" s="45" t="str" cm="1">
        <f t="array" ref="H10">_xlfn.LET(_xlpm.x,IFERROR(INDEX(_xlfn.ANCHORARRAY($J$10),ROWS($H$10:H10),5),""),IF(_xlpm.x="","N/A",_xlpm.x))</f>
        <v>N/A</v>
      </c>
      <c r="J10" t="str" cm="1">
        <f t="array" ref="J10">_xlfn.LET(_xlpm.pn,"525-00038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11" spans="1:14" x14ac:dyDescent="0.25">
      <c r="A11" s="8" t="str">
        <f>A$10</f>
        <v>525-00038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525-00038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525-00038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216" t="s">
        <v>104</v>
      </c>
      <c r="B14" s="331" t="s">
        <v>388</v>
      </c>
      <c r="C14" s="331" t="s">
        <v>105</v>
      </c>
      <c r="D14" s="332" t="s">
        <v>106</v>
      </c>
      <c r="E14" s="331" t="s">
        <v>112</v>
      </c>
      <c r="F14" s="331" t="s">
        <v>107</v>
      </c>
      <c r="G14" s="219" t="s">
        <v>108</v>
      </c>
      <c r="H14" s="220" t="s">
        <v>109</v>
      </c>
    </row>
    <row r="15" spans="1:14" x14ac:dyDescent="0.25">
      <c r="A15" s="41" t="s">
        <v>40</v>
      </c>
      <c r="B15" s="412" t="s">
        <v>241</v>
      </c>
      <c r="C15" s="42" t="str" cm="1">
        <f t="array" ref="C15">_xlfn.LET(_xlpm.x,IFERROR(INDEX(_xlfn.ANCHORARRAY($J$15),ROWS($C$15:C15),1),""),IF(_xlpm.x="","N/A",_xlpm.x))</f>
        <v>121925ARMO</v>
      </c>
      <c r="D15" s="43" cm="1">
        <f t="array" ref="D15">_xlfn.LET(_xlpm.x,IFERROR(INDEX(_xlfn.ANCHORARRAY($J$15),ROWS($D$15:D15),2),""),IF(_xlpm.x="","N/A",_xlpm.x))</f>
        <v>46375</v>
      </c>
      <c r="E15" s="411" t="s">
        <v>633</v>
      </c>
      <c r="F15" s="44" cm="1">
        <f t="array" ref="F15">_xlfn.LET(_xlpm.x,IFERROR(INDEX(_xlfn.ANCHORARRAY($J$15),ROWS($F$15:F15),3),""),IF(_xlpm.x="","N/A",_xlpm.x))</f>
        <v>1</v>
      </c>
      <c r="G15" s="43" cm="1">
        <f t="array" ref="G15">_xlfn.LET(_xlpm.x,IFERROR(INDEX(_xlfn.ANCHORARRAY($J$15),ROWS($G$15:G15),4),""),IF(_xlpm.x="","N/A",_xlpm.x))</f>
        <v>46184.250694444447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-00327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121925ARMO</v>
      </c>
      <c r="K15">
        <v>46375</v>
      </c>
      <c r="L15">
        <v>1</v>
      </c>
      <c r="M15">
        <v>46184.250694444447</v>
      </c>
      <c r="N15" t="str">
        <v>Jesper Fredriksson</v>
      </c>
    </row>
    <row r="16" spans="1:14" x14ac:dyDescent="0.25">
      <c r="A16" s="8" t="str">
        <f>A$15</f>
        <v>525-00327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46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14" x14ac:dyDescent="0.25">
      <c r="A17" s="8" t="str">
        <f>A$15</f>
        <v>525-00327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46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14" ht="15.75" customHeight="1" thickBot="1" x14ac:dyDescent="0.3">
      <c r="A18" s="29" t="str">
        <f>A$15</f>
        <v>525-00327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47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  <row r="19" spans="1:14" ht="15.75" customHeight="1" thickBot="1" x14ac:dyDescent="0.3">
      <c r="A19" s="216" t="s">
        <v>104</v>
      </c>
      <c r="B19" s="217" t="s">
        <v>388</v>
      </c>
      <c r="C19" s="217" t="s">
        <v>105</v>
      </c>
      <c r="D19" s="218" t="s">
        <v>106</v>
      </c>
      <c r="E19" s="217" t="s">
        <v>112</v>
      </c>
      <c r="F19" s="217" t="s">
        <v>107</v>
      </c>
      <c r="G19" s="219" t="s">
        <v>108</v>
      </c>
      <c r="H19" s="220" t="s">
        <v>109</v>
      </c>
    </row>
    <row r="20" spans="1:14" x14ac:dyDescent="0.25">
      <c r="A20" s="41" t="s">
        <v>95</v>
      </c>
      <c r="B20" s="411" t="s">
        <v>313</v>
      </c>
      <c r="C20" s="42" t="str" cm="1">
        <f t="array" ref="C20">_xlfn.LET(_xlpm.x,IFERROR(INDEX(_xlfn.ANCHORARRAY($J$20),ROWS($C$20:C20),1),""),IF(_xlpm.x="","N/A",_xlpm.x))</f>
        <v>041426MATE</v>
      </c>
      <c r="D20" s="43" cm="1">
        <f t="array" ref="D20">_xlfn.LET(_xlpm.x,IFERROR(INDEX(_xlfn.ANCHORARRAY($J$20),ROWS($D$20:D20),2),""),IF(_xlpm.x="","N/A",_xlpm.x))</f>
        <v>46415</v>
      </c>
      <c r="E20" s="411" t="s">
        <v>130</v>
      </c>
      <c r="F20" s="42" cm="1">
        <f t="array" ref="F20">_xlfn.LET(_xlpm.x,IFERROR(INDEX(_xlfn.ANCHORARRAY($J$20),ROWS($F$20:F20),3),""),IF(_xlpm.x="","N/A",_xlpm.x))</f>
        <v>1</v>
      </c>
      <c r="G20" s="43" cm="1">
        <f t="array" ref="G20">_xlfn.LET(_xlpm.x,IFERROR(INDEX(_xlfn.ANCHORARRAY($J$20),ROWS($G$20:G20),4),""),IF(_xlpm.x="","N/A",_xlpm.x))</f>
        <v>46184.24722222222</v>
      </c>
      <c r="H20" s="45" t="str" cm="1">
        <f t="array" ref="H20">_xlfn.LET(_xlpm.x,IFERROR(INDEX(_xlfn.ANCHORARRAY($J$20),ROWS($H$20:H20),5),""),IF(_xlpm.x="","N/A",_xlpm.x))</f>
        <v>Jesper Fredriksson</v>
      </c>
      <c r="J20" t="str" cm="1">
        <f t="array" ref="J20:N20">_xlfn.LET(_xlpm.pn,"525-00137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041426MATE</v>
      </c>
      <c r="K20">
        <v>46415</v>
      </c>
      <c r="L20">
        <v>1</v>
      </c>
      <c r="M20">
        <v>46184.24722222222</v>
      </c>
      <c r="N20" t="str">
        <v>Jesper Fredriksson</v>
      </c>
    </row>
    <row r="21" spans="1:14" x14ac:dyDescent="0.25">
      <c r="A21" s="8" t="str">
        <f>A$20</f>
        <v>525-00137</v>
      </c>
      <c r="B21" s="406"/>
      <c r="C21" s="37" t="str" cm="1">
        <f t="array" ref="C21">_xlfn.LET(_xlpm.x,IFERROR(INDEX(_xlfn.ANCHORARRAY($J$20),ROWS($C$20:C21),1),""),IF(_xlpm.x="","N/A",_xlpm.x))</f>
        <v>N/A</v>
      </c>
      <c r="D21" s="38" t="str" cm="1">
        <f t="array" ref="D21">_xlfn.LET(_xlpm.x,IFERROR(INDEX(_xlfn.ANCHORARRAY($J$20),ROWS($D$20:D21),2),""),IF(_xlpm.x="","N/A",_xlpm.x))</f>
        <v>N/A</v>
      </c>
      <c r="E21" s="424"/>
      <c r="F21" s="37" t="str" cm="1">
        <f t="array" ref="F21">_xlfn.LET(_xlpm.x,IFERROR(INDEX(_xlfn.ANCHORARRAY($J$20),ROWS($F$20:F21),3),""),IF(_xlpm.x="","N/A",_xlpm.x))</f>
        <v>N/A</v>
      </c>
      <c r="G21" s="38" t="str" cm="1">
        <f t="array" ref="G21">_xlfn.LET(_xlpm.x,IFERROR(INDEX(_xlfn.ANCHORARRAY($J$20),ROWS($G$20:G21),4),""),IF(_xlpm.x="","N/A",_xlpm.x))</f>
        <v>N/A</v>
      </c>
      <c r="H21" s="26" t="str" cm="1">
        <f t="array" ref="H21">_xlfn.LET(_xlpm.x,IFERROR(INDEX(_xlfn.ANCHORARRAY($J$20),ROWS($H$20:H21),5),""),IF(_xlpm.x="","N/A",_xlpm.x))</f>
        <v>N/A</v>
      </c>
    </row>
    <row r="22" spans="1:14" x14ac:dyDescent="0.25">
      <c r="A22" s="8" t="str">
        <f>A$20</f>
        <v>525-00137</v>
      </c>
      <c r="B22" s="406"/>
      <c r="C22" s="37" t="str" cm="1">
        <f t="array" ref="C22">_xlfn.LET(_xlpm.x,IFERROR(INDEX(_xlfn.ANCHORARRAY($J$20),ROWS($C$20:C22),1),""),IF(_xlpm.x="","N/A",_xlpm.x))</f>
        <v>N/A</v>
      </c>
      <c r="D22" s="38" t="str" cm="1">
        <f t="array" ref="D22">_xlfn.LET(_xlpm.x,IFERROR(INDEX(_xlfn.ANCHORARRAY($J$20),ROWS($D$20:D22),2),""),IF(_xlpm.x="","N/A",_xlpm.x))</f>
        <v>N/A</v>
      </c>
      <c r="E22" s="424"/>
      <c r="F22" s="37" t="str" cm="1">
        <f t="array" ref="F22">_xlfn.LET(_xlpm.x,IFERROR(INDEX(_xlfn.ANCHORARRAY($J$20),ROWS($F$20:F22),3),""),IF(_xlpm.x="","N/A",_xlpm.x))</f>
        <v>N/A</v>
      </c>
      <c r="G22" s="38" t="str" cm="1">
        <f t="array" ref="G22">_xlfn.LET(_xlpm.x,IFERROR(INDEX(_xlfn.ANCHORARRAY($J$20),ROWS($G$20:G22),4),""),IF(_xlpm.x="","N/A",_xlpm.x))</f>
        <v>N/A</v>
      </c>
      <c r="H22" s="26" t="str" cm="1">
        <f t="array" ref="H22">_xlfn.LET(_xlpm.x,IFERROR(INDEX(_xlfn.ANCHORARRAY($J$20),ROWS($H$20:H22),5),""),IF(_xlpm.x="","N/A",_xlpm.x))</f>
        <v>N/A</v>
      </c>
    </row>
    <row r="23" spans="1:14" ht="15.75" customHeight="1" thickBot="1" x14ac:dyDescent="0.3">
      <c r="A23" s="29" t="str">
        <f>A$20</f>
        <v>525-00137</v>
      </c>
      <c r="B23" s="409"/>
      <c r="C23" s="39" t="str" cm="1">
        <f t="array" ref="C23">_xlfn.LET(_xlpm.x,IFERROR(INDEX(_xlfn.ANCHORARRAY($J$20),ROWS($C$20:C23),1),""),IF(_xlpm.x="","N/A",_xlpm.x))</f>
        <v>N/A</v>
      </c>
      <c r="D23" s="40" t="str" cm="1">
        <f t="array" ref="D23">_xlfn.LET(_xlpm.x,IFERROR(INDEX(_xlfn.ANCHORARRAY($J$20),ROWS($D$20:D23),2),""),IF(_xlpm.x="","N/A",_xlpm.x))</f>
        <v>N/A</v>
      </c>
      <c r="E23" s="425"/>
      <c r="F23" s="39" t="str" cm="1">
        <f t="array" ref="F23">_xlfn.LET(_xlpm.x,IFERROR(INDEX(_xlfn.ANCHORARRAY($J$20),ROWS($F$20:F23),3),""),IF(_xlpm.x="","N/A",_xlpm.x))</f>
        <v>N/A</v>
      </c>
      <c r="G23" s="40" t="str" cm="1">
        <f t="array" ref="G23">_xlfn.LET(_xlpm.x,IFERROR(INDEX(_xlfn.ANCHORARRAY($J$20),ROWS($G$20:G23),4),""),IF(_xlpm.x="","N/A",_xlpm.x))</f>
        <v>N/A</v>
      </c>
      <c r="H23" s="30" t="str" cm="1">
        <f t="array" ref="H23">_xlfn.LET(_xlpm.x,IFERROR(INDEX(_xlfn.ANCHORARRAY($J$20),ROWS($H$20:H23),5),""),IF(_xlpm.x="","N/A",_xlpm.x))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9">
    <mergeCell ref="B5:B8"/>
    <mergeCell ref="A2:H2"/>
    <mergeCell ref="B20:B23"/>
    <mergeCell ref="E20:E23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D646-F0B5-4C4F-AFFF-9DBD2CD16F3B}">
  <sheetPr>
    <tabColor theme="9" tint="0.59999389629810485"/>
  </sheetPr>
  <dimension ref="A1:N18"/>
  <sheetViews>
    <sheetView workbookViewId="0">
      <selection activeCell="E5" sqref="E5:E8"/>
    </sheetView>
  </sheetViews>
  <sheetFormatPr defaultRowHeight="15" x14ac:dyDescent="0.25"/>
  <cols>
    <col min="1" max="1" width="9.7109375" bestFit="1" customWidth="1"/>
    <col min="2" max="2" width="28.140625" bestFit="1" customWidth="1"/>
    <col min="3" max="3" width="15.28515625" customWidth="1"/>
    <col min="4" max="4" width="14" bestFit="1" customWidth="1"/>
    <col min="5" max="5" width="14.5703125" bestFit="1" customWidth="1"/>
    <col min="7" max="7" width="17.85546875" bestFit="1" customWidth="1"/>
    <col min="8" max="8" width="19.42578125" customWidth="1"/>
  </cols>
  <sheetData>
    <row r="1" spans="1:14" ht="15.75" thickBot="1" x14ac:dyDescent="0.3"/>
    <row r="2" spans="1:14" ht="15.75" thickBot="1" x14ac:dyDescent="0.3">
      <c r="A2" s="440" t="s">
        <v>96</v>
      </c>
      <c r="B2" s="377"/>
      <c r="C2" s="377"/>
      <c r="D2" s="377"/>
      <c r="E2" s="377"/>
      <c r="F2" s="377"/>
      <c r="G2" s="377"/>
      <c r="H2" s="378"/>
    </row>
    <row r="3" spans="1:14" ht="15.75" thickBot="1" x14ac:dyDescent="0.3"/>
    <row r="4" spans="1:14" ht="15.75" thickBot="1" x14ac:dyDescent="0.3">
      <c r="A4" s="172" t="s">
        <v>104</v>
      </c>
      <c r="B4" s="173" t="s">
        <v>388</v>
      </c>
      <c r="C4" s="173" t="s">
        <v>105</v>
      </c>
      <c r="D4" s="174" t="s">
        <v>106</v>
      </c>
      <c r="E4" s="173" t="s">
        <v>112</v>
      </c>
      <c r="F4" s="173" t="s">
        <v>107</v>
      </c>
      <c r="G4" s="175" t="s">
        <v>108</v>
      </c>
      <c r="H4" s="176" t="s">
        <v>109</v>
      </c>
    </row>
    <row r="5" spans="1:14" x14ac:dyDescent="0.25">
      <c r="A5" s="41" t="s">
        <v>97</v>
      </c>
      <c r="B5" s="411" t="s">
        <v>270</v>
      </c>
      <c r="C5" s="42" t="str" cm="1">
        <f t="array" ref="C5">_xlfn.LET(_xlpm.x,IFERROR(INDEX(_xlfn.ANCHORARRAY($J$5),ROWS($C$5:C5),1),""),IF(_xlpm.x="","N/A",_xlpm.x))</f>
        <v>052026MMM</v>
      </c>
      <c r="D5" s="43" cm="1">
        <f t="array" ref="D5">_xlfn.LET(_xlpm.x,IFERROR(INDEX(_xlfn.ANCHORARRAY($J$5),ROWS($D$5:D5),2),""),IF(_xlpm.x="","N/A",_xlpm.x))</f>
        <v>46478</v>
      </c>
      <c r="E5" s="411" t="s">
        <v>145</v>
      </c>
      <c r="F5" s="42" cm="1">
        <f t="array" ref="F5">_xlfn.LET(_xlpm.x,IFERROR(INDEX(_xlfn.ANCHORARRAY($J$5),ROWS($F$5:F5),3),""),IF(_xlpm.x="","N/A",_xlpm.x))</f>
        <v>14</v>
      </c>
      <c r="G5" s="43" cm="1">
        <f t="array" ref="G5">_xlfn.LET(_xlpm.x,IFERROR(INDEX(_xlfn.ANCHORARRAY($J$5),ROWS($G$5:G5),4),""),IF(_xlpm.x="","N/A",_xlpm.x))</f>
        <v>46184.240972222222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525-00090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052026MMM</v>
      </c>
      <c r="K5">
        <v>46478</v>
      </c>
      <c r="L5">
        <v>14</v>
      </c>
      <c r="M5">
        <v>46184.240972222222</v>
      </c>
      <c r="N5" t="str">
        <v>Jesper Fredriksson</v>
      </c>
    </row>
    <row r="6" spans="1:14" x14ac:dyDescent="0.25">
      <c r="A6" s="8" t="str">
        <f>A$5</f>
        <v>525-00090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525-00090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thickBot="1" x14ac:dyDescent="0.3">
      <c r="A8" s="29" t="str">
        <f>A$5</f>
        <v>525-00090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thickBot="1" x14ac:dyDescent="0.3">
      <c r="A9" s="177" t="s">
        <v>104</v>
      </c>
      <c r="B9" s="329" t="s">
        <v>388</v>
      </c>
      <c r="C9" s="329" t="s">
        <v>105</v>
      </c>
      <c r="D9" s="330" t="s">
        <v>106</v>
      </c>
      <c r="E9" s="329" t="s">
        <v>112</v>
      </c>
      <c r="F9" s="329" t="s">
        <v>107</v>
      </c>
      <c r="G9" s="178" t="s">
        <v>108</v>
      </c>
      <c r="H9" s="179" t="s">
        <v>109</v>
      </c>
    </row>
    <row r="10" spans="1:14" x14ac:dyDescent="0.25">
      <c r="A10" s="41" t="s">
        <v>98</v>
      </c>
      <c r="B10" s="411" t="s">
        <v>267</v>
      </c>
      <c r="C10" s="42" t="str" cm="1">
        <f t="array" ref="C10">_xlfn.LET(_xlpm.x,IFERROR(INDEX(_xlfn.ANCHORARRAY($J$10),ROWS($C$10:C10),1),""),IF(_xlpm.x="","N/A",_xlpm.x))</f>
        <v>N/A</v>
      </c>
      <c r="D10" s="43" t="str" cm="1">
        <f t="array" ref="D10">_xlfn.LET(_xlpm.x,IFERROR(INDEX(_xlfn.ANCHORARRAY($J$10),ROWS($D$10:D10),2),""),IF(_xlpm.x="","N/A",_xlpm.x))</f>
        <v>N/A</v>
      </c>
      <c r="E10" s="411" t="s">
        <v>130</v>
      </c>
      <c r="F10" s="42" t="str" cm="1">
        <f t="array" ref="F10">_xlfn.LET(_xlpm.x,IFERROR(INDEX(_xlfn.ANCHORARRAY($J$10),ROWS($F$10:F10),3),""),IF(_xlpm.x="","N/A",_xlpm.x))</f>
        <v>N/A</v>
      </c>
      <c r="G10" s="43" t="str" cm="1">
        <f t="array" ref="G10">_xlfn.LET(_xlpm.x,IFERROR(INDEX(_xlfn.ANCHORARRAY($J$10),ROWS($G$10:G10),4),""),IF(_xlpm.x="","N/A",_xlpm.x))</f>
        <v>N/A</v>
      </c>
      <c r="H10" s="45" t="str" cm="1">
        <f t="array" ref="H10">_xlfn.LET(_xlpm.x,IFERROR(INDEX(_xlfn.ANCHORARRAY($J$10),ROWS($H$10:H10),5),""),IF(_xlpm.x="","N/A",_xlpm.x))</f>
        <v>N/A</v>
      </c>
      <c r="J10" t="str" cm="1">
        <f t="array" ref="J10">_xlfn.LET(_xlpm.pn,"525-0089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/>
      </c>
    </row>
    <row r="11" spans="1:14" x14ac:dyDescent="0.25">
      <c r="A11" s="8" t="str">
        <f>A$10</f>
        <v>525-00089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525-00089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thickBot="1" x14ac:dyDescent="0.3">
      <c r="A13" s="29" t="str">
        <f>A$10</f>
        <v>525-00089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thickBot="1" x14ac:dyDescent="0.3">
      <c r="A14" s="177" t="s">
        <v>104</v>
      </c>
      <c r="B14" s="329" t="s">
        <v>388</v>
      </c>
      <c r="C14" s="329" t="s">
        <v>105</v>
      </c>
      <c r="D14" s="330" t="s">
        <v>106</v>
      </c>
      <c r="E14" s="329" t="s">
        <v>112</v>
      </c>
      <c r="F14" s="329" t="s">
        <v>107</v>
      </c>
      <c r="G14" s="178" t="s">
        <v>108</v>
      </c>
      <c r="H14" s="179" t="s">
        <v>109</v>
      </c>
    </row>
    <row r="15" spans="1:14" x14ac:dyDescent="0.25">
      <c r="A15" s="41" t="s">
        <v>99</v>
      </c>
      <c r="B15" s="411" t="s">
        <v>265</v>
      </c>
      <c r="C15" s="42" t="str" cm="1">
        <f t="array" ref="C15">_xlfn.LET(_xlpm.x,IFERROR(INDEX(_xlfn.ANCHORARRAY($J$15),ROWS($C$15:C15),1),""),IF(_xlpm.x="","N/A",_xlpm.x))</f>
        <v>052926ARMO</v>
      </c>
      <c r="D15" s="43" cm="1">
        <f t="array" ref="D15">_xlfn.LET(_xlpm.x,IFERROR(INDEX(_xlfn.ANCHORARRAY($J$15),ROWS($D$15:D15),2),""),IF(_xlpm.x="","N/A",_xlpm.x))</f>
        <v>46478</v>
      </c>
      <c r="E15" s="411" t="s">
        <v>130</v>
      </c>
      <c r="F15" s="42" cm="1">
        <f t="array" ref="F15">_xlfn.LET(_xlpm.x,IFERROR(INDEX(_xlfn.ANCHORARRAY($J$15),ROWS($F$15:F15),3),""),IF(_xlpm.x="","N/A",_xlpm.x))</f>
        <v>1</v>
      </c>
      <c r="G15" s="43" cm="1">
        <f t="array" ref="G15">_xlfn.LET(_xlpm.x,IFERROR(INDEX(_xlfn.ANCHORARRAY($J$15),ROWS($G$15:G15),4),""),IF(_xlpm.x="","N/A",_xlpm.x))</f>
        <v>46184.239583333336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525-00088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052926ARMO</v>
      </c>
      <c r="K15">
        <v>46478</v>
      </c>
      <c r="L15">
        <v>1</v>
      </c>
      <c r="M15">
        <v>46184.239583333336</v>
      </c>
      <c r="N15" t="str">
        <v>Jesper Fredriksson</v>
      </c>
    </row>
    <row r="16" spans="1:14" x14ac:dyDescent="0.25">
      <c r="A16" s="8" t="str">
        <f>A$15</f>
        <v>525-00088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8" x14ac:dyDescent="0.25">
      <c r="A17" s="8" t="str">
        <f>A$15</f>
        <v>525-00088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8" ht="15.75" thickBot="1" x14ac:dyDescent="0.3">
      <c r="A18" s="29" t="str">
        <f>A$15</f>
        <v>525-00088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</sheetData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9">
    <tabColor rgb="FF00FFFF"/>
  </sheetPr>
  <dimension ref="A1:BE18"/>
  <sheetViews>
    <sheetView workbookViewId="0">
      <selection activeCell="E5" sqref="E5:E8"/>
    </sheetView>
  </sheetViews>
  <sheetFormatPr defaultRowHeight="15" x14ac:dyDescent="0.25"/>
  <cols>
    <col min="1" max="1" width="8.7109375" bestFit="1" customWidth="1"/>
    <col min="2" max="2" width="23" bestFit="1" customWidth="1"/>
    <col min="3" max="3" width="14.1406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19.42578125" customWidth="1"/>
    <col min="52" max="57" width="13" hidden="1" customWidth="1"/>
  </cols>
  <sheetData>
    <row r="1" spans="1:14" ht="15.75" customHeight="1" thickBot="1" x14ac:dyDescent="0.3"/>
    <row r="2" spans="1:14" ht="24" customHeight="1" thickBot="1" x14ac:dyDescent="0.3">
      <c r="A2" s="447" t="s">
        <v>100</v>
      </c>
      <c r="B2" s="377"/>
      <c r="C2" s="377"/>
      <c r="D2" s="377"/>
      <c r="E2" s="377"/>
      <c r="F2" s="377"/>
      <c r="G2" s="377"/>
      <c r="H2" s="378"/>
    </row>
    <row r="3" spans="1:14" ht="15.75" customHeight="1" thickBot="1" x14ac:dyDescent="0.3"/>
    <row r="4" spans="1:14" ht="15.75" customHeight="1" thickBot="1" x14ac:dyDescent="0.3">
      <c r="A4" s="221" t="s">
        <v>104</v>
      </c>
      <c r="B4" s="222" t="s">
        <v>388</v>
      </c>
      <c r="C4" s="222" t="s">
        <v>105</v>
      </c>
      <c r="D4" s="223" t="s">
        <v>106</v>
      </c>
      <c r="E4" s="222" t="s">
        <v>112</v>
      </c>
      <c r="F4" s="222" t="s">
        <v>107</v>
      </c>
      <c r="G4" s="224" t="s">
        <v>108</v>
      </c>
      <c r="H4" s="225" t="s">
        <v>109</v>
      </c>
    </row>
    <row r="5" spans="1:14" x14ac:dyDescent="0.25">
      <c r="A5" s="41" t="s">
        <v>101</v>
      </c>
      <c r="B5" s="411" t="s">
        <v>144</v>
      </c>
      <c r="C5" s="42" t="str" cm="1">
        <f t="array" ref="C5">_xlfn.LET(_xlpm.x,IFERROR(INDEX(_xlfn.ANCHORARRAY($J$5),ROWS($C$5:C5),1),""),IF(_xlpm.x="","N/A",_xlpm.x))</f>
        <v>C03FEB25A</v>
      </c>
      <c r="D5" s="43" cm="1">
        <f t="array" ref="D5">_xlfn.LET(_xlpm.x,IFERROR(INDEX(_xlfn.ANCHORARRAY($J$5),ROWS($D$5:D5),2),""),IF(_xlpm.x="","N/A",_xlpm.x))</f>
        <v>46265</v>
      </c>
      <c r="E5" s="411" t="s">
        <v>145</v>
      </c>
      <c r="F5" s="42" cm="1">
        <f t="array" ref="F5">_xlfn.LET(_xlpm.x,IFERROR(INDEX(_xlfn.ANCHORARRAY($J$5),ROWS($F$5:F5),3),""),IF(_xlpm.x="","N/A",_xlpm.x))</f>
        <v>22</v>
      </c>
      <c r="G5" s="43" cm="1">
        <f t="array" ref="G5">_xlfn.LET(_xlpm.x,IFERROR(INDEX(_xlfn.ANCHORARRAY($J$5),ROWS($G$5:G5),4),""),IF(_xlpm.x="","N/A",_xlpm.x))</f>
        <v>46183.923611111109</v>
      </c>
      <c r="H5" s="45" t="str" cm="1">
        <f t="array" ref="H5">_xlfn.LET(_xlpm.x,IFERROR(INDEX(_xlfn.ANCHORARRAY($J$5),ROWS($H$5:H5),5),""),IF(_xlpm.x="","N/A",_xlpm.x))</f>
        <v>Jesper Fredriksson</v>
      </c>
      <c r="J5" t="str" cm="1">
        <f t="array" ref="J5:N5">_xlfn.LET(_xlpm.pn,"001-1688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C03FEB25A</v>
      </c>
      <c r="K5">
        <v>46265</v>
      </c>
      <c r="L5">
        <v>22</v>
      </c>
      <c r="M5">
        <v>46183.923611111109</v>
      </c>
      <c r="N5" t="str">
        <v>Jesper Fredriksson</v>
      </c>
    </row>
    <row r="6" spans="1:14" x14ac:dyDescent="0.25">
      <c r="A6" s="8" t="str">
        <f>A$5</f>
        <v>001-1688</v>
      </c>
      <c r="B6" s="406"/>
      <c r="C6" s="37" t="str" cm="1">
        <f t="array" ref="C6">_xlfn.LET(_xlpm.x,IFERROR(INDEX(_xlfn.ANCHORARRAY($J$5),ROWS($C$5:C6),1),""),IF(_xlpm.x="","N/A",_xlpm.x))</f>
        <v>N/A</v>
      </c>
      <c r="D6" s="38" t="str" cm="1">
        <f t="array" ref="D6">_xlfn.LET(_xlpm.x,IFERROR(INDEX(_xlfn.ANCHORARRAY($J$5),ROWS($D$5:D6),2),""),IF(_xlpm.x="","N/A",_xlpm.x))</f>
        <v>N/A</v>
      </c>
      <c r="E6" s="424"/>
      <c r="F6" s="37" t="str" cm="1">
        <f t="array" ref="F6">_xlfn.LET(_xlpm.x,IFERROR(INDEX(_xlfn.ANCHORARRAY($J$5),ROWS($F$5:F6),3),""),IF(_xlpm.x="","N/A",_xlpm.x))</f>
        <v>N/A</v>
      </c>
      <c r="G6" s="38" t="str" cm="1">
        <f t="array" ref="G6">_xlfn.LET(_xlpm.x,IFERROR(INDEX(_xlfn.ANCHORARRAY($J$5),ROWS($G$5:G6),4),""),IF(_xlpm.x="","N/A",_xlpm.x))</f>
        <v>N/A</v>
      </c>
      <c r="H6" s="26" t="str" cm="1">
        <f t="array" ref="H6">_xlfn.LET(_xlpm.x,IFERROR(INDEX(_xlfn.ANCHORARRAY($J$5),ROWS($H$5:H6),5),""),IF(_xlpm.x="","N/A",_xlpm.x))</f>
        <v>N/A</v>
      </c>
    </row>
    <row r="7" spans="1:14" x14ac:dyDescent="0.25">
      <c r="A7" s="8" t="str">
        <f>A$5</f>
        <v>001-1688</v>
      </c>
      <c r="B7" s="406"/>
      <c r="C7" s="37" t="str" cm="1">
        <f t="array" ref="C7">_xlfn.LET(_xlpm.x,IFERROR(INDEX(_xlfn.ANCHORARRAY($J$5),ROWS($C$5:C7),1),""),IF(_xlpm.x="","N/A",_xlpm.x))</f>
        <v>N/A</v>
      </c>
      <c r="D7" s="38" t="str" cm="1">
        <f t="array" ref="D7">_xlfn.LET(_xlpm.x,IFERROR(INDEX(_xlfn.ANCHORARRAY($J$5),ROWS($D$5:D7),2),""),IF(_xlpm.x="","N/A",_xlpm.x))</f>
        <v>N/A</v>
      </c>
      <c r="E7" s="424"/>
      <c r="F7" s="37" t="str" cm="1">
        <f t="array" ref="F7">_xlfn.LET(_xlpm.x,IFERROR(INDEX(_xlfn.ANCHORARRAY($J$5),ROWS($F$5:F7),3),""),IF(_xlpm.x="","N/A",_xlpm.x))</f>
        <v>N/A</v>
      </c>
      <c r="G7" s="38" t="str" cm="1">
        <f t="array" ref="G7">_xlfn.LET(_xlpm.x,IFERROR(INDEX(_xlfn.ANCHORARRAY($J$5),ROWS($G$5:G7),4),""),IF(_xlpm.x="","N/A",_xlpm.x))</f>
        <v>N/A</v>
      </c>
      <c r="H7" s="26" t="str" cm="1">
        <f t="array" ref="H7">_xlfn.LET(_xlpm.x,IFERROR(INDEX(_xlfn.ANCHORARRAY($J$5),ROWS($H$5:H7),5),""),IF(_xlpm.x="","N/A",_xlpm.x))</f>
        <v>N/A</v>
      </c>
    </row>
    <row r="8" spans="1:14" ht="15.75" customHeight="1" thickBot="1" x14ac:dyDescent="0.3">
      <c r="A8" s="29" t="str">
        <f>A$5</f>
        <v>001-1688</v>
      </c>
      <c r="B8" s="409"/>
      <c r="C8" s="39" t="str" cm="1">
        <f t="array" ref="C8">_xlfn.LET(_xlpm.x,IFERROR(INDEX(_xlfn.ANCHORARRAY($J$5),ROWS($C$5:C8),1),""),IF(_xlpm.x="","N/A",_xlpm.x))</f>
        <v>N/A</v>
      </c>
      <c r="D8" s="40" t="str" cm="1">
        <f t="array" ref="D8">_xlfn.LET(_xlpm.x,IFERROR(INDEX(_xlfn.ANCHORARRAY($J$5),ROWS($D$5:D8),2),""),IF(_xlpm.x="","N/A",_xlpm.x))</f>
        <v>N/A</v>
      </c>
      <c r="E8" s="425"/>
      <c r="F8" s="39" t="str" cm="1">
        <f t="array" ref="F8">_xlfn.LET(_xlpm.x,IFERROR(INDEX(_xlfn.ANCHORARRAY($J$5),ROWS($F$5:F8),3),""),IF(_xlpm.x="","N/A",_xlpm.x))</f>
        <v>N/A</v>
      </c>
      <c r="G8" s="40" t="str" cm="1">
        <f t="array" ref="G8">_xlfn.LET(_xlpm.x,IFERROR(INDEX(_xlfn.ANCHORARRAY($J$5),ROWS($G$5:G8),4),""),IF(_xlpm.x="","N/A",_xlpm.x))</f>
        <v>N/A</v>
      </c>
      <c r="H8" s="30" t="str" cm="1">
        <f t="array" ref="H8">_xlfn.LET(_xlpm.x,IFERROR(INDEX(_xlfn.ANCHORARRAY($J$5),ROWS($H$5:H8),5),""),IF(_xlpm.x="","N/A",_xlpm.x))</f>
        <v>N/A</v>
      </c>
    </row>
    <row r="9" spans="1:14" ht="15.75" customHeight="1" thickBot="1" x14ac:dyDescent="0.3">
      <c r="A9" s="226" t="s">
        <v>104</v>
      </c>
      <c r="B9" s="327" t="s">
        <v>388</v>
      </c>
      <c r="C9" s="327" t="s">
        <v>105</v>
      </c>
      <c r="D9" s="328" t="s">
        <v>106</v>
      </c>
      <c r="E9" s="327" t="s">
        <v>112</v>
      </c>
      <c r="F9" s="327" t="s">
        <v>107</v>
      </c>
      <c r="G9" s="227" t="s">
        <v>108</v>
      </c>
      <c r="H9" s="228" t="s">
        <v>109</v>
      </c>
    </row>
    <row r="10" spans="1:14" x14ac:dyDescent="0.25">
      <c r="A10" s="41" t="s">
        <v>102</v>
      </c>
      <c r="B10" s="411" t="s">
        <v>141</v>
      </c>
      <c r="C10" s="42" t="str" cm="1">
        <f t="array" ref="C10">_xlfn.LET(_xlpm.x,IFERROR(INDEX(_xlfn.ANCHORARRAY($J$10),ROWS($C$10:C10),1),""),IF(_xlpm.x="","N/A",_xlpm.x))</f>
        <v>K04FEB25A</v>
      </c>
      <c r="D10" s="43" cm="1">
        <f t="array" ref="D10">_xlfn.LET(_xlpm.x,IFERROR(INDEX(_xlfn.ANCHORARRAY($J$10),ROWS($D$10:D10),2),""),IF(_xlpm.x="","N/A",_xlpm.x))</f>
        <v>46265</v>
      </c>
      <c r="E10" s="411" t="s">
        <v>130</v>
      </c>
      <c r="F10" s="42" cm="1">
        <f t="array" ref="F10">_xlfn.LET(_xlpm.x,IFERROR(INDEX(_xlfn.ANCHORARRAY($J$10),ROWS($F$10:F10),3),""),IF(_xlpm.x="","N/A",_xlpm.x))</f>
        <v>20</v>
      </c>
      <c r="G10" s="43" cm="1">
        <f t="array" ref="G10">_xlfn.LET(_xlpm.x,IFERROR(INDEX(_xlfn.ANCHORARRAY($J$10),ROWS($G$10:G10),4),""),IF(_xlpm.x="","N/A",_xlpm.x))</f>
        <v>46183.923611111109</v>
      </c>
      <c r="H10" s="45" t="str" cm="1">
        <f t="array" ref="H10">_xlfn.LET(_xlpm.x,IFERROR(INDEX(_xlfn.ANCHORARRAY($J$10),ROWS($H$10:H10),5),""),IF(_xlpm.x="","N/A",_xlpm.x))</f>
        <v>Jesper Fredriksson</v>
      </c>
      <c r="J10" t="str" cm="1">
        <f t="array" ref="J10:N10">_xlfn.LET(_xlpm.pn,"001-1687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K04FEB25A</v>
      </c>
      <c r="K10">
        <v>46265</v>
      </c>
      <c r="L10">
        <v>20</v>
      </c>
      <c r="M10">
        <v>46183.923611111109</v>
      </c>
      <c r="N10" t="str">
        <v>Jesper Fredriksson</v>
      </c>
    </row>
    <row r="11" spans="1:14" x14ac:dyDescent="0.25">
      <c r="A11" s="8" t="str">
        <f>A$10</f>
        <v>001-1687</v>
      </c>
      <c r="B11" s="406"/>
      <c r="C11" s="37" t="str" cm="1">
        <f t="array" ref="C11">_xlfn.LET(_xlpm.x,IFERROR(INDEX(_xlfn.ANCHORARRAY($J$10),ROWS($C$10:C11),1),""),IF(_xlpm.x="","N/A",_xlpm.x))</f>
        <v>N/A</v>
      </c>
      <c r="D11" s="38" t="str" cm="1">
        <f t="array" ref="D11">_xlfn.LET(_xlpm.x,IFERROR(INDEX(_xlfn.ANCHORARRAY($J$10),ROWS($D$10:D11),2),""),IF(_xlpm.x="","N/A",_xlpm.x))</f>
        <v>N/A</v>
      </c>
      <c r="E11" s="424"/>
      <c r="F11" s="37" t="str" cm="1">
        <f t="array" ref="F11">_xlfn.LET(_xlpm.x,IFERROR(INDEX(_xlfn.ANCHORARRAY($J$10),ROWS($F$10:F11),3),""),IF(_xlpm.x="","N/A",_xlpm.x))</f>
        <v>N/A</v>
      </c>
      <c r="G11" s="38" t="str" cm="1">
        <f t="array" ref="G11">_xlfn.LET(_xlpm.x,IFERROR(INDEX(_xlfn.ANCHORARRAY($J$10),ROWS($G$10:G11),4),""),IF(_xlpm.x="","N/A",_xlpm.x))</f>
        <v>N/A</v>
      </c>
      <c r="H11" s="26" t="str" cm="1">
        <f t="array" ref="H11">_xlfn.LET(_xlpm.x,IFERROR(INDEX(_xlfn.ANCHORARRAY($J$10),ROWS($H$10:H11),5),""),IF(_xlpm.x="","N/A",_xlpm.x))</f>
        <v>N/A</v>
      </c>
    </row>
    <row r="12" spans="1:14" x14ac:dyDescent="0.25">
      <c r="A12" s="8" t="str">
        <f>A$10</f>
        <v>001-1687</v>
      </c>
      <c r="B12" s="406"/>
      <c r="C12" s="37" t="str" cm="1">
        <f t="array" ref="C12">_xlfn.LET(_xlpm.x,IFERROR(INDEX(_xlfn.ANCHORARRAY($J$10),ROWS($C$10:C12),1),""),IF(_xlpm.x="","N/A",_xlpm.x))</f>
        <v>N/A</v>
      </c>
      <c r="D12" s="38" t="str" cm="1">
        <f t="array" ref="D12">_xlfn.LET(_xlpm.x,IFERROR(INDEX(_xlfn.ANCHORARRAY($J$10),ROWS($D$10:D12),2),""),IF(_xlpm.x="","N/A",_xlpm.x))</f>
        <v>N/A</v>
      </c>
      <c r="E12" s="424"/>
      <c r="F12" s="37" t="str" cm="1">
        <f t="array" ref="F12">_xlfn.LET(_xlpm.x,IFERROR(INDEX(_xlfn.ANCHORARRAY($J$10),ROWS($F$10:F12),3),""),IF(_xlpm.x="","N/A",_xlpm.x))</f>
        <v>N/A</v>
      </c>
      <c r="G12" s="38" t="str" cm="1">
        <f t="array" ref="G12">_xlfn.LET(_xlpm.x,IFERROR(INDEX(_xlfn.ANCHORARRAY($J$10),ROWS($G$10:G12),4),""),IF(_xlpm.x="","N/A",_xlpm.x))</f>
        <v>N/A</v>
      </c>
      <c r="H12" s="26" t="str" cm="1">
        <f t="array" ref="H12">_xlfn.LET(_xlpm.x,IFERROR(INDEX(_xlfn.ANCHORARRAY($J$10),ROWS($H$10:H12),5),""),IF(_xlpm.x="","N/A",_xlpm.x))</f>
        <v>N/A</v>
      </c>
    </row>
    <row r="13" spans="1:14" ht="15.75" customHeight="1" thickBot="1" x14ac:dyDescent="0.3">
      <c r="A13" s="29" t="str">
        <f>A$10</f>
        <v>001-1687</v>
      </c>
      <c r="B13" s="409"/>
      <c r="C13" s="39" t="str" cm="1">
        <f t="array" ref="C13">_xlfn.LET(_xlpm.x,IFERROR(INDEX(_xlfn.ANCHORARRAY($J$10),ROWS($C$10:C13),1),""),IF(_xlpm.x="","N/A",_xlpm.x))</f>
        <v>N/A</v>
      </c>
      <c r="D13" s="40" t="str" cm="1">
        <f t="array" ref="D13">_xlfn.LET(_xlpm.x,IFERROR(INDEX(_xlfn.ANCHORARRAY($J$10),ROWS($D$10:D13),2),""),IF(_xlpm.x="","N/A",_xlpm.x))</f>
        <v>N/A</v>
      </c>
      <c r="E13" s="425"/>
      <c r="F13" s="39" t="str" cm="1">
        <f t="array" ref="F13">_xlfn.LET(_xlpm.x,IFERROR(INDEX(_xlfn.ANCHORARRAY($J$10),ROWS($F$10:F13),3),""),IF(_xlpm.x="","N/A",_xlpm.x))</f>
        <v>N/A</v>
      </c>
      <c r="G13" s="40" t="str" cm="1">
        <f t="array" ref="G13">_xlfn.LET(_xlpm.x,IFERROR(INDEX(_xlfn.ANCHORARRAY($J$10),ROWS($G$10:G13),4),""),IF(_xlpm.x="","N/A",_xlpm.x))</f>
        <v>N/A</v>
      </c>
      <c r="H13" s="30" t="str" cm="1">
        <f t="array" ref="H13">_xlfn.LET(_xlpm.x,IFERROR(INDEX(_xlfn.ANCHORARRAY($J$10),ROWS($H$10:H13),5),""),IF(_xlpm.x="","N/A",_xlpm.x))</f>
        <v>N/A</v>
      </c>
    </row>
    <row r="14" spans="1:14" ht="15.75" customHeight="1" thickBot="1" x14ac:dyDescent="0.3">
      <c r="A14" s="226" t="s">
        <v>104</v>
      </c>
      <c r="B14" s="327" t="s">
        <v>388</v>
      </c>
      <c r="C14" s="327" t="s">
        <v>105</v>
      </c>
      <c r="D14" s="328" t="s">
        <v>106</v>
      </c>
      <c r="E14" s="327" t="s">
        <v>112</v>
      </c>
      <c r="F14" s="327" t="s">
        <v>107</v>
      </c>
      <c r="G14" s="227" t="s">
        <v>108</v>
      </c>
      <c r="H14" s="228" t="s">
        <v>109</v>
      </c>
    </row>
    <row r="15" spans="1:14" x14ac:dyDescent="0.25">
      <c r="A15" s="41" t="s">
        <v>103</v>
      </c>
      <c r="B15" s="411" t="s">
        <v>138</v>
      </c>
      <c r="C15" s="42" t="str" cm="1">
        <f t="array" ref="C15">_xlfn.LET(_xlpm.x,IFERROR(INDEX(_xlfn.ANCHORARRAY($J$15),ROWS($C$15:C15),1),""),IF(_xlpm.x="","N/A",_xlpm.x))</f>
        <v>J04FEB25A</v>
      </c>
      <c r="D15" s="43" cm="1">
        <f t="array" ref="D15">_xlfn.LET(_xlpm.x,IFERROR(INDEX(_xlfn.ANCHORARRAY($J$15),ROWS($D$15:D15),2),""),IF(_xlpm.x="","N/A",_xlpm.x))</f>
        <v>46265</v>
      </c>
      <c r="E15" s="411" t="s">
        <v>130</v>
      </c>
      <c r="F15" s="42" cm="1">
        <f t="array" ref="F15">_xlfn.LET(_xlpm.x,IFERROR(INDEX(_xlfn.ANCHORARRAY($J$15),ROWS($F$15:F15),3),""),IF(_xlpm.x="","N/A",_xlpm.x))</f>
        <v>11</v>
      </c>
      <c r="G15" s="43" cm="1">
        <f t="array" ref="G15">_xlfn.LET(_xlpm.x,IFERROR(INDEX(_xlfn.ANCHORARRAY($J$15),ROWS($G$15:G15),4),""),IF(_xlpm.x="","N/A",_xlpm.x))</f>
        <v>46183.92291666667</v>
      </c>
      <c r="H15" s="45" t="str" cm="1">
        <f t="array" ref="H15">_xlfn.LET(_xlpm.x,IFERROR(INDEX(_xlfn.ANCHORARRAY($J$15),ROWS($H$15:H15),5),""),IF(_xlpm.x="","N/A",_xlpm.x))</f>
        <v>Jesper Fredriksson</v>
      </c>
      <c r="J15" t="str" cm="1">
        <f t="array" ref="J15:N15">_xlfn.LET(_xlpm.pn,"001-1686",_xlpm.crit,(tblLots[PN]=_xlpm.pn)*(tblLots[IsActive]=TRUE),IFERROR(_xlfn.TAKE(_xlfn.SORTBY(_xlfn._xlws.FILTER(CHOOSE({1,2,3,4,5},tblLots[LotNumber],tblLots[ExpirationDate],tblLots[Qty],tblLots[ChangedAt],tblLots[ChangedByName]),_xlpm.crit),_xlfn._xlws.FILTER(tblLots[ExpirationDate],_xlpm.crit),1,_xlfn._xlws.FILTER(tblLots[ChangedAt],_xlpm.crit),-1),4),""))</f>
        <v>J04FEB25A</v>
      </c>
      <c r="K15">
        <v>46265</v>
      </c>
      <c r="L15">
        <v>11</v>
      </c>
      <c r="M15">
        <v>46183.92291666667</v>
      </c>
      <c r="N15" t="str">
        <v>Jesper Fredriksson</v>
      </c>
    </row>
    <row r="16" spans="1:14" x14ac:dyDescent="0.25">
      <c r="A16" s="8" t="str">
        <f>A$15</f>
        <v>001-1686</v>
      </c>
      <c r="B16" s="406"/>
      <c r="C16" s="37" t="str" cm="1">
        <f t="array" ref="C16">_xlfn.LET(_xlpm.x,IFERROR(INDEX(_xlfn.ANCHORARRAY($J$15),ROWS($C$15:C16),1),""),IF(_xlpm.x="","N/A",_xlpm.x))</f>
        <v>N/A</v>
      </c>
      <c r="D16" s="38" t="str" cm="1">
        <f t="array" ref="D16">_xlfn.LET(_xlpm.x,IFERROR(INDEX(_xlfn.ANCHORARRAY($J$15),ROWS($D$15:D16),2),""),IF(_xlpm.x="","N/A",_xlpm.x))</f>
        <v>N/A</v>
      </c>
      <c r="E16" s="424"/>
      <c r="F16" s="37" t="str" cm="1">
        <f t="array" ref="F16">_xlfn.LET(_xlpm.x,IFERROR(INDEX(_xlfn.ANCHORARRAY($J$15),ROWS($F$15:F16),3),""),IF(_xlpm.x="","N/A",_xlpm.x))</f>
        <v>N/A</v>
      </c>
      <c r="G16" s="38" t="str" cm="1">
        <f t="array" ref="G16">_xlfn.LET(_xlpm.x,IFERROR(INDEX(_xlfn.ANCHORARRAY($J$15),ROWS($G$15:G16),4),""),IF(_xlpm.x="","N/A",_xlpm.x))</f>
        <v>N/A</v>
      </c>
      <c r="H16" s="26" t="str" cm="1">
        <f t="array" ref="H16">_xlfn.LET(_xlpm.x,IFERROR(INDEX(_xlfn.ANCHORARRAY($J$15),ROWS($H$15:H16),5),""),IF(_xlpm.x="","N/A",_xlpm.x))</f>
        <v>N/A</v>
      </c>
    </row>
    <row r="17" spans="1:8" x14ac:dyDescent="0.25">
      <c r="A17" s="8" t="str">
        <f>A$15</f>
        <v>001-1686</v>
      </c>
      <c r="B17" s="406"/>
      <c r="C17" s="37" t="str" cm="1">
        <f t="array" ref="C17">_xlfn.LET(_xlpm.x,IFERROR(INDEX(_xlfn.ANCHORARRAY($J$15),ROWS($C$15:C17),1),""),IF(_xlpm.x="","N/A",_xlpm.x))</f>
        <v>N/A</v>
      </c>
      <c r="D17" s="38" t="str" cm="1">
        <f t="array" ref="D17">_xlfn.LET(_xlpm.x,IFERROR(INDEX(_xlfn.ANCHORARRAY($J$15),ROWS($D$15:D17),2),""),IF(_xlpm.x="","N/A",_xlpm.x))</f>
        <v>N/A</v>
      </c>
      <c r="E17" s="424"/>
      <c r="F17" s="37" t="str" cm="1">
        <f t="array" ref="F17">_xlfn.LET(_xlpm.x,IFERROR(INDEX(_xlfn.ANCHORARRAY($J$15),ROWS($F$15:F17),3),""),IF(_xlpm.x="","N/A",_xlpm.x))</f>
        <v>N/A</v>
      </c>
      <c r="G17" s="38" t="str" cm="1">
        <f t="array" ref="G17">_xlfn.LET(_xlpm.x,IFERROR(INDEX(_xlfn.ANCHORARRAY($J$15),ROWS($G$15:G17),4),""),IF(_xlpm.x="","N/A",_xlpm.x))</f>
        <v>N/A</v>
      </c>
      <c r="H17" s="26" t="str" cm="1">
        <f t="array" ref="H17">_xlfn.LET(_xlpm.x,IFERROR(INDEX(_xlfn.ANCHORARRAY($J$15),ROWS($H$15:H17),5),""),IF(_xlpm.x="","N/A",_xlpm.x))</f>
        <v>N/A</v>
      </c>
    </row>
    <row r="18" spans="1:8" ht="15.75" customHeight="1" thickBot="1" x14ac:dyDescent="0.3">
      <c r="A18" s="29" t="str">
        <f>A$15</f>
        <v>001-1686</v>
      </c>
      <c r="B18" s="409"/>
      <c r="C18" s="39" t="str" cm="1">
        <f t="array" ref="C18">_xlfn.LET(_xlpm.x,IFERROR(INDEX(_xlfn.ANCHORARRAY($J$15),ROWS($C$15:C18),1),""),IF(_xlpm.x="","N/A",_xlpm.x))</f>
        <v>N/A</v>
      </c>
      <c r="D18" s="40" t="str" cm="1">
        <f t="array" ref="D18">_xlfn.LET(_xlpm.x,IFERROR(INDEX(_xlfn.ANCHORARRAY($J$15),ROWS($D$15:D18),2),""),IF(_xlpm.x="","N/A",_xlpm.x))</f>
        <v>N/A</v>
      </c>
      <c r="E18" s="425"/>
      <c r="F18" s="39" t="str" cm="1">
        <f t="array" ref="F18">_xlfn.LET(_xlpm.x,IFERROR(INDEX(_xlfn.ANCHORARRAY($J$15),ROWS($F$15:F18),3),""),IF(_xlpm.x="","N/A",_xlpm.x))</f>
        <v>N/A</v>
      </c>
      <c r="G18" s="40" t="str" cm="1">
        <f t="array" ref="G18">_xlfn.LET(_xlpm.x,IFERROR(INDEX(_xlfn.ANCHORARRAY($J$15),ROWS($G$15:G18),4),""),IF(_xlpm.x="","N/A",_xlpm.x))</f>
        <v>N/A</v>
      </c>
      <c r="H18" s="30" t="str" cm="1">
        <f t="array" ref="H18">_xlfn.LET(_xlpm.x,IFERROR(INDEX(_xlfn.ANCHORARRAY($J$15),ROWS($H$15:H18),5),""),IF(_xlpm.x="","N/A",_xlpm.x))</f>
        <v>N/A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B5:B8"/>
    <mergeCell ref="A2:H2"/>
    <mergeCell ref="B15:B18"/>
    <mergeCell ref="E15:E18"/>
    <mergeCell ref="E5:E8"/>
    <mergeCell ref="B10:B13"/>
    <mergeCell ref="E10:E13"/>
  </mergeCells>
  <pageMargins left="0.7" right="0.7" top="0.75" bottom="0.75" header="0.3" footer="0.3"/>
  <pageSetup paperSize="9" orientation="portrait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4DD052-CB89-4C49-94AD-3AAEB2080A0E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631ef649-45d3-4e5d-80df-d43468de9a5e}" enabled="1" method="Privileged" siteId="{771c9c47-7f24-44dc-958e-34f8713a8394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</vt:i4>
      </vt:variant>
    </vt:vector>
  </HeadingPairs>
  <TitlesOfParts>
    <vt:vector size="33" baseType="lpstr">
      <vt:lpstr>query</vt:lpstr>
      <vt:lpstr>raw_data_old</vt:lpstr>
      <vt:lpstr>BULK SR</vt:lpstr>
      <vt:lpstr>KUND SR</vt:lpstr>
      <vt:lpstr>MTB RIF</vt:lpstr>
      <vt:lpstr>MTB ULTRA</vt:lpstr>
      <vt:lpstr>MTB JP</vt:lpstr>
      <vt:lpstr>MTB XDR</vt:lpstr>
      <vt:lpstr>FLUVID | FLUVID+</vt:lpstr>
      <vt:lpstr>SARS-COV-2 Plus</vt:lpstr>
      <vt:lpstr>Respiratory Panel</vt:lpstr>
      <vt:lpstr>CTNG | CTNG JP</vt:lpstr>
      <vt:lpstr>C.DIFF | C.DIFF JP</vt:lpstr>
      <vt:lpstr>EBOLA</vt:lpstr>
      <vt:lpstr>HPV</vt:lpstr>
      <vt:lpstr>HBV VL</vt:lpstr>
      <vt:lpstr>HCV VL</vt:lpstr>
      <vt:lpstr>HCV VL FS</vt:lpstr>
      <vt:lpstr>HIV VL</vt:lpstr>
      <vt:lpstr>HIV VL XC</vt:lpstr>
      <vt:lpstr>HIV QA</vt:lpstr>
      <vt:lpstr>HIV QA XC</vt:lpstr>
      <vt:lpstr>GI Panel</vt:lpstr>
      <vt:lpstr>SARS-COV-2</vt:lpstr>
      <vt:lpstr>FLU RSV</vt:lpstr>
      <vt:lpstr>MRSA SA</vt:lpstr>
      <vt:lpstr>MRSA NxG</vt:lpstr>
      <vt:lpstr>NORO</vt:lpstr>
      <vt:lpstr>VAN AB</vt:lpstr>
      <vt:lpstr>GBS</vt:lpstr>
      <vt:lpstr>STREP B</vt:lpstr>
      <vt:lpstr>CARBA R</vt:lpstr>
      <vt:lpstr>'KUND SR'!Print_Area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Fredriksson, Jesper</dc:creator>
  <cp:lastModifiedBy>Fredriksson, Jesper</cp:lastModifiedBy>
  <cp:lastPrinted>2025-11-12T08:45:00Z</cp:lastPrinted>
  <dcterms:created xsi:type="dcterms:W3CDTF">2024-04-22T16:14:24Z</dcterms:created>
  <dcterms:modified xsi:type="dcterms:W3CDTF">2026-06-15T14:38:34Z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31ef649-45d3-4e5d-80df-d43468de9a5e_Enabled">
    <vt:lpwstr>true</vt:lpwstr>
  </property>
  <property fmtid="{D5CDD505-2E9C-101B-9397-08002B2CF9AE}" pid="3" name="MSIP_Label_631ef649-45d3-4e5d-80df-d43468de9a5e_SetDate">
    <vt:lpwstr>2024-04-22T16:15:41Z</vt:lpwstr>
  </property>
  <property fmtid="{D5CDD505-2E9C-101B-9397-08002B2CF9AE}" pid="4" name="MSIP_Label_631ef649-45d3-4e5d-80df-d43468de9a5e_Method">
    <vt:lpwstr>Privileged</vt:lpwstr>
  </property>
  <property fmtid="{D5CDD505-2E9C-101B-9397-08002B2CF9AE}" pid="5" name="MSIP_Label_631ef649-45d3-4e5d-80df-d43468de9a5e_Name">
    <vt:lpwstr>Unclassified</vt:lpwstr>
  </property>
  <property fmtid="{D5CDD505-2E9C-101B-9397-08002B2CF9AE}" pid="6" name="MSIP_Label_631ef649-45d3-4e5d-80df-d43468de9a5e_SiteId">
    <vt:lpwstr>771c9c47-7f24-44dc-958e-34f8713a8394</vt:lpwstr>
  </property>
  <property fmtid="{D5CDD505-2E9C-101B-9397-08002B2CF9AE}" pid="7" name="MSIP_Label_631ef649-45d3-4e5d-80df-d43468de9a5e_ActionId">
    <vt:lpwstr>010136f2-5928-447f-82c9-d0c0c4487713</vt:lpwstr>
  </property>
  <property fmtid="{D5CDD505-2E9C-101B-9397-08002B2CF9AE}" pid="8" name="MSIP_Label_631ef649-45d3-4e5d-80df-d43468de9a5e_ContentBits">
    <vt:lpwstr>0</vt:lpwstr>
  </property>
</Properties>
</file>