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57480" yWindow="-4620" windowWidth="29040" windowHeight="15720" tabRatio="883" firstSheet="1" activeTab="1" autoFilterDateGrouping="1"/>
  </bookViews>
  <sheets>
    <sheet xmlns:r="http://schemas.openxmlformats.org/officeDocument/2006/relationships" name="query" sheetId="1" state="visible" r:id="rId1"/>
    <sheet xmlns:r="http://schemas.openxmlformats.org/officeDocument/2006/relationships" name="Setup" sheetId="2" state="visible" r:id="rId2"/>
    <sheet xmlns:r="http://schemas.openxmlformats.org/officeDocument/2006/relationships" name="raw_data_old" sheetId="3" state="hidden" r:id="rId3"/>
    <sheet xmlns:r="http://schemas.openxmlformats.org/officeDocument/2006/relationships" name="BULK SR" sheetId="4" state="visible" r:id="rId4"/>
    <sheet xmlns:r="http://schemas.openxmlformats.org/officeDocument/2006/relationships" name="KUND SR" sheetId="5" state="visible" r:id="rId5"/>
    <sheet xmlns:r="http://schemas.openxmlformats.org/officeDocument/2006/relationships" name="MTB RIF" sheetId="6" state="visible" r:id="rId6"/>
    <sheet xmlns:r="http://schemas.openxmlformats.org/officeDocument/2006/relationships" name="MTB ULTRA" sheetId="7" state="visible" r:id="rId7"/>
    <sheet xmlns:r="http://schemas.openxmlformats.org/officeDocument/2006/relationships" name="MTB JP" sheetId="8" state="visible" r:id="rId8"/>
    <sheet xmlns:r="http://schemas.openxmlformats.org/officeDocument/2006/relationships" name="MTB XDR" sheetId="9" state="visible" r:id="rId9"/>
    <sheet xmlns:r="http://schemas.openxmlformats.org/officeDocument/2006/relationships" name="FLUVID | FLUVID+" sheetId="10" state="visible" r:id="rId10"/>
    <sheet xmlns:r="http://schemas.openxmlformats.org/officeDocument/2006/relationships" name="SARS-COV-2 Plus" sheetId="11" state="visible" r:id="rId11"/>
    <sheet xmlns:r="http://schemas.openxmlformats.org/officeDocument/2006/relationships" name="Respiratory Panel" sheetId="12" state="visible" r:id="rId12"/>
    <sheet xmlns:r="http://schemas.openxmlformats.org/officeDocument/2006/relationships" name="CTNG | CTNG JP" sheetId="13" state="visible" r:id="rId13"/>
    <sheet xmlns:r="http://schemas.openxmlformats.org/officeDocument/2006/relationships" name="C.DIFF | C.DIFF JP" sheetId="14" state="visible" r:id="rId14"/>
    <sheet xmlns:r="http://schemas.openxmlformats.org/officeDocument/2006/relationships" name="EBOLA" sheetId="15" state="visible" r:id="rId15"/>
    <sheet xmlns:r="http://schemas.openxmlformats.org/officeDocument/2006/relationships" name="HPV" sheetId="16" state="visible" r:id="rId16"/>
    <sheet xmlns:r="http://schemas.openxmlformats.org/officeDocument/2006/relationships" name="HBV VL" sheetId="17" state="visible" r:id="rId17"/>
    <sheet xmlns:r="http://schemas.openxmlformats.org/officeDocument/2006/relationships" name="HCV VL" sheetId="18" state="visible" r:id="rId18"/>
    <sheet xmlns:r="http://schemas.openxmlformats.org/officeDocument/2006/relationships" name="HCV VL FS" sheetId="19" state="visible" r:id="rId19"/>
    <sheet xmlns:r="http://schemas.openxmlformats.org/officeDocument/2006/relationships" name="HIV VL" sheetId="20" state="visible" r:id="rId20"/>
    <sheet xmlns:r="http://schemas.openxmlformats.org/officeDocument/2006/relationships" name="HIV VL XC" sheetId="21" state="visible" r:id="rId21"/>
    <sheet xmlns:r="http://schemas.openxmlformats.org/officeDocument/2006/relationships" name="HIV QA" sheetId="22" state="visible" r:id="rId22"/>
    <sheet xmlns:r="http://schemas.openxmlformats.org/officeDocument/2006/relationships" name="HIV QA XC" sheetId="23" state="visible" r:id="rId23"/>
    <sheet xmlns:r="http://schemas.openxmlformats.org/officeDocument/2006/relationships" name="GI Panel" sheetId="24" state="visible" r:id="rId24"/>
    <sheet xmlns:r="http://schemas.openxmlformats.org/officeDocument/2006/relationships" name="SARS-COV-2" sheetId="25" state="visible" r:id="rId25"/>
    <sheet xmlns:r="http://schemas.openxmlformats.org/officeDocument/2006/relationships" name="FLU RSV" sheetId="26" state="visible" r:id="rId26"/>
    <sheet xmlns:r="http://schemas.openxmlformats.org/officeDocument/2006/relationships" name="MRSA SA" sheetId="27" state="visible" r:id="rId27"/>
    <sheet xmlns:r="http://schemas.openxmlformats.org/officeDocument/2006/relationships" name="MRSA NxG" sheetId="28" state="visible" r:id="rId28"/>
    <sheet xmlns:r="http://schemas.openxmlformats.org/officeDocument/2006/relationships" name="NORO" sheetId="29" state="visible" r:id="rId29"/>
    <sheet xmlns:r="http://schemas.openxmlformats.org/officeDocument/2006/relationships" name="VAN AB" sheetId="30" state="visible" r:id="rId30"/>
    <sheet xmlns:r="http://schemas.openxmlformats.org/officeDocument/2006/relationships" name="GBS" sheetId="31" state="visible" r:id="rId31"/>
    <sheet xmlns:r="http://schemas.openxmlformats.org/officeDocument/2006/relationships" name="STREP A" sheetId="32" state="visible" r:id="rId32"/>
    <sheet xmlns:r="http://schemas.openxmlformats.org/officeDocument/2006/relationships" name="CARBA R" sheetId="33" state="visible" r:id="rId33"/>
  </sheets>
  <definedNames>
    <definedName name="_xlnm.Print_Area" localSheetId="4">'KUND SR'!$A$1:$W$37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yyyy\-mm\-dd;@"/>
  </numFmts>
  <fonts count="22">
    <font>
      <name val="Calibri"/>
      <family val="2"/>
      <color theme="1"/>
      <sz val="11"/>
      <scheme val="minor"/>
    </font>
    <font>
      <name val="Arial"/>
      <family val="2"/>
      <color theme="1"/>
      <sz val="11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8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b val="1"/>
      <color theme="1"/>
      <sz val="12"/>
      <u val="single"/>
      <scheme val="minor"/>
    </font>
    <font>
      <name val="Calibri"/>
      <family val="2"/>
      <b val="1"/>
      <color theme="0"/>
      <sz val="12"/>
      <scheme val="minor"/>
    </font>
    <font>
      <name val="Calibri"/>
      <family val="2"/>
      <b val="1"/>
      <color theme="0"/>
      <sz val="12"/>
      <u val="single"/>
      <scheme val="minor"/>
    </font>
    <font>
      <name val="Calibri"/>
      <family val="2"/>
      <sz val="11"/>
      <scheme val="minor"/>
    </font>
    <font>
      <name val="Calibri"/>
      <family val="2"/>
      <b val="1"/>
      <sz val="12"/>
      <scheme val="minor"/>
    </font>
    <font>
      <name val="Calibri"/>
      <family val="2"/>
      <b val="1"/>
      <sz val="12"/>
      <u val="single"/>
      <scheme val="minor"/>
    </font>
    <font>
      <name val="Calibri"/>
      <family val="2"/>
      <sz val="12"/>
      <scheme val="minor"/>
    </font>
    <font>
      <name val="Calibri"/>
      <family val="2"/>
      <b val="1"/>
      <sz val="11"/>
      <scheme val="minor"/>
    </font>
    <font>
      <name val="Calibri"/>
      <family val="2"/>
      <b val="1"/>
      <color theme="1"/>
      <sz val="18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sz val="18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8"/>
    </font>
    <font>
      <name val="Arial"/>
      <family val="2"/>
      <b val="1"/>
      <color theme="0"/>
      <sz val="18"/>
    </font>
    <font>
      <name val="Arial"/>
      <family val="2"/>
      <color theme="0"/>
      <sz val="11"/>
    </font>
    <font>
      <name val="Calibri"/>
      <family val="2"/>
      <color rgb="FFFF0000"/>
      <sz val="11"/>
      <scheme val="minor"/>
    </font>
  </fonts>
  <fills count="44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CD2D"/>
        <bgColor indexed="64"/>
      </patternFill>
    </fill>
    <fill>
      <patternFill patternType="solid">
        <fgColor rgb="FFFFA219"/>
        <bgColor indexed="64"/>
      </patternFill>
    </fill>
    <fill>
      <patternFill patternType="solid">
        <fgColor rgb="FFA462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E7F00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8" tint="0.399975585192419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FF8989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643C00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617">
    <xf numFmtId="0" fontId="0" fillId="0" borderId="0" pivotButton="0" quotePrefix="0" xfId="0"/>
    <xf numFmtId="0" fontId="5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 wrapText="1"/>
    </xf>
    <xf numFmtId="0" fontId="3" fillId="0" borderId="18" applyAlignment="1" pivotButton="0" quotePrefix="0" xfId="0">
      <alignment horizontal="center" vertical="center"/>
    </xf>
    <xf numFmtId="0" fontId="3" fillId="0" borderId="20" applyAlignment="1" pivotButton="0" quotePrefix="0" xfId="0">
      <alignment horizontal="center" vertical="center"/>
    </xf>
    <xf numFmtId="0" fontId="3" fillId="0" borderId="6" applyAlignment="1" pivotButton="0" quotePrefix="0" xfId="0">
      <alignment horizontal="center" vertical="center"/>
    </xf>
    <xf numFmtId="0" fontId="3" fillId="0" borderId="9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0" fillId="0" borderId="10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/>
    </xf>
    <xf numFmtId="0" fontId="9" fillId="0" borderId="10" applyAlignment="1" pivotButton="0" quotePrefix="0" xfId="0">
      <alignment horizontal="center" vertical="center"/>
    </xf>
    <xf numFmtId="0" fontId="9" fillId="0" borderId="13" applyAlignment="1" pivotButton="0" quotePrefix="0" xfId="0">
      <alignment horizontal="center" vertical="center"/>
    </xf>
    <xf numFmtId="0" fontId="9" fillId="0" borderId="0" applyAlignment="1" pivotButton="0" quotePrefix="0" xfId="0">
      <alignment horizontal="center" vertical="center"/>
    </xf>
    <xf numFmtId="0" fontId="9" fillId="0" borderId="13" applyAlignment="1" pivotButton="0" quotePrefix="0" xfId="0">
      <alignment horizontal="center"/>
    </xf>
    <xf numFmtId="0" fontId="9" fillId="0" borderId="21" applyAlignment="1" pivotButton="0" quotePrefix="0" xfId="0">
      <alignment horizontal="center" vertical="center"/>
    </xf>
    <xf numFmtId="0" fontId="9" fillId="0" borderId="22" applyAlignment="1" pivotButton="0" quotePrefix="0" xfId="0">
      <alignment horizontal="center" vertical="center"/>
    </xf>
    <xf numFmtId="0" fontId="0" fillId="0" borderId="10" pivotButton="0" quotePrefix="0" xfId="0"/>
    <xf numFmtId="0" fontId="0" fillId="0" borderId="13" pivotButton="0" quotePrefix="0" xfId="0"/>
    <xf numFmtId="0" fontId="0" fillId="0" borderId="14" pivotButton="0" quotePrefix="0" xfId="0"/>
    <xf numFmtId="0" fontId="0" fillId="0" borderId="17" applyAlignment="1" pivotButton="0" quotePrefix="0" xfId="0">
      <alignment horizontal="center"/>
    </xf>
    <xf numFmtId="0" fontId="9" fillId="0" borderId="14" applyAlignment="1" pivotButton="0" quotePrefix="0" xfId="0">
      <alignment horizontal="center" vertical="center"/>
    </xf>
    <xf numFmtId="0" fontId="9" fillId="0" borderId="17" applyAlignment="1" pivotButton="0" quotePrefix="0" xfId="0">
      <alignment horizontal="center" vertical="center"/>
    </xf>
    <xf numFmtId="0" fontId="0" fillId="0" borderId="17" pivotButton="0" quotePrefix="0" xfId="0"/>
    <xf numFmtId="0" fontId="13" fillId="0" borderId="18" applyAlignment="1" pivotButton="0" quotePrefix="0" xfId="0">
      <alignment horizontal="center" vertical="center"/>
    </xf>
    <xf numFmtId="0" fontId="9" fillId="0" borderId="20" applyAlignment="1" pivotButton="0" quotePrefix="0" xfId="0">
      <alignment horizontal="center" vertical="center"/>
    </xf>
    <xf numFmtId="0" fontId="9" fillId="0" borderId="10" applyAlignment="1" pivotButton="0" quotePrefix="0" xfId="0">
      <alignment horizontal="center" vertical="center" wrapText="1"/>
    </xf>
    <xf numFmtId="0" fontId="0" fillId="0" borderId="1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 vertical="center"/>
    </xf>
    <xf numFmtId="0" fontId="0" fillId="0" borderId="22" applyAlignment="1" pivotButton="0" quotePrefix="0" xfId="0">
      <alignment horizontal="center" vertical="center"/>
    </xf>
    <xf numFmtId="0" fontId="0" fillId="0" borderId="14" applyAlignment="1" pivotButton="0" quotePrefix="0" xfId="0">
      <alignment horizontal="center" vertical="center"/>
    </xf>
    <xf numFmtId="0" fontId="0" fillId="0" borderId="17" applyAlignment="1" pivotButton="0" quotePrefix="0" xfId="0">
      <alignment horizontal="center" vertical="center"/>
    </xf>
    <xf numFmtId="0" fontId="0" fillId="6" borderId="0" pivotButton="0" quotePrefix="0" xfId="0"/>
    <xf numFmtId="0" fontId="1" fillId="0" borderId="0" pivotButton="0" quotePrefix="0" xfId="0"/>
    <xf numFmtId="14" fontId="0" fillId="0" borderId="0" pivotButton="0" quotePrefix="0" xfId="0"/>
    <xf numFmtId="0" fontId="0" fillId="0" borderId="4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0" fillId="0" borderId="20" applyAlignment="1" pivotButton="0" quotePrefix="0" xfId="0">
      <alignment horizontal="center" vertical="center"/>
    </xf>
    <xf numFmtId="164" fontId="0" fillId="0" borderId="19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164" fontId="0" fillId="0" borderId="11" applyAlignment="1" pivotButton="0" quotePrefix="0" xfId="0">
      <alignment horizontal="center" vertical="center"/>
    </xf>
    <xf numFmtId="0" fontId="0" fillId="0" borderId="15" applyAlignment="1" pivotButton="0" quotePrefix="0" xfId="0">
      <alignment horizontal="center" vertical="center"/>
    </xf>
    <xf numFmtId="164" fontId="0" fillId="0" borderId="15" applyAlignment="1" pivotButton="0" quotePrefix="0" xfId="0">
      <alignment horizontal="center" vertical="center"/>
    </xf>
    <xf numFmtId="164" fontId="0" fillId="0" borderId="26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14" fontId="3" fillId="4" borderId="2" applyAlignment="1" pivotButton="0" quotePrefix="0" xfId="0">
      <alignment horizontal="center" vertical="center"/>
    </xf>
    <xf numFmtId="0" fontId="3" fillId="4" borderId="2" applyAlignment="1" pivotButton="0" quotePrefix="0" xfId="0">
      <alignment horizontal="center" vertical="center"/>
    </xf>
    <xf numFmtId="0" fontId="3" fillId="12" borderId="33" pivotButton="0" quotePrefix="0" xfId="0"/>
    <xf numFmtId="0" fontId="0" fillId="0" borderId="6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164" fontId="0" fillId="0" borderId="7" applyAlignment="1" pivotButton="0" quotePrefix="0" xfId="0">
      <alignment horizontal="center" vertical="center"/>
    </xf>
    <xf numFmtId="14" fontId="0" fillId="0" borderId="7" applyAlignment="1" pivotButton="0" quotePrefix="0" xfId="0">
      <alignment horizontal="center" vertical="center"/>
    </xf>
    <xf numFmtId="0" fontId="0" fillId="0" borderId="9" applyAlignment="1" pivotButton="0" quotePrefix="0" xfId="0">
      <alignment horizontal="center" vertical="center"/>
    </xf>
    <xf numFmtId="14" fontId="0" fillId="0" borderId="11" applyAlignment="1" pivotButton="0" quotePrefix="0" xfId="0">
      <alignment horizontal="center" vertical="center"/>
    </xf>
    <xf numFmtId="14" fontId="0" fillId="0" borderId="15" applyAlignment="1" pivotButton="0" quotePrefix="0" xfId="0">
      <alignment horizontal="center" vertical="center"/>
    </xf>
    <xf numFmtId="0" fontId="0" fillId="0" borderId="0" applyAlignment="1" pivotButton="0" quotePrefix="0" xfId="0">
      <alignment wrapText="1"/>
    </xf>
    <xf numFmtId="14" fontId="3" fillId="4" borderId="40" applyAlignment="1" pivotButton="0" quotePrefix="0" xfId="0">
      <alignment horizontal="center" vertical="center"/>
    </xf>
    <xf numFmtId="0" fontId="3" fillId="4" borderId="40" applyAlignment="1" pivotButton="0" quotePrefix="0" xfId="0">
      <alignment horizontal="center" vertical="center"/>
    </xf>
    <xf numFmtId="0" fontId="3" fillId="12" borderId="5" pivotButton="0" quotePrefix="0" xfId="0"/>
    <xf numFmtId="0" fontId="3" fillId="13" borderId="39" applyAlignment="1" pivotButton="0" quotePrefix="0" xfId="0">
      <alignment horizontal="center" vertical="center"/>
    </xf>
    <xf numFmtId="0" fontId="3" fillId="13" borderId="40" applyAlignment="1" pivotButton="0" quotePrefix="0" xfId="0">
      <alignment horizontal="center" vertical="center"/>
    </xf>
    <xf numFmtId="164" fontId="3" fillId="13" borderId="40" applyAlignment="1" pivotButton="0" quotePrefix="0" xfId="0">
      <alignment horizontal="center" vertical="center"/>
    </xf>
    <xf numFmtId="14" fontId="3" fillId="13" borderId="45" applyAlignment="1" pivotButton="0" quotePrefix="0" xfId="0">
      <alignment horizontal="center" vertical="center"/>
    </xf>
    <xf numFmtId="0" fontId="3" fillId="13" borderId="5" applyAlignment="1" pivotButton="0" quotePrefix="0" xfId="0">
      <alignment horizontal="center" vertical="center"/>
    </xf>
    <xf numFmtId="0" fontId="3" fillId="14" borderId="39" applyAlignment="1" pivotButton="0" quotePrefix="0" xfId="0">
      <alignment horizontal="center" vertical="center"/>
    </xf>
    <xf numFmtId="0" fontId="3" fillId="14" borderId="40" applyAlignment="1" pivotButton="0" quotePrefix="0" xfId="0">
      <alignment horizontal="center" vertical="center"/>
    </xf>
    <xf numFmtId="164" fontId="3" fillId="14" borderId="40" applyAlignment="1" pivotButton="0" quotePrefix="0" xfId="0">
      <alignment horizontal="center" vertical="center"/>
    </xf>
    <xf numFmtId="14" fontId="3" fillId="14" borderId="45" applyAlignment="1" pivotButton="0" quotePrefix="0" xfId="0">
      <alignment horizontal="center" vertical="center"/>
    </xf>
    <xf numFmtId="0" fontId="3" fillId="14" borderId="5" applyAlignment="1" pivotButton="0" quotePrefix="0" xfId="0">
      <alignment horizontal="center" vertical="center"/>
    </xf>
    <xf numFmtId="0" fontId="3" fillId="14" borderId="51" applyAlignment="1" pivotButton="0" quotePrefix="0" xfId="0">
      <alignment horizontal="center" vertical="center"/>
    </xf>
    <xf numFmtId="0" fontId="3" fillId="14" borderId="50" applyAlignment="1" pivotButton="0" quotePrefix="0" xfId="0">
      <alignment horizontal="center" vertical="center"/>
    </xf>
    <xf numFmtId="164" fontId="3" fillId="14" borderId="50" applyAlignment="1" pivotButton="0" quotePrefix="0" xfId="0">
      <alignment horizontal="center" vertical="center"/>
    </xf>
    <xf numFmtId="14" fontId="3" fillId="14" borderId="52" applyAlignment="1" pivotButton="0" quotePrefix="0" xfId="0">
      <alignment horizontal="center" vertical="center"/>
    </xf>
    <xf numFmtId="0" fontId="3" fillId="14" borderId="53" applyAlignment="1" pivotButton="0" quotePrefix="0" xfId="0">
      <alignment horizontal="center" vertical="center"/>
    </xf>
    <xf numFmtId="14" fontId="0" fillId="0" borderId="0" applyAlignment="1" pivotButton="0" quotePrefix="0" xfId="0">
      <alignment horizontal="center" vertical="center"/>
    </xf>
    <xf numFmtId="164" fontId="0" fillId="0" borderId="0" pivotButton="0" quotePrefix="0" xfId="0"/>
    <xf numFmtId="164" fontId="3" fillId="4" borderId="40" applyAlignment="1" pivotButton="0" quotePrefix="0" xfId="0">
      <alignment horizontal="center" vertical="center"/>
    </xf>
    <xf numFmtId="164" fontId="3" fillId="4" borderId="2" applyAlignment="1" pivotButton="0" quotePrefix="0" xfId="0">
      <alignment horizontal="center" vertical="center"/>
    </xf>
    <xf numFmtId="0" fontId="3" fillId="17" borderId="39" applyAlignment="1" pivotButton="0" quotePrefix="0" xfId="0">
      <alignment horizontal="center" vertical="center"/>
    </xf>
    <xf numFmtId="0" fontId="3" fillId="17" borderId="40" applyAlignment="1" pivotButton="0" quotePrefix="0" xfId="0">
      <alignment horizontal="center" vertical="center"/>
    </xf>
    <xf numFmtId="164" fontId="3" fillId="17" borderId="40" applyAlignment="1" pivotButton="0" quotePrefix="0" xfId="0">
      <alignment horizontal="center" vertical="center"/>
    </xf>
    <xf numFmtId="164" fontId="3" fillId="17" borderId="45" applyAlignment="1" pivotButton="0" quotePrefix="0" xfId="0">
      <alignment horizontal="center" vertical="center"/>
    </xf>
    <xf numFmtId="0" fontId="3" fillId="17" borderId="5" applyAlignment="1" pivotButton="0" quotePrefix="0" xfId="0">
      <alignment horizontal="center" vertical="center"/>
    </xf>
    <xf numFmtId="0" fontId="3" fillId="17" borderId="51" applyAlignment="1" pivotButton="0" quotePrefix="0" xfId="0">
      <alignment horizontal="center" vertical="center"/>
    </xf>
    <xf numFmtId="0" fontId="3" fillId="17" borderId="50" applyAlignment="1" pivotButton="0" quotePrefix="0" xfId="0">
      <alignment horizontal="center" vertical="center"/>
    </xf>
    <xf numFmtId="164" fontId="3" fillId="17" borderId="50" applyAlignment="1" pivotButton="0" quotePrefix="0" xfId="0">
      <alignment horizontal="center" vertical="center"/>
    </xf>
    <xf numFmtId="164" fontId="3" fillId="17" borderId="52" applyAlignment="1" pivotButton="0" quotePrefix="0" xfId="0">
      <alignment horizontal="center" vertical="center"/>
    </xf>
    <xf numFmtId="0" fontId="3" fillId="17" borderId="53" applyAlignment="1" pivotButton="0" quotePrefix="0" xfId="0">
      <alignment horizontal="center" vertical="center"/>
    </xf>
    <xf numFmtId="0" fontId="15" fillId="16" borderId="39" applyAlignment="1" pivotButton="0" quotePrefix="0" xfId="0">
      <alignment horizontal="center" vertical="center"/>
    </xf>
    <xf numFmtId="0" fontId="15" fillId="16" borderId="40" applyAlignment="1" pivotButton="0" quotePrefix="0" xfId="0">
      <alignment horizontal="center" vertical="center"/>
    </xf>
    <xf numFmtId="164" fontId="15" fillId="16" borderId="40" applyAlignment="1" pivotButton="0" quotePrefix="0" xfId="0">
      <alignment horizontal="center" vertical="center"/>
    </xf>
    <xf numFmtId="164" fontId="15" fillId="16" borderId="45" applyAlignment="1" pivotButton="0" quotePrefix="0" xfId="0">
      <alignment horizontal="center" vertical="center"/>
    </xf>
    <xf numFmtId="0" fontId="15" fillId="16" borderId="5" applyAlignment="1" pivotButton="0" quotePrefix="0" xfId="0">
      <alignment horizontal="center" vertical="center"/>
    </xf>
    <xf numFmtId="0" fontId="15" fillId="16" borderId="51" applyAlignment="1" pivotButton="0" quotePrefix="0" xfId="0">
      <alignment horizontal="center" vertical="center"/>
    </xf>
    <xf numFmtId="0" fontId="15" fillId="16" borderId="50" applyAlignment="1" pivotButton="0" quotePrefix="0" xfId="0">
      <alignment horizontal="center" vertical="center"/>
    </xf>
    <xf numFmtId="164" fontId="15" fillId="16" borderId="50" applyAlignment="1" pivotButton="0" quotePrefix="0" xfId="0">
      <alignment horizontal="center" vertical="center"/>
    </xf>
    <xf numFmtId="164" fontId="15" fillId="16" borderId="52" applyAlignment="1" pivotButton="0" quotePrefix="0" xfId="0">
      <alignment horizontal="center" vertical="center"/>
    </xf>
    <xf numFmtId="0" fontId="15" fillId="16" borderId="53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 wrapText="1"/>
    </xf>
    <xf numFmtId="0" fontId="15" fillId="18" borderId="39" applyAlignment="1" pivotButton="0" quotePrefix="0" xfId="0">
      <alignment horizontal="center" vertical="center"/>
    </xf>
    <xf numFmtId="0" fontId="15" fillId="18" borderId="40" applyAlignment="1" pivotButton="0" quotePrefix="0" xfId="0">
      <alignment horizontal="center" vertical="center"/>
    </xf>
    <xf numFmtId="164" fontId="15" fillId="18" borderId="40" applyAlignment="1" pivotButton="0" quotePrefix="0" xfId="0">
      <alignment horizontal="center" vertical="center"/>
    </xf>
    <xf numFmtId="164" fontId="15" fillId="18" borderId="45" applyAlignment="1" pivotButton="0" quotePrefix="0" xfId="0">
      <alignment horizontal="center" vertical="center"/>
    </xf>
    <xf numFmtId="0" fontId="15" fillId="18" borderId="5" applyAlignment="1" pivotButton="0" quotePrefix="0" xfId="0">
      <alignment horizontal="center" vertical="center"/>
    </xf>
    <xf numFmtId="0" fontId="15" fillId="18" borderId="51" applyAlignment="1" pivotButton="0" quotePrefix="0" xfId="0">
      <alignment horizontal="center" vertical="center"/>
    </xf>
    <xf numFmtId="0" fontId="15" fillId="18" borderId="50" applyAlignment="1" pivotButton="0" quotePrefix="0" xfId="0">
      <alignment horizontal="center" vertical="center"/>
    </xf>
    <xf numFmtId="164" fontId="15" fillId="18" borderId="50" applyAlignment="1" pivotButton="0" quotePrefix="0" xfId="0">
      <alignment horizontal="center" vertical="center"/>
    </xf>
    <xf numFmtId="164" fontId="15" fillId="18" borderId="52" applyAlignment="1" pivotButton="0" quotePrefix="0" xfId="0">
      <alignment horizontal="center" vertical="center"/>
    </xf>
    <xf numFmtId="0" fontId="15" fillId="18" borderId="53" applyAlignment="1" pivotButton="0" quotePrefix="0" xfId="0">
      <alignment horizontal="center" vertical="center"/>
    </xf>
    <xf numFmtId="0" fontId="13" fillId="19" borderId="39" applyAlignment="1" pivotButton="0" quotePrefix="0" xfId="0">
      <alignment horizontal="center" vertical="center"/>
    </xf>
    <xf numFmtId="0" fontId="13" fillId="19" borderId="40" applyAlignment="1" pivotButton="0" quotePrefix="0" xfId="0">
      <alignment horizontal="center" vertical="center"/>
    </xf>
    <xf numFmtId="164" fontId="13" fillId="19" borderId="40" applyAlignment="1" pivotButton="0" quotePrefix="0" xfId="0">
      <alignment horizontal="center" vertical="center"/>
    </xf>
    <xf numFmtId="164" fontId="13" fillId="19" borderId="45" applyAlignment="1" pivotButton="0" quotePrefix="0" xfId="0">
      <alignment horizontal="center" vertical="center"/>
    </xf>
    <xf numFmtId="0" fontId="13" fillId="19" borderId="5" applyAlignment="1" pivotButton="0" quotePrefix="0" xfId="0">
      <alignment horizontal="center" vertical="center"/>
    </xf>
    <xf numFmtId="0" fontId="15" fillId="20" borderId="1" applyAlignment="1" pivotButton="0" quotePrefix="0" xfId="0">
      <alignment horizontal="center" vertical="center"/>
    </xf>
    <xf numFmtId="0" fontId="15" fillId="20" borderId="2" applyAlignment="1" pivotButton="0" quotePrefix="0" xfId="0">
      <alignment horizontal="center" vertical="center"/>
    </xf>
    <xf numFmtId="164" fontId="15" fillId="20" borderId="2" applyAlignment="1" pivotButton="0" quotePrefix="0" xfId="0">
      <alignment horizontal="center" vertical="center"/>
    </xf>
    <xf numFmtId="164" fontId="15" fillId="20" borderId="3" applyAlignment="1" pivotButton="0" quotePrefix="0" xfId="0">
      <alignment horizontal="center" vertical="center"/>
    </xf>
    <xf numFmtId="0" fontId="15" fillId="20" borderId="33" applyAlignment="1" pivotButton="0" quotePrefix="0" xfId="0">
      <alignment horizontal="center" vertical="center"/>
    </xf>
    <xf numFmtId="0" fontId="15" fillId="21" borderId="39" applyAlignment="1" pivotButton="0" quotePrefix="0" xfId="0">
      <alignment horizontal="center" vertical="center"/>
    </xf>
    <xf numFmtId="0" fontId="15" fillId="21" borderId="40" applyAlignment="1" pivotButton="0" quotePrefix="0" xfId="0">
      <alignment horizontal="center" vertical="center"/>
    </xf>
    <xf numFmtId="164" fontId="15" fillId="21" borderId="40" applyAlignment="1" pivotButton="0" quotePrefix="0" xfId="0">
      <alignment horizontal="center" vertical="center"/>
    </xf>
    <xf numFmtId="14" fontId="15" fillId="21" borderId="45" applyAlignment="1" pivotButton="0" quotePrefix="0" xfId="0">
      <alignment horizontal="center" vertical="center"/>
    </xf>
    <xf numFmtId="0" fontId="15" fillId="21" borderId="5" applyAlignment="1" pivotButton="0" quotePrefix="0" xfId="0">
      <alignment horizontal="center" vertical="center"/>
    </xf>
    <xf numFmtId="0" fontId="15" fillId="21" borderId="51" applyAlignment="1" pivotButton="0" quotePrefix="0" xfId="0">
      <alignment horizontal="center" vertical="center"/>
    </xf>
    <xf numFmtId="0" fontId="15" fillId="21" borderId="50" applyAlignment="1" pivotButton="0" quotePrefix="0" xfId="0">
      <alignment horizontal="center" vertical="center"/>
    </xf>
    <xf numFmtId="164" fontId="15" fillId="21" borderId="50" applyAlignment="1" pivotButton="0" quotePrefix="0" xfId="0">
      <alignment horizontal="center" vertical="center"/>
    </xf>
    <xf numFmtId="14" fontId="15" fillId="21" borderId="52" applyAlignment="1" pivotButton="0" quotePrefix="0" xfId="0">
      <alignment horizontal="center" vertical="center"/>
    </xf>
    <xf numFmtId="0" fontId="15" fillId="21" borderId="53" applyAlignment="1" pivotButton="0" quotePrefix="0" xfId="0">
      <alignment horizontal="center" vertical="center"/>
    </xf>
    <xf numFmtId="0" fontId="9" fillId="0" borderId="0" pivotButton="0" quotePrefix="0" xfId="0"/>
    <xf numFmtId="14" fontId="13" fillId="19" borderId="45" applyAlignment="1" pivotButton="0" quotePrefix="0" xfId="0">
      <alignment horizontal="center" vertical="center"/>
    </xf>
    <xf numFmtId="0" fontId="3" fillId="22" borderId="39" applyAlignment="1" pivotButton="0" quotePrefix="0" xfId="0">
      <alignment horizontal="center" vertical="center"/>
    </xf>
    <xf numFmtId="0" fontId="3" fillId="22" borderId="40" applyAlignment="1" pivotButton="0" quotePrefix="0" xfId="0">
      <alignment horizontal="center" vertical="center"/>
    </xf>
    <xf numFmtId="164" fontId="3" fillId="22" borderId="40" applyAlignment="1" pivotButton="0" quotePrefix="0" xfId="0">
      <alignment horizontal="center" vertical="center"/>
    </xf>
    <xf numFmtId="164" fontId="3" fillId="22" borderId="45" applyAlignment="1" pivotButton="0" quotePrefix="0" xfId="0">
      <alignment horizontal="center" vertical="center"/>
    </xf>
    <xf numFmtId="0" fontId="3" fillId="22" borderId="5" applyAlignment="1" pivotButton="0" quotePrefix="0" xfId="0">
      <alignment horizontal="center" vertical="center"/>
    </xf>
    <xf numFmtId="0" fontId="3" fillId="22" borderId="51" applyAlignment="1" pivotButton="0" quotePrefix="0" xfId="0">
      <alignment horizontal="center" vertical="center"/>
    </xf>
    <xf numFmtId="0" fontId="3" fillId="22" borderId="50" applyAlignment="1" pivotButton="0" quotePrefix="0" xfId="0">
      <alignment horizontal="center" vertical="center"/>
    </xf>
    <xf numFmtId="164" fontId="3" fillId="22" borderId="50" applyAlignment="1" pivotButton="0" quotePrefix="0" xfId="0">
      <alignment horizontal="center" vertical="center"/>
    </xf>
    <xf numFmtId="164" fontId="3" fillId="22" borderId="52" applyAlignment="1" pivotButton="0" quotePrefix="0" xfId="0">
      <alignment horizontal="center" vertical="center"/>
    </xf>
    <xf numFmtId="0" fontId="3" fillId="22" borderId="53" applyAlignment="1" pivotButton="0" quotePrefix="0" xfId="0">
      <alignment horizontal="center" vertical="center"/>
    </xf>
    <xf numFmtId="0" fontId="3" fillId="23" borderId="39" applyAlignment="1" pivotButton="0" quotePrefix="0" xfId="0">
      <alignment horizontal="center" vertical="center"/>
    </xf>
    <xf numFmtId="0" fontId="3" fillId="23" borderId="40" applyAlignment="1" pivotButton="0" quotePrefix="0" xfId="0">
      <alignment horizontal="center" vertical="center"/>
    </xf>
    <xf numFmtId="164" fontId="3" fillId="23" borderId="40" applyAlignment="1" pivotButton="0" quotePrefix="0" xfId="0">
      <alignment horizontal="center" vertical="center"/>
    </xf>
    <xf numFmtId="164" fontId="3" fillId="23" borderId="45" applyAlignment="1" pivotButton="0" quotePrefix="0" xfId="0">
      <alignment horizontal="center" vertical="center"/>
    </xf>
    <xf numFmtId="0" fontId="3" fillId="23" borderId="5" applyAlignment="1" pivotButton="0" quotePrefix="0" xfId="0">
      <alignment horizontal="center" vertical="center"/>
    </xf>
    <xf numFmtId="0" fontId="3" fillId="23" borderId="51" applyAlignment="1" pivotButton="0" quotePrefix="0" xfId="0">
      <alignment horizontal="center" vertical="center"/>
    </xf>
    <xf numFmtId="0" fontId="3" fillId="23" borderId="50" applyAlignment="1" pivotButton="0" quotePrefix="0" xfId="0">
      <alignment horizontal="center" vertical="center"/>
    </xf>
    <xf numFmtId="164" fontId="3" fillId="23" borderId="50" applyAlignment="1" pivotButton="0" quotePrefix="0" xfId="0">
      <alignment horizontal="center" vertical="center"/>
    </xf>
    <xf numFmtId="164" fontId="3" fillId="23" borderId="52" applyAlignment="1" pivotButton="0" quotePrefix="0" xfId="0">
      <alignment horizontal="center" vertical="center"/>
    </xf>
    <xf numFmtId="0" fontId="3" fillId="23" borderId="53" applyAlignment="1" pivotButton="0" quotePrefix="0" xfId="0">
      <alignment horizontal="center" vertical="center"/>
    </xf>
    <xf numFmtId="0" fontId="3" fillId="24" borderId="39" applyAlignment="1" pivotButton="0" quotePrefix="0" xfId="0">
      <alignment horizontal="center" vertical="center"/>
    </xf>
    <xf numFmtId="0" fontId="3" fillId="24" borderId="40" applyAlignment="1" pivotButton="0" quotePrefix="0" xfId="0">
      <alignment horizontal="center" vertical="center"/>
    </xf>
    <xf numFmtId="164" fontId="3" fillId="24" borderId="40" applyAlignment="1" pivotButton="0" quotePrefix="0" xfId="0">
      <alignment horizontal="center" vertical="center"/>
    </xf>
    <xf numFmtId="164" fontId="3" fillId="24" borderId="45" applyAlignment="1" pivotButton="0" quotePrefix="0" xfId="0">
      <alignment horizontal="center" vertical="center"/>
    </xf>
    <xf numFmtId="0" fontId="3" fillId="24" borderId="5" applyAlignment="1" pivotButton="0" quotePrefix="0" xfId="0">
      <alignment horizontal="center" vertical="center"/>
    </xf>
    <xf numFmtId="0" fontId="3" fillId="24" borderId="51" applyAlignment="1" pivotButton="0" quotePrefix="0" xfId="0">
      <alignment horizontal="center" vertical="center"/>
    </xf>
    <xf numFmtId="0" fontId="3" fillId="24" borderId="50" applyAlignment="1" pivotButton="0" quotePrefix="0" xfId="0">
      <alignment horizontal="center" vertical="center"/>
    </xf>
    <xf numFmtId="164" fontId="3" fillId="24" borderId="50" applyAlignment="1" pivotButton="0" quotePrefix="0" xfId="0">
      <alignment horizontal="center" vertical="center"/>
    </xf>
    <xf numFmtId="164" fontId="3" fillId="24" borderId="52" applyAlignment="1" pivotButton="0" quotePrefix="0" xfId="0">
      <alignment horizontal="center" vertical="center"/>
    </xf>
    <xf numFmtId="0" fontId="3" fillId="24" borderId="53" applyAlignment="1" pivotButton="0" quotePrefix="0" xfId="0">
      <alignment horizontal="center" vertical="center"/>
    </xf>
    <xf numFmtId="0" fontId="15" fillId="25" borderId="51" applyAlignment="1" pivotButton="0" quotePrefix="0" xfId="0">
      <alignment horizontal="center" vertical="center"/>
    </xf>
    <xf numFmtId="0" fontId="15" fillId="25" borderId="50" applyAlignment="1" pivotButton="0" quotePrefix="0" xfId="0">
      <alignment horizontal="center" vertical="center"/>
    </xf>
    <xf numFmtId="164" fontId="15" fillId="25" borderId="50" applyAlignment="1" pivotButton="0" quotePrefix="0" xfId="0">
      <alignment horizontal="center" vertical="center"/>
    </xf>
    <xf numFmtId="164" fontId="15" fillId="25" borderId="52" applyAlignment="1" pivotButton="0" quotePrefix="0" xfId="0">
      <alignment horizontal="center" vertical="center"/>
    </xf>
    <xf numFmtId="0" fontId="15" fillId="25" borderId="53" applyAlignment="1" pivotButton="0" quotePrefix="0" xfId="0">
      <alignment horizontal="center" vertical="center"/>
    </xf>
    <xf numFmtId="0" fontId="15" fillId="25" borderId="39" applyAlignment="1" pivotButton="0" quotePrefix="0" xfId="0">
      <alignment horizontal="center" vertical="center"/>
    </xf>
    <xf numFmtId="0" fontId="15" fillId="25" borderId="40" applyAlignment="1" pivotButton="0" quotePrefix="0" xfId="0">
      <alignment horizontal="center" vertical="center"/>
    </xf>
    <xf numFmtId="164" fontId="15" fillId="25" borderId="40" applyAlignment="1" pivotButton="0" quotePrefix="0" xfId="0">
      <alignment horizontal="center" vertical="center"/>
    </xf>
    <xf numFmtId="164" fontId="15" fillId="25" borderId="45" applyAlignment="1" pivotButton="0" quotePrefix="0" xfId="0">
      <alignment horizontal="center" vertical="center"/>
    </xf>
    <xf numFmtId="0" fontId="15" fillId="25" borderId="5" applyAlignment="1" pivotButton="0" quotePrefix="0" xfId="0">
      <alignment horizontal="center" vertical="center"/>
    </xf>
    <xf numFmtId="0" fontId="3" fillId="26" borderId="39" applyAlignment="1" pivotButton="0" quotePrefix="0" xfId="0">
      <alignment horizontal="center" vertical="center"/>
    </xf>
    <xf numFmtId="0" fontId="3" fillId="26" borderId="40" applyAlignment="1" pivotButton="0" quotePrefix="0" xfId="0">
      <alignment horizontal="center" vertical="center"/>
    </xf>
    <xf numFmtId="164" fontId="3" fillId="26" borderId="40" applyAlignment="1" pivotButton="0" quotePrefix="0" xfId="0">
      <alignment horizontal="center" vertical="center"/>
    </xf>
    <xf numFmtId="164" fontId="3" fillId="26" borderId="45" applyAlignment="1" pivotButton="0" quotePrefix="0" xfId="0">
      <alignment horizontal="center" vertical="center"/>
    </xf>
    <xf numFmtId="0" fontId="3" fillId="26" borderId="5" applyAlignment="1" pivotButton="0" quotePrefix="0" xfId="0">
      <alignment horizontal="center" vertical="center"/>
    </xf>
    <xf numFmtId="0" fontId="3" fillId="26" borderId="51" applyAlignment="1" pivotButton="0" quotePrefix="0" xfId="0">
      <alignment horizontal="center" vertical="center"/>
    </xf>
    <xf numFmtId="0" fontId="3" fillId="26" borderId="50" applyAlignment="1" pivotButton="0" quotePrefix="0" xfId="0">
      <alignment horizontal="center" vertical="center"/>
    </xf>
    <xf numFmtId="164" fontId="3" fillId="26" borderId="50" applyAlignment="1" pivotButton="0" quotePrefix="0" xfId="0">
      <alignment horizontal="center" vertical="center"/>
    </xf>
    <xf numFmtId="164" fontId="3" fillId="26" borderId="52" applyAlignment="1" pivotButton="0" quotePrefix="0" xfId="0">
      <alignment horizontal="center" vertical="center"/>
    </xf>
    <xf numFmtId="0" fontId="3" fillId="26" borderId="53" applyAlignment="1" pivotButton="0" quotePrefix="0" xfId="0">
      <alignment horizontal="center" vertical="center"/>
    </xf>
    <xf numFmtId="0" fontId="15" fillId="27" borderId="39" applyAlignment="1" pivotButton="0" quotePrefix="0" xfId="0">
      <alignment horizontal="center" vertical="center"/>
    </xf>
    <xf numFmtId="0" fontId="15" fillId="27" borderId="40" applyAlignment="1" pivotButton="0" quotePrefix="0" xfId="0">
      <alignment horizontal="center" vertical="center"/>
    </xf>
    <xf numFmtId="164" fontId="15" fillId="27" borderId="40" applyAlignment="1" pivotButton="0" quotePrefix="0" xfId="0">
      <alignment horizontal="center" vertical="center"/>
    </xf>
    <xf numFmtId="164" fontId="15" fillId="27" borderId="45" applyAlignment="1" pivotButton="0" quotePrefix="0" xfId="0">
      <alignment horizontal="center" vertical="center"/>
    </xf>
    <xf numFmtId="0" fontId="15" fillId="27" borderId="5" applyAlignment="1" pivotButton="0" quotePrefix="0" xfId="0">
      <alignment horizontal="center" vertical="center"/>
    </xf>
    <xf numFmtId="0" fontId="15" fillId="27" borderId="51" applyAlignment="1" pivotButton="0" quotePrefix="0" xfId="0">
      <alignment horizontal="center" vertical="center"/>
    </xf>
    <xf numFmtId="0" fontId="15" fillId="27" borderId="50" applyAlignment="1" pivotButton="0" quotePrefix="0" xfId="0">
      <alignment horizontal="center" vertical="center"/>
    </xf>
    <xf numFmtId="164" fontId="15" fillId="27" borderId="50" applyAlignment="1" pivotButton="0" quotePrefix="0" xfId="0">
      <alignment horizontal="center" vertical="center"/>
    </xf>
    <xf numFmtId="164" fontId="15" fillId="27" borderId="52" applyAlignment="1" pivotButton="0" quotePrefix="0" xfId="0">
      <alignment horizontal="center" vertical="center"/>
    </xf>
    <xf numFmtId="0" fontId="15" fillId="27" borderId="53" applyAlignment="1" pivotButton="0" quotePrefix="0" xfId="0">
      <alignment horizontal="center" vertical="center"/>
    </xf>
    <xf numFmtId="0" fontId="15" fillId="15" borderId="40" applyAlignment="1" pivotButton="0" quotePrefix="0" xfId="0">
      <alignment horizontal="center" vertical="center"/>
    </xf>
    <xf numFmtId="0" fontId="15" fillId="15" borderId="39" applyAlignment="1" pivotButton="0" quotePrefix="0" xfId="0">
      <alignment horizontal="center" vertical="center"/>
    </xf>
    <xf numFmtId="164" fontId="15" fillId="15" borderId="40" applyAlignment="1" pivotButton="0" quotePrefix="0" xfId="0">
      <alignment horizontal="center" vertical="center"/>
    </xf>
    <xf numFmtId="164" fontId="15" fillId="15" borderId="45" applyAlignment="1" pivotButton="0" quotePrefix="0" xfId="0">
      <alignment horizontal="center" vertical="center"/>
    </xf>
    <xf numFmtId="0" fontId="15" fillId="15" borderId="5" applyAlignment="1" pivotButton="0" quotePrefix="0" xfId="0">
      <alignment horizontal="center" vertical="center"/>
    </xf>
    <xf numFmtId="0" fontId="15" fillId="15" borderId="51" applyAlignment="1" pivotButton="0" quotePrefix="0" xfId="0">
      <alignment horizontal="center" vertical="center"/>
    </xf>
    <xf numFmtId="0" fontId="15" fillId="15" borderId="50" applyAlignment="1" pivotButton="0" quotePrefix="0" xfId="0">
      <alignment horizontal="center" vertical="center"/>
    </xf>
    <xf numFmtId="164" fontId="15" fillId="15" borderId="50" applyAlignment="1" pivotButton="0" quotePrefix="0" xfId="0">
      <alignment horizontal="center" vertical="center"/>
    </xf>
    <xf numFmtId="164" fontId="15" fillId="15" borderId="52" applyAlignment="1" pivotButton="0" quotePrefix="0" xfId="0">
      <alignment horizontal="center" vertical="center"/>
    </xf>
    <xf numFmtId="0" fontId="15" fillId="15" borderId="53" applyAlignment="1" pivotButton="0" quotePrefix="0" xfId="0">
      <alignment horizontal="center" vertical="center"/>
    </xf>
    <xf numFmtId="0" fontId="3" fillId="5" borderId="39" applyAlignment="1" pivotButton="0" quotePrefix="0" xfId="0">
      <alignment horizontal="center" vertical="center"/>
    </xf>
    <xf numFmtId="0" fontId="3" fillId="5" borderId="40" applyAlignment="1" pivotButton="0" quotePrefix="0" xfId="0">
      <alignment horizontal="center" vertical="center"/>
    </xf>
    <xf numFmtId="164" fontId="3" fillId="5" borderId="40" applyAlignment="1" pivotButton="0" quotePrefix="0" xfId="0">
      <alignment horizontal="center" vertical="center"/>
    </xf>
    <xf numFmtId="164" fontId="3" fillId="5" borderId="45" applyAlignment="1" pivotButton="0" quotePrefix="0" xfId="0">
      <alignment horizontal="center" vertical="center"/>
    </xf>
    <xf numFmtId="0" fontId="3" fillId="5" borderId="5" applyAlignment="1" pivotButton="0" quotePrefix="0" xfId="0">
      <alignment horizontal="center" vertical="center"/>
    </xf>
    <xf numFmtId="0" fontId="3" fillId="5" borderId="51" applyAlignment="1" pivotButton="0" quotePrefix="0" xfId="0">
      <alignment horizontal="center" vertical="center"/>
    </xf>
    <xf numFmtId="0" fontId="3" fillId="5" borderId="50" applyAlignment="1" pivotButton="0" quotePrefix="0" xfId="0">
      <alignment horizontal="center" vertical="center"/>
    </xf>
    <xf numFmtId="164" fontId="3" fillId="5" borderId="50" applyAlignment="1" pivotButton="0" quotePrefix="0" xfId="0">
      <alignment horizontal="center" vertical="center"/>
    </xf>
    <xf numFmtId="164" fontId="3" fillId="5" borderId="52" applyAlignment="1" pivotButton="0" quotePrefix="0" xfId="0">
      <alignment horizontal="center" vertical="center"/>
    </xf>
    <xf numFmtId="0" fontId="3" fillId="5" borderId="53" applyAlignment="1" pivotButton="0" quotePrefix="0" xfId="0">
      <alignment horizontal="center" vertical="center"/>
    </xf>
    <xf numFmtId="0" fontId="3" fillId="28" borderId="39" applyAlignment="1" pivotButton="0" quotePrefix="0" xfId="0">
      <alignment horizontal="center" vertical="center"/>
    </xf>
    <xf numFmtId="0" fontId="3" fillId="28" borderId="40" applyAlignment="1" pivotButton="0" quotePrefix="0" xfId="0">
      <alignment horizontal="center" vertical="center"/>
    </xf>
    <xf numFmtId="164" fontId="3" fillId="28" borderId="40" applyAlignment="1" pivotButton="0" quotePrefix="0" xfId="0">
      <alignment horizontal="center" vertical="center"/>
    </xf>
    <xf numFmtId="164" fontId="3" fillId="28" borderId="45" applyAlignment="1" pivotButton="0" quotePrefix="0" xfId="0">
      <alignment horizontal="center" vertical="center"/>
    </xf>
    <xf numFmtId="0" fontId="3" fillId="28" borderId="5" applyAlignment="1" pivotButton="0" quotePrefix="0" xfId="0">
      <alignment horizontal="center" vertical="center"/>
    </xf>
    <xf numFmtId="0" fontId="3" fillId="28" borderId="51" applyAlignment="1" pivotButton="0" quotePrefix="0" xfId="0">
      <alignment horizontal="center" vertical="center"/>
    </xf>
    <xf numFmtId="0" fontId="3" fillId="28" borderId="50" applyAlignment="1" pivotButton="0" quotePrefix="0" xfId="0">
      <alignment horizontal="center" vertical="center"/>
    </xf>
    <xf numFmtId="164" fontId="3" fillId="28" borderId="50" applyAlignment="1" pivotButton="0" quotePrefix="0" xfId="0">
      <alignment horizontal="center" vertical="center"/>
    </xf>
    <xf numFmtId="164" fontId="3" fillId="28" borderId="52" applyAlignment="1" pivotButton="0" quotePrefix="0" xfId="0">
      <alignment horizontal="center" vertical="center"/>
    </xf>
    <xf numFmtId="0" fontId="3" fillId="28" borderId="53" applyAlignment="1" pivotButton="0" quotePrefix="0" xfId="0">
      <alignment horizontal="center" vertical="center"/>
    </xf>
    <xf numFmtId="0" fontId="3" fillId="4" borderId="7" applyAlignment="1" pivotButton="0" quotePrefix="0" xfId="0">
      <alignment horizontal="center" vertical="center"/>
    </xf>
    <xf numFmtId="0" fontId="3" fillId="12" borderId="9" pivotButton="0" quotePrefix="0" xfId="0"/>
    <xf numFmtId="0" fontId="3" fillId="29" borderId="39" applyAlignment="1" pivotButton="0" quotePrefix="0" xfId="0">
      <alignment horizontal="center" vertical="center"/>
    </xf>
    <xf numFmtId="0" fontId="3" fillId="29" borderId="40" applyAlignment="1" pivotButton="0" quotePrefix="0" xfId="0">
      <alignment horizontal="center" vertical="center"/>
    </xf>
    <xf numFmtId="164" fontId="3" fillId="29" borderId="40" applyAlignment="1" pivotButton="0" quotePrefix="0" xfId="0">
      <alignment horizontal="center" vertical="center"/>
    </xf>
    <xf numFmtId="164" fontId="3" fillId="29" borderId="45" applyAlignment="1" pivotButton="0" quotePrefix="0" xfId="0">
      <alignment horizontal="center" vertical="center"/>
    </xf>
    <xf numFmtId="0" fontId="3" fillId="29" borderId="5" applyAlignment="1" pivotButton="0" quotePrefix="0" xfId="0">
      <alignment horizontal="center" vertical="center"/>
    </xf>
    <xf numFmtId="0" fontId="9" fillId="0" borderId="0" applyAlignment="1" pivotButton="0" quotePrefix="0" xfId="0">
      <alignment horizontal="left" vertical="top"/>
    </xf>
    <xf numFmtId="0" fontId="3" fillId="4" borderId="40" applyAlignment="1" pivotButton="0" quotePrefix="0" xfId="0">
      <alignment horizontal="center" vertical="center" wrapText="1"/>
    </xf>
    <xf numFmtId="0" fontId="3" fillId="30" borderId="39" applyAlignment="1" pivotButton="0" quotePrefix="0" xfId="0">
      <alignment horizontal="center" vertical="center"/>
    </xf>
    <xf numFmtId="0" fontId="3" fillId="30" borderId="40" applyAlignment="1" pivotButton="0" quotePrefix="0" xfId="0">
      <alignment horizontal="center" vertical="center"/>
    </xf>
    <xf numFmtId="164" fontId="3" fillId="30" borderId="40" applyAlignment="1" pivotButton="0" quotePrefix="0" xfId="0">
      <alignment horizontal="center" vertical="center"/>
    </xf>
    <xf numFmtId="164" fontId="3" fillId="30" borderId="45" applyAlignment="1" pivotButton="0" quotePrefix="0" xfId="0">
      <alignment horizontal="center" vertical="center"/>
    </xf>
    <xf numFmtId="0" fontId="3" fillId="30" borderId="5" applyAlignment="1" pivotButton="0" quotePrefix="0" xfId="0">
      <alignment horizontal="center" vertical="center"/>
    </xf>
    <xf numFmtId="0" fontId="3" fillId="30" borderId="51" applyAlignment="1" pivotButton="0" quotePrefix="0" xfId="0">
      <alignment horizontal="center" vertical="center"/>
    </xf>
    <xf numFmtId="0" fontId="3" fillId="30" borderId="50" applyAlignment="1" pivotButton="0" quotePrefix="0" xfId="0">
      <alignment horizontal="center" vertical="center"/>
    </xf>
    <xf numFmtId="164" fontId="3" fillId="30" borderId="50" applyAlignment="1" pivotButton="0" quotePrefix="0" xfId="0">
      <alignment horizontal="center" vertical="center"/>
    </xf>
    <xf numFmtId="164" fontId="3" fillId="30" borderId="52" applyAlignment="1" pivotButton="0" quotePrefix="0" xfId="0">
      <alignment horizontal="center" vertical="center"/>
    </xf>
    <xf numFmtId="0" fontId="3" fillId="30" borderId="53" applyAlignment="1" pivotButton="0" quotePrefix="0" xfId="0">
      <alignment horizontal="center" vertical="center"/>
    </xf>
    <xf numFmtId="0" fontId="15" fillId="6" borderId="39" applyAlignment="1" pivotButton="0" quotePrefix="0" xfId="0">
      <alignment horizontal="center" vertical="center"/>
    </xf>
    <xf numFmtId="0" fontId="15" fillId="6" borderId="40" applyAlignment="1" pivotButton="0" quotePrefix="0" xfId="0">
      <alignment horizontal="center" vertical="center"/>
    </xf>
    <xf numFmtId="164" fontId="15" fillId="6" borderId="40" applyAlignment="1" pivotButton="0" quotePrefix="0" xfId="0">
      <alignment horizontal="center" vertical="center"/>
    </xf>
    <xf numFmtId="164" fontId="15" fillId="6" borderId="45" applyAlignment="1" pivotButton="0" quotePrefix="0" xfId="0">
      <alignment horizontal="center" vertical="center"/>
    </xf>
    <xf numFmtId="0" fontId="15" fillId="6" borderId="5" applyAlignment="1" pivotButton="0" quotePrefix="0" xfId="0">
      <alignment horizontal="center" vertical="center"/>
    </xf>
    <xf numFmtId="0" fontId="15" fillId="31" borderId="39" applyAlignment="1" pivotButton="0" quotePrefix="0" xfId="0">
      <alignment horizontal="center" vertical="center"/>
    </xf>
    <xf numFmtId="0" fontId="15" fillId="31" borderId="40" applyAlignment="1" pivotButton="0" quotePrefix="0" xfId="0">
      <alignment horizontal="center" vertical="center"/>
    </xf>
    <xf numFmtId="164" fontId="15" fillId="31" borderId="40" applyAlignment="1" pivotButton="0" quotePrefix="0" xfId="0">
      <alignment horizontal="center" vertical="center"/>
    </xf>
    <xf numFmtId="164" fontId="15" fillId="31" borderId="45" applyAlignment="1" pivotButton="0" quotePrefix="0" xfId="0">
      <alignment horizontal="center" vertical="center"/>
    </xf>
    <xf numFmtId="0" fontId="15" fillId="31" borderId="5" applyAlignment="1" pivotButton="0" quotePrefix="0" xfId="0">
      <alignment horizontal="center" vertical="center"/>
    </xf>
    <xf numFmtId="0" fontId="15" fillId="31" borderId="51" applyAlignment="1" pivotButton="0" quotePrefix="0" xfId="0">
      <alignment horizontal="center" vertical="center"/>
    </xf>
    <xf numFmtId="0" fontId="15" fillId="31" borderId="50" applyAlignment="1" pivotButton="0" quotePrefix="0" xfId="0">
      <alignment horizontal="center" vertical="center"/>
    </xf>
    <xf numFmtId="164" fontId="15" fillId="31" borderId="50" applyAlignment="1" pivotButton="0" quotePrefix="0" xfId="0">
      <alignment horizontal="center" vertical="center"/>
    </xf>
    <xf numFmtId="164" fontId="15" fillId="31" borderId="52" applyAlignment="1" pivotButton="0" quotePrefix="0" xfId="0">
      <alignment horizontal="center" vertical="center"/>
    </xf>
    <xf numFmtId="0" fontId="15" fillId="31" borderId="53" applyAlignment="1" pivotButton="0" quotePrefix="0" xfId="0">
      <alignment horizontal="center" vertical="center"/>
    </xf>
    <xf numFmtId="0" fontId="3" fillId="32" borderId="39" applyAlignment="1" pivotButton="0" quotePrefix="0" xfId="0">
      <alignment horizontal="center" vertical="center"/>
    </xf>
    <xf numFmtId="0" fontId="3" fillId="32" borderId="40" applyAlignment="1" pivotButton="0" quotePrefix="0" xfId="0">
      <alignment horizontal="center" vertical="center"/>
    </xf>
    <xf numFmtId="164" fontId="3" fillId="32" borderId="40" applyAlignment="1" pivotButton="0" quotePrefix="0" xfId="0">
      <alignment horizontal="center" vertical="center"/>
    </xf>
    <xf numFmtId="164" fontId="3" fillId="32" borderId="45" applyAlignment="1" pivotButton="0" quotePrefix="0" xfId="0">
      <alignment horizontal="center" vertical="center"/>
    </xf>
    <xf numFmtId="0" fontId="3" fillId="32" borderId="5" applyAlignment="1" pivotButton="0" quotePrefix="0" xfId="0">
      <alignment horizontal="center" vertical="center"/>
    </xf>
    <xf numFmtId="0" fontId="3" fillId="32" borderId="51" applyAlignment="1" pivotButton="0" quotePrefix="0" xfId="0">
      <alignment horizontal="center" vertical="center"/>
    </xf>
    <xf numFmtId="0" fontId="3" fillId="32" borderId="50" applyAlignment="1" pivotButton="0" quotePrefix="0" xfId="0">
      <alignment horizontal="center" vertical="center"/>
    </xf>
    <xf numFmtId="164" fontId="3" fillId="32" borderId="50" applyAlignment="1" pivotButton="0" quotePrefix="0" xfId="0">
      <alignment horizontal="center" vertical="center"/>
    </xf>
    <xf numFmtId="164" fontId="3" fillId="32" borderId="52" applyAlignment="1" pivotButton="0" quotePrefix="0" xfId="0">
      <alignment horizontal="center" vertical="center"/>
    </xf>
    <xf numFmtId="0" fontId="3" fillId="32" borderId="53" applyAlignment="1" pivotButton="0" quotePrefix="0" xfId="0">
      <alignment horizontal="center" vertical="center"/>
    </xf>
    <xf numFmtId="0" fontId="3" fillId="12" borderId="5" applyAlignment="1" pivotButton="0" quotePrefix="0" xfId="0">
      <alignment horizontal="center" vertical="center"/>
    </xf>
    <xf numFmtId="0" fontId="0" fillId="0" borderId="19" applyAlignment="1" pivotButton="0" quotePrefix="0" xfId="0">
      <alignment horizontal="center" vertical="center"/>
    </xf>
    <xf numFmtId="0" fontId="0" fillId="0" borderId="26" applyAlignment="1" pivotButton="0" quotePrefix="0" xfId="0">
      <alignment horizontal="center" vertical="center"/>
    </xf>
    <xf numFmtId="0" fontId="0" fillId="33" borderId="0" pivotButton="0" quotePrefix="0" xfId="0"/>
    <xf numFmtId="0" fontId="3" fillId="3" borderId="39" applyAlignment="1" pivotButton="0" quotePrefix="0" xfId="0">
      <alignment horizontal="center" vertical="center"/>
    </xf>
    <xf numFmtId="0" fontId="3" fillId="3" borderId="40" applyAlignment="1" pivotButton="0" quotePrefix="0" xfId="0">
      <alignment horizontal="center" vertical="center"/>
    </xf>
    <xf numFmtId="164" fontId="3" fillId="3" borderId="40" applyAlignment="1" pivotButton="0" quotePrefix="0" xfId="0">
      <alignment horizontal="center" vertical="center"/>
    </xf>
    <xf numFmtId="164" fontId="3" fillId="3" borderId="45" applyAlignment="1" pivotButton="0" quotePrefix="0" xfId="0">
      <alignment horizontal="center" vertical="center"/>
    </xf>
    <xf numFmtId="0" fontId="3" fillId="3" borderId="5" applyAlignment="1" pivotButton="0" quotePrefix="0" xfId="0">
      <alignment horizontal="center" vertical="center"/>
    </xf>
    <xf numFmtId="0" fontId="18" fillId="21" borderId="11" applyAlignment="1" pivotButton="0" quotePrefix="0" xfId="0">
      <alignment horizontal="left" vertical="top"/>
    </xf>
    <xf numFmtId="0" fontId="19" fillId="34" borderId="11" applyAlignment="1" pivotButton="0" quotePrefix="0" xfId="0">
      <alignment horizontal="left" vertical="top"/>
    </xf>
    <xf numFmtId="164" fontId="19" fillId="35" borderId="11" applyAlignment="1" pivotButton="0" quotePrefix="0" xfId="0">
      <alignment horizontal="left" vertical="top"/>
    </xf>
    <xf numFmtId="0" fontId="19" fillId="21" borderId="11" applyAlignment="1" pivotButton="0" quotePrefix="0" xfId="0">
      <alignment horizontal="left" vertical="top"/>
    </xf>
    <xf numFmtId="0" fontId="19" fillId="36" borderId="11" applyAlignment="1" pivotButton="0" quotePrefix="0" xfId="0">
      <alignment horizontal="left" vertical="top"/>
    </xf>
    <xf numFmtId="0" fontId="19" fillId="37" borderId="11" applyAlignment="1" pivotButton="0" quotePrefix="0" xfId="0">
      <alignment horizontal="left" vertical="top"/>
    </xf>
    <xf numFmtId="0" fontId="19" fillId="25" borderId="11" applyAlignment="1" pivotButton="0" quotePrefix="0" xfId="0">
      <alignment horizontal="left" vertical="top"/>
    </xf>
    <xf numFmtId="0" fontId="19" fillId="6" borderId="11" applyAlignment="1" pivotButton="0" quotePrefix="0" xfId="0">
      <alignment horizontal="left" vertical="top"/>
    </xf>
    <xf numFmtId="0" fontId="20" fillId="21" borderId="11" applyAlignment="1" pivotButton="0" quotePrefix="0" xfId="0">
      <alignment horizontal="left" vertical="top"/>
    </xf>
    <xf numFmtId="0" fontId="20" fillId="34" borderId="11" applyAlignment="1" pivotButton="0" quotePrefix="0" xfId="0">
      <alignment horizontal="left" vertical="top"/>
    </xf>
    <xf numFmtId="164" fontId="20" fillId="35" borderId="11" applyAlignment="1" pivotButton="0" quotePrefix="0" xfId="0">
      <alignment horizontal="left" vertical="top"/>
    </xf>
    <xf numFmtId="0" fontId="20" fillId="36" borderId="11" applyAlignment="1" pivotButton="0" quotePrefix="0" xfId="0">
      <alignment horizontal="left" vertical="top"/>
    </xf>
    <xf numFmtId="0" fontId="20" fillId="37" borderId="11" applyAlignment="1" pivotButton="0" quotePrefix="0" xfId="0">
      <alignment horizontal="left" vertical="top"/>
    </xf>
    <xf numFmtId="0" fontId="20" fillId="25" borderId="11" applyAlignment="1" pivotButton="0" quotePrefix="0" xfId="0">
      <alignment horizontal="left" vertical="top"/>
    </xf>
    <xf numFmtId="0" fontId="20" fillId="6" borderId="11" applyAlignment="1" pivotButton="0" quotePrefix="0" xfId="0">
      <alignment horizontal="left" vertical="top"/>
    </xf>
    <xf numFmtId="0" fontId="17" fillId="6" borderId="11" applyAlignment="1" pivotButton="0" quotePrefix="0" xfId="0">
      <alignment horizontal="left" vertical="top"/>
    </xf>
    <xf numFmtId="164" fontId="20" fillId="35" borderId="11" applyAlignment="1" pivotButton="0" quotePrefix="1" xfId="0">
      <alignment horizontal="left" vertical="top"/>
    </xf>
    <xf numFmtId="0" fontId="20" fillId="25" borderId="11" applyAlignment="1" pivotButton="0" quotePrefix="0" xfId="0">
      <alignment horizontal="left" vertical="top" wrapText="1"/>
    </xf>
    <xf numFmtId="0" fontId="20" fillId="21" borderId="11" applyAlignment="1" pivotButton="0" quotePrefix="0" xfId="0">
      <alignment horizontal="left" vertical="top" wrapText="1"/>
    </xf>
    <xf numFmtId="0" fontId="20" fillId="34" borderId="11" applyAlignment="1" pivotButton="0" quotePrefix="0" xfId="0">
      <alignment horizontal="left" vertical="top" wrapText="1"/>
    </xf>
    <xf numFmtId="164" fontId="20" fillId="35" borderId="11" applyAlignment="1" pivotButton="0" quotePrefix="0" xfId="0">
      <alignment horizontal="left" vertical="top" wrapText="1"/>
    </xf>
    <xf numFmtId="0" fontId="20" fillId="36" borderId="11" applyAlignment="1" pivotButton="0" quotePrefix="0" xfId="0">
      <alignment horizontal="left" vertical="top" wrapText="1"/>
    </xf>
    <xf numFmtId="0" fontId="20" fillId="37" borderId="11" applyAlignment="1" pivotButton="0" quotePrefix="0" xfId="0">
      <alignment horizontal="left" vertical="top" wrapText="1"/>
    </xf>
    <xf numFmtId="164" fontId="20" fillId="35" borderId="11" applyAlignment="1" pivotButton="0" quotePrefix="0" xfId="1">
      <alignment horizontal="left" vertical="top" wrapText="1"/>
    </xf>
    <xf numFmtId="14" fontId="20" fillId="21" borderId="11" applyAlignment="1" pivotButton="0" quotePrefix="0" xfId="0">
      <alignment horizontal="left" vertical="top" wrapText="1"/>
    </xf>
    <xf numFmtId="0" fontId="20" fillId="34" borderId="11" pivotButton="0" quotePrefix="0" xfId="0"/>
    <xf numFmtId="0" fontId="20" fillId="21" borderId="11" pivotButton="0" quotePrefix="0" xfId="0"/>
    <xf numFmtId="0" fontId="20" fillId="25" borderId="11" pivotButton="0" quotePrefix="0" xfId="0"/>
    <xf numFmtId="0" fontId="20" fillId="36" borderId="11" pivotButton="0" quotePrefix="0" xfId="0"/>
    <xf numFmtId="0" fontId="20" fillId="37" borderId="11" pivotButton="0" quotePrefix="0" xfId="0"/>
    <xf numFmtId="0" fontId="20" fillId="6" borderId="11" pivotButton="0" quotePrefix="0" xfId="0"/>
    <xf numFmtId="0" fontId="21" fillId="6" borderId="0" pivotButton="0" quotePrefix="0" xfId="0"/>
    <xf numFmtId="0" fontId="4" fillId="6" borderId="0" applyAlignment="1" pivotButton="0" quotePrefix="0" xfId="0">
      <alignment horizontal="center" vertical="center"/>
    </xf>
    <xf numFmtId="0" fontId="4" fillId="6" borderId="0" applyAlignment="1" pivotButton="0" quotePrefix="0" xfId="0">
      <alignment vertical="center"/>
    </xf>
    <xf numFmtId="14" fontId="4" fillId="6" borderId="0" applyAlignment="1" pivotButton="0" quotePrefix="0" xfId="0">
      <alignment vertical="center"/>
    </xf>
    <xf numFmtId="0" fontId="3" fillId="0" borderId="51" applyAlignment="1" pivotButton="0" quotePrefix="0" xfId="0">
      <alignment horizontal="center" vertical="center"/>
    </xf>
    <xf numFmtId="0" fontId="3" fillId="0" borderId="53" applyAlignment="1" pivotButton="0" quotePrefix="0" xfId="0">
      <alignment horizontal="center" vertical="center"/>
    </xf>
    <xf numFmtId="0" fontId="3" fillId="0" borderId="39" applyAlignment="1" pivotButton="0" quotePrefix="0" xfId="0">
      <alignment horizontal="center"/>
    </xf>
    <xf numFmtId="0" fontId="3" fillId="0" borderId="5" applyAlignment="1" pivotButton="0" quotePrefix="0" xfId="0">
      <alignment horizontal="center"/>
    </xf>
    <xf numFmtId="0" fontId="9" fillId="0" borderId="10" applyAlignment="1" pivotButton="0" quotePrefix="0" xfId="0">
      <alignment horizontal="center"/>
    </xf>
    <xf numFmtId="0" fontId="0" fillId="0" borderId="10" applyAlignment="1" pivotButton="0" quotePrefix="0" xfId="0">
      <alignment horizontal="center"/>
    </xf>
    <xf numFmtId="0" fontId="0" fillId="0" borderId="10" applyAlignment="1" pivotButton="0" quotePrefix="0" xfId="0">
      <alignment horizontal="center" vertical="center" wrapText="1"/>
    </xf>
    <xf numFmtId="0" fontId="0" fillId="0" borderId="10" applyAlignment="1" pivotButton="0" quotePrefix="0" xfId="0">
      <alignment horizontal="center" wrapText="1"/>
    </xf>
    <xf numFmtId="0" fontId="0" fillId="0" borderId="18" applyAlignment="1" pivotButton="0" quotePrefix="0" xfId="0">
      <alignment horizontal="center" vertical="center"/>
    </xf>
    <xf numFmtId="14" fontId="0" fillId="0" borderId="19" applyAlignment="1" pivotButton="0" quotePrefix="0" xfId="0">
      <alignment horizontal="center" vertical="center"/>
    </xf>
    <xf numFmtId="0" fontId="3" fillId="22" borderId="1" applyAlignment="1" pivotButton="0" quotePrefix="0" xfId="0">
      <alignment horizontal="center" vertical="center"/>
    </xf>
    <xf numFmtId="0" fontId="3" fillId="22" borderId="2" applyAlignment="1" pivotButton="0" quotePrefix="0" xfId="0">
      <alignment horizontal="center" vertical="center"/>
    </xf>
    <xf numFmtId="164" fontId="3" fillId="22" borderId="2" applyAlignment="1" pivotButton="0" quotePrefix="0" xfId="0">
      <alignment horizontal="center" vertical="center"/>
    </xf>
    <xf numFmtId="164" fontId="3" fillId="22" borderId="3" applyAlignment="1" pivotButton="0" quotePrefix="0" xfId="0">
      <alignment horizontal="center" vertical="center"/>
    </xf>
    <xf numFmtId="0" fontId="3" fillId="22" borderId="33" applyAlignment="1" pivotButton="0" quotePrefix="0" xfId="0">
      <alignment horizontal="center" vertical="center"/>
    </xf>
    <xf numFmtId="14" fontId="0" fillId="0" borderId="26" applyAlignment="1" pivotButton="0" quotePrefix="0" xfId="0">
      <alignment horizontal="center" vertical="center"/>
    </xf>
    <xf numFmtId="164" fontId="3" fillId="42" borderId="40" applyAlignment="1" pivotButton="0" quotePrefix="0" xfId="0">
      <alignment horizontal="center" vertical="center"/>
    </xf>
    <xf numFmtId="0" fontId="3" fillId="42" borderId="1" applyAlignment="1" pivotButton="0" quotePrefix="0" xfId="0">
      <alignment horizontal="center" vertical="center"/>
    </xf>
    <xf numFmtId="0" fontId="3" fillId="42" borderId="2" applyAlignment="1" pivotButton="0" quotePrefix="0" xfId="0">
      <alignment horizontal="center" vertical="center"/>
    </xf>
    <xf numFmtId="164" fontId="3" fillId="42" borderId="2" applyAlignment="1" pivotButton="0" quotePrefix="0" xfId="0">
      <alignment horizontal="center" vertical="center"/>
    </xf>
    <xf numFmtId="164" fontId="3" fillId="42" borderId="3" applyAlignment="1" pivotButton="0" quotePrefix="0" xfId="0">
      <alignment horizontal="center" vertical="center"/>
    </xf>
    <xf numFmtId="0" fontId="3" fillId="42" borderId="33" applyAlignment="1" pivotButton="0" quotePrefix="0" xfId="0">
      <alignment horizontal="center" vertical="center"/>
    </xf>
    <xf numFmtId="0" fontId="15" fillId="31" borderId="1" applyAlignment="1" pivotButton="0" quotePrefix="0" xfId="0">
      <alignment horizontal="center" vertical="center"/>
    </xf>
    <xf numFmtId="0" fontId="15" fillId="31" borderId="2" applyAlignment="1" pivotButton="0" quotePrefix="0" xfId="0">
      <alignment horizontal="center" vertical="center"/>
    </xf>
    <xf numFmtId="164" fontId="15" fillId="31" borderId="2" applyAlignment="1" pivotButton="0" quotePrefix="0" xfId="0">
      <alignment horizontal="center" vertical="center"/>
    </xf>
    <xf numFmtId="164" fontId="15" fillId="31" borderId="3" applyAlignment="1" pivotButton="0" quotePrefix="0" xfId="0">
      <alignment horizontal="center" vertical="center"/>
    </xf>
    <xf numFmtId="0" fontId="15" fillId="31" borderId="33" applyAlignment="1" pivotButton="0" quotePrefix="0" xfId="0">
      <alignment horizontal="center" vertical="center"/>
    </xf>
    <xf numFmtId="0" fontId="21" fillId="0" borderId="10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0" fontId="3" fillId="29" borderId="51" applyAlignment="1" pivotButton="0" quotePrefix="0" xfId="0">
      <alignment horizontal="center" vertical="center"/>
    </xf>
    <xf numFmtId="0" fontId="3" fillId="29" borderId="50" applyAlignment="1" pivotButton="0" quotePrefix="0" xfId="0">
      <alignment horizontal="center" vertical="center"/>
    </xf>
    <xf numFmtId="164" fontId="3" fillId="29" borderId="50" applyAlignment="1" pivotButton="0" quotePrefix="0" xfId="0">
      <alignment horizontal="center" vertical="center"/>
    </xf>
    <xf numFmtId="164" fontId="3" fillId="29" borderId="52" applyAlignment="1" pivotButton="0" quotePrefix="0" xfId="0">
      <alignment horizontal="center" vertical="center"/>
    </xf>
    <xf numFmtId="0" fontId="3" fillId="29" borderId="53" applyAlignment="1" pivotButton="0" quotePrefix="0" xfId="0">
      <alignment horizontal="center" vertical="center"/>
    </xf>
    <xf numFmtId="0" fontId="9" fillId="0" borderId="10" pivotButton="0" quotePrefix="0" xfId="0"/>
    <xf numFmtId="0" fontId="13" fillId="0" borderId="6" applyAlignment="1" pivotButton="0" quotePrefix="0" xfId="0">
      <alignment horizontal="center" vertical="center"/>
    </xf>
    <xf numFmtId="0" fontId="13" fillId="0" borderId="9" applyAlignment="1" pivotButton="0" quotePrefix="0" xfId="0">
      <alignment horizontal="center" vertical="center"/>
    </xf>
    <xf numFmtId="0" fontId="13" fillId="0" borderId="20" applyAlignment="1" pivotButton="0" quotePrefix="0" xfId="0">
      <alignment horizontal="center" vertical="center"/>
    </xf>
    <xf numFmtId="0" fontId="9" fillId="0" borderId="10" applyAlignment="1" pivotButton="0" quotePrefix="0" xfId="0">
      <alignment horizontal="center" wrapText="1"/>
    </xf>
    <xf numFmtId="0" fontId="9" fillId="0" borderId="13" pivotButton="0" quotePrefix="0" xfId="0"/>
    <xf numFmtId="0" fontId="9" fillId="0" borderId="14" pivotButton="0" quotePrefix="0" xfId="0"/>
    <xf numFmtId="0" fontId="9" fillId="0" borderId="17" pivotButton="0" quotePrefix="0" xfId="0"/>
    <xf numFmtId="0" fontId="20" fillId="34" borderId="50" pivotButton="0" quotePrefix="0" xfId="0"/>
    <xf numFmtId="0" fontId="15" fillId="43" borderId="39" applyAlignment="1" pivotButton="0" quotePrefix="0" xfId="0">
      <alignment horizontal="center" vertical="center"/>
    </xf>
    <xf numFmtId="0" fontId="15" fillId="43" borderId="40" applyAlignment="1" pivotButton="0" quotePrefix="0" xfId="0">
      <alignment horizontal="center" vertical="center"/>
    </xf>
    <xf numFmtId="164" fontId="15" fillId="43" borderId="40" applyAlignment="1" pivotButton="0" quotePrefix="0" xfId="0">
      <alignment horizontal="center" vertical="center"/>
    </xf>
    <xf numFmtId="164" fontId="15" fillId="43" borderId="45" applyAlignment="1" pivotButton="0" quotePrefix="0" xfId="0">
      <alignment horizontal="center" vertical="center"/>
    </xf>
    <xf numFmtId="0" fontId="15" fillId="43" borderId="5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164" fontId="0" fillId="0" borderId="7" applyAlignment="1" pivotButton="0" quotePrefix="0" xfId="0">
      <alignment horizontal="center" vertical="center"/>
    </xf>
    <xf numFmtId="0" fontId="14" fillId="3" borderId="34" applyAlignment="1" pivotButton="0" quotePrefix="0" xfId="0">
      <alignment horizontal="center" vertical="center" wrapText="1"/>
    </xf>
    <xf numFmtId="0" fontId="14" fillId="3" borderId="37" applyAlignment="1" pivotButton="0" quotePrefix="0" xfId="0">
      <alignment horizontal="center" vertical="center" wrapText="1"/>
    </xf>
    <xf numFmtId="0" fontId="14" fillId="3" borderId="35" applyAlignment="1" pivotButton="0" quotePrefix="0" xfId="0">
      <alignment horizontal="center" vertical="center" wrapText="1"/>
    </xf>
    <xf numFmtId="0" fontId="0" fillId="0" borderId="36" applyAlignment="1" pivotButton="0" quotePrefix="0" xfId="0">
      <alignment horizontal="center" vertical="center" wrapText="1"/>
    </xf>
    <xf numFmtId="0" fontId="0" fillId="0" borderId="38" applyAlignment="1" pivotButton="0" quotePrefix="0" xfId="0">
      <alignment horizontal="center" vertical="center" wrapText="1"/>
    </xf>
    <xf numFmtId="0" fontId="0" fillId="0" borderId="4" applyAlignment="1" pivotButton="0" quotePrefix="0" xfId="0">
      <alignment horizontal="center" vertical="center" wrapText="1"/>
    </xf>
    <xf numFmtId="0" fontId="3" fillId="4" borderId="39" applyAlignment="1" pivotButton="0" quotePrefix="0" xfId="0">
      <alignment horizontal="center" vertical="center" wrapText="1"/>
    </xf>
    <xf numFmtId="0" fontId="3" fillId="4" borderId="40" applyAlignment="1" pivotButton="0" quotePrefix="0" xfId="0">
      <alignment horizontal="center" vertical="center" wrapText="1"/>
    </xf>
    <xf numFmtId="0" fontId="4" fillId="6" borderId="0" applyAlignment="1" pivotButton="0" quotePrefix="0" xfId="0">
      <alignment horizontal="center" vertical="center"/>
    </xf>
    <xf numFmtId="0" fontId="3" fillId="4" borderId="40" applyAlignment="1" pivotButton="0" quotePrefix="0" xfId="0">
      <alignment horizontal="center" vertical="center"/>
    </xf>
    <xf numFmtId="0" fontId="14" fillId="38" borderId="34" applyAlignment="1" pivotButton="0" quotePrefix="0" xfId="0">
      <alignment horizontal="center" vertical="center" wrapText="1"/>
    </xf>
    <xf numFmtId="0" fontId="14" fillId="38" borderId="37" applyAlignment="1" pivotButton="0" quotePrefix="0" xfId="0">
      <alignment horizontal="center" vertical="center" wrapText="1"/>
    </xf>
    <xf numFmtId="0" fontId="14" fillId="38" borderId="35" applyAlignment="1" pivotButton="0" quotePrefix="0" xfId="0">
      <alignment horizontal="center" vertical="center" wrapText="1"/>
    </xf>
    <xf numFmtId="0" fontId="0" fillId="0" borderId="1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164" fontId="0" fillId="0" borderId="11" applyAlignment="1" pivotButton="0" quotePrefix="0" xfId="0">
      <alignment horizontal="center" vertical="center"/>
    </xf>
    <xf numFmtId="0" fontId="0" fillId="0" borderId="14" applyAlignment="1" pivotButton="0" quotePrefix="0" xfId="0">
      <alignment horizontal="center" vertical="center"/>
    </xf>
    <xf numFmtId="0" fontId="0" fillId="0" borderId="15" applyAlignment="1" pivotButton="0" quotePrefix="0" xfId="0">
      <alignment horizontal="center" vertical="center"/>
    </xf>
    <xf numFmtId="164" fontId="0" fillId="0" borderId="15" applyAlignment="1" pivotButton="0" quotePrefix="0" xfId="0">
      <alignment horizontal="center" vertical="center"/>
    </xf>
    <xf numFmtId="164" fontId="0" fillId="0" borderId="8" applyAlignment="1" pivotButton="0" quotePrefix="0" xfId="0">
      <alignment horizontal="center" vertical="center"/>
    </xf>
    <xf numFmtId="164" fontId="0" fillId="0" borderId="48" applyAlignment="1" pivotButton="0" quotePrefix="0" xfId="0">
      <alignment horizontal="center" vertical="center"/>
    </xf>
    <xf numFmtId="164" fontId="0" fillId="0" borderId="12" applyAlignment="1" pivotButton="0" quotePrefix="0" xfId="0">
      <alignment horizontal="center" vertical="center"/>
    </xf>
    <xf numFmtId="164" fontId="0" fillId="0" borderId="47" applyAlignment="1" pivotButton="0" quotePrefix="0" xfId="0">
      <alignment horizontal="center" vertical="center"/>
    </xf>
    <xf numFmtId="0" fontId="14" fillId="22" borderId="34" applyAlignment="1" pivotButton="0" quotePrefix="0" xfId="0">
      <alignment horizontal="center" vertical="center" wrapText="1"/>
    </xf>
    <xf numFmtId="0" fontId="14" fillId="22" borderId="37" applyAlignment="1" pivotButton="0" quotePrefix="0" xfId="0">
      <alignment horizontal="center" vertical="center" wrapText="1"/>
    </xf>
    <xf numFmtId="0" fontId="14" fillId="22" borderId="35" applyAlignment="1" pivotButton="0" quotePrefix="0" xfId="0">
      <alignment horizontal="center" vertical="center" wrapText="1"/>
    </xf>
    <xf numFmtId="0" fontId="14" fillId="39" borderId="34" applyAlignment="1" pivotButton="0" quotePrefix="0" xfId="0">
      <alignment horizontal="center" vertical="center" wrapText="1"/>
    </xf>
    <xf numFmtId="0" fontId="14" fillId="39" borderId="37" applyAlignment="1" pivotButton="0" quotePrefix="0" xfId="0">
      <alignment horizontal="center" vertical="center" wrapText="1"/>
    </xf>
    <xf numFmtId="0" fontId="14" fillId="39" borderId="35" applyAlignment="1" pivotButton="0" quotePrefix="0" xfId="0">
      <alignment horizontal="center" vertical="center" wrapText="1"/>
    </xf>
    <xf numFmtId="0" fontId="14" fillId="40" borderId="34" applyAlignment="1" pivotButton="0" quotePrefix="0" xfId="0">
      <alignment horizontal="center" vertical="center" wrapText="1"/>
    </xf>
    <xf numFmtId="0" fontId="14" fillId="40" borderId="37" applyAlignment="1" pivotButton="0" quotePrefix="0" xfId="0">
      <alignment horizontal="center" vertical="center" wrapText="1"/>
    </xf>
    <xf numFmtId="0" fontId="14" fillId="40" borderId="35" applyAlignment="1" pivotButton="0" quotePrefix="0" xfId="0">
      <alignment horizontal="center" vertical="center" wrapText="1"/>
    </xf>
    <xf numFmtId="164" fontId="0" fillId="0" borderId="16" applyAlignment="1" pivotButton="0" quotePrefix="0" xfId="0">
      <alignment horizontal="center" vertical="center"/>
    </xf>
    <xf numFmtId="164" fontId="0" fillId="0" borderId="49" applyAlignment="1" pivotButton="0" quotePrefix="0" xfId="0">
      <alignment horizontal="center" vertical="center"/>
    </xf>
    <xf numFmtId="0" fontId="14" fillId="41" borderId="34" applyAlignment="1" pivotButton="0" quotePrefix="0" xfId="0">
      <alignment horizontal="center" vertical="center" wrapText="1"/>
    </xf>
    <xf numFmtId="0" fontId="14" fillId="41" borderId="37" applyAlignment="1" pivotButton="0" quotePrefix="0" xfId="0">
      <alignment horizontal="center" vertical="center" wrapText="1"/>
    </xf>
    <xf numFmtId="0" fontId="14" fillId="41" borderId="35" applyAlignment="1" pivotButton="0" quotePrefix="0" xfId="0">
      <alignment horizontal="center" vertical="center" wrapText="1"/>
    </xf>
    <xf numFmtId="0" fontId="0" fillId="0" borderId="9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0" fillId="0" borderId="17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 vertical="center" wrapText="1"/>
    </xf>
    <xf numFmtId="0" fontId="5" fillId="3" borderId="33" applyAlignment="1" pivotButton="0" quotePrefix="0" xfId="0">
      <alignment horizontal="center" vertical="center" wrapText="1"/>
    </xf>
    <xf numFmtId="0" fontId="5" fillId="8" borderId="34" applyAlignment="1" pivotButton="0" quotePrefix="0" xfId="0">
      <alignment horizontal="center" vertical="center" wrapText="1"/>
    </xf>
    <xf numFmtId="0" fontId="5" fillId="8" borderId="35" applyAlignment="1" pivotButton="0" quotePrefix="0" xfId="0">
      <alignment horizontal="center" vertical="center" wrapText="1"/>
    </xf>
    <xf numFmtId="0" fontId="5" fillId="4" borderId="1" applyAlignment="1" pivotButton="0" quotePrefix="0" xfId="0">
      <alignment horizontal="center" vertical="center" wrapText="1"/>
    </xf>
    <xf numFmtId="0" fontId="5" fillId="4" borderId="33" applyAlignment="1" pivotButton="0" quotePrefix="0" xfId="0">
      <alignment horizontal="center" vertical="center" wrapText="1"/>
    </xf>
    <xf numFmtId="0" fontId="7" fillId="10" borderId="36" applyAlignment="1" pivotButton="0" quotePrefix="0" xfId="0">
      <alignment horizontal="center" vertical="center" wrapText="1"/>
    </xf>
    <xf numFmtId="0" fontId="7" fillId="10" borderId="4" applyAlignment="1" pivotButton="0" quotePrefix="0" xfId="0">
      <alignment horizontal="center" vertical="center" wrapText="1"/>
    </xf>
    <xf numFmtId="0" fontId="10" fillId="11" borderId="1" applyAlignment="1" pivotButton="0" quotePrefix="0" xfId="0">
      <alignment horizontal="center" vertical="center"/>
    </xf>
    <xf numFmtId="0" fontId="12" fillId="11" borderId="33" applyAlignment="1" pivotButton="0" quotePrefix="0" xfId="0">
      <alignment horizontal="center" vertical="center"/>
    </xf>
    <xf numFmtId="0" fontId="10" fillId="11" borderId="34" applyAlignment="1" pivotButton="0" quotePrefix="0" xfId="0">
      <alignment horizontal="center" vertical="center" wrapText="1"/>
    </xf>
    <xf numFmtId="0" fontId="10" fillId="11" borderId="35" applyAlignment="1" pivotButton="0" quotePrefix="0" xfId="0">
      <alignment horizontal="center" vertical="center" wrapText="1"/>
    </xf>
    <xf numFmtId="0" fontId="7" fillId="9" borderId="1" applyAlignment="1" pivotButton="0" quotePrefix="0" xfId="0">
      <alignment horizontal="center" vertical="center" wrapText="1"/>
    </xf>
    <xf numFmtId="0" fontId="7" fillId="9" borderId="33" applyAlignment="1" pivotButton="0" quotePrefix="0" xfId="0">
      <alignment horizontal="center" vertical="center"/>
    </xf>
    <xf numFmtId="0" fontId="5" fillId="4" borderId="33" applyAlignment="1" pivotButton="0" quotePrefix="0" xfId="0">
      <alignment horizontal="center" vertical="center"/>
    </xf>
    <xf numFmtId="0" fontId="5" fillId="7" borderId="39" applyAlignment="1" pivotButton="0" quotePrefix="0" xfId="0">
      <alignment horizontal="center" vertical="center" wrapText="1"/>
    </xf>
    <xf numFmtId="0" fontId="5" fillId="7" borderId="5" applyAlignment="1" pivotButton="0" quotePrefix="0" xfId="0">
      <alignment horizontal="center" vertical="center"/>
    </xf>
    <xf numFmtId="0" fontId="5" fillId="2" borderId="39" applyAlignment="1" pivotButton="0" quotePrefix="0" xfId="0">
      <alignment horizontal="center" vertical="center" wrapText="1"/>
    </xf>
    <xf numFmtId="0" fontId="5" fillId="2" borderId="5" applyAlignment="1" pivotButton="0" quotePrefix="0" xfId="0">
      <alignment horizontal="center" vertical="center"/>
    </xf>
    <xf numFmtId="0" fontId="5" fillId="8" borderId="1" applyAlignment="1" pivotButton="0" quotePrefix="0" xfId="0">
      <alignment horizontal="center" vertical="center" wrapText="1"/>
    </xf>
    <xf numFmtId="0" fontId="5" fillId="8" borderId="33" applyAlignment="1" pivotButton="0" quotePrefix="0" xfId="0">
      <alignment horizontal="center" vertical="center" wrapText="1"/>
    </xf>
    <xf numFmtId="0" fontId="0" fillId="0" borderId="25" applyAlignment="1" pivotButton="0" quotePrefix="0" xfId="0">
      <alignment horizontal="center" vertical="center"/>
    </xf>
    <xf numFmtId="0" fontId="0" fillId="0" borderId="26" applyAlignment="1" pivotButton="0" quotePrefix="0" xfId="0">
      <alignment horizontal="center" vertical="center"/>
    </xf>
    <xf numFmtId="164" fontId="0" fillId="0" borderId="26" applyAlignment="1" pivotButton="0" quotePrefix="0" xfId="0">
      <alignment horizontal="center" vertical="center"/>
    </xf>
    <xf numFmtId="0" fontId="3" fillId="4" borderId="1" applyAlignment="1" pivotButton="0" quotePrefix="0" xfId="0">
      <alignment horizontal="center" vertical="center" wrapText="1"/>
    </xf>
    <xf numFmtId="0" fontId="3" fillId="4" borderId="2" applyAlignment="1" pivotButton="0" quotePrefix="0" xfId="0">
      <alignment horizontal="center" vertical="center" wrapText="1"/>
    </xf>
    <xf numFmtId="0" fontId="3" fillId="4" borderId="2" applyAlignment="1" pivotButton="0" quotePrefix="0" xfId="0">
      <alignment horizontal="center" vertical="center"/>
    </xf>
    <xf numFmtId="0" fontId="0" fillId="0" borderId="18" applyAlignment="1" pivotButton="0" quotePrefix="0" xfId="0">
      <alignment horizontal="center" vertical="center"/>
    </xf>
    <xf numFmtId="0" fontId="0" fillId="0" borderId="19" applyAlignment="1" pivotButton="0" quotePrefix="0" xfId="0">
      <alignment horizontal="center" vertical="center"/>
    </xf>
    <xf numFmtId="164" fontId="0" fillId="0" borderId="19" applyAlignment="1" pivotButton="0" quotePrefix="0" xfId="0">
      <alignment horizontal="center" vertical="center"/>
    </xf>
    <xf numFmtId="0" fontId="0" fillId="0" borderId="36" applyAlignment="1" pivotButton="0" quotePrefix="0" xfId="0">
      <alignment horizontal="center" vertical="center"/>
    </xf>
    <xf numFmtId="0" fontId="0" fillId="0" borderId="38" applyAlignment="1" pivotButton="0" quotePrefix="0" xfId="0">
      <alignment horizontal="center" vertical="center"/>
    </xf>
    <xf numFmtId="0" fontId="0" fillId="0" borderId="4" applyAlignment="1" pivotButton="0" quotePrefix="0" xfId="0">
      <alignment horizontal="center" vertical="center"/>
    </xf>
    <xf numFmtId="0" fontId="14" fillId="4" borderId="34" applyAlignment="1" pivotButton="0" quotePrefix="0" xfId="0">
      <alignment horizontal="center" vertical="center" wrapText="1"/>
    </xf>
    <xf numFmtId="0" fontId="14" fillId="4" borderId="37" applyAlignment="1" pivotButton="0" quotePrefix="0" xfId="0">
      <alignment horizontal="center" vertical="center" wrapText="1"/>
    </xf>
    <xf numFmtId="0" fontId="14" fillId="4" borderId="35" applyAlignment="1" pivotButton="0" quotePrefix="0" xfId="0">
      <alignment horizontal="center" vertical="center" wrapText="1"/>
    </xf>
    <xf numFmtId="0" fontId="14" fillId="13" borderId="34" applyAlignment="1" pivotButton="0" quotePrefix="0" xfId="0">
      <alignment horizontal="center" vertical="center" wrapText="1"/>
    </xf>
    <xf numFmtId="0" fontId="14" fillId="13" borderId="37" applyAlignment="1" pivotButton="0" quotePrefix="0" xfId="0">
      <alignment horizontal="center" vertical="center" wrapText="1"/>
    </xf>
    <xf numFmtId="0" fontId="14" fillId="13" borderId="35" applyAlignment="1" pivotButton="0" quotePrefix="0" xfId="0">
      <alignment horizontal="center" vertical="center" wrapText="1"/>
    </xf>
    <xf numFmtId="0" fontId="0" fillId="0" borderId="34" applyAlignment="1" pivotButton="0" quotePrefix="0" xfId="0">
      <alignment horizontal="center" vertical="center"/>
    </xf>
    <xf numFmtId="0" fontId="0" fillId="0" borderId="37" applyAlignment="1" pivotButton="0" quotePrefix="0" xfId="0">
      <alignment horizontal="center" vertical="center"/>
    </xf>
    <xf numFmtId="0" fontId="0" fillId="0" borderId="35" applyAlignment="1" pivotButton="0" quotePrefix="0" xfId="0">
      <alignment horizontal="center" vertical="center"/>
    </xf>
    <xf numFmtId="0" fontId="0" fillId="0" borderId="32" applyAlignment="1" pivotButton="0" quotePrefix="0" xfId="0">
      <alignment horizontal="center" vertical="center"/>
    </xf>
    <xf numFmtId="0" fontId="0" fillId="0" borderId="29" applyAlignment="1" pivotButton="0" quotePrefix="0" xfId="0">
      <alignment horizontal="center" vertical="center"/>
    </xf>
    <xf numFmtId="0" fontId="0" fillId="0" borderId="49" applyAlignment="1" pivotButton="0" quotePrefix="0" xfId="0">
      <alignment horizontal="center" vertical="center"/>
    </xf>
    <xf numFmtId="0" fontId="0" fillId="0" borderId="31" applyAlignment="1" pivotButton="0" quotePrefix="0" xfId="0">
      <alignment horizontal="center" vertical="center"/>
    </xf>
    <xf numFmtId="0" fontId="0" fillId="0" borderId="28" applyAlignment="1" pivotButton="0" quotePrefix="0" xfId="0">
      <alignment horizontal="center" vertical="center"/>
    </xf>
    <xf numFmtId="0" fontId="0" fillId="0" borderId="47" applyAlignment="1" pivotButton="0" quotePrefix="0" xfId="0">
      <alignment horizontal="center" vertical="center"/>
    </xf>
    <xf numFmtId="0" fontId="0" fillId="0" borderId="30" applyAlignment="1" pivotButton="0" quotePrefix="0" xfId="0">
      <alignment horizontal="center" vertical="center"/>
    </xf>
    <xf numFmtId="0" fontId="0" fillId="0" borderId="27" applyAlignment="1" pivotButton="0" quotePrefix="0" xfId="0">
      <alignment horizontal="center" vertical="center"/>
    </xf>
    <xf numFmtId="0" fontId="0" fillId="0" borderId="48" applyAlignment="1" pivotButton="0" quotePrefix="0" xfId="0">
      <alignment horizontal="center" vertical="center"/>
    </xf>
    <xf numFmtId="0" fontId="3" fillId="4" borderId="34" applyAlignment="1" pivotButton="0" quotePrefix="0" xfId="0">
      <alignment horizontal="center" vertical="center" wrapText="1"/>
    </xf>
    <xf numFmtId="0" fontId="3" fillId="4" borderId="37" applyAlignment="1" pivotButton="0" quotePrefix="0" xfId="0">
      <alignment horizontal="center" vertical="center" wrapText="1"/>
    </xf>
    <xf numFmtId="0" fontId="3" fillId="4" borderId="46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 vertical="center"/>
    </xf>
    <xf numFmtId="0" fontId="3" fillId="4" borderId="46" applyAlignment="1" pivotButton="0" quotePrefix="0" xfId="0">
      <alignment horizontal="center" vertical="center"/>
    </xf>
    <xf numFmtId="0" fontId="14" fillId="14" borderId="34" applyAlignment="1" pivotButton="0" quotePrefix="0" xfId="0">
      <alignment horizontal="center" vertical="center" wrapText="1"/>
    </xf>
    <xf numFmtId="0" fontId="14" fillId="14" borderId="37" applyAlignment="1" pivotButton="0" quotePrefix="0" xfId="0">
      <alignment horizontal="center" vertical="center" wrapText="1"/>
    </xf>
    <xf numFmtId="0" fontId="14" fillId="14" borderId="35" applyAlignment="1" pivotButton="0" quotePrefix="0" xfId="0">
      <alignment horizontal="center" vertical="center" wrapText="1"/>
    </xf>
    <xf numFmtId="0" fontId="0" fillId="0" borderId="7" applyAlignment="1" pivotButton="0" quotePrefix="0" xfId="0">
      <alignment horizontal="center" vertical="center" wrapText="1"/>
    </xf>
    <xf numFmtId="0" fontId="0" fillId="0" borderId="11" applyAlignment="1" pivotButton="0" quotePrefix="0" xfId="0">
      <alignment horizontal="center" vertical="center" wrapText="1"/>
    </xf>
    <xf numFmtId="0" fontId="0" fillId="0" borderId="15" applyAlignment="1" pivotButton="0" quotePrefix="0" xfId="0">
      <alignment horizontal="center" vertical="center" wrapText="1"/>
    </xf>
    <xf numFmtId="0" fontId="14" fillId="4" borderId="37" applyAlignment="1" pivotButton="0" quotePrefix="0" xfId="0">
      <alignment horizontal="center" vertical="center"/>
    </xf>
    <xf numFmtId="0" fontId="14" fillId="4" borderId="35" applyAlignment="1" pivotButton="0" quotePrefix="0" xfId="0">
      <alignment horizontal="center" vertical="center"/>
    </xf>
    <xf numFmtId="0" fontId="14" fillId="17" borderId="34" applyAlignment="1" pivotButton="0" quotePrefix="0" xfId="0">
      <alignment horizontal="center" vertical="center" wrapText="1"/>
    </xf>
    <xf numFmtId="0" fontId="14" fillId="17" borderId="37" applyAlignment="1" pivotButton="0" quotePrefix="0" xfId="0">
      <alignment horizontal="center" vertical="center" wrapText="1"/>
    </xf>
    <xf numFmtId="0" fontId="14" fillId="17" borderId="35" applyAlignment="1" pivotButton="0" quotePrefix="0" xfId="0">
      <alignment horizontal="center" vertical="center" wrapText="1"/>
    </xf>
    <xf numFmtId="0" fontId="14" fillId="4" borderId="36" applyAlignment="1" pivotButton="0" quotePrefix="0" xfId="0">
      <alignment horizontal="center" vertical="center" wrapText="1"/>
    </xf>
    <xf numFmtId="0" fontId="14" fillId="4" borderId="38" applyAlignment="1" pivotButton="0" quotePrefix="0" xfId="0">
      <alignment horizontal="center" vertical="center" wrapText="1"/>
    </xf>
    <xf numFmtId="0" fontId="14" fillId="4" borderId="4" applyAlignment="1" pivotButton="0" quotePrefix="0" xfId="0">
      <alignment horizontal="center" vertical="center" wrapText="1"/>
    </xf>
    <xf numFmtId="0" fontId="14" fillId="4" borderId="41" applyAlignment="1" pivotButton="0" quotePrefix="0" xfId="0">
      <alignment horizontal="center" vertical="center" wrapText="1"/>
    </xf>
    <xf numFmtId="0" fontId="14" fillId="4" borderId="0" applyAlignment="1" pivotButton="0" quotePrefix="0" xfId="0">
      <alignment horizontal="center" vertical="center" wrapText="1"/>
    </xf>
    <xf numFmtId="0" fontId="14" fillId="4" borderId="42" applyAlignment="1" pivotButton="0" quotePrefix="0" xfId="0">
      <alignment horizontal="center" vertical="center" wrapText="1"/>
    </xf>
    <xf numFmtId="0" fontId="14" fillId="4" borderId="43" applyAlignment="1" pivotButton="0" quotePrefix="0" xfId="0">
      <alignment horizontal="center" vertical="center" wrapText="1"/>
    </xf>
    <xf numFmtId="0" fontId="14" fillId="4" borderId="23" applyAlignment="1" pivotButton="0" quotePrefix="0" xfId="0">
      <alignment horizontal="center" vertical="center" wrapText="1"/>
    </xf>
    <xf numFmtId="0" fontId="14" fillId="4" borderId="24" applyAlignment="1" pivotButton="0" quotePrefix="0" xfId="0">
      <alignment horizontal="center" vertical="center" wrapText="1"/>
    </xf>
    <xf numFmtId="0" fontId="4" fillId="16" borderId="34" applyAlignment="1" pivotButton="0" quotePrefix="0" xfId="0">
      <alignment horizontal="center" vertical="center" wrapText="1"/>
    </xf>
    <xf numFmtId="0" fontId="4" fillId="16" borderId="37" applyAlignment="1" pivotButton="0" quotePrefix="0" xfId="0">
      <alignment horizontal="center" vertical="center" wrapText="1"/>
    </xf>
    <xf numFmtId="0" fontId="4" fillId="16" borderId="35" applyAlignment="1" pivotButton="0" quotePrefix="0" xfId="0">
      <alignment horizontal="center" vertical="center" wrapText="1"/>
    </xf>
    <xf numFmtId="0" fontId="0" fillId="0" borderId="40" applyAlignment="1" pivotButton="0" quotePrefix="0" xfId="0">
      <alignment horizontal="center" vertical="center" wrapText="1"/>
    </xf>
    <xf numFmtId="0" fontId="0" fillId="0" borderId="50" applyAlignment="1" pivotButton="0" quotePrefix="0" xfId="0">
      <alignment horizontal="center" vertical="center" wrapText="1"/>
    </xf>
    <xf numFmtId="0" fontId="0" fillId="0" borderId="26" applyAlignment="1" pivotButton="0" quotePrefix="0" xfId="0">
      <alignment horizontal="center" vertical="center" wrapText="1"/>
    </xf>
    <xf numFmtId="0" fontId="0" fillId="0" borderId="40" applyAlignment="1" pivotButton="0" quotePrefix="0" xfId="0">
      <alignment horizontal="center" vertical="center"/>
    </xf>
    <xf numFmtId="0" fontId="0" fillId="0" borderId="50" applyAlignment="1" pivotButton="0" quotePrefix="0" xfId="0">
      <alignment horizontal="center" vertical="center"/>
    </xf>
    <xf numFmtId="0" fontId="4" fillId="18" borderId="34" applyAlignment="1" pivotButton="0" quotePrefix="0" xfId="0">
      <alignment horizontal="center" vertical="center" wrapText="1"/>
    </xf>
    <xf numFmtId="0" fontId="4" fillId="18" borderId="37" applyAlignment="1" pivotButton="0" quotePrefix="0" xfId="0">
      <alignment horizontal="center" vertical="center" wrapText="1"/>
    </xf>
    <xf numFmtId="0" fontId="4" fillId="18" borderId="35" applyAlignment="1" pivotButton="0" quotePrefix="0" xfId="0">
      <alignment horizontal="center" vertical="center" wrapText="1"/>
    </xf>
    <xf numFmtId="0" fontId="4" fillId="20" borderId="34" applyAlignment="1" pivotButton="0" quotePrefix="0" xfId="0">
      <alignment horizontal="center" vertical="center" wrapText="1"/>
    </xf>
    <xf numFmtId="0" fontId="4" fillId="20" borderId="37" applyAlignment="1" pivotButton="0" quotePrefix="0" xfId="0">
      <alignment horizontal="center" vertical="center" wrapText="1"/>
    </xf>
    <xf numFmtId="0" fontId="4" fillId="20" borderId="35" applyAlignment="1" pivotButton="0" quotePrefix="0" xfId="0">
      <alignment horizontal="center" vertical="center" wrapText="1"/>
    </xf>
    <xf numFmtId="0" fontId="14" fillId="29" borderId="34" applyAlignment="1" pivotButton="0" quotePrefix="0" xfId="0">
      <alignment horizontal="center" vertical="center" wrapText="1"/>
    </xf>
    <xf numFmtId="0" fontId="14" fillId="29" borderId="37" applyAlignment="1" pivotButton="0" quotePrefix="0" xfId="0">
      <alignment horizontal="center" vertical="center" wrapText="1"/>
    </xf>
    <xf numFmtId="0" fontId="14" fillId="29" borderId="35" applyAlignment="1" pivotButton="0" quotePrefix="0" xfId="0">
      <alignment horizontal="center" vertical="center" wrapText="1"/>
    </xf>
    <xf numFmtId="0" fontId="3" fillId="4" borderId="36" applyAlignment="1" pivotButton="0" quotePrefix="0" xfId="0">
      <alignment horizontal="center" vertical="center" wrapText="1"/>
    </xf>
    <xf numFmtId="0" fontId="3" fillId="4" borderId="38" applyAlignment="1" pivotButton="0" quotePrefix="0" xfId="0">
      <alignment horizontal="center" vertical="center" wrapText="1"/>
    </xf>
    <xf numFmtId="0" fontId="3" fillId="4" borderId="54" applyAlignment="1" pivotButton="0" quotePrefix="0" xfId="0">
      <alignment horizontal="center" vertical="center" wrapText="1"/>
    </xf>
    <xf numFmtId="0" fontId="3" fillId="4" borderId="45" applyAlignment="1" pivotButton="0" quotePrefix="0" xfId="0">
      <alignment horizontal="center" vertical="center"/>
    </xf>
    <xf numFmtId="0" fontId="3" fillId="4" borderId="54" applyAlignment="1" pivotButton="0" quotePrefix="0" xfId="0">
      <alignment horizontal="center" vertical="center"/>
    </xf>
    <xf numFmtId="0" fontId="4" fillId="21" borderId="34" applyAlignment="1" pivotButton="0" quotePrefix="0" xfId="0">
      <alignment horizontal="center" vertical="center" wrapText="1"/>
    </xf>
    <xf numFmtId="0" fontId="4" fillId="21" borderId="37" applyAlignment="1" pivotButton="0" quotePrefix="0" xfId="0">
      <alignment horizontal="center" vertical="center" wrapText="1"/>
    </xf>
    <xf numFmtId="0" fontId="4" fillId="21" borderId="35" applyAlignment="1" pivotButton="0" quotePrefix="0" xfId="0">
      <alignment horizontal="center" vertical="center" wrapText="1"/>
    </xf>
    <xf numFmtId="0" fontId="16" fillId="19" borderId="34" applyAlignment="1" pivotButton="0" quotePrefix="0" xfId="0">
      <alignment horizontal="center" vertical="center" wrapText="1"/>
    </xf>
    <xf numFmtId="0" fontId="16" fillId="19" borderId="37" applyAlignment="1" pivotButton="0" quotePrefix="0" xfId="0">
      <alignment horizontal="center" vertical="center" wrapText="1"/>
    </xf>
    <xf numFmtId="0" fontId="16" fillId="19" borderId="35" applyAlignment="1" pivotButton="0" quotePrefix="0" xfId="0">
      <alignment horizontal="center" vertical="center" wrapText="1"/>
    </xf>
    <xf numFmtId="0" fontId="0" fillId="0" borderId="55" applyAlignment="1" pivotButton="0" quotePrefix="0" xfId="0">
      <alignment horizontal="center" vertical="center" wrapText="1"/>
    </xf>
    <xf numFmtId="0" fontId="0" fillId="0" borderId="47" applyAlignment="1" pivotButton="0" quotePrefix="0" xfId="0">
      <alignment horizontal="center" vertical="center" wrapText="1"/>
    </xf>
    <xf numFmtId="0" fontId="0" fillId="0" borderId="49" applyAlignment="1" pivotButton="0" quotePrefix="0" xfId="0">
      <alignment horizontal="center" vertical="center" wrapText="1"/>
    </xf>
    <xf numFmtId="0" fontId="14" fillId="28" borderId="34" applyAlignment="1" pivotButton="0" quotePrefix="0" xfId="0">
      <alignment horizontal="center" vertical="center" wrapText="1"/>
    </xf>
    <xf numFmtId="0" fontId="14" fillId="28" borderId="37" applyAlignment="1" pivotButton="0" quotePrefix="0" xfId="0">
      <alignment horizontal="center" vertical="center" wrapText="1"/>
    </xf>
    <xf numFmtId="0" fontId="14" fillId="28" borderId="35" applyAlignment="1" pivotButton="0" quotePrefix="0" xfId="0">
      <alignment horizontal="center" vertical="center" wrapText="1"/>
    </xf>
    <xf numFmtId="0" fontId="3" fillId="4" borderId="6" applyAlignment="1" pivotButton="0" quotePrefix="0" xfId="0">
      <alignment horizontal="center" vertical="center" wrapText="1"/>
    </xf>
    <xf numFmtId="0" fontId="3" fillId="4" borderId="7" applyAlignment="1" pivotButton="0" quotePrefix="0" xfId="0">
      <alignment horizontal="center" vertical="center" wrapText="1"/>
    </xf>
    <xf numFmtId="0" fontId="3" fillId="4" borderId="7" applyAlignment="1" pivotButton="0" quotePrefix="0" xfId="0">
      <alignment horizontal="center" vertical="center"/>
    </xf>
    <xf numFmtId="0" fontId="14" fillId="23" borderId="34" applyAlignment="1" pivotButton="0" quotePrefix="0" xfId="0">
      <alignment horizontal="center" vertical="center" wrapText="1"/>
    </xf>
    <xf numFmtId="0" fontId="14" fillId="23" borderId="37" applyAlignment="1" pivotButton="0" quotePrefix="0" xfId="0">
      <alignment horizontal="center" vertical="center" wrapText="1"/>
    </xf>
    <xf numFmtId="0" fontId="14" fillId="23" borderId="35" applyAlignment="1" pivotButton="0" quotePrefix="0" xfId="0">
      <alignment horizontal="center" vertical="center" wrapText="1"/>
    </xf>
    <xf numFmtId="0" fontId="14" fillId="24" borderId="34" applyAlignment="1" pivotButton="0" quotePrefix="0" xfId="0">
      <alignment horizontal="center" vertical="center" wrapText="1"/>
    </xf>
    <xf numFmtId="0" fontId="14" fillId="24" borderId="37" applyAlignment="1" pivotButton="0" quotePrefix="0" xfId="0">
      <alignment horizontal="center" vertical="center" wrapText="1"/>
    </xf>
    <xf numFmtId="0" fontId="14" fillId="24" borderId="35" applyAlignment="1" pivotButton="0" quotePrefix="0" xfId="0">
      <alignment horizontal="center" vertical="center" wrapText="1"/>
    </xf>
    <xf numFmtId="0" fontId="4" fillId="25" borderId="34" applyAlignment="1" pivotButton="0" quotePrefix="0" xfId="0">
      <alignment horizontal="center" vertical="center" wrapText="1"/>
    </xf>
    <xf numFmtId="0" fontId="4" fillId="25" borderId="37" applyAlignment="1" pivotButton="0" quotePrefix="0" xfId="0">
      <alignment horizontal="center" vertical="center" wrapText="1"/>
    </xf>
    <xf numFmtId="0" fontId="4" fillId="25" borderId="35" applyAlignment="1" pivotButton="0" quotePrefix="0" xfId="0">
      <alignment horizontal="center" vertical="center" wrapText="1"/>
    </xf>
    <xf numFmtId="0" fontId="14" fillId="26" borderId="34" applyAlignment="1" pivotButton="0" quotePrefix="0" xfId="0">
      <alignment horizontal="center" vertical="center" wrapText="1"/>
    </xf>
    <xf numFmtId="0" fontId="14" fillId="26" borderId="37" applyAlignment="1" pivotButton="0" quotePrefix="0" xfId="0">
      <alignment horizontal="center" vertical="center" wrapText="1"/>
    </xf>
    <xf numFmtId="0" fontId="14" fillId="26" borderId="35" applyAlignment="1" pivotButton="0" quotePrefix="0" xfId="0">
      <alignment horizontal="center" vertical="center" wrapText="1"/>
    </xf>
    <xf numFmtId="0" fontId="4" fillId="27" borderId="34" applyAlignment="1" pivotButton="0" quotePrefix="0" xfId="0">
      <alignment horizontal="center" vertical="center" wrapText="1"/>
    </xf>
    <xf numFmtId="0" fontId="4" fillId="27" borderId="37" applyAlignment="1" pivotButton="0" quotePrefix="0" xfId="0">
      <alignment horizontal="center" vertical="center" wrapText="1"/>
    </xf>
    <xf numFmtId="0" fontId="4" fillId="27" borderId="35" applyAlignment="1" pivotButton="0" quotePrefix="0" xfId="0">
      <alignment horizontal="center" vertical="center" wrapText="1"/>
    </xf>
    <xf numFmtId="0" fontId="4" fillId="15" borderId="34" applyAlignment="1" pivotButton="0" quotePrefix="0" xfId="0">
      <alignment horizontal="center" vertical="center" wrapText="1"/>
    </xf>
    <xf numFmtId="0" fontId="4" fillId="15" borderId="37" applyAlignment="1" pivotButton="0" quotePrefix="0" xfId="0">
      <alignment horizontal="center" vertical="center" wrapText="1"/>
    </xf>
    <xf numFmtId="0" fontId="4" fillId="15" borderId="35" applyAlignment="1" pivotButton="0" quotePrefix="0" xfId="0">
      <alignment horizontal="center" vertical="center" wrapText="1"/>
    </xf>
    <xf numFmtId="0" fontId="14" fillId="4" borderId="34" applyAlignment="1" pivotButton="0" quotePrefix="0" xfId="0">
      <alignment horizontal="center" vertical="center"/>
    </xf>
    <xf numFmtId="0" fontId="14" fillId="5" borderId="34" applyAlignment="1" pivotButton="0" quotePrefix="0" xfId="0">
      <alignment horizontal="center" vertical="center" wrapText="1"/>
    </xf>
    <xf numFmtId="0" fontId="14" fillId="5" borderId="37" applyAlignment="1" pivotButton="0" quotePrefix="0" xfId="0">
      <alignment horizontal="center" vertical="center" wrapText="1"/>
    </xf>
    <xf numFmtId="0" fontId="14" fillId="5" borderId="35" applyAlignment="1" pivotButton="0" quotePrefix="0" xfId="0">
      <alignment horizontal="center" vertical="center" wrapText="1"/>
    </xf>
    <xf numFmtId="0" fontId="4" fillId="43" borderId="34" applyAlignment="1" pivotButton="0" quotePrefix="0" xfId="0">
      <alignment horizontal="center" vertical="center" wrapText="1"/>
    </xf>
    <xf numFmtId="0" fontId="14" fillId="43" borderId="37" applyAlignment="1" pivotButton="0" quotePrefix="0" xfId="0">
      <alignment horizontal="center" vertical="center" wrapText="1"/>
    </xf>
    <xf numFmtId="0" fontId="14" fillId="43" borderId="35" applyAlignment="1" pivotButton="0" quotePrefix="0" xfId="0">
      <alignment horizontal="center" vertical="center" wrapText="1"/>
    </xf>
    <xf numFmtId="0" fontId="14" fillId="30" borderId="34" applyAlignment="1" pivotButton="0" quotePrefix="0" xfId="0">
      <alignment horizontal="center" vertical="center" wrapText="1"/>
    </xf>
    <xf numFmtId="0" fontId="14" fillId="30" borderId="37" applyAlignment="1" pivotButton="0" quotePrefix="0" xfId="0">
      <alignment horizontal="center" vertical="center" wrapText="1"/>
    </xf>
    <xf numFmtId="0" fontId="14" fillId="30" borderId="35" applyAlignment="1" pivotButton="0" quotePrefix="0" xfId="0">
      <alignment horizontal="center" vertical="center" wrapText="1"/>
    </xf>
    <xf numFmtId="0" fontId="4" fillId="6" borderId="34" applyAlignment="1" pivotButton="0" quotePrefix="0" xfId="0">
      <alignment horizontal="center" vertical="center" wrapText="1"/>
    </xf>
    <xf numFmtId="0" fontId="4" fillId="6" borderId="37" applyAlignment="1" pivotButton="0" quotePrefix="0" xfId="0">
      <alignment horizontal="center" vertical="center" wrapText="1"/>
    </xf>
    <xf numFmtId="0" fontId="4" fillId="6" borderId="35" applyAlignment="1" pivotButton="0" quotePrefix="0" xfId="0">
      <alignment horizontal="center" vertical="center" wrapText="1"/>
    </xf>
    <xf numFmtId="0" fontId="4" fillId="31" borderId="34" applyAlignment="1" pivotButton="0" quotePrefix="0" xfId="0">
      <alignment horizontal="center" vertical="center" wrapText="1"/>
    </xf>
    <xf numFmtId="0" fontId="4" fillId="31" borderId="37" applyAlignment="1" pivotButton="0" quotePrefix="0" xfId="0">
      <alignment horizontal="center" vertical="center" wrapText="1"/>
    </xf>
    <xf numFmtId="0" fontId="4" fillId="31" borderId="35" applyAlignment="1" pivotButton="0" quotePrefix="0" xfId="0">
      <alignment horizontal="center" vertical="center" wrapText="1"/>
    </xf>
    <xf numFmtId="0" fontId="14" fillId="32" borderId="34" applyAlignment="1" pivotButton="0" quotePrefix="0" xfId="0">
      <alignment horizontal="center" vertical="center" wrapText="1"/>
    </xf>
    <xf numFmtId="0" fontId="14" fillId="32" borderId="37" applyAlignment="1" pivotButton="0" quotePrefix="0" xfId="0">
      <alignment horizontal="center" vertical="center" wrapText="1"/>
    </xf>
    <xf numFmtId="0" fontId="14" fillId="32" borderId="35" applyAlignment="1" pivotButton="0" quotePrefix="0" xfId="0">
      <alignment horizontal="center" vertical="center" wrapText="1"/>
    </xf>
    <xf numFmtId="0" fontId="14" fillId="3" borderId="62" applyAlignment="1" pivotButton="0" quotePrefix="0" xfId="0">
      <alignment horizontal="center" vertical="center" wrapText="1"/>
    </xf>
    <xf numFmtId="0" fontId="0" fillId="0" borderId="63" pivotButton="0" quotePrefix="0" xfId="0"/>
    <xf numFmtId="0" fontId="0" fillId="0" borderId="35" pivotButton="0" quotePrefix="0" xfId="0"/>
    <xf numFmtId="0" fontId="14" fillId="38" borderId="62" applyAlignment="1" pivotButton="0" quotePrefix="0" xfId="0">
      <alignment horizontal="center" vertical="center" wrapText="1"/>
    </xf>
    <xf numFmtId="0" fontId="0" fillId="0" borderId="64" applyAlignment="1" pivotButton="0" quotePrefix="0" xfId="0">
      <alignment horizontal="center" vertical="center" wrapText="1"/>
    </xf>
    <xf numFmtId="0" fontId="0" fillId="0" borderId="38" pivotButton="0" quotePrefix="0" xfId="0"/>
    <xf numFmtId="0" fontId="0" fillId="0" borderId="4" pivotButton="0" quotePrefix="0" xfId="0"/>
    <xf numFmtId="0" fontId="0" fillId="0" borderId="58" pivotButton="0" quotePrefix="0" xfId="0"/>
    <xf numFmtId="0" fontId="0" fillId="0" borderId="27" pivotButton="0" quotePrefix="0" xfId="0"/>
    <xf numFmtId="0" fontId="0" fillId="0" borderId="48" pivotButton="0" quotePrefix="0" xfId="0"/>
    <xf numFmtId="0" fontId="0" fillId="0" borderId="28" pivotButton="0" quotePrefix="0" xfId="0"/>
    <xf numFmtId="0" fontId="0" fillId="0" borderId="47" pivotButton="0" quotePrefix="0" xfId="0"/>
    <xf numFmtId="0" fontId="0" fillId="0" borderId="29" pivotButton="0" quotePrefix="0" xfId="0"/>
    <xf numFmtId="0" fontId="0" fillId="0" borderId="49" pivotButton="0" quotePrefix="0" xfId="0"/>
    <xf numFmtId="0" fontId="14" fillId="22" borderId="62" applyAlignment="1" pivotButton="0" quotePrefix="0" xfId="0">
      <alignment horizontal="center" vertical="center" wrapText="1"/>
    </xf>
    <xf numFmtId="0" fontId="14" fillId="39" borderId="62" applyAlignment="1" pivotButton="0" quotePrefix="0" xfId="0">
      <alignment horizontal="center" vertical="center" wrapText="1"/>
    </xf>
    <xf numFmtId="0" fontId="14" fillId="40" borderId="62" applyAlignment="1" pivotButton="0" quotePrefix="0" xfId="0">
      <alignment horizontal="center" vertical="center" wrapText="1"/>
    </xf>
    <xf numFmtId="0" fontId="14" fillId="41" borderId="62" applyAlignment="1" pivotButton="0" quotePrefix="0" xfId="0">
      <alignment horizontal="center" vertical="center" wrapText="1"/>
    </xf>
    <xf numFmtId="0" fontId="0" fillId="0" borderId="54" pivotButton="0" quotePrefix="0" xfId="0"/>
    <xf numFmtId="0" fontId="0" fillId="0" borderId="41" pivotButton="0" quotePrefix="0" xfId="0"/>
    <xf numFmtId="0" fontId="0" fillId="0" borderId="59" pivotButton="0" quotePrefix="0" xfId="0"/>
    <xf numFmtId="0" fontId="0" fillId="0" borderId="60" pivotButton="0" quotePrefix="0" xfId="0"/>
    <xf numFmtId="0" fontId="0" fillId="0" borderId="61" pivotButton="0" quotePrefix="0" xfId="0"/>
    <xf numFmtId="0" fontId="0" fillId="0" borderId="55" pivotButton="0" quotePrefix="0" xfId="0"/>
    <xf numFmtId="0" fontId="0" fillId="0" borderId="46" pivotButton="0" quotePrefix="0" xfId="0"/>
    <xf numFmtId="0" fontId="5" fillId="8" borderId="62" applyAlignment="1" pivotButton="0" quotePrefix="0" xfId="0">
      <alignment horizontal="center" vertical="center" wrapText="1"/>
    </xf>
    <xf numFmtId="0" fontId="7" fillId="10" borderId="64" applyAlignment="1" pivotButton="0" quotePrefix="0" xfId="0">
      <alignment horizontal="center" vertical="center" wrapText="1"/>
    </xf>
    <xf numFmtId="0" fontId="10" fillId="11" borderId="62" applyAlignment="1" pivotButton="0" quotePrefix="0" xfId="0">
      <alignment horizontal="center" vertical="center" wrapText="1"/>
    </xf>
    <xf numFmtId="0" fontId="14" fillId="13" borderId="62" applyAlignment="1" pivotButton="0" quotePrefix="0" xfId="0">
      <alignment horizontal="center" vertical="center" wrapText="1"/>
    </xf>
    <xf numFmtId="0" fontId="0" fillId="0" borderId="50" pivotButton="0" quotePrefix="0" xfId="0"/>
    <xf numFmtId="0" fontId="0" fillId="0" borderId="19" pivotButton="0" quotePrefix="0" xfId="0"/>
    <xf numFmtId="0" fontId="14" fillId="4" borderId="62" applyAlignment="1" pivotButton="0" quotePrefix="0" xfId="0">
      <alignment horizontal="center" vertical="center" wrapText="1"/>
    </xf>
    <xf numFmtId="0" fontId="0" fillId="0" borderId="64" applyAlignment="1" pivotButton="0" quotePrefix="0" xfId="0">
      <alignment horizontal="center" vertical="center"/>
    </xf>
    <xf numFmtId="0" fontId="0" fillId="0" borderId="23" pivotButton="0" quotePrefix="0" xfId="0"/>
    <xf numFmtId="0" fontId="0" fillId="0" borderId="65" pivotButton="0" quotePrefix="0" xfId="0"/>
    <xf numFmtId="0" fontId="14" fillId="14" borderId="62" applyAlignment="1" pivotButton="0" quotePrefix="0" xfId="0">
      <alignment horizontal="center" vertical="center" wrapText="1"/>
    </xf>
    <xf numFmtId="0" fontId="0" fillId="0" borderId="62" applyAlignment="1" pivotButton="0" quotePrefix="0" xfId="0">
      <alignment horizontal="center" vertical="center"/>
    </xf>
    <xf numFmtId="0" fontId="14" fillId="17" borderId="62" applyAlignment="1" pivotButton="0" quotePrefix="0" xfId="0">
      <alignment horizontal="center" vertical="center" wrapText="1"/>
    </xf>
    <xf numFmtId="0" fontId="4" fillId="16" borderId="62" applyAlignment="1" pivotButton="0" quotePrefix="0" xfId="0">
      <alignment horizontal="center" vertical="center" wrapText="1"/>
    </xf>
    <xf numFmtId="0" fontId="0" fillId="0" borderId="66" applyAlignment="1" pivotButton="0" quotePrefix="0" xfId="0">
      <alignment horizontal="center" vertical="center" wrapText="1"/>
    </xf>
    <xf numFmtId="0" fontId="0" fillId="0" borderId="68" pivotButton="0" quotePrefix="0" xfId="0"/>
    <xf numFmtId="0" fontId="0" fillId="0" borderId="69" pivotButton="0" quotePrefix="0" xfId="0"/>
    <xf numFmtId="0" fontId="0" fillId="0" borderId="42" pivotButton="0" quotePrefix="0" xfId="0"/>
    <xf numFmtId="0" fontId="0" fillId="0" borderId="43" pivotButton="0" quotePrefix="0" xfId="0"/>
    <xf numFmtId="0" fontId="0" fillId="0" borderId="24" pivotButton="0" quotePrefix="0" xfId="0"/>
    <xf numFmtId="0" fontId="4" fillId="18" borderId="62" applyAlignment="1" pivotButton="0" quotePrefix="0" xfId="0">
      <alignment horizontal="center" vertical="center" wrapText="1"/>
    </xf>
    <xf numFmtId="0" fontId="0" fillId="0" borderId="66" applyAlignment="1" pivotButton="0" quotePrefix="0" xfId="0">
      <alignment horizontal="center" vertical="center"/>
    </xf>
    <xf numFmtId="0" fontId="4" fillId="20" borderId="62" applyAlignment="1" pivotButton="0" quotePrefix="0" xfId="0">
      <alignment horizontal="center" vertical="center" wrapText="1"/>
    </xf>
    <xf numFmtId="0" fontId="14" fillId="29" borderId="62" applyAlignment="1" pivotButton="0" quotePrefix="0" xfId="0">
      <alignment horizontal="center" vertical="center" wrapText="1"/>
    </xf>
    <xf numFmtId="0" fontId="4" fillId="21" borderId="62" applyAlignment="1" pivotButton="0" quotePrefix="0" xfId="0">
      <alignment horizontal="center" vertical="center" wrapText="1"/>
    </xf>
    <xf numFmtId="0" fontId="3" fillId="4" borderId="70" applyAlignment="1" pivotButton="0" quotePrefix="0" xfId="0">
      <alignment horizontal="center" vertical="center" wrapText="1"/>
    </xf>
    <xf numFmtId="0" fontId="3" fillId="4" borderId="71" applyAlignment="1" pivotButton="0" quotePrefix="0" xfId="0">
      <alignment horizontal="center" vertical="center"/>
    </xf>
    <xf numFmtId="0" fontId="16" fillId="19" borderId="62" applyAlignment="1" pivotButton="0" quotePrefix="0" xfId="0">
      <alignment horizontal="center" vertical="center" wrapText="1"/>
    </xf>
    <xf numFmtId="0" fontId="14" fillId="28" borderId="62" applyAlignment="1" pivotButton="0" quotePrefix="0" xfId="0">
      <alignment horizontal="center" vertical="center" wrapText="1"/>
    </xf>
    <xf numFmtId="0" fontId="14" fillId="23" borderId="62" applyAlignment="1" pivotButton="0" quotePrefix="0" xfId="0">
      <alignment horizontal="center" vertical="center" wrapText="1"/>
    </xf>
    <xf numFmtId="0" fontId="14" fillId="24" borderId="62" applyAlignment="1" pivotButton="0" quotePrefix="0" xfId="0">
      <alignment horizontal="center" vertical="center" wrapText="1"/>
    </xf>
    <xf numFmtId="0" fontId="4" fillId="25" borderId="62" applyAlignment="1" pivotButton="0" quotePrefix="0" xfId="0">
      <alignment horizontal="center" vertical="center" wrapText="1"/>
    </xf>
    <xf numFmtId="0" fontId="14" fillId="26" borderId="62" applyAlignment="1" pivotButton="0" quotePrefix="0" xfId="0">
      <alignment horizontal="center" vertical="center" wrapText="1"/>
    </xf>
    <xf numFmtId="0" fontId="4" fillId="27" borderId="62" applyAlignment="1" pivotButton="0" quotePrefix="0" xfId="0">
      <alignment horizontal="center" vertical="center" wrapText="1"/>
    </xf>
    <xf numFmtId="0" fontId="4" fillId="15" borderId="62" applyAlignment="1" pivotButton="0" quotePrefix="0" xfId="0">
      <alignment horizontal="center" vertical="center" wrapText="1"/>
    </xf>
    <xf numFmtId="0" fontId="14" fillId="4" borderId="62" applyAlignment="1" pivotButton="0" quotePrefix="0" xfId="0">
      <alignment horizontal="center" vertical="center"/>
    </xf>
    <xf numFmtId="0" fontId="14" fillId="5" borderId="62" applyAlignment="1" pivotButton="0" quotePrefix="0" xfId="0">
      <alignment horizontal="center" vertical="center" wrapText="1"/>
    </xf>
    <xf numFmtId="0" fontId="4" fillId="43" borderId="62" applyAlignment="1" pivotButton="0" quotePrefix="0" xfId="0">
      <alignment horizontal="center" vertical="center" wrapText="1"/>
    </xf>
    <xf numFmtId="0" fontId="14" fillId="30" borderId="62" applyAlignment="1" pivotButton="0" quotePrefix="0" xfId="0">
      <alignment horizontal="center" vertical="center" wrapText="1"/>
    </xf>
    <xf numFmtId="0" fontId="4" fillId="6" borderId="62" applyAlignment="1" pivotButton="0" quotePrefix="0" xfId="0">
      <alignment horizontal="center" vertical="center" wrapText="1"/>
    </xf>
    <xf numFmtId="0" fontId="4" fillId="31" borderId="62" applyAlignment="1" pivotButton="0" quotePrefix="0" xfId="0">
      <alignment horizontal="center" vertical="center" wrapText="1"/>
    </xf>
    <xf numFmtId="0" fontId="14" fillId="32" borderId="62" applyAlignment="1" pivotButton="0" quotePrefix="0" xfId="0">
      <alignment horizontal="center" vertical="center" wrapText="1"/>
    </xf>
  </cellXfs>
  <cellStyles count="2">
    <cellStyle name="Normal" xfId="0" builtinId="0"/>
    <cellStyle name="Hyperlink" xfId="1" builtinId="8"/>
  </cellStyles>
  <tableStyles count="1" defaultTableStyle="TableStyleMedium2" defaultPivotStyle="PivotStyleLight16">
    <tableStyle name="Invisible" pivot="0" table="0" count="0"/>
  </tableStyles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styles" Target="styles.xml" Id="rId34"/><Relationship Type="http://schemas.openxmlformats.org/officeDocument/2006/relationships/theme" Target="theme/theme1.xml" Id="rId35"/><Relationship Type="http://schemas.microsoft.com/office/2006/relationships/vbaProject" Target="vbaProject.bin" Id="rId36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drawing1.xml><?xml version="1.0" encoding="utf-8"?>
<wsDr xmlns="http://schemas.openxmlformats.org/drawingml/2006/spreadsheetDrawing">
  <twoCellAnchor editAs="oneCell">
    <from>
      <col>12</col>
      <colOff>219075</colOff>
      <row>19</row>
      <rowOff>177805</rowOff>
    </from>
    <to>
      <col>23</col>
      <colOff>47625</colOff>
      <row>25</row>
      <rowOff>9767</rowOff>
    </to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5457825" y="5054605"/>
          <a:ext cx="5857875" cy="1527412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23</col>
      <colOff>28575</colOff>
      <row>1</row>
      <rowOff>9525</rowOff>
    </from>
    <to>
      <col>29</col>
      <colOff>104295</colOff>
      <row>34</row>
      <rowOff>46815</rowOff>
    </to>
    <pic>
      <nvPicPr>
        <cNvPr id="2" name="Picture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13211175" y="276225"/>
          <a:ext cx="3838095" cy="647619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tblLots" displayName="tblLots" ref="A1:H2" headerRowCount="1">
  <autoFilter ref="A1:H2"/>
  <tableColumns count="8">
    <tableColumn id="1" name="PN"/>
    <tableColumn id="2" name="LotNumber"/>
    <tableColumn id="3" name="ExpirationDate"/>
    <tableColumn id="4" name="Qty"/>
    <tableColumn id="5" name="Unit"/>
    <tableColumn id="6" name="StorageLocation"/>
    <tableColumn id="7" name="LatestInventory"/>
    <tableColumn id="8" name="IsActive"/>
  </tableColumns>
  <tableStyleInfo name="TableStyleMedium2" showRowStripes="1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sheetData>
    <row r="1">
      <c r="A1" t="inlineStr">
        <is>
          <t>PN</t>
        </is>
      </c>
      <c r="B1" t="inlineStr">
        <is>
          <t>LotNumber</t>
        </is>
      </c>
      <c r="C1" t="inlineStr">
        <is>
          <t>ExpirationDate</t>
        </is>
      </c>
      <c r="D1" t="inlineStr">
        <is>
          <t>Qty</t>
        </is>
      </c>
      <c r="E1" t="inlineStr">
        <is>
          <t>Unit</t>
        </is>
      </c>
      <c r="F1" t="inlineStr">
        <is>
          <t>StorageLocation</t>
        </is>
      </c>
      <c r="G1" t="inlineStr">
        <is>
          <t>LatestInventory</t>
        </is>
      </c>
      <c r="H1" t="inlineStr">
        <is>
          <t>IsActive</t>
        </is>
      </c>
    </row>
    <row r="2"/>
    <row r="4">
      <c r="A4" t="inlineStr">
        <is>
          <t>Load CM_Lots via Power Query here and rename the table to 'tblLots' (keep columns exactly).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G104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sheetData>
    <row r="1">
      <c r="A1" t="inlineStr">
        <is>
          <t>Sheet</t>
        </is>
      </c>
      <c r="B1" t="inlineStr">
        <is>
          <t>HeaderRow</t>
        </is>
      </c>
      <c r="C1" t="inlineStr">
        <is>
          <t>DataStartRow</t>
        </is>
      </c>
      <c r="D1" t="inlineStr">
        <is>
          <t>PN</t>
        </is>
      </c>
      <c r="E1" t="inlineStr">
        <is>
          <t>PN_Cell</t>
        </is>
      </c>
      <c r="F1" t="inlineStr">
        <is>
          <t>HelperTopLeft</t>
        </is>
      </c>
      <c r="G1" t="inlineStr">
        <is>
          <t>Notes</t>
        </is>
      </c>
    </row>
    <row r="2">
      <c r="A2" t="inlineStr">
        <is>
          <t>BULK SR</t>
        </is>
      </c>
      <c r="B2" t="n">
        <v>6</v>
      </c>
      <c r="C2" t="n">
        <v>7</v>
      </c>
      <c r="D2" t="inlineStr">
        <is>
          <t>500-2608</t>
        </is>
      </c>
      <c r="E2" t="inlineStr">
        <is>
          <t>B7</t>
        </is>
      </c>
      <c r="F2" t="inlineStr">
        <is>
          <t>AZ7</t>
        </is>
      </c>
      <c r="G2" t="inlineStr">
        <is>
          <t>PN stored in hidden column B</t>
        </is>
      </c>
    </row>
    <row r="3">
      <c r="A3" t="inlineStr">
        <is>
          <t>BULK SR</t>
        </is>
      </c>
      <c r="B3" t="n">
        <v>14</v>
      </c>
      <c r="C3" t="n">
        <v>15</v>
      </c>
      <c r="D3" t="inlineStr">
        <is>
          <t>500-0952</t>
        </is>
      </c>
      <c r="E3" t="inlineStr">
        <is>
          <t>B15</t>
        </is>
      </c>
      <c r="F3" t="inlineStr">
        <is>
          <t>AZ15</t>
        </is>
      </c>
      <c r="G3" t="inlineStr">
        <is>
          <t>PN stored in hidden column B</t>
        </is>
      </c>
    </row>
    <row r="4">
      <c r="A4" t="inlineStr">
        <is>
          <t>BULK SR</t>
        </is>
      </c>
      <c r="B4" t="n">
        <v>22</v>
      </c>
      <c r="C4" t="n">
        <v>23</v>
      </c>
      <c r="D4" t="inlineStr">
        <is>
          <t>001-1689</t>
        </is>
      </c>
      <c r="E4" t="inlineStr">
        <is>
          <t>B23</t>
        </is>
      </c>
      <c r="F4" t="inlineStr">
        <is>
          <t>AZ23</t>
        </is>
      </c>
      <c r="G4" t="inlineStr">
        <is>
          <t>PN stored in hidden column B</t>
        </is>
      </c>
    </row>
    <row r="5">
      <c r="A5" t="inlineStr">
        <is>
          <t>MTB RIF</t>
        </is>
      </c>
      <c r="B5" t="n">
        <v>4</v>
      </c>
      <c r="C5" t="n">
        <v>5</v>
      </c>
      <c r="D5" t="inlineStr">
        <is>
          <t>001-1683</t>
        </is>
      </c>
      <c r="E5" t="inlineStr">
        <is>
          <t>A5</t>
        </is>
      </c>
      <c r="F5" t="inlineStr">
        <is>
          <t>AZ5</t>
        </is>
      </c>
      <c r="G5" t="inlineStr"/>
    </row>
    <row r="6">
      <c r="A6" t="inlineStr">
        <is>
          <t>MTB RIF</t>
        </is>
      </c>
      <c r="B6" t="n">
        <v>12</v>
      </c>
      <c r="C6" t="n">
        <v>13</v>
      </c>
      <c r="D6" t="inlineStr">
        <is>
          <t>500-0995</t>
        </is>
      </c>
      <c r="E6" t="inlineStr">
        <is>
          <t>B13</t>
        </is>
      </c>
      <c r="F6" t="inlineStr">
        <is>
          <t>AZ13</t>
        </is>
      </c>
      <c r="G6" t="inlineStr">
        <is>
          <t>PN stored in hidden column B</t>
        </is>
      </c>
    </row>
    <row r="7">
      <c r="A7" t="inlineStr">
        <is>
          <t>MTB RIF</t>
        </is>
      </c>
      <c r="B7" t="n">
        <v>20</v>
      </c>
      <c r="C7" t="n">
        <v>21</v>
      </c>
      <c r="D7" t="inlineStr">
        <is>
          <t>500-2608</t>
        </is>
      </c>
      <c r="E7" t="inlineStr">
        <is>
          <t>B21</t>
        </is>
      </c>
      <c r="F7" t="inlineStr">
        <is>
          <t>AZ21</t>
        </is>
      </c>
      <c r="G7" t="inlineStr">
        <is>
          <t>PN stored in hidden column B</t>
        </is>
      </c>
    </row>
    <row r="8">
      <c r="A8" t="inlineStr">
        <is>
          <t>MTB ULTRA</t>
        </is>
      </c>
      <c r="B8" t="n">
        <v>4</v>
      </c>
      <c r="C8" t="n">
        <v>5</v>
      </c>
      <c r="D8" t="inlineStr">
        <is>
          <t>001-1923</t>
        </is>
      </c>
      <c r="E8" t="inlineStr">
        <is>
          <t>A5</t>
        </is>
      </c>
      <c r="F8" t="inlineStr">
        <is>
          <t>AZ5</t>
        </is>
      </c>
      <c r="G8" t="inlineStr"/>
    </row>
    <row r="9">
      <c r="A9" t="inlineStr">
        <is>
          <t>MTB ULTRA</t>
        </is>
      </c>
      <c r="B9" t="n">
        <v>9</v>
      </c>
      <c r="C9" t="n">
        <v>10</v>
      </c>
      <c r="D9" t="inlineStr">
        <is>
          <t>001-1968</t>
        </is>
      </c>
      <c r="E9" t="inlineStr">
        <is>
          <t>A10</t>
        </is>
      </c>
      <c r="F9" t="inlineStr">
        <is>
          <t>AZ10</t>
        </is>
      </c>
      <c r="G9" t="inlineStr"/>
    </row>
    <row r="10">
      <c r="A10" t="inlineStr">
        <is>
          <t>MTB ULTRA</t>
        </is>
      </c>
      <c r="B10" t="n">
        <v>17</v>
      </c>
      <c r="C10" t="n">
        <v>18</v>
      </c>
      <c r="D10" t="inlineStr">
        <is>
          <t>500-0995</t>
        </is>
      </c>
      <c r="E10" t="inlineStr">
        <is>
          <t>B18</t>
        </is>
      </c>
      <c r="F10" t="inlineStr">
        <is>
          <t>AZ18</t>
        </is>
      </c>
      <c r="G10" t="inlineStr">
        <is>
          <t>PN stored in hidden column B</t>
        </is>
      </c>
    </row>
    <row r="11">
      <c r="A11" t="inlineStr">
        <is>
          <t>MTB ULTRA</t>
        </is>
      </c>
      <c r="B11" t="n">
        <v>25</v>
      </c>
      <c r="C11" t="n">
        <v>26</v>
      </c>
      <c r="D11" t="inlineStr">
        <is>
          <t>500-2608</t>
        </is>
      </c>
      <c r="E11" t="inlineStr">
        <is>
          <t>B26</t>
        </is>
      </c>
      <c r="F11" t="inlineStr">
        <is>
          <t>AZ26</t>
        </is>
      </c>
      <c r="G11" t="inlineStr">
        <is>
          <t>PN stored in hidden column B</t>
        </is>
      </c>
    </row>
    <row r="12">
      <c r="A12" t="inlineStr">
        <is>
          <t>MTB JP</t>
        </is>
      </c>
      <c r="B12" t="n">
        <v>4</v>
      </c>
      <c r="C12" t="n">
        <v>5</v>
      </c>
      <c r="D12" t="inlineStr">
        <is>
          <t>001-1683</t>
        </is>
      </c>
      <c r="E12" t="inlineStr">
        <is>
          <t>A5</t>
        </is>
      </c>
      <c r="F12" t="inlineStr">
        <is>
          <t>AZ5</t>
        </is>
      </c>
      <c r="G12" t="inlineStr"/>
    </row>
    <row r="13">
      <c r="A13" t="inlineStr">
        <is>
          <t>MTB JP</t>
        </is>
      </c>
      <c r="B13" t="n">
        <v>9</v>
      </c>
      <c r="C13" t="n">
        <v>10</v>
      </c>
      <c r="D13" t="inlineStr">
        <is>
          <t>001-1658</t>
        </is>
      </c>
      <c r="E13" t="inlineStr">
        <is>
          <t>A10</t>
        </is>
      </c>
      <c r="F13" t="inlineStr">
        <is>
          <t>AZ10</t>
        </is>
      </c>
      <c r="G13" t="inlineStr"/>
    </row>
    <row r="14">
      <c r="A14" t="inlineStr">
        <is>
          <t>MTB JP</t>
        </is>
      </c>
      <c r="B14" t="n">
        <v>14</v>
      </c>
      <c r="C14" t="n">
        <v>15</v>
      </c>
      <c r="D14" t="inlineStr">
        <is>
          <t>001-1922</t>
        </is>
      </c>
      <c r="E14" t="inlineStr">
        <is>
          <t>A15</t>
        </is>
      </c>
      <c r="F14" t="inlineStr">
        <is>
          <t>AZ15</t>
        </is>
      </c>
      <c r="G14" t="inlineStr"/>
    </row>
    <row r="15">
      <c r="A15" t="inlineStr">
        <is>
          <t>MTB JP</t>
        </is>
      </c>
      <c r="B15" t="n">
        <v>22</v>
      </c>
      <c r="C15" t="n">
        <v>23</v>
      </c>
      <c r="D15" t="inlineStr">
        <is>
          <t>500-0995</t>
        </is>
      </c>
      <c r="E15" t="inlineStr">
        <is>
          <t>B23</t>
        </is>
      </c>
      <c r="F15" t="inlineStr">
        <is>
          <t>AZ23</t>
        </is>
      </c>
      <c r="G15" t="inlineStr">
        <is>
          <t>PN stored in hidden column B</t>
        </is>
      </c>
    </row>
    <row r="16">
      <c r="A16" t="inlineStr">
        <is>
          <t>MTB JP</t>
        </is>
      </c>
      <c r="B16" t="n">
        <v>30</v>
      </c>
      <c r="C16" t="n">
        <v>31</v>
      </c>
      <c r="D16" t="inlineStr">
        <is>
          <t>500-2608</t>
        </is>
      </c>
      <c r="E16" t="inlineStr">
        <is>
          <t>B31</t>
        </is>
      </c>
      <c r="F16" t="inlineStr">
        <is>
          <t>AZ31</t>
        </is>
      </c>
      <c r="G16" t="inlineStr">
        <is>
          <t>PN stored in hidden column B</t>
        </is>
      </c>
    </row>
    <row r="17">
      <c r="A17" t="inlineStr">
        <is>
          <t>MTB XDR</t>
        </is>
      </c>
      <c r="B17" t="n">
        <v>4</v>
      </c>
      <c r="C17" t="n">
        <v>5</v>
      </c>
      <c r="D17" t="inlineStr">
        <is>
          <t>325-00056</t>
        </is>
      </c>
      <c r="E17" t="inlineStr">
        <is>
          <t>A5</t>
        </is>
      </c>
      <c r="F17" t="inlineStr">
        <is>
          <t>AZ5</t>
        </is>
      </c>
      <c r="G17" t="inlineStr"/>
    </row>
    <row r="18">
      <c r="A18" t="inlineStr">
        <is>
          <t>MTB XDR</t>
        </is>
      </c>
      <c r="B18" t="n">
        <v>9</v>
      </c>
      <c r="C18" t="n">
        <v>10</v>
      </c>
      <c r="D18" t="inlineStr">
        <is>
          <t>325-00057</t>
        </is>
      </c>
      <c r="E18" t="inlineStr">
        <is>
          <t>A10</t>
        </is>
      </c>
      <c r="F18" t="inlineStr">
        <is>
          <t>AZ10</t>
        </is>
      </c>
      <c r="G18" t="inlineStr"/>
    </row>
    <row r="19">
      <c r="A19" t="inlineStr">
        <is>
          <t>MTB XDR</t>
        </is>
      </c>
      <c r="B19" t="n">
        <v>17</v>
      </c>
      <c r="C19" t="n">
        <v>18</v>
      </c>
      <c r="D19" t="inlineStr">
        <is>
          <t>500-0995</t>
        </is>
      </c>
      <c r="E19" t="inlineStr">
        <is>
          <t>B18</t>
        </is>
      </c>
      <c r="F19" t="inlineStr">
        <is>
          <t>AZ18</t>
        </is>
      </c>
      <c r="G19" t="inlineStr">
        <is>
          <t>PN stored in hidden column B</t>
        </is>
      </c>
    </row>
    <row r="20">
      <c r="A20" t="inlineStr">
        <is>
          <t>MTB XDR</t>
        </is>
      </c>
      <c r="B20" t="n">
        <v>27</v>
      </c>
      <c r="C20" t="n">
        <v>28</v>
      </c>
      <c r="D20" t="inlineStr">
        <is>
          <t>500-2608</t>
        </is>
      </c>
      <c r="E20" t="inlineStr">
        <is>
          <t>B28</t>
        </is>
      </c>
      <c r="F20" t="inlineStr">
        <is>
          <t>AZ28</t>
        </is>
      </c>
      <c r="G20" t="inlineStr">
        <is>
          <t>PN stored in hidden column B</t>
        </is>
      </c>
    </row>
    <row r="21">
      <c r="A21" t="inlineStr">
        <is>
          <t>FLUVID | FLUVID+</t>
        </is>
      </c>
      <c r="B21" t="n">
        <v>4</v>
      </c>
      <c r="C21" t="n">
        <v>5</v>
      </c>
      <c r="D21" t="inlineStr">
        <is>
          <t>525-00097</t>
        </is>
      </c>
      <c r="E21" t="inlineStr">
        <is>
          <t>A5</t>
        </is>
      </c>
      <c r="F21" t="inlineStr">
        <is>
          <t>AZ5</t>
        </is>
      </c>
      <c r="G21" t="inlineStr"/>
    </row>
    <row r="22">
      <c r="A22" t="inlineStr">
        <is>
          <t>FLUVID | FLUVID+</t>
        </is>
      </c>
      <c r="B22" t="n">
        <v>9</v>
      </c>
      <c r="C22" t="n">
        <v>10</v>
      </c>
      <c r="D22" t="inlineStr">
        <is>
          <t>525-00099</t>
        </is>
      </c>
      <c r="E22" t="inlineStr">
        <is>
          <t>A10</t>
        </is>
      </c>
      <c r="F22" t="inlineStr">
        <is>
          <t>AZ10</t>
        </is>
      </c>
      <c r="G22" t="inlineStr"/>
    </row>
    <row r="23">
      <c r="A23" t="inlineStr">
        <is>
          <t>FLUVID | FLUVID+</t>
        </is>
      </c>
      <c r="B23" t="n">
        <v>14</v>
      </c>
      <c r="C23" t="n">
        <v>15</v>
      </c>
      <c r="D23" t="inlineStr">
        <is>
          <t>525-00102</t>
        </is>
      </c>
      <c r="E23" t="inlineStr">
        <is>
          <t>A15</t>
        </is>
      </c>
      <c r="F23" t="inlineStr">
        <is>
          <t>AZ15</t>
        </is>
      </c>
      <c r="G23" t="inlineStr"/>
    </row>
    <row r="24">
      <c r="A24" t="inlineStr">
        <is>
          <t>FLUVID | FLUVID+</t>
        </is>
      </c>
      <c r="B24" t="n">
        <v>19</v>
      </c>
      <c r="C24" t="n">
        <v>20</v>
      </c>
      <c r="D24" t="inlineStr">
        <is>
          <t>325-00075</t>
        </is>
      </c>
      <c r="E24" t="inlineStr">
        <is>
          <t>A20</t>
        </is>
      </c>
      <c r="F24" t="inlineStr">
        <is>
          <t>AZ20</t>
        </is>
      </c>
      <c r="G24" t="inlineStr"/>
    </row>
    <row r="25">
      <c r="A25" t="inlineStr">
        <is>
          <t>FLUVID | FLUVID+</t>
        </is>
      </c>
      <c r="B25" t="n">
        <v>24</v>
      </c>
      <c r="C25" t="n">
        <v>25</v>
      </c>
      <c r="D25" t="inlineStr">
        <is>
          <t>525-00169</t>
        </is>
      </c>
      <c r="E25" t="inlineStr">
        <is>
          <t>A25</t>
        </is>
      </c>
      <c r="F25" t="inlineStr">
        <is>
          <t>AZ25</t>
        </is>
      </c>
      <c r="G25" t="inlineStr"/>
    </row>
    <row r="26">
      <c r="A26" t="inlineStr">
        <is>
          <t>FLUVID | FLUVID+</t>
        </is>
      </c>
      <c r="B26" t="n">
        <v>30</v>
      </c>
      <c r="C26" t="n">
        <v>31</v>
      </c>
      <c r="D26" t="inlineStr">
        <is>
          <t>001-1471</t>
        </is>
      </c>
      <c r="E26" t="inlineStr">
        <is>
          <t>A31</t>
        </is>
      </c>
      <c r="F26" t="inlineStr">
        <is>
          <t>AZ31</t>
        </is>
      </c>
      <c r="G26" t="inlineStr"/>
    </row>
    <row r="27">
      <c r="A27" t="inlineStr">
        <is>
          <t>SARS-COV-2 Plus</t>
        </is>
      </c>
      <c r="B27" t="n">
        <v>4</v>
      </c>
      <c r="C27" t="n">
        <v>5</v>
      </c>
      <c r="D27" t="inlineStr">
        <is>
          <t>525-00169</t>
        </is>
      </c>
      <c r="E27" t="inlineStr">
        <is>
          <t>A5</t>
        </is>
      </c>
      <c r="F27" t="inlineStr">
        <is>
          <t>AZ5</t>
        </is>
      </c>
      <c r="G27" t="inlineStr"/>
    </row>
    <row r="28">
      <c r="A28" t="inlineStr">
        <is>
          <t>SARS-COV-2 Plus</t>
        </is>
      </c>
      <c r="B28" t="n">
        <v>10</v>
      </c>
      <c r="C28" t="n">
        <v>11</v>
      </c>
      <c r="D28" t="inlineStr">
        <is>
          <t>001-1471</t>
        </is>
      </c>
      <c r="E28" t="inlineStr">
        <is>
          <t>A11</t>
        </is>
      </c>
      <c r="F28" t="inlineStr">
        <is>
          <t>AZ11</t>
        </is>
      </c>
      <c r="G28" t="inlineStr"/>
    </row>
    <row r="29">
      <c r="A29" t="inlineStr">
        <is>
          <t>Respiratory Panel</t>
        </is>
      </c>
      <c r="B29" t="n">
        <v>4</v>
      </c>
      <c r="C29" t="n">
        <v>5</v>
      </c>
      <c r="D29" t="inlineStr">
        <is>
          <t>525-00193</t>
        </is>
      </c>
      <c r="E29" t="inlineStr">
        <is>
          <t>A5</t>
        </is>
      </c>
      <c r="F29" t="inlineStr">
        <is>
          <t>AZ5</t>
        </is>
      </c>
      <c r="G29" t="inlineStr"/>
    </row>
    <row r="30">
      <c r="A30" t="inlineStr">
        <is>
          <t>Respiratory Panel</t>
        </is>
      </c>
      <c r="B30" t="n">
        <v>9</v>
      </c>
      <c r="C30" t="n">
        <v>10</v>
      </c>
      <c r="D30" t="inlineStr">
        <is>
          <t>525-00194</t>
        </is>
      </c>
      <c r="E30" t="inlineStr">
        <is>
          <t>A10</t>
        </is>
      </c>
      <c r="F30" t="inlineStr">
        <is>
          <t>AZ10</t>
        </is>
      </c>
      <c r="G30" t="inlineStr"/>
    </row>
    <row r="31">
      <c r="A31" t="inlineStr">
        <is>
          <t>Respiratory Panel</t>
        </is>
      </c>
      <c r="B31" t="n">
        <v>14</v>
      </c>
      <c r="C31" t="n">
        <v>15</v>
      </c>
      <c r="D31" t="inlineStr">
        <is>
          <t>525-00195</t>
        </is>
      </c>
      <c r="E31" t="inlineStr">
        <is>
          <t>A15</t>
        </is>
      </c>
      <c r="F31" t="inlineStr">
        <is>
          <t>AZ15</t>
        </is>
      </c>
      <c r="G31" t="inlineStr"/>
    </row>
    <row r="32">
      <c r="A32" t="inlineStr">
        <is>
          <t>Respiratory Panel</t>
        </is>
      </c>
      <c r="B32" t="n">
        <v>19</v>
      </c>
      <c r="C32" t="n">
        <v>20</v>
      </c>
      <c r="D32" t="inlineStr">
        <is>
          <t>525-00196</t>
        </is>
      </c>
      <c r="E32" t="inlineStr">
        <is>
          <t>A20</t>
        </is>
      </c>
      <c r="F32" t="inlineStr">
        <is>
          <t>AZ20</t>
        </is>
      </c>
      <c r="G32" t="inlineStr"/>
    </row>
    <row r="33">
      <c r="A33" t="inlineStr">
        <is>
          <t>Respiratory Panel</t>
        </is>
      </c>
      <c r="B33" t="n">
        <v>25</v>
      </c>
      <c r="C33" t="n">
        <v>26</v>
      </c>
      <c r="D33" t="inlineStr">
        <is>
          <t>001-1471</t>
        </is>
      </c>
      <c r="E33" t="inlineStr">
        <is>
          <t>A26</t>
        </is>
      </c>
      <c r="F33" t="inlineStr">
        <is>
          <t>AZ26</t>
        </is>
      </c>
      <c r="G33" t="inlineStr"/>
    </row>
    <row r="34">
      <c r="A34" t="inlineStr">
        <is>
          <t>CTNG | CTNG JP</t>
        </is>
      </c>
      <c r="B34" t="n">
        <v>4</v>
      </c>
      <c r="C34" t="n">
        <v>5</v>
      </c>
      <c r="D34" t="inlineStr">
        <is>
          <t>500-1526</t>
        </is>
      </c>
      <c r="E34" t="inlineStr">
        <is>
          <t>A5</t>
        </is>
      </c>
      <c r="F34" t="inlineStr">
        <is>
          <t>AZ5</t>
        </is>
      </c>
      <c r="G34" t="inlineStr"/>
    </row>
    <row r="35">
      <c r="A35" t="inlineStr">
        <is>
          <t>CTNG | CTNG JP</t>
        </is>
      </c>
      <c r="B35" t="n">
        <v>9</v>
      </c>
      <c r="C35" t="n">
        <v>10</v>
      </c>
      <c r="D35" t="inlineStr">
        <is>
          <t>500-1544</t>
        </is>
      </c>
      <c r="E35" t="inlineStr">
        <is>
          <t>A10</t>
        </is>
      </c>
      <c r="F35" t="inlineStr">
        <is>
          <t>AZ10</t>
        </is>
      </c>
      <c r="G35" t="inlineStr"/>
    </row>
    <row r="36">
      <c r="A36" t="inlineStr">
        <is>
          <t>CTNG | CTNG JP</t>
        </is>
      </c>
      <c r="B36" t="n">
        <v>17</v>
      </c>
      <c r="C36" t="n">
        <v>18</v>
      </c>
      <c r="D36" t="inlineStr">
        <is>
          <t>500-1514</t>
        </is>
      </c>
      <c r="E36" t="inlineStr">
        <is>
          <t>B18</t>
        </is>
      </c>
      <c r="F36" t="inlineStr">
        <is>
          <t>AZ18</t>
        </is>
      </c>
      <c r="G36" t="inlineStr">
        <is>
          <t>PN stored in hidden column B</t>
        </is>
      </c>
    </row>
    <row r="37">
      <c r="A37" t="inlineStr">
        <is>
          <t>C.DIFF | C.DIFF JP</t>
        </is>
      </c>
      <c r="B37" t="n">
        <v>4</v>
      </c>
      <c r="C37" t="n">
        <v>5</v>
      </c>
      <c r="D37" t="inlineStr">
        <is>
          <t>500-1529</t>
        </is>
      </c>
      <c r="E37" t="inlineStr">
        <is>
          <t>A5</t>
        </is>
      </c>
      <c r="F37" t="inlineStr">
        <is>
          <t>AZ5</t>
        </is>
      </c>
      <c r="G37" t="inlineStr"/>
    </row>
    <row r="38">
      <c r="A38" t="inlineStr">
        <is>
          <t>C.DIFF | C.DIFF JP</t>
        </is>
      </c>
      <c r="B38" t="n">
        <v>12</v>
      </c>
      <c r="C38" t="n">
        <v>13</v>
      </c>
      <c r="D38" t="inlineStr">
        <is>
          <t>500-2288</t>
        </is>
      </c>
      <c r="E38" t="inlineStr">
        <is>
          <t>B13</t>
        </is>
      </c>
      <c r="F38" t="inlineStr">
        <is>
          <t>AZ13</t>
        </is>
      </c>
      <c r="G38" t="inlineStr">
        <is>
          <t>PN stored in hidden column B</t>
        </is>
      </c>
    </row>
    <row r="39">
      <c r="A39" t="inlineStr">
        <is>
          <t>EBOLA</t>
        </is>
      </c>
      <c r="B39" t="n">
        <v>4</v>
      </c>
      <c r="C39" t="n">
        <v>5</v>
      </c>
      <c r="D39" t="inlineStr">
        <is>
          <t>525-00038</t>
        </is>
      </c>
      <c r="E39" t="inlineStr">
        <is>
          <t>A5</t>
        </is>
      </c>
      <c r="F39" t="inlineStr">
        <is>
          <t>AZ5</t>
        </is>
      </c>
      <c r="G39" t="inlineStr"/>
    </row>
    <row r="40">
      <c r="A40" t="inlineStr">
        <is>
          <t>EBOLA</t>
        </is>
      </c>
      <c r="B40" t="n">
        <v>9</v>
      </c>
      <c r="C40" t="n">
        <v>10</v>
      </c>
      <c r="D40" t="inlineStr">
        <is>
          <t>525-00327</t>
        </is>
      </c>
      <c r="E40" t="inlineStr">
        <is>
          <t>A10</t>
        </is>
      </c>
      <c r="F40" t="inlineStr">
        <is>
          <t>AZ10</t>
        </is>
      </c>
      <c r="G40" t="inlineStr"/>
    </row>
    <row r="41">
      <c r="A41" t="inlineStr">
        <is>
          <t>EBOLA</t>
        </is>
      </c>
      <c r="B41" t="n">
        <v>14</v>
      </c>
      <c r="C41" t="n">
        <v>15</v>
      </c>
      <c r="D41" t="inlineStr">
        <is>
          <t>525-00065</t>
        </is>
      </c>
      <c r="E41" t="inlineStr">
        <is>
          <t>A15</t>
        </is>
      </c>
      <c r="F41" t="inlineStr">
        <is>
          <t>AZ15</t>
        </is>
      </c>
      <c r="G41" t="inlineStr"/>
    </row>
    <row r="42">
      <c r="A42" t="inlineStr">
        <is>
          <t>EBOLA</t>
        </is>
      </c>
      <c r="B42" t="n">
        <v>19</v>
      </c>
      <c r="C42" t="n">
        <v>20</v>
      </c>
      <c r="D42" t="inlineStr">
        <is>
          <t>525-00066</t>
        </is>
      </c>
      <c r="E42" t="inlineStr">
        <is>
          <t>A20</t>
        </is>
      </c>
      <c r="F42" t="inlineStr">
        <is>
          <t>AZ20</t>
        </is>
      </c>
      <c r="G42" t="inlineStr"/>
    </row>
    <row r="43">
      <c r="A43" t="inlineStr">
        <is>
          <t>HPV</t>
        </is>
      </c>
      <c r="B43" t="n">
        <v>4</v>
      </c>
      <c r="C43" t="n">
        <v>5</v>
      </c>
      <c r="D43" t="inlineStr">
        <is>
          <t>500-1917</t>
        </is>
      </c>
      <c r="E43" t="inlineStr">
        <is>
          <t>A5</t>
        </is>
      </c>
      <c r="F43" t="inlineStr">
        <is>
          <t>AZ5</t>
        </is>
      </c>
      <c r="G43" t="inlineStr"/>
    </row>
    <row r="44">
      <c r="A44" t="inlineStr">
        <is>
          <t>HPV</t>
        </is>
      </c>
      <c r="B44" t="n">
        <v>9</v>
      </c>
      <c r="C44" t="n">
        <v>10</v>
      </c>
      <c r="D44" t="inlineStr">
        <is>
          <t>500-1918</t>
        </is>
      </c>
      <c r="E44" t="inlineStr">
        <is>
          <t>A10</t>
        </is>
      </c>
      <c r="F44" t="inlineStr">
        <is>
          <t>AZ10</t>
        </is>
      </c>
      <c r="G44" t="inlineStr"/>
    </row>
    <row r="45">
      <c r="A45" t="inlineStr">
        <is>
          <t>HPV</t>
        </is>
      </c>
      <c r="B45" t="n">
        <v>14</v>
      </c>
      <c r="C45" t="n">
        <v>15</v>
      </c>
      <c r="D45" t="inlineStr">
        <is>
          <t>500-2616</t>
        </is>
      </c>
      <c r="E45" t="inlineStr">
        <is>
          <t>A15</t>
        </is>
      </c>
      <c r="F45" t="inlineStr">
        <is>
          <t>AZ15</t>
        </is>
      </c>
      <c r="G45" t="inlineStr"/>
    </row>
    <row r="46">
      <c r="A46" t="inlineStr">
        <is>
          <t>HPV</t>
        </is>
      </c>
      <c r="B46" t="n">
        <v>22</v>
      </c>
      <c r="C46" t="n">
        <v>23</v>
      </c>
      <c r="D46" t="inlineStr">
        <is>
          <t>001-1689</t>
        </is>
      </c>
      <c r="E46" t="inlineStr">
        <is>
          <t>B23</t>
        </is>
      </c>
      <c r="F46" t="inlineStr">
        <is>
          <t>AZ23</t>
        </is>
      </c>
      <c r="G46" t="inlineStr">
        <is>
          <t>PN stored in hidden column B</t>
        </is>
      </c>
    </row>
    <row r="47">
      <c r="A47" t="inlineStr">
        <is>
          <t>HBV VL</t>
        </is>
      </c>
      <c r="B47" t="n">
        <v>4</v>
      </c>
      <c r="C47" t="n">
        <v>5</v>
      </c>
      <c r="D47" t="inlineStr">
        <is>
          <t>525-00114</t>
        </is>
      </c>
      <c r="E47" t="inlineStr">
        <is>
          <t>A5</t>
        </is>
      </c>
      <c r="F47" t="inlineStr">
        <is>
          <t>AZ5</t>
        </is>
      </c>
      <c r="G47" t="inlineStr"/>
    </row>
    <row r="48">
      <c r="A48" t="inlineStr">
        <is>
          <t>HBV VL</t>
        </is>
      </c>
      <c r="B48" t="n">
        <v>9</v>
      </c>
      <c r="C48" t="n">
        <v>10</v>
      </c>
      <c r="D48" t="inlineStr">
        <is>
          <t>525-00071</t>
        </is>
      </c>
      <c r="E48" t="inlineStr">
        <is>
          <t>A10</t>
        </is>
      </c>
      <c r="F48" t="inlineStr">
        <is>
          <t>AZ10</t>
        </is>
      </c>
      <c r="G48" t="inlineStr"/>
    </row>
    <row r="49">
      <c r="A49" t="inlineStr">
        <is>
          <t>HBV VL</t>
        </is>
      </c>
      <c r="B49" t="n">
        <v>14</v>
      </c>
      <c r="C49" t="n">
        <v>15</v>
      </c>
      <c r="D49" t="inlineStr">
        <is>
          <t>525-00072</t>
        </is>
      </c>
      <c r="E49" t="inlineStr">
        <is>
          <t>A15</t>
        </is>
      </c>
      <c r="F49" t="inlineStr">
        <is>
          <t>AZ15</t>
        </is>
      </c>
      <c r="G49" t="inlineStr"/>
    </row>
    <row r="50">
      <c r="A50" t="inlineStr">
        <is>
          <t>HCV VL</t>
        </is>
      </c>
      <c r="B50" t="n">
        <v>4</v>
      </c>
      <c r="C50" t="n">
        <v>5</v>
      </c>
      <c r="D50" t="inlineStr">
        <is>
          <t>525-00033</t>
        </is>
      </c>
      <c r="E50" t="inlineStr">
        <is>
          <t>A5</t>
        </is>
      </c>
      <c r="F50" t="inlineStr">
        <is>
          <t>AZ5</t>
        </is>
      </c>
      <c r="G50" t="inlineStr"/>
    </row>
    <row r="51">
      <c r="A51" t="inlineStr">
        <is>
          <t>HCV VL</t>
        </is>
      </c>
      <c r="B51" t="n">
        <v>9</v>
      </c>
      <c r="C51" t="n">
        <v>10</v>
      </c>
      <c r="D51" t="inlineStr">
        <is>
          <t>525-00035</t>
        </is>
      </c>
      <c r="E51" t="inlineStr">
        <is>
          <t>A10</t>
        </is>
      </c>
      <c r="F51" t="inlineStr">
        <is>
          <t>AZ10</t>
        </is>
      </c>
      <c r="G51" t="inlineStr"/>
    </row>
    <row r="52">
      <c r="A52" t="inlineStr">
        <is>
          <t>HCV VL</t>
        </is>
      </c>
      <c r="B52" t="n">
        <v>14</v>
      </c>
      <c r="C52" t="n">
        <v>15</v>
      </c>
      <c r="D52" t="inlineStr">
        <is>
          <t>525-00036</t>
        </is>
      </c>
      <c r="E52" t="inlineStr">
        <is>
          <t>A15</t>
        </is>
      </c>
      <c r="F52" t="inlineStr">
        <is>
          <t>AZ15</t>
        </is>
      </c>
      <c r="G52" t="inlineStr"/>
    </row>
    <row r="53">
      <c r="A53" t="inlineStr">
        <is>
          <t>HCV VL FS</t>
        </is>
      </c>
      <c r="B53" t="n">
        <v>4</v>
      </c>
      <c r="C53" t="n">
        <v>5</v>
      </c>
      <c r="D53" t="inlineStr">
        <is>
          <t>525-00113</t>
        </is>
      </c>
      <c r="E53" t="inlineStr">
        <is>
          <t>A5</t>
        </is>
      </c>
      <c r="F53" t="inlineStr">
        <is>
          <t>AZ5</t>
        </is>
      </c>
      <c r="G53" t="inlineStr"/>
    </row>
    <row r="54">
      <c r="A54" t="inlineStr">
        <is>
          <t>HCV VL FS</t>
        </is>
      </c>
      <c r="B54" t="n">
        <v>9</v>
      </c>
      <c r="C54" t="n">
        <v>10</v>
      </c>
      <c r="D54" t="inlineStr">
        <is>
          <t>525-00103</t>
        </is>
      </c>
      <c r="E54" t="inlineStr">
        <is>
          <t>A10</t>
        </is>
      </c>
      <c r="F54" t="inlineStr">
        <is>
          <t>AZ10</t>
        </is>
      </c>
      <c r="G54" t="inlineStr"/>
    </row>
    <row r="55">
      <c r="A55" t="inlineStr">
        <is>
          <t>HCV VL FS</t>
        </is>
      </c>
      <c r="B55" t="n">
        <v>14</v>
      </c>
      <c r="C55" t="n">
        <v>15</v>
      </c>
      <c r="D55" t="inlineStr">
        <is>
          <t>525-00104</t>
        </is>
      </c>
      <c r="E55" t="inlineStr">
        <is>
          <t>A15</t>
        </is>
      </c>
      <c r="F55" t="inlineStr">
        <is>
          <t>AZ15</t>
        </is>
      </c>
      <c r="G55" t="inlineStr"/>
    </row>
    <row r="56">
      <c r="A56" t="inlineStr">
        <is>
          <t>HIV VL</t>
        </is>
      </c>
      <c r="B56" t="n">
        <v>4</v>
      </c>
      <c r="C56" t="n">
        <v>5</v>
      </c>
      <c r="D56" t="inlineStr">
        <is>
          <t>525-00033</t>
        </is>
      </c>
      <c r="E56" t="inlineStr">
        <is>
          <t>A5</t>
        </is>
      </c>
      <c r="F56" t="inlineStr">
        <is>
          <t>AZ5</t>
        </is>
      </c>
      <c r="G56" t="inlineStr"/>
    </row>
    <row r="57">
      <c r="A57" t="inlineStr">
        <is>
          <t>HIV VL</t>
        </is>
      </c>
      <c r="B57" t="n">
        <v>9</v>
      </c>
      <c r="C57" t="n">
        <v>10</v>
      </c>
      <c r="D57" t="inlineStr">
        <is>
          <t>525-00017</t>
        </is>
      </c>
      <c r="E57" t="inlineStr">
        <is>
          <t>A10</t>
        </is>
      </c>
      <c r="F57" t="inlineStr">
        <is>
          <t>AZ10</t>
        </is>
      </c>
      <c r="G57" t="inlineStr"/>
    </row>
    <row r="58">
      <c r="A58" t="inlineStr">
        <is>
          <t>HIV VL</t>
        </is>
      </c>
      <c r="B58" t="n">
        <v>14</v>
      </c>
      <c r="C58" t="n">
        <v>15</v>
      </c>
      <c r="D58" t="inlineStr">
        <is>
          <t>525-00018</t>
        </is>
      </c>
      <c r="E58" t="inlineStr">
        <is>
          <t>A15</t>
        </is>
      </c>
      <c r="F58" t="inlineStr">
        <is>
          <t>AZ15</t>
        </is>
      </c>
      <c r="G58" t="inlineStr"/>
    </row>
    <row r="59">
      <c r="A59" t="inlineStr">
        <is>
          <t>HIV VL XC</t>
        </is>
      </c>
      <c r="B59" t="n">
        <v>4</v>
      </c>
      <c r="C59" t="n">
        <v>5</v>
      </c>
      <c r="D59" t="inlineStr">
        <is>
          <t>525-00033</t>
        </is>
      </c>
      <c r="E59" t="inlineStr">
        <is>
          <t>A5</t>
        </is>
      </c>
      <c r="F59" t="inlineStr">
        <is>
          <t>AZ5</t>
        </is>
      </c>
      <c r="G59" t="inlineStr"/>
    </row>
    <row r="60">
      <c r="A60" t="inlineStr">
        <is>
          <t>HIV VL XC</t>
        </is>
      </c>
      <c r="B60" t="n">
        <v>9</v>
      </c>
      <c r="C60" t="n">
        <v>10</v>
      </c>
      <c r="D60" t="inlineStr">
        <is>
          <t>525-00120</t>
        </is>
      </c>
      <c r="E60" t="inlineStr">
        <is>
          <t>A10</t>
        </is>
      </c>
      <c r="F60" t="inlineStr">
        <is>
          <t>AZ10</t>
        </is>
      </c>
      <c r="G60" t="inlineStr"/>
    </row>
    <row r="61">
      <c r="A61" t="inlineStr">
        <is>
          <t>HIV VL XC</t>
        </is>
      </c>
      <c r="B61" t="n">
        <v>14</v>
      </c>
      <c r="C61" t="n">
        <v>15</v>
      </c>
      <c r="D61" t="inlineStr">
        <is>
          <t>525-00131</t>
        </is>
      </c>
      <c r="E61" t="inlineStr">
        <is>
          <t>A15</t>
        </is>
      </c>
      <c r="F61" t="inlineStr">
        <is>
          <t>AZ15</t>
        </is>
      </c>
      <c r="G61" t="inlineStr"/>
    </row>
    <row r="62">
      <c r="A62" t="inlineStr">
        <is>
          <t>HIV QA</t>
        </is>
      </c>
      <c r="B62" t="n">
        <v>4</v>
      </c>
      <c r="C62" t="n">
        <v>5</v>
      </c>
      <c r="D62" t="inlineStr">
        <is>
          <t>525-00038</t>
        </is>
      </c>
      <c r="E62" t="inlineStr">
        <is>
          <t>A5</t>
        </is>
      </c>
      <c r="F62" t="inlineStr">
        <is>
          <t>AZ5</t>
        </is>
      </c>
      <c r="G62" t="inlineStr"/>
    </row>
    <row r="63">
      <c r="A63" t="inlineStr">
        <is>
          <t>HIV QA</t>
        </is>
      </c>
      <c r="B63" t="n">
        <v>9</v>
      </c>
      <c r="C63" t="n">
        <v>10</v>
      </c>
      <c r="D63" t="inlineStr">
        <is>
          <t>525-00021</t>
        </is>
      </c>
      <c r="E63" t="inlineStr">
        <is>
          <t>A10</t>
        </is>
      </c>
      <c r="F63" t="inlineStr">
        <is>
          <t>AZ10</t>
        </is>
      </c>
      <c r="G63" t="inlineStr"/>
    </row>
    <row r="64">
      <c r="A64" t="inlineStr">
        <is>
          <t>HIV QA</t>
        </is>
      </c>
      <c r="B64" t="n">
        <v>14</v>
      </c>
      <c r="C64" t="n">
        <v>15</v>
      </c>
      <c r="D64" t="inlineStr">
        <is>
          <t>525-00022</t>
        </is>
      </c>
      <c r="E64" t="inlineStr">
        <is>
          <t>A15</t>
        </is>
      </c>
      <c r="F64" t="inlineStr">
        <is>
          <t>AZ15</t>
        </is>
      </c>
      <c r="G64" t="inlineStr"/>
    </row>
    <row r="65">
      <c r="A65" t="inlineStr">
        <is>
          <t>HIV QA</t>
        </is>
      </c>
      <c r="B65" t="n">
        <v>22</v>
      </c>
      <c r="C65" t="n">
        <v>23</v>
      </c>
      <c r="D65" t="inlineStr">
        <is>
          <t>500-1712</t>
        </is>
      </c>
      <c r="E65" t="inlineStr">
        <is>
          <t>B23</t>
        </is>
      </c>
      <c r="F65" t="inlineStr">
        <is>
          <t>AZ23</t>
        </is>
      </c>
      <c r="G65" t="inlineStr">
        <is>
          <t>PN stored in hidden column B</t>
        </is>
      </c>
    </row>
    <row r="66">
      <c r="A66" t="inlineStr">
        <is>
          <t>HIV QA XC</t>
        </is>
      </c>
      <c r="B66" t="n">
        <v>4</v>
      </c>
      <c r="C66" t="n">
        <v>5</v>
      </c>
      <c r="D66" t="inlineStr">
        <is>
          <t>525-00113</t>
        </is>
      </c>
      <c r="E66" t="inlineStr">
        <is>
          <t>A5</t>
        </is>
      </c>
      <c r="F66" t="inlineStr">
        <is>
          <t>AZ5</t>
        </is>
      </c>
      <c r="G66" t="inlineStr"/>
    </row>
    <row r="67">
      <c r="A67" t="inlineStr">
        <is>
          <t>HIV QA XC</t>
        </is>
      </c>
      <c r="B67" t="n">
        <v>9</v>
      </c>
      <c r="C67" t="n">
        <v>10</v>
      </c>
      <c r="D67" t="inlineStr">
        <is>
          <t>525-00327</t>
        </is>
      </c>
      <c r="E67" t="inlineStr">
        <is>
          <t>A10</t>
        </is>
      </c>
      <c r="F67" t="inlineStr">
        <is>
          <t>AZ10</t>
        </is>
      </c>
      <c r="G67" t="inlineStr"/>
    </row>
    <row r="68">
      <c r="A68" t="inlineStr">
        <is>
          <t>HIV QA XC</t>
        </is>
      </c>
      <c r="B68" t="n">
        <v>14</v>
      </c>
      <c r="C68" t="n">
        <v>15</v>
      </c>
      <c r="D68" t="inlineStr">
        <is>
          <t>525-00145</t>
        </is>
      </c>
      <c r="E68" t="inlineStr">
        <is>
          <t>A15</t>
        </is>
      </c>
      <c r="F68" t="inlineStr">
        <is>
          <t>AZ15</t>
        </is>
      </c>
      <c r="G68" t="inlineStr"/>
    </row>
    <row r="69">
      <c r="A69" t="inlineStr">
        <is>
          <t>GI Panel</t>
        </is>
      </c>
      <c r="B69" t="n">
        <v>4</v>
      </c>
      <c r="C69" t="n">
        <v>5</v>
      </c>
      <c r="D69" t="inlineStr">
        <is>
          <t>025-00063</t>
        </is>
      </c>
      <c r="E69" t="inlineStr">
        <is>
          <t>A5</t>
        </is>
      </c>
      <c r="F69" t="inlineStr">
        <is>
          <t>AZ5</t>
        </is>
      </c>
      <c r="G69" t="inlineStr"/>
    </row>
    <row r="70">
      <c r="A70" t="inlineStr">
        <is>
          <t>GI Panel</t>
        </is>
      </c>
      <c r="B70" t="n">
        <v>10</v>
      </c>
      <c r="C70" t="n">
        <v>11</v>
      </c>
      <c r="D70" t="inlineStr">
        <is>
          <t>525-00205</t>
        </is>
      </c>
      <c r="E70" t="inlineStr">
        <is>
          <t>A11</t>
        </is>
      </c>
      <c r="F70" t="inlineStr">
        <is>
          <t>AZ11</t>
        </is>
      </c>
      <c r="G70" t="inlineStr"/>
    </row>
    <row r="71">
      <c r="A71" t="inlineStr">
        <is>
          <t>SARS-COV-2</t>
        </is>
      </c>
      <c r="B71" t="n">
        <v>4</v>
      </c>
      <c r="C71" t="n">
        <v>5</v>
      </c>
      <c r="D71" t="inlineStr">
        <is>
          <t>525-00163</t>
        </is>
      </c>
      <c r="E71" t="inlineStr">
        <is>
          <t>A5</t>
        </is>
      </c>
      <c r="F71" t="inlineStr">
        <is>
          <t>AZ5</t>
        </is>
      </c>
      <c r="G71" t="inlineStr"/>
    </row>
    <row r="72">
      <c r="A72" t="inlineStr">
        <is>
          <t>SARS-COV-2</t>
        </is>
      </c>
      <c r="B72" t="n">
        <v>10</v>
      </c>
      <c r="C72" t="n">
        <v>11</v>
      </c>
      <c r="D72" t="inlineStr">
        <is>
          <t>001-1471</t>
        </is>
      </c>
      <c r="E72" t="inlineStr">
        <is>
          <t>A11</t>
        </is>
      </c>
      <c r="F72" t="inlineStr">
        <is>
          <t>AZ11</t>
        </is>
      </c>
      <c r="G72" t="inlineStr"/>
    </row>
    <row r="73">
      <c r="A73" t="inlineStr">
        <is>
          <t>FLU RSV</t>
        </is>
      </c>
      <c r="B73" t="n">
        <v>4</v>
      </c>
      <c r="C73" t="n">
        <v>5</v>
      </c>
      <c r="D73" t="inlineStr">
        <is>
          <t>500-1509</t>
        </is>
      </c>
      <c r="E73" t="inlineStr">
        <is>
          <t>A5</t>
        </is>
      </c>
      <c r="F73" t="inlineStr">
        <is>
          <t>AZ5</t>
        </is>
      </c>
      <c r="G73" t="inlineStr"/>
    </row>
    <row r="74">
      <c r="A74" t="inlineStr">
        <is>
          <t>FLU RSV</t>
        </is>
      </c>
      <c r="B74" t="n">
        <v>9</v>
      </c>
      <c r="C74" t="n">
        <v>10</v>
      </c>
      <c r="D74" t="inlineStr">
        <is>
          <t>525-00096</t>
        </is>
      </c>
      <c r="E74" t="inlineStr">
        <is>
          <t>A10</t>
        </is>
      </c>
      <c r="F74" t="inlineStr">
        <is>
          <t>AZ10</t>
        </is>
      </c>
      <c r="G74" t="inlineStr"/>
    </row>
    <row r="75">
      <c r="A75" t="inlineStr">
        <is>
          <t>FLU RSV</t>
        </is>
      </c>
      <c r="B75" t="n">
        <v>14</v>
      </c>
      <c r="C75" t="n">
        <v>15</v>
      </c>
      <c r="D75" t="inlineStr">
        <is>
          <t>525-00097</t>
        </is>
      </c>
      <c r="E75" t="inlineStr">
        <is>
          <t>A15</t>
        </is>
      </c>
      <c r="F75" t="inlineStr">
        <is>
          <t>AZ15</t>
        </is>
      </c>
      <c r="G75" t="inlineStr"/>
    </row>
    <row r="76">
      <c r="A76" t="inlineStr">
        <is>
          <t>FLU RSV</t>
        </is>
      </c>
      <c r="B76" t="n">
        <v>19</v>
      </c>
      <c r="C76" t="n">
        <v>20</v>
      </c>
      <c r="D76" t="inlineStr">
        <is>
          <t>525-00098</t>
        </is>
      </c>
      <c r="E76" t="inlineStr">
        <is>
          <t>A20</t>
        </is>
      </c>
      <c r="F76" t="inlineStr">
        <is>
          <t>AZ20</t>
        </is>
      </c>
      <c r="G76" t="inlineStr"/>
    </row>
    <row r="77">
      <c r="A77" t="inlineStr">
        <is>
          <t>FLU RSV</t>
        </is>
      </c>
      <c r="B77" t="n">
        <v>24</v>
      </c>
      <c r="C77" t="n">
        <v>25</v>
      </c>
      <c r="D77" t="inlineStr">
        <is>
          <t>525-00099</t>
        </is>
      </c>
      <c r="E77" t="inlineStr">
        <is>
          <t>A25</t>
        </is>
      </c>
      <c r="F77" t="inlineStr">
        <is>
          <t>AZ25</t>
        </is>
      </c>
      <c r="G77" t="inlineStr"/>
    </row>
    <row r="78">
      <c r="A78" t="inlineStr">
        <is>
          <t>FLU RSV</t>
        </is>
      </c>
      <c r="B78" t="n">
        <v>29</v>
      </c>
      <c r="C78" t="n">
        <v>30</v>
      </c>
      <c r="D78" t="inlineStr">
        <is>
          <t>525-00101</t>
        </is>
      </c>
      <c r="E78" t="inlineStr">
        <is>
          <t>A30</t>
        </is>
      </c>
      <c r="F78" t="inlineStr">
        <is>
          <t>AZ30</t>
        </is>
      </c>
      <c r="G78" t="inlineStr"/>
    </row>
    <row r="79">
      <c r="A79" t="inlineStr">
        <is>
          <t>FLU RSV</t>
        </is>
      </c>
      <c r="B79" t="n">
        <v>34</v>
      </c>
      <c r="C79" t="n">
        <v>35</v>
      </c>
      <c r="D79" t="inlineStr">
        <is>
          <t>325-00074</t>
        </is>
      </c>
      <c r="E79" t="inlineStr">
        <is>
          <t>A35</t>
        </is>
      </c>
      <c r="F79" t="inlineStr">
        <is>
          <t>AZ35</t>
        </is>
      </c>
      <c r="G79" t="inlineStr"/>
    </row>
    <row r="80">
      <c r="A80" t="inlineStr">
        <is>
          <t>FLU RSV</t>
        </is>
      </c>
      <c r="B80" t="n">
        <v>39</v>
      </c>
      <c r="C80" t="n">
        <v>40</v>
      </c>
      <c r="D80" t="inlineStr">
        <is>
          <t>525-00102</t>
        </is>
      </c>
      <c r="E80" t="inlineStr">
        <is>
          <t>A40</t>
        </is>
      </c>
      <c r="F80" t="inlineStr">
        <is>
          <t>AZ40</t>
        </is>
      </c>
      <c r="G80" t="inlineStr"/>
    </row>
    <row r="81">
      <c r="A81" t="inlineStr">
        <is>
          <t>FLU RSV</t>
        </is>
      </c>
      <c r="B81" t="n">
        <v>44</v>
      </c>
      <c r="C81" t="n">
        <v>45</v>
      </c>
      <c r="D81" t="inlineStr">
        <is>
          <t>325-00075</t>
        </is>
      </c>
      <c r="E81" t="inlineStr">
        <is>
          <t>A45</t>
        </is>
      </c>
      <c r="F81" t="inlineStr">
        <is>
          <t>AZ45</t>
        </is>
      </c>
      <c r="G81" t="inlineStr"/>
    </row>
    <row r="82">
      <c r="A82" t="inlineStr">
        <is>
          <t>FLU RSV</t>
        </is>
      </c>
      <c r="B82" t="n">
        <v>50</v>
      </c>
      <c r="C82" t="n">
        <v>51</v>
      </c>
      <c r="D82" t="inlineStr">
        <is>
          <t>001-1471</t>
        </is>
      </c>
      <c r="E82" t="inlineStr">
        <is>
          <t>A51</t>
        </is>
      </c>
      <c r="F82" t="inlineStr">
        <is>
          <t>AZ51</t>
        </is>
      </c>
      <c r="G82" t="inlineStr"/>
    </row>
    <row r="83">
      <c r="A83" t="inlineStr">
        <is>
          <t>MRSA SA</t>
        </is>
      </c>
      <c r="B83" t="n">
        <v>4</v>
      </c>
      <c r="C83" t="n">
        <v>5</v>
      </c>
      <c r="D83" t="inlineStr">
        <is>
          <t>500-0905</t>
        </is>
      </c>
      <c r="E83" t="inlineStr">
        <is>
          <t>A5</t>
        </is>
      </c>
      <c r="F83" t="inlineStr">
        <is>
          <t>AZ5</t>
        </is>
      </c>
      <c r="G83" t="inlineStr"/>
    </row>
    <row r="84">
      <c r="A84" t="inlineStr">
        <is>
          <t>MRSA SA</t>
        </is>
      </c>
      <c r="B84" t="n">
        <v>12</v>
      </c>
      <c r="C84" t="n">
        <v>13</v>
      </c>
      <c r="D84" t="inlineStr">
        <is>
          <t>500-2288</t>
        </is>
      </c>
      <c r="E84" t="inlineStr">
        <is>
          <t>B13</t>
        </is>
      </c>
      <c r="F84" t="inlineStr">
        <is>
          <t>AZ13</t>
        </is>
      </c>
      <c r="G84" t="inlineStr">
        <is>
          <t>PN stored in hidden column B</t>
        </is>
      </c>
    </row>
    <row r="85">
      <c r="A85" t="inlineStr">
        <is>
          <t>MRSA NxG</t>
        </is>
      </c>
      <c r="B85" t="n">
        <v>4</v>
      </c>
      <c r="C85" t="n">
        <v>5</v>
      </c>
      <c r="D85" t="inlineStr">
        <is>
          <t>525-00081</t>
        </is>
      </c>
      <c r="E85" t="inlineStr">
        <is>
          <t>A5</t>
        </is>
      </c>
      <c r="F85" t="inlineStr">
        <is>
          <t>AZ5</t>
        </is>
      </c>
      <c r="G85" t="inlineStr"/>
    </row>
    <row r="86">
      <c r="A86" t="inlineStr">
        <is>
          <t>MRSA NxG</t>
        </is>
      </c>
      <c r="B86" t="n">
        <v>9</v>
      </c>
      <c r="C86" t="n">
        <v>10</v>
      </c>
      <c r="D86" t="inlineStr">
        <is>
          <t>525-00080</t>
        </is>
      </c>
      <c r="E86" t="inlineStr">
        <is>
          <t>A10</t>
        </is>
      </c>
      <c r="F86" t="inlineStr">
        <is>
          <t>AZ10</t>
        </is>
      </c>
      <c r="G86" t="inlineStr"/>
    </row>
    <row r="87">
      <c r="A87" t="inlineStr">
        <is>
          <t>MRSA NxG</t>
        </is>
      </c>
      <c r="B87" t="n">
        <v>14</v>
      </c>
      <c r="C87" t="n">
        <v>15</v>
      </c>
      <c r="D87" t="inlineStr">
        <is>
          <t>525-00079</t>
        </is>
      </c>
      <c r="E87" t="inlineStr">
        <is>
          <t>A15</t>
        </is>
      </c>
      <c r="F87" t="inlineStr">
        <is>
          <t>AZ15</t>
        </is>
      </c>
      <c r="G87" t="inlineStr"/>
    </row>
    <row r="88">
      <c r="A88" t="inlineStr">
        <is>
          <t>MRSA NxG</t>
        </is>
      </c>
      <c r="B88" t="n">
        <v>22</v>
      </c>
      <c r="C88" t="n">
        <v>23</v>
      </c>
      <c r="D88" t="inlineStr">
        <is>
          <t>500-2288</t>
        </is>
      </c>
      <c r="E88" t="inlineStr">
        <is>
          <t>B23</t>
        </is>
      </c>
      <c r="F88" t="inlineStr">
        <is>
          <t>AZ23</t>
        </is>
      </c>
      <c r="G88" t="inlineStr">
        <is>
          <t>PN stored in hidden column B</t>
        </is>
      </c>
    </row>
    <row r="89">
      <c r="A89" t="inlineStr">
        <is>
          <t>NORO</t>
        </is>
      </c>
      <c r="B89" t="n">
        <v>4</v>
      </c>
      <c r="C89" t="n">
        <v>5</v>
      </c>
      <c r="D89" t="inlineStr">
        <is>
          <t>500-1882</t>
        </is>
      </c>
      <c r="E89" t="inlineStr">
        <is>
          <t>A5</t>
        </is>
      </c>
      <c r="F89" t="inlineStr">
        <is>
          <t>AZ5</t>
        </is>
      </c>
      <c r="G89" t="inlineStr"/>
    </row>
    <row r="90">
      <c r="A90" t="inlineStr">
        <is>
          <t>NORO</t>
        </is>
      </c>
      <c r="B90" t="n">
        <v>9</v>
      </c>
      <c r="C90" t="n">
        <v>10</v>
      </c>
      <c r="D90" t="inlineStr">
        <is>
          <t>500-1880</t>
        </is>
      </c>
      <c r="E90" t="inlineStr">
        <is>
          <t>A10</t>
        </is>
      </c>
      <c r="F90" t="inlineStr">
        <is>
          <t>AZ10</t>
        </is>
      </c>
      <c r="G90" t="inlineStr"/>
    </row>
    <row r="91">
      <c r="A91" t="inlineStr">
        <is>
          <t>NORO</t>
        </is>
      </c>
      <c r="B91" t="n">
        <v>14</v>
      </c>
      <c r="C91" t="n">
        <v>15</v>
      </c>
      <c r="D91" t="inlineStr">
        <is>
          <t>500-1879</t>
        </is>
      </c>
      <c r="E91" t="inlineStr">
        <is>
          <t>A15</t>
        </is>
      </c>
      <c r="F91" t="inlineStr">
        <is>
          <t>AZ15</t>
        </is>
      </c>
      <c r="G91" t="inlineStr"/>
    </row>
    <row r="92">
      <c r="A92" t="inlineStr">
        <is>
          <t>NORO</t>
        </is>
      </c>
      <c r="B92" t="n">
        <v>22</v>
      </c>
      <c r="C92" t="n">
        <v>23</v>
      </c>
      <c r="D92" t="inlineStr">
        <is>
          <t>500-1712</t>
        </is>
      </c>
      <c r="E92" t="inlineStr">
        <is>
          <t>B23</t>
        </is>
      </c>
      <c r="F92" t="inlineStr">
        <is>
          <t>AZ23</t>
        </is>
      </c>
      <c r="G92" t="inlineStr">
        <is>
          <t>PN stored in hidden column B</t>
        </is>
      </c>
    </row>
    <row r="93">
      <c r="A93" t="inlineStr">
        <is>
          <t>VAN AB</t>
        </is>
      </c>
      <c r="B93" t="n">
        <v>4</v>
      </c>
      <c r="C93" t="n">
        <v>5</v>
      </c>
      <c r="D93" t="inlineStr">
        <is>
          <t>500-1747</t>
        </is>
      </c>
      <c r="E93" t="inlineStr">
        <is>
          <t>A5</t>
        </is>
      </c>
      <c r="F93" t="inlineStr">
        <is>
          <t>AZ5</t>
        </is>
      </c>
      <c r="G93" t="inlineStr"/>
    </row>
    <row r="94">
      <c r="A94" t="inlineStr">
        <is>
          <t>VAN AB</t>
        </is>
      </c>
      <c r="B94" t="n">
        <v>12</v>
      </c>
      <c r="C94" t="n">
        <v>13</v>
      </c>
      <c r="D94" t="inlineStr">
        <is>
          <t>500-0952</t>
        </is>
      </c>
      <c r="E94" t="inlineStr">
        <is>
          <t>B13</t>
        </is>
      </c>
      <c r="F94" t="inlineStr">
        <is>
          <t>AZ13</t>
        </is>
      </c>
      <c r="G94" t="inlineStr">
        <is>
          <t>PN stored in hidden column B</t>
        </is>
      </c>
    </row>
    <row r="95">
      <c r="A95" t="inlineStr">
        <is>
          <t>GBS</t>
        </is>
      </c>
      <c r="B95" t="n">
        <v>4</v>
      </c>
      <c r="C95" t="n">
        <v>5</v>
      </c>
      <c r="D95" t="inlineStr">
        <is>
          <t>525-00136</t>
        </is>
      </c>
      <c r="E95" t="inlineStr">
        <is>
          <t>A5</t>
        </is>
      </c>
      <c r="F95" t="inlineStr">
        <is>
          <t>AZ5</t>
        </is>
      </c>
      <c r="G95" t="inlineStr"/>
    </row>
    <row r="96">
      <c r="A96" t="inlineStr">
        <is>
          <t>GBS</t>
        </is>
      </c>
      <c r="B96" t="n">
        <v>9</v>
      </c>
      <c r="C96" t="n">
        <v>10</v>
      </c>
      <c r="D96" t="inlineStr">
        <is>
          <t>525-00038</t>
        </is>
      </c>
      <c r="E96" t="inlineStr">
        <is>
          <t>A10</t>
        </is>
      </c>
      <c r="F96" t="inlineStr">
        <is>
          <t>AZ10</t>
        </is>
      </c>
      <c r="G96" t="inlineStr"/>
    </row>
    <row r="97">
      <c r="A97" t="inlineStr">
        <is>
          <t>GBS</t>
        </is>
      </c>
      <c r="B97" t="n">
        <v>14</v>
      </c>
      <c r="C97" t="n">
        <v>15</v>
      </c>
      <c r="D97" t="inlineStr">
        <is>
          <t>525-00327</t>
        </is>
      </c>
      <c r="E97" t="inlineStr">
        <is>
          <t>A15</t>
        </is>
      </c>
      <c r="F97" t="inlineStr">
        <is>
          <t>AZ15</t>
        </is>
      </c>
      <c r="G97" t="inlineStr"/>
    </row>
    <row r="98">
      <c r="A98" t="inlineStr">
        <is>
          <t>GBS</t>
        </is>
      </c>
      <c r="B98" t="n">
        <v>19</v>
      </c>
      <c r="C98" t="n">
        <v>20</v>
      </c>
      <c r="D98" t="inlineStr">
        <is>
          <t>525-00137</t>
        </is>
      </c>
      <c r="E98" t="inlineStr">
        <is>
          <t>A20</t>
        </is>
      </c>
      <c r="F98" t="inlineStr">
        <is>
          <t>AZ20</t>
        </is>
      </c>
      <c r="G98" t="inlineStr"/>
    </row>
    <row r="99">
      <c r="A99" t="inlineStr">
        <is>
          <t>STREP A</t>
        </is>
      </c>
      <c r="B99" t="n">
        <v>4</v>
      </c>
      <c r="C99" t="n">
        <v>5</v>
      </c>
      <c r="D99" t="inlineStr">
        <is>
          <t>525-00090</t>
        </is>
      </c>
      <c r="E99" t="inlineStr">
        <is>
          <t>A5</t>
        </is>
      </c>
      <c r="F99" t="inlineStr">
        <is>
          <t>AZ5</t>
        </is>
      </c>
      <c r="G99" t="inlineStr"/>
    </row>
    <row r="100">
      <c r="A100" t="inlineStr">
        <is>
          <t>STREP A</t>
        </is>
      </c>
      <c r="B100" t="n">
        <v>9</v>
      </c>
      <c r="C100" t="n">
        <v>10</v>
      </c>
      <c r="D100" t="inlineStr">
        <is>
          <t>525-00089</t>
        </is>
      </c>
      <c r="E100" t="inlineStr">
        <is>
          <t>A10</t>
        </is>
      </c>
      <c r="F100" t="inlineStr">
        <is>
          <t>AZ10</t>
        </is>
      </c>
      <c r="G100" t="inlineStr"/>
    </row>
    <row r="101">
      <c r="A101" t="inlineStr">
        <is>
          <t>STREP A</t>
        </is>
      </c>
      <c r="B101" t="n">
        <v>14</v>
      </c>
      <c r="C101" t="n">
        <v>15</v>
      </c>
      <c r="D101" t="inlineStr">
        <is>
          <t>525-00088</t>
        </is>
      </c>
      <c r="E101" t="inlineStr">
        <is>
          <t>A15</t>
        </is>
      </c>
      <c r="F101" t="inlineStr">
        <is>
          <t>AZ15</t>
        </is>
      </c>
      <c r="G101" t="inlineStr"/>
    </row>
    <row r="102">
      <c r="A102" t="inlineStr">
        <is>
          <t>CARBA R</t>
        </is>
      </c>
      <c r="B102" t="n">
        <v>4</v>
      </c>
      <c r="C102" t="n">
        <v>5</v>
      </c>
      <c r="D102" t="inlineStr">
        <is>
          <t>001-1688</t>
        </is>
      </c>
      <c r="E102" t="inlineStr">
        <is>
          <t>A5</t>
        </is>
      </c>
      <c r="F102" t="inlineStr">
        <is>
          <t>AZ5</t>
        </is>
      </c>
      <c r="G102" t="inlineStr"/>
    </row>
    <row r="103">
      <c r="A103" t="inlineStr">
        <is>
          <t>CARBA R</t>
        </is>
      </c>
      <c r="B103" t="n">
        <v>9</v>
      </c>
      <c r="C103" t="n">
        <v>10</v>
      </c>
      <c r="D103" t="inlineStr">
        <is>
          <t>001-1687</t>
        </is>
      </c>
      <c r="E103" t="inlineStr">
        <is>
          <t>A10</t>
        </is>
      </c>
      <c r="F103" t="inlineStr">
        <is>
          <t>AZ10</t>
        </is>
      </c>
      <c r="G103" t="inlineStr"/>
    </row>
    <row r="104">
      <c r="A104" t="inlineStr">
        <is>
          <t>CARBA R</t>
        </is>
      </c>
      <c r="B104" t="n">
        <v>14</v>
      </c>
      <c r="C104" t="n">
        <v>15</v>
      </c>
      <c r="D104" t="inlineStr">
        <is>
          <t>001-1686</t>
        </is>
      </c>
      <c r="E104" t="inlineStr">
        <is>
          <t>A15</t>
        </is>
      </c>
      <c r="F104" t="inlineStr">
        <is>
          <t>AZ15</t>
        </is>
      </c>
      <c r="G104" t="inlineStr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P313"/>
  <sheetViews>
    <sheetView zoomScale="70" zoomScaleNormal="70" workbookViewId="0">
      <selection activeCell="A1" sqref="A1"/>
    </sheetView>
  </sheetViews>
  <sheetFormatPr baseColWidth="8" defaultRowHeight="15"/>
  <cols>
    <col width="15.85546875" customWidth="1" min="1" max="1"/>
    <col width="16.7109375" customWidth="1" min="2" max="2"/>
    <col width="18.140625" bestFit="1" customWidth="1" min="3" max="3"/>
    <col width="24.5703125" bestFit="1" customWidth="1" min="4" max="4"/>
    <col width="23.42578125" bestFit="1" customWidth="1" min="5" max="5"/>
    <col width="7.42578125" bestFit="1" customWidth="1" min="6" max="6"/>
    <col width="18.140625" bestFit="1" customWidth="1" min="7" max="7"/>
    <col width="12.85546875" bestFit="1" customWidth="1" min="8" max="8"/>
    <col width="12.140625" bestFit="1" customWidth="1" min="9" max="9"/>
    <col width="11.42578125" bestFit="1" customWidth="1" min="10" max="10"/>
    <col width="10.5703125" bestFit="1" customWidth="1" min="11" max="11"/>
    <col width="18.140625" bestFit="1" customWidth="1" min="12" max="12"/>
    <col width="10.5703125" bestFit="1" customWidth="1" min="13" max="13"/>
    <col width="96.140625" bestFit="1" customWidth="1" min="14" max="14"/>
    <col width="39.7109375" customWidth="1" style="129" min="15" max="15"/>
    <col width="7.28515625" bestFit="1" customWidth="1" style="228" min="16" max="16"/>
  </cols>
  <sheetData>
    <row r="1" ht="23.25" customHeight="1">
      <c r="A1" s="274" t="inlineStr">
        <is>
          <t>P/N</t>
        </is>
      </c>
      <c r="B1" s="275" t="inlineStr">
        <is>
          <t>Lotnr.</t>
        </is>
      </c>
      <c r="C1" s="276" t="inlineStr">
        <is>
          <t>Utgångsdatum</t>
        </is>
      </c>
      <c r="D1" s="277" t="inlineStr">
        <is>
          <t>Antal i lager</t>
        </is>
      </c>
      <c r="E1" s="276" t="inlineStr">
        <is>
          <t>Senast inventering</t>
        </is>
      </c>
      <c r="F1" s="278" t="inlineStr">
        <is>
          <t>SIGN</t>
        </is>
      </c>
      <c r="G1" s="279" t="inlineStr">
        <is>
          <t>Produkt</t>
        </is>
      </c>
      <c r="H1" s="279" t="inlineStr">
        <is>
          <t>Produkt</t>
        </is>
      </c>
      <c r="I1" s="279" t="inlineStr">
        <is>
          <t>Produkt</t>
        </is>
      </c>
      <c r="J1" s="279" t="inlineStr">
        <is>
          <t>Produkt</t>
        </is>
      </c>
      <c r="K1" s="279" t="inlineStr">
        <is>
          <t>Produkt</t>
        </is>
      </c>
      <c r="L1" s="279" t="inlineStr">
        <is>
          <t>Produkt</t>
        </is>
      </c>
      <c r="M1" s="279" t="inlineStr">
        <is>
          <t>Produkt</t>
        </is>
      </c>
      <c r="N1" s="280" t="inlineStr">
        <is>
          <t>Beskrivning</t>
        </is>
      </c>
      <c r="O1" s="281" t="inlineStr">
        <is>
          <t>Förvaringsplats</t>
        </is>
      </c>
      <c r="P1" s="281" t="inlineStr">
        <is>
          <t>Labb</t>
        </is>
      </c>
    </row>
    <row r="2">
      <c r="A2" s="282" t="inlineStr">
        <is>
          <t>001-1471</t>
        </is>
      </c>
      <c r="B2" s="283" t="n">
        <v>334922</v>
      </c>
      <c r="C2" s="284" t="n">
        <v>46174</v>
      </c>
      <c r="D2" s="282" t="inlineStr">
        <is>
          <t>2.5 Flaska NEG</t>
        </is>
      </c>
      <c r="E2" s="284" t="n">
        <v>46062</v>
      </c>
      <c r="F2" s="285" t="inlineStr">
        <is>
          <t>vdao</t>
        </is>
      </c>
      <c r="G2" s="286" t="inlineStr">
        <is>
          <t>FLUVID</t>
        </is>
      </c>
      <c r="H2" s="286" t="inlineStr">
        <is>
          <t>FLUVID plus</t>
        </is>
      </c>
      <c r="I2" s="286" t="inlineStr">
        <is>
          <t>SARS</t>
        </is>
      </c>
      <c r="J2" s="286" t="inlineStr">
        <is>
          <t>SARS plus</t>
        </is>
      </c>
      <c r="K2" s="286" t="inlineStr">
        <is>
          <t>FLU RSV</t>
        </is>
      </c>
      <c r="L2" s="286" t="inlineStr">
        <is>
          <t>Respiratory Panel</t>
        </is>
      </c>
      <c r="M2" s="286" t="inlineStr">
        <is>
          <t>FLU</t>
        </is>
      </c>
      <c r="N2" s="287" t="inlineStr">
        <is>
          <t>Purified Serum Protein Matrix</t>
        </is>
      </c>
      <c r="O2" s="288" t="inlineStr">
        <is>
          <t>SR / TET / MATRIX</t>
        </is>
      </c>
      <c r="P2" s="289" t="n">
        <v>2</v>
      </c>
    </row>
    <row r="3">
      <c r="A3" s="282" t="inlineStr">
        <is>
          <t>001-1471</t>
        </is>
      </c>
      <c r="B3" s="283" t="n">
        <v>334922</v>
      </c>
      <c r="C3" s="284" t="n">
        <v>46174</v>
      </c>
      <c r="D3" s="282" t="inlineStr">
        <is>
          <t>3.5 Flaska POS</t>
        </is>
      </c>
      <c r="E3" s="284" t="n">
        <v>46042</v>
      </c>
      <c r="F3" s="285" t="inlineStr">
        <is>
          <t>JESP</t>
        </is>
      </c>
      <c r="G3" s="286" t="inlineStr">
        <is>
          <t>FLUVID</t>
        </is>
      </c>
      <c r="H3" s="286" t="inlineStr">
        <is>
          <t>FLUVID plus</t>
        </is>
      </c>
      <c r="I3" s="286" t="inlineStr">
        <is>
          <t>SARS</t>
        </is>
      </c>
      <c r="J3" s="286" t="inlineStr">
        <is>
          <t>SARS plus</t>
        </is>
      </c>
      <c r="K3" s="286" t="inlineStr">
        <is>
          <t>FLU RSV</t>
        </is>
      </c>
      <c r="L3" s="286" t="inlineStr">
        <is>
          <t>Respiratory Panel</t>
        </is>
      </c>
      <c r="M3" s="286" t="inlineStr">
        <is>
          <t>FLU</t>
        </is>
      </c>
      <c r="N3" s="287" t="inlineStr">
        <is>
          <t>Purified Serum Protein Matrix</t>
        </is>
      </c>
      <c r="O3" s="288" t="inlineStr">
        <is>
          <t>SR / TET / MATRIX</t>
        </is>
      </c>
      <c r="P3" s="289" t="n">
        <v>2</v>
      </c>
    </row>
    <row r="4">
      <c r="A4" s="282" t="inlineStr">
        <is>
          <t>001-1471</t>
        </is>
      </c>
      <c r="B4" s="283" t="inlineStr">
        <is>
          <t>N/A</t>
        </is>
      </c>
      <c r="C4" s="284" t="inlineStr">
        <is>
          <t>N/A</t>
        </is>
      </c>
      <c r="D4" s="282" t="inlineStr">
        <is>
          <t>N/A</t>
        </is>
      </c>
      <c r="E4" s="284" t="inlineStr">
        <is>
          <t>N/A</t>
        </is>
      </c>
      <c r="F4" s="285" t="inlineStr">
        <is>
          <t>N/A</t>
        </is>
      </c>
      <c r="G4" s="286" t="inlineStr">
        <is>
          <t>FLUVID</t>
        </is>
      </c>
      <c r="H4" s="286" t="inlineStr">
        <is>
          <t>FLUVID plus</t>
        </is>
      </c>
      <c r="I4" s="286" t="inlineStr">
        <is>
          <t>SARS</t>
        </is>
      </c>
      <c r="J4" s="286" t="inlineStr">
        <is>
          <t>SARS plus</t>
        </is>
      </c>
      <c r="K4" s="286" t="inlineStr">
        <is>
          <t>FLU RSV</t>
        </is>
      </c>
      <c r="L4" s="286" t="inlineStr">
        <is>
          <t>Respiratory Panel</t>
        </is>
      </c>
      <c r="M4" s="286" t="inlineStr">
        <is>
          <t>FLU</t>
        </is>
      </c>
      <c r="N4" s="287" t="inlineStr">
        <is>
          <t>Purified Serum Protein Matrix</t>
        </is>
      </c>
      <c r="O4" s="288" t="inlineStr">
        <is>
          <t>SR / TET / MATRIX</t>
        </is>
      </c>
      <c r="P4" s="289" t="n">
        <v>2</v>
      </c>
    </row>
    <row r="5">
      <c r="A5" s="282" t="inlineStr">
        <is>
          <t>001-1471</t>
        </is>
      </c>
      <c r="B5" s="283" t="inlineStr">
        <is>
          <t>N/A</t>
        </is>
      </c>
      <c r="C5" s="284" t="inlineStr">
        <is>
          <t>N/A</t>
        </is>
      </c>
      <c r="D5" s="282" t="inlineStr">
        <is>
          <t>N/A</t>
        </is>
      </c>
      <c r="E5" s="284" t="inlineStr">
        <is>
          <t>N/A</t>
        </is>
      </c>
      <c r="F5" s="285" t="inlineStr">
        <is>
          <t>N/A</t>
        </is>
      </c>
      <c r="G5" s="286" t="inlineStr">
        <is>
          <t>FLUVID</t>
        </is>
      </c>
      <c r="H5" s="286" t="inlineStr">
        <is>
          <t>FLUVID plus</t>
        </is>
      </c>
      <c r="I5" s="286" t="inlineStr">
        <is>
          <t>SARS</t>
        </is>
      </c>
      <c r="J5" s="286" t="inlineStr">
        <is>
          <t>SARS plus</t>
        </is>
      </c>
      <c r="K5" s="286" t="inlineStr">
        <is>
          <t>FLU RSV</t>
        </is>
      </c>
      <c r="L5" s="286" t="inlineStr">
        <is>
          <t>Respiratory Panel</t>
        </is>
      </c>
      <c r="M5" s="286" t="inlineStr">
        <is>
          <t>FLU</t>
        </is>
      </c>
      <c r="N5" s="287" t="inlineStr">
        <is>
          <t>Purified Serum Protein Matrix</t>
        </is>
      </c>
      <c r="O5" s="288" t="inlineStr">
        <is>
          <t>SR / TET / MATRIX</t>
        </is>
      </c>
      <c r="P5" s="289" t="n">
        <v>2</v>
      </c>
    </row>
    <row r="6">
      <c r="A6" s="282" t="inlineStr">
        <is>
          <t>001-1658</t>
        </is>
      </c>
      <c r="B6" s="283" t="inlineStr">
        <is>
          <t>A17MAR25A</t>
        </is>
      </c>
      <c r="C6" s="284" t="n">
        <v>46477</v>
      </c>
      <c r="D6" s="282" t="inlineStr">
        <is>
          <t>9 vialer</t>
        </is>
      </c>
      <c r="E6" s="284" t="n">
        <v>45985</v>
      </c>
      <c r="F6" s="285" t="inlineStr">
        <is>
          <t>ELS</t>
        </is>
      </c>
      <c r="G6" s="286" t="inlineStr">
        <is>
          <t>MTB JP</t>
        </is>
      </c>
      <c r="H6" s="286" t="n"/>
      <c r="I6" s="286" t="n"/>
      <c r="J6" s="286" t="n"/>
      <c r="K6" s="286" t="n"/>
      <c r="L6" s="286" t="n"/>
      <c r="M6" s="286" t="n"/>
      <c r="N6" s="287" t="inlineStr">
        <is>
          <t>INTROL TBMDR1-04</t>
        </is>
      </c>
      <c r="O6" s="288" t="inlineStr">
        <is>
          <t>POS IPT kylskåp</t>
        </is>
      </c>
      <c r="P6" s="289" t="n">
        <v>1</v>
      </c>
    </row>
    <row r="7">
      <c r="A7" s="282" t="inlineStr">
        <is>
          <t>001-1658</t>
        </is>
      </c>
      <c r="B7" s="283" t="inlineStr">
        <is>
          <t>N/A</t>
        </is>
      </c>
      <c r="C7" s="284" t="inlineStr">
        <is>
          <t>N/A</t>
        </is>
      </c>
      <c r="D7" s="282" t="inlineStr">
        <is>
          <t>N/A</t>
        </is>
      </c>
      <c r="E7" s="284" t="inlineStr">
        <is>
          <t>N/A</t>
        </is>
      </c>
      <c r="F7" s="285" t="inlineStr">
        <is>
          <t>N/A</t>
        </is>
      </c>
      <c r="G7" s="286" t="inlineStr">
        <is>
          <t>MTB JP</t>
        </is>
      </c>
      <c r="H7" s="286" t="n"/>
      <c r="I7" s="286" t="n"/>
      <c r="J7" s="286" t="n"/>
      <c r="K7" s="286" t="n"/>
      <c r="L7" s="286" t="n"/>
      <c r="M7" s="286" t="n"/>
      <c r="N7" s="287" t="inlineStr">
        <is>
          <t>INTROL TBMDR1-04</t>
        </is>
      </c>
      <c r="O7" s="288" t="inlineStr">
        <is>
          <t>POS IPT kylskåp</t>
        </is>
      </c>
      <c r="P7" s="289" t="n">
        <v>1</v>
      </c>
    </row>
    <row r="8">
      <c r="A8" s="282" t="inlineStr">
        <is>
          <t>001-1658</t>
        </is>
      </c>
      <c r="B8" s="283" t="inlineStr">
        <is>
          <t>N/A</t>
        </is>
      </c>
      <c r="C8" s="284" t="inlineStr">
        <is>
          <t>N/A</t>
        </is>
      </c>
      <c r="D8" s="282" t="inlineStr">
        <is>
          <t>N/A</t>
        </is>
      </c>
      <c r="E8" s="284" t="inlineStr">
        <is>
          <t>N/A</t>
        </is>
      </c>
      <c r="F8" s="285" t="inlineStr">
        <is>
          <t>N/A</t>
        </is>
      </c>
      <c r="G8" s="286" t="inlineStr">
        <is>
          <t>MTB JP</t>
        </is>
      </c>
      <c r="H8" s="286" t="n"/>
      <c r="I8" s="286" t="n"/>
      <c r="J8" s="286" t="n"/>
      <c r="K8" s="286" t="n"/>
      <c r="L8" s="286" t="n"/>
      <c r="M8" s="286" t="n"/>
      <c r="N8" s="287" t="inlineStr">
        <is>
          <t>INTROL TBMDR1-04</t>
        </is>
      </c>
      <c r="O8" s="288" t="inlineStr">
        <is>
          <t>POS IPT kylskåp</t>
        </is>
      </c>
      <c r="P8" s="289" t="n">
        <v>1</v>
      </c>
    </row>
    <row r="9">
      <c r="A9" s="282" t="inlineStr">
        <is>
          <t>001-1658</t>
        </is>
      </c>
      <c r="B9" s="283" t="inlineStr">
        <is>
          <t>N/A</t>
        </is>
      </c>
      <c r="C9" s="284" t="inlineStr">
        <is>
          <t>N/A</t>
        </is>
      </c>
      <c r="D9" s="282" t="inlineStr">
        <is>
          <t>N/A</t>
        </is>
      </c>
      <c r="E9" s="284" t="inlineStr">
        <is>
          <t>N/A</t>
        </is>
      </c>
      <c r="F9" s="285" t="inlineStr">
        <is>
          <t>N/A</t>
        </is>
      </c>
      <c r="G9" s="286" t="inlineStr">
        <is>
          <t>MTB JP</t>
        </is>
      </c>
      <c r="H9" s="286" t="n"/>
      <c r="I9" s="286" t="n"/>
      <c r="J9" s="286" t="n"/>
      <c r="K9" s="286" t="n"/>
      <c r="L9" s="286" t="n"/>
      <c r="M9" s="286" t="n"/>
      <c r="N9" s="287" t="inlineStr">
        <is>
          <t>INTROL TBMDR1-04</t>
        </is>
      </c>
      <c r="O9" s="288" t="inlineStr">
        <is>
          <t>POS IPT kylskåp</t>
        </is>
      </c>
      <c r="P9" s="289" t="n">
        <v>1</v>
      </c>
    </row>
    <row r="10">
      <c r="A10" s="282" t="inlineStr">
        <is>
          <t>001-1683</t>
        </is>
      </c>
      <c r="B10" s="283" t="inlineStr">
        <is>
          <t>G25OCT24C</t>
        </is>
      </c>
      <c r="C10" s="284" t="n">
        <v>46326</v>
      </c>
      <c r="D10" s="282" t="inlineStr">
        <is>
          <t>3 lådor</t>
        </is>
      </c>
      <c r="E10" s="284" t="n">
        <v>46042</v>
      </c>
      <c r="F10" s="285" t="inlineStr">
        <is>
          <t>vdao</t>
        </is>
      </c>
      <c r="G10" s="286" t="inlineStr">
        <is>
          <t>MTB</t>
        </is>
      </c>
      <c r="H10" s="286" t="inlineStr">
        <is>
          <t>MTB JP</t>
        </is>
      </c>
      <c r="I10" s="286" t="n"/>
      <c r="J10" s="286" t="n"/>
      <c r="K10" s="286" t="n"/>
      <c r="L10" s="286" t="n"/>
      <c r="M10" s="286" t="n"/>
      <c r="N10" s="287" t="inlineStr">
        <is>
          <t>INTROL TBWT-04</t>
        </is>
      </c>
      <c r="O10" s="288" t="inlineStr">
        <is>
          <t>POS IPT kylskåp</t>
        </is>
      </c>
      <c r="P10" s="289" t="n">
        <v>1</v>
      </c>
    </row>
    <row r="11">
      <c r="A11" s="282" t="inlineStr">
        <is>
          <t>001-1683</t>
        </is>
      </c>
      <c r="B11" s="283" t="inlineStr">
        <is>
          <t>N/A</t>
        </is>
      </c>
      <c r="C11" s="284" t="inlineStr">
        <is>
          <t>N/A</t>
        </is>
      </c>
      <c r="D11" s="282" t="inlineStr">
        <is>
          <t>N/A</t>
        </is>
      </c>
      <c r="E11" s="284" t="inlineStr">
        <is>
          <t>N/A</t>
        </is>
      </c>
      <c r="F11" s="285" t="inlineStr">
        <is>
          <t>N/A</t>
        </is>
      </c>
      <c r="G11" s="286" t="inlineStr">
        <is>
          <t>MTB</t>
        </is>
      </c>
      <c r="H11" s="286" t="inlineStr">
        <is>
          <t>MTB JP</t>
        </is>
      </c>
      <c r="I11" s="286" t="n"/>
      <c r="J11" s="286" t="n"/>
      <c r="K11" s="286" t="n"/>
      <c r="L11" s="286" t="n"/>
      <c r="M11" s="286" t="n"/>
      <c r="N11" s="287" t="inlineStr">
        <is>
          <t>INTROL TBWT-04</t>
        </is>
      </c>
      <c r="O11" s="288" t="inlineStr">
        <is>
          <t>POS IPT kylskåp</t>
        </is>
      </c>
      <c r="P11" s="289" t="n">
        <v>1</v>
      </c>
    </row>
    <row r="12">
      <c r="A12" s="282" t="inlineStr">
        <is>
          <t>001-1683</t>
        </is>
      </c>
      <c r="B12" s="283" t="inlineStr">
        <is>
          <t>N/A</t>
        </is>
      </c>
      <c r="C12" s="284" t="inlineStr">
        <is>
          <t>N/A</t>
        </is>
      </c>
      <c r="D12" s="282" t="inlineStr">
        <is>
          <t>N/A</t>
        </is>
      </c>
      <c r="E12" s="284" t="inlineStr">
        <is>
          <t>N/A</t>
        </is>
      </c>
      <c r="F12" s="285" t="inlineStr">
        <is>
          <t>N/A</t>
        </is>
      </c>
      <c r="G12" s="286" t="inlineStr">
        <is>
          <t>MTB</t>
        </is>
      </c>
      <c r="H12" s="286" t="inlineStr">
        <is>
          <t>MTB JP</t>
        </is>
      </c>
      <c r="I12" s="286" t="n"/>
      <c r="J12" s="286" t="n"/>
      <c r="K12" s="286" t="n"/>
      <c r="L12" s="286" t="n"/>
      <c r="M12" s="286" t="n"/>
      <c r="N12" s="287" t="inlineStr">
        <is>
          <t>INTROL TBWT-04</t>
        </is>
      </c>
      <c r="O12" s="288" t="inlineStr">
        <is>
          <t>POS IPT kylskåp</t>
        </is>
      </c>
      <c r="P12" s="289" t="n">
        <v>1</v>
      </c>
    </row>
    <row r="13">
      <c r="A13" s="282" t="inlineStr">
        <is>
          <t>001-1683</t>
        </is>
      </c>
      <c r="B13" s="283" t="inlineStr">
        <is>
          <t>N/A</t>
        </is>
      </c>
      <c r="C13" s="284" t="inlineStr">
        <is>
          <t>N/A</t>
        </is>
      </c>
      <c r="D13" s="292" t="inlineStr">
        <is>
          <t>N/A</t>
        </is>
      </c>
      <c r="E13" s="284" t="inlineStr">
        <is>
          <t>N/A</t>
        </is>
      </c>
      <c r="F13" s="285" t="inlineStr">
        <is>
          <t>N/A</t>
        </is>
      </c>
      <c r="G13" s="286" t="inlineStr">
        <is>
          <t>MTB</t>
        </is>
      </c>
      <c r="H13" s="286" t="inlineStr">
        <is>
          <t>MTB JP</t>
        </is>
      </c>
      <c r="I13" s="286" t="n"/>
      <c r="J13" s="286" t="n"/>
      <c r="K13" s="286" t="n"/>
      <c r="L13" s="286" t="n"/>
      <c r="M13" s="286" t="n"/>
      <c r="N13" s="287" t="inlineStr">
        <is>
          <t>INTROL TBWT-04</t>
        </is>
      </c>
      <c r="O13" s="288" t="inlineStr">
        <is>
          <t>POS IPT kylskåp</t>
        </is>
      </c>
      <c r="P13" s="289" t="n">
        <v>1</v>
      </c>
    </row>
    <row r="14">
      <c r="A14" s="282" t="inlineStr">
        <is>
          <t>001-1686</t>
        </is>
      </c>
      <c r="B14" s="283" t="inlineStr">
        <is>
          <t>E20AUG24A</t>
        </is>
      </c>
      <c r="C14" s="284" t="n">
        <v>46081</v>
      </c>
      <c r="D14" s="282" t="inlineStr">
        <is>
          <t>12 rör</t>
        </is>
      </c>
      <c r="E14" s="284" t="n">
        <v>45838</v>
      </c>
      <c r="F14" s="285" t="inlineStr">
        <is>
          <t>vdao</t>
        </is>
      </c>
      <c r="G14" s="286" t="inlineStr">
        <is>
          <t>CARBA</t>
        </is>
      </c>
      <c r="H14" s="286" t="n"/>
      <c r="I14" s="286" t="n"/>
      <c r="J14" s="286" t="n"/>
      <c r="K14" s="286" t="n"/>
      <c r="L14" s="286" t="n"/>
      <c r="M14" s="286" t="n"/>
      <c r="N14" s="287" t="inlineStr">
        <is>
          <t>Xpert CARBA-R High POS</t>
        </is>
      </c>
      <c r="O14" s="288" t="inlineStr">
        <is>
          <t>POS IPT kylskåp</t>
        </is>
      </c>
      <c r="P14" s="289" t="n">
        <v>1</v>
      </c>
    </row>
    <row r="15">
      <c r="A15" s="282" t="inlineStr">
        <is>
          <t>001-1686</t>
        </is>
      </c>
      <c r="B15" s="283" t="inlineStr">
        <is>
          <t>N/A</t>
        </is>
      </c>
      <c r="C15" s="284" t="inlineStr">
        <is>
          <t>N/A</t>
        </is>
      </c>
      <c r="D15" s="282" t="inlineStr">
        <is>
          <t>N/A</t>
        </is>
      </c>
      <c r="E15" s="284" t="inlineStr">
        <is>
          <t>N/A</t>
        </is>
      </c>
      <c r="F15" s="285" t="inlineStr">
        <is>
          <t>N/A</t>
        </is>
      </c>
      <c r="G15" s="286" t="inlineStr">
        <is>
          <t>CARBA</t>
        </is>
      </c>
      <c r="H15" s="286" t="n"/>
      <c r="I15" s="286" t="n"/>
      <c r="J15" s="286" t="n"/>
      <c r="K15" s="286" t="n"/>
      <c r="L15" s="286" t="n"/>
      <c r="M15" s="286" t="n"/>
      <c r="N15" s="287" t="inlineStr">
        <is>
          <t>Xpert CARBA-R High POS</t>
        </is>
      </c>
      <c r="O15" s="288" t="inlineStr">
        <is>
          <t>POS IPT kylskåp</t>
        </is>
      </c>
      <c r="P15" s="289" t="n">
        <v>1</v>
      </c>
    </row>
    <row r="16">
      <c r="A16" s="282" t="inlineStr">
        <is>
          <t>001-1686</t>
        </is>
      </c>
      <c r="B16" s="283" t="inlineStr">
        <is>
          <t>N/A</t>
        </is>
      </c>
      <c r="C16" s="284" t="inlineStr">
        <is>
          <t>N/A</t>
        </is>
      </c>
      <c r="D16" s="282" t="inlineStr">
        <is>
          <t>N/A</t>
        </is>
      </c>
      <c r="E16" s="284" t="inlineStr">
        <is>
          <t>N/A</t>
        </is>
      </c>
      <c r="F16" s="285" t="inlineStr">
        <is>
          <t>N/A</t>
        </is>
      </c>
      <c r="G16" s="286" t="inlineStr">
        <is>
          <t>CARBA</t>
        </is>
      </c>
      <c r="H16" s="286" t="n"/>
      <c r="I16" s="286" t="n"/>
      <c r="J16" s="286" t="n"/>
      <c r="K16" s="286" t="n"/>
      <c r="L16" s="286" t="n"/>
      <c r="M16" s="286" t="n"/>
      <c r="N16" s="287" t="inlineStr">
        <is>
          <t>Xpert CARBA-R High POS</t>
        </is>
      </c>
      <c r="O16" s="288" t="inlineStr">
        <is>
          <t>POS IPT kylskåp</t>
        </is>
      </c>
      <c r="P16" s="289" t="n">
        <v>1</v>
      </c>
    </row>
    <row r="17">
      <c r="A17" s="282" t="inlineStr">
        <is>
          <t>001-1686</t>
        </is>
      </c>
      <c r="B17" s="283" t="inlineStr">
        <is>
          <t>N/A</t>
        </is>
      </c>
      <c r="C17" s="284" t="inlineStr">
        <is>
          <t>N/A</t>
        </is>
      </c>
      <c r="D17" s="282" t="inlineStr">
        <is>
          <t>N/A</t>
        </is>
      </c>
      <c r="E17" s="284" t="inlineStr">
        <is>
          <t>N/A</t>
        </is>
      </c>
      <c r="F17" s="285" t="inlineStr">
        <is>
          <t>N/A</t>
        </is>
      </c>
      <c r="G17" s="286" t="inlineStr">
        <is>
          <t>CARBA</t>
        </is>
      </c>
      <c r="H17" s="286" t="n"/>
      <c r="I17" s="286" t="n"/>
      <c r="J17" s="286" t="n"/>
      <c r="K17" s="286" t="n"/>
      <c r="L17" s="286" t="n"/>
      <c r="M17" s="286" t="n"/>
      <c r="N17" s="287" t="inlineStr">
        <is>
          <t>Xpert CARBA-R High POS</t>
        </is>
      </c>
      <c r="O17" s="288" t="inlineStr">
        <is>
          <t>POS IPT kylskåp</t>
        </is>
      </c>
      <c r="P17" s="289" t="n">
        <v>1</v>
      </c>
    </row>
    <row r="18">
      <c r="A18" s="282" t="inlineStr">
        <is>
          <t>001-1687</t>
        </is>
      </c>
      <c r="B18" s="283" t="inlineStr">
        <is>
          <t>D20AUG24A</t>
        </is>
      </c>
      <c r="C18" s="284" t="n">
        <v>46081</v>
      </c>
      <c r="D18" s="282" t="inlineStr">
        <is>
          <t>2 lådor</t>
        </is>
      </c>
      <c r="E18" s="284" t="n">
        <v>45932</v>
      </c>
      <c r="F18" s="285" t="inlineStr">
        <is>
          <t>vdao</t>
        </is>
      </c>
      <c r="G18" s="286" t="inlineStr">
        <is>
          <t>CARBA</t>
        </is>
      </c>
      <c r="H18" s="286" t="n"/>
      <c r="I18" s="286" t="n"/>
      <c r="J18" s="286" t="n"/>
      <c r="K18" s="286" t="n"/>
      <c r="L18" s="286" t="n"/>
      <c r="M18" s="286" t="n"/>
      <c r="N18" s="287" t="inlineStr">
        <is>
          <t>Xpert CARBA-R Low POS</t>
        </is>
      </c>
      <c r="O18" s="288" t="inlineStr">
        <is>
          <t>POS IPT kylskåp</t>
        </is>
      </c>
      <c r="P18" s="289" t="n">
        <v>1</v>
      </c>
    </row>
    <row r="19">
      <c r="A19" s="282" t="inlineStr">
        <is>
          <t>001-1687</t>
        </is>
      </c>
      <c r="B19" s="283" t="inlineStr">
        <is>
          <t>N/A</t>
        </is>
      </c>
      <c r="C19" s="284" t="inlineStr">
        <is>
          <t>N/A</t>
        </is>
      </c>
      <c r="D19" s="282" t="inlineStr">
        <is>
          <t>N/A</t>
        </is>
      </c>
      <c r="E19" s="284" t="inlineStr">
        <is>
          <t>N/A</t>
        </is>
      </c>
      <c r="F19" s="285" t="inlineStr">
        <is>
          <t>N/A</t>
        </is>
      </c>
      <c r="G19" s="286" t="inlineStr">
        <is>
          <t>CARBA</t>
        </is>
      </c>
      <c r="H19" s="286" t="n"/>
      <c r="I19" s="286" t="n"/>
      <c r="J19" s="286" t="n"/>
      <c r="K19" s="286" t="n"/>
      <c r="L19" s="286" t="n"/>
      <c r="M19" s="286" t="n"/>
      <c r="N19" s="287" t="inlineStr">
        <is>
          <t>Xpert CARBA-R Low POS</t>
        </is>
      </c>
      <c r="O19" s="288" t="inlineStr">
        <is>
          <t>POS IPT kylskåp</t>
        </is>
      </c>
      <c r="P19" s="289" t="n">
        <v>1</v>
      </c>
    </row>
    <row r="20">
      <c r="A20" s="282" t="inlineStr">
        <is>
          <t>001-1687</t>
        </is>
      </c>
      <c r="B20" s="283" t="inlineStr">
        <is>
          <t>N/A</t>
        </is>
      </c>
      <c r="C20" s="284" t="inlineStr">
        <is>
          <t>N/A</t>
        </is>
      </c>
      <c r="D20" s="282" t="inlineStr">
        <is>
          <t>N/A</t>
        </is>
      </c>
      <c r="E20" s="284" t="inlineStr">
        <is>
          <t>N/A</t>
        </is>
      </c>
      <c r="F20" s="285" t="inlineStr">
        <is>
          <t>N/A</t>
        </is>
      </c>
      <c r="G20" s="286" t="inlineStr">
        <is>
          <t>CARBA</t>
        </is>
      </c>
      <c r="H20" s="286" t="n"/>
      <c r="I20" s="286" t="n"/>
      <c r="J20" s="286" t="n"/>
      <c r="K20" s="286" t="n"/>
      <c r="L20" s="286" t="n"/>
      <c r="M20" s="286" t="n"/>
      <c r="N20" s="287" t="inlineStr">
        <is>
          <t>Xpert CARBA-R Low POS</t>
        </is>
      </c>
      <c r="O20" s="288" t="inlineStr">
        <is>
          <t>POS IPT kylskåp</t>
        </is>
      </c>
      <c r="P20" s="289" t="n">
        <v>1</v>
      </c>
    </row>
    <row r="21">
      <c r="A21" s="282" t="inlineStr">
        <is>
          <t>001-1687</t>
        </is>
      </c>
      <c r="B21" s="283" t="inlineStr">
        <is>
          <t>N/A</t>
        </is>
      </c>
      <c r="C21" s="284" t="inlineStr">
        <is>
          <t>N/A</t>
        </is>
      </c>
      <c r="D21" s="282" t="inlineStr">
        <is>
          <t>N/A</t>
        </is>
      </c>
      <c r="E21" s="284" t="inlineStr">
        <is>
          <t>N/A</t>
        </is>
      </c>
      <c r="F21" s="285" t="inlineStr">
        <is>
          <t>N/A</t>
        </is>
      </c>
      <c r="G21" s="286" t="inlineStr">
        <is>
          <t>CARBA</t>
        </is>
      </c>
      <c r="H21" s="286" t="n"/>
      <c r="I21" s="286" t="n"/>
      <c r="J21" s="286" t="n"/>
      <c r="K21" s="286" t="n"/>
      <c r="L21" s="286" t="n"/>
      <c r="M21" s="286" t="n"/>
      <c r="N21" s="287" t="inlineStr">
        <is>
          <t>Xpert CARBA-R Low POS</t>
        </is>
      </c>
      <c r="O21" s="288" t="inlineStr">
        <is>
          <t>POS IPT kylskåp</t>
        </is>
      </c>
      <c r="P21" s="289" t="n">
        <v>1</v>
      </c>
    </row>
    <row r="22">
      <c r="A22" s="282" t="inlineStr">
        <is>
          <t>001-1688</t>
        </is>
      </c>
      <c r="B22" s="283" t="inlineStr">
        <is>
          <t>C03FEB25A</t>
        </is>
      </c>
      <c r="C22" s="284" t="n">
        <v>46265</v>
      </c>
      <c r="D22" s="282" t="inlineStr">
        <is>
          <t>0.5 låda</t>
        </is>
      </c>
      <c r="E22" s="284" t="n">
        <v>46043</v>
      </c>
      <c r="F22" s="285" t="inlineStr">
        <is>
          <t>vdao</t>
        </is>
      </c>
      <c r="G22" s="286" t="inlineStr">
        <is>
          <t>CARBA</t>
        </is>
      </c>
      <c r="H22" s="286" t="n"/>
      <c r="I22" s="286" t="n"/>
      <c r="J22" s="286" t="n"/>
      <c r="K22" s="286" t="n"/>
      <c r="L22" s="286" t="n"/>
      <c r="M22" s="286" t="n"/>
      <c r="N22" s="287" t="inlineStr">
        <is>
          <t>Xpert CARBA-R Negative</t>
        </is>
      </c>
      <c r="O22" s="288" t="inlineStr">
        <is>
          <t>NEG IPT kylskåp</t>
        </is>
      </c>
      <c r="P22" s="289" t="n">
        <v>0</v>
      </c>
    </row>
    <row r="23">
      <c r="A23" s="282" t="inlineStr">
        <is>
          <t>001-1688</t>
        </is>
      </c>
      <c r="B23" s="283" t="inlineStr">
        <is>
          <t>S19AUG24A</t>
        </is>
      </c>
      <c r="C23" s="284" t="n">
        <v>46081</v>
      </c>
      <c r="D23" s="282" t="inlineStr">
        <is>
          <t>1 låda</t>
        </is>
      </c>
      <c r="E23" s="284" t="n">
        <v>46043</v>
      </c>
      <c r="F23" s="285" t="inlineStr">
        <is>
          <t>vdao</t>
        </is>
      </c>
      <c r="G23" s="286" t="inlineStr">
        <is>
          <t>CARBA</t>
        </is>
      </c>
      <c r="H23" s="286" t="n"/>
      <c r="I23" s="286" t="n"/>
      <c r="J23" s="286" t="n"/>
      <c r="K23" s="286" t="n"/>
      <c r="L23" s="286" t="n"/>
      <c r="M23" s="286" t="n"/>
      <c r="N23" s="287" t="inlineStr">
        <is>
          <t>Xpert CARBA-R Negative</t>
        </is>
      </c>
      <c r="O23" s="288" t="inlineStr">
        <is>
          <t>NEG IPT kylskåp</t>
        </is>
      </c>
      <c r="P23" s="289" t="n">
        <v>0</v>
      </c>
    </row>
    <row r="24">
      <c r="A24" s="282" t="inlineStr">
        <is>
          <t>001-1688</t>
        </is>
      </c>
      <c r="B24" s="283" t="inlineStr">
        <is>
          <t>N/A</t>
        </is>
      </c>
      <c r="C24" s="284" t="inlineStr">
        <is>
          <t>N/A</t>
        </is>
      </c>
      <c r="D24" s="282" t="inlineStr">
        <is>
          <t>N/A</t>
        </is>
      </c>
      <c r="E24" s="284" t="inlineStr">
        <is>
          <t>N/A</t>
        </is>
      </c>
      <c r="F24" s="285" t="inlineStr">
        <is>
          <t>N/A</t>
        </is>
      </c>
      <c r="G24" s="286" t="inlineStr">
        <is>
          <t>CARBA</t>
        </is>
      </c>
      <c r="H24" s="286" t="n"/>
      <c r="I24" s="286" t="n"/>
      <c r="J24" s="286" t="n"/>
      <c r="K24" s="286" t="n"/>
      <c r="L24" s="286" t="n"/>
      <c r="M24" s="286" t="n"/>
      <c r="N24" s="287" t="inlineStr">
        <is>
          <t>Xpert CARBA-R Negative</t>
        </is>
      </c>
      <c r="O24" s="288" t="inlineStr">
        <is>
          <t>NEG IPT kylskåp</t>
        </is>
      </c>
      <c r="P24" s="289" t="n">
        <v>0</v>
      </c>
    </row>
    <row r="25">
      <c r="A25" s="282" t="inlineStr">
        <is>
          <t>001-1688</t>
        </is>
      </c>
      <c r="B25" s="283" t="inlineStr">
        <is>
          <t>N/A</t>
        </is>
      </c>
      <c r="C25" s="284" t="inlineStr">
        <is>
          <t>N/A</t>
        </is>
      </c>
      <c r="D25" s="282" t="inlineStr">
        <is>
          <t>N/A</t>
        </is>
      </c>
      <c r="E25" s="284" t="inlineStr">
        <is>
          <t>N/A</t>
        </is>
      </c>
      <c r="F25" s="285" t="inlineStr">
        <is>
          <t>N/A</t>
        </is>
      </c>
      <c r="G25" s="286" t="inlineStr">
        <is>
          <t>CARBA</t>
        </is>
      </c>
      <c r="H25" s="286" t="n"/>
      <c r="I25" s="286" t="n"/>
      <c r="J25" s="286" t="n"/>
      <c r="K25" s="286" t="n"/>
      <c r="L25" s="286" t="n"/>
      <c r="M25" s="286" t="n"/>
      <c r="N25" s="287" t="inlineStr">
        <is>
          <t>Xpert CARBA-R Negative</t>
        </is>
      </c>
      <c r="O25" s="288" t="inlineStr">
        <is>
          <t>NEG IPT kylskåp</t>
        </is>
      </c>
      <c r="P25" s="289" t="n">
        <v>0</v>
      </c>
    </row>
    <row r="26">
      <c r="A26" s="282" t="inlineStr">
        <is>
          <t>001-1689</t>
        </is>
      </c>
      <c r="B26" s="283" t="inlineStr">
        <is>
          <t>4141EA</t>
        </is>
      </c>
      <c r="C26" s="284" t="n">
        <v>46162</v>
      </c>
      <c r="D26" s="282" t="inlineStr">
        <is>
          <t>3 L</t>
        </is>
      </c>
      <c r="E26" s="284" t="n">
        <v>45818</v>
      </c>
      <c r="F26" s="285" t="inlineStr">
        <is>
          <t>JESP</t>
        </is>
      </c>
      <c r="G26" s="286" t="inlineStr">
        <is>
          <t>HPV</t>
        </is>
      </c>
      <c r="H26" s="286" t="n"/>
      <c r="I26" s="286" t="n"/>
      <c r="J26" s="286" t="n"/>
      <c r="K26" s="286" t="n"/>
      <c r="L26" s="286" t="n"/>
      <c r="M26" s="286" t="n"/>
      <c r="N26" s="287" t="inlineStr">
        <is>
          <t>P/N 001-1689 PreservCyt Solution</t>
        </is>
      </c>
      <c r="O26" s="288" t="inlineStr">
        <is>
          <t>SR / TET / MATRIX</t>
        </is>
      </c>
      <c r="P26" s="289" t="n">
        <v>2</v>
      </c>
    </row>
    <row r="27">
      <c r="A27" s="282" t="inlineStr">
        <is>
          <t>001-1689</t>
        </is>
      </c>
      <c r="B27" s="283" t="inlineStr">
        <is>
          <t>N/A</t>
        </is>
      </c>
      <c r="C27" s="284" t="inlineStr">
        <is>
          <t>N/A</t>
        </is>
      </c>
      <c r="D27" s="282" t="inlineStr">
        <is>
          <t>N/A</t>
        </is>
      </c>
      <c r="E27" s="284" t="inlineStr">
        <is>
          <t>N/A</t>
        </is>
      </c>
      <c r="F27" s="285" t="inlineStr">
        <is>
          <t>N/A</t>
        </is>
      </c>
      <c r="G27" s="286" t="inlineStr">
        <is>
          <t>HPV</t>
        </is>
      </c>
      <c r="H27" s="286" t="n"/>
      <c r="I27" s="286" t="n"/>
      <c r="J27" s="286" t="n"/>
      <c r="K27" s="286" t="n"/>
      <c r="L27" s="286" t="n"/>
      <c r="M27" s="286" t="n"/>
      <c r="N27" s="287" t="inlineStr">
        <is>
          <t>P/N 001-1689 PreservCyt Solution</t>
        </is>
      </c>
      <c r="O27" s="288" t="inlineStr">
        <is>
          <t>SR / TET / MATRIX</t>
        </is>
      </c>
      <c r="P27" s="289" t="n">
        <v>2</v>
      </c>
    </row>
    <row r="28">
      <c r="A28" s="282" t="inlineStr">
        <is>
          <t>001-1689</t>
        </is>
      </c>
      <c r="B28" s="283" t="inlineStr">
        <is>
          <t>N/A</t>
        </is>
      </c>
      <c r="C28" s="284" t="inlineStr">
        <is>
          <t>N/A</t>
        </is>
      </c>
      <c r="D28" s="282" t="inlineStr">
        <is>
          <t>N/A</t>
        </is>
      </c>
      <c r="E28" s="284" t="inlineStr">
        <is>
          <t>N/A</t>
        </is>
      </c>
      <c r="F28" s="285" t="inlineStr">
        <is>
          <t>N/A</t>
        </is>
      </c>
      <c r="G28" s="286" t="inlineStr">
        <is>
          <t>HPV</t>
        </is>
      </c>
      <c r="H28" s="286" t="n"/>
      <c r="I28" s="286" t="n"/>
      <c r="J28" s="286" t="n"/>
      <c r="K28" s="286" t="n"/>
      <c r="L28" s="286" t="n"/>
      <c r="M28" s="286" t="n"/>
      <c r="N28" s="287" t="inlineStr">
        <is>
          <t>P/N 001-1689 PreservCyt Solution</t>
        </is>
      </c>
      <c r="O28" s="288" t="inlineStr">
        <is>
          <t>SR / TET / MATRIX</t>
        </is>
      </c>
      <c r="P28" s="289" t="n">
        <v>2</v>
      </c>
    </row>
    <row r="29">
      <c r="A29" s="282" t="inlineStr">
        <is>
          <t>001-1689</t>
        </is>
      </c>
      <c r="B29" s="283" t="inlineStr">
        <is>
          <t>N/A</t>
        </is>
      </c>
      <c r="C29" s="284" t="inlineStr">
        <is>
          <t>N/A</t>
        </is>
      </c>
      <c r="D29" s="282" t="inlineStr">
        <is>
          <t>N/A</t>
        </is>
      </c>
      <c r="E29" s="284" t="inlineStr">
        <is>
          <t>N/A</t>
        </is>
      </c>
      <c r="F29" s="285" t="inlineStr">
        <is>
          <t>N/A</t>
        </is>
      </c>
      <c r="G29" s="286" t="inlineStr">
        <is>
          <t>HPV</t>
        </is>
      </c>
      <c r="H29" s="286" t="n"/>
      <c r="I29" s="286" t="n"/>
      <c r="J29" s="286" t="n"/>
      <c r="K29" s="286" t="n"/>
      <c r="L29" s="286" t="n"/>
      <c r="M29" s="286" t="n"/>
      <c r="N29" s="287" t="inlineStr">
        <is>
          <t>P/N 001-1689 PreservCyt Solution</t>
        </is>
      </c>
      <c r="O29" s="288" t="inlineStr">
        <is>
          <t>SR / TET / MATRIX</t>
        </is>
      </c>
      <c r="P29" s="289" t="n">
        <v>2</v>
      </c>
    </row>
    <row r="30">
      <c r="A30" s="282" t="inlineStr">
        <is>
          <t>001-1922</t>
        </is>
      </c>
      <c r="B30" s="283" t="inlineStr">
        <is>
          <t>Q24APR24B</t>
        </is>
      </c>
      <c r="C30" s="284" t="n">
        <v>46115</v>
      </c>
      <c r="D30" s="282" t="inlineStr">
        <is>
          <t>11 vialer</t>
        </is>
      </c>
      <c r="E30" s="284" t="n">
        <v>45985</v>
      </c>
      <c r="F30" s="285" t="inlineStr">
        <is>
          <t>ELS</t>
        </is>
      </c>
      <c r="G30" s="286" t="inlineStr">
        <is>
          <t>MTB JP</t>
        </is>
      </c>
      <c r="H30" s="286" t="n"/>
      <c r="I30" s="286" t="n"/>
      <c r="J30" s="286" t="n"/>
      <c r="K30" s="286" t="n"/>
      <c r="L30" s="286" t="n"/>
      <c r="M30" s="286" t="n"/>
      <c r="N30" s="287" t="inlineStr">
        <is>
          <t>INTROL TBMDR2-04</t>
        </is>
      </c>
      <c r="O30" s="288" t="inlineStr">
        <is>
          <t>POS IPT kylskåp</t>
        </is>
      </c>
      <c r="P30" s="289" t="n">
        <v>1</v>
      </c>
    </row>
    <row r="31">
      <c r="A31" s="282" t="inlineStr">
        <is>
          <t>001-1922</t>
        </is>
      </c>
      <c r="B31" s="283" t="inlineStr">
        <is>
          <t>N/A</t>
        </is>
      </c>
      <c r="C31" s="284" t="inlineStr">
        <is>
          <t>N/A</t>
        </is>
      </c>
      <c r="D31" s="282" t="inlineStr">
        <is>
          <t>N/A</t>
        </is>
      </c>
      <c r="E31" s="284" t="inlineStr">
        <is>
          <t>N/A</t>
        </is>
      </c>
      <c r="F31" s="285" t="inlineStr">
        <is>
          <t>N/A</t>
        </is>
      </c>
      <c r="G31" s="286" t="inlineStr">
        <is>
          <t>MTB JP</t>
        </is>
      </c>
      <c r="H31" s="286" t="n"/>
      <c r="I31" s="286" t="n"/>
      <c r="J31" s="286" t="n"/>
      <c r="K31" s="286" t="n"/>
      <c r="L31" s="286" t="n"/>
      <c r="M31" s="286" t="n"/>
      <c r="N31" s="287" t="inlineStr">
        <is>
          <t>INTROL TBMDR2-04</t>
        </is>
      </c>
      <c r="O31" s="288" t="inlineStr">
        <is>
          <t>POS IPT kylskåp</t>
        </is>
      </c>
      <c r="P31" s="289" t="n">
        <v>1</v>
      </c>
    </row>
    <row r="32">
      <c r="A32" s="282" t="inlineStr">
        <is>
          <t>001-1922</t>
        </is>
      </c>
      <c r="B32" s="283" t="inlineStr">
        <is>
          <t>N/A</t>
        </is>
      </c>
      <c r="C32" s="284" t="inlineStr">
        <is>
          <t>N/A</t>
        </is>
      </c>
      <c r="D32" s="282" t="inlineStr">
        <is>
          <t>N/A</t>
        </is>
      </c>
      <c r="E32" s="284" t="inlineStr">
        <is>
          <t>N/A</t>
        </is>
      </c>
      <c r="F32" s="285" t="inlineStr">
        <is>
          <t>N/A</t>
        </is>
      </c>
      <c r="G32" s="286" t="inlineStr">
        <is>
          <t>MTB JP</t>
        </is>
      </c>
      <c r="H32" s="286" t="n"/>
      <c r="I32" s="286" t="n"/>
      <c r="J32" s="286" t="n"/>
      <c r="K32" s="286" t="n"/>
      <c r="L32" s="286" t="n"/>
      <c r="M32" s="286" t="n"/>
      <c r="N32" s="287" t="inlineStr">
        <is>
          <t>INTROL TBMDR2-04</t>
        </is>
      </c>
      <c r="O32" s="288" t="inlineStr">
        <is>
          <t>POS IPT kylskåp</t>
        </is>
      </c>
      <c r="P32" s="289" t="n">
        <v>1</v>
      </c>
    </row>
    <row r="33">
      <c r="A33" s="282" t="inlineStr">
        <is>
          <t>001-1922</t>
        </is>
      </c>
      <c r="B33" s="283" t="inlineStr">
        <is>
          <t>N/A</t>
        </is>
      </c>
      <c r="C33" s="284" t="inlineStr">
        <is>
          <t>N/A</t>
        </is>
      </c>
      <c r="D33" s="282" t="inlineStr">
        <is>
          <t>N/A</t>
        </is>
      </c>
      <c r="E33" s="284" t="inlineStr">
        <is>
          <t>N/A</t>
        </is>
      </c>
      <c r="F33" s="285" t="inlineStr">
        <is>
          <t>N/A</t>
        </is>
      </c>
      <c r="G33" s="286" t="inlineStr">
        <is>
          <t>MTB JP</t>
        </is>
      </c>
      <c r="H33" s="286" t="n"/>
      <c r="I33" s="286" t="n"/>
      <c r="J33" s="286" t="n"/>
      <c r="K33" s="286" t="n"/>
      <c r="L33" s="286" t="n"/>
      <c r="M33" s="286" t="n"/>
      <c r="N33" s="287" t="inlineStr">
        <is>
          <t>INTROL TBMDR2-04</t>
        </is>
      </c>
      <c r="O33" s="288" t="inlineStr">
        <is>
          <t>POS IPT kylskåp</t>
        </is>
      </c>
      <c r="P33" s="289" t="n">
        <v>1</v>
      </c>
    </row>
    <row r="34">
      <c r="A34" s="282" t="inlineStr">
        <is>
          <t>001-1923</t>
        </is>
      </c>
      <c r="B34" s="283" t="inlineStr">
        <is>
          <t>B27FEB25A</t>
        </is>
      </c>
      <c r="C34" s="284" t="n">
        <v>46446</v>
      </c>
      <c r="D34" s="282" t="inlineStr">
        <is>
          <t>5 Lådor</t>
        </is>
      </c>
      <c r="E34" s="284" t="n">
        <v>45989</v>
      </c>
      <c r="F34" s="285" t="inlineStr">
        <is>
          <t>JESP</t>
        </is>
      </c>
      <c r="G34" s="286" t="inlineStr">
        <is>
          <t>MTB U</t>
        </is>
      </c>
      <c r="H34" s="286" t="n"/>
      <c r="I34" s="286" t="n"/>
      <c r="J34" s="286" t="n"/>
      <c r="K34" s="286" t="n"/>
      <c r="L34" s="286" t="n"/>
      <c r="M34" s="286" t="n"/>
      <c r="N34" s="287" t="inlineStr">
        <is>
          <t>INTROL TB1081MDR2</t>
        </is>
      </c>
      <c r="O34" s="288" t="inlineStr">
        <is>
          <t>POS IPT kylskåp</t>
        </is>
      </c>
      <c r="P34" s="289" t="n">
        <v>1</v>
      </c>
    </row>
    <row r="35">
      <c r="A35" s="282" t="inlineStr">
        <is>
          <t>001-1923</t>
        </is>
      </c>
      <c r="B35" s="283" t="inlineStr">
        <is>
          <t>N/A</t>
        </is>
      </c>
      <c r="C35" s="284" t="inlineStr">
        <is>
          <t>N/A</t>
        </is>
      </c>
      <c r="D35" s="282" t="inlineStr">
        <is>
          <t>N/A</t>
        </is>
      </c>
      <c r="E35" s="284" t="inlineStr">
        <is>
          <t>N/A</t>
        </is>
      </c>
      <c r="F35" s="285" t="inlineStr">
        <is>
          <t>N/A</t>
        </is>
      </c>
      <c r="G35" s="286" t="inlineStr">
        <is>
          <t>MTB U</t>
        </is>
      </c>
      <c r="H35" s="286" t="n"/>
      <c r="I35" s="286" t="n"/>
      <c r="J35" s="286" t="n"/>
      <c r="K35" s="286" t="n"/>
      <c r="L35" s="286" t="n"/>
      <c r="M35" s="286" t="n"/>
      <c r="N35" s="287" t="inlineStr">
        <is>
          <t>INTROL TB1081MDR2</t>
        </is>
      </c>
      <c r="O35" s="288" t="inlineStr">
        <is>
          <t>POS IPT kylskåp</t>
        </is>
      </c>
      <c r="P35" s="289" t="n">
        <v>1</v>
      </c>
    </row>
    <row r="36">
      <c r="A36" s="282" t="inlineStr">
        <is>
          <t>001-1923</t>
        </is>
      </c>
      <c r="B36" s="283" t="inlineStr">
        <is>
          <t>N/A</t>
        </is>
      </c>
      <c r="C36" s="284" t="inlineStr">
        <is>
          <t>N/A</t>
        </is>
      </c>
      <c r="D36" s="282" t="inlineStr">
        <is>
          <t>N/A</t>
        </is>
      </c>
      <c r="E36" s="284" t="inlineStr">
        <is>
          <t>N/A</t>
        </is>
      </c>
      <c r="F36" s="285" t="inlineStr">
        <is>
          <t>N/A</t>
        </is>
      </c>
      <c r="G36" s="286" t="inlineStr">
        <is>
          <t>MTB U</t>
        </is>
      </c>
      <c r="H36" s="286" t="n"/>
      <c r="I36" s="286" t="n"/>
      <c r="J36" s="286" t="n"/>
      <c r="K36" s="286" t="n"/>
      <c r="L36" s="286" t="n"/>
      <c r="M36" s="286" t="n"/>
      <c r="N36" s="287" t="inlineStr">
        <is>
          <t>INTROL TB1081MDR2</t>
        </is>
      </c>
      <c r="O36" s="288" t="inlineStr">
        <is>
          <t>POS IPT kylskåp</t>
        </is>
      </c>
      <c r="P36" s="289" t="n">
        <v>1</v>
      </c>
    </row>
    <row r="37">
      <c r="A37" s="282" t="inlineStr">
        <is>
          <t>001-1923</t>
        </is>
      </c>
      <c r="B37" s="283" t="inlineStr">
        <is>
          <t>N/A</t>
        </is>
      </c>
      <c r="C37" s="284" t="inlineStr">
        <is>
          <t>N/A</t>
        </is>
      </c>
      <c r="D37" s="282" t="inlineStr">
        <is>
          <t>N/A</t>
        </is>
      </c>
      <c r="E37" s="284" t="inlineStr">
        <is>
          <t>N/A</t>
        </is>
      </c>
      <c r="F37" s="285" t="inlineStr">
        <is>
          <t>N/A</t>
        </is>
      </c>
      <c r="G37" s="286" t="inlineStr">
        <is>
          <t>MTB U</t>
        </is>
      </c>
      <c r="H37" s="286" t="n"/>
      <c r="I37" s="286" t="n"/>
      <c r="J37" s="286" t="n"/>
      <c r="K37" s="286" t="n"/>
      <c r="L37" s="286" t="n"/>
      <c r="M37" s="286" t="n"/>
      <c r="N37" s="287" t="inlineStr">
        <is>
          <t>INTROL TB1081MDR2</t>
        </is>
      </c>
      <c r="O37" s="288" t="inlineStr">
        <is>
          <t>POS IPT kylskåp</t>
        </is>
      </c>
      <c r="P37" s="289" t="n">
        <v>1</v>
      </c>
    </row>
    <row r="38">
      <c r="A38" s="282" t="inlineStr">
        <is>
          <t>500-0905</t>
        </is>
      </c>
      <c r="B38" s="283" t="inlineStr">
        <is>
          <t>062425MZ</t>
        </is>
      </c>
      <c r="C38" s="284" t="n">
        <v>46928</v>
      </c>
      <c r="D38" s="282" t="inlineStr">
        <is>
          <t>1 Låda</t>
        </is>
      </c>
      <c r="E38" s="284" t="n">
        <v>46034</v>
      </c>
      <c r="F38" s="285" t="inlineStr">
        <is>
          <t>JESP</t>
        </is>
      </c>
      <c r="G38" s="286" t="inlineStr">
        <is>
          <t>MRSA/SA</t>
        </is>
      </c>
      <c r="H38" s="286" t="inlineStr">
        <is>
          <t>MRSA JP</t>
        </is>
      </c>
      <c r="I38" s="286" t="n"/>
      <c r="J38" s="286" t="n"/>
      <c r="K38" s="286" t="n"/>
      <c r="L38" s="286" t="n"/>
      <c r="M38" s="286" t="n"/>
      <c r="N38" s="287" t="inlineStr">
        <is>
          <t>MRSA 5.3e3 cells</t>
        </is>
      </c>
      <c r="O38" s="288" t="inlineStr">
        <is>
          <t>POS IPT -80 frys</t>
        </is>
      </c>
      <c r="P38" s="289" t="n">
        <v>1</v>
      </c>
    </row>
    <row r="39">
      <c r="A39" s="282" t="inlineStr">
        <is>
          <t>500-0905</t>
        </is>
      </c>
      <c r="B39" s="283" t="inlineStr">
        <is>
          <t>N/A</t>
        </is>
      </c>
      <c r="C39" s="284" t="inlineStr">
        <is>
          <t>N/A</t>
        </is>
      </c>
      <c r="D39" s="282" t="inlineStr">
        <is>
          <t>N/A</t>
        </is>
      </c>
      <c r="E39" s="284" t="inlineStr">
        <is>
          <t>N/A</t>
        </is>
      </c>
      <c r="F39" s="285" t="inlineStr">
        <is>
          <t>N/A</t>
        </is>
      </c>
      <c r="G39" s="286" t="inlineStr">
        <is>
          <t>MRSA/SA</t>
        </is>
      </c>
      <c r="H39" s="286" t="inlineStr">
        <is>
          <t>MRSA JP</t>
        </is>
      </c>
      <c r="I39" s="286" t="n"/>
      <c r="J39" s="286" t="n"/>
      <c r="K39" s="286" t="n"/>
      <c r="L39" s="286" t="n"/>
      <c r="M39" s="286" t="n"/>
      <c r="N39" s="287" t="inlineStr">
        <is>
          <t>MRSA 5.3e3 cells</t>
        </is>
      </c>
      <c r="O39" s="288" t="inlineStr">
        <is>
          <t>POS IPT -80 frys</t>
        </is>
      </c>
      <c r="P39" s="289" t="n">
        <v>1</v>
      </c>
    </row>
    <row r="40">
      <c r="A40" s="282" t="inlineStr">
        <is>
          <t>500-0905</t>
        </is>
      </c>
      <c r="B40" s="283" t="inlineStr">
        <is>
          <t>N/A</t>
        </is>
      </c>
      <c r="C40" s="284" t="inlineStr">
        <is>
          <t>N/A</t>
        </is>
      </c>
      <c r="D40" s="282" t="inlineStr">
        <is>
          <t>N/A</t>
        </is>
      </c>
      <c r="E40" s="284" t="inlineStr">
        <is>
          <t>N/A</t>
        </is>
      </c>
      <c r="F40" s="285" t="inlineStr">
        <is>
          <t>N/A</t>
        </is>
      </c>
      <c r="G40" s="286" t="inlineStr">
        <is>
          <t>MRSA/SA</t>
        </is>
      </c>
      <c r="H40" s="286" t="inlineStr">
        <is>
          <t>MRSA JP</t>
        </is>
      </c>
      <c r="I40" s="286" t="n"/>
      <c r="J40" s="286" t="n"/>
      <c r="K40" s="286" t="n"/>
      <c r="L40" s="286" t="n"/>
      <c r="M40" s="286" t="n"/>
      <c r="N40" s="287" t="inlineStr">
        <is>
          <t>MRSA 5.3e3 cells</t>
        </is>
      </c>
      <c r="O40" s="288" t="inlineStr">
        <is>
          <t>POS IPT -80 frys</t>
        </is>
      </c>
      <c r="P40" s="289" t="n">
        <v>1</v>
      </c>
    </row>
    <row r="41">
      <c r="A41" s="282" t="inlineStr">
        <is>
          <t>500-0905</t>
        </is>
      </c>
      <c r="B41" s="283" t="inlineStr">
        <is>
          <t>N/A</t>
        </is>
      </c>
      <c r="C41" s="284" t="inlineStr">
        <is>
          <t>N/A</t>
        </is>
      </c>
      <c r="D41" s="282" t="inlineStr">
        <is>
          <t>N/A</t>
        </is>
      </c>
      <c r="E41" s="284" t="inlineStr">
        <is>
          <t>N/A</t>
        </is>
      </c>
      <c r="F41" s="285" t="inlineStr">
        <is>
          <t>N/A</t>
        </is>
      </c>
      <c r="G41" s="286" t="inlineStr">
        <is>
          <t>MRSA/SA</t>
        </is>
      </c>
      <c r="H41" s="286" t="inlineStr">
        <is>
          <t>MRSA JP</t>
        </is>
      </c>
      <c r="I41" s="286" t="n"/>
      <c r="J41" s="286" t="n"/>
      <c r="K41" s="286" t="n"/>
      <c r="L41" s="286" t="n"/>
      <c r="M41" s="286" t="n"/>
      <c r="N41" s="287" t="inlineStr">
        <is>
          <t>MRSA 5.3e3 cells</t>
        </is>
      </c>
      <c r="O41" s="288" t="inlineStr">
        <is>
          <t>POS IPT -80 frys</t>
        </is>
      </c>
      <c r="P41" s="289" t="n">
        <v>1</v>
      </c>
    </row>
    <row r="42">
      <c r="A42" s="282" t="inlineStr">
        <is>
          <t>500-0952</t>
        </is>
      </c>
      <c r="B42" s="283" t="n">
        <v>1001515040</v>
      </c>
      <c r="C42" s="284" t="n">
        <v>46191</v>
      </c>
      <c r="D42" s="282" t="inlineStr">
        <is>
          <t>10L</t>
        </is>
      </c>
      <c r="E42" s="284" t="n">
        <v>46059</v>
      </c>
      <c r="F42" s="285" t="inlineStr">
        <is>
          <t>ELS</t>
        </is>
      </c>
      <c r="G42" s="286" t="inlineStr">
        <is>
          <t>VAN AB</t>
        </is>
      </c>
      <c r="H42" s="286" t="n"/>
      <c r="I42" s="286" t="n"/>
      <c r="J42" s="286" t="n"/>
      <c r="K42" s="286" t="n"/>
      <c r="L42" s="286" t="n"/>
      <c r="M42" s="286" t="n"/>
      <c r="N42" s="287" t="inlineStr">
        <is>
          <t>P/N 500-0952 Buffer, TET (exp 6 mån) 500-0952 Samole buffer Van A/B</t>
        </is>
      </c>
      <c r="O42" s="288" t="inlineStr">
        <is>
          <t>SR / TET / MATRIX</t>
        </is>
      </c>
      <c r="P42" s="289" t="n">
        <v>2</v>
      </c>
    </row>
    <row r="43">
      <c r="A43" s="282" t="inlineStr">
        <is>
          <t>500-0952</t>
        </is>
      </c>
      <c r="B43" s="283" t="inlineStr">
        <is>
          <t>N/A</t>
        </is>
      </c>
      <c r="C43" s="284" t="inlineStr">
        <is>
          <t>N/A</t>
        </is>
      </c>
      <c r="D43" s="282" t="inlineStr">
        <is>
          <t>N/A</t>
        </is>
      </c>
      <c r="E43" s="284" t="inlineStr">
        <is>
          <t>N/A</t>
        </is>
      </c>
      <c r="F43" s="285" t="inlineStr">
        <is>
          <t>N/A</t>
        </is>
      </c>
      <c r="G43" s="286" t="inlineStr">
        <is>
          <t>VAN AB</t>
        </is>
      </c>
      <c r="H43" s="286" t="n"/>
      <c r="I43" s="286" t="n"/>
      <c r="J43" s="286" t="n"/>
      <c r="K43" s="286" t="n"/>
      <c r="L43" s="286" t="n"/>
      <c r="M43" s="286" t="n"/>
      <c r="N43" s="287" t="inlineStr">
        <is>
          <t>P/N 500-0952 Buffer, TET (exp 6 mån) 500-0952 Samole buffer Van A/B</t>
        </is>
      </c>
      <c r="O43" s="288" t="inlineStr">
        <is>
          <t>SR / TET / MATRIX</t>
        </is>
      </c>
      <c r="P43" s="289" t="n">
        <v>2</v>
      </c>
    </row>
    <row r="44">
      <c r="A44" s="282" t="inlineStr">
        <is>
          <t>500-0952</t>
        </is>
      </c>
      <c r="B44" s="283" t="inlineStr">
        <is>
          <t>N/A</t>
        </is>
      </c>
      <c r="C44" s="284" t="inlineStr">
        <is>
          <t>N/A</t>
        </is>
      </c>
      <c r="D44" s="282" t="inlineStr">
        <is>
          <t>N/A</t>
        </is>
      </c>
      <c r="E44" s="284" t="inlineStr">
        <is>
          <t>N/A</t>
        </is>
      </c>
      <c r="F44" s="285" t="inlineStr">
        <is>
          <t>N/A</t>
        </is>
      </c>
      <c r="G44" s="286" t="inlineStr">
        <is>
          <t>VAN AB</t>
        </is>
      </c>
      <c r="H44" s="286" t="n"/>
      <c r="I44" s="286" t="n"/>
      <c r="J44" s="286" t="n"/>
      <c r="K44" s="286" t="n"/>
      <c r="L44" s="286" t="n"/>
      <c r="M44" s="286" t="n"/>
      <c r="N44" s="287" t="inlineStr">
        <is>
          <t>P/N 500-0952 Buffer, TET (exp 6 mån) 500-0952 Samole buffer Van A/B</t>
        </is>
      </c>
      <c r="O44" s="288" t="inlineStr">
        <is>
          <t>SR / TET / MATRIX</t>
        </is>
      </c>
      <c r="P44" s="289" t="n">
        <v>2</v>
      </c>
    </row>
    <row r="45">
      <c r="A45" s="282" t="inlineStr">
        <is>
          <t>500-0952</t>
        </is>
      </c>
      <c r="B45" s="283" t="inlineStr">
        <is>
          <t>N/A</t>
        </is>
      </c>
      <c r="C45" s="284" t="inlineStr">
        <is>
          <t>N/A</t>
        </is>
      </c>
      <c r="D45" s="282" t="inlineStr">
        <is>
          <t>N/A</t>
        </is>
      </c>
      <c r="E45" s="284" t="inlineStr">
        <is>
          <t>N/A</t>
        </is>
      </c>
      <c r="F45" s="285" t="inlineStr">
        <is>
          <t>N/A</t>
        </is>
      </c>
      <c r="G45" s="286" t="inlineStr">
        <is>
          <t>VAN AB</t>
        </is>
      </c>
      <c r="H45" s="286" t="n"/>
      <c r="I45" s="286" t="n"/>
      <c r="J45" s="286" t="n"/>
      <c r="K45" s="286" t="n"/>
      <c r="L45" s="286" t="n"/>
      <c r="M45" s="286" t="n"/>
      <c r="N45" s="287" t="inlineStr">
        <is>
          <t>P/N 500-0952 Buffer, TET (exp 6 mån) 500-0952 Samole buffer Van A/B</t>
        </is>
      </c>
      <c r="O45" s="288" t="inlineStr">
        <is>
          <t>SR / TET / MATRIX</t>
        </is>
      </c>
      <c r="P45" s="289" t="n">
        <v>2</v>
      </c>
    </row>
    <row r="46">
      <c r="A46" s="282" t="inlineStr">
        <is>
          <t>500-0995</t>
        </is>
      </c>
      <c r="B46" s="283" t="n">
        <v>1001510545</v>
      </c>
      <c r="C46" s="284" t="n">
        <v>46156</v>
      </c>
      <c r="D46" s="282" t="inlineStr">
        <is>
          <t>25L</t>
        </is>
      </c>
      <c r="E46" s="284" t="n">
        <v>45982</v>
      </c>
      <c r="F46" s="285" t="inlineStr">
        <is>
          <t>ELS</t>
        </is>
      </c>
      <c r="G46" s="286" t="inlineStr">
        <is>
          <t>MTB</t>
        </is>
      </c>
      <c r="H46" s="286" t="inlineStr">
        <is>
          <t>MTB U</t>
        </is>
      </c>
      <c r="I46" s="286" t="inlineStr">
        <is>
          <t>MTB JP</t>
        </is>
      </c>
      <c r="J46" s="286" t="inlineStr">
        <is>
          <t>MTB XDR</t>
        </is>
      </c>
      <c r="K46" s="286" t="n"/>
      <c r="L46" s="286" t="n"/>
      <c r="M46" s="286" t="n"/>
      <c r="N46" s="287" t="inlineStr">
        <is>
          <t>P/N 500-0995 MTB TET Buffer (exp 6 mån) 500-0995, BUFFER, TET, 50_0.1_0.1</t>
        </is>
      </c>
      <c r="O46" s="288" t="inlineStr">
        <is>
          <t>SR / TET / MATRIX</t>
        </is>
      </c>
      <c r="P46" s="289" t="n">
        <v>2</v>
      </c>
    </row>
    <row r="47">
      <c r="A47" s="282" t="inlineStr">
        <is>
          <t>500-0995</t>
        </is>
      </c>
      <c r="B47" s="283" t="n">
        <v>1001517370</v>
      </c>
      <c r="C47" s="284" t="n">
        <v>46216</v>
      </c>
      <c r="D47" s="282" t="inlineStr">
        <is>
          <t>22L</t>
        </is>
      </c>
      <c r="E47" s="284" t="n">
        <v>46059</v>
      </c>
      <c r="F47" s="285" t="inlineStr">
        <is>
          <t>ELS</t>
        </is>
      </c>
      <c r="G47" s="286" t="inlineStr">
        <is>
          <t>MTB</t>
        </is>
      </c>
      <c r="H47" s="286" t="inlineStr">
        <is>
          <t>MTB U</t>
        </is>
      </c>
      <c r="I47" s="286" t="inlineStr">
        <is>
          <t>MTB JP</t>
        </is>
      </c>
      <c r="J47" s="286" t="inlineStr">
        <is>
          <t>MTB XDR</t>
        </is>
      </c>
      <c r="K47" s="286" t="n"/>
      <c r="L47" s="286" t="n"/>
      <c r="M47" s="286" t="n"/>
      <c r="N47" s="287" t="inlineStr">
        <is>
          <t>P/N 500-0995 MTB TET Buffer (exp 6 mån) 500-0995, BUFFER, TET, 50_0.1_0.1</t>
        </is>
      </c>
      <c r="O47" s="288" t="inlineStr">
        <is>
          <t>SR / TET / MATRIX</t>
        </is>
      </c>
      <c r="P47" s="289" t="n">
        <v>2</v>
      </c>
    </row>
    <row r="48">
      <c r="A48" s="282" t="inlineStr">
        <is>
          <t>500-0995</t>
        </is>
      </c>
      <c r="B48" s="283" t="n">
        <v>1001503562</v>
      </c>
      <c r="C48" s="284" t="n">
        <v>46111</v>
      </c>
      <c r="D48" s="282" t="inlineStr">
        <is>
          <t>10L</t>
        </is>
      </c>
      <c r="E48" s="284" t="n">
        <v>45985</v>
      </c>
      <c r="F48" s="285" t="inlineStr">
        <is>
          <t>vdao</t>
        </is>
      </c>
      <c r="G48" s="286" t="inlineStr">
        <is>
          <t>MTB</t>
        </is>
      </c>
      <c r="H48" s="286" t="inlineStr">
        <is>
          <t>MTB U</t>
        </is>
      </c>
      <c r="I48" s="286" t="inlineStr">
        <is>
          <t>MTB JP</t>
        </is>
      </c>
      <c r="J48" s="286" t="inlineStr">
        <is>
          <t>MTB XDR</t>
        </is>
      </c>
      <c r="K48" s="286" t="n"/>
      <c r="L48" s="286" t="n"/>
      <c r="M48" s="286" t="n"/>
      <c r="N48" s="287" t="inlineStr">
        <is>
          <t>P/N 500-0995 MTB TET Buffer (exp 6 mån) 500-0995, BUFFER, TET, 50_0.1_0.1</t>
        </is>
      </c>
      <c r="O48" s="288" t="inlineStr">
        <is>
          <t>SR / TET / MATRIX</t>
        </is>
      </c>
      <c r="P48" s="289" t="n">
        <v>2</v>
      </c>
    </row>
    <row r="49">
      <c r="A49" s="282" t="inlineStr">
        <is>
          <t>500-0995</t>
        </is>
      </c>
      <c r="B49" s="283" t="n">
        <v>1001518066</v>
      </c>
      <c r="C49" s="284" t="n">
        <v>46220</v>
      </c>
      <c r="D49" s="282" t="inlineStr">
        <is>
          <t>8L</t>
        </is>
      </c>
      <c r="E49" s="284" t="n">
        <v>46059</v>
      </c>
      <c r="F49" s="285" t="inlineStr">
        <is>
          <t>ELS</t>
        </is>
      </c>
      <c r="G49" s="286" t="inlineStr">
        <is>
          <t>MTB</t>
        </is>
      </c>
      <c r="H49" s="286" t="inlineStr">
        <is>
          <t>MTB U</t>
        </is>
      </c>
      <c r="I49" s="286" t="inlineStr">
        <is>
          <t>MTB JP</t>
        </is>
      </c>
      <c r="J49" s="286" t="inlineStr">
        <is>
          <t>MTB XDR</t>
        </is>
      </c>
      <c r="K49" s="286" t="n"/>
      <c r="L49" s="286" t="n"/>
      <c r="M49" s="286" t="n"/>
      <c r="N49" s="287" t="inlineStr">
        <is>
          <t>P/N 500-0995 MTB TET Buffer (exp 6 mån) 500-0995, BUFFER, TET, 50_0.1_0.1</t>
        </is>
      </c>
      <c r="O49" s="288" t="inlineStr">
        <is>
          <t>SR / TET / MATRIX</t>
        </is>
      </c>
      <c r="P49" s="289" t="n">
        <v>2</v>
      </c>
    </row>
    <row r="50">
      <c r="A50" s="282" t="inlineStr">
        <is>
          <t>500-1509</t>
        </is>
      </c>
      <c r="B50" s="283" t="inlineStr">
        <is>
          <t>011922DL</t>
        </is>
      </c>
      <c r="C50" s="284" t="n">
        <v>46406</v>
      </c>
      <c r="D50" s="282" t="inlineStr">
        <is>
          <t>34 rör</t>
        </is>
      </c>
      <c r="E50" s="284" t="n">
        <v>46007</v>
      </c>
      <c r="F50" s="285" t="inlineStr">
        <is>
          <t>ELS</t>
        </is>
      </c>
      <c r="G50" s="286" t="inlineStr">
        <is>
          <t>FLU RSV</t>
        </is>
      </c>
      <c r="H50" s="286" t="n"/>
      <c r="I50" s="286" t="n"/>
      <c r="J50" s="286" t="n"/>
      <c r="K50" s="286" t="n"/>
      <c r="L50" s="286" t="n"/>
      <c r="M50" s="286" t="n"/>
      <c r="N50" s="287" t="inlineStr">
        <is>
          <t>VIRUS, CVA9, FINAL WORKING STOCK</t>
        </is>
      </c>
      <c r="O50" s="288" t="inlineStr">
        <is>
          <t>NEG IPT -80 frys</t>
        </is>
      </c>
      <c r="P50" s="289" t="n">
        <v>0</v>
      </c>
    </row>
    <row r="51">
      <c r="A51" s="282" t="inlineStr">
        <is>
          <t>500-1509</t>
        </is>
      </c>
      <c r="B51" s="283" t="inlineStr">
        <is>
          <t>N/A</t>
        </is>
      </c>
      <c r="C51" s="284" t="inlineStr">
        <is>
          <t>N/A</t>
        </is>
      </c>
      <c r="D51" s="282" t="inlineStr">
        <is>
          <t>N/A</t>
        </is>
      </c>
      <c r="E51" s="284" t="inlineStr">
        <is>
          <t>N/A</t>
        </is>
      </c>
      <c r="F51" s="285" t="inlineStr">
        <is>
          <t>N/A</t>
        </is>
      </c>
      <c r="G51" s="286" t="inlineStr">
        <is>
          <t>FLU RSV</t>
        </is>
      </c>
      <c r="H51" s="286" t="n"/>
      <c r="I51" s="286" t="n"/>
      <c r="J51" s="286" t="n"/>
      <c r="K51" s="286" t="n"/>
      <c r="L51" s="286" t="n"/>
      <c r="M51" s="286" t="n"/>
      <c r="N51" s="287" t="inlineStr">
        <is>
          <t>VIRUS, CVA9, FINAL WORKING STOCK</t>
        </is>
      </c>
      <c r="O51" s="288" t="inlineStr">
        <is>
          <t>NEG IPT -80 frys</t>
        </is>
      </c>
      <c r="P51" s="289" t="n">
        <v>0</v>
      </c>
    </row>
    <row r="52">
      <c r="A52" s="282" t="inlineStr">
        <is>
          <t>500-1509</t>
        </is>
      </c>
      <c r="B52" s="283" t="inlineStr">
        <is>
          <t>N/A</t>
        </is>
      </c>
      <c r="C52" s="284" t="inlineStr">
        <is>
          <t>N/A</t>
        </is>
      </c>
      <c r="D52" s="282" t="inlineStr">
        <is>
          <t>N/A</t>
        </is>
      </c>
      <c r="E52" s="284" t="inlineStr">
        <is>
          <t>N/A</t>
        </is>
      </c>
      <c r="F52" s="285" t="inlineStr">
        <is>
          <t>N/A</t>
        </is>
      </c>
      <c r="G52" s="286" t="inlineStr">
        <is>
          <t>FLU RSV</t>
        </is>
      </c>
      <c r="H52" s="286" t="n"/>
      <c r="I52" s="286" t="n"/>
      <c r="J52" s="286" t="n"/>
      <c r="K52" s="286" t="n"/>
      <c r="L52" s="286" t="n"/>
      <c r="M52" s="286" t="n"/>
      <c r="N52" s="287" t="inlineStr">
        <is>
          <t>VIRUS, CVA9, FINAL WORKING STOCK</t>
        </is>
      </c>
      <c r="O52" s="288" t="inlineStr">
        <is>
          <t>NEG IPT -80 frys</t>
        </is>
      </c>
      <c r="P52" s="289" t="n">
        <v>0</v>
      </c>
    </row>
    <row r="53">
      <c r="A53" s="282" t="inlineStr">
        <is>
          <t>500-1509</t>
        </is>
      </c>
      <c r="B53" s="283" t="inlineStr">
        <is>
          <t>N/A</t>
        </is>
      </c>
      <c r="C53" s="284" t="inlineStr">
        <is>
          <t>N/A</t>
        </is>
      </c>
      <c r="D53" s="282" t="inlineStr">
        <is>
          <t>N/A</t>
        </is>
      </c>
      <c r="E53" s="284" t="inlineStr">
        <is>
          <t>N/A</t>
        </is>
      </c>
      <c r="F53" s="285" t="inlineStr">
        <is>
          <t>N/A</t>
        </is>
      </c>
      <c r="G53" s="286" t="inlineStr">
        <is>
          <t>FLU RSV</t>
        </is>
      </c>
      <c r="H53" s="286" t="n"/>
      <c r="I53" s="286" t="n"/>
      <c r="J53" s="286" t="n"/>
      <c r="K53" s="286" t="n"/>
      <c r="L53" s="286" t="n"/>
      <c r="M53" s="286" t="n"/>
      <c r="N53" s="287" t="inlineStr">
        <is>
          <t>VIRUS, CVA9, FINAL WORKING STOCK</t>
        </is>
      </c>
      <c r="O53" s="288" t="inlineStr">
        <is>
          <t>NEG IPT -80 frys</t>
        </is>
      </c>
      <c r="P53" s="289" t="n">
        <v>0</v>
      </c>
    </row>
    <row r="54">
      <c r="A54" s="282" t="inlineStr">
        <is>
          <t>500-1514</t>
        </is>
      </c>
      <c r="B54" s="283" t="n">
        <v>1001497100</v>
      </c>
      <c r="C54" s="290" t="inlineStr">
        <is>
          <t>2026-02</t>
        </is>
      </c>
      <c r="D54" s="282" t="inlineStr">
        <is>
          <t>10L</t>
        </is>
      </c>
      <c r="E54" s="284" t="n">
        <v>45890</v>
      </c>
      <c r="F54" s="285" t="inlineStr">
        <is>
          <t>vdao</t>
        </is>
      </c>
      <c r="G54" s="286" t="inlineStr">
        <is>
          <t>CTNG</t>
        </is>
      </c>
      <c r="H54" s="286" t="inlineStr">
        <is>
          <t>CTNG JP</t>
        </is>
      </c>
      <c r="I54" s="286" t="n"/>
      <c r="J54" s="286" t="n"/>
      <c r="K54" s="286" t="n"/>
      <c r="L54" s="286" t="n"/>
      <c r="M54" s="286" t="n"/>
      <c r="N54" s="287" t="inlineStr">
        <is>
          <t>P/N 500-1514 Transport buffer (exp 6 mån) 500-1514, TRANSPORT BUFFER,SWAB,BULK,CT/NG</t>
        </is>
      </c>
      <c r="O54" s="288" t="inlineStr">
        <is>
          <t>SR / TET / MATRIX</t>
        </is>
      </c>
      <c r="P54" s="289" t="n">
        <v>2</v>
      </c>
    </row>
    <row r="55">
      <c r="A55" s="282" t="inlineStr">
        <is>
          <t>500-1514</t>
        </is>
      </c>
      <c r="B55" s="283" t="n">
        <v>1001517662</v>
      </c>
      <c r="C55" s="290" t="inlineStr">
        <is>
          <t>2026-07</t>
        </is>
      </c>
      <c r="D55" s="282" t="inlineStr">
        <is>
          <t>5 L</t>
        </is>
      </c>
      <c r="E55" s="284" t="n">
        <v>46042</v>
      </c>
      <c r="F55" s="285" t="inlineStr">
        <is>
          <t>JESP</t>
        </is>
      </c>
      <c r="G55" s="286" t="inlineStr">
        <is>
          <t>CTNG</t>
        </is>
      </c>
      <c r="H55" s="286" t="inlineStr">
        <is>
          <t>CTNG JP</t>
        </is>
      </c>
      <c r="I55" s="286" t="n"/>
      <c r="J55" s="286" t="n"/>
      <c r="K55" s="286" t="n"/>
      <c r="L55" s="286" t="n"/>
      <c r="M55" s="286" t="n"/>
      <c r="N55" s="287" t="inlineStr">
        <is>
          <t>P/N 500-1514 Transport buffer (exp 6 mån) 500-1514, TRANSPORT BUFFER,SWAB,BULK,CT/NG</t>
        </is>
      </c>
      <c r="O55" s="288" t="inlineStr">
        <is>
          <t>SR / TET / MATRIX</t>
        </is>
      </c>
      <c r="P55" s="289" t="n">
        <v>2</v>
      </c>
    </row>
    <row r="56">
      <c r="A56" s="282" t="inlineStr">
        <is>
          <t>500-1514</t>
        </is>
      </c>
      <c r="B56" s="283" t="inlineStr">
        <is>
          <t>N/A</t>
        </is>
      </c>
      <c r="C56" s="290" t="inlineStr">
        <is>
          <t>N/A</t>
        </is>
      </c>
      <c r="D56" s="282" t="inlineStr">
        <is>
          <t>N/A</t>
        </is>
      </c>
      <c r="E56" s="284" t="inlineStr">
        <is>
          <t>N/A</t>
        </is>
      </c>
      <c r="F56" s="285" t="inlineStr">
        <is>
          <t>N/A</t>
        </is>
      </c>
      <c r="G56" s="286" t="inlineStr">
        <is>
          <t>CTNG</t>
        </is>
      </c>
      <c r="H56" s="286" t="inlineStr">
        <is>
          <t>CTNG JP</t>
        </is>
      </c>
      <c r="I56" s="286" t="n"/>
      <c r="J56" s="286" t="n"/>
      <c r="K56" s="286" t="n"/>
      <c r="L56" s="286" t="n"/>
      <c r="M56" s="286" t="n"/>
      <c r="N56" s="287" t="inlineStr">
        <is>
          <t>P/N 500-1514 Transport buffer (exp 6 mån) 500-1514, TRANSPORT BUFFER,SWAB,BULK,CT/NG</t>
        </is>
      </c>
      <c r="O56" s="288" t="inlineStr">
        <is>
          <t>SR / TET / MATRIX</t>
        </is>
      </c>
      <c r="P56" s="289" t="n">
        <v>2</v>
      </c>
    </row>
    <row r="57">
      <c r="A57" s="282" t="inlineStr">
        <is>
          <t>500-1514</t>
        </is>
      </c>
      <c r="B57" s="283" t="inlineStr">
        <is>
          <t>N/A</t>
        </is>
      </c>
      <c r="C57" s="290" t="inlineStr">
        <is>
          <t>N/A</t>
        </is>
      </c>
      <c r="D57" s="282" t="inlineStr">
        <is>
          <t>N/A</t>
        </is>
      </c>
      <c r="E57" s="284" t="inlineStr">
        <is>
          <t>N/A</t>
        </is>
      </c>
      <c r="F57" s="285" t="inlineStr">
        <is>
          <t>N/A</t>
        </is>
      </c>
      <c r="G57" s="286" t="inlineStr">
        <is>
          <t>CTNG</t>
        </is>
      </c>
      <c r="H57" s="286" t="inlineStr">
        <is>
          <t>CTNG JP</t>
        </is>
      </c>
      <c r="I57" s="286" t="n"/>
      <c r="J57" s="286" t="n"/>
      <c r="K57" s="286" t="n"/>
      <c r="L57" s="286" t="n"/>
      <c r="M57" s="286" t="n"/>
      <c r="N57" s="287" t="inlineStr">
        <is>
          <t>P/N 500-1514 Transport buffer (exp 6 mån) 500-1514, TRANSPORT BUFFER,SWAB,BULK,CT/NG</t>
        </is>
      </c>
      <c r="O57" s="288" t="inlineStr">
        <is>
          <t>SR / TET / MATRIX</t>
        </is>
      </c>
      <c r="P57" s="289" t="n">
        <v>2</v>
      </c>
    </row>
    <row r="58">
      <c r="A58" s="282" t="inlineStr">
        <is>
          <t>500-1526</t>
        </is>
      </c>
      <c r="B58" s="283" t="inlineStr">
        <is>
          <t>012224ELIF</t>
        </is>
      </c>
      <c r="C58" s="284" t="n">
        <v>46409</v>
      </c>
      <c r="D58" s="282" t="inlineStr">
        <is>
          <t>3 lådor</t>
        </is>
      </c>
      <c r="E58" s="284" t="n">
        <v>46043</v>
      </c>
      <c r="F58" s="285" t="inlineStr">
        <is>
          <t>vdao</t>
        </is>
      </c>
      <c r="G58" s="286" t="inlineStr">
        <is>
          <t>CTNG</t>
        </is>
      </c>
      <c r="H58" s="286" t="inlineStr">
        <is>
          <t>CTNG JP</t>
        </is>
      </c>
      <c r="I58" s="286" t="n"/>
      <c r="J58" s="286" t="n"/>
      <c r="K58" s="286" t="n"/>
      <c r="L58" s="286" t="n"/>
      <c r="M58" s="286" t="n"/>
      <c r="N58" s="287" t="inlineStr">
        <is>
          <t>10X Negative cells mix</t>
        </is>
      </c>
      <c r="O58" s="288" t="inlineStr">
        <is>
          <t>NEG IPT kylskåp</t>
        </is>
      </c>
      <c r="P58" s="289" t="n">
        <v>0</v>
      </c>
    </row>
    <row r="59">
      <c r="A59" s="282" t="inlineStr">
        <is>
          <t>500-1526</t>
        </is>
      </c>
      <c r="B59" s="283" t="inlineStr">
        <is>
          <t>N/A</t>
        </is>
      </c>
      <c r="C59" s="284" t="inlineStr">
        <is>
          <t>N/A</t>
        </is>
      </c>
      <c r="D59" s="282" t="inlineStr">
        <is>
          <t>N/A</t>
        </is>
      </c>
      <c r="E59" s="284" t="inlineStr">
        <is>
          <t>N/A</t>
        </is>
      </c>
      <c r="F59" s="285" t="inlineStr">
        <is>
          <t>N/A</t>
        </is>
      </c>
      <c r="G59" s="286" t="inlineStr">
        <is>
          <t>CTNG</t>
        </is>
      </c>
      <c r="H59" s="286" t="inlineStr">
        <is>
          <t>CTNG JP</t>
        </is>
      </c>
      <c r="I59" s="286" t="n"/>
      <c r="J59" s="286" t="n"/>
      <c r="K59" s="286" t="n"/>
      <c r="L59" s="286" t="n"/>
      <c r="M59" s="286" t="n"/>
      <c r="N59" s="287" t="inlineStr">
        <is>
          <t>10X Negative cells mix</t>
        </is>
      </c>
      <c r="O59" s="288" t="inlineStr">
        <is>
          <t>NEG IPT kylskåp</t>
        </is>
      </c>
      <c r="P59" s="289" t="n">
        <v>0</v>
      </c>
    </row>
    <row r="60">
      <c r="A60" s="282" t="inlineStr">
        <is>
          <t>500-1526</t>
        </is>
      </c>
      <c r="B60" s="283" t="inlineStr">
        <is>
          <t>N/A</t>
        </is>
      </c>
      <c r="C60" s="284" t="inlineStr">
        <is>
          <t>N/A</t>
        </is>
      </c>
      <c r="D60" s="282" t="inlineStr">
        <is>
          <t>N/A</t>
        </is>
      </c>
      <c r="E60" s="284" t="inlineStr">
        <is>
          <t>N/A</t>
        </is>
      </c>
      <c r="F60" s="285" t="inlineStr">
        <is>
          <t>N/A</t>
        </is>
      </c>
      <c r="G60" s="286" t="inlineStr">
        <is>
          <t>CTNG</t>
        </is>
      </c>
      <c r="H60" s="286" t="inlineStr">
        <is>
          <t>CTNG JP</t>
        </is>
      </c>
      <c r="I60" s="286" t="n"/>
      <c r="J60" s="286" t="n"/>
      <c r="K60" s="286" t="n"/>
      <c r="L60" s="286" t="n"/>
      <c r="M60" s="286" t="n"/>
      <c r="N60" s="287" t="inlineStr">
        <is>
          <t>10X Negative cells mix</t>
        </is>
      </c>
      <c r="O60" s="288" t="inlineStr">
        <is>
          <t>NEG IPT kylskåp</t>
        </is>
      </c>
      <c r="P60" s="289" t="n">
        <v>0</v>
      </c>
    </row>
    <row r="61">
      <c r="A61" s="282" t="inlineStr">
        <is>
          <t>500-1526</t>
        </is>
      </c>
      <c r="B61" s="283" t="inlineStr">
        <is>
          <t>N/A</t>
        </is>
      </c>
      <c r="C61" s="284" t="inlineStr">
        <is>
          <t>N/A</t>
        </is>
      </c>
      <c r="D61" s="282" t="inlineStr">
        <is>
          <t>N/A</t>
        </is>
      </c>
      <c r="E61" s="284" t="inlineStr">
        <is>
          <t>N/A</t>
        </is>
      </c>
      <c r="F61" s="285" t="inlineStr">
        <is>
          <t>N/A</t>
        </is>
      </c>
      <c r="G61" s="286" t="inlineStr">
        <is>
          <t>CTNG</t>
        </is>
      </c>
      <c r="H61" s="286" t="inlineStr">
        <is>
          <t>CTNG JP</t>
        </is>
      </c>
      <c r="I61" s="286" t="n"/>
      <c r="J61" s="286" t="n"/>
      <c r="K61" s="286" t="n"/>
      <c r="L61" s="286" t="n"/>
      <c r="M61" s="286" t="n"/>
      <c r="N61" s="287" t="inlineStr">
        <is>
          <t>10X Negative cells mix</t>
        </is>
      </c>
      <c r="O61" s="288" t="inlineStr">
        <is>
          <t>NEG IPT kylskåp</t>
        </is>
      </c>
      <c r="P61" s="289" t="n">
        <v>0</v>
      </c>
    </row>
    <row r="62">
      <c r="A62" s="282" t="inlineStr">
        <is>
          <t>500-1529</t>
        </is>
      </c>
      <c r="B62" s="283" t="inlineStr">
        <is>
          <t>120425MMM</t>
        </is>
      </c>
      <c r="C62" s="284" t="n">
        <v>46357</v>
      </c>
      <c r="D62" s="282" t="inlineStr">
        <is>
          <t>2 lådor</t>
        </is>
      </c>
      <c r="E62" s="284" t="n">
        <v>46063</v>
      </c>
      <c r="F62" s="285" t="inlineStr">
        <is>
          <t>vdao</t>
        </is>
      </c>
      <c r="G62" s="286" t="inlineStr">
        <is>
          <t>CDIFF</t>
        </is>
      </c>
      <c r="H62" s="286" t="inlineStr">
        <is>
          <t>CDIFF JP</t>
        </is>
      </c>
      <c r="I62" s="286" t="n"/>
      <c r="J62" s="286" t="n"/>
      <c r="K62" s="286" t="n"/>
      <c r="L62" s="286" t="n"/>
      <c r="M62" s="286" t="n"/>
      <c r="N62" s="287" t="inlineStr">
        <is>
          <t>C.difficile cells</t>
        </is>
      </c>
      <c r="O62" s="288" t="inlineStr">
        <is>
          <t>POS IPT kylskåp</t>
        </is>
      </c>
      <c r="P62" s="289" t="n">
        <v>1</v>
      </c>
    </row>
    <row r="63">
      <c r="A63" s="282" t="inlineStr">
        <is>
          <t>500-1529</t>
        </is>
      </c>
      <c r="B63" s="283" t="inlineStr">
        <is>
          <t>N/A</t>
        </is>
      </c>
      <c r="C63" s="284" t="inlineStr">
        <is>
          <t>N/A</t>
        </is>
      </c>
      <c r="D63" s="282" t="inlineStr">
        <is>
          <t>N/A</t>
        </is>
      </c>
      <c r="E63" s="284" t="inlineStr">
        <is>
          <t>N/A</t>
        </is>
      </c>
      <c r="F63" s="285" t="inlineStr">
        <is>
          <t>N/A</t>
        </is>
      </c>
      <c r="G63" s="286" t="inlineStr">
        <is>
          <t>CDIFF</t>
        </is>
      </c>
      <c r="H63" s="286" t="inlineStr">
        <is>
          <t>CDIFF JP</t>
        </is>
      </c>
      <c r="I63" s="286" t="n"/>
      <c r="J63" s="286" t="n"/>
      <c r="K63" s="286" t="n"/>
      <c r="L63" s="286" t="n"/>
      <c r="M63" s="286" t="n"/>
      <c r="N63" s="287" t="inlineStr">
        <is>
          <t>C.difficile cells</t>
        </is>
      </c>
      <c r="O63" s="288" t="inlineStr">
        <is>
          <t>POS IPT kylskåp</t>
        </is>
      </c>
      <c r="P63" s="289" t="n">
        <v>1</v>
      </c>
    </row>
    <row r="64">
      <c r="A64" s="282" t="inlineStr">
        <is>
          <t>500-1529</t>
        </is>
      </c>
      <c r="B64" s="283" t="inlineStr">
        <is>
          <t>N/A</t>
        </is>
      </c>
      <c r="C64" s="284" t="inlineStr">
        <is>
          <t>N/A</t>
        </is>
      </c>
      <c r="D64" s="282" t="inlineStr">
        <is>
          <t>N/A</t>
        </is>
      </c>
      <c r="E64" s="284" t="inlineStr">
        <is>
          <t>N/A</t>
        </is>
      </c>
      <c r="F64" s="285" t="inlineStr">
        <is>
          <t>N/A</t>
        </is>
      </c>
      <c r="G64" s="286" t="inlineStr">
        <is>
          <t>CDIFF</t>
        </is>
      </c>
      <c r="H64" s="286" t="inlineStr">
        <is>
          <t>CDIFF JP</t>
        </is>
      </c>
      <c r="I64" s="286" t="n"/>
      <c r="J64" s="286" t="n"/>
      <c r="K64" s="286" t="n"/>
      <c r="L64" s="286" t="n"/>
      <c r="M64" s="286" t="n"/>
      <c r="N64" s="287" t="inlineStr">
        <is>
          <t>C.difficile cells</t>
        </is>
      </c>
      <c r="O64" s="288" t="inlineStr">
        <is>
          <t>POS IPT kylskåp</t>
        </is>
      </c>
      <c r="P64" s="289" t="n">
        <v>1</v>
      </c>
    </row>
    <row r="65">
      <c r="A65" s="282" t="inlineStr">
        <is>
          <t>500-1529</t>
        </is>
      </c>
      <c r="B65" s="283" t="inlineStr">
        <is>
          <t>N/A</t>
        </is>
      </c>
      <c r="C65" s="284" t="inlineStr">
        <is>
          <t>N/A</t>
        </is>
      </c>
      <c r="D65" s="282" t="inlineStr">
        <is>
          <t>N/A</t>
        </is>
      </c>
      <c r="E65" s="284" t="inlineStr">
        <is>
          <t>N/A</t>
        </is>
      </c>
      <c r="F65" s="285" t="inlineStr">
        <is>
          <t>N/A</t>
        </is>
      </c>
      <c r="G65" s="286" t="inlineStr">
        <is>
          <t>CDIFF</t>
        </is>
      </c>
      <c r="H65" s="286" t="inlineStr">
        <is>
          <t>CDIFF JP</t>
        </is>
      </c>
      <c r="I65" s="286" t="n"/>
      <c r="J65" s="286" t="n"/>
      <c r="K65" s="286" t="n"/>
      <c r="L65" s="286" t="n"/>
      <c r="M65" s="286" t="n"/>
      <c r="N65" s="287" t="inlineStr">
        <is>
          <t>C.difficile cells</t>
        </is>
      </c>
      <c r="O65" s="288" t="inlineStr">
        <is>
          <t>POS IPT kylskåp</t>
        </is>
      </c>
      <c r="P65" s="289" t="n">
        <v>1</v>
      </c>
    </row>
    <row r="66">
      <c r="A66" s="282" t="inlineStr">
        <is>
          <t>500-1544</t>
        </is>
      </c>
      <c r="B66" s="283" t="inlineStr">
        <is>
          <t>081823VW</t>
        </is>
      </c>
      <c r="C66" s="284" t="n">
        <v>46252</v>
      </c>
      <c r="D66" s="282" t="inlineStr">
        <is>
          <t>0.5 låda</t>
        </is>
      </c>
      <c r="E66" s="284" t="n">
        <v>45985</v>
      </c>
      <c r="F66" s="285" t="inlineStr">
        <is>
          <t>ELS</t>
        </is>
      </c>
      <c r="G66" s="286" t="inlineStr">
        <is>
          <t>CTNG</t>
        </is>
      </c>
      <c r="H66" s="286" t="inlineStr">
        <is>
          <t>CTNG JP</t>
        </is>
      </c>
      <c r="I66" s="286" t="n"/>
      <c r="J66" s="286" t="n"/>
      <c r="K66" s="286" t="n"/>
      <c r="L66" s="286" t="n"/>
      <c r="M66" s="286" t="n"/>
      <c r="N66" s="287" t="inlineStr">
        <is>
          <t>10X Positive cells mix</t>
        </is>
      </c>
      <c r="O66" s="288" t="inlineStr">
        <is>
          <t>POS IPT kylskåp</t>
        </is>
      </c>
      <c r="P66" s="289" t="n">
        <v>1</v>
      </c>
    </row>
    <row r="67">
      <c r="A67" s="282" t="inlineStr">
        <is>
          <t>500-1544</t>
        </is>
      </c>
      <c r="B67" s="283" t="inlineStr">
        <is>
          <t>011624MATE</t>
        </is>
      </c>
      <c r="C67" s="284" t="n">
        <v>46403</v>
      </c>
      <c r="D67" s="282" t="inlineStr">
        <is>
          <t>3 Lådor</t>
        </is>
      </c>
      <c r="E67" s="284" t="n">
        <v>46042</v>
      </c>
      <c r="F67" s="285" t="inlineStr">
        <is>
          <t>JESP</t>
        </is>
      </c>
      <c r="G67" s="286" t="inlineStr">
        <is>
          <t>CTNG</t>
        </is>
      </c>
      <c r="H67" s="286" t="inlineStr">
        <is>
          <t>CTNG JP</t>
        </is>
      </c>
      <c r="I67" s="286" t="n"/>
      <c r="J67" s="286" t="n"/>
      <c r="K67" s="286" t="n"/>
      <c r="L67" s="286" t="n"/>
      <c r="M67" s="286" t="n"/>
      <c r="N67" s="287" t="inlineStr">
        <is>
          <t>10X Positive cells mix</t>
        </is>
      </c>
      <c r="O67" s="288" t="inlineStr">
        <is>
          <t>POS IPT kylskåp</t>
        </is>
      </c>
      <c r="P67" s="289" t="n">
        <v>1</v>
      </c>
    </row>
    <row r="68">
      <c r="A68" s="282" t="inlineStr">
        <is>
          <t>500-1544</t>
        </is>
      </c>
      <c r="B68" s="283" t="inlineStr">
        <is>
          <t>N/A</t>
        </is>
      </c>
      <c r="C68" s="284" t="inlineStr">
        <is>
          <t>N/A</t>
        </is>
      </c>
      <c r="D68" s="282" t="inlineStr">
        <is>
          <t>N/A</t>
        </is>
      </c>
      <c r="E68" s="284" t="inlineStr">
        <is>
          <t>N/A</t>
        </is>
      </c>
      <c r="F68" s="285" t="inlineStr">
        <is>
          <t>N/A</t>
        </is>
      </c>
      <c r="G68" s="286" t="inlineStr">
        <is>
          <t>CTNG</t>
        </is>
      </c>
      <c r="H68" s="286" t="inlineStr">
        <is>
          <t>CTNG JP</t>
        </is>
      </c>
      <c r="I68" s="286" t="n"/>
      <c r="J68" s="286" t="n"/>
      <c r="K68" s="286" t="n"/>
      <c r="L68" s="286" t="n"/>
      <c r="M68" s="286" t="n"/>
      <c r="N68" s="287" t="inlineStr">
        <is>
          <t>10X Positive cells mix</t>
        </is>
      </c>
      <c r="O68" s="288" t="inlineStr">
        <is>
          <t>POS IPT kylskåp</t>
        </is>
      </c>
      <c r="P68" s="289" t="n">
        <v>1</v>
      </c>
    </row>
    <row r="69">
      <c r="A69" s="282" t="inlineStr">
        <is>
          <t>500-1544</t>
        </is>
      </c>
      <c r="B69" s="283" t="inlineStr">
        <is>
          <t>N/A</t>
        </is>
      </c>
      <c r="C69" s="284" t="inlineStr">
        <is>
          <t>N/A</t>
        </is>
      </c>
      <c r="D69" s="282" t="inlineStr">
        <is>
          <t>N/A</t>
        </is>
      </c>
      <c r="E69" s="284" t="inlineStr">
        <is>
          <t>N/A</t>
        </is>
      </c>
      <c r="F69" s="285" t="inlineStr">
        <is>
          <t>N/A</t>
        </is>
      </c>
      <c r="G69" s="286" t="inlineStr">
        <is>
          <t>CTNG</t>
        </is>
      </c>
      <c r="H69" s="286" t="inlineStr">
        <is>
          <t>CTNG JP</t>
        </is>
      </c>
      <c r="I69" s="286" t="n"/>
      <c r="J69" s="286" t="n"/>
      <c r="K69" s="286" t="n"/>
      <c r="L69" s="286" t="n"/>
      <c r="M69" s="286" t="n"/>
      <c r="N69" s="287" t="inlineStr">
        <is>
          <t>10X Positive cells mix</t>
        </is>
      </c>
      <c r="O69" s="288" t="inlineStr">
        <is>
          <t>POS IPT kylskåp</t>
        </is>
      </c>
      <c r="P69" s="289" t="n">
        <v>1</v>
      </c>
    </row>
    <row r="70">
      <c r="A70" s="282" t="inlineStr">
        <is>
          <t>500-1712</t>
        </is>
      </c>
      <c r="B70" s="283" t="n">
        <v>1001519069</v>
      </c>
      <c r="C70" s="284" t="n">
        <v>46107</v>
      </c>
      <c r="D70" s="282" t="inlineStr">
        <is>
          <t>10 L</t>
        </is>
      </c>
      <c r="E70" s="284" t="n">
        <v>46050</v>
      </c>
      <c r="F70" s="285" t="inlineStr">
        <is>
          <t>JESP</t>
        </is>
      </c>
      <c r="G70" s="286" t="inlineStr">
        <is>
          <t>NORO</t>
        </is>
      </c>
      <c r="H70" s="286" t="inlineStr">
        <is>
          <t>HIV QA</t>
        </is>
      </c>
      <c r="I70" s="286" t="n"/>
      <c r="J70" s="286" t="n"/>
      <c r="K70" s="286" t="n"/>
      <c r="L70" s="286" t="n"/>
      <c r="M70" s="286" t="n"/>
      <c r="N70" s="291" t="inlineStr">
        <is>
          <t>P/N 500-1712 Lysis Reagent, Xpert Virus (exp 2 mån) 500-1712 LYSIS, REAGENT, XPERT,VIRUS</t>
        </is>
      </c>
      <c r="O70" s="288" t="inlineStr">
        <is>
          <t>SR / TET / MATRIX</t>
        </is>
      </c>
      <c r="P70" s="289" t="n">
        <v>2</v>
      </c>
    </row>
    <row r="71">
      <c r="A71" s="282" t="inlineStr">
        <is>
          <t>500-1712</t>
        </is>
      </c>
      <c r="B71" s="283" t="inlineStr">
        <is>
          <t>N/A</t>
        </is>
      </c>
      <c r="C71" s="284" t="inlineStr">
        <is>
          <t>N/A</t>
        </is>
      </c>
      <c r="D71" s="282" t="inlineStr">
        <is>
          <t>N/A</t>
        </is>
      </c>
      <c r="E71" s="284" t="inlineStr">
        <is>
          <t>N/A</t>
        </is>
      </c>
      <c r="F71" s="285" t="inlineStr">
        <is>
          <t>N/A</t>
        </is>
      </c>
      <c r="G71" s="286" t="inlineStr">
        <is>
          <t>NORO</t>
        </is>
      </c>
      <c r="H71" s="286" t="inlineStr">
        <is>
          <t>HIV QA</t>
        </is>
      </c>
      <c r="I71" s="286" t="n"/>
      <c r="J71" s="286" t="n"/>
      <c r="K71" s="286" t="n"/>
      <c r="L71" s="286" t="n"/>
      <c r="M71" s="286" t="n"/>
      <c r="N71" s="291" t="inlineStr">
        <is>
          <t>P/N 500-1712 Lysis Reagent, Xpert Virus (exp 2 mån) 500-1712 LYSIS, REAGENT, XPERT,VIRUS</t>
        </is>
      </c>
      <c r="O71" s="288" t="inlineStr">
        <is>
          <t>SR / TET / MATRIX</t>
        </is>
      </c>
      <c r="P71" s="289" t="n">
        <v>2</v>
      </c>
    </row>
    <row r="72">
      <c r="A72" s="282" t="inlineStr">
        <is>
          <t>500-1712</t>
        </is>
      </c>
      <c r="B72" s="283" t="inlineStr">
        <is>
          <t>N/A</t>
        </is>
      </c>
      <c r="C72" s="284" t="inlineStr">
        <is>
          <t>N/A</t>
        </is>
      </c>
      <c r="D72" s="282" t="inlineStr">
        <is>
          <t>N/A</t>
        </is>
      </c>
      <c r="E72" s="284" t="inlineStr">
        <is>
          <t>N/A</t>
        </is>
      </c>
      <c r="F72" s="285" t="inlineStr">
        <is>
          <t>N/A</t>
        </is>
      </c>
      <c r="G72" s="286" t="inlineStr">
        <is>
          <t>NORO</t>
        </is>
      </c>
      <c r="H72" s="286" t="inlineStr">
        <is>
          <t>HIV QA</t>
        </is>
      </c>
      <c r="I72" s="286" t="n"/>
      <c r="J72" s="286" t="n"/>
      <c r="K72" s="286" t="n"/>
      <c r="L72" s="286" t="n"/>
      <c r="M72" s="286" t="n"/>
      <c r="N72" s="291" t="inlineStr">
        <is>
          <t>P/N 500-1712 Lysis Reagent, Xpert Virus (exp 2 mån) 500-1712 LYSIS, REAGENT, XPERT,VIRUS</t>
        </is>
      </c>
      <c r="O72" s="288" t="inlineStr">
        <is>
          <t>SR / TET / MATRIX</t>
        </is>
      </c>
      <c r="P72" s="289" t="n">
        <v>2</v>
      </c>
    </row>
    <row r="73">
      <c r="A73" s="282" t="inlineStr">
        <is>
          <t>500-1712</t>
        </is>
      </c>
      <c r="B73" s="283" t="inlineStr">
        <is>
          <t>N/A</t>
        </is>
      </c>
      <c r="C73" s="284" t="inlineStr">
        <is>
          <t>N/A</t>
        </is>
      </c>
      <c r="D73" s="282" t="inlineStr">
        <is>
          <t>N/A</t>
        </is>
      </c>
      <c r="E73" s="284" t="inlineStr">
        <is>
          <t>N/A</t>
        </is>
      </c>
      <c r="F73" s="285" t="inlineStr">
        <is>
          <t>N/A</t>
        </is>
      </c>
      <c r="G73" s="286" t="inlineStr">
        <is>
          <t>NORO</t>
        </is>
      </c>
      <c r="H73" s="286" t="inlineStr">
        <is>
          <t>HIV QA</t>
        </is>
      </c>
      <c r="I73" s="286" t="n"/>
      <c r="J73" s="286" t="n"/>
      <c r="K73" s="286" t="n"/>
      <c r="L73" s="286" t="n"/>
      <c r="M73" s="286" t="n"/>
      <c r="N73" s="291" t="inlineStr">
        <is>
          <t>P/N 500-1712 Lysis Reagent, Xpert Virus (exp 2 mån) 500-1712 LYSIS, REAGENT, XPERT,VIRUS</t>
        </is>
      </c>
      <c r="O73" s="288" t="inlineStr">
        <is>
          <t>SR / TET / MATRIX</t>
        </is>
      </c>
      <c r="P73" s="289" t="n">
        <v>2</v>
      </c>
    </row>
    <row r="74">
      <c r="A74" s="292" t="inlineStr">
        <is>
          <t>500-1724</t>
        </is>
      </c>
      <c r="B74" s="283" t="inlineStr">
        <is>
          <t>N/A</t>
        </is>
      </c>
      <c r="C74" s="284" t="inlineStr">
        <is>
          <t>N/A</t>
        </is>
      </c>
      <c r="D74" s="282" t="inlineStr">
        <is>
          <t>N/A</t>
        </is>
      </c>
      <c r="E74" s="284" t="inlineStr">
        <is>
          <t>N/A</t>
        </is>
      </c>
      <c r="F74" s="285" t="inlineStr">
        <is>
          <t>N/A</t>
        </is>
      </c>
      <c r="G74" s="286" t="n"/>
      <c r="H74" s="286" t="n"/>
      <c r="I74" s="286" t="n"/>
      <c r="J74" s="286" t="n"/>
      <c r="K74" s="286" t="n"/>
      <c r="L74" s="286" t="n"/>
      <c r="M74" s="286" t="n"/>
      <c r="N74" s="291" t="inlineStr">
        <is>
          <t>FLU,A,H1N1,HIGH</t>
        </is>
      </c>
      <c r="O74" s="288" t="inlineStr">
        <is>
          <t>POS IPT kylskåp</t>
        </is>
      </c>
      <c r="P74" s="289" t="n">
        <v>1</v>
      </c>
    </row>
    <row r="75">
      <c r="A75" s="292" t="inlineStr">
        <is>
          <t>500-1724</t>
        </is>
      </c>
      <c r="B75" s="283" t="inlineStr">
        <is>
          <t>N/A</t>
        </is>
      </c>
      <c r="C75" s="284" t="inlineStr">
        <is>
          <t>N/A</t>
        </is>
      </c>
      <c r="D75" s="282" t="inlineStr">
        <is>
          <t>N/A</t>
        </is>
      </c>
      <c r="E75" s="284" t="inlineStr">
        <is>
          <t>N/A</t>
        </is>
      </c>
      <c r="F75" s="285" t="inlineStr">
        <is>
          <t>N/A</t>
        </is>
      </c>
      <c r="G75" s="286" t="n"/>
      <c r="H75" s="286" t="n"/>
      <c r="I75" s="286" t="n"/>
      <c r="J75" s="286" t="n"/>
      <c r="K75" s="286" t="n"/>
      <c r="L75" s="286" t="n"/>
      <c r="M75" s="286" t="n"/>
      <c r="N75" s="291" t="inlineStr">
        <is>
          <t>FLU,A,H1N1,HIGH</t>
        </is>
      </c>
      <c r="O75" s="288" t="inlineStr">
        <is>
          <t>POS IPT kylskåp</t>
        </is>
      </c>
      <c r="P75" s="289" t="n">
        <v>1</v>
      </c>
    </row>
    <row r="76">
      <c r="A76" s="292" t="inlineStr">
        <is>
          <t>500-1724</t>
        </is>
      </c>
      <c r="B76" s="283" t="inlineStr">
        <is>
          <t>N/A</t>
        </is>
      </c>
      <c r="C76" s="284" t="inlineStr">
        <is>
          <t>N/A</t>
        </is>
      </c>
      <c r="D76" s="282" t="inlineStr">
        <is>
          <t>N/A</t>
        </is>
      </c>
      <c r="E76" s="284" t="inlineStr">
        <is>
          <t>N/A</t>
        </is>
      </c>
      <c r="F76" s="285" t="inlineStr">
        <is>
          <t>N/A</t>
        </is>
      </c>
      <c r="G76" s="286" t="n"/>
      <c r="H76" s="286" t="n"/>
      <c r="I76" s="286" t="n"/>
      <c r="J76" s="286" t="n"/>
      <c r="K76" s="286" t="n"/>
      <c r="L76" s="286" t="n"/>
      <c r="M76" s="286" t="n"/>
      <c r="N76" s="291" t="inlineStr">
        <is>
          <t>FLU,A,H1N1,HIGH</t>
        </is>
      </c>
      <c r="O76" s="288" t="inlineStr">
        <is>
          <t>POS IPT kylskåp</t>
        </is>
      </c>
      <c r="P76" s="289" t="n">
        <v>1</v>
      </c>
    </row>
    <row r="77">
      <c r="A77" s="292" t="inlineStr">
        <is>
          <t>500-1724</t>
        </is>
      </c>
      <c r="B77" s="283" t="inlineStr">
        <is>
          <t>N/A</t>
        </is>
      </c>
      <c r="C77" s="284" t="inlineStr">
        <is>
          <t>N/A</t>
        </is>
      </c>
      <c r="D77" s="282" t="inlineStr">
        <is>
          <t>N/A</t>
        </is>
      </c>
      <c r="E77" s="284" t="inlineStr">
        <is>
          <t>N/A</t>
        </is>
      </c>
      <c r="F77" s="285" t="inlineStr">
        <is>
          <t>N/A</t>
        </is>
      </c>
      <c r="G77" s="286" t="n"/>
      <c r="H77" s="286" t="n"/>
      <c r="I77" s="286" t="n"/>
      <c r="J77" s="286" t="n"/>
      <c r="K77" s="286" t="n"/>
      <c r="L77" s="286" t="n"/>
      <c r="M77" s="286" t="n"/>
      <c r="N77" s="291" t="inlineStr">
        <is>
          <t>FLU,A,H1N1,HIGH</t>
        </is>
      </c>
      <c r="O77" s="288" t="inlineStr">
        <is>
          <t>POS IPT kylskåp</t>
        </is>
      </c>
      <c r="P77" s="289" t="n">
        <v>1</v>
      </c>
    </row>
    <row r="78">
      <c r="A78" s="292" t="inlineStr">
        <is>
          <t>500-1725</t>
        </is>
      </c>
      <c r="B78" s="283" t="inlineStr">
        <is>
          <t>N/A</t>
        </is>
      </c>
      <c r="C78" s="284" t="inlineStr">
        <is>
          <t>N/A</t>
        </is>
      </c>
      <c r="D78" s="282" t="inlineStr">
        <is>
          <t>N/A</t>
        </is>
      </c>
      <c r="E78" s="284" t="inlineStr">
        <is>
          <t>N/A</t>
        </is>
      </c>
      <c r="F78" s="285" t="inlineStr">
        <is>
          <t>N/A</t>
        </is>
      </c>
      <c r="G78" s="286" t="n"/>
      <c r="H78" s="286" t="n"/>
      <c r="I78" s="286" t="n"/>
      <c r="J78" s="286" t="n"/>
      <c r="K78" s="286" t="n"/>
      <c r="L78" s="286" t="n"/>
      <c r="M78" s="286" t="n"/>
      <c r="N78" s="291" t="inlineStr">
        <is>
          <t>FLU,B, HIGH</t>
        </is>
      </c>
      <c r="O78" s="288" t="inlineStr">
        <is>
          <t>POS IPT kylskåp</t>
        </is>
      </c>
      <c r="P78" s="289" t="n">
        <v>1</v>
      </c>
    </row>
    <row r="79">
      <c r="A79" s="292" t="inlineStr">
        <is>
          <t>500-1725</t>
        </is>
      </c>
      <c r="B79" s="283" t="inlineStr">
        <is>
          <t>N/A</t>
        </is>
      </c>
      <c r="C79" s="284" t="inlineStr">
        <is>
          <t>N/A</t>
        </is>
      </c>
      <c r="D79" s="282" t="inlineStr">
        <is>
          <t>N/A</t>
        </is>
      </c>
      <c r="E79" s="284" t="inlineStr">
        <is>
          <t>N/A</t>
        </is>
      </c>
      <c r="F79" s="285" t="inlineStr">
        <is>
          <t>N/A</t>
        </is>
      </c>
      <c r="G79" s="286" t="n"/>
      <c r="H79" s="286" t="n"/>
      <c r="I79" s="286" t="n"/>
      <c r="J79" s="286" t="n"/>
      <c r="K79" s="286" t="n"/>
      <c r="L79" s="286" t="n"/>
      <c r="M79" s="286" t="n"/>
      <c r="N79" s="291" t="inlineStr">
        <is>
          <t>FLU,B, HIGH</t>
        </is>
      </c>
      <c r="O79" s="288" t="inlineStr">
        <is>
          <t>POS IPT kylskåp</t>
        </is>
      </c>
      <c r="P79" s="289" t="n">
        <v>1</v>
      </c>
    </row>
    <row r="80">
      <c r="A80" s="292" t="inlineStr">
        <is>
          <t>500-1725</t>
        </is>
      </c>
      <c r="B80" s="283" t="inlineStr">
        <is>
          <t>N/A</t>
        </is>
      </c>
      <c r="C80" s="284" t="inlineStr">
        <is>
          <t>N/A</t>
        </is>
      </c>
      <c r="D80" s="282" t="inlineStr">
        <is>
          <t>N/A</t>
        </is>
      </c>
      <c r="E80" s="284" t="inlineStr">
        <is>
          <t>N/A</t>
        </is>
      </c>
      <c r="F80" s="285" t="inlineStr">
        <is>
          <t>N/A</t>
        </is>
      </c>
      <c r="G80" s="286" t="n"/>
      <c r="H80" s="286" t="n"/>
      <c r="I80" s="286" t="n"/>
      <c r="J80" s="286" t="n"/>
      <c r="K80" s="286" t="n"/>
      <c r="L80" s="286" t="n"/>
      <c r="M80" s="286" t="n"/>
      <c r="N80" s="291" t="inlineStr">
        <is>
          <t>FLU,B, HIGH</t>
        </is>
      </c>
      <c r="O80" s="288" t="inlineStr">
        <is>
          <t>POS IPT kylskåp</t>
        </is>
      </c>
      <c r="P80" s="289" t="n">
        <v>1</v>
      </c>
    </row>
    <row r="81">
      <c r="A81" s="292" t="inlineStr">
        <is>
          <t>500-1725</t>
        </is>
      </c>
      <c r="B81" s="283" t="inlineStr">
        <is>
          <t>N/A</t>
        </is>
      </c>
      <c r="C81" s="284" t="inlineStr">
        <is>
          <t>N/A</t>
        </is>
      </c>
      <c r="D81" s="282" t="inlineStr">
        <is>
          <t>N/A</t>
        </is>
      </c>
      <c r="E81" s="284" t="inlineStr">
        <is>
          <t>N/A</t>
        </is>
      </c>
      <c r="F81" s="285" t="inlineStr">
        <is>
          <t>N/A</t>
        </is>
      </c>
      <c r="G81" s="286" t="n"/>
      <c r="H81" s="286" t="n"/>
      <c r="I81" s="286" t="n"/>
      <c r="J81" s="286" t="n"/>
      <c r="K81" s="286" t="n"/>
      <c r="L81" s="286" t="n"/>
      <c r="M81" s="286" t="n"/>
      <c r="N81" s="291" t="inlineStr">
        <is>
          <t>FLU,B, HIGH</t>
        </is>
      </c>
      <c r="O81" s="288" t="inlineStr">
        <is>
          <t>POS IPT kylskåp</t>
        </is>
      </c>
      <c r="P81" s="289" t="n">
        <v>1</v>
      </c>
    </row>
    <row r="82">
      <c r="A82" s="292" t="inlineStr">
        <is>
          <t>500-1739</t>
        </is>
      </c>
      <c r="B82" s="283" t="inlineStr">
        <is>
          <t>N/A</t>
        </is>
      </c>
      <c r="C82" s="284" t="inlineStr">
        <is>
          <t>N/A</t>
        </is>
      </c>
      <c r="D82" s="282" t="inlineStr">
        <is>
          <t>N/A</t>
        </is>
      </c>
      <c r="E82" s="284" t="inlineStr">
        <is>
          <t>N/A</t>
        </is>
      </c>
      <c r="F82" s="285" t="inlineStr">
        <is>
          <t>N/A</t>
        </is>
      </c>
      <c r="G82" s="286" t="n"/>
      <c r="H82" s="286" t="n"/>
      <c r="I82" s="286" t="n"/>
      <c r="J82" s="286" t="n"/>
      <c r="K82" s="286" t="n"/>
      <c r="L82" s="286" t="n"/>
      <c r="M82" s="286" t="n"/>
      <c r="N82" s="291" t="inlineStr">
        <is>
          <t>FLU,A,H1N1,LOW</t>
        </is>
      </c>
      <c r="O82" s="288" t="inlineStr">
        <is>
          <t>POS IPT kylskåp</t>
        </is>
      </c>
      <c r="P82" s="289" t="n">
        <v>1</v>
      </c>
    </row>
    <row r="83">
      <c r="A83" s="292" t="inlineStr">
        <is>
          <t>500-1739</t>
        </is>
      </c>
      <c r="B83" s="283" t="inlineStr">
        <is>
          <t>N/A</t>
        </is>
      </c>
      <c r="C83" s="284" t="inlineStr">
        <is>
          <t>N/A</t>
        </is>
      </c>
      <c r="D83" s="282" t="inlineStr">
        <is>
          <t>N/A</t>
        </is>
      </c>
      <c r="E83" s="284" t="inlineStr">
        <is>
          <t>N/A</t>
        </is>
      </c>
      <c r="F83" s="285" t="inlineStr">
        <is>
          <t>N/A</t>
        </is>
      </c>
      <c r="G83" s="286" t="n"/>
      <c r="H83" s="286" t="n"/>
      <c r="I83" s="286" t="n"/>
      <c r="J83" s="286" t="n"/>
      <c r="K83" s="286" t="n"/>
      <c r="L83" s="286" t="n"/>
      <c r="M83" s="286" t="n"/>
      <c r="N83" s="291" t="inlineStr">
        <is>
          <t>FLU,A,H1N1,LOW</t>
        </is>
      </c>
      <c r="O83" s="288" t="inlineStr">
        <is>
          <t>POS IPT kylskåp</t>
        </is>
      </c>
      <c r="P83" s="289" t="n">
        <v>1</v>
      </c>
    </row>
    <row r="84">
      <c r="A84" s="292" t="inlineStr">
        <is>
          <t>500-1739</t>
        </is>
      </c>
      <c r="B84" s="283" t="inlineStr">
        <is>
          <t>N/A</t>
        </is>
      </c>
      <c r="C84" s="284" t="inlineStr">
        <is>
          <t>N/A</t>
        </is>
      </c>
      <c r="D84" s="282" t="inlineStr">
        <is>
          <t>N/A</t>
        </is>
      </c>
      <c r="E84" s="284" t="inlineStr">
        <is>
          <t>N/A</t>
        </is>
      </c>
      <c r="F84" s="285" t="inlineStr">
        <is>
          <t>N/A</t>
        </is>
      </c>
      <c r="G84" s="286" t="n"/>
      <c r="H84" s="286" t="n"/>
      <c r="I84" s="286" t="n"/>
      <c r="J84" s="286" t="n"/>
      <c r="K84" s="286" t="n"/>
      <c r="L84" s="286" t="n"/>
      <c r="M84" s="286" t="n"/>
      <c r="N84" s="291" t="inlineStr">
        <is>
          <t>FLU,A,H1N1,LOW</t>
        </is>
      </c>
      <c r="O84" s="288" t="inlineStr">
        <is>
          <t>POS IPT kylskåp</t>
        </is>
      </c>
      <c r="P84" s="289" t="n">
        <v>1</v>
      </c>
    </row>
    <row r="85">
      <c r="A85" s="292" t="inlineStr">
        <is>
          <t>500-1739</t>
        </is>
      </c>
      <c r="B85" s="283" t="inlineStr">
        <is>
          <t>N/A</t>
        </is>
      </c>
      <c r="C85" s="284" t="inlineStr">
        <is>
          <t>N/A</t>
        </is>
      </c>
      <c r="D85" s="282" t="inlineStr">
        <is>
          <t>N/A</t>
        </is>
      </c>
      <c r="E85" s="284" t="inlineStr">
        <is>
          <t>N/A</t>
        </is>
      </c>
      <c r="F85" s="285" t="inlineStr">
        <is>
          <t>N/A</t>
        </is>
      </c>
      <c r="G85" s="286" t="n"/>
      <c r="H85" s="286" t="n"/>
      <c r="I85" s="286" t="n"/>
      <c r="J85" s="286" t="n"/>
      <c r="K85" s="286" t="n"/>
      <c r="L85" s="286" t="n"/>
      <c r="M85" s="286" t="n"/>
      <c r="N85" s="291" t="inlineStr">
        <is>
          <t>FLU,A,H1N1,LOW</t>
        </is>
      </c>
      <c r="O85" s="288" t="inlineStr">
        <is>
          <t>POS IPT kylskåp</t>
        </is>
      </c>
      <c r="P85" s="289" t="n">
        <v>1</v>
      </c>
    </row>
    <row r="86">
      <c r="A86" s="292" t="inlineStr">
        <is>
          <t>500-1740</t>
        </is>
      </c>
      <c r="B86" s="283" t="inlineStr">
        <is>
          <t>N/A</t>
        </is>
      </c>
      <c r="C86" s="284" t="inlineStr">
        <is>
          <t>N/A</t>
        </is>
      </c>
      <c r="D86" s="282" t="inlineStr">
        <is>
          <t>N/A</t>
        </is>
      </c>
      <c r="E86" s="284" t="inlineStr">
        <is>
          <t>N/A</t>
        </is>
      </c>
      <c r="F86" s="285" t="inlineStr">
        <is>
          <t>N/A</t>
        </is>
      </c>
      <c r="G86" s="286" t="n"/>
      <c r="H86" s="286" t="n"/>
      <c r="I86" s="286" t="n"/>
      <c r="J86" s="286" t="n"/>
      <c r="K86" s="286" t="n"/>
      <c r="L86" s="286" t="n"/>
      <c r="M86" s="286" t="n"/>
      <c r="N86" s="291" t="inlineStr">
        <is>
          <t>FLU,B, LOW</t>
        </is>
      </c>
      <c r="O86" s="288" t="inlineStr">
        <is>
          <t>POS IPT kylskåp</t>
        </is>
      </c>
      <c r="P86" s="289" t="n">
        <v>1</v>
      </c>
    </row>
    <row r="87">
      <c r="A87" s="292" t="inlineStr">
        <is>
          <t>500-1740</t>
        </is>
      </c>
      <c r="B87" s="283" t="inlineStr">
        <is>
          <t>N/A</t>
        </is>
      </c>
      <c r="C87" s="284" t="inlineStr">
        <is>
          <t>N/A</t>
        </is>
      </c>
      <c r="D87" s="282" t="inlineStr">
        <is>
          <t>N/A</t>
        </is>
      </c>
      <c r="E87" s="284" t="inlineStr">
        <is>
          <t>N/A</t>
        </is>
      </c>
      <c r="F87" s="285" t="inlineStr">
        <is>
          <t>N/A</t>
        </is>
      </c>
      <c r="G87" s="286" t="n"/>
      <c r="H87" s="286" t="n"/>
      <c r="I87" s="286" t="n"/>
      <c r="J87" s="286" t="n"/>
      <c r="K87" s="286" t="n"/>
      <c r="L87" s="286" t="n"/>
      <c r="M87" s="286" t="n"/>
      <c r="N87" s="291" t="inlineStr">
        <is>
          <t>FLU,B, LOW</t>
        </is>
      </c>
      <c r="O87" s="288" t="inlineStr">
        <is>
          <t>POS IPT kylskåp</t>
        </is>
      </c>
      <c r="P87" s="289" t="n">
        <v>1</v>
      </c>
    </row>
    <row r="88">
      <c r="A88" s="292" t="inlineStr">
        <is>
          <t>500-1740</t>
        </is>
      </c>
      <c r="B88" s="283" t="inlineStr">
        <is>
          <t>N/A</t>
        </is>
      </c>
      <c r="C88" s="284" t="inlineStr">
        <is>
          <t>N/A</t>
        </is>
      </c>
      <c r="D88" s="282" t="inlineStr">
        <is>
          <t>N/A</t>
        </is>
      </c>
      <c r="E88" s="284" t="inlineStr">
        <is>
          <t>N/A</t>
        </is>
      </c>
      <c r="F88" s="285" t="inlineStr">
        <is>
          <t>N/A</t>
        </is>
      </c>
      <c r="G88" s="286" t="n"/>
      <c r="H88" s="286" t="n"/>
      <c r="I88" s="286" t="n"/>
      <c r="J88" s="286" t="n"/>
      <c r="K88" s="286" t="n"/>
      <c r="L88" s="286" t="n"/>
      <c r="M88" s="286" t="n"/>
      <c r="N88" s="291" t="inlineStr">
        <is>
          <t>FLU,B, LOW</t>
        </is>
      </c>
      <c r="O88" s="288" t="inlineStr">
        <is>
          <t>POS IPT kylskåp</t>
        </is>
      </c>
      <c r="P88" s="289" t="n">
        <v>1</v>
      </c>
    </row>
    <row r="89">
      <c r="A89" s="292" t="inlineStr">
        <is>
          <t>500-1740</t>
        </is>
      </c>
      <c r="B89" s="283" t="inlineStr">
        <is>
          <t>N/A</t>
        </is>
      </c>
      <c r="C89" s="284" t="inlineStr">
        <is>
          <t>N/A</t>
        </is>
      </c>
      <c r="D89" s="282" t="inlineStr">
        <is>
          <t>N/A</t>
        </is>
      </c>
      <c r="E89" s="284" t="inlineStr">
        <is>
          <t>N/A</t>
        </is>
      </c>
      <c r="F89" s="285" t="inlineStr">
        <is>
          <t>N/A</t>
        </is>
      </c>
      <c r="G89" s="286" t="n"/>
      <c r="H89" s="286" t="n"/>
      <c r="I89" s="286" t="n"/>
      <c r="J89" s="286" t="n"/>
      <c r="K89" s="286" t="n"/>
      <c r="L89" s="286" t="n"/>
      <c r="M89" s="286" t="n"/>
      <c r="N89" s="291" t="inlineStr">
        <is>
          <t>FLU,B, LOW</t>
        </is>
      </c>
      <c r="O89" s="288" t="inlineStr">
        <is>
          <t>POS IPT kylskåp</t>
        </is>
      </c>
      <c r="P89" s="289" t="n">
        <v>1</v>
      </c>
    </row>
    <row r="90">
      <c r="A90" s="282" t="inlineStr">
        <is>
          <t>500-1747</t>
        </is>
      </c>
      <c r="B90" s="283" t="inlineStr">
        <is>
          <t>052825MMM</t>
        </is>
      </c>
      <c r="C90" s="284" t="n">
        <v>46535</v>
      </c>
      <c r="D90" s="282" t="inlineStr">
        <is>
          <t>11 RÖR</t>
        </is>
      </c>
      <c r="E90" s="284" t="n">
        <v>45947</v>
      </c>
      <c r="F90" s="285" t="inlineStr">
        <is>
          <t>ELS</t>
        </is>
      </c>
      <c r="G90" s="286" t="inlineStr">
        <is>
          <t>VAN AB</t>
        </is>
      </c>
      <c r="H90" s="286" t="n"/>
      <c r="I90" s="286" t="n"/>
      <c r="J90" s="286" t="n"/>
      <c r="K90" s="286" t="n"/>
      <c r="L90" s="286" t="n"/>
      <c r="M90" s="286" t="n"/>
      <c r="N90" s="287" t="inlineStr">
        <is>
          <t>vanA/vanB cells</t>
        </is>
      </c>
      <c r="O90" s="288" t="inlineStr">
        <is>
          <t>POS IPT -80 frys</t>
        </is>
      </c>
      <c r="P90" s="289" t="n">
        <v>1</v>
      </c>
    </row>
    <row r="91">
      <c r="A91" s="282" t="inlineStr">
        <is>
          <t>500-1747</t>
        </is>
      </c>
      <c r="B91" s="283" t="inlineStr">
        <is>
          <t>N/A</t>
        </is>
      </c>
      <c r="C91" s="284" t="inlineStr">
        <is>
          <t>N/A</t>
        </is>
      </c>
      <c r="D91" s="282" t="inlineStr">
        <is>
          <t>N/A</t>
        </is>
      </c>
      <c r="E91" s="284" t="inlineStr">
        <is>
          <t>N/A</t>
        </is>
      </c>
      <c r="F91" s="285" t="inlineStr">
        <is>
          <t>N/A</t>
        </is>
      </c>
      <c r="G91" s="286" t="inlineStr">
        <is>
          <t>VAN AB</t>
        </is>
      </c>
      <c r="H91" s="286" t="n"/>
      <c r="I91" s="286" t="n"/>
      <c r="J91" s="286" t="n"/>
      <c r="K91" s="286" t="n"/>
      <c r="L91" s="286" t="n"/>
      <c r="M91" s="286" t="n"/>
      <c r="N91" s="287" t="inlineStr">
        <is>
          <t>vanA/vanB cells</t>
        </is>
      </c>
      <c r="O91" s="288" t="inlineStr">
        <is>
          <t>POS IPT -80 frys</t>
        </is>
      </c>
      <c r="P91" s="289" t="n">
        <v>1</v>
      </c>
    </row>
    <row r="92">
      <c r="A92" s="282" t="inlineStr">
        <is>
          <t>500-1747</t>
        </is>
      </c>
      <c r="B92" s="283" t="inlineStr">
        <is>
          <t>N/A</t>
        </is>
      </c>
      <c r="C92" s="284" t="inlineStr">
        <is>
          <t>N/A</t>
        </is>
      </c>
      <c r="D92" s="282" t="inlineStr">
        <is>
          <t>N/A</t>
        </is>
      </c>
      <c r="E92" s="284" t="inlineStr">
        <is>
          <t>N/A</t>
        </is>
      </c>
      <c r="F92" s="285" t="inlineStr">
        <is>
          <t>N/A</t>
        </is>
      </c>
      <c r="G92" s="286" t="inlineStr">
        <is>
          <t>VAN AB</t>
        </is>
      </c>
      <c r="H92" s="286" t="n"/>
      <c r="I92" s="286" t="n"/>
      <c r="J92" s="286" t="n"/>
      <c r="K92" s="286" t="n"/>
      <c r="L92" s="286" t="n"/>
      <c r="M92" s="286" t="n"/>
      <c r="N92" s="287" t="inlineStr">
        <is>
          <t>vanA/vanB cells</t>
        </is>
      </c>
      <c r="O92" s="288" t="inlineStr">
        <is>
          <t>POS IPT -80 frys</t>
        </is>
      </c>
      <c r="P92" s="289" t="n">
        <v>1</v>
      </c>
    </row>
    <row r="93">
      <c r="A93" s="282" t="inlineStr">
        <is>
          <t>500-1747</t>
        </is>
      </c>
      <c r="B93" s="283" t="inlineStr">
        <is>
          <t>N/A</t>
        </is>
      </c>
      <c r="C93" s="284" t="inlineStr">
        <is>
          <t>N/A</t>
        </is>
      </c>
      <c r="D93" s="282" t="inlineStr">
        <is>
          <t>N/A</t>
        </is>
      </c>
      <c r="E93" s="284" t="inlineStr">
        <is>
          <t>N/A</t>
        </is>
      </c>
      <c r="F93" s="285" t="inlineStr">
        <is>
          <t>N/A</t>
        </is>
      </c>
      <c r="G93" s="286" t="inlineStr">
        <is>
          <t>VAN AB</t>
        </is>
      </c>
      <c r="H93" s="286" t="n"/>
      <c r="I93" s="286" t="n"/>
      <c r="J93" s="286" t="n"/>
      <c r="K93" s="286" t="n"/>
      <c r="L93" s="286" t="n"/>
      <c r="M93" s="286" t="n"/>
      <c r="N93" s="287" t="inlineStr">
        <is>
          <t>vanA/vanB cells</t>
        </is>
      </c>
      <c r="O93" s="288" t="inlineStr">
        <is>
          <t>POS IPT -80 frys</t>
        </is>
      </c>
      <c r="P93" s="289" t="n">
        <v>1</v>
      </c>
    </row>
    <row r="94">
      <c r="A94" s="282" t="inlineStr">
        <is>
          <t>500-1879</t>
        </is>
      </c>
      <c r="B94" s="283" t="inlineStr">
        <is>
          <t>082025MATE</t>
        </is>
      </c>
      <c r="C94" s="284" t="n">
        <v>46254</v>
      </c>
      <c r="D94" s="282" t="inlineStr">
        <is>
          <t>0.5 låda</t>
        </is>
      </c>
      <c r="E94" s="284" t="n">
        <v>46057</v>
      </c>
      <c r="F94" s="285" t="inlineStr">
        <is>
          <t>vdao</t>
        </is>
      </c>
      <c r="G94" s="286" t="inlineStr">
        <is>
          <t>NORO</t>
        </is>
      </c>
      <c r="H94" s="286" t="n"/>
      <c r="I94" s="286" t="n"/>
      <c r="J94" s="286" t="n"/>
      <c r="K94" s="286" t="n"/>
      <c r="L94" s="286" t="n"/>
      <c r="M94" s="286" t="n"/>
      <c r="N94" s="287" t="inlineStr">
        <is>
          <t>Positive control HIGH</t>
        </is>
      </c>
      <c r="O94" s="288" t="inlineStr">
        <is>
          <t>POS IPT -80 frys</t>
        </is>
      </c>
      <c r="P94" s="289" t="n">
        <v>1</v>
      </c>
    </row>
    <row r="95">
      <c r="A95" s="282" t="inlineStr">
        <is>
          <t>500-1879</t>
        </is>
      </c>
      <c r="B95" s="283" t="inlineStr">
        <is>
          <t>N/A</t>
        </is>
      </c>
      <c r="C95" s="284" t="inlineStr">
        <is>
          <t>N/A</t>
        </is>
      </c>
      <c r="D95" s="282" t="inlineStr">
        <is>
          <t>N/A</t>
        </is>
      </c>
      <c r="E95" s="284" t="inlineStr">
        <is>
          <t>N/A</t>
        </is>
      </c>
      <c r="F95" s="285" t="inlineStr">
        <is>
          <t>N/A</t>
        </is>
      </c>
      <c r="G95" s="286" t="inlineStr">
        <is>
          <t>NORO</t>
        </is>
      </c>
      <c r="H95" s="286" t="n"/>
      <c r="I95" s="286" t="n"/>
      <c r="J95" s="286" t="n"/>
      <c r="K95" s="286" t="n"/>
      <c r="L95" s="286" t="n"/>
      <c r="M95" s="286" t="n"/>
      <c r="N95" s="287" t="inlineStr">
        <is>
          <t>Positive control HIGH</t>
        </is>
      </c>
      <c r="O95" s="288" t="inlineStr">
        <is>
          <t>POS IPT -80 frys</t>
        </is>
      </c>
      <c r="P95" s="289" t="n">
        <v>1</v>
      </c>
    </row>
    <row r="96">
      <c r="A96" s="282" t="inlineStr">
        <is>
          <t>500-1879</t>
        </is>
      </c>
      <c r="B96" s="283" t="inlineStr">
        <is>
          <t>N/A</t>
        </is>
      </c>
      <c r="C96" s="284" t="inlineStr">
        <is>
          <t>N/A</t>
        </is>
      </c>
      <c r="D96" s="282" t="inlineStr">
        <is>
          <t>N/A</t>
        </is>
      </c>
      <c r="E96" s="284" t="inlineStr">
        <is>
          <t>N/A</t>
        </is>
      </c>
      <c r="F96" s="285" t="inlineStr">
        <is>
          <t>N/A</t>
        </is>
      </c>
      <c r="G96" s="286" t="inlineStr">
        <is>
          <t>NORO</t>
        </is>
      </c>
      <c r="H96" s="286" t="n"/>
      <c r="I96" s="286" t="n"/>
      <c r="J96" s="286" t="n"/>
      <c r="K96" s="286" t="n"/>
      <c r="L96" s="286" t="n"/>
      <c r="M96" s="286" t="n"/>
      <c r="N96" s="287" t="inlineStr">
        <is>
          <t>Positive control HIGH</t>
        </is>
      </c>
      <c r="O96" s="288" t="inlineStr">
        <is>
          <t>POS IPT -80 frys</t>
        </is>
      </c>
      <c r="P96" s="289" t="n">
        <v>1</v>
      </c>
    </row>
    <row r="97">
      <c r="A97" s="282" t="inlineStr">
        <is>
          <t>500-1879</t>
        </is>
      </c>
      <c r="B97" s="283" t="inlineStr">
        <is>
          <t>N/A</t>
        </is>
      </c>
      <c r="C97" s="284" t="inlineStr">
        <is>
          <t>N/A</t>
        </is>
      </c>
      <c r="D97" s="282" t="inlineStr">
        <is>
          <t>N/A</t>
        </is>
      </c>
      <c r="E97" s="284" t="inlineStr">
        <is>
          <t>N/A</t>
        </is>
      </c>
      <c r="F97" s="285" t="inlineStr">
        <is>
          <t>N/A</t>
        </is>
      </c>
      <c r="G97" s="286" t="inlineStr">
        <is>
          <t>NORO</t>
        </is>
      </c>
      <c r="H97" s="286" t="n"/>
      <c r="I97" s="286" t="n"/>
      <c r="J97" s="286" t="n"/>
      <c r="K97" s="286" t="n"/>
      <c r="L97" s="286" t="n"/>
      <c r="M97" s="286" t="n"/>
      <c r="N97" s="287" t="inlineStr">
        <is>
          <t>Positive control HIGH</t>
        </is>
      </c>
      <c r="O97" s="288" t="inlineStr">
        <is>
          <t>POS IPT -80 frys</t>
        </is>
      </c>
      <c r="P97" s="289" t="n">
        <v>1</v>
      </c>
    </row>
    <row r="98">
      <c r="A98" s="282" t="inlineStr">
        <is>
          <t>500-1880</t>
        </is>
      </c>
      <c r="B98" s="283" t="inlineStr">
        <is>
          <t>082025MATE</t>
        </is>
      </c>
      <c r="C98" s="284" t="n">
        <v>46254</v>
      </c>
      <c r="D98" s="282" t="inlineStr">
        <is>
          <t>1 Låda</t>
        </is>
      </c>
      <c r="E98" s="284" t="n">
        <v>46050</v>
      </c>
      <c r="F98" s="285" t="inlineStr">
        <is>
          <t>JESP</t>
        </is>
      </c>
      <c r="G98" s="286" t="inlineStr">
        <is>
          <t>NORO</t>
        </is>
      </c>
      <c r="H98" s="286" t="n"/>
      <c r="I98" s="286" t="n"/>
      <c r="J98" s="286" t="n"/>
      <c r="K98" s="286" t="n"/>
      <c r="L98" s="286" t="n"/>
      <c r="M98" s="286" t="n"/>
      <c r="N98" s="287" t="inlineStr">
        <is>
          <t>Positive control (PC) LOW</t>
        </is>
      </c>
      <c r="O98" s="288" t="inlineStr">
        <is>
          <t>POS IPT -80 frys</t>
        </is>
      </c>
      <c r="P98" s="289" t="n">
        <v>1</v>
      </c>
    </row>
    <row r="99">
      <c r="A99" s="282" t="inlineStr">
        <is>
          <t>500-1880</t>
        </is>
      </c>
      <c r="B99" s="283" t="inlineStr">
        <is>
          <t>N/A</t>
        </is>
      </c>
      <c r="C99" s="284" t="inlineStr">
        <is>
          <t>N/A</t>
        </is>
      </c>
      <c r="D99" s="282" t="inlineStr">
        <is>
          <t>N/A</t>
        </is>
      </c>
      <c r="E99" s="284" t="inlineStr">
        <is>
          <t>N/A</t>
        </is>
      </c>
      <c r="F99" s="285" t="inlineStr">
        <is>
          <t>N/A</t>
        </is>
      </c>
      <c r="G99" s="286" t="inlineStr">
        <is>
          <t>NORO</t>
        </is>
      </c>
      <c r="H99" s="286" t="n"/>
      <c r="I99" s="286" t="n"/>
      <c r="J99" s="286" t="n"/>
      <c r="K99" s="286" t="n"/>
      <c r="L99" s="286" t="n"/>
      <c r="M99" s="286" t="n"/>
      <c r="N99" s="287" t="inlineStr">
        <is>
          <t>Positive control (PC) LOW</t>
        </is>
      </c>
      <c r="O99" s="288" t="inlineStr">
        <is>
          <t>POS IPT -80 frys</t>
        </is>
      </c>
      <c r="P99" s="289" t="n">
        <v>1</v>
      </c>
    </row>
    <row r="100">
      <c r="A100" s="282" t="inlineStr">
        <is>
          <t>500-1880</t>
        </is>
      </c>
      <c r="B100" s="283" t="inlineStr">
        <is>
          <t>N/A</t>
        </is>
      </c>
      <c r="C100" s="284" t="inlineStr">
        <is>
          <t>N/A</t>
        </is>
      </c>
      <c r="D100" s="282" t="inlineStr">
        <is>
          <t>N/A</t>
        </is>
      </c>
      <c r="E100" s="284" t="inlineStr">
        <is>
          <t>N/A</t>
        </is>
      </c>
      <c r="F100" s="285" t="inlineStr">
        <is>
          <t>N/A</t>
        </is>
      </c>
      <c r="G100" s="286" t="inlineStr">
        <is>
          <t>NORO</t>
        </is>
      </c>
      <c r="H100" s="286" t="n"/>
      <c r="I100" s="286" t="n"/>
      <c r="J100" s="286" t="n"/>
      <c r="K100" s="286" t="n"/>
      <c r="L100" s="286" t="n"/>
      <c r="M100" s="286" t="n"/>
      <c r="N100" s="287" t="inlineStr">
        <is>
          <t>Positive control (PC) LOW</t>
        </is>
      </c>
      <c r="O100" s="288" t="inlineStr">
        <is>
          <t>POS IPT -80 frys</t>
        </is>
      </c>
      <c r="P100" s="289" t="n">
        <v>1</v>
      </c>
    </row>
    <row r="101">
      <c r="A101" s="282" t="inlineStr">
        <is>
          <t>500-1880</t>
        </is>
      </c>
      <c r="B101" s="283" t="inlineStr">
        <is>
          <t>N/A</t>
        </is>
      </c>
      <c r="C101" s="284" t="inlineStr">
        <is>
          <t>N/A</t>
        </is>
      </c>
      <c r="D101" s="282" t="inlineStr">
        <is>
          <t>N/A</t>
        </is>
      </c>
      <c r="E101" s="284" t="inlineStr">
        <is>
          <t>N/A</t>
        </is>
      </c>
      <c r="F101" s="285" t="inlineStr">
        <is>
          <t>N/A</t>
        </is>
      </c>
      <c r="G101" s="286" t="inlineStr">
        <is>
          <t>NORO</t>
        </is>
      </c>
      <c r="H101" s="286" t="n"/>
      <c r="I101" s="286" t="n"/>
      <c r="J101" s="286" t="n"/>
      <c r="K101" s="286" t="n"/>
      <c r="L101" s="286" t="n"/>
      <c r="M101" s="286" t="n"/>
      <c r="N101" s="287" t="inlineStr">
        <is>
          <t>Positive control (PC) LOW</t>
        </is>
      </c>
      <c r="O101" s="288" t="inlineStr">
        <is>
          <t>POS IPT -80 frys</t>
        </is>
      </c>
      <c r="P101" s="289" t="n">
        <v>1</v>
      </c>
    </row>
    <row r="102">
      <c r="A102" s="282" t="inlineStr">
        <is>
          <t>500-1882</t>
        </is>
      </c>
      <c r="B102" s="283" t="inlineStr">
        <is>
          <t>081925ELIF</t>
        </is>
      </c>
      <c r="C102" s="284" t="n">
        <v>46253</v>
      </c>
      <c r="D102" s="282" t="inlineStr">
        <is>
          <t>2 lådor</t>
        </is>
      </c>
      <c r="E102" s="284" t="n">
        <v>46062</v>
      </c>
      <c r="F102" s="285" t="inlineStr">
        <is>
          <t>vdao</t>
        </is>
      </c>
      <c r="G102" s="286" t="inlineStr">
        <is>
          <t>NORO</t>
        </is>
      </c>
      <c r="H102" s="286" t="n"/>
      <c r="I102" s="286" t="n"/>
      <c r="J102" s="286" t="n"/>
      <c r="K102" s="286" t="n"/>
      <c r="L102" s="286" t="n"/>
      <c r="M102" s="286" t="n"/>
      <c r="N102" s="287" t="inlineStr">
        <is>
          <t>Negative control (NTC) Rota virus</t>
        </is>
      </c>
      <c r="O102" s="288" t="inlineStr">
        <is>
          <t>NEG IPT kylskåp</t>
        </is>
      </c>
      <c r="P102" s="289" t="n">
        <v>0</v>
      </c>
    </row>
    <row r="103">
      <c r="A103" s="282" t="inlineStr">
        <is>
          <t>500-1882</t>
        </is>
      </c>
      <c r="B103" s="283" t="inlineStr">
        <is>
          <t>N/A</t>
        </is>
      </c>
      <c r="C103" s="284" t="inlineStr">
        <is>
          <t>N/A</t>
        </is>
      </c>
      <c r="D103" s="282" t="inlineStr">
        <is>
          <t>N/A</t>
        </is>
      </c>
      <c r="E103" s="284" t="inlineStr">
        <is>
          <t>N/A</t>
        </is>
      </c>
      <c r="F103" s="285" t="inlineStr">
        <is>
          <t>N/A</t>
        </is>
      </c>
      <c r="G103" s="286" t="inlineStr">
        <is>
          <t>NORO</t>
        </is>
      </c>
      <c r="H103" s="286" t="n"/>
      <c r="I103" s="286" t="n"/>
      <c r="J103" s="286" t="n"/>
      <c r="K103" s="286" t="n"/>
      <c r="L103" s="286" t="n"/>
      <c r="M103" s="286" t="n"/>
      <c r="N103" s="287" t="inlineStr">
        <is>
          <t>Negative control (NTC) Rota virus</t>
        </is>
      </c>
      <c r="O103" s="288" t="inlineStr">
        <is>
          <t>NEG IPT kylskåp</t>
        </is>
      </c>
      <c r="P103" s="289" t="n">
        <v>0</v>
      </c>
    </row>
    <row r="104">
      <c r="A104" s="282" t="inlineStr">
        <is>
          <t>500-1882</t>
        </is>
      </c>
      <c r="B104" s="283" t="inlineStr">
        <is>
          <t>N/A</t>
        </is>
      </c>
      <c r="C104" s="284" t="inlineStr">
        <is>
          <t>N/A</t>
        </is>
      </c>
      <c r="D104" s="282" t="inlineStr">
        <is>
          <t>N/A</t>
        </is>
      </c>
      <c r="E104" s="284" t="inlineStr">
        <is>
          <t>N/A</t>
        </is>
      </c>
      <c r="F104" s="285" t="inlineStr">
        <is>
          <t>N/A</t>
        </is>
      </c>
      <c r="G104" s="286" t="inlineStr">
        <is>
          <t>NORO</t>
        </is>
      </c>
      <c r="H104" s="286" t="n"/>
      <c r="I104" s="286" t="n"/>
      <c r="J104" s="286" t="n"/>
      <c r="K104" s="286" t="n"/>
      <c r="L104" s="286" t="n"/>
      <c r="M104" s="286" t="n"/>
      <c r="N104" s="287" t="inlineStr">
        <is>
          <t>Negative control (NTC) Rota virus</t>
        </is>
      </c>
      <c r="O104" s="288" t="inlineStr">
        <is>
          <t>NEG IPT kylskåp</t>
        </is>
      </c>
      <c r="P104" s="289" t="n">
        <v>0</v>
      </c>
    </row>
    <row r="105">
      <c r="A105" s="282" t="inlineStr">
        <is>
          <t>500-1882</t>
        </is>
      </c>
      <c r="B105" s="283" t="inlineStr">
        <is>
          <t>N/A</t>
        </is>
      </c>
      <c r="C105" s="284" t="inlineStr">
        <is>
          <t>N/A</t>
        </is>
      </c>
      <c r="D105" s="282" t="inlineStr">
        <is>
          <t>N/A</t>
        </is>
      </c>
      <c r="E105" s="284" t="inlineStr">
        <is>
          <t>N/A</t>
        </is>
      </c>
      <c r="F105" s="285" t="inlineStr">
        <is>
          <t>N/A</t>
        </is>
      </c>
      <c r="G105" s="286" t="inlineStr">
        <is>
          <t>NORO</t>
        </is>
      </c>
      <c r="H105" s="286" t="n"/>
      <c r="I105" s="286" t="n"/>
      <c r="J105" s="286" t="n"/>
      <c r="K105" s="286" t="n"/>
      <c r="L105" s="286" t="n"/>
      <c r="M105" s="286" t="n"/>
      <c r="N105" s="287" t="inlineStr">
        <is>
          <t>Negative control (NTC) Rota virus</t>
        </is>
      </c>
      <c r="O105" s="288" t="inlineStr">
        <is>
          <t>NEG IPT kylskåp</t>
        </is>
      </c>
      <c r="P105" s="289" t="n">
        <v>0</v>
      </c>
    </row>
    <row r="106">
      <c r="A106" s="282" t="inlineStr">
        <is>
          <t>500-1917</t>
        </is>
      </c>
      <c r="B106" s="283" t="inlineStr">
        <is>
          <t>073125MATE</t>
        </is>
      </c>
      <c r="C106" s="284" t="n">
        <v>46889</v>
      </c>
      <c r="D106" s="282" t="inlineStr">
        <is>
          <t>2 Lådor</t>
        </is>
      </c>
      <c r="E106" s="284" t="n">
        <v>46042</v>
      </c>
      <c r="F106" s="285" t="inlineStr">
        <is>
          <t>JESP</t>
        </is>
      </c>
      <c r="G106" s="286" t="inlineStr">
        <is>
          <t>HPV</t>
        </is>
      </c>
      <c r="H106" s="286" t="n"/>
      <c r="I106" s="286" t="n"/>
      <c r="J106" s="286" t="n"/>
      <c r="K106" s="286" t="n"/>
      <c r="L106" s="286" t="n"/>
      <c r="M106" s="286" t="n"/>
      <c r="N106" s="287" t="inlineStr">
        <is>
          <t>MMQCI E.coli HPV POS</t>
        </is>
      </c>
      <c r="O106" s="288" t="inlineStr">
        <is>
          <t>POS IPT kylskåp</t>
        </is>
      </c>
      <c r="P106" s="289" t="n">
        <v>1</v>
      </c>
    </row>
    <row r="107">
      <c r="A107" s="282" t="inlineStr">
        <is>
          <t>500-1917</t>
        </is>
      </c>
      <c r="B107" s="283" t="inlineStr">
        <is>
          <t>N/A</t>
        </is>
      </c>
      <c r="C107" s="284" t="inlineStr">
        <is>
          <t>N/A</t>
        </is>
      </c>
      <c r="D107" s="282" t="inlineStr">
        <is>
          <t>N/A</t>
        </is>
      </c>
      <c r="E107" s="284" t="inlineStr">
        <is>
          <t>N/A</t>
        </is>
      </c>
      <c r="F107" s="285" t="inlineStr">
        <is>
          <t>N/A</t>
        </is>
      </c>
      <c r="G107" s="286" t="inlineStr">
        <is>
          <t>HPV</t>
        </is>
      </c>
      <c r="H107" s="286" t="n"/>
      <c r="I107" s="286" t="n"/>
      <c r="J107" s="286" t="n"/>
      <c r="K107" s="286" t="n"/>
      <c r="L107" s="286" t="n"/>
      <c r="M107" s="286" t="n"/>
      <c r="N107" s="287" t="inlineStr">
        <is>
          <t>MMQCI E.coli HPV POS</t>
        </is>
      </c>
      <c r="O107" s="288" t="inlineStr">
        <is>
          <t>POS IPT kylskåp</t>
        </is>
      </c>
      <c r="P107" s="289" t="n">
        <v>1</v>
      </c>
    </row>
    <row r="108">
      <c r="A108" s="282" t="inlineStr">
        <is>
          <t>500-1917</t>
        </is>
      </c>
      <c r="B108" s="283" t="inlineStr">
        <is>
          <t>N/A</t>
        </is>
      </c>
      <c r="C108" s="284" t="inlineStr">
        <is>
          <t>N/A</t>
        </is>
      </c>
      <c r="D108" s="282" t="inlineStr">
        <is>
          <t>N/A</t>
        </is>
      </c>
      <c r="E108" s="284" t="inlineStr">
        <is>
          <t>N/A</t>
        </is>
      </c>
      <c r="F108" s="285" t="inlineStr">
        <is>
          <t>N/A</t>
        </is>
      </c>
      <c r="G108" s="286" t="inlineStr">
        <is>
          <t>HPV</t>
        </is>
      </c>
      <c r="H108" s="286" t="n"/>
      <c r="I108" s="286" t="n"/>
      <c r="J108" s="286" t="n"/>
      <c r="K108" s="286" t="n"/>
      <c r="L108" s="286" t="n"/>
      <c r="M108" s="286" t="n"/>
      <c r="N108" s="287" t="inlineStr">
        <is>
          <t>MMQCI E.coli HPV POS</t>
        </is>
      </c>
      <c r="O108" s="288" t="inlineStr">
        <is>
          <t>POS IPT kylskåp</t>
        </is>
      </c>
      <c r="P108" s="289" t="n">
        <v>1</v>
      </c>
    </row>
    <row r="109">
      <c r="A109" s="282" t="inlineStr">
        <is>
          <t>500-1917</t>
        </is>
      </c>
      <c r="B109" s="283" t="inlineStr">
        <is>
          <t>N/A</t>
        </is>
      </c>
      <c r="C109" s="284" t="inlineStr">
        <is>
          <t>N/A</t>
        </is>
      </c>
      <c r="D109" s="282" t="inlineStr">
        <is>
          <t>N/A</t>
        </is>
      </c>
      <c r="E109" s="284" t="inlineStr">
        <is>
          <t>N/A</t>
        </is>
      </c>
      <c r="F109" s="285" t="inlineStr">
        <is>
          <t>N/A</t>
        </is>
      </c>
      <c r="G109" s="286" t="inlineStr">
        <is>
          <t>HPV</t>
        </is>
      </c>
      <c r="H109" s="286" t="n"/>
      <c r="I109" s="286" t="n"/>
      <c r="J109" s="286" t="n"/>
      <c r="K109" s="286" t="n"/>
      <c r="L109" s="286" t="n"/>
      <c r="M109" s="286" t="n"/>
      <c r="N109" s="287" t="inlineStr">
        <is>
          <t>MMQCI E.coli HPV POS</t>
        </is>
      </c>
      <c r="O109" s="288" t="inlineStr">
        <is>
          <t>POS IPT kylskåp</t>
        </is>
      </c>
      <c r="P109" s="289" t="n">
        <v>1</v>
      </c>
    </row>
    <row r="110">
      <c r="A110" s="282" t="inlineStr">
        <is>
          <t>500-1918</t>
        </is>
      </c>
      <c r="B110" s="283" t="inlineStr">
        <is>
          <t>032525SAMI</t>
        </is>
      </c>
      <c r="C110" s="284" t="n">
        <v>46761</v>
      </c>
      <c r="D110" s="282" t="inlineStr">
        <is>
          <t>2 lådor</t>
        </is>
      </c>
      <c r="E110" s="284" t="n">
        <v>46006</v>
      </c>
      <c r="F110" s="285" t="inlineStr">
        <is>
          <t>vdao</t>
        </is>
      </c>
      <c r="G110" s="286" t="inlineStr">
        <is>
          <t>HPV</t>
        </is>
      </c>
      <c r="H110" s="286" t="n"/>
      <c r="I110" s="286" t="n"/>
      <c r="J110" s="286" t="n"/>
      <c r="K110" s="286" t="n"/>
      <c r="L110" s="286" t="n"/>
      <c r="M110" s="286" t="n"/>
      <c r="N110" s="287" t="inlineStr">
        <is>
          <t>MMQCI E.coli HPV NEG</t>
        </is>
      </c>
      <c r="O110" s="288" t="inlineStr">
        <is>
          <t>NEG IPT kylskåp</t>
        </is>
      </c>
      <c r="P110" s="289" t="n">
        <v>0</v>
      </c>
    </row>
    <row r="111">
      <c r="A111" s="282" t="inlineStr">
        <is>
          <t>500-1918</t>
        </is>
      </c>
      <c r="B111" s="283" t="inlineStr">
        <is>
          <t>N/A</t>
        </is>
      </c>
      <c r="C111" s="284" t="inlineStr">
        <is>
          <t>N/A</t>
        </is>
      </c>
      <c r="D111" s="282" t="inlineStr">
        <is>
          <t>N/A</t>
        </is>
      </c>
      <c r="E111" s="284" t="inlineStr">
        <is>
          <t>N/A</t>
        </is>
      </c>
      <c r="F111" s="285" t="inlineStr">
        <is>
          <t>N/A</t>
        </is>
      </c>
      <c r="G111" s="286" t="inlineStr">
        <is>
          <t>HPV</t>
        </is>
      </c>
      <c r="H111" s="286" t="n"/>
      <c r="I111" s="286" t="n"/>
      <c r="J111" s="286" t="n"/>
      <c r="K111" s="286" t="n"/>
      <c r="L111" s="286" t="n"/>
      <c r="M111" s="286" t="n"/>
      <c r="N111" s="287" t="inlineStr">
        <is>
          <t>MMQCI E.coli HPV NEG</t>
        </is>
      </c>
      <c r="O111" s="288" t="inlineStr">
        <is>
          <t>NEG IPT kylskåp</t>
        </is>
      </c>
      <c r="P111" s="289" t="n">
        <v>0</v>
      </c>
    </row>
    <row r="112">
      <c r="A112" s="282" t="inlineStr">
        <is>
          <t>500-1918</t>
        </is>
      </c>
      <c r="B112" s="283" t="inlineStr">
        <is>
          <t>N/A</t>
        </is>
      </c>
      <c r="C112" s="284" t="inlineStr">
        <is>
          <t>N/A</t>
        </is>
      </c>
      <c r="D112" s="282" t="inlineStr">
        <is>
          <t>N/A</t>
        </is>
      </c>
      <c r="E112" s="284" t="inlineStr">
        <is>
          <t>N/A</t>
        </is>
      </c>
      <c r="F112" s="285" t="inlineStr">
        <is>
          <t>N/A</t>
        </is>
      </c>
      <c r="G112" s="286" t="inlineStr">
        <is>
          <t>HPV</t>
        </is>
      </c>
      <c r="H112" s="286" t="n"/>
      <c r="I112" s="286" t="n"/>
      <c r="J112" s="286" t="n"/>
      <c r="K112" s="286" t="n"/>
      <c r="L112" s="286" t="n"/>
      <c r="M112" s="286" t="n"/>
      <c r="N112" s="287" t="inlineStr">
        <is>
          <t>MMQCI E.coli HPV NEG</t>
        </is>
      </c>
      <c r="O112" s="288" t="inlineStr">
        <is>
          <t>NEG IPT kylskåp</t>
        </is>
      </c>
      <c r="P112" s="289" t="n">
        <v>0</v>
      </c>
    </row>
    <row r="113">
      <c r="A113" s="282" t="inlineStr">
        <is>
          <t>500-1918</t>
        </is>
      </c>
      <c r="B113" s="283" t="inlineStr">
        <is>
          <t>N/A</t>
        </is>
      </c>
      <c r="C113" s="284" t="inlineStr">
        <is>
          <t>N/A</t>
        </is>
      </c>
      <c r="D113" s="282" t="inlineStr">
        <is>
          <t>N/A</t>
        </is>
      </c>
      <c r="E113" s="284" t="inlineStr">
        <is>
          <t>N/A</t>
        </is>
      </c>
      <c r="F113" s="285" t="inlineStr">
        <is>
          <t>N/A</t>
        </is>
      </c>
      <c r="G113" s="286" t="inlineStr">
        <is>
          <t>HPV</t>
        </is>
      </c>
      <c r="H113" s="286" t="n"/>
      <c r="I113" s="286" t="n"/>
      <c r="J113" s="286" t="n"/>
      <c r="K113" s="286" t="n"/>
      <c r="L113" s="286" t="n"/>
      <c r="M113" s="286" t="n"/>
      <c r="N113" s="287" t="inlineStr">
        <is>
          <t>MMQCI E.coli HPV NEG</t>
        </is>
      </c>
      <c r="O113" s="288" t="inlineStr">
        <is>
          <t>NEG IPT kylskåp</t>
        </is>
      </c>
      <c r="P113" s="289" t="n">
        <v>0</v>
      </c>
    </row>
    <row r="114">
      <c r="A114" s="282" t="inlineStr">
        <is>
          <t>500-2288</t>
        </is>
      </c>
      <c r="B114" s="283" t="n">
        <v>1001516526</v>
      </c>
      <c r="C114" s="284" t="n">
        <v>46120</v>
      </c>
      <c r="D114" s="282" t="inlineStr">
        <is>
          <t>10 L</t>
        </is>
      </c>
      <c r="E114" s="284" t="n">
        <v>46034</v>
      </c>
      <c r="F114" s="285" t="inlineStr">
        <is>
          <t>JESP</t>
        </is>
      </c>
      <c r="G114" s="286" t="inlineStr">
        <is>
          <t>MRSA</t>
        </is>
      </c>
      <c r="H114" s="286" t="inlineStr">
        <is>
          <t>CDIFF</t>
        </is>
      </c>
      <c r="I114" s="286" t="inlineStr">
        <is>
          <t>MRSA NXG</t>
        </is>
      </c>
      <c r="J114" s="286" t="n"/>
      <c r="K114" s="286" t="n"/>
      <c r="L114" s="286" t="n"/>
      <c r="M114" s="286" t="n"/>
      <c r="N114" s="287" t="inlineStr">
        <is>
          <t>P/N 500-2288 GX Lysis buffer (exp 3 mån) 500-2288, GX Lysis buffer</t>
        </is>
      </c>
      <c r="O114" s="288" t="inlineStr">
        <is>
          <t>SR / TET / MATRIX</t>
        </is>
      </c>
      <c r="P114" s="289" t="n">
        <v>2</v>
      </c>
    </row>
    <row r="115">
      <c r="A115" s="282" t="inlineStr">
        <is>
          <t>500-2288</t>
        </is>
      </c>
      <c r="B115" s="283" t="n">
        <v>1001521504</v>
      </c>
      <c r="C115" s="284" t="n">
        <v>46156</v>
      </c>
      <c r="D115" s="282" t="inlineStr">
        <is>
          <t>10L</t>
        </is>
      </c>
      <c r="E115" s="284" t="n">
        <v>46070</v>
      </c>
      <c r="F115" s="285" t="inlineStr">
        <is>
          <t>ELS</t>
        </is>
      </c>
      <c r="G115" s="286" t="inlineStr">
        <is>
          <t>MRSA</t>
        </is>
      </c>
      <c r="H115" s="286" t="inlineStr">
        <is>
          <t>CDIFF</t>
        </is>
      </c>
      <c r="I115" s="286" t="inlineStr">
        <is>
          <t>MRSA NXG</t>
        </is>
      </c>
      <c r="J115" s="286" t="n"/>
      <c r="K115" s="286" t="n"/>
      <c r="L115" s="286" t="n"/>
      <c r="M115" s="286" t="n"/>
      <c r="N115" s="287" t="inlineStr">
        <is>
          <t>P/N 500-2288 GX Lysis buffer (exp 3 mån) 500-2288, GX Lysis buffer</t>
        </is>
      </c>
      <c r="O115" s="288" t="inlineStr">
        <is>
          <t>SR / TET / MATRIX</t>
        </is>
      </c>
      <c r="P115" s="289" t="n">
        <v>2</v>
      </c>
    </row>
    <row r="116">
      <c r="A116" s="282" t="inlineStr">
        <is>
          <t>500-2288</t>
        </is>
      </c>
      <c r="B116" s="283" t="inlineStr">
        <is>
          <t>N/A</t>
        </is>
      </c>
      <c r="C116" s="284" t="inlineStr">
        <is>
          <t>N/A</t>
        </is>
      </c>
      <c r="D116" s="282" t="inlineStr">
        <is>
          <t>N/A</t>
        </is>
      </c>
      <c r="E116" s="284" t="inlineStr">
        <is>
          <t>N/A</t>
        </is>
      </c>
      <c r="F116" s="285" t="inlineStr">
        <is>
          <t>N/A</t>
        </is>
      </c>
      <c r="G116" s="286" t="inlineStr">
        <is>
          <t>MRSA</t>
        </is>
      </c>
      <c r="H116" s="286" t="inlineStr">
        <is>
          <t>CDIFF</t>
        </is>
      </c>
      <c r="I116" s="286" t="inlineStr">
        <is>
          <t>MRSA NXG</t>
        </is>
      </c>
      <c r="J116" s="286" t="n"/>
      <c r="K116" s="286" t="n"/>
      <c r="L116" s="286" t="n"/>
      <c r="M116" s="286" t="n"/>
      <c r="N116" s="287" t="inlineStr">
        <is>
          <t>P/N 500-2288 GX Lysis buffer (exp 3 mån) 500-2288, GX Lysis buffer</t>
        </is>
      </c>
      <c r="O116" s="288" t="inlineStr">
        <is>
          <t>SR / TET / MATRIX</t>
        </is>
      </c>
      <c r="P116" s="289" t="n">
        <v>2</v>
      </c>
    </row>
    <row r="117">
      <c r="A117" s="282" t="inlineStr">
        <is>
          <t>500-2288</t>
        </is>
      </c>
      <c r="B117" s="283" t="inlineStr">
        <is>
          <t>N/A</t>
        </is>
      </c>
      <c r="C117" s="284" t="inlineStr">
        <is>
          <t>N/A</t>
        </is>
      </c>
      <c r="D117" s="282" t="inlineStr">
        <is>
          <t>N/A</t>
        </is>
      </c>
      <c r="E117" s="284" t="inlineStr">
        <is>
          <t>N/A</t>
        </is>
      </c>
      <c r="F117" s="285" t="inlineStr">
        <is>
          <t>N/A</t>
        </is>
      </c>
      <c r="G117" s="286" t="inlineStr">
        <is>
          <t>MRSA</t>
        </is>
      </c>
      <c r="H117" s="286" t="inlineStr">
        <is>
          <t>CDIFF</t>
        </is>
      </c>
      <c r="I117" s="286" t="inlineStr">
        <is>
          <t>MRSA NXG</t>
        </is>
      </c>
      <c r="J117" s="286" t="n"/>
      <c r="K117" s="286" t="n"/>
      <c r="L117" s="286" t="n"/>
      <c r="M117" s="286" t="n"/>
      <c r="N117" s="287" t="inlineStr">
        <is>
          <t>P/N 500-2288 GX Lysis buffer (exp 3 mån) 500-2288, GX Lysis buffer</t>
        </is>
      </c>
      <c r="O117" s="288" t="inlineStr">
        <is>
          <t>SR / TET / MATRIX</t>
        </is>
      </c>
      <c r="P117" s="289" t="n">
        <v>2</v>
      </c>
    </row>
    <row r="118">
      <c r="A118" s="282" t="inlineStr">
        <is>
          <t>500-2608</t>
        </is>
      </c>
      <c r="B118" s="283" t="n">
        <v>1001508989</v>
      </c>
      <c r="C118" s="284" t="n">
        <v>46087</v>
      </c>
      <c r="D118" s="282" t="inlineStr">
        <is>
          <t>50L</t>
        </is>
      </c>
      <c r="E118" s="284" t="n">
        <v>45982</v>
      </c>
      <c r="F118" s="285" t="inlineStr">
        <is>
          <t>ELS</t>
        </is>
      </c>
      <c r="G118" s="286" t="inlineStr">
        <is>
          <t>MTB</t>
        </is>
      </c>
      <c r="H118" s="286" t="inlineStr">
        <is>
          <t>MTB U</t>
        </is>
      </c>
      <c r="I118" s="286" t="inlineStr">
        <is>
          <t>MTB JP</t>
        </is>
      </c>
      <c r="J118" s="286" t="inlineStr">
        <is>
          <t>MTB XDR</t>
        </is>
      </c>
      <c r="K118" s="286" t="n"/>
      <c r="L118" s="286" t="n"/>
      <c r="M118" s="286" t="n"/>
      <c r="N118" s="291" t="inlineStr">
        <is>
          <t>P/N 500-2608 MTB SR (exp 4 mån) 500-2608, IPT BULK REAGENT, SAMPLE TREATMENT, MTB</t>
        </is>
      </c>
      <c r="O118" s="288" t="inlineStr">
        <is>
          <t>SR / TET / MATRIX</t>
        </is>
      </c>
      <c r="P118" s="289" t="n">
        <v>2</v>
      </c>
    </row>
    <row r="119">
      <c r="A119" s="282" t="inlineStr">
        <is>
          <t>500-2608</t>
        </is>
      </c>
      <c r="B119" s="283" t="n">
        <v>1001515809</v>
      </c>
      <c r="C119" s="284" t="n">
        <v>46142</v>
      </c>
      <c r="D119" s="282" t="inlineStr">
        <is>
          <t>50L</t>
        </is>
      </c>
      <c r="E119" s="284" t="n">
        <v>46070</v>
      </c>
      <c r="F119" s="285" t="inlineStr">
        <is>
          <t>ELS</t>
        </is>
      </c>
      <c r="G119" s="286" t="inlineStr">
        <is>
          <t>MTB</t>
        </is>
      </c>
      <c r="H119" s="286" t="inlineStr">
        <is>
          <t>MTB U</t>
        </is>
      </c>
      <c r="I119" s="286" t="inlineStr">
        <is>
          <t>MTB JP</t>
        </is>
      </c>
      <c r="J119" s="286" t="inlineStr">
        <is>
          <t>MTB XDR</t>
        </is>
      </c>
      <c r="K119" s="286" t="n"/>
      <c r="L119" s="286" t="n"/>
      <c r="M119" s="286" t="n"/>
      <c r="N119" s="291" t="inlineStr">
        <is>
          <t>P/N 500-2608 MTB SR (exp 4 mån) 500-2608, IPT BULK REAGENT, SAMPLE TREATMENT, MTB</t>
        </is>
      </c>
      <c r="O119" s="288" t="inlineStr">
        <is>
          <t>SR / TET / MATRIX</t>
        </is>
      </c>
      <c r="P119" s="289" t="n">
        <v>2</v>
      </c>
    </row>
    <row r="120">
      <c r="A120" s="282" t="inlineStr">
        <is>
          <t>500-2608</t>
        </is>
      </c>
      <c r="B120" s="283" t="inlineStr">
        <is>
          <t>N/A</t>
        </is>
      </c>
      <c r="C120" s="284" t="inlineStr">
        <is>
          <t>N/A</t>
        </is>
      </c>
      <c r="D120" s="282" t="inlineStr">
        <is>
          <t>N/A</t>
        </is>
      </c>
      <c r="E120" s="284" t="inlineStr">
        <is>
          <t>N/A</t>
        </is>
      </c>
      <c r="F120" s="285" t="inlineStr">
        <is>
          <t>N/A</t>
        </is>
      </c>
      <c r="G120" s="286" t="inlineStr">
        <is>
          <t>MTB</t>
        </is>
      </c>
      <c r="H120" s="286" t="inlineStr">
        <is>
          <t>MTB U</t>
        </is>
      </c>
      <c r="I120" s="286" t="inlineStr">
        <is>
          <t>MTB JP</t>
        </is>
      </c>
      <c r="J120" s="286" t="inlineStr">
        <is>
          <t>MTB XDR</t>
        </is>
      </c>
      <c r="K120" s="286" t="n"/>
      <c r="L120" s="286" t="n"/>
      <c r="M120" s="286" t="n"/>
      <c r="N120" s="291" t="inlineStr">
        <is>
          <t>P/N 500-2608 MTB SR (exp 4 mån) 500-2608, IPT BULK REAGENT, SAMPLE TREATMENT, MTB</t>
        </is>
      </c>
      <c r="O120" s="288" t="inlineStr">
        <is>
          <t>SR / TET / MATRIX</t>
        </is>
      </c>
      <c r="P120" s="289" t="n">
        <v>2</v>
      </c>
    </row>
    <row r="121">
      <c r="A121" s="282" t="inlineStr">
        <is>
          <t>500-2608</t>
        </is>
      </c>
      <c r="B121" s="283" t="inlineStr">
        <is>
          <t>N/A</t>
        </is>
      </c>
      <c r="C121" s="284" t="inlineStr">
        <is>
          <t>N/A</t>
        </is>
      </c>
      <c r="D121" s="282" t="inlineStr">
        <is>
          <t>N/A</t>
        </is>
      </c>
      <c r="E121" s="284" t="inlineStr">
        <is>
          <t>N/A</t>
        </is>
      </c>
      <c r="F121" s="285" t="inlineStr">
        <is>
          <t>N/A</t>
        </is>
      </c>
      <c r="G121" s="286" t="inlineStr">
        <is>
          <t>MTB</t>
        </is>
      </c>
      <c r="H121" s="286" t="inlineStr">
        <is>
          <t>MTB U</t>
        </is>
      </c>
      <c r="I121" s="286" t="inlineStr">
        <is>
          <t>MTB JP</t>
        </is>
      </c>
      <c r="J121" s="286" t="inlineStr">
        <is>
          <t>MTB XDR</t>
        </is>
      </c>
      <c r="K121" s="286" t="n"/>
      <c r="L121" s="286" t="n"/>
      <c r="M121" s="286" t="n"/>
      <c r="N121" s="291" t="inlineStr">
        <is>
          <t>P/N 500-2608 MTB SR (exp 4 mån) 500-2608, IPT BULK REAGENT, SAMPLE TREATMENT, MTB</t>
        </is>
      </c>
      <c r="O121" s="288" t="inlineStr">
        <is>
          <t>SR / TET / MATRIX</t>
        </is>
      </c>
      <c r="P121" s="289" t="n">
        <v>2</v>
      </c>
    </row>
    <row r="122">
      <c r="A122" s="282" t="inlineStr">
        <is>
          <t>500-2616</t>
        </is>
      </c>
      <c r="B122" s="283" t="inlineStr">
        <is>
          <t>090325MMM</t>
        </is>
      </c>
      <c r="C122" s="284" t="n">
        <v>46295</v>
      </c>
      <c r="D122" s="282" t="inlineStr">
        <is>
          <t>50 rör</t>
        </is>
      </c>
      <c r="E122" s="284" t="n">
        <v>46076</v>
      </c>
      <c r="F122" s="285" t="inlineStr">
        <is>
          <t>vdao</t>
        </is>
      </c>
      <c r="G122" s="286" t="inlineStr">
        <is>
          <t>HPV</t>
        </is>
      </c>
      <c r="H122" s="286" t="n"/>
      <c r="I122" s="286" t="n"/>
      <c r="J122" s="286" t="n"/>
      <c r="K122" s="286" t="n"/>
      <c r="L122" s="286" t="n"/>
      <c r="M122" s="286" t="n"/>
      <c r="N122" s="287" t="inlineStr">
        <is>
          <t>Human cells HPV NEG</t>
        </is>
      </c>
      <c r="O122" s="288" t="inlineStr">
        <is>
          <t>POS IPT kylskåp</t>
        </is>
      </c>
      <c r="P122" s="289" t="n">
        <v>1</v>
      </c>
    </row>
    <row r="123">
      <c r="A123" s="282" t="inlineStr">
        <is>
          <t>500-2616</t>
        </is>
      </c>
      <c r="B123" s="283" t="inlineStr">
        <is>
          <t>N/A</t>
        </is>
      </c>
      <c r="C123" s="284" t="inlineStr">
        <is>
          <t>N/A</t>
        </is>
      </c>
      <c r="D123" s="282" t="inlineStr">
        <is>
          <t>N/A</t>
        </is>
      </c>
      <c r="E123" s="284" t="inlineStr">
        <is>
          <t>N/A</t>
        </is>
      </c>
      <c r="F123" s="285" t="inlineStr">
        <is>
          <t>N/A</t>
        </is>
      </c>
      <c r="G123" s="286" t="inlineStr">
        <is>
          <t>HPV</t>
        </is>
      </c>
      <c r="H123" s="286" t="n"/>
      <c r="I123" s="286" t="n"/>
      <c r="J123" s="286" t="n"/>
      <c r="K123" s="286" t="n"/>
      <c r="L123" s="286" t="n"/>
      <c r="M123" s="286" t="n"/>
      <c r="N123" s="287" t="inlineStr">
        <is>
          <t>Human cells HPV NEG</t>
        </is>
      </c>
      <c r="O123" s="288" t="inlineStr">
        <is>
          <t>POS IPT kylskåp</t>
        </is>
      </c>
      <c r="P123" s="289" t="n">
        <v>1</v>
      </c>
    </row>
    <row r="124">
      <c r="A124" s="282" t="inlineStr">
        <is>
          <t>500-2616</t>
        </is>
      </c>
      <c r="B124" s="283" t="inlineStr">
        <is>
          <t>N/A</t>
        </is>
      </c>
      <c r="C124" s="284" t="inlineStr">
        <is>
          <t>N/A</t>
        </is>
      </c>
      <c r="D124" s="282" t="inlineStr">
        <is>
          <t>N/A</t>
        </is>
      </c>
      <c r="E124" s="284" t="inlineStr">
        <is>
          <t>N/A</t>
        </is>
      </c>
      <c r="F124" s="285" t="inlineStr">
        <is>
          <t>N/A</t>
        </is>
      </c>
      <c r="G124" s="286" t="inlineStr">
        <is>
          <t>HPV</t>
        </is>
      </c>
      <c r="H124" s="286" t="n"/>
      <c r="I124" s="286" t="n"/>
      <c r="J124" s="286" t="n"/>
      <c r="K124" s="286" t="n"/>
      <c r="L124" s="286" t="n"/>
      <c r="M124" s="286" t="n"/>
      <c r="N124" s="287" t="inlineStr">
        <is>
          <t>Human cells HPV NEG</t>
        </is>
      </c>
      <c r="O124" s="288" t="inlineStr">
        <is>
          <t>POS IPT kylskåp</t>
        </is>
      </c>
      <c r="P124" s="289" t="n">
        <v>1</v>
      </c>
    </row>
    <row r="125">
      <c r="A125" s="282" t="inlineStr">
        <is>
          <t>500-2616</t>
        </is>
      </c>
      <c r="B125" s="283" t="inlineStr">
        <is>
          <t>N/A</t>
        </is>
      </c>
      <c r="C125" s="284" t="inlineStr">
        <is>
          <t>N/A</t>
        </is>
      </c>
      <c r="D125" s="282" t="inlineStr">
        <is>
          <t>N/A</t>
        </is>
      </c>
      <c r="E125" s="284" t="inlineStr">
        <is>
          <t>N/A</t>
        </is>
      </c>
      <c r="F125" s="285" t="inlineStr">
        <is>
          <t>N/A</t>
        </is>
      </c>
      <c r="G125" s="286" t="inlineStr">
        <is>
          <t>HPV</t>
        </is>
      </c>
      <c r="H125" s="286" t="n"/>
      <c r="I125" s="286" t="n"/>
      <c r="J125" s="286" t="n"/>
      <c r="K125" s="286" t="n"/>
      <c r="L125" s="286" t="n"/>
      <c r="M125" s="286" t="n"/>
      <c r="N125" s="287" t="inlineStr">
        <is>
          <t>Human cells HPV NEG</t>
        </is>
      </c>
      <c r="O125" s="288" t="inlineStr">
        <is>
          <t>POS IPT kylskåp</t>
        </is>
      </c>
      <c r="P125" s="289" t="n">
        <v>1</v>
      </c>
    </row>
    <row r="126">
      <c r="A126" s="282" t="inlineStr">
        <is>
          <t>525-00017</t>
        </is>
      </c>
      <c r="B126" s="283" t="inlineStr">
        <is>
          <t>071924MATE</t>
        </is>
      </c>
      <c r="C126" s="284" t="n">
        <v>46332</v>
      </c>
      <c r="D126" s="282" t="inlineStr">
        <is>
          <t>6.5 Lådor</t>
        </is>
      </c>
      <c r="E126" s="284" t="n">
        <v>45986</v>
      </c>
      <c r="F126" s="285" t="inlineStr">
        <is>
          <t>ELS</t>
        </is>
      </c>
      <c r="G126" s="286" t="inlineStr">
        <is>
          <t>HIV VL</t>
        </is>
      </c>
      <c r="H126" s="286" t="n"/>
      <c r="I126" s="286" t="n"/>
      <c r="J126" s="286" t="n"/>
      <c r="K126" s="286" t="n"/>
      <c r="L126" s="286" t="n"/>
      <c r="M126" s="286" t="n"/>
      <c r="N126" s="287" t="inlineStr">
        <is>
          <t>HIV LOW positive control</t>
        </is>
      </c>
      <c r="O126" s="288" t="inlineStr">
        <is>
          <t>POS IPT -80 frys</t>
        </is>
      </c>
      <c r="P126" s="289" t="n">
        <v>1</v>
      </c>
    </row>
    <row r="127">
      <c r="A127" s="282" t="inlineStr">
        <is>
          <t>525-00017</t>
        </is>
      </c>
      <c r="B127" s="283" t="inlineStr">
        <is>
          <t>N/A</t>
        </is>
      </c>
      <c r="C127" s="284" t="inlineStr">
        <is>
          <t>N/A</t>
        </is>
      </c>
      <c r="D127" s="282" t="inlineStr">
        <is>
          <t>6 Lådor</t>
        </is>
      </c>
      <c r="E127" s="284" t="n">
        <v>45895</v>
      </c>
      <c r="F127" s="285" t="inlineStr">
        <is>
          <t>ELS</t>
        </is>
      </c>
      <c r="G127" s="286" t="inlineStr">
        <is>
          <t>HIV VL</t>
        </is>
      </c>
      <c r="H127" s="286" t="n"/>
      <c r="I127" s="286" t="n"/>
      <c r="J127" s="286" t="n"/>
      <c r="K127" s="286" t="n"/>
      <c r="L127" s="286" t="n"/>
      <c r="M127" s="286" t="n"/>
      <c r="N127" s="287" t="inlineStr">
        <is>
          <t>HIV LOW positive control</t>
        </is>
      </c>
      <c r="O127" s="288" t="inlineStr">
        <is>
          <t>POS IPT -80 frys</t>
        </is>
      </c>
      <c r="P127" s="289" t="n">
        <v>1</v>
      </c>
    </row>
    <row r="128">
      <c r="A128" s="282" t="inlineStr">
        <is>
          <t>525-00017</t>
        </is>
      </c>
      <c r="B128" s="283" t="inlineStr">
        <is>
          <t>N/A</t>
        </is>
      </c>
      <c r="C128" s="284" t="inlineStr">
        <is>
          <t>N/A</t>
        </is>
      </c>
      <c r="D128" s="282" t="inlineStr">
        <is>
          <t>N/A</t>
        </is>
      </c>
      <c r="E128" s="284" t="inlineStr">
        <is>
          <t>N/A</t>
        </is>
      </c>
      <c r="F128" s="285" t="inlineStr">
        <is>
          <t>N/A</t>
        </is>
      </c>
      <c r="G128" s="286" t="inlineStr">
        <is>
          <t>HIV VL</t>
        </is>
      </c>
      <c r="H128" s="286" t="n"/>
      <c r="I128" s="286" t="n"/>
      <c r="J128" s="286" t="n"/>
      <c r="K128" s="286" t="n"/>
      <c r="L128" s="286" t="n"/>
      <c r="M128" s="286" t="n"/>
      <c r="N128" s="287" t="inlineStr">
        <is>
          <t>HIV LOW positive control</t>
        </is>
      </c>
      <c r="O128" s="288" t="inlineStr">
        <is>
          <t>POS IPT -80 frys</t>
        </is>
      </c>
      <c r="P128" s="289" t="n">
        <v>1</v>
      </c>
    </row>
    <row r="129">
      <c r="A129" s="282" t="inlineStr">
        <is>
          <t>525-00017</t>
        </is>
      </c>
      <c r="B129" s="283" t="inlineStr">
        <is>
          <t>N/A</t>
        </is>
      </c>
      <c r="C129" s="284" t="inlineStr">
        <is>
          <t>N/A</t>
        </is>
      </c>
      <c r="D129" s="282" t="inlineStr">
        <is>
          <t>N/A</t>
        </is>
      </c>
      <c r="E129" s="284" t="inlineStr">
        <is>
          <t>N/A</t>
        </is>
      </c>
      <c r="F129" s="285" t="inlineStr">
        <is>
          <t>N/A</t>
        </is>
      </c>
      <c r="G129" s="286" t="inlineStr">
        <is>
          <t>HIV VL</t>
        </is>
      </c>
      <c r="H129" s="286" t="n"/>
      <c r="I129" s="286" t="n"/>
      <c r="J129" s="286" t="n"/>
      <c r="K129" s="286" t="n"/>
      <c r="L129" s="286" t="n"/>
      <c r="M129" s="286" t="n"/>
      <c r="N129" s="287" t="inlineStr">
        <is>
          <t>HIV LOW positive control</t>
        </is>
      </c>
      <c r="O129" s="288" t="inlineStr">
        <is>
          <t>POS IPT -80 frys</t>
        </is>
      </c>
      <c r="P129" s="289" t="n">
        <v>1</v>
      </c>
    </row>
    <row r="130">
      <c r="A130" s="282" t="inlineStr">
        <is>
          <t>525-00018</t>
        </is>
      </c>
      <c r="B130" s="293" t="inlineStr">
        <is>
          <t>102125MMM</t>
        </is>
      </c>
      <c r="C130" s="294" t="n">
        <v>46791</v>
      </c>
      <c r="D130" s="292" t="inlineStr">
        <is>
          <t>1 låda</t>
        </is>
      </c>
      <c r="E130" s="284" t="n">
        <v>45986</v>
      </c>
      <c r="F130" s="285" t="inlineStr">
        <is>
          <t>ELS</t>
        </is>
      </c>
      <c r="G130" s="286" t="inlineStr">
        <is>
          <t>HIV VL</t>
        </is>
      </c>
      <c r="H130" s="286" t="n"/>
      <c r="I130" s="286" t="n"/>
      <c r="J130" s="286" t="n"/>
      <c r="K130" s="286" t="n"/>
      <c r="L130" s="286" t="n"/>
      <c r="M130" s="286" t="n"/>
      <c r="N130" s="287" t="inlineStr">
        <is>
          <t>HIV HIGH positive control</t>
        </is>
      </c>
      <c r="O130" s="288" t="inlineStr">
        <is>
          <t>POS IPT -80 frys</t>
        </is>
      </c>
      <c r="P130" s="289" t="n">
        <v>1</v>
      </c>
    </row>
    <row r="131">
      <c r="A131" s="282" t="inlineStr">
        <is>
          <t>525-00018</t>
        </is>
      </c>
      <c r="B131" s="293" t="inlineStr">
        <is>
          <t>071924MATE</t>
        </is>
      </c>
      <c r="C131" s="294" t="n">
        <v>46332</v>
      </c>
      <c r="D131" s="292" t="inlineStr">
        <is>
          <t>0.5 Låda</t>
        </is>
      </c>
      <c r="E131" s="284" t="n">
        <v>45964</v>
      </c>
      <c r="F131" s="285" t="inlineStr">
        <is>
          <t>ELS</t>
        </is>
      </c>
      <c r="G131" s="286" t="inlineStr">
        <is>
          <t>HIV VL</t>
        </is>
      </c>
      <c r="H131" s="286" t="n"/>
      <c r="I131" s="286" t="n"/>
      <c r="J131" s="286" t="n"/>
      <c r="K131" s="286" t="n"/>
      <c r="L131" s="286" t="n"/>
      <c r="M131" s="286" t="n"/>
      <c r="N131" s="287" t="inlineStr">
        <is>
          <t>HIV HIGH positive control</t>
        </is>
      </c>
      <c r="O131" s="288" t="inlineStr">
        <is>
          <t>POS IPT -80 frys</t>
        </is>
      </c>
      <c r="P131" s="289" t="n">
        <v>1</v>
      </c>
    </row>
    <row r="132">
      <c r="A132" s="282" t="inlineStr">
        <is>
          <t>525-00018</t>
        </is>
      </c>
      <c r="B132" s="293" t="inlineStr">
        <is>
          <t>112025MMM</t>
        </is>
      </c>
      <c r="C132" s="294" t="n">
        <v>46821</v>
      </c>
      <c r="D132" s="292" t="inlineStr">
        <is>
          <t>12 rör</t>
        </is>
      </c>
      <c r="E132" s="284" t="n">
        <v>46007</v>
      </c>
      <c r="F132" s="285" t="inlineStr">
        <is>
          <t>ELS</t>
        </is>
      </c>
      <c r="G132" s="286" t="inlineStr">
        <is>
          <t>HIV VL</t>
        </is>
      </c>
      <c r="H132" s="286" t="n"/>
      <c r="I132" s="286" t="n"/>
      <c r="J132" s="286" t="n"/>
      <c r="K132" s="286" t="n"/>
      <c r="L132" s="286" t="n"/>
      <c r="M132" s="286" t="n"/>
      <c r="N132" s="287" t="inlineStr">
        <is>
          <t>HIV HIGH positive control</t>
        </is>
      </c>
      <c r="O132" s="288" t="inlineStr">
        <is>
          <t>POS IPT -80 frys</t>
        </is>
      </c>
      <c r="P132" s="289" t="n">
        <v>1</v>
      </c>
    </row>
    <row r="133">
      <c r="A133" s="282" t="inlineStr">
        <is>
          <t>525-00018</t>
        </is>
      </c>
      <c r="B133" s="293" t="inlineStr">
        <is>
          <t>N/A</t>
        </is>
      </c>
      <c r="C133" s="294" t="inlineStr">
        <is>
          <t>N/A</t>
        </is>
      </c>
      <c r="D133" s="292" t="inlineStr">
        <is>
          <t>N/A</t>
        </is>
      </c>
      <c r="E133" s="284" t="inlineStr">
        <is>
          <t>N/A</t>
        </is>
      </c>
      <c r="F133" s="285" t="inlineStr">
        <is>
          <t>N/A</t>
        </is>
      </c>
      <c r="G133" s="286" t="inlineStr">
        <is>
          <t>HIV VL</t>
        </is>
      </c>
      <c r="H133" s="286" t="n"/>
      <c r="I133" s="286" t="n"/>
      <c r="J133" s="286" t="n"/>
      <c r="K133" s="286" t="n"/>
      <c r="L133" s="286" t="n"/>
      <c r="M133" s="286" t="n"/>
      <c r="N133" s="287" t="inlineStr">
        <is>
          <t>HIV HIGH positive control</t>
        </is>
      </c>
      <c r="O133" s="288" t="inlineStr">
        <is>
          <t>POS IPT -80 frys</t>
        </is>
      </c>
      <c r="P133" s="289" t="n">
        <v>1</v>
      </c>
    </row>
    <row r="134">
      <c r="A134" s="282" t="inlineStr">
        <is>
          <t>525-00021</t>
        </is>
      </c>
      <c r="B134" s="293" t="inlineStr">
        <is>
          <t>N/A</t>
        </is>
      </c>
      <c r="C134" s="294" t="inlineStr">
        <is>
          <t>N/A</t>
        </is>
      </c>
      <c r="D134" s="292" t="inlineStr">
        <is>
          <t>N/A</t>
        </is>
      </c>
      <c r="E134" s="294" t="inlineStr">
        <is>
          <t>N/A</t>
        </is>
      </c>
      <c r="F134" s="295" t="inlineStr">
        <is>
          <t>N/A</t>
        </is>
      </c>
      <c r="G134" s="296" t="inlineStr">
        <is>
          <t>HIV QA</t>
        </is>
      </c>
      <c r="H134" s="296" t="n"/>
      <c r="I134" s="296" t="n"/>
      <c r="J134" s="296" t="n"/>
      <c r="K134" s="296" t="n"/>
      <c r="L134" s="296" t="n"/>
      <c r="M134" s="296" t="n"/>
      <c r="N134" s="287" t="inlineStr">
        <is>
          <t>HIV Qual Low</t>
        </is>
      </c>
      <c r="O134" s="288" t="inlineStr">
        <is>
          <t>POS IPT -80 frys</t>
        </is>
      </c>
      <c r="P134" s="289" t="n">
        <v>1</v>
      </c>
    </row>
    <row r="135">
      <c r="A135" s="282" t="inlineStr">
        <is>
          <t>525-00021</t>
        </is>
      </c>
      <c r="B135" s="293" t="inlineStr">
        <is>
          <t>N/A</t>
        </is>
      </c>
      <c r="C135" s="294" t="inlineStr">
        <is>
          <t>N/A</t>
        </is>
      </c>
      <c r="D135" s="292" t="inlineStr">
        <is>
          <t>N/A</t>
        </is>
      </c>
      <c r="E135" s="294" t="inlineStr">
        <is>
          <t>N/A</t>
        </is>
      </c>
      <c r="F135" s="295" t="inlineStr">
        <is>
          <t>N/A</t>
        </is>
      </c>
      <c r="G135" s="296" t="inlineStr">
        <is>
          <t>HIV QA</t>
        </is>
      </c>
      <c r="H135" s="296" t="n"/>
      <c r="I135" s="296" t="n"/>
      <c r="J135" s="296" t="n"/>
      <c r="K135" s="296" t="n"/>
      <c r="L135" s="296" t="n"/>
      <c r="M135" s="296" t="n"/>
      <c r="N135" s="287" t="inlineStr">
        <is>
          <t>HIV Qual Low</t>
        </is>
      </c>
      <c r="O135" s="288" t="inlineStr">
        <is>
          <t>POS IPT -80 frys</t>
        </is>
      </c>
      <c r="P135" s="289" t="n">
        <v>1</v>
      </c>
    </row>
    <row r="136">
      <c r="A136" s="282" t="inlineStr">
        <is>
          <t>525-00021</t>
        </is>
      </c>
      <c r="B136" s="293" t="inlineStr">
        <is>
          <t>N/A</t>
        </is>
      </c>
      <c r="C136" s="294" t="inlineStr">
        <is>
          <t>N/A</t>
        </is>
      </c>
      <c r="D136" s="292" t="inlineStr">
        <is>
          <t>N/A</t>
        </is>
      </c>
      <c r="E136" s="294" t="inlineStr">
        <is>
          <t>N/A</t>
        </is>
      </c>
      <c r="F136" s="295" t="inlineStr">
        <is>
          <t>N/A</t>
        </is>
      </c>
      <c r="G136" s="296" t="inlineStr">
        <is>
          <t>HIV QA</t>
        </is>
      </c>
      <c r="H136" s="296" t="n"/>
      <c r="I136" s="296" t="n"/>
      <c r="J136" s="296" t="n"/>
      <c r="K136" s="296" t="n"/>
      <c r="L136" s="296" t="n"/>
      <c r="M136" s="296" t="n"/>
      <c r="N136" s="287" t="inlineStr">
        <is>
          <t>HIV Qual Low</t>
        </is>
      </c>
      <c r="O136" s="288" t="inlineStr">
        <is>
          <t>POS IPT -80 frys</t>
        </is>
      </c>
      <c r="P136" s="289" t="n">
        <v>1</v>
      </c>
    </row>
    <row r="137">
      <c r="A137" s="282" t="inlineStr">
        <is>
          <t>525-00021</t>
        </is>
      </c>
      <c r="B137" s="293" t="inlineStr">
        <is>
          <t>N/A</t>
        </is>
      </c>
      <c r="C137" s="294" t="inlineStr">
        <is>
          <t>N/A</t>
        </is>
      </c>
      <c r="D137" s="292" t="inlineStr">
        <is>
          <t>N/A</t>
        </is>
      </c>
      <c r="E137" s="294" t="inlineStr">
        <is>
          <t>N/A</t>
        </is>
      </c>
      <c r="F137" s="295" t="inlineStr">
        <is>
          <t>N/A</t>
        </is>
      </c>
      <c r="G137" s="296" t="inlineStr">
        <is>
          <t>HIV QA</t>
        </is>
      </c>
      <c r="H137" s="296" t="n"/>
      <c r="I137" s="296" t="n"/>
      <c r="J137" s="296" t="n"/>
      <c r="K137" s="296" t="n"/>
      <c r="L137" s="296" t="n"/>
      <c r="M137" s="296" t="n"/>
      <c r="N137" s="287" t="inlineStr">
        <is>
          <t>HIV Qual Low</t>
        </is>
      </c>
      <c r="O137" s="288" t="inlineStr">
        <is>
          <t>POS IPT -80 frys</t>
        </is>
      </c>
      <c r="P137" s="289" t="n">
        <v>1</v>
      </c>
    </row>
    <row r="138">
      <c r="A138" s="282" t="inlineStr">
        <is>
          <t>525-00022</t>
        </is>
      </c>
      <c r="B138" s="293" t="inlineStr">
        <is>
          <t>N/A</t>
        </is>
      </c>
      <c r="C138" s="294" t="inlineStr">
        <is>
          <t>N/A</t>
        </is>
      </c>
      <c r="D138" s="292" t="inlineStr">
        <is>
          <t>N/A</t>
        </is>
      </c>
      <c r="E138" s="284" t="inlineStr">
        <is>
          <t>N/A</t>
        </is>
      </c>
      <c r="F138" s="285" t="inlineStr">
        <is>
          <t>N/A</t>
        </is>
      </c>
      <c r="G138" s="286" t="inlineStr">
        <is>
          <t>HIV QA</t>
        </is>
      </c>
      <c r="H138" s="286" t="n"/>
      <c r="I138" s="286" t="n"/>
      <c r="J138" s="286" t="n"/>
      <c r="K138" s="286" t="n"/>
      <c r="L138" s="286" t="n"/>
      <c r="M138" s="286" t="n"/>
      <c r="N138" s="287" t="inlineStr">
        <is>
          <t>HIV Qual High</t>
        </is>
      </c>
      <c r="O138" s="288" t="inlineStr">
        <is>
          <t>POS IPT -80 frys</t>
        </is>
      </c>
      <c r="P138" s="289" t="n">
        <v>1</v>
      </c>
    </row>
    <row r="139">
      <c r="A139" s="282" t="inlineStr">
        <is>
          <t>525-00022</t>
        </is>
      </c>
      <c r="B139" s="293" t="inlineStr">
        <is>
          <t>N/A</t>
        </is>
      </c>
      <c r="C139" s="294" t="inlineStr">
        <is>
          <t>N/A</t>
        </is>
      </c>
      <c r="D139" s="292" t="inlineStr">
        <is>
          <t>N/A</t>
        </is>
      </c>
      <c r="E139" s="284" t="inlineStr">
        <is>
          <t>N/A</t>
        </is>
      </c>
      <c r="F139" s="285" t="inlineStr">
        <is>
          <t>N/A</t>
        </is>
      </c>
      <c r="G139" s="286" t="inlineStr">
        <is>
          <t>HIV QA</t>
        </is>
      </c>
      <c r="H139" s="286" t="n"/>
      <c r="I139" s="286" t="n"/>
      <c r="J139" s="286" t="n"/>
      <c r="K139" s="286" t="n"/>
      <c r="L139" s="286" t="n"/>
      <c r="M139" s="286" t="n"/>
      <c r="N139" s="287" t="inlineStr">
        <is>
          <t>HIV Qual High</t>
        </is>
      </c>
      <c r="O139" s="288" t="inlineStr">
        <is>
          <t>POS IPT -80 frys</t>
        </is>
      </c>
      <c r="P139" s="289" t="n">
        <v>1</v>
      </c>
    </row>
    <row r="140">
      <c r="A140" s="282" t="inlineStr">
        <is>
          <t>525-00022</t>
        </is>
      </c>
      <c r="B140" s="293" t="inlineStr">
        <is>
          <t>N/A</t>
        </is>
      </c>
      <c r="C140" s="294" t="inlineStr">
        <is>
          <t>N/A</t>
        </is>
      </c>
      <c r="D140" s="292" t="inlineStr">
        <is>
          <t>N/A</t>
        </is>
      </c>
      <c r="E140" s="284" t="inlineStr">
        <is>
          <t>N/A</t>
        </is>
      </c>
      <c r="F140" s="285" t="inlineStr">
        <is>
          <t>N/A</t>
        </is>
      </c>
      <c r="G140" s="286" t="inlineStr">
        <is>
          <t>HIV QA</t>
        </is>
      </c>
      <c r="H140" s="286" t="n"/>
      <c r="I140" s="286" t="n"/>
      <c r="J140" s="286" t="n"/>
      <c r="K140" s="286" t="n"/>
      <c r="L140" s="286" t="n"/>
      <c r="M140" s="286" t="n"/>
      <c r="N140" s="287" t="inlineStr">
        <is>
          <t>HIV Qual High</t>
        </is>
      </c>
      <c r="O140" s="288" t="inlineStr">
        <is>
          <t>POS IPT -80 frys</t>
        </is>
      </c>
      <c r="P140" s="289" t="n">
        <v>1</v>
      </c>
    </row>
    <row r="141">
      <c r="A141" s="282" t="inlineStr">
        <is>
          <t>525-00022</t>
        </is>
      </c>
      <c r="B141" s="293" t="inlineStr">
        <is>
          <t>N/A</t>
        </is>
      </c>
      <c r="C141" s="294" t="inlineStr">
        <is>
          <t>N/A</t>
        </is>
      </c>
      <c r="D141" s="292" t="inlineStr">
        <is>
          <t>N/A</t>
        </is>
      </c>
      <c r="E141" s="284" t="inlineStr">
        <is>
          <t>N/A</t>
        </is>
      </c>
      <c r="F141" s="285" t="inlineStr">
        <is>
          <t>N/A</t>
        </is>
      </c>
      <c r="G141" s="286" t="inlineStr">
        <is>
          <t>HIV QA</t>
        </is>
      </c>
      <c r="H141" s="286" t="n"/>
      <c r="I141" s="286" t="n"/>
      <c r="J141" s="286" t="n"/>
      <c r="K141" s="286" t="n"/>
      <c r="L141" s="286" t="n"/>
      <c r="M141" s="286" t="n"/>
      <c r="N141" s="287" t="inlineStr">
        <is>
          <t>HIV Qual High</t>
        </is>
      </c>
      <c r="O141" s="288" t="inlineStr">
        <is>
          <t>POS IPT -80 frys</t>
        </is>
      </c>
      <c r="P141" s="289" t="n">
        <v>1</v>
      </c>
    </row>
    <row r="142">
      <c r="A142" s="282" t="inlineStr">
        <is>
          <t>525-00033</t>
        </is>
      </c>
      <c r="B142" s="293" t="inlineStr">
        <is>
          <t>062625Masa</t>
        </is>
      </c>
      <c r="C142" s="297" t="n">
        <v>46199</v>
      </c>
      <c r="D142" s="292" t="inlineStr">
        <is>
          <t>2 lådor</t>
        </is>
      </c>
      <c r="E142" s="284" t="n">
        <v>46043</v>
      </c>
      <c r="F142" s="285" t="inlineStr">
        <is>
          <t>vdao</t>
        </is>
      </c>
      <c r="G142" s="286" t="inlineStr">
        <is>
          <t>HIV VL</t>
        </is>
      </c>
      <c r="H142" s="286" t="inlineStr">
        <is>
          <t>HCV VL</t>
        </is>
      </c>
      <c r="I142" s="286" t="inlineStr">
        <is>
          <t>HIV VL XC</t>
        </is>
      </c>
      <c r="J142" s="286" t="n"/>
      <c r="K142" s="286" t="n"/>
      <c r="L142" s="286" t="n"/>
      <c r="M142" s="286" t="n"/>
      <c r="N142" s="287" t="inlineStr">
        <is>
          <t>HIV/HCV negative control</t>
        </is>
      </c>
      <c r="O142" s="288" t="inlineStr">
        <is>
          <t>NEG IPT -80 frys</t>
        </is>
      </c>
      <c r="P142" s="289" t="n">
        <v>0</v>
      </c>
    </row>
    <row r="143">
      <c r="A143" s="282" t="inlineStr">
        <is>
          <t>525-00033</t>
        </is>
      </c>
      <c r="B143" s="293" t="inlineStr">
        <is>
          <t>042525MMM</t>
        </is>
      </c>
      <c r="C143" s="297" t="n">
        <v>46137</v>
      </c>
      <c r="D143" s="292" t="inlineStr">
        <is>
          <t>1 låda</t>
        </is>
      </c>
      <c r="E143" s="284" t="n">
        <v>46062</v>
      </c>
      <c r="F143" s="285" t="inlineStr">
        <is>
          <t>vdao</t>
        </is>
      </c>
      <c r="G143" s="286" t="inlineStr">
        <is>
          <t>HIV VL</t>
        </is>
      </c>
      <c r="H143" s="286" t="inlineStr">
        <is>
          <t>HCV VL</t>
        </is>
      </c>
      <c r="I143" s="286" t="inlineStr">
        <is>
          <t>HIV VL XC</t>
        </is>
      </c>
      <c r="J143" s="286" t="n"/>
      <c r="K143" s="286" t="n"/>
      <c r="L143" s="286" t="n"/>
      <c r="M143" s="286" t="n"/>
      <c r="N143" s="287" t="inlineStr">
        <is>
          <t>HIV/HCV negative control</t>
        </is>
      </c>
      <c r="O143" s="288" t="inlineStr">
        <is>
          <t>NEG IPT -80 frys</t>
        </is>
      </c>
      <c r="P143" s="289" t="n">
        <v>0</v>
      </c>
    </row>
    <row r="144">
      <c r="A144" s="282" t="inlineStr">
        <is>
          <t>525-00033</t>
        </is>
      </c>
      <c r="B144" s="293" t="inlineStr">
        <is>
          <t>N/A</t>
        </is>
      </c>
      <c r="C144" s="297" t="inlineStr">
        <is>
          <t>N/A</t>
        </is>
      </c>
      <c r="D144" s="292" t="inlineStr">
        <is>
          <t>N/A</t>
        </is>
      </c>
      <c r="E144" s="284" t="inlineStr">
        <is>
          <t>N/A</t>
        </is>
      </c>
      <c r="F144" s="285" t="inlineStr">
        <is>
          <t>N/A</t>
        </is>
      </c>
      <c r="G144" s="286" t="inlineStr">
        <is>
          <t>HIV VL</t>
        </is>
      </c>
      <c r="H144" s="286" t="inlineStr">
        <is>
          <t>HCV VL</t>
        </is>
      </c>
      <c r="I144" s="286" t="inlineStr">
        <is>
          <t>HIV VL XC</t>
        </is>
      </c>
      <c r="J144" s="286" t="n"/>
      <c r="K144" s="286" t="n"/>
      <c r="L144" s="286" t="n"/>
      <c r="M144" s="286" t="n"/>
      <c r="N144" s="287" t="inlineStr">
        <is>
          <t>HIV/HCV negative control</t>
        </is>
      </c>
      <c r="O144" s="288" t="inlineStr">
        <is>
          <t>NEG IPT -80 frys</t>
        </is>
      </c>
      <c r="P144" s="289" t="n">
        <v>0</v>
      </c>
    </row>
    <row r="145">
      <c r="A145" s="282" t="inlineStr">
        <is>
          <t>525-00033</t>
        </is>
      </c>
      <c r="B145" s="293" t="inlineStr">
        <is>
          <t>N/A</t>
        </is>
      </c>
      <c r="C145" s="297" t="inlineStr">
        <is>
          <t>N/A</t>
        </is>
      </c>
      <c r="D145" s="292" t="inlineStr">
        <is>
          <t>N/A</t>
        </is>
      </c>
      <c r="E145" s="284" t="inlineStr">
        <is>
          <t>N/A</t>
        </is>
      </c>
      <c r="F145" s="285" t="inlineStr">
        <is>
          <t>N/A</t>
        </is>
      </c>
      <c r="G145" s="286" t="inlineStr">
        <is>
          <t>HIV VL</t>
        </is>
      </c>
      <c r="H145" s="286" t="inlineStr">
        <is>
          <t>HCV VL</t>
        </is>
      </c>
      <c r="I145" s="286" t="inlineStr">
        <is>
          <t>HIV VL XC</t>
        </is>
      </c>
      <c r="J145" s="286" t="n"/>
      <c r="K145" s="286" t="n"/>
      <c r="L145" s="286" t="n"/>
      <c r="M145" s="286" t="n"/>
      <c r="N145" s="287" t="inlineStr">
        <is>
          <t>HIV/HCV negative control</t>
        </is>
      </c>
      <c r="O145" s="288" t="inlineStr">
        <is>
          <t>NEG IPT -80 frys</t>
        </is>
      </c>
      <c r="P145" s="289" t="n">
        <v>0</v>
      </c>
    </row>
    <row r="146">
      <c r="A146" s="282" t="inlineStr">
        <is>
          <t>525-00035</t>
        </is>
      </c>
      <c r="B146" s="293" t="inlineStr">
        <is>
          <t>082625Masa</t>
        </is>
      </c>
      <c r="C146" s="284" t="n">
        <v>46746</v>
      </c>
      <c r="D146" s="292" t="inlineStr">
        <is>
          <t>4.5 Lådor</t>
        </is>
      </c>
      <c r="E146" s="284" t="n">
        <v>46007</v>
      </c>
      <c r="F146" s="285" t="inlineStr">
        <is>
          <t>ELS</t>
        </is>
      </c>
      <c r="G146" s="286" t="inlineStr">
        <is>
          <t>HCV VL</t>
        </is>
      </c>
      <c r="H146" s="286" t="n"/>
      <c r="I146" s="286" t="n"/>
      <c r="J146" s="286" t="n"/>
      <c r="K146" s="286" t="n"/>
      <c r="L146" s="286" t="n"/>
      <c r="M146" s="286" t="n"/>
      <c r="N146" s="287" t="inlineStr">
        <is>
          <t>HCV Quant low</t>
        </is>
      </c>
      <c r="O146" s="288" t="inlineStr">
        <is>
          <t>POS IPT -80 frys</t>
        </is>
      </c>
      <c r="P146" s="289" t="n">
        <v>1</v>
      </c>
    </row>
    <row r="147">
      <c r="A147" s="282" t="inlineStr">
        <is>
          <t>525-00035</t>
        </is>
      </c>
      <c r="B147" s="293" t="inlineStr">
        <is>
          <t>050525Masa</t>
        </is>
      </c>
      <c r="C147" s="284" t="n">
        <v>46633</v>
      </c>
      <c r="D147" s="292" t="inlineStr">
        <is>
          <t>1 Låda</t>
        </is>
      </c>
      <c r="E147" s="284" t="n">
        <v>46007</v>
      </c>
      <c r="F147" s="285" t="inlineStr">
        <is>
          <t>ELS</t>
        </is>
      </c>
      <c r="G147" s="286" t="inlineStr">
        <is>
          <t>HCV VL</t>
        </is>
      </c>
      <c r="H147" s="286" t="n"/>
      <c r="I147" s="286" t="n"/>
      <c r="J147" s="286" t="n"/>
      <c r="K147" s="286" t="n"/>
      <c r="L147" s="286" t="n"/>
      <c r="M147" s="286" t="n"/>
      <c r="N147" s="287" t="inlineStr">
        <is>
          <t>HCV Quant low</t>
        </is>
      </c>
      <c r="O147" s="288" t="inlineStr">
        <is>
          <t>POS IPT -80 frys</t>
        </is>
      </c>
      <c r="P147" s="289" t="n">
        <v>1</v>
      </c>
    </row>
    <row r="148">
      <c r="A148" s="282" t="inlineStr">
        <is>
          <t>525-00035</t>
        </is>
      </c>
      <c r="B148" s="293" t="inlineStr">
        <is>
          <t>N/A</t>
        </is>
      </c>
      <c r="C148" s="284" t="inlineStr">
        <is>
          <t>N/A</t>
        </is>
      </c>
      <c r="D148" s="292" t="inlineStr">
        <is>
          <t>N/A</t>
        </is>
      </c>
      <c r="E148" s="284" t="inlineStr">
        <is>
          <t>N/A</t>
        </is>
      </c>
      <c r="F148" s="285" t="inlineStr">
        <is>
          <t>N/A</t>
        </is>
      </c>
      <c r="G148" s="286" t="inlineStr">
        <is>
          <t>HCV VL</t>
        </is>
      </c>
      <c r="H148" s="286" t="n"/>
      <c r="I148" s="286" t="n"/>
      <c r="J148" s="286" t="n"/>
      <c r="K148" s="286" t="n"/>
      <c r="L148" s="286" t="n"/>
      <c r="M148" s="286" t="n"/>
      <c r="N148" s="287" t="inlineStr">
        <is>
          <t>HCV Quant low</t>
        </is>
      </c>
      <c r="O148" s="288" t="inlineStr">
        <is>
          <t>POS IPT -80 frys</t>
        </is>
      </c>
      <c r="P148" s="289" t="n">
        <v>1</v>
      </c>
    </row>
    <row r="149">
      <c r="A149" s="282" t="inlineStr">
        <is>
          <t>525-00035</t>
        </is>
      </c>
      <c r="B149" s="293" t="inlineStr">
        <is>
          <t>N/A</t>
        </is>
      </c>
      <c r="C149" s="284" t="inlineStr">
        <is>
          <t>N/A</t>
        </is>
      </c>
      <c r="D149" s="292" t="inlineStr">
        <is>
          <t>N/A</t>
        </is>
      </c>
      <c r="E149" s="284" t="inlineStr">
        <is>
          <t>N/A</t>
        </is>
      </c>
      <c r="F149" s="285" t="inlineStr">
        <is>
          <t>N/A</t>
        </is>
      </c>
      <c r="G149" s="286" t="inlineStr">
        <is>
          <t>HCV VL</t>
        </is>
      </c>
      <c r="H149" s="286" t="n"/>
      <c r="I149" s="286" t="n"/>
      <c r="J149" s="286" t="n"/>
      <c r="K149" s="286" t="n"/>
      <c r="L149" s="286" t="n"/>
      <c r="M149" s="286" t="n"/>
      <c r="N149" s="287" t="inlineStr">
        <is>
          <t>HCV Quant low</t>
        </is>
      </c>
      <c r="O149" s="288" t="inlineStr">
        <is>
          <t>POS IPT -80 frys</t>
        </is>
      </c>
      <c r="P149" s="289" t="n">
        <v>1</v>
      </c>
    </row>
    <row r="150">
      <c r="A150" s="282" t="inlineStr">
        <is>
          <t>525-00036</t>
        </is>
      </c>
      <c r="B150" s="293" t="inlineStr">
        <is>
          <t>041625Masa</t>
        </is>
      </c>
      <c r="C150" s="294" t="n">
        <v>46766</v>
      </c>
      <c r="D150" s="292" t="inlineStr">
        <is>
          <t>1.5 Låda</t>
        </is>
      </c>
      <c r="E150" s="284" t="n">
        <v>46007</v>
      </c>
      <c r="F150" s="285" t="inlineStr">
        <is>
          <t>ELS</t>
        </is>
      </c>
      <c r="G150" s="286" t="inlineStr">
        <is>
          <t>HCV VL</t>
        </is>
      </c>
      <c r="H150" s="286" t="n"/>
      <c r="I150" s="286" t="n"/>
      <c r="J150" s="286" t="n"/>
      <c r="K150" s="286" t="n"/>
      <c r="L150" s="286" t="n"/>
      <c r="M150" s="286" t="n"/>
      <c r="N150" s="287" t="inlineStr">
        <is>
          <t>HCV Quant high</t>
        </is>
      </c>
      <c r="O150" s="288" t="inlineStr">
        <is>
          <t>POS IPT -80 frys</t>
        </is>
      </c>
      <c r="P150" s="289" t="n">
        <v>1</v>
      </c>
    </row>
    <row r="151">
      <c r="A151" s="282" t="inlineStr">
        <is>
          <t>525-00036</t>
        </is>
      </c>
      <c r="B151" s="293" t="inlineStr">
        <is>
          <t>N/A</t>
        </is>
      </c>
      <c r="C151" s="294" t="inlineStr">
        <is>
          <t>N/A</t>
        </is>
      </c>
      <c r="D151" s="292" t="inlineStr">
        <is>
          <t>N/A</t>
        </is>
      </c>
      <c r="E151" s="284" t="inlineStr">
        <is>
          <t>N/A</t>
        </is>
      </c>
      <c r="F151" s="285" t="inlineStr">
        <is>
          <t>N/A</t>
        </is>
      </c>
      <c r="G151" s="286" t="inlineStr">
        <is>
          <t>HCV VL</t>
        </is>
      </c>
      <c r="H151" s="286" t="n"/>
      <c r="I151" s="286" t="n"/>
      <c r="J151" s="286" t="n"/>
      <c r="K151" s="286" t="n"/>
      <c r="L151" s="286" t="n"/>
      <c r="M151" s="286" t="n"/>
      <c r="N151" s="287" t="inlineStr">
        <is>
          <t>HCV Quant high</t>
        </is>
      </c>
      <c r="O151" s="288" t="inlineStr">
        <is>
          <t>POS IPT -80 frys</t>
        </is>
      </c>
      <c r="P151" s="289" t="n">
        <v>1</v>
      </c>
    </row>
    <row r="152">
      <c r="A152" s="282" t="inlineStr">
        <is>
          <t>525-00036</t>
        </is>
      </c>
      <c r="B152" s="293" t="inlineStr">
        <is>
          <t>N/A</t>
        </is>
      </c>
      <c r="C152" s="294" t="inlineStr">
        <is>
          <t>N/A</t>
        </is>
      </c>
      <c r="D152" s="292" t="inlineStr">
        <is>
          <t>N/A</t>
        </is>
      </c>
      <c r="E152" s="284" t="inlineStr">
        <is>
          <t>N/A</t>
        </is>
      </c>
      <c r="F152" s="285" t="inlineStr">
        <is>
          <t>N/A</t>
        </is>
      </c>
      <c r="G152" s="286" t="inlineStr">
        <is>
          <t>HCV VL</t>
        </is>
      </c>
      <c r="H152" s="286" t="n"/>
      <c r="I152" s="286" t="n"/>
      <c r="J152" s="286" t="n"/>
      <c r="K152" s="286" t="n"/>
      <c r="L152" s="286" t="n"/>
      <c r="M152" s="286" t="n"/>
      <c r="N152" s="287" t="inlineStr">
        <is>
          <t>HCV Quant high</t>
        </is>
      </c>
      <c r="O152" s="288" t="inlineStr">
        <is>
          <t>POS IPT -80 frys</t>
        </is>
      </c>
      <c r="P152" s="289" t="n">
        <v>1</v>
      </c>
    </row>
    <row r="153">
      <c r="A153" s="282" t="inlineStr">
        <is>
          <t>525-00036</t>
        </is>
      </c>
      <c r="B153" s="293" t="inlineStr">
        <is>
          <t>N/A</t>
        </is>
      </c>
      <c r="C153" s="294" t="inlineStr">
        <is>
          <t>N/A</t>
        </is>
      </c>
      <c r="D153" s="292" t="inlineStr">
        <is>
          <t>N/A</t>
        </is>
      </c>
      <c r="E153" s="284" t="inlineStr">
        <is>
          <t>N/A</t>
        </is>
      </c>
      <c r="F153" s="285" t="inlineStr">
        <is>
          <t>N/A</t>
        </is>
      </c>
      <c r="G153" s="286" t="inlineStr">
        <is>
          <t>HCV VL</t>
        </is>
      </c>
      <c r="H153" s="286" t="n"/>
      <c r="I153" s="286" t="n"/>
      <c r="J153" s="286" t="n"/>
      <c r="K153" s="286" t="n"/>
      <c r="L153" s="286" t="n"/>
      <c r="M153" s="286" t="n"/>
      <c r="N153" s="287" t="inlineStr">
        <is>
          <t>HCV Quant high</t>
        </is>
      </c>
      <c r="O153" s="288" t="inlineStr">
        <is>
          <t>POS IPT -80 frys</t>
        </is>
      </c>
      <c r="P153" s="289" t="n">
        <v>1</v>
      </c>
    </row>
    <row r="154">
      <c r="A154" s="282" t="inlineStr">
        <is>
          <t>525-00038</t>
        </is>
      </c>
      <c r="B154" s="293" t="inlineStr">
        <is>
          <t>N/A</t>
        </is>
      </c>
      <c r="C154" s="294" t="inlineStr">
        <is>
          <t>N/A</t>
        </is>
      </c>
      <c r="D154" s="282" t="inlineStr">
        <is>
          <t>N/A</t>
        </is>
      </c>
      <c r="E154" s="284" t="inlineStr">
        <is>
          <t>N/A</t>
        </is>
      </c>
      <c r="F154" s="285" t="inlineStr">
        <is>
          <t>N/A</t>
        </is>
      </c>
      <c r="G154" s="286" t="inlineStr">
        <is>
          <t>EBOLA</t>
        </is>
      </c>
      <c r="H154" s="286" t="inlineStr">
        <is>
          <t>GBS</t>
        </is>
      </c>
      <c r="I154" s="286" t="inlineStr">
        <is>
          <t>HIV QA</t>
        </is>
      </c>
      <c r="J154" s="286" t="n"/>
      <c r="K154" s="286" t="n"/>
      <c r="L154" s="286" t="n"/>
      <c r="M154" s="286" t="n"/>
      <c r="N154" s="291" t="inlineStr">
        <is>
          <t>EDTA Human Whole  Blood (NTC)</t>
        </is>
      </c>
      <c r="O154" s="288" t="inlineStr">
        <is>
          <t>NEG IPT -80 frys</t>
        </is>
      </c>
      <c r="P154" s="289" t="n">
        <v>0</v>
      </c>
    </row>
    <row r="155">
      <c r="A155" s="282" t="inlineStr">
        <is>
          <t>525-00038</t>
        </is>
      </c>
      <c r="B155" s="293" t="inlineStr">
        <is>
          <t>N/A</t>
        </is>
      </c>
      <c r="C155" s="294" t="inlineStr">
        <is>
          <t>N/A</t>
        </is>
      </c>
      <c r="D155" s="282" t="inlineStr">
        <is>
          <t>N/A</t>
        </is>
      </c>
      <c r="E155" s="284" t="inlineStr">
        <is>
          <t>N/A</t>
        </is>
      </c>
      <c r="F155" s="285" t="inlineStr">
        <is>
          <t>N/A</t>
        </is>
      </c>
      <c r="G155" s="286" t="inlineStr">
        <is>
          <t>EBOLA</t>
        </is>
      </c>
      <c r="H155" s="286" t="inlineStr">
        <is>
          <t>GBS</t>
        </is>
      </c>
      <c r="I155" s="286" t="inlineStr">
        <is>
          <t>HIV QA</t>
        </is>
      </c>
      <c r="J155" s="286" t="n"/>
      <c r="K155" s="286" t="n"/>
      <c r="L155" s="286" t="n"/>
      <c r="M155" s="286" t="n"/>
      <c r="N155" s="291" t="inlineStr">
        <is>
          <t>EDTA Human Whole  Blood (NTC)</t>
        </is>
      </c>
      <c r="O155" s="288" t="inlineStr">
        <is>
          <t>NEG IPT -80 frys</t>
        </is>
      </c>
      <c r="P155" s="289" t="n">
        <v>0</v>
      </c>
    </row>
    <row r="156">
      <c r="A156" s="282" t="inlineStr">
        <is>
          <t>525-00038</t>
        </is>
      </c>
      <c r="B156" s="293" t="inlineStr">
        <is>
          <t>N/A</t>
        </is>
      </c>
      <c r="C156" s="294" t="inlineStr">
        <is>
          <t>N/A</t>
        </is>
      </c>
      <c r="D156" s="282" t="inlineStr">
        <is>
          <t>N/A</t>
        </is>
      </c>
      <c r="E156" s="284" t="inlineStr">
        <is>
          <t>N/A</t>
        </is>
      </c>
      <c r="F156" s="285" t="inlineStr">
        <is>
          <t>N/A</t>
        </is>
      </c>
      <c r="G156" s="286" t="inlineStr">
        <is>
          <t>EBOLA</t>
        </is>
      </c>
      <c r="H156" s="286" t="inlineStr">
        <is>
          <t>GBS</t>
        </is>
      </c>
      <c r="I156" s="286" t="inlineStr">
        <is>
          <t>HIV QA</t>
        </is>
      </c>
      <c r="J156" s="286" t="n"/>
      <c r="K156" s="286" t="n"/>
      <c r="L156" s="286" t="n"/>
      <c r="M156" s="286" t="n"/>
      <c r="N156" s="291" t="inlineStr">
        <is>
          <t>EDTA Human Whole  Blood (NTC)</t>
        </is>
      </c>
      <c r="O156" s="288" t="inlineStr">
        <is>
          <t>NEG IPT -80 frys</t>
        </is>
      </c>
      <c r="P156" s="289" t="n">
        <v>0</v>
      </c>
    </row>
    <row r="157">
      <c r="A157" s="282" t="inlineStr">
        <is>
          <t>525-00038</t>
        </is>
      </c>
      <c r="B157" s="293" t="inlineStr">
        <is>
          <t>N/A</t>
        </is>
      </c>
      <c r="C157" s="294" t="inlineStr">
        <is>
          <t>N/A</t>
        </is>
      </c>
      <c r="D157" s="282" t="inlineStr">
        <is>
          <t>N/A</t>
        </is>
      </c>
      <c r="E157" s="284" t="inlineStr">
        <is>
          <t>N/A</t>
        </is>
      </c>
      <c r="F157" s="285" t="inlineStr">
        <is>
          <t>N/A</t>
        </is>
      </c>
      <c r="G157" s="286" t="inlineStr">
        <is>
          <t>EBOLA</t>
        </is>
      </c>
      <c r="H157" s="286" t="inlineStr">
        <is>
          <t>GBS</t>
        </is>
      </c>
      <c r="I157" s="286" t="inlineStr">
        <is>
          <t>HIV QA</t>
        </is>
      </c>
      <c r="J157" s="286" t="n"/>
      <c r="K157" s="286" t="n"/>
      <c r="L157" s="286" t="n"/>
      <c r="M157" s="286" t="n"/>
      <c r="N157" s="291" t="inlineStr">
        <is>
          <t>EDTA Human Whole  Blood (NTC)</t>
        </is>
      </c>
      <c r="O157" s="288" t="inlineStr">
        <is>
          <t>NEG IPT -80 frys</t>
        </is>
      </c>
      <c r="P157" s="289" t="n">
        <v>0</v>
      </c>
    </row>
    <row r="158">
      <c r="A158" s="282" t="inlineStr">
        <is>
          <t>525-00065</t>
        </is>
      </c>
      <c r="B158" s="293" t="inlineStr">
        <is>
          <t>031825ELIF</t>
        </is>
      </c>
      <c r="C158" s="284" t="n">
        <v>46274</v>
      </c>
      <c r="D158" s="282" t="inlineStr">
        <is>
          <t>31 vialer</t>
        </is>
      </c>
      <c r="E158" s="284" t="n">
        <v>45986</v>
      </c>
      <c r="F158" s="285" t="inlineStr">
        <is>
          <t>ELS</t>
        </is>
      </c>
      <c r="G158" s="286" t="inlineStr">
        <is>
          <t>EBOLA</t>
        </is>
      </c>
      <c r="H158" s="286" t="n"/>
      <c r="I158" s="286" t="n"/>
      <c r="J158" s="286" t="n"/>
      <c r="K158" s="286" t="n"/>
      <c r="L158" s="286" t="n"/>
      <c r="M158" s="286" t="n"/>
      <c r="N158" s="287" t="inlineStr">
        <is>
          <t>Ebola PC-Low</t>
        </is>
      </c>
      <c r="O158" s="288" t="inlineStr">
        <is>
          <t>POS IPT -80 frys</t>
        </is>
      </c>
      <c r="P158" s="289" t="n">
        <v>1</v>
      </c>
    </row>
    <row r="159">
      <c r="A159" s="282" t="inlineStr">
        <is>
          <t>525-00065</t>
        </is>
      </c>
      <c r="B159" s="293" t="inlineStr">
        <is>
          <t>N/A</t>
        </is>
      </c>
      <c r="C159" s="284" t="inlineStr">
        <is>
          <t>N/A</t>
        </is>
      </c>
      <c r="D159" s="282" t="inlineStr">
        <is>
          <t>N/A</t>
        </is>
      </c>
      <c r="E159" s="284" t="inlineStr">
        <is>
          <t>N/A</t>
        </is>
      </c>
      <c r="F159" s="285" t="inlineStr">
        <is>
          <t>N/A</t>
        </is>
      </c>
      <c r="G159" s="286" t="inlineStr">
        <is>
          <t>EBOLA</t>
        </is>
      </c>
      <c r="H159" s="286" t="n"/>
      <c r="I159" s="286" t="n"/>
      <c r="J159" s="286" t="n"/>
      <c r="K159" s="286" t="n"/>
      <c r="L159" s="286" t="n"/>
      <c r="M159" s="286" t="n"/>
      <c r="N159" s="287" t="inlineStr">
        <is>
          <t>Ebola PC-Low</t>
        </is>
      </c>
      <c r="O159" s="288" t="inlineStr">
        <is>
          <t>POS IPT -80 frys</t>
        </is>
      </c>
      <c r="P159" s="289" t="n">
        <v>1</v>
      </c>
    </row>
    <row r="160">
      <c r="A160" s="282" t="inlineStr">
        <is>
          <t>525-00065</t>
        </is>
      </c>
      <c r="B160" s="293" t="inlineStr">
        <is>
          <t>N/A</t>
        </is>
      </c>
      <c r="C160" s="284" t="inlineStr">
        <is>
          <t>N/A</t>
        </is>
      </c>
      <c r="D160" s="282" t="inlineStr">
        <is>
          <t>N/A</t>
        </is>
      </c>
      <c r="E160" s="284" t="inlineStr">
        <is>
          <t>N/A</t>
        </is>
      </c>
      <c r="F160" s="285" t="inlineStr">
        <is>
          <t>N/A</t>
        </is>
      </c>
      <c r="G160" s="286" t="inlineStr">
        <is>
          <t>EBOLA</t>
        </is>
      </c>
      <c r="H160" s="286" t="n"/>
      <c r="I160" s="286" t="n"/>
      <c r="J160" s="286" t="n"/>
      <c r="K160" s="286" t="n"/>
      <c r="L160" s="286" t="n"/>
      <c r="M160" s="286" t="n"/>
      <c r="N160" s="287" t="inlineStr">
        <is>
          <t>Ebola PC-Low</t>
        </is>
      </c>
      <c r="O160" s="288" t="inlineStr">
        <is>
          <t>POS IPT -80 frys</t>
        </is>
      </c>
      <c r="P160" s="289" t="n">
        <v>1</v>
      </c>
    </row>
    <row r="161">
      <c r="A161" s="282" t="inlineStr">
        <is>
          <t>525-00065</t>
        </is>
      </c>
      <c r="B161" s="293" t="inlineStr">
        <is>
          <t>N/A</t>
        </is>
      </c>
      <c r="C161" s="284" t="inlineStr">
        <is>
          <t>N/A</t>
        </is>
      </c>
      <c r="D161" s="282" t="inlineStr">
        <is>
          <t>N/A</t>
        </is>
      </c>
      <c r="E161" s="284" t="inlineStr">
        <is>
          <t>N/A</t>
        </is>
      </c>
      <c r="F161" s="285" t="inlineStr">
        <is>
          <t>N/A</t>
        </is>
      </c>
      <c r="G161" s="286" t="inlineStr">
        <is>
          <t>EBOLA</t>
        </is>
      </c>
      <c r="H161" s="286" t="n"/>
      <c r="I161" s="286" t="n"/>
      <c r="J161" s="286" t="n"/>
      <c r="K161" s="286" t="n"/>
      <c r="L161" s="286" t="n"/>
      <c r="M161" s="286" t="n"/>
      <c r="N161" s="287" t="inlineStr">
        <is>
          <t>Ebola PC-Low</t>
        </is>
      </c>
      <c r="O161" s="288" t="inlineStr">
        <is>
          <t>POS IPT -80 frys</t>
        </is>
      </c>
      <c r="P161" s="289" t="n">
        <v>1</v>
      </c>
    </row>
    <row r="162">
      <c r="A162" s="282" t="inlineStr">
        <is>
          <t>525-00066</t>
        </is>
      </c>
      <c r="B162" s="293" t="inlineStr">
        <is>
          <t>031224VW-A</t>
        </is>
      </c>
      <c r="C162" s="284" t="n">
        <v>46203</v>
      </c>
      <c r="D162" s="282" t="inlineStr">
        <is>
          <t>15 Vialer</t>
        </is>
      </c>
      <c r="E162" s="284" t="n">
        <v>45916</v>
      </c>
      <c r="F162" s="285" t="inlineStr">
        <is>
          <t>JESP</t>
        </is>
      </c>
      <c r="G162" s="286" t="inlineStr">
        <is>
          <t>EBOLA</t>
        </is>
      </c>
      <c r="H162" s="286" t="n"/>
      <c r="I162" s="286" t="n"/>
      <c r="J162" s="286" t="n"/>
      <c r="K162" s="286" t="n"/>
      <c r="L162" s="286" t="n"/>
      <c r="M162" s="286" t="n"/>
      <c r="N162" s="287" t="inlineStr">
        <is>
          <t>Ebola PC-High</t>
        </is>
      </c>
      <c r="O162" s="288" t="inlineStr">
        <is>
          <t>POS IPT -80 frys</t>
        </is>
      </c>
      <c r="P162" s="289" t="n">
        <v>1</v>
      </c>
    </row>
    <row r="163">
      <c r="A163" s="282" t="inlineStr">
        <is>
          <t>525-00066</t>
        </is>
      </c>
      <c r="B163" s="293" t="inlineStr">
        <is>
          <t>N/A</t>
        </is>
      </c>
      <c r="C163" s="284" t="inlineStr">
        <is>
          <t>N/A</t>
        </is>
      </c>
      <c r="D163" s="282" t="inlineStr">
        <is>
          <t>N/A</t>
        </is>
      </c>
      <c r="E163" s="284" t="inlineStr">
        <is>
          <t>N/A</t>
        </is>
      </c>
      <c r="F163" s="285" t="inlineStr">
        <is>
          <t>N/A</t>
        </is>
      </c>
      <c r="G163" s="286" t="inlineStr">
        <is>
          <t>EBOLA</t>
        </is>
      </c>
      <c r="H163" s="286" t="n"/>
      <c r="I163" s="286" t="n"/>
      <c r="J163" s="286" t="n"/>
      <c r="K163" s="286" t="n"/>
      <c r="L163" s="286" t="n"/>
      <c r="M163" s="286" t="n"/>
      <c r="N163" s="287" t="inlineStr">
        <is>
          <t>Ebola PC-High</t>
        </is>
      </c>
      <c r="O163" s="288" t="inlineStr">
        <is>
          <t>POS IPT -80 frys</t>
        </is>
      </c>
      <c r="P163" s="289" t="n">
        <v>1</v>
      </c>
    </row>
    <row r="164">
      <c r="A164" s="282" t="inlineStr">
        <is>
          <t>525-00066</t>
        </is>
      </c>
      <c r="B164" s="293" t="inlineStr">
        <is>
          <t>N/A</t>
        </is>
      </c>
      <c r="C164" s="284" t="inlineStr">
        <is>
          <t>N/A</t>
        </is>
      </c>
      <c r="D164" s="282" t="inlineStr">
        <is>
          <t>N/A</t>
        </is>
      </c>
      <c r="E164" s="284" t="inlineStr">
        <is>
          <t>N/A</t>
        </is>
      </c>
      <c r="F164" s="285" t="inlineStr">
        <is>
          <t>N/A</t>
        </is>
      </c>
      <c r="G164" s="286" t="inlineStr">
        <is>
          <t>EBOLA</t>
        </is>
      </c>
      <c r="H164" s="286" t="n"/>
      <c r="I164" s="286" t="n"/>
      <c r="J164" s="286" t="n"/>
      <c r="K164" s="286" t="n"/>
      <c r="L164" s="286" t="n"/>
      <c r="M164" s="286" t="n"/>
      <c r="N164" s="287" t="inlineStr">
        <is>
          <t>Ebola PC-High</t>
        </is>
      </c>
      <c r="O164" s="288" t="inlineStr">
        <is>
          <t>POS IPT -80 frys</t>
        </is>
      </c>
      <c r="P164" s="289" t="n">
        <v>1</v>
      </c>
    </row>
    <row r="165">
      <c r="A165" s="282" t="inlineStr">
        <is>
          <t>525-00066</t>
        </is>
      </c>
      <c r="B165" s="293" t="inlineStr">
        <is>
          <t>N/A</t>
        </is>
      </c>
      <c r="C165" s="284" t="inlineStr">
        <is>
          <t>N/A</t>
        </is>
      </c>
      <c r="D165" s="282" t="inlineStr">
        <is>
          <t>N/A</t>
        </is>
      </c>
      <c r="E165" s="284" t="inlineStr">
        <is>
          <t>N/A</t>
        </is>
      </c>
      <c r="F165" s="285" t="inlineStr">
        <is>
          <t>N/A</t>
        </is>
      </c>
      <c r="G165" s="286" t="inlineStr">
        <is>
          <t>EBOLA</t>
        </is>
      </c>
      <c r="H165" s="286" t="n"/>
      <c r="I165" s="286" t="n"/>
      <c r="J165" s="286" t="n"/>
      <c r="K165" s="286" t="n"/>
      <c r="L165" s="286" t="n"/>
      <c r="M165" s="286" t="n"/>
      <c r="N165" s="287" t="inlineStr">
        <is>
          <t>Ebola PC-High</t>
        </is>
      </c>
      <c r="O165" s="288" t="inlineStr">
        <is>
          <t>POS IPT -80 frys</t>
        </is>
      </c>
      <c r="P165" s="289" t="n">
        <v>1</v>
      </c>
    </row>
    <row r="166">
      <c r="A166" s="282" t="inlineStr">
        <is>
          <t>525-00071</t>
        </is>
      </c>
      <c r="B166" s="293" t="inlineStr">
        <is>
          <t>102924MOWA</t>
        </is>
      </c>
      <c r="C166" s="294" t="n">
        <v>46674</v>
      </c>
      <c r="D166" s="282" t="inlineStr">
        <is>
          <t>13 rör</t>
        </is>
      </c>
      <c r="E166" s="284" t="n">
        <v>46006</v>
      </c>
      <c r="F166" s="285" t="inlineStr">
        <is>
          <t>ELS</t>
        </is>
      </c>
      <c r="G166" s="286" t="inlineStr">
        <is>
          <t>HBV</t>
        </is>
      </c>
      <c r="H166" s="286" t="n"/>
      <c r="I166" s="286" t="n"/>
      <c r="J166" s="286" t="n"/>
      <c r="K166" s="286" t="n"/>
      <c r="L166" s="286" t="n"/>
      <c r="M166" s="286" t="n"/>
      <c r="N166" s="287" t="inlineStr">
        <is>
          <t>HBV PC High</t>
        </is>
      </c>
      <c r="O166" s="288" t="inlineStr">
        <is>
          <t>POS IPT -20 frys</t>
        </is>
      </c>
      <c r="P166" s="289" t="n">
        <v>1</v>
      </c>
    </row>
    <row r="167">
      <c r="A167" s="282" t="inlineStr">
        <is>
          <t>525-00071</t>
        </is>
      </c>
      <c r="B167" s="293" t="inlineStr">
        <is>
          <t>N/A</t>
        </is>
      </c>
      <c r="C167" s="294" t="inlineStr">
        <is>
          <t>N/A</t>
        </is>
      </c>
      <c r="D167" s="282" t="inlineStr">
        <is>
          <t>N/A</t>
        </is>
      </c>
      <c r="E167" s="284" t="inlineStr">
        <is>
          <t>N/A</t>
        </is>
      </c>
      <c r="F167" s="285" t="inlineStr">
        <is>
          <t>N/A</t>
        </is>
      </c>
      <c r="G167" s="286" t="inlineStr">
        <is>
          <t>HBV</t>
        </is>
      </c>
      <c r="H167" s="286" t="n"/>
      <c r="I167" s="286" t="n"/>
      <c r="J167" s="286" t="n"/>
      <c r="K167" s="286" t="n"/>
      <c r="L167" s="286" t="n"/>
      <c r="M167" s="286" t="n"/>
      <c r="N167" s="287" t="inlineStr">
        <is>
          <t>HBV PC High</t>
        </is>
      </c>
      <c r="O167" s="288" t="inlineStr">
        <is>
          <t>POS IPT -20 frys</t>
        </is>
      </c>
      <c r="P167" s="289" t="n">
        <v>1</v>
      </c>
    </row>
    <row r="168">
      <c r="A168" s="282" t="inlineStr">
        <is>
          <t>525-00071</t>
        </is>
      </c>
      <c r="B168" s="293" t="inlineStr">
        <is>
          <t>N/A</t>
        </is>
      </c>
      <c r="C168" s="294" t="inlineStr">
        <is>
          <t>N/A</t>
        </is>
      </c>
      <c r="D168" s="282" t="inlineStr">
        <is>
          <t>N/A</t>
        </is>
      </c>
      <c r="E168" s="284" t="inlineStr">
        <is>
          <t>N/A</t>
        </is>
      </c>
      <c r="F168" s="285" t="inlineStr">
        <is>
          <t>N/A</t>
        </is>
      </c>
      <c r="G168" s="286" t="inlineStr">
        <is>
          <t>HBV</t>
        </is>
      </c>
      <c r="H168" s="286" t="n"/>
      <c r="I168" s="286" t="n"/>
      <c r="J168" s="286" t="n"/>
      <c r="K168" s="286" t="n"/>
      <c r="L168" s="286" t="n"/>
      <c r="M168" s="286" t="n"/>
      <c r="N168" s="287" t="inlineStr">
        <is>
          <t>HBV PC High</t>
        </is>
      </c>
      <c r="O168" s="288" t="inlineStr">
        <is>
          <t>POS IPT -20 frys</t>
        </is>
      </c>
      <c r="P168" s="289" t="n">
        <v>1</v>
      </c>
    </row>
    <row r="169">
      <c r="A169" s="282" t="inlineStr">
        <is>
          <t>525-00071</t>
        </is>
      </c>
      <c r="B169" s="293" t="inlineStr">
        <is>
          <t>N/A</t>
        </is>
      </c>
      <c r="C169" s="294" t="inlineStr">
        <is>
          <t>N/A</t>
        </is>
      </c>
      <c r="D169" s="282" t="inlineStr">
        <is>
          <t>N/A</t>
        </is>
      </c>
      <c r="E169" s="284" t="inlineStr">
        <is>
          <t>N/A</t>
        </is>
      </c>
      <c r="F169" s="285" t="inlineStr">
        <is>
          <t>N/A</t>
        </is>
      </c>
      <c r="G169" s="286" t="inlineStr">
        <is>
          <t>HBV</t>
        </is>
      </c>
      <c r="H169" s="286" t="n"/>
      <c r="I169" s="286" t="n"/>
      <c r="J169" s="286" t="n"/>
      <c r="K169" s="286" t="n"/>
      <c r="L169" s="286" t="n"/>
      <c r="M169" s="286" t="n"/>
      <c r="N169" s="287" t="inlineStr">
        <is>
          <t>HBV PC High</t>
        </is>
      </c>
      <c r="O169" s="288" t="inlineStr">
        <is>
          <t>POS IPT -20 frys</t>
        </is>
      </c>
      <c r="P169" s="289" t="n">
        <v>1</v>
      </c>
    </row>
    <row r="170">
      <c r="A170" s="282" t="inlineStr">
        <is>
          <t>525-00072</t>
        </is>
      </c>
      <c r="B170" s="293" t="inlineStr">
        <is>
          <t>102924MOWA</t>
        </is>
      </c>
      <c r="C170" s="294" t="n">
        <v>46674</v>
      </c>
      <c r="D170" s="292" t="inlineStr">
        <is>
          <t>0.5 Låda</t>
        </is>
      </c>
      <c r="E170" s="284" t="n">
        <v>46006</v>
      </c>
      <c r="F170" s="285" t="inlineStr">
        <is>
          <t>ELS</t>
        </is>
      </c>
      <c r="G170" s="286" t="inlineStr">
        <is>
          <t>HBV</t>
        </is>
      </c>
      <c r="H170" s="286" t="n"/>
      <c r="I170" s="286" t="n"/>
      <c r="J170" s="286" t="n"/>
      <c r="K170" s="286" t="n"/>
      <c r="L170" s="286" t="n"/>
      <c r="M170" s="286" t="n"/>
      <c r="N170" s="287" t="inlineStr">
        <is>
          <t>HBV PC Low</t>
        </is>
      </c>
      <c r="O170" s="288" t="inlineStr">
        <is>
          <t>POS IPT -20 frys</t>
        </is>
      </c>
      <c r="P170" s="289" t="n">
        <v>1</v>
      </c>
    </row>
    <row r="171">
      <c r="A171" s="282" t="inlineStr">
        <is>
          <t>525-00072</t>
        </is>
      </c>
      <c r="B171" s="293" t="inlineStr">
        <is>
          <t>062024MOWA</t>
        </is>
      </c>
      <c r="C171" s="294" t="n">
        <v>46130</v>
      </c>
      <c r="D171" s="292" t="inlineStr">
        <is>
          <t>0.5 låda</t>
        </is>
      </c>
      <c r="E171" s="284" t="n">
        <v>45986</v>
      </c>
      <c r="F171" s="285" t="inlineStr">
        <is>
          <t>ELS</t>
        </is>
      </c>
      <c r="G171" s="286" t="inlineStr">
        <is>
          <t>HBV</t>
        </is>
      </c>
      <c r="H171" s="286" t="n"/>
      <c r="I171" s="286" t="n"/>
      <c r="J171" s="286" t="n"/>
      <c r="K171" s="286" t="n"/>
      <c r="L171" s="286" t="n"/>
      <c r="M171" s="286" t="n"/>
      <c r="N171" s="287" t="inlineStr">
        <is>
          <t>HBV PC Low</t>
        </is>
      </c>
      <c r="O171" s="288" t="inlineStr">
        <is>
          <t>POS IPT -20 frys</t>
        </is>
      </c>
      <c r="P171" s="289" t="n">
        <v>1</v>
      </c>
    </row>
    <row r="172">
      <c r="A172" s="282" t="inlineStr">
        <is>
          <t>525-00072</t>
        </is>
      </c>
      <c r="B172" s="293" t="inlineStr">
        <is>
          <t>N/A</t>
        </is>
      </c>
      <c r="C172" s="294" t="inlineStr">
        <is>
          <t>N/A</t>
        </is>
      </c>
      <c r="D172" s="292" t="inlineStr">
        <is>
          <t>N/A</t>
        </is>
      </c>
      <c r="E172" s="284" t="inlineStr">
        <is>
          <t>N/A</t>
        </is>
      </c>
      <c r="F172" s="285" t="inlineStr">
        <is>
          <t>N/A</t>
        </is>
      </c>
      <c r="G172" s="286" t="inlineStr">
        <is>
          <t>HBV</t>
        </is>
      </c>
      <c r="H172" s="286" t="n"/>
      <c r="I172" s="286" t="n"/>
      <c r="J172" s="286" t="n"/>
      <c r="K172" s="286" t="n"/>
      <c r="L172" s="286" t="n"/>
      <c r="M172" s="286" t="n"/>
      <c r="N172" s="287" t="inlineStr">
        <is>
          <t>HBV PC Low</t>
        </is>
      </c>
      <c r="O172" s="288" t="inlineStr">
        <is>
          <t>POS IPT -20 frys</t>
        </is>
      </c>
      <c r="P172" s="289" t="n">
        <v>1</v>
      </c>
    </row>
    <row r="173">
      <c r="A173" s="282" t="inlineStr">
        <is>
          <t>525-00072</t>
        </is>
      </c>
      <c r="B173" s="293" t="inlineStr">
        <is>
          <t>N/A</t>
        </is>
      </c>
      <c r="C173" s="294" t="inlineStr">
        <is>
          <t>N/A</t>
        </is>
      </c>
      <c r="D173" s="292" t="inlineStr">
        <is>
          <t>N/A</t>
        </is>
      </c>
      <c r="E173" s="284" t="inlineStr">
        <is>
          <t>N/A</t>
        </is>
      </c>
      <c r="F173" s="285" t="inlineStr">
        <is>
          <t>N/A</t>
        </is>
      </c>
      <c r="G173" s="286" t="inlineStr">
        <is>
          <t>HBV</t>
        </is>
      </c>
      <c r="H173" s="286" t="n"/>
      <c r="I173" s="286" t="n"/>
      <c r="J173" s="286" t="n"/>
      <c r="K173" s="286" t="n"/>
      <c r="L173" s="286" t="n"/>
      <c r="M173" s="286" t="n"/>
      <c r="N173" s="287" t="inlineStr">
        <is>
          <t>HBV PC Low</t>
        </is>
      </c>
      <c r="O173" s="288" t="inlineStr">
        <is>
          <t>POS IPT -20 frys</t>
        </is>
      </c>
      <c r="P173" s="289" t="n">
        <v>1</v>
      </c>
    </row>
    <row r="174">
      <c r="A174" s="282" t="inlineStr">
        <is>
          <t>525-00079</t>
        </is>
      </c>
      <c r="B174" s="293" t="inlineStr">
        <is>
          <t>041625MATE</t>
        </is>
      </c>
      <c r="C174" s="294" t="n">
        <v>46113</v>
      </c>
      <c r="D174" s="292" t="inlineStr">
        <is>
          <t>26 rör</t>
        </is>
      </c>
      <c r="E174" s="284" t="n">
        <v>46006</v>
      </c>
      <c r="F174" s="285" t="inlineStr">
        <is>
          <t>ELS</t>
        </is>
      </c>
      <c r="G174" s="286" t="inlineStr">
        <is>
          <t>MRSA NXG</t>
        </is>
      </c>
      <c r="H174" s="286" t="n"/>
      <c r="I174" s="286" t="n"/>
      <c r="J174" s="286" t="n"/>
      <c r="K174" s="286" t="n"/>
      <c r="L174" s="286" t="n"/>
      <c r="M174" s="286" t="n"/>
      <c r="N174" s="287" t="inlineStr">
        <is>
          <t>ALQT,NATTROL,MRSA,HIGH</t>
        </is>
      </c>
      <c r="O174" s="288" t="inlineStr">
        <is>
          <t>POS IPT kylskåp</t>
        </is>
      </c>
      <c r="P174" s="289" t="n">
        <v>1</v>
      </c>
    </row>
    <row r="175">
      <c r="A175" s="282" t="inlineStr">
        <is>
          <t>525-00079</t>
        </is>
      </c>
      <c r="B175" s="293" t="inlineStr">
        <is>
          <t>N/A</t>
        </is>
      </c>
      <c r="C175" s="294" t="inlineStr">
        <is>
          <t>N/A</t>
        </is>
      </c>
      <c r="D175" s="292" t="inlineStr">
        <is>
          <t>N/A</t>
        </is>
      </c>
      <c r="E175" s="284" t="inlineStr">
        <is>
          <t>N/A</t>
        </is>
      </c>
      <c r="F175" s="285" t="inlineStr">
        <is>
          <t>N/A</t>
        </is>
      </c>
      <c r="G175" s="286" t="inlineStr">
        <is>
          <t>MRSA NXG</t>
        </is>
      </c>
      <c r="H175" s="286" t="n"/>
      <c r="I175" s="286" t="n"/>
      <c r="J175" s="286" t="n"/>
      <c r="K175" s="286" t="n"/>
      <c r="L175" s="286" t="n"/>
      <c r="M175" s="286" t="n"/>
      <c r="N175" s="287" t="inlineStr">
        <is>
          <t>ALQT,NATTROL,MRSA,HIGH</t>
        </is>
      </c>
      <c r="O175" s="288" t="inlineStr">
        <is>
          <t>POS IPT kylskåp</t>
        </is>
      </c>
      <c r="P175" s="289" t="n">
        <v>1</v>
      </c>
    </row>
    <row r="176">
      <c r="A176" s="282" t="inlineStr">
        <is>
          <t>525-00079</t>
        </is>
      </c>
      <c r="B176" s="293" t="inlineStr">
        <is>
          <t>N/A</t>
        </is>
      </c>
      <c r="C176" s="294" t="inlineStr">
        <is>
          <t>N/A</t>
        </is>
      </c>
      <c r="D176" s="292" t="inlineStr">
        <is>
          <t>N/A</t>
        </is>
      </c>
      <c r="E176" s="284" t="inlineStr">
        <is>
          <t>N/A</t>
        </is>
      </c>
      <c r="F176" s="285" t="inlineStr">
        <is>
          <t>N/A</t>
        </is>
      </c>
      <c r="G176" s="286" t="inlineStr">
        <is>
          <t>MRSA NXG</t>
        </is>
      </c>
      <c r="H176" s="286" t="n"/>
      <c r="I176" s="286" t="n"/>
      <c r="J176" s="286" t="n"/>
      <c r="K176" s="286" t="n"/>
      <c r="L176" s="286" t="n"/>
      <c r="M176" s="286" t="n"/>
      <c r="N176" s="287" t="inlineStr">
        <is>
          <t>ALQT,NATTROL,MRSA,HIGH</t>
        </is>
      </c>
      <c r="O176" s="288" t="inlineStr">
        <is>
          <t>POS IPT kylskåp</t>
        </is>
      </c>
      <c r="P176" s="289" t="n">
        <v>1</v>
      </c>
    </row>
    <row r="177">
      <c r="A177" s="282" t="inlineStr">
        <is>
          <t>525-00079</t>
        </is>
      </c>
      <c r="B177" s="293" t="inlineStr">
        <is>
          <t>N/A</t>
        </is>
      </c>
      <c r="C177" s="294" t="inlineStr">
        <is>
          <t>N/A</t>
        </is>
      </c>
      <c r="D177" s="292" t="inlineStr">
        <is>
          <t>N/A</t>
        </is>
      </c>
      <c r="E177" s="284" t="inlineStr">
        <is>
          <t>N/A</t>
        </is>
      </c>
      <c r="F177" s="285" t="inlineStr">
        <is>
          <t>N/A</t>
        </is>
      </c>
      <c r="G177" s="286" t="inlineStr">
        <is>
          <t>MRSA NXG</t>
        </is>
      </c>
      <c r="H177" s="286" t="n"/>
      <c r="I177" s="286" t="n"/>
      <c r="J177" s="286" t="n"/>
      <c r="K177" s="286" t="n"/>
      <c r="L177" s="286" t="n"/>
      <c r="M177" s="286" t="n"/>
      <c r="N177" s="287" t="inlineStr">
        <is>
          <t>ALQT,NATTROL,MRSA,HIGH</t>
        </is>
      </c>
      <c r="O177" s="288" t="inlineStr">
        <is>
          <t>POS IPT kylskåp</t>
        </is>
      </c>
      <c r="P177" s="289" t="n">
        <v>1</v>
      </c>
    </row>
    <row r="178">
      <c r="A178" s="282" t="inlineStr">
        <is>
          <t>525-00080</t>
        </is>
      </c>
      <c r="B178" s="293" t="inlineStr">
        <is>
          <t>051625MMM</t>
        </is>
      </c>
      <c r="C178" s="294" t="n">
        <v>46113</v>
      </c>
      <c r="D178" s="292" t="inlineStr">
        <is>
          <t>2 Lådor</t>
        </is>
      </c>
      <c r="E178" s="284" t="n">
        <v>46006</v>
      </c>
      <c r="F178" s="285" t="inlineStr">
        <is>
          <t>ELS</t>
        </is>
      </c>
      <c r="G178" s="286" t="inlineStr">
        <is>
          <t>MRSA NXG</t>
        </is>
      </c>
      <c r="H178" s="286" t="n"/>
      <c r="I178" s="286" t="n"/>
      <c r="J178" s="286" t="n"/>
      <c r="K178" s="286" t="n"/>
      <c r="L178" s="286" t="n"/>
      <c r="M178" s="286" t="n"/>
      <c r="N178" s="287" t="inlineStr">
        <is>
          <t>ALQT,NATTROL,MRSA, LOW</t>
        </is>
      </c>
      <c r="O178" s="288" t="inlineStr">
        <is>
          <t>POS IPT kylskåp</t>
        </is>
      </c>
      <c r="P178" s="289" t="n">
        <v>1</v>
      </c>
    </row>
    <row r="179">
      <c r="A179" s="282" t="inlineStr">
        <is>
          <t>525-00080</t>
        </is>
      </c>
      <c r="B179" s="293" t="inlineStr">
        <is>
          <t>N/A</t>
        </is>
      </c>
      <c r="C179" s="294" t="inlineStr">
        <is>
          <t>N/A</t>
        </is>
      </c>
      <c r="D179" s="292" t="inlineStr">
        <is>
          <t>N/A</t>
        </is>
      </c>
      <c r="E179" s="284" t="inlineStr">
        <is>
          <t>N/A</t>
        </is>
      </c>
      <c r="F179" s="285" t="inlineStr">
        <is>
          <t>N/A</t>
        </is>
      </c>
      <c r="G179" s="286" t="inlineStr">
        <is>
          <t>MRSA NXG</t>
        </is>
      </c>
      <c r="H179" s="286" t="n"/>
      <c r="I179" s="286" t="n"/>
      <c r="J179" s="286" t="n"/>
      <c r="K179" s="286" t="n"/>
      <c r="L179" s="286" t="n"/>
      <c r="M179" s="286" t="n"/>
      <c r="N179" s="287" t="inlineStr">
        <is>
          <t>ALQT,NATTROL,MRSA, LOW</t>
        </is>
      </c>
      <c r="O179" s="288" t="inlineStr">
        <is>
          <t>POS IPT kylskåp</t>
        </is>
      </c>
      <c r="P179" s="289" t="n">
        <v>1</v>
      </c>
    </row>
    <row r="180">
      <c r="A180" s="282" t="inlineStr">
        <is>
          <t>525-00080</t>
        </is>
      </c>
      <c r="B180" s="293" t="inlineStr">
        <is>
          <t>N/A</t>
        </is>
      </c>
      <c r="C180" s="294" t="inlineStr">
        <is>
          <t>N/A</t>
        </is>
      </c>
      <c r="D180" s="292" t="inlineStr">
        <is>
          <t>N/A</t>
        </is>
      </c>
      <c r="E180" s="284" t="inlineStr">
        <is>
          <t>N/A</t>
        </is>
      </c>
      <c r="F180" s="285" t="inlineStr">
        <is>
          <t>N/A</t>
        </is>
      </c>
      <c r="G180" s="286" t="inlineStr">
        <is>
          <t>MRSA NXG</t>
        </is>
      </c>
      <c r="H180" s="286" t="n"/>
      <c r="I180" s="286" t="n"/>
      <c r="J180" s="286" t="n"/>
      <c r="K180" s="286" t="n"/>
      <c r="L180" s="286" t="n"/>
      <c r="M180" s="286" t="n"/>
      <c r="N180" s="287" t="inlineStr">
        <is>
          <t>ALQT,NATTROL,MRSA, LOW</t>
        </is>
      </c>
      <c r="O180" s="288" t="inlineStr">
        <is>
          <t>POS IPT kylskåp</t>
        </is>
      </c>
      <c r="P180" s="289" t="n">
        <v>1</v>
      </c>
    </row>
    <row r="181">
      <c r="A181" s="282" t="inlineStr">
        <is>
          <t>525-00080</t>
        </is>
      </c>
      <c r="B181" s="293" t="inlineStr">
        <is>
          <t>N/A</t>
        </is>
      </c>
      <c r="C181" s="294" t="inlineStr">
        <is>
          <t>N/A</t>
        </is>
      </c>
      <c r="D181" s="292" t="inlineStr">
        <is>
          <t>N/A</t>
        </is>
      </c>
      <c r="E181" s="284" t="inlineStr">
        <is>
          <t>N/A</t>
        </is>
      </c>
      <c r="F181" s="285" t="inlineStr">
        <is>
          <t>N/A</t>
        </is>
      </c>
      <c r="G181" s="286" t="inlineStr">
        <is>
          <t>MRSA NXG</t>
        </is>
      </c>
      <c r="H181" s="286" t="n"/>
      <c r="I181" s="286" t="n"/>
      <c r="J181" s="286" t="n"/>
      <c r="K181" s="286" t="n"/>
      <c r="L181" s="286" t="n"/>
      <c r="M181" s="286" t="n"/>
      <c r="N181" s="287" t="inlineStr">
        <is>
          <t>ALQT,NATTROL,MRSA, LOW</t>
        </is>
      </c>
      <c r="O181" s="288" t="inlineStr">
        <is>
          <t>POS IPT kylskåp</t>
        </is>
      </c>
      <c r="P181" s="289" t="n">
        <v>1</v>
      </c>
    </row>
    <row r="182">
      <c r="A182" s="282" t="inlineStr">
        <is>
          <t>525-00081</t>
        </is>
      </c>
      <c r="B182" s="293" t="inlineStr">
        <is>
          <t>080525Masa</t>
        </is>
      </c>
      <c r="C182" s="294" t="n">
        <v>46113</v>
      </c>
      <c r="D182" s="292" t="inlineStr">
        <is>
          <t>2 lådor</t>
        </is>
      </c>
      <c r="E182" s="284" t="n">
        <v>46043</v>
      </c>
      <c r="F182" s="285" t="inlineStr">
        <is>
          <t>vdao</t>
        </is>
      </c>
      <c r="G182" s="286" t="inlineStr">
        <is>
          <t>MRSA NXG</t>
        </is>
      </c>
      <c r="H182" s="286" t="n"/>
      <c r="I182" s="286" t="n"/>
      <c r="J182" s="286" t="n"/>
      <c r="K182" s="286" t="n"/>
      <c r="L182" s="286" t="n"/>
      <c r="M182" s="286" t="n"/>
      <c r="N182" s="291" t="inlineStr">
        <is>
          <t>ALQT,NATTROL,MSSE</t>
        </is>
      </c>
      <c r="O182" s="288" t="inlineStr">
        <is>
          <t>NEG IPT kylskåp</t>
        </is>
      </c>
      <c r="P182" s="289" t="n">
        <v>0</v>
      </c>
    </row>
    <row r="183">
      <c r="A183" s="282" t="inlineStr">
        <is>
          <t>525-00081</t>
        </is>
      </c>
      <c r="B183" s="293" t="inlineStr">
        <is>
          <t>N/A</t>
        </is>
      </c>
      <c r="C183" s="294" t="inlineStr">
        <is>
          <t>N/A</t>
        </is>
      </c>
      <c r="D183" s="292" t="inlineStr">
        <is>
          <t>N/A</t>
        </is>
      </c>
      <c r="E183" s="284" t="inlineStr">
        <is>
          <t>N/A</t>
        </is>
      </c>
      <c r="F183" s="285" t="inlineStr">
        <is>
          <t>N/A</t>
        </is>
      </c>
      <c r="G183" s="286" t="inlineStr">
        <is>
          <t>MRSA NXG</t>
        </is>
      </c>
      <c r="H183" s="286" t="n"/>
      <c r="I183" s="286" t="n"/>
      <c r="J183" s="286" t="n"/>
      <c r="K183" s="286" t="n"/>
      <c r="L183" s="286" t="n"/>
      <c r="M183" s="286" t="n"/>
      <c r="N183" s="291" t="inlineStr">
        <is>
          <t>ALQT,NATTROL,MSSE</t>
        </is>
      </c>
      <c r="O183" s="288" t="inlineStr">
        <is>
          <t>NEG IPT kylskåp</t>
        </is>
      </c>
      <c r="P183" s="289" t="n">
        <v>0</v>
      </c>
    </row>
    <row r="184">
      <c r="A184" s="282" t="inlineStr">
        <is>
          <t>525-00081</t>
        </is>
      </c>
      <c r="B184" s="293" t="inlineStr">
        <is>
          <t>N/A</t>
        </is>
      </c>
      <c r="C184" s="294" t="inlineStr">
        <is>
          <t>N/A</t>
        </is>
      </c>
      <c r="D184" s="292" t="inlineStr">
        <is>
          <t>N/A</t>
        </is>
      </c>
      <c r="E184" s="284" t="inlineStr">
        <is>
          <t>N/A</t>
        </is>
      </c>
      <c r="F184" s="285" t="inlineStr">
        <is>
          <t>N/A</t>
        </is>
      </c>
      <c r="G184" s="286" t="inlineStr">
        <is>
          <t>MRSA NXG</t>
        </is>
      </c>
      <c r="H184" s="286" t="n"/>
      <c r="I184" s="286" t="n"/>
      <c r="J184" s="286" t="n"/>
      <c r="K184" s="286" t="n"/>
      <c r="L184" s="286" t="n"/>
      <c r="M184" s="286" t="n"/>
      <c r="N184" s="291" t="inlineStr">
        <is>
          <t>ALQT,NATTROL,MSSE</t>
        </is>
      </c>
      <c r="O184" s="288" t="inlineStr">
        <is>
          <t>NEG IPT kylskåp</t>
        </is>
      </c>
      <c r="P184" s="289" t="n">
        <v>0</v>
      </c>
    </row>
    <row r="185">
      <c r="A185" s="282" t="inlineStr">
        <is>
          <t>525-00081</t>
        </is>
      </c>
      <c r="B185" s="293" t="inlineStr">
        <is>
          <t>N/A</t>
        </is>
      </c>
      <c r="C185" s="294" t="inlineStr">
        <is>
          <t>N/A</t>
        </is>
      </c>
      <c r="D185" s="292" t="inlineStr">
        <is>
          <t>N/A</t>
        </is>
      </c>
      <c r="E185" s="284" t="inlineStr">
        <is>
          <t>N/A</t>
        </is>
      </c>
      <c r="F185" s="285" t="inlineStr">
        <is>
          <t>N/A</t>
        </is>
      </c>
      <c r="G185" s="286" t="inlineStr">
        <is>
          <t>MRSA NXG</t>
        </is>
      </c>
      <c r="H185" s="286" t="n"/>
      <c r="I185" s="286" t="n"/>
      <c r="J185" s="286" t="n"/>
      <c r="K185" s="286" t="n"/>
      <c r="L185" s="286" t="n"/>
      <c r="M185" s="286" t="n"/>
      <c r="N185" s="291" t="inlineStr">
        <is>
          <t>ALQT,NATTROL,MSSE</t>
        </is>
      </c>
      <c r="O185" s="288" t="inlineStr">
        <is>
          <t>NEG IPT kylskåp</t>
        </is>
      </c>
      <c r="P185" s="289" t="n">
        <v>0</v>
      </c>
    </row>
    <row r="186">
      <c r="A186" s="282" t="inlineStr">
        <is>
          <t>525-00088</t>
        </is>
      </c>
      <c r="B186" s="293" t="inlineStr">
        <is>
          <t>081925Masa</t>
        </is>
      </c>
      <c r="C186" s="294" t="n">
        <v>46174</v>
      </c>
      <c r="D186" s="282" t="inlineStr">
        <is>
          <t>6 rör</t>
        </is>
      </c>
      <c r="E186" s="284" t="n">
        <v>45985</v>
      </c>
      <c r="F186" s="285" t="inlineStr">
        <is>
          <t>ELS</t>
        </is>
      </c>
      <c r="G186" s="286" t="inlineStr">
        <is>
          <t>STREPA</t>
        </is>
      </c>
      <c r="H186" s="286" t="n"/>
      <c r="I186" s="286" t="n"/>
      <c r="J186" s="286" t="n"/>
      <c r="K186" s="286" t="n"/>
      <c r="L186" s="286" t="n"/>
      <c r="M186" s="286" t="n"/>
      <c r="N186" s="287" t="inlineStr">
        <is>
          <t>ALQT, NATTROL, STREP A HIGH</t>
        </is>
      </c>
      <c r="O186" s="288" t="inlineStr">
        <is>
          <t>POS IPT kylskåp</t>
        </is>
      </c>
      <c r="P186" s="289" t="n">
        <v>1</v>
      </c>
    </row>
    <row r="187">
      <c r="A187" s="282" t="inlineStr">
        <is>
          <t>525-00088</t>
        </is>
      </c>
      <c r="B187" s="293" t="inlineStr">
        <is>
          <t>N/A</t>
        </is>
      </c>
      <c r="C187" s="294" t="inlineStr">
        <is>
          <t>N/A</t>
        </is>
      </c>
      <c r="D187" s="282" t="inlineStr">
        <is>
          <t>N/A</t>
        </is>
      </c>
      <c r="E187" s="284" t="inlineStr">
        <is>
          <t>N/A</t>
        </is>
      </c>
      <c r="F187" s="285" t="inlineStr">
        <is>
          <t>N/A</t>
        </is>
      </c>
      <c r="G187" s="286" t="inlineStr">
        <is>
          <t>STREPA</t>
        </is>
      </c>
      <c r="H187" s="286" t="n"/>
      <c r="I187" s="286" t="n"/>
      <c r="J187" s="286" t="n"/>
      <c r="K187" s="286" t="n"/>
      <c r="L187" s="286" t="n"/>
      <c r="M187" s="286" t="n"/>
      <c r="N187" s="287" t="inlineStr">
        <is>
          <t>ALQT, NATTROL, STREP A HIGH</t>
        </is>
      </c>
      <c r="O187" s="288" t="inlineStr">
        <is>
          <t>POS IPT kylskåp</t>
        </is>
      </c>
      <c r="P187" s="289" t="n">
        <v>1</v>
      </c>
    </row>
    <row r="188">
      <c r="A188" s="282" t="inlineStr">
        <is>
          <t>525-00088</t>
        </is>
      </c>
      <c r="B188" s="293" t="inlineStr">
        <is>
          <t>N/A</t>
        </is>
      </c>
      <c r="C188" s="294" t="inlineStr">
        <is>
          <t>N/A</t>
        </is>
      </c>
      <c r="D188" s="282" t="inlineStr">
        <is>
          <t>N/A</t>
        </is>
      </c>
      <c r="E188" s="284" t="inlineStr">
        <is>
          <t>N/A</t>
        </is>
      </c>
      <c r="F188" s="285" t="inlineStr">
        <is>
          <t>N/A</t>
        </is>
      </c>
      <c r="G188" s="286" t="inlineStr">
        <is>
          <t>STREPA</t>
        </is>
      </c>
      <c r="H188" s="286" t="n"/>
      <c r="I188" s="286" t="n"/>
      <c r="J188" s="286" t="n"/>
      <c r="K188" s="286" t="n"/>
      <c r="L188" s="286" t="n"/>
      <c r="M188" s="286" t="n"/>
      <c r="N188" s="287" t="inlineStr">
        <is>
          <t>ALQT, NATTROL, STREP A HIGH</t>
        </is>
      </c>
      <c r="O188" s="288" t="inlineStr">
        <is>
          <t>POS IPT kylskåp</t>
        </is>
      </c>
      <c r="P188" s="289" t="n">
        <v>1</v>
      </c>
    </row>
    <row r="189">
      <c r="A189" s="282" t="inlineStr">
        <is>
          <t>525-00088</t>
        </is>
      </c>
      <c r="B189" s="293" t="inlineStr">
        <is>
          <t>N/A</t>
        </is>
      </c>
      <c r="C189" s="294" t="inlineStr">
        <is>
          <t>N/A</t>
        </is>
      </c>
      <c r="D189" s="282" t="inlineStr">
        <is>
          <t>N/A</t>
        </is>
      </c>
      <c r="E189" s="284" t="inlineStr">
        <is>
          <t>N/A</t>
        </is>
      </c>
      <c r="F189" s="285" t="inlineStr">
        <is>
          <t>N/A</t>
        </is>
      </c>
      <c r="G189" s="286" t="inlineStr">
        <is>
          <t>STREPA</t>
        </is>
      </c>
      <c r="H189" s="286" t="n"/>
      <c r="I189" s="286" t="n"/>
      <c r="J189" s="286" t="n"/>
      <c r="K189" s="286" t="n"/>
      <c r="L189" s="286" t="n"/>
      <c r="M189" s="286" t="n"/>
      <c r="N189" s="287" t="inlineStr">
        <is>
          <t>ALQT, NATTROL, STREP A HIGH</t>
        </is>
      </c>
      <c r="O189" s="288" t="inlineStr">
        <is>
          <t>POS IPT kylskåp</t>
        </is>
      </c>
      <c r="P189" s="289" t="n">
        <v>1</v>
      </c>
    </row>
    <row r="190">
      <c r="A190" s="282" t="inlineStr">
        <is>
          <t>525-00089</t>
        </is>
      </c>
      <c r="B190" s="283" t="inlineStr">
        <is>
          <t>081925Masa</t>
        </is>
      </c>
      <c r="C190" s="284" t="n">
        <v>46174</v>
      </c>
      <c r="D190" s="282" t="inlineStr">
        <is>
          <t>27 rör</t>
        </is>
      </c>
      <c r="E190" s="284" t="n">
        <v>46006</v>
      </c>
      <c r="F190" s="285" t="inlineStr">
        <is>
          <t>ELS</t>
        </is>
      </c>
      <c r="G190" s="286" t="inlineStr">
        <is>
          <t>STREPA</t>
        </is>
      </c>
      <c r="H190" s="286" t="n"/>
      <c r="I190" s="286" t="n"/>
      <c r="J190" s="286" t="n"/>
      <c r="K190" s="286" t="n"/>
      <c r="L190" s="286" t="n"/>
      <c r="M190" s="286" t="n"/>
      <c r="N190" s="287" t="inlineStr">
        <is>
          <t>ALQT, NATTROL, STREP A LOW</t>
        </is>
      </c>
      <c r="O190" s="288" t="inlineStr">
        <is>
          <t>POS IPT kylskåp</t>
        </is>
      </c>
      <c r="P190" s="289" t="n">
        <v>1</v>
      </c>
    </row>
    <row r="191">
      <c r="A191" s="282" t="inlineStr">
        <is>
          <t>525-00089</t>
        </is>
      </c>
      <c r="B191" s="283" t="inlineStr">
        <is>
          <t>N/A</t>
        </is>
      </c>
      <c r="C191" s="284" t="inlineStr">
        <is>
          <t>N/A</t>
        </is>
      </c>
      <c r="D191" s="282" t="inlineStr">
        <is>
          <t>N/A</t>
        </is>
      </c>
      <c r="E191" s="284" t="inlineStr">
        <is>
          <t>N/A</t>
        </is>
      </c>
      <c r="F191" s="285" t="inlineStr">
        <is>
          <t>N/A</t>
        </is>
      </c>
      <c r="G191" s="286" t="inlineStr">
        <is>
          <t>STREPA</t>
        </is>
      </c>
      <c r="H191" s="286" t="n"/>
      <c r="I191" s="286" t="n"/>
      <c r="J191" s="286" t="n"/>
      <c r="K191" s="286" t="n"/>
      <c r="L191" s="286" t="n"/>
      <c r="M191" s="286" t="n"/>
      <c r="N191" s="287" t="inlineStr">
        <is>
          <t>ALQT, NATTROL, STREP A LOW</t>
        </is>
      </c>
      <c r="O191" s="288" t="inlineStr">
        <is>
          <t>POS IPT kylskåp</t>
        </is>
      </c>
      <c r="P191" s="289" t="n">
        <v>1</v>
      </c>
    </row>
    <row r="192">
      <c r="A192" s="282" t="inlineStr">
        <is>
          <t>525-00089</t>
        </is>
      </c>
      <c r="B192" s="283" t="inlineStr">
        <is>
          <t>N/A</t>
        </is>
      </c>
      <c r="C192" s="284" t="inlineStr">
        <is>
          <t>N/A</t>
        </is>
      </c>
      <c r="D192" s="282" t="inlineStr">
        <is>
          <t>N/A</t>
        </is>
      </c>
      <c r="E192" s="284" t="inlineStr">
        <is>
          <t>N/A</t>
        </is>
      </c>
      <c r="F192" s="285" t="inlineStr">
        <is>
          <t>N/A</t>
        </is>
      </c>
      <c r="G192" s="286" t="inlineStr">
        <is>
          <t>STREPA</t>
        </is>
      </c>
      <c r="H192" s="286" t="n"/>
      <c r="I192" s="286" t="n"/>
      <c r="J192" s="286" t="n"/>
      <c r="K192" s="286" t="n"/>
      <c r="L192" s="286" t="n"/>
      <c r="M192" s="286" t="n"/>
      <c r="N192" s="287" t="inlineStr">
        <is>
          <t>ALQT, NATTROL, STREP A LOW</t>
        </is>
      </c>
      <c r="O192" s="288" t="inlineStr">
        <is>
          <t>POS IPT kylskåp</t>
        </is>
      </c>
      <c r="P192" s="289" t="n">
        <v>1</v>
      </c>
    </row>
    <row r="193">
      <c r="A193" s="282" t="inlineStr">
        <is>
          <t>525-00089</t>
        </is>
      </c>
      <c r="B193" s="283" t="inlineStr">
        <is>
          <t>N/A</t>
        </is>
      </c>
      <c r="C193" s="284" t="inlineStr">
        <is>
          <t>N/A</t>
        </is>
      </c>
      <c r="D193" s="282" t="inlineStr">
        <is>
          <t>N/A</t>
        </is>
      </c>
      <c r="E193" s="284" t="inlineStr">
        <is>
          <t>N/A</t>
        </is>
      </c>
      <c r="F193" s="285" t="inlineStr">
        <is>
          <t>N/A</t>
        </is>
      </c>
      <c r="G193" s="286" t="inlineStr">
        <is>
          <t>STREPA</t>
        </is>
      </c>
      <c r="H193" s="286" t="n"/>
      <c r="I193" s="286" t="n"/>
      <c r="J193" s="286" t="n"/>
      <c r="K193" s="286" t="n"/>
      <c r="L193" s="286" t="n"/>
      <c r="M193" s="286" t="n"/>
      <c r="N193" s="287" t="inlineStr">
        <is>
          <t>ALQT, NATTROL, STREP A LOW</t>
        </is>
      </c>
      <c r="O193" s="288" t="inlineStr">
        <is>
          <t>POS IPT kylskåp</t>
        </is>
      </c>
      <c r="P193" s="289" t="n">
        <v>1</v>
      </c>
    </row>
    <row r="194">
      <c r="A194" s="282" t="inlineStr">
        <is>
          <t>525-00090</t>
        </is>
      </c>
      <c r="B194" s="283" t="inlineStr">
        <is>
          <t>071625Masa</t>
        </is>
      </c>
      <c r="C194" s="284" t="n">
        <v>46174</v>
      </c>
      <c r="D194" s="282" t="inlineStr">
        <is>
          <t>1 låda + 4 rör</t>
        </is>
      </c>
      <c r="E194" s="284" t="n">
        <v>46006</v>
      </c>
      <c r="F194" s="285" t="inlineStr">
        <is>
          <t>vdao</t>
        </is>
      </c>
      <c r="G194" s="286" t="inlineStr">
        <is>
          <t>STREPA</t>
        </is>
      </c>
      <c r="H194" s="286" t="n"/>
      <c r="I194" s="286" t="n"/>
      <c r="J194" s="286" t="n"/>
      <c r="K194" s="286" t="n"/>
      <c r="L194" s="286" t="n"/>
      <c r="M194" s="286" t="n"/>
      <c r="N194" s="287" t="inlineStr">
        <is>
          <t>ALQT, NATTROL, NEG, STREP A</t>
        </is>
      </c>
      <c r="O194" s="288" t="inlineStr">
        <is>
          <t>NEG IPT kylskåp</t>
        </is>
      </c>
      <c r="P194" s="289" t="n">
        <v>0</v>
      </c>
    </row>
    <row r="195">
      <c r="A195" s="282" t="inlineStr">
        <is>
          <t>525-00090</t>
        </is>
      </c>
      <c r="B195" s="283" t="inlineStr">
        <is>
          <t>N/A</t>
        </is>
      </c>
      <c r="C195" s="284" t="inlineStr">
        <is>
          <t>N/A</t>
        </is>
      </c>
      <c r="D195" s="282" t="inlineStr">
        <is>
          <t>N/A</t>
        </is>
      </c>
      <c r="E195" s="284" t="inlineStr">
        <is>
          <t>N/A</t>
        </is>
      </c>
      <c r="F195" s="285" t="inlineStr">
        <is>
          <t>N/A</t>
        </is>
      </c>
      <c r="G195" s="286" t="inlineStr">
        <is>
          <t>STREPA</t>
        </is>
      </c>
      <c r="H195" s="286" t="n"/>
      <c r="I195" s="286" t="n"/>
      <c r="J195" s="286" t="n"/>
      <c r="K195" s="286" t="n"/>
      <c r="L195" s="286" t="n"/>
      <c r="M195" s="286" t="n"/>
      <c r="N195" s="287" t="inlineStr">
        <is>
          <t>ALQT, NATTROL, NEG, STREP A</t>
        </is>
      </c>
      <c r="O195" s="288" t="inlineStr">
        <is>
          <t>NEG IPT kylskåp</t>
        </is>
      </c>
      <c r="P195" s="289" t="n">
        <v>0</v>
      </c>
    </row>
    <row r="196">
      <c r="A196" s="282" t="inlineStr">
        <is>
          <t>525-00090</t>
        </is>
      </c>
      <c r="B196" s="283" t="inlineStr">
        <is>
          <t>N/A</t>
        </is>
      </c>
      <c r="C196" s="284" t="inlineStr">
        <is>
          <t>N/A</t>
        </is>
      </c>
      <c r="D196" s="282" t="inlineStr">
        <is>
          <t>N/A</t>
        </is>
      </c>
      <c r="E196" s="284" t="inlineStr">
        <is>
          <t>N/A</t>
        </is>
      </c>
      <c r="F196" s="285" t="inlineStr">
        <is>
          <t>N/A</t>
        </is>
      </c>
      <c r="G196" s="286" t="inlineStr">
        <is>
          <t>STREPA</t>
        </is>
      </c>
      <c r="H196" s="286" t="n"/>
      <c r="I196" s="286" t="n"/>
      <c r="J196" s="286" t="n"/>
      <c r="K196" s="286" t="n"/>
      <c r="L196" s="286" t="n"/>
      <c r="M196" s="286" t="n"/>
      <c r="N196" s="287" t="inlineStr">
        <is>
          <t>ALQT, NATTROL, NEG, STREP A</t>
        </is>
      </c>
      <c r="O196" s="288" t="inlineStr">
        <is>
          <t>NEG IPT kylskåp</t>
        </is>
      </c>
      <c r="P196" s="289" t="n">
        <v>0</v>
      </c>
    </row>
    <row r="197">
      <c r="A197" s="282" t="inlineStr">
        <is>
          <t>525-00090</t>
        </is>
      </c>
      <c r="B197" s="283" t="inlineStr">
        <is>
          <t>N/A</t>
        </is>
      </c>
      <c r="C197" s="284" t="inlineStr">
        <is>
          <t>N/A</t>
        </is>
      </c>
      <c r="D197" s="282" t="inlineStr">
        <is>
          <t>N/A</t>
        </is>
      </c>
      <c r="E197" s="284" t="inlineStr">
        <is>
          <t>N/A</t>
        </is>
      </c>
      <c r="F197" s="285" t="inlineStr">
        <is>
          <t>N/A</t>
        </is>
      </c>
      <c r="G197" s="286" t="inlineStr">
        <is>
          <t>STREPA</t>
        </is>
      </c>
      <c r="H197" s="286" t="n"/>
      <c r="I197" s="286" t="n"/>
      <c r="J197" s="286" t="n"/>
      <c r="K197" s="286" t="n"/>
      <c r="L197" s="286" t="n"/>
      <c r="M197" s="286" t="n"/>
      <c r="N197" s="287" t="inlineStr">
        <is>
          <t>ALQT, NATTROL, NEG, STREP A</t>
        </is>
      </c>
      <c r="O197" s="288" t="inlineStr">
        <is>
          <t>NEG IPT kylskåp</t>
        </is>
      </c>
      <c r="P197" s="289" t="n">
        <v>0</v>
      </c>
    </row>
    <row r="198">
      <c r="A198" s="282" t="inlineStr">
        <is>
          <t>525-00096</t>
        </is>
      </c>
      <c r="B198" s="293" t="inlineStr">
        <is>
          <t>102825ARMO</t>
        </is>
      </c>
      <c r="C198" s="294" t="n">
        <v>46174</v>
      </c>
      <c r="D198" s="292" t="inlineStr">
        <is>
          <t>4 rör</t>
        </is>
      </c>
      <c r="E198" s="284" t="n">
        <v>46052</v>
      </c>
      <c r="F198" s="285" t="inlineStr">
        <is>
          <t>ELS</t>
        </is>
      </c>
      <c r="G198" s="286" t="inlineStr">
        <is>
          <t>FLU RSV</t>
        </is>
      </c>
      <c r="H198" s="286" t="n"/>
      <c r="I198" s="286" t="n"/>
      <c r="J198" s="286" t="n"/>
      <c r="K198" s="286" t="n"/>
      <c r="L198" s="286" t="n"/>
      <c r="M198" s="286" t="n"/>
      <c r="N198" s="287" t="inlineStr">
        <is>
          <t>FluA High control ALQT</t>
        </is>
      </c>
      <c r="O198" s="288" t="inlineStr">
        <is>
          <t>POS IPT kylskåp</t>
        </is>
      </c>
      <c r="P198" s="289" t="n">
        <v>1</v>
      </c>
    </row>
    <row r="199">
      <c r="A199" s="282" t="inlineStr">
        <is>
          <t>525-00096</t>
        </is>
      </c>
      <c r="B199" s="293" t="inlineStr">
        <is>
          <t>N/A</t>
        </is>
      </c>
      <c r="C199" s="294" t="inlineStr">
        <is>
          <t>N/A</t>
        </is>
      </c>
      <c r="D199" s="292" t="inlineStr">
        <is>
          <t>N/A</t>
        </is>
      </c>
      <c r="E199" s="284" t="inlineStr">
        <is>
          <t>N/A</t>
        </is>
      </c>
      <c r="F199" s="285" t="inlineStr">
        <is>
          <t>N/A</t>
        </is>
      </c>
      <c r="G199" s="286" t="inlineStr">
        <is>
          <t>FLU RSV</t>
        </is>
      </c>
      <c r="H199" s="286" t="n"/>
      <c r="I199" s="286" t="n"/>
      <c r="J199" s="286" t="n"/>
      <c r="K199" s="286" t="n"/>
      <c r="L199" s="286" t="n"/>
      <c r="M199" s="286" t="n"/>
      <c r="N199" s="287" t="inlineStr">
        <is>
          <t>FluA High control ALQT</t>
        </is>
      </c>
      <c r="O199" s="288" t="inlineStr">
        <is>
          <t>POS IPT kylskåp</t>
        </is>
      </c>
      <c r="P199" s="289" t="n">
        <v>1</v>
      </c>
    </row>
    <row r="200">
      <c r="A200" s="282" t="inlineStr">
        <is>
          <t>525-00096</t>
        </is>
      </c>
      <c r="B200" s="293" t="inlineStr">
        <is>
          <t>N/A</t>
        </is>
      </c>
      <c r="C200" s="294" t="inlineStr">
        <is>
          <t>N/A</t>
        </is>
      </c>
      <c r="D200" s="292" t="inlineStr">
        <is>
          <t>N/A</t>
        </is>
      </c>
      <c r="E200" s="284" t="inlineStr">
        <is>
          <t>N/A</t>
        </is>
      </c>
      <c r="F200" s="285" t="inlineStr">
        <is>
          <t>N/A</t>
        </is>
      </c>
      <c r="G200" s="286" t="inlineStr">
        <is>
          <t>FLU RSV</t>
        </is>
      </c>
      <c r="H200" s="286" t="n"/>
      <c r="I200" s="286" t="n"/>
      <c r="J200" s="286" t="n"/>
      <c r="K200" s="286" t="n"/>
      <c r="L200" s="286" t="n"/>
      <c r="M200" s="286" t="n"/>
      <c r="N200" s="287" t="inlineStr">
        <is>
          <t>FluA High control ALQT</t>
        </is>
      </c>
      <c r="O200" s="288" t="inlineStr">
        <is>
          <t>POS IPT kylskåp</t>
        </is>
      </c>
      <c r="P200" s="289" t="n">
        <v>1</v>
      </c>
    </row>
    <row r="201">
      <c r="A201" s="282" t="inlineStr">
        <is>
          <t>525-00096</t>
        </is>
      </c>
      <c r="B201" s="293" t="inlineStr">
        <is>
          <t>N/A</t>
        </is>
      </c>
      <c r="C201" s="294" t="inlineStr">
        <is>
          <t>N/A</t>
        </is>
      </c>
      <c r="D201" s="292" t="inlineStr">
        <is>
          <t>N/A</t>
        </is>
      </c>
      <c r="E201" s="284" t="inlineStr">
        <is>
          <t>N/A</t>
        </is>
      </c>
      <c r="F201" s="285" t="inlineStr">
        <is>
          <t>N/A</t>
        </is>
      </c>
      <c r="G201" s="286" t="inlineStr">
        <is>
          <t>FLU RSV</t>
        </is>
      </c>
      <c r="H201" s="286" t="n"/>
      <c r="I201" s="286" t="n"/>
      <c r="J201" s="286" t="n"/>
      <c r="K201" s="286" t="n"/>
      <c r="L201" s="286" t="n"/>
      <c r="M201" s="286" t="n"/>
      <c r="N201" s="287" t="inlineStr">
        <is>
          <t>FluA High control ALQT</t>
        </is>
      </c>
      <c r="O201" s="288" t="inlineStr">
        <is>
          <t>POS IPT kylskåp</t>
        </is>
      </c>
      <c r="P201" s="289" t="n">
        <v>1</v>
      </c>
    </row>
    <row r="202">
      <c r="A202" s="282" t="inlineStr">
        <is>
          <t>525-00097</t>
        </is>
      </c>
      <c r="B202" s="293" t="inlineStr">
        <is>
          <t>102825ARMO</t>
        </is>
      </c>
      <c r="C202" s="294" t="n">
        <v>46174</v>
      </c>
      <c r="D202" s="282" t="inlineStr">
        <is>
          <t>3 lådor</t>
        </is>
      </c>
      <c r="E202" s="284" t="n">
        <v>46063</v>
      </c>
      <c r="F202" s="285" t="inlineStr">
        <is>
          <t>vdao</t>
        </is>
      </c>
      <c r="G202" s="286" t="inlineStr">
        <is>
          <t>FLUVID</t>
        </is>
      </c>
      <c r="H202" s="286" t="inlineStr">
        <is>
          <t>FLU RSV</t>
        </is>
      </c>
      <c r="I202" s="286" t="n"/>
      <c r="J202" s="286" t="n"/>
      <c r="K202" s="286" t="n"/>
      <c r="L202" s="286" t="n"/>
      <c r="M202" s="286" t="n"/>
      <c r="N202" s="287" t="inlineStr">
        <is>
          <t>FluA Low control ALQT</t>
        </is>
      </c>
      <c r="O202" s="288" t="inlineStr">
        <is>
          <t>POS IPT kylskåp</t>
        </is>
      </c>
      <c r="P202" s="289" t="n">
        <v>1</v>
      </c>
    </row>
    <row r="203">
      <c r="A203" s="282" t="inlineStr">
        <is>
          <t>525-00097</t>
        </is>
      </c>
      <c r="B203" s="293" t="inlineStr">
        <is>
          <t>N/A</t>
        </is>
      </c>
      <c r="C203" s="294" t="inlineStr">
        <is>
          <t>N/A</t>
        </is>
      </c>
      <c r="D203" s="282" t="inlineStr">
        <is>
          <t>N/A</t>
        </is>
      </c>
      <c r="E203" s="284" t="inlineStr">
        <is>
          <t>N/A</t>
        </is>
      </c>
      <c r="F203" s="285" t="inlineStr">
        <is>
          <t>N/A</t>
        </is>
      </c>
      <c r="G203" s="286" t="inlineStr">
        <is>
          <t>FLUVID</t>
        </is>
      </c>
      <c r="H203" s="286" t="inlineStr">
        <is>
          <t>FLU RSV</t>
        </is>
      </c>
      <c r="I203" s="286" t="n"/>
      <c r="J203" s="286" t="n"/>
      <c r="K203" s="286" t="n"/>
      <c r="L203" s="286" t="n"/>
      <c r="M203" s="286" t="n"/>
      <c r="N203" s="287" t="inlineStr">
        <is>
          <t>FluA Low control ALQT</t>
        </is>
      </c>
      <c r="O203" s="288" t="inlineStr">
        <is>
          <t>POS IPT kylskåp</t>
        </is>
      </c>
      <c r="P203" s="289" t="n">
        <v>1</v>
      </c>
    </row>
    <row r="204">
      <c r="A204" s="282" t="inlineStr">
        <is>
          <t>525-00097</t>
        </is>
      </c>
      <c r="B204" s="293" t="inlineStr">
        <is>
          <t>N/A</t>
        </is>
      </c>
      <c r="C204" s="294" t="inlineStr">
        <is>
          <t>N/A</t>
        </is>
      </c>
      <c r="D204" s="282" t="inlineStr">
        <is>
          <t>N/A</t>
        </is>
      </c>
      <c r="E204" s="284" t="inlineStr">
        <is>
          <t>N/A</t>
        </is>
      </c>
      <c r="F204" s="285" t="inlineStr">
        <is>
          <t>N/A</t>
        </is>
      </c>
      <c r="G204" s="286" t="inlineStr">
        <is>
          <t>FLUVID</t>
        </is>
      </c>
      <c r="H204" s="286" t="inlineStr">
        <is>
          <t>FLU RSV</t>
        </is>
      </c>
      <c r="I204" s="286" t="n"/>
      <c r="J204" s="286" t="n"/>
      <c r="K204" s="286" t="n"/>
      <c r="L204" s="286" t="n"/>
      <c r="M204" s="286" t="n"/>
      <c r="N204" s="287" t="inlineStr">
        <is>
          <t>FluA Low control ALQT</t>
        </is>
      </c>
      <c r="O204" s="288" t="inlineStr">
        <is>
          <t>POS IPT kylskåp</t>
        </is>
      </c>
      <c r="P204" s="289" t="n">
        <v>1</v>
      </c>
    </row>
    <row r="205">
      <c r="A205" s="282" t="inlineStr">
        <is>
          <t>525-00097</t>
        </is>
      </c>
      <c r="B205" s="293" t="inlineStr">
        <is>
          <t>N/A</t>
        </is>
      </c>
      <c r="C205" s="294" t="inlineStr">
        <is>
          <t>N/A</t>
        </is>
      </c>
      <c r="D205" s="282" t="inlineStr">
        <is>
          <t>N/A</t>
        </is>
      </c>
      <c r="E205" s="284" t="inlineStr">
        <is>
          <t>N/A</t>
        </is>
      </c>
      <c r="F205" s="285" t="inlineStr">
        <is>
          <t>N/A</t>
        </is>
      </c>
      <c r="G205" s="286" t="inlineStr">
        <is>
          <t>FLUVID</t>
        </is>
      </c>
      <c r="H205" s="286" t="inlineStr">
        <is>
          <t>FLU RSV</t>
        </is>
      </c>
      <c r="I205" s="286" t="n"/>
      <c r="J205" s="286" t="n"/>
      <c r="K205" s="286" t="n"/>
      <c r="L205" s="286" t="n"/>
      <c r="M205" s="286" t="n"/>
      <c r="N205" s="287" t="inlineStr">
        <is>
          <t>FluA Low control ALQT</t>
        </is>
      </c>
      <c r="O205" s="288" t="inlineStr">
        <is>
          <t>POS IPT kylskåp</t>
        </is>
      </c>
      <c r="P205" s="289" t="n">
        <v>1</v>
      </c>
    </row>
    <row r="206">
      <c r="A206" s="282" t="inlineStr">
        <is>
          <t>525-00098</t>
        </is>
      </c>
      <c r="B206" s="293" t="inlineStr">
        <is>
          <t>102225SAMI</t>
        </is>
      </c>
      <c r="C206" s="294" t="n">
        <v>46174</v>
      </c>
      <c r="D206" s="292" t="inlineStr">
        <is>
          <t xml:space="preserve"> 4 rör</t>
        </is>
      </c>
      <c r="E206" s="284" t="n">
        <v>46052</v>
      </c>
      <c r="F206" s="285" t="inlineStr">
        <is>
          <t>ELS</t>
        </is>
      </c>
      <c r="G206" s="286" t="inlineStr">
        <is>
          <t>FLU RSV</t>
        </is>
      </c>
      <c r="H206" s="286" t="n"/>
      <c r="I206" s="286" t="n"/>
      <c r="J206" s="286" t="n"/>
      <c r="K206" s="286" t="n"/>
      <c r="L206" s="286" t="n"/>
      <c r="M206" s="286" t="n"/>
      <c r="N206" s="287" t="inlineStr">
        <is>
          <t>FluB High control ALQT</t>
        </is>
      </c>
      <c r="O206" s="288" t="inlineStr">
        <is>
          <t>POS IPT kylskåp</t>
        </is>
      </c>
      <c r="P206" s="289" t="n">
        <v>1</v>
      </c>
    </row>
    <row r="207">
      <c r="A207" s="282" t="inlineStr">
        <is>
          <t>525-00098</t>
        </is>
      </c>
      <c r="B207" s="293" t="inlineStr">
        <is>
          <t>N/A</t>
        </is>
      </c>
      <c r="C207" s="294" t="inlineStr">
        <is>
          <t>N/A</t>
        </is>
      </c>
      <c r="D207" s="292" t="inlineStr">
        <is>
          <t>N/A</t>
        </is>
      </c>
      <c r="E207" s="284" t="inlineStr">
        <is>
          <t>N/A</t>
        </is>
      </c>
      <c r="F207" s="285" t="inlineStr">
        <is>
          <t>N/A</t>
        </is>
      </c>
      <c r="G207" s="286" t="inlineStr">
        <is>
          <t>FLU RSV</t>
        </is>
      </c>
      <c r="H207" s="286" t="n"/>
      <c r="I207" s="286" t="n"/>
      <c r="J207" s="286" t="n"/>
      <c r="K207" s="286" t="n"/>
      <c r="L207" s="286" t="n"/>
      <c r="M207" s="286" t="n"/>
      <c r="N207" s="287" t="inlineStr">
        <is>
          <t>FluB High control ALQT</t>
        </is>
      </c>
      <c r="O207" s="288" t="inlineStr">
        <is>
          <t>POS IPT kylskåp</t>
        </is>
      </c>
      <c r="P207" s="289" t="n">
        <v>1</v>
      </c>
    </row>
    <row r="208">
      <c r="A208" s="282" t="inlineStr">
        <is>
          <t>525-00098</t>
        </is>
      </c>
      <c r="B208" s="293" t="inlineStr">
        <is>
          <t>N/A</t>
        </is>
      </c>
      <c r="C208" s="294" t="inlineStr">
        <is>
          <t>N/A</t>
        </is>
      </c>
      <c r="D208" s="292" t="inlineStr">
        <is>
          <t>N/A</t>
        </is>
      </c>
      <c r="E208" s="284" t="inlineStr">
        <is>
          <t>N/A</t>
        </is>
      </c>
      <c r="F208" s="285" t="inlineStr">
        <is>
          <t>N/A</t>
        </is>
      </c>
      <c r="G208" s="286" t="inlineStr">
        <is>
          <t>FLU RSV</t>
        </is>
      </c>
      <c r="H208" s="286" t="n"/>
      <c r="I208" s="286" t="n"/>
      <c r="J208" s="286" t="n"/>
      <c r="K208" s="286" t="n"/>
      <c r="L208" s="286" t="n"/>
      <c r="M208" s="286" t="n"/>
      <c r="N208" s="287" t="inlineStr">
        <is>
          <t>FluB High control ALQT</t>
        </is>
      </c>
      <c r="O208" s="288" t="inlineStr">
        <is>
          <t>POS IPT kylskåp</t>
        </is>
      </c>
      <c r="P208" s="289" t="n">
        <v>1</v>
      </c>
    </row>
    <row r="209">
      <c r="A209" s="282" t="inlineStr">
        <is>
          <t>525-00098</t>
        </is>
      </c>
      <c r="B209" s="293" t="inlineStr">
        <is>
          <t>N/A</t>
        </is>
      </c>
      <c r="C209" s="294" t="inlineStr">
        <is>
          <t>N/A</t>
        </is>
      </c>
      <c r="D209" s="292" t="inlineStr">
        <is>
          <t>N/A</t>
        </is>
      </c>
      <c r="E209" s="284" t="inlineStr">
        <is>
          <t>N/A</t>
        </is>
      </c>
      <c r="F209" s="285" t="inlineStr">
        <is>
          <t>N/A</t>
        </is>
      </c>
      <c r="G209" s="286" t="inlineStr">
        <is>
          <t>FLU RSV</t>
        </is>
      </c>
      <c r="H209" s="286" t="n"/>
      <c r="I209" s="286" t="n"/>
      <c r="J209" s="286" t="n"/>
      <c r="K209" s="286" t="n"/>
      <c r="L209" s="286" t="n"/>
      <c r="M209" s="286" t="n"/>
      <c r="N209" s="287" t="inlineStr">
        <is>
          <t>FluB High control ALQT</t>
        </is>
      </c>
      <c r="O209" s="288" t="inlineStr">
        <is>
          <t>POS IPT kylskåp</t>
        </is>
      </c>
      <c r="P209" s="289" t="n">
        <v>1</v>
      </c>
    </row>
    <row r="210">
      <c r="A210" s="282" t="inlineStr">
        <is>
          <t>525-00099</t>
        </is>
      </c>
      <c r="B210" s="293" t="inlineStr">
        <is>
          <t>100325MMM</t>
        </is>
      </c>
      <c r="C210" s="294" t="n">
        <v>46174</v>
      </c>
      <c r="D210" s="282" t="inlineStr">
        <is>
          <t>2 LÅdor</t>
        </is>
      </c>
      <c r="E210" s="284" t="n">
        <v>46052</v>
      </c>
      <c r="F210" s="285" t="inlineStr">
        <is>
          <t>ELS</t>
        </is>
      </c>
      <c r="G210" s="286" t="inlineStr">
        <is>
          <t>FLUVID</t>
        </is>
      </c>
      <c r="H210" s="286" t="inlineStr">
        <is>
          <t>FLU RSV</t>
        </is>
      </c>
      <c r="I210" s="286" t="n"/>
      <c r="J210" s="286" t="n"/>
      <c r="K210" s="286" t="n"/>
      <c r="L210" s="286" t="n"/>
      <c r="M210" s="286" t="n"/>
      <c r="N210" s="287" t="inlineStr">
        <is>
          <t>FluB Low control ALQT</t>
        </is>
      </c>
      <c r="O210" s="288" t="inlineStr">
        <is>
          <t>POS IPT kylskåp</t>
        </is>
      </c>
      <c r="P210" s="289" t="n">
        <v>1</v>
      </c>
    </row>
    <row r="211">
      <c r="A211" s="282" t="inlineStr">
        <is>
          <t>525-00099</t>
        </is>
      </c>
      <c r="B211" s="293" t="inlineStr">
        <is>
          <t>N/A</t>
        </is>
      </c>
      <c r="C211" s="294" t="inlineStr">
        <is>
          <t>N/A</t>
        </is>
      </c>
      <c r="D211" s="282" t="inlineStr">
        <is>
          <t>N/A</t>
        </is>
      </c>
      <c r="E211" s="284" t="inlineStr">
        <is>
          <t>N/A</t>
        </is>
      </c>
      <c r="F211" s="285" t="inlineStr">
        <is>
          <t>N/A</t>
        </is>
      </c>
      <c r="G211" s="286" t="inlineStr">
        <is>
          <t>FLUVID</t>
        </is>
      </c>
      <c r="H211" s="286" t="inlineStr">
        <is>
          <t>FLU RSV</t>
        </is>
      </c>
      <c r="I211" s="286" t="n"/>
      <c r="J211" s="286" t="n"/>
      <c r="K211" s="286" t="n"/>
      <c r="L211" s="286" t="n"/>
      <c r="M211" s="286" t="n"/>
      <c r="N211" s="287" t="inlineStr">
        <is>
          <t>FluB Low control ALQT</t>
        </is>
      </c>
      <c r="O211" s="288" t="inlineStr">
        <is>
          <t>POS IPT kylskåp</t>
        </is>
      </c>
      <c r="P211" s="289" t="n">
        <v>1</v>
      </c>
    </row>
    <row r="212">
      <c r="A212" s="282" t="inlineStr">
        <is>
          <t>525-00099</t>
        </is>
      </c>
      <c r="B212" s="293" t="inlineStr">
        <is>
          <t>N/A</t>
        </is>
      </c>
      <c r="C212" s="294" t="inlineStr">
        <is>
          <t>N/A</t>
        </is>
      </c>
      <c r="D212" s="282" t="inlineStr">
        <is>
          <t>N/A</t>
        </is>
      </c>
      <c r="E212" s="284" t="inlineStr">
        <is>
          <t>N/A</t>
        </is>
      </c>
      <c r="F212" s="285" t="inlineStr">
        <is>
          <t>N/A</t>
        </is>
      </c>
      <c r="G212" s="286" t="inlineStr">
        <is>
          <t>FLUVID</t>
        </is>
      </c>
      <c r="H212" s="286" t="inlineStr">
        <is>
          <t>FLU RSV</t>
        </is>
      </c>
      <c r="I212" s="286" t="n"/>
      <c r="J212" s="286" t="n"/>
      <c r="K212" s="286" t="n"/>
      <c r="L212" s="286" t="n"/>
      <c r="M212" s="286" t="n"/>
      <c r="N212" s="287" t="inlineStr">
        <is>
          <t>FluB Low control ALQT</t>
        </is>
      </c>
      <c r="O212" s="288" t="inlineStr">
        <is>
          <t>POS IPT kylskåp</t>
        </is>
      </c>
      <c r="P212" s="289" t="n">
        <v>1</v>
      </c>
    </row>
    <row r="213">
      <c r="A213" s="282" t="inlineStr">
        <is>
          <t>525-00099</t>
        </is>
      </c>
      <c r="B213" s="293" t="inlineStr">
        <is>
          <t>N/A</t>
        </is>
      </c>
      <c r="C213" s="294" t="inlineStr">
        <is>
          <t>N/A</t>
        </is>
      </c>
      <c r="D213" s="282" t="inlineStr">
        <is>
          <t>N/A</t>
        </is>
      </c>
      <c r="E213" s="284" t="inlineStr">
        <is>
          <t>N/A</t>
        </is>
      </c>
      <c r="F213" s="285" t="inlineStr">
        <is>
          <t>N/A</t>
        </is>
      </c>
      <c r="G213" s="286" t="inlineStr">
        <is>
          <t>FLUVID</t>
        </is>
      </c>
      <c r="H213" s="286" t="inlineStr">
        <is>
          <t>FLU RSV</t>
        </is>
      </c>
      <c r="I213" s="286" t="n"/>
      <c r="J213" s="286" t="n"/>
      <c r="K213" s="286" t="n"/>
      <c r="L213" s="286" t="n"/>
      <c r="M213" s="286" t="n"/>
      <c r="N213" s="287" t="inlineStr">
        <is>
          <t>FluB Low control ALQT</t>
        </is>
      </c>
      <c r="O213" s="288" t="inlineStr">
        <is>
          <t>POS IPT kylskåp</t>
        </is>
      </c>
      <c r="P213" s="289" t="n">
        <v>1</v>
      </c>
    </row>
    <row r="214">
      <c r="A214" s="282" t="inlineStr">
        <is>
          <t>525-00101</t>
        </is>
      </c>
      <c r="B214" s="283" t="inlineStr">
        <is>
          <t>N/A</t>
        </is>
      </c>
      <c r="C214" s="284" t="inlineStr">
        <is>
          <t>N/A</t>
        </is>
      </c>
      <c r="D214" s="282" t="inlineStr">
        <is>
          <t>N/A</t>
        </is>
      </c>
      <c r="E214" s="284" t="inlineStr">
        <is>
          <t>N/A</t>
        </is>
      </c>
      <c r="F214" s="285" t="inlineStr">
        <is>
          <t>N/A</t>
        </is>
      </c>
      <c r="G214" s="286" t="inlineStr">
        <is>
          <t>FLU RSV</t>
        </is>
      </c>
      <c r="H214" s="286" t="n"/>
      <c r="I214" s="286" t="n"/>
      <c r="J214" s="286" t="n"/>
      <c r="K214" s="286" t="n"/>
      <c r="L214" s="286" t="n"/>
      <c r="M214" s="286" t="n"/>
      <c r="N214" s="287" t="inlineStr">
        <is>
          <t>RSVB High control ALQT</t>
        </is>
      </c>
      <c r="O214" s="288" t="inlineStr">
        <is>
          <t>POS IPT kylskåp</t>
        </is>
      </c>
      <c r="P214" s="289" t="n">
        <v>1</v>
      </c>
    </row>
    <row r="215">
      <c r="A215" s="282" t="inlineStr">
        <is>
          <t>525-00101</t>
        </is>
      </c>
      <c r="B215" s="283" t="inlineStr">
        <is>
          <t>N/A</t>
        </is>
      </c>
      <c r="C215" s="284" t="inlineStr">
        <is>
          <t>N/A</t>
        </is>
      </c>
      <c r="D215" s="282" t="inlineStr">
        <is>
          <t>N/A</t>
        </is>
      </c>
      <c r="E215" s="284" t="inlineStr">
        <is>
          <t>N/A</t>
        </is>
      </c>
      <c r="F215" s="285" t="inlineStr">
        <is>
          <t>N/A</t>
        </is>
      </c>
      <c r="G215" s="286" t="inlineStr">
        <is>
          <t>FLU RSV</t>
        </is>
      </c>
      <c r="H215" s="286" t="n"/>
      <c r="I215" s="286" t="n"/>
      <c r="J215" s="286" t="n"/>
      <c r="K215" s="286" t="n"/>
      <c r="L215" s="286" t="n"/>
      <c r="M215" s="286" t="n"/>
      <c r="N215" s="287" t="inlineStr">
        <is>
          <t>RSVB High control ALQT</t>
        </is>
      </c>
      <c r="O215" s="288" t="inlineStr">
        <is>
          <t>POS IPT kylskåp</t>
        </is>
      </c>
      <c r="P215" s="289" t="n">
        <v>1</v>
      </c>
    </row>
    <row r="216">
      <c r="A216" s="282" t="inlineStr">
        <is>
          <t>525-00101</t>
        </is>
      </c>
      <c r="B216" s="283" t="inlineStr">
        <is>
          <t>N/A</t>
        </is>
      </c>
      <c r="C216" s="284" t="inlineStr">
        <is>
          <t>N/A</t>
        </is>
      </c>
      <c r="D216" s="282" t="inlineStr">
        <is>
          <t>N/A</t>
        </is>
      </c>
      <c r="E216" s="284" t="inlineStr">
        <is>
          <t>N/A</t>
        </is>
      </c>
      <c r="F216" s="285" t="inlineStr">
        <is>
          <t>N/A</t>
        </is>
      </c>
      <c r="G216" s="286" t="inlineStr">
        <is>
          <t>FLU RSV</t>
        </is>
      </c>
      <c r="H216" s="286" t="n"/>
      <c r="I216" s="286" t="n"/>
      <c r="J216" s="286" t="n"/>
      <c r="K216" s="286" t="n"/>
      <c r="L216" s="286" t="n"/>
      <c r="M216" s="286" t="n"/>
      <c r="N216" s="287" t="inlineStr">
        <is>
          <t>RSVB High control ALQT</t>
        </is>
      </c>
      <c r="O216" s="288" t="inlineStr">
        <is>
          <t>POS IPT kylskåp</t>
        </is>
      </c>
      <c r="P216" s="289" t="n">
        <v>1</v>
      </c>
    </row>
    <row r="217">
      <c r="A217" s="282" t="inlineStr">
        <is>
          <t>525-00101</t>
        </is>
      </c>
      <c r="B217" s="283" t="inlineStr">
        <is>
          <t>N/A</t>
        </is>
      </c>
      <c r="C217" s="284" t="inlineStr">
        <is>
          <t>N/A</t>
        </is>
      </c>
      <c r="D217" s="282" t="inlineStr">
        <is>
          <t>N/A</t>
        </is>
      </c>
      <c r="E217" s="284" t="inlineStr">
        <is>
          <t>N/A</t>
        </is>
      </c>
      <c r="F217" s="285" t="inlineStr">
        <is>
          <t>N/A</t>
        </is>
      </c>
      <c r="G217" s="286" t="inlineStr">
        <is>
          <t>FLU RSV</t>
        </is>
      </c>
      <c r="H217" s="286" t="n"/>
      <c r="I217" s="286" t="n"/>
      <c r="J217" s="286" t="n"/>
      <c r="K217" s="286" t="n"/>
      <c r="L217" s="286" t="n"/>
      <c r="M217" s="286" t="n"/>
      <c r="N217" s="287" t="inlineStr">
        <is>
          <t>RSVB High control ALQT</t>
        </is>
      </c>
      <c r="O217" s="288" t="inlineStr">
        <is>
          <t>POS IPT kylskåp</t>
        </is>
      </c>
      <c r="P217" s="289" t="n">
        <v>1</v>
      </c>
    </row>
    <row r="218">
      <c r="A218" s="282" t="inlineStr">
        <is>
          <t>525-00102</t>
        </is>
      </c>
      <c r="B218" s="293" t="inlineStr">
        <is>
          <t>N/A</t>
        </is>
      </c>
      <c r="C218" s="294" t="inlineStr">
        <is>
          <t>N/A</t>
        </is>
      </c>
      <c r="D218" s="292" t="inlineStr">
        <is>
          <t>N/A</t>
        </is>
      </c>
      <c r="E218" s="284" t="inlineStr">
        <is>
          <t>N/A</t>
        </is>
      </c>
      <c r="F218" s="285" t="inlineStr">
        <is>
          <t>N/A</t>
        </is>
      </c>
      <c r="G218" s="286" t="inlineStr">
        <is>
          <t>FLUVID</t>
        </is>
      </c>
      <c r="H218" s="286" t="inlineStr">
        <is>
          <t>FLU RSV</t>
        </is>
      </c>
      <c r="I218" s="286" t="n"/>
      <c r="J218" s="286" t="n"/>
      <c r="K218" s="286" t="n"/>
      <c r="L218" s="286" t="n"/>
      <c r="M218" s="286" t="n"/>
      <c r="N218" s="287" t="inlineStr">
        <is>
          <t>RSVB Low control ALQT</t>
        </is>
      </c>
      <c r="O218" s="288" t="inlineStr">
        <is>
          <t>POS IPT kylskåp</t>
        </is>
      </c>
      <c r="P218" s="289" t="n">
        <v>1</v>
      </c>
    </row>
    <row r="219">
      <c r="A219" s="282" t="inlineStr">
        <is>
          <t>525-00102</t>
        </is>
      </c>
      <c r="B219" s="293" t="inlineStr">
        <is>
          <t>N/A</t>
        </is>
      </c>
      <c r="C219" s="294" t="inlineStr">
        <is>
          <t>N/A</t>
        </is>
      </c>
      <c r="D219" s="292" t="inlineStr">
        <is>
          <t>N/A</t>
        </is>
      </c>
      <c r="E219" s="284" t="inlineStr">
        <is>
          <t>N/A</t>
        </is>
      </c>
      <c r="F219" s="285" t="inlineStr">
        <is>
          <t>N/A</t>
        </is>
      </c>
      <c r="G219" s="286" t="inlineStr">
        <is>
          <t>FLUVID</t>
        </is>
      </c>
      <c r="H219" s="286" t="inlineStr">
        <is>
          <t>FLU RSV</t>
        </is>
      </c>
      <c r="I219" s="286" t="n"/>
      <c r="J219" s="286" t="n"/>
      <c r="K219" s="286" t="n"/>
      <c r="L219" s="286" t="n"/>
      <c r="M219" s="286" t="n"/>
      <c r="N219" s="287" t="inlineStr">
        <is>
          <t>RSVB Low control ALQT</t>
        </is>
      </c>
      <c r="O219" s="288" t="inlineStr">
        <is>
          <t>POS IPT kylskåp</t>
        </is>
      </c>
      <c r="P219" s="289" t="n">
        <v>1</v>
      </c>
    </row>
    <row r="220">
      <c r="A220" s="282" t="inlineStr">
        <is>
          <t>525-00102</t>
        </is>
      </c>
      <c r="B220" s="293" t="inlineStr">
        <is>
          <t>N/A</t>
        </is>
      </c>
      <c r="C220" s="294" t="inlineStr">
        <is>
          <t>N/A</t>
        </is>
      </c>
      <c r="D220" s="292" t="inlineStr">
        <is>
          <t>N/A</t>
        </is>
      </c>
      <c r="E220" s="284" t="inlineStr">
        <is>
          <t>N/A</t>
        </is>
      </c>
      <c r="F220" s="285" t="inlineStr">
        <is>
          <t>N/A</t>
        </is>
      </c>
      <c r="G220" s="286" t="inlineStr">
        <is>
          <t>FLUVID</t>
        </is>
      </c>
      <c r="H220" s="286" t="inlineStr">
        <is>
          <t>FLU RSV</t>
        </is>
      </c>
      <c r="I220" s="286" t="n"/>
      <c r="J220" s="286" t="n"/>
      <c r="K220" s="286" t="n"/>
      <c r="L220" s="286" t="n"/>
      <c r="M220" s="286" t="n"/>
      <c r="N220" s="287" t="inlineStr">
        <is>
          <t>RSVB Low control ALQT</t>
        </is>
      </c>
      <c r="O220" s="288" t="inlineStr">
        <is>
          <t>POS IPT kylskåp</t>
        </is>
      </c>
      <c r="P220" s="289" t="n">
        <v>1</v>
      </c>
    </row>
    <row r="221">
      <c r="A221" s="282" t="inlineStr">
        <is>
          <t>525-00102</t>
        </is>
      </c>
      <c r="B221" s="293" t="inlineStr">
        <is>
          <t>N/A</t>
        </is>
      </c>
      <c r="C221" s="294" t="inlineStr">
        <is>
          <t>N/A</t>
        </is>
      </c>
      <c r="D221" s="292" t="inlineStr">
        <is>
          <t>N/A</t>
        </is>
      </c>
      <c r="E221" s="284" t="inlineStr">
        <is>
          <t>N/A</t>
        </is>
      </c>
      <c r="F221" s="285" t="inlineStr">
        <is>
          <t>N/A</t>
        </is>
      </c>
      <c r="G221" s="286" t="inlineStr">
        <is>
          <t>FLUVID</t>
        </is>
      </c>
      <c r="H221" s="286" t="inlineStr">
        <is>
          <t>FLU RSV</t>
        </is>
      </c>
      <c r="I221" s="286" t="n"/>
      <c r="J221" s="286" t="n"/>
      <c r="K221" s="286" t="n"/>
      <c r="L221" s="286" t="n"/>
      <c r="M221" s="286" t="n"/>
      <c r="N221" s="287" t="inlineStr">
        <is>
          <t>RSVB Low control ALQT</t>
        </is>
      </c>
      <c r="O221" s="288" t="inlineStr">
        <is>
          <t>POS IPT kylskåp</t>
        </is>
      </c>
      <c r="P221" s="289" t="n">
        <v>1</v>
      </c>
    </row>
    <row r="222">
      <c r="A222" s="282" t="inlineStr">
        <is>
          <t>525-00103</t>
        </is>
      </c>
      <c r="B222" s="283" t="inlineStr">
        <is>
          <t>070325Masa</t>
        </is>
      </c>
      <c r="C222" s="284" t="n">
        <v>46681</v>
      </c>
      <c r="D222" s="282" t="inlineStr">
        <is>
          <t>30 rör</t>
        </is>
      </c>
      <c r="E222" s="284" t="n">
        <v>46007</v>
      </c>
      <c r="F222" s="285" t="inlineStr">
        <is>
          <t>ELS</t>
        </is>
      </c>
      <c r="G222" s="286" t="inlineStr">
        <is>
          <t>HCV FS</t>
        </is>
      </c>
      <c r="H222" s="286" t="n"/>
      <c r="I222" s="286" t="n"/>
      <c r="J222" s="286" t="n"/>
      <c r="K222" s="286" t="n"/>
      <c r="L222" s="286" t="n"/>
      <c r="M222" s="286" t="n"/>
      <c r="N222" s="287" t="inlineStr">
        <is>
          <t>FS HCV Low</t>
        </is>
      </c>
      <c r="O222" s="288" t="inlineStr">
        <is>
          <t>POS IPT -80 frys</t>
        </is>
      </c>
      <c r="P222" s="289" t="n">
        <v>1</v>
      </c>
    </row>
    <row r="223">
      <c r="A223" s="282" t="inlineStr">
        <is>
          <t>525-00103</t>
        </is>
      </c>
      <c r="B223" s="283" t="inlineStr">
        <is>
          <t>N/A</t>
        </is>
      </c>
      <c r="C223" s="284" t="inlineStr">
        <is>
          <t>N/A</t>
        </is>
      </c>
      <c r="D223" s="282" t="inlineStr">
        <is>
          <t>N/A</t>
        </is>
      </c>
      <c r="E223" s="284" t="inlineStr">
        <is>
          <t>N/A</t>
        </is>
      </c>
      <c r="F223" s="285" t="inlineStr">
        <is>
          <t>N/A</t>
        </is>
      </c>
      <c r="G223" s="286" t="inlineStr">
        <is>
          <t>HCV FS</t>
        </is>
      </c>
      <c r="H223" s="286" t="n"/>
      <c r="I223" s="286" t="n"/>
      <c r="J223" s="286" t="n"/>
      <c r="K223" s="286" t="n"/>
      <c r="L223" s="286" t="n"/>
      <c r="M223" s="286" t="n"/>
      <c r="N223" s="287" t="inlineStr">
        <is>
          <t>FS HCV Low</t>
        </is>
      </c>
      <c r="O223" s="288" t="inlineStr">
        <is>
          <t>POS IPT -80 frys</t>
        </is>
      </c>
      <c r="P223" s="289" t="n">
        <v>1</v>
      </c>
    </row>
    <row r="224">
      <c r="A224" s="282" t="inlineStr">
        <is>
          <t>525-00103</t>
        </is>
      </c>
      <c r="B224" s="283" t="inlineStr">
        <is>
          <t>N/A</t>
        </is>
      </c>
      <c r="C224" s="284" t="inlineStr">
        <is>
          <t>N/A</t>
        </is>
      </c>
      <c r="D224" s="282" t="inlineStr">
        <is>
          <t>N/A</t>
        </is>
      </c>
      <c r="E224" s="284" t="inlineStr">
        <is>
          <t>N/A</t>
        </is>
      </c>
      <c r="F224" s="285" t="inlineStr">
        <is>
          <t>N/A</t>
        </is>
      </c>
      <c r="G224" s="286" t="inlineStr">
        <is>
          <t>HCV FS</t>
        </is>
      </c>
      <c r="H224" s="286" t="n"/>
      <c r="I224" s="286" t="n"/>
      <c r="J224" s="286" t="n"/>
      <c r="K224" s="286" t="n"/>
      <c r="L224" s="286" t="n"/>
      <c r="M224" s="286" t="n"/>
      <c r="N224" s="287" t="inlineStr">
        <is>
          <t>FS HCV Low</t>
        </is>
      </c>
      <c r="O224" s="288" t="inlineStr">
        <is>
          <t>POS IPT -80 frys</t>
        </is>
      </c>
      <c r="P224" s="289" t="n">
        <v>1</v>
      </c>
    </row>
    <row r="225">
      <c r="A225" s="282" t="inlineStr">
        <is>
          <t>525-00103</t>
        </is>
      </c>
      <c r="B225" s="283" t="inlineStr">
        <is>
          <t>N/A</t>
        </is>
      </c>
      <c r="C225" s="284" t="inlineStr">
        <is>
          <t>N/A</t>
        </is>
      </c>
      <c r="D225" s="282" t="inlineStr">
        <is>
          <t>N/A</t>
        </is>
      </c>
      <c r="E225" s="284" t="inlineStr">
        <is>
          <t>N/A</t>
        </is>
      </c>
      <c r="F225" s="285" t="inlineStr">
        <is>
          <t>N/A</t>
        </is>
      </c>
      <c r="G225" s="286" t="inlineStr">
        <is>
          <t>HCV FS</t>
        </is>
      </c>
      <c r="H225" s="286" t="n"/>
      <c r="I225" s="286" t="n"/>
      <c r="J225" s="286" t="n"/>
      <c r="K225" s="286" t="n"/>
      <c r="L225" s="286" t="n"/>
      <c r="M225" s="286" t="n"/>
      <c r="N225" s="287" t="inlineStr">
        <is>
          <t>FS HCV Low</t>
        </is>
      </c>
      <c r="O225" s="288" t="inlineStr">
        <is>
          <t>POS IPT -80 frys</t>
        </is>
      </c>
      <c r="P225" s="289" t="n">
        <v>1</v>
      </c>
    </row>
    <row r="226">
      <c r="A226" s="282" t="inlineStr">
        <is>
          <t>525-00104</t>
        </is>
      </c>
      <c r="B226" s="283" t="inlineStr">
        <is>
          <t>030524VW-A</t>
        </is>
      </c>
      <c r="C226" s="284" t="n">
        <v>46196</v>
      </c>
      <c r="D226" s="282" t="inlineStr">
        <is>
          <t>5 rör</t>
        </is>
      </c>
      <c r="E226" s="284" t="n">
        <v>46007</v>
      </c>
      <c r="F226" s="285" t="inlineStr">
        <is>
          <t>ELS</t>
        </is>
      </c>
      <c r="G226" s="286" t="inlineStr">
        <is>
          <t>HCV FS</t>
        </is>
      </c>
      <c r="H226" s="286" t="n"/>
      <c r="I226" s="286" t="n"/>
      <c r="J226" s="286" t="n"/>
      <c r="K226" s="286" t="n"/>
      <c r="L226" s="286" t="n"/>
      <c r="M226" s="286" t="n"/>
      <c r="N226" s="287" t="inlineStr">
        <is>
          <t>FS HCV High</t>
        </is>
      </c>
      <c r="O226" s="288" t="inlineStr">
        <is>
          <t>POS IPT -80 frys</t>
        </is>
      </c>
      <c r="P226" s="289" t="n">
        <v>1</v>
      </c>
    </row>
    <row r="227">
      <c r="A227" s="282" t="inlineStr">
        <is>
          <t>525-00104</t>
        </is>
      </c>
      <c r="B227" s="283" t="inlineStr">
        <is>
          <t>030724VW-B</t>
        </is>
      </c>
      <c r="C227" s="284" t="n">
        <v>46198</v>
      </c>
      <c r="D227" s="282" t="inlineStr">
        <is>
          <t>6 RÖR</t>
        </is>
      </c>
      <c r="E227" s="284" t="n">
        <v>46007</v>
      </c>
      <c r="F227" s="285" t="inlineStr">
        <is>
          <t>els</t>
        </is>
      </c>
      <c r="G227" s="286" t="inlineStr">
        <is>
          <t>HCV FS</t>
        </is>
      </c>
      <c r="H227" s="286" t="n"/>
      <c r="I227" s="286" t="n"/>
      <c r="J227" s="286" t="n"/>
      <c r="K227" s="286" t="n"/>
      <c r="L227" s="286" t="n"/>
      <c r="M227" s="286" t="n"/>
      <c r="N227" s="287" t="inlineStr">
        <is>
          <t>FS HCV High</t>
        </is>
      </c>
      <c r="O227" s="288" t="inlineStr">
        <is>
          <t>POS IPT -80 frys</t>
        </is>
      </c>
      <c r="P227" s="289" t="n">
        <v>1</v>
      </c>
    </row>
    <row r="228">
      <c r="A228" s="282" t="inlineStr">
        <is>
          <t>525-00104</t>
        </is>
      </c>
      <c r="B228" s="283" t="inlineStr">
        <is>
          <t>N/A</t>
        </is>
      </c>
      <c r="C228" s="284" t="inlineStr">
        <is>
          <t>N/A</t>
        </is>
      </c>
      <c r="D228" s="282" t="inlineStr">
        <is>
          <t>N/A</t>
        </is>
      </c>
      <c r="E228" s="284" t="inlineStr">
        <is>
          <t>N/A</t>
        </is>
      </c>
      <c r="F228" s="285" t="inlineStr">
        <is>
          <t>N/A</t>
        </is>
      </c>
      <c r="G228" s="286" t="inlineStr">
        <is>
          <t>HCV FS</t>
        </is>
      </c>
      <c r="H228" s="286" t="n"/>
      <c r="I228" s="286" t="n"/>
      <c r="J228" s="286" t="n"/>
      <c r="K228" s="286" t="n"/>
      <c r="L228" s="286" t="n"/>
      <c r="M228" s="286" t="n"/>
      <c r="N228" s="287" t="inlineStr">
        <is>
          <t>FS HCV High</t>
        </is>
      </c>
      <c r="O228" s="288" t="inlineStr">
        <is>
          <t>POS IPT -80 frys</t>
        </is>
      </c>
      <c r="P228" s="289" t="n">
        <v>1</v>
      </c>
    </row>
    <row r="229">
      <c r="A229" s="282" t="inlineStr">
        <is>
          <t>525-00104</t>
        </is>
      </c>
      <c r="B229" s="283" t="inlineStr">
        <is>
          <t>N/A</t>
        </is>
      </c>
      <c r="C229" s="284" t="inlineStr">
        <is>
          <t>N/A</t>
        </is>
      </c>
      <c r="D229" s="282" t="inlineStr">
        <is>
          <t>N/A</t>
        </is>
      </c>
      <c r="E229" s="284" t="inlineStr">
        <is>
          <t>N/A</t>
        </is>
      </c>
      <c r="F229" s="285" t="inlineStr">
        <is>
          <t>N/A</t>
        </is>
      </c>
      <c r="G229" s="286" t="inlineStr">
        <is>
          <t>HCV FS</t>
        </is>
      </c>
      <c r="H229" s="286" t="n"/>
      <c r="I229" s="286" t="n"/>
      <c r="J229" s="286" t="n"/>
      <c r="K229" s="286" t="n"/>
      <c r="L229" s="286" t="n"/>
      <c r="M229" s="286" t="n"/>
      <c r="N229" s="287" t="inlineStr">
        <is>
          <t>FS HCV High</t>
        </is>
      </c>
      <c r="O229" s="288" t="inlineStr">
        <is>
          <t>POS IPT -80 frys</t>
        </is>
      </c>
      <c r="P229" s="289" t="n">
        <v>1</v>
      </c>
    </row>
    <row r="230">
      <c r="A230" s="282" t="inlineStr">
        <is>
          <t>525-00113</t>
        </is>
      </c>
      <c r="B230" s="293" t="inlineStr">
        <is>
          <t>N/A</t>
        </is>
      </c>
      <c r="C230" s="294" t="inlineStr">
        <is>
          <t>N/A</t>
        </is>
      </c>
      <c r="D230" s="292" t="inlineStr">
        <is>
          <t>N/A</t>
        </is>
      </c>
      <c r="E230" s="284" t="inlineStr">
        <is>
          <t>N/A</t>
        </is>
      </c>
      <c r="F230" s="285" t="inlineStr">
        <is>
          <t>N/A</t>
        </is>
      </c>
      <c r="G230" s="286" t="inlineStr">
        <is>
          <t>HCV FS</t>
        </is>
      </c>
      <c r="H230" s="286" t="inlineStr">
        <is>
          <t>HIV QA XC</t>
        </is>
      </c>
      <c r="I230" s="286" t="n"/>
      <c r="J230" s="286" t="n"/>
      <c r="K230" s="286" t="n"/>
      <c r="L230" s="286" t="n"/>
      <c r="M230" s="286" t="n"/>
      <c r="N230" s="287" t="inlineStr">
        <is>
          <t>EDTA Human Whole Blood</t>
        </is>
      </c>
      <c r="O230" s="288" t="inlineStr">
        <is>
          <t>NEG IPT kylskåp</t>
        </is>
      </c>
      <c r="P230" s="289" t="n">
        <v>0</v>
      </c>
    </row>
    <row r="231">
      <c r="A231" s="282" t="inlineStr">
        <is>
          <t>525-00113</t>
        </is>
      </c>
      <c r="B231" s="293" t="inlineStr">
        <is>
          <t>N/A</t>
        </is>
      </c>
      <c r="C231" s="294" t="inlineStr">
        <is>
          <t>N/A</t>
        </is>
      </c>
      <c r="D231" s="292" t="inlineStr">
        <is>
          <t>N/A</t>
        </is>
      </c>
      <c r="E231" s="284" t="inlineStr">
        <is>
          <t>N/A</t>
        </is>
      </c>
      <c r="F231" s="285" t="inlineStr">
        <is>
          <t>N/A</t>
        </is>
      </c>
      <c r="G231" s="286" t="inlineStr">
        <is>
          <t>HCV FS</t>
        </is>
      </c>
      <c r="H231" s="286" t="inlineStr">
        <is>
          <t>HIV QA XC</t>
        </is>
      </c>
      <c r="I231" s="286" t="n"/>
      <c r="J231" s="286" t="n"/>
      <c r="K231" s="286" t="n"/>
      <c r="L231" s="286" t="n"/>
      <c r="M231" s="286" t="n"/>
      <c r="N231" s="287" t="inlineStr">
        <is>
          <t>EDTA Human Whole Blood</t>
        </is>
      </c>
      <c r="O231" s="288" t="inlineStr">
        <is>
          <t>NEG IPT kylskåp</t>
        </is>
      </c>
      <c r="P231" s="289" t="n">
        <v>0</v>
      </c>
    </row>
    <row r="232">
      <c r="A232" s="282" t="inlineStr">
        <is>
          <t>525-00113</t>
        </is>
      </c>
      <c r="B232" s="293" t="inlineStr">
        <is>
          <t>N/A</t>
        </is>
      </c>
      <c r="C232" s="294" t="inlineStr">
        <is>
          <t>N/A</t>
        </is>
      </c>
      <c r="D232" s="292" t="inlineStr">
        <is>
          <t>N/A</t>
        </is>
      </c>
      <c r="E232" s="284" t="inlineStr">
        <is>
          <t>N/A</t>
        </is>
      </c>
      <c r="F232" s="285" t="inlineStr">
        <is>
          <t>N/A</t>
        </is>
      </c>
      <c r="G232" s="286" t="inlineStr">
        <is>
          <t>HCV FS</t>
        </is>
      </c>
      <c r="H232" s="286" t="inlineStr">
        <is>
          <t>HIV QA XC</t>
        </is>
      </c>
      <c r="I232" s="286" t="n"/>
      <c r="J232" s="286" t="n"/>
      <c r="K232" s="286" t="n"/>
      <c r="L232" s="286" t="n"/>
      <c r="M232" s="286" t="n"/>
      <c r="N232" s="287" t="inlineStr">
        <is>
          <t>EDTA Human Whole Blood</t>
        </is>
      </c>
      <c r="O232" s="288" t="inlineStr">
        <is>
          <t>NEG IPT kylskåp</t>
        </is>
      </c>
      <c r="P232" s="289" t="n">
        <v>0</v>
      </c>
    </row>
    <row r="233">
      <c r="A233" s="282" t="inlineStr">
        <is>
          <t>525-00113</t>
        </is>
      </c>
      <c r="B233" s="293" t="inlineStr">
        <is>
          <t>N/A</t>
        </is>
      </c>
      <c r="C233" s="294" t="inlineStr">
        <is>
          <t>N/A</t>
        </is>
      </c>
      <c r="D233" s="292" t="inlineStr">
        <is>
          <t>N/A</t>
        </is>
      </c>
      <c r="E233" s="284" t="inlineStr">
        <is>
          <t>N/A</t>
        </is>
      </c>
      <c r="F233" s="285" t="inlineStr">
        <is>
          <t>N/A</t>
        </is>
      </c>
      <c r="G233" s="286" t="inlineStr">
        <is>
          <t>HCV FS</t>
        </is>
      </c>
      <c r="H233" s="286" t="inlineStr">
        <is>
          <t>HIV QA XC</t>
        </is>
      </c>
      <c r="I233" s="286" t="n"/>
      <c r="J233" s="286" t="n"/>
      <c r="K233" s="286" t="n"/>
      <c r="L233" s="286" t="n"/>
      <c r="M233" s="286" t="n"/>
      <c r="N233" s="287" t="inlineStr">
        <is>
          <t>EDTA Human Whole Blood</t>
        </is>
      </c>
      <c r="O233" s="288" t="inlineStr">
        <is>
          <t>NEG IPT kylskåp</t>
        </is>
      </c>
      <c r="P233" s="289" t="n">
        <v>0</v>
      </c>
    </row>
    <row r="234">
      <c r="A234" s="282" t="inlineStr">
        <is>
          <t>525-00114</t>
        </is>
      </c>
      <c r="B234" s="293" t="inlineStr">
        <is>
          <t>111924VW</t>
        </is>
      </c>
      <c r="C234" s="294" t="n">
        <v>46710</v>
      </c>
      <c r="D234" s="298" t="inlineStr">
        <is>
          <t>2 lådor NEG</t>
        </is>
      </c>
      <c r="E234" s="284" t="n">
        <v>46062</v>
      </c>
      <c r="F234" s="285" t="inlineStr">
        <is>
          <t>vdao</t>
        </is>
      </c>
      <c r="G234" s="286" t="inlineStr">
        <is>
          <t>HBV</t>
        </is>
      </c>
      <c r="H234" s="286" t="n"/>
      <c r="I234" s="286" t="n"/>
      <c r="J234" s="286" t="n"/>
      <c r="K234" s="286" t="n"/>
      <c r="L234" s="286" t="n"/>
      <c r="M234" s="286" t="n"/>
      <c r="N234" s="287" t="inlineStr">
        <is>
          <t>Serum “HBV NTC”</t>
        </is>
      </c>
      <c r="O234" s="288" t="inlineStr">
        <is>
          <t>POS IPT -20 frys</t>
        </is>
      </c>
      <c r="P234" s="289" t="n">
        <v>2</v>
      </c>
    </row>
    <row r="235">
      <c r="A235" s="282" t="inlineStr">
        <is>
          <t>525-00114</t>
        </is>
      </c>
      <c r="B235" s="293" t="inlineStr">
        <is>
          <t>102424VW</t>
        </is>
      </c>
      <c r="C235" s="294" t="n">
        <v>46684</v>
      </c>
      <c r="D235" s="292" t="n">
        <v>0</v>
      </c>
      <c r="E235" s="284" t="n">
        <v>46062</v>
      </c>
      <c r="F235" s="285" t="inlineStr">
        <is>
          <t>vdao</t>
        </is>
      </c>
      <c r="G235" s="286" t="inlineStr">
        <is>
          <t>HBV</t>
        </is>
      </c>
      <c r="H235" s="286" t="n"/>
      <c r="I235" s="286" t="n"/>
      <c r="J235" s="286" t="n"/>
      <c r="K235" s="286" t="n"/>
      <c r="L235" s="286" t="n"/>
      <c r="M235" s="286" t="n"/>
      <c r="N235" s="287" t="inlineStr">
        <is>
          <t>Serum “HBV NTC”</t>
        </is>
      </c>
      <c r="O235" s="288" t="inlineStr">
        <is>
          <t>POS IPT -20 frys</t>
        </is>
      </c>
      <c r="P235" s="289" t="n">
        <v>2</v>
      </c>
    </row>
    <row r="236">
      <c r="A236" s="282" t="inlineStr">
        <is>
          <t>525-00114</t>
        </is>
      </c>
      <c r="B236" s="293" t="inlineStr">
        <is>
          <t>111924VW</t>
        </is>
      </c>
      <c r="C236" s="294" t="n">
        <v>46710</v>
      </c>
      <c r="D236" s="292" t="inlineStr">
        <is>
          <t>1 låda POS</t>
        </is>
      </c>
      <c r="E236" s="284" t="n">
        <v>46063</v>
      </c>
      <c r="F236" s="285" t="inlineStr">
        <is>
          <t>vdao</t>
        </is>
      </c>
      <c r="G236" s="286" t="inlineStr">
        <is>
          <t>HBV</t>
        </is>
      </c>
      <c r="H236" s="286" t="n"/>
      <c r="I236" s="286" t="n"/>
      <c r="J236" s="286" t="n"/>
      <c r="K236" s="286" t="n"/>
      <c r="L236" s="286" t="n"/>
      <c r="M236" s="286" t="n"/>
      <c r="N236" s="287" t="inlineStr">
        <is>
          <t>Serum “HBV NTC”</t>
        </is>
      </c>
      <c r="O236" s="288" t="inlineStr">
        <is>
          <t>NEG IPT -20 frys</t>
        </is>
      </c>
      <c r="P236" s="289" t="n">
        <v>2</v>
      </c>
    </row>
    <row r="237">
      <c r="A237" s="282" t="inlineStr">
        <is>
          <t>525-00114</t>
        </is>
      </c>
      <c r="B237" s="293" t="inlineStr">
        <is>
          <t>111524MATE</t>
        </is>
      </c>
      <c r="C237" s="294" t="n">
        <v>46706</v>
      </c>
      <c r="D237" s="292" t="inlineStr">
        <is>
          <t>1 låda POS</t>
        </is>
      </c>
      <c r="E237" s="284" t="n">
        <v>46063</v>
      </c>
      <c r="F237" s="285" t="inlineStr">
        <is>
          <t>vdao</t>
        </is>
      </c>
      <c r="G237" s="286" t="inlineStr">
        <is>
          <t>HBV</t>
        </is>
      </c>
      <c r="H237" s="286" t="n"/>
      <c r="I237" s="286" t="n"/>
      <c r="J237" s="286" t="n"/>
      <c r="K237" s="286" t="n"/>
      <c r="L237" s="286" t="n"/>
      <c r="M237" s="286" t="n"/>
      <c r="N237" s="287" t="inlineStr">
        <is>
          <t>Serum “HBV NTC”</t>
        </is>
      </c>
      <c r="O237" s="288" t="inlineStr">
        <is>
          <t>NEG IPT -20 frys</t>
        </is>
      </c>
      <c r="P237" s="289" t="n">
        <v>2</v>
      </c>
    </row>
    <row r="238">
      <c r="A238" s="282" t="inlineStr">
        <is>
          <t>525-00120</t>
        </is>
      </c>
      <c r="B238" s="283" t="inlineStr">
        <is>
          <t>081425ELIF</t>
        </is>
      </c>
      <c r="C238" s="284" t="n">
        <v>46248</v>
      </c>
      <c r="D238" s="292" t="inlineStr">
        <is>
          <t>4 Lådor</t>
        </is>
      </c>
      <c r="E238" s="284" t="n">
        <v>46064</v>
      </c>
      <c r="F238" s="285" t="inlineStr">
        <is>
          <t>ELS</t>
        </is>
      </c>
      <c r="G238" s="286" t="inlineStr">
        <is>
          <t>HIV VL XC</t>
        </is>
      </c>
      <c r="H238" s="286" t="n"/>
      <c r="I238" s="286" t="n"/>
      <c r="J238" s="286" t="n"/>
      <c r="K238" s="286" t="n"/>
      <c r="L238" s="286" t="n"/>
      <c r="M238" s="286" t="n"/>
      <c r="N238" s="287" t="inlineStr">
        <is>
          <t>HIV VL XC  LOW</t>
        </is>
      </c>
      <c r="O238" s="288" t="inlineStr">
        <is>
          <t>POS IPT -80 frys</t>
        </is>
      </c>
      <c r="P238" s="289" t="n">
        <v>1</v>
      </c>
    </row>
    <row r="239">
      <c r="A239" s="282" t="inlineStr">
        <is>
          <t>525-00120</t>
        </is>
      </c>
      <c r="B239" s="283" t="inlineStr">
        <is>
          <t>032725SAMI</t>
        </is>
      </c>
      <c r="C239" s="284" t="n">
        <v>46108</v>
      </c>
      <c r="D239" s="292" t="inlineStr">
        <is>
          <t>3.5 Låda</t>
        </is>
      </c>
      <c r="E239" s="284" t="n">
        <v>46064</v>
      </c>
      <c r="F239" s="285" t="inlineStr">
        <is>
          <t>els</t>
        </is>
      </c>
      <c r="G239" s="286" t="inlineStr">
        <is>
          <t>HIV VL XC</t>
        </is>
      </c>
      <c r="H239" s="286" t="n"/>
      <c r="I239" s="286" t="n"/>
      <c r="J239" s="286" t="n"/>
      <c r="K239" s="286" t="n"/>
      <c r="L239" s="286" t="n"/>
      <c r="M239" s="286" t="n"/>
      <c r="N239" s="287" t="inlineStr">
        <is>
          <t>HIV VL XC  LOW</t>
        </is>
      </c>
      <c r="O239" s="288" t="inlineStr">
        <is>
          <t>POS IPT -80 frys</t>
        </is>
      </c>
      <c r="P239" s="289" t="n">
        <v>1</v>
      </c>
    </row>
    <row r="240">
      <c r="A240" s="282" t="inlineStr">
        <is>
          <t>525-00120</t>
        </is>
      </c>
      <c r="B240" s="283" t="inlineStr">
        <is>
          <t>N/A</t>
        </is>
      </c>
      <c r="C240" s="284" t="inlineStr">
        <is>
          <t>N/A</t>
        </is>
      </c>
      <c r="D240" s="292" t="inlineStr">
        <is>
          <t>N/A</t>
        </is>
      </c>
      <c r="E240" s="284" t="inlineStr">
        <is>
          <t>N/A</t>
        </is>
      </c>
      <c r="F240" s="285" t="inlineStr">
        <is>
          <t>N/A</t>
        </is>
      </c>
      <c r="G240" s="286" t="inlineStr">
        <is>
          <t>HIV VL XC</t>
        </is>
      </c>
      <c r="H240" s="286" t="n"/>
      <c r="I240" s="286" t="n"/>
      <c r="J240" s="286" t="n"/>
      <c r="K240" s="286" t="n"/>
      <c r="L240" s="286" t="n"/>
      <c r="M240" s="286" t="n"/>
      <c r="N240" s="287" t="inlineStr">
        <is>
          <t>HIV VL XC  LOW</t>
        </is>
      </c>
      <c r="O240" s="288" t="inlineStr">
        <is>
          <t>POS IPT -80 frys</t>
        </is>
      </c>
      <c r="P240" s="289" t="n">
        <v>1</v>
      </c>
    </row>
    <row r="241">
      <c r="A241" s="282" t="inlineStr">
        <is>
          <t>525-00120</t>
        </is>
      </c>
      <c r="B241" s="283" t="inlineStr">
        <is>
          <t>N/A</t>
        </is>
      </c>
      <c r="C241" s="284" t="inlineStr">
        <is>
          <t>N/A</t>
        </is>
      </c>
      <c r="D241" s="292" t="inlineStr">
        <is>
          <t>N/A</t>
        </is>
      </c>
      <c r="E241" s="284" t="inlineStr">
        <is>
          <t>N/A</t>
        </is>
      </c>
      <c r="F241" s="285" t="inlineStr">
        <is>
          <t>N/A</t>
        </is>
      </c>
      <c r="G241" s="286" t="inlineStr">
        <is>
          <t>HIV VL XC</t>
        </is>
      </c>
      <c r="H241" s="286" t="n"/>
      <c r="I241" s="286" t="n"/>
      <c r="J241" s="286" t="n"/>
      <c r="K241" s="286" t="n"/>
      <c r="L241" s="286" t="n"/>
      <c r="M241" s="286" t="n"/>
      <c r="N241" s="287" t="inlineStr">
        <is>
          <t>HIV VL XC  LOW</t>
        </is>
      </c>
      <c r="O241" s="288" t="inlineStr">
        <is>
          <t>POS IPT -80 frys</t>
        </is>
      </c>
      <c r="P241" s="289" t="n">
        <v>1</v>
      </c>
    </row>
    <row r="242">
      <c r="A242" s="282" t="inlineStr">
        <is>
          <t>525-00131</t>
        </is>
      </c>
      <c r="B242" s="293" t="inlineStr">
        <is>
          <t>101425MMM</t>
        </is>
      </c>
      <c r="C242" s="294" t="n">
        <v>46309</v>
      </c>
      <c r="D242" s="282" t="inlineStr">
        <is>
          <t>1.5 Lådor</t>
        </is>
      </c>
      <c r="E242" s="284" t="n">
        <v>46064</v>
      </c>
      <c r="F242" s="285" t="inlineStr">
        <is>
          <t>ELS</t>
        </is>
      </c>
      <c r="G242" s="286" t="inlineStr">
        <is>
          <t>HIV VL XC</t>
        </is>
      </c>
      <c r="H242" s="286" t="n"/>
      <c r="I242" s="286" t="n"/>
      <c r="J242" s="286" t="n"/>
      <c r="K242" s="286" t="n"/>
      <c r="L242" s="286" t="n"/>
      <c r="M242" s="286" t="n"/>
      <c r="N242" s="287" t="inlineStr">
        <is>
          <t>HIV VL XC HIGH</t>
        </is>
      </c>
      <c r="O242" s="288" t="inlineStr">
        <is>
          <t>POS IPT -80 frys</t>
        </is>
      </c>
      <c r="P242" s="289" t="n">
        <v>1</v>
      </c>
    </row>
    <row r="243">
      <c r="A243" s="282" t="inlineStr">
        <is>
          <t>525-00131</t>
        </is>
      </c>
      <c r="B243" s="293" t="inlineStr">
        <is>
          <t>032725SAMI</t>
        </is>
      </c>
      <c r="C243" s="294" t="n">
        <v>46108</v>
      </c>
      <c r="D243" s="282" t="inlineStr">
        <is>
          <t>2 RÖR</t>
        </is>
      </c>
      <c r="E243" s="284" t="n">
        <v>46064</v>
      </c>
      <c r="F243" s="285" t="inlineStr">
        <is>
          <t>ELS</t>
        </is>
      </c>
      <c r="G243" s="286" t="inlineStr">
        <is>
          <t>HIV VL XC</t>
        </is>
      </c>
      <c r="H243" s="286" t="n"/>
      <c r="I243" s="286" t="n"/>
      <c r="J243" s="286" t="n"/>
      <c r="K243" s="286" t="n"/>
      <c r="L243" s="286" t="n"/>
      <c r="M243" s="286" t="n"/>
      <c r="N243" s="287" t="inlineStr">
        <is>
          <t>HIV VL XC HIGH</t>
        </is>
      </c>
      <c r="O243" s="288" t="inlineStr">
        <is>
          <t>POS IPT -80 frys</t>
        </is>
      </c>
      <c r="P243" s="289" t="n">
        <v>1</v>
      </c>
    </row>
    <row r="244">
      <c r="A244" s="282" t="inlineStr">
        <is>
          <t>525-00131</t>
        </is>
      </c>
      <c r="B244" s="293" t="inlineStr">
        <is>
          <t>081425ELIF</t>
        </is>
      </c>
      <c r="C244" s="294" t="n">
        <v>46248</v>
      </c>
      <c r="D244" s="282" t="inlineStr">
        <is>
          <t>1 låda</t>
        </is>
      </c>
      <c r="E244" s="284" t="n">
        <v>45986</v>
      </c>
      <c r="F244" s="285" t="inlineStr">
        <is>
          <t>ELS</t>
        </is>
      </c>
      <c r="G244" s="286" t="inlineStr">
        <is>
          <t>HIV VL XC</t>
        </is>
      </c>
      <c r="H244" s="286" t="n"/>
      <c r="I244" s="286" t="n"/>
      <c r="J244" s="286" t="n"/>
      <c r="K244" s="286" t="n"/>
      <c r="L244" s="286" t="n"/>
      <c r="M244" s="286" t="n"/>
      <c r="N244" s="287" t="inlineStr">
        <is>
          <t>HIV VL XC HIGH</t>
        </is>
      </c>
      <c r="O244" s="288" t="inlineStr">
        <is>
          <t>POS IPT -80 frys</t>
        </is>
      </c>
      <c r="P244" s="289" t="n">
        <v>1</v>
      </c>
    </row>
    <row r="245">
      <c r="A245" s="282" t="inlineStr">
        <is>
          <t>525-00131</t>
        </is>
      </c>
      <c r="B245" s="293" t="inlineStr">
        <is>
          <t>N/A</t>
        </is>
      </c>
      <c r="C245" s="294" t="inlineStr">
        <is>
          <t>N/A</t>
        </is>
      </c>
      <c r="D245" s="282" t="inlineStr">
        <is>
          <t>N/A</t>
        </is>
      </c>
      <c r="E245" s="284" t="inlineStr">
        <is>
          <t>N/A</t>
        </is>
      </c>
      <c r="F245" s="285" t="inlineStr">
        <is>
          <t>N/A</t>
        </is>
      </c>
      <c r="G245" s="286" t="inlineStr">
        <is>
          <t>HIV VL XC</t>
        </is>
      </c>
      <c r="H245" s="286" t="n"/>
      <c r="I245" s="286" t="n"/>
      <c r="J245" s="286" t="n"/>
      <c r="K245" s="286" t="n"/>
      <c r="L245" s="286" t="n"/>
      <c r="M245" s="286" t="n"/>
      <c r="N245" s="287" t="inlineStr">
        <is>
          <t>HIV VL XC HIGH</t>
        </is>
      </c>
      <c r="O245" s="288" t="inlineStr">
        <is>
          <t>POS IPT -80 frys</t>
        </is>
      </c>
      <c r="P245" s="289" t="n">
        <v>1</v>
      </c>
    </row>
    <row r="246">
      <c r="A246" s="282" t="inlineStr">
        <is>
          <t>525-00136</t>
        </is>
      </c>
      <c r="B246" s="293" t="inlineStr">
        <is>
          <t>110325ARMO</t>
        </is>
      </c>
      <c r="C246" s="294" t="n">
        <v>46165</v>
      </c>
      <c r="D246" s="292" t="inlineStr">
        <is>
          <t>0.5 låda</t>
        </is>
      </c>
      <c r="E246" s="284" t="n">
        <v>46043</v>
      </c>
      <c r="F246" s="285" t="inlineStr">
        <is>
          <t>vdao</t>
        </is>
      </c>
      <c r="G246" s="286" t="inlineStr">
        <is>
          <t>GBS</t>
        </is>
      </c>
      <c r="H246" s="286" t="n"/>
      <c r="I246" s="286" t="n"/>
      <c r="J246" s="286" t="n"/>
      <c r="K246" s="286" t="n"/>
      <c r="L246" s="286" t="n"/>
      <c r="M246" s="286" t="n"/>
      <c r="N246" s="287" t="inlineStr">
        <is>
          <t>GBS NAT-LAC</t>
        </is>
      </c>
      <c r="O246" s="288" t="inlineStr">
        <is>
          <t>NEG IPT kylskåp</t>
        </is>
      </c>
      <c r="P246" s="289" t="n">
        <v>0</v>
      </c>
    </row>
    <row r="247">
      <c r="A247" s="282" t="inlineStr">
        <is>
          <t>525-00136</t>
        </is>
      </c>
      <c r="B247" s="293" t="inlineStr">
        <is>
          <t>N/A</t>
        </is>
      </c>
      <c r="C247" s="294" t="inlineStr">
        <is>
          <t>N/A</t>
        </is>
      </c>
      <c r="D247" s="292" t="inlineStr">
        <is>
          <t>N/A</t>
        </is>
      </c>
      <c r="E247" s="284" t="inlineStr">
        <is>
          <t>N/A</t>
        </is>
      </c>
      <c r="F247" s="285" t="inlineStr">
        <is>
          <t>N/A</t>
        </is>
      </c>
      <c r="G247" s="286" t="inlineStr">
        <is>
          <t>GBS</t>
        </is>
      </c>
      <c r="H247" s="286" t="n"/>
      <c r="I247" s="286" t="n"/>
      <c r="J247" s="286" t="n"/>
      <c r="K247" s="286" t="n"/>
      <c r="L247" s="286" t="n"/>
      <c r="M247" s="286" t="n"/>
      <c r="N247" s="287" t="inlineStr">
        <is>
          <t>GBS NAT-LAC</t>
        </is>
      </c>
      <c r="O247" s="288" t="inlineStr">
        <is>
          <t>NEG IPT kylskåp</t>
        </is>
      </c>
      <c r="P247" s="289" t="n">
        <v>0</v>
      </c>
    </row>
    <row r="248">
      <c r="A248" s="282" t="inlineStr">
        <is>
          <t>525-00136</t>
        </is>
      </c>
      <c r="B248" s="293" t="inlineStr">
        <is>
          <t>N/A</t>
        </is>
      </c>
      <c r="C248" s="294" t="inlineStr">
        <is>
          <t>N/A</t>
        </is>
      </c>
      <c r="D248" s="292" t="inlineStr">
        <is>
          <t>N/A</t>
        </is>
      </c>
      <c r="E248" s="284" t="inlineStr">
        <is>
          <t>N/A</t>
        </is>
      </c>
      <c r="F248" s="285" t="inlineStr">
        <is>
          <t>N/A</t>
        </is>
      </c>
      <c r="G248" s="286" t="inlineStr">
        <is>
          <t>GBS</t>
        </is>
      </c>
      <c r="H248" s="286" t="n"/>
      <c r="I248" s="286" t="n"/>
      <c r="J248" s="286" t="n"/>
      <c r="K248" s="286" t="n"/>
      <c r="L248" s="286" t="n"/>
      <c r="M248" s="286" t="n"/>
      <c r="N248" s="287" t="inlineStr">
        <is>
          <t>GBS NAT-LAC</t>
        </is>
      </c>
      <c r="O248" s="288" t="inlineStr">
        <is>
          <t>NEG IPT kylskåp</t>
        </is>
      </c>
      <c r="P248" s="289" t="n">
        <v>0</v>
      </c>
    </row>
    <row r="249">
      <c r="A249" s="282" t="inlineStr">
        <is>
          <t>525-00136</t>
        </is>
      </c>
      <c r="B249" s="293" t="inlineStr">
        <is>
          <t>N/A</t>
        </is>
      </c>
      <c r="C249" s="294" t="inlineStr">
        <is>
          <t>N/A</t>
        </is>
      </c>
      <c r="D249" s="292" t="inlineStr">
        <is>
          <t>N/A</t>
        </is>
      </c>
      <c r="E249" s="284" t="inlineStr">
        <is>
          <t>N/A</t>
        </is>
      </c>
      <c r="F249" s="285" t="inlineStr">
        <is>
          <t>N/A</t>
        </is>
      </c>
      <c r="G249" s="286" t="inlineStr">
        <is>
          <t>GBS</t>
        </is>
      </c>
      <c r="H249" s="286" t="n"/>
      <c r="I249" s="286" t="n"/>
      <c r="J249" s="286" t="n"/>
      <c r="K249" s="286" t="n"/>
      <c r="L249" s="286" t="n"/>
      <c r="M249" s="286" t="n"/>
      <c r="N249" s="287" t="inlineStr">
        <is>
          <t>GBS NAT-LAC</t>
        </is>
      </c>
      <c r="O249" s="288" t="inlineStr">
        <is>
          <t>NEG IPT kylskåp</t>
        </is>
      </c>
      <c r="P249" s="289" t="n">
        <v>0</v>
      </c>
    </row>
    <row r="250">
      <c r="A250" s="282" t="inlineStr">
        <is>
          <t>525-00137</t>
        </is>
      </c>
      <c r="B250" s="293" t="inlineStr">
        <is>
          <t>082225MMM</t>
        </is>
      </c>
      <c r="C250" s="294" t="n">
        <v>46113</v>
      </c>
      <c r="D250" s="292" t="inlineStr">
        <is>
          <t>2 lådor</t>
        </is>
      </c>
      <c r="E250" s="284" t="n">
        <v>46063</v>
      </c>
      <c r="F250" s="285" t="inlineStr">
        <is>
          <t>vdao</t>
        </is>
      </c>
      <c r="G250" s="286" t="inlineStr">
        <is>
          <t>GBS</t>
        </is>
      </c>
      <c r="H250" s="286" t="n"/>
      <c r="I250" s="286" t="n"/>
      <c r="J250" s="286" t="n"/>
      <c r="K250" s="286" t="n"/>
      <c r="L250" s="286" t="n"/>
      <c r="M250" s="286" t="n"/>
      <c r="N250" s="287" t="inlineStr">
        <is>
          <t>GBS NATtrol LOW</t>
        </is>
      </c>
      <c r="O250" s="288" t="inlineStr">
        <is>
          <t>POS IPT kylskåp</t>
        </is>
      </c>
      <c r="P250" s="289" t="n">
        <v>1</v>
      </c>
    </row>
    <row r="251">
      <c r="A251" s="282" t="inlineStr">
        <is>
          <t>525-00137</t>
        </is>
      </c>
      <c r="B251" s="293" t="inlineStr">
        <is>
          <t>N/A</t>
        </is>
      </c>
      <c r="C251" s="294" t="inlineStr">
        <is>
          <t>N/A</t>
        </is>
      </c>
      <c r="D251" s="292" t="inlineStr">
        <is>
          <t>N/A</t>
        </is>
      </c>
      <c r="E251" s="284" t="inlineStr">
        <is>
          <t>N/A</t>
        </is>
      </c>
      <c r="F251" s="285" t="inlineStr">
        <is>
          <t>N/A</t>
        </is>
      </c>
      <c r="G251" s="286" t="inlineStr">
        <is>
          <t>GBS</t>
        </is>
      </c>
      <c r="H251" s="286" t="n"/>
      <c r="I251" s="286" t="n"/>
      <c r="J251" s="286" t="n"/>
      <c r="K251" s="286" t="n"/>
      <c r="L251" s="286" t="n"/>
      <c r="M251" s="286" t="n"/>
      <c r="N251" s="287" t="inlineStr">
        <is>
          <t>GBS NATtrol LOW</t>
        </is>
      </c>
      <c r="O251" s="288" t="inlineStr">
        <is>
          <t>POS IPT kylskåp</t>
        </is>
      </c>
      <c r="P251" s="289" t="n">
        <v>1</v>
      </c>
    </row>
    <row r="252">
      <c r="A252" s="282" t="inlineStr">
        <is>
          <t>525-00137</t>
        </is>
      </c>
      <c r="B252" s="293" t="inlineStr">
        <is>
          <t>N/A</t>
        </is>
      </c>
      <c r="C252" s="294" t="inlineStr">
        <is>
          <t>N/A</t>
        </is>
      </c>
      <c r="D252" s="292" t="inlineStr">
        <is>
          <t>N/A</t>
        </is>
      </c>
      <c r="E252" s="284" t="inlineStr">
        <is>
          <t>N/A</t>
        </is>
      </c>
      <c r="F252" s="285" t="inlineStr">
        <is>
          <t>N/A</t>
        </is>
      </c>
      <c r="G252" s="286" t="inlineStr">
        <is>
          <t>GBS</t>
        </is>
      </c>
      <c r="H252" s="286" t="n"/>
      <c r="I252" s="286" t="n"/>
      <c r="J252" s="286" t="n"/>
      <c r="K252" s="286" t="n"/>
      <c r="L252" s="286" t="n"/>
      <c r="M252" s="286" t="n"/>
      <c r="N252" s="287" t="inlineStr">
        <is>
          <t>GBS NATtrol LOW</t>
        </is>
      </c>
      <c r="O252" s="288" t="inlineStr">
        <is>
          <t>POS IPT kylskåp</t>
        </is>
      </c>
      <c r="P252" s="289" t="n">
        <v>1</v>
      </c>
    </row>
    <row r="253">
      <c r="A253" s="282" t="inlineStr">
        <is>
          <t>525-00137</t>
        </is>
      </c>
      <c r="B253" s="283" t="inlineStr">
        <is>
          <t>N/A</t>
        </is>
      </c>
      <c r="C253" s="284" t="inlineStr">
        <is>
          <t>N/A</t>
        </is>
      </c>
      <c r="D253" s="282" t="inlineStr">
        <is>
          <t>N/A</t>
        </is>
      </c>
      <c r="E253" s="284" t="inlineStr">
        <is>
          <t>N/A</t>
        </is>
      </c>
      <c r="F253" s="285" t="inlineStr">
        <is>
          <t>N/A</t>
        </is>
      </c>
      <c r="G253" s="286" t="inlineStr">
        <is>
          <t>GBS</t>
        </is>
      </c>
      <c r="H253" s="286" t="n"/>
      <c r="I253" s="286" t="n"/>
      <c r="J253" s="286" t="n"/>
      <c r="K253" s="286" t="n"/>
      <c r="L253" s="286" t="n"/>
      <c r="M253" s="286" t="n"/>
      <c r="N253" s="287" t="inlineStr">
        <is>
          <t>GBS NATtrol LOW</t>
        </is>
      </c>
      <c r="O253" s="288" t="inlineStr">
        <is>
          <t>POS IPT kylskåp</t>
        </is>
      </c>
      <c r="P253" s="289" t="n">
        <v>1</v>
      </c>
    </row>
    <row r="254">
      <c r="A254" s="282" t="inlineStr">
        <is>
          <t>525-00145</t>
        </is>
      </c>
      <c r="B254" s="293" t="inlineStr">
        <is>
          <t>031825SAMI</t>
        </is>
      </c>
      <c r="C254" s="294" t="n">
        <v>46099</v>
      </c>
      <c r="D254" s="292" t="inlineStr">
        <is>
          <t>1 Låda</t>
        </is>
      </c>
      <c r="E254" s="284" t="n">
        <v>46072</v>
      </c>
      <c r="F254" s="285" t="inlineStr">
        <is>
          <t>JESP</t>
        </is>
      </c>
      <c r="G254" s="286" t="inlineStr">
        <is>
          <t>HIV QA XC</t>
        </is>
      </c>
      <c r="H254" s="286" t="n"/>
      <c r="I254" s="286" t="n"/>
      <c r="J254" s="286" t="n"/>
      <c r="K254" s="286" t="n"/>
      <c r="L254" s="286" t="n"/>
      <c r="M254" s="286" t="n"/>
      <c r="N254" s="287" t="inlineStr">
        <is>
          <t>HIV QA XC PC LOW</t>
        </is>
      </c>
      <c r="O254" s="288" t="inlineStr">
        <is>
          <t>POS IPT -80 frys</t>
        </is>
      </c>
      <c r="P254" s="289" t="n">
        <v>1</v>
      </c>
    </row>
    <row r="255">
      <c r="A255" s="282" t="inlineStr">
        <is>
          <t>525-00145</t>
        </is>
      </c>
      <c r="B255" s="293" t="inlineStr">
        <is>
          <t>N/A</t>
        </is>
      </c>
      <c r="C255" s="294" t="inlineStr">
        <is>
          <t>N/A</t>
        </is>
      </c>
      <c r="D255" s="292" t="inlineStr">
        <is>
          <t>N/A</t>
        </is>
      </c>
      <c r="E255" s="284" t="inlineStr">
        <is>
          <t>N/A</t>
        </is>
      </c>
      <c r="F255" s="285" t="inlineStr">
        <is>
          <t>N/A</t>
        </is>
      </c>
      <c r="G255" s="286" t="inlineStr">
        <is>
          <t>HIV QA XC</t>
        </is>
      </c>
      <c r="H255" s="286" t="n"/>
      <c r="I255" s="286" t="n"/>
      <c r="J255" s="286" t="n"/>
      <c r="K255" s="286" t="n"/>
      <c r="L255" s="286" t="n"/>
      <c r="M255" s="286" t="n"/>
      <c r="N255" s="287" t="inlineStr">
        <is>
          <t>HIV QA XC PC LOW</t>
        </is>
      </c>
      <c r="O255" s="288" t="inlineStr">
        <is>
          <t>POS IPT -80 frys</t>
        </is>
      </c>
      <c r="P255" s="289" t="n">
        <v>1</v>
      </c>
    </row>
    <row r="256">
      <c r="A256" s="282" t="inlineStr">
        <is>
          <t>525-00145</t>
        </is>
      </c>
      <c r="B256" s="293" t="inlineStr">
        <is>
          <t>N/A</t>
        </is>
      </c>
      <c r="C256" s="294" t="inlineStr">
        <is>
          <t>N/A</t>
        </is>
      </c>
      <c r="D256" s="292" t="inlineStr">
        <is>
          <t>N/A</t>
        </is>
      </c>
      <c r="E256" s="284" t="inlineStr">
        <is>
          <t>N/A</t>
        </is>
      </c>
      <c r="F256" s="285" t="inlineStr">
        <is>
          <t>N/A</t>
        </is>
      </c>
      <c r="G256" s="286" t="inlineStr">
        <is>
          <t>HIV QA XC</t>
        </is>
      </c>
      <c r="H256" s="286" t="n"/>
      <c r="I256" s="286" t="n"/>
      <c r="J256" s="286" t="n"/>
      <c r="K256" s="286" t="n"/>
      <c r="L256" s="286" t="n"/>
      <c r="M256" s="286" t="n"/>
      <c r="N256" s="287" t="inlineStr">
        <is>
          <t>HIV QA XC PC LOW</t>
        </is>
      </c>
      <c r="O256" s="288" t="inlineStr">
        <is>
          <t>POS IPT -80 frys</t>
        </is>
      </c>
      <c r="P256" s="289" t="n">
        <v>1</v>
      </c>
    </row>
    <row r="257">
      <c r="A257" s="282" t="inlineStr">
        <is>
          <t>525-00145</t>
        </is>
      </c>
      <c r="B257" s="293" t="inlineStr">
        <is>
          <t>N/A</t>
        </is>
      </c>
      <c r="C257" s="294" t="inlineStr">
        <is>
          <t>N/A</t>
        </is>
      </c>
      <c r="D257" s="292" t="inlineStr">
        <is>
          <t>N/A</t>
        </is>
      </c>
      <c r="E257" s="284" t="inlineStr">
        <is>
          <t>N/A</t>
        </is>
      </c>
      <c r="F257" s="285" t="inlineStr">
        <is>
          <t>N/A</t>
        </is>
      </c>
      <c r="G257" s="286" t="inlineStr">
        <is>
          <t>HIV QA XC</t>
        </is>
      </c>
      <c r="H257" s="286" t="n"/>
      <c r="I257" s="286" t="n"/>
      <c r="J257" s="286" t="n"/>
      <c r="K257" s="286" t="n"/>
      <c r="L257" s="286" t="n"/>
      <c r="M257" s="286" t="n"/>
      <c r="N257" s="287" t="inlineStr">
        <is>
          <t>HIV QA XC PC LOW</t>
        </is>
      </c>
      <c r="O257" s="288" t="inlineStr">
        <is>
          <t>POS IPT -80 frys</t>
        </is>
      </c>
      <c r="P257" s="289" t="n">
        <v>1</v>
      </c>
    </row>
    <row r="258">
      <c r="A258" s="282" t="inlineStr">
        <is>
          <t>525-00163</t>
        </is>
      </c>
      <c r="B258" s="293" t="inlineStr">
        <is>
          <t>041125VW</t>
        </is>
      </c>
      <c r="C258" s="294" t="n">
        <v>46123</v>
      </c>
      <c r="D258" s="292" t="inlineStr">
        <is>
          <t>10 rör</t>
        </is>
      </c>
      <c r="E258" s="284" t="n">
        <v>45987</v>
      </c>
      <c r="F258" s="285" t="inlineStr">
        <is>
          <t>vdao</t>
        </is>
      </c>
      <c r="G258" s="286" t="inlineStr">
        <is>
          <t>SARS</t>
        </is>
      </c>
      <c r="H258" s="286" t="n"/>
      <c r="I258" s="286" t="n"/>
      <c r="J258" s="286" t="n"/>
      <c r="K258" s="286" t="n"/>
      <c r="L258" s="286" t="n"/>
      <c r="M258" s="286" t="n"/>
      <c r="N258" s="287" t="inlineStr">
        <is>
          <t>SARS-CoV Positive Control</t>
        </is>
      </c>
      <c r="O258" s="288" t="inlineStr">
        <is>
          <t>POS IPT kylskåp</t>
        </is>
      </c>
      <c r="P258" s="289" t="n">
        <v>1</v>
      </c>
    </row>
    <row r="259">
      <c r="A259" s="282" t="inlineStr">
        <is>
          <t>525-00163</t>
        </is>
      </c>
      <c r="B259" s="293" t="inlineStr">
        <is>
          <t>N/A</t>
        </is>
      </c>
      <c r="C259" s="294" t="inlineStr">
        <is>
          <t>N/A</t>
        </is>
      </c>
      <c r="D259" s="292" t="inlineStr">
        <is>
          <t>N/A</t>
        </is>
      </c>
      <c r="E259" s="284" t="inlineStr">
        <is>
          <t>N/A</t>
        </is>
      </c>
      <c r="F259" s="285" t="inlineStr">
        <is>
          <t>N/A</t>
        </is>
      </c>
      <c r="G259" s="286" t="inlineStr">
        <is>
          <t>SARS</t>
        </is>
      </c>
      <c r="H259" s="286" t="n"/>
      <c r="I259" s="286" t="n"/>
      <c r="J259" s="286" t="n"/>
      <c r="K259" s="286" t="n"/>
      <c r="L259" s="286" t="n"/>
      <c r="M259" s="286" t="n"/>
      <c r="N259" s="287" t="inlineStr">
        <is>
          <t>SARS-CoV Positive Control</t>
        </is>
      </c>
      <c r="O259" s="288" t="inlineStr">
        <is>
          <t>POS IPT kylskåp</t>
        </is>
      </c>
      <c r="P259" s="289" t="n">
        <v>1</v>
      </c>
    </row>
    <row r="260">
      <c r="A260" s="282" t="inlineStr">
        <is>
          <t>525-00163</t>
        </is>
      </c>
      <c r="B260" s="293" t="inlineStr">
        <is>
          <t>N/A</t>
        </is>
      </c>
      <c r="C260" s="294" t="inlineStr">
        <is>
          <t>N/A</t>
        </is>
      </c>
      <c r="D260" s="292" t="inlineStr">
        <is>
          <t>N/A</t>
        </is>
      </c>
      <c r="E260" s="284" t="inlineStr">
        <is>
          <t>N/A</t>
        </is>
      </c>
      <c r="F260" s="285" t="inlineStr">
        <is>
          <t>N/A</t>
        </is>
      </c>
      <c r="G260" s="286" t="inlineStr">
        <is>
          <t>SARS</t>
        </is>
      </c>
      <c r="H260" s="286" t="n"/>
      <c r="I260" s="286" t="n"/>
      <c r="J260" s="286" t="n"/>
      <c r="K260" s="286" t="n"/>
      <c r="L260" s="286" t="n"/>
      <c r="M260" s="286" t="n"/>
      <c r="N260" s="287" t="inlineStr">
        <is>
          <t>SARS-CoV Positive Control</t>
        </is>
      </c>
      <c r="O260" s="288" t="inlineStr">
        <is>
          <t>POS IPT kylskåp</t>
        </is>
      </c>
      <c r="P260" s="289" t="n">
        <v>1</v>
      </c>
    </row>
    <row r="261">
      <c r="A261" s="282" t="inlineStr">
        <is>
          <t>525-00163</t>
        </is>
      </c>
      <c r="B261" s="293" t="inlineStr">
        <is>
          <t>N/A</t>
        </is>
      </c>
      <c r="C261" s="294" t="inlineStr">
        <is>
          <t>N/A</t>
        </is>
      </c>
      <c r="D261" s="292" t="inlineStr">
        <is>
          <t>N/A</t>
        </is>
      </c>
      <c r="E261" s="284" t="inlineStr">
        <is>
          <t>N/A</t>
        </is>
      </c>
      <c r="F261" s="285" t="inlineStr">
        <is>
          <t>N/A</t>
        </is>
      </c>
      <c r="G261" s="286" t="inlineStr">
        <is>
          <t>SARS</t>
        </is>
      </c>
      <c r="H261" s="286" t="n"/>
      <c r="I261" s="286" t="n"/>
      <c r="J261" s="286" t="n"/>
      <c r="K261" s="286" t="n"/>
      <c r="L261" s="286" t="n"/>
      <c r="M261" s="286" t="n"/>
      <c r="N261" s="287" t="inlineStr">
        <is>
          <t>SARS-CoV Positive Control</t>
        </is>
      </c>
      <c r="O261" s="288" t="inlineStr">
        <is>
          <t>POS IPT kylskåp</t>
        </is>
      </c>
      <c r="P261" s="289" t="n">
        <v>1</v>
      </c>
    </row>
    <row r="262">
      <c r="A262" s="282" t="inlineStr">
        <is>
          <t>525-00169</t>
        </is>
      </c>
      <c r="B262" s="283" t="inlineStr">
        <is>
          <t>121225ARMO</t>
        </is>
      </c>
      <c r="C262" s="284" t="n">
        <v>46325</v>
      </c>
      <c r="D262" s="282" t="inlineStr">
        <is>
          <t>2 lådor</t>
        </is>
      </c>
      <c r="E262" s="284" t="n">
        <v>46063</v>
      </c>
      <c r="F262" s="285" t="inlineStr">
        <is>
          <t>vdao</t>
        </is>
      </c>
      <c r="G262" s="286" t="inlineStr">
        <is>
          <t>FLUVID</t>
        </is>
      </c>
      <c r="H262" s="286" t="inlineStr">
        <is>
          <t>FLUVID plus</t>
        </is>
      </c>
      <c r="I262" s="286" t="inlineStr">
        <is>
          <t>SARS plus</t>
        </is>
      </c>
      <c r="J262" s="286" t="n"/>
      <c r="K262" s="286" t="n"/>
      <c r="L262" s="286" t="n"/>
      <c r="M262" s="286" t="n"/>
      <c r="N262" s="287" t="inlineStr">
        <is>
          <t>ALQT SARS-COV-2, NATTROL POSTIVE CTRL</t>
        </is>
      </c>
      <c r="O262" s="288" t="inlineStr">
        <is>
          <t>POS IPT kylskåp</t>
        </is>
      </c>
      <c r="P262" s="289" t="n">
        <v>1</v>
      </c>
    </row>
    <row r="263">
      <c r="A263" s="282" t="inlineStr">
        <is>
          <t>525-00169</t>
        </is>
      </c>
      <c r="B263" s="283" t="inlineStr">
        <is>
          <t>N/A</t>
        </is>
      </c>
      <c r="C263" s="284" t="inlineStr">
        <is>
          <t>N/A</t>
        </is>
      </c>
      <c r="D263" s="282" t="inlineStr">
        <is>
          <t>N/A</t>
        </is>
      </c>
      <c r="E263" s="284" t="inlineStr">
        <is>
          <t>N/A</t>
        </is>
      </c>
      <c r="F263" s="285" t="inlineStr">
        <is>
          <t>N/A</t>
        </is>
      </c>
      <c r="G263" s="286" t="inlineStr">
        <is>
          <t>FLUVID</t>
        </is>
      </c>
      <c r="H263" s="286" t="inlineStr">
        <is>
          <t>FLUVID plus</t>
        </is>
      </c>
      <c r="I263" s="286" t="inlineStr">
        <is>
          <t>SARS plus</t>
        </is>
      </c>
      <c r="J263" s="286" t="n"/>
      <c r="K263" s="286" t="n"/>
      <c r="L263" s="286" t="n"/>
      <c r="M263" s="286" t="n"/>
      <c r="N263" s="287" t="inlineStr">
        <is>
          <t>ALQT SARS-COV-2, NATTROL POSTIVE CTRL</t>
        </is>
      </c>
      <c r="O263" s="288" t="inlineStr">
        <is>
          <t>POS IPT kylskåp</t>
        </is>
      </c>
      <c r="P263" s="289" t="n">
        <v>1</v>
      </c>
    </row>
    <row r="264">
      <c r="A264" s="282" t="inlineStr">
        <is>
          <t>525-00169</t>
        </is>
      </c>
      <c r="B264" s="293" t="inlineStr">
        <is>
          <t>N/A</t>
        </is>
      </c>
      <c r="C264" s="294" t="inlineStr">
        <is>
          <t>N/A</t>
        </is>
      </c>
      <c r="D264" s="292" t="inlineStr">
        <is>
          <t>N/A</t>
        </is>
      </c>
      <c r="E264" s="284" t="inlineStr">
        <is>
          <t>N/A</t>
        </is>
      </c>
      <c r="F264" s="285" t="inlineStr">
        <is>
          <t>N/A</t>
        </is>
      </c>
      <c r="G264" s="286" t="inlineStr">
        <is>
          <t>FLUVID</t>
        </is>
      </c>
      <c r="H264" s="286" t="inlineStr">
        <is>
          <t>FLUVID plus</t>
        </is>
      </c>
      <c r="I264" s="286" t="inlineStr">
        <is>
          <t>SARS plus</t>
        </is>
      </c>
      <c r="J264" s="286" t="n"/>
      <c r="K264" s="286" t="n"/>
      <c r="L264" s="286" t="n"/>
      <c r="M264" s="286" t="n"/>
      <c r="N264" s="287" t="inlineStr">
        <is>
          <t>ALQT SARS-COV-2, NATTROL POSTIVE CTRL</t>
        </is>
      </c>
      <c r="O264" s="288" t="inlineStr">
        <is>
          <t>POS IPT kylskåp</t>
        </is>
      </c>
      <c r="P264" s="289" t="n">
        <v>1</v>
      </c>
    </row>
    <row r="265">
      <c r="A265" s="282" t="inlineStr">
        <is>
          <t>525-00169</t>
        </is>
      </c>
      <c r="B265" s="293" t="inlineStr">
        <is>
          <t>N/A</t>
        </is>
      </c>
      <c r="C265" s="294" t="inlineStr">
        <is>
          <t>N/A</t>
        </is>
      </c>
      <c r="D265" s="292" t="inlineStr">
        <is>
          <t>N/A</t>
        </is>
      </c>
      <c r="E265" s="284" t="inlineStr">
        <is>
          <t>N/A</t>
        </is>
      </c>
      <c r="F265" s="285" t="inlineStr">
        <is>
          <t>N/A</t>
        </is>
      </c>
      <c r="G265" s="286" t="inlineStr">
        <is>
          <t>FLUVID</t>
        </is>
      </c>
      <c r="H265" s="286" t="inlineStr">
        <is>
          <t>FLUVID plus</t>
        </is>
      </c>
      <c r="I265" s="286" t="inlineStr">
        <is>
          <t>SARS plus</t>
        </is>
      </c>
      <c r="J265" s="286" t="n"/>
      <c r="K265" s="286" t="n"/>
      <c r="L265" s="286" t="n"/>
      <c r="M265" s="286" t="n"/>
      <c r="N265" s="287" t="inlineStr">
        <is>
          <t>ALQT SARS-COV-2, NATTROL POSTIVE CTRL</t>
        </is>
      </c>
      <c r="O265" s="288" t="inlineStr">
        <is>
          <t>POS IPT kylskåp</t>
        </is>
      </c>
      <c r="P265" s="289" t="n">
        <v>1</v>
      </c>
    </row>
    <row r="266">
      <c r="A266" s="282" t="inlineStr">
        <is>
          <t>325-00056</t>
        </is>
      </c>
      <c r="B266" s="299" t="inlineStr">
        <is>
          <t>L03OCT24C</t>
        </is>
      </c>
      <c r="C266" s="284" t="n">
        <v>46142</v>
      </c>
      <c r="D266" s="300" t="inlineStr">
        <is>
          <t>2 Lådor</t>
        </is>
      </c>
      <c r="E266" s="284" t="n">
        <v>46006</v>
      </c>
      <c r="F266" s="285" t="inlineStr">
        <is>
          <t>ELS</t>
        </is>
      </c>
      <c r="G266" s="286" t="inlineStr">
        <is>
          <t>MTB XDR</t>
        </is>
      </c>
      <c r="H266" s="286" t="n"/>
      <c r="I266" s="286" t="n"/>
      <c r="J266" s="286" t="n"/>
      <c r="K266" s="286" t="n"/>
      <c r="L266" s="286" t="n"/>
      <c r="M266" s="286" t="n"/>
      <c r="N266" s="287" t="inlineStr">
        <is>
          <t>MTB/XDR WT Cells</t>
        </is>
      </c>
      <c r="O266" s="288" t="inlineStr">
        <is>
          <t>POS IPT kylskåp</t>
        </is>
      </c>
      <c r="P266" s="289" t="n">
        <v>1</v>
      </c>
    </row>
    <row r="267">
      <c r="A267" s="282" t="inlineStr">
        <is>
          <t>325-00056</t>
        </is>
      </c>
      <c r="B267" s="299" t="inlineStr">
        <is>
          <t>N/A</t>
        </is>
      </c>
      <c r="C267" s="284" t="inlineStr">
        <is>
          <t>N/A</t>
        </is>
      </c>
      <c r="D267" s="300" t="inlineStr">
        <is>
          <t>N/A</t>
        </is>
      </c>
      <c r="E267" s="284" t="inlineStr">
        <is>
          <t>N/A</t>
        </is>
      </c>
      <c r="F267" s="285" t="inlineStr">
        <is>
          <t>N/A</t>
        </is>
      </c>
      <c r="G267" s="286" t="inlineStr">
        <is>
          <t>MTB XDR</t>
        </is>
      </c>
      <c r="H267" s="286" t="n"/>
      <c r="I267" s="286" t="n"/>
      <c r="J267" s="286" t="n"/>
      <c r="K267" s="286" t="n"/>
      <c r="L267" s="286" t="n"/>
      <c r="M267" s="286" t="n"/>
      <c r="N267" s="287" t="inlineStr">
        <is>
          <t>MTB/XDR WT Cells</t>
        </is>
      </c>
      <c r="O267" s="288" t="inlineStr">
        <is>
          <t>POS IPT kylskåp</t>
        </is>
      </c>
      <c r="P267" s="289" t="n">
        <v>1</v>
      </c>
    </row>
    <row r="268">
      <c r="A268" s="282" t="inlineStr">
        <is>
          <t>325-00056</t>
        </is>
      </c>
      <c r="B268" s="299" t="inlineStr">
        <is>
          <t>N/A</t>
        </is>
      </c>
      <c r="C268" s="284" t="inlineStr">
        <is>
          <t>N/A</t>
        </is>
      </c>
      <c r="D268" s="300" t="inlineStr">
        <is>
          <t>N/A</t>
        </is>
      </c>
      <c r="E268" s="284" t="inlineStr">
        <is>
          <t>N/A</t>
        </is>
      </c>
      <c r="F268" s="285" t="inlineStr">
        <is>
          <t>N/A</t>
        </is>
      </c>
      <c r="G268" s="286" t="inlineStr">
        <is>
          <t>MTB XDR</t>
        </is>
      </c>
      <c r="H268" s="286" t="n"/>
      <c r="I268" s="286" t="n"/>
      <c r="J268" s="286" t="n"/>
      <c r="K268" s="286" t="n"/>
      <c r="L268" s="286" t="n"/>
      <c r="M268" s="286" t="n"/>
      <c r="N268" s="287" t="inlineStr">
        <is>
          <t>MTB/XDR WT Cells</t>
        </is>
      </c>
      <c r="O268" s="288" t="inlineStr">
        <is>
          <t>POS IPT kylskåp</t>
        </is>
      </c>
      <c r="P268" s="289" t="n">
        <v>1</v>
      </c>
    </row>
    <row r="269">
      <c r="A269" s="282" t="inlineStr">
        <is>
          <t>325-00056</t>
        </is>
      </c>
      <c r="B269" s="299" t="inlineStr">
        <is>
          <t>N/A</t>
        </is>
      </c>
      <c r="C269" s="284" t="inlineStr">
        <is>
          <t>N/A</t>
        </is>
      </c>
      <c r="D269" s="300" t="inlineStr">
        <is>
          <t>N/A</t>
        </is>
      </c>
      <c r="E269" s="284" t="inlineStr">
        <is>
          <t>N/A</t>
        </is>
      </c>
      <c r="F269" s="285" t="inlineStr">
        <is>
          <t>N/A</t>
        </is>
      </c>
      <c r="G269" s="286" t="inlineStr">
        <is>
          <t>MTB XDR</t>
        </is>
      </c>
      <c r="H269" s="286" t="n"/>
      <c r="I269" s="286" t="n"/>
      <c r="J269" s="286" t="n"/>
      <c r="K269" s="286" t="n"/>
      <c r="L269" s="286" t="n"/>
      <c r="M269" s="286" t="n"/>
      <c r="N269" s="301" t="inlineStr">
        <is>
          <t>MTB/XDR WT Cells</t>
        </is>
      </c>
      <c r="O269" s="288" t="inlineStr">
        <is>
          <t>POS IPT kylskåp</t>
        </is>
      </c>
      <c r="P269" s="289" t="n">
        <v>1</v>
      </c>
    </row>
    <row r="270">
      <c r="A270" s="282" t="inlineStr">
        <is>
          <t>325-00057</t>
        </is>
      </c>
      <c r="B270" s="299" t="inlineStr">
        <is>
          <t>B04OCT24A</t>
        </is>
      </c>
      <c r="C270" s="284" t="n">
        <v>46142</v>
      </c>
      <c r="D270" s="300" t="inlineStr">
        <is>
          <t>2 rör</t>
        </is>
      </c>
      <c r="E270" s="284" t="n">
        <v>45972</v>
      </c>
      <c r="F270" s="285" t="inlineStr">
        <is>
          <t>JESP</t>
        </is>
      </c>
      <c r="G270" s="286" t="inlineStr">
        <is>
          <t>MTB XDR</t>
        </is>
      </c>
      <c r="H270" s="286" t="n"/>
      <c r="I270" s="286" t="n"/>
      <c r="J270" s="286" t="n"/>
      <c r="K270" s="286" t="n"/>
      <c r="L270" s="286" t="n"/>
      <c r="M270" s="286" t="n"/>
      <c r="N270" s="287" t="inlineStr">
        <is>
          <t>MTB/XDR Mutant Cells</t>
        </is>
      </c>
      <c r="O270" s="288" t="inlineStr">
        <is>
          <t>POS IPT kylskåp</t>
        </is>
      </c>
      <c r="P270" s="289" t="n">
        <v>1</v>
      </c>
    </row>
    <row r="271">
      <c r="A271" s="282" t="inlineStr">
        <is>
          <t>325-00057</t>
        </is>
      </c>
      <c r="B271" s="299" t="inlineStr">
        <is>
          <t>N/A</t>
        </is>
      </c>
      <c r="C271" s="284" t="inlineStr">
        <is>
          <t>N/A</t>
        </is>
      </c>
      <c r="D271" s="300" t="inlineStr">
        <is>
          <t>N/A</t>
        </is>
      </c>
      <c r="E271" s="284" t="inlineStr">
        <is>
          <t>N/A</t>
        </is>
      </c>
      <c r="F271" s="285" t="inlineStr">
        <is>
          <t>N/A</t>
        </is>
      </c>
      <c r="G271" s="286" t="inlineStr">
        <is>
          <t>MTB XDR</t>
        </is>
      </c>
      <c r="H271" s="286" t="n"/>
      <c r="I271" s="286" t="n"/>
      <c r="J271" s="286" t="n"/>
      <c r="K271" s="286" t="n"/>
      <c r="L271" s="286" t="n"/>
      <c r="M271" s="286" t="n"/>
      <c r="N271" s="287" t="inlineStr">
        <is>
          <t>MTB/XDR Mutant Cells</t>
        </is>
      </c>
      <c r="O271" s="288" t="inlineStr">
        <is>
          <t>POS IPT kylskåp</t>
        </is>
      </c>
      <c r="P271" s="289" t="n">
        <v>1</v>
      </c>
    </row>
    <row r="272">
      <c r="A272" s="282" t="inlineStr">
        <is>
          <t>325-00057</t>
        </is>
      </c>
      <c r="B272" s="299" t="inlineStr">
        <is>
          <t>N/A</t>
        </is>
      </c>
      <c r="C272" s="284" t="inlineStr">
        <is>
          <t>N/A</t>
        </is>
      </c>
      <c r="D272" s="300" t="inlineStr">
        <is>
          <t>N/A</t>
        </is>
      </c>
      <c r="E272" s="284" t="inlineStr">
        <is>
          <t>N/A</t>
        </is>
      </c>
      <c r="F272" s="285" t="inlineStr">
        <is>
          <t>N/A</t>
        </is>
      </c>
      <c r="G272" s="286" t="inlineStr">
        <is>
          <t>MTB XDR</t>
        </is>
      </c>
      <c r="H272" s="286" t="n"/>
      <c r="I272" s="286" t="n"/>
      <c r="J272" s="286" t="n"/>
      <c r="K272" s="286" t="n"/>
      <c r="L272" s="286" t="n"/>
      <c r="M272" s="286" t="n"/>
      <c r="N272" s="301" t="inlineStr">
        <is>
          <t>MTB/XDR Mutant Cells</t>
        </is>
      </c>
      <c r="O272" s="288" t="inlineStr">
        <is>
          <t>POS IPT kylskåp</t>
        </is>
      </c>
      <c r="P272" s="289" t="n">
        <v>1</v>
      </c>
    </row>
    <row r="273">
      <c r="A273" s="282" t="inlineStr">
        <is>
          <t>325-00057</t>
        </is>
      </c>
      <c r="B273" s="299" t="inlineStr">
        <is>
          <t>N/A</t>
        </is>
      </c>
      <c r="C273" s="284" t="inlineStr">
        <is>
          <t>N/A</t>
        </is>
      </c>
      <c r="D273" s="300" t="inlineStr">
        <is>
          <t>N/A</t>
        </is>
      </c>
      <c r="E273" s="284" t="inlineStr">
        <is>
          <t>N/A</t>
        </is>
      </c>
      <c r="F273" s="285" t="inlineStr">
        <is>
          <t>N/A</t>
        </is>
      </c>
      <c r="G273" s="286" t="inlineStr">
        <is>
          <t>MTB XDR</t>
        </is>
      </c>
      <c r="H273" s="286" t="n"/>
      <c r="I273" s="286" t="n"/>
      <c r="J273" s="286" t="n"/>
      <c r="K273" s="286" t="n"/>
      <c r="L273" s="286" t="n"/>
      <c r="M273" s="286" t="n"/>
      <c r="N273" s="301" t="inlineStr">
        <is>
          <t>MTB/XDR Mutant Cells</t>
        </is>
      </c>
      <c r="O273" s="288" t="inlineStr">
        <is>
          <t>POS IPT kylskåp</t>
        </is>
      </c>
      <c r="P273" s="289" t="n">
        <v>1</v>
      </c>
    </row>
    <row r="274" ht="14.25" customFormat="1" customHeight="1" s="32">
      <c r="A274" s="300" t="inlineStr">
        <is>
          <t>525-00193</t>
        </is>
      </c>
      <c r="B274" s="299" t="inlineStr">
        <is>
          <t>061325ELIF</t>
        </is>
      </c>
      <c r="C274" s="284" t="n">
        <v>46091</v>
      </c>
      <c r="D274" s="300" t="inlineStr">
        <is>
          <t>1 Låda</t>
        </is>
      </c>
      <c r="E274" s="284" t="n">
        <v>46006</v>
      </c>
      <c r="F274" s="302" t="inlineStr">
        <is>
          <t>ELS</t>
        </is>
      </c>
      <c r="G274" s="303" t="inlineStr">
        <is>
          <t>Respiratory Panel</t>
        </is>
      </c>
      <c r="H274" s="303" t="n"/>
      <c r="I274" s="303" t="n"/>
      <c r="J274" s="303" t="n"/>
      <c r="K274" s="303" t="n"/>
      <c r="L274" s="303" t="n"/>
      <c r="M274" s="303" t="n"/>
      <c r="N274" s="301" t="inlineStr">
        <is>
          <t>Respiratory Panel, Sample Mix 1</t>
        </is>
      </c>
      <c r="O274" s="304" t="inlineStr">
        <is>
          <t>POS IPT kylskåp</t>
        </is>
      </c>
      <c r="P274" s="288" t="n">
        <v>1</v>
      </c>
    </row>
    <row r="275" ht="14.25" customFormat="1" customHeight="1" s="32">
      <c r="A275" s="300" t="inlineStr">
        <is>
          <t>525-00193</t>
        </is>
      </c>
      <c r="B275" s="299" t="inlineStr">
        <is>
          <t>N/A</t>
        </is>
      </c>
      <c r="C275" s="284" t="inlineStr">
        <is>
          <t>N/A</t>
        </is>
      </c>
      <c r="D275" s="300" t="inlineStr">
        <is>
          <t>N/A</t>
        </is>
      </c>
      <c r="E275" s="284" t="inlineStr">
        <is>
          <t>N/A</t>
        </is>
      </c>
      <c r="F275" s="302" t="inlineStr">
        <is>
          <t>N/A</t>
        </is>
      </c>
      <c r="G275" s="303" t="inlineStr">
        <is>
          <t>Respiratory Panel</t>
        </is>
      </c>
      <c r="H275" s="303" t="n"/>
      <c r="I275" s="303" t="n"/>
      <c r="J275" s="303" t="n"/>
      <c r="K275" s="303" t="n"/>
      <c r="L275" s="303" t="n"/>
      <c r="M275" s="303" t="n"/>
      <c r="N275" s="301" t="inlineStr">
        <is>
          <t>Respiratory Panel, Sample Mix 1</t>
        </is>
      </c>
      <c r="O275" s="304" t="inlineStr">
        <is>
          <t>POS IPT kylskåp</t>
        </is>
      </c>
      <c r="P275" s="288" t="n">
        <v>1</v>
      </c>
    </row>
    <row r="276" ht="14.25" customFormat="1" customHeight="1" s="32">
      <c r="A276" s="300" t="inlineStr">
        <is>
          <t>525-00193</t>
        </is>
      </c>
      <c r="B276" s="299" t="inlineStr">
        <is>
          <t>N/A</t>
        </is>
      </c>
      <c r="C276" s="284" t="inlineStr">
        <is>
          <t>N/A</t>
        </is>
      </c>
      <c r="D276" s="300" t="inlineStr">
        <is>
          <t>N/A</t>
        </is>
      </c>
      <c r="E276" s="284" t="inlineStr">
        <is>
          <t>N/A</t>
        </is>
      </c>
      <c r="F276" s="302" t="inlineStr">
        <is>
          <t>N/A</t>
        </is>
      </c>
      <c r="G276" s="303" t="inlineStr">
        <is>
          <t>Respiratory Panel</t>
        </is>
      </c>
      <c r="H276" s="303" t="n"/>
      <c r="I276" s="303" t="n"/>
      <c r="J276" s="303" t="n"/>
      <c r="K276" s="303" t="n"/>
      <c r="L276" s="303" t="n"/>
      <c r="M276" s="303" t="n"/>
      <c r="N276" s="301" t="inlineStr">
        <is>
          <t>Respiratory Panel, Sample Mix 1</t>
        </is>
      </c>
      <c r="O276" s="304" t="inlineStr">
        <is>
          <t>POS IPT kylskåp</t>
        </is>
      </c>
      <c r="P276" s="288" t="n">
        <v>1</v>
      </c>
    </row>
    <row r="277" ht="14.25" customFormat="1" customHeight="1" s="32">
      <c r="A277" s="300" t="inlineStr">
        <is>
          <t>525-00193</t>
        </is>
      </c>
      <c r="B277" s="299" t="inlineStr">
        <is>
          <t>N/A</t>
        </is>
      </c>
      <c r="C277" s="284" t="inlineStr">
        <is>
          <t>N/A</t>
        </is>
      </c>
      <c r="D277" s="300" t="inlineStr">
        <is>
          <t>N/A</t>
        </is>
      </c>
      <c r="E277" s="284" t="inlineStr">
        <is>
          <t>N/A</t>
        </is>
      </c>
      <c r="F277" s="302" t="inlineStr">
        <is>
          <t>N/A</t>
        </is>
      </c>
      <c r="G277" s="303" t="inlineStr">
        <is>
          <t>Respiratory Panel</t>
        </is>
      </c>
      <c r="H277" s="303" t="n"/>
      <c r="I277" s="303" t="n"/>
      <c r="J277" s="303" t="n"/>
      <c r="K277" s="303" t="n"/>
      <c r="L277" s="303" t="n"/>
      <c r="M277" s="303" t="n"/>
      <c r="N277" s="301" t="inlineStr">
        <is>
          <t>Respiratory Panel, Sample Mix 1</t>
        </is>
      </c>
      <c r="O277" s="304" t="inlineStr">
        <is>
          <t>POS IPT kylskåp</t>
        </is>
      </c>
      <c r="P277" s="288" t="n">
        <v>1</v>
      </c>
    </row>
    <row r="278" ht="14.25" customFormat="1" customHeight="1" s="32">
      <c r="A278" s="300" t="inlineStr">
        <is>
          <t>525-00194</t>
        </is>
      </c>
      <c r="B278" s="299" t="inlineStr">
        <is>
          <t>062525MMM</t>
        </is>
      </c>
      <c r="C278" s="284" t="n">
        <v>46103</v>
      </c>
      <c r="D278" s="300" t="inlineStr">
        <is>
          <t>31 rör</t>
        </is>
      </c>
      <c r="E278" s="284" t="n">
        <v>46006</v>
      </c>
      <c r="F278" s="302" t="inlineStr">
        <is>
          <t>ELS</t>
        </is>
      </c>
      <c r="G278" s="303" t="inlineStr">
        <is>
          <t>Respiratory Panel</t>
        </is>
      </c>
      <c r="H278" s="303" t="n"/>
      <c r="I278" s="303" t="n"/>
      <c r="J278" s="303" t="n"/>
      <c r="K278" s="303" t="n"/>
      <c r="L278" s="303" t="n"/>
      <c r="M278" s="303" t="n"/>
      <c r="N278" s="301" t="inlineStr">
        <is>
          <t>Respiratory Panel, Sample Mix 2</t>
        </is>
      </c>
      <c r="O278" s="304" t="inlineStr">
        <is>
          <t>POS IPT kylskåp</t>
        </is>
      </c>
      <c r="P278" s="288" t="n">
        <v>1</v>
      </c>
    </row>
    <row r="279" ht="14.25" customFormat="1" customHeight="1" s="32">
      <c r="A279" s="300" t="inlineStr">
        <is>
          <t>525-00194</t>
        </is>
      </c>
      <c r="B279" s="299" t="inlineStr">
        <is>
          <t>N/A</t>
        </is>
      </c>
      <c r="C279" s="284" t="inlineStr">
        <is>
          <t>N/A</t>
        </is>
      </c>
      <c r="D279" s="300" t="inlineStr">
        <is>
          <t>N/A</t>
        </is>
      </c>
      <c r="E279" s="284" t="inlineStr">
        <is>
          <t>N/A</t>
        </is>
      </c>
      <c r="F279" s="302" t="inlineStr">
        <is>
          <t>N/A</t>
        </is>
      </c>
      <c r="G279" s="303" t="inlineStr">
        <is>
          <t>Respiratory Panel</t>
        </is>
      </c>
      <c r="H279" s="303" t="n"/>
      <c r="I279" s="303" t="n"/>
      <c r="J279" s="303" t="n"/>
      <c r="K279" s="303" t="n"/>
      <c r="L279" s="303" t="n"/>
      <c r="M279" s="303" t="n"/>
      <c r="N279" s="301" t="inlineStr">
        <is>
          <t>Respiratory Panel, Sample Mix 2</t>
        </is>
      </c>
      <c r="O279" s="304" t="inlineStr">
        <is>
          <t>POS IPT kylskåp</t>
        </is>
      </c>
      <c r="P279" s="288" t="n">
        <v>1</v>
      </c>
    </row>
    <row r="280" ht="14.25" customFormat="1" customHeight="1" s="32">
      <c r="A280" s="300" t="inlineStr">
        <is>
          <t>525-00194</t>
        </is>
      </c>
      <c r="B280" s="299" t="inlineStr">
        <is>
          <t>N/A</t>
        </is>
      </c>
      <c r="C280" s="284" t="inlineStr">
        <is>
          <t>N/A</t>
        </is>
      </c>
      <c r="D280" s="300" t="inlineStr">
        <is>
          <t>N/A</t>
        </is>
      </c>
      <c r="E280" s="284" t="inlineStr">
        <is>
          <t>N/A</t>
        </is>
      </c>
      <c r="F280" s="302" t="inlineStr">
        <is>
          <t>N/A</t>
        </is>
      </c>
      <c r="G280" s="303" t="inlineStr">
        <is>
          <t>Respiratory Panel</t>
        </is>
      </c>
      <c r="H280" s="303" t="n"/>
      <c r="I280" s="303" t="n"/>
      <c r="J280" s="303" t="n"/>
      <c r="K280" s="303" t="n"/>
      <c r="L280" s="303" t="n"/>
      <c r="M280" s="303" t="n"/>
      <c r="N280" s="301" t="inlineStr">
        <is>
          <t>Respiratory Panel, Sample Mix 2</t>
        </is>
      </c>
      <c r="O280" s="304" t="inlineStr">
        <is>
          <t>POS IPT kylskåp</t>
        </is>
      </c>
      <c r="P280" s="288" t="n">
        <v>1</v>
      </c>
    </row>
    <row r="281" ht="14.25" customFormat="1" customHeight="1" s="32">
      <c r="A281" s="300" t="inlineStr">
        <is>
          <t>525-00194</t>
        </is>
      </c>
      <c r="B281" s="299" t="inlineStr">
        <is>
          <t>N/A</t>
        </is>
      </c>
      <c r="C281" s="284" t="inlineStr">
        <is>
          <t>N/A</t>
        </is>
      </c>
      <c r="D281" s="300" t="inlineStr">
        <is>
          <t>N/A</t>
        </is>
      </c>
      <c r="E281" s="284" t="inlineStr">
        <is>
          <t>N/A</t>
        </is>
      </c>
      <c r="F281" s="302" t="inlineStr">
        <is>
          <t>N/A</t>
        </is>
      </c>
      <c r="G281" s="303" t="inlineStr">
        <is>
          <t>Respiratory Panel</t>
        </is>
      </c>
      <c r="H281" s="303" t="n"/>
      <c r="I281" s="303" t="n"/>
      <c r="J281" s="303" t="n"/>
      <c r="K281" s="303" t="n"/>
      <c r="L281" s="303" t="n"/>
      <c r="M281" s="303" t="n"/>
      <c r="N281" s="301" t="inlineStr">
        <is>
          <t>Respiratory Panel, Sample Mix 2</t>
        </is>
      </c>
      <c r="O281" s="304" t="inlineStr">
        <is>
          <t>POS IPT kylskåp</t>
        </is>
      </c>
      <c r="P281" s="288" t="n">
        <v>1</v>
      </c>
    </row>
    <row r="282" ht="14.25" customFormat="1" customHeight="1" s="32">
      <c r="A282" s="300" t="inlineStr">
        <is>
          <t>525-00195</t>
        </is>
      </c>
      <c r="B282" s="299" t="inlineStr">
        <is>
          <t>100325Masa</t>
        </is>
      </c>
      <c r="C282" s="284" t="n">
        <v>46203</v>
      </c>
      <c r="D282" s="300" t="inlineStr">
        <is>
          <t>53 rör</t>
        </is>
      </c>
      <c r="E282" s="284" t="n">
        <v>46070</v>
      </c>
      <c r="F282" s="302" t="inlineStr">
        <is>
          <t>ELS</t>
        </is>
      </c>
      <c r="G282" s="303" t="inlineStr">
        <is>
          <t>Respiratory Panel</t>
        </is>
      </c>
      <c r="H282" s="303" t="n"/>
      <c r="I282" s="303" t="n"/>
      <c r="J282" s="303" t="n"/>
      <c r="K282" s="303" t="n"/>
      <c r="L282" s="303" t="n"/>
      <c r="M282" s="303" t="n"/>
      <c r="N282" s="301" t="inlineStr">
        <is>
          <t>Respiratory Panel, Sample Mix 3</t>
        </is>
      </c>
      <c r="O282" s="304" t="inlineStr">
        <is>
          <t>POS IPT kylskåp</t>
        </is>
      </c>
      <c r="P282" s="288" t="n">
        <v>1</v>
      </c>
    </row>
    <row r="283" ht="14.25" customFormat="1" customHeight="1" s="32">
      <c r="A283" s="300" t="inlineStr">
        <is>
          <t>525-00195</t>
        </is>
      </c>
      <c r="B283" s="299" t="inlineStr">
        <is>
          <t>N/A</t>
        </is>
      </c>
      <c r="C283" s="284" t="inlineStr">
        <is>
          <t>N/A</t>
        </is>
      </c>
      <c r="D283" s="300" t="inlineStr">
        <is>
          <t>N/A</t>
        </is>
      </c>
      <c r="E283" s="284" t="inlineStr">
        <is>
          <t>N/A</t>
        </is>
      </c>
      <c r="F283" s="302" t="inlineStr">
        <is>
          <t>N/A</t>
        </is>
      </c>
      <c r="G283" s="303" t="inlineStr">
        <is>
          <t>Respiratory Panel</t>
        </is>
      </c>
      <c r="H283" s="303" t="n"/>
      <c r="I283" s="303" t="n"/>
      <c r="J283" s="303" t="n"/>
      <c r="K283" s="303" t="n"/>
      <c r="L283" s="303" t="n"/>
      <c r="M283" s="303" t="n"/>
      <c r="N283" s="301" t="inlineStr">
        <is>
          <t>Respiratory Panel, Sample Mix 3</t>
        </is>
      </c>
      <c r="O283" s="304" t="inlineStr">
        <is>
          <t>POS IPT kylskåp</t>
        </is>
      </c>
      <c r="P283" s="288" t="n">
        <v>1</v>
      </c>
    </row>
    <row r="284" ht="14.25" customFormat="1" customHeight="1" s="32">
      <c r="A284" s="300" t="inlineStr">
        <is>
          <t>525-00195</t>
        </is>
      </c>
      <c r="B284" s="299" t="inlineStr">
        <is>
          <t>N/A</t>
        </is>
      </c>
      <c r="C284" s="284" t="inlineStr">
        <is>
          <t>N/A</t>
        </is>
      </c>
      <c r="D284" s="300" t="inlineStr">
        <is>
          <t>N/A</t>
        </is>
      </c>
      <c r="E284" s="284" t="inlineStr">
        <is>
          <t>N/A</t>
        </is>
      </c>
      <c r="F284" s="302" t="inlineStr">
        <is>
          <t>N/A</t>
        </is>
      </c>
      <c r="G284" s="303" t="inlineStr">
        <is>
          <t>Respiratory Panel</t>
        </is>
      </c>
      <c r="H284" s="303" t="n"/>
      <c r="I284" s="303" t="n"/>
      <c r="J284" s="303" t="n"/>
      <c r="K284" s="303" t="n"/>
      <c r="L284" s="303" t="n"/>
      <c r="M284" s="303" t="n"/>
      <c r="N284" s="301" t="inlineStr">
        <is>
          <t>Respiratory Panel, Sample Mix 3</t>
        </is>
      </c>
      <c r="O284" s="304" t="inlineStr">
        <is>
          <t>POS IPT kylskåp</t>
        </is>
      </c>
      <c r="P284" s="288" t="n">
        <v>1</v>
      </c>
    </row>
    <row r="285" ht="14.25" customFormat="1" customHeight="1" s="32">
      <c r="A285" s="300" t="inlineStr">
        <is>
          <t>525-00195</t>
        </is>
      </c>
      <c r="B285" s="299" t="inlineStr">
        <is>
          <t>N/A</t>
        </is>
      </c>
      <c r="C285" s="284" t="inlineStr">
        <is>
          <t>N/A</t>
        </is>
      </c>
      <c r="D285" s="300" t="inlineStr">
        <is>
          <t>N/A</t>
        </is>
      </c>
      <c r="E285" s="284" t="inlineStr">
        <is>
          <t>N/A</t>
        </is>
      </c>
      <c r="F285" s="302" t="inlineStr">
        <is>
          <t>N/A</t>
        </is>
      </c>
      <c r="G285" s="303" t="inlineStr">
        <is>
          <t>Respiratory Panel</t>
        </is>
      </c>
      <c r="H285" s="303" t="n"/>
      <c r="I285" s="303" t="n"/>
      <c r="J285" s="303" t="n"/>
      <c r="K285" s="303" t="n"/>
      <c r="L285" s="303" t="n"/>
      <c r="M285" s="303" t="n"/>
      <c r="N285" s="301" t="inlineStr">
        <is>
          <t>Respiratory Panel, Sample Mix 3</t>
        </is>
      </c>
      <c r="O285" s="304" t="inlineStr">
        <is>
          <t>POS IPT kylskåp</t>
        </is>
      </c>
      <c r="P285" s="288" t="n">
        <v>1</v>
      </c>
    </row>
    <row r="286" ht="14.25" customFormat="1" customHeight="1" s="32">
      <c r="A286" s="300" t="inlineStr">
        <is>
          <t>525-00196</t>
        </is>
      </c>
      <c r="B286" s="299" t="inlineStr">
        <is>
          <t>061325MATE</t>
        </is>
      </c>
      <c r="C286" s="284" t="n">
        <v>46091</v>
      </c>
      <c r="D286" s="300" t="inlineStr">
        <is>
          <t>24 rör</t>
        </is>
      </c>
      <c r="E286" s="284" t="n">
        <v>46006</v>
      </c>
      <c r="F286" s="302" t="inlineStr">
        <is>
          <t>ELS</t>
        </is>
      </c>
      <c r="G286" s="303" t="inlineStr">
        <is>
          <t>Respiratory Panel</t>
        </is>
      </c>
      <c r="H286" s="303" t="n"/>
      <c r="I286" s="303" t="n"/>
      <c r="J286" s="303" t="n"/>
      <c r="K286" s="303" t="n"/>
      <c r="L286" s="303" t="n"/>
      <c r="M286" s="303" t="n"/>
      <c r="N286" s="301" t="inlineStr">
        <is>
          <t>Respiratory Panel, Sample Mix 4</t>
        </is>
      </c>
      <c r="O286" s="304" t="inlineStr">
        <is>
          <t>POS IPT kylskåp</t>
        </is>
      </c>
      <c r="P286" s="288" t="n">
        <v>1</v>
      </c>
    </row>
    <row r="287" ht="14.25" customFormat="1" customHeight="1" s="32">
      <c r="A287" s="300" t="inlineStr">
        <is>
          <t>525-00196</t>
        </is>
      </c>
      <c r="B287" s="299" t="inlineStr">
        <is>
          <t>N/A</t>
        </is>
      </c>
      <c r="C287" s="284" t="inlineStr">
        <is>
          <t>N/A</t>
        </is>
      </c>
      <c r="D287" s="300" t="inlineStr">
        <is>
          <t>N/A</t>
        </is>
      </c>
      <c r="E287" s="284" t="inlineStr">
        <is>
          <t>N/A</t>
        </is>
      </c>
      <c r="F287" s="302" t="inlineStr">
        <is>
          <t>N/A</t>
        </is>
      </c>
      <c r="G287" s="303" t="inlineStr">
        <is>
          <t>Respiratory Panel</t>
        </is>
      </c>
      <c r="H287" s="303" t="n"/>
      <c r="I287" s="303" t="n"/>
      <c r="J287" s="303" t="n"/>
      <c r="K287" s="303" t="n"/>
      <c r="L287" s="303" t="n"/>
      <c r="M287" s="303" t="n"/>
      <c r="N287" s="301" t="inlineStr">
        <is>
          <t>Respiratory Panel, Sample Mix 4</t>
        </is>
      </c>
      <c r="O287" s="304" t="inlineStr">
        <is>
          <t>POS IPT kylskåp</t>
        </is>
      </c>
      <c r="P287" s="288" t="n">
        <v>1</v>
      </c>
    </row>
    <row r="288" ht="14.25" customFormat="1" customHeight="1" s="32">
      <c r="A288" s="300" t="inlineStr">
        <is>
          <t>525-00196</t>
        </is>
      </c>
      <c r="B288" s="299" t="inlineStr">
        <is>
          <t>N/A</t>
        </is>
      </c>
      <c r="C288" s="284" t="inlineStr">
        <is>
          <t>N/A</t>
        </is>
      </c>
      <c r="D288" s="300" t="inlineStr">
        <is>
          <t>N/A</t>
        </is>
      </c>
      <c r="E288" s="284" t="inlineStr">
        <is>
          <t>N/A</t>
        </is>
      </c>
      <c r="F288" s="302" t="inlineStr">
        <is>
          <t>N/A</t>
        </is>
      </c>
      <c r="G288" s="303" t="inlineStr">
        <is>
          <t>Respiratory Panel</t>
        </is>
      </c>
      <c r="H288" s="303" t="n"/>
      <c r="I288" s="303" t="n"/>
      <c r="J288" s="303" t="n"/>
      <c r="K288" s="303" t="n"/>
      <c r="L288" s="303" t="n"/>
      <c r="M288" s="303" t="n"/>
      <c r="N288" s="301" t="inlineStr">
        <is>
          <t>Respiratory Panel, Sample Mix 4</t>
        </is>
      </c>
      <c r="O288" s="304" t="inlineStr">
        <is>
          <t>POS IPT kylskåp</t>
        </is>
      </c>
      <c r="P288" s="288" t="n">
        <v>1</v>
      </c>
    </row>
    <row r="289" ht="14.25" customFormat="1" customHeight="1" s="32">
      <c r="A289" s="300" t="inlineStr">
        <is>
          <t>525-00196</t>
        </is>
      </c>
      <c r="B289" s="299" t="inlineStr">
        <is>
          <t>N/A</t>
        </is>
      </c>
      <c r="C289" s="284" t="inlineStr">
        <is>
          <t>N/A</t>
        </is>
      </c>
      <c r="D289" s="300" t="inlineStr">
        <is>
          <t>N/A</t>
        </is>
      </c>
      <c r="E289" s="284" t="inlineStr">
        <is>
          <t>N/A</t>
        </is>
      </c>
      <c r="F289" s="302" t="inlineStr">
        <is>
          <t>N/A</t>
        </is>
      </c>
      <c r="G289" s="303" t="inlineStr">
        <is>
          <t>Respiratory Panel</t>
        </is>
      </c>
      <c r="H289" s="303" t="n"/>
      <c r="I289" s="303" t="n"/>
      <c r="J289" s="303" t="n"/>
      <c r="K289" s="303" t="n"/>
      <c r="L289" s="303" t="n"/>
      <c r="M289" s="303" t="n"/>
      <c r="N289" s="301" t="inlineStr">
        <is>
          <t>Respiratory Panel, Sample Mix 4</t>
        </is>
      </c>
      <c r="O289" s="304" t="inlineStr">
        <is>
          <t>POS IPT kylskåp</t>
        </is>
      </c>
      <c r="P289" s="288" t="n">
        <v>1</v>
      </c>
    </row>
    <row r="290">
      <c r="A290" s="300" t="inlineStr">
        <is>
          <t>001-1968</t>
        </is>
      </c>
      <c r="B290" s="299" t="inlineStr">
        <is>
          <t>B01NOV24B</t>
        </is>
      </c>
      <c r="C290" s="284" t="n">
        <v>46356</v>
      </c>
      <c r="D290" s="300" t="inlineStr">
        <is>
          <t>5.5 lådor</t>
        </is>
      </c>
      <c r="E290" s="284" t="n">
        <v>45985</v>
      </c>
      <c r="F290" s="302" t="inlineStr">
        <is>
          <t>ELS</t>
        </is>
      </c>
      <c r="G290" s="286" t="inlineStr">
        <is>
          <t>MTB U</t>
        </is>
      </c>
      <c r="H290" s="286" t="n"/>
      <c r="I290" s="286" t="n"/>
      <c r="J290" s="286" t="n"/>
      <c r="K290" s="286" t="n"/>
      <c r="L290" s="286" t="n"/>
      <c r="M290" s="286" t="n"/>
      <c r="N290" s="287" t="inlineStr">
        <is>
          <t>INTROL TBWT-04 MTB G4</t>
        </is>
      </c>
      <c r="O290" s="304" t="inlineStr">
        <is>
          <t>POS IPT kylskåp</t>
        </is>
      </c>
      <c r="P290" s="288" t="n">
        <v>1</v>
      </c>
    </row>
    <row r="291">
      <c r="A291" s="300" t="inlineStr">
        <is>
          <t>001-1968</t>
        </is>
      </c>
      <c r="B291" s="299" t="inlineStr">
        <is>
          <t>N/A</t>
        </is>
      </c>
      <c r="C291" s="284" t="inlineStr">
        <is>
          <t>N/A</t>
        </is>
      </c>
      <c r="D291" s="300" t="inlineStr">
        <is>
          <t>N/A</t>
        </is>
      </c>
      <c r="E291" s="284" t="inlineStr">
        <is>
          <t>N/A</t>
        </is>
      </c>
      <c r="F291" s="302" t="inlineStr">
        <is>
          <t>N/A</t>
        </is>
      </c>
      <c r="G291" s="286" t="inlineStr">
        <is>
          <t>MTB U</t>
        </is>
      </c>
      <c r="H291" s="286" t="n"/>
      <c r="I291" s="286" t="n"/>
      <c r="J291" s="286" t="n"/>
      <c r="K291" s="286" t="n"/>
      <c r="L291" s="286" t="n"/>
      <c r="M291" s="286" t="n"/>
      <c r="N291" s="287" t="inlineStr">
        <is>
          <t>INTROL TBWT-04 MTB G4</t>
        </is>
      </c>
      <c r="O291" s="304" t="inlineStr">
        <is>
          <t>POS IPT kylskåp</t>
        </is>
      </c>
      <c r="P291" s="288" t="n">
        <v>1</v>
      </c>
    </row>
    <row r="292">
      <c r="A292" s="300" t="inlineStr">
        <is>
          <t>001-1968</t>
        </is>
      </c>
      <c r="B292" s="299" t="inlineStr">
        <is>
          <t>N/A</t>
        </is>
      </c>
      <c r="C292" s="284" t="inlineStr">
        <is>
          <t>N/A</t>
        </is>
      </c>
      <c r="D292" s="300" t="inlineStr">
        <is>
          <t>N/A</t>
        </is>
      </c>
      <c r="E292" s="284" t="inlineStr">
        <is>
          <t>N/A</t>
        </is>
      </c>
      <c r="F292" s="302" t="inlineStr">
        <is>
          <t>N/A</t>
        </is>
      </c>
      <c r="G292" s="286" t="inlineStr">
        <is>
          <t>MTB U</t>
        </is>
      </c>
      <c r="H292" s="286" t="n"/>
      <c r="I292" s="286" t="n"/>
      <c r="J292" s="286" t="n"/>
      <c r="K292" s="286" t="n"/>
      <c r="L292" s="286" t="n"/>
      <c r="M292" s="286" t="n"/>
      <c r="N292" s="287" t="inlineStr">
        <is>
          <t>INTROL TBWT-04 MTB G4</t>
        </is>
      </c>
      <c r="O292" s="304" t="inlineStr">
        <is>
          <t>POS IPT kylskåp</t>
        </is>
      </c>
      <c r="P292" s="288" t="n">
        <v>1</v>
      </c>
    </row>
    <row r="293">
      <c r="A293" s="300" t="inlineStr">
        <is>
          <t>001-1968</t>
        </is>
      </c>
      <c r="B293" s="299" t="inlineStr">
        <is>
          <t>N/A</t>
        </is>
      </c>
      <c r="C293" s="284" t="inlineStr">
        <is>
          <t>N/A</t>
        </is>
      </c>
      <c r="D293" s="300" t="inlineStr">
        <is>
          <t>N/A</t>
        </is>
      </c>
      <c r="E293" s="284" t="inlineStr">
        <is>
          <t>N/A</t>
        </is>
      </c>
      <c r="F293" s="302" t="inlineStr">
        <is>
          <t>N/A</t>
        </is>
      </c>
      <c r="G293" s="286" t="inlineStr">
        <is>
          <t>MTB U</t>
        </is>
      </c>
      <c r="H293" s="286" t="n"/>
      <c r="I293" s="286" t="n"/>
      <c r="J293" s="286" t="n"/>
      <c r="K293" s="286" t="n"/>
      <c r="L293" s="286" t="n"/>
      <c r="M293" s="286" t="n"/>
      <c r="N293" s="287" t="inlineStr">
        <is>
          <t>INTROL TBWT-04 MTB G4</t>
        </is>
      </c>
      <c r="O293" s="304" t="inlineStr">
        <is>
          <t>POS IPT kylskåp</t>
        </is>
      </c>
      <c r="P293" s="288" t="n">
        <v>1</v>
      </c>
    </row>
    <row r="294">
      <c r="A294" s="300" t="inlineStr">
        <is>
          <t>525-00327</t>
        </is>
      </c>
      <c r="B294" s="299" t="inlineStr">
        <is>
          <t>031825SAMI</t>
        </is>
      </c>
      <c r="C294" s="284" t="n">
        <v>46099</v>
      </c>
      <c r="D294" s="300" t="inlineStr">
        <is>
          <t>1 Låda</t>
        </is>
      </c>
      <c r="E294" s="284" t="n">
        <v>46070</v>
      </c>
      <c r="F294" s="302" t="inlineStr">
        <is>
          <t>ELS</t>
        </is>
      </c>
      <c r="G294" s="286" t="inlineStr">
        <is>
          <t>EBOLA</t>
        </is>
      </c>
      <c r="H294" s="286" t="inlineStr">
        <is>
          <t>GBS</t>
        </is>
      </c>
      <c r="I294" s="286" t="inlineStr">
        <is>
          <t>HIV QA</t>
        </is>
      </c>
      <c r="J294" s="286" t="n"/>
      <c r="K294" s="286" t="n"/>
      <c r="L294" s="286" t="n"/>
      <c r="M294" s="286" t="n"/>
      <c r="N294" s="291" t="inlineStr">
        <is>
          <t>EDTA Human Whole  Blood (NTC)</t>
        </is>
      </c>
      <c r="O294" s="288" t="inlineStr">
        <is>
          <t>NEG IPT -80 frys</t>
        </is>
      </c>
      <c r="P294" s="289" t="n">
        <v>0</v>
      </c>
    </row>
    <row r="295">
      <c r="A295" s="300" t="inlineStr">
        <is>
          <t>525-00327</t>
        </is>
      </c>
      <c r="B295" s="299" t="inlineStr">
        <is>
          <t>N/A</t>
        </is>
      </c>
      <c r="C295" s="284" t="inlineStr">
        <is>
          <t>N/A</t>
        </is>
      </c>
      <c r="D295" s="300" t="inlineStr">
        <is>
          <t>N/A</t>
        </is>
      </c>
      <c r="E295" s="284" t="inlineStr">
        <is>
          <t>N/A</t>
        </is>
      </c>
      <c r="F295" s="302" t="inlineStr">
        <is>
          <t>N/A</t>
        </is>
      </c>
      <c r="G295" s="286" t="inlineStr">
        <is>
          <t>EBOLA</t>
        </is>
      </c>
      <c r="H295" s="286" t="inlineStr">
        <is>
          <t>GBS</t>
        </is>
      </c>
      <c r="I295" s="286" t="inlineStr">
        <is>
          <t>HIV QA</t>
        </is>
      </c>
      <c r="J295" s="286" t="n"/>
      <c r="K295" s="286" t="n"/>
      <c r="L295" s="286" t="n"/>
      <c r="M295" s="286" t="n"/>
      <c r="N295" s="291" t="inlineStr">
        <is>
          <t>EDTA Human Whole  Blood (NTC)</t>
        </is>
      </c>
      <c r="O295" s="288" t="inlineStr">
        <is>
          <t>NEG IPT -80 frys</t>
        </is>
      </c>
      <c r="P295" s="289" t="n">
        <v>0</v>
      </c>
    </row>
    <row r="296">
      <c r="A296" s="300" t="inlineStr">
        <is>
          <t>525-00327</t>
        </is>
      </c>
      <c r="B296" s="299" t="inlineStr">
        <is>
          <t>N/A</t>
        </is>
      </c>
      <c r="C296" s="284" t="inlineStr">
        <is>
          <t>N/A</t>
        </is>
      </c>
      <c r="D296" s="300" t="inlineStr">
        <is>
          <t>N/A</t>
        </is>
      </c>
      <c r="E296" s="284" t="inlineStr">
        <is>
          <t>N/A</t>
        </is>
      </c>
      <c r="F296" s="302" t="inlineStr">
        <is>
          <t>N/A</t>
        </is>
      </c>
      <c r="G296" s="286" t="inlineStr">
        <is>
          <t>EBOLA</t>
        </is>
      </c>
      <c r="H296" s="286" t="inlineStr">
        <is>
          <t>GBS</t>
        </is>
      </c>
      <c r="I296" s="286" t="inlineStr">
        <is>
          <t>HIV QA</t>
        </is>
      </c>
      <c r="J296" s="286" t="n"/>
      <c r="K296" s="286" t="n"/>
      <c r="L296" s="286" t="n"/>
      <c r="M296" s="286" t="n"/>
      <c r="N296" s="291" t="inlineStr">
        <is>
          <t>EDTA Human Whole  Blood (NTC)</t>
        </is>
      </c>
      <c r="O296" s="288" t="inlineStr">
        <is>
          <t>NEG IPT -80 frys</t>
        </is>
      </c>
      <c r="P296" s="289" t="n">
        <v>0</v>
      </c>
    </row>
    <row r="297">
      <c r="A297" s="300" t="inlineStr">
        <is>
          <t>525-00327</t>
        </is>
      </c>
      <c r="B297" s="299" t="inlineStr">
        <is>
          <t>N/A</t>
        </is>
      </c>
      <c r="C297" s="284" t="inlineStr">
        <is>
          <t>N/A</t>
        </is>
      </c>
      <c r="D297" s="300" t="inlineStr">
        <is>
          <t>N/A</t>
        </is>
      </c>
      <c r="E297" s="284" t="inlineStr">
        <is>
          <t>N/A</t>
        </is>
      </c>
      <c r="F297" s="302" t="inlineStr">
        <is>
          <t>N/A</t>
        </is>
      </c>
      <c r="G297" s="286" t="inlineStr">
        <is>
          <t>EBOLA</t>
        </is>
      </c>
      <c r="H297" s="286" t="inlineStr">
        <is>
          <t>GBS</t>
        </is>
      </c>
      <c r="I297" s="286" t="inlineStr">
        <is>
          <t>HIV QA</t>
        </is>
      </c>
      <c r="J297" s="286" t="n"/>
      <c r="K297" s="286" t="n"/>
      <c r="L297" s="286" t="n"/>
      <c r="M297" s="286" t="n"/>
      <c r="N297" s="291" t="inlineStr">
        <is>
          <t>EDTA Human Whole  Blood (NTC)</t>
        </is>
      </c>
      <c r="O297" s="288" t="inlineStr">
        <is>
          <t>NEG IPT -80 frys</t>
        </is>
      </c>
      <c r="P297" s="289" t="n">
        <v>0</v>
      </c>
    </row>
    <row r="298">
      <c r="A298" s="300" t="inlineStr">
        <is>
          <t>025-00063</t>
        </is>
      </c>
      <c r="B298" s="299" t="n">
        <v>334632</v>
      </c>
      <c r="C298" s="284" t="n">
        <v>46113</v>
      </c>
      <c r="D298" s="300" t="inlineStr">
        <is>
          <t>1 Flaska POS</t>
        </is>
      </c>
      <c r="E298" s="284" t="n">
        <v>46029</v>
      </c>
      <c r="F298" s="302" t="inlineStr">
        <is>
          <t>JESP</t>
        </is>
      </c>
      <c r="G298" s="286" t="inlineStr">
        <is>
          <t>GI Panel</t>
        </is>
      </c>
      <c r="H298" s="286" t="n"/>
      <c r="I298" s="286" t="n"/>
      <c r="J298" s="286" t="n"/>
      <c r="K298" s="286" t="n"/>
      <c r="L298" s="286" t="n"/>
      <c r="M298" s="286" t="n"/>
      <c r="N298" s="291" t="inlineStr">
        <is>
          <t>Stool diluent matrix</t>
        </is>
      </c>
      <c r="O298" s="288" t="inlineStr">
        <is>
          <t>NEG IPT kylskåp</t>
        </is>
      </c>
      <c r="P298" s="289" t="n">
        <v>0</v>
      </c>
    </row>
    <row r="299">
      <c r="A299" s="300" t="inlineStr">
        <is>
          <t>025-00063</t>
        </is>
      </c>
      <c r="B299" s="299" t="n">
        <v>335690</v>
      </c>
      <c r="C299" s="284" t="n">
        <v>46327</v>
      </c>
      <c r="D299" s="300" t="inlineStr">
        <is>
          <t>1 Flaska NEG</t>
        </is>
      </c>
      <c r="E299" s="284" t="n">
        <v>46029</v>
      </c>
      <c r="F299" s="302" t="inlineStr">
        <is>
          <t>JESP</t>
        </is>
      </c>
      <c r="G299" s="286" t="inlineStr">
        <is>
          <t>GI Panel</t>
        </is>
      </c>
      <c r="H299" s="286" t="n"/>
      <c r="I299" s="286" t="n"/>
      <c r="J299" s="286" t="n"/>
      <c r="K299" s="286" t="n"/>
      <c r="L299" s="286" t="n"/>
      <c r="M299" s="286" t="n"/>
      <c r="N299" s="291" t="inlineStr">
        <is>
          <t>Stool diluent matrix</t>
        </is>
      </c>
      <c r="O299" s="288" t="inlineStr">
        <is>
          <t>NEG IPT kylskåp</t>
        </is>
      </c>
      <c r="P299" s="289" t="n">
        <v>0</v>
      </c>
    </row>
    <row r="300">
      <c r="A300" s="300" t="inlineStr">
        <is>
          <t>025-00063</t>
        </is>
      </c>
      <c r="B300" s="351" t="inlineStr">
        <is>
          <t>N/A</t>
        </is>
      </c>
      <c r="C300" s="284" t="inlineStr">
        <is>
          <t>N/A</t>
        </is>
      </c>
      <c r="D300" s="300" t="inlineStr">
        <is>
          <t>N/A</t>
        </is>
      </c>
      <c r="E300" s="284" t="inlineStr">
        <is>
          <t>N/A</t>
        </is>
      </c>
      <c r="F300" s="302" t="inlineStr">
        <is>
          <t>N/A</t>
        </is>
      </c>
      <c r="G300" s="286" t="inlineStr">
        <is>
          <t>GI Panel</t>
        </is>
      </c>
      <c r="H300" s="286" t="n"/>
      <c r="I300" s="286" t="n"/>
      <c r="J300" s="286" t="n"/>
      <c r="K300" s="286" t="n"/>
      <c r="L300" s="286" t="n"/>
      <c r="M300" s="286" t="n"/>
      <c r="N300" s="291" t="inlineStr">
        <is>
          <t>Stool diluent matrix</t>
        </is>
      </c>
      <c r="O300" s="288" t="inlineStr">
        <is>
          <t>POS IPT kylskåp</t>
        </is>
      </c>
      <c r="P300" s="288" t="n">
        <v>1</v>
      </c>
    </row>
    <row r="301">
      <c r="A301" s="300" t="inlineStr">
        <is>
          <t>025-00063</t>
        </is>
      </c>
      <c r="B301" s="351" t="inlineStr">
        <is>
          <t>N/A</t>
        </is>
      </c>
      <c r="C301" s="284" t="inlineStr">
        <is>
          <t>N/A</t>
        </is>
      </c>
      <c r="D301" s="300" t="inlineStr">
        <is>
          <t>N/A</t>
        </is>
      </c>
      <c r="E301" s="284" t="inlineStr">
        <is>
          <t>N/A</t>
        </is>
      </c>
      <c r="F301" s="302" t="inlineStr">
        <is>
          <t>N/A</t>
        </is>
      </c>
      <c r="G301" s="286" t="inlineStr">
        <is>
          <t>GI Panel</t>
        </is>
      </c>
      <c r="H301" s="286" t="n"/>
      <c r="I301" s="286" t="n"/>
      <c r="J301" s="286" t="n"/>
      <c r="K301" s="286" t="n"/>
      <c r="L301" s="286" t="n"/>
      <c r="M301" s="286" t="n"/>
      <c r="N301" s="291" t="inlineStr">
        <is>
          <t>Stool diluent matrix</t>
        </is>
      </c>
      <c r="O301" s="288" t="inlineStr">
        <is>
          <t>POS IPT kylskåp</t>
        </is>
      </c>
      <c r="P301" s="288" t="n">
        <v>1</v>
      </c>
    </row>
    <row r="302">
      <c r="A302" s="300" t="inlineStr">
        <is>
          <t>525-00205</t>
        </is>
      </c>
      <c r="B302" s="299" t="inlineStr">
        <is>
          <t>051625SAMI</t>
        </is>
      </c>
      <c r="C302" s="284" t="n">
        <v>46333</v>
      </c>
      <c r="D302" s="300" t="inlineStr">
        <is>
          <t>19 rör</t>
        </is>
      </c>
      <c r="E302" s="284" t="n">
        <v>46037</v>
      </c>
      <c r="F302" s="302" t="inlineStr">
        <is>
          <t>ELS</t>
        </is>
      </c>
      <c r="G302" s="286" t="inlineStr">
        <is>
          <t>GI Panel</t>
        </is>
      </c>
      <c r="H302" s="286" t="n"/>
      <c r="I302" s="286" t="n"/>
      <c r="J302" s="286" t="n"/>
      <c r="K302" s="286" t="n"/>
      <c r="L302" s="286" t="n"/>
      <c r="M302" s="286" t="n"/>
      <c r="N302" s="291" t="inlineStr">
        <is>
          <t>GI PANEL, POS CTR MIX 1, LOW</t>
        </is>
      </c>
      <c r="O302" s="288" t="inlineStr">
        <is>
          <t>POS IPT kylskåp</t>
        </is>
      </c>
      <c r="P302" s="289" t="n">
        <v>1</v>
      </c>
    </row>
    <row r="303">
      <c r="A303" s="300" t="inlineStr">
        <is>
          <t>525-00205</t>
        </is>
      </c>
      <c r="B303" s="299" t="inlineStr">
        <is>
          <t>N/A</t>
        </is>
      </c>
      <c r="C303" s="284" t="inlineStr">
        <is>
          <t>N/A</t>
        </is>
      </c>
      <c r="D303" s="300" t="inlineStr">
        <is>
          <t>N/A</t>
        </is>
      </c>
      <c r="E303" s="284" t="inlineStr">
        <is>
          <t>N/A</t>
        </is>
      </c>
      <c r="F303" s="302" t="inlineStr">
        <is>
          <t>N/A</t>
        </is>
      </c>
      <c r="G303" s="286" t="inlineStr">
        <is>
          <t>GI Panel</t>
        </is>
      </c>
      <c r="H303" s="286" t="n"/>
      <c r="I303" s="286" t="n"/>
      <c r="J303" s="286" t="n"/>
      <c r="K303" s="286" t="n"/>
      <c r="L303" s="286" t="n"/>
      <c r="M303" s="286" t="n"/>
      <c r="N303" s="291" t="inlineStr">
        <is>
          <t>GI PANEL, POS CTR MIX 1, LOW</t>
        </is>
      </c>
      <c r="O303" s="288" t="inlineStr">
        <is>
          <t>POS IPT kylskåp</t>
        </is>
      </c>
      <c r="P303" s="289" t="n">
        <v>1</v>
      </c>
    </row>
    <row r="304">
      <c r="A304" s="300" t="inlineStr">
        <is>
          <t>525-00205</t>
        </is>
      </c>
      <c r="B304" s="351" t="inlineStr">
        <is>
          <t>N/A</t>
        </is>
      </c>
      <c r="C304" s="284" t="inlineStr">
        <is>
          <t>N/A</t>
        </is>
      </c>
      <c r="D304" s="300" t="inlineStr">
        <is>
          <t>N/A</t>
        </is>
      </c>
      <c r="E304" s="284" t="inlineStr">
        <is>
          <t>N/A</t>
        </is>
      </c>
      <c r="F304" s="302" t="inlineStr">
        <is>
          <t>N/A</t>
        </is>
      </c>
      <c r="G304" s="286" t="inlineStr">
        <is>
          <t>GI Panel</t>
        </is>
      </c>
      <c r="H304" s="286" t="n"/>
      <c r="I304" s="286" t="n"/>
      <c r="J304" s="286" t="n"/>
      <c r="K304" s="286" t="n"/>
      <c r="L304" s="286" t="n"/>
      <c r="M304" s="286" t="n"/>
      <c r="N304" s="291" t="inlineStr">
        <is>
          <t>GI PANEL, POS CTR MIX 1, LOW</t>
        </is>
      </c>
      <c r="O304" s="288" t="inlineStr">
        <is>
          <t>POS IPT kylskåp</t>
        </is>
      </c>
      <c r="P304" s="288" t="n">
        <v>1</v>
      </c>
    </row>
    <row r="305">
      <c r="A305" s="300" t="inlineStr">
        <is>
          <t>525-00205</t>
        </is>
      </c>
      <c r="B305" s="351" t="inlineStr">
        <is>
          <t>N/A</t>
        </is>
      </c>
      <c r="C305" s="284" t="inlineStr">
        <is>
          <t>N/A</t>
        </is>
      </c>
      <c r="D305" s="300" t="inlineStr">
        <is>
          <t>N/A</t>
        </is>
      </c>
      <c r="E305" s="284" t="inlineStr">
        <is>
          <t>N/A</t>
        </is>
      </c>
      <c r="F305" s="302" t="inlineStr">
        <is>
          <t>N/A</t>
        </is>
      </c>
      <c r="G305" s="286" t="inlineStr">
        <is>
          <t>GI Panel</t>
        </is>
      </c>
      <c r="H305" s="286" t="n"/>
      <c r="I305" s="286" t="n"/>
      <c r="J305" s="286" t="n"/>
      <c r="K305" s="286" t="n"/>
      <c r="L305" s="286" t="n"/>
      <c r="M305" s="286" t="n"/>
      <c r="N305" s="291" t="inlineStr">
        <is>
          <t>GI PANEL, POS CTR MIX 1, LOW</t>
        </is>
      </c>
      <c r="O305" s="288" t="inlineStr">
        <is>
          <t>POS IPT kylskåp</t>
        </is>
      </c>
      <c r="P305" s="288" t="n">
        <v>1</v>
      </c>
    </row>
    <row r="306">
      <c r="A306" s="282" t="inlineStr">
        <is>
          <t>325-00074</t>
        </is>
      </c>
      <c r="B306" s="283" t="n">
        <v>336020</v>
      </c>
      <c r="C306" s="284" t="n">
        <v>46385</v>
      </c>
      <c r="D306" s="300" t="inlineStr">
        <is>
          <t>4 rör</t>
        </is>
      </c>
      <c r="E306" s="284" t="n">
        <v>46058</v>
      </c>
      <c r="F306" s="302" t="inlineStr">
        <is>
          <t>ELS</t>
        </is>
      </c>
      <c r="G306" s="286" t="inlineStr">
        <is>
          <t>FLU RSV</t>
        </is>
      </c>
      <c r="H306" s="286" t="n"/>
      <c r="I306" s="286" t="n"/>
      <c r="J306" s="286" t="n"/>
      <c r="K306" s="286" t="n"/>
      <c r="L306" s="286" t="n"/>
      <c r="M306" s="286" t="n"/>
      <c r="N306" s="287" t="inlineStr">
        <is>
          <t>RSVB High control ALQT</t>
        </is>
      </c>
      <c r="O306" s="288" t="inlineStr">
        <is>
          <t>POS IPT kylskåp</t>
        </is>
      </c>
      <c r="P306" s="289" t="n">
        <v>1</v>
      </c>
    </row>
    <row r="307">
      <c r="A307" s="282" t="inlineStr">
        <is>
          <t>325-00074</t>
        </is>
      </c>
      <c r="B307" s="283" t="inlineStr">
        <is>
          <t>M(A</t>
        </is>
      </c>
      <c r="C307" s="284" t="inlineStr">
        <is>
          <t>N/A</t>
        </is>
      </c>
      <c r="D307" s="300" t="inlineStr">
        <is>
          <t>N/A</t>
        </is>
      </c>
      <c r="E307" s="284" t="inlineStr">
        <is>
          <t>N/A</t>
        </is>
      </c>
      <c r="F307" s="302" t="inlineStr">
        <is>
          <t>N/A</t>
        </is>
      </c>
      <c r="G307" s="286" t="inlineStr">
        <is>
          <t>FLU RSV</t>
        </is>
      </c>
      <c r="H307" s="286" t="n"/>
      <c r="I307" s="286" t="n"/>
      <c r="J307" s="286" t="n"/>
      <c r="K307" s="286" t="n"/>
      <c r="L307" s="286" t="n"/>
      <c r="M307" s="286" t="n"/>
      <c r="N307" s="287" t="inlineStr">
        <is>
          <t>RSVB High control ALQT</t>
        </is>
      </c>
      <c r="O307" s="288" t="inlineStr">
        <is>
          <t>POS IPT kylskåp</t>
        </is>
      </c>
      <c r="P307" s="289" t="n">
        <v>1</v>
      </c>
    </row>
    <row r="308">
      <c r="A308" s="282" t="inlineStr">
        <is>
          <t>325-00074</t>
        </is>
      </c>
      <c r="B308" s="283" t="inlineStr">
        <is>
          <t>N/A</t>
        </is>
      </c>
      <c r="C308" s="284" t="inlineStr">
        <is>
          <t>N/A</t>
        </is>
      </c>
      <c r="D308" s="282" t="inlineStr">
        <is>
          <t>N/A</t>
        </is>
      </c>
      <c r="E308" s="284" t="inlineStr">
        <is>
          <t>N/A</t>
        </is>
      </c>
      <c r="F308" s="285" t="inlineStr">
        <is>
          <t>N/A</t>
        </is>
      </c>
      <c r="G308" s="286" t="inlineStr">
        <is>
          <t>FLU RSV</t>
        </is>
      </c>
      <c r="H308" s="286" t="n"/>
      <c r="I308" s="286" t="n"/>
      <c r="J308" s="286" t="n"/>
      <c r="K308" s="286" t="n"/>
      <c r="L308" s="286" t="n"/>
      <c r="M308" s="286" t="n"/>
      <c r="N308" s="287" t="inlineStr">
        <is>
          <t>RSVB High control ALQT</t>
        </is>
      </c>
      <c r="O308" s="288" t="inlineStr">
        <is>
          <t>POS IPT kylskåp</t>
        </is>
      </c>
      <c r="P308" s="289" t="n">
        <v>1</v>
      </c>
    </row>
    <row r="309">
      <c r="A309" s="282" t="inlineStr">
        <is>
          <t>325-00074</t>
        </is>
      </c>
      <c r="B309" s="283" t="inlineStr">
        <is>
          <t>N/A</t>
        </is>
      </c>
      <c r="C309" s="284" t="inlineStr">
        <is>
          <t>N/A</t>
        </is>
      </c>
      <c r="D309" s="282" t="inlineStr">
        <is>
          <t>N/A</t>
        </is>
      </c>
      <c r="E309" s="284" t="inlineStr">
        <is>
          <t>N/A</t>
        </is>
      </c>
      <c r="F309" s="285" t="inlineStr">
        <is>
          <t>N/A</t>
        </is>
      </c>
      <c r="G309" s="286" t="inlineStr">
        <is>
          <t>FLU RSV</t>
        </is>
      </c>
      <c r="H309" s="286" t="n"/>
      <c r="I309" s="286" t="n"/>
      <c r="J309" s="286" t="n"/>
      <c r="K309" s="286" t="n"/>
      <c r="L309" s="286" t="n"/>
      <c r="M309" s="286" t="n"/>
      <c r="N309" s="287" t="inlineStr">
        <is>
          <t>RSVB High control ALQT</t>
        </is>
      </c>
      <c r="O309" s="288" t="inlineStr">
        <is>
          <t>POS IPT kylskåp</t>
        </is>
      </c>
      <c r="P309" s="289" t="n">
        <v>1</v>
      </c>
    </row>
    <row r="310">
      <c r="A310" s="282" t="inlineStr">
        <is>
          <t>325-00075</t>
        </is>
      </c>
      <c r="B310" s="293" t="n">
        <v>336019</v>
      </c>
      <c r="C310" s="294" t="n">
        <v>46385</v>
      </c>
      <c r="D310" s="292" t="inlineStr">
        <is>
          <t>2 lådor</t>
        </is>
      </c>
      <c r="E310" s="284" t="n">
        <v>46063</v>
      </c>
      <c r="F310" s="285" t="inlineStr">
        <is>
          <t>vdao</t>
        </is>
      </c>
      <c r="G310" s="286" t="inlineStr">
        <is>
          <t>FLUVID</t>
        </is>
      </c>
      <c r="H310" s="286" t="inlineStr">
        <is>
          <t>FLU RSV</t>
        </is>
      </c>
      <c r="I310" s="286" t="n"/>
      <c r="J310" s="286" t="n"/>
      <c r="K310" s="286" t="n"/>
      <c r="L310" s="286" t="n"/>
      <c r="M310" s="286" t="n"/>
      <c r="N310" s="287" t="inlineStr">
        <is>
          <t>RSVB Low control ALQT</t>
        </is>
      </c>
      <c r="O310" s="288" t="inlineStr">
        <is>
          <t>POS IPT kylskåp</t>
        </is>
      </c>
      <c r="P310" s="289" t="n">
        <v>1</v>
      </c>
    </row>
    <row r="311">
      <c r="A311" s="282" t="inlineStr">
        <is>
          <t>325-00075</t>
        </is>
      </c>
      <c r="B311" s="293" t="inlineStr">
        <is>
          <t>N/A</t>
        </is>
      </c>
      <c r="C311" s="294" t="inlineStr">
        <is>
          <t>N/A</t>
        </is>
      </c>
      <c r="D311" s="292" t="inlineStr">
        <is>
          <t>N/A</t>
        </is>
      </c>
      <c r="E311" s="284" t="inlineStr">
        <is>
          <t>N/A</t>
        </is>
      </c>
      <c r="F311" s="285" t="inlineStr">
        <is>
          <t>N/A</t>
        </is>
      </c>
      <c r="G311" s="286" t="inlineStr">
        <is>
          <t>FLUVID</t>
        </is>
      </c>
      <c r="H311" s="286" t="inlineStr">
        <is>
          <t>FLU RSV</t>
        </is>
      </c>
      <c r="I311" s="286" t="n"/>
      <c r="J311" s="286" t="n"/>
      <c r="K311" s="286" t="n"/>
      <c r="L311" s="286" t="n"/>
      <c r="M311" s="286" t="n"/>
      <c r="N311" s="287" t="inlineStr">
        <is>
          <t>RSVB Low control ALQT</t>
        </is>
      </c>
      <c r="O311" s="288" t="inlineStr">
        <is>
          <t>POS IPT kylskåp</t>
        </is>
      </c>
      <c r="P311" s="289" t="n">
        <v>1</v>
      </c>
    </row>
    <row r="312">
      <c r="A312" s="282" t="inlineStr">
        <is>
          <t>325-00075</t>
        </is>
      </c>
      <c r="B312" s="293" t="inlineStr">
        <is>
          <t>N/A</t>
        </is>
      </c>
      <c r="C312" s="294" t="inlineStr">
        <is>
          <t>N/A</t>
        </is>
      </c>
      <c r="D312" s="292" t="inlineStr">
        <is>
          <t>N/A</t>
        </is>
      </c>
      <c r="E312" s="284" t="inlineStr">
        <is>
          <t>N/A</t>
        </is>
      </c>
      <c r="F312" s="285" t="inlineStr">
        <is>
          <t>N/A</t>
        </is>
      </c>
      <c r="G312" s="286" t="inlineStr">
        <is>
          <t>FLUVID</t>
        </is>
      </c>
      <c r="H312" s="286" t="inlineStr">
        <is>
          <t>FLU RSV</t>
        </is>
      </c>
      <c r="I312" s="286" t="n"/>
      <c r="J312" s="286" t="n"/>
      <c r="K312" s="286" t="n"/>
      <c r="L312" s="286" t="n"/>
      <c r="M312" s="286" t="n"/>
      <c r="N312" s="287" t="inlineStr">
        <is>
          <t>RSVB Low control ALQT</t>
        </is>
      </c>
      <c r="O312" s="288" t="inlineStr">
        <is>
          <t>POS IPT kylskåp</t>
        </is>
      </c>
      <c r="P312" s="289" t="n">
        <v>1</v>
      </c>
    </row>
    <row r="313">
      <c r="A313" s="282" t="inlineStr">
        <is>
          <t>325-00075</t>
        </is>
      </c>
      <c r="B313" s="293" t="inlineStr">
        <is>
          <t>N/A</t>
        </is>
      </c>
      <c r="C313" s="294" t="inlineStr">
        <is>
          <t>N/A</t>
        </is>
      </c>
      <c r="D313" s="292" t="inlineStr">
        <is>
          <t>N/A</t>
        </is>
      </c>
      <c r="E313" s="284" t="inlineStr">
        <is>
          <t>N/A</t>
        </is>
      </c>
      <c r="F313" s="285" t="inlineStr">
        <is>
          <t>N/A</t>
        </is>
      </c>
      <c r="G313" s="286" t="inlineStr">
        <is>
          <t>FLUVID</t>
        </is>
      </c>
      <c r="H313" s="286" t="inlineStr">
        <is>
          <t>FLU RSV</t>
        </is>
      </c>
      <c r="I313" s="286" t="n"/>
      <c r="J313" s="286" t="n"/>
      <c r="K313" s="286" t="n"/>
      <c r="L313" s="286" t="n"/>
      <c r="M313" s="286" t="n"/>
      <c r="N313" s="287" t="inlineStr">
        <is>
          <t>RSVB Low control ALQT</t>
        </is>
      </c>
      <c r="O313" s="288" t="inlineStr">
        <is>
          <t>POS IPT kylskåp</t>
        </is>
      </c>
      <c r="P313" s="289" t="n">
        <v>1</v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itkMBffNcQGw8ynPAEDJRw==" formatRows="1" sort="1" spinCount="100000" hashValue="YlX6Lft3syJqXFbDkBrFIfbWuAJBtJvKIW4k/TjyZ6ZRaeR0dPxDYmLmEzhVr8e7pKkqKOmPg8azqJMg19nXtg=="/>
  <pageMargins left="0.7" right="0.7" top="0.75" bottom="0.75" header="0.3" footer="0.3"/>
  <pageSetup orientation="portrait" paperSize="9" verticalDpi="0"/>
</worksheet>
</file>

<file path=xl/worksheets/sheet4.xml><?xml version="1.0" encoding="utf-8"?>
<worksheet xmlns="http://schemas.openxmlformats.org/spreadsheetml/2006/main">
  <sheetPr codeName="Sheet2">
    <outlinePr summaryBelow="1" summaryRight="1"/>
    <pageSetUpPr/>
  </sheetPr>
  <dimension ref="A1:AZ28"/>
  <sheetViews>
    <sheetView tabSelected="1" zoomScale="85" zoomScaleNormal="85" workbookViewId="0">
      <selection activeCell="A1" sqref="A1"/>
    </sheetView>
  </sheetViews>
  <sheetFormatPr baseColWidth="8" defaultColWidth="11.85546875" defaultRowHeight="15"/>
  <cols>
    <col width="5.5703125" customWidth="1" min="1" max="1"/>
    <col hidden="1" width="4.140625" customWidth="1" min="2" max="2"/>
    <col width="5" customWidth="1" min="3" max="3"/>
    <col width="6.5703125" customWidth="1" min="4" max="4"/>
    <col width="3.42578125" customWidth="1" min="5" max="5"/>
    <col width="5.28515625" customWidth="1" min="6" max="6"/>
    <col width="5.85546875" customWidth="1" min="7" max="7"/>
    <col width="11.7109375" customWidth="1" min="8" max="8"/>
    <col width="13.5703125" customWidth="1" min="9" max="9"/>
    <col width="8" customWidth="1" min="10" max="10"/>
    <col width="5" customWidth="1" min="11" max="11"/>
    <col width="4.42578125" customWidth="1" min="12" max="12"/>
    <col width="4.85546875" customWidth="1" min="13" max="13"/>
    <col width="7.7109375" customWidth="1" min="14" max="14"/>
    <col width="7.140625" customWidth="1" style="33" min="15" max="15"/>
    <col width="7.28515625" customWidth="1" style="33" min="16" max="16"/>
    <col width="16" bestFit="1" customWidth="1" min="17" max="17"/>
    <col width="14.28515625" customWidth="1" min="18" max="18"/>
    <col width="12.7109375" customWidth="1" min="19" max="19"/>
    <col width="5.28515625" customWidth="1" min="20" max="20"/>
    <col width="4" customWidth="1" min="21" max="21"/>
    <col width="6" customWidth="1" min="22" max="22"/>
    <col width="5.140625" customWidth="1" min="23" max="23"/>
    <col width="6.7109375" customWidth="1" min="24" max="24"/>
    <col width="3.85546875" customWidth="1" min="25" max="25"/>
    <col width="13.5703125" customWidth="1" min="26" max="26"/>
    <col width="17.85546875" bestFit="1" customWidth="1" min="27" max="27"/>
    <col width="8.7109375" customWidth="1" min="28" max="28"/>
    <col width="3.42578125" customWidth="1" min="29" max="29"/>
    <col width="4.7109375" customWidth="1" min="30" max="30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7.5" customHeight="1"/>
    <row r="2" ht="25.15" customHeight="1">
      <c r="A2" s="268" t="n"/>
      <c r="B2" s="268" t="n"/>
      <c r="C2" s="368" t="inlineStr">
        <is>
          <t>BULK Sample Reagent</t>
        </is>
      </c>
      <c r="AD2" s="268" t="n"/>
    </row>
    <row r="3" ht="15.75" customHeight="1" thickBot="1">
      <c r="A3" s="268" t="n"/>
      <c r="AD3" s="268" t="n"/>
    </row>
    <row r="4" ht="24" customHeight="1" thickBot="1">
      <c r="A4" s="268" t="n"/>
      <c r="C4" s="550" t="inlineStr">
        <is>
          <t>MTB - SR | 500-2608</t>
        </is>
      </c>
      <c r="D4" s="551" t="n"/>
      <c r="E4" s="551" t="n"/>
      <c r="F4" s="551" t="n"/>
      <c r="G4" s="551" t="n"/>
      <c r="H4" s="551" t="n"/>
      <c r="I4" s="551" t="n"/>
      <c r="J4" s="552" t="n"/>
      <c r="L4" s="550" t="inlineStr">
        <is>
          <t>MTB - TET | 500-0995</t>
        </is>
      </c>
      <c r="M4" s="551" t="n"/>
      <c r="N4" s="551" t="n"/>
      <c r="O4" s="551" t="n"/>
      <c r="P4" s="551" t="n"/>
      <c r="Q4" s="551" t="n"/>
      <c r="R4" s="551" t="n"/>
      <c r="S4" s="552" t="n"/>
      <c r="U4" s="553" t="inlineStr">
        <is>
          <t>CTNG | 500-1514</t>
        </is>
      </c>
      <c r="V4" s="551" t="n"/>
      <c r="W4" s="551" t="n"/>
      <c r="X4" s="551" t="n"/>
      <c r="Y4" s="551" t="n"/>
      <c r="Z4" s="551" t="n"/>
      <c r="AA4" s="551" t="n"/>
      <c r="AB4" s="552" t="n"/>
      <c r="AD4" s="268" t="n"/>
    </row>
    <row r="5" ht="38.25" customHeight="1" thickBot="1">
      <c r="A5" s="268" t="n"/>
      <c r="C5" s="554" t="inlineStr">
        <is>
          <t>P/N 500-2608 MTB SR (exp 4 mån)
500-2608, IPT BULK REAGENT, SAMPLE TREATMENT, MTB</t>
        </is>
      </c>
      <c r="D5" s="555" t="n"/>
      <c r="E5" s="555" t="n"/>
      <c r="F5" s="555" t="n"/>
      <c r="G5" s="555" t="n"/>
      <c r="H5" s="555" t="n"/>
      <c r="I5" s="555" t="n"/>
      <c r="J5" s="556" t="n"/>
      <c r="L5" s="554" t="inlineStr">
        <is>
          <t>P/N 500-0995 MTB TET Buffer (exp 6 mån)
500-0995, BUFFER, TET, 50_0.1_0.1</t>
        </is>
      </c>
      <c r="M5" s="555" t="n"/>
      <c r="N5" s="555" t="n"/>
      <c r="O5" s="555" t="n"/>
      <c r="P5" s="555" t="n"/>
      <c r="Q5" s="555" t="n"/>
      <c r="R5" s="555" t="n"/>
      <c r="S5" s="556" t="n"/>
      <c r="U5" s="554" t="inlineStr">
        <is>
          <t>P/N 500-1514 Transport buffer (exp 6 mån)
500-1514, TRANSPORT BUFFER,SWAB,BULK,CT/NG</t>
        </is>
      </c>
      <c r="V5" s="555" t="n"/>
      <c r="W5" s="555" t="n"/>
      <c r="X5" s="555" t="n"/>
      <c r="Y5" s="555" t="n"/>
      <c r="Z5" s="555" t="n"/>
      <c r="AA5" s="555" t="n"/>
      <c r="AB5" s="556" t="n"/>
      <c r="AD5" s="268" t="n"/>
    </row>
    <row r="6" ht="28.5" customHeight="1" thickBot="1">
      <c r="A6" s="268" t="n"/>
      <c r="C6" s="366" t="inlineStr">
        <is>
          <t>Lot #</t>
        </is>
      </c>
      <c r="D6" s="555" t="n"/>
      <c r="E6" s="557" t="n"/>
      <c r="F6" s="369" t="inlineStr">
        <is>
          <t>Exp</t>
        </is>
      </c>
      <c r="G6" s="557" t="n"/>
      <c r="H6" s="369" t="inlineStr">
        <is>
          <t>Volym, L</t>
        </is>
      </c>
      <c r="I6" s="367" t="inlineStr">
        <is>
          <t>Senast inventering</t>
        </is>
      </c>
      <c r="J6" s="265" t="inlineStr">
        <is>
          <t>SIGN</t>
        </is>
      </c>
      <c r="K6" s="35" t="n"/>
      <c r="L6" s="366" t="inlineStr">
        <is>
          <t>Lot #</t>
        </is>
      </c>
      <c r="M6" s="555" t="n"/>
      <c r="N6" s="557" t="n"/>
      <c r="O6" s="369" t="inlineStr">
        <is>
          <t>Exp</t>
        </is>
      </c>
      <c r="P6" s="557" t="n"/>
      <c r="Q6" s="369" t="inlineStr">
        <is>
          <t>Volym, L</t>
        </is>
      </c>
      <c r="R6" s="367" t="inlineStr">
        <is>
          <t>Senast inventering</t>
        </is>
      </c>
      <c r="S6" s="265" t="inlineStr">
        <is>
          <t>SIGN</t>
        </is>
      </c>
      <c r="T6" s="35" t="n"/>
      <c r="U6" s="366" t="inlineStr">
        <is>
          <t>Lot #</t>
        </is>
      </c>
      <c r="V6" s="555" t="n"/>
      <c r="W6" s="557" t="n"/>
      <c r="X6" s="369" t="inlineStr">
        <is>
          <t>Exp</t>
        </is>
      </c>
      <c r="Y6" s="557" t="n"/>
      <c r="Z6" s="56" t="inlineStr">
        <is>
          <t>Volym, L</t>
        </is>
      </c>
      <c r="AA6" s="367" t="inlineStr">
        <is>
          <t>Senast inventering</t>
        </is>
      </c>
      <c r="AB6" s="265" t="inlineStr">
        <is>
          <t>SIGN</t>
        </is>
      </c>
      <c r="AD6" s="268" t="n"/>
    </row>
    <row r="7">
      <c r="A7" s="268" t="n"/>
      <c r="B7" t="inlineStr">
        <is>
          <t>500-2608</t>
        </is>
      </c>
      <c r="C7" s="357">
        <f>IFERROR(INDEX($AZ$7#,ROW()-7+1,1),"")</f>
        <v/>
      </c>
      <c r="D7" s="558" t="n"/>
      <c r="E7" s="559" t="n"/>
      <c r="F7" s="359">
        <f>IFERROR(INDEX($AZ$7#,ROW()-7+1,2),"")</f>
        <v/>
      </c>
      <c r="G7" s="559" t="n"/>
      <c r="H7" s="358">
        <f>IFERROR(INDEX($AZ$7#,ROW()-7+1,3),"")</f>
        <v/>
      </c>
      <c r="I7" s="359">
        <f>IFERROR(INDEX($AZ$7#,ROW()-7+1,6),"")</f>
        <v/>
      </c>
      <c r="J7" s="397" t="inlineStr"/>
      <c r="L7" s="357">
        <f>IFERROR(INDEX($AZ$7#,ROW()-7+1,1),"")</f>
        <v/>
      </c>
      <c r="M7" s="558" t="n"/>
      <c r="N7" s="559" t="n"/>
      <c r="O7" s="359">
        <f>IFERROR(INDEX($AZ$7#,ROW()-7+1,2),"")</f>
        <v/>
      </c>
      <c r="P7" s="559" t="n"/>
      <c r="Q7" s="358">
        <f>IFERROR(INDEX($AZ$7#,ROW()-7+1,3),"")</f>
        <v/>
      </c>
      <c r="R7" s="359">
        <f>IFERROR(INDEX($AZ$7#,ROW()-7+1,6),"")</f>
        <v/>
      </c>
      <c r="S7" s="397" t="inlineStr"/>
      <c r="U7" s="357">
        <f>IFERROR(INDEX($AZ$7#,ROW()-7+1,1),"")</f>
        <v/>
      </c>
      <c r="V7" s="558" t="n"/>
      <c r="W7" s="559" t="n"/>
      <c r="X7" s="359">
        <f>IFERROR(INDEX($AZ$7#,ROW()-7+1,2),"")</f>
        <v/>
      </c>
      <c r="Y7" s="559" t="n"/>
      <c r="Z7" s="359">
        <f>IFERROR(INDEX($AZ$7#,ROW()-7+1,3),"")</f>
        <v/>
      </c>
      <c r="AA7" s="359">
        <f>IFERROR(INDEX($AZ$7#,ROW()-7+1,6),"")</f>
        <v/>
      </c>
      <c r="AB7" s="397" t="inlineStr"/>
      <c r="AD7" s="268" t="n"/>
      <c r="AZ7">
        <f>LET(pn,$B$7,f,FILTER(tblLots[[LotNumber]:[LatestInventory]],(tblLots[PN]=pn)*(tblLots[IsActive]=TRUE),""),s,IFERROR(SORTBY(f,INDEX(f,,2),1,INDEX(f,,6),-1),""),IFERROR(INDEX(s,SEQUENCE(4),SEQUENCE(,6)),""))</f>
        <v/>
      </c>
    </row>
    <row r="8">
      <c r="A8" s="268" t="n"/>
      <c r="C8" s="373">
        <f>IFERROR(INDEX($AZ$7#,ROW()-7+1,1),"")</f>
        <v/>
      </c>
      <c r="D8" s="560" t="n"/>
      <c r="E8" s="561" t="n"/>
      <c r="F8" s="375">
        <f>IFERROR(INDEX($AZ$7#,ROW()-7+1,2),"")</f>
        <v/>
      </c>
      <c r="G8" s="561" t="n"/>
      <c r="H8" s="374">
        <f>IFERROR(INDEX($AZ$7#,ROW()-7+1,3),"")</f>
        <v/>
      </c>
      <c r="I8" s="375">
        <f>IFERROR(INDEX($AZ$7#,ROW()-7+1,6),"")</f>
        <v/>
      </c>
      <c r="J8" s="398" t="inlineStr"/>
      <c r="L8" s="373">
        <f>IFERROR(INDEX($AZ$7#,ROW()-7+1,1),"")</f>
        <v/>
      </c>
      <c r="M8" s="560" t="n"/>
      <c r="N8" s="561" t="n"/>
      <c r="O8" s="375">
        <f>IFERROR(INDEX($AZ$7#,ROW()-7+1,2),"")</f>
        <v/>
      </c>
      <c r="P8" s="561" t="n"/>
      <c r="Q8" s="374">
        <f>IFERROR(INDEX($AZ$7#,ROW()-7+1,3),"")</f>
        <v/>
      </c>
      <c r="R8" s="375">
        <f>IFERROR(INDEX($AZ$7#,ROW()-7+1,6),"")</f>
        <v/>
      </c>
      <c r="S8" s="398" t="inlineStr"/>
      <c r="U8" s="373">
        <f>IFERROR(INDEX($AZ$7#,ROW()-7+1,1),"")</f>
        <v/>
      </c>
      <c r="V8" s="560" t="n"/>
      <c r="W8" s="561" t="n"/>
      <c r="X8" s="375">
        <f>IFERROR(INDEX($AZ$7#,ROW()-7+1,2),"")</f>
        <v/>
      </c>
      <c r="Y8" s="561" t="n"/>
      <c r="Z8" s="375">
        <f>IFERROR(INDEX($AZ$7#,ROW()-7+1,3),"")</f>
        <v/>
      </c>
      <c r="AA8" s="375">
        <f>IFERROR(INDEX($AZ$7#,ROW()-7+1,6),"")</f>
        <v/>
      </c>
      <c r="AB8" s="398" t="inlineStr"/>
      <c r="AD8" s="268" t="n"/>
    </row>
    <row r="9">
      <c r="A9" s="268" t="n"/>
      <c r="C9" s="373">
        <f>IFERROR(INDEX($AZ$7#,ROW()-7+1,1),"")</f>
        <v/>
      </c>
      <c r="D9" s="560" t="n"/>
      <c r="E9" s="561" t="n"/>
      <c r="F9" s="375">
        <f>IFERROR(INDEX($AZ$7#,ROW()-7+1,2),"")</f>
        <v/>
      </c>
      <c r="G9" s="561" t="n"/>
      <c r="H9" s="374">
        <f>IFERROR(INDEX($AZ$7#,ROW()-7+1,3),"")</f>
        <v/>
      </c>
      <c r="I9" s="375">
        <f>IFERROR(INDEX($AZ$7#,ROW()-7+1,6),"")</f>
        <v/>
      </c>
      <c r="J9" s="398" t="inlineStr"/>
      <c r="L9" s="373">
        <f>IFERROR(INDEX($AZ$7#,ROW()-7+1,1),"")</f>
        <v/>
      </c>
      <c r="M9" s="560" t="n"/>
      <c r="N9" s="561" t="n"/>
      <c r="O9" s="375">
        <f>IFERROR(INDEX($AZ$7#,ROW()-7+1,2),"")</f>
        <v/>
      </c>
      <c r="P9" s="561" t="n"/>
      <c r="Q9" s="374">
        <f>IFERROR(INDEX($AZ$7#,ROW()-7+1,3),"")</f>
        <v/>
      </c>
      <c r="R9" s="375">
        <f>IFERROR(INDEX($AZ$7#,ROW()-7+1,6),"")</f>
        <v/>
      </c>
      <c r="S9" s="398" t="inlineStr"/>
      <c r="U9" s="373">
        <f>IFERROR(INDEX($AZ$7#,ROW()-7+1,1),"")</f>
        <v/>
      </c>
      <c r="V9" s="560" t="n"/>
      <c r="W9" s="561" t="n"/>
      <c r="X9" s="375">
        <f>IFERROR(INDEX($AZ$7#,ROW()-7+1,2),"")</f>
        <v/>
      </c>
      <c r="Y9" s="561" t="n"/>
      <c r="Z9" s="375">
        <f>IFERROR(INDEX($AZ$7#,ROW()-7+1,3),"")</f>
        <v/>
      </c>
      <c r="AA9" s="375">
        <f>IFERROR(INDEX($AZ$7#,ROW()-7+1,6),"")</f>
        <v/>
      </c>
      <c r="AB9" s="398" t="inlineStr"/>
      <c r="AD9" s="268" t="n"/>
    </row>
    <row r="10" ht="15.75" customHeight="1" thickBot="1">
      <c r="A10" s="268" t="n"/>
      <c r="C10" s="376">
        <f>IFERROR(INDEX($AZ$7#,ROW()-7+1,1),"")</f>
        <v/>
      </c>
      <c r="D10" s="562" t="n"/>
      <c r="E10" s="563" t="n"/>
      <c r="F10" s="378">
        <f>IFERROR(INDEX($AZ$7#,ROW()-7+1,2),"")</f>
        <v/>
      </c>
      <c r="G10" s="563" t="n"/>
      <c r="H10" s="377">
        <f>IFERROR(INDEX($AZ$7#,ROW()-7+1,3),"")</f>
        <v/>
      </c>
      <c r="I10" s="378">
        <f>IFERROR(INDEX($AZ$7#,ROW()-7+1,6),"")</f>
        <v/>
      </c>
      <c r="J10" s="399" t="inlineStr"/>
      <c r="L10" s="376">
        <f>IFERROR(INDEX($AZ$7#,ROW()-7+1,1),"")</f>
        <v/>
      </c>
      <c r="M10" s="562" t="n"/>
      <c r="N10" s="563" t="n"/>
      <c r="O10" s="378">
        <f>IFERROR(INDEX($AZ$7#,ROW()-7+1,2),"")</f>
        <v/>
      </c>
      <c r="P10" s="563" t="n"/>
      <c r="Q10" s="377">
        <f>IFERROR(INDEX($AZ$7#,ROW()-7+1,3),"")</f>
        <v/>
      </c>
      <c r="R10" s="378">
        <f>IFERROR(INDEX($AZ$7#,ROW()-7+1,6),"")</f>
        <v/>
      </c>
      <c r="S10" s="399" t="inlineStr"/>
      <c r="U10" s="376">
        <f>IFERROR(INDEX($AZ$7#,ROW()-7+1,1),"")</f>
        <v/>
      </c>
      <c r="V10" s="562" t="n"/>
      <c r="W10" s="563" t="n"/>
      <c r="X10" s="378">
        <f>IFERROR(INDEX($AZ$7#,ROW()-7+1,2),"")</f>
        <v/>
      </c>
      <c r="Y10" s="563" t="n"/>
      <c r="Z10" s="378">
        <f>IFERROR(INDEX($AZ$7#,ROW()-7+1,3),"")</f>
        <v/>
      </c>
      <c r="AA10" s="378">
        <f>IFERROR(INDEX($AZ$7#,ROW()-7+1,6),"")</f>
        <v/>
      </c>
      <c r="AB10" s="399" t="inlineStr"/>
      <c r="AD10" s="268" t="n"/>
    </row>
    <row r="11" ht="15.75" customHeight="1" thickBot="1">
      <c r="A11" s="268" t="n"/>
      <c r="AD11" s="268" t="n"/>
    </row>
    <row r="12" ht="24" customHeight="1" thickBot="1">
      <c r="A12" s="268" t="n"/>
      <c r="C12" s="564" t="inlineStr">
        <is>
          <t>VAN A/B | 500-0952</t>
        </is>
      </c>
      <c r="D12" s="551" t="n"/>
      <c r="E12" s="551" t="n"/>
      <c r="F12" s="551" t="n"/>
      <c r="G12" s="551" t="n"/>
      <c r="H12" s="551" t="n"/>
      <c r="I12" s="551" t="n"/>
      <c r="J12" s="552" t="n"/>
      <c r="L12" s="565" t="inlineStr">
        <is>
          <t>NORO, HIV QA | 500-1712</t>
        </is>
      </c>
      <c r="M12" s="551" t="n"/>
      <c r="N12" s="551" t="n"/>
      <c r="O12" s="551" t="n"/>
      <c r="P12" s="551" t="n"/>
      <c r="Q12" s="551" t="n"/>
      <c r="R12" s="551" t="n"/>
      <c r="S12" s="552" t="n"/>
      <c r="U12" s="566" t="inlineStr">
        <is>
          <t>C.DIFF, MRSA | 500-2288</t>
        </is>
      </c>
      <c r="V12" s="551" t="n"/>
      <c r="W12" s="551" t="n"/>
      <c r="X12" s="551" t="n"/>
      <c r="Y12" s="551" t="n"/>
      <c r="Z12" s="551" t="n"/>
      <c r="AA12" s="551" t="n"/>
      <c r="AB12" s="552" t="n"/>
      <c r="AD12" s="268" t="n"/>
    </row>
    <row r="13" ht="37.5" customHeight="1" thickBot="1">
      <c r="A13" s="268" t="n"/>
      <c r="C13" s="554" t="inlineStr">
        <is>
          <t>P/N 500-0952 Buffer, TET (exp 6 mån)
500-0952 Samole buffer Van A/B</t>
        </is>
      </c>
      <c r="D13" s="555" t="n"/>
      <c r="E13" s="555" t="n"/>
      <c r="F13" s="555" t="n"/>
      <c r="G13" s="555" t="n"/>
      <c r="H13" s="555" t="n"/>
      <c r="I13" s="555" t="n"/>
      <c r="J13" s="556" t="n"/>
      <c r="L13" s="554" t="inlineStr">
        <is>
          <t>P/N 500-1712 Lysis Reagent, Xpert Virus (exp 2 mån)
500-1712 LYSIS, REAGENT, XPERT,VIRUS</t>
        </is>
      </c>
      <c r="M13" s="555" t="n"/>
      <c r="N13" s="555" t="n"/>
      <c r="O13" s="555" t="n"/>
      <c r="P13" s="555" t="n"/>
      <c r="Q13" s="555" t="n"/>
      <c r="R13" s="555" t="n"/>
      <c r="S13" s="556" t="n"/>
      <c r="U13" s="554" t="inlineStr">
        <is>
          <t>P/N 500-2288 GX Lysis buffer (exp 3 mån)
500-2288, GX Lysis buffer</t>
        </is>
      </c>
      <c r="V13" s="555" t="n"/>
      <c r="W13" s="555" t="n"/>
      <c r="X13" s="555" t="n"/>
      <c r="Y13" s="555" t="n"/>
      <c r="Z13" s="555" t="n"/>
      <c r="AA13" s="555" t="n"/>
      <c r="AB13" s="556" t="n"/>
      <c r="AD13" s="268" t="n"/>
    </row>
    <row r="14" ht="30.75" customHeight="1" thickBot="1">
      <c r="A14" s="268" t="n"/>
      <c r="C14" s="366" t="inlineStr">
        <is>
          <t>Lot #</t>
        </is>
      </c>
      <c r="D14" s="555" t="n"/>
      <c r="E14" s="557" t="n"/>
      <c r="F14" s="369" t="inlineStr">
        <is>
          <t>Exp</t>
        </is>
      </c>
      <c r="G14" s="557" t="n"/>
      <c r="H14" s="369" t="inlineStr">
        <is>
          <t>Volym, L</t>
        </is>
      </c>
      <c r="I14" s="367" t="inlineStr">
        <is>
          <t>Senast inventering</t>
        </is>
      </c>
      <c r="J14" s="265" t="inlineStr">
        <is>
          <t>SIGN</t>
        </is>
      </c>
      <c r="L14" s="366" t="inlineStr">
        <is>
          <t>Lot #</t>
        </is>
      </c>
      <c r="M14" s="555" t="n"/>
      <c r="N14" s="557" t="n"/>
      <c r="O14" s="369" t="inlineStr">
        <is>
          <t>Exp</t>
        </is>
      </c>
      <c r="P14" s="557" t="n"/>
      <c r="Q14" s="369" t="inlineStr">
        <is>
          <t>Volym, L</t>
        </is>
      </c>
      <c r="R14" s="367" t="inlineStr">
        <is>
          <t>Senast inventering</t>
        </is>
      </c>
      <c r="S14" s="265" t="inlineStr">
        <is>
          <t>SIGN</t>
        </is>
      </c>
      <c r="U14" s="366" t="inlineStr">
        <is>
          <t>Lot #</t>
        </is>
      </c>
      <c r="V14" s="555" t="n"/>
      <c r="W14" s="557" t="n"/>
      <c r="X14" s="369" t="inlineStr">
        <is>
          <t>Exp</t>
        </is>
      </c>
      <c r="Y14" s="557" t="n"/>
      <c r="Z14" s="56" t="inlineStr">
        <is>
          <t>Volym, L</t>
        </is>
      </c>
      <c r="AA14" s="367" t="inlineStr">
        <is>
          <t>Senast inventering</t>
        </is>
      </c>
      <c r="AB14" s="265" t="inlineStr">
        <is>
          <t>SIGN</t>
        </is>
      </c>
      <c r="AD14" s="268" t="n"/>
    </row>
    <row r="15">
      <c r="A15" s="268" t="n"/>
      <c r="B15" t="inlineStr">
        <is>
          <t>500-0952</t>
        </is>
      </c>
      <c r="C15" s="357">
        <f>IFERROR(INDEX($AZ$15#,ROW()-15+1,1),"")</f>
        <v/>
      </c>
      <c r="D15" s="558" t="n"/>
      <c r="E15" s="559" t="n"/>
      <c r="F15" s="359">
        <f>IFERROR(INDEX($AZ$15#,ROW()-15+1,2),"")</f>
        <v/>
      </c>
      <c r="G15" s="559" t="n"/>
      <c r="H15" s="358">
        <f>IFERROR(INDEX($AZ$15#,ROW()-15+1,3),"")</f>
        <v/>
      </c>
      <c r="I15" s="359">
        <f>IFERROR(INDEX($AZ$15#,ROW()-15+1,6),"")</f>
        <v/>
      </c>
      <c r="J15" s="397" t="inlineStr"/>
      <c r="L15" s="357">
        <f>IFERROR(INDEX($AZ$15#,ROW()-15+1,1),"")</f>
        <v/>
      </c>
      <c r="M15" s="558" t="n"/>
      <c r="N15" s="559" t="n"/>
      <c r="O15" s="359">
        <f>IFERROR(INDEX($AZ$15#,ROW()-15+1,2),"")</f>
        <v/>
      </c>
      <c r="P15" s="559" t="n"/>
      <c r="Q15" s="358">
        <f>IFERROR(INDEX($AZ$15#,ROW()-15+1,3),"")</f>
        <v/>
      </c>
      <c r="R15" s="359">
        <f>IFERROR(INDEX($AZ$15#,ROW()-15+1,6),"")</f>
        <v/>
      </c>
      <c r="S15" s="397" t="inlineStr"/>
      <c r="U15" s="357">
        <f>IFERROR(INDEX($AZ$15#,ROW()-15+1,1),"")</f>
        <v/>
      </c>
      <c r="V15" s="558" t="n"/>
      <c r="W15" s="559" t="n"/>
      <c r="X15" s="359">
        <f>IFERROR(INDEX($AZ$15#,ROW()-15+1,2),"")</f>
        <v/>
      </c>
      <c r="Y15" s="559" t="n"/>
      <c r="Z15" s="358">
        <f>IFERROR(INDEX($AZ$15#,ROW()-15+1,3),"")</f>
        <v/>
      </c>
      <c r="AA15" s="359">
        <f>IFERROR(INDEX($AZ$15#,ROW()-15+1,6),"")</f>
        <v/>
      </c>
      <c r="AB15" s="397" t="inlineStr"/>
      <c r="AD15" s="268" t="n"/>
      <c r="AZ15">
        <f>LET(pn,$B$15,f,FILTER(tblLots[[LotNumber]:[LatestInventory]],(tblLots[PN]=pn)*(tblLots[IsActive]=TRUE),""),s,IFERROR(SORTBY(f,INDEX(f,,2),1,INDEX(f,,6),-1),""),IFERROR(INDEX(s,SEQUENCE(4),SEQUENCE(,6)),""))</f>
        <v/>
      </c>
    </row>
    <row r="16">
      <c r="A16" s="268" t="n"/>
      <c r="C16" s="373">
        <f>IFERROR(INDEX($AZ$15#,ROW()-15+1,1),"")</f>
        <v/>
      </c>
      <c r="D16" s="560" t="n"/>
      <c r="E16" s="561" t="n"/>
      <c r="F16" s="375">
        <f>IFERROR(INDEX($AZ$15#,ROW()-15+1,2),"")</f>
        <v/>
      </c>
      <c r="G16" s="561" t="n"/>
      <c r="H16" s="374">
        <f>IFERROR(INDEX($AZ$15#,ROW()-15+1,3),"")</f>
        <v/>
      </c>
      <c r="I16" s="375">
        <f>IFERROR(INDEX($AZ$15#,ROW()-15+1,6),"")</f>
        <v/>
      </c>
      <c r="J16" s="398" t="inlineStr"/>
      <c r="L16" s="373">
        <f>IFERROR(INDEX($AZ$15#,ROW()-15+1,1),"")</f>
        <v/>
      </c>
      <c r="M16" s="560" t="n"/>
      <c r="N16" s="561" t="n"/>
      <c r="O16" s="375">
        <f>IFERROR(INDEX($AZ$15#,ROW()-15+1,2),"")</f>
        <v/>
      </c>
      <c r="P16" s="561" t="n"/>
      <c r="Q16" s="374">
        <f>IFERROR(INDEX($AZ$15#,ROW()-15+1,3),"")</f>
        <v/>
      </c>
      <c r="R16" s="375">
        <f>IFERROR(INDEX($AZ$15#,ROW()-15+1,6),"")</f>
        <v/>
      </c>
      <c r="S16" s="398" t="inlineStr"/>
      <c r="U16" s="373">
        <f>IFERROR(INDEX($AZ$15#,ROW()-15+1,1),"")</f>
        <v/>
      </c>
      <c r="V16" s="560" t="n"/>
      <c r="W16" s="561" t="n"/>
      <c r="X16" s="375">
        <f>IFERROR(INDEX($AZ$15#,ROW()-15+1,2),"")</f>
        <v/>
      </c>
      <c r="Y16" s="561" t="n"/>
      <c r="Z16" s="374">
        <f>IFERROR(INDEX($AZ$15#,ROW()-15+1,3),"")</f>
        <v/>
      </c>
      <c r="AA16" s="375">
        <f>IFERROR(INDEX($AZ$15#,ROW()-15+1,6),"")</f>
        <v/>
      </c>
      <c r="AB16" s="398" t="inlineStr"/>
      <c r="AD16" s="268" t="n"/>
    </row>
    <row r="17">
      <c r="A17" s="268" t="n"/>
      <c r="C17" s="373">
        <f>IFERROR(INDEX($AZ$15#,ROW()-15+1,1),"")</f>
        <v/>
      </c>
      <c r="D17" s="560" t="n"/>
      <c r="E17" s="561" t="n"/>
      <c r="F17" s="375">
        <f>IFERROR(INDEX($AZ$15#,ROW()-15+1,2),"")</f>
        <v/>
      </c>
      <c r="G17" s="561" t="n"/>
      <c r="H17" s="374">
        <f>IFERROR(INDEX($AZ$15#,ROW()-15+1,3),"")</f>
        <v/>
      </c>
      <c r="I17" s="375">
        <f>IFERROR(INDEX($AZ$15#,ROW()-15+1,6),"")</f>
        <v/>
      </c>
      <c r="J17" s="398" t="inlineStr"/>
      <c r="L17" s="373">
        <f>IFERROR(INDEX($AZ$15#,ROW()-15+1,1),"")</f>
        <v/>
      </c>
      <c r="M17" s="560" t="n"/>
      <c r="N17" s="561" t="n"/>
      <c r="O17" s="375">
        <f>IFERROR(INDEX($AZ$15#,ROW()-15+1,2),"")</f>
        <v/>
      </c>
      <c r="P17" s="561" t="n"/>
      <c r="Q17" s="374">
        <f>IFERROR(INDEX($AZ$15#,ROW()-15+1,3),"")</f>
        <v/>
      </c>
      <c r="R17" s="375">
        <f>IFERROR(INDEX($AZ$15#,ROW()-15+1,6),"")</f>
        <v/>
      </c>
      <c r="S17" s="398" t="inlineStr"/>
      <c r="U17" s="373">
        <f>IFERROR(INDEX($AZ$15#,ROW()-15+1,1),"")</f>
        <v/>
      </c>
      <c r="V17" s="560" t="n"/>
      <c r="W17" s="561" t="n"/>
      <c r="X17" s="375">
        <f>IFERROR(INDEX($AZ$15#,ROW()-15+1,2),"")</f>
        <v/>
      </c>
      <c r="Y17" s="561" t="n"/>
      <c r="Z17" s="374">
        <f>IFERROR(INDEX($AZ$15#,ROW()-15+1,3),"")</f>
        <v/>
      </c>
      <c r="AA17" s="375">
        <f>IFERROR(INDEX($AZ$15#,ROW()-15+1,6),"")</f>
        <v/>
      </c>
      <c r="AB17" s="398" t="inlineStr"/>
      <c r="AD17" s="268" t="n"/>
    </row>
    <row r="18" ht="15.75" customHeight="1" thickBot="1">
      <c r="A18" s="268" t="n"/>
      <c r="C18" s="376">
        <f>IFERROR(INDEX($AZ$15#,ROW()-15+1,1),"")</f>
        <v/>
      </c>
      <c r="D18" s="562" t="n"/>
      <c r="E18" s="563" t="n"/>
      <c r="F18" s="378">
        <f>IFERROR(INDEX($AZ$15#,ROW()-15+1,2),"")</f>
        <v/>
      </c>
      <c r="G18" s="563" t="n"/>
      <c r="H18" s="377">
        <f>IFERROR(INDEX($AZ$15#,ROW()-15+1,3),"")</f>
        <v/>
      </c>
      <c r="I18" s="378">
        <f>IFERROR(INDEX($AZ$15#,ROW()-15+1,6),"")</f>
        <v/>
      </c>
      <c r="J18" s="399" t="inlineStr"/>
      <c r="L18" s="376">
        <f>IFERROR(INDEX($AZ$15#,ROW()-15+1,1),"")</f>
        <v/>
      </c>
      <c r="M18" s="562" t="n"/>
      <c r="N18" s="563" t="n"/>
      <c r="O18" s="378">
        <f>IFERROR(INDEX($AZ$15#,ROW()-15+1,2),"")</f>
        <v/>
      </c>
      <c r="P18" s="563" t="n"/>
      <c r="Q18" s="377">
        <f>IFERROR(INDEX($AZ$15#,ROW()-15+1,3),"")</f>
        <v/>
      </c>
      <c r="R18" s="378">
        <f>IFERROR(INDEX($AZ$15#,ROW()-15+1,6),"")</f>
        <v/>
      </c>
      <c r="S18" s="399" t="inlineStr"/>
      <c r="U18" s="376">
        <f>IFERROR(INDEX($AZ$15#,ROW()-15+1,1),"")</f>
        <v/>
      </c>
      <c r="V18" s="562" t="n"/>
      <c r="W18" s="563" t="n"/>
      <c r="X18" s="378">
        <f>IFERROR(INDEX($AZ$15#,ROW()-15+1,2),"")</f>
        <v/>
      </c>
      <c r="Y18" s="563" t="n"/>
      <c r="Z18" s="377">
        <f>IFERROR(INDEX($AZ$15#,ROW()-15+1,3),"")</f>
        <v/>
      </c>
      <c r="AA18" s="378">
        <f>IFERROR(INDEX($AZ$15#,ROW()-15+1,6),"")</f>
        <v/>
      </c>
      <c r="AB18" s="399" t="inlineStr"/>
      <c r="AD18" s="268" t="n"/>
    </row>
    <row r="19" ht="15.75" customHeight="1" thickBot="1">
      <c r="A19" s="268" t="n"/>
      <c r="AD19" s="268" t="n"/>
    </row>
    <row r="20" ht="24" customHeight="1" thickBot="1">
      <c r="A20" s="268" t="n"/>
      <c r="C20" s="567" t="inlineStr">
        <is>
          <t>HPV | 001-1689</t>
        </is>
      </c>
      <c r="D20" s="551" t="n"/>
      <c r="E20" s="551" t="n"/>
      <c r="F20" s="551" t="n"/>
      <c r="G20" s="551" t="n"/>
      <c r="H20" s="551" t="n"/>
      <c r="I20" s="551" t="n"/>
      <c r="J20" s="552" t="n"/>
      <c r="L20" s="357" t="n"/>
      <c r="M20" s="555" t="n"/>
      <c r="N20" s="555" t="n"/>
      <c r="O20" s="555" t="n"/>
      <c r="P20" s="555" t="n"/>
      <c r="Q20" s="555" t="n"/>
      <c r="R20" s="555" t="n"/>
      <c r="S20" s="555" t="n"/>
      <c r="T20" s="555" t="n"/>
      <c r="U20" s="555" t="n"/>
      <c r="V20" s="555" t="n"/>
      <c r="W20" s="555" t="n"/>
      <c r="X20" s="555" t="n"/>
      <c r="Y20" s="555" t="n"/>
      <c r="Z20" s="555" t="n"/>
      <c r="AA20" s="555" t="n"/>
      <c r="AB20" s="568" t="n"/>
      <c r="AD20" s="268" t="n"/>
    </row>
    <row r="21" ht="33.75" customHeight="1" thickBot="1">
      <c r="A21" s="268" t="n"/>
      <c r="C21" s="554" t="inlineStr">
        <is>
          <t>P/N 001-1689 PreservCyt Solution</t>
        </is>
      </c>
      <c r="D21" s="555" t="n"/>
      <c r="E21" s="555" t="n"/>
      <c r="F21" s="555" t="n"/>
      <c r="G21" s="555" t="n"/>
      <c r="H21" s="555" t="n"/>
      <c r="I21" s="555" t="n"/>
      <c r="J21" s="556" t="n"/>
      <c r="L21" s="569" t="n"/>
      <c r="AB21" s="570" t="n"/>
      <c r="AD21" s="268" t="n"/>
    </row>
    <row r="22" ht="30.75" customHeight="1" thickBot="1">
      <c r="A22" s="268" t="n"/>
      <c r="C22" s="366" t="inlineStr">
        <is>
          <t>Lot #</t>
        </is>
      </c>
      <c r="D22" s="555" t="n"/>
      <c r="E22" s="557" t="n"/>
      <c r="F22" s="369" t="inlineStr">
        <is>
          <t>Exp</t>
        </is>
      </c>
      <c r="G22" s="557" t="n"/>
      <c r="H22" s="369" t="inlineStr">
        <is>
          <t>Volym, L</t>
        </is>
      </c>
      <c r="I22" s="367" t="inlineStr">
        <is>
          <t>Senast inventering</t>
        </is>
      </c>
      <c r="J22" s="265" t="inlineStr">
        <is>
          <t>SIGN</t>
        </is>
      </c>
      <c r="L22" s="569" t="n"/>
      <c r="AB22" s="570" t="n"/>
      <c r="AD22" s="268" t="n"/>
    </row>
    <row r="23">
      <c r="A23" s="268" t="n"/>
      <c r="B23" t="inlineStr">
        <is>
          <t>001-1689</t>
        </is>
      </c>
      <c r="C23" s="357">
        <f>IFERROR(INDEX($AZ$23#,ROW()-23+1,1),"")</f>
        <v/>
      </c>
      <c r="D23" s="558" t="n"/>
      <c r="E23" s="559" t="n"/>
      <c r="F23" s="359">
        <f>IFERROR(INDEX($AZ$23#,ROW()-23+1,2),"")</f>
        <v/>
      </c>
      <c r="G23" s="559" t="n"/>
      <c r="H23" s="358">
        <f>IFERROR(INDEX($AZ$23#,ROW()-23+1,3),"")</f>
        <v/>
      </c>
      <c r="I23" s="359">
        <f>IFERROR(INDEX($AZ$23#,ROW()-23+1,6),"")</f>
        <v/>
      </c>
      <c r="J23" s="397" t="inlineStr"/>
      <c r="L23" s="569" t="n"/>
      <c r="AB23" s="570" t="n"/>
      <c r="AD23" s="268" t="n"/>
      <c r="AZ23">
        <f>LET(pn,$B$23,f,FILTER(tblLots[[LotNumber]:[LatestInventory]],(tblLots[PN]=pn)*(tblLots[IsActive]=TRUE),""),s,IFERROR(SORTBY(f,INDEX(f,,2),1,INDEX(f,,6),-1),""),IFERROR(INDEX(s,SEQUENCE(4),SEQUENCE(,6)),""))</f>
        <v/>
      </c>
    </row>
    <row r="24">
      <c r="A24" s="268" t="n"/>
      <c r="C24" s="373">
        <f>IFERROR(INDEX($AZ$23#,ROW()-23+1,1),"")</f>
        <v/>
      </c>
      <c r="D24" s="560" t="n"/>
      <c r="E24" s="561" t="n"/>
      <c r="F24" s="375">
        <f>IFERROR(INDEX($AZ$23#,ROW()-23+1,2),"")</f>
        <v/>
      </c>
      <c r="G24" s="561" t="n"/>
      <c r="H24" s="374">
        <f>IFERROR(INDEX($AZ$23#,ROW()-23+1,3),"")</f>
        <v/>
      </c>
      <c r="I24" s="375">
        <f>IFERROR(INDEX($AZ$23#,ROW()-23+1,6),"")</f>
        <v/>
      </c>
      <c r="J24" s="398" t="inlineStr"/>
      <c r="L24" s="569" t="n"/>
      <c r="AB24" s="570" t="n"/>
      <c r="AD24" s="268" t="n"/>
    </row>
    <row r="25">
      <c r="A25" s="268" t="n"/>
      <c r="C25" s="373">
        <f>IFERROR(INDEX($AZ$23#,ROW()-23+1,1),"")</f>
        <v/>
      </c>
      <c r="D25" s="560" t="n"/>
      <c r="E25" s="561" t="n"/>
      <c r="F25" s="375">
        <f>IFERROR(INDEX($AZ$23#,ROW()-23+1,2),"")</f>
        <v/>
      </c>
      <c r="G25" s="561" t="n"/>
      <c r="H25" s="374">
        <f>IFERROR(INDEX($AZ$23#,ROW()-23+1,3),"")</f>
        <v/>
      </c>
      <c r="I25" s="375">
        <f>IFERROR(INDEX($AZ$23#,ROW()-23+1,6),"")</f>
        <v/>
      </c>
      <c r="J25" s="398" t="inlineStr"/>
      <c r="L25" s="569" t="n"/>
      <c r="AB25" s="570" t="n"/>
      <c r="AD25" s="268" t="n"/>
    </row>
    <row r="26" ht="15.75" customHeight="1" thickBot="1">
      <c r="A26" s="268" t="n"/>
      <c r="C26" s="376">
        <f>IFERROR(INDEX($AZ$23#,ROW()-23+1,1),"")</f>
        <v/>
      </c>
      <c r="D26" s="562" t="n"/>
      <c r="E26" s="563" t="n"/>
      <c r="F26" s="378">
        <f>IFERROR(INDEX($AZ$23#,ROW()-23+1,2),"")</f>
        <v/>
      </c>
      <c r="G26" s="563" t="n"/>
      <c r="H26" s="377">
        <f>IFERROR(INDEX($AZ$23#,ROW()-23+1,3),"")</f>
        <v/>
      </c>
      <c r="I26" s="378">
        <f>IFERROR(INDEX($AZ$23#,ROW()-23+1,6),"")</f>
        <v/>
      </c>
      <c r="J26" s="399" t="inlineStr"/>
      <c r="L26" s="571" t="n"/>
      <c r="M26" s="572" t="n"/>
      <c r="N26" s="572" t="n"/>
      <c r="O26" s="572" t="n"/>
      <c r="P26" s="572" t="n"/>
      <c r="Q26" s="572" t="n"/>
      <c r="R26" s="572" t="n"/>
      <c r="S26" s="572" t="n"/>
      <c r="T26" s="572" t="n"/>
      <c r="U26" s="572" t="n"/>
      <c r="V26" s="572" t="n"/>
      <c r="W26" s="572" t="n"/>
      <c r="X26" s="572" t="n"/>
      <c r="Y26" s="572" t="n"/>
      <c r="Z26" s="572" t="n"/>
      <c r="AA26" s="572" t="n"/>
      <c r="AB26" s="573" t="n"/>
      <c r="AD26" s="268" t="n"/>
    </row>
    <row r="27">
      <c r="A27" s="268" t="n"/>
      <c r="AD27" s="268" t="n"/>
    </row>
    <row r="28" ht="23.25" customHeight="1">
      <c r="A28" s="268" t="n"/>
      <c r="B28" s="268" t="n"/>
      <c r="C28" s="368" t="n"/>
      <c r="AD28" s="268" t="n"/>
    </row>
  </sheetData>
  <sheetProtection selectLockedCells="0" selectUnlockedCells="0" algorithmName="SHA-512" sheet="1" objects="0" insertRows="0" insertHyperlinks="0" autoFilter="0" scenarios="0" formatColumns="0" deleteColumns="0" insertColumns="0" pivotTables="0" deleteRows="0" formatCells="0" saltValue="WVqw84T5IbzIt+uPLDM2JA==" formatRows="0" sort="0" spinCount="100000" hashValue="F2eFbnGDmpAoEhSzJnnp50ZZdsSGpTkuSPvn9mJq+Bx3EdF/gOst3lHIkJMw1Sy1t0Uqy/JYIvpg4hh4eGp6YA=="/>
  <mergeCells count="87">
    <mergeCell ref="O7:P7"/>
    <mergeCell ref="F16:G16"/>
    <mergeCell ref="F25:G25"/>
    <mergeCell ref="O6:P6"/>
    <mergeCell ref="O15:P15"/>
    <mergeCell ref="U7:W7"/>
    <mergeCell ref="L13:S13"/>
    <mergeCell ref="F15:G15"/>
    <mergeCell ref="C20:J20"/>
    <mergeCell ref="C23:E23"/>
    <mergeCell ref="U18:W18"/>
    <mergeCell ref="L9:N9"/>
    <mergeCell ref="C2:AC2"/>
    <mergeCell ref="C7:E7"/>
    <mergeCell ref="U8:W8"/>
    <mergeCell ref="O16:P16"/>
    <mergeCell ref="X6:Y6"/>
    <mergeCell ref="X15:Y15"/>
    <mergeCell ref="U12:AB12"/>
    <mergeCell ref="F23:G23"/>
    <mergeCell ref="U10:W10"/>
    <mergeCell ref="C18:E18"/>
    <mergeCell ref="C28:AC28"/>
    <mergeCell ref="O8:P8"/>
    <mergeCell ref="O17:P17"/>
    <mergeCell ref="C13:J13"/>
    <mergeCell ref="U17:W17"/>
    <mergeCell ref="C25:E25"/>
    <mergeCell ref="L15:N15"/>
    <mergeCell ref="L18:N18"/>
    <mergeCell ref="F10:G10"/>
    <mergeCell ref="C22:E22"/>
    <mergeCell ref="L8:N8"/>
    <mergeCell ref="F6:G6"/>
    <mergeCell ref="X8:Y8"/>
    <mergeCell ref="X17:Y17"/>
    <mergeCell ref="L12:S12"/>
    <mergeCell ref="L10:N10"/>
    <mergeCell ref="F18:G18"/>
    <mergeCell ref="F17:G17"/>
    <mergeCell ref="L4:S4"/>
    <mergeCell ref="X14:Y14"/>
    <mergeCell ref="C15:E15"/>
    <mergeCell ref="F9:G9"/>
    <mergeCell ref="C24:E24"/>
    <mergeCell ref="C26:E26"/>
    <mergeCell ref="C10:E10"/>
    <mergeCell ref="C16:E16"/>
    <mergeCell ref="U4:AB4"/>
    <mergeCell ref="U16:W16"/>
    <mergeCell ref="L14:N14"/>
    <mergeCell ref="C9:E9"/>
    <mergeCell ref="O9:P9"/>
    <mergeCell ref="F7:G7"/>
    <mergeCell ref="C4:J4"/>
    <mergeCell ref="X7:Y7"/>
    <mergeCell ref="X16:Y16"/>
    <mergeCell ref="X18:Y18"/>
    <mergeCell ref="L5:S5"/>
    <mergeCell ref="F8:G8"/>
    <mergeCell ref="U14:W14"/>
    <mergeCell ref="F22:G22"/>
    <mergeCell ref="L17:N17"/>
    <mergeCell ref="C6:E6"/>
    <mergeCell ref="U6:W6"/>
    <mergeCell ref="C14:E14"/>
    <mergeCell ref="U15:W15"/>
    <mergeCell ref="L20:AB26"/>
    <mergeCell ref="F14:G14"/>
    <mergeCell ref="U5:AB5"/>
    <mergeCell ref="O10:P10"/>
    <mergeCell ref="O18:P18"/>
    <mergeCell ref="C5:J5"/>
    <mergeCell ref="F24:G24"/>
    <mergeCell ref="C8:E8"/>
    <mergeCell ref="C17:E17"/>
    <mergeCell ref="F26:G26"/>
    <mergeCell ref="L6:N6"/>
    <mergeCell ref="C12:J12"/>
    <mergeCell ref="U13:AB13"/>
    <mergeCell ref="C21:J21"/>
    <mergeCell ref="U9:W9"/>
    <mergeCell ref="L7:N7"/>
    <mergeCell ref="L16:N16"/>
    <mergeCell ref="X10:Y10"/>
    <mergeCell ref="O14:P14"/>
    <mergeCell ref="X9:Y9"/>
  </mergeCells>
  <pageMargins left="0.7" right="0.7" top="0.75" bottom="0.75" header="0.3" footer="0.3"/>
  <pageSetup orientation="portrait" paperSize="9" scale="39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3">
    <outlinePr summaryBelow="1" summaryRight="1"/>
    <pageSetUpPr fitToPage="1"/>
  </sheetPr>
  <dimension ref="A1:AD37"/>
  <sheetViews>
    <sheetView zoomScaleNormal="100" workbookViewId="0">
      <selection activeCell="A1" sqref="A1"/>
    </sheetView>
  </sheetViews>
  <sheetFormatPr baseColWidth="8" defaultRowHeight="15"/>
  <cols>
    <col width="1.7109375" customWidth="1" min="1" max="1"/>
    <col width="2.5703125" customWidth="1" min="2" max="2"/>
    <col width="1.85546875" customWidth="1" min="3" max="3"/>
    <col width="23.28515625" bestFit="1" customWidth="1" min="4" max="4"/>
    <col width="11.85546875" customWidth="1" min="5" max="5"/>
    <col width="2.5703125" customWidth="1" min="6" max="6"/>
    <col width="11.7109375" customWidth="1" min="7" max="7"/>
    <col width="12.28515625" customWidth="1" min="8" max="8"/>
    <col width="2.5703125" customWidth="1" min="9" max="9"/>
    <col width="12" bestFit="1" customWidth="1" min="10" max="10"/>
    <col width="17.140625" customWidth="1" min="11" max="11"/>
    <col width="2.28515625" customWidth="1" min="12" max="12"/>
    <col width="12.5703125" customWidth="1" min="13" max="13"/>
    <col width="15.7109375" customWidth="1" min="14" max="14"/>
    <col width="2.140625" customWidth="1" min="15" max="15"/>
    <col width="11" bestFit="1" customWidth="1" min="16" max="16"/>
    <col width="8.5703125" customWidth="1" min="17" max="17"/>
    <col width="2.140625" customWidth="1" min="18" max="18"/>
    <col width="13.140625" customWidth="1" min="19" max="19"/>
    <col width="2.28515625" customWidth="1" min="21" max="21"/>
    <col width="11" bestFit="1" customWidth="1" min="22" max="22"/>
    <col width="10.7109375" customWidth="1" min="29" max="29"/>
    <col width="4.5703125" customWidth="1" min="30" max="30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21" customHeight="1">
      <c r="B1" s="31" t="n"/>
      <c r="C1" s="31" t="n"/>
      <c r="D1" s="31" t="n"/>
      <c r="E1" s="31" t="n"/>
      <c r="F1" s="31" t="n"/>
      <c r="G1" s="31" t="n"/>
      <c r="H1" s="31" t="n"/>
      <c r="I1" s="31" t="n"/>
      <c r="J1" s="31" t="n"/>
      <c r="K1" s="307" t="n"/>
      <c r="L1" s="307" t="inlineStr">
        <is>
          <t>Senast uppdaterad:</t>
        </is>
      </c>
      <c r="M1" s="307" t="n"/>
      <c r="N1" s="307" t="n"/>
      <c r="O1" s="307" t="n"/>
      <c r="P1" s="308" t="inlineStr">
        <is>
          <t xml:space="preserve"> 2026-02-24</t>
        </is>
      </c>
      <c r="Q1" s="307" t="n"/>
      <c r="R1" s="368" t="inlineStr">
        <is>
          <t xml:space="preserve"> /</t>
        </is>
      </c>
      <c r="S1" s="307" t="inlineStr">
        <is>
          <t>ELS</t>
        </is>
      </c>
      <c r="T1" s="307" t="n"/>
      <c r="U1" s="307" t="n"/>
      <c r="V1" s="307" t="n"/>
      <c r="W1" s="307" t="n"/>
      <c r="X1" s="307" t="n"/>
      <c r="Y1" s="307" t="n"/>
      <c r="Z1" s="307" t="n"/>
      <c r="AA1" s="307" t="n"/>
      <c r="AB1" s="307" t="n"/>
      <c r="AC1" s="307" t="n"/>
      <c r="AD1" s="31" t="n"/>
    </row>
    <row r="2" ht="15.75" customHeight="1" thickBot="1">
      <c r="B2" s="31" t="n"/>
      <c r="AD2" s="31" t="n"/>
    </row>
    <row r="3" ht="16.5" customHeight="1" thickBot="1">
      <c r="B3" s="31" t="n"/>
      <c r="D3" s="400" t="inlineStr">
        <is>
          <t>MTB SR 700-6052</t>
        </is>
      </c>
      <c r="E3" s="574" t="n"/>
      <c r="G3" s="415" t="inlineStr">
        <is>
          <t>CARBA 700-6822</t>
        </is>
      </c>
      <c r="H3" s="557" t="n"/>
      <c r="J3" s="417" t="inlineStr">
        <is>
          <t>MRSA NxG 700-5280</t>
        </is>
      </c>
      <c r="K3" s="557" t="n"/>
      <c r="L3" s="1" t="n"/>
      <c r="M3" s="419" t="inlineStr">
        <is>
          <t>MRSA SA COMP 700-5197</t>
        </is>
      </c>
      <c r="N3" s="574" t="n"/>
      <c r="O3" s="2" t="n"/>
      <c r="P3" s="419" t="inlineStr">
        <is>
          <t>MRSA SA 700-5194</t>
        </is>
      </c>
      <c r="Q3" s="574" t="n"/>
      <c r="S3" s="412" t="inlineStr">
        <is>
          <t>NORO 700-5666</t>
        </is>
      </c>
      <c r="T3" s="574" t="n"/>
      <c r="V3" s="404" t="inlineStr">
        <is>
          <t>VAN A/B 700-5662</t>
        </is>
      </c>
      <c r="W3" s="574" t="n"/>
      <c r="AD3" s="31" t="n"/>
    </row>
    <row r="4">
      <c r="B4" s="31" t="n"/>
      <c r="D4" s="309" t="inlineStr">
        <is>
          <t>Lot #</t>
        </is>
      </c>
      <c r="E4" s="310" t="inlineStr">
        <is>
          <t>EA</t>
        </is>
      </c>
      <c r="G4" s="311" t="inlineStr">
        <is>
          <t>Lot #</t>
        </is>
      </c>
      <c r="H4" s="312" t="inlineStr">
        <is>
          <t>EA</t>
        </is>
      </c>
      <c r="J4" s="344" t="inlineStr">
        <is>
          <t>Lot #</t>
        </is>
      </c>
      <c r="K4" s="345" t="inlineStr">
        <is>
          <t>EA</t>
        </is>
      </c>
      <c r="L4" s="7" t="n"/>
      <c r="M4" s="23" t="inlineStr">
        <is>
          <t>Lot #</t>
        </is>
      </c>
      <c r="N4" s="346" t="inlineStr">
        <is>
          <t>EA</t>
        </is>
      </c>
      <c r="O4" s="7" t="n"/>
      <c r="P4" s="3" t="inlineStr">
        <is>
          <t>Lot #</t>
        </is>
      </c>
      <c r="Q4" s="4" t="inlineStr">
        <is>
          <t>EA</t>
        </is>
      </c>
      <c r="S4" s="3" t="inlineStr">
        <is>
          <t>Lot #</t>
        </is>
      </c>
      <c r="T4" s="4" t="inlineStr">
        <is>
          <t>EA</t>
        </is>
      </c>
      <c r="V4" s="23" t="inlineStr">
        <is>
          <t>Lot #</t>
        </is>
      </c>
      <c r="W4" s="346" t="inlineStr">
        <is>
          <t>EA</t>
        </is>
      </c>
      <c r="AD4" s="31" t="n"/>
    </row>
    <row r="5" ht="15" customHeight="1">
      <c r="B5" s="31" t="n"/>
      <c r="D5" s="25" t="inlineStr">
        <is>
          <t>1001516088/C244500069</t>
        </is>
      </c>
      <c r="E5" s="13" t="n"/>
      <c r="G5" s="313" t="n">
        <v>1001514528</v>
      </c>
      <c r="H5" s="13" t="n">
        <v>40</v>
      </c>
      <c r="J5" s="10" t="n">
        <v>1001517216</v>
      </c>
      <c r="K5" s="11" t="n">
        <v>20</v>
      </c>
      <c r="L5" s="12" t="n"/>
      <c r="M5" s="10" t="n">
        <v>1001507431</v>
      </c>
      <c r="N5" s="11" t="n">
        <v>20</v>
      </c>
      <c r="O5" s="12" t="n"/>
      <c r="P5" s="10" t="n"/>
      <c r="Q5" s="11" t="n"/>
      <c r="S5" s="10" t="n">
        <v>1001491397</v>
      </c>
      <c r="T5" s="11" t="n">
        <v>20</v>
      </c>
      <c r="V5" s="10" t="n">
        <v>1001516904</v>
      </c>
      <c r="W5" s="11" t="n">
        <v>20</v>
      </c>
      <c r="AD5" s="31" t="n"/>
    </row>
    <row r="6" ht="15" customHeight="1">
      <c r="B6" s="31" t="n"/>
      <c r="D6" s="25" t="inlineStr">
        <is>
          <t>1001516087/C254500068</t>
        </is>
      </c>
      <c r="E6" s="13" t="n"/>
      <c r="G6" s="313" t="n">
        <v>1001514602</v>
      </c>
      <c r="H6" s="13" t="n">
        <v>40</v>
      </c>
      <c r="J6" s="10" t="n">
        <v>1001519082</v>
      </c>
      <c r="K6" s="11" t="n">
        <v>20</v>
      </c>
      <c r="L6" s="12" t="n"/>
      <c r="M6" s="10" t="n">
        <v>1001518837</v>
      </c>
      <c r="N6" s="11" t="n">
        <v>20</v>
      </c>
      <c r="O6" s="12" t="n"/>
      <c r="P6" s="337" t="n"/>
      <c r="Q6" s="11" t="n"/>
      <c r="S6" s="373" t="n">
        <v>1001496921</v>
      </c>
      <c r="T6" s="398" t="n">
        <v>20</v>
      </c>
      <c r="V6" s="10" t="n"/>
      <c r="W6" s="11" t="n"/>
      <c r="AD6" s="31" t="n"/>
    </row>
    <row r="7" ht="15" customHeight="1">
      <c r="B7" s="31" t="n"/>
      <c r="D7" s="10" t="inlineStr">
        <is>
          <t>C254400067</t>
        </is>
      </c>
      <c r="E7" s="13" t="n"/>
      <c r="G7" s="313" t="n">
        <v>1001514605</v>
      </c>
      <c r="H7" s="13" t="n">
        <v>40</v>
      </c>
      <c r="J7" s="10" t="n">
        <v>1001519733</v>
      </c>
      <c r="K7" s="11" t="n">
        <v>20</v>
      </c>
      <c r="L7" s="12" t="n"/>
      <c r="M7" s="10" t="n">
        <v>1001520019</v>
      </c>
      <c r="N7" s="11" t="n">
        <v>20</v>
      </c>
      <c r="O7" s="12" t="n"/>
      <c r="P7" s="337" t="n"/>
      <c r="Q7" s="11" t="n"/>
      <c r="S7" s="10" t="n">
        <v>1001517626</v>
      </c>
      <c r="T7" s="11" t="n">
        <v>20</v>
      </c>
      <c r="V7" s="10" t="n"/>
      <c r="W7" s="11" t="n"/>
      <c r="AD7" s="31" t="n"/>
    </row>
    <row r="8" ht="15" customHeight="1">
      <c r="B8" s="31" t="n"/>
      <c r="D8" s="315" t="inlineStr">
        <is>
          <t>C254300066</t>
        </is>
      </c>
      <c r="E8" s="9" t="n"/>
      <c r="G8" s="313" t="n">
        <v>1001518700</v>
      </c>
      <c r="H8" s="13" t="n">
        <v>40</v>
      </c>
      <c r="J8" s="10" t="n">
        <v>1001517570</v>
      </c>
      <c r="K8" s="11" t="n">
        <v>20</v>
      </c>
      <c r="L8" s="12" t="n"/>
      <c r="M8" s="10" t="n">
        <v>1001520175</v>
      </c>
      <c r="N8" s="11" t="n">
        <v>20</v>
      </c>
      <c r="O8" s="12" t="n"/>
      <c r="P8" s="336" t="n"/>
      <c r="Q8" s="11" t="n"/>
      <c r="S8" s="10" t="n"/>
      <c r="T8" s="11" t="n"/>
      <c r="V8" s="10" t="n"/>
      <c r="W8" s="11" t="n"/>
      <c r="AD8" s="31" t="n"/>
    </row>
    <row r="9">
      <c r="B9" s="31" t="n"/>
      <c r="D9" s="316" t="n"/>
      <c r="E9" s="9" t="n"/>
      <c r="G9" s="313" t="n">
        <v>1001518701</v>
      </c>
      <c r="H9" s="13" t="n">
        <v>40</v>
      </c>
      <c r="J9" s="10" t="n">
        <v>1001520174</v>
      </c>
      <c r="K9" s="11" t="n">
        <v>20</v>
      </c>
      <c r="L9" s="12" t="n"/>
      <c r="M9" s="10" t="n"/>
      <c r="N9" s="11" t="n"/>
      <c r="O9" s="12" t="n"/>
      <c r="P9" s="10" t="n"/>
      <c r="Q9" s="11" t="n"/>
      <c r="S9" s="10" t="n"/>
      <c r="T9" s="11" t="n"/>
      <c r="V9" s="10" t="n"/>
      <c r="W9" s="11" t="n"/>
      <c r="AD9" s="31" t="n"/>
    </row>
    <row r="10">
      <c r="B10" s="31" t="n"/>
      <c r="D10" s="373" t="n"/>
      <c r="E10" s="9" t="n"/>
      <c r="G10" s="313" t="n">
        <v>1001517218</v>
      </c>
      <c r="H10" s="13" t="n">
        <v>40</v>
      </c>
      <c r="J10" s="10" t="n">
        <v>1001520199</v>
      </c>
      <c r="K10" s="11" t="n">
        <v>20</v>
      </c>
      <c r="L10" s="12" t="n"/>
      <c r="M10" s="10" t="n"/>
      <c r="N10" s="11" t="n"/>
      <c r="O10" s="12" t="n"/>
      <c r="P10" s="10" t="n"/>
      <c r="Q10" s="11" t="n"/>
      <c r="S10" s="10" t="n"/>
      <c r="T10" s="11" t="n"/>
      <c r="V10" s="10" t="n"/>
      <c r="W10" s="11" t="n"/>
      <c r="AD10" s="31" t="n"/>
    </row>
    <row r="11">
      <c r="B11" s="31" t="n"/>
      <c r="D11" s="373" t="n"/>
      <c r="E11" s="9" t="n"/>
      <c r="G11" s="313" t="n">
        <v>1001521888</v>
      </c>
      <c r="H11" s="13" t="n">
        <v>40</v>
      </c>
      <c r="J11" s="10" t="n">
        <v>1001520669</v>
      </c>
      <c r="K11" s="11" t="n">
        <v>20</v>
      </c>
      <c r="L11" s="12" t="n"/>
      <c r="M11" s="10" t="n"/>
      <c r="N11" s="11" t="n"/>
      <c r="O11" s="12" t="n"/>
      <c r="P11" s="10" t="n"/>
      <c r="Q11" s="11" t="n"/>
      <c r="S11" s="10" t="n"/>
      <c r="T11" s="11" t="n"/>
      <c r="V11" s="10" t="n"/>
      <c r="W11" s="11" t="n"/>
      <c r="AD11" s="31" t="n"/>
    </row>
    <row r="12">
      <c r="B12" s="31" t="n"/>
      <c r="D12" s="10" t="n"/>
      <c r="E12" s="13" t="n"/>
      <c r="G12" s="313" t="n">
        <v>1001521901</v>
      </c>
      <c r="H12" s="13" t="n">
        <v>40</v>
      </c>
      <c r="J12" s="10" t="n">
        <v>1001520948</v>
      </c>
      <c r="K12" s="11" t="n">
        <v>20</v>
      </c>
      <c r="L12" s="12" t="n"/>
      <c r="M12" s="10" t="n"/>
      <c r="N12" s="11" t="n"/>
      <c r="O12" s="12" t="n"/>
      <c r="P12" s="10" t="n"/>
      <c r="Q12" s="11" t="n"/>
      <c r="S12" s="10" t="n"/>
      <c r="T12" s="11" t="n"/>
      <c r="V12" s="10" t="n"/>
      <c r="W12" s="11" t="n"/>
      <c r="AD12" s="31" t="n"/>
    </row>
    <row r="13">
      <c r="B13" s="31" t="n"/>
      <c r="D13" s="10" t="n"/>
      <c r="E13" s="13" t="n"/>
      <c r="G13" s="313" t="n">
        <v>1001521887</v>
      </c>
      <c r="H13" s="13" t="n">
        <v>40</v>
      </c>
      <c r="J13" s="10" t="n"/>
      <c r="K13" s="11" t="n"/>
      <c r="L13" s="12" t="n"/>
      <c r="M13" s="10" t="n"/>
      <c r="N13" s="11" t="n"/>
      <c r="O13" s="12" t="n"/>
      <c r="P13" s="10" t="n"/>
      <c r="Q13" s="11" t="n"/>
      <c r="S13" s="10" t="n"/>
      <c r="T13" s="11" t="n"/>
      <c r="V13" s="10" t="n"/>
      <c r="W13" s="11" t="n"/>
      <c r="AD13" s="31" t="n"/>
    </row>
    <row r="14" ht="15.75" customHeight="1" thickBot="1">
      <c r="B14" s="31" t="n"/>
      <c r="D14" s="10" t="n"/>
      <c r="E14" s="13" t="n"/>
      <c r="G14" s="313" t="n"/>
      <c r="H14" s="13" t="n"/>
      <c r="J14" s="10" t="n"/>
      <c r="K14" s="11" t="n"/>
      <c r="L14" s="12" t="n"/>
      <c r="M14" s="10" t="n"/>
      <c r="N14" s="11" t="n"/>
      <c r="O14" s="12" t="n"/>
      <c r="P14" s="10" t="n"/>
      <c r="Q14" s="11" t="n"/>
      <c r="S14" s="10" t="n"/>
      <c r="T14" s="11" t="n"/>
      <c r="V14" s="14" t="n"/>
      <c r="W14" s="15" t="n"/>
      <c r="AD14" s="31" t="n"/>
    </row>
    <row r="15" ht="16.5" customHeight="1" thickBot="1">
      <c r="B15" s="31" t="n"/>
      <c r="D15" s="373" t="n"/>
      <c r="E15" s="9" t="n"/>
      <c r="G15" s="313" t="n"/>
      <c r="H15" s="13" t="n"/>
      <c r="J15" s="10" t="n"/>
      <c r="K15" s="11" t="n"/>
      <c r="L15" s="12" t="n"/>
      <c r="M15" s="10" t="n"/>
      <c r="N15" s="11" t="n"/>
      <c r="O15" s="2" t="n"/>
      <c r="P15" s="575" t="inlineStr">
        <is>
          <t>MRSA SA 700-5375</t>
        </is>
      </c>
      <c r="Q15" s="552" t="n"/>
      <c r="S15" s="10" t="n"/>
      <c r="T15" s="11" t="n"/>
      <c r="V15" s="404" t="inlineStr">
        <is>
          <t>EBOLA 700-6379</t>
        </is>
      </c>
      <c r="W15" s="574" t="n"/>
      <c r="AD15" s="31" t="n"/>
    </row>
    <row r="16" ht="16.5" customHeight="1" thickBot="1">
      <c r="B16" s="31" t="n"/>
      <c r="D16" s="373" t="n"/>
      <c r="E16" s="9" t="n"/>
      <c r="G16" s="313" t="n"/>
      <c r="H16" s="13" t="n"/>
      <c r="J16" s="10" t="n"/>
      <c r="K16" s="11" t="n"/>
      <c r="L16" s="12" t="n"/>
      <c r="M16" s="575" t="inlineStr">
        <is>
          <t>MRSA SA COMP 700-6787</t>
        </is>
      </c>
      <c r="N16" s="552" t="n"/>
      <c r="O16" s="7" t="n"/>
      <c r="P16" s="5" t="inlineStr">
        <is>
          <t>Lot #</t>
        </is>
      </c>
      <c r="Q16" s="6" t="inlineStr">
        <is>
          <t>EA</t>
        </is>
      </c>
      <c r="S16" s="10" t="n"/>
      <c r="T16" s="11" t="n"/>
      <c r="V16" s="3" t="inlineStr">
        <is>
          <t>Lot #</t>
        </is>
      </c>
      <c r="W16" s="4" t="inlineStr">
        <is>
          <t>EA</t>
        </is>
      </c>
      <c r="AD16" s="31" t="n"/>
    </row>
    <row r="17">
      <c r="B17" s="31" t="n"/>
      <c r="D17" s="373" t="n"/>
      <c r="E17" s="9" t="n"/>
      <c r="G17" s="313" t="n"/>
      <c r="H17" s="13" t="n"/>
      <c r="J17" s="10" t="n"/>
      <c r="K17" s="11" t="n"/>
      <c r="L17" s="12" t="n"/>
      <c r="M17" s="5" t="inlineStr">
        <is>
          <t>Lot #</t>
        </is>
      </c>
      <c r="N17" s="6" t="inlineStr">
        <is>
          <t>EA</t>
        </is>
      </c>
      <c r="O17" s="12" t="n"/>
      <c r="P17" s="16" t="n"/>
      <c r="Q17" s="17" t="n"/>
      <c r="S17" s="10" t="n"/>
      <c r="T17" s="11" t="n"/>
      <c r="V17" s="10" t="n"/>
      <c r="W17" s="11" t="n"/>
      <c r="AD17" s="31" t="n"/>
    </row>
    <row r="18">
      <c r="B18" s="31" t="n"/>
      <c r="D18" s="373" t="n"/>
      <c r="E18" s="9" t="n"/>
      <c r="G18" s="313" t="n"/>
      <c r="H18" s="13" t="n"/>
      <c r="J18" s="10" t="n"/>
      <c r="K18" s="11" t="n"/>
      <c r="L18" s="12" t="n"/>
      <c r="M18" s="3" t="n"/>
      <c r="N18" s="4" t="n"/>
      <c r="O18" s="12" t="n"/>
      <c r="P18" s="16" t="n"/>
      <c r="Q18" s="17" t="n"/>
      <c r="S18" s="10" t="n"/>
      <c r="T18" s="11" t="n"/>
      <c r="V18" s="10" t="n"/>
      <c r="W18" s="11" t="n"/>
      <c r="AD18" s="31" t="n"/>
    </row>
    <row r="19" ht="15.75" customHeight="1" thickBot="1">
      <c r="B19" s="31" t="n"/>
      <c r="D19" s="373" t="n"/>
      <c r="E19" s="13" t="n"/>
      <c r="G19" s="313" t="n"/>
      <c r="H19" s="13" t="n"/>
      <c r="J19" s="10" t="n"/>
      <c r="K19" s="11" t="n"/>
      <c r="L19" s="12" t="n"/>
      <c r="M19" s="10" t="n"/>
      <c r="N19" s="11" t="n"/>
      <c r="O19" s="12" t="n"/>
      <c r="P19" s="16" t="n"/>
      <c r="Q19" s="17" t="n"/>
      <c r="S19" s="10" t="n"/>
      <c r="T19" s="11" t="n"/>
      <c r="V19" s="10" t="n"/>
      <c r="W19" s="11" t="n"/>
      <c r="AD19" s="31" t="n"/>
    </row>
    <row r="20" ht="16.5" customHeight="1" thickBot="1">
      <c r="B20" s="31" t="n"/>
      <c r="D20" s="400" t="inlineStr">
        <is>
          <t>MTB XDR SR 700-6609</t>
        </is>
      </c>
      <c r="E20" s="574" t="n"/>
      <c r="G20" s="400" t="inlineStr">
        <is>
          <t>MTB SR 700-8870</t>
        </is>
      </c>
      <c r="H20" s="574" t="n"/>
      <c r="J20" s="10" t="n"/>
      <c r="K20" s="11" t="n"/>
      <c r="L20" s="12" t="n"/>
      <c r="M20" s="10" t="n"/>
      <c r="N20" s="11" t="n"/>
      <c r="O20" s="12" t="n"/>
      <c r="P20" s="16" t="n"/>
      <c r="Q20" s="17" t="n"/>
      <c r="S20" s="10" t="n"/>
      <c r="T20" s="11" t="n"/>
      <c r="V20" s="10" t="n"/>
      <c r="W20" s="11" t="n"/>
      <c r="AD20" s="31" t="n"/>
    </row>
    <row r="21">
      <c r="B21" s="31" t="n"/>
      <c r="D21" s="309" t="inlineStr">
        <is>
          <t>Lot #</t>
        </is>
      </c>
      <c r="E21" s="310" t="inlineStr">
        <is>
          <t>EA</t>
        </is>
      </c>
      <c r="G21" s="309" t="inlineStr">
        <is>
          <t>Lot #</t>
        </is>
      </c>
      <c r="H21" s="310" t="inlineStr">
        <is>
          <t>EA</t>
        </is>
      </c>
      <c r="J21" s="10" t="n"/>
      <c r="K21" s="11" t="n"/>
      <c r="L21" s="12" t="n"/>
      <c r="M21" s="10" t="n"/>
      <c r="N21" s="11" t="n"/>
      <c r="O21" s="12" t="n"/>
      <c r="P21" s="16" t="n"/>
      <c r="Q21" s="17" t="n"/>
      <c r="S21" s="10" t="n"/>
      <c r="T21" s="11" t="n"/>
      <c r="V21" s="10" t="n"/>
      <c r="W21" s="11" t="n"/>
      <c r="AD21" s="31" t="n"/>
    </row>
    <row r="22">
      <c r="B22" s="31" t="n"/>
      <c r="D22" s="373" t="n"/>
      <c r="E22" s="9" t="n"/>
      <c r="G22" s="347" t="n"/>
      <c r="H22" s="13" t="n"/>
      <c r="J22" s="10" t="n"/>
      <c r="K22" s="11" t="n"/>
      <c r="L22" s="12" t="n"/>
      <c r="M22" s="10" t="n"/>
      <c r="N22" s="11" t="n"/>
      <c r="O22" s="12" t="n"/>
      <c r="P22" s="16" t="n"/>
      <c r="Q22" s="17" t="n"/>
      <c r="S22" s="10" t="n"/>
      <c r="T22" s="11" t="n"/>
      <c r="V22" s="10" t="n"/>
      <c r="W22" s="11" t="n"/>
      <c r="AD22" s="31" t="n"/>
    </row>
    <row r="23" ht="15.75" customHeight="1" thickBot="1">
      <c r="B23" s="31" t="n"/>
      <c r="D23" s="314" t="n"/>
      <c r="E23" s="9" t="n"/>
      <c r="G23" s="10" t="n"/>
      <c r="H23" s="13" t="n"/>
      <c r="J23" s="10" t="n"/>
      <c r="K23" s="11" t="n"/>
      <c r="L23" s="12" t="n"/>
      <c r="M23" s="20" t="n"/>
      <c r="N23" s="21" t="n"/>
      <c r="O23" s="12" t="n"/>
      <c r="P23" s="18" t="n"/>
      <c r="Q23" s="22" t="n"/>
      <c r="S23" s="20" t="n"/>
      <c r="T23" s="21" t="n"/>
      <c r="V23" s="20" t="n"/>
      <c r="W23" s="21" t="n"/>
      <c r="AD23" s="31" t="n"/>
    </row>
    <row r="24" ht="15.75" customHeight="1" thickBot="1">
      <c r="B24" s="31" t="n"/>
      <c r="D24" s="314" t="n"/>
      <c r="E24" s="9" t="n"/>
      <c r="G24" s="10" t="n"/>
      <c r="H24" s="13" t="n"/>
      <c r="J24" s="373" t="n"/>
      <c r="K24" s="17" t="n"/>
      <c r="AD24" s="31" t="n"/>
    </row>
    <row r="25" ht="16.5" customHeight="1" thickBot="1">
      <c r="B25" s="31" t="n"/>
      <c r="D25" s="16" t="n"/>
      <c r="E25" s="9" t="n"/>
      <c r="G25" s="25" t="n"/>
      <c r="H25" s="13" t="n"/>
      <c r="J25" s="373" t="n"/>
      <c r="K25" s="17" t="n"/>
      <c r="M25" s="576" t="inlineStr">
        <is>
          <t>HIV QA 700-4521</t>
        </is>
      </c>
      <c r="N25" s="556" t="n"/>
      <c r="P25" s="576" t="inlineStr">
        <is>
          <t>HIV QA 700-4383</t>
        </is>
      </c>
      <c r="Q25" s="556" t="n"/>
      <c r="S25" s="408" t="inlineStr">
        <is>
          <t>C.diff 700-5667</t>
        </is>
      </c>
      <c r="T25" s="574" t="n"/>
      <c r="V25" s="577" t="inlineStr">
        <is>
          <t>C.diff 700-5196</t>
        </is>
      </c>
      <c r="W25" s="552" t="n"/>
      <c r="AD25" s="31" t="n"/>
    </row>
    <row r="26">
      <c r="B26" s="31" t="n"/>
      <c r="D26" s="16" t="n"/>
      <c r="E26" s="9" t="n"/>
      <c r="G26" s="347" t="n"/>
      <c r="H26" s="13" t="n"/>
      <c r="J26" s="373" t="n"/>
      <c r="K26" s="17" t="n"/>
      <c r="M26" s="5" t="inlineStr">
        <is>
          <t>Lot #</t>
        </is>
      </c>
      <c r="N26" s="6" t="inlineStr">
        <is>
          <t>EA</t>
        </is>
      </c>
      <c r="P26" s="5" t="inlineStr">
        <is>
          <t>Lot #</t>
        </is>
      </c>
      <c r="Q26" s="6" t="inlineStr">
        <is>
          <t>EA</t>
        </is>
      </c>
      <c r="S26" s="23" t="inlineStr">
        <is>
          <t>Lot #</t>
        </is>
      </c>
      <c r="T26" s="24" t="inlineStr">
        <is>
          <t>EA</t>
        </is>
      </c>
      <c r="V26" s="23" t="inlineStr">
        <is>
          <t>Lot #</t>
        </is>
      </c>
      <c r="W26" s="24" t="inlineStr">
        <is>
          <t>EA</t>
        </is>
      </c>
      <c r="AD26" s="31" t="n"/>
    </row>
    <row r="27">
      <c r="B27" s="31" t="n"/>
      <c r="D27" s="16" t="n"/>
      <c r="E27" s="9" t="n"/>
      <c r="G27" s="10" t="n"/>
      <c r="H27" s="13" t="n"/>
      <c r="J27" s="373" t="n"/>
      <c r="K27" s="17" t="n"/>
      <c r="M27" s="25" t="n"/>
      <c r="N27" s="11" t="n"/>
      <c r="P27" s="10" t="n"/>
      <c r="Q27" s="11" t="n"/>
      <c r="S27" s="10" t="n"/>
      <c r="T27" s="398" t="n"/>
      <c r="V27" s="10" t="n">
        <v>1001520020</v>
      </c>
      <c r="W27" s="11" t="n">
        <v>20</v>
      </c>
      <c r="AD27" s="31" t="n"/>
    </row>
    <row r="28">
      <c r="B28" s="31" t="n"/>
      <c r="D28" s="16" t="n"/>
      <c r="E28" s="9" t="n"/>
      <c r="G28" s="10" t="n"/>
      <c r="H28" s="13" t="n"/>
      <c r="J28" s="373" t="n"/>
      <c r="K28" s="17" t="n"/>
      <c r="M28" s="10" t="n"/>
      <c r="N28" s="11" t="n"/>
      <c r="P28" s="25" t="n"/>
      <c r="Q28" s="11" t="n"/>
      <c r="S28" s="27" t="n"/>
      <c r="T28" s="28" t="n"/>
      <c r="V28" s="10" t="n"/>
      <c r="W28" s="11" t="n"/>
      <c r="AD28" s="31" t="n"/>
    </row>
    <row r="29">
      <c r="B29" s="31" t="n"/>
      <c r="D29" s="16" t="n"/>
      <c r="E29" s="9" t="n"/>
      <c r="G29" s="10" t="n"/>
      <c r="H29" s="13" t="n"/>
      <c r="J29" s="373" t="n"/>
      <c r="K29" s="17" t="n"/>
      <c r="M29" s="16" t="n"/>
      <c r="N29" s="17" t="n"/>
      <c r="P29" s="25" t="n"/>
      <c r="Q29" s="11" t="n"/>
      <c r="S29" s="373" t="n"/>
      <c r="T29" s="398" t="n"/>
      <c r="V29" s="10" t="n"/>
      <c r="W29" s="11" t="n"/>
      <c r="AD29" s="31" t="n"/>
    </row>
    <row r="30">
      <c r="B30" s="31" t="n"/>
      <c r="D30" s="16" t="n"/>
      <c r="E30" s="9" t="n"/>
      <c r="G30" s="343" t="n"/>
      <c r="H30" s="348" t="n"/>
      <c r="J30" s="16" t="n"/>
      <c r="K30" s="17" t="n"/>
      <c r="M30" s="16" t="n"/>
      <c r="N30" s="17" t="n"/>
      <c r="P30" s="10" t="n"/>
      <c r="Q30" s="11" t="n"/>
      <c r="S30" s="373" t="n"/>
      <c r="T30" s="398" t="n"/>
      <c r="V30" s="10" t="n"/>
      <c r="W30" s="11" t="n"/>
      <c r="AD30" s="31" t="n"/>
    </row>
    <row r="31">
      <c r="B31" s="31" t="n"/>
      <c r="D31" s="16" t="n"/>
      <c r="E31" s="9" t="n"/>
      <c r="G31" s="343" t="n"/>
      <c r="H31" s="348" t="n"/>
      <c r="J31" s="16" t="n"/>
      <c r="K31" s="17" t="n"/>
      <c r="M31" s="10" t="n"/>
      <c r="N31" s="11" t="n"/>
      <c r="P31" s="10" t="n"/>
      <c r="Q31" s="11" t="n"/>
      <c r="S31" s="373" t="n"/>
      <c r="T31" s="398" t="n"/>
      <c r="V31" s="10" t="n"/>
      <c r="W31" s="11" t="n"/>
      <c r="AD31" s="31" t="n"/>
    </row>
    <row r="32">
      <c r="B32" s="31" t="n"/>
      <c r="D32" s="16" t="n"/>
      <c r="E32" s="9" t="n"/>
      <c r="G32" s="343" t="n"/>
      <c r="H32" s="348" t="n"/>
      <c r="J32" s="16" t="n"/>
      <c r="K32" s="17" t="n"/>
      <c r="M32" s="10" t="n"/>
      <c r="N32" s="11" t="n"/>
      <c r="P32" s="10" t="n"/>
      <c r="Q32" s="11" t="n"/>
      <c r="S32" s="373" t="n"/>
      <c r="T32" s="398" t="n"/>
      <c r="V32" s="10" t="n"/>
      <c r="W32" s="11" t="n"/>
      <c r="AD32" s="31" t="n"/>
    </row>
    <row r="33">
      <c r="B33" s="31" t="n"/>
      <c r="D33" s="16" t="n"/>
      <c r="E33" s="9" t="n"/>
      <c r="G33" s="343" t="n"/>
      <c r="H33" s="348" t="n"/>
      <c r="J33" s="16" t="n"/>
      <c r="K33" s="17" t="n"/>
      <c r="M33" s="10" t="n"/>
      <c r="N33" s="11" t="n"/>
      <c r="P33" s="10" t="n"/>
      <c r="Q33" s="11" t="n"/>
      <c r="S33" s="373" t="n"/>
      <c r="T33" s="398" t="n"/>
      <c r="V33" s="10" t="n"/>
      <c r="W33" s="11" t="n"/>
      <c r="AD33" s="31" t="n"/>
    </row>
    <row r="34" ht="15.75" customHeight="1" thickBot="1">
      <c r="B34" s="31" t="n"/>
      <c r="D34" s="18" t="n"/>
      <c r="E34" s="19" t="n"/>
      <c r="G34" s="349" t="n"/>
      <c r="H34" s="350" t="n"/>
      <c r="J34" s="18" t="n"/>
      <c r="K34" s="22" t="n"/>
      <c r="M34" s="20" t="n"/>
      <c r="N34" s="21" t="n"/>
      <c r="P34" s="20" t="n"/>
      <c r="Q34" s="21" t="n"/>
      <c r="S34" s="376" t="n"/>
      <c r="T34" s="399" t="n"/>
      <c r="V34" s="20" t="n"/>
      <c r="W34" s="21" t="n"/>
      <c r="AD34" s="31" t="n"/>
    </row>
    <row r="35">
      <c r="B35" s="31" t="n"/>
      <c r="AD35" s="31" t="n"/>
    </row>
    <row r="36">
      <c r="B36" s="31" t="n"/>
      <c r="C36" s="305" t="n"/>
      <c r="D36" s="31" t="n"/>
      <c r="E36" s="31" t="n"/>
      <c r="F36" s="31" t="n"/>
      <c r="G36" s="31" t="n"/>
      <c r="H36" s="31" t="n"/>
      <c r="I36" s="31" t="n"/>
      <c r="J36" s="31" t="n"/>
      <c r="K36" s="31" t="n"/>
      <c r="L36" s="31" t="n"/>
      <c r="M36" s="31" t="n"/>
      <c r="N36" s="31" t="n"/>
      <c r="O36" s="31" t="n"/>
      <c r="P36" s="31" t="n"/>
      <c r="Q36" s="31" t="n"/>
      <c r="R36" s="31" t="n"/>
      <c r="S36" s="31" t="n"/>
      <c r="T36" s="31" t="n"/>
      <c r="U36" s="31" t="n"/>
      <c r="V36" s="31" t="n"/>
      <c r="W36" s="31" t="n"/>
      <c r="X36" s="31" t="n"/>
      <c r="Y36" s="31" t="n"/>
      <c r="Z36" s="31" t="n"/>
      <c r="AA36" s="31" t="n"/>
      <c r="AB36" s="31" t="n"/>
      <c r="AC36" s="31" t="n"/>
      <c r="AD36" s="31" t="n"/>
    </row>
    <row r="37" ht="7.5" customHeight="1">
      <c r="B37" s="31" t="n"/>
      <c r="C37" s="305" t="n"/>
      <c r="D37" s="31" t="n"/>
      <c r="E37" s="31" t="n"/>
      <c r="F37" s="31" t="n"/>
      <c r="G37" s="31" t="n"/>
      <c r="H37" s="31" t="n"/>
      <c r="I37" s="31" t="n"/>
      <c r="J37" s="31" t="n"/>
      <c r="K37" s="31" t="n"/>
      <c r="L37" s="31" t="n"/>
      <c r="M37" s="31" t="n"/>
      <c r="N37" s="31" t="n"/>
      <c r="O37" s="31" t="n"/>
      <c r="P37" s="31" t="n"/>
      <c r="Q37" s="31" t="n"/>
      <c r="R37" s="31" t="n"/>
      <c r="S37" s="31" t="n"/>
      <c r="T37" s="31" t="n"/>
      <c r="U37" s="31" t="n"/>
      <c r="V37" s="31" t="n"/>
      <c r="W37" s="31" t="n"/>
      <c r="X37" s="31" t="n"/>
      <c r="Y37" s="31" t="n"/>
      <c r="Z37" s="31" t="n"/>
      <c r="AA37" s="31" t="n"/>
      <c r="AB37" s="31" t="n"/>
      <c r="AC37" s="31" t="n"/>
      <c r="AD37" s="31" t="n"/>
    </row>
  </sheetData>
  <mergeCells count="16">
    <mergeCell ref="D20:E20"/>
    <mergeCell ref="J3:K3"/>
    <mergeCell ref="P3:Q3"/>
    <mergeCell ref="M25:N25"/>
    <mergeCell ref="G20:H20"/>
    <mergeCell ref="V15:W15"/>
    <mergeCell ref="S25:T25"/>
    <mergeCell ref="V25:W25"/>
    <mergeCell ref="P15:Q15"/>
    <mergeCell ref="P25:Q25"/>
    <mergeCell ref="M3:N3"/>
    <mergeCell ref="D3:E3"/>
    <mergeCell ref="S3:T3"/>
    <mergeCell ref="G3:H3"/>
    <mergeCell ref="V3:W3"/>
    <mergeCell ref="M16:N16"/>
  </mergeCells>
  <pageMargins left="0.7" right="0.7" top="0.75" bottom="0.75" header="0.3" footer="0.3"/>
  <pageSetup orientation="landscape" paperSize="9" scale="66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4">
    <tabColor rgb="FFFFCD2D"/>
    <outlinePr summaryBelow="1" summaryRight="1"/>
    <pageSetUpPr/>
  </sheetPr>
  <dimension ref="A1:AZ24"/>
  <sheetViews>
    <sheetView zoomScaleNormal="100" workbookViewId="0">
      <selection activeCell="A1" sqref="A1"/>
    </sheetView>
  </sheetViews>
  <sheetFormatPr baseColWidth="8" defaultRowHeight="15"/>
  <cols>
    <col width="8.7109375" bestFit="1" customWidth="1" min="1" max="1"/>
    <col hidden="1" width="18.140625" bestFit="1" customWidth="1" min="2" max="2"/>
    <col width="13.28515625" customWidth="1" min="3" max="3"/>
    <col width="14" bestFit="1" customWidth="1" min="4" max="4"/>
    <col width="14.5703125" bestFit="1" customWidth="1" min="5" max="5"/>
    <col width="31.85546875" bestFit="1" customWidth="1" min="6" max="6"/>
    <col width="19" bestFit="1" customWidth="1" min="7" max="7"/>
    <col width="7.5703125" customWidth="1" min="8" max="8"/>
    <col width="8.5703125" bestFit="1" customWidth="1" min="15" max="15"/>
    <col width="10.28515625" customWidth="1" min="16" max="16"/>
    <col width="9.7109375" customWidth="1" min="17" max="17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15.75" customHeight="1" thickBot="1">
      <c r="O1" s="33" t="n"/>
    </row>
    <row r="2" ht="24" customHeight="1" thickBot="1">
      <c r="A2" s="578" t="inlineStr">
        <is>
          <t>MTB RIF</t>
        </is>
      </c>
      <c r="B2" s="551" t="n"/>
      <c r="C2" s="551" t="n"/>
      <c r="D2" s="551" t="n"/>
      <c r="E2" s="551" t="n"/>
      <c r="F2" s="551" t="n"/>
      <c r="G2" s="551" t="n"/>
      <c r="H2" s="552" t="n"/>
    </row>
    <row r="3" ht="15.75" customHeight="1" thickBot="1">
      <c r="A3" s="34" t="n"/>
      <c r="B3" s="35" t="n"/>
      <c r="C3" s="35" t="n"/>
      <c r="D3" s="36" t="n"/>
      <c r="E3" s="35" t="n"/>
      <c r="F3" s="35" t="n"/>
    </row>
    <row r="4" ht="15.75" customHeight="1" thickBot="1">
      <c r="A4" s="59" t="inlineStr">
        <is>
          <t>P/N</t>
        </is>
      </c>
      <c r="B4" s="60" t="inlineStr">
        <is>
          <t>Artikel</t>
        </is>
      </c>
      <c r="C4" s="60" t="inlineStr">
        <is>
          <t>Lotnr.</t>
        </is>
      </c>
      <c r="D4" s="61" t="inlineStr">
        <is>
          <t>Utgångsdatum</t>
        </is>
      </c>
      <c r="E4" s="60" t="inlineStr">
        <is>
          <t>Förvaringsplats</t>
        </is>
      </c>
      <c r="F4" s="60" t="inlineStr">
        <is>
          <t>Antal i lager</t>
        </is>
      </c>
      <c r="G4" s="62" t="inlineStr">
        <is>
          <t>Senast inventering</t>
        </is>
      </c>
      <c r="H4" s="63" t="inlineStr">
        <is>
          <t>SIGN</t>
        </is>
      </c>
    </row>
    <row r="5">
      <c r="A5" s="357" t="inlineStr">
        <is>
          <t>001-1683</t>
        </is>
      </c>
      <c r="B5" s="358" t="inlineStr">
        <is>
          <t>INTROL TBWT-04</t>
        </is>
      </c>
      <c r="C5" s="358">
        <f>IFERROR(INDEX($AZ$5#,ROW()-5+1,1),"")</f>
        <v/>
      </c>
      <c r="D5" s="359">
        <f>IFERROR(INDEX($AZ$5#,ROW()-5+1,2),"")</f>
        <v/>
      </c>
      <c r="E5" s="358">
        <f>IFERROR(INDEX($AZ$5#,ROW()-5+1,5),"")</f>
        <v/>
      </c>
      <c r="F5" s="51">
        <f>IFERROR(INDEX($AZ$5#,ROW()-5+1,3),"")</f>
        <v/>
      </c>
      <c r="G5" s="359">
        <f>IFERROR(INDEX($AZ$5#,ROW()-5+1,6),"")</f>
        <v/>
      </c>
      <c r="H5" s="397" t="inlineStr"/>
      <c r="AZ5">
        <f>LET(pn,$A$5,f,FILTER(tblLots[[LotNumber]:[LatestInventory]],(tblLots[PN]=pn)*(tblLots[IsActive]=TRUE),""),s,IFERROR(SORTBY(f,INDEX(f,,2),1,INDEX(f,,6),-1),""),IFERROR(INDEX(s,SEQUENCE(4),SEQUENCE(,6)),""))</f>
        <v/>
      </c>
    </row>
    <row r="6">
      <c r="A6" s="373">
        <f>A$5</f>
        <v/>
      </c>
      <c r="B6" s="579" t="n"/>
      <c r="C6" s="374">
        <f>IFERROR(INDEX($AZ$5#,ROW()-5+1,1),"")</f>
        <v/>
      </c>
      <c r="D6" s="375">
        <f>IFERROR(INDEX($AZ$5#,ROW()-5+1,2),"")</f>
        <v/>
      </c>
      <c r="E6" s="579" t="n"/>
      <c r="F6" s="53">
        <f>IFERROR(INDEX($AZ$5#,ROW()-5+1,3),"")</f>
        <v/>
      </c>
      <c r="G6" s="375">
        <f>IFERROR(INDEX($AZ$5#,ROW()-5+1,6),"")</f>
        <v/>
      </c>
      <c r="H6" s="398" t="inlineStr"/>
    </row>
    <row r="7">
      <c r="A7" s="373">
        <f>A$5</f>
        <v/>
      </c>
      <c r="B7" s="579" t="n"/>
      <c r="C7" s="374">
        <f>IFERROR(INDEX($AZ$5#,ROW()-5+1,1),"")</f>
        <v/>
      </c>
      <c r="D7" s="375">
        <f>IFERROR(INDEX($AZ$5#,ROW()-5+1,2),"")</f>
        <v/>
      </c>
      <c r="E7" s="579" t="n"/>
      <c r="F7" s="53">
        <f>IFERROR(INDEX($AZ$5#,ROW()-5+1,3),"")</f>
        <v/>
      </c>
      <c r="G7" s="375">
        <f>IFERROR(INDEX($AZ$5#,ROW()-5+1,6),"")</f>
        <v/>
      </c>
      <c r="H7" s="398" t="inlineStr"/>
    </row>
    <row r="8" ht="15.75" customHeight="1" thickBot="1">
      <c r="A8" s="376">
        <f>A$5</f>
        <v/>
      </c>
      <c r="B8" s="580" t="n"/>
      <c r="C8" s="377">
        <f>IFERROR(INDEX($AZ$5#,ROW()-5+1,1),"")</f>
        <v/>
      </c>
      <c r="D8" s="378">
        <f>IFERROR(INDEX($AZ$5#,ROW()-5+1,2),"")</f>
        <v/>
      </c>
      <c r="E8" s="580" t="n"/>
      <c r="F8" s="54">
        <f>IFERROR(INDEX($AZ$5#,ROW()-5+1,3),"")</f>
        <v/>
      </c>
      <c r="G8" s="378">
        <f>IFERROR(INDEX($AZ$5#,ROW()-5+1,6),"")</f>
        <v/>
      </c>
      <c r="H8" s="399" t="inlineStr"/>
    </row>
    <row r="9" ht="15.75" customHeight="1" thickBot="1"/>
    <row r="10" ht="24" customHeight="1" thickBot="1">
      <c r="A10" s="581" t="inlineStr">
        <is>
          <t>MTB - TET | 500-0995</t>
        </is>
      </c>
      <c r="B10" s="551" t="n"/>
      <c r="C10" s="551" t="n"/>
      <c r="D10" s="551" t="n"/>
      <c r="E10" s="551" t="n"/>
      <c r="F10" s="551" t="n"/>
      <c r="G10" s="551" t="n"/>
      <c r="H10" s="552" t="n"/>
    </row>
    <row r="11" ht="15.75" customHeight="1" thickBot="1">
      <c r="A11" s="582" t="inlineStr">
        <is>
          <t>P/N 500-0995 MTB TET Buffer (exp 6 mån)
500-0995, BUFFER, TET, 50_0.1_0.1</t>
        </is>
      </c>
      <c r="B11" s="555" t="n"/>
      <c r="C11" s="555" t="n"/>
      <c r="D11" s="555" t="n"/>
      <c r="E11" s="555" t="n"/>
      <c r="F11" s="555" t="n"/>
      <c r="G11" s="555" t="n"/>
      <c r="H11" s="556" t="n"/>
    </row>
    <row r="12" ht="15.75" customHeight="1" thickBot="1">
      <c r="A12" s="424" t="inlineStr">
        <is>
          <t>Lotnummer</t>
        </is>
      </c>
      <c r="B12" s="551" t="n"/>
      <c r="C12" s="574" t="n"/>
      <c r="D12" s="426" t="inlineStr">
        <is>
          <t>Utgångsdatum</t>
        </is>
      </c>
      <c r="E12" s="574" t="n"/>
      <c r="F12" s="45" t="inlineStr">
        <is>
          <t>Volym, L</t>
        </is>
      </c>
      <c r="G12" s="426" t="inlineStr">
        <is>
          <t>Senast inventering</t>
        </is>
      </c>
      <c r="H12" s="47" t="inlineStr">
        <is>
          <t>SIGN</t>
        </is>
      </c>
    </row>
    <row r="13">
      <c r="A13" s="357">
        <f>IFERROR(INDEX($AZ$13#,ROW()-13+1,1),"")</f>
        <v/>
      </c>
      <c r="B13" s="558" t="n"/>
      <c r="C13" s="559" t="n"/>
      <c r="D13" s="359">
        <f>IFERROR(INDEX($AZ$13#,ROW()-13+1,2),"")</f>
        <v/>
      </c>
      <c r="E13" s="559" t="n"/>
      <c r="F13" s="358">
        <f>IFERROR(INDEX($AZ$13#,ROW()-13+1,3),"")</f>
        <v/>
      </c>
      <c r="G13" s="359">
        <f>IFERROR(INDEX($AZ$13#,ROW()-13+1,6),"")</f>
        <v/>
      </c>
      <c r="H13" s="397" t="inlineStr"/>
      <c r="AZ13">
        <f>LET(pn,$B$13,f,FILTER(tblLots[[LotNumber]:[LatestInventory]],(tblLots[PN]=pn)*(tblLots[IsActive]=TRUE),""),s,IFERROR(SORTBY(f,INDEX(f,,2),1,INDEX(f,,6),-1),""),IFERROR(INDEX(s,SEQUENCE(4),SEQUENCE(,6)),""))</f>
        <v/>
      </c>
    </row>
    <row r="14">
      <c r="A14" s="427">
        <f>IFERROR(INDEX($AZ$13#,ROW()-13+1,1),"")</f>
        <v/>
      </c>
      <c r="B14" s="572" t="n"/>
      <c r="C14" s="573" t="n"/>
      <c r="D14" s="429">
        <f>IFERROR(INDEX($AZ$13#,ROW()-13+1,2),"")</f>
        <v/>
      </c>
      <c r="E14" s="573" t="n"/>
      <c r="F14" s="428">
        <f>IFERROR(INDEX($AZ$13#,ROW()-13+1,3),"")</f>
        <v/>
      </c>
      <c r="G14" s="429">
        <f>IFERROR(INDEX($AZ$13#,ROW()-13+1,6),"")</f>
        <v/>
      </c>
      <c r="H14" s="37" t="inlineStr"/>
    </row>
    <row r="15">
      <c r="A15" s="427">
        <f>IFERROR(INDEX($AZ$13#,ROW()-13+1,1),"")</f>
        <v/>
      </c>
      <c r="B15" s="572" t="n"/>
      <c r="C15" s="573" t="n"/>
      <c r="D15" s="429">
        <f>IFERROR(INDEX($AZ$13#,ROW()-13+1,2),"")</f>
        <v/>
      </c>
      <c r="E15" s="573" t="n"/>
      <c r="F15" s="428">
        <f>IFERROR(INDEX($AZ$13#,ROW()-13+1,3),"")</f>
        <v/>
      </c>
      <c r="G15" s="429">
        <f>IFERROR(INDEX($AZ$13#,ROW()-13+1,6),"")</f>
        <v/>
      </c>
      <c r="H15" s="37" t="inlineStr"/>
    </row>
    <row r="16" ht="15.75" customHeight="1" thickBot="1">
      <c r="A16" s="421">
        <f>IFERROR(INDEX($AZ$13#,ROW()-13+1,1),"")</f>
        <v/>
      </c>
      <c r="B16" s="583" t="n"/>
      <c r="C16" s="584" t="n"/>
      <c r="D16" s="423">
        <f>IFERROR(INDEX($AZ$13#,ROW()-13+1,2),"")</f>
        <v/>
      </c>
      <c r="E16" s="584" t="n"/>
      <c r="F16" s="422">
        <f>IFERROR(INDEX($AZ$13#,ROW()-13+1,3),"")</f>
        <v/>
      </c>
      <c r="G16" s="423">
        <f>IFERROR(INDEX($AZ$13#,ROW()-13+1,6),"")</f>
        <v/>
      </c>
      <c r="H16" s="44" t="inlineStr"/>
    </row>
    <row r="17" ht="15.75" customHeight="1" thickBot="1"/>
    <row r="18" ht="24" customHeight="1" thickBot="1">
      <c r="A18" s="581" t="inlineStr">
        <is>
          <t>MTB - SR | 500-2608</t>
        </is>
      </c>
      <c r="B18" s="551" t="n"/>
      <c r="C18" s="551" t="n"/>
      <c r="D18" s="551" t="n"/>
      <c r="E18" s="551" t="n"/>
      <c r="F18" s="551" t="n"/>
      <c r="G18" s="551" t="n"/>
      <c r="H18" s="552" t="n"/>
    </row>
    <row r="19" ht="15.75" customHeight="1" thickBot="1">
      <c r="A19" s="582" t="inlineStr">
        <is>
          <t>P/N 500-2608 MTB SR (exp 4 mån)
500-2608, IPT BULK REAGENT, SAMPLE TREATMENT, MTB</t>
        </is>
      </c>
      <c r="B19" s="555" t="n"/>
      <c r="C19" s="555" t="n"/>
      <c r="D19" s="555" t="n"/>
      <c r="E19" s="555" t="n"/>
      <c r="F19" s="555" t="n"/>
      <c r="G19" s="555" t="n"/>
      <c r="H19" s="556" t="n"/>
    </row>
    <row r="20" ht="15.75" customHeight="1" thickBot="1">
      <c r="A20" s="424" t="inlineStr">
        <is>
          <t>Lotnummer</t>
        </is>
      </c>
      <c r="B20" s="551" t="n"/>
      <c r="C20" s="574" t="n"/>
      <c r="D20" s="426" t="inlineStr">
        <is>
          <t>Utgångsdatum</t>
        </is>
      </c>
      <c r="E20" s="574" t="n"/>
      <c r="F20" s="45" t="inlineStr">
        <is>
          <t>Volym, L</t>
        </is>
      </c>
      <c r="G20" s="426" t="inlineStr">
        <is>
          <t>Senast inventering</t>
        </is>
      </c>
      <c r="H20" s="47" t="inlineStr">
        <is>
          <t>SIGN</t>
        </is>
      </c>
    </row>
    <row r="21">
      <c r="A21" s="357">
        <f>IFERROR(INDEX($AZ$21#,ROW()-21+1,1),"")</f>
        <v/>
      </c>
      <c r="B21" s="558" t="n"/>
      <c r="C21" s="559" t="n"/>
      <c r="D21" s="359">
        <f>IFERROR(INDEX($AZ$21#,ROW()-21+1,2),"")</f>
        <v/>
      </c>
      <c r="E21" s="559" t="n"/>
      <c r="F21" s="359">
        <f>IFERROR(INDEX($AZ$21#,ROW()-21+1,3),"")</f>
        <v/>
      </c>
      <c r="G21" s="359">
        <f>IFERROR(INDEX($AZ$21#,ROW()-21+1,6),"")</f>
        <v/>
      </c>
      <c r="H21" s="397" t="inlineStr"/>
      <c r="AZ21">
        <f>LET(pn,$B$21,f,FILTER(tblLots[[LotNumber]:[LatestInventory]],(tblLots[PN]=pn)*(tblLots[IsActive]=TRUE),""),s,IFERROR(SORTBY(f,INDEX(f,,2),1,INDEX(f,,6),-1),""),IFERROR(INDEX(s,SEQUENCE(4),SEQUENCE(,6)),""))</f>
        <v/>
      </c>
    </row>
    <row r="22">
      <c r="A22" s="427">
        <f>IFERROR(INDEX($AZ$21#,ROW()-21+1,1),"")</f>
        <v/>
      </c>
      <c r="B22" s="572" t="n"/>
      <c r="C22" s="573" t="n"/>
      <c r="D22" s="429">
        <f>IFERROR(INDEX($AZ$21#,ROW()-21+1,2),"")</f>
        <v/>
      </c>
      <c r="E22" s="573" t="n"/>
      <c r="F22" s="429">
        <f>IFERROR(INDEX($AZ$21#,ROW()-21+1,3),"")</f>
        <v/>
      </c>
      <c r="G22" s="429">
        <f>IFERROR(INDEX($AZ$21#,ROW()-21+1,6),"")</f>
        <v/>
      </c>
      <c r="H22" s="37" t="inlineStr"/>
    </row>
    <row r="23">
      <c r="A23" s="427">
        <f>IFERROR(INDEX($AZ$21#,ROW()-21+1,1),"")</f>
        <v/>
      </c>
      <c r="B23" s="572" t="n"/>
      <c r="C23" s="573" t="n"/>
      <c r="D23" s="429">
        <f>IFERROR(INDEX($AZ$21#,ROW()-21+1,2),"")</f>
        <v/>
      </c>
      <c r="E23" s="573" t="n"/>
      <c r="F23" s="429">
        <f>IFERROR(INDEX($AZ$21#,ROW()-21+1,3),"")</f>
        <v/>
      </c>
      <c r="G23" s="429">
        <f>IFERROR(INDEX($AZ$21#,ROW()-21+1,6),"")</f>
        <v/>
      </c>
      <c r="H23" s="37" t="inlineStr"/>
    </row>
    <row r="24" ht="15.75" customHeight="1" thickBot="1">
      <c r="A24" s="421">
        <f>IFERROR(INDEX($AZ$21#,ROW()-21+1,1),"")</f>
        <v/>
      </c>
      <c r="B24" s="583" t="n"/>
      <c r="C24" s="584" t="n"/>
      <c r="D24" s="423">
        <f>IFERROR(INDEX($AZ$21#,ROW()-21+1,2),"")</f>
        <v/>
      </c>
      <c r="E24" s="584" t="n"/>
      <c r="F24" s="423">
        <f>IFERROR(INDEX($AZ$21#,ROW()-21+1,3),"")</f>
        <v/>
      </c>
      <c r="G24" s="423">
        <f>IFERROR(INDEX($AZ$21#,ROW()-21+1,6),"")</f>
        <v/>
      </c>
      <c r="H24" s="44" t="inlineStr"/>
    </row>
  </sheetData>
  <sheetProtection selectLockedCells="0" selectUnlockedCells="0" algorithmName="SHA-512" sheet="1" objects="0" insertRows="0" insertHyperlinks="0" autoFilter="0" scenarios="0" formatColumns="0" deleteColumns="0" insertColumns="0" pivotTables="0" deleteRows="0" formatCells="0" saltValue="H9BEvbqDFmqZVYhlVmr04A==" formatRows="0" sort="0" spinCount="100000" hashValue="bgVHo3IQauW7Sni0XyHM1CiJS4hYmIjC569yL2O5Z7XOHVomeMiyVV+HNOsGnZ3KLr55BgewzwyFzWWGEx9Uqg=="/>
  <mergeCells count="27">
    <mergeCell ref="D20:E20"/>
    <mergeCell ref="A11:H11"/>
    <mergeCell ref="D22:E22"/>
    <mergeCell ref="A21:C21"/>
    <mergeCell ref="A12:C12"/>
    <mergeCell ref="E5:E8"/>
    <mergeCell ref="D21:E21"/>
    <mergeCell ref="A23:C23"/>
    <mergeCell ref="D13:E13"/>
    <mergeCell ref="A14:C14"/>
    <mergeCell ref="A22:C22"/>
    <mergeCell ref="A20:C20"/>
    <mergeCell ref="A18:H18"/>
    <mergeCell ref="D16:E16"/>
    <mergeCell ref="A13:C13"/>
    <mergeCell ref="A2:H2"/>
    <mergeCell ref="A15:C15"/>
    <mergeCell ref="A24:C24"/>
    <mergeCell ref="D12:E12"/>
    <mergeCell ref="B5:B8"/>
    <mergeCell ref="D24:E24"/>
    <mergeCell ref="D15:E15"/>
    <mergeCell ref="A10:H10"/>
    <mergeCell ref="D23:E23"/>
    <mergeCell ref="D14:E14"/>
    <mergeCell ref="A19:H19"/>
    <mergeCell ref="A16:C16"/>
  </mergeCells>
  <pageMargins left="0.7" right="0.7" top="0.75" bottom="0.75" header="0.3" footer="0.3"/>
  <pageSetup orientation="portrait" paperSize="9" verticalDpi="0"/>
</worksheet>
</file>

<file path=xl/worksheets/sheet7.xml><?xml version="1.0" encoding="utf-8"?>
<worksheet xmlns="http://schemas.openxmlformats.org/spreadsheetml/2006/main">
  <sheetPr codeName="Sheet5">
    <tabColor rgb="FFFFA219"/>
    <outlinePr summaryBelow="1" summaryRight="1"/>
    <pageSetUpPr/>
  </sheetPr>
  <dimension ref="A1:AZ29"/>
  <sheetViews>
    <sheetView zoomScaleNormal="100" workbookViewId="0">
      <selection activeCell="A1" sqref="A1"/>
    </sheetView>
  </sheetViews>
  <sheetFormatPr baseColWidth="8" defaultRowHeight="15"/>
  <cols>
    <col width="11.28515625" bestFit="1" customWidth="1" min="1" max="1"/>
    <col hidden="1" width="15.7109375" bestFit="1" customWidth="1" min="2" max="2"/>
    <col width="12.85546875" customWidth="1" min="3" max="3"/>
    <col width="14" bestFit="1" customWidth="1" min="4" max="4"/>
    <col width="14.5703125" bestFit="1" customWidth="1" min="5" max="5"/>
    <col width="31.85546875" bestFit="1" customWidth="1" min="6" max="6"/>
    <col width="19" bestFit="1" customWidth="1" min="7" max="7"/>
    <col width="5.42578125" bestFit="1" customWidth="1" min="8" max="8"/>
    <col width="10.7109375" bestFit="1" customWidth="1" min="13" max="13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15.75" customHeight="1" thickBot="1"/>
    <row r="2" ht="24" customHeight="1" thickBot="1">
      <c r="A2" s="585" t="inlineStr">
        <is>
          <t>MTB ULTRA</t>
        </is>
      </c>
      <c r="B2" s="551" t="n"/>
      <c r="C2" s="551" t="n"/>
      <c r="D2" s="551" t="n"/>
      <c r="E2" s="551" t="n"/>
      <c r="F2" s="551" t="n"/>
      <c r="G2" s="551" t="n"/>
      <c r="H2" s="552" t="n"/>
    </row>
    <row r="3" ht="15.75" customHeight="1" thickBot="1">
      <c r="A3" s="34" t="n"/>
      <c r="B3" s="35" t="n"/>
      <c r="C3" s="35" t="n"/>
      <c r="D3" s="36" t="n"/>
      <c r="E3" s="35" t="n"/>
      <c r="F3" s="35" t="n"/>
    </row>
    <row r="4" ht="15.75" customHeight="1" thickBot="1">
      <c r="A4" s="64" t="inlineStr">
        <is>
          <t>P/N</t>
        </is>
      </c>
      <c r="B4" s="65" t="inlineStr">
        <is>
          <t>Artikel</t>
        </is>
      </c>
      <c r="C4" s="65" t="inlineStr">
        <is>
          <t>Lotnr.</t>
        </is>
      </c>
      <c r="D4" s="66" t="inlineStr">
        <is>
          <t>Utgångsdatum</t>
        </is>
      </c>
      <c r="E4" s="65" t="inlineStr">
        <is>
          <t>Förvaringsplats</t>
        </is>
      </c>
      <c r="F4" s="65" t="inlineStr">
        <is>
          <t>Antal i lager</t>
        </is>
      </c>
      <c r="G4" s="67" t="inlineStr">
        <is>
          <t>Senast inventering</t>
        </is>
      </c>
      <c r="H4" s="68" t="inlineStr">
        <is>
          <t>SIGN</t>
        </is>
      </c>
    </row>
    <row r="5">
      <c r="A5" s="357" t="inlineStr">
        <is>
          <t>001-1923</t>
        </is>
      </c>
      <c r="B5" s="459" t="inlineStr">
        <is>
          <t>INTROL TB1081MDR2</t>
        </is>
      </c>
      <c r="C5" s="358">
        <f>IFERROR(INDEX($AZ$5#,ROW()-5+1,1),"")</f>
        <v/>
      </c>
      <c r="D5" s="359">
        <f>IFERROR(INDEX($AZ$5#,ROW()-5+1,2),"")</f>
        <v/>
      </c>
      <c r="E5" s="358">
        <f>IFERROR(INDEX($AZ$5#,ROW()-5+1,5),"")</f>
        <v/>
      </c>
      <c r="F5" s="358">
        <f>IFERROR(INDEX($AZ$5#,ROW()-5+1,3),"")</f>
        <v/>
      </c>
      <c r="G5" s="359">
        <f>IFERROR(INDEX($AZ$5#,ROW()-5+1,6),"")</f>
        <v/>
      </c>
      <c r="H5" s="397" t="inlineStr"/>
      <c r="AZ5">
        <f>LET(pn,$A$5,f,FILTER(tblLots[[LotNumber]:[LatestInventory]],(tblLots[PN]=pn)*(tblLots[IsActive]=TRUE),""),s,IFERROR(SORTBY(f,INDEX(f,,2),1,INDEX(f,,6),-1),""),IFERROR(INDEX(s,SEQUENCE(4),SEQUENCE(,6)),""))</f>
        <v/>
      </c>
    </row>
    <row r="6">
      <c r="A6" s="373">
        <f>A$5</f>
        <v/>
      </c>
      <c r="B6" s="579" t="n"/>
      <c r="C6" s="374">
        <f>IFERROR(INDEX($AZ$5#,ROW()-5+1,1),"")</f>
        <v/>
      </c>
      <c r="D6" s="375">
        <f>IFERROR(INDEX($AZ$5#,ROW()-5+1,2),"")</f>
        <v/>
      </c>
      <c r="E6" s="579" t="n"/>
      <c r="F6" s="374">
        <f>IFERROR(INDEX($AZ$5#,ROW()-5+1,3),"")</f>
        <v/>
      </c>
      <c r="G6" s="375">
        <f>IFERROR(INDEX($AZ$5#,ROW()-5+1,6),"")</f>
        <v/>
      </c>
      <c r="H6" s="398" t="inlineStr"/>
    </row>
    <row r="7">
      <c r="A7" s="373">
        <f>A$5</f>
        <v/>
      </c>
      <c r="B7" s="579" t="n"/>
      <c r="C7" s="374">
        <f>IFERROR(INDEX($AZ$5#,ROW()-5+1,1),"")</f>
        <v/>
      </c>
      <c r="D7" s="375">
        <f>IFERROR(INDEX($AZ$5#,ROW()-5+1,2),"")</f>
        <v/>
      </c>
      <c r="E7" s="579" t="n"/>
      <c r="F7" s="374">
        <f>IFERROR(INDEX($AZ$5#,ROW()-5+1,3),"")</f>
        <v/>
      </c>
      <c r="G7" s="375">
        <f>IFERROR(INDEX($AZ$5#,ROW()-5+1,6),"")</f>
        <v/>
      </c>
      <c r="H7" s="398" t="inlineStr"/>
    </row>
    <row r="8" ht="15.75" customHeight="1" thickBot="1">
      <c r="A8" s="376">
        <f>A$5</f>
        <v/>
      </c>
      <c r="B8" s="580" t="n"/>
      <c r="C8" s="377">
        <f>IFERROR(INDEX($AZ$5#,ROW()-5+1,1),"")</f>
        <v/>
      </c>
      <c r="D8" s="378">
        <f>IFERROR(INDEX($AZ$5#,ROW()-5+1,2),"")</f>
        <v/>
      </c>
      <c r="E8" s="580" t="n"/>
      <c r="F8" s="377">
        <f>IFERROR(INDEX($AZ$5#,ROW()-5+1,3),"")</f>
        <v/>
      </c>
      <c r="G8" s="378">
        <f>IFERROR(INDEX($AZ$5#,ROW()-5+1,6),"")</f>
        <v/>
      </c>
      <c r="H8" s="399" t="inlineStr"/>
    </row>
    <row r="9" ht="15.75" customHeight="1" thickBot="1">
      <c r="A9" s="69" t="inlineStr">
        <is>
          <t>P/N</t>
        </is>
      </c>
      <c r="B9" s="70" t="inlineStr">
        <is>
          <t>Artikel</t>
        </is>
      </c>
      <c r="C9" s="70" t="inlineStr">
        <is>
          <t>Lotnr.</t>
        </is>
      </c>
      <c r="D9" s="71" t="inlineStr">
        <is>
          <t>Utgångsdatum</t>
        </is>
      </c>
      <c r="E9" s="70" t="inlineStr">
        <is>
          <t>Förvaringsplats</t>
        </is>
      </c>
      <c r="F9" s="70" t="inlineStr">
        <is>
          <t>Antal i lager</t>
        </is>
      </c>
      <c r="G9" s="72" t="inlineStr">
        <is>
          <t>Senast inventering</t>
        </is>
      </c>
      <c r="H9" s="73" t="inlineStr">
        <is>
          <t>SIGN</t>
        </is>
      </c>
    </row>
    <row r="10">
      <c r="A10" s="357" t="inlineStr">
        <is>
          <t>001-1968</t>
        </is>
      </c>
      <c r="B10" s="459" t="inlineStr">
        <is>
          <t>INTROL TBWT-04 MTB Ultra</t>
        </is>
      </c>
      <c r="C10" s="358">
        <f>IFERROR(INDEX($AZ$10#,ROW()-10+1,1),"")</f>
        <v/>
      </c>
      <c r="D10" s="359">
        <f>IFERROR(INDEX($AZ$10#,ROW()-10+1,2),"")</f>
        <v/>
      </c>
      <c r="E10" s="358">
        <f>IFERROR(INDEX($AZ$10#,ROW()-10+1,5),"")</f>
        <v/>
      </c>
      <c r="F10" s="358">
        <f>IFERROR(INDEX($AZ$10#,ROW()-10+1,3),"")</f>
        <v/>
      </c>
      <c r="G10" s="359">
        <f>IFERROR(INDEX($AZ$10#,ROW()-10+1,6),"")</f>
        <v/>
      </c>
      <c r="H10" s="397" t="inlineStr"/>
      <c r="AZ10">
        <f>LET(pn,$A$10,f,FILTER(tblLots[[LotNumber]:[LatestInventory]],(tblLots[PN]=pn)*(tblLots[IsActive]=TRUE),""),s,IFERROR(SORTBY(f,INDEX(f,,2),1,INDEX(f,,6),-1),""),IFERROR(INDEX(s,SEQUENCE(4),SEQUENCE(,6)),""))</f>
        <v/>
      </c>
    </row>
    <row r="11">
      <c r="A11" s="373">
        <f>A$10</f>
        <v/>
      </c>
      <c r="B11" s="579" t="n"/>
      <c r="C11" s="374">
        <f>IFERROR(INDEX($AZ$10#,ROW()-10+1,1),"")</f>
        <v/>
      </c>
      <c r="D11" s="375">
        <f>IFERROR(INDEX($AZ$10#,ROW()-10+1,2),"")</f>
        <v/>
      </c>
      <c r="E11" s="579" t="n"/>
      <c r="F11" s="374">
        <f>IFERROR(INDEX($AZ$10#,ROW()-10+1,3),"")</f>
        <v/>
      </c>
      <c r="G11" s="375">
        <f>IFERROR(INDEX($AZ$10#,ROW()-10+1,6),"")</f>
        <v/>
      </c>
      <c r="H11" s="398" t="inlineStr"/>
    </row>
    <row r="12">
      <c r="A12" s="373">
        <f>A$10</f>
        <v/>
      </c>
      <c r="B12" s="579" t="n"/>
      <c r="C12" s="374">
        <f>IFERROR(INDEX($AZ$10#,ROW()-10+1,1),"")</f>
        <v/>
      </c>
      <c r="D12" s="375">
        <f>IFERROR(INDEX($AZ$10#,ROW()-10+1,2),"")</f>
        <v/>
      </c>
      <c r="E12" s="579" t="n"/>
      <c r="F12" s="374">
        <f>IFERROR(INDEX($AZ$10#,ROW()-10+1,3),"")</f>
        <v/>
      </c>
      <c r="G12" s="375">
        <f>IFERROR(INDEX($AZ$10#,ROW()-10+1,6),"")</f>
        <v/>
      </c>
      <c r="H12" s="398" t="inlineStr"/>
    </row>
    <row r="13" ht="15.75" customHeight="1" thickBot="1">
      <c r="A13" s="376">
        <f>A$10</f>
        <v/>
      </c>
      <c r="B13" s="580" t="n"/>
      <c r="C13" s="377">
        <f>IFERROR(INDEX($AZ$10#,ROW()-10+1,1),"")</f>
        <v/>
      </c>
      <c r="D13" s="378">
        <f>IFERROR(INDEX($AZ$10#,ROW()-10+1,2),"")</f>
        <v/>
      </c>
      <c r="E13" s="580" t="n"/>
      <c r="F13" s="377">
        <f>IFERROR(INDEX($AZ$10#,ROW()-10+1,3),"")</f>
        <v/>
      </c>
      <c r="G13" s="378">
        <f>IFERROR(INDEX($AZ$10#,ROW()-10+1,6),"")</f>
        <v/>
      </c>
      <c r="H13" s="399" t="inlineStr"/>
    </row>
    <row r="14" ht="15.75" customHeight="1" thickBot="1">
      <c r="A14" s="35" t="n"/>
      <c r="B14" s="35" t="n"/>
      <c r="C14" s="35" t="n"/>
      <c r="D14" s="36" t="n"/>
      <c r="E14" s="35" t="n"/>
      <c r="F14" s="74" t="n"/>
      <c r="G14" s="36" t="n"/>
      <c r="H14" s="35" t="n"/>
    </row>
    <row r="15" ht="28.5" customHeight="1" thickBot="1">
      <c r="A15" s="581" t="inlineStr">
        <is>
          <t>MTB - TET | 500-0995</t>
        </is>
      </c>
      <c r="B15" s="551" t="n"/>
      <c r="C15" s="551" t="n"/>
      <c r="D15" s="551" t="n"/>
      <c r="E15" s="551" t="n"/>
      <c r="F15" s="551" t="n"/>
      <c r="G15" s="551" t="n"/>
      <c r="H15" s="552" t="n"/>
    </row>
    <row r="16" ht="15.75" customHeight="1" thickBot="1">
      <c r="A16" s="586" t="inlineStr">
        <is>
          <t>P/N 500-0995 MTB TET Buffer (exp 6 mån)
500-0995, BUFFER, TET, 50_0.1_0.1</t>
        </is>
      </c>
      <c r="B16" s="551" t="n"/>
      <c r="C16" s="551" t="n"/>
      <c r="D16" s="551" t="n"/>
      <c r="E16" s="551" t="n"/>
      <c r="F16" s="551" t="n"/>
      <c r="G16" s="551" t="n"/>
      <c r="H16" s="552" t="n"/>
    </row>
    <row r="17" ht="15.75" customHeight="1" thickBot="1">
      <c r="A17" s="424" t="inlineStr">
        <is>
          <t>Lotnummer</t>
        </is>
      </c>
      <c r="B17" s="551" t="n"/>
      <c r="C17" s="574" t="n"/>
      <c r="D17" s="426" t="inlineStr">
        <is>
          <t>Utgångsdatum</t>
        </is>
      </c>
      <c r="E17" s="574" t="n"/>
      <c r="F17" s="56" t="inlineStr">
        <is>
          <t>Volym, L</t>
        </is>
      </c>
      <c r="G17" s="369" t="inlineStr">
        <is>
          <t>Senast inventering</t>
        </is>
      </c>
      <c r="H17" s="58" t="inlineStr">
        <is>
          <t>SIGN</t>
        </is>
      </c>
    </row>
    <row r="18">
      <c r="A18" s="357">
        <f>IFERROR(INDEX($AZ$18#,ROW()-18+1,1),"")</f>
        <v/>
      </c>
      <c r="B18" s="558" t="n"/>
      <c r="C18" s="559" t="n"/>
      <c r="D18" s="359">
        <f>IFERROR(INDEX($AZ$18#,ROW()-18+1,2),"")</f>
        <v/>
      </c>
      <c r="E18" s="559" t="n"/>
      <c r="F18" s="358">
        <f>IFERROR(INDEX($AZ$18#,ROW()-18+1,3),"")</f>
        <v/>
      </c>
      <c r="G18" s="359">
        <f>IFERROR(INDEX($AZ$18#,ROW()-18+1,6),"")</f>
        <v/>
      </c>
      <c r="H18" s="397" t="inlineStr"/>
      <c r="AZ18">
        <f>LET(pn,$B$18,f,FILTER(tblLots[[LotNumber]:[LatestInventory]],(tblLots[PN]=pn)*(tblLots[IsActive]=TRUE),""),s,IFERROR(SORTBY(f,INDEX(f,,2),1,INDEX(f,,6),-1),""),IFERROR(INDEX(s,SEQUENCE(4),SEQUENCE(,6)),""))</f>
        <v/>
      </c>
    </row>
    <row r="19">
      <c r="A19" s="373">
        <f>IFERROR(INDEX($AZ$18#,ROW()-18+1,1),"")</f>
        <v/>
      </c>
      <c r="B19" s="560" t="n"/>
      <c r="C19" s="561" t="n"/>
      <c r="D19" s="375">
        <f>IFERROR(INDEX($AZ$18#,ROW()-18+1,2),"")</f>
        <v/>
      </c>
      <c r="E19" s="561" t="n"/>
      <c r="F19" s="374">
        <f>IFERROR(INDEX($AZ$18#,ROW()-18+1,3),"")</f>
        <v/>
      </c>
      <c r="G19" s="375">
        <f>IFERROR(INDEX($AZ$18#,ROW()-18+1,6),"")</f>
        <v/>
      </c>
      <c r="H19" s="398" t="inlineStr"/>
      <c r="J19" s="55" t="n"/>
    </row>
    <row r="20">
      <c r="A20" s="373">
        <f>IFERROR(INDEX($AZ$18#,ROW()-18+1,1),"")</f>
        <v/>
      </c>
      <c r="B20" s="560" t="n"/>
      <c r="C20" s="561" t="n"/>
      <c r="D20" s="375">
        <f>IFERROR(INDEX($AZ$18#,ROW()-18+1,2),"")</f>
        <v/>
      </c>
      <c r="E20" s="561" t="n"/>
      <c r="F20" s="374">
        <f>IFERROR(INDEX($AZ$18#,ROW()-18+1,3),"")</f>
        <v/>
      </c>
      <c r="G20" s="375">
        <f>IFERROR(INDEX($AZ$18#,ROW()-18+1,6),"")</f>
        <v/>
      </c>
      <c r="H20" s="398" t="inlineStr"/>
    </row>
    <row r="21" ht="15" customHeight="1" thickBot="1">
      <c r="A21" s="376">
        <f>IFERROR(INDEX($AZ$18#,ROW()-18+1,1),"")</f>
        <v/>
      </c>
      <c r="B21" s="562" t="n"/>
      <c r="C21" s="563" t="n"/>
      <c r="D21" s="378">
        <f>IFERROR(INDEX($AZ$18#,ROW()-18+1,2),"")</f>
        <v/>
      </c>
      <c r="E21" s="563" t="n"/>
      <c r="F21" s="377">
        <f>IFERROR(INDEX($AZ$18#,ROW()-18+1,3),"")</f>
        <v/>
      </c>
      <c r="G21" s="378">
        <f>IFERROR(INDEX($AZ$18#,ROW()-18+1,6),"")</f>
        <v/>
      </c>
      <c r="H21" s="399" t="inlineStr"/>
    </row>
    <row r="22" ht="15.75" customHeight="1" thickBot="1"/>
    <row r="23" ht="24" customHeight="1" thickBot="1">
      <c r="A23" s="581" t="inlineStr">
        <is>
          <t>MTB - SR | 500-2608</t>
        </is>
      </c>
      <c r="B23" s="551" t="n"/>
      <c r="C23" s="551" t="n"/>
      <c r="D23" s="551" t="n"/>
      <c r="E23" s="551" t="n"/>
      <c r="F23" s="551" t="n"/>
      <c r="G23" s="551" t="n"/>
      <c r="H23" s="552" t="n"/>
    </row>
    <row r="24" ht="15.75" customHeight="1" thickBot="1">
      <c r="A24" s="586" t="inlineStr">
        <is>
          <t>P/N 500-2608 MTB SR (exp 4 mån)
500-2608, IPT BULK REAGENT, SAMPLE TREATMENT, MTB</t>
        </is>
      </c>
      <c r="B24" s="551" t="n"/>
      <c r="C24" s="551" t="n"/>
      <c r="D24" s="551" t="n"/>
      <c r="E24" s="551" t="n"/>
      <c r="F24" s="551" t="n"/>
      <c r="G24" s="551" t="n"/>
      <c r="H24" s="552" t="n"/>
    </row>
    <row r="25" ht="15.75" customHeight="1" thickBot="1">
      <c r="A25" s="424" t="inlineStr">
        <is>
          <t>Lotnummer</t>
        </is>
      </c>
      <c r="B25" s="551" t="n"/>
      <c r="C25" s="574" t="n"/>
      <c r="D25" s="426" t="inlineStr">
        <is>
          <t>Utgångsdatum</t>
        </is>
      </c>
      <c r="E25" s="574" t="n"/>
      <c r="F25" s="45" t="inlineStr">
        <is>
          <t>Volym, L</t>
        </is>
      </c>
      <c r="G25" s="426" t="inlineStr">
        <is>
          <t>Senast inventering</t>
        </is>
      </c>
      <c r="H25" s="47" t="inlineStr">
        <is>
          <t>SIGN</t>
        </is>
      </c>
    </row>
    <row r="26">
      <c r="A26" s="357">
        <f>IFERROR(INDEX($AZ$26#,ROW()-26+1,1),"")</f>
        <v/>
      </c>
      <c r="B26" s="558" t="n"/>
      <c r="C26" s="559" t="n"/>
      <c r="D26" s="359">
        <f>IFERROR(INDEX($AZ$26#,ROW()-26+1,2),"")</f>
        <v/>
      </c>
      <c r="E26" s="559" t="n"/>
      <c r="F26" s="358">
        <f>IFERROR(INDEX($AZ$26#,ROW()-26+1,3),"")</f>
        <v/>
      </c>
      <c r="G26" s="359">
        <f>IFERROR(INDEX($AZ$26#,ROW()-26+1,6),"")</f>
        <v/>
      </c>
      <c r="H26" s="397" t="inlineStr"/>
      <c r="AZ26">
        <f>LET(pn,$B$26,f,FILTER(tblLots[[LotNumber]:[LatestInventory]],(tblLots[PN]=pn)*(tblLots[IsActive]=TRUE),""),s,IFERROR(SORTBY(f,INDEX(f,,2),1,INDEX(f,,6),-1),""),IFERROR(INDEX(s,SEQUENCE(4),SEQUENCE(,6)),""))</f>
        <v/>
      </c>
    </row>
    <row r="27">
      <c r="A27" s="373">
        <f>IFERROR(INDEX($AZ$26#,ROW()-26+1,1),"")</f>
        <v/>
      </c>
      <c r="B27" s="560" t="n"/>
      <c r="C27" s="561" t="n"/>
      <c r="D27" s="375">
        <f>IFERROR(INDEX($AZ$26#,ROW()-26+1,2),"")</f>
        <v/>
      </c>
      <c r="E27" s="561" t="n"/>
      <c r="F27" s="428">
        <f>IFERROR(INDEX($AZ$26#,ROW()-26+1,3),"")</f>
        <v/>
      </c>
      <c r="G27" s="429">
        <f>IFERROR(INDEX($AZ$26#,ROW()-26+1,6),"")</f>
        <v/>
      </c>
      <c r="H27" s="37" t="inlineStr"/>
    </row>
    <row r="28">
      <c r="A28" s="373">
        <f>IFERROR(INDEX($AZ$26#,ROW()-26+1,1),"")</f>
        <v/>
      </c>
      <c r="B28" s="560" t="n"/>
      <c r="C28" s="561" t="n"/>
      <c r="D28" s="375">
        <f>IFERROR(INDEX($AZ$26#,ROW()-26+1,2),"")</f>
        <v/>
      </c>
      <c r="E28" s="561" t="n"/>
      <c r="F28" s="428">
        <f>IFERROR(INDEX($AZ$26#,ROW()-26+1,3),"")</f>
        <v/>
      </c>
      <c r="G28" s="429">
        <f>IFERROR(INDEX($AZ$26#,ROW()-26+1,6),"")</f>
        <v/>
      </c>
      <c r="H28" s="37" t="inlineStr"/>
    </row>
    <row r="29" ht="15.75" customHeight="1" thickBot="1">
      <c r="A29" s="376">
        <f>IFERROR(INDEX($AZ$26#,ROW()-26+1,1),"")</f>
        <v/>
      </c>
      <c r="B29" s="562" t="n"/>
      <c r="C29" s="563" t="n"/>
      <c r="D29" s="378">
        <f>IFERROR(INDEX($AZ$26#,ROW()-26+1,2),"")</f>
        <v/>
      </c>
      <c r="E29" s="563" t="n"/>
      <c r="F29" s="422">
        <f>IFERROR(INDEX($AZ$26#,ROW()-26+1,3),"")</f>
        <v/>
      </c>
      <c r="G29" s="423">
        <f>IFERROR(INDEX($AZ$26#,ROW()-26+1,6),"")</f>
        <v/>
      </c>
      <c r="H29" s="44" t="inlineStr"/>
    </row>
  </sheetData>
  <sheetProtection selectLockedCells="0" selectUnlockedCells="0" algorithmName="SHA-512" sheet="1" objects="0" insertRows="0" insertHyperlinks="0" autoFilter="0" scenarios="0" formatColumns="0" deleteColumns="0" insertColumns="0" pivotTables="0" deleteRows="0" formatCells="0" saltValue="gLTrhm7LjGfVllyuN3uqZw==" formatRows="0" sort="0" spinCount="100000" hashValue="x8Q5c76O+TDZA8boLEIRAJojynqELCu6UJ3kEVnudowrJva19qxj7zwFqtYIqe2O7lJ34hXGGuBFoiDnDoeddA=="/>
  <mergeCells count="29">
    <mergeCell ref="D20:E20"/>
    <mergeCell ref="A25:C25"/>
    <mergeCell ref="A15:H15"/>
    <mergeCell ref="D19:E19"/>
    <mergeCell ref="A24:H24"/>
    <mergeCell ref="A18:C18"/>
    <mergeCell ref="A27:C27"/>
    <mergeCell ref="A21:C21"/>
    <mergeCell ref="E5:E8"/>
    <mergeCell ref="A26:C26"/>
    <mergeCell ref="E10:E13"/>
    <mergeCell ref="D21:E21"/>
    <mergeCell ref="A16:H16"/>
    <mergeCell ref="D27:E27"/>
    <mergeCell ref="A17:C17"/>
    <mergeCell ref="A29:C29"/>
    <mergeCell ref="D17:E17"/>
    <mergeCell ref="A20:C20"/>
    <mergeCell ref="B10:B13"/>
    <mergeCell ref="A28:C28"/>
    <mergeCell ref="A19:C19"/>
    <mergeCell ref="A2:H2"/>
    <mergeCell ref="D28:E28"/>
    <mergeCell ref="D18:E18"/>
    <mergeCell ref="A23:H23"/>
    <mergeCell ref="D25:E25"/>
    <mergeCell ref="B5:B8"/>
    <mergeCell ref="D29:E29"/>
    <mergeCell ref="D26:E26"/>
  </mergeCells>
  <pageMargins left="0.7" right="0.7" top="0.75" bottom="0.75" header="0.3" footer="0.3"/>
  <pageSetup orientation="portrait" paperSize="9" verticalDpi="0"/>
</worksheet>
</file>

<file path=xl/worksheets/sheet8.xml><?xml version="1.0" encoding="utf-8"?>
<worksheet xmlns="http://schemas.openxmlformats.org/spreadsheetml/2006/main">
  <sheetPr codeName="Sheet6">
    <tabColor rgb="FFFE7F00"/>
    <outlinePr summaryBelow="1" summaryRight="1"/>
    <pageSetUpPr/>
  </sheetPr>
  <dimension ref="A1:AZ34"/>
  <sheetViews>
    <sheetView workbookViewId="0">
      <selection activeCell="A1" sqref="A1"/>
    </sheetView>
  </sheetViews>
  <sheetFormatPr baseColWidth="8" defaultRowHeight="15"/>
  <cols>
    <col width="11.28515625" bestFit="1" customWidth="1" min="1" max="1"/>
    <col hidden="1" width="18.140625" bestFit="1" customWidth="1" min="2" max="2"/>
    <col width="11.42578125" bestFit="1" customWidth="1" min="3" max="3"/>
    <col width="14" bestFit="1" customWidth="1" style="75" min="4" max="4"/>
    <col width="14.5703125" bestFit="1" customWidth="1" min="5" max="5"/>
    <col width="31.85546875" bestFit="1" customWidth="1" min="6" max="6"/>
    <col width="19" bestFit="1" customWidth="1" style="75" min="7" max="7"/>
    <col width="5.42578125" bestFit="1" customWidth="1" min="8" max="8"/>
    <col width="9.140625" customWidth="1" min="9" max="9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15.75" customHeight="1" thickBot="1"/>
    <row r="2" ht="24" customHeight="1" thickBot="1">
      <c r="A2" s="587" t="inlineStr">
        <is>
          <t>MTB JP</t>
        </is>
      </c>
      <c r="B2" s="551" t="n"/>
      <c r="C2" s="551" t="n"/>
      <c r="D2" s="551" t="n"/>
      <c r="E2" s="551" t="n"/>
      <c r="F2" s="551" t="n"/>
      <c r="G2" s="551" t="n"/>
      <c r="H2" s="552" t="n"/>
    </row>
    <row r="3" ht="15.75" customHeight="1" thickBot="1">
      <c r="A3" s="34" t="n"/>
      <c r="B3" s="35" t="n"/>
      <c r="C3" s="35" t="n"/>
      <c r="D3" s="36" t="n"/>
      <c r="E3" s="35" t="n"/>
      <c r="F3" s="35" t="n"/>
    </row>
    <row r="4" ht="15.75" customHeight="1" thickBot="1">
      <c r="A4" s="78" t="inlineStr">
        <is>
          <t>P/N</t>
        </is>
      </c>
      <c r="B4" s="79" t="inlineStr">
        <is>
          <t>Artikel</t>
        </is>
      </c>
      <c r="C4" s="79" t="inlineStr">
        <is>
          <t>Lotnr.</t>
        </is>
      </c>
      <c r="D4" s="80" t="inlineStr">
        <is>
          <t>Utgångsdatum</t>
        </is>
      </c>
      <c r="E4" s="79" t="inlineStr">
        <is>
          <t>Förvaringsplats</t>
        </is>
      </c>
      <c r="F4" s="79" t="inlineStr">
        <is>
          <t>Antal i lager</t>
        </is>
      </c>
      <c r="G4" s="81" t="inlineStr">
        <is>
          <t>Senast inventering</t>
        </is>
      </c>
      <c r="H4" s="82" t="inlineStr">
        <is>
          <t>SIGN</t>
        </is>
      </c>
    </row>
    <row r="5">
      <c r="A5" s="357" t="inlineStr">
        <is>
          <t>001-1683</t>
        </is>
      </c>
      <c r="B5" s="358" t="inlineStr">
        <is>
          <t>INTROL TBWT-04</t>
        </is>
      </c>
      <c r="C5" s="358">
        <f>IFERROR(INDEX($AZ$5#,ROW()-5+1,1),"")</f>
        <v/>
      </c>
      <c r="D5" s="359">
        <f>IFERROR(INDEX($AZ$5#,ROW()-5+1,2),"")</f>
        <v/>
      </c>
      <c r="E5" s="358">
        <f>IFERROR(INDEX($AZ$5#,ROW()-5+1,5),"")</f>
        <v/>
      </c>
      <c r="F5" s="51">
        <f>IFERROR(INDEX($AZ$5#,ROW()-5+1,3),"")</f>
        <v/>
      </c>
      <c r="G5" s="359">
        <f>IFERROR(INDEX($AZ$5#,ROW()-5+1,6),"")</f>
        <v/>
      </c>
      <c r="H5" s="397" t="inlineStr"/>
      <c r="AZ5">
        <f>LET(pn,$A$5,f,FILTER(tblLots[[LotNumber]:[LatestInventory]],(tblLots[PN]=pn)*(tblLots[IsActive]=TRUE),""),s,IFERROR(SORTBY(f,INDEX(f,,2),1,INDEX(f,,6),-1),""),IFERROR(INDEX(s,SEQUENCE(4),SEQUENCE(,6)),""))</f>
        <v/>
      </c>
    </row>
    <row r="6">
      <c r="A6" s="373">
        <f>A$5</f>
        <v/>
      </c>
      <c r="B6" s="579" t="n"/>
      <c r="C6" s="374">
        <f>IFERROR(INDEX($AZ$5#,ROW()-5+1,1),"")</f>
        <v/>
      </c>
      <c r="D6" s="375">
        <f>IFERROR(INDEX($AZ$5#,ROW()-5+1,2),"")</f>
        <v/>
      </c>
      <c r="E6" s="579" t="n"/>
      <c r="F6" s="53">
        <f>IFERROR(INDEX($AZ$5#,ROW()-5+1,3),"")</f>
        <v/>
      </c>
      <c r="G6" s="375">
        <f>IFERROR(INDEX($AZ$5#,ROW()-5+1,6),"")</f>
        <v/>
      </c>
      <c r="H6" s="398" t="inlineStr"/>
    </row>
    <row r="7">
      <c r="A7" s="373">
        <f>A$5</f>
        <v/>
      </c>
      <c r="B7" s="579" t="n"/>
      <c r="C7" s="374">
        <f>IFERROR(INDEX($AZ$5#,ROW()-5+1,1),"")</f>
        <v/>
      </c>
      <c r="D7" s="375">
        <f>IFERROR(INDEX($AZ$5#,ROW()-5+1,2),"")</f>
        <v/>
      </c>
      <c r="E7" s="579" t="n"/>
      <c r="F7" s="53">
        <f>IFERROR(INDEX($AZ$5#,ROW()-5+1,3),"")</f>
        <v/>
      </c>
      <c r="G7" s="375">
        <f>IFERROR(INDEX($AZ$5#,ROW()-5+1,6),"")</f>
        <v/>
      </c>
      <c r="H7" s="398" t="inlineStr"/>
    </row>
    <row r="8" ht="15.75" customHeight="1" thickBot="1">
      <c r="A8" s="376">
        <f>A$5</f>
        <v/>
      </c>
      <c r="B8" s="580" t="n"/>
      <c r="C8" s="377">
        <f>IFERROR(INDEX($AZ$5#,ROW()-5+1,1),"")</f>
        <v/>
      </c>
      <c r="D8" s="378">
        <f>IFERROR(INDEX($AZ$5#,ROW()-5+1,2),"")</f>
        <v/>
      </c>
      <c r="E8" s="580" t="n"/>
      <c r="F8" s="54">
        <f>IFERROR(INDEX($AZ$5#,ROW()-5+1,3),"")</f>
        <v/>
      </c>
      <c r="G8" s="378">
        <f>IFERROR(INDEX($AZ$5#,ROW()-5+1,6),"")</f>
        <v/>
      </c>
      <c r="H8" s="399" t="inlineStr"/>
    </row>
    <row r="9" ht="15.75" customHeight="1" thickBot="1">
      <c r="A9" s="83" t="inlineStr">
        <is>
          <t>P/N</t>
        </is>
      </c>
      <c r="B9" s="84" t="inlineStr">
        <is>
          <t>Artikel</t>
        </is>
      </c>
      <c r="C9" s="84" t="inlineStr">
        <is>
          <t>Lotnr.</t>
        </is>
      </c>
      <c r="D9" s="85" t="inlineStr">
        <is>
          <t>Utgångsdatum</t>
        </is>
      </c>
      <c r="E9" s="84" t="inlineStr">
        <is>
          <t>Förvaringsplats</t>
        </is>
      </c>
      <c r="F9" s="84" t="inlineStr">
        <is>
          <t>Antal i lager</t>
        </is>
      </c>
      <c r="G9" s="86" t="inlineStr">
        <is>
          <t>Senast inventering</t>
        </is>
      </c>
      <c r="H9" s="87" t="inlineStr">
        <is>
          <t>SIGN</t>
        </is>
      </c>
    </row>
    <row r="10">
      <c r="A10" s="357" t="inlineStr">
        <is>
          <t>001-1658</t>
        </is>
      </c>
      <c r="B10" s="358" t="inlineStr">
        <is>
          <t>INTROL TBWT1-04</t>
        </is>
      </c>
      <c r="C10" s="358">
        <f>IFERROR(INDEX($AZ$10#,ROW()-10+1,1),"")</f>
        <v/>
      </c>
      <c r="D10" s="359">
        <f>IFERROR(INDEX($AZ$10#,ROW()-10+1,2),"")</f>
        <v/>
      </c>
      <c r="E10" s="358">
        <f>IFERROR(INDEX($AZ$10#,ROW()-10+1,5),"")</f>
        <v/>
      </c>
      <c r="F10" s="358">
        <f>IFERROR(INDEX($AZ$10#,ROW()-10+1,3),"")</f>
        <v/>
      </c>
      <c r="G10" s="359">
        <f>IFERROR(INDEX($AZ$10#,ROW()-10+1,6),"")</f>
        <v/>
      </c>
      <c r="H10" s="397" t="inlineStr"/>
      <c r="AZ10">
        <f>LET(pn,$A$10,f,FILTER(tblLots[[LotNumber]:[LatestInventory]],(tblLots[PN]=pn)*(tblLots[IsActive]=TRUE),""),s,IFERROR(SORTBY(f,INDEX(f,,2),1,INDEX(f,,6),-1),""),IFERROR(INDEX(s,SEQUENCE(4),SEQUENCE(,6)),""))</f>
        <v/>
      </c>
    </row>
    <row r="11">
      <c r="A11" s="373">
        <f>A$10</f>
        <v/>
      </c>
      <c r="B11" s="579" t="n"/>
      <c r="C11" s="374">
        <f>IFERROR(INDEX($AZ$10#,ROW()-10+1,1),"")</f>
        <v/>
      </c>
      <c r="D11" s="375">
        <f>IFERROR(INDEX($AZ$10#,ROW()-10+1,2),"")</f>
        <v/>
      </c>
      <c r="E11" s="579" t="n"/>
      <c r="F11" s="374">
        <f>IFERROR(INDEX($AZ$10#,ROW()-10+1,3),"")</f>
        <v/>
      </c>
      <c r="G11" s="375">
        <f>IFERROR(INDEX($AZ$10#,ROW()-10+1,6),"")</f>
        <v/>
      </c>
      <c r="H11" s="398" t="inlineStr"/>
    </row>
    <row r="12">
      <c r="A12" s="373">
        <f>A$10</f>
        <v/>
      </c>
      <c r="B12" s="579" t="n"/>
      <c r="C12" s="374">
        <f>IFERROR(INDEX($AZ$10#,ROW()-10+1,1),"")</f>
        <v/>
      </c>
      <c r="D12" s="375">
        <f>IFERROR(INDEX($AZ$10#,ROW()-10+1,2),"")</f>
        <v/>
      </c>
      <c r="E12" s="579" t="n"/>
      <c r="F12" s="374">
        <f>IFERROR(INDEX($AZ$10#,ROW()-10+1,3),"")</f>
        <v/>
      </c>
      <c r="G12" s="375">
        <f>IFERROR(INDEX($AZ$10#,ROW()-10+1,6),"")</f>
        <v/>
      </c>
      <c r="H12" s="398" t="inlineStr"/>
    </row>
    <row r="13" ht="15.75" customHeight="1" thickBot="1">
      <c r="A13" s="376">
        <f>A$10</f>
        <v/>
      </c>
      <c r="B13" s="580" t="n"/>
      <c r="C13" s="377">
        <f>IFERROR(INDEX($AZ$10#,ROW()-10+1,1),"")</f>
        <v/>
      </c>
      <c r="D13" s="378">
        <f>IFERROR(INDEX($AZ$10#,ROW()-10+1,2),"")</f>
        <v/>
      </c>
      <c r="E13" s="580" t="n"/>
      <c r="F13" s="377">
        <f>IFERROR(INDEX($AZ$10#,ROW()-10+1,3),"")</f>
        <v/>
      </c>
      <c r="G13" s="378">
        <f>IFERROR(INDEX($AZ$10#,ROW()-10+1,6),"")</f>
        <v/>
      </c>
      <c r="H13" s="399" t="inlineStr"/>
    </row>
    <row r="14" ht="15.75" customHeight="1" thickBot="1">
      <c r="A14" s="83" t="inlineStr">
        <is>
          <t>P/N</t>
        </is>
      </c>
      <c r="B14" s="84" t="inlineStr">
        <is>
          <t>Artikel</t>
        </is>
      </c>
      <c r="C14" s="84" t="inlineStr">
        <is>
          <t>Lotnr.</t>
        </is>
      </c>
      <c r="D14" s="85" t="inlineStr">
        <is>
          <t>Utgångsdatum</t>
        </is>
      </c>
      <c r="E14" s="84" t="inlineStr">
        <is>
          <t>Förvaringsplats</t>
        </is>
      </c>
      <c r="F14" s="84" t="inlineStr">
        <is>
          <t>Antal i lager</t>
        </is>
      </c>
      <c r="G14" s="86" t="inlineStr">
        <is>
          <t>Senast inventering</t>
        </is>
      </c>
      <c r="H14" s="87" t="inlineStr">
        <is>
          <t>SIGN</t>
        </is>
      </c>
    </row>
    <row r="15">
      <c r="A15" s="357" t="inlineStr">
        <is>
          <t>001-1922</t>
        </is>
      </c>
      <c r="B15" s="459" t="inlineStr">
        <is>
          <t>INTROL TBMDR2-04</t>
        </is>
      </c>
      <c r="C15" s="358">
        <f>IFERROR(INDEX($AZ$15#,ROW()-15+1,1),"")</f>
        <v/>
      </c>
      <c r="D15" s="359">
        <f>IFERROR(INDEX($AZ$15#,ROW()-15+1,2),"")</f>
        <v/>
      </c>
      <c r="E15" s="358">
        <f>IFERROR(INDEX($AZ$15#,ROW()-15+1,5),"")</f>
        <v/>
      </c>
      <c r="F15" s="358">
        <f>IFERROR(INDEX($AZ$15#,ROW()-15+1,3),"")</f>
        <v/>
      </c>
      <c r="G15" s="359">
        <f>IFERROR(INDEX($AZ$15#,ROW()-15+1,6),"")</f>
        <v/>
      </c>
      <c r="H15" s="397" t="inlineStr"/>
      <c r="AZ15">
        <f>LET(pn,$A$15,f,FILTER(tblLots[[LotNumber]:[LatestInventory]],(tblLots[PN]=pn)*(tblLots[IsActive]=TRUE),""),s,IFERROR(SORTBY(f,INDEX(f,,2),1,INDEX(f,,6),-1),""),IFERROR(INDEX(s,SEQUENCE(4),SEQUENCE(,6)),""))</f>
        <v/>
      </c>
    </row>
    <row r="16">
      <c r="A16" s="373">
        <f>A$15</f>
        <v/>
      </c>
      <c r="B16" s="579" t="n"/>
      <c r="C16" s="374">
        <f>IFERROR(INDEX($AZ$15#,ROW()-15+1,1),"")</f>
        <v/>
      </c>
      <c r="D16" s="375">
        <f>IFERROR(INDEX($AZ$15#,ROW()-15+1,2),"")</f>
        <v/>
      </c>
      <c r="E16" s="579" t="n"/>
      <c r="F16" s="374">
        <f>IFERROR(INDEX($AZ$15#,ROW()-15+1,3),"")</f>
        <v/>
      </c>
      <c r="G16" s="375">
        <f>IFERROR(INDEX($AZ$15#,ROW()-15+1,6),"")</f>
        <v/>
      </c>
      <c r="H16" s="398" t="inlineStr"/>
    </row>
    <row r="17">
      <c r="A17" s="373">
        <f>A$15</f>
        <v/>
      </c>
      <c r="B17" s="579" t="n"/>
      <c r="C17" s="374">
        <f>IFERROR(INDEX($AZ$15#,ROW()-15+1,1),"")</f>
        <v/>
      </c>
      <c r="D17" s="375">
        <f>IFERROR(INDEX($AZ$15#,ROW()-15+1,2),"")</f>
        <v/>
      </c>
      <c r="E17" s="579" t="n"/>
      <c r="F17" s="374">
        <f>IFERROR(INDEX($AZ$15#,ROW()-15+1,3),"")</f>
        <v/>
      </c>
      <c r="G17" s="375">
        <f>IFERROR(INDEX($AZ$15#,ROW()-15+1,6),"")</f>
        <v/>
      </c>
      <c r="H17" s="398" t="inlineStr"/>
    </row>
    <row r="18" ht="15.75" customHeight="1" thickBot="1">
      <c r="A18" s="376">
        <f>A$15</f>
        <v/>
      </c>
      <c r="B18" s="580" t="n"/>
      <c r="C18" s="377">
        <f>IFERROR(INDEX($AZ$15#,ROW()-15+1,1),"")</f>
        <v/>
      </c>
      <c r="D18" s="378">
        <f>IFERROR(INDEX($AZ$15#,ROW()-15+1,2),"")</f>
        <v/>
      </c>
      <c r="E18" s="580" t="n"/>
      <c r="F18" s="377">
        <f>IFERROR(INDEX($AZ$15#,ROW()-15+1,3),"")</f>
        <v/>
      </c>
      <c r="G18" s="378">
        <f>IFERROR(INDEX($AZ$15#,ROW()-15+1,6),"")</f>
        <v/>
      </c>
      <c r="H18" s="399" t="inlineStr"/>
    </row>
    <row r="19" ht="15.75" customHeight="1" thickBot="1">
      <c r="A19" s="35" t="n"/>
      <c r="B19" s="35" t="n"/>
      <c r="C19" s="35" t="n"/>
      <c r="D19" s="36" t="n"/>
      <c r="E19" s="35" t="n"/>
      <c r="F19" s="74" t="n"/>
      <c r="G19" s="36" t="n"/>
      <c r="H19" s="35" t="n"/>
    </row>
    <row r="20" ht="24" customHeight="1" thickBot="1">
      <c r="A20" s="581" t="inlineStr">
        <is>
          <t>MTB - TET | 500-0995</t>
        </is>
      </c>
      <c r="B20" s="551" t="n"/>
      <c r="C20" s="551" t="n"/>
      <c r="D20" s="551" t="n"/>
      <c r="E20" s="551" t="n"/>
      <c r="F20" s="551" t="n"/>
      <c r="G20" s="551" t="n"/>
      <c r="H20" s="552" t="n"/>
    </row>
    <row r="21" ht="24" customHeight="1" thickBot="1">
      <c r="A21" s="586" t="inlineStr">
        <is>
          <t>P/N 500-0995 MTB TET Buffer (exp 6 mån)
500-0995, BUFFER, TET, 50_0.1_0.1</t>
        </is>
      </c>
      <c r="B21" s="551" t="n"/>
      <c r="C21" s="551" t="n"/>
      <c r="D21" s="551" t="n"/>
      <c r="E21" s="551" t="n"/>
      <c r="F21" s="551" t="n"/>
      <c r="G21" s="551" t="n"/>
      <c r="H21" s="552" t="n"/>
    </row>
    <row r="22" ht="15.75" customHeight="1" thickBot="1">
      <c r="A22" s="424" t="inlineStr">
        <is>
          <t>Lotnummer</t>
        </is>
      </c>
      <c r="B22" s="551" t="n"/>
      <c r="C22" s="574" t="n"/>
      <c r="D22" s="426" t="inlineStr">
        <is>
          <t>Utgångsdatum</t>
        </is>
      </c>
      <c r="E22" s="574" t="n"/>
      <c r="F22" s="56" t="inlineStr">
        <is>
          <t>Volym, L</t>
        </is>
      </c>
      <c r="G22" s="76" t="inlineStr">
        <is>
          <t>Senast inventering</t>
        </is>
      </c>
      <c r="H22" s="58" t="inlineStr">
        <is>
          <t>SIGN</t>
        </is>
      </c>
    </row>
    <row r="23">
      <c r="A23" s="357">
        <f>IFERROR(INDEX($AZ$23#,ROW()-23+1,1),"")</f>
        <v/>
      </c>
      <c r="B23" s="558" t="n"/>
      <c r="C23" s="559" t="n"/>
      <c r="D23" s="359">
        <f>IFERROR(INDEX($AZ$23#,ROW()-23+1,2),"")</f>
        <v/>
      </c>
      <c r="E23" s="559" t="n"/>
      <c r="F23" s="358">
        <f>IFERROR(INDEX($AZ$23#,ROW()-23+1,3),"")</f>
        <v/>
      </c>
      <c r="G23" s="359">
        <f>IFERROR(INDEX($AZ$23#,ROW()-23+1,6),"")</f>
        <v/>
      </c>
      <c r="H23" s="397" t="inlineStr"/>
      <c r="AZ23">
        <f>LET(pn,$B$23,f,FILTER(tblLots[[LotNumber]:[LatestInventory]],(tblLots[PN]=pn)*(tblLots[IsActive]=TRUE),""),s,IFERROR(SORTBY(f,INDEX(f,,2),1,INDEX(f,,6),-1),""),IFERROR(INDEX(s,SEQUENCE(4),SEQUENCE(,6)),""))</f>
        <v/>
      </c>
    </row>
    <row r="24" ht="15.75" customHeight="1">
      <c r="A24" s="373">
        <f>IFERROR(INDEX($AZ$23#,ROW()-23+1,1),"")</f>
        <v/>
      </c>
      <c r="B24" s="560" t="n"/>
      <c r="C24" s="561" t="n"/>
      <c r="D24" s="375">
        <f>IFERROR(INDEX($AZ$23#,ROW()-23+1,2),"")</f>
        <v/>
      </c>
      <c r="E24" s="561" t="n"/>
      <c r="F24" s="374">
        <f>IFERROR(INDEX($AZ$23#,ROW()-23+1,3),"")</f>
        <v/>
      </c>
      <c r="G24" s="375">
        <f>IFERROR(INDEX($AZ$23#,ROW()-23+1,6),"")</f>
        <v/>
      </c>
      <c r="H24" s="398" t="inlineStr"/>
    </row>
    <row r="25" ht="15.75" customHeight="1">
      <c r="A25" s="373">
        <f>IFERROR(INDEX($AZ$23#,ROW()-23+1,1),"")</f>
        <v/>
      </c>
      <c r="B25" s="560" t="n"/>
      <c r="C25" s="561" t="n"/>
      <c r="D25" s="375">
        <f>IFERROR(INDEX($AZ$23#,ROW()-23+1,2),"")</f>
        <v/>
      </c>
      <c r="E25" s="561" t="n"/>
      <c r="F25" s="374">
        <f>IFERROR(INDEX($AZ$23#,ROW()-23+1,3),"")</f>
        <v/>
      </c>
      <c r="G25" s="375">
        <f>IFERROR(INDEX($AZ$23#,ROW()-23+1,6),"")</f>
        <v/>
      </c>
      <c r="H25" s="398" t="inlineStr"/>
    </row>
    <row r="26" ht="15.75" customHeight="1" thickBot="1">
      <c r="A26" s="376">
        <f>IFERROR(INDEX($AZ$23#,ROW()-23+1,1),"")</f>
        <v/>
      </c>
      <c r="B26" s="562" t="n"/>
      <c r="C26" s="563" t="n"/>
      <c r="D26" s="378">
        <f>IFERROR(INDEX($AZ$23#,ROW()-23+1,2),"")</f>
        <v/>
      </c>
      <c r="E26" s="563" t="n"/>
      <c r="F26" s="377">
        <f>IFERROR(INDEX($AZ$23#,ROW()-23+1,3),"")</f>
        <v/>
      </c>
      <c r="G26" s="378">
        <f>IFERROR(INDEX($AZ$23#,ROW()-23+1,6),"")</f>
        <v/>
      </c>
      <c r="H26" s="399" t="inlineStr"/>
    </row>
    <row r="27" ht="15.75" customHeight="1" thickBot="1"/>
    <row r="28" ht="24" customHeight="1" thickBot="1">
      <c r="A28" s="581" t="inlineStr">
        <is>
          <t>MTB - SR | 500-2608</t>
        </is>
      </c>
      <c r="B28" s="551" t="n"/>
      <c r="C28" s="551" t="n"/>
      <c r="D28" s="551" t="n"/>
      <c r="E28" s="551" t="n"/>
      <c r="F28" s="551" t="n"/>
      <c r="G28" s="551" t="n"/>
      <c r="H28" s="552" t="n"/>
      <c r="J28" s="55" t="n"/>
    </row>
    <row r="29" ht="32.25" customHeight="1" thickBot="1">
      <c r="A29" s="586" t="inlineStr">
        <is>
          <t>P/N 500-2608 MTB SR (exp 4 mån)
500-2608, IPT BULK REAGENT, SAMPLE TREATMENT, MTB</t>
        </is>
      </c>
      <c r="B29" s="551" t="n"/>
      <c r="C29" s="551" t="n"/>
      <c r="D29" s="551" t="n"/>
      <c r="E29" s="551" t="n"/>
      <c r="F29" s="551" t="n"/>
      <c r="G29" s="551" t="n"/>
      <c r="H29" s="552" t="n"/>
    </row>
    <row r="30" ht="15" customHeight="1" thickBot="1">
      <c r="A30" s="424" t="inlineStr">
        <is>
          <t>Lotnummer</t>
        </is>
      </c>
      <c r="B30" s="551" t="n"/>
      <c r="C30" s="574" t="n"/>
      <c r="D30" s="426" t="inlineStr">
        <is>
          <t>Utgångsdatum</t>
        </is>
      </c>
      <c r="E30" s="574" t="n"/>
      <c r="F30" s="45" t="inlineStr">
        <is>
          <t>Volym, L</t>
        </is>
      </c>
      <c r="G30" s="77" t="inlineStr">
        <is>
          <t>Senast inventering</t>
        </is>
      </c>
      <c r="H30" s="47" t="inlineStr">
        <is>
          <t>SIGN</t>
        </is>
      </c>
    </row>
    <row r="31" ht="15.75" customHeight="1">
      <c r="A31" s="357">
        <f>IFERROR(INDEX($AZ$31#,ROW()-31+1,1),"")</f>
        <v/>
      </c>
      <c r="B31" s="558" t="n"/>
      <c r="C31" s="559" t="n"/>
      <c r="D31" s="359">
        <f>IFERROR(INDEX($AZ$31#,ROW()-31+1,2),"")</f>
        <v/>
      </c>
      <c r="E31" s="559" t="n"/>
      <c r="F31" s="359">
        <f>IFERROR(INDEX($AZ$31#,ROW()-31+1,3),"")</f>
        <v/>
      </c>
      <c r="G31" s="359">
        <f>IFERROR(INDEX($AZ$31#,ROW()-31+1,6),"")</f>
        <v/>
      </c>
      <c r="H31" s="397" t="inlineStr"/>
      <c r="AZ31">
        <f>LET(pn,$B$31,f,FILTER(tblLots[[LotNumber]:[LatestInventory]],(tblLots[PN]=pn)*(tblLots[IsActive]=TRUE),""),s,IFERROR(SORTBY(f,INDEX(f,,2),1,INDEX(f,,6),-1),""),IFERROR(INDEX(s,SEQUENCE(4),SEQUENCE(,6)),""))</f>
        <v/>
      </c>
    </row>
    <row r="32">
      <c r="A32" s="373">
        <f>IFERROR(INDEX($AZ$31#,ROW()-31+1,1),"")</f>
        <v/>
      </c>
      <c r="B32" s="560" t="n"/>
      <c r="C32" s="561" t="n"/>
      <c r="D32" s="375">
        <f>IFERROR(INDEX($AZ$31#,ROW()-31+1,2),"")</f>
        <v/>
      </c>
      <c r="E32" s="561" t="n"/>
      <c r="F32" s="429">
        <f>IFERROR(INDEX($AZ$31#,ROW()-31+1,3),"")</f>
        <v/>
      </c>
      <c r="G32" s="429">
        <f>IFERROR(INDEX($AZ$31#,ROW()-31+1,6),"")</f>
        <v/>
      </c>
      <c r="H32" s="37" t="inlineStr"/>
    </row>
    <row r="33" ht="15.75" customHeight="1">
      <c r="A33" s="373">
        <f>IFERROR(INDEX($AZ$31#,ROW()-31+1,1),"")</f>
        <v/>
      </c>
      <c r="B33" s="560" t="n"/>
      <c r="C33" s="561" t="n"/>
      <c r="D33" s="375">
        <f>IFERROR(INDEX($AZ$31#,ROW()-31+1,2),"")</f>
        <v/>
      </c>
      <c r="E33" s="561" t="n"/>
      <c r="F33" s="429">
        <f>IFERROR(INDEX($AZ$31#,ROW()-31+1,3),"")</f>
        <v/>
      </c>
      <c r="G33" s="429">
        <f>IFERROR(INDEX($AZ$31#,ROW()-31+1,6),"")</f>
        <v/>
      </c>
      <c r="H33" s="37" t="inlineStr"/>
    </row>
    <row r="34" ht="15.75" customHeight="1" thickBot="1">
      <c r="A34" s="376">
        <f>IFERROR(INDEX($AZ$31#,ROW()-31+1,1),"")</f>
        <v/>
      </c>
      <c r="B34" s="562" t="n"/>
      <c r="C34" s="563" t="n"/>
      <c r="D34" s="378">
        <f>IFERROR(INDEX($AZ$31#,ROW()-31+1,2),"")</f>
        <v/>
      </c>
      <c r="E34" s="563" t="n"/>
      <c r="F34" s="423">
        <f>IFERROR(INDEX($AZ$31#,ROW()-31+1,3),"")</f>
        <v/>
      </c>
      <c r="G34" s="423">
        <f>IFERROR(INDEX($AZ$31#,ROW()-31+1,6),"")</f>
        <v/>
      </c>
      <c r="H34" s="44" t="inlineStr"/>
    </row>
  </sheetData>
  <sheetProtection selectLockedCells="0" selectUnlockedCells="0" algorithmName="SHA-512" sheet="1" objects="0" insertRows="0" insertHyperlinks="0" autoFilter="0" scenarios="0" formatColumns="0" deleteColumns="0" insertColumns="0" pivotTables="0" deleteRows="0" formatCells="0" saltValue="9uSj/KuJJPloOG8oDhuoMg==" formatRows="0" sort="0" spinCount="100000" hashValue="BxjwCloFmTHEoH7Zwa6KsqeokpvY7Pu3b6DVxZ91FNFSc1xWO9z0cJ6Rv3/eYotFunBaPmCiBZVgK11yLcGaiw=="/>
  <mergeCells count="31">
    <mergeCell ref="A25:C25"/>
    <mergeCell ref="D34:E34"/>
    <mergeCell ref="D22:E22"/>
    <mergeCell ref="D31:E31"/>
    <mergeCell ref="E5:E8"/>
    <mergeCell ref="A26:C26"/>
    <mergeCell ref="E10:E13"/>
    <mergeCell ref="A33:C33"/>
    <mergeCell ref="A23:C23"/>
    <mergeCell ref="A32:C32"/>
    <mergeCell ref="A22:C22"/>
    <mergeCell ref="D32:E32"/>
    <mergeCell ref="E15:E18"/>
    <mergeCell ref="B10:B13"/>
    <mergeCell ref="A21:H21"/>
    <mergeCell ref="A31:C31"/>
    <mergeCell ref="A2:H2"/>
    <mergeCell ref="A30:C30"/>
    <mergeCell ref="B15:B18"/>
    <mergeCell ref="A34:C34"/>
    <mergeCell ref="A24:C24"/>
    <mergeCell ref="D25:E25"/>
    <mergeCell ref="B5:B8"/>
    <mergeCell ref="D30:E30"/>
    <mergeCell ref="A29:H29"/>
    <mergeCell ref="D24:E24"/>
    <mergeCell ref="D33:E33"/>
    <mergeCell ref="A20:H20"/>
    <mergeCell ref="D23:E23"/>
    <mergeCell ref="A28:H28"/>
    <mergeCell ref="D26:E26"/>
  </mergeCells>
  <pageMargins left="0.7" right="0.7" top="0.75" bottom="0.75" header="0.3" footer="0.3"/>
  <pageSetup orientation="portrait" paperSize="9" verticalDpi="0"/>
</worksheet>
</file>

<file path=xl/worksheets/sheet9.xml><?xml version="1.0" encoding="utf-8"?>
<worksheet xmlns="http://schemas.openxmlformats.org/spreadsheetml/2006/main">
  <sheetPr codeName="Sheet7">
    <tabColor rgb="FFCC6600"/>
    <outlinePr summaryBelow="1" summaryRight="1"/>
    <pageSetUpPr/>
  </sheetPr>
  <dimension ref="A1:AZ31"/>
  <sheetViews>
    <sheetView workbookViewId="0">
      <selection activeCell="A1" sqref="A1"/>
    </sheetView>
  </sheetViews>
  <sheetFormatPr baseColWidth="8" defaultRowHeight="15"/>
  <cols>
    <col width="9.7109375" bestFit="1" customWidth="1" min="1" max="1"/>
    <col hidden="1" width="16.7109375" bestFit="1" customWidth="1" min="2" max="2"/>
    <col width="15.42578125" customWidth="1" min="3" max="3"/>
    <col width="14.7109375" customWidth="1" min="4" max="4"/>
    <col width="14.5703125" bestFit="1" customWidth="1" min="5" max="5"/>
    <col width="14.5703125" customWidth="1" min="6" max="6"/>
    <col width="17.85546875" bestFit="1" customWidth="1" min="7" max="7"/>
    <col width="8.5703125" customWidth="1" min="8" max="8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15.75" customHeight="1" thickBot="1"/>
    <row r="2" ht="24" customHeight="1" thickBot="1">
      <c r="A2" s="588" t="inlineStr">
        <is>
          <t>MTB XDR</t>
        </is>
      </c>
      <c r="B2" s="551" t="n"/>
      <c r="C2" s="551" t="n"/>
      <c r="D2" s="551" t="n"/>
      <c r="E2" s="551" t="n"/>
      <c r="F2" s="551" t="n"/>
      <c r="G2" s="551" t="n"/>
      <c r="H2" s="552" t="n"/>
    </row>
    <row r="3" ht="15.75" customHeight="1" thickBot="1">
      <c r="A3" s="34" t="n"/>
      <c r="B3" s="35" t="n"/>
      <c r="C3" s="35" t="n"/>
      <c r="D3" s="36" t="n"/>
      <c r="E3" s="35" t="n"/>
      <c r="F3" s="35" t="n"/>
      <c r="G3" s="75" t="n"/>
    </row>
    <row r="4" ht="15.75" customHeight="1" thickBot="1">
      <c r="A4" s="88" t="inlineStr">
        <is>
          <t>P/N</t>
        </is>
      </c>
      <c r="B4" s="89" t="inlineStr">
        <is>
          <t>Artikel</t>
        </is>
      </c>
      <c r="C4" s="89" t="inlineStr">
        <is>
          <t>Lotnr.</t>
        </is>
      </c>
      <c r="D4" s="90" t="inlineStr">
        <is>
          <t>Utgångsdatum</t>
        </is>
      </c>
      <c r="E4" s="89" t="inlineStr">
        <is>
          <t>Förvaringsplats</t>
        </is>
      </c>
      <c r="F4" s="89" t="inlineStr">
        <is>
          <t>Antal i lager</t>
        </is>
      </c>
      <c r="G4" s="91" t="inlineStr">
        <is>
          <t>Senast inventering</t>
        </is>
      </c>
      <c r="H4" s="92" t="inlineStr">
        <is>
          <t>SIGN</t>
        </is>
      </c>
    </row>
    <row r="5">
      <c r="A5" s="357" t="inlineStr">
        <is>
          <t>325-00056</t>
        </is>
      </c>
      <c r="B5" s="459" t="inlineStr">
        <is>
          <t>MTB/XDR WT Cells</t>
        </is>
      </c>
      <c r="C5" s="358">
        <f>IFERROR(INDEX($AZ$5#,ROW()-5+1,1),"")</f>
        <v/>
      </c>
      <c r="D5" s="359">
        <f>IFERROR(INDEX($AZ$5#,ROW()-5+1,2),"")</f>
        <v/>
      </c>
      <c r="E5" s="358">
        <f>IFERROR(INDEX($AZ$5#,ROW()-5+1,5),"")</f>
        <v/>
      </c>
      <c r="F5" s="51">
        <f>IFERROR(INDEX($AZ$5#,ROW()-5+1,3),"")</f>
        <v/>
      </c>
      <c r="G5" s="359">
        <f>IFERROR(INDEX($AZ$5#,ROW()-5+1,6),"")</f>
        <v/>
      </c>
      <c r="H5" s="397" t="inlineStr"/>
      <c r="AZ5">
        <f>LET(pn,$A$5,f,FILTER(tblLots[[LotNumber]:[LatestInventory]],(tblLots[PN]=pn)*(tblLots[IsActive]=TRUE),""),s,IFERROR(SORTBY(f,INDEX(f,,2),1,INDEX(f,,6),-1),""),IFERROR(INDEX(s,SEQUENCE(4),SEQUENCE(,6)),""))</f>
        <v/>
      </c>
    </row>
    <row r="6">
      <c r="A6" s="373">
        <f>A$5</f>
        <v/>
      </c>
      <c r="B6" s="579" t="n"/>
      <c r="C6" s="374">
        <f>IFERROR(INDEX($AZ$5#,ROW()-5+1,1),"")</f>
        <v/>
      </c>
      <c r="D6" s="375">
        <f>IFERROR(INDEX($AZ$5#,ROW()-5+1,2),"")</f>
        <v/>
      </c>
      <c r="E6" s="579" t="n"/>
      <c r="F6" s="53">
        <f>IFERROR(INDEX($AZ$5#,ROW()-5+1,3),"")</f>
        <v/>
      </c>
      <c r="G6" s="375">
        <f>IFERROR(INDEX($AZ$5#,ROW()-5+1,6),"")</f>
        <v/>
      </c>
      <c r="H6" s="398" t="inlineStr"/>
    </row>
    <row r="7">
      <c r="A7" s="373">
        <f>A$5</f>
        <v/>
      </c>
      <c r="B7" s="579" t="n"/>
      <c r="C7" s="374">
        <f>IFERROR(INDEX($AZ$5#,ROW()-5+1,1),"")</f>
        <v/>
      </c>
      <c r="D7" s="375">
        <f>IFERROR(INDEX($AZ$5#,ROW()-5+1,2),"")</f>
        <v/>
      </c>
      <c r="E7" s="579" t="n"/>
      <c r="F7" s="53">
        <f>IFERROR(INDEX($AZ$5#,ROW()-5+1,3),"")</f>
        <v/>
      </c>
      <c r="G7" s="375">
        <f>IFERROR(INDEX($AZ$5#,ROW()-5+1,6),"")</f>
        <v/>
      </c>
      <c r="H7" s="398" t="inlineStr"/>
    </row>
    <row r="8" ht="15.75" customHeight="1" thickBot="1">
      <c r="A8" s="376">
        <f>A$5</f>
        <v/>
      </c>
      <c r="B8" s="580" t="n"/>
      <c r="C8" s="377">
        <f>IFERROR(INDEX($AZ$5#,ROW()-5+1,1),"")</f>
        <v/>
      </c>
      <c r="D8" s="378">
        <f>IFERROR(INDEX($AZ$5#,ROW()-5+1,2),"")</f>
        <v/>
      </c>
      <c r="E8" s="580" t="n"/>
      <c r="F8" s="54">
        <f>IFERROR(INDEX($AZ$5#,ROW()-5+1,3),"")</f>
        <v/>
      </c>
      <c r="G8" s="378">
        <f>IFERROR(INDEX($AZ$5#,ROW()-5+1,6),"")</f>
        <v/>
      </c>
      <c r="H8" s="399" t="inlineStr"/>
    </row>
    <row r="9" ht="15.75" customHeight="1" thickBot="1">
      <c r="A9" s="93" t="inlineStr">
        <is>
          <t>P/N</t>
        </is>
      </c>
      <c r="B9" s="94" t="inlineStr">
        <is>
          <t>Artikel</t>
        </is>
      </c>
      <c r="C9" s="94" t="inlineStr">
        <is>
          <t>Lotnr.</t>
        </is>
      </c>
      <c r="D9" s="95" t="inlineStr">
        <is>
          <t>Utgångsdatum</t>
        </is>
      </c>
      <c r="E9" s="94" t="inlineStr">
        <is>
          <t>Förvaringsplats</t>
        </is>
      </c>
      <c r="F9" s="94" t="inlineStr">
        <is>
          <t>Antal i lager</t>
        </is>
      </c>
      <c r="G9" s="96" t="inlineStr">
        <is>
          <t>Senast inventering</t>
        </is>
      </c>
      <c r="H9" s="97" t="inlineStr">
        <is>
          <t>SIGN</t>
        </is>
      </c>
    </row>
    <row r="10">
      <c r="A10" s="357" t="inlineStr">
        <is>
          <t>325-00057</t>
        </is>
      </c>
      <c r="B10" s="589" t="inlineStr">
        <is>
          <t>MTB/XDR Mutant Cells</t>
        </is>
      </c>
      <c r="C10" s="358">
        <f>IFERROR(INDEX($AZ$10#,ROW()-10+1,1),"")</f>
        <v/>
      </c>
      <c r="D10" s="359">
        <f>IFERROR(INDEX($AZ$10#,ROW()-10+1,2),"")</f>
        <v/>
      </c>
      <c r="E10" s="358">
        <f>IFERROR(INDEX($AZ$10#,ROW()-10+1,5),"")</f>
        <v/>
      </c>
      <c r="F10" s="358">
        <f>IFERROR(INDEX($AZ$10#,ROW()-10+1,3),"")</f>
        <v/>
      </c>
      <c r="G10" s="359">
        <f>IFERROR(INDEX($AZ$10#,ROW()-10+1,6),"")</f>
        <v/>
      </c>
      <c r="H10" s="397" t="inlineStr"/>
      <c r="AZ10">
        <f>LET(pn,$A$10,f,FILTER(tblLots[[LotNumber]:[LatestInventory]],(tblLots[PN]=pn)*(tblLots[IsActive]=TRUE),""),s,IFERROR(SORTBY(f,INDEX(f,,2),1,INDEX(f,,6),-1),""),IFERROR(INDEX(s,SEQUENCE(4),SEQUENCE(,6)),""))</f>
        <v/>
      </c>
    </row>
    <row r="11">
      <c r="A11" s="373">
        <f>A$10</f>
        <v/>
      </c>
      <c r="B11" s="590" t="n"/>
      <c r="C11" s="374">
        <f>IFERROR(INDEX($AZ$10#,ROW()-10+1,1),"")</f>
        <v/>
      </c>
      <c r="D11" s="375">
        <f>IFERROR(INDEX($AZ$10#,ROW()-10+1,2),"")</f>
        <v/>
      </c>
      <c r="E11" s="579" t="n"/>
      <c r="F11" s="374">
        <f>IFERROR(INDEX($AZ$10#,ROW()-10+1,3),"")</f>
        <v/>
      </c>
      <c r="G11" s="375">
        <f>IFERROR(INDEX($AZ$10#,ROW()-10+1,6),"")</f>
        <v/>
      </c>
      <c r="H11" s="398" t="inlineStr"/>
    </row>
    <row r="12">
      <c r="A12" s="373">
        <f>A$10</f>
        <v/>
      </c>
      <c r="B12" s="590" t="n"/>
      <c r="C12" s="374">
        <f>IFERROR(INDEX($AZ$10#,ROW()-10+1,1),"")</f>
        <v/>
      </c>
      <c r="D12" s="375">
        <f>IFERROR(INDEX($AZ$10#,ROW()-10+1,2),"")</f>
        <v/>
      </c>
      <c r="E12" s="579" t="n"/>
      <c r="F12" s="374">
        <f>IFERROR(INDEX($AZ$10#,ROW()-10+1,3),"")</f>
        <v/>
      </c>
      <c r="G12" s="375">
        <f>IFERROR(INDEX($AZ$10#,ROW()-10+1,6),"")</f>
        <v/>
      </c>
      <c r="H12" s="398" t="inlineStr"/>
    </row>
    <row r="13" ht="15.75" customHeight="1" thickBot="1">
      <c r="A13" s="376">
        <f>A$10</f>
        <v/>
      </c>
      <c r="B13" s="591" t="n"/>
      <c r="C13" s="377">
        <f>IFERROR(INDEX($AZ$10#,ROW()-10+1,1),"")</f>
        <v/>
      </c>
      <c r="D13" s="378">
        <f>IFERROR(INDEX($AZ$10#,ROW()-10+1,2),"")</f>
        <v/>
      </c>
      <c r="E13" s="580" t="n"/>
      <c r="F13" s="377">
        <f>IFERROR(INDEX($AZ$10#,ROW()-10+1,3),"")</f>
        <v/>
      </c>
      <c r="G13" s="378">
        <f>IFERROR(INDEX($AZ$10#,ROW()-10+1,6),"")</f>
        <v/>
      </c>
      <c r="H13" s="399" t="inlineStr"/>
    </row>
    <row r="14" ht="15.75" customHeight="1" thickBot="1"/>
    <row r="15" ht="24" customHeight="1" thickBot="1">
      <c r="A15" s="581" t="inlineStr">
        <is>
          <t>MTB - TET | 500-0995</t>
        </is>
      </c>
      <c r="B15" s="551" t="n"/>
      <c r="C15" s="551" t="n"/>
      <c r="D15" s="551" t="n"/>
      <c r="E15" s="551" t="n"/>
      <c r="F15" s="551" t="n"/>
      <c r="G15" s="551" t="n"/>
      <c r="H15" s="552" t="n"/>
    </row>
    <row r="16" ht="35.25" customHeight="1" thickBot="1">
      <c r="A16" s="554" t="inlineStr">
        <is>
          <t>P/N 500-0995 MTB TET Buffer (exp 6 mån)
500-0995, BUFFER, TET, 50_0.1_0.1</t>
        </is>
      </c>
      <c r="B16" s="555" t="n"/>
      <c r="C16" s="555" t="n"/>
      <c r="D16" s="555" t="n"/>
      <c r="E16" s="555" t="n"/>
      <c r="F16" s="555" t="n"/>
      <c r="G16" s="555" t="n"/>
      <c r="H16" s="556" t="n"/>
    </row>
    <row r="17" ht="15.75" customHeight="1" thickBot="1">
      <c r="A17" s="366" t="inlineStr">
        <is>
          <t>Lotnummer</t>
        </is>
      </c>
      <c r="B17" s="555" t="n"/>
      <c r="C17" s="557" t="n"/>
      <c r="D17" s="369" t="inlineStr">
        <is>
          <t>Utgångsdatum</t>
        </is>
      </c>
      <c r="E17" s="557" t="n"/>
      <c r="F17" s="56" t="inlineStr">
        <is>
          <t>Volym, L</t>
        </is>
      </c>
      <c r="G17" s="369" t="inlineStr">
        <is>
          <t>Senast inventering</t>
        </is>
      </c>
      <c r="H17" s="58" t="inlineStr">
        <is>
          <t>SIGN</t>
        </is>
      </c>
    </row>
    <row r="18" ht="15.75" customHeight="1">
      <c r="A18" s="357">
        <f>IFERROR(INDEX($AZ$18#,ROW()-18+1,1),"")</f>
        <v/>
      </c>
      <c r="B18" s="558" t="n"/>
      <c r="C18" s="559" t="n"/>
      <c r="D18" s="359">
        <f>IFERROR(INDEX($AZ$18#,ROW()-18+1,2),"")</f>
        <v/>
      </c>
      <c r="E18" s="559" t="n"/>
      <c r="F18" s="358">
        <f>IFERROR(INDEX($AZ$18#,ROW()-18+1,3),"")</f>
        <v/>
      </c>
      <c r="G18" s="359">
        <f>IFERROR(INDEX($AZ$18#,ROW()-18+1,6),"")</f>
        <v/>
      </c>
      <c r="H18" s="397" t="inlineStr"/>
      <c r="AZ18">
        <f>LET(pn,$B$18,f,FILTER(tblLots[[LotNumber]:[LatestInventory]],(tblLots[PN]=pn)*(tblLots[IsActive]=TRUE),""),s,IFERROR(SORTBY(f,INDEX(f,,2),1,INDEX(f,,6),-1),""),IFERROR(INDEX(s,SEQUENCE(4),SEQUENCE(,6)),""))</f>
        <v/>
      </c>
    </row>
    <row r="19" ht="15.75" customHeight="1">
      <c r="A19" s="373">
        <f>IFERROR(INDEX($AZ$18#,ROW()-18+1,1),"")</f>
        <v/>
      </c>
      <c r="B19" s="560" t="n"/>
      <c r="C19" s="561" t="n"/>
      <c r="D19" s="375">
        <f>IFERROR(INDEX($AZ$18#,ROW()-18+1,2),"")</f>
        <v/>
      </c>
      <c r="E19" s="561" t="n"/>
      <c r="F19" s="374">
        <f>IFERROR(INDEX($AZ$18#,ROW()-18+1,3),"")</f>
        <v/>
      </c>
      <c r="G19" s="375">
        <f>IFERROR(INDEX($AZ$18#,ROW()-18+1,6),"")</f>
        <v/>
      </c>
      <c r="H19" s="398" t="inlineStr"/>
    </row>
    <row r="20" ht="15.75" customHeight="1">
      <c r="A20" s="373">
        <f>IFERROR(INDEX($AZ$18#,ROW()-18+1,1),"")</f>
        <v/>
      </c>
      <c r="B20" s="560" t="n"/>
      <c r="C20" s="561" t="n"/>
      <c r="D20" s="375">
        <f>IFERROR(INDEX($AZ$18#,ROW()-18+1,2),"")</f>
        <v/>
      </c>
      <c r="E20" s="561" t="n"/>
      <c r="F20" s="374">
        <f>IFERROR(INDEX($AZ$18#,ROW()-18+1,3),"")</f>
        <v/>
      </c>
      <c r="G20" s="375">
        <f>IFERROR(INDEX($AZ$18#,ROW()-18+1,6),"")</f>
        <v/>
      </c>
      <c r="H20" s="398" t="inlineStr"/>
    </row>
    <row r="21" ht="15.75" customHeight="1" thickBot="1">
      <c r="A21" s="376">
        <f>IFERROR(INDEX($AZ$18#,ROW()-18+1,1),"")</f>
        <v/>
      </c>
      <c r="B21" s="562" t="n"/>
      <c r="C21" s="563" t="n"/>
      <c r="D21" s="378">
        <f>IFERROR(INDEX($AZ$18#,ROW()-18+1,2),"")</f>
        <v/>
      </c>
      <c r="E21" s="563" t="n"/>
      <c r="F21" s="377">
        <f>IFERROR(INDEX($AZ$18#,ROW()-18+1,3),"")</f>
        <v/>
      </c>
      <c r="G21" s="378">
        <f>IFERROR(INDEX($AZ$18#,ROW()-18+1,6),"")</f>
        <v/>
      </c>
      <c r="H21" s="399" t="inlineStr"/>
    </row>
    <row r="22" ht="15.75" customHeight="1" thickBot="1"/>
    <row r="23" ht="24" customHeight="1">
      <c r="A23" s="581" t="inlineStr">
        <is>
          <t>MTB - SR | 500-2608</t>
        </is>
      </c>
      <c r="B23" s="555" t="n"/>
      <c r="C23" s="555" t="n"/>
      <c r="D23" s="555" t="n"/>
      <c r="E23" s="555" t="n"/>
      <c r="F23" s="555" t="n"/>
      <c r="G23" s="555" t="n"/>
      <c r="H23" s="556" t="n"/>
    </row>
    <row r="24" ht="5.25" customHeight="1" thickBot="1">
      <c r="A24" s="569" t="n"/>
      <c r="H24" s="592" t="n"/>
    </row>
    <row r="25" hidden="1" ht="15.75" customHeight="1" thickBot="1">
      <c r="A25" s="593" t="n"/>
      <c r="B25" s="583" t="n"/>
      <c r="C25" s="583" t="n"/>
      <c r="D25" s="583" t="n"/>
      <c r="E25" s="583" t="n"/>
      <c r="F25" s="583" t="n"/>
      <c r="G25" s="583" t="n"/>
      <c r="H25" s="594" t="n"/>
    </row>
    <row r="26" ht="15.75" customHeight="1" thickBot="1">
      <c r="A26" s="582" t="inlineStr">
        <is>
          <t>P/N 500-2608 MTB SR (exp 4 mån)
500-2608, IPT BULK REAGENT, SAMPLE TREATMENT, MTB</t>
        </is>
      </c>
      <c r="B26" s="555" t="n"/>
      <c r="C26" s="555" t="n"/>
      <c r="D26" s="555" t="n"/>
      <c r="E26" s="555" t="n"/>
      <c r="F26" s="555" t="n"/>
      <c r="G26" s="555" t="n"/>
      <c r="H26" s="556" t="n"/>
    </row>
    <row r="27" ht="15.75" customHeight="1" thickBot="1">
      <c r="A27" s="366" t="inlineStr">
        <is>
          <t>Lotnummer</t>
        </is>
      </c>
      <c r="B27" s="555" t="n"/>
      <c r="C27" s="557" t="n"/>
      <c r="D27" s="369" t="inlineStr">
        <is>
          <t>Utgångsdatum</t>
        </is>
      </c>
      <c r="E27" s="557" t="n"/>
      <c r="F27" s="56" t="inlineStr">
        <is>
          <t>Volym, L</t>
        </is>
      </c>
      <c r="G27" s="369" t="inlineStr">
        <is>
          <t>Senast inventering</t>
        </is>
      </c>
      <c r="H27" s="58" t="inlineStr">
        <is>
          <t>SIGN</t>
        </is>
      </c>
    </row>
    <row r="28">
      <c r="A28" s="357">
        <f>IFERROR(INDEX($AZ$28#,ROW()-28+1,1),"")</f>
        <v/>
      </c>
      <c r="B28" s="558" t="n"/>
      <c r="C28" s="559" t="n"/>
      <c r="D28" s="359">
        <f>IFERROR(INDEX($AZ$28#,ROW()-28+1,2),"")</f>
        <v/>
      </c>
      <c r="E28" s="559" t="n"/>
      <c r="F28" s="359">
        <f>IFERROR(INDEX($AZ$28#,ROW()-28+1,3),"")</f>
        <v/>
      </c>
      <c r="G28" s="359">
        <f>IFERROR(INDEX($AZ$28#,ROW()-28+1,6),"")</f>
        <v/>
      </c>
      <c r="H28" s="397" t="inlineStr"/>
      <c r="AZ28">
        <f>LET(pn,$B$28,f,FILTER(tblLots[[LotNumber]:[LatestInventory]],(tblLots[PN]=pn)*(tblLots[IsActive]=TRUE),""),s,IFERROR(SORTBY(f,INDEX(f,,2),1,INDEX(f,,6),-1),""),IFERROR(INDEX(s,SEQUENCE(4),SEQUENCE(,6)),""))</f>
        <v/>
      </c>
    </row>
    <row r="29">
      <c r="A29" s="373">
        <f>IFERROR(INDEX($AZ$28#,ROW()-28+1,1),"")</f>
        <v/>
      </c>
      <c r="B29" s="560" t="n"/>
      <c r="C29" s="561" t="n"/>
      <c r="D29" s="375">
        <f>IFERROR(INDEX($AZ$28#,ROW()-28+1,2),"")</f>
        <v/>
      </c>
      <c r="E29" s="561" t="n"/>
      <c r="F29" s="375">
        <f>IFERROR(INDEX($AZ$28#,ROW()-28+1,3),"")</f>
        <v/>
      </c>
      <c r="G29" s="375">
        <f>IFERROR(INDEX($AZ$28#,ROW()-28+1,6),"")</f>
        <v/>
      </c>
      <c r="H29" s="398" t="inlineStr"/>
    </row>
    <row r="30">
      <c r="A30" s="373">
        <f>IFERROR(INDEX($AZ$28#,ROW()-28+1,1),"")</f>
        <v/>
      </c>
      <c r="B30" s="560" t="n"/>
      <c r="C30" s="561" t="n"/>
      <c r="D30" s="375">
        <f>IFERROR(INDEX($AZ$28#,ROW()-28+1,2),"")</f>
        <v/>
      </c>
      <c r="E30" s="561" t="n"/>
      <c r="F30" s="375">
        <f>IFERROR(INDEX($AZ$28#,ROW()-28+1,3),"")</f>
        <v/>
      </c>
      <c r="G30" s="375">
        <f>IFERROR(INDEX($AZ$28#,ROW()-28+1,6),"")</f>
        <v/>
      </c>
      <c r="H30" s="398" t="inlineStr"/>
    </row>
    <row r="31" ht="15.75" customHeight="1" thickBot="1">
      <c r="A31" s="376">
        <f>IFERROR(INDEX($AZ$28#,ROW()-28+1,1),"")</f>
        <v/>
      </c>
      <c r="B31" s="562" t="n"/>
      <c r="C31" s="563" t="n"/>
      <c r="D31" s="378">
        <f>IFERROR(INDEX($AZ$28#,ROW()-28+1,2),"")</f>
        <v/>
      </c>
      <c r="E31" s="563" t="n"/>
      <c r="F31" s="378">
        <f>IFERROR(INDEX($AZ$28#,ROW()-28+1,3),"")</f>
        <v/>
      </c>
      <c r="G31" s="378">
        <f>IFERROR(INDEX($AZ$28#,ROW()-28+1,6),"")</f>
        <v/>
      </c>
      <c r="H31" s="399" t="inlineStr"/>
    </row>
  </sheetData>
  <sheetProtection selectLockedCells="0" selectUnlockedCells="0" algorithmName="SHA-512" sheet="1" objects="0" insertRows="0" insertHyperlinks="0" autoFilter="0" scenarios="0" formatColumns="0" deleteColumns="0" insertColumns="0" pivotTables="0" deleteRows="0" formatCells="0" saltValue="ilyw3dvJMROdey9bPpzaFQ==" formatRows="0" sort="0" spinCount="100000" hashValue="Pla4qGtTu53bOUfO5y2l1+Gza9cD3wmAU3tK/QBUXpjSps/HGHnoyIw8VvDC/Eag9c2JSj0eMeQMIb7puEiRhA=="/>
  <mergeCells count="29">
    <mergeCell ref="D20:E20"/>
    <mergeCell ref="A15:H15"/>
    <mergeCell ref="D19:E19"/>
    <mergeCell ref="A18:C18"/>
    <mergeCell ref="A27:C27"/>
    <mergeCell ref="A21:C21"/>
    <mergeCell ref="D31:E31"/>
    <mergeCell ref="E5:E8"/>
    <mergeCell ref="E10:E13"/>
    <mergeCell ref="D21:E21"/>
    <mergeCell ref="A16:H16"/>
    <mergeCell ref="D27:E27"/>
    <mergeCell ref="A17:C17"/>
    <mergeCell ref="A29:C29"/>
    <mergeCell ref="D17:E17"/>
    <mergeCell ref="A20:C20"/>
    <mergeCell ref="B10:B13"/>
    <mergeCell ref="A28:C28"/>
    <mergeCell ref="A26:H26"/>
    <mergeCell ref="A19:C19"/>
    <mergeCell ref="A2:H2"/>
    <mergeCell ref="A31:C31"/>
    <mergeCell ref="D28:E28"/>
    <mergeCell ref="A30:C30"/>
    <mergeCell ref="D18:E18"/>
    <mergeCell ref="B5:B8"/>
    <mergeCell ref="D30:E30"/>
    <mergeCell ref="D29:E29"/>
    <mergeCell ref="A23:H25"/>
  </mergeCells>
  <pageMargins left="0.7" right="0.7" top="0.75" bottom="0.75" header="0.3" footer="0.3"/>
  <pageSetup orientation="portrait" paperSize="9" verticalDpi="0"/>
</worksheet>
</file>

<file path=xl/worksheets/sheet10.xml><?xml version="1.0" encoding="utf-8"?>
<worksheet xmlns="http://schemas.openxmlformats.org/spreadsheetml/2006/main">
  <sheetPr codeName="Sheet8">
    <tabColor rgb="FFCC0099"/>
    <outlinePr summaryBelow="1" summaryRight="1"/>
    <pageSetUpPr/>
  </sheetPr>
  <dimension ref="A1:AZ35"/>
  <sheetViews>
    <sheetView zoomScaleNormal="100" workbookViewId="0">
      <selection activeCell="A1" sqref="A1"/>
    </sheetView>
  </sheetViews>
  <sheetFormatPr baseColWidth="8" defaultRowHeight="15"/>
  <cols>
    <col width="12.85546875" customWidth="1" min="1" max="1"/>
    <col width="16.7109375" bestFit="1" customWidth="1" min="2" max="2"/>
    <col width="15.28515625" customWidth="1" min="3" max="3"/>
    <col width="14" bestFit="1" customWidth="1" style="75" min="4" max="4"/>
    <col width="14.5703125" bestFit="1" customWidth="1" min="5" max="5"/>
    <col width="15.5703125" customWidth="1" min="6" max="6"/>
    <col width="18.85546875" customWidth="1" style="75" min="7" max="7"/>
    <col width="12.140625" bestFit="1" customWidth="1" min="8" max="8"/>
    <col width="10.140625" bestFit="1" customWidth="1" min="9" max="9"/>
    <col width="8.28515625" bestFit="1" customWidth="1" min="10" max="10"/>
    <col width="12.140625" bestFit="1" customWidth="1" min="11" max="11"/>
    <col width="10.140625" bestFit="1" customWidth="1" min="12" max="12"/>
    <col width="8.5703125" bestFit="1" customWidth="1" min="13" max="13"/>
    <col width="7.42578125" bestFit="1" customWidth="1" min="14" max="14"/>
    <col width="10.140625" bestFit="1" customWidth="1" min="15" max="15"/>
    <col width="8.5703125" bestFit="1" customWidth="1" min="16" max="16"/>
    <col width="7.42578125" bestFit="1" customWidth="1" min="17" max="17"/>
    <col width="10.140625" bestFit="1" customWidth="1" min="18" max="18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15.75" customHeight="1" thickBot="1"/>
    <row r="2" ht="24" customHeight="1" thickBot="1">
      <c r="A2" s="595" t="inlineStr">
        <is>
          <t>FLUVID / FLUVID+</t>
        </is>
      </c>
      <c r="B2" s="551" t="n"/>
      <c r="C2" s="551" t="n"/>
      <c r="D2" s="551" t="n"/>
      <c r="E2" s="551" t="n"/>
      <c r="F2" s="551" t="n"/>
      <c r="G2" s="551" t="n"/>
      <c r="H2" s="552" t="n"/>
    </row>
    <row r="3" ht="15.75" customHeight="1" thickBot="1">
      <c r="A3" s="34" t="n"/>
      <c r="B3" s="35" t="n"/>
      <c r="C3" s="35" t="n"/>
      <c r="D3" s="36" t="n"/>
      <c r="E3" s="35" t="n"/>
      <c r="F3" s="35" t="n"/>
    </row>
    <row r="4" ht="15.75" customHeight="1" thickBot="1">
      <c r="A4" s="99" t="inlineStr">
        <is>
          <t>P/N</t>
        </is>
      </c>
      <c r="B4" s="100" t="inlineStr">
        <is>
          <t>Artikel</t>
        </is>
      </c>
      <c r="C4" s="100" t="inlineStr">
        <is>
          <t>Lotnr.</t>
        </is>
      </c>
      <c r="D4" s="101" t="inlineStr">
        <is>
          <t>Utgångsdatum</t>
        </is>
      </c>
      <c r="E4" s="100" t="inlineStr">
        <is>
          <t>Förvaringsplats</t>
        </is>
      </c>
      <c r="F4" s="100" t="inlineStr">
        <is>
          <t>Antal i lager</t>
        </is>
      </c>
      <c r="G4" s="102" t="inlineStr">
        <is>
          <t>Senast inventering</t>
        </is>
      </c>
      <c r="H4" s="103" t="inlineStr">
        <is>
          <t>SIGN</t>
        </is>
      </c>
    </row>
    <row r="5">
      <c r="A5" s="357" t="inlineStr">
        <is>
          <t>525-00097</t>
        </is>
      </c>
      <c r="B5" s="459" t="inlineStr">
        <is>
          <t>FluA Low control ALQT</t>
        </is>
      </c>
      <c r="C5" s="358">
        <f>IFERROR(INDEX($AZ$5#,ROW()-5+1,1),"")</f>
        <v/>
      </c>
      <c r="D5" s="359">
        <f>IFERROR(INDEX($AZ$5#,ROW()-5+1,2),"")</f>
        <v/>
      </c>
      <c r="E5" s="358">
        <f>IFERROR(INDEX($AZ$5#,ROW()-5+1,5),"")</f>
        <v/>
      </c>
      <c r="F5" s="51">
        <f>IFERROR(INDEX($AZ$5#,ROW()-5+1,3),"")</f>
        <v/>
      </c>
      <c r="G5" s="359">
        <f>IFERROR(INDEX($AZ$5#,ROW()-5+1,6),"")</f>
        <v/>
      </c>
      <c r="H5" s="397" t="inlineStr"/>
      <c r="AZ5">
        <f>LET(pn,$A$5,f,FILTER(tblLots[[LotNumber]:[LatestInventory]],(tblLots[PN]=pn)*(tblLots[IsActive]=TRUE),""),s,IFERROR(SORTBY(f,INDEX(f,,2),1,INDEX(f,,6),-1),""),IFERROR(INDEX(s,SEQUENCE(4),SEQUENCE(,6)),""))</f>
        <v/>
      </c>
    </row>
    <row r="6">
      <c r="A6" s="373">
        <f>A$5</f>
        <v/>
      </c>
      <c r="B6" s="579" t="n"/>
      <c r="C6" s="374">
        <f>IFERROR(INDEX($AZ$5#,ROW()-5+1,1),"")</f>
        <v/>
      </c>
      <c r="D6" s="375">
        <f>IFERROR(INDEX($AZ$5#,ROW()-5+1,2),"")</f>
        <v/>
      </c>
      <c r="E6" s="579" t="n"/>
      <c r="F6" s="53">
        <f>IFERROR(INDEX($AZ$5#,ROW()-5+1,3),"")</f>
        <v/>
      </c>
      <c r="G6" s="375">
        <f>IFERROR(INDEX($AZ$5#,ROW()-5+1,6),"")</f>
        <v/>
      </c>
      <c r="H6" s="398" t="inlineStr"/>
    </row>
    <row r="7">
      <c r="A7" s="373">
        <f>A$5</f>
        <v/>
      </c>
      <c r="B7" s="579" t="n"/>
      <c r="C7" s="374">
        <f>IFERROR(INDEX($AZ$5#,ROW()-5+1,1),"")</f>
        <v/>
      </c>
      <c r="D7" s="375">
        <f>IFERROR(INDEX($AZ$5#,ROW()-5+1,2),"")</f>
        <v/>
      </c>
      <c r="E7" s="579" t="n"/>
      <c r="F7" s="53">
        <f>IFERROR(INDEX($AZ$5#,ROW()-5+1,3),"")</f>
        <v/>
      </c>
      <c r="G7" s="375">
        <f>IFERROR(INDEX($AZ$5#,ROW()-5+1,6),"")</f>
        <v/>
      </c>
      <c r="H7" s="398" t="inlineStr"/>
    </row>
    <row r="8" ht="15.75" customHeight="1" thickBot="1">
      <c r="A8" s="376">
        <f>A$5</f>
        <v/>
      </c>
      <c r="B8" s="580" t="n"/>
      <c r="C8" s="377">
        <f>IFERROR(INDEX($AZ$5#,ROW()-5+1,1),"")</f>
        <v/>
      </c>
      <c r="D8" s="378">
        <f>IFERROR(INDEX($AZ$5#,ROW()-5+1,2),"")</f>
        <v/>
      </c>
      <c r="E8" s="580" t="n"/>
      <c r="F8" s="54">
        <f>IFERROR(INDEX($AZ$5#,ROW()-5+1,3),"")</f>
        <v/>
      </c>
      <c r="G8" s="378">
        <f>IFERROR(INDEX($AZ$5#,ROW()-5+1,6),"")</f>
        <v/>
      </c>
      <c r="H8" s="399" t="inlineStr"/>
    </row>
    <row r="9" ht="15.75" customHeight="1" thickBot="1">
      <c r="A9" s="104" t="inlineStr">
        <is>
          <t>P/N</t>
        </is>
      </c>
      <c r="B9" s="105" t="inlineStr">
        <is>
          <t>Artikel</t>
        </is>
      </c>
      <c r="C9" s="105" t="inlineStr">
        <is>
          <t>Lotnr.</t>
        </is>
      </c>
      <c r="D9" s="106" t="inlineStr">
        <is>
          <t>Utgångsdatum</t>
        </is>
      </c>
      <c r="E9" s="105" t="inlineStr">
        <is>
          <t>Förvaringsplats</t>
        </is>
      </c>
      <c r="F9" s="105" t="inlineStr">
        <is>
          <t>Antal i lager</t>
        </is>
      </c>
      <c r="G9" s="107" t="inlineStr">
        <is>
          <t>Senast inventering</t>
        </is>
      </c>
      <c r="H9" s="108" t="inlineStr">
        <is>
          <t>SIGN</t>
        </is>
      </c>
    </row>
    <row r="10">
      <c r="A10" s="357" t="inlineStr">
        <is>
          <t>525-00099</t>
        </is>
      </c>
      <c r="B10" s="459" t="inlineStr">
        <is>
          <t>FluB Low control ALQT</t>
        </is>
      </c>
      <c r="C10" s="358">
        <f>IFERROR(INDEX($AZ$10#,ROW()-10+1,1),"")</f>
        <v/>
      </c>
      <c r="D10" s="359">
        <f>IFERROR(INDEX($AZ$10#,ROW()-10+1,2),"")</f>
        <v/>
      </c>
      <c r="E10" s="358">
        <f>IFERROR(INDEX($AZ$10#,ROW()-10+1,5),"")</f>
        <v/>
      </c>
      <c r="F10" s="358">
        <f>IFERROR(INDEX($AZ$10#,ROW()-10+1,3),"")</f>
        <v/>
      </c>
      <c r="G10" s="359">
        <f>IFERROR(INDEX($AZ$10#,ROW()-10+1,6),"")</f>
        <v/>
      </c>
      <c r="H10" s="397" t="inlineStr"/>
      <c r="AZ10">
        <f>LET(pn,$A$10,f,FILTER(tblLots[[LotNumber]:[LatestInventory]],(tblLots[PN]=pn)*(tblLots[IsActive]=TRUE),""),s,IFERROR(SORTBY(f,INDEX(f,,2),1,INDEX(f,,6),-1),""),IFERROR(INDEX(s,SEQUENCE(4),SEQUENCE(,6)),""))</f>
        <v/>
      </c>
    </row>
    <row r="11">
      <c r="A11" s="373">
        <f>A$10</f>
        <v/>
      </c>
      <c r="B11" s="579" t="n"/>
      <c r="C11" s="374">
        <f>IFERROR(INDEX($AZ$10#,ROW()-10+1,1),"")</f>
        <v/>
      </c>
      <c r="D11" s="375">
        <f>IFERROR(INDEX($AZ$10#,ROW()-10+1,2),"")</f>
        <v/>
      </c>
      <c r="E11" s="579" t="n"/>
      <c r="F11" s="374">
        <f>IFERROR(INDEX($AZ$10#,ROW()-10+1,3),"")</f>
        <v/>
      </c>
      <c r="G11" s="375">
        <f>IFERROR(INDEX($AZ$10#,ROW()-10+1,6),"")</f>
        <v/>
      </c>
      <c r="H11" s="398" t="inlineStr"/>
    </row>
    <row r="12">
      <c r="A12" s="373">
        <f>A$10</f>
        <v/>
      </c>
      <c r="B12" s="579" t="n"/>
      <c r="C12" s="374">
        <f>IFERROR(INDEX($AZ$10#,ROW()-10+1,1),"")</f>
        <v/>
      </c>
      <c r="D12" s="375">
        <f>IFERROR(INDEX($AZ$10#,ROW()-10+1,2),"")</f>
        <v/>
      </c>
      <c r="E12" s="579" t="n"/>
      <c r="F12" s="374">
        <f>IFERROR(INDEX($AZ$10#,ROW()-10+1,3),"")</f>
        <v/>
      </c>
      <c r="G12" s="375">
        <f>IFERROR(INDEX($AZ$10#,ROW()-10+1,6),"")</f>
        <v/>
      </c>
      <c r="H12" s="398" t="inlineStr"/>
    </row>
    <row r="13" ht="15.75" customHeight="1" thickBot="1">
      <c r="A13" s="376">
        <f>A$10</f>
        <v/>
      </c>
      <c r="B13" s="580" t="n"/>
      <c r="C13" s="377">
        <f>IFERROR(INDEX($AZ$10#,ROW()-10+1,1),"")</f>
        <v/>
      </c>
      <c r="D13" s="378">
        <f>IFERROR(INDEX($AZ$10#,ROW()-10+1,2),"")</f>
        <v/>
      </c>
      <c r="E13" s="580" t="n"/>
      <c r="F13" s="377">
        <f>IFERROR(INDEX($AZ$10#,ROW()-10+1,3),"")</f>
        <v/>
      </c>
      <c r="G13" s="378">
        <f>IFERROR(INDEX($AZ$10#,ROW()-10+1,6),"")</f>
        <v/>
      </c>
      <c r="H13" s="399" t="inlineStr"/>
    </row>
    <row r="14" ht="15.75" customHeight="1" thickBot="1">
      <c r="A14" s="104" t="inlineStr">
        <is>
          <t>P/N</t>
        </is>
      </c>
      <c r="B14" s="105" t="inlineStr">
        <is>
          <t>Artikel</t>
        </is>
      </c>
      <c r="C14" s="105" t="inlineStr">
        <is>
          <t>Lotnr.</t>
        </is>
      </c>
      <c r="D14" s="106" t="inlineStr">
        <is>
          <t>Utgångsdatum</t>
        </is>
      </c>
      <c r="E14" s="105" t="inlineStr">
        <is>
          <t>Förvaringsplats</t>
        </is>
      </c>
      <c r="F14" s="105" t="inlineStr">
        <is>
          <t>Antal i lager</t>
        </is>
      </c>
      <c r="G14" s="107" t="inlineStr">
        <is>
          <t>Senast inventering</t>
        </is>
      </c>
      <c r="H14" s="108" t="inlineStr">
        <is>
          <t>SIGN</t>
        </is>
      </c>
    </row>
    <row r="15">
      <c r="A15" s="357" t="inlineStr">
        <is>
          <t>525-00102</t>
        </is>
      </c>
      <c r="B15" s="459" t="inlineStr">
        <is>
          <t>RSVB Low control ALQT</t>
        </is>
      </c>
      <c r="C15" s="358">
        <f>IFERROR(INDEX($AZ$15#,ROW()-15+1,1),"")</f>
        <v/>
      </c>
      <c r="D15" s="359">
        <f>IFERROR(INDEX($AZ$15#,ROW()-15+1,2),"")</f>
        <v/>
      </c>
      <c r="E15" s="358">
        <f>IFERROR(INDEX($AZ$15#,ROW()-15+1,5),"")</f>
        <v/>
      </c>
      <c r="F15" s="358">
        <f>IFERROR(INDEX($AZ$15#,ROW()-15+1,3),"")</f>
        <v/>
      </c>
      <c r="G15" s="359">
        <f>IFERROR(INDEX($AZ$15#,ROW()-15+1,6),"")</f>
        <v/>
      </c>
      <c r="H15" s="397" t="inlineStr"/>
      <c r="AZ15">
        <f>LET(pn,$A$15,f,FILTER(tblLots[[LotNumber]:[LatestInventory]],(tblLots[PN]=pn)*(tblLots[IsActive]=TRUE),""),s,IFERROR(SORTBY(f,INDEX(f,,2),1,INDEX(f,,6),-1),""),IFERROR(INDEX(s,SEQUENCE(4),SEQUENCE(,6)),""))</f>
        <v/>
      </c>
    </row>
    <row r="16">
      <c r="A16" s="373">
        <f>A$15</f>
        <v/>
      </c>
      <c r="B16" s="579" t="n"/>
      <c r="C16" s="374">
        <f>IFERROR(INDEX($AZ$15#,ROW()-15+1,1),"")</f>
        <v/>
      </c>
      <c r="D16" s="375">
        <f>IFERROR(INDEX($AZ$15#,ROW()-15+1,2),"")</f>
        <v/>
      </c>
      <c r="E16" s="579" t="n"/>
      <c r="F16" s="374">
        <f>IFERROR(INDEX($AZ$15#,ROW()-15+1,3),"")</f>
        <v/>
      </c>
      <c r="G16" s="375">
        <f>IFERROR(INDEX($AZ$15#,ROW()-15+1,6),"")</f>
        <v/>
      </c>
      <c r="H16" s="398" t="inlineStr"/>
    </row>
    <row r="17">
      <c r="A17" s="373">
        <f>A$15</f>
        <v/>
      </c>
      <c r="B17" s="579" t="n"/>
      <c r="C17" s="374">
        <f>IFERROR(INDEX($AZ$15#,ROW()-15+1,1),"")</f>
        <v/>
      </c>
      <c r="D17" s="375">
        <f>IFERROR(INDEX($AZ$15#,ROW()-15+1,2),"")</f>
        <v/>
      </c>
      <c r="E17" s="579" t="n"/>
      <c r="F17" s="374">
        <f>IFERROR(INDEX($AZ$15#,ROW()-15+1,3),"")</f>
        <v/>
      </c>
      <c r="G17" s="375">
        <f>IFERROR(INDEX($AZ$15#,ROW()-15+1,6),"")</f>
        <v/>
      </c>
      <c r="H17" s="398" t="inlineStr"/>
    </row>
    <row r="18" ht="15.75" customHeight="1" thickBot="1">
      <c r="A18" s="376">
        <f>A$15</f>
        <v/>
      </c>
      <c r="B18" s="580" t="n"/>
      <c r="C18" s="377">
        <f>IFERROR(INDEX($AZ$15#,ROW()-15+1,1),"")</f>
        <v/>
      </c>
      <c r="D18" s="378">
        <f>IFERROR(INDEX($AZ$15#,ROW()-15+1,2),"")</f>
        <v/>
      </c>
      <c r="E18" s="580" t="n"/>
      <c r="F18" s="377">
        <f>IFERROR(INDEX($AZ$15#,ROW()-15+1,3),"")</f>
        <v/>
      </c>
      <c r="G18" s="378">
        <f>IFERROR(INDEX($AZ$15#,ROW()-15+1,6),"")</f>
        <v/>
      </c>
      <c r="H18" s="399" t="inlineStr"/>
    </row>
    <row r="19" ht="15.75" customHeight="1" thickBot="1">
      <c r="A19" s="104" t="inlineStr">
        <is>
          <t>P/N</t>
        </is>
      </c>
      <c r="B19" s="105" t="inlineStr">
        <is>
          <t>Artikel</t>
        </is>
      </c>
      <c r="C19" s="105" t="inlineStr">
        <is>
          <t>Lotnr.</t>
        </is>
      </c>
      <c r="D19" s="106" t="inlineStr">
        <is>
          <t>Utgångsdatum</t>
        </is>
      </c>
      <c r="E19" s="105" t="inlineStr">
        <is>
          <t>Förvaringsplats</t>
        </is>
      </c>
      <c r="F19" s="105" t="inlineStr">
        <is>
          <t>Antal i lager</t>
        </is>
      </c>
      <c r="G19" s="107" t="inlineStr">
        <is>
          <t>Senast inventering</t>
        </is>
      </c>
      <c r="H19" s="108" t="inlineStr">
        <is>
          <t>SIGN</t>
        </is>
      </c>
    </row>
    <row r="20">
      <c r="A20" s="357" t="inlineStr">
        <is>
          <t>325-00075</t>
        </is>
      </c>
      <c r="B20" s="459" t="inlineStr">
        <is>
          <t>RSVB Low control ALQT</t>
        </is>
      </c>
      <c r="C20" s="358">
        <f>IFERROR(INDEX($AZ$20#,ROW()-20+1,1),"")</f>
        <v/>
      </c>
      <c r="D20" s="359">
        <f>IFERROR(INDEX($AZ$20#,ROW()-20+1,2),"")</f>
        <v/>
      </c>
      <c r="E20" s="358">
        <f>IFERROR(INDEX($AZ$20#,ROW()-20+1,5),"")</f>
        <v/>
      </c>
      <c r="F20" s="358">
        <f>IFERROR(INDEX($AZ$20#,ROW()-20+1,3),"")</f>
        <v/>
      </c>
      <c r="G20" s="359">
        <f>IFERROR(INDEX($AZ$20#,ROW()-20+1,6),"")</f>
        <v/>
      </c>
      <c r="H20" s="397" t="inlineStr"/>
      <c r="AZ20">
        <f>LET(pn,$A$20,f,FILTER(tblLots[[LotNumber]:[LatestInventory]],(tblLots[PN]=pn)*(tblLots[IsActive]=TRUE),""),s,IFERROR(SORTBY(f,INDEX(f,,2),1,INDEX(f,,6),-1),""),IFERROR(INDEX(s,SEQUENCE(4),SEQUENCE(,6)),""))</f>
        <v/>
      </c>
    </row>
    <row r="21">
      <c r="A21" s="373">
        <f>A$20</f>
        <v/>
      </c>
      <c r="B21" s="579" t="n"/>
      <c r="C21" s="374">
        <f>IFERROR(INDEX($AZ$20#,ROW()-20+1,1),"")</f>
        <v/>
      </c>
      <c r="D21" s="375">
        <f>IFERROR(INDEX($AZ$20#,ROW()-20+1,2),"")</f>
        <v/>
      </c>
      <c r="E21" s="579" t="n"/>
      <c r="F21" s="374">
        <f>IFERROR(INDEX($AZ$20#,ROW()-20+1,3),"")</f>
        <v/>
      </c>
      <c r="G21" s="375">
        <f>IFERROR(INDEX($AZ$20#,ROW()-20+1,6),"")</f>
        <v/>
      </c>
      <c r="H21" s="398" t="inlineStr"/>
    </row>
    <row r="22">
      <c r="A22" s="373">
        <f>A$20</f>
        <v/>
      </c>
      <c r="B22" s="579" t="n"/>
      <c r="C22" s="374">
        <f>IFERROR(INDEX($AZ$20#,ROW()-20+1,1),"")</f>
        <v/>
      </c>
      <c r="D22" s="375">
        <f>IFERROR(INDEX($AZ$20#,ROW()-20+1,2),"")</f>
        <v/>
      </c>
      <c r="E22" s="579" t="n"/>
      <c r="F22" s="374">
        <f>IFERROR(INDEX($AZ$20#,ROW()-20+1,3),"")</f>
        <v/>
      </c>
      <c r="G22" s="375">
        <f>IFERROR(INDEX($AZ$20#,ROW()-20+1,6),"")</f>
        <v/>
      </c>
      <c r="H22" s="398" t="inlineStr"/>
    </row>
    <row r="23" ht="15.75" customHeight="1" thickBot="1">
      <c r="A23" s="376">
        <f>A$20</f>
        <v/>
      </c>
      <c r="B23" s="580" t="n"/>
      <c r="C23" s="377">
        <f>IFERROR(INDEX($AZ$20#,ROW()-20+1,1),"")</f>
        <v/>
      </c>
      <c r="D23" s="378">
        <f>IFERROR(INDEX($AZ$20#,ROW()-20+1,2),"")</f>
        <v/>
      </c>
      <c r="E23" s="580" t="n"/>
      <c r="F23" s="377">
        <f>IFERROR(INDEX($AZ$20#,ROW()-20+1,3),"")</f>
        <v/>
      </c>
      <c r="G23" s="378">
        <f>IFERROR(INDEX($AZ$20#,ROW()-20+1,6),"")</f>
        <v/>
      </c>
      <c r="H23" s="399" t="inlineStr"/>
    </row>
    <row r="24" ht="15.75" customHeight="1" thickBot="1">
      <c r="A24" s="104" t="inlineStr">
        <is>
          <t>P/N</t>
        </is>
      </c>
      <c r="B24" s="105" t="inlineStr">
        <is>
          <t>Artikel</t>
        </is>
      </c>
      <c r="C24" s="105" t="inlineStr">
        <is>
          <t>Lotnr.</t>
        </is>
      </c>
      <c r="D24" s="106" t="inlineStr">
        <is>
          <t>Utgångsdatum</t>
        </is>
      </c>
      <c r="E24" s="105" t="inlineStr">
        <is>
          <t>Förvaringsplats</t>
        </is>
      </c>
      <c r="F24" s="105" t="inlineStr">
        <is>
          <t>Antal i lager</t>
        </is>
      </c>
      <c r="G24" s="107" t="inlineStr">
        <is>
          <t>Senast inventering</t>
        </is>
      </c>
      <c r="H24" s="108" t="inlineStr">
        <is>
          <t>SIGN</t>
        </is>
      </c>
    </row>
    <row r="25">
      <c r="A25" s="357" t="inlineStr">
        <is>
          <t>525-00169</t>
        </is>
      </c>
      <c r="B25" s="459" t="inlineStr">
        <is>
          <t>ALQT SARS-COV-2, NATTROL POSTIVE CTRL</t>
        </is>
      </c>
      <c r="C25" s="358">
        <f>IFERROR(INDEX($AZ$25#,ROW()-25+1,1),"")</f>
        <v/>
      </c>
      <c r="D25" s="359">
        <f>IFERROR(INDEX($AZ$25#,ROW()-25+1,2),"")</f>
        <v/>
      </c>
      <c r="E25" s="358">
        <f>IFERROR(INDEX($AZ$25#,ROW()-25+1,5),"")</f>
        <v/>
      </c>
      <c r="F25" s="358">
        <f>IFERROR(INDEX($AZ$25#,ROW()-25+1,3),"")</f>
        <v/>
      </c>
      <c r="G25" s="359">
        <f>IFERROR(INDEX($AZ$25#,ROW()-25+1,6),"")</f>
        <v/>
      </c>
      <c r="H25" s="397" t="inlineStr"/>
      <c r="AZ25">
        <f>LET(pn,$A$25,f,FILTER(tblLots[[LotNumber]:[LatestInventory]],(tblLots[PN]=pn)*(tblLots[IsActive]=TRUE),""),s,IFERROR(SORTBY(f,INDEX(f,,2),1,INDEX(f,,6),-1),""),IFERROR(INDEX(s,SEQUENCE(4),SEQUENCE(,6)),""))</f>
        <v/>
      </c>
    </row>
    <row r="26" ht="15" customHeight="1">
      <c r="A26" s="373">
        <f>A$25</f>
        <v/>
      </c>
      <c r="B26" s="579" t="n"/>
      <c r="C26" s="374">
        <f>IFERROR(INDEX($AZ$25#,ROW()-25+1,1),"")</f>
        <v/>
      </c>
      <c r="D26" s="375">
        <f>IFERROR(INDEX($AZ$25#,ROW()-25+1,2),"")</f>
        <v/>
      </c>
      <c r="E26" s="579" t="n"/>
      <c r="F26" s="374">
        <f>IFERROR(INDEX($AZ$25#,ROW()-25+1,3),"")</f>
        <v/>
      </c>
      <c r="G26" s="375">
        <f>IFERROR(INDEX($AZ$25#,ROW()-25+1,6),"")</f>
        <v/>
      </c>
      <c r="H26" s="398" t="inlineStr"/>
    </row>
    <row r="27">
      <c r="A27" s="373">
        <f>A$25</f>
        <v/>
      </c>
      <c r="B27" s="579" t="n"/>
      <c r="C27" s="374">
        <f>IFERROR(INDEX($AZ$25#,ROW()-25+1,1),"")</f>
        <v/>
      </c>
      <c r="D27" s="375">
        <f>IFERROR(INDEX($AZ$25#,ROW()-25+1,2),"")</f>
        <v/>
      </c>
      <c r="E27" s="579" t="n"/>
      <c r="F27" s="374">
        <f>IFERROR(INDEX($AZ$25#,ROW()-25+1,3),"")</f>
        <v/>
      </c>
      <c r="G27" s="375">
        <f>IFERROR(INDEX($AZ$25#,ROW()-25+1,6),"")</f>
        <v/>
      </c>
      <c r="H27" s="398" t="inlineStr"/>
    </row>
    <row r="28" ht="15.75" customHeight="1" thickBot="1">
      <c r="A28" s="376">
        <f>A$25</f>
        <v/>
      </c>
      <c r="B28" s="580" t="n"/>
      <c r="C28" s="377">
        <f>IFERROR(INDEX($AZ$25#,ROW()-25+1,1),"")</f>
        <v/>
      </c>
      <c r="D28" s="378">
        <f>IFERROR(INDEX($AZ$25#,ROW()-25+1,2),"")</f>
        <v/>
      </c>
      <c r="E28" s="580" t="n"/>
      <c r="F28" s="377">
        <f>IFERROR(INDEX($AZ$25#,ROW()-25+1,3),"")</f>
        <v/>
      </c>
      <c r="G28" s="378">
        <f>IFERROR(INDEX($AZ$25#,ROW()-25+1,6),"")</f>
        <v/>
      </c>
      <c r="H28" s="399" t="inlineStr"/>
    </row>
    <row r="29" ht="15.75" customHeight="1" thickBot="1">
      <c r="A29" s="35" t="n"/>
      <c r="B29" s="98" t="n"/>
      <c r="C29" s="35" t="n"/>
      <c r="D29" s="36" t="n"/>
      <c r="E29" s="35" t="n"/>
      <c r="F29" s="35" t="n"/>
      <c r="G29" s="36" t="n"/>
      <c r="H29" s="35" t="n"/>
    </row>
    <row r="30" ht="15.75" customHeight="1" thickBot="1">
      <c r="A30" s="109" t="inlineStr">
        <is>
          <t>P/N</t>
        </is>
      </c>
      <c r="B30" s="110" t="inlineStr">
        <is>
          <t>Artikel</t>
        </is>
      </c>
      <c r="C30" s="110" t="inlineStr">
        <is>
          <t>Lotnr.</t>
        </is>
      </c>
      <c r="D30" s="111" t="inlineStr">
        <is>
          <t>Utgångsdatum</t>
        </is>
      </c>
      <c r="E30" s="110" t="inlineStr">
        <is>
          <t>Förvaringsplats</t>
        </is>
      </c>
      <c r="F30" s="110" t="inlineStr">
        <is>
          <t>Antal i lager</t>
        </is>
      </c>
      <c r="G30" s="112" t="inlineStr">
        <is>
          <t>Senast inventering</t>
        </is>
      </c>
      <c r="H30" s="113" t="inlineStr">
        <is>
          <t>SIGN</t>
        </is>
      </c>
    </row>
    <row r="31">
      <c r="A31" s="357" t="inlineStr">
        <is>
          <t>001-1471</t>
        </is>
      </c>
      <c r="B31" s="589" t="inlineStr">
        <is>
          <t>Purified Serum Protein Matrix</t>
        </is>
      </c>
      <c r="C31" s="358">
        <f>IFERROR(INDEX($AZ$31#,ROW()-31+1,1),"")</f>
        <v/>
      </c>
      <c r="D31" s="359">
        <f>IFERROR(INDEX($AZ$31#,ROW()-31+1,2),"")</f>
        <v/>
      </c>
      <c r="E31" s="596">
        <f>IFERROR(INDEX($AZ$31#,ROW()-31+1,5),"")</f>
        <v/>
      </c>
      <c r="F31" s="358">
        <f>IFERROR(INDEX($AZ$31#,ROW()-31+1,3),"")</f>
        <v/>
      </c>
      <c r="G31" s="359">
        <f>IFERROR(INDEX($AZ$31#,ROW()-31+1,6),"")</f>
        <v/>
      </c>
      <c r="H31" s="397" t="inlineStr"/>
      <c r="AZ31">
        <f>LET(pn,$A$31,f,FILTER(tblLots[[LotNumber]:[LatestInventory]],(tblLots[PN]=pn)*(tblLots[IsActive]=TRUE),""),s,IFERROR(SORTBY(f,INDEX(f,,2),1,INDEX(f,,6),-1),""),IFERROR(INDEX(s,SEQUENCE(4),SEQUENCE(,6)),""))</f>
        <v/>
      </c>
    </row>
    <row r="32">
      <c r="A32" s="373">
        <f>A$31</f>
        <v/>
      </c>
      <c r="B32" s="590" t="n"/>
      <c r="C32" s="374">
        <f>IFERROR(INDEX($AZ$31#,ROW()-31+1,1),"")</f>
        <v/>
      </c>
      <c r="D32" s="375">
        <f>IFERROR(INDEX($AZ$31#,ROW()-31+1,2),"")</f>
        <v/>
      </c>
      <c r="E32" s="590" t="n"/>
      <c r="F32" s="374">
        <f>IFERROR(INDEX($AZ$31#,ROW()-31+1,3),"")</f>
        <v/>
      </c>
      <c r="G32" s="375">
        <f>IFERROR(INDEX($AZ$31#,ROW()-31+1,6),"")</f>
        <v/>
      </c>
      <c r="H32" s="398" t="inlineStr"/>
    </row>
    <row r="33">
      <c r="A33" s="373">
        <f>A$31</f>
        <v/>
      </c>
      <c r="B33" s="590" t="n"/>
      <c r="C33" s="374">
        <f>IFERROR(INDEX($AZ$31#,ROW()-31+1,1),"")</f>
        <v/>
      </c>
      <c r="D33" s="375">
        <f>IFERROR(INDEX($AZ$31#,ROW()-31+1,2),"")</f>
        <v/>
      </c>
      <c r="E33" s="590" t="n"/>
      <c r="F33" s="374">
        <f>IFERROR(INDEX($AZ$31#,ROW()-31+1,3),"")</f>
        <v/>
      </c>
      <c r="G33" s="375">
        <f>IFERROR(INDEX($AZ$31#,ROW()-31+1,6),"")</f>
        <v/>
      </c>
      <c r="H33" s="398" t="inlineStr"/>
    </row>
    <row r="34" ht="15.75" customHeight="1" thickBot="1">
      <c r="A34" s="376">
        <f>A$31</f>
        <v/>
      </c>
      <c r="B34" s="591" t="n"/>
      <c r="C34" s="377">
        <f>IFERROR(INDEX($AZ$31#,ROW()-31+1,1),"")</f>
        <v/>
      </c>
      <c r="D34" s="378">
        <f>IFERROR(INDEX($AZ$31#,ROW()-31+1,2),"")</f>
        <v/>
      </c>
      <c r="E34" s="591" t="n"/>
      <c r="F34" s="377">
        <f>IFERROR(INDEX($AZ$31#,ROW()-31+1,3),"")</f>
        <v/>
      </c>
      <c r="G34" s="378">
        <f>IFERROR(INDEX($AZ$31#,ROW()-31+1,6),"")</f>
        <v/>
      </c>
      <c r="H34" s="399" t="inlineStr"/>
    </row>
    <row r="35">
      <c r="A35" s="35" t="n"/>
      <c r="B35" s="98" t="n"/>
      <c r="C35" s="35" t="n"/>
      <c r="D35" s="36" t="n"/>
      <c r="E35" s="35" t="n"/>
      <c r="F35" s="35" t="n"/>
      <c r="G35" s="36" t="n"/>
      <c r="H35" s="35" t="n"/>
    </row>
  </sheetData>
  <sheetProtection selectLockedCells="0" selectUnlockedCells="0" algorithmName="SHA-512" sheet="1" objects="0" insertRows="0" insertHyperlinks="0" autoFilter="0" scenarios="0" formatColumns="0" deleteColumns="0" insertColumns="0" pivotTables="0" deleteRows="0" formatCells="0" saltValue="0+eyxffG33iVlseZj8htWA==" formatRows="0" sort="0" spinCount="100000" hashValue="m4kv8su6GjJHoVZm/QeKsN5g5kxf1yHzeqguMTrbQre32zuwAPjZfrnvkqQejxRTyNZ8nX2bf7vnMK6A2FE9qQ=="/>
  <mergeCells count="13">
    <mergeCell ref="B5:B8"/>
    <mergeCell ref="B31:B34"/>
    <mergeCell ref="E5:E8"/>
    <mergeCell ref="E15:E18"/>
    <mergeCell ref="E31:E34"/>
    <mergeCell ref="A2:H2"/>
    <mergeCell ref="B20:B23"/>
    <mergeCell ref="E20:E23"/>
    <mergeCell ref="B15:B18"/>
    <mergeCell ref="B25:B28"/>
    <mergeCell ref="E25:E28"/>
    <mergeCell ref="B10:B13"/>
    <mergeCell ref="E10:E13"/>
  </mergeCells>
  <pageMargins left="0.7" right="0.7" top="0.75" bottom="0.75" header="0.3" footer="0.3"/>
  <pageSetup orientation="portrait" paperSize="9" verticalDpi="0"/>
</worksheet>
</file>

<file path=xl/worksheets/sheet11.xml><?xml version="1.0" encoding="utf-8"?>
<worksheet xmlns="http://schemas.openxmlformats.org/spreadsheetml/2006/main">
  <sheetPr codeName="Sheet9">
    <tabColor rgb="FFFF66FF"/>
    <outlinePr summaryBelow="1" summaryRight="1"/>
    <pageSetUpPr/>
  </sheetPr>
  <dimension ref="A1:AZ14"/>
  <sheetViews>
    <sheetView workbookViewId="0">
      <selection activeCell="A1" sqref="A1"/>
    </sheetView>
  </sheetViews>
  <sheetFormatPr baseColWidth="8" defaultRowHeight="15"/>
  <cols>
    <col width="9.7109375" bestFit="1" customWidth="1" min="1" max="1"/>
    <col width="16.140625" customWidth="1" min="2" max="2"/>
    <col width="14.28515625" customWidth="1" min="3" max="3"/>
    <col width="15.5703125" customWidth="1" min="4" max="4"/>
    <col width="14.5703125" bestFit="1" customWidth="1" min="5" max="5"/>
    <col width="15" customWidth="1" min="6" max="6"/>
    <col width="17.85546875" bestFit="1" customWidth="1" min="7" max="7"/>
    <col width="8.42578125" customWidth="1" min="8" max="8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15.75" customHeight="1" thickBot="1"/>
    <row r="2" ht="24" customHeight="1" thickBot="1">
      <c r="A2" s="597" t="inlineStr">
        <is>
          <t>SARS plus</t>
        </is>
      </c>
      <c r="B2" s="551" t="n"/>
      <c r="C2" s="551" t="n"/>
      <c r="D2" s="551" t="n"/>
      <c r="E2" s="551" t="n"/>
      <c r="F2" s="551" t="n"/>
      <c r="G2" s="551" t="n"/>
      <c r="H2" s="552" t="n"/>
    </row>
    <row r="3" ht="15.75" customHeight="1" thickBot="1"/>
    <row r="4" ht="15.75" customHeight="1" thickBot="1">
      <c r="A4" s="114" t="inlineStr">
        <is>
          <t>P/N</t>
        </is>
      </c>
      <c r="B4" s="115" t="inlineStr">
        <is>
          <t>Artikel</t>
        </is>
      </c>
      <c r="C4" s="115" t="inlineStr">
        <is>
          <t>Lotnr.</t>
        </is>
      </c>
      <c r="D4" s="116" t="inlineStr">
        <is>
          <t>Utgångsdatum</t>
        </is>
      </c>
      <c r="E4" s="115" t="inlineStr">
        <is>
          <t>Förvaringsplats</t>
        </is>
      </c>
      <c r="F4" s="115" t="inlineStr">
        <is>
          <t>Antal i lager</t>
        </is>
      </c>
      <c r="G4" s="117" t="inlineStr">
        <is>
          <t>Senast inventering</t>
        </is>
      </c>
      <c r="H4" s="118" t="inlineStr">
        <is>
          <t>SIGN</t>
        </is>
      </c>
    </row>
    <row r="5">
      <c r="A5" s="357" t="inlineStr">
        <is>
          <t>525-00169</t>
        </is>
      </c>
      <c r="B5" s="459" t="inlineStr">
        <is>
          <t>ALQT SARS-COV-2, NATTROL POSTIVE CTRL</t>
        </is>
      </c>
      <c r="C5" s="358">
        <f>IFERROR(INDEX($AZ$5#,ROW()-5+1,1),"")</f>
        <v/>
      </c>
      <c r="D5" s="359">
        <f>IFERROR(INDEX($AZ$5#,ROW()-5+1,2),"")</f>
        <v/>
      </c>
      <c r="E5" s="358">
        <f>IFERROR(INDEX($AZ$5#,ROW()-5+1,5),"")</f>
        <v/>
      </c>
      <c r="F5" s="358">
        <f>IFERROR(INDEX($AZ$5#,ROW()-5+1,3),"")</f>
        <v/>
      </c>
      <c r="G5" s="359">
        <f>IFERROR(INDEX($AZ$5#,ROW()-5+1,6),"")</f>
        <v/>
      </c>
      <c r="H5" s="397" t="inlineStr"/>
      <c r="AZ5">
        <f>LET(pn,$A$5,f,FILTER(tblLots[[LotNumber]:[LatestInventory]],(tblLots[PN]=pn)*(tblLots[IsActive]=TRUE),""),s,IFERROR(SORTBY(f,INDEX(f,,2),1,INDEX(f,,6),-1),""),IFERROR(INDEX(s,SEQUENCE(4),SEQUENCE(,6)),""))</f>
        <v/>
      </c>
    </row>
    <row r="6">
      <c r="A6" s="373">
        <f>A$5</f>
        <v/>
      </c>
      <c r="B6" s="579" t="n"/>
      <c r="C6" s="374">
        <f>IFERROR(INDEX($AZ$5#,ROW()-5+1,1),"")</f>
        <v/>
      </c>
      <c r="D6" s="375">
        <f>IFERROR(INDEX($AZ$5#,ROW()-5+1,2),"")</f>
        <v/>
      </c>
      <c r="E6" s="579" t="n"/>
      <c r="F6" s="374">
        <f>IFERROR(INDEX($AZ$5#,ROW()-5+1,3),"")</f>
        <v/>
      </c>
      <c r="G6" s="375">
        <f>IFERROR(INDEX($AZ$5#,ROW()-5+1,6),"")</f>
        <v/>
      </c>
      <c r="H6" s="398" t="inlineStr"/>
    </row>
    <row r="7">
      <c r="A7" s="373">
        <f>A$5</f>
        <v/>
      </c>
      <c r="B7" s="579" t="n"/>
      <c r="C7" s="374">
        <f>IFERROR(INDEX($AZ$5#,ROW()-5+1,1),"")</f>
        <v/>
      </c>
      <c r="D7" s="375">
        <f>IFERROR(INDEX($AZ$5#,ROW()-5+1,2),"")</f>
        <v/>
      </c>
      <c r="E7" s="579" t="n"/>
      <c r="F7" s="374">
        <f>IFERROR(INDEX($AZ$5#,ROW()-5+1,3),"")</f>
        <v/>
      </c>
      <c r="G7" s="375">
        <f>IFERROR(INDEX($AZ$5#,ROW()-5+1,6),"")</f>
        <v/>
      </c>
      <c r="H7" s="398" t="inlineStr"/>
    </row>
    <row r="8" ht="15.75" customHeight="1" thickBot="1">
      <c r="A8" s="376">
        <f>A$5</f>
        <v/>
      </c>
      <c r="B8" s="580" t="n"/>
      <c r="C8" s="377">
        <f>IFERROR(INDEX($AZ$5#,ROW()-5+1,1),"")</f>
        <v/>
      </c>
      <c r="D8" s="378">
        <f>IFERROR(INDEX($AZ$5#,ROW()-5+1,2),"")</f>
        <v/>
      </c>
      <c r="E8" s="580" t="n"/>
      <c r="F8" s="377">
        <f>IFERROR(INDEX($AZ$5#,ROW()-5+1,3),"")</f>
        <v/>
      </c>
      <c r="G8" s="378">
        <f>IFERROR(INDEX($AZ$5#,ROW()-5+1,6),"")</f>
        <v/>
      </c>
      <c r="H8" s="399" t="inlineStr"/>
    </row>
    <row r="9" ht="15.75" customHeight="1" thickBot="1">
      <c r="A9" s="35" t="n"/>
      <c r="B9" s="98" t="n"/>
      <c r="C9" s="35" t="n"/>
      <c r="D9" s="36" t="n"/>
      <c r="E9" s="35" t="n"/>
      <c r="F9" s="35" t="n"/>
      <c r="G9" s="36" t="n"/>
      <c r="H9" s="35" t="n"/>
    </row>
    <row r="10" ht="15.75" customHeight="1" thickBot="1">
      <c r="A10" s="109" t="inlineStr">
        <is>
          <t>P/N</t>
        </is>
      </c>
      <c r="B10" s="110" t="inlineStr">
        <is>
          <t>Artikel</t>
        </is>
      </c>
      <c r="C10" s="110" t="inlineStr">
        <is>
          <t>Lotnr.</t>
        </is>
      </c>
      <c r="D10" s="111" t="inlineStr">
        <is>
          <t>Utgångsdatum</t>
        </is>
      </c>
      <c r="E10" s="110" t="inlineStr">
        <is>
          <t>Förvaringsplats</t>
        </is>
      </c>
      <c r="F10" s="110" t="inlineStr">
        <is>
          <t>Antal i lager</t>
        </is>
      </c>
      <c r="G10" s="112" t="inlineStr">
        <is>
          <t>Senast inventering</t>
        </is>
      </c>
      <c r="H10" s="113" t="inlineStr">
        <is>
          <t>SIGN</t>
        </is>
      </c>
    </row>
    <row r="11">
      <c r="A11" s="357" t="inlineStr">
        <is>
          <t>001-1471</t>
        </is>
      </c>
      <c r="B11" s="459" t="inlineStr">
        <is>
          <t>Purified Serum Protein Matrix</t>
        </is>
      </c>
      <c r="C11" s="358">
        <f>IFERROR(INDEX($AZ$11#,ROW()-11+1,1),"")</f>
        <v/>
      </c>
      <c r="D11" s="359">
        <f>IFERROR(INDEX($AZ$11#,ROW()-11+1,2),"")</f>
        <v/>
      </c>
      <c r="E11" s="358">
        <f>IFERROR(INDEX($AZ$11#,ROW()-11+1,5),"")</f>
        <v/>
      </c>
      <c r="F11" s="358">
        <f>IFERROR(INDEX($AZ$11#,ROW()-11+1,3),"")</f>
        <v/>
      </c>
      <c r="G11" s="359">
        <f>IFERROR(INDEX($AZ$11#,ROW()-11+1,6),"")</f>
        <v/>
      </c>
      <c r="H11" s="397" t="inlineStr"/>
      <c r="AZ11">
        <f>LET(pn,$A$11,f,FILTER(tblLots[[LotNumber]:[LatestInventory]],(tblLots[PN]=pn)*(tblLots[IsActive]=TRUE),""),s,IFERROR(SORTBY(f,INDEX(f,,2),1,INDEX(f,,6),-1),""),IFERROR(INDEX(s,SEQUENCE(4),SEQUENCE(,6)),""))</f>
        <v/>
      </c>
    </row>
    <row r="12">
      <c r="A12" s="373">
        <f>A$11</f>
        <v/>
      </c>
      <c r="B12" s="579" t="n"/>
      <c r="C12" s="374">
        <f>IFERROR(INDEX($AZ$11#,ROW()-11+1,1),"")</f>
        <v/>
      </c>
      <c r="D12" s="375">
        <f>IFERROR(INDEX($AZ$11#,ROW()-11+1,2),"")</f>
        <v/>
      </c>
      <c r="E12" s="579" t="n"/>
      <c r="F12" s="374">
        <f>IFERROR(INDEX($AZ$11#,ROW()-11+1,3),"")</f>
        <v/>
      </c>
      <c r="G12" s="375">
        <f>IFERROR(INDEX($AZ$11#,ROW()-11+1,6),"")</f>
        <v/>
      </c>
      <c r="H12" s="398" t="inlineStr"/>
    </row>
    <row r="13">
      <c r="A13" s="373">
        <f>A$11</f>
        <v/>
      </c>
      <c r="B13" s="579" t="n"/>
      <c r="C13" s="374">
        <f>IFERROR(INDEX($AZ$11#,ROW()-11+1,1),"")</f>
        <v/>
      </c>
      <c r="D13" s="375">
        <f>IFERROR(INDEX($AZ$11#,ROW()-11+1,2),"")</f>
        <v/>
      </c>
      <c r="E13" s="579" t="n"/>
      <c r="F13" s="374">
        <f>IFERROR(INDEX($AZ$11#,ROW()-11+1,3),"")</f>
        <v/>
      </c>
      <c r="G13" s="375">
        <f>IFERROR(INDEX($AZ$11#,ROW()-11+1,6),"")</f>
        <v/>
      </c>
      <c r="H13" s="398" t="inlineStr"/>
    </row>
    <row r="14" ht="15.75" customHeight="1" thickBot="1">
      <c r="A14" s="376">
        <f>A$11</f>
        <v/>
      </c>
      <c r="B14" s="580" t="n"/>
      <c r="C14" s="377">
        <f>IFERROR(INDEX($AZ$11#,ROW()-11+1,1),"")</f>
        <v/>
      </c>
      <c r="D14" s="378">
        <f>IFERROR(INDEX($AZ$11#,ROW()-11+1,2),"")</f>
        <v/>
      </c>
      <c r="E14" s="580" t="n"/>
      <c r="F14" s="377">
        <f>IFERROR(INDEX($AZ$11#,ROW()-11+1,3),"")</f>
        <v/>
      </c>
      <c r="G14" s="378">
        <f>IFERROR(INDEX($AZ$11#,ROW()-11+1,6),"")</f>
        <v/>
      </c>
      <c r="H14" s="399" t="inlineStr"/>
    </row>
  </sheetData>
  <sheetProtection selectLockedCells="0" selectUnlockedCells="0" algorithmName="SHA-512" sheet="1" objects="0" insertRows="0" insertHyperlinks="0" autoFilter="0" scenarios="0" formatColumns="0" deleteColumns="0" insertColumns="0" pivotTables="0" deleteRows="0" formatCells="0" saltValue="jl7x604LrSW/VEDOIUisiA==" formatRows="0" sort="0" spinCount="100000" hashValue="XwDuHaFjwI/04R9IFf9S2eRxCkJJYOWn9dZlP7WaRGC2GIPRZkUAqfYy+BxqHXTc8wCnrlTAHJK5jHcmH4+sag=="/>
  <mergeCells count="5">
    <mergeCell ref="B5:B8"/>
    <mergeCell ref="A2:H2"/>
    <mergeCell ref="E11:E14"/>
    <mergeCell ref="B11:B14"/>
    <mergeCell ref="E5:E8"/>
  </mergeCells>
  <pageMargins left="0.7" right="0.7" top="0.75" bottom="0.75" header="0.3" footer="0.3"/>
  <pageSetup orientation="portrait" paperSize="9" verticalDpi="0"/>
</worksheet>
</file>

<file path=xl/worksheets/sheet12.xml><?xml version="1.0" encoding="utf-8"?>
<worksheet xmlns="http://schemas.openxmlformats.org/spreadsheetml/2006/main">
  <sheetPr codeName="Sheet30">
    <tabColor rgb="FF66FF33"/>
    <outlinePr summaryBelow="1" summaryRight="1"/>
    <pageSetUpPr/>
  </sheetPr>
  <dimension ref="A1:AZ29"/>
  <sheetViews>
    <sheetView workbookViewId="0">
      <selection activeCell="A1" sqref="A1"/>
    </sheetView>
  </sheetViews>
  <sheetFormatPr baseColWidth="8" defaultRowHeight="15"/>
  <cols>
    <col width="9.42578125" bestFit="1" customWidth="1" min="1" max="1"/>
    <col width="36.5703125" bestFit="1" customWidth="1" min="2" max="2"/>
    <col width="13" bestFit="1" customWidth="1" min="3" max="3"/>
    <col width="13.140625" bestFit="1" customWidth="1" min="4" max="4"/>
    <col width="13.5703125" bestFit="1" customWidth="1" min="5" max="5"/>
    <col width="13.7109375" bestFit="1" customWidth="1" min="6" max="6"/>
    <col width="16.42578125" bestFit="1" customWidth="1" min="7" max="7"/>
    <col width="4.85546875" bestFit="1" customWidth="1" min="8" max="8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15.75" customHeight="1" thickBot="1">
      <c r="D1" s="75" t="n"/>
      <c r="G1" s="75" t="n"/>
    </row>
    <row r="2" ht="24" customHeight="1" thickBot="1">
      <c r="A2" s="598" t="inlineStr">
        <is>
          <t>Respiratory Panel</t>
        </is>
      </c>
      <c r="B2" s="551" t="n"/>
      <c r="C2" s="551" t="n"/>
      <c r="D2" s="551" t="n"/>
      <c r="E2" s="551" t="n"/>
      <c r="F2" s="551" t="n"/>
      <c r="G2" s="551" t="n"/>
      <c r="H2" s="552" t="n"/>
    </row>
    <row r="3" ht="15.75" customHeight="1" thickBot="1">
      <c r="A3" s="34" t="n"/>
      <c r="B3" s="35" t="n"/>
      <c r="C3" s="35" t="n"/>
      <c r="D3" s="36" t="n"/>
      <c r="E3" s="35" t="n"/>
      <c r="F3" s="35" t="n"/>
      <c r="G3" s="75" t="n"/>
    </row>
    <row r="4">
      <c r="A4" s="223" t="inlineStr">
        <is>
          <t>P/N</t>
        </is>
      </c>
      <c r="B4" s="224" t="inlineStr">
        <is>
          <t>Artikel</t>
        </is>
      </c>
      <c r="C4" s="224" t="inlineStr">
        <is>
          <t>Lotnr.</t>
        </is>
      </c>
      <c r="D4" s="225" t="inlineStr">
        <is>
          <t>Utgångsdatum</t>
        </is>
      </c>
      <c r="E4" s="224" t="inlineStr">
        <is>
          <t>Förvaringsplats</t>
        </is>
      </c>
      <c r="F4" s="224" t="inlineStr">
        <is>
          <t>Antal i lager</t>
        </is>
      </c>
      <c r="G4" s="226" t="inlineStr">
        <is>
          <t>Senast inventering</t>
        </is>
      </c>
      <c r="H4" s="227" t="inlineStr">
        <is>
          <t>SIGN</t>
        </is>
      </c>
    </row>
    <row r="5">
      <c r="A5" s="373" t="inlineStr">
        <is>
          <t>525-00193</t>
        </is>
      </c>
      <c r="B5" s="460" t="inlineStr">
        <is>
          <t>ALQT,NATTROL,Sample Mix 1, Resp.Panel</t>
        </is>
      </c>
      <c r="C5" s="374">
        <f>IFERROR(INDEX($AZ$5#,ROW()-5+1,1),"")</f>
        <v/>
      </c>
      <c r="D5" s="375">
        <f>IFERROR(INDEX($AZ$5#,ROW()-5+1,2),"")</f>
        <v/>
      </c>
      <c r="E5" s="374">
        <f>IFERROR(INDEX($AZ$5#,ROW()-5+1,5),"")</f>
        <v/>
      </c>
      <c r="F5" s="374">
        <f>IFERROR(INDEX($AZ$5#,ROW()-5+1,3),"")</f>
        <v/>
      </c>
      <c r="G5" s="375">
        <f>IFERROR(INDEX($AZ$5#,ROW()-5+1,6),"")</f>
        <v/>
      </c>
      <c r="H5" s="398" t="inlineStr"/>
      <c r="AZ5">
        <f>LET(pn,$A$5,f,FILTER(tblLots[[LotNumber]:[LatestInventory]],(tblLots[PN]=pn)*(tblLots[IsActive]=TRUE),""),s,IFERROR(SORTBY(f,INDEX(f,,2),1,INDEX(f,,6),-1),""),IFERROR(INDEX(s,SEQUENCE(4),SEQUENCE(,6)),""))</f>
        <v/>
      </c>
    </row>
    <row r="6">
      <c r="A6" s="373">
        <f>A$5</f>
        <v/>
      </c>
      <c r="B6" s="579" t="n"/>
      <c r="C6" s="374">
        <f>IFERROR(INDEX($AZ$5#,ROW()-5+1,1),"")</f>
        <v/>
      </c>
      <c r="D6" s="375">
        <f>IFERROR(INDEX($AZ$5#,ROW()-5+1,2),"")</f>
        <v/>
      </c>
      <c r="E6" s="579" t="n"/>
      <c r="F6" s="374">
        <f>IFERROR(INDEX($AZ$5#,ROW()-5+1,3),"")</f>
        <v/>
      </c>
      <c r="G6" s="375">
        <f>IFERROR(INDEX($AZ$5#,ROW()-5+1,6),"")</f>
        <v/>
      </c>
      <c r="H6" s="398" t="inlineStr"/>
    </row>
    <row r="7">
      <c r="A7" s="373">
        <f>A$5</f>
        <v/>
      </c>
      <c r="B7" s="579" t="n"/>
      <c r="C7" s="374">
        <f>IFERROR(INDEX($AZ$5#,ROW()-5+1,1),"")</f>
        <v/>
      </c>
      <c r="D7" s="375">
        <f>IFERROR(INDEX($AZ$5#,ROW()-5+1,2),"")</f>
        <v/>
      </c>
      <c r="E7" s="579" t="n"/>
      <c r="F7" s="374">
        <f>IFERROR(INDEX($AZ$5#,ROW()-5+1,3),"")</f>
        <v/>
      </c>
      <c r="G7" s="375">
        <f>IFERROR(INDEX($AZ$5#,ROW()-5+1,6),"")</f>
        <v/>
      </c>
      <c r="H7" s="398" t="inlineStr"/>
    </row>
    <row r="8" ht="15.75" customHeight="1" thickBot="1">
      <c r="A8" s="376">
        <f>A$5</f>
        <v/>
      </c>
      <c r="B8" s="580" t="n"/>
      <c r="C8" s="377">
        <f>IFERROR(INDEX($AZ$5#,ROW()-5+1,1),"")</f>
        <v/>
      </c>
      <c r="D8" s="378">
        <f>IFERROR(INDEX($AZ$5#,ROW()-5+1,2),"")</f>
        <v/>
      </c>
      <c r="E8" s="580" t="n"/>
      <c r="F8" s="377">
        <f>IFERROR(INDEX($AZ$5#,ROW()-5+1,3),"")</f>
        <v/>
      </c>
      <c r="G8" s="378">
        <f>IFERROR(INDEX($AZ$5#,ROW()-5+1,6),"")</f>
        <v/>
      </c>
      <c r="H8" s="399" t="inlineStr"/>
    </row>
    <row r="9">
      <c r="A9" s="223" t="inlineStr">
        <is>
          <t>P/N</t>
        </is>
      </c>
      <c r="B9" s="224" t="inlineStr">
        <is>
          <t>Artikel</t>
        </is>
      </c>
      <c r="C9" s="224" t="inlineStr">
        <is>
          <t>Lotnr.</t>
        </is>
      </c>
      <c r="D9" s="225" t="inlineStr">
        <is>
          <t>Utgångsdatum</t>
        </is>
      </c>
      <c r="E9" s="224" t="inlineStr">
        <is>
          <t>Förvaringsplats</t>
        </is>
      </c>
      <c r="F9" s="224" t="inlineStr">
        <is>
          <t>Antal i lager</t>
        </is>
      </c>
      <c r="G9" s="226" t="inlineStr">
        <is>
          <t>Senast inventering</t>
        </is>
      </c>
      <c r="H9" s="227" t="inlineStr">
        <is>
          <t>SIGN</t>
        </is>
      </c>
    </row>
    <row r="10">
      <c r="A10" s="373" t="inlineStr">
        <is>
          <t>525-00194</t>
        </is>
      </c>
      <c r="B10" s="460" t="inlineStr">
        <is>
          <t>ALQT,NATTROL,Sample Mix 2, Resp.Panel</t>
        </is>
      </c>
      <c r="C10" s="374">
        <f>IFERROR(INDEX($AZ$10#,ROW()-10+1,1),"")</f>
        <v/>
      </c>
      <c r="D10" s="375">
        <f>IFERROR(INDEX($AZ$10#,ROW()-10+1,2),"")</f>
        <v/>
      </c>
      <c r="E10" s="374">
        <f>IFERROR(INDEX($AZ$10#,ROW()-10+1,5),"")</f>
        <v/>
      </c>
      <c r="F10" s="374">
        <f>IFERROR(INDEX($AZ$10#,ROW()-10+1,3),"")</f>
        <v/>
      </c>
      <c r="G10" s="375">
        <f>IFERROR(INDEX($AZ$10#,ROW()-10+1,6),"")</f>
        <v/>
      </c>
      <c r="H10" s="398" t="inlineStr"/>
      <c r="AZ10">
        <f>LET(pn,$A$10,f,FILTER(tblLots[[LotNumber]:[LatestInventory]],(tblLots[PN]=pn)*(tblLots[IsActive]=TRUE),""),s,IFERROR(SORTBY(f,INDEX(f,,2),1,INDEX(f,,6),-1),""),IFERROR(INDEX(s,SEQUENCE(4),SEQUENCE(,6)),""))</f>
        <v/>
      </c>
    </row>
    <row r="11">
      <c r="A11" s="373">
        <f>A$10</f>
        <v/>
      </c>
      <c r="B11" s="579" t="n"/>
      <c r="C11" s="374">
        <f>IFERROR(INDEX($AZ$10#,ROW()-10+1,1),"")</f>
        <v/>
      </c>
      <c r="D11" s="375">
        <f>IFERROR(INDEX($AZ$10#,ROW()-10+1,2),"")</f>
        <v/>
      </c>
      <c r="E11" s="579" t="n"/>
      <c r="F11" s="374">
        <f>IFERROR(INDEX($AZ$10#,ROW()-10+1,3),"")</f>
        <v/>
      </c>
      <c r="G11" s="375">
        <f>IFERROR(INDEX($AZ$10#,ROW()-10+1,6),"")</f>
        <v/>
      </c>
      <c r="H11" s="398" t="inlineStr"/>
    </row>
    <row r="12">
      <c r="A12" s="373">
        <f>A$10</f>
        <v/>
      </c>
      <c r="B12" s="579" t="n"/>
      <c r="C12" s="374">
        <f>IFERROR(INDEX($AZ$10#,ROW()-10+1,1),"")</f>
        <v/>
      </c>
      <c r="D12" s="375">
        <f>IFERROR(INDEX($AZ$10#,ROW()-10+1,2),"")</f>
        <v/>
      </c>
      <c r="E12" s="579" t="n"/>
      <c r="F12" s="374">
        <f>IFERROR(INDEX($AZ$10#,ROW()-10+1,3),"")</f>
        <v/>
      </c>
      <c r="G12" s="375">
        <f>IFERROR(INDEX($AZ$10#,ROW()-10+1,6),"")</f>
        <v/>
      </c>
      <c r="H12" s="398" t="inlineStr"/>
    </row>
    <row r="13" ht="15.75" customHeight="1" thickBot="1">
      <c r="A13" s="376">
        <f>A$10</f>
        <v/>
      </c>
      <c r="B13" s="580" t="n"/>
      <c r="C13" s="377">
        <f>IFERROR(INDEX($AZ$10#,ROW()-10+1,1),"")</f>
        <v/>
      </c>
      <c r="D13" s="378">
        <f>IFERROR(INDEX($AZ$10#,ROW()-10+1,2),"")</f>
        <v/>
      </c>
      <c r="E13" s="580" t="n"/>
      <c r="F13" s="377">
        <f>IFERROR(INDEX($AZ$10#,ROW()-10+1,3),"")</f>
        <v/>
      </c>
      <c r="G13" s="378">
        <f>IFERROR(INDEX($AZ$10#,ROW()-10+1,6),"")</f>
        <v/>
      </c>
      <c r="H13" s="399" t="inlineStr"/>
    </row>
    <row r="14">
      <c r="A14" s="223" t="inlineStr">
        <is>
          <t>P/N</t>
        </is>
      </c>
      <c r="B14" s="224" t="inlineStr">
        <is>
          <t>Artikel</t>
        </is>
      </c>
      <c r="C14" s="224" t="inlineStr">
        <is>
          <t>Lotnr.</t>
        </is>
      </c>
      <c r="D14" s="225" t="inlineStr">
        <is>
          <t>Utgångsdatum</t>
        </is>
      </c>
      <c r="E14" s="224" t="inlineStr">
        <is>
          <t>Förvaringsplats</t>
        </is>
      </c>
      <c r="F14" s="224" t="inlineStr">
        <is>
          <t>Antal i lager</t>
        </is>
      </c>
      <c r="G14" s="226" t="inlineStr">
        <is>
          <t>Senast inventering</t>
        </is>
      </c>
      <c r="H14" s="227" t="inlineStr">
        <is>
          <t>SIGN</t>
        </is>
      </c>
    </row>
    <row r="15">
      <c r="A15" s="373" t="inlineStr">
        <is>
          <t>525-00195</t>
        </is>
      </c>
      <c r="B15" s="460" t="inlineStr">
        <is>
          <t>ALQT,NATTROL,Sample Mix 3, Resp.Panel</t>
        </is>
      </c>
      <c r="C15" s="374">
        <f>IFERROR(INDEX($AZ$15#,ROW()-15+1,1),"")</f>
        <v/>
      </c>
      <c r="D15" s="375">
        <f>IFERROR(INDEX($AZ$15#,ROW()-15+1,2),"")</f>
        <v/>
      </c>
      <c r="E15" s="374">
        <f>IFERROR(INDEX($AZ$15#,ROW()-15+1,5),"")</f>
        <v/>
      </c>
      <c r="F15" s="374">
        <f>IFERROR(INDEX($AZ$15#,ROW()-15+1,3),"")</f>
        <v/>
      </c>
      <c r="G15" s="375">
        <f>IFERROR(INDEX($AZ$15#,ROW()-15+1,6),"")</f>
        <v/>
      </c>
      <c r="H15" s="398" t="inlineStr"/>
      <c r="AZ15">
        <f>LET(pn,$A$15,f,FILTER(tblLots[[LotNumber]:[LatestInventory]],(tblLots[PN]=pn)*(tblLots[IsActive]=TRUE),""),s,IFERROR(SORTBY(f,INDEX(f,,2),1,INDEX(f,,6),-1),""),IFERROR(INDEX(s,SEQUENCE(4),SEQUENCE(,6)),""))</f>
        <v/>
      </c>
    </row>
    <row r="16">
      <c r="A16" s="373">
        <f>A$15</f>
        <v/>
      </c>
      <c r="B16" s="579" t="n"/>
      <c r="C16" s="374">
        <f>IFERROR(INDEX($AZ$15#,ROW()-15+1,1),"")</f>
        <v/>
      </c>
      <c r="D16" s="375">
        <f>IFERROR(INDEX($AZ$15#,ROW()-15+1,2),"")</f>
        <v/>
      </c>
      <c r="E16" s="579" t="n"/>
      <c r="F16" s="374">
        <f>IFERROR(INDEX($AZ$15#,ROW()-15+1,3),"")</f>
        <v/>
      </c>
      <c r="G16" s="375">
        <f>IFERROR(INDEX($AZ$15#,ROW()-15+1,6),"")</f>
        <v/>
      </c>
      <c r="H16" s="398" t="inlineStr"/>
    </row>
    <row r="17">
      <c r="A17" s="373">
        <f>A$15</f>
        <v/>
      </c>
      <c r="B17" s="579" t="n"/>
      <c r="C17" s="374">
        <f>IFERROR(INDEX($AZ$15#,ROW()-15+1,1),"")</f>
        <v/>
      </c>
      <c r="D17" s="375">
        <f>IFERROR(INDEX($AZ$15#,ROW()-15+1,2),"")</f>
        <v/>
      </c>
      <c r="E17" s="579" t="n"/>
      <c r="F17" s="374">
        <f>IFERROR(INDEX($AZ$15#,ROW()-15+1,3),"")</f>
        <v/>
      </c>
      <c r="G17" s="375">
        <f>IFERROR(INDEX($AZ$15#,ROW()-15+1,6),"")</f>
        <v/>
      </c>
      <c r="H17" s="398" t="inlineStr"/>
    </row>
    <row r="18" ht="15.75" customHeight="1" thickBot="1">
      <c r="A18" s="376">
        <f>A$15</f>
        <v/>
      </c>
      <c r="B18" s="580" t="n"/>
      <c r="C18" s="377">
        <f>IFERROR(INDEX($AZ$15#,ROW()-15+1,1),"")</f>
        <v/>
      </c>
      <c r="D18" s="378">
        <f>IFERROR(INDEX($AZ$15#,ROW()-15+1,2),"")</f>
        <v/>
      </c>
      <c r="E18" s="580" t="n"/>
      <c r="F18" s="377">
        <f>IFERROR(INDEX($AZ$15#,ROW()-15+1,3),"")</f>
        <v/>
      </c>
      <c r="G18" s="378">
        <f>IFERROR(INDEX($AZ$15#,ROW()-15+1,6),"")</f>
        <v/>
      </c>
      <c r="H18" s="399" t="inlineStr"/>
    </row>
    <row r="19">
      <c r="A19" s="338" t="inlineStr">
        <is>
          <t>P/N</t>
        </is>
      </c>
      <c r="B19" s="339" t="inlineStr">
        <is>
          <t>Artikel</t>
        </is>
      </c>
      <c r="C19" s="339" t="inlineStr">
        <is>
          <t>Lotnr.</t>
        </is>
      </c>
      <c r="D19" s="340" t="inlineStr">
        <is>
          <t>Utgångsdatum</t>
        </is>
      </c>
      <c r="E19" s="339" t="inlineStr">
        <is>
          <t>Förvaringsplats</t>
        </is>
      </c>
      <c r="F19" s="339" t="inlineStr">
        <is>
          <t>Antal i lager</t>
        </is>
      </c>
      <c r="G19" s="341" t="inlineStr">
        <is>
          <t>Senast inventering</t>
        </is>
      </c>
      <c r="H19" s="342" t="inlineStr">
        <is>
          <t>SIGN</t>
        </is>
      </c>
    </row>
    <row r="20">
      <c r="A20" s="373" t="inlineStr">
        <is>
          <t>525-00196</t>
        </is>
      </c>
      <c r="B20" s="460" t="inlineStr">
        <is>
          <t>ALQT,NATTROL,Sample Mix 4, Resp.Panel</t>
        </is>
      </c>
      <c r="C20" s="374">
        <f>IFERROR(INDEX($AZ$20#,ROW()-20+1,1),"")</f>
        <v/>
      </c>
      <c r="D20" s="375">
        <f>IFERROR(INDEX($AZ$20#,ROW()-20+1,2),"")</f>
        <v/>
      </c>
      <c r="E20" s="374">
        <f>IFERROR(INDEX($AZ$20#,ROW()-20+1,5),"")</f>
        <v/>
      </c>
      <c r="F20" s="374">
        <f>IFERROR(INDEX($AZ$20#,ROW()-20+1,3),"")</f>
        <v/>
      </c>
      <c r="G20" s="375">
        <f>IFERROR(INDEX($AZ$20#,ROW()-20+1,6),"")</f>
        <v/>
      </c>
      <c r="H20" s="398" t="inlineStr"/>
      <c r="AZ20">
        <f>LET(pn,$A$20,f,FILTER(tblLots[[LotNumber]:[LatestInventory]],(tblLots[PN]=pn)*(tblLots[IsActive]=TRUE),""),s,IFERROR(SORTBY(f,INDEX(f,,2),1,INDEX(f,,6),-1),""),IFERROR(INDEX(s,SEQUENCE(4),SEQUENCE(,6)),""))</f>
        <v/>
      </c>
    </row>
    <row r="21">
      <c r="A21" s="373">
        <f>A$20</f>
        <v/>
      </c>
      <c r="B21" s="579" t="n"/>
      <c r="C21" s="374">
        <f>IFERROR(INDEX($AZ$20#,ROW()-20+1,1),"")</f>
        <v/>
      </c>
      <c r="D21" s="375">
        <f>IFERROR(INDEX($AZ$20#,ROW()-20+1,2),"")</f>
        <v/>
      </c>
      <c r="E21" s="579" t="n"/>
      <c r="F21" s="374">
        <f>IFERROR(INDEX($AZ$20#,ROW()-20+1,3),"")</f>
        <v/>
      </c>
      <c r="G21" s="375">
        <f>IFERROR(INDEX($AZ$20#,ROW()-20+1,6),"")</f>
        <v/>
      </c>
      <c r="H21" s="398" t="inlineStr"/>
    </row>
    <row r="22">
      <c r="A22" s="373">
        <f>A$20</f>
        <v/>
      </c>
      <c r="B22" s="579" t="n"/>
      <c r="C22" s="374">
        <f>IFERROR(INDEX($AZ$20#,ROW()-20+1,1),"")</f>
        <v/>
      </c>
      <c r="D22" s="375">
        <f>IFERROR(INDEX($AZ$20#,ROW()-20+1,2),"")</f>
        <v/>
      </c>
      <c r="E22" s="579" t="n"/>
      <c r="F22" s="374">
        <f>IFERROR(INDEX($AZ$20#,ROW()-20+1,3),"")</f>
        <v/>
      </c>
      <c r="G22" s="375">
        <f>IFERROR(INDEX($AZ$20#,ROW()-20+1,6),"")</f>
        <v/>
      </c>
      <c r="H22" s="398" t="inlineStr"/>
    </row>
    <row r="23" ht="15.75" customHeight="1" thickBot="1">
      <c r="A23" s="376">
        <f>A$20</f>
        <v/>
      </c>
      <c r="B23" s="580" t="n"/>
      <c r="C23" s="377">
        <f>IFERROR(INDEX($AZ$20#,ROW()-20+1,1),"")</f>
        <v/>
      </c>
      <c r="D23" s="378">
        <f>IFERROR(INDEX($AZ$20#,ROW()-20+1,2),"")</f>
        <v/>
      </c>
      <c r="E23" s="580" t="n"/>
      <c r="F23" s="377">
        <f>IFERROR(INDEX($AZ$20#,ROW()-20+1,3),"")</f>
        <v/>
      </c>
      <c r="G23" s="378">
        <f>IFERROR(INDEX($AZ$20#,ROW()-20+1,6),"")</f>
        <v/>
      </c>
      <c r="H23" s="399" t="inlineStr"/>
    </row>
    <row r="24" ht="15.75" customHeight="1" thickBot="1">
      <c r="A24" s="35" t="n"/>
      <c r="B24" s="98" t="n"/>
      <c r="C24" s="35" t="n"/>
      <c r="D24" s="36" t="n"/>
      <c r="E24" s="35" t="n"/>
      <c r="F24" s="35" t="n"/>
      <c r="G24" s="36" t="n"/>
      <c r="H24" s="35" t="n"/>
    </row>
    <row r="25" ht="15.75" customHeight="1" thickBot="1">
      <c r="A25" s="109" t="inlineStr">
        <is>
          <t>P/N</t>
        </is>
      </c>
      <c r="B25" s="110" t="inlineStr">
        <is>
          <t>Artikel</t>
        </is>
      </c>
      <c r="C25" s="110" t="inlineStr">
        <is>
          <t>Lotnr.</t>
        </is>
      </c>
      <c r="D25" s="111" t="inlineStr">
        <is>
          <t>Utgångsdatum</t>
        </is>
      </c>
      <c r="E25" s="110" t="inlineStr">
        <is>
          <t>Förvaringsplats</t>
        </is>
      </c>
      <c r="F25" s="110" t="inlineStr">
        <is>
          <t>Antal i lager</t>
        </is>
      </c>
      <c r="G25" s="112" t="inlineStr">
        <is>
          <t>Senast inventering</t>
        </is>
      </c>
      <c r="H25" s="113" t="inlineStr">
        <is>
          <t>SIGN</t>
        </is>
      </c>
    </row>
    <row r="26">
      <c r="A26" s="357" t="inlineStr">
        <is>
          <t>001-1471</t>
        </is>
      </c>
      <c r="B26" s="459" t="inlineStr">
        <is>
          <t>Purified Serum Protein Matrix</t>
        </is>
      </c>
      <c r="C26" s="358">
        <f>IFERROR(INDEX($AZ$26#,ROW()-26+1,1),"")</f>
        <v/>
      </c>
      <c r="D26" s="359">
        <f>IFERROR(INDEX($AZ$26#,ROW()-26+1,2),"")</f>
        <v/>
      </c>
      <c r="E26" s="358">
        <f>IFERROR(INDEX($AZ$26#,ROW()-26+1,5),"")</f>
        <v/>
      </c>
      <c r="F26" s="358">
        <f>IFERROR(INDEX($AZ$26#,ROW()-26+1,3),"")</f>
        <v/>
      </c>
      <c r="G26" s="359">
        <f>IFERROR(INDEX($AZ$26#,ROW()-26+1,6),"")</f>
        <v/>
      </c>
      <c r="H26" s="397" t="inlineStr"/>
      <c r="AZ26">
        <f>LET(pn,$A$26,f,FILTER(tblLots[[LotNumber]:[LatestInventory]],(tblLots[PN]=pn)*(tblLots[IsActive]=TRUE),""),s,IFERROR(SORTBY(f,INDEX(f,,2),1,INDEX(f,,6),-1),""),IFERROR(INDEX(s,SEQUENCE(4),SEQUENCE(,6)),""))</f>
        <v/>
      </c>
    </row>
    <row r="27">
      <c r="A27" s="373">
        <f>A$26</f>
        <v/>
      </c>
      <c r="B27" s="579" t="n"/>
      <c r="C27" s="374">
        <f>IFERROR(INDEX($AZ$26#,ROW()-26+1,1),"")</f>
        <v/>
      </c>
      <c r="D27" s="375">
        <f>IFERROR(INDEX($AZ$26#,ROW()-26+1,2),"")</f>
        <v/>
      </c>
      <c r="E27" s="579" t="n"/>
      <c r="F27" s="374">
        <f>IFERROR(INDEX($AZ$26#,ROW()-26+1,3),"")</f>
        <v/>
      </c>
      <c r="G27" s="375">
        <f>IFERROR(INDEX($AZ$26#,ROW()-26+1,6),"")</f>
        <v/>
      </c>
      <c r="H27" s="398" t="inlineStr"/>
    </row>
    <row r="28">
      <c r="A28" s="373">
        <f>A$26</f>
        <v/>
      </c>
      <c r="B28" s="579" t="n"/>
      <c r="C28" s="374">
        <f>IFERROR(INDEX($AZ$26#,ROW()-26+1,1),"")</f>
        <v/>
      </c>
      <c r="D28" s="375">
        <f>IFERROR(INDEX($AZ$26#,ROW()-26+1,2),"")</f>
        <v/>
      </c>
      <c r="E28" s="579" t="n"/>
      <c r="F28" s="374">
        <f>IFERROR(INDEX($AZ$26#,ROW()-26+1,3),"")</f>
        <v/>
      </c>
      <c r="G28" s="375">
        <f>IFERROR(INDEX($AZ$26#,ROW()-26+1,6),"")</f>
        <v/>
      </c>
      <c r="H28" s="398" t="inlineStr"/>
    </row>
    <row r="29" ht="15.75" customHeight="1" thickBot="1">
      <c r="A29" s="376">
        <f>A$26</f>
        <v/>
      </c>
      <c r="B29" s="580" t="n"/>
      <c r="C29" s="377">
        <f>IFERROR(INDEX($AZ$26#,ROW()-26+1,1),"")</f>
        <v/>
      </c>
      <c r="D29" s="378">
        <f>IFERROR(INDEX($AZ$26#,ROW()-26+1,2),"")</f>
        <v/>
      </c>
      <c r="E29" s="580" t="n"/>
      <c r="F29" s="377">
        <f>IFERROR(INDEX($AZ$26#,ROW()-26+1,3),"")</f>
        <v/>
      </c>
      <c r="G29" s="378">
        <f>IFERROR(INDEX($AZ$26#,ROW()-26+1,6),"")</f>
        <v/>
      </c>
      <c r="H29" s="399" t="inlineStr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he3LvWnsofW5hdnthA/TpA==" formatRows="1" sort="1" spinCount="100000" hashValue="I/sDudhCk6t7pXGtOUS/HDnQR1yn6cxresbvNRzKXKJPUstN7WDXWY7nA0q/MDVRBwc4jjbJ08kBYaKbtnlUkg=="/>
  <mergeCells count="11">
    <mergeCell ref="E26:E29"/>
    <mergeCell ref="B5:B8"/>
    <mergeCell ref="A2:H2"/>
    <mergeCell ref="B26:B29"/>
    <mergeCell ref="B20:B23"/>
    <mergeCell ref="E20:E23"/>
    <mergeCell ref="B15:B18"/>
    <mergeCell ref="E15:E18"/>
    <mergeCell ref="E5:E8"/>
    <mergeCell ref="B10:B13"/>
    <mergeCell ref="E10:E1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tabColor theme="9" tint="-0.249977111117893"/>
    <outlinePr summaryBelow="1" summaryRight="1"/>
    <pageSetUpPr/>
  </sheetPr>
  <dimension ref="A1:AZ21"/>
  <sheetViews>
    <sheetView workbookViewId="0">
      <selection activeCell="A1" sqref="A1"/>
    </sheetView>
  </sheetViews>
  <sheetFormatPr baseColWidth="8" defaultRowHeight="15"/>
  <cols>
    <col width="8.7109375" bestFit="1" customWidth="1" min="1" max="1"/>
    <col hidden="1" width="20.42578125" customWidth="1" min="2" max="2"/>
    <col width="15" customWidth="1" min="3" max="3"/>
    <col width="14" bestFit="1" customWidth="1" min="4" max="4"/>
    <col width="14.5703125" bestFit="1" customWidth="1" min="5" max="5"/>
    <col width="17.85546875" bestFit="1" customWidth="1" min="6" max="7"/>
    <col width="7.85546875" customWidth="1" min="8" max="8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15.75" customHeight="1" thickBot="1"/>
    <row r="2" ht="24" customHeight="1" thickBot="1">
      <c r="A2" s="599" t="inlineStr">
        <is>
          <t>CTNG | CTNG JP</t>
        </is>
      </c>
      <c r="B2" s="551" t="n"/>
      <c r="C2" s="551" t="n"/>
      <c r="D2" s="551" t="n"/>
      <c r="E2" s="551" t="n"/>
      <c r="F2" s="551" t="n"/>
      <c r="G2" s="551" t="n"/>
      <c r="H2" s="552" t="n"/>
    </row>
    <row r="3" ht="15.75" customHeight="1" thickBot="1">
      <c r="A3" s="34" t="n"/>
      <c r="B3" s="35" t="n"/>
      <c r="C3" s="35" t="n"/>
      <c r="D3" s="36" t="n"/>
      <c r="E3" s="35" t="n"/>
      <c r="F3" s="35" t="n"/>
    </row>
    <row r="4" ht="15.75" customHeight="1" thickBot="1">
      <c r="A4" s="119" t="inlineStr">
        <is>
          <t>P/N</t>
        </is>
      </c>
      <c r="B4" s="120" t="inlineStr">
        <is>
          <t>Artikel</t>
        </is>
      </c>
      <c r="C4" s="120" t="inlineStr">
        <is>
          <t>Lotnr.</t>
        </is>
      </c>
      <c r="D4" s="121" t="inlineStr">
        <is>
          <t>Utgångsdatum</t>
        </is>
      </c>
      <c r="E4" s="120" t="inlineStr">
        <is>
          <t>Förvaringsplats</t>
        </is>
      </c>
      <c r="F4" s="120" t="inlineStr">
        <is>
          <t>Antal i lager</t>
        </is>
      </c>
      <c r="G4" s="122" t="inlineStr">
        <is>
          <t>Senast inventering</t>
        </is>
      </c>
      <c r="H4" s="123" t="inlineStr">
        <is>
          <t>SIGN</t>
        </is>
      </c>
    </row>
    <row r="5">
      <c r="A5" s="357" t="inlineStr">
        <is>
          <t>500-1526</t>
        </is>
      </c>
      <c r="B5" s="459" t="inlineStr">
        <is>
          <t>10X Negative cells mix</t>
        </is>
      </c>
      <c r="C5" s="358">
        <f>IFERROR(INDEX($AZ$5#,ROW()-5+1,1),"")</f>
        <v/>
      </c>
      <c r="D5" s="359">
        <f>IFERROR(INDEX($AZ$5#,ROW()-5+1,2),"")</f>
        <v/>
      </c>
      <c r="E5" s="358">
        <f>IFERROR(INDEX($AZ$5#,ROW()-5+1,5),"")</f>
        <v/>
      </c>
      <c r="F5" s="51">
        <f>IFERROR(INDEX($AZ$5#,ROW()-5+1,3),"")</f>
        <v/>
      </c>
      <c r="G5" s="359">
        <f>IFERROR(INDEX($AZ$5#,ROW()-5+1,6),"")</f>
        <v/>
      </c>
      <c r="H5" s="397" t="inlineStr"/>
      <c r="AZ5">
        <f>LET(pn,$A$5,f,FILTER(tblLots[[LotNumber]:[LatestInventory]],(tblLots[PN]=pn)*(tblLots[IsActive]=TRUE),""),s,IFERROR(SORTBY(f,INDEX(f,,2),1,INDEX(f,,6),-1),""),IFERROR(INDEX(s,SEQUENCE(4),SEQUENCE(,6)),""))</f>
        <v/>
      </c>
    </row>
    <row r="6">
      <c r="A6" s="373">
        <f>A$5</f>
        <v/>
      </c>
      <c r="B6" s="579" t="n"/>
      <c r="C6" s="374">
        <f>IFERROR(INDEX($AZ$5#,ROW()-5+1,1),"")</f>
        <v/>
      </c>
      <c r="D6" s="375">
        <f>IFERROR(INDEX($AZ$5#,ROW()-5+1,2),"")</f>
        <v/>
      </c>
      <c r="E6" s="579" t="n"/>
      <c r="F6" s="53">
        <f>IFERROR(INDEX($AZ$5#,ROW()-5+1,3),"")</f>
        <v/>
      </c>
      <c r="G6" s="375">
        <f>IFERROR(INDEX($AZ$5#,ROW()-5+1,6),"")</f>
        <v/>
      </c>
      <c r="H6" s="398" t="inlineStr"/>
    </row>
    <row r="7">
      <c r="A7" s="373">
        <f>A$5</f>
        <v/>
      </c>
      <c r="B7" s="579" t="n"/>
      <c r="C7" s="374">
        <f>IFERROR(INDEX($AZ$5#,ROW()-5+1,1),"")</f>
        <v/>
      </c>
      <c r="D7" s="375">
        <f>IFERROR(INDEX($AZ$5#,ROW()-5+1,2),"")</f>
        <v/>
      </c>
      <c r="E7" s="579" t="n"/>
      <c r="F7" s="53">
        <f>IFERROR(INDEX($AZ$5#,ROW()-5+1,3),"")</f>
        <v/>
      </c>
      <c r="G7" s="375">
        <f>IFERROR(INDEX($AZ$5#,ROW()-5+1,6),"")</f>
        <v/>
      </c>
      <c r="H7" s="398" t="inlineStr"/>
    </row>
    <row r="8" ht="15.75" customHeight="1" thickBot="1">
      <c r="A8" s="376">
        <f>A$5</f>
        <v/>
      </c>
      <c r="B8" s="580" t="n"/>
      <c r="C8" s="377">
        <f>IFERROR(INDEX($AZ$5#,ROW()-5+1,1),"")</f>
        <v/>
      </c>
      <c r="D8" s="378">
        <f>IFERROR(INDEX($AZ$5#,ROW()-5+1,2),"")</f>
        <v/>
      </c>
      <c r="E8" s="580" t="n"/>
      <c r="F8" s="54">
        <f>IFERROR(INDEX($AZ$5#,ROW()-5+1,3),"")</f>
        <v/>
      </c>
      <c r="G8" s="378">
        <f>IFERROR(INDEX($AZ$5#,ROW()-5+1,6),"")</f>
        <v/>
      </c>
      <c r="H8" s="399" t="inlineStr"/>
    </row>
    <row r="9" ht="15.75" customHeight="1" thickBot="1">
      <c r="A9" s="124" t="inlineStr">
        <is>
          <t>P/N</t>
        </is>
      </c>
      <c r="B9" s="125" t="inlineStr">
        <is>
          <t>Artikel</t>
        </is>
      </c>
      <c r="C9" s="125" t="inlineStr">
        <is>
          <t>Lotnr.</t>
        </is>
      </c>
      <c r="D9" s="126" t="inlineStr">
        <is>
          <t>Utgångsdatum</t>
        </is>
      </c>
      <c r="E9" s="125" t="inlineStr">
        <is>
          <t>Förvaringsplats</t>
        </is>
      </c>
      <c r="F9" s="125" t="inlineStr">
        <is>
          <t>Antal i lager</t>
        </is>
      </c>
      <c r="G9" s="127" t="inlineStr">
        <is>
          <t>Senast inventering</t>
        </is>
      </c>
      <c r="H9" s="128" t="inlineStr">
        <is>
          <t>SIGN</t>
        </is>
      </c>
    </row>
    <row r="10">
      <c r="A10" s="357" t="inlineStr">
        <is>
          <t>500-1544</t>
        </is>
      </c>
      <c r="B10" s="358" t="inlineStr">
        <is>
          <t>10X Positive cells mix</t>
        </is>
      </c>
      <c r="C10" s="358">
        <f>IFERROR(INDEX($AZ$10#,ROW()-10+1,1),"")</f>
        <v/>
      </c>
      <c r="D10" s="359">
        <f>IFERROR(INDEX($AZ$10#,ROW()-10+1,2),"")</f>
        <v/>
      </c>
      <c r="E10" s="358">
        <f>IFERROR(INDEX($AZ$10#,ROW()-10+1,5),"")</f>
        <v/>
      </c>
      <c r="F10" s="51">
        <f>IFERROR(INDEX($AZ$10#,ROW()-10+1,3),"")</f>
        <v/>
      </c>
      <c r="G10" s="359">
        <f>IFERROR(INDEX($AZ$10#,ROW()-10+1,6),"")</f>
        <v/>
      </c>
      <c r="H10" s="397" t="inlineStr"/>
      <c r="AZ10">
        <f>LET(pn,$A$10,f,FILTER(tblLots[[LotNumber]:[LatestInventory]],(tblLots[PN]=pn)*(tblLots[IsActive]=TRUE),""),s,IFERROR(SORTBY(f,INDEX(f,,2),1,INDEX(f,,6),-1),""),IFERROR(INDEX(s,SEQUENCE(4),SEQUENCE(,6)),""))</f>
        <v/>
      </c>
    </row>
    <row r="11">
      <c r="A11" s="373">
        <f>A$10</f>
        <v/>
      </c>
      <c r="B11" s="579" t="n"/>
      <c r="C11" s="374">
        <f>IFERROR(INDEX($AZ$10#,ROW()-10+1,1),"")</f>
        <v/>
      </c>
      <c r="D11" s="375">
        <f>IFERROR(INDEX($AZ$10#,ROW()-10+1,2),"")</f>
        <v/>
      </c>
      <c r="E11" s="579" t="n"/>
      <c r="F11" s="53">
        <f>IFERROR(INDEX($AZ$10#,ROW()-10+1,3),"")</f>
        <v/>
      </c>
      <c r="G11" s="375">
        <f>IFERROR(INDEX($AZ$10#,ROW()-10+1,6),"")</f>
        <v/>
      </c>
      <c r="H11" s="398" t="inlineStr"/>
    </row>
    <row r="12">
      <c r="A12" s="373">
        <f>A$10</f>
        <v/>
      </c>
      <c r="B12" s="579" t="n"/>
      <c r="C12" s="374">
        <f>IFERROR(INDEX($AZ$10#,ROW()-10+1,1),"")</f>
        <v/>
      </c>
      <c r="D12" s="375">
        <f>IFERROR(INDEX($AZ$10#,ROW()-10+1,2),"")</f>
        <v/>
      </c>
      <c r="E12" s="579" t="n"/>
      <c r="F12" s="53">
        <f>IFERROR(INDEX($AZ$10#,ROW()-10+1,3),"")</f>
        <v/>
      </c>
      <c r="G12" s="375">
        <f>IFERROR(INDEX($AZ$10#,ROW()-10+1,6),"")</f>
        <v/>
      </c>
      <c r="H12" s="398" t="inlineStr"/>
    </row>
    <row r="13" ht="15.75" customHeight="1" thickBot="1">
      <c r="A13" s="376">
        <f>A$10</f>
        <v/>
      </c>
      <c r="B13" s="580" t="n"/>
      <c r="C13" s="377">
        <f>IFERROR(INDEX($AZ$10#,ROW()-10+1,1),"")</f>
        <v/>
      </c>
      <c r="D13" s="378">
        <f>IFERROR(INDEX($AZ$10#,ROW()-10+1,2),"")</f>
        <v/>
      </c>
      <c r="E13" s="580" t="n"/>
      <c r="F13" s="54">
        <f>IFERROR(INDEX($AZ$10#,ROW()-10+1,3),"")</f>
        <v/>
      </c>
      <c r="G13" s="378">
        <f>IFERROR(INDEX($AZ$10#,ROW()-10+1,6),"")</f>
        <v/>
      </c>
      <c r="H13" s="399" t="inlineStr"/>
    </row>
    <row r="14" ht="15.75" customHeight="1" thickBot="1"/>
    <row r="15" ht="24" customHeight="1" thickBot="1">
      <c r="A15" s="581" t="inlineStr">
        <is>
          <t>CTNG - SR | 500-1514</t>
        </is>
      </c>
      <c r="B15" s="551" t="n"/>
      <c r="C15" s="551" t="n"/>
      <c r="D15" s="551" t="n"/>
      <c r="E15" s="551" t="n"/>
      <c r="F15" s="551" t="n"/>
      <c r="G15" s="551" t="n"/>
      <c r="H15" s="552" t="n"/>
    </row>
    <row r="16" ht="15.75" customHeight="1" thickBot="1">
      <c r="A16" s="586" t="inlineStr">
        <is>
          <t>P/N 500-1514 Transport buffer (exp 6 mån) 500-1514, TRANSPORT BUFFER,SWAB,BULK,CT/NG</t>
        </is>
      </c>
      <c r="B16" s="551" t="n"/>
      <c r="C16" s="551" t="n"/>
      <c r="D16" s="551" t="n"/>
      <c r="E16" s="551" t="n"/>
      <c r="F16" s="551" t="n"/>
      <c r="G16" s="551" t="n"/>
      <c r="H16" s="552" t="n"/>
    </row>
    <row r="17" ht="15.75" customHeight="1" thickBot="1">
      <c r="A17" s="600" t="inlineStr">
        <is>
          <t>Lotnummer</t>
        </is>
      </c>
      <c r="B17" s="555" t="n"/>
      <c r="C17" s="568" t="n"/>
      <c r="D17" s="601" t="inlineStr">
        <is>
          <t>Utgångsdatum</t>
        </is>
      </c>
      <c r="E17" s="568" t="n"/>
      <c r="F17" s="56" t="inlineStr">
        <is>
          <t>Volym, L</t>
        </is>
      </c>
      <c r="G17" s="369" t="inlineStr">
        <is>
          <t>Senast inventering</t>
        </is>
      </c>
      <c r="H17" s="58" t="inlineStr">
        <is>
          <t>SIGN</t>
        </is>
      </c>
    </row>
    <row r="18">
      <c r="A18" s="357">
        <f>IFERROR(INDEX($AZ$18#,ROW()-18+1,1),"")</f>
        <v/>
      </c>
      <c r="B18" s="558" t="n"/>
      <c r="C18" s="559" t="n"/>
      <c r="D18" s="359">
        <f>IFERROR(INDEX($AZ$18#,ROW()-18+1,2),"")</f>
        <v/>
      </c>
      <c r="E18" s="559" t="n"/>
      <c r="F18" s="359">
        <f>IFERROR(INDEX($AZ$18#,ROW()-18+1,3),"")</f>
        <v/>
      </c>
      <c r="G18" s="359">
        <f>IFERROR(INDEX($AZ$18#,ROW()-18+1,6),"")</f>
        <v/>
      </c>
      <c r="H18" s="397" t="inlineStr"/>
      <c r="AZ18">
        <f>LET(pn,$B$18,f,FILTER(tblLots[[LotNumber]:[LatestInventory]],(tblLots[PN]=pn)*(tblLots[IsActive]=TRUE),""),s,IFERROR(SORTBY(f,INDEX(f,,2),1,INDEX(f,,6),-1),""),IFERROR(INDEX(s,SEQUENCE(4),SEQUENCE(,6)),""))</f>
        <v/>
      </c>
    </row>
    <row r="19">
      <c r="A19" s="373">
        <f>IFERROR(INDEX($AZ$18#,ROW()-18+1,1),"")</f>
        <v/>
      </c>
      <c r="B19" s="560" t="n"/>
      <c r="C19" s="561" t="n"/>
      <c r="D19" s="375">
        <f>IFERROR(INDEX($AZ$18#,ROW()-18+1,2),"")</f>
        <v/>
      </c>
      <c r="E19" s="561" t="n"/>
      <c r="F19" s="375">
        <f>IFERROR(INDEX($AZ$18#,ROW()-18+1,3),"")</f>
        <v/>
      </c>
      <c r="G19" s="375">
        <f>IFERROR(INDEX($AZ$18#,ROW()-18+1,6),"")</f>
        <v/>
      </c>
      <c r="H19" s="398" t="inlineStr"/>
    </row>
    <row r="20">
      <c r="A20" s="373">
        <f>IFERROR(INDEX($AZ$18#,ROW()-18+1,1),"")</f>
        <v/>
      </c>
      <c r="B20" s="560" t="n"/>
      <c r="C20" s="561" t="n"/>
      <c r="D20" s="375">
        <f>IFERROR(INDEX($AZ$18#,ROW()-18+1,2),"")</f>
        <v/>
      </c>
      <c r="E20" s="561" t="n"/>
      <c r="F20" s="375">
        <f>IFERROR(INDEX($AZ$18#,ROW()-18+1,3),"")</f>
        <v/>
      </c>
      <c r="G20" s="375">
        <f>IFERROR(INDEX($AZ$18#,ROW()-18+1,6),"")</f>
        <v/>
      </c>
      <c r="H20" s="398" t="inlineStr"/>
    </row>
    <row r="21" ht="15.75" customHeight="1" thickBot="1">
      <c r="A21" s="376">
        <f>IFERROR(INDEX($AZ$18#,ROW()-18+1,1),"")</f>
        <v/>
      </c>
      <c r="B21" s="562" t="n"/>
      <c r="C21" s="563" t="n"/>
      <c r="D21" s="378">
        <f>IFERROR(INDEX($AZ$18#,ROW()-18+1,2),"")</f>
        <v/>
      </c>
      <c r="E21" s="563" t="n"/>
      <c r="F21" s="378">
        <f>IFERROR(INDEX($AZ$18#,ROW()-18+1,3),"")</f>
        <v/>
      </c>
      <c r="G21" s="378">
        <f>IFERROR(INDEX($AZ$18#,ROW()-18+1,6),"")</f>
        <v/>
      </c>
      <c r="H21" s="399" t="inlineStr"/>
    </row>
  </sheetData>
  <sheetProtection selectLockedCells="0" selectUnlockedCells="0" algorithmName="SHA-512" sheet="1" objects="0" insertRows="0" insertHyperlinks="0" autoFilter="0" scenarios="0" formatColumns="0" deleteColumns="0" insertColumns="0" pivotTables="0" deleteRows="0" formatCells="0" saltValue="4qukYOwr0nsrMgYADEhLHw==" formatRows="0" sort="0" spinCount="100000" hashValue="D4LxrJpqOue5kgi0DKTdlcLz/kgJ8iAU6c4u0diTUt1q2nPXQ2jxjnPacqbKZfOY+iohzSfRt0MmWiNmYKjPig=="/>
  <mergeCells count="17">
    <mergeCell ref="B5:B8"/>
    <mergeCell ref="D20:E20"/>
    <mergeCell ref="A19:C19"/>
    <mergeCell ref="A15:H15"/>
    <mergeCell ref="E10:E13"/>
    <mergeCell ref="D19:E19"/>
    <mergeCell ref="A2:H2"/>
    <mergeCell ref="A16:H16"/>
    <mergeCell ref="A17:C17"/>
    <mergeCell ref="A18:C18"/>
    <mergeCell ref="A21:C21"/>
    <mergeCell ref="D18:E18"/>
    <mergeCell ref="E5:E8"/>
    <mergeCell ref="D17:E17"/>
    <mergeCell ref="A20:C20"/>
    <mergeCell ref="B10:B13"/>
    <mergeCell ref="D21:E21"/>
  </mergeCells>
  <pageMargins left="0.7" right="0.7" top="0.75" bottom="0.75" header="0.3" footer="0.3"/>
  <pageSetup orientation="portrait" paperSize="9" verticalDpi="0"/>
</worksheet>
</file>

<file path=xl/worksheets/sheet14.xml><?xml version="1.0" encoding="utf-8"?>
<worksheet xmlns="http://schemas.openxmlformats.org/spreadsheetml/2006/main">
  <sheetPr codeName="Sheet11">
    <tabColor theme="7" tint="0.5999938962981048"/>
    <outlinePr summaryBelow="1" summaryRight="1"/>
    <pageSetUpPr/>
  </sheetPr>
  <dimension ref="A1:AZ16"/>
  <sheetViews>
    <sheetView workbookViewId="0">
      <selection activeCell="A1" sqref="A1"/>
    </sheetView>
  </sheetViews>
  <sheetFormatPr baseColWidth="8" defaultRowHeight="15"/>
  <cols>
    <col width="8.7109375" bestFit="1" customWidth="1" min="1" max="1"/>
    <col hidden="1" width="21" bestFit="1" customWidth="1" min="2" max="2"/>
    <col width="15" customWidth="1" min="3" max="3"/>
    <col width="14" bestFit="1" customWidth="1" min="4" max="4"/>
    <col width="14.5703125" bestFit="1" customWidth="1" min="5" max="5"/>
    <col width="13.42578125" bestFit="1" customWidth="1" min="6" max="6"/>
    <col width="17.85546875" bestFit="1" customWidth="1" min="7" max="7"/>
    <col width="8" customWidth="1" min="8" max="8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15.75" customHeight="1" thickBot="1"/>
    <row r="2" ht="24" customHeight="1" thickBot="1">
      <c r="A2" s="602" t="inlineStr">
        <is>
          <t>C.DIFF | C.DIFF JP</t>
        </is>
      </c>
      <c r="B2" s="551" t="n"/>
      <c r="C2" s="551" t="n"/>
      <c r="D2" s="551" t="n"/>
      <c r="E2" s="551" t="n"/>
      <c r="F2" s="551" t="n"/>
      <c r="G2" s="551" t="n"/>
      <c r="H2" s="552" t="n"/>
    </row>
    <row r="3" ht="15.75" customHeight="1" thickBot="1">
      <c r="A3" s="34" t="n"/>
      <c r="B3" s="35" t="n"/>
      <c r="C3" s="35" t="n"/>
      <c r="D3" s="36" t="n"/>
      <c r="E3" s="35" t="n"/>
      <c r="F3" s="35" t="n"/>
    </row>
    <row r="4" ht="15.75" customHeight="1" thickBot="1">
      <c r="A4" s="109" t="inlineStr">
        <is>
          <t>P/N</t>
        </is>
      </c>
      <c r="B4" s="110" t="inlineStr">
        <is>
          <t>Artikel</t>
        </is>
      </c>
      <c r="C4" s="110" t="inlineStr">
        <is>
          <t>Lotnr.</t>
        </is>
      </c>
      <c r="D4" s="111" t="inlineStr">
        <is>
          <t>Utgångsdatum</t>
        </is>
      </c>
      <c r="E4" s="110" t="inlineStr">
        <is>
          <t>Förvaringsplats</t>
        </is>
      </c>
      <c r="F4" s="110" t="inlineStr">
        <is>
          <t>Antal i lager</t>
        </is>
      </c>
      <c r="G4" s="130" t="inlineStr">
        <is>
          <t>Senast inventering</t>
        </is>
      </c>
      <c r="H4" s="113" t="inlineStr">
        <is>
          <t>SIGN</t>
        </is>
      </c>
    </row>
    <row r="5">
      <c r="A5" s="357" t="inlineStr">
        <is>
          <t>500-1529</t>
        </is>
      </c>
      <c r="B5" s="459" t="inlineStr">
        <is>
          <t>C.difficile cells</t>
        </is>
      </c>
      <c r="C5" s="358">
        <f>IFERROR(INDEX($AZ$5#,ROW()-5+1,1),"")</f>
        <v/>
      </c>
      <c r="D5" s="359">
        <f>IFERROR(INDEX($AZ$5#,ROW()-5+1,2),"")</f>
        <v/>
      </c>
      <c r="E5" s="358">
        <f>IFERROR(INDEX($AZ$5#,ROW()-5+1,5),"")</f>
        <v/>
      </c>
      <c r="F5" s="358">
        <f>IFERROR(INDEX($AZ$5#,ROW()-5+1,3),"")</f>
        <v/>
      </c>
      <c r="G5" s="359">
        <f>IFERROR(INDEX($AZ$5#,ROW()-5+1,6),"")</f>
        <v/>
      </c>
      <c r="H5" s="397" t="inlineStr"/>
      <c r="AZ5">
        <f>LET(pn,$A$5,f,FILTER(tblLots[[LotNumber]:[LatestInventory]],(tblLots[PN]=pn)*(tblLots[IsActive]=TRUE),""),s,IFERROR(SORTBY(f,INDEX(f,,2),1,INDEX(f,,6),-1),""),IFERROR(INDEX(s,SEQUENCE(4),SEQUENCE(,6)),""))</f>
        <v/>
      </c>
    </row>
    <row r="6">
      <c r="A6" s="373">
        <f>A$5</f>
        <v/>
      </c>
      <c r="B6" s="579" t="n"/>
      <c r="C6" s="374">
        <f>IFERROR(INDEX($AZ$5#,ROW()-5+1,1),"")</f>
        <v/>
      </c>
      <c r="D6" s="375">
        <f>IFERROR(INDEX($AZ$5#,ROW()-5+1,2),"")</f>
        <v/>
      </c>
      <c r="E6" s="579" t="n"/>
      <c r="F6" s="374">
        <f>IFERROR(INDEX($AZ$5#,ROW()-5+1,3),"")</f>
        <v/>
      </c>
      <c r="G6" s="375">
        <f>IFERROR(INDEX($AZ$5#,ROW()-5+1,6),"")</f>
        <v/>
      </c>
      <c r="H6" s="398" t="inlineStr"/>
    </row>
    <row r="7">
      <c r="A7" s="373">
        <f>A$5</f>
        <v/>
      </c>
      <c r="B7" s="579" t="n"/>
      <c r="C7" s="374">
        <f>IFERROR(INDEX($AZ$5#,ROW()-5+1,1),"")</f>
        <v/>
      </c>
      <c r="D7" s="375">
        <f>IFERROR(INDEX($AZ$5#,ROW()-5+1,2),"")</f>
        <v/>
      </c>
      <c r="E7" s="579" t="n"/>
      <c r="F7" s="374">
        <f>IFERROR(INDEX($AZ$5#,ROW()-5+1,3),"")</f>
        <v/>
      </c>
      <c r="G7" s="375">
        <f>IFERROR(INDEX($AZ$5#,ROW()-5+1,6),"")</f>
        <v/>
      </c>
      <c r="H7" s="398" t="inlineStr"/>
    </row>
    <row r="8" ht="15.75" customHeight="1" thickBot="1">
      <c r="A8" s="376">
        <f>A$5</f>
        <v/>
      </c>
      <c r="B8" s="580" t="n"/>
      <c r="C8" s="377">
        <f>IFERROR(INDEX($AZ$5#,ROW()-5+1,1),"")</f>
        <v/>
      </c>
      <c r="D8" s="378">
        <f>IFERROR(INDEX($AZ$5#,ROW()-5+1,2),"")</f>
        <v/>
      </c>
      <c r="E8" s="580" t="n"/>
      <c r="F8" s="377">
        <f>IFERROR(INDEX($AZ$5#,ROW()-5+1,3),"")</f>
        <v/>
      </c>
      <c r="G8" s="378">
        <f>IFERROR(INDEX($AZ$5#,ROW()-5+1,6),"")</f>
        <v/>
      </c>
      <c r="H8" s="399" t="inlineStr"/>
    </row>
    <row r="9" ht="15.75" customHeight="1" thickBot="1"/>
    <row r="10" ht="24" customHeight="1" thickBot="1">
      <c r="A10" s="581" t="inlineStr">
        <is>
          <t>GX Lysis buffer | 500-2288</t>
        </is>
      </c>
      <c r="B10" s="551" t="n"/>
      <c r="C10" s="551" t="n"/>
      <c r="D10" s="551" t="n"/>
      <c r="E10" s="551" t="n"/>
      <c r="F10" s="551" t="n"/>
      <c r="G10" s="551" t="n"/>
      <c r="H10" s="552" t="n"/>
    </row>
    <row r="11" ht="15.75" customHeight="1" thickBot="1">
      <c r="A11" s="582" t="inlineStr">
        <is>
          <t>P/N 500-2288 GX Lysis buffer (exp 3 mån) 500-2288, GX Lysis buffer</t>
        </is>
      </c>
      <c r="B11" s="555" t="n"/>
      <c r="C11" s="555" t="n"/>
      <c r="D11" s="555" t="n"/>
      <c r="E11" s="555" t="n"/>
      <c r="F11" s="555" t="n"/>
      <c r="G11" s="555" t="n"/>
      <c r="H11" s="556" t="n"/>
    </row>
    <row r="12" ht="15.75" customHeight="1" thickBot="1">
      <c r="A12" s="366" t="inlineStr">
        <is>
          <t>Lotnummer</t>
        </is>
      </c>
      <c r="B12" s="555" t="n"/>
      <c r="C12" s="557" t="n"/>
      <c r="D12" s="369" t="inlineStr">
        <is>
          <t>Utgångsdatum</t>
        </is>
      </c>
      <c r="E12" s="557" t="n"/>
      <c r="F12" s="369" t="inlineStr">
        <is>
          <t>Volym, L</t>
        </is>
      </c>
      <c r="G12" s="369" t="inlineStr">
        <is>
          <t>Senast inventering</t>
        </is>
      </c>
      <c r="H12" s="58" t="inlineStr">
        <is>
          <t>SIGN</t>
        </is>
      </c>
    </row>
    <row r="13">
      <c r="A13" s="357">
        <f>IFERROR(INDEX($AZ$13#,ROW()-13+1,1),"")</f>
        <v/>
      </c>
      <c r="B13" s="558" t="n"/>
      <c r="C13" s="559" t="n"/>
      <c r="D13" s="359">
        <f>IFERROR(INDEX($AZ$13#,ROW()-13+1,2),"")</f>
        <v/>
      </c>
      <c r="E13" s="559" t="n"/>
      <c r="F13" s="358">
        <f>IFERROR(INDEX($AZ$13#,ROW()-13+1,3),"")</f>
        <v/>
      </c>
      <c r="G13" s="359">
        <f>IFERROR(INDEX($AZ$13#,ROW()-13+1,6),"")</f>
        <v/>
      </c>
      <c r="H13" s="397" t="inlineStr"/>
      <c r="K13" s="129" t="n"/>
      <c r="AZ13">
        <f>LET(pn,$B$13,f,FILTER(tblLots[[LotNumber]:[LatestInventory]],(tblLots[PN]=pn)*(tblLots[IsActive]=TRUE),""),s,IFERROR(SORTBY(f,INDEX(f,,2),1,INDEX(f,,6),-1),""),IFERROR(INDEX(s,SEQUENCE(4),SEQUENCE(,6)),""))</f>
        <v/>
      </c>
    </row>
    <row r="14">
      <c r="A14" s="373">
        <f>IFERROR(INDEX($AZ$13#,ROW()-13+1,1),"")</f>
        <v/>
      </c>
      <c r="B14" s="560" t="n"/>
      <c r="C14" s="561" t="n"/>
      <c r="D14" s="375">
        <f>IFERROR(INDEX($AZ$13#,ROW()-13+1,2),"")</f>
        <v/>
      </c>
      <c r="E14" s="561" t="n"/>
      <c r="F14" s="374">
        <f>IFERROR(INDEX($AZ$13#,ROW()-13+1,3),"")</f>
        <v/>
      </c>
      <c r="G14" s="375">
        <f>IFERROR(INDEX($AZ$13#,ROW()-13+1,6),"")</f>
        <v/>
      </c>
      <c r="H14" s="398" t="inlineStr"/>
    </row>
    <row r="15">
      <c r="A15" s="373">
        <f>IFERROR(INDEX($AZ$13#,ROW()-13+1,1),"")</f>
        <v/>
      </c>
      <c r="B15" s="560" t="n"/>
      <c r="C15" s="561" t="n"/>
      <c r="D15" s="375">
        <f>IFERROR(INDEX($AZ$13#,ROW()-13+1,2),"")</f>
        <v/>
      </c>
      <c r="E15" s="561" t="n"/>
      <c r="F15" s="374">
        <f>IFERROR(INDEX($AZ$13#,ROW()-13+1,3),"")</f>
        <v/>
      </c>
      <c r="G15" s="375">
        <f>IFERROR(INDEX($AZ$13#,ROW()-13+1,6),"")</f>
        <v/>
      </c>
      <c r="H15" s="398" t="inlineStr"/>
    </row>
    <row r="16" ht="15.75" customHeight="1" thickBot="1">
      <c r="A16" s="376">
        <f>IFERROR(INDEX($AZ$13#,ROW()-13+1,1),"")</f>
        <v/>
      </c>
      <c r="B16" s="562" t="n"/>
      <c r="C16" s="563" t="n"/>
      <c r="D16" s="378">
        <f>IFERROR(INDEX($AZ$13#,ROW()-13+1,2),"")</f>
        <v/>
      </c>
      <c r="E16" s="563" t="n"/>
      <c r="F16" s="377">
        <f>IFERROR(INDEX($AZ$13#,ROW()-13+1,3),"")</f>
        <v/>
      </c>
      <c r="G16" s="378">
        <f>IFERROR(INDEX($AZ$13#,ROW()-13+1,6),"")</f>
        <v/>
      </c>
      <c r="H16" s="399" t="inlineStr"/>
    </row>
  </sheetData>
  <sheetProtection selectLockedCells="0" selectUnlockedCells="0" algorithmName="SHA-512" sheet="1" objects="0" insertRows="0" insertHyperlinks="0" autoFilter="0" scenarios="0" formatColumns="0" deleteColumns="0" insertColumns="0" pivotTables="0" deleteRows="0" formatCells="0" saltValue="ZemZaT8XFpsVHxAd/MchEQ==" formatRows="0" sort="0" spinCount="100000" hashValue="Ihq/xNK3IZmd6JAIfXTtXoli0pVqVbRav+fYYon5OaP9c6m60mARWtX72x1oyCSgyh1MVF9X8ajfD14FAY8sWg=="/>
  <mergeCells count="15">
    <mergeCell ref="B5:B8"/>
    <mergeCell ref="D16:E16"/>
    <mergeCell ref="A13:C13"/>
    <mergeCell ref="D15:E15"/>
    <mergeCell ref="D13:E13"/>
    <mergeCell ref="A2:H2"/>
    <mergeCell ref="A14:C14"/>
    <mergeCell ref="A10:H10"/>
    <mergeCell ref="D14:E14"/>
    <mergeCell ref="A11:H11"/>
    <mergeCell ref="A12:C12"/>
    <mergeCell ref="E5:E8"/>
    <mergeCell ref="A16:C16"/>
    <mergeCell ref="D12:E12"/>
    <mergeCell ref="A15:C15"/>
  </mergeCells>
  <pageMargins left="0.7" right="0.7" top="0.75" bottom="0.75" header="0.3" footer="0.3"/>
  <pageSetup orientation="portrait" paperSize="9" verticalDpi="0"/>
</worksheet>
</file>

<file path=xl/worksheets/sheet15.xml><?xml version="1.0" encoding="utf-8"?>
<worksheet xmlns="http://schemas.openxmlformats.org/spreadsheetml/2006/main">
  <sheetPr codeName="Sheet12">
    <tabColor theme="8" tint="0.5999938962981048"/>
    <outlinePr summaryBelow="1" summaryRight="1"/>
    <pageSetUpPr/>
  </sheetPr>
  <dimension ref="A1:AZ23"/>
  <sheetViews>
    <sheetView workbookViewId="0">
      <selection activeCell="A1" sqref="A1"/>
    </sheetView>
  </sheetViews>
  <sheetFormatPr baseColWidth="8" defaultRowHeight="15"/>
  <cols>
    <col width="12.28515625" bestFit="1" customWidth="1" min="1" max="1"/>
    <col width="19.28515625" customWidth="1" min="2" max="2"/>
    <col width="14.42578125" customWidth="1" min="3" max="3"/>
    <col width="14" bestFit="1" customWidth="1" min="4" max="4"/>
    <col width="14.5703125" bestFit="1" customWidth="1" min="5" max="5"/>
    <col width="17.85546875" bestFit="1" customWidth="1" min="6" max="7"/>
    <col width="12.42578125" bestFit="1" customWidth="1" min="8" max="8"/>
    <col width="12.7109375" bestFit="1" customWidth="1" min="9" max="9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15.75" customHeight="1" thickBot="1"/>
    <row r="2" ht="24" customHeight="1" thickBot="1">
      <c r="A2" s="564" t="inlineStr">
        <is>
          <t>EBOLA</t>
        </is>
      </c>
      <c r="B2" s="551" t="n"/>
      <c r="C2" s="551" t="n"/>
      <c r="D2" s="551" t="n"/>
      <c r="E2" s="551" t="n"/>
      <c r="F2" s="551" t="n"/>
      <c r="G2" s="551" t="n"/>
      <c r="H2" s="552" t="n"/>
    </row>
    <row r="3" ht="15.75" customHeight="1" thickBot="1">
      <c r="A3" s="34" t="n"/>
      <c r="B3" s="35" t="n"/>
      <c r="C3" s="35" t="n"/>
      <c r="D3" s="36" t="n"/>
      <c r="E3" s="35" t="n"/>
      <c r="F3" s="35" t="n"/>
      <c r="G3" s="75" t="n"/>
    </row>
    <row r="4" ht="15.75" customHeight="1" thickBot="1">
      <c r="A4" s="131" t="inlineStr">
        <is>
          <t>P/N</t>
        </is>
      </c>
      <c r="B4" s="132" t="inlineStr">
        <is>
          <t>Artikel</t>
        </is>
      </c>
      <c r="C4" s="132" t="inlineStr">
        <is>
          <t>Lotnr.</t>
        </is>
      </c>
      <c r="D4" s="133" t="inlineStr">
        <is>
          <t>Utgångsdatum</t>
        </is>
      </c>
      <c r="E4" s="132" t="inlineStr">
        <is>
          <t>Förvaringsplats</t>
        </is>
      </c>
      <c r="F4" s="132" t="inlineStr">
        <is>
          <t>Antal i lager</t>
        </is>
      </c>
      <c r="G4" s="134" t="inlineStr">
        <is>
          <t>Senast inventering</t>
        </is>
      </c>
      <c r="H4" s="135" t="inlineStr">
        <is>
          <t>SIGN</t>
        </is>
      </c>
    </row>
    <row r="5">
      <c r="A5" s="357" t="inlineStr">
        <is>
          <t>525-00038</t>
        </is>
      </c>
      <c r="B5" s="459" t="inlineStr">
        <is>
          <t>EDTA Human Whole  Blood (NTC)</t>
        </is>
      </c>
      <c r="C5" s="358">
        <f>IFERROR(INDEX($AZ$5#,ROW()-5+1,1),"")</f>
        <v/>
      </c>
      <c r="D5" s="359">
        <f>IFERROR(INDEX($AZ$5#,ROW()-5+1,2),"")</f>
        <v/>
      </c>
      <c r="E5" s="358">
        <f>IFERROR(INDEX($AZ$5#,ROW()-5+1,5),"")</f>
        <v/>
      </c>
      <c r="F5" s="51">
        <f>IFERROR(INDEX($AZ$5#,ROW()-5+1,3),"")</f>
        <v/>
      </c>
      <c r="G5" s="359">
        <f>IFERROR(INDEX($AZ$5#,ROW()-5+1,6),"")</f>
        <v/>
      </c>
      <c r="H5" s="397" t="inlineStr"/>
      <c r="AZ5">
        <f>LET(pn,$A$5,f,FILTER(tblLots[[LotNumber]:[LatestInventory]],(tblLots[PN]=pn)*(tblLots[IsActive]=TRUE),""),s,IFERROR(SORTBY(f,INDEX(f,,2),1,INDEX(f,,6),-1),""),IFERROR(INDEX(s,SEQUENCE(4),SEQUENCE(,6)),""))</f>
        <v/>
      </c>
    </row>
    <row r="6">
      <c r="A6" s="373">
        <f>A$5</f>
        <v/>
      </c>
      <c r="B6" s="579" t="n"/>
      <c r="C6" s="374">
        <f>IFERROR(INDEX($AZ$5#,ROW()-5+1,1),"")</f>
        <v/>
      </c>
      <c r="D6" s="375">
        <f>IFERROR(INDEX($AZ$5#,ROW()-5+1,2),"")</f>
        <v/>
      </c>
      <c r="E6" s="579" t="n"/>
      <c r="F6" s="53">
        <f>IFERROR(INDEX($AZ$5#,ROW()-5+1,3),"")</f>
        <v/>
      </c>
      <c r="G6" s="375">
        <f>IFERROR(INDEX($AZ$5#,ROW()-5+1,6),"")</f>
        <v/>
      </c>
      <c r="H6" s="398" t="inlineStr"/>
    </row>
    <row r="7">
      <c r="A7" s="373">
        <f>A$5</f>
        <v/>
      </c>
      <c r="B7" s="579" t="n"/>
      <c r="C7" s="374">
        <f>IFERROR(INDEX($AZ$5#,ROW()-5+1,1),"")</f>
        <v/>
      </c>
      <c r="D7" s="375">
        <f>IFERROR(INDEX($AZ$5#,ROW()-5+1,2),"")</f>
        <v/>
      </c>
      <c r="E7" s="579" t="n"/>
      <c r="F7" s="53">
        <f>IFERROR(INDEX($AZ$5#,ROW()-5+1,3),"")</f>
        <v/>
      </c>
      <c r="G7" s="375">
        <f>IFERROR(INDEX($AZ$5#,ROW()-5+1,6),"")</f>
        <v/>
      </c>
      <c r="H7" s="398" t="inlineStr"/>
    </row>
    <row r="8" ht="15.75" customHeight="1" thickBot="1">
      <c r="A8" s="376">
        <f>A$5</f>
        <v/>
      </c>
      <c r="B8" s="580" t="n"/>
      <c r="C8" s="377">
        <f>IFERROR(INDEX($AZ$5#,ROW()-5+1,1),"")</f>
        <v/>
      </c>
      <c r="D8" s="378">
        <f>IFERROR(INDEX($AZ$5#,ROW()-5+1,2),"")</f>
        <v/>
      </c>
      <c r="E8" s="580" t="n"/>
      <c r="F8" s="54">
        <f>IFERROR(INDEX($AZ$5#,ROW()-5+1,3),"")</f>
        <v/>
      </c>
      <c r="G8" s="378">
        <f>IFERROR(INDEX($AZ$5#,ROW()-5+1,6),"")</f>
        <v/>
      </c>
      <c r="H8" s="399" t="inlineStr"/>
    </row>
    <row r="9" ht="15.75" customHeight="1" thickBot="1">
      <c r="A9" s="319" t="inlineStr">
        <is>
          <t>P/N</t>
        </is>
      </c>
      <c r="B9" s="320" t="inlineStr">
        <is>
          <t>Artikel</t>
        </is>
      </c>
      <c r="C9" s="320" t="inlineStr">
        <is>
          <t>Lotnr.</t>
        </is>
      </c>
      <c r="D9" s="321" t="inlineStr">
        <is>
          <t>Utgångsdatum</t>
        </is>
      </c>
      <c r="E9" s="320" t="inlineStr">
        <is>
          <t>Förvaringsplats</t>
        </is>
      </c>
      <c r="F9" s="320" t="inlineStr">
        <is>
          <t>Antal i lager</t>
        </is>
      </c>
      <c r="G9" s="322" t="inlineStr">
        <is>
          <t>Senast inventering</t>
        </is>
      </c>
      <c r="H9" s="323" t="inlineStr">
        <is>
          <t>SIGN</t>
        </is>
      </c>
    </row>
    <row r="10">
      <c r="A10" s="427" t="inlineStr">
        <is>
          <t>525-00327</t>
        </is>
      </c>
      <c r="B10" s="504" t="inlineStr">
        <is>
          <t>EDTA Human Whole  Blood (NTC)</t>
        </is>
      </c>
      <c r="C10" s="428">
        <f>IFERROR(INDEX($AZ$10#,ROW()-10+1,1),"")</f>
        <v/>
      </c>
      <c r="D10" s="429">
        <f>IFERROR(INDEX($AZ$10#,ROW()-10+1,2),"")</f>
        <v/>
      </c>
      <c r="E10" s="428">
        <f>IFERROR(INDEX($AZ$10#,ROW()-10+1,5),"")</f>
        <v/>
      </c>
      <c r="F10" s="318">
        <f>IFERROR(INDEX($AZ$10#,ROW()-10+1,3),"")</f>
        <v/>
      </c>
      <c r="G10" s="375">
        <f>IFERROR(INDEX($AZ$10#,ROW()-10+1,6),"")</f>
        <v/>
      </c>
      <c r="H10" s="37" t="inlineStr"/>
      <c r="AZ10">
        <f>LET(pn,$A$10,f,FILTER(tblLots[[LotNumber]:[LatestInventory]],(tblLots[PN]=pn)*(tblLots[IsActive]=TRUE),""),s,IFERROR(SORTBY(f,INDEX(f,,2),1,INDEX(f,,6),-1),""),IFERROR(INDEX(s,SEQUENCE(4),SEQUENCE(,6)),""))</f>
        <v/>
      </c>
    </row>
    <row r="11">
      <c r="A11" s="373">
        <f>A$10</f>
        <v/>
      </c>
      <c r="B11" s="570" t="n"/>
      <c r="C11" s="428">
        <f>IFERROR(INDEX($AZ$10#,ROW()-10+1,1),"")</f>
        <v/>
      </c>
      <c r="D11" s="429">
        <f>IFERROR(INDEX($AZ$10#,ROW()-10+1,2),"")</f>
        <v/>
      </c>
      <c r="E11" s="579" t="n"/>
      <c r="F11" s="318">
        <f>IFERROR(INDEX($AZ$10#,ROW()-10+1,3),"")</f>
        <v/>
      </c>
      <c r="G11" s="375">
        <f>IFERROR(INDEX($AZ$10#,ROW()-10+1,6),"")</f>
        <v/>
      </c>
      <c r="H11" s="37" t="inlineStr"/>
    </row>
    <row r="12">
      <c r="A12" s="373">
        <f>A$10</f>
        <v/>
      </c>
      <c r="B12" s="570" t="n"/>
      <c r="C12" s="428">
        <f>IFERROR(INDEX($AZ$10#,ROW()-10+1,1),"")</f>
        <v/>
      </c>
      <c r="D12" s="429">
        <f>IFERROR(INDEX($AZ$10#,ROW()-10+1,2),"")</f>
        <v/>
      </c>
      <c r="E12" s="579" t="n"/>
      <c r="F12" s="318">
        <f>IFERROR(INDEX($AZ$10#,ROW()-10+1,3),"")</f>
        <v/>
      </c>
      <c r="G12" s="375">
        <f>IFERROR(INDEX($AZ$10#,ROW()-10+1,6),"")</f>
        <v/>
      </c>
      <c r="H12" s="37" t="inlineStr"/>
    </row>
    <row r="13" ht="15.75" customHeight="1" thickBot="1">
      <c r="A13" s="376">
        <f>A$10</f>
        <v/>
      </c>
      <c r="B13" s="573" t="n"/>
      <c r="C13" s="422">
        <f>IFERROR(INDEX($AZ$10#,ROW()-10+1,1),"")</f>
        <v/>
      </c>
      <c r="D13" s="423">
        <f>IFERROR(INDEX($AZ$10#,ROW()-10+1,2),"")</f>
        <v/>
      </c>
      <c r="E13" s="580" t="n"/>
      <c r="F13" s="324">
        <f>IFERROR(INDEX($AZ$10#,ROW()-10+1,3),"")</f>
        <v/>
      </c>
      <c r="G13" s="378">
        <f>IFERROR(INDEX($AZ$10#,ROW()-10+1,6),"")</f>
        <v/>
      </c>
      <c r="H13" s="44" t="inlineStr"/>
    </row>
    <row r="14" ht="15.75" customHeight="1" thickBot="1">
      <c r="A14" s="136" t="inlineStr">
        <is>
          <t>P/N</t>
        </is>
      </c>
      <c r="B14" s="137" t="inlineStr">
        <is>
          <t>Artikel</t>
        </is>
      </c>
      <c r="C14" s="137" t="inlineStr">
        <is>
          <t>Lotnr.</t>
        </is>
      </c>
      <c r="D14" s="138" t="inlineStr">
        <is>
          <t>Utgångsdatum</t>
        </is>
      </c>
      <c r="E14" s="137" t="inlineStr">
        <is>
          <t>Förvaringsplats</t>
        </is>
      </c>
      <c r="F14" s="137" t="inlineStr">
        <is>
          <t>Antal i lager</t>
        </is>
      </c>
      <c r="G14" s="139" t="inlineStr">
        <is>
          <t>Senast inventering</t>
        </is>
      </c>
      <c r="H14" s="140" t="inlineStr">
        <is>
          <t>SIGN</t>
        </is>
      </c>
    </row>
    <row r="15">
      <c r="A15" s="357" t="inlineStr">
        <is>
          <t>525-00065</t>
        </is>
      </c>
      <c r="B15" s="358" t="inlineStr">
        <is>
          <t>Ebola PC-Low</t>
        </is>
      </c>
      <c r="C15" s="358">
        <f>IFERROR(INDEX($AZ$15#,ROW()-15+1,1),"")</f>
        <v/>
      </c>
      <c r="D15" s="359">
        <f>IFERROR(INDEX($AZ$15#,ROW()-15+1,2),"")</f>
        <v/>
      </c>
      <c r="E15" s="358">
        <f>IFERROR(INDEX($AZ$15#,ROW()-15+1,5),"")</f>
        <v/>
      </c>
      <c r="F15" s="358">
        <f>IFERROR(INDEX($AZ$15#,ROW()-15+1,3),"")</f>
        <v/>
      </c>
      <c r="G15" s="359">
        <f>IFERROR(INDEX($AZ$15#,ROW()-15+1,6),"")</f>
        <v/>
      </c>
      <c r="H15" s="397" t="inlineStr"/>
      <c r="AZ15">
        <f>LET(pn,$A$15,f,FILTER(tblLots[[LotNumber]:[LatestInventory]],(tblLots[PN]=pn)*(tblLots[IsActive]=TRUE),""),s,IFERROR(SORTBY(f,INDEX(f,,2),1,INDEX(f,,6),-1),""),IFERROR(INDEX(s,SEQUENCE(4),SEQUENCE(,6)),""))</f>
        <v/>
      </c>
    </row>
    <row r="16">
      <c r="A16" s="373">
        <f>A$15</f>
        <v/>
      </c>
      <c r="B16" s="579" t="n"/>
      <c r="C16" s="374">
        <f>IFERROR(INDEX($AZ$15#,ROW()-15+1,1),"")</f>
        <v/>
      </c>
      <c r="D16" s="375">
        <f>IFERROR(INDEX($AZ$15#,ROW()-15+1,2),"")</f>
        <v/>
      </c>
      <c r="E16" s="579" t="n"/>
      <c r="F16" s="374">
        <f>IFERROR(INDEX($AZ$15#,ROW()-15+1,3),"")</f>
        <v/>
      </c>
      <c r="G16" s="375">
        <f>IFERROR(INDEX($AZ$15#,ROW()-15+1,6),"")</f>
        <v/>
      </c>
      <c r="H16" s="398" t="inlineStr"/>
    </row>
    <row r="17">
      <c r="A17" s="373">
        <f>A$15</f>
        <v/>
      </c>
      <c r="B17" s="579" t="n"/>
      <c r="C17" s="374">
        <f>IFERROR(INDEX($AZ$15#,ROW()-15+1,1),"")</f>
        <v/>
      </c>
      <c r="D17" s="375">
        <f>IFERROR(INDEX($AZ$15#,ROW()-15+1,2),"")</f>
        <v/>
      </c>
      <c r="E17" s="579" t="n"/>
      <c r="F17" s="374">
        <f>IFERROR(INDEX($AZ$15#,ROW()-15+1,3),"")</f>
        <v/>
      </c>
      <c r="G17" s="375">
        <f>IFERROR(INDEX($AZ$15#,ROW()-15+1,6),"")</f>
        <v/>
      </c>
      <c r="H17" s="398" t="inlineStr"/>
    </row>
    <row r="18" ht="15.75" customHeight="1" thickBot="1">
      <c r="A18" s="376">
        <f>A$15</f>
        <v/>
      </c>
      <c r="B18" s="580" t="n"/>
      <c r="C18" s="377">
        <f>IFERROR(INDEX($AZ$15#,ROW()-15+1,1),"")</f>
        <v/>
      </c>
      <c r="D18" s="378">
        <f>IFERROR(INDEX($AZ$15#,ROW()-15+1,2),"")</f>
        <v/>
      </c>
      <c r="E18" s="580" t="n"/>
      <c r="F18" s="377">
        <f>IFERROR(INDEX($AZ$15#,ROW()-15+1,3),"")</f>
        <v/>
      </c>
      <c r="G18" s="378">
        <f>IFERROR(INDEX($AZ$15#,ROW()-15+1,6),"")</f>
        <v/>
      </c>
      <c r="H18" s="399" t="inlineStr"/>
    </row>
    <row r="19" ht="15.75" customHeight="1" thickBot="1">
      <c r="A19" s="136" t="inlineStr">
        <is>
          <t>P/N</t>
        </is>
      </c>
      <c r="B19" s="137" t="inlineStr">
        <is>
          <t>Artikel</t>
        </is>
      </c>
      <c r="C19" s="137" t="inlineStr">
        <is>
          <t>Lotnr.</t>
        </is>
      </c>
      <c r="D19" s="138" t="inlineStr">
        <is>
          <t>Utgångsdatum</t>
        </is>
      </c>
      <c r="E19" s="137" t="inlineStr">
        <is>
          <t>Förvaringsplats</t>
        </is>
      </c>
      <c r="F19" s="137" t="inlineStr">
        <is>
          <t>Antal i lager</t>
        </is>
      </c>
      <c r="G19" s="139" t="inlineStr">
        <is>
          <t>Senast inventering</t>
        </is>
      </c>
      <c r="H19" s="140" t="inlineStr">
        <is>
          <t>SIGN</t>
        </is>
      </c>
    </row>
    <row r="20">
      <c r="A20" s="357" t="inlineStr">
        <is>
          <t>525-00066</t>
        </is>
      </c>
      <c r="B20" s="589" t="inlineStr">
        <is>
          <t>Ebola PC-High</t>
        </is>
      </c>
      <c r="C20" s="358">
        <f>IFERROR(INDEX($AZ$20#,ROW()-20+1,1),"")</f>
        <v/>
      </c>
      <c r="D20" s="359">
        <f>IFERROR(INDEX($AZ$20#,ROW()-20+1,2),"")</f>
        <v/>
      </c>
      <c r="E20" s="596">
        <f>IFERROR(INDEX($AZ$20#,ROW()-20+1,5),"")</f>
        <v/>
      </c>
      <c r="F20" s="358">
        <f>IFERROR(INDEX($AZ$20#,ROW()-20+1,3),"")</f>
        <v/>
      </c>
      <c r="G20" s="359">
        <f>IFERROR(INDEX($AZ$20#,ROW()-20+1,6),"")</f>
        <v/>
      </c>
      <c r="H20" s="397" t="inlineStr"/>
      <c r="AZ20">
        <f>LET(pn,$A$20,f,FILTER(tblLots[[LotNumber]:[LatestInventory]],(tblLots[PN]=pn)*(tblLots[IsActive]=TRUE),""),s,IFERROR(SORTBY(f,INDEX(f,,2),1,INDEX(f,,6),-1),""),IFERROR(INDEX(s,SEQUENCE(4),SEQUENCE(,6)),""))</f>
        <v/>
      </c>
    </row>
    <row r="21">
      <c r="A21" s="373">
        <f>A$20</f>
        <v/>
      </c>
      <c r="B21" s="590" t="n"/>
      <c r="C21" s="374">
        <f>IFERROR(INDEX($AZ$20#,ROW()-20+1,1),"")</f>
        <v/>
      </c>
      <c r="D21" s="375">
        <f>IFERROR(INDEX($AZ$20#,ROW()-20+1,2),"")</f>
        <v/>
      </c>
      <c r="E21" s="590" t="n"/>
      <c r="F21" s="374">
        <f>IFERROR(INDEX($AZ$20#,ROW()-20+1,3),"")</f>
        <v/>
      </c>
      <c r="G21" s="375">
        <f>IFERROR(INDEX($AZ$20#,ROW()-20+1,6),"")</f>
        <v/>
      </c>
      <c r="H21" s="398" t="inlineStr"/>
    </row>
    <row r="22">
      <c r="A22" s="373">
        <f>A$20</f>
        <v/>
      </c>
      <c r="B22" s="590" t="n"/>
      <c r="C22" s="374">
        <f>IFERROR(INDEX($AZ$20#,ROW()-20+1,1),"")</f>
        <v/>
      </c>
      <c r="D22" s="375">
        <f>IFERROR(INDEX($AZ$20#,ROW()-20+1,2),"")</f>
        <v/>
      </c>
      <c r="E22" s="590" t="n"/>
      <c r="F22" s="374">
        <f>IFERROR(INDEX($AZ$20#,ROW()-20+1,3),"")</f>
        <v/>
      </c>
      <c r="G22" s="375">
        <f>IFERROR(INDEX($AZ$20#,ROW()-20+1,6),"")</f>
        <v/>
      </c>
      <c r="H22" s="398" t="inlineStr"/>
    </row>
    <row r="23" ht="15.75" customHeight="1" thickBot="1">
      <c r="A23" s="376">
        <f>A$20</f>
        <v/>
      </c>
      <c r="B23" s="591" t="n"/>
      <c r="C23" s="377">
        <f>IFERROR(INDEX($AZ$20#,ROW()-20+1,1),"")</f>
        <v/>
      </c>
      <c r="D23" s="378">
        <f>IFERROR(INDEX($AZ$20#,ROW()-20+1,2),"")</f>
        <v/>
      </c>
      <c r="E23" s="591" t="n"/>
      <c r="F23" s="377">
        <f>IFERROR(INDEX($AZ$20#,ROW()-20+1,3),"")</f>
        <v/>
      </c>
      <c r="G23" s="378">
        <f>IFERROR(INDEX($AZ$20#,ROW()-20+1,6),"")</f>
        <v/>
      </c>
      <c r="H23" s="399" t="inlineStr"/>
    </row>
  </sheetData>
  <sheetProtection selectLockedCells="0" selectUnlockedCells="0" algorithmName="SHA-512" sheet="1" objects="0" insertRows="0" insertHyperlinks="0" autoFilter="0" scenarios="0" formatColumns="0" deleteColumns="0" insertColumns="0" pivotTables="0" deleteRows="0" formatCells="0" saltValue="u8IYt6bxz9yI+QzgBIeAVA==" formatRows="0" sort="0" spinCount="100000" hashValue="fYsSZL4XlrJ6BkWbtmpQFoWLb24ZhRCvgCL4A25xYfL89OihA+Ao+QWPPd6pzNIj3zSLS0saRoX2yEMxFqTiBg=="/>
  <mergeCells count="9">
    <mergeCell ref="B5:B8"/>
    <mergeCell ref="A2:H2"/>
    <mergeCell ref="B20:B23"/>
    <mergeCell ref="E20:E23"/>
    <mergeCell ref="B15:B18"/>
    <mergeCell ref="E15:E18"/>
    <mergeCell ref="E5:E8"/>
    <mergeCell ref="B10:B13"/>
    <mergeCell ref="E10:E13"/>
  </mergeCells>
  <pageMargins left="0.7" right="0.7" top="0.75" bottom="0.75" header="0.3" footer="0.3"/>
  <pageSetup orientation="portrait" paperSize="9" verticalDpi="0"/>
</worksheet>
</file>

<file path=xl/worksheets/sheet16.xml><?xml version="1.0" encoding="utf-8"?>
<worksheet xmlns="http://schemas.openxmlformats.org/spreadsheetml/2006/main">
  <sheetPr codeName="Sheet13">
    <tabColor rgb="FFFF3399"/>
    <outlinePr summaryBelow="1" summaryRight="1"/>
    <pageSetUpPr/>
  </sheetPr>
  <dimension ref="A1:AZ26"/>
  <sheetViews>
    <sheetView workbookViewId="0">
      <selection activeCell="A1" sqref="A1"/>
    </sheetView>
  </sheetViews>
  <sheetFormatPr baseColWidth="8" defaultRowHeight="15"/>
  <cols>
    <col width="8.7109375" bestFit="1" customWidth="1" min="1" max="1"/>
    <col hidden="1" width="21.42578125" bestFit="1" customWidth="1" min="2" max="2"/>
    <col width="13.7109375" customWidth="1" min="3" max="3"/>
    <col width="14" bestFit="1" customWidth="1" min="4" max="4"/>
    <col width="14.5703125" bestFit="1" customWidth="1" min="5" max="5"/>
    <col width="31.28515625" customWidth="1" min="6" max="6"/>
    <col width="17.85546875" bestFit="1" customWidth="1" min="7" max="7"/>
    <col width="9.42578125" customWidth="1" min="8" max="8"/>
    <col width="9.7109375" bestFit="1" customWidth="1" min="9" max="9"/>
    <col width="8.5703125" bestFit="1" customWidth="1" min="10" max="10"/>
    <col width="7.42578125" bestFit="1" customWidth="1" min="11" max="11"/>
    <col width="9.85546875" bestFit="1" customWidth="1" min="12" max="12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15.75" customHeight="1" thickBot="1"/>
    <row r="2" ht="24" customHeight="1" thickBot="1">
      <c r="A2" s="603" t="inlineStr">
        <is>
          <t>HPV</t>
        </is>
      </c>
      <c r="B2" s="551" t="n"/>
      <c r="C2" s="551" t="n"/>
      <c r="D2" s="551" t="n"/>
      <c r="E2" s="551" t="n"/>
      <c r="F2" s="551" t="n"/>
      <c r="G2" s="551" t="n"/>
      <c r="H2" s="552" t="n"/>
    </row>
    <row r="3" ht="15.75" customHeight="1" thickBot="1">
      <c r="A3" s="34" t="n"/>
      <c r="B3" s="35" t="n"/>
      <c r="C3" s="35" t="n"/>
      <c r="D3" s="36" t="n"/>
      <c r="E3" s="35" t="n"/>
      <c r="F3" s="35" t="n"/>
      <c r="G3" s="75" t="n"/>
    </row>
    <row r="4" ht="15.75" customHeight="1" thickBot="1">
      <c r="A4" s="211" t="inlineStr">
        <is>
          <t>P/N</t>
        </is>
      </c>
      <c r="B4" s="212" t="inlineStr">
        <is>
          <t>Artikel</t>
        </is>
      </c>
      <c r="C4" s="212" t="inlineStr">
        <is>
          <t>Lotnr.</t>
        </is>
      </c>
      <c r="D4" s="213" t="inlineStr">
        <is>
          <t>Utgångsdatum</t>
        </is>
      </c>
      <c r="E4" s="212" t="inlineStr">
        <is>
          <t>Förvaringsplats</t>
        </is>
      </c>
      <c r="F4" s="212" t="inlineStr">
        <is>
          <t>Antal i lager</t>
        </is>
      </c>
      <c r="G4" s="214" t="inlineStr">
        <is>
          <t>Senast inventering</t>
        </is>
      </c>
      <c r="H4" s="215" t="inlineStr">
        <is>
          <t>SIGN</t>
        </is>
      </c>
    </row>
    <row r="5">
      <c r="A5" s="357" t="inlineStr">
        <is>
          <t>500-1917</t>
        </is>
      </c>
      <c r="B5" s="358" t="inlineStr">
        <is>
          <t>MMQCI E.coli HPV POS</t>
        </is>
      </c>
      <c r="C5" s="358">
        <f>IFERROR(INDEX($AZ$5#,ROW()-5+1,1),"")</f>
        <v/>
      </c>
      <c r="D5" s="359">
        <f>IFERROR(INDEX($AZ$5#,ROW()-5+1,2),"")</f>
        <v/>
      </c>
      <c r="E5" s="358">
        <f>IFERROR(INDEX($AZ$5#,ROW()-5+1,5),"")</f>
        <v/>
      </c>
      <c r="F5" s="358">
        <f>IFERROR(INDEX($AZ$5#,ROW()-5+1,3),"")</f>
        <v/>
      </c>
      <c r="G5" s="359">
        <f>IFERROR(INDEX($AZ$5#,ROW()-5+1,6),"")</f>
        <v/>
      </c>
      <c r="H5" s="397" t="inlineStr"/>
      <c r="AZ5">
        <f>LET(pn,$A$5,f,FILTER(tblLots[[LotNumber]:[LatestInventory]],(tblLots[PN]=pn)*(tblLots[IsActive]=TRUE),""),s,IFERROR(SORTBY(f,INDEX(f,,2),1,INDEX(f,,6),-1),""),IFERROR(INDEX(s,SEQUENCE(4),SEQUENCE(,6)),""))</f>
        <v/>
      </c>
    </row>
    <row r="6">
      <c r="A6" s="373">
        <f>A$5</f>
        <v/>
      </c>
      <c r="B6" s="579" t="n"/>
      <c r="C6" s="374">
        <f>IFERROR(INDEX($AZ$5#,ROW()-5+1,1),"")</f>
        <v/>
      </c>
      <c r="D6" s="375">
        <f>IFERROR(INDEX($AZ$5#,ROW()-5+1,2),"")</f>
        <v/>
      </c>
      <c r="E6" s="579" t="n"/>
      <c r="F6" s="374">
        <f>IFERROR(INDEX($AZ$5#,ROW()-5+1,3),"")</f>
        <v/>
      </c>
      <c r="G6" s="375">
        <f>IFERROR(INDEX($AZ$5#,ROW()-5+1,6),"")</f>
        <v/>
      </c>
      <c r="H6" s="398" t="inlineStr"/>
    </row>
    <row r="7">
      <c r="A7" s="373">
        <f>A$5</f>
        <v/>
      </c>
      <c r="B7" s="579" t="n"/>
      <c r="C7" s="374">
        <f>IFERROR(INDEX($AZ$5#,ROW()-5+1,1),"")</f>
        <v/>
      </c>
      <c r="D7" s="375">
        <f>IFERROR(INDEX($AZ$5#,ROW()-5+1,2),"")</f>
        <v/>
      </c>
      <c r="E7" s="579" t="n"/>
      <c r="F7" s="374">
        <f>IFERROR(INDEX($AZ$5#,ROW()-5+1,3),"")</f>
        <v/>
      </c>
      <c r="G7" s="375">
        <f>IFERROR(INDEX($AZ$5#,ROW()-5+1,6),"")</f>
        <v/>
      </c>
      <c r="H7" s="398" t="inlineStr"/>
    </row>
    <row r="8" ht="15.75" customHeight="1" thickBot="1">
      <c r="A8" s="376">
        <f>A$5</f>
        <v/>
      </c>
      <c r="B8" s="580" t="n"/>
      <c r="C8" s="377">
        <f>IFERROR(INDEX($AZ$5#,ROW()-5+1,1),"")</f>
        <v/>
      </c>
      <c r="D8" s="378">
        <f>IFERROR(INDEX($AZ$5#,ROW()-5+1,2),"")</f>
        <v/>
      </c>
      <c r="E8" s="580" t="n"/>
      <c r="F8" s="377">
        <f>IFERROR(INDEX($AZ$5#,ROW()-5+1,3),"")</f>
        <v/>
      </c>
      <c r="G8" s="378">
        <f>IFERROR(INDEX($AZ$5#,ROW()-5+1,6),"")</f>
        <v/>
      </c>
      <c r="H8" s="399" t="inlineStr"/>
    </row>
    <row r="9" ht="15.75" customHeight="1" thickBot="1">
      <c r="A9" s="216" t="inlineStr">
        <is>
          <t>P/N</t>
        </is>
      </c>
      <c r="B9" s="217" t="inlineStr">
        <is>
          <t>Artikel</t>
        </is>
      </c>
      <c r="C9" s="217" t="inlineStr">
        <is>
          <t>Lotnr.</t>
        </is>
      </c>
      <c r="D9" s="218" t="inlineStr">
        <is>
          <t>Utgångsdatum</t>
        </is>
      </c>
      <c r="E9" s="217" t="inlineStr">
        <is>
          <t>Förvaringsplats</t>
        </is>
      </c>
      <c r="F9" s="217" t="inlineStr">
        <is>
          <t>Antal i lager</t>
        </is>
      </c>
      <c r="G9" s="219" t="inlineStr">
        <is>
          <t>Senast inventering</t>
        </is>
      </c>
      <c r="H9" s="220" t="inlineStr">
        <is>
          <t>SIGN</t>
        </is>
      </c>
    </row>
    <row r="10">
      <c r="A10" s="357" t="inlineStr">
        <is>
          <t>500-1918</t>
        </is>
      </c>
      <c r="B10" s="358" t="inlineStr">
        <is>
          <t>MMQCI E.coli HPV NEG</t>
        </is>
      </c>
      <c r="C10" s="358">
        <f>IFERROR(INDEX($AZ$10#,ROW()-10+1,1),"")</f>
        <v/>
      </c>
      <c r="D10" s="359">
        <f>IFERROR(INDEX($AZ$10#,ROW()-10+1,2),"")</f>
        <v/>
      </c>
      <c r="E10" s="358">
        <f>IFERROR(INDEX($AZ$10#,ROW()-10+1,5),"")</f>
        <v/>
      </c>
      <c r="F10" s="358">
        <f>IFERROR(INDEX($AZ$10#,ROW()-10+1,3),"")</f>
        <v/>
      </c>
      <c r="G10" s="359">
        <f>IFERROR(INDEX($AZ$10#,ROW()-10+1,6),"")</f>
        <v/>
      </c>
      <c r="H10" s="397" t="inlineStr"/>
      <c r="AZ10">
        <f>LET(pn,$A$10,f,FILTER(tblLots[[LotNumber]:[LatestInventory]],(tblLots[PN]=pn)*(tblLots[IsActive]=TRUE),""),s,IFERROR(SORTBY(f,INDEX(f,,2),1,INDEX(f,,6),-1),""),IFERROR(INDEX(s,SEQUENCE(4),SEQUENCE(,6)),""))</f>
        <v/>
      </c>
    </row>
    <row r="11">
      <c r="A11" s="373">
        <f>A$10</f>
        <v/>
      </c>
      <c r="B11" s="579" t="n"/>
      <c r="C11" s="374">
        <f>IFERROR(INDEX($AZ$10#,ROW()-10+1,1),"")</f>
        <v/>
      </c>
      <c r="D11" s="375">
        <f>IFERROR(INDEX($AZ$10#,ROW()-10+1,2),"")</f>
        <v/>
      </c>
      <c r="E11" s="579" t="n"/>
      <c r="F11" s="374">
        <f>IFERROR(INDEX($AZ$10#,ROW()-10+1,3),"")</f>
        <v/>
      </c>
      <c r="G11" s="375">
        <f>IFERROR(INDEX($AZ$10#,ROW()-10+1,6),"")</f>
        <v/>
      </c>
      <c r="H11" s="398" t="inlineStr"/>
    </row>
    <row r="12">
      <c r="A12" s="373">
        <f>A$10</f>
        <v/>
      </c>
      <c r="B12" s="579" t="n"/>
      <c r="C12" s="374">
        <f>IFERROR(INDEX($AZ$10#,ROW()-10+1,1),"")</f>
        <v/>
      </c>
      <c r="D12" s="375">
        <f>IFERROR(INDEX($AZ$10#,ROW()-10+1,2),"")</f>
        <v/>
      </c>
      <c r="E12" s="579" t="n"/>
      <c r="F12" s="374">
        <f>IFERROR(INDEX($AZ$10#,ROW()-10+1,3),"")</f>
        <v/>
      </c>
      <c r="G12" s="375">
        <f>IFERROR(INDEX($AZ$10#,ROW()-10+1,6),"")</f>
        <v/>
      </c>
      <c r="H12" s="398" t="inlineStr"/>
    </row>
    <row r="13" ht="15.75" customHeight="1" thickBot="1">
      <c r="A13" s="376">
        <f>A$10</f>
        <v/>
      </c>
      <c r="B13" s="580" t="n"/>
      <c r="C13" s="377">
        <f>IFERROR(INDEX($AZ$10#,ROW()-10+1,1),"")</f>
        <v/>
      </c>
      <c r="D13" s="378">
        <f>IFERROR(INDEX($AZ$10#,ROW()-10+1,2),"")</f>
        <v/>
      </c>
      <c r="E13" s="580" t="n"/>
      <c r="F13" s="377">
        <f>IFERROR(INDEX($AZ$10#,ROW()-10+1,3),"")</f>
        <v/>
      </c>
      <c r="G13" s="378">
        <f>IFERROR(INDEX($AZ$10#,ROW()-10+1,6),"")</f>
        <v/>
      </c>
      <c r="H13" s="399" t="inlineStr"/>
    </row>
    <row r="14" ht="15.75" customHeight="1" thickBot="1">
      <c r="A14" s="216" t="inlineStr">
        <is>
          <t>P/N</t>
        </is>
      </c>
      <c r="B14" s="217" t="inlineStr">
        <is>
          <t>Artikel</t>
        </is>
      </c>
      <c r="C14" s="217" t="inlineStr">
        <is>
          <t>Lotnr.</t>
        </is>
      </c>
      <c r="D14" s="218" t="inlineStr">
        <is>
          <t>Utgångsdatum</t>
        </is>
      </c>
      <c r="E14" s="217" t="inlineStr">
        <is>
          <t>Förvaringsplats</t>
        </is>
      </c>
      <c r="F14" s="217" t="inlineStr">
        <is>
          <t>Antal i lager</t>
        </is>
      </c>
      <c r="G14" s="219" t="inlineStr">
        <is>
          <t>Senast inventering</t>
        </is>
      </c>
      <c r="H14" s="220" t="inlineStr">
        <is>
          <t>SIGN</t>
        </is>
      </c>
    </row>
    <row r="15">
      <c r="A15" s="357" t="inlineStr">
        <is>
          <t>500-2616</t>
        </is>
      </c>
      <c r="B15" s="459" t="inlineStr">
        <is>
          <t>Human cells HPV NEG</t>
        </is>
      </c>
      <c r="C15" s="358">
        <f>IFERROR(INDEX($AZ$15#,ROW()-15+1,1),"")</f>
        <v/>
      </c>
      <c r="D15" s="359">
        <f>IFERROR(INDEX($AZ$15#,ROW()-15+1,2),"")</f>
        <v/>
      </c>
      <c r="E15" s="358">
        <f>IFERROR(INDEX($AZ$15#,ROW()-15+1,5),"")</f>
        <v/>
      </c>
      <c r="F15" s="358">
        <f>IFERROR(INDEX($AZ$15#,ROW()-15+1,3),"")</f>
        <v/>
      </c>
      <c r="G15" s="359">
        <f>IFERROR(INDEX($AZ$15#,ROW()-15+1,6),"")</f>
        <v/>
      </c>
      <c r="H15" s="397" t="inlineStr"/>
      <c r="AZ15">
        <f>LET(pn,$A$15,f,FILTER(tblLots[[LotNumber]:[LatestInventory]],(tblLots[PN]=pn)*(tblLots[IsActive]=TRUE),""),s,IFERROR(SORTBY(f,INDEX(f,,2),1,INDEX(f,,6),-1),""),IFERROR(INDEX(s,SEQUENCE(4),SEQUENCE(,6)),""))</f>
        <v/>
      </c>
    </row>
    <row r="16">
      <c r="A16" s="373">
        <f>A$15</f>
        <v/>
      </c>
      <c r="B16" s="579" t="n"/>
      <c r="C16" s="374">
        <f>IFERROR(INDEX($AZ$15#,ROW()-15+1,1),"")</f>
        <v/>
      </c>
      <c r="D16" s="375">
        <f>IFERROR(INDEX($AZ$15#,ROW()-15+1,2),"")</f>
        <v/>
      </c>
      <c r="E16" s="579" t="n"/>
      <c r="F16" s="374">
        <f>IFERROR(INDEX($AZ$15#,ROW()-15+1,3),"")</f>
        <v/>
      </c>
      <c r="G16" s="375">
        <f>IFERROR(INDEX($AZ$15#,ROW()-15+1,6),"")</f>
        <v/>
      </c>
      <c r="H16" s="398" t="inlineStr"/>
    </row>
    <row r="17">
      <c r="A17" s="373">
        <f>A$15</f>
        <v/>
      </c>
      <c r="B17" s="579" t="n"/>
      <c r="C17" s="374">
        <f>IFERROR(INDEX($AZ$15#,ROW()-15+1,1),"")</f>
        <v/>
      </c>
      <c r="D17" s="375">
        <f>IFERROR(INDEX($AZ$15#,ROW()-15+1,2),"")</f>
        <v/>
      </c>
      <c r="E17" s="579" t="n"/>
      <c r="F17" s="374">
        <f>IFERROR(INDEX($AZ$15#,ROW()-15+1,3),"")</f>
        <v/>
      </c>
      <c r="G17" s="375">
        <f>IFERROR(INDEX($AZ$15#,ROW()-15+1,6),"")</f>
        <v/>
      </c>
      <c r="H17" s="398" t="inlineStr"/>
    </row>
    <row r="18" ht="15.75" customHeight="1" thickBot="1">
      <c r="A18" s="376">
        <f>A$15</f>
        <v/>
      </c>
      <c r="B18" s="580" t="n"/>
      <c r="C18" s="377">
        <f>IFERROR(INDEX($AZ$15#,ROW()-15+1,1),"")</f>
        <v/>
      </c>
      <c r="D18" s="378">
        <f>IFERROR(INDEX($AZ$15#,ROW()-15+1,2),"")</f>
        <v/>
      </c>
      <c r="E18" s="580" t="n"/>
      <c r="F18" s="377">
        <f>IFERROR(INDEX($AZ$15#,ROW()-15+1,3),"")</f>
        <v/>
      </c>
      <c r="G18" s="378">
        <f>IFERROR(INDEX($AZ$15#,ROW()-15+1,6),"")</f>
        <v/>
      </c>
      <c r="H18" s="399" t="inlineStr"/>
    </row>
    <row r="19" ht="15.75" customHeight="1" thickBot="1"/>
    <row r="20" ht="24" customHeight="1" thickBot="1">
      <c r="A20" s="581" t="inlineStr">
        <is>
          <t>PreservCyt | 001-1689</t>
        </is>
      </c>
      <c r="B20" s="551" t="n"/>
      <c r="C20" s="551" t="n"/>
      <c r="D20" s="551" t="n"/>
      <c r="E20" s="551" t="n"/>
      <c r="F20" s="551" t="n"/>
      <c r="G20" s="551" t="n"/>
      <c r="H20" s="552" t="n"/>
    </row>
    <row r="21" ht="15.75" customHeight="1" thickBot="1">
      <c r="A21" s="582" t="inlineStr">
        <is>
          <t>P/N 001-1689 PreservCyt Solution</t>
        </is>
      </c>
      <c r="B21" s="555" t="n"/>
      <c r="C21" s="555" t="n"/>
      <c r="D21" s="555" t="n"/>
      <c r="E21" s="555" t="n"/>
      <c r="F21" s="555" t="n"/>
      <c r="G21" s="555" t="n"/>
      <c r="H21" s="556" t="n"/>
    </row>
    <row r="22">
      <c r="A22" s="510" t="inlineStr">
        <is>
          <t>Lotnummer</t>
        </is>
      </c>
      <c r="B22" s="558" t="n"/>
      <c r="C22" s="559" t="n"/>
      <c r="D22" s="512" t="inlineStr">
        <is>
          <t>Utgångsdatum</t>
        </is>
      </c>
      <c r="E22" s="559" t="n"/>
      <c r="F22" s="512" t="inlineStr">
        <is>
          <t>Volym, L</t>
        </is>
      </c>
      <c r="G22" s="512" t="inlineStr">
        <is>
          <t>Senast inventering</t>
        </is>
      </c>
      <c r="H22" s="222" t="inlineStr">
        <is>
          <t>SIGN</t>
        </is>
      </c>
    </row>
    <row r="23">
      <c r="A23" s="373">
        <f>IFERROR(INDEX($AZ$23#,ROW()-23+1,1),"")</f>
        <v/>
      </c>
      <c r="B23" s="560" t="n"/>
      <c r="C23" s="561" t="n"/>
      <c r="D23" s="375">
        <f>IFERROR(INDEX($AZ$23#,ROW()-23+1,2),"")</f>
        <v/>
      </c>
      <c r="E23" s="561" t="n"/>
      <c r="F23" s="374">
        <f>IFERROR(INDEX($AZ$23#,ROW()-23+1,3),"")</f>
        <v/>
      </c>
      <c r="G23" s="375">
        <f>IFERROR(INDEX($AZ$23#,ROW()-23+1,6),"")</f>
        <v/>
      </c>
      <c r="H23" s="398" t="inlineStr"/>
      <c r="AZ23">
        <f>LET(pn,$B$23,f,FILTER(tblLots[[LotNumber]:[LatestInventory]],(tblLots[PN]=pn)*(tblLots[IsActive]=TRUE),""),s,IFERROR(SORTBY(f,INDEX(f,,2),1,INDEX(f,,6),-1),""),IFERROR(INDEX(s,SEQUENCE(4),SEQUENCE(,6)),""))</f>
        <v/>
      </c>
    </row>
    <row r="24">
      <c r="A24" s="373">
        <f>IFERROR(INDEX($AZ$23#,ROW()-23+1,1),"")</f>
        <v/>
      </c>
      <c r="B24" s="560" t="n"/>
      <c r="C24" s="561" t="n"/>
      <c r="D24" s="375">
        <f>IFERROR(INDEX($AZ$23#,ROW()-23+1,2),"")</f>
        <v/>
      </c>
      <c r="E24" s="561" t="n"/>
      <c r="F24" s="374">
        <f>IFERROR(INDEX($AZ$23#,ROW()-23+1,3),"")</f>
        <v/>
      </c>
      <c r="G24" s="375">
        <f>IFERROR(INDEX($AZ$23#,ROW()-23+1,6),"")</f>
        <v/>
      </c>
      <c r="H24" s="398" t="inlineStr"/>
    </row>
    <row r="25">
      <c r="A25" s="373">
        <f>IFERROR(INDEX($AZ$23#,ROW()-23+1,1),"")</f>
        <v/>
      </c>
      <c r="B25" s="560" t="n"/>
      <c r="C25" s="561" t="n"/>
      <c r="D25" s="375">
        <f>IFERROR(INDEX($AZ$23#,ROW()-23+1,2),"")</f>
        <v/>
      </c>
      <c r="E25" s="561" t="n"/>
      <c r="F25" s="374">
        <f>IFERROR(INDEX($AZ$23#,ROW()-23+1,3),"")</f>
        <v/>
      </c>
      <c r="G25" s="375">
        <f>IFERROR(INDEX($AZ$23#,ROW()-23+1,6),"")</f>
        <v/>
      </c>
      <c r="H25" s="398" t="inlineStr"/>
    </row>
    <row r="26" ht="15.75" customHeight="1" thickBot="1">
      <c r="A26" s="376">
        <f>IFERROR(INDEX($AZ$23#,ROW()-23+1,1),"")</f>
        <v/>
      </c>
      <c r="B26" s="562" t="n"/>
      <c r="C26" s="563" t="n"/>
      <c r="D26" s="378">
        <f>IFERROR(INDEX($AZ$23#,ROW()-23+1,2),"")</f>
        <v/>
      </c>
      <c r="E26" s="563" t="n"/>
      <c r="F26" s="377">
        <f>IFERROR(INDEX($AZ$23#,ROW()-23+1,3),"")</f>
        <v/>
      </c>
      <c r="G26" s="378">
        <f>IFERROR(INDEX($AZ$23#,ROW()-23+1,6),"")</f>
        <v/>
      </c>
      <c r="H26" s="399" t="inlineStr"/>
    </row>
  </sheetData>
  <sheetProtection selectLockedCells="0" selectUnlockedCells="0" algorithmName="SHA-512" sheet="1" objects="0" insertRows="0" insertHyperlinks="0" autoFilter="0" scenarios="0" formatColumns="0" deleteColumns="0" insertColumns="0" pivotTables="0" deleteRows="0" formatCells="0" saltValue="rUP4n25OMGYLS4r5mnieXg==" formatRows="0" sort="0" spinCount="100000" hashValue="655cLnVNvsWae+cP7GrvervudT47cVksyAVlcdSecOR6QLl9Ct+SuMCEQm0Nl5NfQaimrMX9pVsz4nBlkR46vw=="/>
  <mergeCells count="19">
    <mergeCell ref="A25:C25"/>
    <mergeCell ref="D22:E22"/>
    <mergeCell ref="E5:E8"/>
    <mergeCell ref="A26:C26"/>
    <mergeCell ref="E10:E13"/>
    <mergeCell ref="A23:C23"/>
    <mergeCell ref="A22:C22"/>
    <mergeCell ref="E15:E18"/>
    <mergeCell ref="B10:B13"/>
    <mergeCell ref="A21:H21"/>
    <mergeCell ref="A2:H2"/>
    <mergeCell ref="B15:B18"/>
    <mergeCell ref="A24:C24"/>
    <mergeCell ref="D25:E25"/>
    <mergeCell ref="B5:B8"/>
    <mergeCell ref="D24:E24"/>
    <mergeCell ref="A20:H20"/>
    <mergeCell ref="D23:E23"/>
    <mergeCell ref="D26:E26"/>
  </mergeCells>
  <pageMargins left="0.7" right="0.7" top="0.75" bottom="0.75" header="0.3" footer="0.3"/>
  <pageSetup orientation="portrait" paperSize="9" verticalDpi="0"/>
</worksheet>
</file>

<file path=xl/worksheets/sheet17.xml><?xml version="1.0" encoding="utf-8"?>
<worksheet xmlns="http://schemas.openxmlformats.org/spreadsheetml/2006/main">
  <sheetPr codeName="Sheet14">
    <tabColor rgb="FFFF0000"/>
    <outlinePr summaryBelow="1" summaryRight="1"/>
    <pageSetUpPr/>
  </sheetPr>
  <dimension ref="A1:AZ18"/>
  <sheetViews>
    <sheetView workbookViewId="0">
      <selection activeCell="A1" sqref="A1"/>
    </sheetView>
  </sheetViews>
  <sheetFormatPr baseColWidth="8" defaultRowHeight="15"/>
  <cols>
    <col width="9.7109375" bestFit="1" customWidth="1" min="1" max="1"/>
    <col width="19.42578125" bestFit="1" customWidth="1" min="2" max="2"/>
    <col width="14.7109375" customWidth="1" min="3" max="3"/>
    <col width="14" bestFit="1" customWidth="1" min="4" max="4"/>
    <col width="14.5703125" bestFit="1" customWidth="1" min="5" max="5"/>
    <col width="13.28515625" customWidth="1" min="6" max="6"/>
    <col width="17.85546875" bestFit="1" customWidth="1" min="7" max="7"/>
    <col width="8.5703125" customWidth="1" min="8" max="8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15.75" customHeight="1" thickBot="1"/>
    <row r="2" ht="24" customHeight="1" thickBot="1">
      <c r="A2" s="604" t="inlineStr">
        <is>
          <t>HBV VL</t>
        </is>
      </c>
      <c r="B2" s="551" t="n"/>
      <c r="C2" s="551" t="n"/>
      <c r="D2" s="551" t="n"/>
      <c r="E2" s="551" t="n"/>
      <c r="F2" s="551" t="n"/>
      <c r="G2" s="551" t="n"/>
      <c r="H2" s="552" t="n"/>
    </row>
    <row r="3" ht="15.75" customHeight="1" thickBot="1">
      <c r="A3" s="34" t="n"/>
      <c r="B3" s="35" t="n"/>
      <c r="C3" s="35" t="n"/>
      <c r="D3" s="36" t="n"/>
      <c r="E3" s="35" t="n"/>
      <c r="F3" s="35" t="n"/>
      <c r="G3" s="75" t="n"/>
    </row>
    <row r="4" ht="15.75" customHeight="1" thickBot="1">
      <c r="A4" s="141" t="inlineStr">
        <is>
          <t>P/N</t>
        </is>
      </c>
      <c r="B4" s="142" t="inlineStr">
        <is>
          <t>Artikel</t>
        </is>
      </c>
      <c r="C4" s="142" t="inlineStr">
        <is>
          <t>Lotnr.</t>
        </is>
      </c>
      <c r="D4" s="143" t="inlineStr">
        <is>
          <t>Utgångsdatum</t>
        </is>
      </c>
      <c r="E4" s="142" t="inlineStr">
        <is>
          <t>Förvaringsplats</t>
        </is>
      </c>
      <c r="F4" s="142" t="inlineStr">
        <is>
          <t>Antal i lager</t>
        </is>
      </c>
      <c r="G4" s="144" t="inlineStr">
        <is>
          <t>Senast inventering</t>
        </is>
      </c>
      <c r="H4" s="145" t="inlineStr">
        <is>
          <t>SIGN</t>
        </is>
      </c>
    </row>
    <row r="5">
      <c r="A5" s="357" t="inlineStr">
        <is>
          <t>525-00114</t>
        </is>
      </c>
      <c r="B5" s="358" t="inlineStr">
        <is>
          <t>Serum “HBV NTC”</t>
        </is>
      </c>
      <c r="C5" s="358">
        <f>IFERROR(INDEX($AZ$5#,ROW()-5+1,1),"")</f>
        <v/>
      </c>
      <c r="D5" s="359">
        <f>IFERROR(INDEX($AZ$5#,ROW()-5+1,2),"")</f>
        <v/>
      </c>
      <c r="E5" s="358">
        <f>IFERROR(INDEX($AZ$5#,ROW()-5+1,5),"")</f>
        <v/>
      </c>
      <c r="F5" s="51">
        <f>IFERROR(INDEX($AZ$5#,ROW()-5+1,3),"")</f>
        <v/>
      </c>
      <c r="G5" s="359">
        <f>IFERROR(INDEX($AZ$5#,ROW()-5+1,6),"")</f>
        <v/>
      </c>
      <c r="H5" s="397" t="inlineStr"/>
      <c r="AZ5">
        <f>LET(pn,$A$5,f,FILTER(tblLots[[LotNumber]:[LatestInventory]],(tblLots[PN]=pn)*(tblLots[IsActive]=TRUE),""),s,IFERROR(SORTBY(f,INDEX(f,,2),1,INDEX(f,,6),-1),""),IFERROR(INDEX(s,SEQUENCE(4),SEQUENCE(,6)),""))</f>
        <v/>
      </c>
    </row>
    <row r="6">
      <c r="A6" s="373">
        <f>A$5</f>
        <v/>
      </c>
      <c r="B6" s="579" t="n"/>
      <c r="C6" s="374">
        <f>IFERROR(INDEX($AZ$5#,ROW()-5+1,1),"")</f>
        <v/>
      </c>
      <c r="D6" s="375">
        <f>IFERROR(INDEX($AZ$5#,ROW()-5+1,2),"")</f>
        <v/>
      </c>
      <c r="E6" s="579" t="n"/>
      <c r="F6" s="53">
        <f>IFERROR(INDEX($AZ$5#,ROW()-5+1,3),"")</f>
        <v/>
      </c>
      <c r="G6" s="375">
        <f>IFERROR(INDEX($AZ$5#,ROW()-5+1,6),"")</f>
        <v/>
      </c>
      <c r="H6" s="398" t="inlineStr"/>
    </row>
    <row r="7">
      <c r="A7" s="373">
        <f>A$5</f>
        <v/>
      </c>
      <c r="B7" s="579" t="n"/>
      <c r="C7" s="374">
        <f>IFERROR(INDEX($AZ$5#,ROW()-5+1,1),"")</f>
        <v/>
      </c>
      <c r="D7" s="375">
        <f>IFERROR(INDEX($AZ$5#,ROW()-5+1,2),"")</f>
        <v/>
      </c>
      <c r="E7" s="579" t="n"/>
      <c r="F7" s="53">
        <f>IFERROR(INDEX($AZ$5#,ROW()-5+1,3),"")</f>
        <v/>
      </c>
      <c r="G7" s="375">
        <f>IFERROR(INDEX($AZ$5#,ROW()-5+1,6),"")</f>
        <v/>
      </c>
      <c r="H7" s="398" t="inlineStr"/>
    </row>
    <row r="8" ht="15.75" customHeight="1" thickBot="1">
      <c r="A8" s="376">
        <f>A$5</f>
        <v/>
      </c>
      <c r="B8" s="580" t="n"/>
      <c r="C8" s="377">
        <f>IFERROR(INDEX($AZ$5#,ROW()-5+1,1),"")</f>
        <v/>
      </c>
      <c r="D8" s="378">
        <f>IFERROR(INDEX($AZ$5#,ROW()-5+1,2),"")</f>
        <v/>
      </c>
      <c r="E8" s="580" t="n"/>
      <c r="F8" s="54">
        <f>IFERROR(INDEX($AZ$5#,ROW()-5+1,3),"")</f>
        <v/>
      </c>
      <c r="G8" s="378">
        <f>IFERROR(INDEX($AZ$5#,ROW()-5+1,6),"")</f>
        <v/>
      </c>
      <c r="H8" s="399" t="inlineStr"/>
    </row>
    <row r="9" ht="15.75" customHeight="1" thickBot="1">
      <c r="A9" s="146" t="inlineStr">
        <is>
          <t>P/N</t>
        </is>
      </c>
      <c r="B9" s="147" t="inlineStr">
        <is>
          <t>Artikel</t>
        </is>
      </c>
      <c r="C9" s="147" t="inlineStr">
        <is>
          <t>Lotnr.</t>
        </is>
      </c>
      <c r="D9" s="148" t="inlineStr">
        <is>
          <t>Utgångsdatum</t>
        </is>
      </c>
      <c r="E9" s="147" t="inlineStr">
        <is>
          <t>Förvaringsplats</t>
        </is>
      </c>
      <c r="F9" s="147" t="inlineStr">
        <is>
          <t>Antal i lager</t>
        </is>
      </c>
      <c r="G9" s="149" t="inlineStr">
        <is>
          <t>Senast inventering</t>
        </is>
      </c>
      <c r="H9" s="150" t="inlineStr">
        <is>
          <t>SIGN</t>
        </is>
      </c>
    </row>
    <row r="10">
      <c r="A10" s="357" t="inlineStr">
        <is>
          <t>525-00071</t>
        </is>
      </c>
      <c r="B10" s="358" t="inlineStr">
        <is>
          <t>HBV PC High</t>
        </is>
      </c>
      <c r="C10" s="358">
        <f>IFERROR(INDEX($AZ$10#,ROW()-10+1,1),"")</f>
        <v/>
      </c>
      <c r="D10" s="359">
        <f>IFERROR(INDEX($AZ$10#,ROW()-10+1,2),"")</f>
        <v/>
      </c>
      <c r="E10" s="358">
        <f>IFERROR(INDEX($AZ$10#,ROW()-10+1,5),"")</f>
        <v/>
      </c>
      <c r="F10" s="358">
        <f>IFERROR(INDEX($AZ$10#,ROW()-10+1,3),"")</f>
        <v/>
      </c>
      <c r="G10" s="359">
        <f>IFERROR(INDEX($AZ$10#,ROW()-10+1,6),"")</f>
        <v/>
      </c>
      <c r="H10" s="397" t="inlineStr"/>
      <c r="AZ10">
        <f>LET(pn,$A$10,f,FILTER(tblLots[[LotNumber]:[LatestInventory]],(tblLots[PN]=pn)*(tblLots[IsActive]=TRUE),""),s,IFERROR(SORTBY(f,INDEX(f,,2),1,INDEX(f,,6),-1),""),IFERROR(INDEX(s,SEQUENCE(4),SEQUENCE(,6)),""))</f>
        <v/>
      </c>
    </row>
    <row r="11">
      <c r="A11" s="373">
        <f>A$10</f>
        <v/>
      </c>
      <c r="B11" s="579" t="n"/>
      <c r="C11" s="374">
        <f>IFERROR(INDEX($AZ$10#,ROW()-10+1,1),"")</f>
        <v/>
      </c>
      <c r="D11" s="375">
        <f>IFERROR(INDEX($AZ$10#,ROW()-10+1,2),"")</f>
        <v/>
      </c>
      <c r="E11" s="579" t="n"/>
      <c r="F11" s="374">
        <f>IFERROR(INDEX($AZ$10#,ROW()-10+1,3),"")</f>
        <v/>
      </c>
      <c r="G11" s="375">
        <f>IFERROR(INDEX($AZ$10#,ROW()-10+1,6),"")</f>
        <v/>
      </c>
      <c r="H11" s="398" t="inlineStr"/>
    </row>
    <row r="12">
      <c r="A12" s="373">
        <f>A$10</f>
        <v/>
      </c>
      <c r="B12" s="579" t="n"/>
      <c r="C12" s="374">
        <f>IFERROR(INDEX($AZ$10#,ROW()-10+1,1),"")</f>
        <v/>
      </c>
      <c r="D12" s="375">
        <f>IFERROR(INDEX($AZ$10#,ROW()-10+1,2),"")</f>
        <v/>
      </c>
      <c r="E12" s="579" t="n"/>
      <c r="F12" s="374">
        <f>IFERROR(INDEX($AZ$10#,ROW()-10+1,3),"")</f>
        <v/>
      </c>
      <c r="G12" s="375">
        <f>IFERROR(INDEX($AZ$10#,ROW()-10+1,6),"")</f>
        <v/>
      </c>
      <c r="H12" s="398" t="inlineStr"/>
    </row>
    <row r="13" ht="15.75" customHeight="1" thickBot="1">
      <c r="A13" s="376">
        <f>A$10</f>
        <v/>
      </c>
      <c r="B13" s="580" t="n"/>
      <c r="C13" s="377">
        <f>IFERROR(INDEX($AZ$10#,ROW()-10+1,1),"")</f>
        <v/>
      </c>
      <c r="D13" s="378">
        <f>IFERROR(INDEX($AZ$10#,ROW()-10+1,2),"")</f>
        <v/>
      </c>
      <c r="E13" s="580" t="n"/>
      <c r="F13" s="377">
        <f>IFERROR(INDEX($AZ$10#,ROW()-10+1,3),"")</f>
        <v/>
      </c>
      <c r="G13" s="378">
        <f>IFERROR(INDEX($AZ$10#,ROW()-10+1,6),"")</f>
        <v/>
      </c>
      <c r="H13" s="399" t="inlineStr"/>
    </row>
    <row r="14" ht="15.75" customHeight="1" thickBot="1">
      <c r="A14" s="146" t="inlineStr">
        <is>
          <t>P/N</t>
        </is>
      </c>
      <c r="B14" s="147" t="inlineStr">
        <is>
          <t>Artikel</t>
        </is>
      </c>
      <c r="C14" s="147" t="inlineStr">
        <is>
          <t>Lotnr.</t>
        </is>
      </c>
      <c r="D14" s="148" t="inlineStr">
        <is>
          <t>Utgångsdatum</t>
        </is>
      </c>
      <c r="E14" s="147" t="inlineStr">
        <is>
          <t>Förvaringsplats</t>
        </is>
      </c>
      <c r="F14" s="147" t="inlineStr">
        <is>
          <t>Antal i lager</t>
        </is>
      </c>
      <c r="G14" s="149" t="inlineStr">
        <is>
          <t>Senast inventering</t>
        </is>
      </c>
      <c r="H14" s="150" t="inlineStr">
        <is>
          <t>SIGN</t>
        </is>
      </c>
    </row>
    <row r="15">
      <c r="A15" s="357" t="inlineStr">
        <is>
          <t>525-00072</t>
        </is>
      </c>
      <c r="B15" s="459" t="inlineStr">
        <is>
          <t>HBV PC Low</t>
        </is>
      </c>
      <c r="C15" s="358">
        <f>IFERROR(INDEX($AZ$15#,ROW()-15+1,1),"")</f>
        <v/>
      </c>
      <c r="D15" s="359">
        <f>IFERROR(INDEX($AZ$15#,ROW()-15+1,2),"")</f>
        <v/>
      </c>
      <c r="E15" s="358">
        <f>IFERROR(INDEX($AZ$15#,ROW()-15+1,5),"")</f>
        <v/>
      </c>
      <c r="F15" s="358">
        <f>IFERROR(INDEX($AZ$15#,ROW()-15+1,3),"")</f>
        <v/>
      </c>
      <c r="G15" s="359">
        <f>IFERROR(INDEX($AZ$15#,ROW()-15+1,6),"")</f>
        <v/>
      </c>
      <c r="H15" s="397" t="inlineStr"/>
      <c r="AZ15">
        <f>LET(pn,$A$15,f,FILTER(tblLots[[LotNumber]:[LatestInventory]],(tblLots[PN]=pn)*(tblLots[IsActive]=TRUE),""),s,IFERROR(SORTBY(f,INDEX(f,,2),1,INDEX(f,,6),-1),""),IFERROR(INDEX(s,SEQUENCE(4),SEQUENCE(,6)),""))</f>
        <v/>
      </c>
    </row>
    <row r="16">
      <c r="A16" s="373">
        <f>A$15</f>
        <v/>
      </c>
      <c r="B16" s="579" t="n"/>
      <c r="C16" s="374">
        <f>IFERROR(INDEX($AZ$15#,ROW()-15+1,1),"")</f>
        <v/>
      </c>
      <c r="D16" s="375">
        <f>IFERROR(INDEX($AZ$15#,ROW()-15+1,2),"")</f>
        <v/>
      </c>
      <c r="E16" s="579" t="n"/>
      <c r="F16" s="374">
        <f>IFERROR(INDEX($AZ$15#,ROW()-15+1,3),"")</f>
        <v/>
      </c>
      <c r="G16" s="375">
        <f>IFERROR(INDEX($AZ$15#,ROW()-15+1,6),"")</f>
        <v/>
      </c>
      <c r="H16" s="398" t="inlineStr"/>
    </row>
    <row r="17">
      <c r="A17" s="373">
        <f>A$15</f>
        <v/>
      </c>
      <c r="B17" s="579" t="n"/>
      <c r="C17" s="374">
        <f>IFERROR(INDEX($AZ$15#,ROW()-15+1,1),"")</f>
        <v/>
      </c>
      <c r="D17" s="375">
        <f>IFERROR(INDEX($AZ$15#,ROW()-15+1,2),"")</f>
        <v/>
      </c>
      <c r="E17" s="579" t="n"/>
      <c r="F17" s="374">
        <f>IFERROR(INDEX($AZ$15#,ROW()-15+1,3),"")</f>
        <v/>
      </c>
      <c r="G17" s="375">
        <f>IFERROR(INDEX($AZ$15#,ROW()-15+1,6),"")</f>
        <v/>
      </c>
      <c r="H17" s="398" t="inlineStr"/>
    </row>
    <row r="18" ht="15.75" customHeight="1" thickBot="1">
      <c r="A18" s="376">
        <f>A$15</f>
        <v/>
      </c>
      <c r="B18" s="580" t="n"/>
      <c r="C18" s="377">
        <f>IFERROR(INDEX($AZ$15#,ROW()-15+1,1),"")</f>
        <v/>
      </c>
      <c r="D18" s="378">
        <f>IFERROR(INDEX($AZ$15#,ROW()-15+1,2),"")</f>
        <v/>
      </c>
      <c r="E18" s="580" t="n"/>
      <c r="F18" s="377">
        <f>IFERROR(INDEX($AZ$15#,ROW()-15+1,3),"")</f>
        <v/>
      </c>
      <c r="G18" s="378">
        <f>IFERROR(INDEX($AZ$15#,ROW()-15+1,6),"")</f>
        <v/>
      </c>
      <c r="H18" s="399" t="inlineStr"/>
    </row>
  </sheetData>
  <sheetProtection selectLockedCells="0" selectUnlockedCells="0" algorithmName="SHA-512" sheet="1" objects="0" insertRows="0" insertHyperlinks="0" autoFilter="0" scenarios="0" formatColumns="0" deleteColumns="0" insertColumns="0" pivotTables="0" deleteRows="0" formatCells="0" saltValue="xNyx7scohsW1vnzpbVQHgg==" formatRows="0" sort="0" spinCount="100000" hashValue="FrDFhXTK7fC4ZlM06URFUZz12lwVi3yFF0WU3n6CkDu6LTWKAewmB8PT034n4HSK02Ol5PnWEcSk4E2hKj8WDg=="/>
  <mergeCells count="7">
    <mergeCell ref="B5:B8"/>
    <mergeCell ref="A2:H2"/>
    <mergeCell ref="B15:B18"/>
    <mergeCell ref="E15:E18"/>
    <mergeCell ref="E5:E8"/>
    <mergeCell ref="B10:B13"/>
    <mergeCell ref="E10:E13"/>
  </mergeCells>
  <pageMargins left="0.7" right="0.7" top="0.75" bottom="0.75" header="0.3" footer="0.3"/>
  <pageSetup orientation="portrait" paperSize="9" verticalDpi="0"/>
</worksheet>
</file>

<file path=xl/worksheets/sheet18.xml><?xml version="1.0" encoding="utf-8"?>
<worksheet xmlns="http://schemas.openxmlformats.org/spreadsheetml/2006/main">
  <sheetPr codeName="Sheet15">
    <tabColor rgb="FFFFFF00"/>
    <outlinePr summaryBelow="1" summaryRight="1"/>
    <pageSetUpPr/>
  </sheetPr>
  <dimension ref="A1:AZ18"/>
  <sheetViews>
    <sheetView workbookViewId="0">
      <selection activeCell="A1" sqref="A1"/>
    </sheetView>
  </sheetViews>
  <sheetFormatPr baseColWidth="8" defaultRowHeight="15"/>
  <cols>
    <col width="9.7109375" bestFit="1" customWidth="1" min="1" max="1"/>
    <col width="24" bestFit="1" customWidth="1" min="2" max="2"/>
    <col width="17" customWidth="1" min="3" max="3"/>
    <col width="14" bestFit="1" customWidth="1" min="4" max="4"/>
    <col width="14.5703125" bestFit="1" customWidth="1" min="5" max="5"/>
    <col width="11.5703125" bestFit="1" customWidth="1" min="6" max="6"/>
    <col width="17.85546875" bestFit="1" customWidth="1" min="7" max="7"/>
    <col width="8.42578125" customWidth="1" min="8" max="8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15.75" customHeight="1" thickBot="1"/>
    <row r="2" ht="24" customHeight="1" thickBot="1">
      <c r="A2" s="605" t="inlineStr">
        <is>
          <t>HCV VL</t>
        </is>
      </c>
      <c r="B2" s="551" t="n"/>
      <c r="C2" s="551" t="n"/>
      <c r="D2" s="551" t="n"/>
      <c r="E2" s="551" t="n"/>
      <c r="F2" s="551" t="n"/>
      <c r="G2" s="551" t="n"/>
      <c r="H2" s="552" t="n"/>
    </row>
    <row r="3" ht="15.75" customHeight="1" thickBot="1">
      <c r="A3" s="34" t="n"/>
      <c r="B3" s="35" t="n"/>
      <c r="C3" s="35" t="n"/>
      <c r="D3" s="36" t="n"/>
      <c r="E3" s="35" t="n"/>
      <c r="F3" s="35" t="n"/>
      <c r="G3" s="75" t="n"/>
    </row>
    <row r="4" ht="15.75" customHeight="1" thickBot="1">
      <c r="A4" s="151" t="inlineStr">
        <is>
          <t>P/N</t>
        </is>
      </c>
      <c r="B4" s="152" t="inlineStr">
        <is>
          <t>Artikel</t>
        </is>
      </c>
      <c r="C4" s="152" t="inlineStr">
        <is>
          <t>Lotnr.</t>
        </is>
      </c>
      <c r="D4" s="153" t="inlineStr">
        <is>
          <t>Utgångsdatum</t>
        </is>
      </c>
      <c r="E4" s="152" t="inlineStr">
        <is>
          <t>Förvaringsplats</t>
        </is>
      </c>
      <c r="F4" s="152" t="inlineStr">
        <is>
          <t>Antal i lager</t>
        </is>
      </c>
      <c r="G4" s="154" t="inlineStr">
        <is>
          <t>Senast inventering</t>
        </is>
      </c>
      <c r="H4" s="155" t="inlineStr">
        <is>
          <t>SIGN</t>
        </is>
      </c>
    </row>
    <row r="5">
      <c r="A5" s="357" t="inlineStr">
        <is>
          <t>525-00033</t>
        </is>
      </c>
      <c r="B5" s="358" t="inlineStr">
        <is>
          <t>HIV/HCV negative control</t>
        </is>
      </c>
      <c r="C5" s="358">
        <f>IFERROR(INDEX($AZ$5#,ROW()-5+1,1),"")</f>
        <v/>
      </c>
      <c r="D5" s="359">
        <f>IFERROR(INDEX($AZ$5#,ROW()-5+1,2),"")</f>
        <v/>
      </c>
      <c r="E5" s="358">
        <f>IFERROR(INDEX($AZ$5#,ROW()-5+1,5),"")</f>
        <v/>
      </c>
      <c r="F5" s="51">
        <f>IFERROR(INDEX($AZ$5#,ROW()-5+1,3),"")</f>
        <v/>
      </c>
      <c r="G5" s="359">
        <f>IFERROR(INDEX($AZ$5#,ROW()-5+1,6),"")</f>
        <v/>
      </c>
      <c r="H5" s="397" t="inlineStr"/>
      <c r="AZ5">
        <f>LET(pn,$A$5,f,FILTER(tblLots[[LotNumber]:[LatestInventory]],(tblLots[PN]=pn)*(tblLots[IsActive]=TRUE),""),s,IFERROR(SORTBY(f,INDEX(f,,2),1,INDEX(f,,6),-1),""),IFERROR(INDEX(s,SEQUENCE(4),SEQUENCE(,6)),""))</f>
        <v/>
      </c>
    </row>
    <row r="6">
      <c r="A6" s="373">
        <f>A$5</f>
        <v/>
      </c>
      <c r="B6" s="579" t="n"/>
      <c r="C6" s="374">
        <f>IFERROR(INDEX($AZ$5#,ROW()-5+1,1),"")</f>
        <v/>
      </c>
      <c r="D6" s="375">
        <f>IFERROR(INDEX($AZ$5#,ROW()-5+1,2),"")</f>
        <v/>
      </c>
      <c r="E6" s="579" t="n"/>
      <c r="F6" s="53">
        <f>IFERROR(INDEX($AZ$5#,ROW()-5+1,3),"")</f>
        <v/>
      </c>
      <c r="G6" s="375">
        <f>IFERROR(INDEX($AZ$5#,ROW()-5+1,6),"")</f>
        <v/>
      </c>
      <c r="H6" s="398" t="inlineStr"/>
    </row>
    <row r="7">
      <c r="A7" s="373">
        <f>A$5</f>
        <v/>
      </c>
      <c r="B7" s="579" t="n"/>
      <c r="C7" s="374">
        <f>IFERROR(INDEX($AZ$5#,ROW()-5+1,1),"")</f>
        <v/>
      </c>
      <c r="D7" s="375">
        <f>IFERROR(INDEX($AZ$5#,ROW()-5+1,2),"")</f>
        <v/>
      </c>
      <c r="E7" s="579" t="n"/>
      <c r="F7" s="53">
        <f>IFERROR(INDEX($AZ$5#,ROW()-5+1,3),"")</f>
        <v/>
      </c>
      <c r="G7" s="375">
        <f>IFERROR(INDEX($AZ$5#,ROW()-5+1,6),"")</f>
        <v/>
      </c>
      <c r="H7" s="398" t="inlineStr"/>
    </row>
    <row r="8" ht="15.75" customHeight="1" thickBot="1">
      <c r="A8" s="376">
        <f>A$5</f>
        <v/>
      </c>
      <c r="B8" s="580" t="n"/>
      <c r="C8" s="377">
        <f>IFERROR(INDEX($AZ$5#,ROW()-5+1,1),"")</f>
        <v/>
      </c>
      <c r="D8" s="378">
        <f>IFERROR(INDEX($AZ$5#,ROW()-5+1,2),"")</f>
        <v/>
      </c>
      <c r="E8" s="580" t="n"/>
      <c r="F8" s="54">
        <f>IFERROR(INDEX($AZ$5#,ROW()-5+1,3),"")</f>
        <v/>
      </c>
      <c r="G8" s="378">
        <f>IFERROR(INDEX($AZ$5#,ROW()-5+1,6),"")</f>
        <v/>
      </c>
      <c r="H8" s="399" t="inlineStr"/>
    </row>
    <row r="9" ht="15.75" customHeight="1" thickBot="1">
      <c r="A9" s="156" t="inlineStr">
        <is>
          <t>P/N</t>
        </is>
      </c>
      <c r="B9" s="157" t="inlineStr">
        <is>
          <t>Artikel</t>
        </is>
      </c>
      <c r="C9" s="157" t="inlineStr">
        <is>
          <t>Lotnr.</t>
        </is>
      </c>
      <c r="D9" s="158" t="inlineStr">
        <is>
          <t>Utgångsdatum</t>
        </is>
      </c>
      <c r="E9" s="157" t="inlineStr">
        <is>
          <t>Förvaringsplats</t>
        </is>
      </c>
      <c r="F9" s="157" t="inlineStr">
        <is>
          <t>Antal i lager</t>
        </is>
      </c>
      <c r="G9" s="159" t="inlineStr">
        <is>
          <t>Senast inventering</t>
        </is>
      </c>
      <c r="H9" s="160" t="inlineStr">
        <is>
          <t>SIGN</t>
        </is>
      </c>
    </row>
    <row r="10">
      <c r="A10" s="357" t="inlineStr">
        <is>
          <t>525-00035</t>
        </is>
      </c>
      <c r="B10" s="358" t="inlineStr">
        <is>
          <t>HCV Quant low</t>
        </is>
      </c>
      <c r="C10" s="358">
        <f>IFERROR(INDEX($AZ$10#,ROW()-10+1,1),"")</f>
        <v/>
      </c>
      <c r="D10" s="359">
        <f>IFERROR(INDEX($AZ$10#,ROW()-10+1,2),"")</f>
        <v/>
      </c>
      <c r="E10" s="358">
        <f>IFERROR(INDEX($AZ$10#,ROW()-10+1,5),"")</f>
        <v/>
      </c>
      <c r="F10" s="358">
        <f>IFERROR(INDEX($AZ$10#,ROW()-10+1,3),"")</f>
        <v/>
      </c>
      <c r="G10" s="359">
        <f>IFERROR(INDEX($AZ$10#,ROW()-10+1,6),"")</f>
        <v/>
      </c>
      <c r="H10" s="397" t="inlineStr"/>
      <c r="AZ10">
        <f>LET(pn,$A$10,f,FILTER(tblLots[[LotNumber]:[LatestInventory]],(tblLots[PN]=pn)*(tblLots[IsActive]=TRUE),""),s,IFERROR(SORTBY(f,INDEX(f,,2),1,INDEX(f,,6),-1),""),IFERROR(INDEX(s,SEQUENCE(4),SEQUENCE(,6)),""))</f>
        <v/>
      </c>
    </row>
    <row r="11">
      <c r="A11" s="373">
        <f>A$10</f>
        <v/>
      </c>
      <c r="B11" s="579" t="n"/>
      <c r="C11" s="374">
        <f>IFERROR(INDEX($AZ$10#,ROW()-10+1,1),"")</f>
        <v/>
      </c>
      <c r="D11" s="375">
        <f>IFERROR(INDEX($AZ$10#,ROW()-10+1,2),"")</f>
        <v/>
      </c>
      <c r="E11" s="579" t="n"/>
      <c r="F11" s="374">
        <f>IFERROR(INDEX($AZ$10#,ROW()-10+1,3),"")</f>
        <v/>
      </c>
      <c r="G11" s="375">
        <f>IFERROR(INDEX($AZ$10#,ROW()-10+1,6),"")</f>
        <v/>
      </c>
      <c r="H11" s="398" t="inlineStr"/>
    </row>
    <row r="12">
      <c r="A12" s="373">
        <f>A$10</f>
        <v/>
      </c>
      <c r="B12" s="579" t="n"/>
      <c r="C12" s="374">
        <f>IFERROR(INDEX($AZ$10#,ROW()-10+1,1),"")</f>
        <v/>
      </c>
      <c r="D12" s="375">
        <f>IFERROR(INDEX($AZ$10#,ROW()-10+1,2),"")</f>
        <v/>
      </c>
      <c r="E12" s="579" t="n"/>
      <c r="F12" s="374">
        <f>IFERROR(INDEX($AZ$10#,ROW()-10+1,3),"")</f>
        <v/>
      </c>
      <c r="G12" s="375">
        <f>IFERROR(INDEX($AZ$10#,ROW()-10+1,6),"")</f>
        <v/>
      </c>
      <c r="H12" s="398" t="inlineStr"/>
    </row>
    <row r="13" ht="15.75" customHeight="1" thickBot="1">
      <c r="A13" s="376">
        <f>A$10</f>
        <v/>
      </c>
      <c r="B13" s="580" t="n"/>
      <c r="C13" s="377">
        <f>IFERROR(INDEX($AZ$10#,ROW()-10+1,1),"")</f>
        <v/>
      </c>
      <c r="D13" s="378">
        <f>IFERROR(INDEX($AZ$10#,ROW()-10+1,2),"")</f>
        <v/>
      </c>
      <c r="E13" s="580" t="n"/>
      <c r="F13" s="377">
        <f>IFERROR(INDEX($AZ$10#,ROW()-10+1,3),"")</f>
        <v/>
      </c>
      <c r="G13" s="378">
        <f>IFERROR(INDEX($AZ$10#,ROW()-10+1,6),"")</f>
        <v/>
      </c>
      <c r="H13" s="399" t="inlineStr"/>
    </row>
    <row r="14" ht="15.75" customHeight="1" thickBot="1">
      <c r="A14" s="156" t="inlineStr">
        <is>
          <t>P/N</t>
        </is>
      </c>
      <c r="B14" s="157" t="inlineStr">
        <is>
          <t>Artikel</t>
        </is>
      </c>
      <c r="C14" s="157" t="inlineStr">
        <is>
          <t>Lotnr.</t>
        </is>
      </c>
      <c r="D14" s="158" t="inlineStr">
        <is>
          <t>Utgångsdatum</t>
        </is>
      </c>
      <c r="E14" s="157" t="inlineStr">
        <is>
          <t>Förvaringsplats</t>
        </is>
      </c>
      <c r="F14" s="157" t="inlineStr">
        <is>
          <t>Antal i lager</t>
        </is>
      </c>
      <c r="G14" s="159" t="inlineStr">
        <is>
          <t>Senast inventering</t>
        </is>
      </c>
      <c r="H14" s="160" t="inlineStr">
        <is>
          <t>SIGN</t>
        </is>
      </c>
    </row>
    <row r="15">
      <c r="A15" s="357" t="inlineStr">
        <is>
          <t>525-00036</t>
        </is>
      </c>
      <c r="B15" s="459" t="inlineStr">
        <is>
          <t>HCV Quant high</t>
        </is>
      </c>
      <c r="C15" s="358">
        <f>IFERROR(INDEX($AZ$15#,ROW()-15+1,1),"")</f>
        <v/>
      </c>
      <c r="D15" s="359">
        <f>IFERROR(INDEX($AZ$15#,ROW()-15+1,2),"")</f>
        <v/>
      </c>
      <c r="E15" s="358">
        <f>IFERROR(INDEX($AZ$15#,ROW()-15+1,5),"")</f>
        <v/>
      </c>
      <c r="F15" s="358">
        <f>IFERROR(INDEX($AZ$15#,ROW()-15+1,3),"")</f>
        <v/>
      </c>
      <c r="G15" s="359">
        <f>IFERROR(INDEX($AZ$15#,ROW()-15+1,6),"")</f>
        <v/>
      </c>
      <c r="H15" s="397" t="inlineStr"/>
      <c r="AZ15">
        <f>LET(pn,$A$15,f,FILTER(tblLots[[LotNumber]:[LatestInventory]],(tblLots[PN]=pn)*(tblLots[IsActive]=TRUE),""),s,IFERROR(SORTBY(f,INDEX(f,,2),1,INDEX(f,,6),-1),""),IFERROR(INDEX(s,SEQUENCE(4),SEQUENCE(,6)),""))</f>
        <v/>
      </c>
    </row>
    <row r="16">
      <c r="A16" s="373">
        <f>A$15</f>
        <v/>
      </c>
      <c r="B16" s="579" t="n"/>
      <c r="C16" s="374">
        <f>IFERROR(INDEX($AZ$15#,ROW()-15+1,1),"")</f>
        <v/>
      </c>
      <c r="D16" s="375">
        <f>IFERROR(INDEX($AZ$15#,ROW()-15+1,2),"")</f>
        <v/>
      </c>
      <c r="E16" s="579" t="n"/>
      <c r="F16" s="374">
        <f>IFERROR(INDEX($AZ$15#,ROW()-15+1,3),"")</f>
        <v/>
      </c>
      <c r="G16" s="375">
        <f>IFERROR(INDEX($AZ$15#,ROW()-15+1,6),"")</f>
        <v/>
      </c>
      <c r="H16" s="398" t="inlineStr"/>
    </row>
    <row r="17">
      <c r="A17" s="373">
        <f>A$15</f>
        <v/>
      </c>
      <c r="B17" s="579" t="n"/>
      <c r="C17" s="374">
        <f>IFERROR(INDEX($AZ$15#,ROW()-15+1,1),"")</f>
        <v/>
      </c>
      <c r="D17" s="375">
        <f>IFERROR(INDEX($AZ$15#,ROW()-15+1,2),"")</f>
        <v/>
      </c>
      <c r="E17" s="579" t="n"/>
      <c r="F17" s="374">
        <f>IFERROR(INDEX($AZ$15#,ROW()-15+1,3),"")</f>
        <v/>
      </c>
      <c r="G17" s="375">
        <f>IFERROR(INDEX($AZ$15#,ROW()-15+1,6),"")</f>
        <v/>
      </c>
      <c r="H17" s="398" t="inlineStr"/>
    </row>
    <row r="18" ht="15.75" customHeight="1" thickBot="1">
      <c r="A18" s="376">
        <f>A$15</f>
        <v/>
      </c>
      <c r="B18" s="580" t="n"/>
      <c r="C18" s="377">
        <f>IFERROR(INDEX($AZ$15#,ROW()-15+1,1),"")</f>
        <v/>
      </c>
      <c r="D18" s="378">
        <f>IFERROR(INDEX($AZ$15#,ROW()-15+1,2),"")</f>
        <v/>
      </c>
      <c r="E18" s="580" t="n"/>
      <c r="F18" s="377">
        <f>IFERROR(INDEX($AZ$15#,ROW()-15+1,3),"")</f>
        <v/>
      </c>
      <c r="G18" s="378">
        <f>IFERROR(INDEX($AZ$15#,ROW()-15+1,6),"")</f>
        <v/>
      </c>
      <c r="H18" s="399" t="inlineStr"/>
    </row>
  </sheetData>
  <sheetProtection selectLockedCells="0" selectUnlockedCells="0" algorithmName="SHA-512" sheet="1" objects="0" insertRows="0" insertHyperlinks="0" autoFilter="0" scenarios="0" formatColumns="0" deleteColumns="0" insertColumns="0" pivotTables="0" deleteRows="0" formatCells="0" saltValue="otre0ei5gaeaIlKRRg8YMg==" formatRows="0" sort="0" spinCount="100000" hashValue="d1XVYLIHkSCWam/0kido9m7qn5HEiQI2mAvdsFA/8zgBvHstRx8N8BXo1+N4ytJX/I4/5CZ9Ppus8H6Ts9N0VA=="/>
  <mergeCells count="7">
    <mergeCell ref="B5:B8"/>
    <mergeCell ref="A2:H2"/>
    <mergeCell ref="B15:B18"/>
    <mergeCell ref="E15:E18"/>
    <mergeCell ref="E5:E8"/>
    <mergeCell ref="B10:B13"/>
    <mergeCell ref="E10:E13"/>
  </mergeCells>
  <pageMargins left="0.7" right="0.7" top="0.75" bottom="0.75" header="0.3" footer="0.3"/>
  <pageSetup orientation="portrait" paperSize="9" verticalDpi="0"/>
</worksheet>
</file>

<file path=xl/worksheets/sheet19.xml><?xml version="1.0" encoding="utf-8"?>
<worksheet xmlns="http://schemas.openxmlformats.org/spreadsheetml/2006/main">
  <sheetPr codeName="Sheet16">
    <tabColor rgb="FF7030A0"/>
    <outlinePr summaryBelow="1" summaryRight="1"/>
    <pageSetUpPr/>
  </sheetPr>
  <dimension ref="A1:AZ18"/>
  <sheetViews>
    <sheetView workbookViewId="0">
      <selection activeCell="A1" sqref="A1"/>
    </sheetView>
  </sheetViews>
  <sheetFormatPr baseColWidth="8" defaultRowHeight="15"/>
  <cols>
    <col width="9.7109375" bestFit="1" customWidth="1" min="1" max="1"/>
    <col width="24" bestFit="1" customWidth="1" min="2" max="2"/>
    <col width="15.28515625" customWidth="1" min="3" max="3"/>
    <col width="14" bestFit="1" customWidth="1" min="4" max="4"/>
    <col width="14.5703125" bestFit="1" customWidth="1" min="5" max="5"/>
    <col width="11.5703125" bestFit="1" customWidth="1" min="6" max="6"/>
    <col width="17.85546875" bestFit="1" customWidth="1" min="7" max="7"/>
    <col width="8.140625" customWidth="1" min="8" max="8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15.75" customHeight="1" thickBot="1"/>
    <row r="2" ht="24" customHeight="1" thickBot="1">
      <c r="A2" s="606" t="inlineStr">
        <is>
          <t>HCV VL FS</t>
        </is>
      </c>
      <c r="B2" s="551" t="n"/>
      <c r="C2" s="551" t="n"/>
      <c r="D2" s="551" t="n"/>
      <c r="E2" s="551" t="n"/>
      <c r="F2" s="551" t="n"/>
      <c r="G2" s="551" t="n"/>
      <c r="H2" s="552" t="n"/>
    </row>
    <row r="3" ht="15.75" customHeight="1" thickBot="1">
      <c r="A3" s="34" t="n"/>
      <c r="B3" s="35" t="n"/>
      <c r="C3" s="35" t="n"/>
      <c r="D3" s="36" t="n"/>
      <c r="E3" s="35" t="n"/>
      <c r="F3" s="35" t="n"/>
      <c r="G3" s="75" t="n"/>
    </row>
    <row r="4" ht="15.75" customHeight="1" thickBot="1">
      <c r="A4" s="166" t="inlineStr">
        <is>
          <t>P/N</t>
        </is>
      </c>
      <c r="B4" s="167" t="inlineStr">
        <is>
          <t>Artikel</t>
        </is>
      </c>
      <c r="C4" s="167" t="inlineStr">
        <is>
          <t>Lotnr.</t>
        </is>
      </c>
      <c r="D4" s="168" t="inlineStr">
        <is>
          <t>Utgångsdatum</t>
        </is>
      </c>
      <c r="E4" s="167" t="inlineStr">
        <is>
          <t>Förvaringsplats</t>
        </is>
      </c>
      <c r="F4" s="167" t="inlineStr">
        <is>
          <t>Antal i lager</t>
        </is>
      </c>
      <c r="G4" s="169" t="inlineStr">
        <is>
          <t>Senast inventering</t>
        </is>
      </c>
      <c r="H4" s="170" t="inlineStr">
        <is>
          <t>SIGN</t>
        </is>
      </c>
    </row>
    <row r="5">
      <c r="A5" s="357" t="inlineStr">
        <is>
          <t>525-00113</t>
        </is>
      </c>
      <c r="B5" s="358" t="inlineStr">
        <is>
          <t>EDTA Human Whole Blood</t>
        </is>
      </c>
      <c r="C5" s="358">
        <f>IFERROR(INDEX($AZ$5#,ROW()-5+1,1),"")</f>
        <v/>
      </c>
      <c r="D5" s="359">
        <f>IFERROR(INDEX($AZ$5#,ROW()-5+1,2),"")</f>
        <v/>
      </c>
      <c r="E5" s="358">
        <f>IFERROR(INDEX($AZ$5#,ROW()-5+1,5),"")</f>
        <v/>
      </c>
      <c r="F5" s="51">
        <f>IFERROR(INDEX($AZ$5#,ROW()-5+1,3),"")</f>
        <v/>
      </c>
      <c r="G5" s="359">
        <f>IFERROR(INDEX($AZ$5#,ROW()-5+1,6),"")</f>
        <v/>
      </c>
      <c r="H5" s="397" t="inlineStr"/>
      <c r="AZ5">
        <f>LET(pn,$A$5,f,FILTER(tblLots[[LotNumber]:[LatestInventory]],(tblLots[PN]=pn)*(tblLots[IsActive]=TRUE),""),s,IFERROR(SORTBY(f,INDEX(f,,2),1,INDEX(f,,6),-1),""),IFERROR(INDEX(s,SEQUENCE(4),SEQUENCE(,6)),""))</f>
        <v/>
      </c>
    </row>
    <row r="6">
      <c r="A6" s="373">
        <f>A$5</f>
        <v/>
      </c>
      <c r="B6" s="579" t="n"/>
      <c r="C6" s="374">
        <f>IFERROR(INDEX($AZ$5#,ROW()-5+1,1),"")</f>
        <v/>
      </c>
      <c r="D6" s="375">
        <f>IFERROR(INDEX($AZ$5#,ROW()-5+1,2),"")</f>
        <v/>
      </c>
      <c r="E6" s="579" t="n"/>
      <c r="F6" s="53">
        <f>IFERROR(INDEX($AZ$5#,ROW()-5+1,3),"")</f>
        <v/>
      </c>
      <c r="G6" s="375">
        <f>IFERROR(INDEX($AZ$5#,ROW()-5+1,6),"")</f>
        <v/>
      </c>
      <c r="H6" s="398" t="inlineStr"/>
    </row>
    <row r="7">
      <c r="A7" s="373">
        <f>A$5</f>
        <v/>
      </c>
      <c r="B7" s="579" t="n"/>
      <c r="C7" s="374">
        <f>IFERROR(INDEX($AZ$5#,ROW()-5+1,1),"")</f>
        <v/>
      </c>
      <c r="D7" s="375">
        <f>IFERROR(INDEX($AZ$5#,ROW()-5+1,2),"")</f>
        <v/>
      </c>
      <c r="E7" s="579" t="n"/>
      <c r="F7" s="53">
        <f>IFERROR(INDEX($AZ$5#,ROW()-5+1,3),"")</f>
        <v/>
      </c>
      <c r="G7" s="375">
        <f>IFERROR(INDEX($AZ$5#,ROW()-5+1,6),"")</f>
        <v/>
      </c>
      <c r="H7" s="398" t="inlineStr"/>
    </row>
    <row r="8" ht="15.75" customHeight="1" thickBot="1">
      <c r="A8" s="376">
        <f>A$5</f>
        <v/>
      </c>
      <c r="B8" s="580" t="n"/>
      <c r="C8" s="377">
        <f>IFERROR(INDEX($AZ$5#,ROW()-5+1,1),"")</f>
        <v/>
      </c>
      <c r="D8" s="378">
        <f>IFERROR(INDEX($AZ$5#,ROW()-5+1,2),"")</f>
        <v/>
      </c>
      <c r="E8" s="580" t="n"/>
      <c r="F8" s="54">
        <f>IFERROR(INDEX($AZ$5#,ROW()-5+1,3),"")</f>
        <v/>
      </c>
      <c r="G8" s="378">
        <f>IFERROR(INDEX($AZ$5#,ROW()-5+1,6),"")</f>
        <v/>
      </c>
      <c r="H8" s="399" t="inlineStr"/>
    </row>
    <row r="9" ht="15.75" customHeight="1" thickBot="1">
      <c r="A9" s="161" t="inlineStr">
        <is>
          <t>P/N</t>
        </is>
      </c>
      <c r="B9" s="162" t="inlineStr">
        <is>
          <t>Artikel</t>
        </is>
      </c>
      <c r="C9" s="162" t="inlineStr">
        <is>
          <t>Lotnr.</t>
        </is>
      </c>
      <c r="D9" s="163" t="inlineStr">
        <is>
          <t>Utgångsdatum</t>
        </is>
      </c>
      <c r="E9" s="162" t="inlineStr">
        <is>
          <t>Förvaringsplats</t>
        </is>
      </c>
      <c r="F9" s="162" t="inlineStr">
        <is>
          <t>Antal i lager</t>
        </is>
      </c>
      <c r="G9" s="164" t="inlineStr">
        <is>
          <t>Senast inventering</t>
        </is>
      </c>
      <c r="H9" s="165" t="inlineStr">
        <is>
          <t>SIGN</t>
        </is>
      </c>
    </row>
    <row r="10">
      <c r="A10" s="357" t="inlineStr">
        <is>
          <t>525-00103</t>
        </is>
      </c>
      <c r="B10" s="358" t="inlineStr">
        <is>
          <t>FS HCV Low</t>
        </is>
      </c>
      <c r="C10" s="358">
        <f>IFERROR(INDEX($AZ$10#,ROW()-10+1,1),"")</f>
        <v/>
      </c>
      <c r="D10" s="359">
        <f>IFERROR(INDEX($AZ$10#,ROW()-10+1,2),"")</f>
        <v/>
      </c>
      <c r="E10" s="358">
        <f>IFERROR(INDEX($AZ$10#,ROW()-10+1,5),"")</f>
        <v/>
      </c>
      <c r="F10" s="358">
        <f>IFERROR(INDEX($AZ$10#,ROW()-10+1,3),"")</f>
        <v/>
      </c>
      <c r="G10" s="359">
        <f>IFERROR(INDEX($AZ$10#,ROW()-10+1,6),"")</f>
        <v/>
      </c>
      <c r="H10" s="397" t="inlineStr"/>
      <c r="AZ10">
        <f>LET(pn,$A$10,f,FILTER(tblLots[[LotNumber]:[LatestInventory]],(tblLots[PN]=pn)*(tblLots[IsActive]=TRUE),""),s,IFERROR(SORTBY(f,INDEX(f,,2),1,INDEX(f,,6),-1),""),IFERROR(INDEX(s,SEQUENCE(4),SEQUENCE(,6)),""))</f>
        <v/>
      </c>
    </row>
    <row r="11">
      <c r="A11" s="373">
        <f>A$10</f>
        <v/>
      </c>
      <c r="B11" s="579" t="n"/>
      <c r="C11" s="374">
        <f>IFERROR(INDEX($AZ$10#,ROW()-10+1,1),"")</f>
        <v/>
      </c>
      <c r="D11" s="375">
        <f>IFERROR(INDEX($AZ$10#,ROW()-10+1,2),"")</f>
        <v/>
      </c>
      <c r="E11" s="579" t="n"/>
      <c r="F11" s="374">
        <f>IFERROR(INDEX($AZ$10#,ROW()-10+1,3),"")</f>
        <v/>
      </c>
      <c r="G11" s="375">
        <f>IFERROR(INDEX($AZ$10#,ROW()-10+1,6),"")</f>
        <v/>
      </c>
      <c r="H11" s="398" t="inlineStr"/>
    </row>
    <row r="12">
      <c r="A12" s="373">
        <f>A$10</f>
        <v/>
      </c>
      <c r="B12" s="579" t="n"/>
      <c r="C12" s="374">
        <f>IFERROR(INDEX($AZ$10#,ROW()-10+1,1),"")</f>
        <v/>
      </c>
      <c r="D12" s="375">
        <f>IFERROR(INDEX($AZ$10#,ROW()-10+1,2),"")</f>
        <v/>
      </c>
      <c r="E12" s="579" t="n"/>
      <c r="F12" s="374">
        <f>IFERROR(INDEX($AZ$10#,ROW()-10+1,3),"")</f>
        <v/>
      </c>
      <c r="G12" s="375">
        <f>IFERROR(INDEX($AZ$10#,ROW()-10+1,6),"")</f>
        <v/>
      </c>
      <c r="H12" s="398" t="inlineStr"/>
    </row>
    <row r="13" ht="15.75" customHeight="1" thickBot="1">
      <c r="A13" s="376">
        <f>A$10</f>
        <v/>
      </c>
      <c r="B13" s="580" t="n"/>
      <c r="C13" s="377">
        <f>IFERROR(INDEX($AZ$10#,ROW()-10+1,1),"")</f>
        <v/>
      </c>
      <c r="D13" s="378">
        <f>IFERROR(INDEX($AZ$10#,ROW()-10+1,2),"")</f>
        <v/>
      </c>
      <c r="E13" s="580" t="n"/>
      <c r="F13" s="377">
        <f>IFERROR(INDEX($AZ$10#,ROW()-10+1,3),"")</f>
        <v/>
      </c>
      <c r="G13" s="378">
        <f>IFERROR(INDEX($AZ$10#,ROW()-10+1,6),"")</f>
        <v/>
      </c>
      <c r="H13" s="399" t="inlineStr"/>
    </row>
    <row r="14" ht="15.75" customHeight="1" thickBot="1">
      <c r="A14" s="161" t="inlineStr">
        <is>
          <t>P/N</t>
        </is>
      </c>
      <c r="B14" s="162" t="inlineStr">
        <is>
          <t>Artikel</t>
        </is>
      </c>
      <c r="C14" s="162" t="inlineStr">
        <is>
          <t>Lotnr.</t>
        </is>
      </c>
      <c r="D14" s="163" t="inlineStr">
        <is>
          <t>Utgångsdatum</t>
        </is>
      </c>
      <c r="E14" s="162" t="inlineStr">
        <is>
          <t>Förvaringsplats</t>
        </is>
      </c>
      <c r="F14" s="162" t="inlineStr">
        <is>
          <t>Antal i lager</t>
        </is>
      </c>
      <c r="G14" s="164" t="inlineStr">
        <is>
          <t>Senast inventering</t>
        </is>
      </c>
      <c r="H14" s="165" t="inlineStr">
        <is>
          <t>SIGN</t>
        </is>
      </c>
    </row>
    <row r="15">
      <c r="A15" s="357" t="inlineStr">
        <is>
          <t>525-00104</t>
        </is>
      </c>
      <c r="B15" s="459" t="inlineStr">
        <is>
          <t>FS HCV High</t>
        </is>
      </c>
      <c r="C15" s="358">
        <f>IFERROR(INDEX($AZ$15#,ROW()-15+1,1),"")</f>
        <v/>
      </c>
      <c r="D15" s="359">
        <f>IFERROR(INDEX($AZ$15#,ROW()-15+1,2),"")</f>
        <v/>
      </c>
      <c r="E15" s="358">
        <f>IFERROR(INDEX($AZ$15#,ROW()-15+1,5),"")</f>
        <v/>
      </c>
      <c r="F15" s="358">
        <f>IFERROR(INDEX($AZ$15#,ROW()-15+1,3),"")</f>
        <v/>
      </c>
      <c r="G15" s="359">
        <f>IFERROR(INDEX($AZ$15#,ROW()-15+1,6),"")</f>
        <v/>
      </c>
      <c r="H15" s="397" t="inlineStr"/>
      <c r="AZ15">
        <f>LET(pn,$A$15,f,FILTER(tblLots[[LotNumber]:[LatestInventory]],(tblLots[PN]=pn)*(tblLots[IsActive]=TRUE),""),s,IFERROR(SORTBY(f,INDEX(f,,2),1,INDEX(f,,6),-1),""),IFERROR(INDEX(s,SEQUENCE(4),SEQUENCE(,6)),""))</f>
        <v/>
      </c>
    </row>
    <row r="16">
      <c r="A16" s="373">
        <f>A$15</f>
        <v/>
      </c>
      <c r="B16" s="579" t="n"/>
      <c r="C16" s="374">
        <f>IFERROR(INDEX($AZ$15#,ROW()-15+1,1),"")</f>
        <v/>
      </c>
      <c r="D16" s="375">
        <f>IFERROR(INDEX($AZ$15#,ROW()-15+1,2),"")</f>
        <v/>
      </c>
      <c r="E16" s="579" t="n"/>
      <c r="F16" s="374">
        <f>IFERROR(INDEX($AZ$15#,ROW()-15+1,3),"")</f>
        <v/>
      </c>
      <c r="G16" s="375">
        <f>IFERROR(INDEX($AZ$15#,ROW()-15+1,6),"")</f>
        <v/>
      </c>
      <c r="H16" s="398" t="inlineStr"/>
    </row>
    <row r="17">
      <c r="A17" s="373">
        <f>A$15</f>
        <v/>
      </c>
      <c r="B17" s="579" t="n"/>
      <c r="C17" s="374">
        <f>IFERROR(INDEX($AZ$15#,ROW()-15+1,1),"")</f>
        <v/>
      </c>
      <c r="D17" s="375">
        <f>IFERROR(INDEX($AZ$15#,ROW()-15+1,2),"")</f>
        <v/>
      </c>
      <c r="E17" s="579" t="n"/>
      <c r="F17" s="374">
        <f>IFERROR(INDEX($AZ$15#,ROW()-15+1,3),"")</f>
        <v/>
      </c>
      <c r="G17" s="375">
        <f>IFERROR(INDEX($AZ$15#,ROW()-15+1,6),"")</f>
        <v/>
      </c>
      <c r="H17" s="398" t="inlineStr"/>
    </row>
    <row r="18" ht="15.75" customHeight="1" thickBot="1">
      <c r="A18" s="376">
        <f>A$15</f>
        <v/>
      </c>
      <c r="B18" s="580" t="n"/>
      <c r="C18" s="377">
        <f>IFERROR(INDEX($AZ$15#,ROW()-15+1,1),"")</f>
        <v/>
      </c>
      <c r="D18" s="378">
        <f>IFERROR(INDEX($AZ$15#,ROW()-15+1,2),"")</f>
        <v/>
      </c>
      <c r="E18" s="580" t="n"/>
      <c r="F18" s="377">
        <f>IFERROR(INDEX($AZ$15#,ROW()-15+1,3),"")</f>
        <v/>
      </c>
      <c r="G18" s="378">
        <f>IFERROR(INDEX($AZ$15#,ROW()-15+1,6),"")</f>
        <v/>
      </c>
      <c r="H18" s="399" t="inlineStr"/>
    </row>
  </sheetData>
  <sheetProtection selectLockedCells="0" selectUnlockedCells="0" algorithmName="SHA-512" sheet="1" objects="0" insertRows="0" insertHyperlinks="0" autoFilter="0" scenarios="0" formatColumns="0" deleteColumns="0" insertColumns="0" pivotTables="0" deleteRows="0" formatCells="0" saltValue="DOrBqkAuIfQzLgOZnuFA+A==" formatRows="0" sort="0" spinCount="100000" hashValue="66SsLhhE8QFv18fqgPJSl+DnTLPFaMLh/bbS2Bf3KggNN7sRO/D5E1auJi3Ao8RTrboJjkeB9InfF7Jc1MYGfQ=="/>
  <mergeCells count="7">
    <mergeCell ref="B5:B8"/>
    <mergeCell ref="A2:H2"/>
    <mergeCell ref="B15:B18"/>
    <mergeCell ref="E15:E18"/>
    <mergeCell ref="E5:E8"/>
    <mergeCell ref="B10:B13"/>
    <mergeCell ref="E10:E13"/>
  </mergeCells>
  <pageMargins left="0.7" right="0.7" top="0.75" bottom="0.75" header="0.3" footer="0.3"/>
  <pageSetup orientation="portrait" paperSize="9" verticalDpi="0"/>
</worksheet>
</file>

<file path=xl/worksheets/sheet20.xml><?xml version="1.0" encoding="utf-8"?>
<worksheet xmlns="http://schemas.openxmlformats.org/spreadsheetml/2006/main">
  <sheetPr codeName="Sheet17">
    <tabColor rgb="FFFFCC00"/>
    <outlinePr summaryBelow="1" summaryRight="1"/>
    <pageSetUpPr/>
  </sheetPr>
  <dimension ref="A1:AZ18"/>
  <sheetViews>
    <sheetView workbookViewId="0">
      <selection activeCell="A1" sqref="A1"/>
    </sheetView>
  </sheetViews>
  <sheetFormatPr baseColWidth="8" defaultRowHeight="15"/>
  <cols>
    <col width="9.7109375" bestFit="1" customWidth="1" min="1" max="1"/>
    <col width="24" bestFit="1" customWidth="1" min="2" max="2"/>
    <col width="17.42578125" customWidth="1" min="3" max="3"/>
    <col width="14" bestFit="1" customWidth="1" min="4" max="4"/>
    <col width="14.5703125" bestFit="1" customWidth="1" min="5" max="5"/>
    <col width="15.7109375" customWidth="1" min="6" max="6"/>
    <col width="17.85546875" bestFit="1" customWidth="1" min="7" max="7"/>
    <col width="8.7109375" customWidth="1" min="8" max="8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15.75" customHeight="1" thickBot="1"/>
    <row r="2" ht="24" customHeight="1" thickBot="1">
      <c r="A2" s="607" t="inlineStr">
        <is>
          <t>HIV VL</t>
        </is>
      </c>
      <c r="B2" s="551" t="n"/>
      <c r="C2" s="551" t="n"/>
      <c r="D2" s="551" t="n"/>
      <c r="E2" s="551" t="n"/>
      <c r="F2" s="551" t="n"/>
      <c r="G2" s="551" t="n"/>
      <c r="H2" s="552" t="n"/>
    </row>
    <row r="3" ht="15.75" customHeight="1" thickBot="1">
      <c r="A3" s="34" t="n"/>
      <c r="B3" s="35" t="n"/>
      <c r="C3" s="35" t="n"/>
      <c r="D3" s="36" t="n"/>
      <c r="E3" s="35" t="n"/>
      <c r="F3" s="35" t="n"/>
      <c r="G3" s="75" t="n"/>
    </row>
    <row r="4" ht="15.75" customHeight="1" thickBot="1">
      <c r="A4" s="171" t="inlineStr">
        <is>
          <t>P/N</t>
        </is>
      </c>
      <c r="B4" s="172" t="inlineStr">
        <is>
          <t>Artikel</t>
        </is>
      </c>
      <c r="C4" s="172" t="inlineStr">
        <is>
          <t>Lotnr.</t>
        </is>
      </c>
      <c r="D4" s="173" t="inlineStr">
        <is>
          <t>Utgångsdatum</t>
        </is>
      </c>
      <c r="E4" s="172" t="inlineStr">
        <is>
          <t>Förvaringsplats</t>
        </is>
      </c>
      <c r="F4" s="172" t="inlineStr">
        <is>
          <t>Antal i lager</t>
        </is>
      </c>
      <c r="G4" s="174" t="inlineStr">
        <is>
          <t>Senast inventering</t>
        </is>
      </c>
      <c r="H4" s="175" t="inlineStr">
        <is>
          <t>SIGN</t>
        </is>
      </c>
    </row>
    <row r="5">
      <c r="A5" s="357" t="inlineStr">
        <is>
          <t>525-00033</t>
        </is>
      </c>
      <c r="B5" s="358" t="inlineStr">
        <is>
          <t>HIV/HCV negative control</t>
        </is>
      </c>
      <c r="C5" s="358">
        <f>IFERROR(INDEX($AZ$5#,ROW()-5+1,1),"")</f>
        <v/>
      </c>
      <c r="D5" s="359">
        <f>IFERROR(INDEX($AZ$5#,ROW()-5+1,2),"")</f>
        <v/>
      </c>
      <c r="E5" s="358">
        <f>IFERROR(INDEX($AZ$5#,ROW()-5+1,5),"")</f>
        <v/>
      </c>
      <c r="F5" s="51">
        <f>IFERROR(INDEX($AZ$5#,ROW()-5+1,3),"")</f>
        <v/>
      </c>
      <c r="G5" s="359">
        <f>IFERROR(INDEX($AZ$5#,ROW()-5+1,6),"")</f>
        <v/>
      </c>
      <c r="H5" s="397" t="inlineStr"/>
      <c r="AZ5">
        <f>LET(pn,$A$5,f,FILTER(tblLots[[LotNumber]:[LatestInventory]],(tblLots[PN]=pn)*(tblLots[IsActive]=TRUE),""),s,IFERROR(SORTBY(f,INDEX(f,,2),1,INDEX(f,,6),-1),""),IFERROR(INDEX(s,SEQUENCE(4),SEQUENCE(,6)),""))</f>
        <v/>
      </c>
    </row>
    <row r="6">
      <c r="A6" s="373">
        <f>A$5</f>
        <v/>
      </c>
      <c r="B6" s="579" t="n"/>
      <c r="C6" s="374">
        <f>IFERROR(INDEX($AZ$5#,ROW()-5+1,1),"")</f>
        <v/>
      </c>
      <c r="D6" s="375">
        <f>IFERROR(INDEX($AZ$5#,ROW()-5+1,2),"")</f>
        <v/>
      </c>
      <c r="E6" s="579" t="n"/>
      <c r="F6" s="53">
        <f>IFERROR(INDEX($AZ$5#,ROW()-5+1,3),"")</f>
        <v/>
      </c>
      <c r="G6" s="375">
        <f>IFERROR(INDEX($AZ$5#,ROW()-5+1,6),"")</f>
        <v/>
      </c>
      <c r="H6" s="398" t="inlineStr"/>
    </row>
    <row r="7">
      <c r="A7" s="373">
        <f>A$5</f>
        <v/>
      </c>
      <c r="B7" s="579" t="n"/>
      <c r="C7" s="374">
        <f>IFERROR(INDEX($AZ$5#,ROW()-5+1,1),"")</f>
        <v/>
      </c>
      <c r="D7" s="375">
        <f>IFERROR(INDEX($AZ$5#,ROW()-5+1,2),"")</f>
        <v/>
      </c>
      <c r="E7" s="579" t="n"/>
      <c r="F7" s="53">
        <f>IFERROR(INDEX($AZ$5#,ROW()-5+1,3),"")</f>
        <v/>
      </c>
      <c r="G7" s="375">
        <f>IFERROR(INDEX($AZ$5#,ROW()-5+1,6),"")</f>
        <v/>
      </c>
      <c r="H7" s="398" t="inlineStr"/>
    </row>
    <row r="8" ht="15.75" customHeight="1" thickBot="1">
      <c r="A8" s="376">
        <f>A$5</f>
        <v/>
      </c>
      <c r="B8" s="580" t="n"/>
      <c r="C8" s="377">
        <f>IFERROR(INDEX($AZ$5#,ROW()-5+1,1),"")</f>
        <v/>
      </c>
      <c r="D8" s="378">
        <f>IFERROR(INDEX($AZ$5#,ROW()-5+1,2),"")</f>
        <v/>
      </c>
      <c r="E8" s="580" t="n"/>
      <c r="F8" s="54">
        <f>IFERROR(INDEX($AZ$5#,ROW()-5+1,3),"")</f>
        <v/>
      </c>
      <c r="G8" s="378">
        <f>IFERROR(INDEX($AZ$5#,ROW()-5+1,6),"")</f>
        <v/>
      </c>
      <c r="H8" s="399" t="inlineStr"/>
    </row>
    <row r="9" ht="15.75" customHeight="1" thickBot="1">
      <c r="A9" s="176" t="inlineStr">
        <is>
          <t>P/N</t>
        </is>
      </c>
      <c r="B9" s="177" t="inlineStr">
        <is>
          <t>Artikel</t>
        </is>
      </c>
      <c r="C9" s="177" t="inlineStr">
        <is>
          <t>Lotnr.</t>
        </is>
      </c>
      <c r="D9" s="178" t="inlineStr">
        <is>
          <t>Utgångsdatum</t>
        </is>
      </c>
      <c r="E9" s="177" t="inlineStr">
        <is>
          <t>Förvaringsplats</t>
        </is>
      </c>
      <c r="F9" s="177" t="inlineStr">
        <is>
          <t>Antal i lager</t>
        </is>
      </c>
      <c r="G9" s="179" t="inlineStr">
        <is>
          <t>Senast inventering</t>
        </is>
      </c>
      <c r="H9" s="180" t="inlineStr">
        <is>
          <t>SIGN</t>
        </is>
      </c>
    </row>
    <row r="10">
      <c r="A10" s="357" t="inlineStr">
        <is>
          <t>525-00017</t>
        </is>
      </c>
      <c r="B10" s="358" t="inlineStr">
        <is>
          <t>HIV LOW positive control</t>
        </is>
      </c>
      <c r="C10" s="358">
        <f>IFERROR(INDEX($AZ$10#,ROW()-10+1,1),"")</f>
        <v/>
      </c>
      <c r="D10" s="359">
        <f>IFERROR(INDEX($AZ$10#,ROW()-10+1,2),"")</f>
        <v/>
      </c>
      <c r="E10" s="358">
        <f>IFERROR(INDEX($AZ$10#,ROW()-10+1,5),"")</f>
        <v/>
      </c>
      <c r="F10" s="358">
        <f>IFERROR(INDEX($AZ$10#,ROW()-10+1,3),"")</f>
        <v/>
      </c>
      <c r="G10" s="359">
        <f>IFERROR(INDEX($AZ$10#,ROW()-10+1,6),"")</f>
        <v/>
      </c>
      <c r="H10" s="397" t="inlineStr"/>
      <c r="AZ10">
        <f>LET(pn,$A$10,f,FILTER(tblLots[[LotNumber]:[LatestInventory]],(tblLots[PN]=pn)*(tblLots[IsActive]=TRUE),""),s,IFERROR(SORTBY(f,INDEX(f,,2),1,INDEX(f,,6),-1),""),IFERROR(INDEX(s,SEQUENCE(4),SEQUENCE(,6)),""))</f>
        <v/>
      </c>
    </row>
    <row r="11">
      <c r="A11" s="373">
        <f>A$10</f>
        <v/>
      </c>
      <c r="B11" s="579" t="n"/>
      <c r="C11" s="374">
        <f>IFERROR(INDEX($AZ$10#,ROW()-10+1,1),"")</f>
        <v/>
      </c>
      <c r="D11" s="375">
        <f>IFERROR(INDEX($AZ$10#,ROW()-10+1,2),"")</f>
        <v/>
      </c>
      <c r="E11" s="579" t="n"/>
      <c r="F11" s="374">
        <f>IFERROR(INDEX($AZ$10#,ROW()-10+1,3),"")</f>
        <v/>
      </c>
      <c r="G11" s="375">
        <f>IFERROR(INDEX($AZ$10#,ROW()-10+1,6),"")</f>
        <v/>
      </c>
      <c r="H11" s="398" t="inlineStr"/>
    </row>
    <row r="12">
      <c r="A12" s="373">
        <f>A$10</f>
        <v/>
      </c>
      <c r="B12" s="579" t="n"/>
      <c r="C12" s="374">
        <f>IFERROR(INDEX($AZ$10#,ROW()-10+1,1),"")</f>
        <v/>
      </c>
      <c r="D12" s="375">
        <f>IFERROR(INDEX($AZ$10#,ROW()-10+1,2),"")</f>
        <v/>
      </c>
      <c r="E12" s="579" t="n"/>
      <c r="F12" s="374">
        <f>IFERROR(INDEX($AZ$10#,ROW()-10+1,3),"")</f>
        <v/>
      </c>
      <c r="G12" s="375">
        <f>IFERROR(INDEX($AZ$10#,ROW()-10+1,6),"")</f>
        <v/>
      </c>
      <c r="H12" s="398" t="inlineStr"/>
    </row>
    <row r="13" ht="15.75" customHeight="1" thickBot="1">
      <c r="A13" s="376">
        <f>A$10</f>
        <v/>
      </c>
      <c r="B13" s="580" t="n"/>
      <c r="C13" s="377">
        <f>IFERROR(INDEX($AZ$10#,ROW()-10+1,1),"")</f>
        <v/>
      </c>
      <c r="D13" s="378">
        <f>IFERROR(INDEX($AZ$10#,ROW()-10+1,2),"")</f>
        <v/>
      </c>
      <c r="E13" s="580" t="n"/>
      <c r="F13" s="377">
        <f>IFERROR(INDEX($AZ$10#,ROW()-10+1,3),"")</f>
        <v/>
      </c>
      <c r="G13" s="378">
        <f>IFERROR(INDEX($AZ$10#,ROW()-10+1,6),"")</f>
        <v/>
      </c>
      <c r="H13" s="399" t="inlineStr"/>
    </row>
    <row r="14" ht="15.75" customHeight="1" thickBot="1">
      <c r="A14" s="176" t="inlineStr">
        <is>
          <t>P/N</t>
        </is>
      </c>
      <c r="B14" s="177" t="inlineStr">
        <is>
          <t>Artikel</t>
        </is>
      </c>
      <c r="C14" s="177" t="inlineStr">
        <is>
          <t>Lotnr.</t>
        </is>
      </c>
      <c r="D14" s="178" t="inlineStr">
        <is>
          <t>Utgångsdatum</t>
        </is>
      </c>
      <c r="E14" s="177" t="inlineStr">
        <is>
          <t>Förvaringsplats</t>
        </is>
      </c>
      <c r="F14" s="177" t="inlineStr">
        <is>
          <t>Antal i lager</t>
        </is>
      </c>
      <c r="G14" s="179" t="inlineStr">
        <is>
          <t>Senast inventering</t>
        </is>
      </c>
      <c r="H14" s="180" t="inlineStr">
        <is>
          <t>SIGN</t>
        </is>
      </c>
    </row>
    <row r="15">
      <c r="A15" s="357" t="inlineStr">
        <is>
          <t>525-00018</t>
        </is>
      </c>
      <c r="B15" s="459" t="inlineStr">
        <is>
          <t>HIV HIGH positive control</t>
        </is>
      </c>
      <c r="C15" s="358">
        <f>IFERROR(INDEX($AZ$15#,ROW()-15+1,1),"")</f>
        <v/>
      </c>
      <c r="D15" s="359">
        <f>IFERROR(INDEX($AZ$15#,ROW()-15+1,2),"")</f>
        <v/>
      </c>
      <c r="E15" s="358">
        <f>IFERROR(INDEX($AZ$15#,ROW()-15+1,5),"")</f>
        <v/>
      </c>
      <c r="F15" s="358">
        <f>IFERROR(INDEX($AZ$15#,ROW()-15+1,3),"")</f>
        <v/>
      </c>
      <c r="G15" s="359">
        <f>IFERROR(INDEX($AZ$15#,ROW()-15+1,6),"")</f>
        <v/>
      </c>
      <c r="H15" s="397" t="inlineStr"/>
      <c r="AZ15">
        <f>LET(pn,$A$15,f,FILTER(tblLots[[LotNumber]:[LatestInventory]],(tblLots[PN]=pn)*(tblLots[IsActive]=TRUE),""),s,IFERROR(SORTBY(f,INDEX(f,,2),1,INDEX(f,,6),-1),""),IFERROR(INDEX(s,SEQUENCE(4),SEQUENCE(,6)),""))</f>
        <v/>
      </c>
    </row>
    <row r="16">
      <c r="A16" s="373">
        <f>A$15</f>
        <v/>
      </c>
      <c r="B16" s="579" t="n"/>
      <c r="C16" s="374">
        <f>IFERROR(INDEX($AZ$15#,ROW()-15+1,1),"")</f>
        <v/>
      </c>
      <c r="D16" s="375">
        <f>IFERROR(INDEX($AZ$15#,ROW()-15+1,2),"")</f>
        <v/>
      </c>
      <c r="E16" s="579" t="n"/>
      <c r="F16" s="374">
        <f>IFERROR(INDEX($AZ$15#,ROW()-15+1,3),"")</f>
        <v/>
      </c>
      <c r="G16" s="375">
        <f>IFERROR(INDEX($AZ$15#,ROW()-15+1,6),"")</f>
        <v/>
      </c>
      <c r="H16" s="398" t="inlineStr"/>
    </row>
    <row r="17">
      <c r="A17" s="373">
        <f>A$15</f>
        <v/>
      </c>
      <c r="B17" s="579" t="n"/>
      <c r="C17" s="374">
        <f>IFERROR(INDEX($AZ$15#,ROW()-15+1,1),"")</f>
        <v/>
      </c>
      <c r="D17" s="375">
        <f>IFERROR(INDEX($AZ$15#,ROW()-15+1,2),"")</f>
        <v/>
      </c>
      <c r="E17" s="579" t="n"/>
      <c r="F17" s="374">
        <f>IFERROR(INDEX($AZ$15#,ROW()-15+1,3),"")</f>
        <v/>
      </c>
      <c r="G17" s="375">
        <f>IFERROR(INDEX($AZ$15#,ROW()-15+1,6),"")</f>
        <v/>
      </c>
      <c r="H17" s="398" t="inlineStr"/>
    </row>
    <row r="18" ht="15.75" customHeight="1" thickBot="1">
      <c r="A18" s="376">
        <f>A$15</f>
        <v/>
      </c>
      <c r="B18" s="580" t="n"/>
      <c r="C18" s="377">
        <f>IFERROR(INDEX($AZ$15#,ROW()-15+1,1),"")</f>
        <v/>
      </c>
      <c r="D18" s="378">
        <f>IFERROR(INDEX($AZ$15#,ROW()-15+1,2),"")</f>
        <v/>
      </c>
      <c r="E18" s="580" t="n"/>
      <c r="F18" s="377">
        <f>IFERROR(INDEX($AZ$15#,ROW()-15+1,3),"")</f>
        <v/>
      </c>
      <c r="G18" s="378">
        <f>IFERROR(INDEX($AZ$15#,ROW()-15+1,6),"")</f>
        <v/>
      </c>
      <c r="H18" s="399" t="inlineStr"/>
    </row>
  </sheetData>
  <sheetProtection selectLockedCells="0" selectUnlockedCells="0" algorithmName="SHA-512" sheet="1" objects="0" insertRows="0" insertHyperlinks="0" autoFilter="0" scenarios="0" formatColumns="0" deleteColumns="0" insertColumns="0" pivotTables="0" deleteRows="0" formatCells="0" saltValue="FOcoVBLcrVWfQhIvYqILsQ==" formatRows="0" sort="0" spinCount="100000" hashValue="NjoLhlAfc/XarY91+/NsLsjbIOLzxs15ENtm8NXZnuNoiaJNi+iX8PH9e6wgk9LsRoD+i5wfctUDDkOtMbM5QQ=="/>
  <mergeCells count="7">
    <mergeCell ref="B5:B8"/>
    <mergeCell ref="A2:H2"/>
    <mergeCell ref="B15:B18"/>
    <mergeCell ref="E15:E18"/>
    <mergeCell ref="E5:E8"/>
    <mergeCell ref="B10:B13"/>
    <mergeCell ref="E10:E13"/>
  </mergeCells>
  <pageMargins left="0.7" right="0.7" top="0.75" bottom="0.75" header="0.3" footer="0.3"/>
  <pageSetup orientation="portrait" paperSize="9" verticalDpi="0"/>
</worksheet>
</file>

<file path=xl/worksheets/sheet21.xml><?xml version="1.0" encoding="utf-8"?>
<worksheet xmlns="http://schemas.openxmlformats.org/spreadsheetml/2006/main">
  <sheetPr codeName="Sheet18">
    <tabColor theme="1"/>
    <outlinePr summaryBelow="1" summaryRight="1"/>
    <pageSetUpPr/>
  </sheetPr>
  <dimension ref="A1:AZ18"/>
  <sheetViews>
    <sheetView workbookViewId="0">
      <selection activeCell="A1" sqref="A1"/>
    </sheetView>
  </sheetViews>
  <sheetFormatPr baseColWidth="8" defaultRowHeight="15"/>
  <cols>
    <col width="9.7109375" bestFit="1" customWidth="1" min="1" max="1"/>
    <col width="24" bestFit="1" customWidth="1" min="2" max="2"/>
    <col width="16" customWidth="1" min="3" max="3"/>
    <col width="14" bestFit="1" customWidth="1" min="4" max="4"/>
    <col width="14.5703125" bestFit="1" customWidth="1" min="5" max="5"/>
    <col width="11.5703125" bestFit="1" customWidth="1" min="6" max="6"/>
    <col width="17.85546875" bestFit="1" customWidth="1" min="7" max="7"/>
    <col width="9" customWidth="1" min="8" max="8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15.75" customHeight="1" thickBot="1"/>
    <row r="2" ht="24" customHeight="1" thickBot="1">
      <c r="A2" s="608" t="inlineStr">
        <is>
          <t>HIV VL XC</t>
        </is>
      </c>
      <c r="B2" s="551" t="n"/>
      <c r="C2" s="551" t="n"/>
      <c r="D2" s="551" t="n"/>
      <c r="E2" s="551" t="n"/>
      <c r="F2" s="551" t="n"/>
      <c r="G2" s="551" t="n"/>
      <c r="H2" s="552" t="n"/>
    </row>
    <row r="3" ht="15.75" customHeight="1" thickBot="1">
      <c r="A3" s="34" t="n"/>
      <c r="B3" s="35" t="n"/>
      <c r="C3" s="35" t="n"/>
      <c r="D3" s="36" t="n"/>
      <c r="E3" s="35" t="n"/>
      <c r="F3" s="35" t="n"/>
      <c r="G3" s="75" t="n"/>
    </row>
    <row r="4" ht="15.75" customHeight="1" thickBot="1">
      <c r="A4" s="181" t="inlineStr">
        <is>
          <t>P/N</t>
        </is>
      </c>
      <c r="B4" s="182" t="inlineStr">
        <is>
          <t>Artikel</t>
        </is>
      </c>
      <c r="C4" s="182" t="inlineStr">
        <is>
          <t>Lotnr.</t>
        </is>
      </c>
      <c r="D4" s="183" t="inlineStr">
        <is>
          <t>Utgångsdatum</t>
        </is>
      </c>
      <c r="E4" s="182" t="inlineStr">
        <is>
          <t>Förvaringsplats</t>
        </is>
      </c>
      <c r="F4" s="182" t="inlineStr">
        <is>
          <t>Antal i lager</t>
        </is>
      </c>
      <c r="G4" s="184" t="inlineStr">
        <is>
          <t>Senast inventering</t>
        </is>
      </c>
      <c r="H4" s="185" t="inlineStr">
        <is>
          <t>SIGN</t>
        </is>
      </c>
    </row>
    <row r="5">
      <c r="A5" s="357" t="inlineStr">
        <is>
          <t>525-00033</t>
        </is>
      </c>
      <c r="B5" s="358" t="inlineStr">
        <is>
          <t>HIV/HCV negative control</t>
        </is>
      </c>
      <c r="C5" s="358">
        <f>IFERROR(INDEX($AZ$5#,ROW()-5+1,1),"")</f>
        <v/>
      </c>
      <c r="D5" s="359">
        <f>IFERROR(INDEX($AZ$5#,ROW()-5+1,2),"")</f>
        <v/>
      </c>
      <c r="E5" s="358">
        <f>IFERROR(INDEX($AZ$5#,ROW()-5+1,5),"")</f>
        <v/>
      </c>
      <c r="F5" s="358">
        <f>IFERROR(INDEX($AZ$5#,ROW()-5+1,3),"")</f>
        <v/>
      </c>
      <c r="G5" s="359">
        <f>IFERROR(INDEX($AZ$5#,ROW()-5+1,6),"")</f>
        <v/>
      </c>
      <c r="H5" s="397" t="inlineStr"/>
      <c r="AZ5">
        <f>LET(pn,$A$5,f,FILTER(tblLots[[LotNumber]:[LatestInventory]],(tblLots[PN]=pn)*(tblLots[IsActive]=TRUE),""),s,IFERROR(SORTBY(f,INDEX(f,,2),1,INDEX(f,,6),-1),""),IFERROR(INDEX(s,SEQUENCE(4),SEQUENCE(,6)),""))</f>
        <v/>
      </c>
    </row>
    <row r="6">
      <c r="A6" s="373">
        <f>A$5</f>
        <v/>
      </c>
      <c r="B6" s="579" t="n"/>
      <c r="C6" s="374">
        <f>IFERROR(INDEX($AZ$5#,ROW()-5+1,1),"")</f>
        <v/>
      </c>
      <c r="D6" s="375">
        <f>IFERROR(INDEX($AZ$5#,ROW()-5+1,2),"")</f>
        <v/>
      </c>
      <c r="E6" s="579" t="n"/>
      <c r="F6" s="374">
        <f>IFERROR(INDEX($AZ$5#,ROW()-5+1,3),"")</f>
        <v/>
      </c>
      <c r="G6" s="375">
        <f>IFERROR(INDEX($AZ$5#,ROW()-5+1,6),"")</f>
        <v/>
      </c>
      <c r="H6" s="398" t="inlineStr"/>
    </row>
    <row r="7">
      <c r="A7" s="373">
        <f>A$5</f>
        <v/>
      </c>
      <c r="B7" s="579" t="n"/>
      <c r="C7" s="374">
        <f>IFERROR(INDEX($AZ$5#,ROW()-5+1,1),"")</f>
        <v/>
      </c>
      <c r="D7" s="375">
        <f>IFERROR(INDEX($AZ$5#,ROW()-5+1,2),"")</f>
        <v/>
      </c>
      <c r="E7" s="579" t="n"/>
      <c r="F7" s="374">
        <f>IFERROR(INDEX($AZ$5#,ROW()-5+1,3),"")</f>
        <v/>
      </c>
      <c r="G7" s="375">
        <f>IFERROR(INDEX($AZ$5#,ROW()-5+1,6),"")</f>
        <v/>
      </c>
      <c r="H7" s="398" t="inlineStr"/>
    </row>
    <row r="8" ht="15.75" customHeight="1" thickBot="1">
      <c r="A8" s="376">
        <f>A$5</f>
        <v/>
      </c>
      <c r="B8" s="580" t="n"/>
      <c r="C8" s="377">
        <f>IFERROR(INDEX($AZ$5#,ROW()-5+1,1),"")</f>
        <v/>
      </c>
      <c r="D8" s="378">
        <f>IFERROR(INDEX($AZ$5#,ROW()-5+1,2),"")</f>
        <v/>
      </c>
      <c r="E8" s="580" t="n"/>
      <c r="F8" s="377">
        <f>IFERROR(INDEX($AZ$5#,ROW()-5+1,3),"")</f>
        <v/>
      </c>
      <c r="G8" s="378">
        <f>IFERROR(INDEX($AZ$5#,ROW()-5+1,6),"")</f>
        <v/>
      </c>
      <c r="H8" s="399" t="inlineStr"/>
    </row>
    <row r="9" ht="15.75" customHeight="1" thickBot="1">
      <c r="A9" s="186" t="inlineStr">
        <is>
          <t>P/N</t>
        </is>
      </c>
      <c r="B9" s="187" t="inlineStr">
        <is>
          <t>Artikel</t>
        </is>
      </c>
      <c r="C9" s="187" t="inlineStr">
        <is>
          <t>Lotnr.</t>
        </is>
      </c>
      <c r="D9" s="188" t="inlineStr">
        <is>
          <t>Utgångsdatum</t>
        </is>
      </c>
      <c r="E9" s="187" t="inlineStr">
        <is>
          <t>Förvaringsplats</t>
        </is>
      </c>
      <c r="F9" s="187" t="inlineStr">
        <is>
          <t>Antal i lager</t>
        </is>
      </c>
      <c r="G9" s="189" t="inlineStr">
        <is>
          <t>Senast inventering</t>
        </is>
      </c>
      <c r="H9" s="190" t="inlineStr">
        <is>
          <t>SIGN</t>
        </is>
      </c>
    </row>
    <row r="10">
      <c r="A10" s="357" t="inlineStr">
        <is>
          <t>525-00120</t>
        </is>
      </c>
      <c r="B10" s="358" t="inlineStr">
        <is>
          <t>HIV VL XC  LOW</t>
        </is>
      </c>
      <c r="C10" s="358">
        <f>IFERROR(INDEX($AZ$10#,ROW()-10+1,1),"")</f>
        <v/>
      </c>
      <c r="D10" s="359">
        <f>IFERROR(INDEX($AZ$10#,ROW()-10+1,2),"")</f>
        <v/>
      </c>
      <c r="E10" s="358">
        <f>IFERROR(INDEX($AZ$10#,ROW()-10+1,5),"")</f>
        <v/>
      </c>
      <c r="F10" s="358">
        <f>IFERROR(INDEX($AZ$10#,ROW()-10+1,3),"")</f>
        <v/>
      </c>
      <c r="G10" s="359">
        <f>IFERROR(INDEX($AZ$10#,ROW()-10+1,6),"")</f>
        <v/>
      </c>
      <c r="H10" s="397" t="inlineStr"/>
      <c r="AZ10">
        <f>LET(pn,$A$10,f,FILTER(tblLots[[LotNumber]:[LatestInventory]],(tblLots[PN]=pn)*(tblLots[IsActive]=TRUE),""),s,IFERROR(SORTBY(f,INDEX(f,,2),1,INDEX(f,,6),-1),""),IFERROR(INDEX(s,SEQUENCE(4),SEQUENCE(,6)),""))</f>
        <v/>
      </c>
    </row>
    <row r="11">
      <c r="A11" s="373">
        <f>A$10</f>
        <v/>
      </c>
      <c r="B11" s="579" t="n"/>
      <c r="C11" s="374">
        <f>IFERROR(INDEX($AZ$10#,ROW()-10+1,1),"")</f>
        <v/>
      </c>
      <c r="D11" s="375">
        <f>IFERROR(INDEX($AZ$10#,ROW()-10+1,2),"")</f>
        <v/>
      </c>
      <c r="E11" s="579" t="n"/>
      <c r="F11" s="374">
        <f>IFERROR(INDEX($AZ$10#,ROW()-10+1,3),"")</f>
        <v/>
      </c>
      <c r="G11" s="375">
        <f>IFERROR(INDEX($AZ$10#,ROW()-10+1,6),"")</f>
        <v/>
      </c>
      <c r="H11" s="398" t="inlineStr"/>
    </row>
    <row r="12">
      <c r="A12" s="373">
        <f>A$10</f>
        <v/>
      </c>
      <c r="B12" s="579" t="n"/>
      <c r="C12" s="374">
        <f>IFERROR(INDEX($AZ$10#,ROW()-10+1,1),"")</f>
        <v/>
      </c>
      <c r="D12" s="375">
        <f>IFERROR(INDEX($AZ$10#,ROW()-10+1,2),"")</f>
        <v/>
      </c>
      <c r="E12" s="579" t="n"/>
      <c r="F12" s="374">
        <f>IFERROR(INDEX($AZ$10#,ROW()-10+1,3),"")</f>
        <v/>
      </c>
      <c r="G12" s="375">
        <f>IFERROR(INDEX($AZ$10#,ROW()-10+1,6),"")</f>
        <v/>
      </c>
      <c r="H12" s="398" t="inlineStr"/>
    </row>
    <row r="13" ht="15.75" customHeight="1" thickBot="1">
      <c r="A13" s="376">
        <f>A$10</f>
        <v/>
      </c>
      <c r="B13" s="580" t="n"/>
      <c r="C13" s="377">
        <f>IFERROR(INDEX($AZ$10#,ROW()-10+1,1),"")</f>
        <v/>
      </c>
      <c r="D13" s="378">
        <f>IFERROR(INDEX($AZ$10#,ROW()-10+1,2),"")</f>
        <v/>
      </c>
      <c r="E13" s="580" t="n"/>
      <c r="F13" s="377">
        <f>IFERROR(INDEX($AZ$10#,ROW()-10+1,3),"")</f>
        <v/>
      </c>
      <c r="G13" s="378">
        <f>IFERROR(INDEX($AZ$10#,ROW()-10+1,6),"")</f>
        <v/>
      </c>
      <c r="H13" s="399" t="inlineStr"/>
    </row>
    <row r="14" ht="15.75" customHeight="1" thickBot="1">
      <c r="A14" s="186" t="inlineStr">
        <is>
          <t>P/N</t>
        </is>
      </c>
      <c r="B14" s="187" t="inlineStr">
        <is>
          <t>Artikel</t>
        </is>
      </c>
      <c r="C14" s="187" t="inlineStr">
        <is>
          <t>Lotnr.</t>
        </is>
      </c>
      <c r="D14" s="188" t="inlineStr">
        <is>
          <t>Utgångsdatum</t>
        </is>
      </c>
      <c r="E14" s="187" t="inlineStr">
        <is>
          <t>Förvaringsplats</t>
        </is>
      </c>
      <c r="F14" s="187" t="inlineStr">
        <is>
          <t>Antal i lager</t>
        </is>
      </c>
      <c r="G14" s="189" t="inlineStr">
        <is>
          <t>Senast inventering</t>
        </is>
      </c>
      <c r="H14" s="190" t="inlineStr">
        <is>
          <t>SIGN</t>
        </is>
      </c>
    </row>
    <row r="15">
      <c r="A15" s="357" t="inlineStr">
        <is>
          <t>525-00131</t>
        </is>
      </c>
      <c r="B15" s="459" t="inlineStr">
        <is>
          <t>HIV VL XC HIGH</t>
        </is>
      </c>
      <c r="C15" s="358">
        <f>IFERROR(INDEX($AZ$15#,ROW()-15+1,1),"")</f>
        <v/>
      </c>
      <c r="D15" s="359">
        <f>IFERROR(INDEX($AZ$15#,ROW()-15+1,2),"")</f>
        <v/>
      </c>
      <c r="E15" s="358">
        <f>IFERROR(INDEX($AZ$15#,ROW()-15+1,5),"")</f>
        <v/>
      </c>
      <c r="F15" s="358">
        <f>IFERROR(INDEX($AZ$15#,ROW()-15+1,3),"")</f>
        <v/>
      </c>
      <c r="G15" s="359">
        <f>IFERROR(INDEX($AZ$15#,ROW()-15+1,6),"")</f>
        <v/>
      </c>
      <c r="H15" s="397" t="inlineStr"/>
      <c r="AZ15">
        <f>LET(pn,$A$15,f,FILTER(tblLots[[LotNumber]:[LatestInventory]],(tblLots[PN]=pn)*(tblLots[IsActive]=TRUE),""),s,IFERROR(SORTBY(f,INDEX(f,,2),1,INDEX(f,,6),-1),""),IFERROR(INDEX(s,SEQUENCE(4),SEQUENCE(,6)),""))</f>
        <v/>
      </c>
    </row>
    <row r="16">
      <c r="A16" s="373">
        <f>A$15</f>
        <v/>
      </c>
      <c r="B16" s="579" t="n"/>
      <c r="C16" s="374">
        <f>IFERROR(INDEX($AZ$15#,ROW()-15+1,1),"")</f>
        <v/>
      </c>
      <c r="D16" s="375">
        <f>IFERROR(INDEX($AZ$15#,ROW()-15+1,2),"")</f>
        <v/>
      </c>
      <c r="E16" s="579" t="n"/>
      <c r="F16" s="374">
        <f>IFERROR(INDEX($AZ$15#,ROW()-15+1,3),"")</f>
        <v/>
      </c>
      <c r="G16" s="375">
        <f>IFERROR(INDEX($AZ$15#,ROW()-15+1,6),"")</f>
        <v/>
      </c>
      <c r="H16" s="398" t="inlineStr"/>
    </row>
    <row r="17">
      <c r="A17" s="373">
        <f>A$15</f>
        <v/>
      </c>
      <c r="B17" s="579" t="n"/>
      <c r="C17" s="374">
        <f>IFERROR(INDEX($AZ$15#,ROW()-15+1,1),"")</f>
        <v/>
      </c>
      <c r="D17" s="375">
        <f>IFERROR(INDEX($AZ$15#,ROW()-15+1,2),"")</f>
        <v/>
      </c>
      <c r="E17" s="579" t="n"/>
      <c r="F17" s="374">
        <f>IFERROR(INDEX($AZ$15#,ROW()-15+1,3),"")</f>
        <v/>
      </c>
      <c r="G17" s="375">
        <f>IFERROR(INDEX($AZ$15#,ROW()-15+1,6),"")</f>
        <v/>
      </c>
      <c r="H17" s="398" t="inlineStr"/>
    </row>
    <row r="18" ht="15.75" customHeight="1" thickBot="1">
      <c r="A18" s="376">
        <f>A$15</f>
        <v/>
      </c>
      <c r="B18" s="580" t="n"/>
      <c r="C18" s="377">
        <f>IFERROR(INDEX($AZ$15#,ROW()-15+1,1),"")</f>
        <v/>
      </c>
      <c r="D18" s="378">
        <f>IFERROR(INDEX($AZ$15#,ROW()-15+1,2),"")</f>
        <v/>
      </c>
      <c r="E18" s="580" t="n"/>
      <c r="F18" s="377">
        <f>IFERROR(INDEX($AZ$15#,ROW()-15+1,3),"")</f>
        <v/>
      </c>
      <c r="G18" s="378">
        <f>IFERROR(INDEX($AZ$15#,ROW()-15+1,6),"")</f>
        <v/>
      </c>
      <c r="H18" s="399" t="inlineStr"/>
    </row>
  </sheetData>
  <sheetProtection selectLockedCells="0" selectUnlockedCells="0" algorithmName="SHA-512" sheet="1" objects="0" insertRows="0" insertHyperlinks="0" autoFilter="0" scenarios="0" formatColumns="0" deleteColumns="0" insertColumns="0" pivotTables="0" deleteRows="0" formatCells="0" saltValue="BDCWj0gCjjJKoSN/OqFAAQ==" formatRows="0" sort="0" spinCount="100000" hashValue="rusOHC+1eMMh6zr0b+D8PKFRDObEo59awsVsryVos4YCyYQRgCgwWcsbFIF0prpBYkalwKFQxhmbAfXhjblUSg=="/>
  <mergeCells count="7">
    <mergeCell ref="B5:B8"/>
    <mergeCell ref="A2:H2"/>
    <mergeCell ref="B15:B18"/>
    <mergeCell ref="E15:E18"/>
    <mergeCell ref="E5:E8"/>
    <mergeCell ref="B10:B13"/>
    <mergeCell ref="E10:E13"/>
  </mergeCells>
  <pageMargins left="0.7" right="0.7" top="0.75" bottom="0.75" header="0.3" footer="0.3"/>
  <pageSetup orientation="portrait" paperSize="9" verticalDpi="0"/>
</worksheet>
</file>

<file path=xl/worksheets/sheet22.xml><?xml version="1.0" encoding="utf-8"?>
<worksheet xmlns="http://schemas.openxmlformats.org/spreadsheetml/2006/main">
  <sheetPr codeName="Sheet19">
    <tabColor theme="7" tint="-0.249977111117893"/>
    <outlinePr summaryBelow="1" summaryRight="1"/>
    <pageSetUpPr/>
  </sheetPr>
  <dimension ref="A1:AZ26"/>
  <sheetViews>
    <sheetView workbookViewId="0">
      <selection activeCell="A1" sqref="A1"/>
    </sheetView>
  </sheetViews>
  <sheetFormatPr baseColWidth="8" defaultRowHeight="15"/>
  <cols>
    <col width="14.140625" customWidth="1" min="1" max="1"/>
    <col hidden="1" width="24" bestFit="1" customWidth="1" min="2" max="2"/>
    <col width="15.140625" customWidth="1" min="3" max="3"/>
    <col width="14" bestFit="1" customWidth="1" min="4" max="4"/>
    <col width="22" customWidth="1" min="5" max="5"/>
    <col width="11.5703125" bestFit="1" customWidth="1" min="6" max="6"/>
    <col width="17.85546875" bestFit="1" customWidth="1" min="7" max="7"/>
    <col width="7.42578125" customWidth="1" min="8" max="8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15.75" customHeight="1" thickBot="1"/>
    <row r="2" ht="24" customHeight="1" thickBot="1">
      <c r="A2" s="609" t="inlineStr">
        <is>
          <t>HIV QA</t>
        </is>
      </c>
      <c r="B2" s="551" t="n"/>
      <c r="C2" s="551" t="n"/>
      <c r="D2" s="551" t="n"/>
      <c r="E2" s="551" t="n"/>
      <c r="F2" s="551" t="n"/>
      <c r="G2" s="551" t="n"/>
      <c r="H2" s="552" t="n"/>
    </row>
    <row r="3" ht="15.75" customHeight="1" thickBot="1">
      <c r="A3" s="34" t="n"/>
      <c r="B3" s="35" t="n"/>
      <c r="C3" s="35" t="n"/>
      <c r="D3" s="36" t="n"/>
      <c r="E3" s="35" t="n"/>
      <c r="F3" s="35" t="n"/>
      <c r="G3" s="75" t="n"/>
    </row>
    <row r="4" ht="15.75" customHeight="1" thickBot="1">
      <c r="A4" s="192" t="inlineStr">
        <is>
          <t>P/N</t>
        </is>
      </c>
      <c r="B4" s="191" t="inlineStr">
        <is>
          <t>Artikel</t>
        </is>
      </c>
      <c r="C4" s="191" t="inlineStr">
        <is>
          <t>Lotnr.</t>
        </is>
      </c>
      <c r="D4" s="193" t="inlineStr">
        <is>
          <t>Utgångsdatum</t>
        </is>
      </c>
      <c r="E4" s="191" t="inlineStr">
        <is>
          <t>Förvaringsplats</t>
        </is>
      </c>
      <c r="F4" s="191" t="inlineStr">
        <is>
          <t>Antal i lager</t>
        </is>
      </c>
      <c r="G4" s="194" t="inlineStr">
        <is>
          <t>Senast inventering</t>
        </is>
      </c>
      <c r="H4" s="195" t="inlineStr">
        <is>
          <t>SIGN</t>
        </is>
      </c>
    </row>
    <row r="5">
      <c r="A5" s="357" t="inlineStr">
        <is>
          <t>525-00038</t>
        </is>
      </c>
      <c r="B5" s="459" t="inlineStr">
        <is>
          <t>EDTA Human Whole  Blood (NTC)</t>
        </is>
      </c>
      <c r="C5" s="358">
        <f>IFERROR(INDEX($AZ$5#,ROW()-5+1,1),"")</f>
        <v/>
      </c>
      <c r="D5" s="359">
        <f>IFERROR(INDEX($AZ$5#,ROW()-5+1,2),"")</f>
        <v/>
      </c>
      <c r="E5" s="358">
        <f>IFERROR(INDEX($AZ$5#,ROW()-5+1,5),"")</f>
        <v/>
      </c>
      <c r="F5" s="51">
        <f>IFERROR(INDEX($AZ$5#,ROW()-5+1,3),"")</f>
        <v/>
      </c>
      <c r="G5" s="359">
        <f>IFERROR(INDEX($AZ$5#,ROW()-5+1,6),"")</f>
        <v/>
      </c>
      <c r="H5" s="397" t="inlineStr"/>
      <c r="AZ5">
        <f>LET(pn,$A$5,f,FILTER(tblLots[[LotNumber]:[LatestInventory]],(tblLots[PN]=pn)*(tblLots[IsActive]=TRUE),""),s,IFERROR(SORTBY(f,INDEX(f,,2),1,INDEX(f,,6),-1),""),IFERROR(INDEX(s,SEQUENCE(4),SEQUENCE(,6)),""))</f>
        <v/>
      </c>
    </row>
    <row r="6">
      <c r="A6" s="373">
        <f>A$5</f>
        <v/>
      </c>
      <c r="B6" s="579" t="n"/>
      <c r="C6" s="374">
        <f>IFERROR(INDEX($AZ$5#,ROW()-5+1,1),"")</f>
        <v/>
      </c>
      <c r="D6" s="375">
        <f>IFERROR(INDEX($AZ$5#,ROW()-5+1,2),"")</f>
        <v/>
      </c>
      <c r="E6" s="579" t="n"/>
      <c r="F6" s="53">
        <f>IFERROR(INDEX($AZ$5#,ROW()-5+1,3),"")</f>
        <v/>
      </c>
      <c r="G6" s="375">
        <f>IFERROR(INDEX($AZ$5#,ROW()-5+1,6),"")</f>
        <v/>
      </c>
      <c r="H6" s="398" t="inlineStr"/>
    </row>
    <row r="7">
      <c r="A7" s="373">
        <f>A$5</f>
        <v/>
      </c>
      <c r="B7" s="579" t="n"/>
      <c r="C7" s="374">
        <f>IFERROR(INDEX($AZ$5#,ROW()-5+1,1),"")</f>
        <v/>
      </c>
      <c r="D7" s="375">
        <f>IFERROR(INDEX($AZ$5#,ROW()-5+1,2),"")</f>
        <v/>
      </c>
      <c r="E7" s="579" t="n"/>
      <c r="F7" s="53">
        <f>IFERROR(INDEX($AZ$5#,ROW()-5+1,3),"")</f>
        <v/>
      </c>
      <c r="G7" s="375">
        <f>IFERROR(INDEX($AZ$5#,ROW()-5+1,6),"")</f>
        <v/>
      </c>
      <c r="H7" s="398" t="inlineStr"/>
    </row>
    <row r="8" ht="15.75" customHeight="1" thickBot="1">
      <c r="A8" s="376">
        <f>A$5</f>
        <v/>
      </c>
      <c r="B8" s="580" t="n"/>
      <c r="C8" s="377">
        <f>IFERROR(INDEX($AZ$5#,ROW()-5+1,1),"")</f>
        <v/>
      </c>
      <c r="D8" s="378">
        <f>IFERROR(INDEX($AZ$5#,ROW()-5+1,2),"")</f>
        <v/>
      </c>
      <c r="E8" s="580" t="n"/>
      <c r="F8" s="54">
        <f>IFERROR(INDEX($AZ$5#,ROW()-5+1,3),"")</f>
        <v/>
      </c>
      <c r="G8" s="378">
        <f>IFERROR(INDEX($AZ$5#,ROW()-5+1,6),"")</f>
        <v/>
      </c>
      <c r="H8" s="399" t="inlineStr"/>
    </row>
    <row r="9" ht="15.75" customHeight="1" thickBot="1">
      <c r="A9" s="196" t="inlineStr">
        <is>
          <t>P/N</t>
        </is>
      </c>
      <c r="B9" s="197" t="inlineStr">
        <is>
          <t>Artikel</t>
        </is>
      </c>
      <c r="C9" s="197" t="inlineStr">
        <is>
          <t>Lotnr.</t>
        </is>
      </c>
      <c r="D9" s="198" t="inlineStr">
        <is>
          <t>Utgångsdatum</t>
        </is>
      </c>
      <c r="E9" s="197" t="inlineStr">
        <is>
          <t>Förvaringsplats</t>
        </is>
      </c>
      <c r="F9" s="197" t="inlineStr">
        <is>
          <t>Antal i lager</t>
        </is>
      </c>
      <c r="G9" s="199" t="inlineStr">
        <is>
          <t>Senast inventering</t>
        </is>
      </c>
      <c r="H9" s="200" t="inlineStr">
        <is>
          <t>SIGN</t>
        </is>
      </c>
    </row>
    <row r="10">
      <c r="A10" s="357" t="inlineStr">
        <is>
          <t>525-00021</t>
        </is>
      </c>
      <c r="B10" s="358" t="inlineStr">
        <is>
          <t>HIV Qual Low</t>
        </is>
      </c>
      <c r="C10" s="358">
        <f>IFERROR(INDEX($AZ$10#,ROW()-10+1,1),"")</f>
        <v/>
      </c>
      <c r="D10" s="359">
        <f>IFERROR(INDEX($AZ$10#,ROW()-10+1,2),"")</f>
        <v/>
      </c>
      <c r="E10" s="358">
        <f>IFERROR(INDEX($AZ$10#,ROW()-10+1,5),"")</f>
        <v/>
      </c>
      <c r="F10" s="358">
        <f>IFERROR(INDEX($AZ$10#,ROW()-10+1,3),"")</f>
        <v/>
      </c>
      <c r="G10" s="359">
        <f>IFERROR(INDEX($AZ$10#,ROW()-10+1,6),"")</f>
        <v/>
      </c>
      <c r="H10" s="397" t="inlineStr"/>
      <c r="AZ10">
        <f>LET(pn,$A$10,f,FILTER(tblLots[[LotNumber]:[LatestInventory]],(tblLots[PN]=pn)*(tblLots[IsActive]=TRUE),""),s,IFERROR(SORTBY(f,INDEX(f,,2),1,INDEX(f,,6),-1),""),IFERROR(INDEX(s,SEQUENCE(4),SEQUENCE(,6)),""))</f>
        <v/>
      </c>
    </row>
    <row r="11">
      <c r="A11" s="373">
        <f>A$10</f>
        <v/>
      </c>
      <c r="B11" s="579" t="n"/>
      <c r="C11" s="374">
        <f>IFERROR(INDEX($AZ$10#,ROW()-10+1,1),"")</f>
        <v/>
      </c>
      <c r="D11" s="375">
        <f>IFERROR(INDEX($AZ$10#,ROW()-10+1,2),"")</f>
        <v/>
      </c>
      <c r="E11" s="579" t="n"/>
      <c r="F11" s="374">
        <f>IFERROR(INDEX($AZ$10#,ROW()-10+1,3),"")</f>
        <v/>
      </c>
      <c r="G11" s="375">
        <f>IFERROR(INDEX($AZ$10#,ROW()-10+1,6),"")</f>
        <v/>
      </c>
      <c r="H11" s="398" t="inlineStr"/>
    </row>
    <row r="12">
      <c r="A12" s="373">
        <f>A$10</f>
        <v/>
      </c>
      <c r="B12" s="579" t="n"/>
      <c r="C12" s="374">
        <f>IFERROR(INDEX($AZ$10#,ROW()-10+1,1),"")</f>
        <v/>
      </c>
      <c r="D12" s="375">
        <f>IFERROR(INDEX($AZ$10#,ROW()-10+1,2),"")</f>
        <v/>
      </c>
      <c r="E12" s="579" t="n"/>
      <c r="F12" s="374">
        <f>IFERROR(INDEX($AZ$10#,ROW()-10+1,3),"")</f>
        <v/>
      </c>
      <c r="G12" s="375">
        <f>IFERROR(INDEX($AZ$10#,ROW()-10+1,6),"")</f>
        <v/>
      </c>
      <c r="H12" s="398" t="inlineStr"/>
    </row>
    <row r="13" ht="15.75" customHeight="1" thickBot="1">
      <c r="A13" s="376">
        <f>A$10</f>
        <v/>
      </c>
      <c r="B13" s="580" t="n"/>
      <c r="C13" s="377">
        <f>IFERROR(INDEX($AZ$10#,ROW()-10+1,1),"")</f>
        <v/>
      </c>
      <c r="D13" s="378">
        <f>IFERROR(INDEX($AZ$10#,ROW()-10+1,2),"")</f>
        <v/>
      </c>
      <c r="E13" s="580" t="n"/>
      <c r="F13" s="377">
        <f>IFERROR(INDEX($AZ$10#,ROW()-10+1,3),"")</f>
        <v/>
      </c>
      <c r="G13" s="378">
        <f>IFERROR(INDEX($AZ$10#,ROW()-10+1,6),"")</f>
        <v/>
      </c>
      <c r="H13" s="399" t="inlineStr"/>
    </row>
    <row r="14" ht="15.75" customHeight="1" thickBot="1">
      <c r="A14" s="196" t="inlineStr">
        <is>
          <t>P/N</t>
        </is>
      </c>
      <c r="B14" s="197" t="inlineStr">
        <is>
          <t>Artikel</t>
        </is>
      </c>
      <c r="C14" s="197" t="inlineStr">
        <is>
          <t>Lotnr.</t>
        </is>
      </c>
      <c r="D14" s="198" t="inlineStr">
        <is>
          <t>Utgångsdatum</t>
        </is>
      </c>
      <c r="E14" s="197" t="inlineStr">
        <is>
          <t>Förvaringsplats</t>
        </is>
      </c>
      <c r="F14" s="197" t="inlineStr">
        <is>
          <t>Antal i lager</t>
        </is>
      </c>
      <c r="G14" s="199" t="inlineStr">
        <is>
          <t>Senast inventering</t>
        </is>
      </c>
      <c r="H14" s="200" t="inlineStr">
        <is>
          <t>SIGN</t>
        </is>
      </c>
    </row>
    <row r="15">
      <c r="A15" s="357" t="inlineStr">
        <is>
          <t>525-00022</t>
        </is>
      </c>
      <c r="B15" s="589" t="inlineStr">
        <is>
          <t>HIV Qual High</t>
        </is>
      </c>
      <c r="C15" s="358">
        <f>IFERROR(INDEX($AZ$15#,ROW()-15+1,1),"")</f>
        <v/>
      </c>
      <c r="D15" s="359">
        <f>IFERROR(INDEX($AZ$15#,ROW()-15+1,2),"")</f>
        <v/>
      </c>
      <c r="E15" s="596">
        <f>IFERROR(INDEX($AZ$15#,ROW()-15+1,5),"")</f>
        <v/>
      </c>
      <c r="F15" s="358">
        <f>IFERROR(INDEX($AZ$15#,ROW()-15+1,3),"")</f>
        <v/>
      </c>
      <c r="G15" s="359">
        <f>IFERROR(INDEX($AZ$15#,ROW()-15+1,6),"")</f>
        <v/>
      </c>
      <c r="H15" s="397" t="inlineStr"/>
      <c r="AZ15">
        <f>LET(pn,$A$15,f,FILTER(tblLots[[LotNumber]:[LatestInventory]],(tblLots[PN]=pn)*(tblLots[IsActive]=TRUE),""),s,IFERROR(SORTBY(f,INDEX(f,,2),1,INDEX(f,,6),-1),""),IFERROR(INDEX(s,SEQUENCE(4),SEQUENCE(,6)),""))</f>
        <v/>
      </c>
    </row>
    <row r="16">
      <c r="A16" s="373">
        <f>A$15</f>
        <v/>
      </c>
      <c r="B16" s="590" t="n"/>
      <c r="C16" s="374">
        <f>IFERROR(INDEX($AZ$15#,ROW()-15+1,1),"")</f>
        <v/>
      </c>
      <c r="D16" s="375">
        <f>IFERROR(INDEX($AZ$15#,ROW()-15+1,2),"")</f>
        <v/>
      </c>
      <c r="E16" s="590" t="n"/>
      <c r="F16" s="374">
        <f>IFERROR(INDEX($AZ$15#,ROW()-15+1,3),"")</f>
        <v/>
      </c>
      <c r="G16" s="375">
        <f>IFERROR(INDEX($AZ$15#,ROW()-15+1,6),"")</f>
        <v/>
      </c>
      <c r="H16" s="398" t="inlineStr"/>
    </row>
    <row r="17" ht="15.75" customHeight="1">
      <c r="A17" s="373">
        <f>A$15</f>
        <v/>
      </c>
      <c r="B17" s="590" t="n"/>
      <c r="C17" s="374">
        <f>IFERROR(INDEX($AZ$15#,ROW()-15+1,1),"")</f>
        <v/>
      </c>
      <c r="D17" s="375">
        <f>IFERROR(INDEX($AZ$15#,ROW()-15+1,2),"")</f>
        <v/>
      </c>
      <c r="E17" s="590" t="n"/>
      <c r="F17" s="374">
        <f>IFERROR(INDEX($AZ$15#,ROW()-15+1,3),"")</f>
        <v/>
      </c>
      <c r="G17" s="375">
        <f>IFERROR(INDEX($AZ$15#,ROW()-15+1,6),"")</f>
        <v/>
      </c>
      <c r="H17" s="398" t="inlineStr"/>
    </row>
    <row r="18" ht="15.75" customHeight="1" thickBot="1">
      <c r="A18" s="376">
        <f>A$15</f>
        <v/>
      </c>
      <c r="B18" s="591" t="n"/>
      <c r="C18" s="377">
        <f>IFERROR(INDEX($AZ$15#,ROW()-15+1,1),"")</f>
        <v/>
      </c>
      <c r="D18" s="378">
        <f>IFERROR(INDEX($AZ$15#,ROW()-15+1,2),"")</f>
        <v/>
      </c>
      <c r="E18" s="591" t="n"/>
      <c r="F18" s="377">
        <f>IFERROR(INDEX($AZ$15#,ROW()-15+1,3),"")</f>
        <v/>
      </c>
      <c r="G18" s="378">
        <f>IFERROR(INDEX($AZ$15#,ROW()-15+1,6),"")</f>
        <v/>
      </c>
      <c r="H18" s="399" t="inlineStr"/>
    </row>
    <row r="19" ht="15.75" customHeight="1" thickBot="1"/>
    <row r="20" ht="15.75" customHeight="1" thickBot="1">
      <c r="A20" s="610" t="inlineStr">
        <is>
          <t>Lysis Reagent Xpert Virus | 500-1712</t>
        </is>
      </c>
      <c r="B20" s="551" t="n"/>
      <c r="C20" s="551" t="n"/>
      <c r="D20" s="551" t="n"/>
      <c r="E20" s="551" t="n"/>
      <c r="F20" s="551" t="n"/>
      <c r="G20" s="551" t="n"/>
      <c r="H20" s="552" t="n"/>
    </row>
    <row r="21" ht="15.75" customHeight="1" thickBot="1">
      <c r="A21" s="554" t="inlineStr">
        <is>
          <t>P/N 500-1712 Lysis Reagent, Xpert Virus (exp 2 mån)
500-1712 LYSIS, REAGENT, XPERT,VIRUS</t>
        </is>
      </c>
      <c r="B21" s="555" t="n"/>
      <c r="C21" s="555" t="n"/>
      <c r="D21" s="555" t="n"/>
      <c r="E21" s="555" t="n"/>
      <c r="F21" s="555" t="n"/>
      <c r="G21" s="555" t="n"/>
      <c r="H21" s="556" t="n"/>
    </row>
    <row r="22" ht="30.75" customHeight="1" thickBot="1">
      <c r="A22" s="366" t="inlineStr">
        <is>
          <t>Lot #</t>
        </is>
      </c>
      <c r="B22" s="555" t="n"/>
      <c r="C22" s="557" t="n"/>
      <c r="D22" s="369" t="inlineStr">
        <is>
          <t>Exp</t>
        </is>
      </c>
      <c r="E22" s="557" t="n"/>
      <c r="F22" s="369" t="inlineStr">
        <is>
          <t>Volym, L</t>
        </is>
      </c>
      <c r="G22" s="367" t="inlineStr">
        <is>
          <t>Senast inventering</t>
        </is>
      </c>
      <c r="H22" s="265" t="inlineStr">
        <is>
          <t>SIGN</t>
        </is>
      </c>
    </row>
    <row r="23">
      <c r="A23" s="357">
        <f>IFERROR(INDEX($AZ$23#,ROW()-23+1,1),"")</f>
        <v/>
      </c>
      <c r="B23" s="558" t="n"/>
      <c r="C23" s="559" t="n"/>
      <c r="D23" s="359">
        <f>IFERROR(INDEX($AZ$23#,ROW()-23+1,2),"")</f>
        <v/>
      </c>
      <c r="E23" s="559" t="n"/>
      <c r="F23" s="358">
        <f>IFERROR(INDEX($AZ$23#,ROW()-23+1,3),"")</f>
        <v/>
      </c>
      <c r="G23" s="359">
        <f>IFERROR(INDEX($AZ$23#,ROW()-23+1,6),"")</f>
        <v/>
      </c>
      <c r="H23" s="397" t="inlineStr"/>
      <c r="AZ23">
        <f>LET(pn,$B$23,f,FILTER(tblLots[[LotNumber]:[LatestInventory]],(tblLots[PN]=pn)*(tblLots[IsActive]=TRUE),""),s,IFERROR(SORTBY(f,INDEX(f,,2),1,INDEX(f,,6),-1),""),IFERROR(INDEX(s,SEQUENCE(4),SEQUENCE(,6)),""))</f>
        <v/>
      </c>
    </row>
    <row r="24">
      <c r="A24" s="373">
        <f>IFERROR(INDEX($AZ$23#,ROW()-23+1,1),"")</f>
        <v/>
      </c>
      <c r="B24" s="560" t="n"/>
      <c r="C24" s="561" t="n"/>
      <c r="D24" s="375">
        <f>IFERROR(INDEX($AZ$23#,ROW()-23+1,2),"")</f>
        <v/>
      </c>
      <c r="E24" s="561" t="n"/>
      <c r="F24" s="374">
        <f>IFERROR(INDEX($AZ$23#,ROW()-23+1,3),"")</f>
        <v/>
      </c>
      <c r="G24" s="375">
        <f>IFERROR(INDEX($AZ$23#,ROW()-23+1,6),"")</f>
        <v/>
      </c>
      <c r="H24" s="398" t="inlineStr"/>
    </row>
    <row r="25">
      <c r="A25" s="373">
        <f>IFERROR(INDEX($AZ$23#,ROW()-23+1,1),"")</f>
        <v/>
      </c>
      <c r="B25" s="560" t="n"/>
      <c r="C25" s="561" t="n"/>
      <c r="D25" s="375">
        <f>IFERROR(INDEX($AZ$23#,ROW()-23+1,2),"")</f>
        <v/>
      </c>
      <c r="E25" s="561" t="n"/>
      <c r="F25" s="374">
        <f>IFERROR(INDEX($AZ$23#,ROW()-23+1,3),"")</f>
        <v/>
      </c>
      <c r="G25" s="375">
        <f>IFERROR(INDEX($AZ$23#,ROW()-23+1,6),"")</f>
        <v/>
      </c>
      <c r="H25" s="398" t="inlineStr"/>
    </row>
    <row r="26" ht="15.75" customHeight="1" thickBot="1">
      <c r="A26" s="376">
        <f>IFERROR(INDEX($AZ$23#,ROW()-23+1,1),"")</f>
        <v/>
      </c>
      <c r="B26" s="562" t="n"/>
      <c r="C26" s="563" t="n"/>
      <c r="D26" s="378">
        <f>IFERROR(INDEX($AZ$23#,ROW()-23+1,2),"")</f>
        <v/>
      </c>
      <c r="E26" s="563" t="n"/>
      <c r="F26" s="377">
        <f>IFERROR(INDEX($AZ$23#,ROW()-23+1,3),"")</f>
        <v/>
      </c>
      <c r="G26" s="378">
        <f>IFERROR(INDEX($AZ$23#,ROW()-23+1,6),"")</f>
        <v/>
      </c>
      <c r="H26" s="399" t="inlineStr"/>
    </row>
  </sheetData>
  <sheetProtection selectLockedCells="0" selectUnlockedCells="0" algorithmName="SHA-512" sheet="1" objects="0" insertRows="0" insertHyperlinks="0" autoFilter="0" scenarios="0" formatColumns="0" deleteColumns="0" insertColumns="0" pivotTables="0" deleteRows="0" formatCells="0" saltValue="xZRTtuX3Fzchm+XrHdZnAA==" formatRows="0" sort="0" spinCount="100000" hashValue="4mBIW/THAPNfR5KZKuYRK/DgKhfqkGq8BQCooivUZA+IMEJP7MAU8+NnZ5qvcZF7T9lJovNca8MXp+YGCMw6LQ=="/>
  <mergeCells count="19">
    <mergeCell ref="A25:C25"/>
    <mergeCell ref="D22:E22"/>
    <mergeCell ref="E5:E8"/>
    <mergeCell ref="A26:C26"/>
    <mergeCell ref="E10:E13"/>
    <mergeCell ref="A23:C23"/>
    <mergeCell ref="A22:C22"/>
    <mergeCell ref="E15:E18"/>
    <mergeCell ref="B10:B13"/>
    <mergeCell ref="A21:H21"/>
    <mergeCell ref="A2:H2"/>
    <mergeCell ref="B15:B18"/>
    <mergeCell ref="A24:C24"/>
    <mergeCell ref="D25:E25"/>
    <mergeCell ref="B5:B8"/>
    <mergeCell ref="D24:E24"/>
    <mergeCell ref="A20:H20"/>
    <mergeCell ref="D23:E23"/>
    <mergeCell ref="D26:E26"/>
  </mergeCells>
  <pageMargins left="0.7" right="0.7" top="0.75" bottom="0.75" header="0.3" footer="0.3"/>
  <pageSetup orientation="portrait" paperSize="9" verticalDpi="0"/>
</worksheet>
</file>

<file path=xl/worksheets/sheet23.xml><?xml version="1.0" encoding="utf-8"?>
<worksheet xmlns="http://schemas.openxmlformats.org/spreadsheetml/2006/main">
  <sheetPr codeName="Sheet20">
    <tabColor theme="9" tint="0.5999938962981048"/>
    <outlinePr summaryBelow="1" summaryRight="1"/>
    <pageSetUpPr/>
  </sheetPr>
  <dimension ref="A1:AZ18"/>
  <sheetViews>
    <sheetView workbookViewId="0">
      <selection activeCell="A1" sqref="A1"/>
    </sheetView>
  </sheetViews>
  <sheetFormatPr baseColWidth="8" defaultRowHeight="15"/>
  <cols>
    <col width="9.7109375" bestFit="1" customWidth="1" min="1" max="1"/>
    <col width="24.5703125" bestFit="1" customWidth="1" min="2" max="2"/>
    <col width="15.42578125" customWidth="1" min="3" max="3"/>
    <col width="14" bestFit="1" customWidth="1" min="4" max="4"/>
    <col width="14.5703125" bestFit="1" customWidth="1" min="5" max="5"/>
    <col width="11.5703125" bestFit="1" customWidth="1" min="6" max="6"/>
    <col width="17.85546875" bestFit="1" customWidth="1" min="7" max="7"/>
    <col width="9.140625" customWidth="1" min="8" max="8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15.75" customHeight="1" thickBot="1"/>
    <row r="2" ht="24" customHeight="1" thickBot="1">
      <c r="A2" s="611" t="inlineStr">
        <is>
          <t>HIV QA XC</t>
        </is>
      </c>
      <c r="B2" s="551" t="n"/>
      <c r="C2" s="551" t="n"/>
      <c r="D2" s="551" t="n"/>
      <c r="E2" s="551" t="n"/>
      <c r="F2" s="551" t="n"/>
      <c r="G2" s="551" t="n"/>
      <c r="H2" s="552" t="n"/>
    </row>
    <row r="3" ht="15.75" customHeight="1" thickBot="1">
      <c r="A3" s="34" t="n"/>
      <c r="B3" s="35" t="n"/>
      <c r="C3" s="35" t="n"/>
      <c r="D3" s="36" t="n"/>
      <c r="E3" s="35" t="n"/>
      <c r="F3" s="35" t="n"/>
      <c r="G3" s="75" t="n"/>
    </row>
    <row r="4" ht="15.75" customHeight="1" thickBot="1">
      <c r="A4" s="201" t="inlineStr">
        <is>
          <t>P/N</t>
        </is>
      </c>
      <c r="B4" s="202" t="inlineStr">
        <is>
          <t>Artikel</t>
        </is>
      </c>
      <c r="C4" s="202" t="inlineStr">
        <is>
          <t>Lotnr.</t>
        </is>
      </c>
      <c r="D4" s="325" t="inlineStr">
        <is>
          <t>Utgångsdatum</t>
        </is>
      </c>
      <c r="E4" s="202" t="inlineStr">
        <is>
          <t>Förvaringsplats</t>
        </is>
      </c>
      <c r="F4" s="202" t="inlineStr">
        <is>
          <t>Antal i lager</t>
        </is>
      </c>
      <c r="G4" s="204" t="inlineStr">
        <is>
          <t>Senast inventering</t>
        </is>
      </c>
      <c r="H4" s="205" t="inlineStr">
        <is>
          <t>SIGN</t>
        </is>
      </c>
    </row>
    <row r="5">
      <c r="A5" s="357" t="inlineStr">
        <is>
          <t>525-00113</t>
        </is>
      </c>
      <c r="B5" s="358" t="inlineStr">
        <is>
          <t>EDTA Human Whole Blood</t>
        </is>
      </c>
      <c r="C5" s="358">
        <f>IFERROR(INDEX($AZ$5#,ROW()-5+1,1),"")</f>
        <v/>
      </c>
      <c r="D5" s="359">
        <f>IFERROR(INDEX($AZ$5#,ROW()-5+1,2),"")</f>
        <v/>
      </c>
      <c r="E5" s="358">
        <f>IFERROR(INDEX($AZ$5#,ROW()-5+1,5),"")</f>
        <v/>
      </c>
      <c r="F5" s="51">
        <f>IFERROR(INDEX($AZ$5#,ROW()-5+1,3),"")</f>
        <v/>
      </c>
      <c r="G5" s="359">
        <f>IFERROR(INDEX($AZ$5#,ROW()-5+1,6),"")</f>
        <v/>
      </c>
      <c r="H5" s="397" t="inlineStr"/>
      <c r="AZ5">
        <f>LET(pn,$A$5,f,FILTER(tblLots[[LotNumber]:[LatestInventory]],(tblLots[PN]=pn)*(tblLots[IsActive]=TRUE),""),s,IFERROR(SORTBY(f,INDEX(f,,2),1,INDEX(f,,6),-1),""),IFERROR(INDEX(s,SEQUENCE(4),SEQUENCE(,6)),""))</f>
        <v/>
      </c>
    </row>
    <row r="6">
      <c r="A6" s="373">
        <f>A$5</f>
        <v/>
      </c>
      <c r="B6" s="579" t="n"/>
      <c r="C6" s="374">
        <f>IFERROR(INDEX($AZ$5#,ROW()-5+1,1),"")</f>
        <v/>
      </c>
      <c r="D6" s="375">
        <f>IFERROR(INDEX($AZ$5#,ROW()-5+1,2),"")</f>
        <v/>
      </c>
      <c r="E6" s="579" t="n"/>
      <c r="F6" s="53">
        <f>IFERROR(INDEX($AZ$5#,ROW()-5+1,3),"")</f>
        <v/>
      </c>
      <c r="G6" s="375">
        <f>IFERROR(INDEX($AZ$5#,ROW()-5+1,6),"")</f>
        <v/>
      </c>
      <c r="H6" s="398" t="inlineStr"/>
    </row>
    <row r="7">
      <c r="A7" s="373">
        <f>A$5</f>
        <v/>
      </c>
      <c r="B7" s="579" t="n"/>
      <c r="C7" s="374">
        <f>IFERROR(INDEX($AZ$5#,ROW()-5+1,1),"")</f>
        <v/>
      </c>
      <c r="D7" s="375">
        <f>IFERROR(INDEX($AZ$5#,ROW()-5+1,2),"")</f>
        <v/>
      </c>
      <c r="E7" s="579" t="n"/>
      <c r="F7" s="53">
        <f>IFERROR(INDEX($AZ$5#,ROW()-5+1,3),"")</f>
        <v/>
      </c>
      <c r="G7" s="375">
        <f>IFERROR(INDEX($AZ$5#,ROW()-5+1,6),"")</f>
        <v/>
      </c>
      <c r="H7" s="398" t="inlineStr"/>
    </row>
    <row r="8" ht="15.75" customHeight="1" thickBot="1">
      <c r="A8" s="376">
        <f>A$5</f>
        <v/>
      </c>
      <c r="B8" s="580" t="n"/>
      <c r="C8" s="377">
        <f>IFERROR(INDEX($AZ$5#,ROW()-5+1,1),"")</f>
        <v/>
      </c>
      <c r="D8" s="378">
        <f>IFERROR(INDEX($AZ$5#,ROW()-5+1,2),"")</f>
        <v/>
      </c>
      <c r="E8" s="580" t="n"/>
      <c r="F8" s="54">
        <f>IFERROR(INDEX($AZ$5#,ROW()-5+1,3),"")</f>
        <v/>
      </c>
      <c r="G8" s="378">
        <f>IFERROR(INDEX($AZ$5#,ROW()-5+1,6),"")</f>
        <v/>
      </c>
      <c r="H8" s="399" t="inlineStr"/>
    </row>
    <row r="9" ht="15.75" customHeight="1" thickBot="1">
      <c r="A9" s="326" t="inlineStr">
        <is>
          <t>P/N</t>
        </is>
      </c>
      <c r="B9" s="327" t="inlineStr">
        <is>
          <t>Artikel</t>
        </is>
      </c>
      <c r="C9" s="327" t="inlineStr">
        <is>
          <t>Lotnr.</t>
        </is>
      </c>
      <c r="D9" s="328" t="inlineStr">
        <is>
          <t>Utgångsdatum</t>
        </is>
      </c>
      <c r="E9" s="327" t="inlineStr">
        <is>
          <t>Förvaringsplats</t>
        </is>
      </c>
      <c r="F9" s="327" t="inlineStr">
        <is>
          <t>Antal i lager</t>
        </is>
      </c>
      <c r="G9" s="329" t="inlineStr">
        <is>
          <t>Senast inventering</t>
        </is>
      </c>
      <c r="H9" s="330" t="inlineStr">
        <is>
          <t>SIGN</t>
        </is>
      </c>
    </row>
    <row r="10">
      <c r="A10" s="427" t="inlineStr">
        <is>
          <t>525-00327</t>
        </is>
      </c>
      <c r="B10" s="504" t="inlineStr">
        <is>
          <t>EDTA Human Whole  Blood (NTC)</t>
        </is>
      </c>
      <c r="C10" s="428">
        <f>IFERROR(INDEX($AZ$10#,ROW()-10+1,1),"")</f>
        <v/>
      </c>
      <c r="D10" s="429">
        <f>IFERROR(INDEX($AZ$10#,ROW()-10+1,2),"")</f>
        <v/>
      </c>
      <c r="E10" s="428">
        <f>IFERROR(INDEX($AZ$10#,ROW()-10+1,5),"")</f>
        <v/>
      </c>
      <c r="F10" s="318">
        <f>IFERROR(INDEX($AZ$10#,ROW()-10+1,3),"")</f>
        <v/>
      </c>
      <c r="G10" s="375">
        <f>IFERROR(INDEX($AZ$10#,ROW()-10+1,6),"")</f>
        <v/>
      </c>
      <c r="H10" s="37" t="inlineStr"/>
      <c r="AZ10">
        <f>LET(pn,$A$10,f,FILTER(tblLots[[LotNumber]:[LatestInventory]],(tblLots[PN]=pn)*(tblLots[IsActive]=TRUE),""),s,IFERROR(SORTBY(f,INDEX(f,,2),1,INDEX(f,,6),-1),""),IFERROR(INDEX(s,SEQUENCE(4),SEQUENCE(,6)),""))</f>
        <v/>
      </c>
    </row>
    <row r="11">
      <c r="A11" s="373">
        <f>A$10</f>
        <v/>
      </c>
      <c r="B11" s="570" t="n"/>
      <c r="C11" s="428">
        <f>IFERROR(INDEX($AZ$10#,ROW()-10+1,1),"")</f>
        <v/>
      </c>
      <c r="D11" s="429">
        <f>IFERROR(INDEX($AZ$10#,ROW()-10+1,2),"")</f>
        <v/>
      </c>
      <c r="E11" s="579" t="n"/>
      <c r="F11" s="318">
        <f>IFERROR(INDEX($AZ$10#,ROW()-10+1,3),"")</f>
        <v/>
      </c>
      <c r="G11" s="375">
        <f>IFERROR(INDEX($AZ$10#,ROW()-10+1,6),"")</f>
        <v/>
      </c>
      <c r="H11" s="37" t="inlineStr"/>
    </row>
    <row r="12">
      <c r="A12" s="373">
        <f>A$10</f>
        <v/>
      </c>
      <c r="B12" s="570" t="n"/>
      <c r="C12" s="428">
        <f>IFERROR(INDEX($AZ$10#,ROW()-10+1,1),"")</f>
        <v/>
      </c>
      <c r="D12" s="429">
        <f>IFERROR(INDEX($AZ$10#,ROW()-10+1,2),"")</f>
        <v/>
      </c>
      <c r="E12" s="579" t="n"/>
      <c r="F12" s="318">
        <f>IFERROR(INDEX($AZ$10#,ROW()-10+1,3),"")</f>
        <v/>
      </c>
      <c r="G12" s="375">
        <f>IFERROR(INDEX($AZ$10#,ROW()-10+1,6),"")</f>
        <v/>
      </c>
      <c r="H12" s="37" t="inlineStr"/>
    </row>
    <row r="13" ht="15.75" customHeight="1" thickBot="1">
      <c r="A13" s="376">
        <f>A$10</f>
        <v/>
      </c>
      <c r="B13" s="573" t="n"/>
      <c r="C13" s="422">
        <f>IFERROR(INDEX($AZ$10#,ROW()-10+1,1),"")</f>
        <v/>
      </c>
      <c r="D13" s="423">
        <f>IFERROR(INDEX($AZ$10#,ROW()-10+1,2),"")</f>
        <v/>
      </c>
      <c r="E13" s="580" t="n"/>
      <c r="F13" s="324">
        <f>IFERROR(INDEX($AZ$10#,ROW()-10+1,3),"")</f>
        <v/>
      </c>
      <c r="G13" s="378">
        <f>IFERROR(INDEX($AZ$10#,ROW()-10+1,6),"")</f>
        <v/>
      </c>
      <c r="H13" s="44" t="inlineStr"/>
    </row>
    <row r="14" ht="15.75" customHeight="1" thickBot="1">
      <c r="A14" s="206" t="inlineStr">
        <is>
          <t>P/N</t>
        </is>
      </c>
      <c r="B14" s="207" t="inlineStr">
        <is>
          <t>Artikel</t>
        </is>
      </c>
      <c r="C14" s="207" t="inlineStr">
        <is>
          <t>Lotnr.</t>
        </is>
      </c>
      <c r="D14" s="208" t="inlineStr">
        <is>
          <t>Utgångsdatum</t>
        </is>
      </c>
      <c r="E14" s="207" t="inlineStr">
        <is>
          <t>Förvaringsplats</t>
        </is>
      </c>
      <c r="F14" s="207" t="inlineStr">
        <is>
          <t>Antal i lager</t>
        </is>
      </c>
      <c r="G14" s="209" t="inlineStr">
        <is>
          <t>Senast inventering</t>
        </is>
      </c>
      <c r="H14" s="210" t="inlineStr">
        <is>
          <t>SIGN</t>
        </is>
      </c>
    </row>
    <row r="15">
      <c r="A15" s="357" t="inlineStr">
        <is>
          <t>525-00145</t>
        </is>
      </c>
      <c r="B15" s="358" t="inlineStr">
        <is>
          <t>HIV QA XC PC LOW</t>
        </is>
      </c>
      <c r="C15" s="358">
        <f>IFERROR(INDEX($AZ$15#,ROW()-15+1,1),"")</f>
        <v/>
      </c>
      <c r="D15" s="359">
        <f>IFERROR(INDEX($AZ$15#,ROW()-15+1,2),"")</f>
        <v/>
      </c>
      <c r="E15" s="358">
        <f>IFERROR(INDEX($AZ$15#,ROW()-15+1,5),"")</f>
        <v/>
      </c>
      <c r="F15" s="358">
        <f>IFERROR(INDEX($AZ$15#,ROW()-15+1,3),"")</f>
        <v/>
      </c>
      <c r="G15" s="359">
        <f>IFERROR(INDEX($AZ$15#,ROW()-15+1,6),"")</f>
        <v/>
      </c>
      <c r="H15" s="397" t="inlineStr"/>
      <c r="AZ15">
        <f>LET(pn,$A$15,f,FILTER(tblLots[[LotNumber]:[LatestInventory]],(tblLots[PN]=pn)*(tblLots[IsActive]=TRUE),""),s,IFERROR(SORTBY(f,INDEX(f,,2),1,INDEX(f,,6),-1),""),IFERROR(INDEX(s,SEQUENCE(4),SEQUENCE(,6)),""))</f>
        <v/>
      </c>
    </row>
    <row r="16">
      <c r="A16" s="373">
        <f>A$15</f>
        <v/>
      </c>
      <c r="B16" s="579" t="n"/>
      <c r="C16" s="374">
        <f>IFERROR(INDEX($AZ$15#,ROW()-15+1,1),"")</f>
        <v/>
      </c>
      <c r="D16" s="375">
        <f>IFERROR(INDEX($AZ$15#,ROW()-15+1,2),"")</f>
        <v/>
      </c>
      <c r="E16" s="579" t="n"/>
      <c r="F16" s="374">
        <f>IFERROR(INDEX($AZ$15#,ROW()-15+1,3),"")</f>
        <v/>
      </c>
      <c r="G16" s="375">
        <f>IFERROR(INDEX($AZ$15#,ROW()-15+1,6),"")</f>
        <v/>
      </c>
      <c r="H16" s="398" t="inlineStr"/>
    </row>
    <row r="17">
      <c r="A17" s="373">
        <f>A$15</f>
        <v/>
      </c>
      <c r="B17" s="579" t="n"/>
      <c r="C17" s="374">
        <f>IFERROR(INDEX($AZ$15#,ROW()-15+1,1),"")</f>
        <v/>
      </c>
      <c r="D17" s="375">
        <f>IFERROR(INDEX($AZ$15#,ROW()-15+1,2),"")</f>
        <v/>
      </c>
      <c r="E17" s="579" t="n"/>
      <c r="F17" s="374">
        <f>IFERROR(INDEX($AZ$15#,ROW()-15+1,3),"")</f>
        <v/>
      </c>
      <c r="G17" s="375">
        <f>IFERROR(INDEX($AZ$15#,ROW()-15+1,6),"")</f>
        <v/>
      </c>
      <c r="H17" s="398" t="inlineStr"/>
    </row>
    <row r="18" ht="15.75" customHeight="1" thickBot="1">
      <c r="A18" s="376">
        <f>A$15</f>
        <v/>
      </c>
      <c r="B18" s="580" t="n"/>
      <c r="C18" s="377">
        <f>IFERROR(INDEX($AZ$15#,ROW()-15+1,1),"")</f>
        <v/>
      </c>
      <c r="D18" s="378">
        <f>IFERROR(INDEX($AZ$15#,ROW()-15+1,2),"")</f>
        <v/>
      </c>
      <c r="E18" s="580" t="n"/>
      <c r="F18" s="377">
        <f>IFERROR(INDEX($AZ$15#,ROW()-15+1,3),"")</f>
        <v/>
      </c>
      <c r="G18" s="378">
        <f>IFERROR(INDEX($AZ$15#,ROW()-15+1,6),"")</f>
        <v/>
      </c>
      <c r="H18" s="399" t="inlineStr"/>
    </row>
  </sheetData>
  <sheetProtection selectLockedCells="0" selectUnlockedCells="0" algorithmName="SHA-512" sheet="1" objects="0" insertRows="0" insertHyperlinks="0" autoFilter="0" scenarios="0" formatColumns="0" deleteColumns="0" insertColumns="0" pivotTables="0" deleteRows="0" formatCells="0" saltValue="ZUzQZijnha4706vB7YVZjQ==" formatRows="0" sort="0" spinCount="100000" hashValue="R12n6tWumRZs32+JfWSKgAKLvy0TqIkIm2f9Tmr3qp2aAydNT1y7THY8E86JR0bHAIz5gw5hFeWAKnX3wfuoIw=="/>
  <mergeCells count="7">
    <mergeCell ref="B5:B8"/>
    <mergeCell ref="A2:H2"/>
    <mergeCell ref="B15:B18"/>
    <mergeCell ref="E15:E18"/>
    <mergeCell ref="E5:E8"/>
    <mergeCell ref="B10:B13"/>
    <mergeCell ref="E10:E13"/>
  </mergeCells>
  <pageMargins left="0.7" right="0.7" top="0.75" bottom="0.75" header="0.3" footer="0.3"/>
  <pageSetup orientation="portrait" paperSize="9" verticalDpi="0"/>
</worksheet>
</file>

<file path=xl/worksheets/sheet24.xml><?xml version="1.0" encoding="utf-8"?>
<worksheet xmlns="http://schemas.openxmlformats.org/spreadsheetml/2006/main">
  <sheetPr>
    <tabColor rgb="FF643C00"/>
    <outlinePr summaryBelow="1" summaryRight="1"/>
    <pageSetUpPr/>
  </sheetPr>
  <dimension ref="A1:AZ14"/>
  <sheetViews>
    <sheetView workbookViewId="0">
      <selection activeCell="A1" sqref="A1"/>
    </sheetView>
  </sheetViews>
  <sheetFormatPr baseColWidth="8" defaultRowHeight="15"/>
  <cols>
    <col width="9.7109375" bestFit="1" customWidth="1" min="1" max="1"/>
    <col width="28.28515625" bestFit="1" customWidth="1" min="2" max="2"/>
    <col width="11.5703125" bestFit="1" customWidth="1" min="3" max="3"/>
    <col width="14" bestFit="1" customWidth="1" min="4" max="4"/>
    <col width="14.85546875" bestFit="1" customWidth="1" min="5" max="5"/>
    <col width="12" bestFit="1" customWidth="1" min="6" max="6"/>
    <col width="17.85546875" bestFit="1" customWidth="1" min="7" max="7"/>
    <col width="5.42578125" bestFit="1" customWidth="1" min="8" max="8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15.75" customHeight="1" thickBot="1"/>
    <row r="2" ht="24" customHeight="1" thickBot="1">
      <c r="A2" s="612" t="inlineStr">
        <is>
          <t>GI Panel</t>
        </is>
      </c>
      <c r="B2" s="551" t="n"/>
      <c r="C2" s="551" t="n"/>
      <c r="D2" s="551" t="n"/>
      <c r="E2" s="551" t="n"/>
      <c r="F2" s="551" t="n"/>
      <c r="G2" s="551" t="n"/>
      <c r="H2" s="552" t="n"/>
    </row>
    <row r="3" ht="15.75" customHeight="1" thickBot="1"/>
    <row r="4" ht="15.75" customHeight="1" thickBot="1">
      <c r="A4" s="352" t="inlineStr">
        <is>
          <t>P/N</t>
        </is>
      </c>
      <c r="B4" s="353" t="inlineStr">
        <is>
          <t>Artikel</t>
        </is>
      </c>
      <c r="C4" s="353" t="inlineStr">
        <is>
          <t>Lotnr.</t>
        </is>
      </c>
      <c r="D4" s="354" t="inlineStr">
        <is>
          <t>Utgångsdatum</t>
        </is>
      </c>
      <c r="E4" s="353" t="inlineStr">
        <is>
          <t>Förvaringsplats</t>
        </is>
      </c>
      <c r="F4" s="353" t="inlineStr">
        <is>
          <t>Antal i lager</t>
        </is>
      </c>
      <c r="G4" s="355" t="inlineStr">
        <is>
          <t>Senast inventering</t>
        </is>
      </c>
      <c r="H4" s="356" t="inlineStr">
        <is>
          <t>SIGN</t>
        </is>
      </c>
    </row>
    <row r="5">
      <c r="A5" s="357" t="inlineStr">
        <is>
          <t>025-00063</t>
        </is>
      </c>
      <c r="B5" s="459" t="inlineStr">
        <is>
          <t>Stool diluent matrix</t>
        </is>
      </c>
      <c r="C5" s="358">
        <f>IFERROR(INDEX($AZ$5#,ROW()-5+1,1),"")</f>
        <v/>
      </c>
      <c r="D5" s="359">
        <f>IFERROR(INDEX($AZ$5#,ROW()-5+1,2),"")</f>
        <v/>
      </c>
      <c r="E5" s="459">
        <f>IFERROR(INDEX($AZ$5#,ROW()-5+1,5),"")</f>
        <v/>
      </c>
      <c r="F5" s="358">
        <f>IFERROR(INDEX($AZ$5#,ROW()-5+1,3),"")</f>
        <v/>
      </c>
      <c r="G5" s="359">
        <f>IFERROR(INDEX($AZ$5#,ROW()-5+1,6),"")</f>
        <v/>
      </c>
      <c r="H5" s="397" t="inlineStr"/>
      <c r="AZ5">
        <f>LET(pn,$A$5,f,FILTER(tblLots[[LotNumber]:[LatestInventory]],(tblLots[PN]=pn)*(tblLots[IsActive]=TRUE),""),s,IFERROR(SORTBY(f,INDEX(f,,2),1,INDEX(f,,6),-1),""),IFERROR(INDEX(s,SEQUENCE(4),SEQUENCE(,6)),""))</f>
        <v/>
      </c>
    </row>
    <row r="6">
      <c r="A6" s="373">
        <f>A$5</f>
        <v/>
      </c>
      <c r="B6" s="579" t="n"/>
      <c r="C6" s="374">
        <f>IFERROR(INDEX($AZ$5#,ROW()-5+1,1),"")</f>
        <v/>
      </c>
      <c r="D6" s="375">
        <f>IFERROR(INDEX($AZ$5#,ROW()-5+1,2),"")</f>
        <v/>
      </c>
      <c r="E6" s="579" t="n"/>
      <c r="F6" s="374">
        <f>IFERROR(INDEX($AZ$5#,ROW()-5+1,3),"")</f>
        <v/>
      </c>
      <c r="G6" s="375">
        <f>IFERROR(INDEX($AZ$5#,ROW()-5+1,6),"")</f>
        <v/>
      </c>
      <c r="H6" s="398" t="inlineStr"/>
    </row>
    <row r="7">
      <c r="A7" s="373">
        <f>A$5</f>
        <v/>
      </c>
      <c r="B7" s="579" t="n"/>
      <c r="C7" s="374">
        <f>IFERROR(INDEX($AZ$5#,ROW()-5+1,1),"")</f>
        <v/>
      </c>
      <c r="D7" s="375">
        <f>IFERROR(INDEX($AZ$5#,ROW()-5+1,2),"")</f>
        <v/>
      </c>
      <c r="E7" s="579" t="n"/>
      <c r="F7" s="374">
        <f>IFERROR(INDEX($AZ$5#,ROW()-5+1,3),"")</f>
        <v/>
      </c>
      <c r="G7" s="375">
        <f>IFERROR(INDEX($AZ$5#,ROW()-5+1,6),"")</f>
        <v/>
      </c>
      <c r="H7" s="398" t="inlineStr"/>
    </row>
    <row r="8" ht="15.75" customHeight="1" thickBot="1">
      <c r="A8" s="376">
        <f>A$5</f>
        <v/>
      </c>
      <c r="B8" s="580" t="n"/>
      <c r="C8" s="377">
        <f>IFERROR(INDEX($AZ$5#,ROW()-5+1,1),"")</f>
        <v/>
      </c>
      <c r="D8" s="378">
        <f>IFERROR(INDEX($AZ$5#,ROW()-5+1,2),"")</f>
        <v/>
      </c>
      <c r="E8" s="580" t="n"/>
      <c r="F8" s="377">
        <f>IFERROR(INDEX($AZ$5#,ROW()-5+1,3),"")</f>
        <v/>
      </c>
      <c r="G8" s="378">
        <f>IFERROR(INDEX($AZ$5#,ROW()-5+1,6),"")</f>
        <v/>
      </c>
      <c r="H8" s="399" t="inlineStr"/>
    </row>
    <row r="9" ht="15.75" customHeight="1" thickBot="1"/>
    <row r="10" ht="15.75" customHeight="1" thickBot="1">
      <c r="A10" s="352" t="inlineStr">
        <is>
          <t>P/N</t>
        </is>
      </c>
      <c r="B10" s="353" t="inlineStr">
        <is>
          <t>Artikel</t>
        </is>
      </c>
      <c r="C10" s="353" t="inlineStr">
        <is>
          <t>Lotnr.</t>
        </is>
      </c>
      <c r="D10" s="354" t="inlineStr">
        <is>
          <t>Utgångsdatum</t>
        </is>
      </c>
      <c r="E10" s="353" t="inlineStr">
        <is>
          <t>Förvaringsplats</t>
        </is>
      </c>
      <c r="F10" s="353" t="inlineStr">
        <is>
          <t>Antal i lager</t>
        </is>
      </c>
      <c r="G10" s="355" t="inlineStr">
        <is>
          <t>Senast inventering</t>
        </is>
      </c>
      <c r="H10" s="356" t="inlineStr">
        <is>
          <t>SIGN</t>
        </is>
      </c>
    </row>
    <row r="11">
      <c r="A11" s="357" t="inlineStr">
        <is>
          <t>525-00205</t>
        </is>
      </c>
      <c r="B11" s="459" t="inlineStr">
        <is>
          <t>GI PANEL, POS CTR MIX 1, LOW</t>
        </is>
      </c>
      <c r="C11" s="358">
        <f>IFERROR(INDEX($AZ$11#,ROW()-11+1,1),"")</f>
        <v/>
      </c>
      <c r="D11" s="359">
        <f>IFERROR(INDEX($AZ$11#,ROW()-11+1,2),"")</f>
        <v/>
      </c>
      <c r="E11" s="459">
        <f>IFERROR(INDEX($AZ$11#,ROW()-11+1,5),"")</f>
        <v/>
      </c>
      <c r="F11" s="358">
        <f>IFERROR(INDEX($AZ$11#,ROW()-11+1,3),"")</f>
        <v/>
      </c>
      <c r="G11" s="359">
        <f>IFERROR(INDEX($AZ$11#,ROW()-11+1,6),"")</f>
        <v/>
      </c>
      <c r="H11" s="397" t="inlineStr"/>
      <c r="AZ11">
        <f>LET(pn,$A$11,f,FILTER(tblLots[[LotNumber]:[LatestInventory]],(tblLots[PN]=pn)*(tblLots[IsActive]=TRUE),""),s,IFERROR(SORTBY(f,INDEX(f,,2),1,INDEX(f,,6),-1),""),IFERROR(INDEX(s,SEQUENCE(4),SEQUENCE(,6)),""))</f>
        <v/>
      </c>
    </row>
    <row r="12">
      <c r="A12" s="373">
        <f>A$11</f>
        <v/>
      </c>
      <c r="B12" s="579" t="n"/>
      <c r="C12" s="374">
        <f>IFERROR(INDEX($AZ$11#,ROW()-11+1,1),"")</f>
        <v/>
      </c>
      <c r="D12" s="375">
        <f>IFERROR(INDEX($AZ$11#,ROW()-11+1,2),"")</f>
        <v/>
      </c>
      <c r="E12" s="579" t="n"/>
      <c r="F12" s="374">
        <f>IFERROR(INDEX($AZ$11#,ROW()-11+1,3),"")</f>
        <v/>
      </c>
      <c r="G12" s="375">
        <f>IFERROR(INDEX($AZ$11#,ROW()-11+1,6),"")</f>
        <v/>
      </c>
      <c r="H12" s="398" t="inlineStr"/>
    </row>
    <row r="13">
      <c r="A13" s="373">
        <f>A$11</f>
        <v/>
      </c>
      <c r="B13" s="579" t="n"/>
      <c r="C13" s="374">
        <f>IFERROR(INDEX($AZ$11#,ROW()-11+1,1),"")</f>
        <v/>
      </c>
      <c r="D13" s="375">
        <f>IFERROR(INDEX($AZ$11#,ROW()-11+1,2),"")</f>
        <v/>
      </c>
      <c r="E13" s="579" t="n"/>
      <c r="F13" s="374">
        <f>IFERROR(INDEX($AZ$11#,ROW()-11+1,3),"")</f>
        <v/>
      </c>
      <c r="G13" s="375">
        <f>IFERROR(INDEX($AZ$11#,ROW()-11+1,6),"")</f>
        <v/>
      </c>
      <c r="H13" s="398" t="inlineStr"/>
    </row>
    <row r="14" ht="15.75" customHeight="1" thickBot="1">
      <c r="A14" s="376">
        <f>A$11</f>
        <v/>
      </c>
      <c r="B14" s="580" t="n"/>
      <c r="C14" s="377">
        <f>IFERROR(INDEX($AZ$11#,ROW()-11+1,1),"")</f>
        <v/>
      </c>
      <c r="D14" s="378">
        <f>IFERROR(INDEX($AZ$11#,ROW()-11+1,2),"")</f>
        <v/>
      </c>
      <c r="E14" s="580" t="n"/>
      <c r="F14" s="377">
        <f>IFERROR(INDEX($AZ$11#,ROW()-11+1,3),"")</f>
        <v/>
      </c>
      <c r="G14" s="378">
        <f>IFERROR(INDEX($AZ$11#,ROW()-11+1,6),"")</f>
        <v/>
      </c>
      <c r="H14" s="399" t="inlineStr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uWvGqt5Y5lFY01mj5uJDA==" formatRows="1" sort="1" spinCount="100000" hashValue="T01+x+LuPHLX2LA1qdXZZFvFTeH8q0r+LjC5r0CTR+V7WxZ9eyTHU+b16fg0Jqtsi9k+bgtYzHxbHACDWaFLOQ=="/>
  <mergeCells count="5">
    <mergeCell ref="B5:B8"/>
    <mergeCell ref="A2:H2"/>
    <mergeCell ref="E11:E14"/>
    <mergeCell ref="B11:B14"/>
    <mergeCell ref="E5:E8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>
  <sheetPr codeName="Sheet21">
    <tabColor rgb="FF66FF33"/>
    <outlinePr summaryBelow="1" summaryRight="1"/>
    <pageSetUpPr/>
  </sheetPr>
  <dimension ref="A1:AZ14"/>
  <sheetViews>
    <sheetView workbookViewId="0">
      <selection activeCell="A1" sqref="A1"/>
    </sheetView>
  </sheetViews>
  <sheetFormatPr baseColWidth="8" defaultRowHeight="15"/>
  <cols>
    <col width="9.7109375" bestFit="1" customWidth="1" min="1" max="1"/>
    <col width="27.85546875" customWidth="1" min="2" max="2"/>
    <col width="15.5703125" customWidth="1" min="3" max="3"/>
    <col width="14" bestFit="1" customWidth="1" min="4" max="4"/>
    <col width="14.5703125" bestFit="1" customWidth="1" min="5" max="5"/>
    <col width="12.85546875" bestFit="1" customWidth="1" min="6" max="6"/>
    <col width="17.85546875" bestFit="1" customWidth="1" min="7" max="7"/>
    <col width="7.7109375" customWidth="1" min="8" max="8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15.75" customHeight="1" thickBot="1"/>
    <row r="2" ht="24" customHeight="1" thickBot="1">
      <c r="A2" s="598" t="inlineStr">
        <is>
          <t>SARS plus</t>
        </is>
      </c>
      <c r="B2" s="551" t="n"/>
      <c r="C2" s="551" t="n"/>
      <c r="D2" s="551" t="n"/>
      <c r="E2" s="551" t="n"/>
      <c r="F2" s="551" t="n"/>
      <c r="G2" s="551" t="n"/>
      <c r="H2" s="552" t="n"/>
    </row>
    <row r="3" ht="15.75" customHeight="1" thickBot="1"/>
    <row r="4" ht="15.75" customHeight="1" thickBot="1">
      <c r="A4" s="223" t="inlineStr">
        <is>
          <t>P/N</t>
        </is>
      </c>
      <c r="B4" s="224" t="inlineStr">
        <is>
          <t>Artikel</t>
        </is>
      </c>
      <c r="C4" s="224" t="inlineStr">
        <is>
          <t>Lotnr.</t>
        </is>
      </c>
      <c r="D4" s="225" t="inlineStr">
        <is>
          <t>Utgångsdatum</t>
        </is>
      </c>
      <c r="E4" s="224" t="inlineStr">
        <is>
          <t>Förvaringsplats</t>
        </is>
      </c>
      <c r="F4" s="224" t="inlineStr">
        <is>
          <t>Antal i lager</t>
        </is>
      </c>
      <c r="G4" s="226" t="inlineStr">
        <is>
          <t>Senast inventering</t>
        </is>
      </c>
      <c r="H4" s="227" t="inlineStr">
        <is>
          <t>SIGN</t>
        </is>
      </c>
    </row>
    <row r="5">
      <c r="A5" s="357" t="inlineStr">
        <is>
          <t>525-00163</t>
        </is>
      </c>
      <c r="B5" s="459" t="inlineStr">
        <is>
          <t>SARS-CoV Positive Control</t>
        </is>
      </c>
      <c r="C5" s="358">
        <f>IFERROR(INDEX($AZ$5#,ROW()-5+1,1),"")</f>
        <v/>
      </c>
      <c r="D5" s="359">
        <f>IFERROR(INDEX($AZ$5#,ROW()-5+1,2),"")</f>
        <v/>
      </c>
      <c r="E5" s="358">
        <f>IFERROR(INDEX($AZ$5#,ROW()-5+1,5),"")</f>
        <v/>
      </c>
      <c r="F5" s="358">
        <f>IFERROR(INDEX($AZ$5#,ROW()-5+1,3),"")</f>
        <v/>
      </c>
      <c r="G5" s="359">
        <f>IFERROR(INDEX($AZ$5#,ROW()-5+1,6),"")</f>
        <v/>
      </c>
      <c r="H5" s="397" t="inlineStr"/>
      <c r="AZ5">
        <f>LET(pn,$A$5,f,FILTER(tblLots[[LotNumber]:[LatestInventory]],(tblLots[PN]=pn)*(tblLots[IsActive]=TRUE),""),s,IFERROR(SORTBY(f,INDEX(f,,2),1,INDEX(f,,6),-1),""),IFERROR(INDEX(s,SEQUENCE(4),SEQUENCE(,6)),""))</f>
        <v/>
      </c>
    </row>
    <row r="6">
      <c r="A6" s="373">
        <f>A$5</f>
        <v/>
      </c>
      <c r="B6" s="579" t="n"/>
      <c r="C6" s="374">
        <f>IFERROR(INDEX($AZ$5#,ROW()-5+1,1),"")</f>
        <v/>
      </c>
      <c r="D6" s="375">
        <f>IFERROR(INDEX($AZ$5#,ROW()-5+1,2),"")</f>
        <v/>
      </c>
      <c r="E6" s="579" t="n"/>
      <c r="F6" s="374">
        <f>IFERROR(INDEX($AZ$5#,ROW()-5+1,3),"")</f>
        <v/>
      </c>
      <c r="G6" s="375">
        <f>IFERROR(INDEX($AZ$5#,ROW()-5+1,6),"")</f>
        <v/>
      </c>
      <c r="H6" s="398" t="inlineStr"/>
    </row>
    <row r="7">
      <c r="A7" s="373">
        <f>A$5</f>
        <v/>
      </c>
      <c r="B7" s="579" t="n"/>
      <c r="C7" s="374">
        <f>IFERROR(INDEX($AZ$5#,ROW()-5+1,1),"")</f>
        <v/>
      </c>
      <c r="D7" s="375">
        <f>IFERROR(INDEX($AZ$5#,ROW()-5+1,2),"")</f>
        <v/>
      </c>
      <c r="E7" s="579" t="n"/>
      <c r="F7" s="374">
        <f>IFERROR(INDEX($AZ$5#,ROW()-5+1,3),"")</f>
        <v/>
      </c>
      <c r="G7" s="375">
        <f>IFERROR(INDEX($AZ$5#,ROW()-5+1,6),"")</f>
        <v/>
      </c>
      <c r="H7" s="398" t="inlineStr"/>
    </row>
    <row r="8" ht="15.75" customHeight="1" thickBot="1">
      <c r="A8" s="376">
        <f>A$5</f>
        <v/>
      </c>
      <c r="B8" s="580" t="n"/>
      <c r="C8" s="377">
        <f>IFERROR(INDEX($AZ$5#,ROW()-5+1,1),"")</f>
        <v/>
      </c>
      <c r="D8" s="378">
        <f>IFERROR(INDEX($AZ$5#,ROW()-5+1,2),"")</f>
        <v/>
      </c>
      <c r="E8" s="580" t="n"/>
      <c r="F8" s="377">
        <f>IFERROR(INDEX($AZ$5#,ROW()-5+1,3),"")</f>
        <v/>
      </c>
      <c r="G8" s="378">
        <f>IFERROR(INDEX($AZ$5#,ROW()-5+1,6),"")</f>
        <v/>
      </c>
      <c r="H8" s="399" t="inlineStr"/>
    </row>
    <row r="9" ht="15.75" customHeight="1" thickBot="1"/>
    <row r="10" ht="15.75" customHeight="1" thickBot="1">
      <c r="A10" s="109" t="inlineStr">
        <is>
          <t>P/N</t>
        </is>
      </c>
      <c r="B10" s="110" t="inlineStr">
        <is>
          <t>Artikel</t>
        </is>
      </c>
      <c r="C10" s="110" t="inlineStr">
        <is>
          <t>Lotnr.</t>
        </is>
      </c>
      <c r="D10" s="111" t="inlineStr">
        <is>
          <t>Utgångsdatum</t>
        </is>
      </c>
      <c r="E10" s="110" t="inlineStr">
        <is>
          <t>Förvaringsplats</t>
        </is>
      </c>
      <c r="F10" s="110" t="inlineStr">
        <is>
          <t>Antal i lager</t>
        </is>
      </c>
      <c r="G10" s="112" t="inlineStr">
        <is>
          <t>Senast inventering</t>
        </is>
      </c>
      <c r="H10" s="113" t="inlineStr">
        <is>
          <t>SIGN</t>
        </is>
      </c>
    </row>
    <row r="11">
      <c r="A11" s="357" t="inlineStr">
        <is>
          <t>001-1471</t>
        </is>
      </c>
      <c r="B11" s="459" t="inlineStr">
        <is>
          <t>Purified Serum Protein Matrix</t>
        </is>
      </c>
      <c r="C11" s="358">
        <f>IFERROR(INDEX($AZ$11#,ROW()-11+1,1),"")</f>
        <v/>
      </c>
      <c r="D11" s="359">
        <f>IFERROR(INDEX($AZ$11#,ROW()-11+1,2),"")</f>
        <v/>
      </c>
      <c r="E11" s="358">
        <f>IFERROR(INDEX($AZ$11#,ROW()-11+1,5),"")</f>
        <v/>
      </c>
      <c r="F11" s="358">
        <f>IFERROR(INDEX($AZ$11#,ROW()-11+1,3),"")</f>
        <v/>
      </c>
      <c r="G11" s="359">
        <f>IFERROR(INDEX($AZ$11#,ROW()-11+1,6),"")</f>
        <v/>
      </c>
      <c r="H11" s="397" t="inlineStr"/>
      <c r="AZ11">
        <f>LET(pn,$A$11,f,FILTER(tblLots[[LotNumber]:[LatestInventory]],(tblLots[PN]=pn)*(tblLots[IsActive]=TRUE),""),s,IFERROR(SORTBY(f,INDEX(f,,2),1,INDEX(f,,6),-1),""),IFERROR(INDEX(s,SEQUENCE(4),SEQUENCE(,6)),""))</f>
        <v/>
      </c>
    </row>
    <row r="12">
      <c r="A12" s="373">
        <f>A$11</f>
        <v/>
      </c>
      <c r="B12" s="579" t="n"/>
      <c r="C12" s="374">
        <f>IFERROR(INDEX($AZ$11#,ROW()-11+1,1),"")</f>
        <v/>
      </c>
      <c r="D12" s="375">
        <f>IFERROR(INDEX($AZ$11#,ROW()-11+1,2),"")</f>
        <v/>
      </c>
      <c r="E12" s="579" t="n"/>
      <c r="F12" s="374">
        <f>IFERROR(INDEX($AZ$11#,ROW()-11+1,3),"")</f>
        <v/>
      </c>
      <c r="G12" s="375">
        <f>IFERROR(INDEX($AZ$11#,ROW()-11+1,6),"")</f>
        <v/>
      </c>
      <c r="H12" s="398" t="inlineStr"/>
    </row>
    <row r="13">
      <c r="A13" s="373">
        <f>A$11</f>
        <v/>
      </c>
      <c r="B13" s="579" t="n"/>
      <c r="C13" s="374">
        <f>IFERROR(INDEX($AZ$11#,ROW()-11+1,1),"")</f>
        <v/>
      </c>
      <c r="D13" s="375">
        <f>IFERROR(INDEX($AZ$11#,ROW()-11+1,2),"")</f>
        <v/>
      </c>
      <c r="E13" s="579" t="n"/>
      <c r="F13" s="374">
        <f>IFERROR(INDEX($AZ$11#,ROW()-11+1,3),"")</f>
        <v/>
      </c>
      <c r="G13" s="375">
        <f>IFERROR(INDEX($AZ$11#,ROW()-11+1,6),"")</f>
        <v/>
      </c>
      <c r="H13" s="398" t="inlineStr"/>
    </row>
    <row r="14" ht="15.75" customHeight="1" thickBot="1">
      <c r="A14" s="376">
        <f>A$11</f>
        <v/>
      </c>
      <c r="B14" s="580" t="n"/>
      <c r="C14" s="377">
        <f>IFERROR(INDEX($AZ$11#,ROW()-11+1,1),"")</f>
        <v/>
      </c>
      <c r="D14" s="378">
        <f>IFERROR(INDEX($AZ$11#,ROW()-11+1,2),"")</f>
        <v/>
      </c>
      <c r="E14" s="580" t="n"/>
      <c r="F14" s="377">
        <f>IFERROR(INDEX($AZ$11#,ROW()-11+1,3),"")</f>
        <v/>
      </c>
      <c r="G14" s="378">
        <f>IFERROR(INDEX($AZ$11#,ROW()-11+1,6),"")</f>
        <v/>
      </c>
      <c r="H14" s="399" t="inlineStr"/>
    </row>
  </sheetData>
  <sheetProtection selectLockedCells="0" selectUnlockedCells="0" algorithmName="SHA-512" sheet="1" objects="0" insertRows="0" insertHyperlinks="0" autoFilter="0" scenarios="0" formatColumns="0" deleteColumns="0" insertColumns="0" pivotTables="0" deleteRows="0" formatCells="0" saltValue="Wo+Ui3GbiD8lJTqlrRRwPA==" formatRows="0" sort="0" spinCount="100000" hashValue="pTOauodpb7kjUnBYLpQYtSBBLavvnKQ07uY65x2JGRkknBeJUQ8PdalvROtrtnOFruNZvXn3A5oL7iTrFmDlCg=="/>
  <mergeCells count="5">
    <mergeCell ref="B5:B8"/>
    <mergeCell ref="A2:H2"/>
    <mergeCell ref="E11:E14"/>
    <mergeCell ref="B11:B14"/>
    <mergeCell ref="E5:E8"/>
  </mergeCells>
  <pageMargins left="0.7" right="0.7" top="0.75" bottom="0.75" header="0.3" footer="0.3"/>
  <pageSetup orientation="portrait" paperSize="9" verticalDpi="0"/>
</worksheet>
</file>

<file path=xl/worksheets/sheet26.xml><?xml version="1.0" encoding="utf-8"?>
<worksheet xmlns="http://schemas.openxmlformats.org/spreadsheetml/2006/main">
  <sheetPr codeName="Sheet22">
    <tabColor rgb="FFFFFF00"/>
    <outlinePr summaryBelow="1" summaryRight="1"/>
    <pageSetUpPr/>
  </sheetPr>
  <dimension ref="A1:AZ54"/>
  <sheetViews>
    <sheetView workbookViewId="0">
      <selection activeCell="A1" sqref="A1"/>
    </sheetView>
  </sheetViews>
  <sheetFormatPr baseColWidth="8" defaultRowHeight="15"/>
  <cols>
    <col width="9.7109375" bestFit="1" customWidth="1" min="1" max="1"/>
    <col width="34.42578125" bestFit="1" customWidth="1" min="2" max="2"/>
    <col width="15.85546875" customWidth="1" min="3" max="3"/>
    <col width="14" bestFit="1" customWidth="1" style="75" min="4" max="4"/>
    <col width="14.85546875" bestFit="1" customWidth="1" min="5" max="5"/>
    <col width="20.140625" customWidth="1" min="6" max="6"/>
    <col width="17.85546875" bestFit="1" customWidth="1" style="75" min="7" max="7"/>
    <col width="7.28515625" customWidth="1" min="8" max="8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15.75" customHeight="1" thickBot="1"/>
    <row r="2" ht="24" customHeight="1" thickBot="1">
      <c r="A2" s="605" t="inlineStr">
        <is>
          <t>FLU RSV</t>
        </is>
      </c>
      <c r="B2" s="551" t="n"/>
      <c r="C2" s="551" t="n"/>
      <c r="D2" s="551" t="n"/>
      <c r="E2" s="551" t="n"/>
      <c r="F2" s="551" t="n"/>
      <c r="G2" s="551" t="n"/>
      <c r="H2" s="552" t="n"/>
    </row>
    <row r="3" ht="15.75" customHeight="1" thickBot="1"/>
    <row r="4" ht="15.75" customHeight="1" thickBot="1">
      <c r="A4" s="151" t="inlineStr">
        <is>
          <t>P/N</t>
        </is>
      </c>
      <c r="B4" s="152" t="inlineStr">
        <is>
          <t>Artikel</t>
        </is>
      </c>
      <c r="C4" s="152" t="inlineStr">
        <is>
          <t>Lotnr.</t>
        </is>
      </c>
      <c r="D4" s="153" t="inlineStr">
        <is>
          <t>Utgångsdatum</t>
        </is>
      </c>
      <c r="E4" s="152" t="inlineStr">
        <is>
          <t>Förvaringsplats</t>
        </is>
      </c>
      <c r="F4" s="152" t="inlineStr">
        <is>
          <t>Antal i lager</t>
        </is>
      </c>
      <c r="G4" s="154" t="inlineStr">
        <is>
          <t>Senast inventering</t>
        </is>
      </c>
      <c r="H4" s="155" t="inlineStr">
        <is>
          <t>SIGN</t>
        </is>
      </c>
    </row>
    <row r="5">
      <c r="A5" s="357" t="inlineStr">
        <is>
          <t>500-1509</t>
        </is>
      </c>
      <c r="B5" s="358" t="inlineStr">
        <is>
          <t>VIRUS, CVA9, FINAL WORKING STOCK</t>
        </is>
      </c>
      <c r="C5" s="358">
        <f>IFERROR(INDEX($AZ$5#,ROW()-5+1,1),"")</f>
        <v/>
      </c>
      <c r="D5" s="359">
        <f>IFERROR(INDEX($AZ$5#,ROW()-5+1,2),"")</f>
        <v/>
      </c>
      <c r="E5" s="358">
        <f>IFERROR(INDEX($AZ$5#,ROW()-5+1,5),"")</f>
        <v/>
      </c>
      <c r="F5" s="358">
        <f>IFERROR(INDEX($AZ$5#,ROW()-5+1,3),"")</f>
        <v/>
      </c>
      <c r="G5" s="359">
        <f>IFERROR(INDEX($AZ$5#,ROW()-5+1,6),"")</f>
        <v/>
      </c>
      <c r="H5" s="397" t="inlineStr"/>
      <c r="AZ5">
        <f>LET(pn,$A$5,f,FILTER(tblLots[[LotNumber]:[LatestInventory]],(tblLots[PN]=pn)*(tblLots[IsActive]=TRUE),""),s,IFERROR(SORTBY(f,INDEX(f,,2),1,INDEX(f,,6),-1),""),IFERROR(INDEX(s,SEQUENCE(4),SEQUENCE(,6)),""))</f>
        <v/>
      </c>
    </row>
    <row r="6">
      <c r="A6" s="373">
        <f>A$5</f>
        <v/>
      </c>
      <c r="B6" s="579" t="n"/>
      <c r="C6" s="374">
        <f>IFERROR(INDEX($AZ$5#,ROW()-5+1,1),"")</f>
        <v/>
      </c>
      <c r="D6" s="375">
        <f>IFERROR(INDEX($AZ$5#,ROW()-5+1,2),"")</f>
        <v/>
      </c>
      <c r="E6" s="579" t="n"/>
      <c r="F6" s="374">
        <f>IFERROR(INDEX($AZ$5#,ROW()-5+1,3),"")</f>
        <v/>
      </c>
      <c r="G6" s="375">
        <f>IFERROR(INDEX($AZ$5#,ROW()-5+1,6),"")</f>
        <v/>
      </c>
      <c r="H6" s="398" t="inlineStr"/>
    </row>
    <row r="7">
      <c r="A7" s="373">
        <f>A$5</f>
        <v/>
      </c>
      <c r="B7" s="579" t="n"/>
      <c r="C7" s="374">
        <f>IFERROR(INDEX($AZ$5#,ROW()-5+1,1),"")</f>
        <v/>
      </c>
      <c r="D7" s="375">
        <f>IFERROR(INDEX($AZ$5#,ROW()-5+1,2),"")</f>
        <v/>
      </c>
      <c r="E7" s="579" t="n"/>
      <c r="F7" s="374">
        <f>IFERROR(INDEX($AZ$5#,ROW()-5+1,3),"")</f>
        <v/>
      </c>
      <c r="G7" s="375">
        <f>IFERROR(INDEX($AZ$5#,ROW()-5+1,6),"")</f>
        <v/>
      </c>
      <c r="H7" s="398" t="inlineStr"/>
    </row>
    <row r="8" ht="15.75" customHeight="1" thickBot="1">
      <c r="A8" s="376">
        <f>A$5</f>
        <v/>
      </c>
      <c r="B8" s="580" t="n"/>
      <c r="C8" s="377">
        <f>IFERROR(INDEX($AZ$5#,ROW()-5+1,1),"")</f>
        <v/>
      </c>
      <c r="D8" s="378">
        <f>IFERROR(INDEX($AZ$5#,ROW()-5+1,2),"")</f>
        <v/>
      </c>
      <c r="E8" s="580" t="n"/>
      <c r="F8" s="377">
        <f>IFERROR(INDEX($AZ$5#,ROW()-5+1,3),"")</f>
        <v/>
      </c>
      <c r="G8" s="378">
        <f>IFERROR(INDEX($AZ$5#,ROW()-5+1,6),"")</f>
        <v/>
      </c>
      <c r="H8" s="399" t="inlineStr"/>
    </row>
    <row r="9" ht="15.75" customHeight="1" thickBot="1">
      <c r="A9" s="151" t="inlineStr">
        <is>
          <t>P/N</t>
        </is>
      </c>
      <c r="B9" s="152" t="inlineStr">
        <is>
          <t>Artikel</t>
        </is>
      </c>
      <c r="C9" s="152" t="inlineStr">
        <is>
          <t>Lotnr.</t>
        </is>
      </c>
      <c r="D9" s="153" t="inlineStr">
        <is>
          <t>Utgångsdatum</t>
        </is>
      </c>
      <c r="E9" s="152" t="inlineStr">
        <is>
          <t>Förvaringsplats</t>
        </is>
      </c>
      <c r="F9" s="152" t="inlineStr">
        <is>
          <t>Antal i lager</t>
        </is>
      </c>
      <c r="G9" s="154" t="inlineStr">
        <is>
          <t>Senast inventering</t>
        </is>
      </c>
      <c r="H9" s="155" t="inlineStr">
        <is>
          <t>SIGN</t>
        </is>
      </c>
    </row>
    <row r="10">
      <c r="A10" s="357" t="inlineStr">
        <is>
          <t>525-00096</t>
        </is>
      </c>
      <c r="B10" s="358" t="inlineStr">
        <is>
          <t>FluA High control ALQT</t>
        </is>
      </c>
      <c r="C10" s="358">
        <f>IFERROR(INDEX($AZ$10#,ROW()-10+1,1),"")</f>
        <v/>
      </c>
      <c r="D10" s="359">
        <f>IFERROR(INDEX($AZ$10#,ROW()-10+1,2),"")</f>
        <v/>
      </c>
      <c r="E10" s="358">
        <f>IFERROR(INDEX($AZ$10#,ROW()-10+1,5),"")</f>
        <v/>
      </c>
      <c r="F10" s="358">
        <f>IFERROR(INDEX($AZ$10#,ROW()-10+1,3),"")</f>
        <v/>
      </c>
      <c r="G10" s="359">
        <f>IFERROR(INDEX($AZ$10#,ROW()-10+1,6),"")</f>
        <v/>
      </c>
      <c r="H10" s="397" t="inlineStr"/>
      <c r="AZ10">
        <f>LET(pn,$A$10,f,FILTER(tblLots[[LotNumber]:[LatestInventory]],(tblLots[PN]=pn)*(tblLots[IsActive]=TRUE),""),s,IFERROR(SORTBY(f,INDEX(f,,2),1,INDEX(f,,6),-1),""),IFERROR(INDEX(s,SEQUENCE(4),SEQUENCE(,6)),""))</f>
        <v/>
      </c>
    </row>
    <row r="11">
      <c r="A11" s="373">
        <f>A$10</f>
        <v/>
      </c>
      <c r="B11" s="579" t="n"/>
      <c r="C11" s="374">
        <f>IFERROR(INDEX($AZ$10#,ROW()-10+1,1),"")</f>
        <v/>
      </c>
      <c r="D11" s="375">
        <f>IFERROR(INDEX($AZ$10#,ROW()-10+1,2),"")</f>
        <v/>
      </c>
      <c r="E11" s="579" t="n"/>
      <c r="F11" s="374">
        <f>IFERROR(INDEX($AZ$10#,ROW()-10+1,3),"")</f>
        <v/>
      </c>
      <c r="G11" s="375">
        <f>IFERROR(INDEX($AZ$10#,ROW()-10+1,6),"")</f>
        <v/>
      </c>
      <c r="H11" s="398" t="inlineStr"/>
    </row>
    <row r="12">
      <c r="A12" s="373">
        <f>A$10</f>
        <v/>
      </c>
      <c r="B12" s="579" t="n"/>
      <c r="C12" s="374">
        <f>IFERROR(INDEX($AZ$10#,ROW()-10+1,1),"")</f>
        <v/>
      </c>
      <c r="D12" s="375">
        <f>IFERROR(INDEX($AZ$10#,ROW()-10+1,2),"")</f>
        <v/>
      </c>
      <c r="E12" s="579" t="n"/>
      <c r="F12" s="374">
        <f>IFERROR(INDEX($AZ$10#,ROW()-10+1,3),"")</f>
        <v/>
      </c>
      <c r="G12" s="375">
        <f>IFERROR(INDEX($AZ$10#,ROW()-10+1,6),"")</f>
        <v/>
      </c>
      <c r="H12" s="398" t="inlineStr"/>
    </row>
    <row r="13" ht="15.75" customHeight="1" thickBot="1">
      <c r="A13" s="376">
        <f>A$10</f>
        <v/>
      </c>
      <c r="B13" s="580" t="n"/>
      <c r="C13" s="377">
        <f>IFERROR(INDEX($AZ$10#,ROW()-10+1,1),"")</f>
        <v/>
      </c>
      <c r="D13" s="378">
        <f>IFERROR(INDEX($AZ$10#,ROW()-10+1,2),"")</f>
        <v/>
      </c>
      <c r="E13" s="580" t="n"/>
      <c r="F13" s="377">
        <f>IFERROR(INDEX($AZ$10#,ROW()-10+1,3),"")</f>
        <v/>
      </c>
      <c r="G13" s="378">
        <f>IFERROR(INDEX($AZ$10#,ROW()-10+1,6),"")</f>
        <v/>
      </c>
      <c r="H13" s="399" t="inlineStr"/>
    </row>
    <row r="14" ht="15.75" customHeight="1" thickBot="1">
      <c r="A14" s="151" t="inlineStr">
        <is>
          <t>P/N</t>
        </is>
      </c>
      <c r="B14" s="152" t="inlineStr">
        <is>
          <t>Artikel</t>
        </is>
      </c>
      <c r="C14" s="152" t="inlineStr">
        <is>
          <t>Lotnr.</t>
        </is>
      </c>
      <c r="D14" s="153" t="inlineStr">
        <is>
          <t>Utgångsdatum</t>
        </is>
      </c>
      <c r="E14" s="152" t="inlineStr">
        <is>
          <t>Förvaringsplats</t>
        </is>
      </c>
      <c r="F14" s="152" t="inlineStr">
        <is>
          <t>Antal i lager</t>
        </is>
      </c>
      <c r="G14" s="154" t="inlineStr">
        <is>
          <t>Senast inventering</t>
        </is>
      </c>
      <c r="H14" s="155" t="inlineStr">
        <is>
          <t>SIGN</t>
        </is>
      </c>
    </row>
    <row r="15">
      <c r="A15" s="357" t="inlineStr">
        <is>
          <t>525-00097</t>
        </is>
      </c>
      <c r="B15" s="358" t="inlineStr">
        <is>
          <t>FluA Low control ALQT</t>
        </is>
      </c>
      <c r="C15" s="358">
        <f>IFERROR(INDEX($AZ$15#,ROW()-15+1,1),"")</f>
        <v/>
      </c>
      <c r="D15" s="359">
        <f>IFERROR(INDEX($AZ$15#,ROW()-15+1,2),"")</f>
        <v/>
      </c>
      <c r="E15" s="358">
        <f>IFERROR(INDEX($AZ$15#,ROW()-15+1,5),"")</f>
        <v/>
      </c>
      <c r="F15" s="358">
        <f>IFERROR(INDEX($AZ$15#,ROW()-15+1,3),"")</f>
        <v/>
      </c>
      <c r="G15" s="359">
        <f>IFERROR(INDEX($AZ$15#,ROW()-15+1,6),"")</f>
        <v/>
      </c>
      <c r="H15" s="397" t="inlineStr"/>
      <c r="AZ15">
        <f>LET(pn,$A$15,f,FILTER(tblLots[[LotNumber]:[LatestInventory]],(tblLots[PN]=pn)*(tblLots[IsActive]=TRUE),""),s,IFERROR(SORTBY(f,INDEX(f,,2),1,INDEX(f,,6),-1),""),IFERROR(INDEX(s,SEQUENCE(4),SEQUENCE(,6)),""))</f>
        <v/>
      </c>
    </row>
    <row r="16">
      <c r="A16" s="373">
        <f>A$15</f>
        <v/>
      </c>
      <c r="B16" s="579" t="n"/>
      <c r="C16" s="374">
        <f>IFERROR(INDEX($AZ$15#,ROW()-15+1,1),"")</f>
        <v/>
      </c>
      <c r="D16" s="375">
        <f>IFERROR(INDEX($AZ$15#,ROW()-15+1,2),"")</f>
        <v/>
      </c>
      <c r="E16" s="579" t="n"/>
      <c r="F16" s="374">
        <f>IFERROR(INDEX($AZ$15#,ROW()-15+1,3),"")</f>
        <v/>
      </c>
      <c r="G16" s="375">
        <f>IFERROR(INDEX($AZ$15#,ROW()-15+1,6),"")</f>
        <v/>
      </c>
      <c r="H16" s="398" t="inlineStr"/>
    </row>
    <row r="17">
      <c r="A17" s="373">
        <f>A$15</f>
        <v/>
      </c>
      <c r="B17" s="579" t="n"/>
      <c r="C17" s="374">
        <f>IFERROR(INDEX($AZ$15#,ROW()-15+1,1),"")</f>
        <v/>
      </c>
      <c r="D17" s="375">
        <f>IFERROR(INDEX($AZ$15#,ROW()-15+1,2),"")</f>
        <v/>
      </c>
      <c r="E17" s="579" t="n"/>
      <c r="F17" s="374">
        <f>IFERROR(INDEX($AZ$15#,ROW()-15+1,3),"")</f>
        <v/>
      </c>
      <c r="G17" s="375">
        <f>IFERROR(INDEX($AZ$15#,ROW()-15+1,6),"")</f>
        <v/>
      </c>
      <c r="H17" s="398" t="inlineStr"/>
    </row>
    <row r="18" ht="15.75" customHeight="1" thickBot="1">
      <c r="A18" s="376">
        <f>A$15</f>
        <v/>
      </c>
      <c r="B18" s="580" t="n"/>
      <c r="C18" s="377">
        <f>IFERROR(INDEX($AZ$15#,ROW()-15+1,1),"")</f>
        <v/>
      </c>
      <c r="D18" s="378">
        <f>IFERROR(INDEX($AZ$15#,ROW()-15+1,2),"")</f>
        <v/>
      </c>
      <c r="E18" s="580" t="n"/>
      <c r="F18" s="377">
        <f>IFERROR(INDEX($AZ$15#,ROW()-15+1,3),"")</f>
        <v/>
      </c>
      <c r="G18" s="378">
        <f>IFERROR(INDEX($AZ$15#,ROW()-15+1,6),"")</f>
        <v/>
      </c>
      <c r="H18" s="399" t="inlineStr"/>
    </row>
    <row r="19" ht="15.75" customHeight="1" thickBot="1">
      <c r="A19" s="151" t="inlineStr">
        <is>
          <t>P/N</t>
        </is>
      </c>
      <c r="B19" s="152" t="inlineStr">
        <is>
          <t>Artikel</t>
        </is>
      </c>
      <c r="C19" s="152" t="inlineStr">
        <is>
          <t>Lotnr.</t>
        </is>
      </c>
      <c r="D19" s="153" t="inlineStr">
        <is>
          <t>Utgångsdatum</t>
        </is>
      </c>
      <c r="E19" s="152" t="inlineStr">
        <is>
          <t>Förvaringsplats</t>
        </is>
      </c>
      <c r="F19" s="152" t="inlineStr">
        <is>
          <t>Antal i lager</t>
        </is>
      </c>
      <c r="G19" s="154" t="inlineStr">
        <is>
          <t>Senast inventering</t>
        </is>
      </c>
      <c r="H19" s="155" t="inlineStr">
        <is>
          <t>SIGN</t>
        </is>
      </c>
    </row>
    <row r="20">
      <c r="A20" s="357" t="inlineStr">
        <is>
          <t>525-00098</t>
        </is>
      </c>
      <c r="B20" s="358" t="inlineStr">
        <is>
          <t>FluB High control ALQT</t>
        </is>
      </c>
      <c r="C20" s="358">
        <f>IFERROR(INDEX($AZ$20#,ROW()-20+1,1),"")</f>
        <v/>
      </c>
      <c r="D20" s="359">
        <f>IFERROR(INDEX($AZ$20#,ROW()-20+1,2),"")</f>
        <v/>
      </c>
      <c r="E20" s="358">
        <f>IFERROR(INDEX($AZ$20#,ROW()-20+1,5),"")</f>
        <v/>
      </c>
      <c r="F20" s="358">
        <f>IFERROR(INDEX($AZ$20#,ROW()-20+1,3),"")</f>
        <v/>
      </c>
      <c r="G20" s="359">
        <f>IFERROR(INDEX($AZ$20#,ROW()-20+1,6),"")</f>
        <v/>
      </c>
      <c r="H20" s="397" t="inlineStr"/>
      <c r="AZ20">
        <f>LET(pn,$A$20,f,FILTER(tblLots[[LotNumber]:[LatestInventory]],(tblLots[PN]=pn)*(tblLots[IsActive]=TRUE),""),s,IFERROR(SORTBY(f,INDEX(f,,2),1,INDEX(f,,6),-1),""),IFERROR(INDEX(s,SEQUENCE(4),SEQUENCE(,6)),""))</f>
        <v/>
      </c>
    </row>
    <row r="21">
      <c r="A21" s="373">
        <f>A$20</f>
        <v/>
      </c>
      <c r="B21" s="579" t="n"/>
      <c r="C21" s="374">
        <f>IFERROR(INDEX($AZ$20#,ROW()-20+1,1),"")</f>
        <v/>
      </c>
      <c r="D21" s="375">
        <f>IFERROR(INDEX($AZ$20#,ROW()-20+1,2),"")</f>
        <v/>
      </c>
      <c r="E21" s="579" t="n"/>
      <c r="F21" s="374">
        <f>IFERROR(INDEX($AZ$20#,ROW()-20+1,3),"")</f>
        <v/>
      </c>
      <c r="G21" s="375">
        <f>IFERROR(INDEX($AZ$20#,ROW()-20+1,6),"")</f>
        <v/>
      </c>
      <c r="H21" s="398" t="inlineStr"/>
    </row>
    <row r="22">
      <c r="A22" s="373">
        <f>A$20</f>
        <v/>
      </c>
      <c r="B22" s="579" t="n"/>
      <c r="C22" s="374">
        <f>IFERROR(INDEX($AZ$20#,ROW()-20+1,1),"")</f>
        <v/>
      </c>
      <c r="D22" s="375">
        <f>IFERROR(INDEX($AZ$20#,ROW()-20+1,2),"")</f>
        <v/>
      </c>
      <c r="E22" s="579" t="n"/>
      <c r="F22" s="374">
        <f>IFERROR(INDEX($AZ$20#,ROW()-20+1,3),"")</f>
        <v/>
      </c>
      <c r="G22" s="375">
        <f>IFERROR(INDEX($AZ$20#,ROW()-20+1,6),"")</f>
        <v/>
      </c>
      <c r="H22" s="398" t="inlineStr"/>
    </row>
    <row r="23" ht="15.75" customHeight="1" thickBot="1">
      <c r="A23" s="376">
        <f>A$20</f>
        <v/>
      </c>
      <c r="B23" s="580" t="n"/>
      <c r="C23" s="377">
        <f>IFERROR(INDEX($AZ$20#,ROW()-20+1,1),"")</f>
        <v/>
      </c>
      <c r="D23" s="378">
        <f>IFERROR(INDEX($AZ$20#,ROW()-20+1,2),"")</f>
        <v/>
      </c>
      <c r="E23" s="580" t="n"/>
      <c r="F23" s="377">
        <f>IFERROR(INDEX($AZ$20#,ROW()-20+1,3),"")</f>
        <v/>
      </c>
      <c r="G23" s="378">
        <f>IFERROR(INDEX($AZ$20#,ROW()-20+1,6),"")</f>
        <v/>
      </c>
      <c r="H23" s="399" t="inlineStr"/>
    </row>
    <row r="24" ht="15.75" customHeight="1" thickBot="1">
      <c r="A24" s="151" t="inlineStr">
        <is>
          <t>P/N</t>
        </is>
      </c>
      <c r="B24" s="152" t="inlineStr">
        <is>
          <t>Artikel</t>
        </is>
      </c>
      <c r="C24" s="152" t="inlineStr">
        <is>
          <t>Lotnr.</t>
        </is>
      </c>
      <c r="D24" s="153" t="inlineStr">
        <is>
          <t>Utgångsdatum</t>
        </is>
      </c>
      <c r="E24" s="152" t="inlineStr">
        <is>
          <t>Förvaringsplats</t>
        </is>
      </c>
      <c r="F24" s="152" t="inlineStr">
        <is>
          <t>Antal i lager</t>
        </is>
      </c>
      <c r="G24" s="154" t="inlineStr">
        <is>
          <t>Senast inventering</t>
        </is>
      </c>
      <c r="H24" s="155" t="inlineStr">
        <is>
          <t>SIGN</t>
        </is>
      </c>
    </row>
    <row r="25">
      <c r="A25" s="357" t="inlineStr">
        <is>
          <t>525-00099</t>
        </is>
      </c>
      <c r="B25" s="358" t="inlineStr">
        <is>
          <t>FluB Low control ALQT</t>
        </is>
      </c>
      <c r="C25" s="358">
        <f>IFERROR(INDEX($AZ$25#,ROW()-25+1,1),"")</f>
        <v/>
      </c>
      <c r="D25" s="359">
        <f>IFERROR(INDEX($AZ$25#,ROW()-25+1,2),"")</f>
        <v/>
      </c>
      <c r="E25" s="358">
        <f>IFERROR(INDEX($AZ$25#,ROW()-25+1,5),"")</f>
        <v/>
      </c>
      <c r="F25" s="358">
        <f>IFERROR(INDEX($AZ$25#,ROW()-25+1,3),"")</f>
        <v/>
      </c>
      <c r="G25" s="359">
        <f>IFERROR(INDEX($AZ$25#,ROW()-25+1,6),"")</f>
        <v/>
      </c>
      <c r="H25" s="397" t="inlineStr"/>
      <c r="AZ25">
        <f>LET(pn,$A$25,f,FILTER(tblLots[[LotNumber]:[LatestInventory]],(tblLots[PN]=pn)*(tblLots[IsActive]=TRUE),""),s,IFERROR(SORTBY(f,INDEX(f,,2),1,INDEX(f,,6),-1),""),IFERROR(INDEX(s,SEQUENCE(4),SEQUENCE(,6)),""))</f>
        <v/>
      </c>
    </row>
    <row r="26">
      <c r="A26" s="373">
        <f>A$25</f>
        <v/>
      </c>
      <c r="B26" s="579" t="n"/>
      <c r="C26" s="374">
        <f>IFERROR(INDEX($AZ$25#,ROW()-25+1,1),"")</f>
        <v/>
      </c>
      <c r="D26" s="375">
        <f>IFERROR(INDEX($AZ$25#,ROW()-25+1,2),"")</f>
        <v/>
      </c>
      <c r="E26" s="579" t="n"/>
      <c r="F26" s="374">
        <f>IFERROR(INDEX($AZ$25#,ROW()-25+1,3),"")</f>
        <v/>
      </c>
      <c r="G26" s="375">
        <f>IFERROR(INDEX($AZ$25#,ROW()-25+1,6),"")</f>
        <v/>
      </c>
      <c r="H26" s="398" t="inlineStr"/>
    </row>
    <row r="27">
      <c r="A27" s="373">
        <f>A$25</f>
        <v/>
      </c>
      <c r="B27" s="579" t="n"/>
      <c r="C27" s="374">
        <f>IFERROR(INDEX($AZ$25#,ROW()-25+1,1),"")</f>
        <v/>
      </c>
      <c r="D27" s="375">
        <f>IFERROR(INDEX($AZ$25#,ROW()-25+1,2),"")</f>
        <v/>
      </c>
      <c r="E27" s="579" t="n"/>
      <c r="F27" s="374">
        <f>IFERROR(INDEX($AZ$25#,ROW()-25+1,3),"")</f>
        <v/>
      </c>
      <c r="G27" s="375">
        <f>IFERROR(INDEX($AZ$25#,ROW()-25+1,6),"")</f>
        <v/>
      </c>
      <c r="H27" s="398" t="inlineStr"/>
    </row>
    <row r="28" ht="15.75" customHeight="1" thickBot="1">
      <c r="A28" s="376">
        <f>A$25</f>
        <v/>
      </c>
      <c r="B28" s="580" t="n"/>
      <c r="C28" s="377">
        <f>IFERROR(INDEX($AZ$25#,ROW()-25+1,1),"")</f>
        <v/>
      </c>
      <c r="D28" s="378">
        <f>IFERROR(INDEX($AZ$25#,ROW()-25+1,2),"")</f>
        <v/>
      </c>
      <c r="E28" s="580" t="n"/>
      <c r="F28" s="377">
        <f>IFERROR(INDEX($AZ$25#,ROW()-25+1,3),"")</f>
        <v/>
      </c>
      <c r="G28" s="378">
        <f>IFERROR(INDEX($AZ$25#,ROW()-25+1,6),"")</f>
        <v/>
      </c>
      <c r="H28" s="399" t="inlineStr"/>
    </row>
    <row r="29" ht="15.75" customHeight="1" thickBot="1">
      <c r="A29" s="151" t="inlineStr">
        <is>
          <t>P/N</t>
        </is>
      </c>
      <c r="B29" s="152" t="inlineStr">
        <is>
          <t>Artikel</t>
        </is>
      </c>
      <c r="C29" s="152" t="inlineStr">
        <is>
          <t>Lotnr.</t>
        </is>
      </c>
      <c r="D29" s="153" t="inlineStr">
        <is>
          <t>Utgångsdatum</t>
        </is>
      </c>
      <c r="E29" s="152" t="inlineStr">
        <is>
          <t>Förvaringsplats</t>
        </is>
      </c>
      <c r="F29" s="152" t="inlineStr">
        <is>
          <t>Antal i lager</t>
        </is>
      </c>
      <c r="G29" s="154" t="inlineStr">
        <is>
          <t>Senast inventering</t>
        </is>
      </c>
      <c r="H29" s="155" t="inlineStr">
        <is>
          <t>SIGN</t>
        </is>
      </c>
    </row>
    <row r="30">
      <c r="A30" s="357" t="inlineStr">
        <is>
          <t>525-00101</t>
        </is>
      </c>
      <c r="B30" s="358" t="inlineStr">
        <is>
          <t>RSVB High control ALQT</t>
        </is>
      </c>
      <c r="C30" s="358">
        <f>IFERROR(INDEX($AZ$30#,ROW()-30+1,1),"")</f>
        <v/>
      </c>
      <c r="D30" s="359">
        <f>IFERROR(INDEX($AZ$30#,ROW()-30+1,2),"")</f>
        <v/>
      </c>
      <c r="E30" s="358">
        <f>IFERROR(INDEX($AZ$30#,ROW()-30+1,5),"")</f>
        <v/>
      </c>
      <c r="F30" s="358">
        <f>IFERROR(INDEX($AZ$30#,ROW()-30+1,3),"")</f>
        <v/>
      </c>
      <c r="G30" s="359">
        <f>IFERROR(INDEX($AZ$30#,ROW()-30+1,6),"")</f>
        <v/>
      </c>
      <c r="H30" s="397" t="inlineStr"/>
      <c r="AZ30">
        <f>LET(pn,$A$30,f,FILTER(tblLots[[LotNumber]:[LatestInventory]],(tblLots[PN]=pn)*(tblLots[IsActive]=TRUE),""),s,IFERROR(SORTBY(f,INDEX(f,,2),1,INDEX(f,,6),-1),""),IFERROR(INDEX(s,SEQUENCE(4),SEQUENCE(,6)),""))</f>
        <v/>
      </c>
    </row>
    <row r="31">
      <c r="A31" s="373">
        <f>A$30</f>
        <v/>
      </c>
      <c r="B31" s="579" t="n"/>
      <c r="C31" s="374">
        <f>IFERROR(INDEX($AZ$30#,ROW()-30+1,1),"")</f>
        <v/>
      </c>
      <c r="D31" s="375">
        <f>IFERROR(INDEX($AZ$30#,ROW()-30+1,2),"")</f>
        <v/>
      </c>
      <c r="E31" s="579" t="n"/>
      <c r="F31" s="374">
        <f>IFERROR(INDEX($AZ$30#,ROW()-30+1,3),"")</f>
        <v/>
      </c>
      <c r="G31" s="375">
        <f>IFERROR(INDEX($AZ$30#,ROW()-30+1,6),"")</f>
        <v/>
      </c>
      <c r="H31" s="398" t="inlineStr"/>
    </row>
    <row r="32">
      <c r="A32" s="373">
        <f>A$30</f>
        <v/>
      </c>
      <c r="B32" s="579" t="n"/>
      <c r="C32" s="374">
        <f>IFERROR(INDEX($AZ$30#,ROW()-30+1,1),"")</f>
        <v/>
      </c>
      <c r="D32" s="375">
        <f>IFERROR(INDEX($AZ$30#,ROW()-30+1,2),"")</f>
        <v/>
      </c>
      <c r="E32" s="579" t="n"/>
      <c r="F32" s="374">
        <f>IFERROR(INDEX($AZ$30#,ROW()-30+1,3),"")</f>
        <v/>
      </c>
      <c r="G32" s="375">
        <f>IFERROR(INDEX($AZ$30#,ROW()-30+1,6),"")</f>
        <v/>
      </c>
      <c r="H32" s="398" t="inlineStr"/>
    </row>
    <row r="33" ht="15.75" customHeight="1" thickBot="1">
      <c r="A33" s="376">
        <f>A$30</f>
        <v/>
      </c>
      <c r="B33" s="580" t="n"/>
      <c r="C33" s="377">
        <f>IFERROR(INDEX($AZ$30#,ROW()-30+1,1),"")</f>
        <v/>
      </c>
      <c r="D33" s="378">
        <f>IFERROR(INDEX($AZ$30#,ROW()-30+1,2),"")</f>
        <v/>
      </c>
      <c r="E33" s="580" t="n"/>
      <c r="F33" s="377">
        <f>IFERROR(INDEX($AZ$30#,ROW()-30+1,3),"")</f>
        <v/>
      </c>
      <c r="G33" s="378">
        <f>IFERROR(INDEX($AZ$30#,ROW()-30+1,6),"")</f>
        <v/>
      </c>
      <c r="H33" s="399" t="inlineStr"/>
    </row>
    <row r="34" ht="15.75" customHeight="1" thickBot="1">
      <c r="A34" s="151" t="inlineStr">
        <is>
          <t>P/N</t>
        </is>
      </c>
      <c r="B34" s="152" t="inlineStr">
        <is>
          <t>Artikel</t>
        </is>
      </c>
      <c r="C34" s="152" t="inlineStr">
        <is>
          <t>Lotnr.</t>
        </is>
      </c>
      <c r="D34" s="153" t="inlineStr">
        <is>
          <t>Utgångsdatum</t>
        </is>
      </c>
      <c r="E34" s="152" t="inlineStr">
        <is>
          <t>Förvaringsplats</t>
        </is>
      </c>
      <c r="F34" s="152" t="inlineStr">
        <is>
          <t>Antal i lager</t>
        </is>
      </c>
      <c r="G34" s="154" t="inlineStr">
        <is>
          <t>Senast inventering</t>
        </is>
      </c>
      <c r="H34" s="155" t="inlineStr">
        <is>
          <t>SIGN</t>
        </is>
      </c>
    </row>
    <row r="35">
      <c r="A35" s="357" t="inlineStr">
        <is>
          <t>325-00074</t>
        </is>
      </c>
      <c r="B35" s="358" t="inlineStr">
        <is>
          <t>RSVB Low control ALQT</t>
        </is>
      </c>
      <c r="C35" s="358">
        <f>IFERROR(INDEX($AZ$35#,ROW()-35+1,1),"")</f>
        <v/>
      </c>
      <c r="D35" s="359">
        <f>IFERROR(INDEX($AZ$35#,ROW()-35+1,2),"")</f>
        <v/>
      </c>
      <c r="E35" s="358">
        <f>IFERROR(INDEX($AZ$35#,ROW()-35+1,5),"")</f>
        <v/>
      </c>
      <c r="F35" s="358">
        <f>IFERROR(INDEX($AZ$35#,ROW()-35+1,3),"")</f>
        <v/>
      </c>
      <c r="G35" s="359">
        <f>IFERROR(INDEX($AZ$35#,ROW()-35+1,6),"")</f>
        <v/>
      </c>
      <c r="H35" s="397" t="inlineStr"/>
      <c r="AZ35">
        <f>LET(pn,$A$35,f,FILTER(tblLots[[LotNumber]:[LatestInventory]],(tblLots[PN]=pn)*(tblLots[IsActive]=TRUE),""),s,IFERROR(SORTBY(f,INDEX(f,,2),1,INDEX(f,,6),-1),""),IFERROR(INDEX(s,SEQUENCE(4),SEQUENCE(,6)),""))</f>
        <v/>
      </c>
    </row>
    <row r="36">
      <c r="A36" s="373">
        <f>A$35</f>
        <v/>
      </c>
      <c r="B36" s="579" t="n"/>
      <c r="C36" s="374">
        <f>IFERROR(INDEX($AZ$35#,ROW()-35+1,1),"")</f>
        <v/>
      </c>
      <c r="D36" s="375">
        <f>IFERROR(INDEX($AZ$35#,ROW()-35+1,2),"")</f>
        <v/>
      </c>
      <c r="E36" s="579" t="n"/>
      <c r="F36" s="374">
        <f>IFERROR(INDEX($AZ$35#,ROW()-35+1,3),"")</f>
        <v/>
      </c>
      <c r="G36" s="375">
        <f>IFERROR(INDEX($AZ$35#,ROW()-35+1,6),"")</f>
        <v/>
      </c>
      <c r="H36" s="398" t="inlineStr"/>
    </row>
    <row r="37">
      <c r="A37" s="373">
        <f>A$35</f>
        <v/>
      </c>
      <c r="B37" s="579" t="n"/>
      <c r="C37" s="374">
        <f>IFERROR(INDEX($AZ$35#,ROW()-35+1,1),"")</f>
        <v/>
      </c>
      <c r="D37" s="375">
        <f>IFERROR(INDEX($AZ$35#,ROW()-35+1,2),"")</f>
        <v/>
      </c>
      <c r="E37" s="579" t="n"/>
      <c r="F37" s="374">
        <f>IFERROR(INDEX($AZ$35#,ROW()-35+1,3),"")</f>
        <v/>
      </c>
      <c r="G37" s="375">
        <f>IFERROR(INDEX($AZ$35#,ROW()-35+1,6),"")</f>
        <v/>
      </c>
      <c r="H37" s="398" t="inlineStr"/>
    </row>
    <row r="38" ht="15.75" customHeight="1" thickBot="1">
      <c r="A38" s="376">
        <f>A$35</f>
        <v/>
      </c>
      <c r="B38" s="580" t="n"/>
      <c r="C38" s="377">
        <f>IFERROR(INDEX($AZ$35#,ROW()-35+1,1),"")</f>
        <v/>
      </c>
      <c r="D38" s="378">
        <f>IFERROR(INDEX($AZ$35#,ROW()-35+1,2),"")</f>
        <v/>
      </c>
      <c r="E38" s="580" t="n"/>
      <c r="F38" s="377">
        <f>IFERROR(INDEX($AZ$35#,ROW()-35+1,3),"")</f>
        <v/>
      </c>
      <c r="G38" s="378">
        <f>IFERROR(INDEX($AZ$35#,ROW()-35+1,6),"")</f>
        <v/>
      </c>
      <c r="H38" s="399" t="inlineStr"/>
    </row>
    <row r="39" ht="15.75" customHeight="1" thickBot="1">
      <c r="A39" s="156" t="inlineStr">
        <is>
          <t>P/N</t>
        </is>
      </c>
      <c r="B39" s="157" t="inlineStr">
        <is>
          <t>Artikel</t>
        </is>
      </c>
      <c r="C39" s="157" t="inlineStr">
        <is>
          <t>Lotnr.</t>
        </is>
      </c>
      <c r="D39" s="158" t="inlineStr">
        <is>
          <t>Utgångsdatum</t>
        </is>
      </c>
      <c r="E39" s="157" t="inlineStr">
        <is>
          <t>Förvaringsplats</t>
        </is>
      </c>
      <c r="F39" s="157" t="inlineStr">
        <is>
          <t>Antal i lager</t>
        </is>
      </c>
      <c r="G39" s="159" t="inlineStr">
        <is>
          <t>Senast inventering</t>
        </is>
      </c>
      <c r="H39" s="160" t="inlineStr">
        <is>
          <t>SIGN</t>
        </is>
      </c>
    </row>
    <row r="40">
      <c r="A40" s="357" t="inlineStr">
        <is>
          <t>525-00102</t>
        </is>
      </c>
      <c r="B40" s="358" t="inlineStr">
        <is>
          <t>RSVB Low control ALQT</t>
        </is>
      </c>
      <c r="C40" s="358">
        <f>IFERROR(INDEX($AZ$40#,ROW()-40+1,1),"")</f>
        <v/>
      </c>
      <c r="D40" s="359">
        <f>IFERROR(INDEX($AZ$40#,ROW()-40+1,2),"")</f>
        <v/>
      </c>
      <c r="E40" s="358">
        <f>IFERROR(INDEX($AZ$40#,ROW()-40+1,5),"")</f>
        <v/>
      </c>
      <c r="F40" s="358">
        <f>IFERROR(INDEX($AZ$40#,ROW()-40+1,3),"")</f>
        <v/>
      </c>
      <c r="G40" s="359">
        <f>IFERROR(INDEX($AZ$40#,ROW()-40+1,6),"")</f>
        <v/>
      </c>
      <c r="H40" s="397" t="inlineStr"/>
      <c r="AZ40">
        <f>LET(pn,$A$40,f,FILTER(tblLots[[LotNumber]:[LatestInventory]],(tblLots[PN]=pn)*(tblLots[IsActive]=TRUE),""),s,IFERROR(SORTBY(f,INDEX(f,,2),1,INDEX(f,,6),-1),""),IFERROR(INDEX(s,SEQUENCE(4),SEQUENCE(,6)),""))</f>
        <v/>
      </c>
    </row>
    <row r="41">
      <c r="A41" s="373">
        <f>A$40</f>
        <v/>
      </c>
      <c r="B41" s="579" t="n"/>
      <c r="C41" s="374">
        <f>IFERROR(INDEX($AZ$40#,ROW()-40+1,1),"")</f>
        <v/>
      </c>
      <c r="D41" s="375">
        <f>IFERROR(INDEX($AZ$40#,ROW()-40+1,2),"")</f>
        <v/>
      </c>
      <c r="E41" s="579" t="n"/>
      <c r="F41" s="374">
        <f>IFERROR(INDEX($AZ$40#,ROW()-40+1,3),"")</f>
        <v/>
      </c>
      <c r="G41" s="375">
        <f>IFERROR(INDEX($AZ$40#,ROW()-40+1,6),"")</f>
        <v/>
      </c>
      <c r="H41" s="398" t="inlineStr"/>
    </row>
    <row r="42">
      <c r="A42" s="373">
        <f>A$40</f>
        <v/>
      </c>
      <c r="B42" s="579" t="n"/>
      <c r="C42" s="374">
        <f>IFERROR(INDEX($AZ$40#,ROW()-40+1,1),"")</f>
        <v/>
      </c>
      <c r="D42" s="375">
        <f>IFERROR(INDEX($AZ$40#,ROW()-40+1,2),"")</f>
        <v/>
      </c>
      <c r="E42" s="579" t="n"/>
      <c r="F42" s="374">
        <f>IFERROR(INDEX($AZ$40#,ROW()-40+1,3),"")</f>
        <v/>
      </c>
      <c r="G42" s="375">
        <f>IFERROR(INDEX($AZ$40#,ROW()-40+1,6),"")</f>
        <v/>
      </c>
      <c r="H42" s="398" t="inlineStr"/>
    </row>
    <row r="43" ht="15.75" customHeight="1" thickBot="1">
      <c r="A43" s="376">
        <f>A$40</f>
        <v/>
      </c>
      <c r="B43" s="580" t="n"/>
      <c r="C43" s="377">
        <f>IFERROR(INDEX($AZ$40#,ROW()-40+1,1),"")</f>
        <v/>
      </c>
      <c r="D43" s="378">
        <f>IFERROR(INDEX($AZ$40#,ROW()-40+1,2),"")</f>
        <v/>
      </c>
      <c r="E43" s="580" t="n"/>
      <c r="F43" s="377">
        <f>IFERROR(INDEX($AZ$40#,ROW()-40+1,3),"")</f>
        <v/>
      </c>
      <c r="G43" s="378">
        <f>IFERROR(INDEX($AZ$40#,ROW()-40+1,6),"")</f>
        <v/>
      </c>
      <c r="H43" s="399" t="inlineStr"/>
    </row>
    <row r="44" ht="15.75" customHeight="1" thickBot="1">
      <c r="A44" s="156" t="inlineStr">
        <is>
          <t>P/N</t>
        </is>
      </c>
      <c r="B44" s="157" t="inlineStr">
        <is>
          <t>Artikel</t>
        </is>
      </c>
      <c r="C44" s="157" t="inlineStr">
        <is>
          <t>Lotnr.</t>
        </is>
      </c>
      <c r="D44" s="158" t="inlineStr">
        <is>
          <t>Utgångsdatum</t>
        </is>
      </c>
      <c r="E44" s="157" t="inlineStr">
        <is>
          <t>Förvaringsplats</t>
        </is>
      </c>
      <c r="F44" s="157" t="inlineStr">
        <is>
          <t>Antal i lager</t>
        </is>
      </c>
      <c r="G44" s="159" t="inlineStr">
        <is>
          <t>Senast inventering</t>
        </is>
      </c>
      <c r="H44" s="160" t="inlineStr">
        <is>
          <t>SIGN</t>
        </is>
      </c>
    </row>
    <row r="45">
      <c r="A45" s="357" t="inlineStr">
        <is>
          <t>325-00075</t>
        </is>
      </c>
      <c r="B45" s="459" t="inlineStr">
        <is>
          <t>RSVB Low control ALQT</t>
        </is>
      </c>
      <c r="C45" s="358">
        <f>IFERROR(INDEX($AZ$45#,ROW()-45+1,1),"")</f>
        <v/>
      </c>
      <c r="D45" s="359">
        <f>IFERROR(INDEX($AZ$45#,ROW()-45+1,2),"")</f>
        <v/>
      </c>
      <c r="E45" s="358">
        <f>IFERROR(INDEX($AZ$45#,ROW()-45+1,5),"")</f>
        <v/>
      </c>
      <c r="F45" s="358">
        <f>IFERROR(INDEX($AZ$45#,ROW()-45+1,3),"")</f>
        <v/>
      </c>
      <c r="G45" s="359">
        <f>IFERROR(INDEX($AZ$45#,ROW()-45+1,6),"")</f>
        <v/>
      </c>
      <c r="H45" s="397" t="inlineStr"/>
      <c r="AZ45">
        <f>LET(pn,$A$45,f,FILTER(tblLots[[LotNumber]:[LatestInventory]],(tblLots[PN]=pn)*(tblLots[IsActive]=TRUE),""),s,IFERROR(SORTBY(f,INDEX(f,,2),1,INDEX(f,,6),-1),""),IFERROR(INDEX(s,SEQUENCE(4),SEQUENCE(,6)),""))</f>
        <v/>
      </c>
    </row>
    <row r="46">
      <c r="A46" s="373">
        <f>A$45</f>
        <v/>
      </c>
      <c r="B46" s="579" t="n"/>
      <c r="C46" s="374">
        <f>IFERROR(INDEX($AZ$45#,ROW()-45+1,1),"")</f>
        <v/>
      </c>
      <c r="D46" s="375">
        <f>IFERROR(INDEX($AZ$45#,ROW()-45+1,2),"")</f>
        <v/>
      </c>
      <c r="E46" s="579" t="n"/>
      <c r="F46" s="374">
        <f>IFERROR(INDEX($AZ$45#,ROW()-45+1,3),"")</f>
        <v/>
      </c>
      <c r="G46" s="375">
        <f>IFERROR(INDEX($AZ$45#,ROW()-45+1,6),"")</f>
        <v/>
      </c>
      <c r="H46" s="398" t="inlineStr"/>
    </row>
    <row r="47">
      <c r="A47" s="373">
        <f>A$45</f>
        <v/>
      </c>
      <c r="B47" s="579" t="n"/>
      <c r="C47" s="374">
        <f>IFERROR(INDEX($AZ$45#,ROW()-45+1,1),"")</f>
        <v/>
      </c>
      <c r="D47" s="375">
        <f>IFERROR(INDEX($AZ$45#,ROW()-45+1,2),"")</f>
        <v/>
      </c>
      <c r="E47" s="579" t="n"/>
      <c r="F47" s="374">
        <f>IFERROR(INDEX($AZ$45#,ROW()-45+1,3),"")</f>
        <v/>
      </c>
      <c r="G47" s="375">
        <f>IFERROR(INDEX($AZ$45#,ROW()-45+1,6),"")</f>
        <v/>
      </c>
      <c r="H47" s="398" t="inlineStr"/>
    </row>
    <row r="48" ht="15.75" customHeight="1" thickBot="1">
      <c r="A48" s="376">
        <f>A$45</f>
        <v/>
      </c>
      <c r="B48" s="580" t="n"/>
      <c r="C48" s="377">
        <f>IFERROR(INDEX($AZ$45#,ROW()-45+1,1),"")</f>
        <v/>
      </c>
      <c r="D48" s="378">
        <f>IFERROR(INDEX($AZ$45#,ROW()-45+1,2),"")</f>
        <v/>
      </c>
      <c r="E48" s="580" t="n"/>
      <c r="F48" s="377">
        <f>IFERROR(INDEX($AZ$45#,ROW()-45+1,3),"")</f>
        <v/>
      </c>
      <c r="G48" s="378">
        <f>IFERROR(INDEX($AZ$45#,ROW()-45+1,6),"")</f>
        <v/>
      </c>
      <c r="H48" s="399" t="inlineStr"/>
    </row>
    <row r="49" ht="15.75" customHeight="1" thickBot="1"/>
    <row r="50" ht="15.75" customHeight="1" thickBot="1">
      <c r="A50" s="109" t="inlineStr">
        <is>
          <t>P/N</t>
        </is>
      </c>
      <c r="B50" s="110" t="inlineStr">
        <is>
          <t>Artikel</t>
        </is>
      </c>
      <c r="C50" s="110" t="inlineStr">
        <is>
          <t>Lotnr.</t>
        </is>
      </c>
      <c r="D50" s="111" t="inlineStr">
        <is>
          <t>Utgångsdatum</t>
        </is>
      </c>
      <c r="E50" s="110" t="inlineStr">
        <is>
          <t>Förvaringsplats</t>
        </is>
      </c>
      <c r="F50" s="110" t="inlineStr">
        <is>
          <t>Antal i lager</t>
        </is>
      </c>
      <c r="G50" s="112" t="inlineStr">
        <is>
          <t>Senast inventering</t>
        </is>
      </c>
      <c r="H50" s="113" t="inlineStr">
        <is>
          <t>SIGN</t>
        </is>
      </c>
    </row>
    <row r="51">
      <c r="A51" s="357" t="inlineStr">
        <is>
          <t>001-1471</t>
        </is>
      </c>
      <c r="B51" s="589" t="inlineStr">
        <is>
          <t>Purified Serum Protein Matrix</t>
        </is>
      </c>
      <c r="C51" s="358">
        <f>IFERROR(INDEX($AZ$51#,ROW()-51+1,1),"")</f>
        <v/>
      </c>
      <c r="D51" s="359">
        <f>IFERROR(INDEX($AZ$51#,ROW()-51+1,2),"")</f>
        <v/>
      </c>
      <c r="E51" s="596">
        <f>IFERROR(INDEX($AZ$51#,ROW()-51+1,5),"")</f>
        <v/>
      </c>
      <c r="F51" s="358">
        <f>IFERROR(INDEX($AZ$51#,ROW()-51+1,3),"")</f>
        <v/>
      </c>
      <c r="G51" s="359">
        <f>IFERROR(INDEX($AZ$51#,ROW()-51+1,6),"")</f>
        <v/>
      </c>
      <c r="H51" s="397" t="inlineStr"/>
      <c r="AZ51">
        <f>LET(pn,$A$51,f,FILTER(tblLots[[LotNumber]:[LatestInventory]],(tblLots[PN]=pn)*(tblLots[IsActive]=TRUE),""),s,IFERROR(SORTBY(f,INDEX(f,,2),1,INDEX(f,,6),-1),""),IFERROR(INDEX(s,SEQUENCE(4),SEQUENCE(,6)),""))</f>
        <v/>
      </c>
    </row>
    <row r="52">
      <c r="A52" s="373">
        <f>A$51</f>
        <v/>
      </c>
      <c r="B52" s="590" t="n"/>
      <c r="C52" s="374">
        <f>IFERROR(INDEX($AZ$51#,ROW()-51+1,1),"")</f>
        <v/>
      </c>
      <c r="D52" s="375">
        <f>IFERROR(INDEX($AZ$51#,ROW()-51+1,2),"")</f>
        <v/>
      </c>
      <c r="E52" s="590" t="n"/>
      <c r="F52" s="374">
        <f>IFERROR(INDEX($AZ$51#,ROW()-51+1,3),"")</f>
        <v/>
      </c>
      <c r="G52" s="375">
        <f>IFERROR(INDEX($AZ$51#,ROW()-51+1,6),"")</f>
        <v/>
      </c>
      <c r="H52" s="398" t="inlineStr"/>
    </row>
    <row r="53">
      <c r="A53" s="373">
        <f>A$51</f>
        <v/>
      </c>
      <c r="B53" s="590" t="n"/>
      <c r="C53" s="374">
        <f>IFERROR(INDEX($AZ$51#,ROW()-51+1,1),"")</f>
        <v/>
      </c>
      <c r="D53" s="375">
        <f>IFERROR(INDEX($AZ$51#,ROW()-51+1,2),"")</f>
        <v/>
      </c>
      <c r="E53" s="590" t="n"/>
      <c r="F53" s="374">
        <f>IFERROR(INDEX($AZ$51#,ROW()-51+1,3),"")</f>
        <v/>
      </c>
      <c r="G53" s="375">
        <f>IFERROR(INDEX($AZ$51#,ROW()-51+1,6),"")</f>
        <v/>
      </c>
      <c r="H53" s="398" t="inlineStr"/>
    </row>
    <row r="54" ht="15.75" customHeight="1" thickBot="1">
      <c r="A54" s="376">
        <f>A$51</f>
        <v/>
      </c>
      <c r="B54" s="591" t="n"/>
      <c r="C54" s="377">
        <f>IFERROR(INDEX($AZ$51#,ROW()-51+1,1),"")</f>
        <v/>
      </c>
      <c r="D54" s="378">
        <f>IFERROR(INDEX($AZ$51#,ROW()-51+1,2),"")</f>
        <v/>
      </c>
      <c r="E54" s="591" t="n"/>
      <c r="F54" s="377">
        <f>IFERROR(INDEX($AZ$51#,ROW()-51+1,3),"")</f>
        <v/>
      </c>
      <c r="G54" s="378">
        <f>IFERROR(INDEX($AZ$51#,ROW()-51+1,6),"")</f>
        <v/>
      </c>
      <c r="H54" s="399" t="inlineStr"/>
    </row>
  </sheetData>
  <sheetProtection selectLockedCells="0" selectUnlockedCells="0" algorithmName="SHA-512" sheet="1" objects="0" insertRows="0" insertHyperlinks="0" autoFilter="0" scenarios="0" formatColumns="0" deleteColumns="0" insertColumns="0" pivotTables="0" deleteRows="0" formatCells="0" saltValue="TN4BRevT5XnicZw13/6h+A==" formatRows="0" sort="0" spinCount="100000" hashValue="Hf4tBYrjyf6vlRHy6zQ3MfDQrqBqwgYqa0fDVUzFyin7WYmgIUMegGrR7hFDGASeFPMsvKglnalPKexOjA89eQ=="/>
  <mergeCells count="21">
    <mergeCell ref="B51:B54"/>
    <mergeCell ref="E35:E38"/>
    <mergeCell ref="E20:E23"/>
    <mergeCell ref="E5:E8"/>
    <mergeCell ref="E10:E13"/>
    <mergeCell ref="E51:E54"/>
    <mergeCell ref="E15:E18"/>
    <mergeCell ref="B10:B13"/>
    <mergeCell ref="E40:E43"/>
    <mergeCell ref="E30:E33"/>
    <mergeCell ref="B40:B43"/>
    <mergeCell ref="A2:H2"/>
    <mergeCell ref="B30:B33"/>
    <mergeCell ref="B15:B18"/>
    <mergeCell ref="E45:E48"/>
    <mergeCell ref="E25:E28"/>
    <mergeCell ref="B5:B8"/>
    <mergeCell ref="B20:B23"/>
    <mergeCell ref="B45:B48"/>
    <mergeCell ref="B25:B28"/>
    <mergeCell ref="B35:B38"/>
  </mergeCells>
  <pageMargins left="0.7" right="0.7" top="0.75" bottom="0.75" header="0.3" footer="0.3"/>
  <pageSetup orientation="portrait" paperSize="9" verticalDpi="0"/>
</worksheet>
</file>

<file path=xl/worksheets/sheet27.xml><?xml version="1.0" encoding="utf-8"?>
<worksheet xmlns="http://schemas.openxmlformats.org/spreadsheetml/2006/main">
  <sheetPr codeName="Sheet23">
    <tabColor theme="5"/>
    <outlinePr summaryBelow="1" summaryRight="1"/>
    <pageSetUpPr/>
  </sheetPr>
  <dimension ref="A1:AZ16"/>
  <sheetViews>
    <sheetView workbookViewId="0">
      <selection activeCell="A1" sqref="A1"/>
    </sheetView>
  </sheetViews>
  <sheetFormatPr baseColWidth="8" defaultRowHeight="15"/>
  <cols>
    <col width="9.7109375" bestFit="1" customWidth="1" min="1" max="1"/>
    <col hidden="1" width="21" bestFit="1" customWidth="1" min="2" max="2"/>
    <col width="13.42578125" customWidth="1" min="3" max="3"/>
    <col width="14" bestFit="1" customWidth="1" min="4" max="4"/>
    <col width="15" bestFit="1" customWidth="1" min="5" max="5"/>
    <col width="11.5703125" bestFit="1" customWidth="1" min="6" max="6"/>
    <col width="17.85546875" bestFit="1" customWidth="1" min="7" max="7"/>
    <col width="7.5703125" customWidth="1" min="8" max="8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15.75" customHeight="1" thickBot="1"/>
    <row r="2" ht="24" customHeight="1" thickBot="1">
      <c r="A2" s="550" t="inlineStr">
        <is>
          <t>MRSA SA</t>
        </is>
      </c>
      <c r="B2" s="551" t="n"/>
      <c r="C2" s="551" t="n"/>
      <c r="D2" s="551" t="n"/>
      <c r="E2" s="551" t="n"/>
      <c r="F2" s="551" t="n"/>
      <c r="G2" s="551" t="n"/>
      <c r="H2" s="552" t="n"/>
    </row>
    <row r="3" ht="15.75" customHeight="1" thickBot="1"/>
    <row r="4" ht="15.75" customHeight="1" thickBot="1">
      <c r="A4" s="269" t="inlineStr">
        <is>
          <t>P/N</t>
        </is>
      </c>
      <c r="B4" s="270" t="inlineStr">
        <is>
          <t>Artikel</t>
        </is>
      </c>
      <c r="C4" s="270" t="inlineStr">
        <is>
          <t>Lotnr.</t>
        </is>
      </c>
      <c r="D4" s="271" t="inlineStr">
        <is>
          <t>Utgångsdatum</t>
        </is>
      </c>
      <c r="E4" s="270" t="inlineStr">
        <is>
          <t>Förvaringsplats</t>
        </is>
      </c>
      <c r="F4" s="270" t="inlineStr">
        <is>
          <t>Antal i lager</t>
        </is>
      </c>
      <c r="G4" s="272" t="inlineStr">
        <is>
          <t>Senast inventering</t>
        </is>
      </c>
      <c r="H4" s="273" t="inlineStr">
        <is>
          <t>SIGN</t>
        </is>
      </c>
    </row>
    <row r="5">
      <c r="A5" s="357" t="inlineStr">
        <is>
          <t>500-0905</t>
        </is>
      </c>
      <c r="B5" s="358" t="inlineStr">
        <is>
          <t>MRSA 5.3e3 cells</t>
        </is>
      </c>
      <c r="C5" s="358">
        <f>IFERROR(INDEX($AZ$5#,ROW()-5+1,1),"")</f>
        <v/>
      </c>
      <c r="D5" s="359">
        <f>IFERROR(INDEX($AZ$5#,ROW()-5+1,2),"")</f>
        <v/>
      </c>
      <c r="E5" s="358">
        <f>IFERROR(INDEX($AZ$5#,ROW()-5+1,5),"")</f>
        <v/>
      </c>
      <c r="F5" s="358">
        <f>IFERROR(INDEX($AZ$5#,ROW()-5+1,3),"")</f>
        <v/>
      </c>
      <c r="G5" s="359">
        <f>IFERROR(INDEX($AZ$5#,ROW()-5+1,6),"")</f>
        <v/>
      </c>
      <c r="H5" s="397" t="inlineStr"/>
      <c r="AZ5">
        <f>LET(pn,$A$5,f,FILTER(tblLots[[LotNumber]:[LatestInventory]],(tblLots[PN]=pn)*(tblLots[IsActive]=TRUE),""),s,IFERROR(SORTBY(f,INDEX(f,,2),1,INDEX(f,,6),-1),""),IFERROR(INDEX(s,SEQUENCE(4),SEQUENCE(,6)),""))</f>
        <v/>
      </c>
    </row>
    <row r="6">
      <c r="A6" s="373">
        <f>A$5</f>
        <v/>
      </c>
      <c r="B6" s="579" t="n"/>
      <c r="C6" s="374">
        <f>IFERROR(INDEX($AZ$5#,ROW()-5+1,1),"")</f>
        <v/>
      </c>
      <c r="D6" s="375">
        <f>IFERROR(INDEX($AZ$5#,ROW()-5+1,2),"")</f>
        <v/>
      </c>
      <c r="E6" s="579" t="n"/>
      <c r="F6" s="374">
        <f>IFERROR(INDEX($AZ$5#,ROW()-5+1,3),"")</f>
        <v/>
      </c>
      <c r="G6" s="375">
        <f>IFERROR(INDEX($AZ$5#,ROW()-5+1,6),"")</f>
        <v/>
      </c>
      <c r="H6" s="398" t="inlineStr"/>
    </row>
    <row r="7">
      <c r="A7" s="373">
        <f>A$5</f>
        <v/>
      </c>
      <c r="B7" s="579" t="n"/>
      <c r="C7" s="374">
        <f>IFERROR(INDEX($AZ$5#,ROW()-5+1,1),"")</f>
        <v/>
      </c>
      <c r="D7" s="375">
        <f>IFERROR(INDEX($AZ$5#,ROW()-5+1,2),"")</f>
        <v/>
      </c>
      <c r="E7" s="579" t="n"/>
      <c r="F7" s="374">
        <f>IFERROR(INDEX($AZ$5#,ROW()-5+1,3),"")</f>
        <v/>
      </c>
      <c r="G7" s="375">
        <f>IFERROR(INDEX($AZ$5#,ROW()-5+1,6),"")</f>
        <v/>
      </c>
      <c r="H7" s="398" t="inlineStr"/>
    </row>
    <row r="8" ht="15.75" customHeight="1" thickBot="1">
      <c r="A8" s="376">
        <f>A$5</f>
        <v/>
      </c>
      <c r="B8" s="580" t="n"/>
      <c r="C8" s="377">
        <f>IFERROR(INDEX($AZ$5#,ROW()-5+1,1),"")</f>
        <v/>
      </c>
      <c r="D8" s="378">
        <f>IFERROR(INDEX($AZ$5#,ROW()-5+1,2),"")</f>
        <v/>
      </c>
      <c r="E8" s="580" t="n"/>
      <c r="F8" s="377">
        <f>IFERROR(INDEX($AZ$5#,ROW()-5+1,3),"")</f>
        <v/>
      </c>
      <c r="G8" s="378">
        <f>IFERROR(INDEX($AZ$5#,ROW()-5+1,6),"")</f>
        <v/>
      </c>
      <c r="H8" s="399" t="inlineStr"/>
    </row>
    <row r="9" ht="15.75" customHeight="1" thickBot="1"/>
    <row r="10" ht="24" customHeight="1" thickBot="1">
      <c r="A10" s="581" t="inlineStr">
        <is>
          <t>GX Lysis buffer | 500-2288</t>
        </is>
      </c>
      <c r="B10" s="551" t="n"/>
      <c r="C10" s="551" t="n"/>
      <c r="D10" s="551" t="n"/>
      <c r="E10" s="551" t="n"/>
      <c r="F10" s="551" t="n"/>
      <c r="G10" s="551" t="n"/>
      <c r="H10" s="552" t="n"/>
    </row>
    <row r="11" ht="15.75" customHeight="1" thickBot="1">
      <c r="A11" s="582" t="inlineStr">
        <is>
          <t>P/N 500-2288 GX Lysis buffer (exp 3 mån) 500-2288, GX Lysis buffer</t>
        </is>
      </c>
      <c r="B11" s="555" t="n"/>
      <c r="C11" s="555" t="n"/>
      <c r="D11" s="555" t="n"/>
      <c r="E11" s="555" t="n"/>
      <c r="F11" s="555" t="n"/>
      <c r="G11" s="555" t="n"/>
      <c r="H11" s="556" t="n"/>
    </row>
    <row r="12">
      <c r="A12" s="510" t="inlineStr">
        <is>
          <t>Lotnummer</t>
        </is>
      </c>
      <c r="B12" s="558" t="n"/>
      <c r="C12" s="559" t="n"/>
      <c r="D12" s="512" t="inlineStr">
        <is>
          <t>Utgångsdatum</t>
        </is>
      </c>
      <c r="E12" s="559" t="n"/>
      <c r="F12" s="512" t="inlineStr">
        <is>
          <t>Volym, L</t>
        </is>
      </c>
      <c r="G12" s="512" t="inlineStr">
        <is>
          <t>Senast inventering</t>
        </is>
      </c>
      <c r="H12" s="222" t="inlineStr">
        <is>
          <t>SIGN</t>
        </is>
      </c>
    </row>
    <row r="13">
      <c r="A13" s="373">
        <f>IFERROR(INDEX($AZ$13#,ROW()-13+1,1),"")</f>
        <v/>
      </c>
      <c r="B13" s="560" t="n"/>
      <c r="C13" s="561" t="n"/>
      <c r="D13" s="375">
        <f>IFERROR(INDEX($AZ$13#,ROW()-13+1,2),"")</f>
        <v/>
      </c>
      <c r="E13" s="561" t="n"/>
      <c r="F13" s="374">
        <f>IFERROR(INDEX($AZ$13#,ROW()-13+1,3),"")</f>
        <v/>
      </c>
      <c r="G13" s="375">
        <f>IFERROR(INDEX($AZ$13#,ROW()-13+1,6),"")</f>
        <v/>
      </c>
      <c r="H13" s="398" t="inlineStr"/>
      <c r="AZ13">
        <f>LET(pn,$B$13,f,FILTER(tblLots[[LotNumber]:[LatestInventory]],(tblLots[PN]=pn)*(tblLots[IsActive]=TRUE),""),s,IFERROR(SORTBY(f,INDEX(f,,2),1,INDEX(f,,6),-1),""),IFERROR(INDEX(s,SEQUENCE(4),SEQUENCE(,6)),""))</f>
        <v/>
      </c>
    </row>
    <row r="14">
      <c r="A14" s="373">
        <f>IFERROR(INDEX($AZ$13#,ROW()-13+1,1),"")</f>
        <v/>
      </c>
      <c r="B14" s="560" t="n"/>
      <c r="C14" s="561" t="n"/>
      <c r="D14" s="375">
        <f>IFERROR(INDEX($AZ$13#,ROW()-13+1,2),"")</f>
        <v/>
      </c>
      <c r="E14" s="561" t="n"/>
      <c r="F14" s="374">
        <f>IFERROR(INDEX($AZ$13#,ROW()-13+1,3),"")</f>
        <v/>
      </c>
      <c r="G14" s="375">
        <f>IFERROR(INDEX($AZ$13#,ROW()-13+1,6),"")</f>
        <v/>
      </c>
      <c r="H14" s="398" t="inlineStr"/>
    </row>
    <row r="15">
      <c r="A15" s="373">
        <f>IFERROR(INDEX($AZ$13#,ROW()-13+1,1),"")</f>
        <v/>
      </c>
      <c r="B15" s="560" t="n"/>
      <c r="C15" s="561" t="n"/>
      <c r="D15" s="375">
        <f>IFERROR(INDEX($AZ$13#,ROW()-13+1,2),"")</f>
        <v/>
      </c>
      <c r="E15" s="561" t="n"/>
      <c r="F15" s="374">
        <f>IFERROR(INDEX($AZ$13#,ROW()-13+1,3),"")</f>
        <v/>
      </c>
      <c r="G15" s="375">
        <f>IFERROR(INDEX($AZ$13#,ROW()-13+1,6),"")</f>
        <v/>
      </c>
      <c r="H15" s="398" t="inlineStr"/>
    </row>
    <row r="16" ht="15.75" customHeight="1" thickBot="1">
      <c r="A16" s="376">
        <f>IFERROR(INDEX($AZ$13#,ROW()-13+1,1),"")</f>
        <v/>
      </c>
      <c r="B16" s="562" t="n"/>
      <c r="C16" s="563" t="n"/>
      <c r="D16" s="378">
        <f>IFERROR(INDEX($AZ$13#,ROW()-13+1,2),"")</f>
        <v/>
      </c>
      <c r="E16" s="563" t="n"/>
      <c r="F16" s="377">
        <f>IFERROR(INDEX($AZ$13#,ROW()-13+1,3),"")</f>
        <v/>
      </c>
      <c r="G16" s="378">
        <f>IFERROR(INDEX($AZ$13#,ROW()-13+1,6),"")</f>
        <v/>
      </c>
      <c r="H16" s="399" t="inlineStr"/>
    </row>
  </sheetData>
  <sheetProtection selectLockedCells="0" selectUnlockedCells="0" algorithmName="SHA-512" sheet="1" objects="0" insertRows="0" insertHyperlinks="0" autoFilter="0" scenarios="0" formatColumns="0" deleteColumns="0" insertColumns="0" pivotTables="0" deleteRows="0" formatCells="0" saltValue="t4IdUSj2p73D61XeU3pm7g==" formatRows="0" sort="0" spinCount="100000" hashValue="ESSDslsUhKUl7f6S+IPb0bGCMmCBvai4LoB4AM7EGBUo5tFCNbUARwW0O0wLLKoBLUa9vK442IyyH+zNOM8A+A=="/>
  <mergeCells count="15">
    <mergeCell ref="B5:B8"/>
    <mergeCell ref="D16:E16"/>
    <mergeCell ref="A13:C13"/>
    <mergeCell ref="D15:E15"/>
    <mergeCell ref="D13:E13"/>
    <mergeCell ref="A2:H2"/>
    <mergeCell ref="A14:C14"/>
    <mergeCell ref="A10:H10"/>
    <mergeCell ref="D14:E14"/>
    <mergeCell ref="A11:H11"/>
    <mergeCell ref="A12:C12"/>
    <mergeCell ref="E5:E8"/>
    <mergeCell ref="A16:C16"/>
    <mergeCell ref="D12:E12"/>
    <mergeCell ref="A15:C15"/>
  </mergeCells>
  <pageMargins left="0.7" right="0.7" top="0.75" bottom="0.75" header="0.3" footer="0.3"/>
  <pageSetup orientation="portrait" paperSize="9" verticalDpi="0"/>
</worksheet>
</file>

<file path=xl/worksheets/sheet28.xml><?xml version="1.0" encoding="utf-8"?>
<worksheet xmlns="http://schemas.openxmlformats.org/spreadsheetml/2006/main">
  <sheetPr codeName="Sheet24">
    <tabColor theme="8" tint="0.3999755851924192"/>
    <outlinePr summaryBelow="1" summaryRight="1"/>
    <pageSetUpPr/>
  </sheetPr>
  <dimension ref="A1:AZ26"/>
  <sheetViews>
    <sheetView workbookViewId="0">
      <selection activeCell="A1" sqref="A1"/>
    </sheetView>
  </sheetViews>
  <sheetFormatPr baseColWidth="8" defaultRowHeight="15"/>
  <cols>
    <col width="9.7109375" bestFit="1" customWidth="1" min="1" max="1"/>
    <col hidden="1" width="34.42578125" bestFit="1" customWidth="1" min="2" max="2"/>
    <col width="14.85546875" customWidth="1" min="3" max="3"/>
    <col width="14" bestFit="1" customWidth="1" min="4" max="4"/>
    <col width="14.85546875" bestFit="1" customWidth="1" min="5" max="5"/>
    <col width="11.5703125" bestFit="1" customWidth="1" min="6" max="6"/>
    <col width="17.85546875" bestFit="1" customWidth="1" min="7" max="7"/>
    <col width="6.85546875" customWidth="1" min="8" max="8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15.75" customHeight="1" thickBot="1"/>
    <row r="2" ht="24" customHeight="1" thickBot="1">
      <c r="A2" s="613" t="inlineStr">
        <is>
          <t>MRSA NxG</t>
        </is>
      </c>
      <c r="B2" s="551" t="n"/>
      <c r="C2" s="551" t="n"/>
      <c r="D2" s="551" t="n"/>
      <c r="E2" s="551" t="n"/>
      <c r="F2" s="551" t="n"/>
      <c r="G2" s="551" t="n"/>
      <c r="H2" s="552" t="n"/>
    </row>
    <row r="3" ht="15.75" customHeight="1" thickBot="1"/>
    <row r="4" ht="15.75" customHeight="1" thickBot="1">
      <c r="A4" s="230" t="inlineStr">
        <is>
          <t>P/N</t>
        </is>
      </c>
      <c r="B4" s="231" t="inlineStr">
        <is>
          <t>Artikel</t>
        </is>
      </c>
      <c r="C4" s="231" t="inlineStr">
        <is>
          <t>Lotnr.</t>
        </is>
      </c>
      <c r="D4" s="232" t="inlineStr">
        <is>
          <t>Utgångsdatum</t>
        </is>
      </c>
      <c r="E4" s="231" t="inlineStr">
        <is>
          <t>Förvaringsplats</t>
        </is>
      </c>
      <c r="F4" s="231" t="inlineStr">
        <is>
          <t>Antal i lager</t>
        </is>
      </c>
      <c r="G4" s="233" t="inlineStr">
        <is>
          <t>Senast inventering</t>
        </is>
      </c>
      <c r="H4" s="234" t="inlineStr">
        <is>
          <t>SIGN</t>
        </is>
      </c>
    </row>
    <row r="5" ht="15.75" customHeight="1">
      <c r="A5" s="357" t="inlineStr">
        <is>
          <t>525-00081</t>
        </is>
      </c>
      <c r="B5" s="358" t="inlineStr">
        <is>
          <t>ALQT,NATTROL,
MSSE</t>
        </is>
      </c>
      <c r="C5" s="358">
        <f>IFERROR(INDEX($AZ$5#,ROW()-5+1,1),"")</f>
        <v/>
      </c>
      <c r="D5" s="359">
        <f>IFERROR(INDEX($AZ$5#,ROW()-5+1,2),"")</f>
        <v/>
      </c>
      <c r="E5" s="358">
        <f>IFERROR(INDEX($AZ$5#,ROW()-5+1,5),"")</f>
        <v/>
      </c>
      <c r="F5" s="358">
        <f>IFERROR(INDEX($AZ$5#,ROW()-5+1,3),"")</f>
        <v/>
      </c>
      <c r="G5" s="359">
        <f>IFERROR(INDEX($AZ$5#,ROW()-5+1,6),"")</f>
        <v/>
      </c>
      <c r="H5" s="397" t="inlineStr"/>
      <c r="AZ5">
        <f>LET(pn,$A$5,f,FILTER(tblLots[[LotNumber]:[LatestInventory]],(tblLots[PN]=pn)*(tblLots[IsActive]=TRUE),""),s,IFERROR(SORTBY(f,INDEX(f,,2),1,INDEX(f,,6),-1),""),IFERROR(INDEX(s,SEQUENCE(4),SEQUENCE(,6)),""))</f>
        <v/>
      </c>
    </row>
    <row r="6">
      <c r="A6" s="373">
        <f>A$5</f>
        <v/>
      </c>
      <c r="B6" s="579" t="n"/>
      <c r="C6" s="374">
        <f>IFERROR(INDEX($AZ$5#,ROW()-5+1,1),"")</f>
        <v/>
      </c>
      <c r="D6" s="375">
        <f>IFERROR(INDEX($AZ$5#,ROW()-5+1,2),"")</f>
        <v/>
      </c>
      <c r="E6" s="579" t="n"/>
      <c r="F6" s="374">
        <f>IFERROR(INDEX($AZ$5#,ROW()-5+1,3),"")</f>
        <v/>
      </c>
      <c r="G6" s="375">
        <f>IFERROR(INDEX($AZ$5#,ROW()-5+1,6),"")</f>
        <v/>
      </c>
      <c r="H6" s="398" t="inlineStr"/>
    </row>
    <row r="7">
      <c r="A7" s="373">
        <f>A$5</f>
        <v/>
      </c>
      <c r="B7" s="579" t="n"/>
      <c r="C7" s="374">
        <f>IFERROR(INDEX($AZ$5#,ROW()-5+1,1),"")</f>
        <v/>
      </c>
      <c r="D7" s="375">
        <f>IFERROR(INDEX($AZ$5#,ROW()-5+1,2),"")</f>
        <v/>
      </c>
      <c r="E7" s="579" t="n"/>
      <c r="F7" s="374">
        <f>IFERROR(INDEX($AZ$5#,ROW()-5+1,3),"")</f>
        <v/>
      </c>
      <c r="G7" s="375">
        <f>IFERROR(INDEX($AZ$5#,ROW()-5+1,6),"")</f>
        <v/>
      </c>
      <c r="H7" s="398" t="inlineStr"/>
    </row>
    <row r="8" ht="15.75" customHeight="1" thickBot="1">
      <c r="A8" s="376">
        <f>A$5</f>
        <v/>
      </c>
      <c r="B8" s="580" t="n"/>
      <c r="C8" s="377">
        <f>IFERROR(INDEX($AZ$5#,ROW()-5+1,1),"")</f>
        <v/>
      </c>
      <c r="D8" s="378">
        <f>IFERROR(INDEX($AZ$5#,ROW()-5+1,2),"")</f>
        <v/>
      </c>
      <c r="E8" s="580" t="n"/>
      <c r="F8" s="377">
        <f>IFERROR(INDEX($AZ$5#,ROW()-5+1,3),"")</f>
        <v/>
      </c>
      <c r="G8" s="378">
        <f>IFERROR(INDEX($AZ$5#,ROW()-5+1,6),"")</f>
        <v/>
      </c>
      <c r="H8" s="399" t="inlineStr"/>
    </row>
    <row r="9" ht="15.75" customHeight="1" thickBot="1">
      <c r="A9" s="235" t="inlineStr">
        <is>
          <t>P/N</t>
        </is>
      </c>
      <c r="B9" s="236" t="inlineStr">
        <is>
          <t>Artikel</t>
        </is>
      </c>
      <c r="C9" s="236" t="inlineStr">
        <is>
          <t>Lotnr.</t>
        </is>
      </c>
      <c r="D9" s="237" t="inlineStr">
        <is>
          <t>Utgångsdatum</t>
        </is>
      </c>
      <c r="E9" s="236" t="inlineStr">
        <is>
          <t>Förvaringsplats</t>
        </is>
      </c>
      <c r="F9" s="236" t="inlineStr">
        <is>
          <t>Antal i lager</t>
        </is>
      </c>
      <c r="G9" s="238" t="inlineStr">
        <is>
          <t>Senast inventering</t>
        </is>
      </c>
      <c r="H9" s="239" t="inlineStr">
        <is>
          <t>SIGN</t>
        </is>
      </c>
    </row>
    <row r="10">
      <c r="A10" s="357" t="inlineStr">
        <is>
          <t>525-00080</t>
        </is>
      </c>
      <c r="B10" s="358" t="inlineStr">
        <is>
          <t>ALQT,NATTROL,
MRSA, LOW</t>
        </is>
      </c>
      <c r="C10" s="358">
        <f>IFERROR(INDEX($AZ$10#,ROW()-10+1,1),"")</f>
        <v/>
      </c>
      <c r="D10" s="359">
        <f>IFERROR(INDEX($AZ$10#,ROW()-10+1,2),"")</f>
        <v/>
      </c>
      <c r="E10" s="358">
        <f>IFERROR(INDEX($AZ$10#,ROW()-10+1,5),"")</f>
        <v/>
      </c>
      <c r="F10" s="358">
        <f>IFERROR(INDEX($AZ$10#,ROW()-10+1,3),"")</f>
        <v/>
      </c>
      <c r="G10" s="359">
        <f>IFERROR(INDEX($AZ$10#,ROW()-10+1,6),"")</f>
        <v/>
      </c>
      <c r="H10" s="397" t="inlineStr"/>
      <c r="AZ10">
        <f>LET(pn,$A$10,f,FILTER(tblLots[[LotNumber]:[LatestInventory]],(tblLots[PN]=pn)*(tblLots[IsActive]=TRUE),""),s,IFERROR(SORTBY(f,INDEX(f,,2),1,INDEX(f,,6),-1),""),IFERROR(INDEX(s,SEQUENCE(4),SEQUENCE(,6)),""))</f>
        <v/>
      </c>
    </row>
    <row r="11">
      <c r="A11" s="373">
        <f>A$10</f>
        <v/>
      </c>
      <c r="B11" s="579" t="n"/>
      <c r="C11" s="374">
        <f>IFERROR(INDEX($AZ$10#,ROW()-10+1,1),"")</f>
        <v/>
      </c>
      <c r="D11" s="375">
        <f>IFERROR(INDEX($AZ$10#,ROW()-10+1,2),"")</f>
        <v/>
      </c>
      <c r="E11" s="579" t="n"/>
      <c r="F11" s="374">
        <f>IFERROR(INDEX($AZ$10#,ROW()-10+1,3),"")</f>
        <v/>
      </c>
      <c r="G11" s="375">
        <f>IFERROR(INDEX($AZ$10#,ROW()-10+1,6),"")</f>
        <v/>
      </c>
      <c r="H11" s="398" t="inlineStr"/>
    </row>
    <row r="12">
      <c r="A12" s="373">
        <f>A$10</f>
        <v/>
      </c>
      <c r="B12" s="579" t="n"/>
      <c r="C12" s="374">
        <f>IFERROR(INDEX($AZ$10#,ROW()-10+1,1),"")</f>
        <v/>
      </c>
      <c r="D12" s="375">
        <f>IFERROR(INDEX($AZ$10#,ROW()-10+1,2),"")</f>
        <v/>
      </c>
      <c r="E12" s="579" t="n"/>
      <c r="F12" s="374">
        <f>IFERROR(INDEX($AZ$10#,ROW()-10+1,3),"")</f>
        <v/>
      </c>
      <c r="G12" s="375">
        <f>IFERROR(INDEX($AZ$10#,ROW()-10+1,6),"")</f>
        <v/>
      </c>
      <c r="H12" s="398" t="inlineStr"/>
    </row>
    <row r="13" ht="15.75" customHeight="1" thickBot="1">
      <c r="A13" s="376">
        <f>A$10</f>
        <v/>
      </c>
      <c r="B13" s="580" t="n"/>
      <c r="C13" s="377">
        <f>IFERROR(INDEX($AZ$10#,ROW()-10+1,1),"")</f>
        <v/>
      </c>
      <c r="D13" s="378">
        <f>IFERROR(INDEX($AZ$10#,ROW()-10+1,2),"")</f>
        <v/>
      </c>
      <c r="E13" s="580" t="n"/>
      <c r="F13" s="377">
        <f>IFERROR(INDEX($AZ$10#,ROW()-10+1,3),"")</f>
        <v/>
      </c>
      <c r="G13" s="378">
        <f>IFERROR(INDEX($AZ$10#,ROW()-10+1,6),"")</f>
        <v/>
      </c>
      <c r="H13" s="399" t="inlineStr"/>
    </row>
    <row r="14" ht="15.75" customHeight="1" thickBot="1">
      <c r="A14" s="235" t="inlineStr">
        <is>
          <t>P/N</t>
        </is>
      </c>
      <c r="B14" s="236" t="inlineStr">
        <is>
          <t>Artikel</t>
        </is>
      </c>
      <c r="C14" s="236" t="inlineStr">
        <is>
          <t>Lotnr.</t>
        </is>
      </c>
      <c r="D14" s="237" t="inlineStr">
        <is>
          <t>Utgångsdatum</t>
        </is>
      </c>
      <c r="E14" s="236" t="inlineStr">
        <is>
          <t>Förvaringsplats</t>
        </is>
      </c>
      <c r="F14" s="236" t="inlineStr">
        <is>
          <t>Antal i lager</t>
        </is>
      </c>
      <c r="G14" s="238" t="inlineStr">
        <is>
          <t>Senast inventering</t>
        </is>
      </c>
      <c r="H14" s="239" t="inlineStr">
        <is>
          <t>SIGN</t>
        </is>
      </c>
    </row>
    <row r="15">
      <c r="A15" s="357" t="inlineStr">
        <is>
          <t>525-00079</t>
        </is>
      </c>
      <c r="B15" s="358" t="inlineStr">
        <is>
          <t>ALQT,NATTROL,
MRSA, HIGH</t>
        </is>
      </c>
      <c r="C15" s="358">
        <f>IFERROR(INDEX($AZ$15#,ROW()-15+1,1),"")</f>
        <v/>
      </c>
      <c r="D15" s="359">
        <f>IFERROR(INDEX($AZ$15#,ROW()-15+1,2),"")</f>
        <v/>
      </c>
      <c r="E15" s="358">
        <f>IFERROR(INDEX($AZ$15#,ROW()-15+1,5),"")</f>
        <v/>
      </c>
      <c r="F15" s="358">
        <f>IFERROR(INDEX($AZ$15#,ROW()-15+1,3),"")</f>
        <v/>
      </c>
      <c r="G15" s="359">
        <f>IFERROR(INDEX($AZ$15#,ROW()-15+1,6),"")</f>
        <v/>
      </c>
      <c r="H15" s="397" t="inlineStr"/>
      <c r="AZ15">
        <f>LET(pn,$A$15,f,FILTER(tblLots[[LotNumber]:[LatestInventory]],(tblLots[PN]=pn)*(tblLots[IsActive]=TRUE),""),s,IFERROR(SORTBY(f,INDEX(f,,2),1,INDEX(f,,6),-1),""),IFERROR(INDEX(s,SEQUENCE(4),SEQUENCE(,6)),""))</f>
        <v/>
      </c>
    </row>
    <row r="16">
      <c r="A16" s="373">
        <f>A$15</f>
        <v/>
      </c>
      <c r="B16" s="579" t="n"/>
      <c r="C16" s="374">
        <f>IFERROR(INDEX($AZ$15#,ROW()-15+1,1),"")</f>
        <v/>
      </c>
      <c r="D16" s="375">
        <f>IFERROR(INDEX($AZ$15#,ROW()-15+1,2),"")</f>
        <v/>
      </c>
      <c r="E16" s="579" t="n"/>
      <c r="F16" s="374">
        <f>IFERROR(INDEX($AZ$15#,ROW()-15+1,3),"")</f>
        <v/>
      </c>
      <c r="G16" s="375">
        <f>IFERROR(INDEX($AZ$15#,ROW()-15+1,6),"")</f>
        <v/>
      </c>
      <c r="H16" s="398" t="inlineStr"/>
    </row>
    <row r="17">
      <c r="A17" s="373">
        <f>A$15</f>
        <v/>
      </c>
      <c r="B17" s="579" t="n"/>
      <c r="C17" s="374">
        <f>IFERROR(INDEX($AZ$15#,ROW()-15+1,1),"")</f>
        <v/>
      </c>
      <c r="D17" s="375">
        <f>IFERROR(INDEX($AZ$15#,ROW()-15+1,2),"")</f>
        <v/>
      </c>
      <c r="E17" s="579" t="n"/>
      <c r="F17" s="374">
        <f>IFERROR(INDEX($AZ$15#,ROW()-15+1,3),"")</f>
        <v/>
      </c>
      <c r="G17" s="375">
        <f>IFERROR(INDEX($AZ$15#,ROW()-15+1,6),"")</f>
        <v/>
      </c>
      <c r="H17" s="398" t="inlineStr"/>
    </row>
    <row r="18" ht="15.75" customHeight="1" thickBot="1">
      <c r="A18" s="376">
        <f>A$15</f>
        <v/>
      </c>
      <c r="B18" s="580" t="n"/>
      <c r="C18" s="377">
        <f>IFERROR(INDEX($AZ$15#,ROW()-15+1,1),"")</f>
        <v/>
      </c>
      <c r="D18" s="378">
        <f>IFERROR(INDEX($AZ$15#,ROW()-15+1,2),"")</f>
        <v/>
      </c>
      <c r="E18" s="580" t="n"/>
      <c r="F18" s="377">
        <f>IFERROR(INDEX($AZ$15#,ROW()-15+1,3),"")</f>
        <v/>
      </c>
      <c r="G18" s="378">
        <f>IFERROR(INDEX($AZ$15#,ROW()-15+1,6),"")</f>
        <v/>
      </c>
      <c r="H18" s="399" t="inlineStr"/>
    </row>
    <row r="19" ht="15.75" customHeight="1" thickBot="1"/>
    <row r="20" ht="24" customHeight="1" thickBot="1">
      <c r="A20" s="581" t="inlineStr">
        <is>
          <t>GX Lysis buffer | 500-2288</t>
        </is>
      </c>
      <c r="B20" s="551" t="n"/>
      <c r="C20" s="551" t="n"/>
      <c r="D20" s="551" t="n"/>
      <c r="E20" s="551" t="n"/>
      <c r="F20" s="551" t="n"/>
      <c r="G20" s="551" t="n"/>
      <c r="H20" s="552" t="n"/>
    </row>
    <row r="21" ht="15.75" customHeight="1" thickBot="1">
      <c r="A21" s="582" t="inlineStr">
        <is>
          <t>P/N 500-2288 GX Lysis buffer (exp 3 mån) 500-2288, GX Lysis buffer</t>
        </is>
      </c>
      <c r="B21" s="555" t="n"/>
      <c r="C21" s="555" t="n"/>
      <c r="D21" s="555" t="n"/>
      <c r="E21" s="555" t="n"/>
      <c r="F21" s="555" t="n"/>
      <c r="G21" s="555" t="n"/>
      <c r="H21" s="556" t="n"/>
    </row>
    <row r="22" ht="15.75" customHeight="1">
      <c r="A22" s="510" t="inlineStr">
        <is>
          <t>Lotnummer</t>
        </is>
      </c>
      <c r="B22" s="558" t="n"/>
      <c r="C22" s="559" t="n"/>
      <c r="D22" s="512" t="inlineStr">
        <is>
          <t>Utgångsdatum</t>
        </is>
      </c>
      <c r="E22" s="559" t="n"/>
      <c r="F22" s="512" t="inlineStr">
        <is>
          <t>Volym, L</t>
        </is>
      </c>
      <c r="G22" s="512" t="inlineStr">
        <is>
          <t>Senast inventering</t>
        </is>
      </c>
      <c r="H22" s="222" t="inlineStr">
        <is>
          <t>SIGN</t>
        </is>
      </c>
    </row>
    <row r="23">
      <c r="A23" s="373">
        <f>IFERROR(INDEX($AZ$23#,ROW()-23+1,1),"")</f>
        <v/>
      </c>
      <c r="B23" s="560" t="n"/>
      <c r="C23" s="561" t="n"/>
      <c r="D23" s="375">
        <f>IFERROR(INDEX($AZ$23#,ROW()-23+1,2),"")</f>
        <v/>
      </c>
      <c r="E23" s="561" t="n"/>
      <c r="F23" s="374">
        <f>IFERROR(INDEX($AZ$23#,ROW()-23+1,3),"")</f>
        <v/>
      </c>
      <c r="G23" s="375">
        <f>IFERROR(INDEX($AZ$23#,ROW()-23+1,6),"")</f>
        <v/>
      </c>
      <c r="H23" s="398" t="inlineStr"/>
      <c r="AZ23">
        <f>LET(pn,$B$23,f,FILTER(tblLots[[LotNumber]:[LatestInventory]],(tblLots[PN]=pn)*(tblLots[IsActive]=TRUE),""),s,IFERROR(SORTBY(f,INDEX(f,,2),1,INDEX(f,,6),-1),""),IFERROR(INDEX(s,SEQUENCE(4),SEQUENCE(,6)),""))</f>
        <v/>
      </c>
    </row>
    <row r="24">
      <c r="A24" s="373">
        <f>IFERROR(INDEX($AZ$23#,ROW()-23+1,1),"")</f>
        <v/>
      </c>
      <c r="B24" s="560" t="n"/>
      <c r="C24" s="561" t="n"/>
      <c r="D24" s="375">
        <f>IFERROR(INDEX($AZ$23#,ROW()-23+1,2),"")</f>
        <v/>
      </c>
      <c r="E24" s="561" t="n"/>
      <c r="F24" s="374">
        <f>IFERROR(INDEX($AZ$23#,ROW()-23+1,3),"")</f>
        <v/>
      </c>
      <c r="G24" s="375">
        <f>IFERROR(INDEX($AZ$23#,ROW()-23+1,6),"")</f>
        <v/>
      </c>
      <c r="H24" s="398" t="inlineStr"/>
    </row>
    <row r="25">
      <c r="A25" s="373">
        <f>IFERROR(INDEX($AZ$23#,ROW()-23+1,1),"")</f>
        <v/>
      </c>
      <c r="B25" s="560" t="n"/>
      <c r="C25" s="561" t="n"/>
      <c r="D25" s="375">
        <f>IFERROR(INDEX($AZ$23#,ROW()-23+1,2),"")</f>
        <v/>
      </c>
      <c r="E25" s="561" t="n"/>
      <c r="F25" s="374">
        <f>IFERROR(INDEX($AZ$23#,ROW()-23+1,3),"")</f>
        <v/>
      </c>
      <c r="G25" s="375">
        <f>IFERROR(INDEX($AZ$23#,ROW()-23+1,6),"")</f>
        <v/>
      </c>
      <c r="H25" s="398" t="inlineStr"/>
    </row>
    <row r="26" ht="15.75" customHeight="1" thickBot="1">
      <c r="A26" s="376">
        <f>IFERROR(INDEX($AZ$23#,ROW()-23+1,1),"")</f>
        <v/>
      </c>
      <c r="B26" s="562" t="n"/>
      <c r="C26" s="563" t="n"/>
      <c r="D26" s="378">
        <f>IFERROR(INDEX($AZ$23#,ROW()-23+1,2),"")</f>
        <v/>
      </c>
      <c r="E26" s="563" t="n"/>
      <c r="F26" s="377">
        <f>IFERROR(INDEX($AZ$23#,ROW()-23+1,3),"")</f>
        <v/>
      </c>
      <c r="G26" s="378">
        <f>IFERROR(INDEX($AZ$23#,ROW()-23+1,6),"")</f>
        <v/>
      </c>
      <c r="H26" s="399" t="inlineStr"/>
    </row>
  </sheetData>
  <sheetProtection selectLockedCells="0" selectUnlockedCells="0" algorithmName="SHA-512" sheet="1" objects="0" insertRows="0" insertHyperlinks="0" autoFilter="0" scenarios="0" formatColumns="0" deleteColumns="0" insertColumns="0" pivotTables="0" deleteRows="0" formatCells="0" saltValue="hlj+MNMZUzBz6SxujmMH/w==" formatRows="0" sort="0" spinCount="100000" hashValue="thWK2pILwuwnA4L7bf/fEoFiQiimeeGz87/w70+hmAxtJmIy7HS4ahFKxjK196IQpaAVHOjBTcy2NkxQokZPYw=="/>
  <mergeCells count="19">
    <mergeCell ref="A25:C25"/>
    <mergeCell ref="D22:E22"/>
    <mergeCell ref="E5:E8"/>
    <mergeCell ref="A26:C26"/>
    <mergeCell ref="E10:E13"/>
    <mergeCell ref="A23:C23"/>
    <mergeCell ref="A22:C22"/>
    <mergeCell ref="E15:E18"/>
    <mergeCell ref="B10:B13"/>
    <mergeCell ref="A21:H21"/>
    <mergeCell ref="A2:H2"/>
    <mergeCell ref="B15:B18"/>
    <mergeCell ref="A24:C24"/>
    <mergeCell ref="D25:E25"/>
    <mergeCell ref="B5:B8"/>
    <mergeCell ref="D24:E24"/>
    <mergeCell ref="A20:H20"/>
    <mergeCell ref="D23:E23"/>
    <mergeCell ref="D26:E26"/>
  </mergeCells>
  <pageMargins left="0.7" right="0.7" top="0.75" bottom="0.75" header="0.3" footer="0.3"/>
  <pageSetup orientation="portrait" paperSize="9" verticalDpi="0"/>
</worksheet>
</file>

<file path=xl/worksheets/sheet29.xml><?xml version="1.0" encoding="utf-8"?>
<worksheet xmlns="http://schemas.openxmlformats.org/spreadsheetml/2006/main">
  <sheetPr codeName="Sheet25">
    <tabColor theme="9" tint="0.5999938962981048"/>
    <outlinePr summaryBelow="1" summaryRight="1"/>
    <pageSetUpPr/>
  </sheetPr>
  <dimension ref="A1:AZ26"/>
  <sheetViews>
    <sheetView zoomScaleNormal="100" workbookViewId="0">
      <selection activeCell="A1" sqref="A1"/>
    </sheetView>
  </sheetViews>
  <sheetFormatPr baseColWidth="8" defaultRowHeight="15"/>
  <cols>
    <col width="9.7109375" bestFit="1" customWidth="1" min="1" max="1"/>
    <col hidden="1" width="31" bestFit="1" customWidth="1" min="2" max="2"/>
    <col width="13.7109375" customWidth="1" min="3" max="3"/>
    <col width="14" bestFit="1" customWidth="1" min="4" max="4"/>
    <col width="15" bestFit="1" customWidth="1" min="5" max="5"/>
    <col width="11.5703125" bestFit="1" customWidth="1" min="6" max="6"/>
    <col width="17.85546875" bestFit="1" customWidth="1" min="7" max="7"/>
    <col width="8.140625" customWidth="1" min="8" max="8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15.75" customHeight="1" thickBot="1"/>
    <row r="2" ht="24" customHeight="1" thickBot="1">
      <c r="A2" s="611" t="inlineStr">
        <is>
          <t>NORO</t>
        </is>
      </c>
      <c r="B2" s="551" t="n"/>
      <c r="C2" s="551" t="n"/>
      <c r="D2" s="551" t="n"/>
      <c r="E2" s="551" t="n"/>
      <c r="F2" s="551" t="n"/>
      <c r="G2" s="551" t="n"/>
      <c r="H2" s="552" t="n"/>
    </row>
    <row r="3" ht="15.75" customHeight="1" thickBot="1"/>
    <row r="4" ht="15.75" customHeight="1" thickBot="1">
      <c r="A4" s="201" t="inlineStr">
        <is>
          <t>P/N</t>
        </is>
      </c>
      <c r="B4" s="202" t="inlineStr">
        <is>
          <t>Artikel</t>
        </is>
      </c>
      <c r="C4" s="202" t="inlineStr">
        <is>
          <t>Lotnr.</t>
        </is>
      </c>
      <c r="D4" s="203" t="inlineStr">
        <is>
          <t>Utgångsdatum</t>
        </is>
      </c>
      <c r="E4" s="202" t="inlineStr">
        <is>
          <t>Förvaringsplats</t>
        </is>
      </c>
      <c r="F4" s="202" t="inlineStr">
        <is>
          <t>Antal i lager</t>
        </is>
      </c>
      <c r="G4" s="204" t="inlineStr">
        <is>
          <t>Senast inventering</t>
        </is>
      </c>
      <c r="H4" s="205" t="inlineStr">
        <is>
          <t>SIGN</t>
        </is>
      </c>
    </row>
    <row r="5">
      <c r="A5" s="357" t="inlineStr">
        <is>
          <t>500-1882</t>
        </is>
      </c>
      <c r="B5" s="459" t="inlineStr">
        <is>
          <t>Negative control (NTC) Rota virus</t>
        </is>
      </c>
      <c r="C5" s="358">
        <f>IFERROR(INDEX($AZ$5#,ROW()-5+1,1),"")</f>
        <v/>
      </c>
      <c r="D5" s="359">
        <f>IFERROR(INDEX($AZ$5#,ROW()-5+1,2),"")</f>
        <v/>
      </c>
      <c r="E5" s="358">
        <f>IFERROR(INDEX($AZ$5#,ROW()-5+1,5),"")</f>
        <v/>
      </c>
      <c r="F5" s="358">
        <f>IFERROR(INDEX($AZ$5#,ROW()-5+1,3),"")</f>
        <v/>
      </c>
      <c r="G5" s="359">
        <f>IFERROR(INDEX($AZ$5#,ROW()-5+1,6),"")</f>
        <v/>
      </c>
      <c r="H5" s="397" t="inlineStr"/>
      <c r="AZ5">
        <f>LET(pn,$A$5,f,FILTER(tblLots[[LotNumber]:[LatestInventory]],(tblLots[PN]=pn)*(tblLots[IsActive]=TRUE),""),s,IFERROR(SORTBY(f,INDEX(f,,2),1,INDEX(f,,6),-1),""),IFERROR(INDEX(s,SEQUENCE(4),SEQUENCE(,6)),""))</f>
        <v/>
      </c>
    </row>
    <row r="6">
      <c r="A6" s="373">
        <f>A$5</f>
        <v/>
      </c>
      <c r="B6" s="579" t="n"/>
      <c r="C6" s="374">
        <f>IFERROR(INDEX($AZ$5#,ROW()-5+1,1),"")</f>
        <v/>
      </c>
      <c r="D6" s="375">
        <f>IFERROR(INDEX($AZ$5#,ROW()-5+1,2),"")</f>
        <v/>
      </c>
      <c r="E6" s="579" t="n"/>
      <c r="F6" s="374">
        <f>IFERROR(INDEX($AZ$5#,ROW()-5+1,3),"")</f>
        <v/>
      </c>
      <c r="G6" s="375">
        <f>IFERROR(INDEX($AZ$5#,ROW()-5+1,6),"")</f>
        <v/>
      </c>
      <c r="H6" s="398" t="inlineStr"/>
    </row>
    <row r="7">
      <c r="A7" s="373">
        <f>A$5</f>
        <v/>
      </c>
      <c r="B7" s="579" t="n"/>
      <c r="C7" s="374">
        <f>IFERROR(INDEX($AZ$5#,ROW()-5+1,1),"")</f>
        <v/>
      </c>
      <c r="D7" s="375">
        <f>IFERROR(INDEX($AZ$5#,ROW()-5+1,2),"")</f>
        <v/>
      </c>
      <c r="E7" s="579" t="n"/>
      <c r="F7" s="374">
        <f>IFERROR(INDEX($AZ$5#,ROW()-5+1,3),"")</f>
        <v/>
      </c>
      <c r="G7" s="375">
        <f>IFERROR(INDEX($AZ$5#,ROW()-5+1,6),"")</f>
        <v/>
      </c>
      <c r="H7" s="398" t="inlineStr"/>
    </row>
    <row r="8" ht="15.75" customHeight="1" thickBot="1">
      <c r="A8" s="376">
        <f>A$5</f>
        <v/>
      </c>
      <c r="B8" s="580" t="n"/>
      <c r="C8" s="377">
        <f>IFERROR(INDEX($AZ$5#,ROW()-5+1,1),"")</f>
        <v/>
      </c>
      <c r="D8" s="378">
        <f>IFERROR(INDEX($AZ$5#,ROW()-5+1,2),"")</f>
        <v/>
      </c>
      <c r="E8" s="580" t="n"/>
      <c r="F8" s="377">
        <f>IFERROR(INDEX($AZ$5#,ROW()-5+1,3),"")</f>
        <v/>
      </c>
      <c r="G8" s="378">
        <f>IFERROR(INDEX($AZ$5#,ROW()-5+1,6),"")</f>
        <v/>
      </c>
      <c r="H8" s="399" t="inlineStr"/>
    </row>
    <row r="9" ht="15.75" customHeight="1" thickBot="1">
      <c r="A9" s="206" t="inlineStr">
        <is>
          <t>P/N</t>
        </is>
      </c>
      <c r="B9" s="207" t="inlineStr">
        <is>
          <t>Artikel</t>
        </is>
      </c>
      <c r="C9" s="207" t="inlineStr">
        <is>
          <t>Lotnr.</t>
        </is>
      </c>
      <c r="D9" s="208" t="inlineStr">
        <is>
          <t>Utgångsdatum</t>
        </is>
      </c>
      <c r="E9" s="207" t="inlineStr">
        <is>
          <t>Förvaringsplats</t>
        </is>
      </c>
      <c r="F9" s="207" t="inlineStr">
        <is>
          <t>Antal i lager</t>
        </is>
      </c>
      <c r="G9" s="209" t="inlineStr">
        <is>
          <t>Senast inventering</t>
        </is>
      </c>
      <c r="H9" s="210" t="inlineStr">
        <is>
          <t>SIGN</t>
        </is>
      </c>
    </row>
    <row r="10">
      <c r="A10" s="357" t="inlineStr">
        <is>
          <t>500-1880</t>
        </is>
      </c>
      <c r="B10" s="358" t="inlineStr">
        <is>
          <t>Noro Positive control LOW</t>
        </is>
      </c>
      <c r="C10" s="358">
        <f>IFERROR(INDEX($AZ$10#,ROW()-10+1,1),"")</f>
        <v/>
      </c>
      <c r="D10" s="359">
        <f>IFERROR(INDEX($AZ$10#,ROW()-10+1,2),"")</f>
        <v/>
      </c>
      <c r="E10" s="358">
        <f>IFERROR(INDEX($AZ$10#,ROW()-10+1,5),"")</f>
        <v/>
      </c>
      <c r="F10" s="358">
        <f>IFERROR(INDEX($AZ$10#,ROW()-10+1,3),"")</f>
        <v/>
      </c>
      <c r="G10" s="359">
        <f>IFERROR(INDEX($AZ$10#,ROW()-10+1,6),"")</f>
        <v/>
      </c>
      <c r="H10" s="397" t="inlineStr"/>
      <c r="AZ10">
        <f>LET(pn,$A$10,f,FILTER(tblLots[[LotNumber]:[LatestInventory]],(tblLots[PN]=pn)*(tblLots[IsActive]=TRUE),""),s,IFERROR(SORTBY(f,INDEX(f,,2),1,INDEX(f,,6),-1),""),IFERROR(INDEX(s,SEQUENCE(4),SEQUENCE(,6)),""))</f>
        <v/>
      </c>
    </row>
    <row r="11">
      <c r="A11" s="373">
        <f>A$10</f>
        <v/>
      </c>
      <c r="B11" s="579" t="n"/>
      <c r="C11" s="374">
        <f>IFERROR(INDEX($AZ$10#,ROW()-10+1,1),"")</f>
        <v/>
      </c>
      <c r="D11" s="375">
        <f>IFERROR(INDEX($AZ$10#,ROW()-10+1,2),"")</f>
        <v/>
      </c>
      <c r="E11" s="579" t="n"/>
      <c r="F11" s="374">
        <f>IFERROR(INDEX($AZ$10#,ROW()-10+1,3),"")</f>
        <v/>
      </c>
      <c r="G11" s="375">
        <f>IFERROR(INDEX($AZ$10#,ROW()-10+1,6),"")</f>
        <v/>
      </c>
      <c r="H11" s="398" t="inlineStr"/>
    </row>
    <row r="12">
      <c r="A12" s="373">
        <f>A$10</f>
        <v/>
      </c>
      <c r="B12" s="579" t="n"/>
      <c r="C12" s="374">
        <f>IFERROR(INDEX($AZ$10#,ROW()-10+1,1),"")</f>
        <v/>
      </c>
      <c r="D12" s="375">
        <f>IFERROR(INDEX($AZ$10#,ROW()-10+1,2),"")</f>
        <v/>
      </c>
      <c r="E12" s="579" t="n"/>
      <c r="F12" s="374">
        <f>IFERROR(INDEX($AZ$10#,ROW()-10+1,3),"")</f>
        <v/>
      </c>
      <c r="G12" s="375">
        <f>IFERROR(INDEX($AZ$10#,ROW()-10+1,6),"")</f>
        <v/>
      </c>
      <c r="H12" s="398" t="inlineStr"/>
    </row>
    <row r="13" ht="15.75" customHeight="1" thickBot="1">
      <c r="A13" s="376">
        <f>A$10</f>
        <v/>
      </c>
      <c r="B13" s="580" t="n"/>
      <c r="C13" s="377">
        <f>IFERROR(INDEX($AZ$10#,ROW()-10+1,1),"")</f>
        <v/>
      </c>
      <c r="D13" s="378">
        <f>IFERROR(INDEX($AZ$10#,ROW()-10+1,2),"")</f>
        <v/>
      </c>
      <c r="E13" s="580" t="n"/>
      <c r="F13" s="377">
        <f>IFERROR(INDEX($AZ$10#,ROW()-10+1,3),"")</f>
        <v/>
      </c>
      <c r="G13" s="378">
        <f>IFERROR(INDEX($AZ$10#,ROW()-10+1,6),"")</f>
        <v/>
      </c>
      <c r="H13" s="399" t="inlineStr"/>
    </row>
    <row r="14" ht="15.75" customHeight="1" thickBot="1">
      <c r="A14" s="206" t="inlineStr">
        <is>
          <t>P/N</t>
        </is>
      </c>
      <c r="B14" s="207" t="inlineStr">
        <is>
          <t>Artikel</t>
        </is>
      </c>
      <c r="C14" s="207" t="inlineStr">
        <is>
          <t>Lotnr.</t>
        </is>
      </c>
      <c r="D14" s="208" t="inlineStr">
        <is>
          <t>Utgångsdatum</t>
        </is>
      </c>
      <c r="E14" s="207" t="inlineStr">
        <is>
          <t>Förvaringsplats</t>
        </is>
      </c>
      <c r="F14" s="207" t="inlineStr">
        <is>
          <t>Antal i lager</t>
        </is>
      </c>
      <c r="G14" s="209" t="inlineStr">
        <is>
          <t>Senast inventering</t>
        </is>
      </c>
      <c r="H14" s="210" t="inlineStr">
        <is>
          <t>SIGN</t>
        </is>
      </c>
    </row>
    <row r="15">
      <c r="A15" s="357" t="inlineStr">
        <is>
          <t>500-1879</t>
        </is>
      </c>
      <c r="B15" s="596" t="inlineStr">
        <is>
          <t>Noro Positive control (PC) High</t>
        </is>
      </c>
      <c r="C15" s="358">
        <f>IFERROR(INDEX($AZ$15#,ROW()-15+1,1),"")</f>
        <v/>
      </c>
      <c r="D15" s="359">
        <f>IFERROR(INDEX($AZ$15#,ROW()-15+1,2),"")</f>
        <v/>
      </c>
      <c r="E15" s="358">
        <f>IFERROR(INDEX($AZ$15#,ROW()-15+1,5),"")</f>
        <v/>
      </c>
      <c r="F15" s="358">
        <f>IFERROR(INDEX($AZ$15#,ROW()-15+1,3),"")</f>
        <v/>
      </c>
      <c r="G15" s="359">
        <f>IFERROR(INDEX($AZ$15#,ROW()-15+1,6),"")</f>
        <v/>
      </c>
      <c r="H15" s="397" t="inlineStr"/>
      <c r="AZ15">
        <f>LET(pn,$A$15,f,FILTER(tblLots[[LotNumber]:[LatestInventory]],(tblLots[PN]=pn)*(tblLots[IsActive]=TRUE),""),s,IFERROR(SORTBY(f,INDEX(f,,2),1,INDEX(f,,6),-1),""),IFERROR(INDEX(s,SEQUENCE(4),SEQUENCE(,6)),""))</f>
        <v/>
      </c>
    </row>
    <row r="16">
      <c r="A16" s="373">
        <f>A$15</f>
        <v/>
      </c>
      <c r="B16" s="590" t="n"/>
      <c r="C16" s="374">
        <f>IFERROR(INDEX($AZ$15#,ROW()-15+1,1),"")</f>
        <v/>
      </c>
      <c r="D16" s="375">
        <f>IFERROR(INDEX($AZ$15#,ROW()-15+1,2),"")</f>
        <v/>
      </c>
      <c r="E16" s="579" t="n"/>
      <c r="F16" s="374">
        <f>IFERROR(INDEX($AZ$15#,ROW()-15+1,3),"")</f>
        <v/>
      </c>
      <c r="G16" s="375">
        <f>IFERROR(INDEX($AZ$15#,ROW()-15+1,6),"")</f>
        <v/>
      </c>
      <c r="H16" s="398" t="inlineStr"/>
    </row>
    <row r="17">
      <c r="A17" s="373">
        <f>A$15</f>
        <v/>
      </c>
      <c r="B17" s="590" t="n"/>
      <c r="C17" s="374">
        <f>IFERROR(INDEX($AZ$15#,ROW()-15+1,1),"")</f>
        <v/>
      </c>
      <c r="D17" s="375">
        <f>IFERROR(INDEX($AZ$15#,ROW()-15+1,2),"")</f>
        <v/>
      </c>
      <c r="E17" s="579" t="n"/>
      <c r="F17" s="374">
        <f>IFERROR(INDEX($AZ$15#,ROW()-15+1,3),"")</f>
        <v/>
      </c>
      <c r="G17" s="375">
        <f>IFERROR(INDEX($AZ$15#,ROW()-15+1,6),"")</f>
        <v/>
      </c>
      <c r="H17" s="398" t="inlineStr"/>
    </row>
    <row r="18" ht="15.75" customHeight="1" thickBot="1">
      <c r="A18" s="376">
        <f>A$15</f>
        <v/>
      </c>
      <c r="B18" s="591" t="n"/>
      <c r="C18" s="377">
        <f>IFERROR(INDEX($AZ$15#,ROW()-15+1,1),"")</f>
        <v/>
      </c>
      <c r="D18" s="378">
        <f>IFERROR(INDEX($AZ$15#,ROW()-15+1,2),"")</f>
        <v/>
      </c>
      <c r="E18" s="580" t="n"/>
      <c r="F18" s="377">
        <f>IFERROR(INDEX($AZ$15#,ROW()-15+1,3),"")</f>
        <v/>
      </c>
      <c r="G18" s="378">
        <f>IFERROR(INDEX($AZ$15#,ROW()-15+1,6),"")</f>
        <v/>
      </c>
      <c r="H18" s="399" t="inlineStr"/>
    </row>
    <row r="19" ht="15.75" customHeight="1" thickBot="1"/>
    <row r="20" ht="24" customHeight="1" thickBot="1">
      <c r="A20" s="581" t="inlineStr">
        <is>
          <t>Lysis Reagent Xpert Virus | 500-1712</t>
        </is>
      </c>
      <c r="B20" s="551" t="n"/>
      <c r="C20" s="551" t="n"/>
      <c r="D20" s="551" t="n"/>
      <c r="E20" s="551" t="n"/>
      <c r="F20" s="551" t="n"/>
      <c r="G20" s="551" t="n"/>
      <c r="H20" s="552" t="n"/>
    </row>
    <row r="21" ht="15.75" customHeight="1" thickBot="1">
      <c r="A21" s="582" t="inlineStr">
        <is>
          <t>P/N 500-1712 Lysis Reagent, Xpert Virus (exp 2 mån) 500-1712 LYSIS, REAGENT, XPERT,VIRUS</t>
        </is>
      </c>
      <c r="B21" s="555" t="n"/>
      <c r="C21" s="555" t="n"/>
      <c r="D21" s="555" t="n"/>
      <c r="E21" s="555" t="n"/>
      <c r="F21" s="555" t="n"/>
      <c r="G21" s="555" t="n"/>
      <c r="H21" s="556" t="n"/>
    </row>
    <row r="22" ht="15.75" customHeight="1" thickBot="1">
      <c r="A22" s="366" t="inlineStr">
        <is>
          <t>Lotnummer</t>
        </is>
      </c>
      <c r="B22" s="555" t="n"/>
      <c r="C22" s="557" t="n"/>
      <c r="D22" s="369" t="inlineStr">
        <is>
          <t>Utgångsdatum</t>
        </is>
      </c>
      <c r="E22" s="557" t="n"/>
      <c r="F22" s="369" t="inlineStr">
        <is>
          <t>Volym, L</t>
        </is>
      </c>
      <c r="G22" s="369" t="inlineStr">
        <is>
          <t>Senast inventering</t>
        </is>
      </c>
      <c r="H22" s="58" t="inlineStr">
        <is>
          <t>SIGN</t>
        </is>
      </c>
    </row>
    <row r="23">
      <c r="A23" s="357">
        <f>IFERROR(INDEX($AZ$23#,ROW()-23+1,1),"")</f>
        <v/>
      </c>
      <c r="B23" s="558" t="n"/>
      <c r="C23" s="559" t="n"/>
      <c r="D23" s="359">
        <f>IFERROR(INDEX($AZ$23#,ROW()-23+1,2),"")</f>
        <v/>
      </c>
      <c r="E23" s="559" t="n"/>
      <c r="F23" s="358">
        <f>IFERROR(INDEX($AZ$23#,ROW()-23+1,3),"")</f>
        <v/>
      </c>
      <c r="G23" s="359">
        <f>IFERROR(INDEX($AZ$23#,ROW()-23+1,6),"")</f>
        <v/>
      </c>
      <c r="H23" s="397" t="inlineStr"/>
      <c r="AZ23">
        <f>LET(pn,$B$23,f,FILTER(tblLots[[LotNumber]:[LatestInventory]],(tblLots[PN]=pn)*(tblLots[IsActive]=TRUE),""),s,IFERROR(SORTBY(f,INDEX(f,,2),1,INDEX(f,,6),-1),""),IFERROR(INDEX(s,SEQUENCE(4),SEQUENCE(,6)),""))</f>
        <v/>
      </c>
    </row>
    <row r="24">
      <c r="A24" s="373">
        <f>IFERROR(INDEX($AZ$23#,ROW()-23+1,1),"")</f>
        <v/>
      </c>
      <c r="B24" s="560" t="n"/>
      <c r="C24" s="561" t="n"/>
      <c r="D24" s="375">
        <f>IFERROR(INDEX($AZ$23#,ROW()-23+1,2),"")</f>
        <v/>
      </c>
      <c r="E24" s="561" t="n"/>
      <c r="F24" s="374">
        <f>IFERROR(INDEX($AZ$23#,ROW()-23+1,3),"")</f>
        <v/>
      </c>
      <c r="G24" s="375">
        <f>IFERROR(INDEX($AZ$23#,ROW()-23+1,6),"")</f>
        <v/>
      </c>
      <c r="H24" s="398" t="inlineStr"/>
    </row>
    <row r="25">
      <c r="A25" s="373">
        <f>IFERROR(INDEX($AZ$23#,ROW()-23+1,1),"")</f>
        <v/>
      </c>
      <c r="B25" s="560" t="n"/>
      <c r="C25" s="561" t="n"/>
      <c r="D25" s="375">
        <f>IFERROR(INDEX($AZ$23#,ROW()-23+1,2),"")</f>
        <v/>
      </c>
      <c r="E25" s="561" t="n"/>
      <c r="F25" s="374">
        <f>IFERROR(INDEX($AZ$23#,ROW()-23+1,3),"")</f>
        <v/>
      </c>
      <c r="G25" s="375">
        <f>IFERROR(INDEX($AZ$23#,ROW()-23+1,6),"")</f>
        <v/>
      </c>
      <c r="H25" s="398" t="inlineStr"/>
    </row>
    <row r="26" ht="15.75" customHeight="1" thickBot="1">
      <c r="A26" s="376">
        <f>IFERROR(INDEX($AZ$23#,ROW()-23+1,1),"")</f>
        <v/>
      </c>
      <c r="B26" s="562" t="n"/>
      <c r="C26" s="563" t="n"/>
      <c r="D26" s="378">
        <f>IFERROR(INDEX($AZ$23#,ROW()-23+1,2),"")</f>
        <v/>
      </c>
      <c r="E26" s="563" t="n"/>
      <c r="F26" s="377">
        <f>IFERROR(INDEX($AZ$23#,ROW()-23+1,3),"")</f>
        <v/>
      </c>
      <c r="G26" s="378">
        <f>IFERROR(INDEX($AZ$23#,ROW()-23+1,6),"")</f>
        <v/>
      </c>
      <c r="H26" s="399" t="inlineStr"/>
    </row>
  </sheetData>
  <sheetProtection selectLockedCells="0" selectUnlockedCells="0" algorithmName="SHA-512" sheet="1" objects="0" insertRows="0" insertHyperlinks="0" autoFilter="0" scenarios="0" formatColumns="0" deleteColumns="0" insertColumns="0" pivotTables="0" deleteRows="0" formatCells="0" saltValue="qvdlrad0jYe4dUM1tcciBg==" formatRows="0" sort="0" spinCount="100000" hashValue="aZhcoF9D1eUqLQ8S1bqVzzA+T99FYevnA1OekbCEw3YHTsvJ4jPPDolOftUD03LocqBYdk9zKfl7XERTwQc3fQ=="/>
  <mergeCells count="19">
    <mergeCell ref="A25:C25"/>
    <mergeCell ref="D22:E22"/>
    <mergeCell ref="E5:E8"/>
    <mergeCell ref="A26:C26"/>
    <mergeCell ref="E10:E13"/>
    <mergeCell ref="A23:C23"/>
    <mergeCell ref="A22:C22"/>
    <mergeCell ref="E15:E18"/>
    <mergeCell ref="B10:B13"/>
    <mergeCell ref="A21:H21"/>
    <mergeCell ref="A2:H2"/>
    <mergeCell ref="B15:B18"/>
    <mergeCell ref="A24:C24"/>
    <mergeCell ref="D25:E25"/>
    <mergeCell ref="B5:B8"/>
    <mergeCell ref="D24:E24"/>
    <mergeCell ref="A20:H20"/>
    <mergeCell ref="D23:E23"/>
    <mergeCell ref="D26:E26"/>
  </mergeCells>
  <pageMargins left="0.7" right="0.7" top="0.75" bottom="0.75" header="0.3" footer="0.3"/>
  <pageSetup orientation="portrait" paperSize="9" verticalDpi="0"/>
</worksheet>
</file>

<file path=xl/worksheets/sheet30.xml><?xml version="1.0" encoding="utf-8"?>
<worksheet xmlns="http://schemas.openxmlformats.org/spreadsheetml/2006/main">
  <sheetPr codeName="Sheet26">
    <tabColor rgb="FF0070C0"/>
    <outlinePr summaryBelow="1" summaryRight="1"/>
    <pageSetUpPr/>
  </sheetPr>
  <dimension ref="A1:AZ16"/>
  <sheetViews>
    <sheetView workbookViewId="0">
      <selection activeCell="A1" sqref="A1"/>
    </sheetView>
  </sheetViews>
  <sheetFormatPr baseColWidth="8" defaultRowHeight="15"/>
  <cols>
    <col width="8.7109375" bestFit="1" customWidth="1" min="1" max="1"/>
    <col hidden="1" width="15.140625" bestFit="1" customWidth="1" min="2" max="2"/>
    <col width="13" customWidth="1" min="3" max="3"/>
    <col width="14" bestFit="1" customWidth="1" min="4" max="4"/>
    <col width="14.7109375" bestFit="1" customWidth="1" min="5" max="5"/>
    <col width="11.5703125" bestFit="1" customWidth="1" min="6" max="6"/>
    <col width="17.85546875" bestFit="1" customWidth="1" min="7" max="7"/>
    <col width="8.140625" customWidth="1" min="8" max="8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15.75" customHeight="1" thickBot="1"/>
    <row r="2" ht="24" customHeight="1" thickBot="1">
      <c r="A2" s="614" t="inlineStr">
        <is>
          <t>VAN A/B</t>
        </is>
      </c>
      <c r="B2" s="551" t="n"/>
      <c r="C2" s="551" t="n"/>
      <c r="D2" s="551" t="n"/>
      <c r="E2" s="551" t="n"/>
      <c r="F2" s="551" t="n"/>
      <c r="G2" s="551" t="n"/>
      <c r="H2" s="552" t="n"/>
    </row>
    <row r="3" ht="15.75" customHeight="1" thickBot="1"/>
    <row r="4" ht="15.75" customHeight="1" thickBot="1">
      <c r="A4" s="240" t="inlineStr">
        <is>
          <t>P/N</t>
        </is>
      </c>
      <c r="B4" s="241" t="inlineStr">
        <is>
          <t>Artikel</t>
        </is>
      </c>
      <c r="C4" s="241" t="inlineStr">
        <is>
          <t>Lotnr.</t>
        </is>
      </c>
      <c r="D4" s="242" t="inlineStr">
        <is>
          <t>Utgångsdatum</t>
        </is>
      </c>
      <c r="E4" s="241" t="inlineStr">
        <is>
          <t>Förvaringsplats</t>
        </is>
      </c>
      <c r="F4" s="241" t="inlineStr">
        <is>
          <t>Antal i lager</t>
        </is>
      </c>
      <c r="G4" s="243" t="inlineStr">
        <is>
          <t>Senast inventering</t>
        </is>
      </c>
      <c r="H4" s="244" t="inlineStr">
        <is>
          <t>SIGN</t>
        </is>
      </c>
    </row>
    <row r="5">
      <c r="A5" s="357" t="inlineStr">
        <is>
          <t>500-1747</t>
        </is>
      </c>
      <c r="B5" s="358" t="inlineStr">
        <is>
          <t>vanA/vanB cells</t>
        </is>
      </c>
      <c r="C5" s="358">
        <f>IFERROR(INDEX($AZ$5#,ROW()-5+1,1),"")</f>
        <v/>
      </c>
      <c r="D5" s="359">
        <f>IFERROR(INDEX($AZ$5#,ROW()-5+1,2),"")</f>
        <v/>
      </c>
      <c r="E5" s="358">
        <f>IFERROR(INDEX($AZ$5#,ROW()-5+1,5),"")</f>
        <v/>
      </c>
      <c r="F5" s="358">
        <f>IFERROR(INDEX($AZ$5#,ROW()-5+1,3),"")</f>
        <v/>
      </c>
      <c r="G5" s="359">
        <f>IFERROR(INDEX($AZ$5#,ROW()-5+1,6),"")</f>
        <v/>
      </c>
      <c r="H5" s="397" t="inlineStr"/>
      <c r="AZ5">
        <f>LET(pn,$A$5,f,FILTER(tblLots[[LotNumber]:[LatestInventory]],(tblLots[PN]=pn)*(tblLots[IsActive]=TRUE),""),s,IFERROR(SORTBY(f,INDEX(f,,2),1,INDEX(f,,6),-1),""),IFERROR(INDEX(s,SEQUENCE(4),SEQUENCE(,6)),""))</f>
        <v/>
      </c>
    </row>
    <row r="6">
      <c r="A6" s="373">
        <f>A$5</f>
        <v/>
      </c>
      <c r="B6" s="579" t="n"/>
      <c r="C6" s="374">
        <f>IFERROR(INDEX($AZ$5#,ROW()-5+1,1),"")</f>
        <v/>
      </c>
      <c r="D6" s="375">
        <f>IFERROR(INDEX($AZ$5#,ROW()-5+1,2),"")</f>
        <v/>
      </c>
      <c r="E6" s="579" t="n"/>
      <c r="F6" s="374">
        <f>IFERROR(INDEX($AZ$5#,ROW()-5+1,3),"")</f>
        <v/>
      </c>
      <c r="G6" s="375">
        <f>IFERROR(INDEX($AZ$5#,ROW()-5+1,6),"")</f>
        <v/>
      </c>
      <c r="H6" s="398" t="inlineStr"/>
    </row>
    <row r="7">
      <c r="A7" s="373">
        <f>A$5</f>
        <v/>
      </c>
      <c r="B7" s="579" t="n"/>
      <c r="C7" s="374">
        <f>IFERROR(INDEX($AZ$5#,ROW()-5+1,1),"")</f>
        <v/>
      </c>
      <c r="D7" s="375">
        <f>IFERROR(INDEX($AZ$5#,ROW()-5+1,2),"")</f>
        <v/>
      </c>
      <c r="E7" s="579" t="n"/>
      <c r="F7" s="374">
        <f>IFERROR(INDEX($AZ$5#,ROW()-5+1,3),"")</f>
        <v/>
      </c>
      <c r="G7" s="375">
        <f>IFERROR(INDEX($AZ$5#,ROW()-5+1,6),"")</f>
        <v/>
      </c>
      <c r="H7" s="398" t="inlineStr"/>
    </row>
    <row r="8" ht="15.75" customHeight="1" thickBot="1">
      <c r="A8" s="376">
        <f>A$5</f>
        <v/>
      </c>
      <c r="B8" s="580" t="n"/>
      <c r="C8" s="377">
        <f>IFERROR(INDEX($AZ$5#,ROW()-5+1,1),"")</f>
        <v/>
      </c>
      <c r="D8" s="378">
        <f>IFERROR(INDEX($AZ$5#,ROW()-5+1,2),"")</f>
        <v/>
      </c>
      <c r="E8" s="580" t="n"/>
      <c r="F8" s="377">
        <f>IFERROR(INDEX($AZ$5#,ROW()-5+1,3),"")</f>
        <v/>
      </c>
      <c r="G8" s="378">
        <f>IFERROR(INDEX($AZ$5#,ROW()-5+1,6),"")</f>
        <v/>
      </c>
      <c r="H8" s="399" t="inlineStr"/>
    </row>
    <row r="9" ht="15.75" customHeight="1" thickBot="1"/>
    <row r="10" ht="24" customHeight="1" thickBot="1">
      <c r="A10" s="581" t="inlineStr">
        <is>
          <t>VAN A/B | 500-0952</t>
        </is>
      </c>
      <c r="B10" s="551" t="n"/>
      <c r="C10" s="551" t="n"/>
      <c r="D10" s="551" t="n"/>
      <c r="E10" s="551" t="n"/>
      <c r="F10" s="551" t="n"/>
      <c r="G10" s="551" t="n"/>
      <c r="H10" s="552" t="n"/>
    </row>
    <row r="11" ht="15.75" customHeight="1" thickBot="1">
      <c r="A11" s="586" t="inlineStr">
        <is>
          <t>P/N 500-0952 Buffer, TET (exp 6 mån)
500-0952 Samole buffer Van A/B</t>
        </is>
      </c>
      <c r="B11" s="551" t="n"/>
      <c r="C11" s="551" t="n"/>
      <c r="D11" s="551" t="n"/>
      <c r="E11" s="551" t="n"/>
      <c r="F11" s="551" t="n"/>
      <c r="G11" s="551" t="n"/>
      <c r="H11" s="552" t="n"/>
    </row>
    <row r="12" ht="15.75" customHeight="1" thickBot="1">
      <c r="A12" s="366" t="inlineStr">
        <is>
          <t>Lotnummer</t>
        </is>
      </c>
      <c r="B12" s="555" t="n"/>
      <c r="C12" s="557" t="n"/>
      <c r="D12" s="369" t="inlineStr">
        <is>
          <t>Utgångsdatum</t>
        </is>
      </c>
      <c r="E12" s="557" t="n"/>
      <c r="F12" s="56" t="inlineStr">
        <is>
          <t>Volym, L</t>
        </is>
      </c>
      <c r="G12" s="369" t="inlineStr">
        <is>
          <t>Senast inventering</t>
        </is>
      </c>
      <c r="H12" s="58" t="inlineStr">
        <is>
          <t>SIGN</t>
        </is>
      </c>
    </row>
    <row r="13">
      <c r="A13" s="357">
        <f>IFERROR(INDEX($AZ$13#,ROW()-13+1,1),"")</f>
        <v/>
      </c>
      <c r="B13" s="558" t="n"/>
      <c r="C13" s="559" t="n"/>
      <c r="D13" s="359">
        <f>IFERROR(INDEX($AZ$13#,ROW()-13+1,2),"")</f>
        <v/>
      </c>
      <c r="E13" s="559" t="n"/>
      <c r="F13" s="359">
        <f>IFERROR(INDEX($AZ$13#,ROW()-13+1,3),"")</f>
        <v/>
      </c>
      <c r="G13" s="359">
        <f>IFERROR(INDEX($AZ$13#,ROW()-13+1,6),"")</f>
        <v/>
      </c>
      <c r="H13" s="397" t="inlineStr"/>
      <c r="AZ13">
        <f>LET(pn,$B$13,f,FILTER(tblLots[[LotNumber]:[LatestInventory]],(tblLots[PN]=pn)*(tblLots[IsActive]=TRUE),""),s,IFERROR(SORTBY(f,INDEX(f,,2),1,INDEX(f,,6),-1),""),IFERROR(INDEX(s,SEQUENCE(4),SEQUENCE(,6)),""))</f>
        <v/>
      </c>
    </row>
    <row r="14">
      <c r="A14" s="373">
        <f>IFERROR(INDEX($AZ$13#,ROW()-13+1,1),"")</f>
        <v/>
      </c>
      <c r="B14" s="560" t="n"/>
      <c r="C14" s="561" t="n"/>
      <c r="D14" s="375">
        <f>IFERROR(INDEX($AZ$13#,ROW()-13+1,2),"")</f>
        <v/>
      </c>
      <c r="E14" s="561" t="n"/>
      <c r="F14" s="375">
        <f>IFERROR(INDEX($AZ$13#,ROW()-13+1,3),"")</f>
        <v/>
      </c>
      <c r="G14" s="375">
        <f>IFERROR(INDEX($AZ$13#,ROW()-13+1,6),"")</f>
        <v/>
      </c>
      <c r="H14" s="398" t="inlineStr"/>
    </row>
    <row r="15">
      <c r="A15" s="373">
        <f>IFERROR(INDEX($AZ$13#,ROW()-13+1,1),"")</f>
        <v/>
      </c>
      <c r="B15" s="560" t="n"/>
      <c r="C15" s="561" t="n"/>
      <c r="D15" s="375">
        <f>IFERROR(INDEX($AZ$13#,ROW()-13+1,2),"")</f>
        <v/>
      </c>
      <c r="E15" s="561" t="n"/>
      <c r="F15" s="375">
        <f>IFERROR(INDEX($AZ$13#,ROW()-13+1,3),"")</f>
        <v/>
      </c>
      <c r="G15" s="375">
        <f>IFERROR(INDEX($AZ$13#,ROW()-13+1,6),"")</f>
        <v/>
      </c>
      <c r="H15" s="398" t="inlineStr"/>
    </row>
    <row r="16" ht="15.75" customHeight="1" thickBot="1">
      <c r="A16" s="376">
        <f>IFERROR(INDEX($AZ$13#,ROW()-13+1,1),"")</f>
        <v/>
      </c>
      <c r="B16" s="562" t="n"/>
      <c r="C16" s="563" t="n"/>
      <c r="D16" s="378">
        <f>IFERROR(INDEX($AZ$13#,ROW()-13+1,2),"")</f>
        <v/>
      </c>
      <c r="E16" s="563" t="n"/>
      <c r="F16" s="378">
        <f>IFERROR(INDEX($AZ$13#,ROW()-13+1,3),"")</f>
        <v/>
      </c>
      <c r="G16" s="378">
        <f>IFERROR(INDEX($AZ$13#,ROW()-13+1,6),"")</f>
        <v/>
      </c>
      <c r="H16" s="399" t="inlineStr"/>
    </row>
  </sheetData>
  <sheetProtection selectLockedCells="0" selectUnlockedCells="0" algorithmName="SHA-512" sheet="1" objects="0" insertRows="0" insertHyperlinks="0" autoFilter="0" scenarios="0" formatColumns="0" deleteColumns="0" insertColumns="0" pivotTables="0" deleteRows="0" formatCells="0" saltValue="GA7b90cy1dh6wgJP+ios9w==" formatRows="0" sort="0" spinCount="100000" hashValue="cqsFap8vBNE5Fi3WoG+eqI+65w8dpHt/0Bw65nMZoXmqI9sB+pmvwh/v+L225yevxRKOdKLiH8XVHIbFkAT7+w=="/>
  <mergeCells count="15">
    <mergeCell ref="B5:B8"/>
    <mergeCell ref="D16:E16"/>
    <mergeCell ref="A13:C13"/>
    <mergeCell ref="D15:E15"/>
    <mergeCell ref="D13:E13"/>
    <mergeCell ref="A2:H2"/>
    <mergeCell ref="A14:C14"/>
    <mergeCell ref="A10:H10"/>
    <mergeCell ref="D14:E14"/>
    <mergeCell ref="A11:H11"/>
    <mergeCell ref="A12:C12"/>
    <mergeCell ref="E5:E8"/>
    <mergeCell ref="A16:C16"/>
    <mergeCell ref="D12:E12"/>
    <mergeCell ref="A15:C15"/>
  </mergeCells>
  <pageMargins left="0.7" right="0.7" top="0.75" bottom="0.75" header="0.3" footer="0.3"/>
  <pageSetup orientation="portrait" paperSize="9" verticalDpi="0"/>
</worksheet>
</file>

<file path=xl/worksheets/sheet31.xml><?xml version="1.0" encoding="utf-8"?>
<worksheet xmlns="http://schemas.openxmlformats.org/spreadsheetml/2006/main">
  <sheetPr codeName="Sheet27">
    <tabColor rgb="FF00B050"/>
    <outlinePr summaryBelow="1" summaryRight="1"/>
    <pageSetUpPr/>
  </sheetPr>
  <dimension ref="A1:AZ23"/>
  <sheetViews>
    <sheetView workbookViewId="0">
      <selection activeCell="A1" sqref="A1"/>
    </sheetView>
  </sheetViews>
  <sheetFormatPr baseColWidth="8" defaultRowHeight="15"/>
  <cols>
    <col width="9.7109375" bestFit="1" customWidth="1" min="1" max="1"/>
    <col width="27.140625" bestFit="1" customWidth="1" min="2" max="2"/>
    <col width="14.42578125" customWidth="1" min="3" max="3"/>
    <col width="14" bestFit="1" customWidth="1" min="4" max="4"/>
    <col width="15" bestFit="1" customWidth="1" min="5" max="5"/>
    <col width="11.5703125" bestFit="1" customWidth="1" min="6" max="6"/>
    <col width="17.85546875" bestFit="1" customWidth="1" min="7" max="7"/>
    <col width="7.7109375" customWidth="1" min="8" max="8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15.75" customHeight="1" thickBot="1"/>
    <row r="2" ht="24" customHeight="1" thickBot="1">
      <c r="A2" s="615" t="inlineStr">
        <is>
          <t>GBS</t>
        </is>
      </c>
      <c r="B2" s="551" t="n"/>
      <c r="C2" s="551" t="n"/>
      <c r="D2" s="551" t="n"/>
      <c r="E2" s="551" t="n"/>
      <c r="F2" s="551" t="n"/>
      <c r="G2" s="551" t="n"/>
      <c r="H2" s="552" t="n"/>
    </row>
    <row r="3" ht="15.75" customHeight="1" thickBot="1"/>
    <row r="4" ht="15.75" customHeight="1" thickBot="1">
      <c r="A4" s="245" t="inlineStr">
        <is>
          <t>P/N</t>
        </is>
      </c>
      <c r="B4" s="246" t="inlineStr">
        <is>
          <t>Artikel</t>
        </is>
      </c>
      <c r="C4" s="246" t="inlineStr">
        <is>
          <t>Lotnr.</t>
        </is>
      </c>
      <c r="D4" s="247" t="inlineStr">
        <is>
          <t>Utgångsdatum</t>
        </is>
      </c>
      <c r="E4" s="246" t="inlineStr">
        <is>
          <t>Förvaringsplats</t>
        </is>
      </c>
      <c r="F4" s="246" t="inlineStr">
        <is>
          <t>Antal i lager</t>
        </is>
      </c>
      <c r="G4" s="248" t="inlineStr">
        <is>
          <t>Senast inventering</t>
        </is>
      </c>
      <c r="H4" s="249" t="inlineStr">
        <is>
          <t>SIGN</t>
        </is>
      </c>
    </row>
    <row r="5">
      <c r="A5" s="357" t="inlineStr">
        <is>
          <t>525-00136</t>
        </is>
      </c>
      <c r="B5" s="358" t="inlineStr">
        <is>
          <t>NAT-LAC, aliquoted</t>
        </is>
      </c>
      <c r="C5" s="358">
        <f>IFERROR(INDEX($AZ$5#,ROW()-5+1,1),"")</f>
        <v/>
      </c>
      <c r="D5" s="359">
        <f>IFERROR(INDEX($AZ$5#,ROW()-5+1,2),"")</f>
        <v/>
      </c>
      <c r="E5" s="358">
        <f>IFERROR(INDEX($AZ$5#,ROW()-5+1,5),"")</f>
        <v/>
      </c>
      <c r="F5" s="358">
        <f>IFERROR(INDEX($AZ$5#,ROW()-5+1,3),"")</f>
        <v/>
      </c>
      <c r="G5" s="359">
        <f>IFERROR(INDEX($AZ$5#,ROW()-5+1,6),"")</f>
        <v/>
      </c>
      <c r="H5" s="397" t="inlineStr"/>
      <c r="AZ5">
        <f>LET(pn,$A$5,f,FILTER(tblLots[[LotNumber]:[LatestInventory]],(tblLots[PN]=pn)*(tblLots[IsActive]=TRUE),""),s,IFERROR(SORTBY(f,INDEX(f,,2),1,INDEX(f,,6),-1),""),IFERROR(INDEX(s,SEQUENCE(4),SEQUENCE(,6)),""))</f>
        <v/>
      </c>
    </row>
    <row r="6">
      <c r="A6" s="373">
        <f>A$5</f>
        <v/>
      </c>
      <c r="B6" s="579" t="n"/>
      <c r="C6" s="374">
        <f>IFERROR(INDEX($AZ$5#,ROW()-5+1,1),"")</f>
        <v/>
      </c>
      <c r="D6" s="375">
        <f>IFERROR(INDEX($AZ$5#,ROW()-5+1,2),"")</f>
        <v/>
      </c>
      <c r="E6" s="579" t="n"/>
      <c r="F6" s="374">
        <f>IFERROR(INDEX($AZ$5#,ROW()-5+1,3),"")</f>
        <v/>
      </c>
      <c r="G6" s="375">
        <f>IFERROR(INDEX($AZ$5#,ROW()-5+1,6),"")</f>
        <v/>
      </c>
      <c r="H6" s="398" t="inlineStr"/>
    </row>
    <row r="7">
      <c r="A7" s="373">
        <f>A$5</f>
        <v/>
      </c>
      <c r="B7" s="579" t="n"/>
      <c r="C7" s="374">
        <f>IFERROR(INDEX($AZ$5#,ROW()-5+1,1),"")</f>
        <v/>
      </c>
      <c r="D7" s="375">
        <f>IFERROR(INDEX($AZ$5#,ROW()-5+1,2),"")</f>
        <v/>
      </c>
      <c r="E7" s="579" t="n"/>
      <c r="F7" s="374">
        <f>IFERROR(INDEX($AZ$5#,ROW()-5+1,3),"")</f>
        <v/>
      </c>
      <c r="G7" s="375">
        <f>IFERROR(INDEX($AZ$5#,ROW()-5+1,6),"")</f>
        <v/>
      </c>
      <c r="H7" s="398" t="inlineStr"/>
    </row>
    <row r="8" ht="15.75" customHeight="1" thickBot="1">
      <c r="A8" s="376">
        <f>A$5</f>
        <v/>
      </c>
      <c r="B8" s="580" t="n"/>
      <c r="C8" s="377">
        <f>IFERROR(INDEX($AZ$5#,ROW()-5+1,1),"")</f>
        <v/>
      </c>
      <c r="D8" s="378">
        <f>IFERROR(INDEX($AZ$5#,ROW()-5+1,2),"")</f>
        <v/>
      </c>
      <c r="E8" s="580" t="n"/>
      <c r="F8" s="377">
        <f>IFERROR(INDEX($AZ$5#,ROW()-5+1,3),"")</f>
        <v/>
      </c>
      <c r="G8" s="378">
        <f>IFERROR(INDEX($AZ$5#,ROW()-5+1,6),"")</f>
        <v/>
      </c>
      <c r="H8" s="399" t="inlineStr"/>
    </row>
    <row r="9" ht="15.75" customHeight="1" thickBot="1">
      <c r="A9" s="250" t="inlineStr">
        <is>
          <t>P/N</t>
        </is>
      </c>
      <c r="B9" s="251" t="inlineStr">
        <is>
          <t>Artikel</t>
        </is>
      </c>
      <c r="C9" s="251" t="inlineStr">
        <is>
          <t>Lotnr.</t>
        </is>
      </c>
      <c r="D9" s="252" t="inlineStr">
        <is>
          <t>Utgångsdatum</t>
        </is>
      </c>
      <c r="E9" s="251" t="inlineStr">
        <is>
          <t>Förvaringsplats</t>
        </is>
      </c>
      <c r="F9" s="251" t="inlineStr">
        <is>
          <t>Antal i lager</t>
        </is>
      </c>
      <c r="G9" s="253" t="inlineStr">
        <is>
          <t>Senast inventering</t>
        </is>
      </c>
      <c r="H9" s="254" t="inlineStr">
        <is>
          <t>SIGN</t>
        </is>
      </c>
    </row>
    <row r="10">
      <c r="A10" s="357" t="inlineStr">
        <is>
          <t>525-00038</t>
        </is>
      </c>
      <c r="B10" s="459" t="inlineStr">
        <is>
          <t>EDTA Human Whole 
Blood (NTC)</t>
        </is>
      </c>
      <c r="C10" s="358">
        <f>IFERROR(INDEX($AZ$10#,ROW()-10+1,1),"")</f>
        <v/>
      </c>
      <c r="D10" s="359">
        <f>IFERROR(INDEX($AZ$10#,ROW()-10+1,2),"")</f>
        <v/>
      </c>
      <c r="E10" s="358">
        <f>IFERROR(INDEX($AZ$10#,ROW()-10+1,5),"")</f>
        <v/>
      </c>
      <c r="F10" s="358">
        <f>IFERROR(INDEX($AZ$10#,ROW()-10+1,3),"")</f>
        <v/>
      </c>
      <c r="G10" s="359">
        <f>IFERROR(INDEX($AZ$10#,ROW()-10+1,6),"")</f>
        <v/>
      </c>
      <c r="H10" s="397" t="inlineStr"/>
      <c r="AZ10">
        <f>LET(pn,$A$10,f,FILTER(tblLots[[LotNumber]:[LatestInventory]],(tblLots[PN]=pn)*(tblLots[IsActive]=TRUE),""),s,IFERROR(SORTBY(f,INDEX(f,,2),1,INDEX(f,,6),-1),""),IFERROR(INDEX(s,SEQUENCE(4),SEQUENCE(,6)),""))</f>
        <v/>
      </c>
    </row>
    <row r="11">
      <c r="A11" s="373">
        <f>A$10</f>
        <v/>
      </c>
      <c r="B11" s="579" t="n"/>
      <c r="C11" s="374">
        <f>IFERROR(INDEX($AZ$10#,ROW()-10+1,1),"")</f>
        <v/>
      </c>
      <c r="D11" s="375">
        <f>IFERROR(INDEX($AZ$10#,ROW()-10+1,2),"")</f>
        <v/>
      </c>
      <c r="E11" s="579" t="n"/>
      <c r="F11" s="374">
        <f>IFERROR(INDEX($AZ$10#,ROW()-10+1,3),"")</f>
        <v/>
      </c>
      <c r="G11" s="375">
        <f>IFERROR(INDEX($AZ$10#,ROW()-10+1,6),"")</f>
        <v/>
      </c>
      <c r="H11" s="398" t="inlineStr"/>
    </row>
    <row r="12">
      <c r="A12" s="373">
        <f>A$10</f>
        <v/>
      </c>
      <c r="B12" s="579" t="n"/>
      <c r="C12" s="374">
        <f>IFERROR(INDEX($AZ$10#,ROW()-10+1,1),"")</f>
        <v/>
      </c>
      <c r="D12" s="375">
        <f>IFERROR(INDEX($AZ$10#,ROW()-10+1,2),"")</f>
        <v/>
      </c>
      <c r="E12" s="579" t="n"/>
      <c r="F12" s="374">
        <f>IFERROR(INDEX($AZ$10#,ROW()-10+1,3),"")</f>
        <v/>
      </c>
      <c r="G12" s="375">
        <f>IFERROR(INDEX($AZ$10#,ROW()-10+1,6),"")</f>
        <v/>
      </c>
      <c r="H12" s="398" t="inlineStr"/>
    </row>
    <row r="13" ht="15.75" customHeight="1" thickBot="1">
      <c r="A13" s="376">
        <f>A$10</f>
        <v/>
      </c>
      <c r="B13" s="580" t="n"/>
      <c r="C13" s="377">
        <f>IFERROR(INDEX($AZ$10#,ROW()-10+1,1),"")</f>
        <v/>
      </c>
      <c r="D13" s="378">
        <f>IFERROR(INDEX($AZ$10#,ROW()-10+1,2),"")</f>
        <v/>
      </c>
      <c r="E13" s="580" t="n"/>
      <c r="F13" s="377">
        <f>IFERROR(INDEX($AZ$10#,ROW()-10+1,3),"")</f>
        <v/>
      </c>
      <c r="G13" s="378">
        <f>IFERROR(INDEX($AZ$10#,ROW()-10+1,6),"")</f>
        <v/>
      </c>
      <c r="H13" s="399" t="inlineStr"/>
    </row>
    <row r="14" ht="15.75" customHeight="1" thickBot="1">
      <c r="A14" s="331" t="inlineStr">
        <is>
          <t>P/N</t>
        </is>
      </c>
      <c r="B14" s="332" t="inlineStr">
        <is>
          <t>Artikel</t>
        </is>
      </c>
      <c r="C14" s="332" t="inlineStr">
        <is>
          <t>Lotnr.</t>
        </is>
      </c>
      <c r="D14" s="333" t="inlineStr">
        <is>
          <t>Utgångsdatum</t>
        </is>
      </c>
      <c r="E14" s="332" t="inlineStr">
        <is>
          <t>Förvaringsplats</t>
        </is>
      </c>
      <c r="F14" s="332" t="inlineStr">
        <is>
          <t>Antal i lager</t>
        </is>
      </c>
      <c r="G14" s="334" t="inlineStr">
        <is>
          <t>Senast inventering</t>
        </is>
      </c>
      <c r="H14" s="335" t="inlineStr">
        <is>
          <t>SIGN</t>
        </is>
      </c>
    </row>
    <row r="15">
      <c r="A15" s="427" t="inlineStr">
        <is>
          <t>525-00327</t>
        </is>
      </c>
      <c r="B15" s="504" t="inlineStr">
        <is>
          <t>EDTA Human Whole  Blood (NTC)</t>
        </is>
      </c>
      <c r="C15" s="428">
        <f>IFERROR(INDEX($AZ$15#,ROW()-15+1,1),"")</f>
        <v/>
      </c>
      <c r="D15" s="429">
        <f>IFERROR(INDEX($AZ$15#,ROW()-15+1,2),"")</f>
        <v/>
      </c>
      <c r="E15" s="428">
        <f>IFERROR(INDEX($AZ$15#,ROW()-15+1,5),"")</f>
        <v/>
      </c>
      <c r="F15" s="318">
        <f>IFERROR(INDEX($AZ$15#,ROW()-15+1,3),"")</f>
        <v/>
      </c>
      <c r="G15" s="375">
        <f>IFERROR(INDEX($AZ$15#,ROW()-15+1,6),"")</f>
        <v/>
      </c>
      <c r="H15" s="37" t="inlineStr"/>
      <c r="AZ15">
        <f>LET(pn,$A$15,f,FILTER(tblLots[[LotNumber]:[LatestInventory]],(tblLots[PN]=pn)*(tblLots[IsActive]=TRUE),""),s,IFERROR(SORTBY(f,INDEX(f,,2),1,INDEX(f,,6),-1),""),IFERROR(INDEX(s,SEQUENCE(4),SEQUENCE(,6)),""))</f>
        <v/>
      </c>
    </row>
    <row r="16">
      <c r="A16" s="427">
        <f>A$15</f>
        <v/>
      </c>
      <c r="B16" s="570" t="n"/>
      <c r="C16" s="428">
        <f>IFERROR(INDEX($AZ$15#,ROW()-15+1,1),"")</f>
        <v/>
      </c>
      <c r="D16" s="429">
        <f>IFERROR(INDEX($AZ$15#,ROW()-15+1,2),"")</f>
        <v/>
      </c>
      <c r="E16" s="579" t="n"/>
      <c r="F16" s="318">
        <f>IFERROR(INDEX($AZ$15#,ROW()-15+1,3),"")</f>
        <v/>
      </c>
      <c r="G16" s="375">
        <f>IFERROR(INDEX($AZ$15#,ROW()-15+1,6),"")</f>
        <v/>
      </c>
      <c r="H16" s="37" t="inlineStr"/>
    </row>
    <row r="17">
      <c r="A17" s="427">
        <f>A$15</f>
        <v/>
      </c>
      <c r="B17" s="570" t="n"/>
      <c r="C17" s="428">
        <f>IFERROR(INDEX($AZ$15#,ROW()-15+1,1),"")</f>
        <v/>
      </c>
      <c r="D17" s="429">
        <f>IFERROR(INDEX($AZ$15#,ROW()-15+1,2),"")</f>
        <v/>
      </c>
      <c r="E17" s="579" t="n"/>
      <c r="F17" s="318">
        <f>IFERROR(INDEX($AZ$15#,ROW()-15+1,3),"")</f>
        <v/>
      </c>
      <c r="G17" s="375">
        <f>IFERROR(INDEX($AZ$15#,ROW()-15+1,6),"")</f>
        <v/>
      </c>
      <c r="H17" s="37" t="inlineStr"/>
    </row>
    <row r="18" ht="15.75" customHeight="1" thickBot="1">
      <c r="A18" s="427">
        <f>A$15</f>
        <v/>
      </c>
      <c r="B18" s="573" t="n"/>
      <c r="C18" s="428">
        <f>IFERROR(INDEX($AZ$15#,ROW()-15+1,1),"")</f>
        <v/>
      </c>
      <c r="D18" s="429">
        <f>IFERROR(INDEX($AZ$15#,ROW()-15+1,2),"")</f>
        <v/>
      </c>
      <c r="E18" s="580" t="n"/>
      <c r="F18" s="318">
        <f>IFERROR(INDEX($AZ$15#,ROW()-15+1,3),"")</f>
        <v/>
      </c>
      <c r="G18" s="375">
        <f>IFERROR(INDEX($AZ$15#,ROW()-15+1,6),"")</f>
        <v/>
      </c>
      <c r="H18" s="37" t="inlineStr"/>
    </row>
    <row r="19" ht="15.75" customHeight="1" thickBot="1">
      <c r="A19" s="250" t="inlineStr">
        <is>
          <t>P/N</t>
        </is>
      </c>
      <c r="B19" s="251" t="inlineStr">
        <is>
          <t>Artikel</t>
        </is>
      </c>
      <c r="C19" s="251" t="inlineStr">
        <is>
          <t>Lotnr.</t>
        </is>
      </c>
      <c r="D19" s="252" t="inlineStr">
        <is>
          <t>Utgångsdatum</t>
        </is>
      </c>
      <c r="E19" s="251" t="inlineStr">
        <is>
          <t>Förvaringsplats</t>
        </is>
      </c>
      <c r="F19" s="251" t="inlineStr">
        <is>
          <t>Antal i lager</t>
        </is>
      </c>
      <c r="G19" s="253" t="inlineStr">
        <is>
          <t>Senast inventering</t>
        </is>
      </c>
      <c r="H19" s="254" t="inlineStr">
        <is>
          <t>SIGN</t>
        </is>
      </c>
    </row>
    <row r="20">
      <c r="A20" s="357" t="inlineStr">
        <is>
          <t>525-00137</t>
        </is>
      </c>
      <c r="B20" s="358" t="inlineStr">
        <is>
          <t>GBS NATtrol LOW</t>
        </is>
      </c>
      <c r="C20" s="358">
        <f>IFERROR(INDEX($AZ$20#,ROW()-20+1,1),"")</f>
        <v/>
      </c>
      <c r="D20" s="359">
        <f>IFERROR(INDEX($AZ$20#,ROW()-20+1,2),"")</f>
        <v/>
      </c>
      <c r="E20" s="358">
        <f>IFERROR(INDEX($AZ$20#,ROW()-20+1,5),"")</f>
        <v/>
      </c>
      <c r="F20" s="358">
        <f>IFERROR(INDEX($AZ$20#,ROW()-20+1,3),"")</f>
        <v/>
      </c>
      <c r="G20" s="359">
        <f>IFERROR(INDEX($AZ$20#,ROW()-20+1,6),"")</f>
        <v/>
      </c>
      <c r="H20" s="397" t="inlineStr"/>
      <c r="AZ20">
        <f>LET(pn,$A$20,f,FILTER(tblLots[[LotNumber]:[LatestInventory]],(tblLots[PN]=pn)*(tblLots[IsActive]=TRUE),""),s,IFERROR(SORTBY(f,INDEX(f,,2),1,INDEX(f,,6),-1),""),IFERROR(INDEX(s,SEQUENCE(4),SEQUENCE(,6)),""))</f>
        <v/>
      </c>
    </row>
    <row r="21">
      <c r="A21" s="373">
        <f>A$20</f>
        <v/>
      </c>
      <c r="B21" s="579" t="n"/>
      <c r="C21" s="374">
        <f>IFERROR(INDEX($AZ$20#,ROW()-20+1,1),"")</f>
        <v/>
      </c>
      <c r="D21" s="375">
        <f>IFERROR(INDEX($AZ$20#,ROW()-20+1,2),"")</f>
        <v/>
      </c>
      <c r="E21" s="579" t="n"/>
      <c r="F21" s="374">
        <f>IFERROR(INDEX($AZ$20#,ROW()-20+1,3),"")</f>
        <v/>
      </c>
      <c r="G21" s="375">
        <f>IFERROR(INDEX($AZ$20#,ROW()-20+1,6),"")</f>
        <v/>
      </c>
      <c r="H21" s="398" t="inlineStr"/>
    </row>
    <row r="22">
      <c r="A22" s="373">
        <f>A$20</f>
        <v/>
      </c>
      <c r="B22" s="579" t="n"/>
      <c r="C22" s="374">
        <f>IFERROR(INDEX($AZ$20#,ROW()-20+1,1),"")</f>
        <v/>
      </c>
      <c r="D22" s="375">
        <f>IFERROR(INDEX($AZ$20#,ROW()-20+1,2),"")</f>
        <v/>
      </c>
      <c r="E22" s="579" t="n"/>
      <c r="F22" s="374">
        <f>IFERROR(INDEX($AZ$20#,ROW()-20+1,3),"")</f>
        <v/>
      </c>
      <c r="G22" s="375">
        <f>IFERROR(INDEX($AZ$20#,ROW()-20+1,6),"")</f>
        <v/>
      </c>
      <c r="H22" s="398" t="inlineStr"/>
    </row>
    <row r="23" ht="15.75" customHeight="1" thickBot="1">
      <c r="A23" s="376">
        <f>A$20</f>
        <v/>
      </c>
      <c r="B23" s="580" t="n"/>
      <c r="C23" s="377">
        <f>IFERROR(INDEX($AZ$20#,ROW()-20+1,1),"")</f>
        <v/>
      </c>
      <c r="D23" s="378">
        <f>IFERROR(INDEX($AZ$20#,ROW()-20+1,2),"")</f>
        <v/>
      </c>
      <c r="E23" s="580" t="n"/>
      <c r="F23" s="377">
        <f>IFERROR(INDEX($AZ$20#,ROW()-20+1,3),"")</f>
        <v/>
      </c>
      <c r="G23" s="378">
        <f>IFERROR(INDEX($AZ$20#,ROW()-20+1,6),"")</f>
        <v/>
      </c>
      <c r="H23" s="399" t="inlineStr"/>
    </row>
  </sheetData>
  <sheetProtection selectLockedCells="0" selectUnlockedCells="0" algorithmName="SHA-512" sheet="1" objects="0" insertRows="0" insertHyperlinks="0" autoFilter="0" scenarios="0" formatColumns="0" deleteColumns="0" insertColumns="0" pivotTables="0" deleteRows="0" formatCells="0" saltValue="ykyF1WEb8VcYmuqncsYmDA==" formatRows="0" sort="0" spinCount="100000" hashValue="yNqeJdDTpm+XKE+lbNYH3Ftj2aZcNl0IycJ0U1+AL/6qxQgfORWCHsBjoycRhulq4AjCCuG/yBqwGDNbnxttcg=="/>
  <mergeCells count="9">
    <mergeCell ref="B5:B8"/>
    <mergeCell ref="A2:H2"/>
    <mergeCell ref="B20:B23"/>
    <mergeCell ref="E20:E23"/>
    <mergeCell ref="B15:B18"/>
    <mergeCell ref="E15:E18"/>
    <mergeCell ref="E5:E8"/>
    <mergeCell ref="B10:B13"/>
    <mergeCell ref="E10:E13"/>
  </mergeCells>
  <pageMargins left="0.7" right="0.7" top="0.75" bottom="0.75" header="0.3" footer="0.3"/>
  <pageSetup orientation="portrait" paperSize="9" verticalDpi="0"/>
</worksheet>
</file>

<file path=xl/worksheets/sheet32.xml><?xml version="1.0" encoding="utf-8"?>
<worksheet xmlns="http://schemas.openxmlformats.org/spreadsheetml/2006/main">
  <sheetPr codeName="Sheet28">
    <tabColor theme="9" tint="0.7999816888943144"/>
    <outlinePr summaryBelow="1" summaryRight="1"/>
    <pageSetUpPr/>
  </sheetPr>
  <dimension ref="A1:AZ18"/>
  <sheetViews>
    <sheetView workbookViewId="0">
      <selection activeCell="A1" sqref="A1"/>
    </sheetView>
  </sheetViews>
  <sheetFormatPr baseColWidth="8" defaultRowHeight="15"/>
  <cols>
    <col width="9.7109375" bestFit="1" customWidth="1" min="1" max="1"/>
    <col width="27.140625" bestFit="1" customWidth="1" min="2" max="2"/>
    <col width="13.28515625" customWidth="1" min="3" max="3"/>
    <col width="14" bestFit="1" customWidth="1" min="4" max="4"/>
    <col width="15" bestFit="1" customWidth="1" min="5" max="5"/>
    <col width="11.5703125" bestFit="1" customWidth="1" min="6" max="6"/>
    <col width="17.85546875" bestFit="1" customWidth="1" min="7" max="7"/>
    <col width="7.7109375" customWidth="1" min="8" max="8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15.75" customHeight="1" thickBot="1"/>
    <row r="2" ht="24" customHeight="1" thickBot="1">
      <c r="A2" s="611" t="inlineStr">
        <is>
          <t>STREP A</t>
        </is>
      </c>
      <c r="B2" s="551" t="n"/>
      <c r="C2" s="551" t="n"/>
      <c r="D2" s="551" t="n"/>
      <c r="E2" s="551" t="n"/>
      <c r="F2" s="551" t="n"/>
      <c r="G2" s="551" t="n"/>
      <c r="H2" s="552" t="n"/>
    </row>
    <row r="3" ht="15.75" customHeight="1" thickBot="1"/>
    <row r="4" ht="15.75" customHeight="1" thickBot="1">
      <c r="A4" s="201" t="inlineStr">
        <is>
          <t>P/N</t>
        </is>
      </c>
      <c r="B4" s="202" t="inlineStr">
        <is>
          <t>Artikel</t>
        </is>
      </c>
      <c r="C4" s="202" t="inlineStr">
        <is>
          <t>Lotnr.</t>
        </is>
      </c>
      <c r="D4" s="203" t="inlineStr">
        <is>
          <t>Utgångsdatum</t>
        </is>
      </c>
      <c r="E4" s="202" t="inlineStr">
        <is>
          <t>Förvaringsplats</t>
        </is>
      </c>
      <c r="F4" s="202" t="inlineStr">
        <is>
          <t>Antal i lager</t>
        </is>
      </c>
      <c r="G4" s="204" t="inlineStr">
        <is>
          <t>Senast inventering</t>
        </is>
      </c>
      <c r="H4" s="205" t="inlineStr">
        <is>
          <t>SIGN</t>
        </is>
      </c>
    </row>
    <row r="5">
      <c r="A5" s="357" t="inlineStr">
        <is>
          <t>525-00090</t>
        </is>
      </c>
      <c r="B5" s="358" t="inlineStr">
        <is>
          <t>ALQT, NATTROL, NEG, STREP A</t>
        </is>
      </c>
      <c r="C5" s="358">
        <f>IFERROR(INDEX($AZ$5#,ROW()-5+1,1),"")</f>
        <v/>
      </c>
      <c r="D5" s="359">
        <f>IFERROR(INDEX($AZ$5#,ROW()-5+1,2),"")</f>
        <v/>
      </c>
      <c r="E5" s="358">
        <f>IFERROR(INDEX($AZ$5#,ROW()-5+1,5),"")</f>
        <v/>
      </c>
      <c r="F5" s="358">
        <f>IFERROR(INDEX($AZ$5#,ROW()-5+1,3),"")</f>
        <v/>
      </c>
      <c r="G5" s="359">
        <f>IFERROR(INDEX($AZ$5#,ROW()-5+1,6),"")</f>
        <v/>
      </c>
      <c r="H5" s="397" t="inlineStr"/>
      <c r="AZ5">
        <f>LET(pn,$A$5,f,FILTER(tblLots[[LotNumber]:[LatestInventory]],(tblLots[PN]=pn)*(tblLots[IsActive]=TRUE),""),s,IFERROR(SORTBY(f,INDEX(f,,2),1,INDEX(f,,6),-1),""),IFERROR(INDEX(s,SEQUENCE(4),SEQUENCE(,6)),""))</f>
        <v/>
      </c>
    </row>
    <row r="6">
      <c r="A6" s="373">
        <f>A$5</f>
        <v/>
      </c>
      <c r="B6" s="579" t="n"/>
      <c r="C6" s="374">
        <f>IFERROR(INDEX($AZ$5#,ROW()-5+1,1),"")</f>
        <v/>
      </c>
      <c r="D6" s="375">
        <f>IFERROR(INDEX($AZ$5#,ROW()-5+1,2),"")</f>
        <v/>
      </c>
      <c r="E6" s="579" t="n"/>
      <c r="F6" s="374">
        <f>IFERROR(INDEX($AZ$5#,ROW()-5+1,3),"")</f>
        <v/>
      </c>
      <c r="G6" s="375">
        <f>IFERROR(INDEX($AZ$5#,ROW()-5+1,6),"")</f>
        <v/>
      </c>
      <c r="H6" s="398" t="inlineStr"/>
    </row>
    <row r="7">
      <c r="A7" s="373">
        <f>A$5</f>
        <v/>
      </c>
      <c r="B7" s="579" t="n"/>
      <c r="C7" s="374">
        <f>IFERROR(INDEX($AZ$5#,ROW()-5+1,1),"")</f>
        <v/>
      </c>
      <c r="D7" s="375">
        <f>IFERROR(INDEX($AZ$5#,ROW()-5+1,2),"")</f>
        <v/>
      </c>
      <c r="E7" s="579" t="n"/>
      <c r="F7" s="374">
        <f>IFERROR(INDEX($AZ$5#,ROW()-5+1,3),"")</f>
        <v/>
      </c>
      <c r="G7" s="375">
        <f>IFERROR(INDEX($AZ$5#,ROW()-5+1,6),"")</f>
        <v/>
      </c>
      <c r="H7" s="398" t="inlineStr"/>
    </row>
    <row r="8" ht="15.75" customHeight="1" thickBot="1">
      <c r="A8" s="376">
        <f>A$5</f>
        <v/>
      </c>
      <c r="B8" s="580" t="n"/>
      <c r="C8" s="377">
        <f>IFERROR(INDEX($AZ$5#,ROW()-5+1,1),"")</f>
        <v/>
      </c>
      <c r="D8" s="378">
        <f>IFERROR(INDEX($AZ$5#,ROW()-5+1,2),"")</f>
        <v/>
      </c>
      <c r="E8" s="580" t="n"/>
      <c r="F8" s="377">
        <f>IFERROR(INDEX($AZ$5#,ROW()-5+1,3),"")</f>
        <v/>
      </c>
      <c r="G8" s="378">
        <f>IFERROR(INDEX($AZ$5#,ROW()-5+1,6),"")</f>
        <v/>
      </c>
      <c r="H8" s="399" t="inlineStr"/>
    </row>
    <row r="9" ht="15.75" customHeight="1" thickBot="1">
      <c r="A9" s="206" t="inlineStr">
        <is>
          <t>P/N</t>
        </is>
      </c>
      <c r="B9" s="207" t="inlineStr">
        <is>
          <t>Artikel</t>
        </is>
      </c>
      <c r="C9" s="207" t="inlineStr">
        <is>
          <t>Lotnr.</t>
        </is>
      </c>
      <c r="D9" s="208" t="inlineStr">
        <is>
          <t>Utgångsdatum</t>
        </is>
      </c>
      <c r="E9" s="207" t="inlineStr">
        <is>
          <t>Förvaringsplats</t>
        </is>
      </c>
      <c r="F9" s="207" t="inlineStr">
        <is>
          <t>Antal i lager</t>
        </is>
      </c>
      <c r="G9" s="209" t="inlineStr">
        <is>
          <t>Senast inventering</t>
        </is>
      </c>
      <c r="H9" s="210" t="inlineStr">
        <is>
          <t>SIGN</t>
        </is>
      </c>
    </row>
    <row r="10">
      <c r="A10" s="357" t="inlineStr">
        <is>
          <t>525-00089</t>
        </is>
      </c>
      <c r="B10" s="358" t="inlineStr">
        <is>
          <t>ALQT, NATTROL, STREP A LOW</t>
        </is>
      </c>
      <c r="C10" s="358">
        <f>IFERROR(INDEX($AZ$10#,ROW()-10+1,1),"")</f>
        <v/>
      </c>
      <c r="D10" s="359">
        <f>IFERROR(INDEX($AZ$10#,ROW()-10+1,2),"")</f>
        <v/>
      </c>
      <c r="E10" s="358">
        <f>IFERROR(INDEX($AZ$10#,ROW()-10+1,5),"")</f>
        <v/>
      </c>
      <c r="F10" s="358">
        <f>IFERROR(INDEX($AZ$10#,ROW()-10+1,3),"")</f>
        <v/>
      </c>
      <c r="G10" s="359">
        <f>IFERROR(INDEX($AZ$10#,ROW()-10+1,6),"")</f>
        <v/>
      </c>
      <c r="H10" s="397" t="inlineStr"/>
      <c r="AZ10">
        <f>LET(pn,$A$10,f,FILTER(tblLots[[LotNumber]:[LatestInventory]],(tblLots[PN]=pn)*(tblLots[IsActive]=TRUE),""),s,IFERROR(SORTBY(f,INDEX(f,,2),1,INDEX(f,,6),-1),""),IFERROR(INDEX(s,SEQUENCE(4),SEQUENCE(,6)),""))</f>
        <v/>
      </c>
    </row>
    <row r="11">
      <c r="A11" s="373">
        <f>A$10</f>
        <v/>
      </c>
      <c r="B11" s="579" t="n"/>
      <c r="C11" s="374">
        <f>IFERROR(INDEX($AZ$10#,ROW()-10+1,1),"")</f>
        <v/>
      </c>
      <c r="D11" s="375">
        <f>IFERROR(INDEX($AZ$10#,ROW()-10+1,2),"")</f>
        <v/>
      </c>
      <c r="E11" s="579" t="n"/>
      <c r="F11" s="374">
        <f>IFERROR(INDEX($AZ$10#,ROW()-10+1,3),"")</f>
        <v/>
      </c>
      <c r="G11" s="375">
        <f>IFERROR(INDEX($AZ$10#,ROW()-10+1,6),"")</f>
        <v/>
      </c>
      <c r="H11" s="398" t="inlineStr"/>
    </row>
    <row r="12">
      <c r="A12" s="373">
        <f>A$10</f>
        <v/>
      </c>
      <c r="B12" s="579" t="n"/>
      <c r="C12" s="374">
        <f>IFERROR(INDEX($AZ$10#,ROW()-10+1,1),"")</f>
        <v/>
      </c>
      <c r="D12" s="375">
        <f>IFERROR(INDEX($AZ$10#,ROW()-10+1,2),"")</f>
        <v/>
      </c>
      <c r="E12" s="579" t="n"/>
      <c r="F12" s="374">
        <f>IFERROR(INDEX($AZ$10#,ROW()-10+1,3),"")</f>
        <v/>
      </c>
      <c r="G12" s="375">
        <f>IFERROR(INDEX($AZ$10#,ROW()-10+1,6),"")</f>
        <v/>
      </c>
      <c r="H12" s="398" t="inlineStr"/>
    </row>
    <row r="13" ht="15.75" customHeight="1" thickBot="1">
      <c r="A13" s="376">
        <f>A$10</f>
        <v/>
      </c>
      <c r="B13" s="580" t="n"/>
      <c r="C13" s="377">
        <f>IFERROR(INDEX($AZ$10#,ROW()-10+1,1),"")</f>
        <v/>
      </c>
      <c r="D13" s="378">
        <f>IFERROR(INDEX($AZ$10#,ROW()-10+1,2),"")</f>
        <v/>
      </c>
      <c r="E13" s="580" t="n"/>
      <c r="F13" s="377">
        <f>IFERROR(INDEX($AZ$10#,ROW()-10+1,3),"")</f>
        <v/>
      </c>
      <c r="G13" s="378">
        <f>IFERROR(INDEX($AZ$10#,ROW()-10+1,6),"")</f>
        <v/>
      </c>
      <c r="H13" s="399" t="inlineStr"/>
    </row>
    <row r="14" ht="15.75" customHeight="1" thickBot="1">
      <c r="A14" s="206" t="inlineStr">
        <is>
          <t>P/N</t>
        </is>
      </c>
      <c r="B14" s="207" t="inlineStr">
        <is>
          <t>Artikel</t>
        </is>
      </c>
      <c r="C14" s="207" t="inlineStr">
        <is>
          <t>Lotnr.</t>
        </is>
      </c>
      <c r="D14" s="208" t="inlineStr">
        <is>
          <t>Utgångsdatum</t>
        </is>
      </c>
      <c r="E14" s="207" t="inlineStr">
        <is>
          <t>Förvaringsplats</t>
        </is>
      </c>
      <c r="F14" s="207" t="inlineStr">
        <is>
          <t>Antal i lager</t>
        </is>
      </c>
      <c r="G14" s="209" t="inlineStr">
        <is>
          <t>Senast inventering</t>
        </is>
      </c>
      <c r="H14" s="210" t="inlineStr">
        <is>
          <t>SIGN</t>
        </is>
      </c>
    </row>
    <row r="15">
      <c r="A15" s="357" t="inlineStr">
        <is>
          <t>525-00088</t>
        </is>
      </c>
      <c r="B15" s="358" t="inlineStr">
        <is>
          <t>ALQT, NATTROL, STREP A HIGH</t>
        </is>
      </c>
      <c r="C15" s="358">
        <f>IFERROR(INDEX($AZ$15#,ROW()-15+1,1),"")</f>
        <v/>
      </c>
      <c r="D15" s="359">
        <f>IFERROR(INDEX($AZ$15#,ROW()-15+1,2),"")</f>
        <v/>
      </c>
      <c r="E15" s="358">
        <f>IFERROR(INDEX($AZ$15#,ROW()-15+1,5),"")</f>
        <v/>
      </c>
      <c r="F15" s="358">
        <f>IFERROR(INDEX($AZ$15#,ROW()-15+1,3),"")</f>
        <v/>
      </c>
      <c r="G15" s="359">
        <f>IFERROR(INDEX($AZ$15#,ROW()-15+1,6),"")</f>
        <v/>
      </c>
      <c r="H15" s="397" t="inlineStr"/>
      <c r="AZ15">
        <f>LET(pn,$A$15,f,FILTER(tblLots[[LotNumber]:[LatestInventory]],(tblLots[PN]=pn)*(tblLots[IsActive]=TRUE),""),s,IFERROR(SORTBY(f,INDEX(f,,2),1,INDEX(f,,6),-1),""),IFERROR(INDEX(s,SEQUENCE(4),SEQUENCE(,6)),""))</f>
        <v/>
      </c>
    </row>
    <row r="16">
      <c r="A16" s="373">
        <f>A$15</f>
        <v/>
      </c>
      <c r="B16" s="579" t="n"/>
      <c r="C16" s="374">
        <f>IFERROR(INDEX($AZ$15#,ROW()-15+1,1),"")</f>
        <v/>
      </c>
      <c r="D16" s="375">
        <f>IFERROR(INDEX($AZ$15#,ROW()-15+1,2),"")</f>
        <v/>
      </c>
      <c r="E16" s="579" t="n"/>
      <c r="F16" s="374">
        <f>IFERROR(INDEX($AZ$15#,ROW()-15+1,3),"")</f>
        <v/>
      </c>
      <c r="G16" s="375">
        <f>IFERROR(INDEX($AZ$15#,ROW()-15+1,6),"")</f>
        <v/>
      </c>
      <c r="H16" s="398" t="inlineStr"/>
    </row>
    <row r="17">
      <c r="A17" s="373">
        <f>A$15</f>
        <v/>
      </c>
      <c r="B17" s="579" t="n"/>
      <c r="C17" s="374">
        <f>IFERROR(INDEX($AZ$15#,ROW()-15+1,1),"")</f>
        <v/>
      </c>
      <c r="D17" s="375">
        <f>IFERROR(INDEX($AZ$15#,ROW()-15+1,2),"")</f>
        <v/>
      </c>
      <c r="E17" s="579" t="n"/>
      <c r="F17" s="374">
        <f>IFERROR(INDEX($AZ$15#,ROW()-15+1,3),"")</f>
        <v/>
      </c>
      <c r="G17" s="375">
        <f>IFERROR(INDEX($AZ$15#,ROW()-15+1,6),"")</f>
        <v/>
      </c>
      <c r="H17" s="398" t="inlineStr"/>
    </row>
    <row r="18" ht="15.75" customHeight="1" thickBot="1">
      <c r="A18" s="376">
        <f>A$15</f>
        <v/>
      </c>
      <c r="B18" s="580" t="n"/>
      <c r="C18" s="377">
        <f>IFERROR(INDEX($AZ$15#,ROW()-15+1,1),"")</f>
        <v/>
      </c>
      <c r="D18" s="378">
        <f>IFERROR(INDEX($AZ$15#,ROW()-15+1,2),"")</f>
        <v/>
      </c>
      <c r="E18" s="580" t="n"/>
      <c r="F18" s="377">
        <f>IFERROR(INDEX($AZ$15#,ROW()-15+1,3),"")</f>
        <v/>
      </c>
      <c r="G18" s="378">
        <f>IFERROR(INDEX($AZ$15#,ROW()-15+1,6),"")</f>
        <v/>
      </c>
      <c r="H18" s="399" t="inlineStr"/>
    </row>
  </sheetData>
  <sheetProtection selectLockedCells="0" selectUnlockedCells="0" algorithmName="SHA-512" sheet="1" objects="0" insertRows="0" insertHyperlinks="0" autoFilter="0" scenarios="0" formatColumns="0" deleteColumns="0" insertColumns="0" pivotTables="0" deleteRows="0" formatCells="0" saltValue="nEtmAebEsHJmVZXewoDTYw==" formatRows="0" sort="0" spinCount="100000" hashValue="mGldCOevnG1vMjVMpqkJblQz6SSLA2OJiiL388gQr3BQ3CEzuiyzYrqBd4MxMp8hQbvAVVuzWbMr3bD5e9d5sg=="/>
  <mergeCells count="7">
    <mergeCell ref="B5:B8"/>
    <mergeCell ref="A2:H2"/>
    <mergeCell ref="B15:B18"/>
    <mergeCell ref="E15:E18"/>
    <mergeCell ref="E5:E8"/>
    <mergeCell ref="B10:B13"/>
    <mergeCell ref="E10:E13"/>
  </mergeCells>
  <pageMargins left="0.7" right="0.7" top="0.75" bottom="0.75" header="0.3" footer="0.3"/>
  <pageSetup orientation="portrait" paperSize="9" verticalDpi="0"/>
</worksheet>
</file>

<file path=xl/worksheets/sheet33.xml><?xml version="1.0" encoding="utf-8"?>
<worksheet xmlns="http://schemas.openxmlformats.org/spreadsheetml/2006/main">
  <sheetPr codeName="Sheet29">
    <tabColor rgb="FF00FFFF"/>
    <outlinePr summaryBelow="1" summaryRight="1"/>
    <pageSetUpPr/>
  </sheetPr>
  <dimension ref="A1:AZ18"/>
  <sheetViews>
    <sheetView workbookViewId="0">
      <selection activeCell="A1" sqref="A1"/>
    </sheetView>
  </sheetViews>
  <sheetFormatPr baseColWidth="8" defaultRowHeight="15"/>
  <cols>
    <col width="8.7109375" bestFit="1" customWidth="1" min="1" max="1"/>
    <col width="23" bestFit="1" customWidth="1" min="2" max="2"/>
    <col width="14.140625" customWidth="1" min="3" max="3"/>
    <col width="14" bestFit="1" customWidth="1" min="4" max="4"/>
    <col width="15" bestFit="1" customWidth="1" min="5" max="5"/>
    <col width="11.5703125" bestFit="1" customWidth="1" min="6" max="6"/>
    <col width="17.85546875" bestFit="1" customWidth="1" min="7" max="7"/>
    <col width="8" customWidth="1" min="8" max="8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</cols>
  <sheetData>
    <row r="1" ht="15.75" customHeight="1" thickBot="1"/>
    <row r="2" ht="24" customHeight="1" thickBot="1">
      <c r="A2" s="616" t="inlineStr">
        <is>
          <t>CARBA R</t>
        </is>
      </c>
      <c r="B2" s="551" t="n"/>
      <c r="C2" s="551" t="n"/>
      <c r="D2" s="551" t="n"/>
      <c r="E2" s="551" t="n"/>
      <c r="F2" s="551" t="n"/>
      <c r="G2" s="551" t="n"/>
      <c r="H2" s="552" t="n"/>
    </row>
    <row r="3" ht="15.75" customHeight="1" thickBot="1"/>
    <row r="4" ht="15.75" customHeight="1" thickBot="1">
      <c r="A4" s="255" t="inlineStr">
        <is>
          <t>P/N</t>
        </is>
      </c>
      <c r="B4" s="256" t="inlineStr">
        <is>
          <t>Artikel</t>
        </is>
      </c>
      <c r="C4" s="256" t="inlineStr">
        <is>
          <t>Lotnr.</t>
        </is>
      </c>
      <c r="D4" s="257" t="inlineStr">
        <is>
          <t>Utgångsdatum</t>
        </is>
      </c>
      <c r="E4" s="256" t="inlineStr">
        <is>
          <t>Förvaringsplats</t>
        </is>
      </c>
      <c r="F4" s="256" t="inlineStr">
        <is>
          <t>Antal i lager</t>
        </is>
      </c>
      <c r="G4" s="258" t="inlineStr">
        <is>
          <t>Senast inventering</t>
        </is>
      </c>
      <c r="H4" s="259" t="inlineStr">
        <is>
          <t>SIGN</t>
        </is>
      </c>
    </row>
    <row r="5">
      <c r="A5" s="357" t="inlineStr">
        <is>
          <t>001-1688</t>
        </is>
      </c>
      <c r="B5" s="358" t="inlineStr">
        <is>
          <t>Xpert CARBA-R Negative</t>
        </is>
      </c>
      <c r="C5" s="358">
        <f>IFERROR(INDEX($AZ$5#,ROW()-5+1,1),"")</f>
        <v/>
      </c>
      <c r="D5" s="359">
        <f>IFERROR(INDEX($AZ$5#,ROW()-5+1,2),"")</f>
        <v/>
      </c>
      <c r="E5" s="358">
        <f>IFERROR(INDEX($AZ$5#,ROW()-5+1,5),"")</f>
        <v/>
      </c>
      <c r="F5" s="358">
        <f>IFERROR(INDEX($AZ$5#,ROW()-5+1,3),"")</f>
        <v/>
      </c>
      <c r="G5" s="359">
        <f>IFERROR(INDEX($AZ$5#,ROW()-5+1,6),"")</f>
        <v/>
      </c>
      <c r="H5" s="397" t="inlineStr"/>
      <c r="AZ5">
        <f>LET(pn,$A$5,f,FILTER(tblLots[[LotNumber]:[LatestInventory]],(tblLots[PN]=pn)*(tblLots[IsActive]=TRUE),""),s,IFERROR(SORTBY(f,INDEX(f,,2),1,INDEX(f,,6),-1),""),IFERROR(INDEX(s,SEQUENCE(4),SEQUENCE(,6)),""))</f>
        <v/>
      </c>
    </row>
    <row r="6">
      <c r="A6" s="373">
        <f>A$5</f>
        <v/>
      </c>
      <c r="B6" s="579" t="n"/>
      <c r="C6" s="374">
        <f>IFERROR(INDEX($AZ$5#,ROW()-5+1,1),"")</f>
        <v/>
      </c>
      <c r="D6" s="375">
        <f>IFERROR(INDEX($AZ$5#,ROW()-5+1,2),"")</f>
        <v/>
      </c>
      <c r="E6" s="579" t="n"/>
      <c r="F6" s="374">
        <f>IFERROR(INDEX($AZ$5#,ROW()-5+1,3),"")</f>
        <v/>
      </c>
      <c r="G6" s="375">
        <f>IFERROR(INDEX($AZ$5#,ROW()-5+1,6),"")</f>
        <v/>
      </c>
      <c r="H6" s="398" t="inlineStr"/>
    </row>
    <row r="7">
      <c r="A7" s="373">
        <f>A$5</f>
        <v/>
      </c>
      <c r="B7" s="579" t="n"/>
      <c r="C7" s="374">
        <f>IFERROR(INDEX($AZ$5#,ROW()-5+1,1),"")</f>
        <v/>
      </c>
      <c r="D7" s="375">
        <f>IFERROR(INDEX($AZ$5#,ROW()-5+1,2),"")</f>
        <v/>
      </c>
      <c r="E7" s="579" t="n"/>
      <c r="F7" s="374">
        <f>IFERROR(INDEX($AZ$5#,ROW()-5+1,3),"")</f>
        <v/>
      </c>
      <c r="G7" s="375">
        <f>IFERROR(INDEX($AZ$5#,ROW()-5+1,6),"")</f>
        <v/>
      </c>
      <c r="H7" s="398" t="inlineStr"/>
    </row>
    <row r="8" ht="15.75" customHeight="1" thickBot="1">
      <c r="A8" s="376">
        <f>A$5</f>
        <v/>
      </c>
      <c r="B8" s="580" t="n"/>
      <c r="C8" s="377">
        <f>IFERROR(INDEX($AZ$5#,ROW()-5+1,1),"")</f>
        <v/>
      </c>
      <c r="D8" s="378">
        <f>IFERROR(INDEX($AZ$5#,ROW()-5+1,2),"")</f>
        <v/>
      </c>
      <c r="E8" s="580" t="n"/>
      <c r="F8" s="377">
        <f>IFERROR(INDEX($AZ$5#,ROW()-5+1,3),"")</f>
        <v/>
      </c>
      <c r="G8" s="378">
        <f>IFERROR(INDEX($AZ$5#,ROW()-5+1,6),"")</f>
        <v/>
      </c>
      <c r="H8" s="399" t="inlineStr"/>
    </row>
    <row r="9" ht="15.75" customHeight="1" thickBot="1">
      <c r="A9" s="260" t="inlineStr">
        <is>
          <t>P/N</t>
        </is>
      </c>
      <c r="B9" s="261" t="inlineStr">
        <is>
          <t>Artikel</t>
        </is>
      </c>
      <c r="C9" s="261" t="inlineStr">
        <is>
          <t>Lotnr.</t>
        </is>
      </c>
      <c r="D9" s="262" t="inlineStr">
        <is>
          <t>Utgångsdatum</t>
        </is>
      </c>
      <c r="E9" s="261" t="inlineStr">
        <is>
          <t>Förvaringsplats</t>
        </is>
      </c>
      <c r="F9" s="261" t="inlineStr">
        <is>
          <t>Antal i lager</t>
        </is>
      </c>
      <c r="G9" s="263" t="inlineStr">
        <is>
          <t>Senast inventering</t>
        </is>
      </c>
      <c r="H9" s="264" t="inlineStr">
        <is>
          <t>SIGN</t>
        </is>
      </c>
    </row>
    <row r="10">
      <c r="A10" s="357" t="inlineStr">
        <is>
          <t>001-1687</t>
        </is>
      </c>
      <c r="B10" s="358" t="inlineStr">
        <is>
          <t>Xpert CARBA-R Low POS</t>
        </is>
      </c>
      <c r="C10" s="358">
        <f>IFERROR(INDEX($AZ$10#,ROW()-10+1,1),"")</f>
        <v/>
      </c>
      <c r="D10" s="359">
        <f>IFERROR(INDEX($AZ$10#,ROW()-10+1,2),"")</f>
        <v/>
      </c>
      <c r="E10" s="358">
        <f>IFERROR(INDEX($AZ$10#,ROW()-10+1,5),"")</f>
        <v/>
      </c>
      <c r="F10" s="358">
        <f>IFERROR(INDEX($AZ$10#,ROW()-10+1,3),"")</f>
        <v/>
      </c>
      <c r="G10" s="359">
        <f>IFERROR(INDEX($AZ$10#,ROW()-10+1,6),"")</f>
        <v/>
      </c>
      <c r="H10" s="397" t="inlineStr"/>
      <c r="AZ10">
        <f>LET(pn,$A$10,f,FILTER(tblLots[[LotNumber]:[LatestInventory]],(tblLots[PN]=pn)*(tblLots[IsActive]=TRUE),""),s,IFERROR(SORTBY(f,INDEX(f,,2),1,INDEX(f,,6),-1),""),IFERROR(INDEX(s,SEQUENCE(4),SEQUENCE(,6)),""))</f>
        <v/>
      </c>
    </row>
    <row r="11">
      <c r="A11" s="373">
        <f>A$10</f>
        <v/>
      </c>
      <c r="B11" s="579" t="n"/>
      <c r="C11" s="374">
        <f>IFERROR(INDEX($AZ$10#,ROW()-10+1,1),"")</f>
        <v/>
      </c>
      <c r="D11" s="375">
        <f>IFERROR(INDEX($AZ$10#,ROW()-10+1,2),"")</f>
        <v/>
      </c>
      <c r="E11" s="579" t="n"/>
      <c r="F11" s="374">
        <f>IFERROR(INDEX($AZ$10#,ROW()-10+1,3),"")</f>
        <v/>
      </c>
      <c r="G11" s="375">
        <f>IFERROR(INDEX($AZ$10#,ROW()-10+1,6),"")</f>
        <v/>
      </c>
      <c r="H11" s="398" t="inlineStr"/>
    </row>
    <row r="12">
      <c r="A12" s="373">
        <f>A$10</f>
        <v/>
      </c>
      <c r="B12" s="579" t="n"/>
      <c r="C12" s="374">
        <f>IFERROR(INDEX($AZ$10#,ROW()-10+1,1),"")</f>
        <v/>
      </c>
      <c r="D12" s="375">
        <f>IFERROR(INDEX($AZ$10#,ROW()-10+1,2),"")</f>
        <v/>
      </c>
      <c r="E12" s="579" t="n"/>
      <c r="F12" s="374">
        <f>IFERROR(INDEX($AZ$10#,ROW()-10+1,3),"")</f>
        <v/>
      </c>
      <c r="G12" s="375">
        <f>IFERROR(INDEX($AZ$10#,ROW()-10+1,6),"")</f>
        <v/>
      </c>
      <c r="H12" s="398" t="inlineStr"/>
    </row>
    <row r="13" ht="15.75" customHeight="1" thickBot="1">
      <c r="A13" s="376">
        <f>A$10</f>
        <v/>
      </c>
      <c r="B13" s="580" t="n"/>
      <c r="C13" s="377">
        <f>IFERROR(INDEX($AZ$10#,ROW()-10+1,1),"")</f>
        <v/>
      </c>
      <c r="D13" s="378">
        <f>IFERROR(INDEX($AZ$10#,ROW()-10+1,2),"")</f>
        <v/>
      </c>
      <c r="E13" s="580" t="n"/>
      <c r="F13" s="377">
        <f>IFERROR(INDEX($AZ$10#,ROW()-10+1,3),"")</f>
        <v/>
      </c>
      <c r="G13" s="378">
        <f>IFERROR(INDEX($AZ$10#,ROW()-10+1,6),"")</f>
        <v/>
      </c>
      <c r="H13" s="399" t="inlineStr"/>
    </row>
    <row r="14" ht="15.75" customHeight="1" thickBot="1">
      <c r="A14" s="260" t="inlineStr">
        <is>
          <t>P/N</t>
        </is>
      </c>
      <c r="B14" s="261" t="inlineStr">
        <is>
          <t>Artikel</t>
        </is>
      </c>
      <c r="C14" s="261" t="inlineStr">
        <is>
          <t>Lotnr.</t>
        </is>
      </c>
      <c r="D14" s="262" t="inlineStr">
        <is>
          <t>Utgångsdatum</t>
        </is>
      </c>
      <c r="E14" s="261" t="inlineStr">
        <is>
          <t>Förvaringsplats</t>
        </is>
      </c>
      <c r="F14" s="261" t="inlineStr">
        <is>
          <t>Antal i lager</t>
        </is>
      </c>
      <c r="G14" s="263" t="inlineStr">
        <is>
          <t>Senast inventering</t>
        </is>
      </c>
      <c r="H14" s="264" t="inlineStr">
        <is>
          <t>SIGN</t>
        </is>
      </c>
    </row>
    <row r="15">
      <c r="A15" s="357" t="inlineStr">
        <is>
          <t>001-1686</t>
        </is>
      </c>
      <c r="B15" s="358" t="inlineStr">
        <is>
          <t>Xpert CARBA-R High POS</t>
        </is>
      </c>
      <c r="C15" s="358">
        <f>IFERROR(INDEX($AZ$15#,ROW()-15+1,1),"")</f>
        <v/>
      </c>
      <c r="D15" s="359">
        <f>IFERROR(INDEX($AZ$15#,ROW()-15+1,2),"")</f>
        <v/>
      </c>
      <c r="E15" s="358">
        <f>IFERROR(INDEX($AZ$15#,ROW()-15+1,5),"")</f>
        <v/>
      </c>
      <c r="F15" s="358">
        <f>IFERROR(INDEX($AZ$15#,ROW()-15+1,3),"")</f>
        <v/>
      </c>
      <c r="G15" s="359">
        <f>IFERROR(INDEX($AZ$15#,ROW()-15+1,6),"")</f>
        <v/>
      </c>
      <c r="H15" s="397" t="inlineStr"/>
      <c r="AZ15">
        <f>LET(pn,$A$15,f,FILTER(tblLots[[LotNumber]:[LatestInventory]],(tblLots[PN]=pn)*(tblLots[IsActive]=TRUE),""),s,IFERROR(SORTBY(f,INDEX(f,,2),1,INDEX(f,,6),-1),""),IFERROR(INDEX(s,SEQUENCE(4),SEQUENCE(,6)),""))</f>
        <v/>
      </c>
    </row>
    <row r="16">
      <c r="A16" s="373">
        <f>A$15</f>
        <v/>
      </c>
      <c r="B16" s="579" t="n"/>
      <c r="C16" s="374">
        <f>IFERROR(INDEX($AZ$15#,ROW()-15+1,1),"")</f>
        <v/>
      </c>
      <c r="D16" s="375">
        <f>IFERROR(INDEX($AZ$15#,ROW()-15+1,2),"")</f>
        <v/>
      </c>
      <c r="E16" s="579" t="n"/>
      <c r="F16" s="374">
        <f>IFERROR(INDEX($AZ$15#,ROW()-15+1,3),"")</f>
        <v/>
      </c>
      <c r="G16" s="375">
        <f>IFERROR(INDEX($AZ$15#,ROW()-15+1,6),"")</f>
        <v/>
      </c>
      <c r="H16" s="398" t="inlineStr"/>
    </row>
    <row r="17">
      <c r="A17" s="373">
        <f>A$15</f>
        <v/>
      </c>
      <c r="B17" s="579" t="n"/>
      <c r="C17" s="374">
        <f>IFERROR(INDEX($AZ$15#,ROW()-15+1,1),"")</f>
        <v/>
      </c>
      <c r="D17" s="375">
        <f>IFERROR(INDEX($AZ$15#,ROW()-15+1,2),"")</f>
        <v/>
      </c>
      <c r="E17" s="579" t="n"/>
      <c r="F17" s="374">
        <f>IFERROR(INDEX($AZ$15#,ROW()-15+1,3),"")</f>
        <v/>
      </c>
      <c r="G17" s="375">
        <f>IFERROR(INDEX($AZ$15#,ROW()-15+1,6),"")</f>
        <v/>
      </c>
      <c r="H17" s="398" t="inlineStr"/>
    </row>
    <row r="18" ht="15.75" customHeight="1" thickBot="1">
      <c r="A18" s="376">
        <f>A$15</f>
        <v/>
      </c>
      <c r="B18" s="580" t="n"/>
      <c r="C18" s="377">
        <f>IFERROR(INDEX($AZ$15#,ROW()-15+1,1),"")</f>
        <v/>
      </c>
      <c r="D18" s="378">
        <f>IFERROR(INDEX($AZ$15#,ROW()-15+1,2),"")</f>
        <v/>
      </c>
      <c r="E18" s="580" t="n"/>
      <c r="F18" s="377">
        <f>IFERROR(INDEX($AZ$15#,ROW()-15+1,3),"")</f>
        <v/>
      </c>
      <c r="G18" s="378">
        <f>IFERROR(INDEX($AZ$15#,ROW()-15+1,6),"")</f>
        <v/>
      </c>
      <c r="H18" s="399" t="inlineStr"/>
    </row>
  </sheetData>
  <sheetProtection selectLockedCells="0" selectUnlockedCells="0" algorithmName="SHA-512" sheet="1" objects="0" insertRows="0" insertHyperlinks="0" autoFilter="0" scenarios="0" formatColumns="0" deleteColumns="0" insertColumns="0" pivotTables="0" deleteRows="0" formatCells="0" saltValue="Ou6bo0V0PujQKV//ezaVsA==" formatRows="0" sort="0" spinCount="100000" hashValue="jR6EVZZyzaqneYXrYg10oVooVnBhg9xIUWY/Hfs1SQHhUBTwp8ea2daOeI3Wa/BRLFc+47kXi/ywHqoI+EP4JA=="/>
  <mergeCells count="7">
    <mergeCell ref="B5:B8"/>
    <mergeCell ref="A2:H2"/>
    <mergeCell ref="B15:B18"/>
    <mergeCell ref="E15:E18"/>
    <mergeCell ref="E5:E8"/>
    <mergeCell ref="B10:B13"/>
    <mergeCell ref="E10:E13"/>
  </mergeCells>
  <pageMargins left="0.7" right="0.7" top="0.75" bottom="0.75" header="0.3" footer="0.3"/>
  <pageSetup orientation="portrait" paperSize="9" verticalDpi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Fredriksson, Jesper</dc:creator>
  <dcterms:created xmlns:dcterms="http://purl.org/dc/terms/" xmlns:xsi="http://www.w3.org/2001/XMLSchema-instance" xsi:type="dcterms:W3CDTF">2024-04-22T16:14:24Z</dcterms:created>
  <dcterms:modified xmlns:dcterms="http://purl.org/dc/terms/" xmlns:xsi="http://www.w3.org/2001/XMLSchema-instance" xsi:type="dcterms:W3CDTF">2026-03-25T14:16:12Z</dcterms:modified>
  <cp:lastModifiedBy>Fredriksson, Jesper</cp:lastModifiedBy>
  <cp:lastPrinted>2025-11-12T08:45:00Z</cp:lastPrinted>
</cp:coreProperties>
</file>

<file path=docProps/custom.xml><?xml version="1.0" encoding="utf-8"?>
<Properties xmlns="http://schemas.openxmlformats.org/officeDocument/2006/custom-properties">
  <property name="MSIP_Label_631ef649-45d3-4e5d-80df-d43468de9a5e_Enabled" fmtid="{D5CDD505-2E9C-101B-9397-08002B2CF9AE}" pid="2">
    <vt:lpwstr xmlns:vt="http://schemas.openxmlformats.org/officeDocument/2006/docPropsVTypes">true</vt:lpwstr>
  </property>
  <property name="MSIP_Label_631ef649-45d3-4e5d-80df-d43468de9a5e_SetDate" fmtid="{D5CDD505-2E9C-101B-9397-08002B2CF9AE}" pid="3">
    <vt:lpwstr xmlns:vt="http://schemas.openxmlformats.org/officeDocument/2006/docPropsVTypes">2024-04-22T16:15:41Z</vt:lpwstr>
  </property>
  <property name="MSIP_Label_631ef649-45d3-4e5d-80df-d43468de9a5e_Method" fmtid="{D5CDD505-2E9C-101B-9397-08002B2CF9AE}" pid="4">
    <vt:lpwstr xmlns:vt="http://schemas.openxmlformats.org/officeDocument/2006/docPropsVTypes">Privileged</vt:lpwstr>
  </property>
  <property name="MSIP_Label_631ef649-45d3-4e5d-80df-d43468de9a5e_Name" fmtid="{D5CDD505-2E9C-101B-9397-08002B2CF9AE}" pid="5">
    <vt:lpwstr xmlns:vt="http://schemas.openxmlformats.org/officeDocument/2006/docPropsVTypes">Unclassified</vt:lpwstr>
  </property>
  <property name="MSIP_Label_631ef649-45d3-4e5d-80df-d43468de9a5e_SiteId" fmtid="{D5CDD505-2E9C-101B-9397-08002B2CF9AE}" pid="6">
    <vt:lpwstr xmlns:vt="http://schemas.openxmlformats.org/officeDocument/2006/docPropsVTypes">771c9c47-7f24-44dc-958e-34f8713a8394</vt:lpwstr>
  </property>
  <property name="MSIP_Label_631ef649-45d3-4e5d-80df-d43468de9a5e_ActionId" fmtid="{D5CDD505-2E9C-101B-9397-08002B2CF9AE}" pid="7">
    <vt:lpwstr xmlns:vt="http://schemas.openxmlformats.org/officeDocument/2006/docPropsVTypes">010136f2-5928-447f-82c9-d0c0c4487713</vt:lpwstr>
  </property>
  <property name="MSIP_Label_631ef649-45d3-4e5d-80df-d43468de9a5e_ContentBits" fmtid="{D5CDD505-2E9C-101B-9397-08002B2CF9AE}" pid="8">
    <vt:lpwstr xmlns:vt="http://schemas.openxmlformats.org/officeDocument/2006/docPropsVTypes">0</vt:lpwstr>
  </property>
</Properties>
</file>