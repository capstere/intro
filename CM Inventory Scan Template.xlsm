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ETUP" sheetId="1" state="visible" r:id="rId1"/>
    <sheet xmlns:r="http://schemas.openxmlformats.org/officeDocument/2006/relationships" name="query" sheetId="2" state="hidden" r:id="rId2"/>
    <sheet xmlns:r="http://schemas.openxmlformats.org/officeDocument/2006/relationships" name="BULK SR" sheetId="3" state="visible" r:id="rId3"/>
    <sheet xmlns:r="http://schemas.openxmlformats.org/officeDocument/2006/relationships" name="KUND SR" sheetId="4" state="visible" r:id="rId4"/>
    <sheet xmlns:r="http://schemas.openxmlformats.org/officeDocument/2006/relationships" name="MTB RIF" sheetId="5" state="visible" r:id="rId5"/>
    <sheet xmlns:r="http://schemas.openxmlformats.org/officeDocument/2006/relationships" name="MTB ULTRA" sheetId="6" state="visible" r:id="rId6"/>
    <sheet xmlns:r="http://schemas.openxmlformats.org/officeDocument/2006/relationships" name="MTB JP" sheetId="7" state="visible" r:id="rId7"/>
    <sheet xmlns:r="http://schemas.openxmlformats.org/officeDocument/2006/relationships" name="MTB XDR" sheetId="8" state="visible" r:id="rId8"/>
    <sheet xmlns:r="http://schemas.openxmlformats.org/officeDocument/2006/relationships" name="FLUVID | FLUVID+" sheetId="9" state="visible" r:id="rId9"/>
    <sheet xmlns:r="http://schemas.openxmlformats.org/officeDocument/2006/relationships" name="SARS-COV-2 Plus" sheetId="10" state="visible" r:id="rId10"/>
    <sheet xmlns:r="http://schemas.openxmlformats.org/officeDocument/2006/relationships" name="CTNG | CTNG JP" sheetId="11" state="visible" r:id="rId11"/>
    <sheet xmlns:r="http://schemas.openxmlformats.org/officeDocument/2006/relationships" name="C.DIFF | C.DIFF JP" sheetId="12" state="visible" r:id="rId12"/>
    <sheet xmlns:r="http://schemas.openxmlformats.org/officeDocument/2006/relationships" name="EBOLA" sheetId="13" state="visible" r:id="rId13"/>
    <sheet xmlns:r="http://schemas.openxmlformats.org/officeDocument/2006/relationships" name="HPV" sheetId="14" state="visible" r:id="rId14"/>
    <sheet xmlns:r="http://schemas.openxmlformats.org/officeDocument/2006/relationships" name="HBV VL" sheetId="15" state="visible" r:id="rId15"/>
    <sheet xmlns:r="http://schemas.openxmlformats.org/officeDocument/2006/relationships" name="HCV VL" sheetId="16" state="visible" r:id="rId16"/>
    <sheet xmlns:r="http://schemas.openxmlformats.org/officeDocument/2006/relationships" name="HCV VL FS" sheetId="17" state="visible" r:id="rId17"/>
    <sheet xmlns:r="http://schemas.openxmlformats.org/officeDocument/2006/relationships" name="HIV VL" sheetId="18" state="visible" r:id="rId18"/>
    <sheet xmlns:r="http://schemas.openxmlformats.org/officeDocument/2006/relationships" name="HIV VL XC" sheetId="19" state="visible" r:id="rId19"/>
    <sheet xmlns:r="http://schemas.openxmlformats.org/officeDocument/2006/relationships" name="HIV QA" sheetId="20" state="visible" r:id="rId20"/>
    <sheet xmlns:r="http://schemas.openxmlformats.org/officeDocument/2006/relationships" name="HIV QA XC" sheetId="21" state="visible" r:id="rId21"/>
    <sheet xmlns:r="http://schemas.openxmlformats.org/officeDocument/2006/relationships" name="SARS-COV-2" sheetId="22" state="visible" r:id="rId22"/>
    <sheet xmlns:r="http://schemas.openxmlformats.org/officeDocument/2006/relationships" name="FLU RSV" sheetId="23" state="visible" r:id="rId23"/>
    <sheet xmlns:r="http://schemas.openxmlformats.org/officeDocument/2006/relationships" name="MRSA SA" sheetId="24" state="visible" r:id="rId24"/>
    <sheet xmlns:r="http://schemas.openxmlformats.org/officeDocument/2006/relationships" name="MRSA NxG" sheetId="25" state="visible" r:id="rId25"/>
    <sheet xmlns:r="http://schemas.openxmlformats.org/officeDocument/2006/relationships" name="NORO" sheetId="26" state="visible" r:id="rId26"/>
    <sheet xmlns:r="http://schemas.openxmlformats.org/officeDocument/2006/relationships" name="VAN AB" sheetId="27" state="visible" r:id="rId27"/>
    <sheet xmlns:r="http://schemas.openxmlformats.org/officeDocument/2006/relationships" name="GBS" sheetId="28" state="visible" r:id="rId28"/>
    <sheet xmlns:r="http://schemas.openxmlformats.org/officeDocument/2006/relationships" name="STREP A" sheetId="29" state="visible" r:id="rId29"/>
    <sheet xmlns:r="http://schemas.openxmlformats.org/officeDocument/2006/relationships" name="CARBA R" sheetId="30" state="visible" r:id="rId30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YYYY-MM-DD"/>
    <numFmt numFmtId="165" formatCode="0&quot; days&quot;"/>
  </numFmts>
  <fonts count="15">
    <font>
      <name val="Calibri"/>
      <family val="2"/>
      <color theme="1"/>
      <sz val="11"/>
      <scheme val="minor"/>
    </font>
    <font>
      <name val="Calibri"/>
      <b val="1"/>
      <color rgb="00FFFFFF"/>
      <sz val="10"/>
    </font>
    <font>
      <name val="Calibri"/>
      <color rgb="00000000"/>
      <sz val="10"/>
    </font>
    <font>
      <name val="Calibri"/>
      <b val="1"/>
      <color rgb="00FFFFFF"/>
      <sz val="12"/>
    </font>
    <font>
      <name val="Calibri"/>
      <b val="1"/>
      <color rgb="001F3864"/>
      <sz val="10"/>
    </font>
    <font>
      <name val="Calibri"/>
      <color rgb="001A1A2E"/>
      <sz val="9"/>
    </font>
    <font>
      <name val="Courier New"/>
      <color rgb="00003366"/>
      <sz val="9"/>
    </font>
    <font>
      <name val="Calibri"/>
      <color rgb="001F3864"/>
      <sz val="9"/>
    </font>
    <font>
      <name val="Calibri"/>
      <i val="1"/>
      <color rgb="002E5F9E"/>
      <sz val="9"/>
    </font>
    <font>
      <name val="Calibri"/>
      <b val="1"/>
      <color rgb="001F3864"/>
      <sz val="9"/>
    </font>
    <font>
      <name val="Courier New"/>
      <b val="1"/>
      <color rgb="001F3864"/>
      <sz val="10"/>
    </font>
    <font>
      <name val="Calibri"/>
      <color rgb="00555555"/>
      <sz val="9"/>
    </font>
    <font>
      <name val="Calibri"/>
      <b val="1"/>
      <color rgb="00000000"/>
      <sz val="10"/>
    </font>
    <font>
      <name val="Calibri"/>
      <b val="1"/>
      <color rgb="00000000"/>
      <sz val="9"/>
    </font>
    <font>
      <name val="Calibri"/>
      <b val="1"/>
      <color rgb="009C5700"/>
      <sz val="9"/>
    </font>
  </fonts>
  <fills count="11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EEF3FA"/>
      </patternFill>
    </fill>
    <fill>
      <patternFill patternType="solid">
        <fgColor rgb="00F5F9FF"/>
      </patternFill>
    </fill>
    <fill>
      <patternFill patternType="solid">
        <fgColor rgb="00EDF3FB"/>
      </patternFill>
    </fill>
    <fill>
      <patternFill patternType="solid">
        <fgColor rgb="002E75B6"/>
      </patternFill>
    </fill>
    <fill>
      <patternFill patternType="solid">
        <fgColor rgb="00D6E4F0"/>
      </patternFill>
    </fill>
    <fill>
      <patternFill patternType="solid">
        <fgColor rgb="00C5D9F1"/>
      </patternFill>
    </fill>
    <fill>
      <patternFill patternType="solid">
        <fgColor rgb="00FFFFFF"/>
      </patternFill>
    </fill>
    <fill>
      <patternFill patternType="solid">
        <fgColor rgb="00FFF2CC"/>
      </patternFill>
    </fill>
  </fills>
  <borders count="3">
    <border>
      <left/>
      <right/>
      <top/>
      <bottom/>
      <diagonal/>
    </border>
    <border>
      <left style="thin">
        <color rgb="002E5F9E"/>
      </left>
    </border>
    <border>
      <left/>
      <right/>
      <top/>
      <bottom style="thin">
        <color rgb="00BDD7EE"/>
      </bottom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3" fillId="2" borderId="0" applyAlignment="1" pivotButton="0" quotePrefix="0" xfId="0">
      <alignment horizontal="left" vertical="center"/>
    </xf>
    <xf numFmtId="0" fontId="4" fillId="3" borderId="0" applyAlignment="1" pivotButton="0" quotePrefix="0" xfId="0">
      <alignment horizontal="left" vertical="center" wrapText="1"/>
    </xf>
    <xf numFmtId="0" fontId="5" fillId="4" borderId="0" applyAlignment="1" pivotButton="0" quotePrefix="0" xfId="0">
      <alignment horizontal="left" vertical="top" wrapText="1"/>
    </xf>
    <xf numFmtId="0" fontId="6" fillId="5" borderId="0" applyAlignment="1" pivotButton="0" quotePrefix="0" xfId="0">
      <alignment horizontal="left" vertical="center" indent="1"/>
    </xf>
    <xf numFmtId="0" fontId="1" fillId="2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left" vertical="center"/>
    </xf>
    <xf numFmtId="0" fontId="3" fillId="2" borderId="0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0" fontId="1" fillId="6" borderId="0" applyAlignment="1" pivotButton="0" quotePrefix="0" xfId="0">
      <alignment horizontal="left" vertical="center"/>
    </xf>
    <xf numFmtId="0" fontId="0" fillId="6" borderId="0" pivotButton="0" quotePrefix="0" xfId="0"/>
    <xf numFmtId="0" fontId="0" fillId="7" borderId="0" pivotButton="0" quotePrefix="0" xfId="0"/>
    <xf numFmtId="0" fontId="7" fillId="7" borderId="0" applyAlignment="1" pivotButton="0" quotePrefix="0" xfId="0">
      <alignment horizontal="left" vertical="center"/>
    </xf>
    <xf numFmtId="0" fontId="8" fillId="7" borderId="0" applyAlignment="1" pivotButton="0" quotePrefix="0" xfId="0">
      <alignment horizontal="right" vertical="center"/>
    </xf>
    <xf numFmtId="0" fontId="0" fillId="8" borderId="0" pivotButton="0" quotePrefix="0" xfId="0"/>
    <xf numFmtId="0" fontId="9" fillId="8" borderId="1" applyAlignment="1" pivotButton="0" quotePrefix="0" xfId="0">
      <alignment horizontal="center" vertical="center"/>
    </xf>
    <xf numFmtId="0" fontId="0" fillId="9" borderId="0" pivotButton="0" quotePrefix="0" xfId="0"/>
    <xf numFmtId="0" fontId="10" fillId="9" borderId="2" applyAlignment="1" pivotButton="0" quotePrefix="0" xfId="0">
      <alignment horizontal="left" vertical="center"/>
    </xf>
    <xf numFmtId="164" fontId="2" fillId="9" borderId="2" applyAlignment="1" pivotButton="0" quotePrefix="0" xfId="0">
      <alignment horizontal="center" vertical="center"/>
    </xf>
    <xf numFmtId="0" fontId="2" fillId="9" borderId="2" applyAlignment="1" pivotButton="0" quotePrefix="0" xfId="0">
      <alignment horizontal="center" vertical="center"/>
    </xf>
    <xf numFmtId="164" fontId="11" fillId="9" borderId="2" applyAlignment="1" pivotButton="0" quotePrefix="0" xfId="0">
      <alignment horizontal="center" vertical="center"/>
    </xf>
    <xf numFmtId="165" fontId="12" fillId="9" borderId="2" applyAlignment="1" pivotButton="0" quotePrefix="0" xfId="0">
      <alignment horizontal="center" vertical="center"/>
    </xf>
    <xf numFmtId="0" fontId="13" fillId="9" borderId="2" applyAlignment="1" pivotButton="0" quotePrefix="0" xfId="0">
      <alignment horizontal="center" vertical="center"/>
    </xf>
    <xf numFmtId="0" fontId="0" fillId="5" borderId="0" pivotButton="0" quotePrefix="0" xfId="0"/>
    <xf numFmtId="0" fontId="10" fillId="5" borderId="2" applyAlignment="1" pivotButton="0" quotePrefix="0" xfId="0">
      <alignment horizontal="left" vertical="center"/>
    </xf>
    <xf numFmtId="164" fontId="2" fillId="5" borderId="2" applyAlignment="1" pivotButton="0" quotePrefix="0" xfId="0">
      <alignment horizontal="center" vertical="center"/>
    </xf>
    <xf numFmtId="0" fontId="2" fillId="5" borderId="2" applyAlignment="1" pivotButton="0" quotePrefix="0" xfId="0">
      <alignment horizontal="center" vertical="center"/>
    </xf>
    <xf numFmtId="164" fontId="11" fillId="5" borderId="2" applyAlignment="1" pivotButton="0" quotePrefix="0" xfId="0">
      <alignment horizontal="center" vertical="center"/>
    </xf>
    <xf numFmtId="165" fontId="12" fillId="5" borderId="2" applyAlignment="1" pivotButton="0" quotePrefix="0" xfId="0">
      <alignment horizontal="center" vertical="center"/>
    </xf>
    <xf numFmtId="0" fontId="13" fillId="5" borderId="2" applyAlignment="1" pivotButton="0" quotePrefix="0" xfId="0">
      <alignment horizontal="center" vertical="center"/>
    </xf>
    <xf numFmtId="0" fontId="0" fillId="10" borderId="0" pivotButton="0" quotePrefix="0" xfId="0"/>
    <xf numFmtId="0" fontId="14" fillId="10" borderId="0" applyAlignment="1" pivotButton="0" quotePrefix="0" xfId="0">
      <alignment horizontal="left" vertical="center"/>
    </xf>
  </cellXfs>
  <cellStyles count="1">
    <cellStyle name="Normal" xfId="0" builtinId="0" hidden="0"/>
  </cellStyles>
  <dxfs count="3">
    <dxf>
      <font>
        <b val="1"/>
        <color rgb="009C0006"/>
      </font>
      <fill>
        <patternFill>
          <bgColor rgb="00FFC7CE"/>
        </patternFill>
      </fill>
    </dxf>
    <dxf>
      <font>
        <b val="1"/>
        <color rgb="009C5700"/>
      </font>
      <fill>
        <patternFill>
          <bgColor rgb="00FFEB9C"/>
        </patternFill>
      </fill>
    </dxf>
    <dxf>
      <font>
        <b val="1"/>
        <color rgb="00375623"/>
      </font>
      <fill>
        <patternFill>
          <bgColor rgb="00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styles" Target="styles.xml" Id="rId31"/><Relationship Type="http://schemas.openxmlformats.org/officeDocument/2006/relationships/theme" Target="theme/theme1.xml" Id="rId32"/></Relationships>
</file>

<file path=xl/tables/table1.xml><?xml version="1.0" encoding="utf-8"?>
<table xmlns="http://schemas.openxmlformats.org/spreadsheetml/2006/main" id="1" name="tbl_Lots" displayName="tbl_Lots" ref="A1:H4" headerRowCount="1">
  <autoFilter ref="A1:H4"/>
  <tableColumns count="8">
    <tableColumn id="1" name="PN"/>
    <tableColumn id="2" name="LotNumber"/>
    <tableColumn id="3" name="ExpirationDate"/>
    <tableColumn id="4" name="Qty"/>
    <tableColumn id="5" name="Unit"/>
    <tableColumn id="6" name="StorageLocation"/>
    <tableColumn id="7" name="LatestInventory"/>
    <tableColumn id="8" name="IsActive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C48"/>
  <sheetViews>
    <sheetView showGridLines="0" workbookViewId="0">
      <selection activeCell="A1" sqref="A1"/>
    </sheetView>
  </sheetViews>
  <sheetFormatPr baseColWidth="8" defaultRowHeight="15"/>
  <cols>
    <col width="3" customWidth="1" min="1" max="1"/>
    <col width="30" customWidth="1" min="2" max="2"/>
    <col width="78" customWidth="1" min="3" max="3"/>
    <col width="3" customWidth="1" min="4" max="4"/>
  </cols>
  <sheetData>
    <row r="2" ht="24" customHeight="1">
      <c r="B2" s="1" t="inlineStr">
        <is>
          <t xml:space="preserve">  CM INVENTORY SCAN  —  Excel Template Setup Guide</t>
        </is>
      </c>
    </row>
    <row r="4" ht="24" customHeight="1">
      <c r="B4" s="1" t="inlineStr">
        <is>
          <t xml:space="preserve">  STEP 1  Connect Power Query to SharePoint</t>
        </is>
      </c>
    </row>
    <row r="5" ht="18" customHeight="1">
      <c r="B5" s="2" t="inlineStr">
        <is>
          <t xml:space="preserve">  Data tab</t>
        </is>
      </c>
      <c r="C5" s="3" t="inlineStr">
        <is>
          <t>Get Data  →  From Online Services  →  From SharePoint List</t>
        </is>
      </c>
    </row>
    <row r="6" ht="18" customHeight="1">
      <c r="B6" s="2" t="inlineStr">
        <is>
          <t xml:space="preserve">  SharePoint URL</t>
        </is>
      </c>
      <c r="C6" s="3" t="inlineStr">
        <is>
          <t>https://cepheid.sharepoint.com/sites/[your-site]</t>
        </is>
      </c>
    </row>
    <row r="7" ht="18" customHeight="1">
      <c r="B7" s="2" t="inlineStr">
        <is>
          <t xml:space="preserve">  Select list</t>
        </is>
      </c>
      <c r="C7" s="3" t="inlineStr">
        <is>
          <t>CM_Lots  →  Transform Data</t>
        </is>
      </c>
    </row>
    <row r="8" ht="18" customHeight="1">
      <c r="B8" s="2" t="inlineStr">
        <is>
          <t xml:space="preserve">  Keep columns</t>
        </is>
      </c>
      <c r="C8" s="3" t="inlineStr">
        <is>
          <t>PN (=Title), LotNumber, ExpirationDate, Qty, IsActive, ChangedAt</t>
        </is>
      </c>
    </row>
    <row r="9" ht="18" customHeight="1">
      <c r="B9" s="2" t="inlineStr">
        <is>
          <t xml:space="preserve">  Merge CM_PN_Master</t>
        </is>
      </c>
      <c r="C9" s="3" t="inlineStr">
        <is>
          <t>Home  →  Merge Queries  →  join on PN  →  expand: Unit, StorageLocation</t>
        </is>
      </c>
    </row>
    <row r="10" ht="18" customHeight="1">
      <c r="B10" s="2" t="inlineStr">
        <is>
          <t xml:space="preserve">  Rename ChangedAt</t>
        </is>
      </c>
      <c r="C10" s="3" t="inlineStr">
        <is>
          <t>Right-click column  →  Rename  →  LatestInventory</t>
        </is>
      </c>
    </row>
    <row r="11" ht="18" customHeight="1">
      <c r="B11" s="2" t="inlineStr">
        <is>
          <t xml:space="preserve">  Filter IsActive</t>
        </is>
      </c>
      <c r="C11" s="3" t="inlineStr">
        <is>
          <t>Click dropdown  →  Text Filters  →  Equals  →  TRUE</t>
        </is>
      </c>
    </row>
    <row r="12" ht="18" customHeight="1">
      <c r="B12" s="2" t="inlineStr">
        <is>
          <t xml:space="preserve">  Sort ExpirationDate</t>
        </is>
      </c>
      <c r="C12" s="3" t="inlineStr">
        <is>
          <t>Right-click ExpirationDate  →  Sort Ascending   (REQUIRED for correct lot order)</t>
        </is>
      </c>
    </row>
    <row r="13" ht="18" customHeight="1">
      <c r="B13" s="2" t="inlineStr">
        <is>
          <t xml:space="preserve">  Load to sheet</t>
        </is>
      </c>
      <c r="C13" s="3" t="inlineStr">
        <is>
          <t>Close &amp; Load To  →  Existing worksheet  →  query!A1  →  Table</t>
        </is>
      </c>
    </row>
    <row r="14" ht="18" customHeight="1">
      <c r="B14" s="2" t="inlineStr">
        <is>
          <t xml:space="preserve">  Name the table</t>
        </is>
      </c>
      <c r="C14" s="3" t="inlineStr">
        <is>
          <t>Table Design tab  →  Table Name:  tbl_Lots   (MUST match exactly)</t>
        </is>
      </c>
    </row>
    <row r="16" ht="24" customHeight="1">
      <c r="B16" s="1" t="inlineStr">
        <is>
          <t xml:space="preserve">  STEP 2  Auto-refresh on open</t>
        </is>
      </c>
    </row>
    <row r="17" ht="18" customHeight="1">
      <c r="B17" s="2" t="inlineStr">
        <is>
          <t xml:space="preserve">  Connection props</t>
        </is>
      </c>
      <c r="C17" s="3" t="inlineStr">
        <is>
          <t>Data  →  Queries &amp; Connections  →  right-click tbl_Lots  →  Properties</t>
        </is>
      </c>
    </row>
    <row r="18" ht="18" customHeight="1">
      <c r="B18" s="2" t="inlineStr">
        <is>
          <t xml:space="preserve">  Tick checkbox</t>
        </is>
      </c>
      <c r="C18" s="3" t="inlineStr">
        <is>
          <t>[x] Refresh data when opening the file</t>
        </is>
      </c>
    </row>
    <row r="19" ht="18" customHeight="1">
      <c r="B19" s="2" t="inlineStr">
        <is>
          <t xml:space="preserve">  Background refresh</t>
        </is>
      </c>
      <c r="C19" s="3" t="inlineStr">
        <is>
          <t>Uncheck 'Enable background refresh' so data loads BEFORE macros run</t>
        </is>
      </c>
    </row>
    <row r="21" ht="24" customHeight="1">
      <c r="B21" s="1" t="inlineStr">
        <is>
          <t xml:space="preserve">  STEP 3  VBA Macro  (Alt+F11  →  ThisWorkbook  →  paste below)</t>
        </is>
      </c>
    </row>
    <row r="22" ht="15" customHeight="1">
      <c r="C22" s="4" t="inlineStr">
        <is>
          <t>Private Sub Workbook_Open()</t>
        </is>
      </c>
    </row>
    <row r="23" ht="15" customHeight="1">
      <c r="C23" s="4" t="inlineStr">
        <is>
          <t xml:space="preserve">    Application.StatusBar = "Fetching inventory from SharePoint..."</t>
        </is>
      </c>
    </row>
    <row r="24" ht="15" customHeight="1">
      <c r="C24" s="4" t="inlineStr">
        <is>
          <t xml:space="preserve">    On Error GoTo ErrHandler</t>
        </is>
      </c>
    </row>
    <row r="25" ht="15" customHeight="1">
      <c r="C25" s="4" t="inlineStr">
        <is>
          <t xml:space="preserve">    ThisWorkbook.RefreshAll</t>
        </is>
      </c>
    </row>
    <row r="26" ht="15" customHeight="1">
      <c r="C26" s="4" t="inlineStr">
        <is>
          <t xml:space="preserve">    Application.CalculateFullRebuild</t>
        </is>
      </c>
    </row>
    <row r="27" ht="15" customHeight="1">
      <c r="C27" s="4" t="inlineStr">
        <is>
          <t xml:space="preserve">    Application.StatusBar = False</t>
        </is>
      </c>
    </row>
    <row r="28" ht="15" customHeight="1">
      <c r="C28" s="4" t="inlineStr">
        <is>
          <t xml:space="preserve">    Exit Sub</t>
        </is>
      </c>
    </row>
    <row r="29" ht="15" customHeight="1">
      <c r="C29" s="4" t="inlineStr">
        <is>
          <t>ErrHandler:</t>
        </is>
      </c>
    </row>
    <row r="30" ht="15" customHeight="1">
      <c r="C30" s="4" t="inlineStr">
        <is>
          <t xml:space="preserve">    Application.StatusBar = False</t>
        </is>
      </c>
    </row>
    <row r="31" ht="15" customHeight="1">
      <c r="C31" s="4" t="inlineStr">
        <is>
          <t xml:space="preserve">    MsgBox "Refresh failed: " &amp; Err.Description, vbExclamation</t>
        </is>
      </c>
    </row>
    <row r="32" ht="15" customHeight="1">
      <c r="C32" s="4" t="inlineStr">
        <is>
          <t>End Sub</t>
        </is>
      </c>
    </row>
    <row r="33" ht="15" customHeight="1">
      <c r="C33" s="4" t="inlineStr"/>
    </row>
    <row r="34" ht="15" customHeight="1">
      <c r="C34" s="4" t="inlineStr">
        <is>
          <t>Public Sub RefreshNow()   ' Attach to a button on any sheet if desired</t>
        </is>
      </c>
    </row>
    <row r="35" ht="15" customHeight="1">
      <c r="C35" s="4" t="inlineStr">
        <is>
          <t xml:space="preserve">    Application.StatusBar = "Refreshing..."</t>
        </is>
      </c>
    </row>
    <row r="36" ht="15" customHeight="1">
      <c r="C36" s="4" t="inlineStr">
        <is>
          <t xml:space="preserve">    ThisWorkbook.RefreshAll</t>
        </is>
      </c>
    </row>
    <row r="37" ht="15" customHeight="1">
      <c r="C37" s="4" t="inlineStr">
        <is>
          <t xml:space="preserve">    Application.CalculateFullRebuild</t>
        </is>
      </c>
    </row>
    <row r="38" ht="15" customHeight="1">
      <c r="C38" s="4" t="inlineStr">
        <is>
          <t xml:space="preserve">    Application.StatusBar = False</t>
        </is>
      </c>
    </row>
    <row r="39" ht="15" customHeight="1">
      <c r="C39" s="4" t="inlineStr">
        <is>
          <t xml:space="preserve">    MsgBox "Done! Data refreshed from SharePoint.", vbInformation</t>
        </is>
      </c>
    </row>
    <row r="40" ht="15" customHeight="1">
      <c r="C40" s="4" t="inlineStr">
        <is>
          <t>End Sub</t>
        </is>
      </c>
    </row>
    <row r="42" ht="24" customHeight="1">
      <c r="B42" s="1" t="inlineStr">
        <is>
          <t xml:space="preserve">  STEP 4  Understanding the formula architecture</t>
        </is>
      </c>
    </row>
    <row r="43" ht="28" customHeight="1">
      <c r="B43" s="2" t="inlineStr">
        <is>
          <t xml:space="preserve">  PN constant (col A, row 1 of block)</t>
        </is>
      </c>
      <c r="C43" s="3" t="inlineStr">
        <is>
          <t>Hard-coded.  This is the ONLY thing you change when setting up a block.
All lot data is pulled by FILTER(tbl_Lots[...], tbl_Lots[PN]=$A$ROW)</t>
        </is>
      </c>
    </row>
    <row r="44" ht="28" customHeight="1">
      <c r="B44" s="2" t="inlineStr">
        <is>
          <t xml:space="preserve">  Data rows formula pattern</t>
        </is>
      </c>
      <c r="C44" s="3">
        <f>IFERROR(INDEX(FILTER(tbl_Lots[LotNumber], tbl_Lots[PN]=$A$1), 1, 1), "")
  Change $A$1 to the PN cell of each block.  Change the index (1..8) per row.</f>
        <v/>
      </c>
    </row>
    <row r="45" ht="28" customHeight="1">
      <c r="B45" s="2" t="inlineStr">
        <is>
          <t xml:space="preserve">  Overflow warning</t>
        </is>
      </c>
      <c r="C45" s="3" t="inlineStr">
        <is>
          <t>Shows "X lot(s) not shown" if a PN has &gt;8 active lots.
To show more: select the block rows, insert rows inside the block, extend formulas.</t>
        </is>
      </c>
    </row>
    <row r="46" ht="28" customHeight="1">
      <c r="B46" s="2" t="inlineStr">
        <is>
          <t xml:space="preserve">  Add a new PN block</t>
        </is>
      </c>
      <c r="C46" s="3" t="inlineStr">
        <is>
          <t>Copy 13 rows of any existing block.  Paste below last separator.
Change the PN constant in col A of the new block.  Nothing else needed.</t>
        </is>
      </c>
    </row>
    <row r="47" ht="28" customHeight="1">
      <c r="B47" s="2" t="inlineStr">
        <is>
          <t xml:space="preserve">  Add a new material sheet</t>
        </is>
      </c>
      <c r="C47" s="3" t="inlineStr">
        <is>
          <t>Right-click any tab  -&gt;  Move or Copy  -&gt;  Create a copy.
Update tab name, title cell (A1), and PN constants.  Formulas auto-update.</t>
        </is>
      </c>
    </row>
    <row r="48" ht="28" customHeight="1">
      <c r="B48" s="2" t="inlineStr">
        <is>
          <t xml:space="preserve">  Power Query: add new list column</t>
        </is>
      </c>
      <c r="C48" s="3" t="inlineStr">
        <is>
          <t>If you add columns to CM_Lots in SharePoint/Power Apps:
Data  -&gt;  Queries &amp; Connections  -&gt;  Edit  -&gt;  add column  -&gt;  Close &amp; Load.
Then add =IFERROR(INDEX(FILTER(tbl_Lots[NewColumn],...), n, 1), "") to the sheet.</t>
        </is>
      </c>
    </row>
  </sheetData>
  <mergeCells count="5">
    <mergeCell ref="B21:C21"/>
    <mergeCell ref="B16:C16"/>
    <mergeCell ref="B2:C2"/>
    <mergeCell ref="B42:C42"/>
    <mergeCell ref="B4:C4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H4"/>
  <sheetViews>
    <sheetView workbookViewId="0">
      <selection activeCell="A1" sqref="A1"/>
    </sheetView>
  </sheetViews>
  <sheetFormatPr baseColWidth="8" defaultRowHeight="15"/>
  <cols>
    <col width="15" customWidth="1" min="1" max="1"/>
    <col width="18" customWidth="1" min="2" max="2"/>
    <col width="16" customWidth="1" min="3" max="3"/>
    <col width="8" customWidth="1" min="4" max="4"/>
    <col width="12" customWidth="1" min="5" max="5"/>
    <col width="22" customWidth="1" min="6" max="6"/>
    <col width="20" customWidth="1" min="7" max="7"/>
    <col width="10" customWidth="1" min="8" max="8"/>
  </cols>
  <sheetData>
    <row r="1">
      <c r="A1" s="5" t="inlineStr">
        <is>
          <t>PN</t>
        </is>
      </c>
      <c r="B1" s="5" t="inlineStr">
        <is>
          <t>LotNumber</t>
        </is>
      </c>
      <c r="C1" s="5" t="inlineStr">
        <is>
          <t>ExpirationDate</t>
        </is>
      </c>
      <c r="D1" s="5" t="inlineStr">
        <is>
          <t>Qty</t>
        </is>
      </c>
      <c r="E1" s="5" t="inlineStr">
        <is>
          <t>Unit</t>
        </is>
      </c>
      <c r="F1" s="5" t="inlineStr">
        <is>
          <t>StorageLocation</t>
        </is>
      </c>
      <c r="G1" s="5" t="inlineStr">
        <is>
          <t>LatestInventory</t>
        </is>
      </c>
      <c r="H1" s="5" t="inlineStr">
        <is>
          <t>IsActive</t>
        </is>
      </c>
    </row>
    <row r="2">
      <c r="A2" s="6" t="inlineStr">
        <is>
          <t>001-1686</t>
        </is>
      </c>
      <c r="B2" s="6" t="inlineStr">
        <is>
          <t>E20AUG24A</t>
        </is>
      </c>
      <c r="C2" s="6" t="inlineStr">
        <is>
          <t>2026-02-28</t>
        </is>
      </c>
      <c r="D2" s="6" t="n">
        <v>12</v>
      </c>
      <c r="E2" s="6" t="inlineStr">
        <is>
          <t>Box</t>
        </is>
      </c>
      <c r="F2" s="6" t="inlineStr">
        <is>
          <t>POS IPT kylskåp</t>
        </is>
      </c>
      <c r="G2" s="6" t="inlineStr">
        <is>
          <t>2025-06-30</t>
        </is>
      </c>
      <c r="H2" s="6" t="inlineStr">
        <is>
          <t>TRUE</t>
        </is>
      </c>
    </row>
    <row r="3">
      <c r="A3" s="6" t="inlineStr">
        <is>
          <t>001-1687</t>
        </is>
      </c>
      <c r="B3" s="6" t="inlineStr">
        <is>
          <t>D20AUG24A</t>
        </is>
      </c>
      <c r="C3" s="6" t="inlineStr">
        <is>
          <t>2026-02-28</t>
        </is>
      </c>
      <c r="D3" s="6" t="n">
        <v>2</v>
      </c>
      <c r="E3" s="6" t="inlineStr">
        <is>
          <t>Box</t>
        </is>
      </c>
      <c r="F3" s="6" t="inlineStr">
        <is>
          <t>POS IPT kylskåp</t>
        </is>
      </c>
      <c r="G3" s="6" t="inlineStr">
        <is>
          <t>2025-10-02</t>
        </is>
      </c>
      <c r="H3" s="6" t="inlineStr">
        <is>
          <t>TRUE</t>
        </is>
      </c>
    </row>
    <row r="4">
      <c r="A4" s="6" t="inlineStr">
        <is>
          <t>001-1688</t>
        </is>
      </c>
      <c r="B4" s="6" t="inlineStr">
        <is>
          <t>S19AUG24A</t>
        </is>
      </c>
      <c r="C4" s="6" t="inlineStr">
        <is>
          <t>2026-02-28</t>
        </is>
      </c>
      <c r="D4" s="6" t="n">
        <v>1</v>
      </c>
      <c r="E4" s="6" t="inlineStr">
        <is>
          <t>Box</t>
        </is>
      </c>
      <c r="F4" s="6" t="inlineStr">
        <is>
          <t>NEG IPT kylskåp</t>
        </is>
      </c>
      <c r="G4" s="6" t="inlineStr">
        <is>
          <t>2025-12-15</t>
        </is>
      </c>
      <c r="H4" s="6" t="inlineStr">
        <is>
          <t>TRUE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G79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BULK SR</t>
        </is>
      </c>
    </row>
    <row r="2" ht="20" customHeight="1">
      <c r="A2" s="8" t="inlineStr">
        <is>
          <t>001-1689</t>
        </is>
      </c>
      <c r="B2" s="9" t="inlineStr">
        <is>
          <t>PreservCyt Solution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SR / TET / MATRIX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500-0952</t>
        </is>
      </c>
      <c r="B15" s="9" t="inlineStr">
        <is>
          <t>Buffer TET (Van A/B)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SR / TET / MATRIX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500-0995</t>
        </is>
      </c>
      <c r="B28" s="9" t="inlineStr">
        <is>
          <t>MTB TET Buffer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SR / TET / MATRIX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  <row r="41" ht="20" customHeight="1">
      <c r="A41" s="8" t="inlineStr">
        <is>
          <t>500-1712</t>
        </is>
      </c>
      <c r="B41" s="9" t="inlineStr">
        <is>
          <t>Lysis Reagent Xpert Virus</t>
        </is>
      </c>
      <c r="C41" s="10" t="n"/>
      <c r="D41" s="10" t="n"/>
      <c r="E41" s="10" t="n"/>
      <c r="F41" s="10" t="n"/>
      <c r="G41" s="10" t="n"/>
    </row>
    <row r="42" ht="16" customHeight="1">
      <c r="A42" s="11" t="n"/>
      <c r="B42" s="12" t="inlineStr">
        <is>
          <t>SR / TET / MATRIX</t>
        </is>
      </c>
      <c r="C42" s="11" t="n"/>
      <c r="D42" s="11" t="n"/>
      <c r="E42" s="11" t="n"/>
      <c r="F42" s="13">
        <f>IFERROR(COUNTIF(tbl_Lots[PN],$A$41)&amp;" active lot(s)  |  max 8 shown","")</f>
        <v/>
      </c>
    </row>
    <row r="43" ht="16" customHeight="1">
      <c r="A43" s="14" t="n"/>
      <c r="B43" s="15" t="inlineStr">
        <is>
          <t>Lot Number</t>
        </is>
      </c>
      <c r="C43" s="15" t="inlineStr">
        <is>
          <t>Expiration Date</t>
        </is>
      </c>
      <c r="D43" s="15" t="inlineStr">
        <is>
          <t>Qty</t>
        </is>
      </c>
      <c r="E43" s="15" t="inlineStr">
        <is>
          <t>Last Inventory</t>
        </is>
      </c>
      <c r="F43" s="15" t="inlineStr">
        <is>
          <t>Days Left</t>
        </is>
      </c>
      <c r="G43" s="15" t="inlineStr">
        <is>
          <t>Status</t>
        </is>
      </c>
    </row>
    <row r="44" ht="17" customHeight="1">
      <c r="A44" s="16" t="n"/>
      <c r="B44" s="17">
        <f>IFERROR(INDEX(FILTER(tbl_Lots[LotNumber],tbl_Lots[PN]=$A$41,""),1,1),"")</f>
        <v/>
      </c>
      <c r="C44" s="18">
        <f>IFERROR(INDEX(FILTER(tbl_Lots[ExpirationDate],tbl_Lots[PN]=$A$41,""),1,1),"")</f>
        <v/>
      </c>
      <c r="D44" s="19">
        <f>IFERROR(INDEX(FILTER(tbl_Lots[Qty],tbl_Lots[PN]=$A$41,""),1,1),"")</f>
        <v/>
      </c>
      <c r="E44" s="20">
        <f>IFERROR(INDEX(FILTER(tbl_Lots[LatestInventory],tbl_Lots[PN]=$A$41,""),1,1),"")</f>
        <v/>
      </c>
      <c r="F44" s="21">
        <f>IF(C44="","",C44-TODAY())</f>
        <v/>
      </c>
      <c r="G44" s="22">
        <f>IF(C44="","",IF(C44&lt;TODAY(),"EXPIRED",IF(C44&lt;TODAY()+60,"&lt; 60 days","OK")))</f>
        <v/>
      </c>
    </row>
    <row r="45" ht="17" customHeight="1">
      <c r="A45" s="23" t="n"/>
      <c r="B45" s="24">
        <f>IFERROR(INDEX(FILTER(tbl_Lots[LotNumber],tbl_Lots[PN]=$A$41,""),2,1),"")</f>
        <v/>
      </c>
      <c r="C45" s="25">
        <f>IFERROR(INDEX(FILTER(tbl_Lots[ExpirationDate],tbl_Lots[PN]=$A$41,""),2,1),"")</f>
        <v/>
      </c>
      <c r="D45" s="26">
        <f>IFERROR(INDEX(FILTER(tbl_Lots[Qty],tbl_Lots[PN]=$A$41,""),2,1),"")</f>
        <v/>
      </c>
      <c r="E45" s="27">
        <f>IFERROR(INDEX(FILTER(tbl_Lots[LatestInventory],tbl_Lots[PN]=$A$41,""),2,1),"")</f>
        <v/>
      </c>
      <c r="F45" s="28">
        <f>IF(C45="","",C45-TODAY())</f>
        <v/>
      </c>
      <c r="G45" s="29">
        <f>IF(C45="","",IF(C45&lt;TODAY(),"EXPIRED",IF(C45&lt;TODAY()+60,"&lt; 60 days","OK")))</f>
        <v/>
      </c>
    </row>
    <row r="46" ht="17" customHeight="1">
      <c r="A46" s="16" t="n"/>
      <c r="B46" s="17">
        <f>IFERROR(INDEX(FILTER(tbl_Lots[LotNumber],tbl_Lots[PN]=$A$41,""),3,1),"")</f>
        <v/>
      </c>
      <c r="C46" s="18">
        <f>IFERROR(INDEX(FILTER(tbl_Lots[ExpirationDate],tbl_Lots[PN]=$A$41,""),3,1),"")</f>
        <v/>
      </c>
      <c r="D46" s="19">
        <f>IFERROR(INDEX(FILTER(tbl_Lots[Qty],tbl_Lots[PN]=$A$41,""),3,1),"")</f>
        <v/>
      </c>
      <c r="E46" s="20">
        <f>IFERROR(INDEX(FILTER(tbl_Lots[LatestInventory],tbl_Lots[PN]=$A$41,""),3,1),"")</f>
        <v/>
      </c>
      <c r="F46" s="21">
        <f>IF(C46="","",C46-TODAY())</f>
        <v/>
      </c>
      <c r="G46" s="22">
        <f>IF(C46="","",IF(C46&lt;TODAY(),"EXPIRED",IF(C46&lt;TODAY()+60,"&lt; 60 days","OK")))</f>
        <v/>
      </c>
    </row>
    <row r="47" ht="17" customHeight="1">
      <c r="A47" s="23" t="n"/>
      <c r="B47" s="24">
        <f>IFERROR(INDEX(FILTER(tbl_Lots[LotNumber],tbl_Lots[PN]=$A$41,""),4,1),"")</f>
        <v/>
      </c>
      <c r="C47" s="25">
        <f>IFERROR(INDEX(FILTER(tbl_Lots[ExpirationDate],tbl_Lots[PN]=$A$41,""),4,1),"")</f>
        <v/>
      </c>
      <c r="D47" s="26">
        <f>IFERROR(INDEX(FILTER(tbl_Lots[Qty],tbl_Lots[PN]=$A$41,""),4,1),"")</f>
        <v/>
      </c>
      <c r="E47" s="27">
        <f>IFERROR(INDEX(FILTER(tbl_Lots[LatestInventory],tbl_Lots[PN]=$A$41,""),4,1),"")</f>
        <v/>
      </c>
      <c r="F47" s="28">
        <f>IF(C47="","",C47-TODAY())</f>
        <v/>
      </c>
      <c r="G47" s="29">
        <f>IF(C47="","",IF(C47&lt;TODAY(),"EXPIRED",IF(C47&lt;TODAY()+60,"&lt; 60 days","OK")))</f>
        <v/>
      </c>
    </row>
    <row r="48" ht="17" customHeight="1">
      <c r="A48" s="16" t="n"/>
      <c r="B48" s="17">
        <f>IFERROR(INDEX(FILTER(tbl_Lots[LotNumber],tbl_Lots[PN]=$A$41,""),5,1),"")</f>
        <v/>
      </c>
      <c r="C48" s="18">
        <f>IFERROR(INDEX(FILTER(tbl_Lots[ExpirationDate],tbl_Lots[PN]=$A$41,""),5,1),"")</f>
        <v/>
      </c>
      <c r="D48" s="19">
        <f>IFERROR(INDEX(FILTER(tbl_Lots[Qty],tbl_Lots[PN]=$A$41,""),5,1),"")</f>
        <v/>
      </c>
      <c r="E48" s="20">
        <f>IFERROR(INDEX(FILTER(tbl_Lots[LatestInventory],tbl_Lots[PN]=$A$41,""),5,1),"")</f>
        <v/>
      </c>
      <c r="F48" s="21">
        <f>IF(C48="","",C48-TODAY())</f>
        <v/>
      </c>
      <c r="G48" s="22">
        <f>IF(C48="","",IF(C48&lt;TODAY(),"EXPIRED",IF(C48&lt;TODAY()+60,"&lt; 60 days","OK")))</f>
        <v/>
      </c>
    </row>
    <row r="49" ht="17" customHeight="1">
      <c r="A49" s="23" t="n"/>
      <c r="B49" s="24">
        <f>IFERROR(INDEX(FILTER(tbl_Lots[LotNumber],tbl_Lots[PN]=$A$41,""),6,1),"")</f>
        <v/>
      </c>
      <c r="C49" s="25">
        <f>IFERROR(INDEX(FILTER(tbl_Lots[ExpirationDate],tbl_Lots[PN]=$A$41,""),6,1),"")</f>
        <v/>
      </c>
      <c r="D49" s="26">
        <f>IFERROR(INDEX(FILTER(tbl_Lots[Qty],tbl_Lots[PN]=$A$41,""),6,1),"")</f>
        <v/>
      </c>
      <c r="E49" s="27">
        <f>IFERROR(INDEX(FILTER(tbl_Lots[LatestInventory],tbl_Lots[PN]=$A$41,""),6,1),"")</f>
        <v/>
      </c>
      <c r="F49" s="28">
        <f>IF(C49="","",C49-TODAY())</f>
        <v/>
      </c>
      <c r="G49" s="29">
        <f>IF(C49="","",IF(C49&lt;TODAY(),"EXPIRED",IF(C49&lt;TODAY()+60,"&lt; 60 days","OK")))</f>
        <v/>
      </c>
    </row>
    <row r="50" ht="17" customHeight="1">
      <c r="A50" s="16" t="n"/>
      <c r="B50" s="17">
        <f>IFERROR(INDEX(FILTER(tbl_Lots[LotNumber],tbl_Lots[PN]=$A$41,""),7,1),"")</f>
        <v/>
      </c>
      <c r="C50" s="18">
        <f>IFERROR(INDEX(FILTER(tbl_Lots[ExpirationDate],tbl_Lots[PN]=$A$41,""),7,1),"")</f>
        <v/>
      </c>
      <c r="D50" s="19">
        <f>IFERROR(INDEX(FILTER(tbl_Lots[Qty],tbl_Lots[PN]=$A$41,""),7,1),"")</f>
        <v/>
      </c>
      <c r="E50" s="20">
        <f>IFERROR(INDEX(FILTER(tbl_Lots[LatestInventory],tbl_Lots[PN]=$A$41,""),7,1),"")</f>
        <v/>
      </c>
      <c r="F50" s="21">
        <f>IF(C50="","",C50-TODAY())</f>
        <v/>
      </c>
      <c r="G50" s="22">
        <f>IF(C50="","",IF(C50&lt;TODAY(),"EXPIRED",IF(C50&lt;TODAY()+60,"&lt; 60 days","OK")))</f>
        <v/>
      </c>
    </row>
    <row r="51" ht="17" customHeight="1">
      <c r="A51" s="23" t="n"/>
      <c r="B51" s="24">
        <f>IFERROR(INDEX(FILTER(tbl_Lots[LotNumber],tbl_Lots[PN]=$A$41,""),8,1),"")</f>
        <v/>
      </c>
      <c r="C51" s="25">
        <f>IFERROR(INDEX(FILTER(tbl_Lots[ExpirationDate],tbl_Lots[PN]=$A$41,""),8,1),"")</f>
        <v/>
      </c>
      <c r="D51" s="26">
        <f>IFERROR(INDEX(FILTER(tbl_Lots[Qty],tbl_Lots[PN]=$A$41,""),8,1),"")</f>
        <v/>
      </c>
      <c r="E51" s="27">
        <f>IFERROR(INDEX(FILTER(tbl_Lots[LatestInventory],tbl_Lots[PN]=$A$41,""),8,1),"")</f>
        <v/>
      </c>
      <c r="F51" s="28">
        <f>IF(C51="","",C51-TODAY())</f>
        <v/>
      </c>
      <c r="G51" s="29">
        <f>IF(C51="","",IF(C51&lt;TODAY(),"EXPIRED",IF(C51&lt;TODAY()+60,"&lt; 60 days","OK")))</f>
        <v/>
      </c>
    </row>
    <row r="52" ht="14" customHeight="1">
      <c r="A52" s="30" t="n"/>
      <c r="B52" s="31">
        <f>IF(ISNUMBER(COUNTIF(tbl_Lots[PN],$A$41)),IF(COUNTIF(tbl_Lots[PN],$A$41)&gt;8,"  WARNING: "&amp;(COUNTIF(tbl_Lots[PN],$A$41)-8)&amp;" more lot(s) not shown - extend block",""),"")</f>
        <v/>
      </c>
    </row>
    <row r="53" ht="8" customHeight="1">
      <c r="A53" s="16" t="n"/>
      <c r="B53" s="16" t="n"/>
      <c r="C53" s="16" t="n"/>
      <c r="D53" s="16" t="n"/>
      <c r="E53" s="16" t="n"/>
      <c r="F53" s="16" t="n"/>
      <c r="G53" s="16" t="n"/>
    </row>
    <row r="54" ht="20" customHeight="1">
      <c r="A54" s="8" t="inlineStr">
        <is>
          <t>500-2288</t>
        </is>
      </c>
      <c r="B54" s="9" t="inlineStr">
        <is>
          <t>GX Lysis buffer</t>
        </is>
      </c>
      <c r="C54" s="10" t="n"/>
      <c r="D54" s="10" t="n"/>
      <c r="E54" s="10" t="n"/>
      <c r="F54" s="10" t="n"/>
      <c r="G54" s="10" t="n"/>
    </row>
    <row r="55" ht="16" customHeight="1">
      <c r="A55" s="11" t="n"/>
      <c r="B55" s="12" t="inlineStr">
        <is>
          <t>SR / TET / MATRIX</t>
        </is>
      </c>
      <c r="C55" s="11" t="n"/>
      <c r="D55" s="11" t="n"/>
      <c r="E55" s="11" t="n"/>
      <c r="F55" s="13">
        <f>IFERROR(COUNTIF(tbl_Lots[PN],$A$54)&amp;" active lot(s)  |  max 8 shown","")</f>
        <v/>
      </c>
    </row>
    <row r="56" ht="16" customHeight="1">
      <c r="A56" s="14" t="n"/>
      <c r="B56" s="15" t="inlineStr">
        <is>
          <t>Lot Number</t>
        </is>
      </c>
      <c r="C56" s="15" t="inlineStr">
        <is>
          <t>Expiration Date</t>
        </is>
      </c>
      <c r="D56" s="15" t="inlineStr">
        <is>
          <t>Qty</t>
        </is>
      </c>
      <c r="E56" s="15" t="inlineStr">
        <is>
          <t>Last Inventory</t>
        </is>
      </c>
      <c r="F56" s="15" t="inlineStr">
        <is>
          <t>Days Left</t>
        </is>
      </c>
      <c r="G56" s="15" t="inlineStr">
        <is>
          <t>Status</t>
        </is>
      </c>
    </row>
    <row r="57" ht="17" customHeight="1">
      <c r="A57" s="16" t="n"/>
      <c r="B57" s="17">
        <f>IFERROR(INDEX(FILTER(tbl_Lots[LotNumber],tbl_Lots[PN]=$A$54,""),1,1),"")</f>
        <v/>
      </c>
      <c r="C57" s="18">
        <f>IFERROR(INDEX(FILTER(tbl_Lots[ExpirationDate],tbl_Lots[PN]=$A$54,""),1,1),"")</f>
        <v/>
      </c>
      <c r="D57" s="19">
        <f>IFERROR(INDEX(FILTER(tbl_Lots[Qty],tbl_Lots[PN]=$A$54,""),1,1),"")</f>
        <v/>
      </c>
      <c r="E57" s="20">
        <f>IFERROR(INDEX(FILTER(tbl_Lots[LatestInventory],tbl_Lots[PN]=$A$54,""),1,1),"")</f>
        <v/>
      </c>
      <c r="F57" s="21">
        <f>IF(C57="","",C57-TODAY())</f>
        <v/>
      </c>
      <c r="G57" s="22">
        <f>IF(C57="","",IF(C57&lt;TODAY(),"EXPIRED",IF(C57&lt;TODAY()+60,"&lt; 60 days","OK")))</f>
        <v/>
      </c>
    </row>
    <row r="58" ht="17" customHeight="1">
      <c r="A58" s="23" t="n"/>
      <c r="B58" s="24">
        <f>IFERROR(INDEX(FILTER(tbl_Lots[LotNumber],tbl_Lots[PN]=$A$54,""),2,1),"")</f>
        <v/>
      </c>
      <c r="C58" s="25">
        <f>IFERROR(INDEX(FILTER(tbl_Lots[ExpirationDate],tbl_Lots[PN]=$A$54,""),2,1),"")</f>
        <v/>
      </c>
      <c r="D58" s="26">
        <f>IFERROR(INDEX(FILTER(tbl_Lots[Qty],tbl_Lots[PN]=$A$54,""),2,1),"")</f>
        <v/>
      </c>
      <c r="E58" s="27">
        <f>IFERROR(INDEX(FILTER(tbl_Lots[LatestInventory],tbl_Lots[PN]=$A$54,""),2,1),"")</f>
        <v/>
      </c>
      <c r="F58" s="28">
        <f>IF(C58="","",C58-TODAY())</f>
        <v/>
      </c>
      <c r="G58" s="29">
        <f>IF(C58="","",IF(C58&lt;TODAY(),"EXPIRED",IF(C58&lt;TODAY()+60,"&lt; 60 days","OK")))</f>
        <v/>
      </c>
    </row>
    <row r="59" ht="17" customHeight="1">
      <c r="A59" s="16" t="n"/>
      <c r="B59" s="17">
        <f>IFERROR(INDEX(FILTER(tbl_Lots[LotNumber],tbl_Lots[PN]=$A$54,""),3,1),"")</f>
        <v/>
      </c>
      <c r="C59" s="18">
        <f>IFERROR(INDEX(FILTER(tbl_Lots[ExpirationDate],tbl_Lots[PN]=$A$54,""),3,1),"")</f>
        <v/>
      </c>
      <c r="D59" s="19">
        <f>IFERROR(INDEX(FILTER(tbl_Lots[Qty],tbl_Lots[PN]=$A$54,""),3,1),"")</f>
        <v/>
      </c>
      <c r="E59" s="20">
        <f>IFERROR(INDEX(FILTER(tbl_Lots[LatestInventory],tbl_Lots[PN]=$A$54,""),3,1),"")</f>
        <v/>
      </c>
      <c r="F59" s="21">
        <f>IF(C59="","",C59-TODAY())</f>
        <v/>
      </c>
      <c r="G59" s="22">
        <f>IF(C59="","",IF(C59&lt;TODAY(),"EXPIRED",IF(C59&lt;TODAY()+60,"&lt; 60 days","OK")))</f>
        <v/>
      </c>
    </row>
    <row r="60" ht="17" customHeight="1">
      <c r="A60" s="23" t="n"/>
      <c r="B60" s="24">
        <f>IFERROR(INDEX(FILTER(tbl_Lots[LotNumber],tbl_Lots[PN]=$A$54,""),4,1),"")</f>
        <v/>
      </c>
      <c r="C60" s="25">
        <f>IFERROR(INDEX(FILTER(tbl_Lots[ExpirationDate],tbl_Lots[PN]=$A$54,""),4,1),"")</f>
        <v/>
      </c>
      <c r="D60" s="26">
        <f>IFERROR(INDEX(FILTER(tbl_Lots[Qty],tbl_Lots[PN]=$A$54,""),4,1),"")</f>
        <v/>
      </c>
      <c r="E60" s="27">
        <f>IFERROR(INDEX(FILTER(tbl_Lots[LatestInventory],tbl_Lots[PN]=$A$54,""),4,1),"")</f>
        <v/>
      </c>
      <c r="F60" s="28">
        <f>IF(C60="","",C60-TODAY())</f>
        <v/>
      </c>
      <c r="G60" s="29">
        <f>IF(C60="","",IF(C60&lt;TODAY(),"EXPIRED",IF(C60&lt;TODAY()+60,"&lt; 60 days","OK")))</f>
        <v/>
      </c>
    </row>
    <row r="61" ht="17" customHeight="1">
      <c r="A61" s="16" t="n"/>
      <c r="B61" s="17">
        <f>IFERROR(INDEX(FILTER(tbl_Lots[LotNumber],tbl_Lots[PN]=$A$54,""),5,1),"")</f>
        <v/>
      </c>
      <c r="C61" s="18">
        <f>IFERROR(INDEX(FILTER(tbl_Lots[ExpirationDate],tbl_Lots[PN]=$A$54,""),5,1),"")</f>
        <v/>
      </c>
      <c r="D61" s="19">
        <f>IFERROR(INDEX(FILTER(tbl_Lots[Qty],tbl_Lots[PN]=$A$54,""),5,1),"")</f>
        <v/>
      </c>
      <c r="E61" s="20">
        <f>IFERROR(INDEX(FILTER(tbl_Lots[LatestInventory],tbl_Lots[PN]=$A$54,""),5,1),"")</f>
        <v/>
      </c>
      <c r="F61" s="21">
        <f>IF(C61="","",C61-TODAY())</f>
        <v/>
      </c>
      <c r="G61" s="22">
        <f>IF(C61="","",IF(C61&lt;TODAY(),"EXPIRED",IF(C61&lt;TODAY()+60,"&lt; 60 days","OK")))</f>
        <v/>
      </c>
    </row>
    <row r="62" ht="17" customHeight="1">
      <c r="A62" s="23" t="n"/>
      <c r="B62" s="24">
        <f>IFERROR(INDEX(FILTER(tbl_Lots[LotNumber],tbl_Lots[PN]=$A$54,""),6,1),"")</f>
        <v/>
      </c>
      <c r="C62" s="25">
        <f>IFERROR(INDEX(FILTER(tbl_Lots[ExpirationDate],tbl_Lots[PN]=$A$54,""),6,1),"")</f>
        <v/>
      </c>
      <c r="D62" s="26">
        <f>IFERROR(INDEX(FILTER(tbl_Lots[Qty],tbl_Lots[PN]=$A$54,""),6,1),"")</f>
        <v/>
      </c>
      <c r="E62" s="27">
        <f>IFERROR(INDEX(FILTER(tbl_Lots[LatestInventory],tbl_Lots[PN]=$A$54,""),6,1),"")</f>
        <v/>
      </c>
      <c r="F62" s="28">
        <f>IF(C62="","",C62-TODAY())</f>
        <v/>
      </c>
      <c r="G62" s="29">
        <f>IF(C62="","",IF(C62&lt;TODAY(),"EXPIRED",IF(C62&lt;TODAY()+60,"&lt; 60 days","OK")))</f>
        <v/>
      </c>
    </row>
    <row r="63" ht="17" customHeight="1">
      <c r="A63" s="16" t="n"/>
      <c r="B63" s="17">
        <f>IFERROR(INDEX(FILTER(tbl_Lots[LotNumber],tbl_Lots[PN]=$A$54,""),7,1),"")</f>
        <v/>
      </c>
      <c r="C63" s="18">
        <f>IFERROR(INDEX(FILTER(tbl_Lots[ExpirationDate],tbl_Lots[PN]=$A$54,""),7,1),"")</f>
        <v/>
      </c>
      <c r="D63" s="19">
        <f>IFERROR(INDEX(FILTER(tbl_Lots[Qty],tbl_Lots[PN]=$A$54,""),7,1),"")</f>
        <v/>
      </c>
      <c r="E63" s="20">
        <f>IFERROR(INDEX(FILTER(tbl_Lots[LatestInventory],tbl_Lots[PN]=$A$54,""),7,1),"")</f>
        <v/>
      </c>
      <c r="F63" s="21">
        <f>IF(C63="","",C63-TODAY())</f>
        <v/>
      </c>
      <c r="G63" s="22">
        <f>IF(C63="","",IF(C63&lt;TODAY(),"EXPIRED",IF(C63&lt;TODAY()+60,"&lt; 60 days","OK")))</f>
        <v/>
      </c>
    </row>
    <row r="64" ht="17" customHeight="1">
      <c r="A64" s="23" t="n"/>
      <c r="B64" s="24">
        <f>IFERROR(INDEX(FILTER(tbl_Lots[LotNumber],tbl_Lots[PN]=$A$54,""),8,1),"")</f>
        <v/>
      </c>
      <c r="C64" s="25">
        <f>IFERROR(INDEX(FILTER(tbl_Lots[ExpirationDate],tbl_Lots[PN]=$A$54,""),8,1),"")</f>
        <v/>
      </c>
      <c r="D64" s="26">
        <f>IFERROR(INDEX(FILTER(tbl_Lots[Qty],tbl_Lots[PN]=$A$54,""),8,1),"")</f>
        <v/>
      </c>
      <c r="E64" s="27">
        <f>IFERROR(INDEX(FILTER(tbl_Lots[LatestInventory],tbl_Lots[PN]=$A$54,""),8,1),"")</f>
        <v/>
      </c>
      <c r="F64" s="28">
        <f>IF(C64="","",C64-TODAY())</f>
        <v/>
      </c>
      <c r="G64" s="29">
        <f>IF(C64="","",IF(C64&lt;TODAY(),"EXPIRED",IF(C64&lt;TODAY()+60,"&lt; 60 days","OK")))</f>
        <v/>
      </c>
    </row>
    <row r="65" ht="14" customHeight="1">
      <c r="A65" s="30" t="n"/>
      <c r="B65" s="31">
        <f>IF(ISNUMBER(COUNTIF(tbl_Lots[PN],$A$54)),IF(COUNTIF(tbl_Lots[PN],$A$54)&gt;8,"  WARNING: "&amp;(COUNTIF(tbl_Lots[PN],$A$54)-8)&amp;" more lot(s) not shown - extend block",""),"")</f>
        <v/>
      </c>
    </row>
    <row r="66" ht="8" customHeight="1">
      <c r="A66" s="16" t="n"/>
      <c r="B66" s="16" t="n"/>
      <c r="C66" s="16" t="n"/>
      <c r="D66" s="16" t="n"/>
      <c r="E66" s="16" t="n"/>
      <c r="F66" s="16" t="n"/>
      <c r="G66" s="16" t="n"/>
    </row>
    <row r="67" ht="20" customHeight="1">
      <c r="A67" s="8" t="inlineStr">
        <is>
          <t>500-2608</t>
        </is>
      </c>
      <c r="B67" s="9" t="inlineStr">
        <is>
          <t>MTB SR / IPT Bulk Reagent</t>
        </is>
      </c>
      <c r="C67" s="10" t="n"/>
      <c r="D67" s="10" t="n"/>
      <c r="E67" s="10" t="n"/>
      <c r="F67" s="10" t="n"/>
      <c r="G67" s="10" t="n"/>
    </row>
    <row r="68" ht="16" customHeight="1">
      <c r="A68" s="11" t="n"/>
      <c r="B68" s="12" t="inlineStr">
        <is>
          <t>SR / TET / MATRIX</t>
        </is>
      </c>
      <c r="C68" s="11" t="n"/>
      <c r="D68" s="11" t="n"/>
      <c r="E68" s="11" t="n"/>
      <c r="F68" s="13">
        <f>IFERROR(COUNTIF(tbl_Lots[PN],$A$67)&amp;" active lot(s)  |  max 8 shown","")</f>
        <v/>
      </c>
    </row>
    <row r="69" ht="16" customHeight="1">
      <c r="A69" s="14" t="n"/>
      <c r="B69" s="15" t="inlineStr">
        <is>
          <t>Lot Number</t>
        </is>
      </c>
      <c r="C69" s="15" t="inlineStr">
        <is>
          <t>Expiration Date</t>
        </is>
      </c>
      <c r="D69" s="15" t="inlineStr">
        <is>
          <t>Qty</t>
        </is>
      </c>
      <c r="E69" s="15" t="inlineStr">
        <is>
          <t>Last Inventory</t>
        </is>
      </c>
      <c r="F69" s="15" t="inlineStr">
        <is>
          <t>Days Left</t>
        </is>
      </c>
      <c r="G69" s="15" t="inlineStr">
        <is>
          <t>Status</t>
        </is>
      </c>
    </row>
    <row r="70" ht="17" customHeight="1">
      <c r="A70" s="16" t="n"/>
      <c r="B70" s="17">
        <f>IFERROR(INDEX(FILTER(tbl_Lots[LotNumber],tbl_Lots[PN]=$A$67,""),1,1),"")</f>
        <v/>
      </c>
      <c r="C70" s="18">
        <f>IFERROR(INDEX(FILTER(tbl_Lots[ExpirationDate],tbl_Lots[PN]=$A$67,""),1,1),"")</f>
        <v/>
      </c>
      <c r="D70" s="19">
        <f>IFERROR(INDEX(FILTER(tbl_Lots[Qty],tbl_Lots[PN]=$A$67,""),1,1),"")</f>
        <v/>
      </c>
      <c r="E70" s="20">
        <f>IFERROR(INDEX(FILTER(tbl_Lots[LatestInventory],tbl_Lots[PN]=$A$67,""),1,1),"")</f>
        <v/>
      </c>
      <c r="F70" s="21">
        <f>IF(C70="","",C70-TODAY())</f>
        <v/>
      </c>
      <c r="G70" s="22">
        <f>IF(C70="","",IF(C70&lt;TODAY(),"EXPIRED",IF(C70&lt;TODAY()+60,"&lt; 60 days","OK")))</f>
        <v/>
      </c>
    </row>
    <row r="71" ht="17" customHeight="1">
      <c r="A71" s="23" t="n"/>
      <c r="B71" s="24">
        <f>IFERROR(INDEX(FILTER(tbl_Lots[LotNumber],tbl_Lots[PN]=$A$67,""),2,1),"")</f>
        <v/>
      </c>
      <c r="C71" s="25">
        <f>IFERROR(INDEX(FILTER(tbl_Lots[ExpirationDate],tbl_Lots[PN]=$A$67,""),2,1),"")</f>
        <v/>
      </c>
      <c r="D71" s="26">
        <f>IFERROR(INDEX(FILTER(tbl_Lots[Qty],tbl_Lots[PN]=$A$67,""),2,1),"")</f>
        <v/>
      </c>
      <c r="E71" s="27">
        <f>IFERROR(INDEX(FILTER(tbl_Lots[LatestInventory],tbl_Lots[PN]=$A$67,""),2,1),"")</f>
        <v/>
      </c>
      <c r="F71" s="28">
        <f>IF(C71="","",C71-TODAY())</f>
        <v/>
      </c>
      <c r="G71" s="29">
        <f>IF(C71="","",IF(C71&lt;TODAY(),"EXPIRED",IF(C71&lt;TODAY()+60,"&lt; 60 days","OK")))</f>
        <v/>
      </c>
    </row>
    <row r="72" ht="17" customHeight="1">
      <c r="A72" s="16" t="n"/>
      <c r="B72" s="17">
        <f>IFERROR(INDEX(FILTER(tbl_Lots[LotNumber],tbl_Lots[PN]=$A$67,""),3,1),"")</f>
        <v/>
      </c>
      <c r="C72" s="18">
        <f>IFERROR(INDEX(FILTER(tbl_Lots[ExpirationDate],tbl_Lots[PN]=$A$67,""),3,1),"")</f>
        <v/>
      </c>
      <c r="D72" s="19">
        <f>IFERROR(INDEX(FILTER(tbl_Lots[Qty],tbl_Lots[PN]=$A$67,""),3,1),"")</f>
        <v/>
      </c>
      <c r="E72" s="20">
        <f>IFERROR(INDEX(FILTER(tbl_Lots[LatestInventory],tbl_Lots[PN]=$A$67,""),3,1),"")</f>
        <v/>
      </c>
      <c r="F72" s="21">
        <f>IF(C72="","",C72-TODAY())</f>
        <v/>
      </c>
      <c r="G72" s="22">
        <f>IF(C72="","",IF(C72&lt;TODAY(),"EXPIRED",IF(C72&lt;TODAY()+60,"&lt; 60 days","OK")))</f>
        <v/>
      </c>
    </row>
    <row r="73" ht="17" customHeight="1">
      <c r="A73" s="23" t="n"/>
      <c r="B73" s="24">
        <f>IFERROR(INDEX(FILTER(tbl_Lots[LotNumber],tbl_Lots[PN]=$A$67,""),4,1),"")</f>
        <v/>
      </c>
      <c r="C73" s="25">
        <f>IFERROR(INDEX(FILTER(tbl_Lots[ExpirationDate],tbl_Lots[PN]=$A$67,""),4,1),"")</f>
        <v/>
      </c>
      <c r="D73" s="26">
        <f>IFERROR(INDEX(FILTER(tbl_Lots[Qty],tbl_Lots[PN]=$A$67,""),4,1),"")</f>
        <v/>
      </c>
      <c r="E73" s="27">
        <f>IFERROR(INDEX(FILTER(tbl_Lots[LatestInventory],tbl_Lots[PN]=$A$67,""),4,1),"")</f>
        <v/>
      </c>
      <c r="F73" s="28">
        <f>IF(C73="","",C73-TODAY())</f>
        <v/>
      </c>
      <c r="G73" s="29">
        <f>IF(C73="","",IF(C73&lt;TODAY(),"EXPIRED",IF(C73&lt;TODAY()+60,"&lt; 60 days","OK")))</f>
        <v/>
      </c>
    </row>
    <row r="74" ht="17" customHeight="1">
      <c r="A74" s="16" t="n"/>
      <c r="B74" s="17">
        <f>IFERROR(INDEX(FILTER(tbl_Lots[LotNumber],tbl_Lots[PN]=$A$67,""),5,1),"")</f>
        <v/>
      </c>
      <c r="C74" s="18">
        <f>IFERROR(INDEX(FILTER(tbl_Lots[ExpirationDate],tbl_Lots[PN]=$A$67,""),5,1),"")</f>
        <v/>
      </c>
      <c r="D74" s="19">
        <f>IFERROR(INDEX(FILTER(tbl_Lots[Qty],tbl_Lots[PN]=$A$67,""),5,1),"")</f>
        <v/>
      </c>
      <c r="E74" s="20">
        <f>IFERROR(INDEX(FILTER(tbl_Lots[LatestInventory],tbl_Lots[PN]=$A$67,""),5,1),"")</f>
        <v/>
      </c>
      <c r="F74" s="21">
        <f>IF(C74="","",C74-TODAY())</f>
        <v/>
      </c>
      <c r="G74" s="22">
        <f>IF(C74="","",IF(C74&lt;TODAY(),"EXPIRED",IF(C74&lt;TODAY()+60,"&lt; 60 days","OK")))</f>
        <v/>
      </c>
    </row>
    <row r="75" ht="17" customHeight="1">
      <c r="A75" s="23" t="n"/>
      <c r="B75" s="24">
        <f>IFERROR(INDEX(FILTER(tbl_Lots[LotNumber],tbl_Lots[PN]=$A$67,""),6,1),"")</f>
        <v/>
      </c>
      <c r="C75" s="25">
        <f>IFERROR(INDEX(FILTER(tbl_Lots[ExpirationDate],tbl_Lots[PN]=$A$67,""),6,1),"")</f>
        <v/>
      </c>
      <c r="D75" s="26">
        <f>IFERROR(INDEX(FILTER(tbl_Lots[Qty],tbl_Lots[PN]=$A$67,""),6,1),"")</f>
        <v/>
      </c>
      <c r="E75" s="27">
        <f>IFERROR(INDEX(FILTER(tbl_Lots[LatestInventory],tbl_Lots[PN]=$A$67,""),6,1),"")</f>
        <v/>
      </c>
      <c r="F75" s="28">
        <f>IF(C75="","",C75-TODAY())</f>
        <v/>
      </c>
      <c r="G75" s="29">
        <f>IF(C75="","",IF(C75&lt;TODAY(),"EXPIRED",IF(C75&lt;TODAY()+60,"&lt; 60 days","OK")))</f>
        <v/>
      </c>
    </row>
    <row r="76" ht="17" customHeight="1">
      <c r="A76" s="16" t="n"/>
      <c r="B76" s="17">
        <f>IFERROR(INDEX(FILTER(tbl_Lots[LotNumber],tbl_Lots[PN]=$A$67,""),7,1),"")</f>
        <v/>
      </c>
      <c r="C76" s="18">
        <f>IFERROR(INDEX(FILTER(tbl_Lots[ExpirationDate],tbl_Lots[PN]=$A$67,""),7,1),"")</f>
        <v/>
      </c>
      <c r="D76" s="19">
        <f>IFERROR(INDEX(FILTER(tbl_Lots[Qty],tbl_Lots[PN]=$A$67,""),7,1),"")</f>
        <v/>
      </c>
      <c r="E76" s="20">
        <f>IFERROR(INDEX(FILTER(tbl_Lots[LatestInventory],tbl_Lots[PN]=$A$67,""),7,1),"")</f>
        <v/>
      </c>
      <c r="F76" s="21">
        <f>IF(C76="","",C76-TODAY())</f>
        <v/>
      </c>
      <c r="G76" s="22">
        <f>IF(C76="","",IF(C76&lt;TODAY(),"EXPIRED",IF(C76&lt;TODAY()+60,"&lt; 60 days","OK")))</f>
        <v/>
      </c>
    </row>
    <row r="77" ht="17" customHeight="1">
      <c r="A77" s="23" t="n"/>
      <c r="B77" s="24">
        <f>IFERROR(INDEX(FILTER(tbl_Lots[LotNumber],tbl_Lots[PN]=$A$67,""),8,1),"")</f>
        <v/>
      </c>
      <c r="C77" s="25">
        <f>IFERROR(INDEX(FILTER(tbl_Lots[ExpirationDate],tbl_Lots[PN]=$A$67,""),8,1),"")</f>
        <v/>
      </c>
      <c r="D77" s="26">
        <f>IFERROR(INDEX(FILTER(tbl_Lots[Qty],tbl_Lots[PN]=$A$67,""),8,1),"")</f>
        <v/>
      </c>
      <c r="E77" s="27">
        <f>IFERROR(INDEX(FILTER(tbl_Lots[LatestInventory],tbl_Lots[PN]=$A$67,""),8,1),"")</f>
        <v/>
      </c>
      <c r="F77" s="28">
        <f>IF(C77="","",C77-TODAY())</f>
        <v/>
      </c>
      <c r="G77" s="29">
        <f>IF(C77="","",IF(C77&lt;TODAY(),"EXPIRED",IF(C77&lt;TODAY()+60,"&lt; 60 days","OK")))</f>
        <v/>
      </c>
    </row>
    <row r="78" ht="14" customHeight="1">
      <c r="A78" s="30" t="n"/>
      <c r="B78" s="31">
        <f>IF(ISNUMBER(COUNTIF(tbl_Lots[PN],$A$67)),IF(COUNTIF(tbl_Lots[PN],$A$67)&gt;8,"  WARNING: "&amp;(COUNTIF(tbl_Lots[PN],$A$67)-8)&amp;" more lot(s) not shown - extend block",""),"")</f>
        <v/>
      </c>
    </row>
    <row r="79" ht="8" customHeight="1">
      <c r="A79" s="16" t="n"/>
      <c r="B79" s="16" t="n"/>
      <c r="C79" s="16" t="n"/>
      <c r="D79" s="16" t="n"/>
      <c r="E79" s="16" t="n"/>
      <c r="F79" s="16" t="n"/>
      <c r="G79" s="16" t="n"/>
    </row>
  </sheetData>
  <mergeCells count="13">
    <mergeCell ref="F3:G3"/>
    <mergeCell ref="F55:G55"/>
    <mergeCell ref="A1:G1"/>
    <mergeCell ref="F29:G29"/>
    <mergeCell ref="F16:G16"/>
    <mergeCell ref="F68:G68"/>
    <mergeCell ref="B65:G65"/>
    <mergeCell ref="B26:G26"/>
    <mergeCell ref="F42:G42"/>
    <mergeCell ref="B13:G13"/>
    <mergeCell ref="B52:G52"/>
    <mergeCell ref="B78:G78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conditionalFormatting sqref="C44:C51">
    <cfRule type="expression" priority="19" dxfId="0">
      <formula>AND(C44&lt;&gt;"",C44&lt;TODAY())</formula>
    </cfRule>
    <cfRule type="expression" priority="20" dxfId="1">
      <formula>AND(C44&lt;&gt;"",C44&gt;=TODAY(),C44&lt;TODAY()+60)</formula>
    </cfRule>
    <cfRule type="expression" priority="21" dxfId="2">
      <formula>AND(C44&lt;&gt;"",C44&gt;=TODAY()+60)</formula>
    </cfRule>
  </conditionalFormatting>
  <conditionalFormatting sqref="G44:G51">
    <cfRule type="expression" priority="22" dxfId="0">
      <formula>G44="EXPIRED"</formula>
    </cfRule>
    <cfRule type="expression" priority="23" dxfId="1">
      <formula>G44="&lt; 60 days"</formula>
    </cfRule>
    <cfRule type="expression" priority="24" dxfId="2">
      <formula>G44="OK"</formula>
    </cfRule>
  </conditionalFormatting>
  <conditionalFormatting sqref="C57:C64">
    <cfRule type="expression" priority="25" dxfId="0">
      <formula>AND(C57&lt;&gt;"",C57&lt;TODAY())</formula>
    </cfRule>
    <cfRule type="expression" priority="26" dxfId="1">
      <formula>AND(C57&lt;&gt;"",C57&gt;=TODAY(),C57&lt;TODAY()+60)</formula>
    </cfRule>
    <cfRule type="expression" priority="27" dxfId="2">
      <formula>AND(C57&lt;&gt;"",C57&gt;=TODAY()+60)</formula>
    </cfRule>
  </conditionalFormatting>
  <conditionalFormatting sqref="G57:G64">
    <cfRule type="expression" priority="28" dxfId="0">
      <formula>G57="EXPIRED"</formula>
    </cfRule>
    <cfRule type="expression" priority="29" dxfId="1">
      <formula>G57="&lt; 60 days"</formula>
    </cfRule>
    <cfRule type="expression" priority="30" dxfId="2">
      <formula>G57="OK"</formula>
    </cfRule>
  </conditionalFormatting>
  <conditionalFormatting sqref="C70:C77">
    <cfRule type="expression" priority="31" dxfId="0">
      <formula>AND(C70&lt;&gt;"",C70&lt;TODAY())</formula>
    </cfRule>
    <cfRule type="expression" priority="32" dxfId="1">
      <formula>AND(C70&lt;&gt;"",C70&gt;=TODAY(),C70&lt;TODAY()+60)</formula>
    </cfRule>
    <cfRule type="expression" priority="33" dxfId="2">
      <formula>AND(C70&lt;&gt;"",C70&gt;=TODAY()+60)</formula>
    </cfRule>
  </conditionalFormatting>
  <conditionalFormatting sqref="G70:G77">
    <cfRule type="expression" priority="34" dxfId="0">
      <formula>G70="EXPIRED"</formula>
    </cfRule>
    <cfRule type="expression" priority="35" dxfId="1">
      <formula>G70="&lt; 60 days"</formula>
    </cfRule>
    <cfRule type="expression" priority="36" dxfId="2">
      <formula>G70="OK"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G14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KUND SR</t>
        </is>
      </c>
    </row>
    <row r="2" ht="20" customHeight="1">
      <c r="A2" s="8" t="inlineStr">
        <is>
          <t>500-1514</t>
        </is>
      </c>
      <c r="B2" s="9" t="inlineStr">
        <is>
          <t>Transport buffer (CTNG)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SR / TET / MATRIX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</sheetData>
  <mergeCells count="3">
    <mergeCell ref="F3:G3"/>
    <mergeCell ref="A1:G1"/>
    <mergeCell ref="B13:G13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G40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MTB RIF</t>
        </is>
      </c>
    </row>
    <row r="2" ht="20" customHeight="1">
      <c r="A2" s="8" t="inlineStr">
        <is>
          <t>001-1683</t>
        </is>
      </c>
      <c r="B2" s="9" t="inlineStr">
        <is>
          <t>INTROL TBWT-04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POS IPT kylskåp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500-0995</t>
        </is>
      </c>
      <c r="B15" s="9" t="inlineStr">
        <is>
          <t>MTB TET Buffer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SR / TET / MATRIX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500-2608</t>
        </is>
      </c>
      <c r="B28" s="9" t="inlineStr">
        <is>
          <t>MTB SR / IPT Bulk Reagent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SR / TET / MATRIX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</sheetData>
  <mergeCells count="7">
    <mergeCell ref="F3:G3"/>
    <mergeCell ref="A1:G1"/>
    <mergeCell ref="F29:G29"/>
    <mergeCell ref="F16:G16"/>
    <mergeCell ref="B26:G26"/>
    <mergeCell ref="B13:G13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G53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MTB ULTRA</t>
        </is>
      </c>
    </row>
    <row r="2" ht="20" customHeight="1">
      <c r="A2" s="8" t="inlineStr">
        <is>
          <t>001-1923</t>
        </is>
      </c>
      <c r="B2" s="9" t="inlineStr">
        <is>
          <t>INTROL TB1081MDR2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POS IPT kylskåp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001-1968</t>
        </is>
      </c>
      <c r="B15" s="9" t="inlineStr">
        <is>
          <t>INTROL TBWT-04 MTB G4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kylskåp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500-0995</t>
        </is>
      </c>
      <c r="B28" s="9" t="inlineStr">
        <is>
          <t>MTB TET Buffer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SR / TET / MATRIX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  <row r="41" ht="20" customHeight="1">
      <c r="A41" s="8" t="inlineStr">
        <is>
          <t>500-2608</t>
        </is>
      </c>
      <c r="B41" s="9" t="inlineStr">
        <is>
          <t>MTB SR / IPT Bulk Reagent</t>
        </is>
      </c>
      <c r="C41" s="10" t="n"/>
      <c r="D41" s="10" t="n"/>
      <c r="E41" s="10" t="n"/>
      <c r="F41" s="10" t="n"/>
      <c r="G41" s="10" t="n"/>
    </row>
    <row r="42" ht="16" customHeight="1">
      <c r="A42" s="11" t="n"/>
      <c r="B42" s="12" t="inlineStr">
        <is>
          <t>SR / TET / MATRIX</t>
        </is>
      </c>
      <c r="C42" s="11" t="n"/>
      <c r="D42" s="11" t="n"/>
      <c r="E42" s="11" t="n"/>
      <c r="F42" s="13">
        <f>IFERROR(COUNTIF(tbl_Lots[PN],$A$41)&amp;" active lot(s)  |  max 8 shown","")</f>
        <v/>
      </c>
    </row>
    <row r="43" ht="16" customHeight="1">
      <c r="A43" s="14" t="n"/>
      <c r="B43" s="15" t="inlineStr">
        <is>
          <t>Lot Number</t>
        </is>
      </c>
      <c r="C43" s="15" t="inlineStr">
        <is>
          <t>Expiration Date</t>
        </is>
      </c>
      <c r="D43" s="15" t="inlineStr">
        <is>
          <t>Qty</t>
        </is>
      </c>
      <c r="E43" s="15" t="inlineStr">
        <is>
          <t>Last Inventory</t>
        </is>
      </c>
      <c r="F43" s="15" t="inlineStr">
        <is>
          <t>Days Left</t>
        </is>
      </c>
      <c r="G43" s="15" t="inlineStr">
        <is>
          <t>Status</t>
        </is>
      </c>
    </row>
    <row r="44" ht="17" customHeight="1">
      <c r="A44" s="16" t="n"/>
      <c r="B44" s="17">
        <f>IFERROR(INDEX(FILTER(tbl_Lots[LotNumber],tbl_Lots[PN]=$A$41,""),1,1),"")</f>
        <v/>
      </c>
      <c r="C44" s="18">
        <f>IFERROR(INDEX(FILTER(tbl_Lots[ExpirationDate],tbl_Lots[PN]=$A$41,""),1,1),"")</f>
        <v/>
      </c>
      <c r="D44" s="19">
        <f>IFERROR(INDEX(FILTER(tbl_Lots[Qty],tbl_Lots[PN]=$A$41,""),1,1),"")</f>
        <v/>
      </c>
      <c r="E44" s="20">
        <f>IFERROR(INDEX(FILTER(tbl_Lots[LatestInventory],tbl_Lots[PN]=$A$41,""),1,1),"")</f>
        <v/>
      </c>
      <c r="F44" s="21">
        <f>IF(C44="","",C44-TODAY())</f>
        <v/>
      </c>
      <c r="G44" s="22">
        <f>IF(C44="","",IF(C44&lt;TODAY(),"EXPIRED",IF(C44&lt;TODAY()+60,"&lt; 60 days","OK")))</f>
        <v/>
      </c>
    </row>
    <row r="45" ht="17" customHeight="1">
      <c r="A45" s="23" t="n"/>
      <c r="B45" s="24">
        <f>IFERROR(INDEX(FILTER(tbl_Lots[LotNumber],tbl_Lots[PN]=$A$41,""),2,1),"")</f>
        <v/>
      </c>
      <c r="C45" s="25">
        <f>IFERROR(INDEX(FILTER(tbl_Lots[ExpirationDate],tbl_Lots[PN]=$A$41,""),2,1),"")</f>
        <v/>
      </c>
      <c r="D45" s="26">
        <f>IFERROR(INDEX(FILTER(tbl_Lots[Qty],tbl_Lots[PN]=$A$41,""),2,1),"")</f>
        <v/>
      </c>
      <c r="E45" s="27">
        <f>IFERROR(INDEX(FILTER(tbl_Lots[LatestInventory],tbl_Lots[PN]=$A$41,""),2,1),"")</f>
        <v/>
      </c>
      <c r="F45" s="28">
        <f>IF(C45="","",C45-TODAY())</f>
        <v/>
      </c>
      <c r="G45" s="29">
        <f>IF(C45="","",IF(C45&lt;TODAY(),"EXPIRED",IF(C45&lt;TODAY()+60,"&lt; 60 days","OK")))</f>
        <v/>
      </c>
    </row>
    <row r="46" ht="17" customHeight="1">
      <c r="A46" s="16" t="n"/>
      <c r="B46" s="17">
        <f>IFERROR(INDEX(FILTER(tbl_Lots[LotNumber],tbl_Lots[PN]=$A$41,""),3,1),"")</f>
        <v/>
      </c>
      <c r="C46" s="18">
        <f>IFERROR(INDEX(FILTER(tbl_Lots[ExpirationDate],tbl_Lots[PN]=$A$41,""),3,1),"")</f>
        <v/>
      </c>
      <c r="D46" s="19">
        <f>IFERROR(INDEX(FILTER(tbl_Lots[Qty],tbl_Lots[PN]=$A$41,""),3,1),"")</f>
        <v/>
      </c>
      <c r="E46" s="20">
        <f>IFERROR(INDEX(FILTER(tbl_Lots[LatestInventory],tbl_Lots[PN]=$A$41,""),3,1),"")</f>
        <v/>
      </c>
      <c r="F46" s="21">
        <f>IF(C46="","",C46-TODAY())</f>
        <v/>
      </c>
      <c r="G46" s="22">
        <f>IF(C46="","",IF(C46&lt;TODAY(),"EXPIRED",IF(C46&lt;TODAY()+60,"&lt; 60 days","OK")))</f>
        <v/>
      </c>
    </row>
    <row r="47" ht="17" customHeight="1">
      <c r="A47" s="23" t="n"/>
      <c r="B47" s="24">
        <f>IFERROR(INDEX(FILTER(tbl_Lots[LotNumber],tbl_Lots[PN]=$A$41,""),4,1),"")</f>
        <v/>
      </c>
      <c r="C47" s="25">
        <f>IFERROR(INDEX(FILTER(tbl_Lots[ExpirationDate],tbl_Lots[PN]=$A$41,""),4,1),"")</f>
        <v/>
      </c>
      <c r="D47" s="26">
        <f>IFERROR(INDEX(FILTER(tbl_Lots[Qty],tbl_Lots[PN]=$A$41,""),4,1),"")</f>
        <v/>
      </c>
      <c r="E47" s="27">
        <f>IFERROR(INDEX(FILTER(tbl_Lots[LatestInventory],tbl_Lots[PN]=$A$41,""),4,1),"")</f>
        <v/>
      </c>
      <c r="F47" s="28">
        <f>IF(C47="","",C47-TODAY())</f>
        <v/>
      </c>
      <c r="G47" s="29">
        <f>IF(C47="","",IF(C47&lt;TODAY(),"EXPIRED",IF(C47&lt;TODAY()+60,"&lt; 60 days","OK")))</f>
        <v/>
      </c>
    </row>
    <row r="48" ht="17" customHeight="1">
      <c r="A48" s="16" t="n"/>
      <c r="B48" s="17">
        <f>IFERROR(INDEX(FILTER(tbl_Lots[LotNumber],tbl_Lots[PN]=$A$41,""),5,1),"")</f>
        <v/>
      </c>
      <c r="C48" s="18">
        <f>IFERROR(INDEX(FILTER(tbl_Lots[ExpirationDate],tbl_Lots[PN]=$A$41,""),5,1),"")</f>
        <v/>
      </c>
      <c r="D48" s="19">
        <f>IFERROR(INDEX(FILTER(tbl_Lots[Qty],tbl_Lots[PN]=$A$41,""),5,1),"")</f>
        <v/>
      </c>
      <c r="E48" s="20">
        <f>IFERROR(INDEX(FILTER(tbl_Lots[LatestInventory],tbl_Lots[PN]=$A$41,""),5,1),"")</f>
        <v/>
      </c>
      <c r="F48" s="21">
        <f>IF(C48="","",C48-TODAY())</f>
        <v/>
      </c>
      <c r="G48" s="22">
        <f>IF(C48="","",IF(C48&lt;TODAY(),"EXPIRED",IF(C48&lt;TODAY()+60,"&lt; 60 days","OK")))</f>
        <v/>
      </c>
    </row>
    <row r="49" ht="17" customHeight="1">
      <c r="A49" s="23" t="n"/>
      <c r="B49" s="24">
        <f>IFERROR(INDEX(FILTER(tbl_Lots[LotNumber],tbl_Lots[PN]=$A$41,""),6,1),"")</f>
        <v/>
      </c>
      <c r="C49" s="25">
        <f>IFERROR(INDEX(FILTER(tbl_Lots[ExpirationDate],tbl_Lots[PN]=$A$41,""),6,1),"")</f>
        <v/>
      </c>
      <c r="D49" s="26">
        <f>IFERROR(INDEX(FILTER(tbl_Lots[Qty],tbl_Lots[PN]=$A$41,""),6,1),"")</f>
        <v/>
      </c>
      <c r="E49" s="27">
        <f>IFERROR(INDEX(FILTER(tbl_Lots[LatestInventory],tbl_Lots[PN]=$A$41,""),6,1),"")</f>
        <v/>
      </c>
      <c r="F49" s="28">
        <f>IF(C49="","",C49-TODAY())</f>
        <v/>
      </c>
      <c r="G49" s="29">
        <f>IF(C49="","",IF(C49&lt;TODAY(),"EXPIRED",IF(C49&lt;TODAY()+60,"&lt; 60 days","OK")))</f>
        <v/>
      </c>
    </row>
    <row r="50" ht="17" customHeight="1">
      <c r="A50" s="16" t="n"/>
      <c r="B50" s="17">
        <f>IFERROR(INDEX(FILTER(tbl_Lots[LotNumber],tbl_Lots[PN]=$A$41,""),7,1),"")</f>
        <v/>
      </c>
      <c r="C50" s="18">
        <f>IFERROR(INDEX(FILTER(tbl_Lots[ExpirationDate],tbl_Lots[PN]=$A$41,""),7,1),"")</f>
        <v/>
      </c>
      <c r="D50" s="19">
        <f>IFERROR(INDEX(FILTER(tbl_Lots[Qty],tbl_Lots[PN]=$A$41,""),7,1),"")</f>
        <v/>
      </c>
      <c r="E50" s="20">
        <f>IFERROR(INDEX(FILTER(tbl_Lots[LatestInventory],tbl_Lots[PN]=$A$41,""),7,1),"")</f>
        <v/>
      </c>
      <c r="F50" s="21">
        <f>IF(C50="","",C50-TODAY())</f>
        <v/>
      </c>
      <c r="G50" s="22">
        <f>IF(C50="","",IF(C50&lt;TODAY(),"EXPIRED",IF(C50&lt;TODAY()+60,"&lt; 60 days","OK")))</f>
        <v/>
      </c>
    </row>
    <row r="51" ht="17" customHeight="1">
      <c r="A51" s="23" t="n"/>
      <c r="B51" s="24">
        <f>IFERROR(INDEX(FILTER(tbl_Lots[LotNumber],tbl_Lots[PN]=$A$41,""),8,1),"")</f>
        <v/>
      </c>
      <c r="C51" s="25">
        <f>IFERROR(INDEX(FILTER(tbl_Lots[ExpirationDate],tbl_Lots[PN]=$A$41,""),8,1),"")</f>
        <v/>
      </c>
      <c r="D51" s="26">
        <f>IFERROR(INDEX(FILTER(tbl_Lots[Qty],tbl_Lots[PN]=$A$41,""),8,1),"")</f>
        <v/>
      </c>
      <c r="E51" s="27">
        <f>IFERROR(INDEX(FILTER(tbl_Lots[LatestInventory],tbl_Lots[PN]=$A$41,""),8,1),"")</f>
        <v/>
      </c>
      <c r="F51" s="28">
        <f>IF(C51="","",C51-TODAY())</f>
        <v/>
      </c>
      <c r="G51" s="29">
        <f>IF(C51="","",IF(C51&lt;TODAY(),"EXPIRED",IF(C51&lt;TODAY()+60,"&lt; 60 days","OK")))</f>
        <v/>
      </c>
    </row>
    <row r="52" ht="14" customHeight="1">
      <c r="A52" s="30" t="n"/>
      <c r="B52" s="31">
        <f>IF(ISNUMBER(COUNTIF(tbl_Lots[PN],$A$41)),IF(COUNTIF(tbl_Lots[PN],$A$41)&gt;8,"  WARNING: "&amp;(COUNTIF(tbl_Lots[PN],$A$41)-8)&amp;" more lot(s) not shown - extend block",""),"")</f>
        <v/>
      </c>
    </row>
    <row r="53" ht="8" customHeight="1">
      <c r="A53" s="16" t="n"/>
      <c r="B53" s="16" t="n"/>
      <c r="C53" s="16" t="n"/>
      <c r="D53" s="16" t="n"/>
      <c r="E53" s="16" t="n"/>
      <c r="F53" s="16" t="n"/>
      <c r="G53" s="16" t="n"/>
    </row>
  </sheetData>
  <mergeCells count="9">
    <mergeCell ref="F3:G3"/>
    <mergeCell ref="A1:G1"/>
    <mergeCell ref="F29:G29"/>
    <mergeCell ref="F16:G16"/>
    <mergeCell ref="B26:G26"/>
    <mergeCell ref="F42:G42"/>
    <mergeCell ref="B13:G13"/>
    <mergeCell ref="B52:G52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conditionalFormatting sqref="C44:C51">
    <cfRule type="expression" priority="19" dxfId="0">
      <formula>AND(C44&lt;&gt;"",C44&lt;TODAY())</formula>
    </cfRule>
    <cfRule type="expression" priority="20" dxfId="1">
      <formula>AND(C44&lt;&gt;"",C44&gt;=TODAY(),C44&lt;TODAY()+60)</formula>
    </cfRule>
    <cfRule type="expression" priority="21" dxfId="2">
      <formula>AND(C44&lt;&gt;"",C44&gt;=TODAY()+60)</formula>
    </cfRule>
  </conditionalFormatting>
  <conditionalFormatting sqref="G44:G51">
    <cfRule type="expression" priority="22" dxfId="0">
      <formula>G44="EXPIRED"</formula>
    </cfRule>
    <cfRule type="expression" priority="23" dxfId="1">
      <formula>G44="&lt; 60 days"</formula>
    </cfRule>
    <cfRule type="expression" priority="24" dxfId="2">
      <formula>G44="OK"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G66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MTB JP</t>
        </is>
      </c>
    </row>
    <row r="2" ht="20" customHeight="1">
      <c r="A2" s="8" t="inlineStr">
        <is>
          <t>001-1658</t>
        </is>
      </c>
      <c r="B2" s="9" t="inlineStr">
        <is>
          <t>INTROL TBMDR1-04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POS IPT kylskåp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001-1683</t>
        </is>
      </c>
      <c r="B15" s="9" t="inlineStr">
        <is>
          <t>INTROL TBWT-04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kylskåp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001-1922</t>
        </is>
      </c>
      <c r="B28" s="9" t="inlineStr">
        <is>
          <t>INTROL TBMDR2-04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POS IPT kylskåp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  <row r="41" ht="20" customHeight="1">
      <c r="A41" s="8" t="inlineStr">
        <is>
          <t>500-0995</t>
        </is>
      </c>
      <c r="B41" s="9" t="inlineStr">
        <is>
          <t>MTB TET Buffer</t>
        </is>
      </c>
      <c r="C41" s="10" t="n"/>
      <c r="D41" s="10" t="n"/>
      <c r="E41" s="10" t="n"/>
      <c r="F41" s="10" t="n"/>
      <c r="G41" s="10" t="n"/>
    </row>
    <row r="42" ht="16" customHeight="1">
      <c r="A42" s="11" t="n"/>
      <c r="B42" s="12" t="inlineStr">
        <is>
          <t>SR / TET / MATRIX</t>
        </is>
      </c>
      <c r="C42" s="11" t="n"/>
      <c r="D42" s="11" t="n"/>
      <c r="E42" s="11" t="n"/>
      <c r="F42" s="13">
        <f>IFERROR(COUNTIF(tbl_Lots[PN],$A$41)&amp;" active lot(s)  |  max 8 shown","")</f>
        <v/>
      </c>
    </row>
    <row r="43" ht="16" customHeight="1">
      <c r="A43" s="14" t="n"/>
      <c r="B43" s="15" t="inlineStr">
        <is>
          <t>Lot Number</t>
        </is>
      </c>
      <c r="C43" s="15" t="inlineStr">
        <is>
          <t>Expiration Date</t>
        </is>
      </c>
      <c r="D43" s="15" t="inlineStr">
        <is>
          <t>Qty</t>
        </is>
      </c>
      <c r="E43" s="15" t="inlineStr">
        <is>
          <t>Last Inventory</t>
        </is>
      </c>
      <c r="F43" s="15" t="inlineStr">
        <is>
          <t>Days Left</t>
        </is>
      </c>
      <c r="G43" s="15" t="inlineStr">
        <is>
          <t>Status</t>
        </is>
      </c>
    </row>
    <row r="44" ht="17" customHeight="1">
      <c r="A44" s="16" t="n"/>
      <c r="B44" s="17">
        <f>IFERROR(INDEX(FILTER(tbl_Lots[LotNumber],tbl_Lots[PN]=$A$41,""),1,1),"")</f>
        <v/>
      </c>
      <c r="C44" s="18">
        <f>IFERROR(INDEX(FILTER(tbl_Lots[ExpirationDate],tbl_Lots[PN]=$A$41,""),1,1),"")</f>
        <v/>
      </c>
      <c r="D44" s="19">
        <f>IFERROR(INDEX(FILTER(tbl_Lots[Qty],tbl_Lots[PN]=$A$41,""),1,1),"")</f>
        <v/>
      </c>
      <c r="E44" s="20">
        <f>IFERROR(INDEX(FILTER(tbl_Lots[LatestInventory],tbl_Lots[PN]=$A$41,""),1,1),"")</f>
        <v/>
      </c>
      <c r="F44" s="21">
        <f>IF(C44="","",C44-TODAY())</f>
        <v/>
      </c>
      <c r="G44" s="22">
        <f>IF(C44="","",IF(C44&lt;TODAY(),"EXPIRED",IF(C44&lt;TODAY()+60,"&lt; 60 days","OK")))</f>
        <v/>
      </c>
    </row>
    <row r="45" ht="17" customHeight="1">
      <c r="A45" s="23" t="n"/>
      <c r="B45" s="24">
        <f>IFERROR(INDEX(FILTER(tbl_Lots[LotNumber],tbl_Lots[PN]=$A$41,""),2,1),"")</f>
        <v/>
      </c>
      <c r="C45" s="25">
        <f>IFERROR(INDEX(FILTER(tbl_Lots[ExpirationDate],tbl_Lots[PN]=$A$41,""),2,1),"")</f>
        <v/>
      </c>
      <c r="D45" s="26">
        <f>IFERROR(INDEX(FILTER(tbl_Lots[Qty],tbl_Lots[PN]=$A$41,""),2,1),"")</f>
        <v/>
      </c>
      <c r="E45" s="27">
        <f>IFERROR(INDEX(FILTER(tbl_Lots[LatestInventory],tbl_Lots[PN]=$A$41,""),2,1),"")</f>
        <v/>
      </c>
      <c r="F45" s="28">
        <f>IF(C45="","",C45-TODAY())</f>
        <v/>
      </c>
      <c r="G45" s="29">
        <f>IF(C45="","",IF(C45&lt;TODAY(),"EXPIRED",IF(C45&lt;TODAY()+60,"&lt; 60 days","OK")))</f>
        <v/>
      </c>
    </row>
    <row r="46" ht="17" customHeight="1">
      <c r="A46" s="16" t="n"/>
      <c r="B46" s="17">
        <f>IFERROR(INDEX(FILTER(tbl_Lots[LotNumber],tbl_Lots[PN]=$A$41,""),3,1),"")</f>
        <v/>
      </c>
      <c r="C46" s="18">
        <f>IFERROR(INDEX(FILTER(tbl_Lots[ExpirationDate],tbl_Lots[PN]=$A$41,""),3,1),"")</f>
        <v/>
      </c>
      <c r="D46" s="19">
        <f>IFERROR(INDEX(FILTER(tbl_Lots[Qty],tbl_Lots[PN]=$A$41,""),3,1),"")</f>
        <v/>
      </c>
      <c r="E46" s="20">
        <f>IFERROR(INDEX(FILTER(tbl_Lots[LatestInventory],tbl_Lots[PN]=$A$41,""),3,1),"")</f>
        <v/>
      </c>
      <c r="F46" s="21">
        <f>IF(C46="","",C46-TODAY())</f>
        <v/>
      </c>
      <c r="G46" s="22">
        <f>IF(C46="","",IF(C46&lt;TODAY(),"EXPIRED",IF(C46&lt;TODAY()+60,"&lt; 60 days","OK")))</f>
        <v/>
      </c>
    </row>
    <row r="47" ht="17" customHeight="1">
      <c r="A47" s="23" t="n"/>
      <c r="B47" s="24">
        <f>IFERROR(INDEX(FILTER(tbl_Lots[LotNumber],tbl_Lots[PN]=$A$41,""),4,1),"")</f>
        <v/>
      </c>
      <c r="C47" s="25">
        <f>IFERROR(INDEX(FILTER(tbl_Lots[ExpirationDate],tbl_Lots[PN]=$A$41,""),4,1),"")</f>
        <v/>
      </c>
      <c r="D47" s="26">
        <f>IFERROR(INDEX(FILTER(tbl_Lots[Qty],tbl_Lots[PN]=$A$41,""),4,1),"")</f>
        <v/>
      </c>
      <c r="E47" s="27">
        <f>IFERROR(INDEX(FILTER(tbl_Lots[LatestInventory],tbl_Lots[PN]=$A$41,""),4,1),"")</f>
        <v/>
      </c>
      <c r="F47" s="28">
        <f>IF(C47="","",C47-TODAY())</f>
        <v/>
      </c>
      <c r="G47" s="29">
        <f>IF(C47="","",IF(C47&lt;TODAY(),"EXPIRED",IF(C47&lt;TODAY()+60,"&lt; 60 days","OK")))</f>
        <v/>
      </c>
    </row>
    <row r="48" ht="17" customHeight="1">
      <c r="A48" s="16" t="n"/>
      <c r="B48" s="17">
        <f>IFERROR(INDEX(FILTER(tbl_Lots[LotNumber],tbl_Lots[PN]=$A$41,""),5,1),"")</f>
        <v/>
      </c>
      <c r="C48" s="18">
        <f>IFERROR(INDEX(FILTER(tbl_Lots[ExpirationDate],tbl_Lots[PN]=$A$41,""),5,1),"")</f>
        <v/>
      </c>
      <c r="D48" s="19">
        <f>IFERROR(INDEX(FILTER(tbl_Lots[Qty],tbl_Lots[PN]=$A$41,""),5,1),"")</f>
        <v/>
      </c>
      <c r="E48" s="20">
        <f>IFERROR(INDEX(FILTER(tbl_Lots[LatestInventory],tbl_Lots[PN]=$A$41,""),5,1),"")</f>
        <v/>
      </c>
      <c r="F48" s="21">
        <f>IF(C48="","",C48-TODAY())</f>
        <v/>
      </c>
      <c r="G48" s="22">
        <f>IF(C48="","",IF(C48&lt;TODAY(),"EXPIRED",IF(C48&lt;TODAY()+60,"&lt; 60 days","OK")))</f>
        <v/>
      </c>
    </row>
    <row r="49" ht="17" customHeight="1">
      <c r="A49" s="23" t="n"/>
      <c r="B49" s="24">
        <f>IFERROR(INDEX(FILTER(tbl_Lots[LotNumber],tbl_Lots[PN]=$A$41,""),6,1),"")</f>
        <v/>
      </c>
      <c r="C49" s="25">
        <f>IFERROR(INDEX(FILTER(tbl_Lots[ExpirationDate],tbl_Lots[PN]=$A$41,""),6,1),"")</f>
        <v/>
      </c>
      <c r="D49" s="26">
        <f>IFERROR(INDEX(FILTER(tbl_Lots[Qty],tbl_Lots[PN]=$A$41,""),6,1),"")</f>
        <v/>
      </c>
      <c r="E49" s="27">
        <f>IFERROR(INDEX(FILTER(tbl_Lots[LatestInventory],tbl_Lots[PN]=$A$41,""),6,1),"")</f>
        <v/>
      </c>
      <c r="F49" s="28">
        <f>IF(C49="","",C49-TODAY())</f>
        <v/>
      </c>
      <c r="G49" s="29">
        <f>IF(C49="","",IF(C49&lt;TODAY(),"EXPIRED",IF(C49&lt;TODAY()+60,"&lt; 60 days","OK")))</f>
        <v/>
      </c>
    </row>
    <row r="50" ht="17" customHeight="1">
      <c r="A50" s="16" t="n"/>
      <c r="B50" s="17">
        <f>IFERROR(INDEX(FILTER(tbl_Lots[LotNumber],tbl_Lots[PN]=$A$41,""),7,1),"")</f>
        <v/>
      </c>
      <c r="C50" s="18">
        <f>IFERROR(INDEX(FILTER(tbl_Lots[ExpirationDate],tbl_Lots[PN]=$A$41,""),7,1),"")</f>
        <v/>
      </c>
      <c r="D50" s="19">
        <f>IFERROR(INDEX(FILTER(tbl_Lots[Qty],tbl_Lots[PN]=$A$41,""),7,1),"")</f>
        <v/>
      </c>
      <c r="E50" s="20">
        <f>IFERROR(INDEX(FILTER(tbl_Lots[LatestInventory],tbl_Lots[PN]=$A$41,""),7,1),"")</f>
        <v/>
      </c>
      <c r="F50" s="21">
        <f>IF(C50="","",C50-TODAY())</f>
        <v/>
      </c>
      <c r="G50" s="22">
        <f>IF(C50="","",IF(C50&lt;TODAY(),"EXPIRED",IF(C50&lt;TODAY()+60,"&lt; 60 days","OK")))</f>
        <v/>
      </c>
    </row>
    <row r="51" ht="17" customHeight="1">
      <c r="A51" s="23" t="n"/>
      <c r="B51" s="24">
        <f>IFERROR(INDEX(FILTER(tbl_Lots[LotNumber],tbl_Lots[PN]=$A$41,""),8,1),"")</f>
        <v/>
      </c>
      <c r="C51" s="25">
        <f>IFERROR(INDEX(FILTER(tbl_Lots[ExpirationDate],tbl_Lots[PN]=$A$41,""),8,1),"")</f>
        <v/>
      </c>
      <c r="D51" s="26">
        <f>IFERROR(INDEX(FILTER(tbl_Lots[Qty],tbl_Lots[PN]=$A$41,""),8,1),"")</f>
        <v/>
      </c>
      <c r="E51" s="27">
        <f>IFERROR(INDEX(FILTER(tbl_Lots[LatestInventory],tbl_Lots[PN]=$A$41,""),8,1),"")</f>
        <v/>
      </c>
      <c r="F51" s="28">
        <f>IF(C51="","",C51-TODAY())</f>
        <v/>
      </c>
      <c r="G51" s="29">
        <f>IF(C51="","",IF(C51&lt;TODAY(),"EXPIRED",IF(C51&lt;TODAY()+60,"&lt; 60 days","OK")))</f>
        <v/>
      </c>
    </row>
    <row r="52" ht="14" customHeight="1">
      <c r="A52" s="30" t="n"/>
      <c r="B52" s="31">
        <f>IF(ISNUMBER(COUNTIF(tbl_Lots[PN],$A$41)),IF(COUNTIF(tbl_Lots[PN],$A$41)&gt;8,"  WARNING: "&amp;(COUNTIF(tbl_Lots[PN],$A$41)-8)&amp;" more lot(s) not shown - extend block",""),"")</f>
        <v/>
      </c>
    </row>
    <row r="53" ht="8" customHeight="1">
      <c r="A53" s="16" t="n"/>
      <c r="B53" s="16" t="n"/>
      <c r="C53" s="16" t="n"/>
      <c r="D53" s="16" t="n"/>
      <c r="E53" s="16" t="n"/>
      <c r="F53" s="16" t="n"/>
      <c r="G53" s="16" t="n"/>
    </row>
    <row r="54" ht="20" customHeight="1">
      <c r="A54" s="8" t="inlineStr">
        <is>
          <t>500-2608</t>
        </is>
      </c>
      <c r="B54" s="9" t="inlineStr">
        <is>
          <t>MTB SR / IPT Bulk Reagent</t>
        </is>
      </c>
      <c r="C54" s="10" t="n"/>
      <c r="D54" s="10" t="n"/>
      <c r="E54" s="10" t="n"/>
      <c r="F54" s="10" t="n"/>
      <c r="G54" s="10" t="n"/>
    </row>
    <row r="55" ht="16" customHeight="1">
      <c r="A55" s="11" t="n"/>
      <c r="B55" s="12" t="inlineStr">
        <is>
          <t>SR / TET / MATRIX</t>
        </is>
      </c>
      <c r="C55" s="11" t="n"/>
      <c r="D55" s="11" t="n"/>
      <c r="E55" s="11" t="n"/>
      <c r="F55" s="13">
        <f>IFERROR(COUNTIF(tbl_Lots[PN],$A$54)&amp;" active lot(s)  |  max 8 shown","")</f>
        <v/>
      </c>
    </row>
    <row r="56" ht="16" customHeight="1">
      <c r="A56" s="14" t="n"/>
      <c r="B56" s="15" t="inlineStr">
        <is>
          <t>Lot Number</t>
        </is>
      </c>
      <c r="C56" s="15" t="inlineStr">
        <is>
          <t>Expiration Date</t>
        </is>
      </c>
      <c r="D56" s="15" t="inlineStr">
        <is>
          <t>Qty</t>
        </is>
      </c>
      <c r="E56" s="15" t="inlineStr">
        <is>
          <t>Last Inventory</t>
        </is>
      </c>
      <c r="F56" s="15" t="inlineStr">
        <is>
          <t>Days Left</t>
        </is>
      </c>
      <c r="G56" s="15" t="inlineStr">
        <is>
          <t>Status</t>
        </is>
      </c>
    </row>
    <row r="57" ht="17" customHeight="1">
      <c r="A57" s="16" t="n"/>
      <c r="B57" s="17">
        <f>IFERROR(INDEX(FILTER(tbl_Lots[LotNumber],tbl_Lots[PN]=$A$54,""),1,1),"")</f>
        <v/>
      </c>
      <c r="C57" s="18">
        <f>IFERROR(INDEX(FILTER(tbl_Lots[ExpirationDate],tbl_Lots[PN]=$A$54,""),1,1),"")</f>
        <v/>
      </c>
      <c r="D57" s="19">
        <f>IFERROR(INDEX(FILTER(tbl_Lots[Qty],tbl_Lots[PN]=$A$54,""),1,1),"")</f>
        <v/>
      </c>
      <c r="E57" s="20">
        <f>IFERROR(INDEX(FILTER(tbl_Lots[LatestInventory],tbl_Lots[PN]=$A$54,""),1,1),"")</f>
        <v/>
      </c>
      <c r="F57" s="21">
        <f>IF(C57="","",C57-TODAY())</f>
        <v/>
      </c>
      <c r="G57" s="22">
        <f>IF(C57="","",IF(C57&lt;TODAY(),"EXPIRED",IF(C57&lt;TODAY()+60,"&lt; 60 days","OK")))</f>
        <v/>
      </c>
    </row>
    <row r="58" ht="17" customHeight="1">
      <c r="A58" s="23" t="n"/>
      <c r="B58" s="24">
        <f>IFERROR(INDEX(FILTER(tbl_Lots[LotNumber],tbl_Lots[PN]=$A$54,""),2,1),"")</f>
        <v/>
      </c>
      <c r="C58" s="25">
        <f>IFERROR(INDEX(FILTER(tbl_Lots[ExpirationDate],tbl_Lots[PN]=$A$54,""),2,1),"")</f>
        <v/>
      </c>
      <c r="D58" s="26">
        <f>IFERROR(INDEX(FILTER(tbl_Lots[Qty],tbl_Lots[PN]=$A$54,""),2,1),"")</f>
        <v/>
      </c>
      <c r="E58" s="27">
        <f>IFERROR(INDEX(FILTER(tbl_Lots[LatestInventory],tbl_Lots[PN]=$A$54,""),2,1),"")</f>
        <v/>
      </c>
      <c r="F58" s="28">
        <f>IF(C58="","",C58-TODAY())</f>
        <v/>
      </c>
      <c r="G58" s="29">
        <f>IF(C58="","",IF(C58&lt;TODAY(),"EXPIRED",IF(C58&lt;TODAY()+60,"&lt; 60 days","OK")))</f>
        <v/>
      </c>
    </row>
    <row r="59" ht="17" customHeight="1">
      <c r="A59" s="16" t="n"/>
      <c r="B59" s="17">
        <f>IFERROR(INDEX(FILTER(tbl_Lots[LotNumber],tbl_Lots[PN]=$A$54,""),3,1),"")</f>
        <v/>
      </c>
      <c r="C59" s="18">
        <f>IFERROR(INDEX(FILTER(tbl_Lots[ExpirationDate],tbl_Lots[PN]=$A$54,""),3,1),"")</f>
        <v/>
      </c>
      <c r="D59" s="19">
        <f>IFERROR(INDEX(FILTER(tbl_Lots[Qty],tbl_Lots[PN]=$A$54,""),3,1),"")</f>
        <v/>
      </c>
      <c r="E59" s="20">
        <f>IFERROR(INDEX(FILTER(tbl_Lots[LatestInventory],tbl_Lots[PN]=$A$54,""),3,1),"")</f>
        <v/>
      </c>
      <c r="F59" s="21">
        <f>IF(C59="","",C59-TODAY())</f>
        <v/>
      </c>
      <c r="G59" s="22">
        <f>IF(C59="","",IF(C59&lt;TODAY(),"EXPIRED",IF(C59&lt;TODAY()+60,"&lt; 60 days","OK")))</f>
        <v/>
      </c>
    </row>
    <row r="60" ht="17" customHeight="1">
      <c r="A60" s="23" t="n"/>
      <c r="B60" s="24">
        <f>IFERROR(INDEX(FILTER(tbl_Lots[LotNumber],tbl_Lots[PN]=$A$54,""),4,1),"")</f>
        <v/>
      </c>
      <c r="C60" s="25">
        <f>IFERROR(INDEX(FILTER(tbl_Lots[ExpirationDate],tbl_Lots[PN]=$A$54,""),4,1),"")</f>
        <v/>
      </c>
      <c r="D60" s="26">
        <f>IFERROR(INDEX(FILTER(tbl_Lots[Qty],tbl_Lots[PN]=$A$54,""),4,1),"")</f>
        <v/>
      </c>
      <c r="E60" s="27">
        <f>IFERROR(INDEX(FILTER(tbl_Lots[LatestInventory],tbl_Lots[PN]=$A$54,""),4,1),"")</f>
        <v/>
      </c>
      <c r="F60" s="28">
        <f>IF(C60="","",C60-TODAY())</f>
        <v/>
      </c>
      <c r="G60" s="29">
        <f>IF(C60="","",IF(C60&lt;TODAY(),"EXPIRED",IF(C60&lt;TODAY()+60,"&lt; 60 days","OK")))</f>
        <v/>
      </c>
    </row>
    <row r="61" ht="17" customHeight="1">
      <c r="A61" s="16" t="n"/>
      <c r="B61" s="17">
        <f>IFERROR(INDEX(FILTER(tbl_Lots[LotNumber],tbl_Lots[PN]=$A$54,""),5,1),"")</f>
        <v/>
      </c>
      <c r="C61" s="18">
        <f>IFERROR(INDEX(FILTER(tbl_Lots[ExpirationDate],tbl_Lots[PN]=$A$54,""),5,1),"")</f>
        <v/>
      </c>
      <c r="D61" s="19">
        <f>IFERROR(INDEX(FILTER(tbl_Lots[Qty],tbl_Lots[PN]=$A$54,""),5,1),"")</f>
        <v/>
      </c>
      <c r="E61" s="20">
        <f>IFERROR(INDEX(FILTER(tbl_Lots[LatestInventory],tbl_Lots[PN]=$A$54,""),5,1),"")</f>
        <v/>
      </c>
      <c r="F61" s="21">
        <f>IF(C61="","",C61-TODAY())</f>
        <v/>
      </c>
      <c r="G61" s="22">
        <f>IF(C61="","",IF(C61&lt;TODAY(),"EXPIRED",IF(C61&lt;TODAY()+60,"&lt; 60 days","OK")))</f>
        <v/>
      </c>
    </row>
    <row r="62" ht="17" customHeight="1">
      <c r="A62" s="23" t="n"/>
      <c r="B62" s="24">
        <f>IFERROR(INDEX(FILTER(tbl_Lots[LotNumber],tbl_Lots[PN]=$A$54,""),6,1),"")</f>
        <v/>
      </c>
      <c r="C62" s="25">
        <f>IFERROR(INDEX(FILTER(tbl_Lots[ExpirationDate],tbl_Lots[PN]=$A$54,""),6,1),"")</f>
        <v/>
      </c>
      <c r="D62" s="26">
        <f>IFERROR(INDEX(FILTER(tbl_Lots[Qty],tbl_Lots[PN]=$A$54,""),6,1),"")</f>
        <v/>
      </c>
      <c r="E62" s="27">
        <f>IFERROR(INDEX(FILTER(tbl_Lots[LatestInventory],tbl_Lots[PN]=$A$54,""),6,1),"")</f>
        <v/>
      </c>
      <c r="F62" s="28">
        <f>IF(C62="","",C62-TODAY())</f>
        <v/>
      </c>
      <c r="G62" s="29">
        <f>IF(C62="","",IF(C62&lt;TODAY(),"EXPIRED",IF(C62&lt;TODAY()+60,"&lt; 60 days","OK")))</f>
        <v/>
      </c>
    </row>
    <row r="63" ht="17" customHeight="1">
      <c r="A63" s="16" t="n"/>
      <c r="B63" s="17">
        <f>IFERROR(INDEX(FILTER(tbl_Lots[LotNumber],tbl_Lots[PN]=$A$54,""),7,1),"")</f>
        <v/>
      </c>
      <c r="C63" s="18">
        <f>IFERROR(INDEX(FILTER(tbl_Lots[ExpirationDate],tbl_Lots[PN]=$A$54,""),7,1),"")</f>
        <v/>
      </c>
      <c r="D63" s="19">
        <f>IFERROR(INDEX(FILTER(tbl_Lots[Qty],tbl_Lots[PN]=$A$54,""),7,1),"")</f>
        <v/>
      </c>
      <c r="E63" s="20">
        <f>IFERROR(INDEX(FILTER(tbl_Lots[LatestInventory],tbl_Lots[PN]=$A$54,""),7,1),"")</f>
        <v/>
      </c>
      <c r="F63" s="21">
        <f>IF(C63="","",C63-TODAY())</f>
        <v/>
      </c>
      <c r="G63" s="22">
        <f>IF(C63="","",IF(C63&lt;TODAY(),"EXPIRED",IF(C63&lt;TODAY()+60,"&lt; 60 days","OK")))</f>
        <v/>
      </c>
    </row>
    <row r="64" ht="17" customHeight="1">
      <c r="A64" s="23" t="n"/>
      <c r="B64" s="24">
        <f>IFERROR(INDEX(FILTER(tbl_Lots[LotNumber],tbl_Lots[PN]=$A$54,""),8,1),"")</f>
        <v/>
      </c>
      <c r="C64" s="25">
        <f>IFERROR(INDEX(FILTER(tbl_Lots[ExpirationDate],tbl_Lots[PN]=$A$54,""),8,1),"")</f>
        <v/>
      </c>
      <c r="D64" s="26">
        <f>IFERROR(INDEX(FILTER(tbl_Lots[Qty],tbl_Lots[PN]=$A$54,""),8,1),"")</f>
        <v/>
      </c>
      <c r="E64" s="27">
        <f>IFERROR(INDEX(FILTER(tbl_Lots[LatestInventory],tbl_Lots[PN]=$A$54,""),8,1),"")</f>
        <v/>
      </c>
      <c r="F64" s="28">
        <f>IF(C64="","",C64-TODAY())</f>
        <v/>
      </c>
      <c r="G64" s="29">
        <f>IF(C64="","",IF(C64&lt;TODAY(),"EXPIRED",IF(C64&lt;TODAY()+60,"&lt; 60 days","OK")))</f>
        <v/>
      </c>
    </row>
    <row r="65" ht="14" customHeight="1">
      <c r="A65" s="30" t="n"/>
      <c r="B65" s="31">
        <f>IF(ISNUMBER(COUNTIF(tbl_Lots[PN],$A$54)),IF(COUNTIF(tbl_Lots[PN],$A$54)&gt;8,"  WARNING: "&amp;(COUNTIF(tbl_Lots[PN],$A$54)-8)&amp;" more lot(s) not shown - extend block",""),"")</f>
        <v/>
      </c>
    </row>
    <row r="66" ht="8" customHeight="1">
      <c r="A66" s="16" t="n"/>
      <c r="B66" s="16" t="n"/>
      <c r="C66" s="16" t="n"/>
      <c r="D66" s="16" t="n"/>
      <c r="E66" s="16" t="n"/>
      <c r="F66" s="16" t="n"/>
      <c r="G66" s="16" t="n"/>
    </row>
  </sheetData>
  <mergeCells count="11">
    <mergeCell ref="F3:G3"/>
    <mergeCell ref="F55:G55"/>
    <mergeCell ref="A1:G1"/>
    <mergeCell ref="F29:G29"/>
    <mergeCell ref="F16:G16"/>
    <mergeCell ref="B65:G65"/>
    <mergeCell ref="B26:G26"/>
    <mergeCell ref="F42:G42"/>
    <mergeCell ref="B13:G13"/>
    <mergeCell ref="B52:G52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conditionalFormatting sqref="C44:C51">
    <cfRule type="expression" priority="19" dxfId="0">
      <formula>AND(C44&lt;&gt;"",C44&lt;TODAY())</formula>
    </cfRule>
    <cfRule type="expression" priority="20" dxfId="1">
      <formula>AND(C44&lt;&gt;"",C44&gt;=TODAY(),C44&lt;TODAY()+60)</formula>
    </cfRule>
    <cfRule type="expression" priority="21" dxfId="2">
      <formula>AND(C44&lt;&gt;"",C44&gt;=TODAY()+60)</formula>
    </cfRule>
  </conditionalFormatting>
  <conditionalFormatting sqref="G44:G51">
    <cfRule type="expression" priority="22" dxfId="0">
      <formula>G44="EXPIRED"</formula>
    </cfRule>
    <cfRule type="expression" priority="23" dxfId="1">
      <formula>G44="&lt; 60 days"</formula>
    </cfRule>
    <cfRule type="expression" priority="24" dxfId="2">
      <formula>G44="OK"</formula>
    </cfRule>
  </conditionalFormatting>
  <conditionalFormatting sqref="C57:C64">
    <cfRule type="expression" priority="25" dxfId="0">
      <formula>AND(C57&lt;&gt;"",C57&lt;TODAY())</formula>
    </cfRule>
    <cfRule type="expression" priority="26" dxfId="1">
      <formula>AND(C57&lt;&gt;"",C57&gt;=TODAY(),C57&lt;TODAY()+60)</formula>
    </cfRule>
    <cfRule type="expression" priority="27" dxfId="2">
      <formula>AND(C57&lt;&gt;"",C57&gt;=TODAY()+60)</formula>
    </cfRule>
  </conditionalFormatting>
  <conditionalFormatting sqref="G57:G64">
    <cfRule type="expression" priority="28" dxfId="0">
      <formula>G57="EXPIRED"</formula>
    </cfRule>
    <cfRule type="expression" priority="29" dxfId="1">
      <formula>G57="&lt; 60 days"</formula>
    </cfRule>
    <cfRule type="expression" priority="30" dxfId="2">
      <formula>G57="OK"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G53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MTB XDR</t>
        </is>
      </c>
    </row>
    <row r="2" ht="20" customHeight="1">
      <c r="A2" s="8" t="inlineStr">
        <is>
          <t>325-00056</t>
        </is>
      </c>
      <c r="B2" s="9" t="inlineStr">
        <is>
          <t>MTB/XDR WT Cells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POS IPT kylskåp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325-00057</t>
        </is>
      </c>
      <c r="B15" s="9" t="inlineStr">
        <is>
          <t>MTB/XDR Mutant Cells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kylskåp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500-0995</t>
        </is>
      </c>
      <c r="B28" s="9" t="inlineStr">
        <is>
          <t>MTB TET Buffer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SR / TET / MATRIX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  <row r="41" ht="20" customHeight="1">
      <c r="A41" s="8" t="inlineStr">
        <is>
          <t>500-2608</t>
        </is>
      </c>
      <c r="B41" s="9" t="inlineStr">
        <is>
          <t>MTB SR / IPT Bulk Reagent</t>
        </is>
      </c>
      <c r="C41" s="10" t="n"/>
      <c r="D41" s="10" t="n"/>
      <c r="E41" s="10" t="n"/>
      <c r="F41" s="10" t="n"/>
      <c r="G41" s="10" t="n"/>
    </row>
    <row r="42" ht="16" customHeight="1">
      <c r="A42" s="11" t="n"/>
      <c r="B42" s="12" t="inlineStr">
        <is>
          <t>SR / TET / MATRIX</t>
        </is>
      </c>
      <c r="C42" s="11" t="n"/>
      <c r="D42" s="11" t="n"/>
      <c r="E42" s="11" t="n"/>
      <c r="F42" s="13">
        <f>IFERROR(COUNTIF(tbl_Lots[PN],$A$41)&amp;" active lot(s)  |  max 8 shown","")</f>
        <v/>
      </c>
    </row>
    <row r="43" ht="16" customHeight="1">
      <c r="A43" s="14" t="n"/>
      <c r="B43" s="15" t="inlineStr">
        <is>
          <t>Lot Number</t>
        </is>
      </c>
      <c r="C43" s="15" t="inlineStr">
        <is>
          <t>Expiration Date</t>
        </is>
      </c>
      <c r="D43" s="15" t="inlineStr">
        <is>
          <t>Qty</t>
        </is>
      </c>
      <c r="E43" s="15" t="inlineStr">
        <is>
          <t>Last Inventory</t>
        </is>
      </c>
      <c r="F43" s="15" t="inlineStr">
        <is>
          <t>Days Left</t>
        </is>
      </c>
      <c r="G43" s="15" t="inlineStr">
        <is>
          <t>Status</t>
        </is>
      </c>
    </row>
    <row r="44" ht="17" customHeight="1">
      <c r="A44" s="16" t="n"/>
      <c r="B44" s="17">
        <f>IFERROR(INDEX(FILTER(tbl_Lots[LotNumber],tbl_Lots[PN]=$A$41,""),1,1),"")</f>
        <v/>
      </c>
      <c r="C44" s="18">
        <f>IFERROR(INDEX(FILTER(tbl_Lots[ExpirationDate],tbl_Lots[PN]=$A$41,""),1,1),"")</f>
        <v/>
      </c>
      <c r="D44" s="19">
        <f>IFERROR(INDEX(FILTER(tbl_Lots[Qty],tbl_Lots[PN]=$A$41,""),1,1),"")</f>
        <v/>
      </c>
      <c r="E44" s="20">
        <f>IFERROR(INDEX(FILTER(tbl_Lots[LatestInventory],tbl_Lots[PN]=$A$41,""),1,1),"")</f>
        <v/>
      </c>
      <c r="F44" s="21">
        <f>IF(C44="","",C44-TODAY())</f>
        <v/>
      </c>
      <c r="G44" s="22">
        <f>IF(C44="","",IF(C44&lt;TODAY(),"EXPIRED",IF(C44&lt;TODAY()+60,"&lt; 60 days","OK")))</f>
        <v/>
      </c>
    </row>
    <row r="45" ht="17" customHeight="1">
      <c r="A45" s="23" t="n"/>
      <c r="B45" s="24">
        <f>IFERROR(INDEX(FILTER(tbl_Lots[LotNumber],tbl_Lots[PN]=$A$41,""),2,1),"")</f>
        <v/>
      </c>
      <c r="C45" s="25">
        <f>IFERROR(INDEX(FILTER(tbl_Lots[ExpirationDate],tbl_Lots[PN]=$A$41,""),2,1),"")</f>
        <v/>
      </c>
      <c r="D45" s="26">
        <f>IFERROR(INDEX(FILTER(tbl_Lots[Qty],tbl_Lots[PN]=$A$41,""),2,1),"")</f>
        <v/>
      </c>
      <c r="E45" s="27">
        <f>IFERROR(INDEX(FILTER(tbl_Lots[LatestInventory],tbl_Lots[PN]=$A$41,""),2,1),"")</f>
        <v/>
      </c>
      <c r="F45" s="28">
        <f>IF(C45="","",C45-TODAY())</f>
        <v/>
      </c>
      <c r="G45" s="29">
        <f>IF(C45="","",IF(C45&lt;TODAY(),"EXPIRED",IF(C45&lt;TODAY()+60,"&lt; 60 days","OK")))</f>
        <v/>
      </c>
    </row>
    <row r="46" ht="17" customHeight="1">
      <c r="A46" s="16" t="n"/>
      <c r="B46" s="17">
        <f>IFERROR(INDEX(FILTER(tbl_Lots[LotNumber],tbl_Lots[PN]=$A$41,""),3,1),"")</f>
        <v/>
      </c>
      <c r="C46" s="18">
        <f>IFERROR(INDEX(FILTER(tbl_Lots[ExpirationDate],tbl_Lots[PN]=$A$41,""),3,1),"")</f>
        <v/>
      </c>
      <c r="D46" s="19">
        <f>IFERROR(INDEX(FILTER(tbl_Lots[Qty],tbl_Lots[PN]=$A$41,""),3,1),"")</f>
        <v/>
      </c>
      <c r="E46" s="20">
        <f>IFERROR(INDEX(FILTER(tbl_Lots[LatestInventory],tbl_Lots[PN]=$A$41,""),3,1),"")</f>
        <v/>
      </c>
      <c r="F46" s="21">
        <f>IF(C46="","",C46-TODAY())</f>
        <v/>
      </c>
      <c r="G46" s="22">
        <f>IF(C46="","",IF(C46&lt;TODAY(),"EXPIRED",IF(C46&lt;TODAY()+60,"&lt; 60 days","OK")))</f>
        <v/>
      </c>
    </row>
    <row r="47" ht="17" customHeight="1">
      <c r="A47" s="23" t="n"/>
      <c r="B47" s="24">
        <f>IFERROR(INDEX(FILTER(tbl_Lots[LotNumber],tbl_Lots[PN]=$A$41,""),4,1),"")</f>
        <v/>
      </c>
      <c r="C47" s="25">
        <f>IFERROR(INDEX(FILTER(tbl_Lots[ExpirationDate],tbl_Lots[PN]=$A$41,""),4,1),"")</f>
        <v/>
      </c>
      <c r="D47" s="26">
        <f>IFERROR(INDEX(FILTER(tbl_Lots[Qty],tbl_Lots[PN]=$A$41,""),4,1),"")</f>
        <v/>
      </c>
      <c r="E47" s="27">
        <f>IFERROR(INDEX(FILTER(tbl_Lots[LatestInventory],tbl_Lots[PN]=$A$41,""),4,1),"")</f>
        <v/>
      </c>
      <c r="F47" s="28">
        <f>IF(C47="","",C47-TODAY())</f>
        <v/>
      </c>
      <c r="G47" s="29">
        <f>IF(C47="","",IF(C47&lt;TODAY(),"EXPIRED",IF(C47&lt;TODAY()+60,"&lt; 60 days","OK")))</f>
        <v/>
      </c>
    </row>
    <row r="48" ht="17" customHeight="1">
      <c r="A48" s="16" t="n"/>
      <c r="B48" s="17">
        <f>IFERROR(INDEX(FILTER(tbl_Lots[LotNumber],tbl_Lots[PN]=$A$41,""),5,1),"")</f>
        <v/>
      </c>
      <c r="C48" s="18">
        <f>IFERROR(INDEX(FILTER(tbl_Lots[ExpirationDate],tbl_Lots[PN]=$A$41,""),5,1),"")</f>
        <v/>
      </c>
      <c r="D48" s="19">
        <f>IFERROR(INDEX(FILTER(tbl_Lots[Qty],tbl_Lots[PN]=$A$41,""),5,1),"")</f>
        <v/>
      </c>
      <c r="E48" s="20">
        <f>IFERROR(INDEX(FILTER(tbl_Lots[LatestInventory],tbl_Lots[PN]=$A$41,""),5,1),"")</f>
        <v/>
      </c>
      <c r="F48" s="21">
        <f>IF(C48="","",C48-TODAY())</f>
        <v/>
      </c>
      <c r="G48" s="22">
        <f>IF(C48="","",IF(C48&lt;TODAY(),"EXPIRED",IF(C48&lt;TODAY()+60,"&lt; 60 days","OK")))</f>
        <v/>
      </c>
    </row>
    <row r="49" ht="17" customHeight="1">
      <c r="A49" s="23" t="n"/>
      <c r="B49" s="24">
        <f>IFERROR(INDEX(FILTER(tbl_Lots[LotNumber],tbl_Lots[PN]=$A$41,""),6,1),"")</f>
        <v/>
      </c>
      <c r="C49" s="25">
        <f>IFERROR(INDEX(FILTER(tbl_Lots[ExpirationDate],tbl_Lots[PN]=$A$41,""),6,1),"")</f>
        <v/>
      </c>
      <c r="D49" s="26">
        <f>IFERROR(INDEX(FILTER(tbl_Lots[Qty],tbl_Lots[PN]=$A$41,""),6,1),"")</f>
        <v/>
      </c>
      <c r="E49" s="27">
        <f>IFERROR(INDEX(FILTER(tbl_Lots[LatestInventory],tbl_Lots[PN]=$A$41,""),6,1),"")</f>
        <v/>
      </c>
      <c r="F49" s="28">
        <f>IF(C49="","",C49-TODAY())</f>
        <v/>
      </c>
      <c r="G49" s="29">
        <f>IF(C49="","",IF(C49&lt;TODAY(),"EXPIRED",IF(C49&lt;TODAY()+60,"&lt; 60 days","OK")))</f>
        <v/>
      </c>
    </row>
    <row r="50" ht="17" customHeight="1">
      <c r="A50" s="16" t="n"/>
      <c r="B50" s="17">
        <f>IFERROR(INDEX(FILTER(tbl_Lots[LotNumber],tbl_Lots[PN]=$A$41,""),7,1),"")</f>
        <v/>
      </c>
      <c r="C50" s="18">
        <f>IFERROR(INDEX(FILTER(tbl_Lots[ExpirationDate],tbl_Lots[PN]=$A$41,""),7,1),"")</f>
        <v/>
      </c>
      <c r="D50" s="19">
        <f>IFERROR(INDEX(FILTER(tbl_Lots[Qty],tbl_Lots[PN]=$A$41,""),7,1),"")</f>
        <v/>
      </c>
      <c r="E50" s="20">
        <f>IFERROR(INDEX(FILTER(tbl_Lots[LatestInventory],tbl_Lots[PN]=$A$41,""),7,1),"")</f>
        <v/>
      </c>
      <c r="F50" s="21">
        <f>IF(C50="","",C50-TODAY())</f>
        <v/>
      </c>
      <c r="G50" s="22">
        <f>IF(C50="","",IF(C50&lt;TODAY(),"EXPIRED",IF(C50&lt;TODAY()+60,"&lt; 60 days","OK")))</f>
        <v/>
      </c>
    </row>
    <row r="51" ht="17" customHeight="1">
      <c r="A51" s="23" t="n"/>
      <c r="B51" s="24">
        <f>IFERROR(INDEX(FILTER(tbl_Lots[LotNumber],tbl_Lots[PN]=$A$41,""),8,1),"")</f>
        <v/>
      </c>
      <c r="C51" s="25">
        <f>IFERROR(INDEX(FILTER(tbl_Lots[ExpirationDate],tbl_Lots[PN]=$A$41,""),8,1),"")</f>
        <v/>
      </c>
      <c r="D51" s="26">
        <f>IFERROR(INDEX(FILTER(tbl_Lots[Qty],tbl_Lots[PN]=$A$41,""),8,1),"")</f>
        <v/>
      </c>
      <c r="E51" s="27">
        <f>IFERROR(INDEX(FILTER(tbl_Lots[LatestInventory],tbl_Lots[PN]=$A$41,""),8,1),"")</f>
        <v/>
      </c>
      <c r="F51" s="28">
        <f>IF(C51="","",C51-TODAY())</f>
        <v/>
      </c>
      <c r="G51" s="29">
        <f>IF(C51="","",IF(C51&lt;TODAY(),"EXPIRED",IF(C51&lt;TODAY()+60,"&lt; 60 days","OK")))</f>
        <v/>
      </c>
    </row>
    <row r="52" ht="14" customHeight="1">
      <c r="A52" s="30" t="n"/>
      <c r="B52" s="31">
        <f>IF(ISNUMBER(COUNTIF(tbl_Lots[PN],$A$41)),IF(COUNTIF(tbl_Lots[PN],$A$41)&gt;8,"  WARNING: "&amp;(COUNTIF(tbl_Lots[PN],$A$41)-8)&amp;" more lot(s) not shown - extend block",""),"")</f>
        <v/>
      </c>
    </row>
    <row r="53" ht="8" customHeight="1">
      <c r="A53" s="16" t="n"/>
      <c r="B53" s="16" t="n"/>
      <c r="C53" s="16" t="n"/>
      <c r="D53" s="16" t="n"/>
      <c r="E53" s="16" t="n"/>
      <c r="F53" s="16" t="n"/>
      <c r="G53" s="16" t="n"/>
    </row>
  </sheetData>
  <mergeCells count="9">
    <mergeCell ref="F3:G3"/>
    <mergeCell ref="A1:G1"/>
    <mergeCell ref="F29:G29"/>
    <mergeCell ref="F16:G16"/>
    <mergeCell ref="B26:G26"/>
    <mergeCell ref="F42:G42"/>
    <mergeCell ref="B13:G13"/>
    <mergeCell ref="B52:G52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conditionalFormatting sqref="C44:C51">
    <cfRule type="expression" priority="19" dxfId="0">
      <formula>AND(C44&lt;&gt;"",C44&lt;TODAY())</formula>
    </cfRule>
    <cfRule type="expression" priority="20" dxfId="1">
      <formula>AND(C44&lt;&gt;"",C44&gt;=TODAY(),C44&lt;TODAY()+60)</formula>
    </cfRule>
    <cfRule type="expression" priority="21" dxfId="2">
      <formula>AND(C44&lt;&gt;"",C44&gt;=TODAY()+60)</formula>
    </cfRule>
  </conditionalFormatting>
  <conditionalFormatting sqref="G44:G51">
    <cfRule type="expression" priority="22" dxfId="0">
      <formula>G44="EXPIRED"</formula>
    </cfRule>
    <cfRule type="expression" priority="23" dxfId="1">
      <formula>G44="&lt; 60 days"</formula>
    </cfRule>
    <cfRule type="expression" priority="24" dxfId="2">
      <formula>G44="OK"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G66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FLUVID | FLUVID+</t>
        </is>
      </c>
    </row>
    <row r="2" ht="20" customHeight="1">
      <c r="A2" s="8" t="inlineStr">
        <is>
          <t>001-1471</t>
        </is>
      </c>
      <c r="B2" s="9" t="inlineStr">
        <is>
          <t>Purified Serum Protein Matrix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SR / TET / MATRIX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525-00097</t>
        </is>
      </c>
      <c r="B15" s="9" t="inlineStr">
        <is>
          <t>FluA Low control ALQT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kylskåp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525-00099</t>
        </is>
      </c>
      <c r="B28" s="9" t="inlineStr">
        <is>
          <t>FluB Low control ALQT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POS IPT kylskåp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  <row r="41" ht="20" customHeight="1">
      <c r="A41" s="8" t="inlineStr">
        <is>
          <t>525-00102</t>
        </is>
      </c>
      <c r="B41" s="9" t="inlineStr">
        <is>
          <t>RSVB Low control ALQT</t>
        </is>
      </c>
      <c r="C41" s="10" t="n"/>
      <c r="D41" s="10" t="n"/>
      <c r="E41" s="10" t="n"/>
      <c r="F41" s="10" t="n"/>
      <c r="G41" s="10" t="n"/>
    </row>
    <row r="42" ht="16" customHeight="1">
      <c r="A42" s="11" t="n"/>
      <c r="B42" s="12" t="inlineStr">
        <is>
          <t>POS IPT kylskåp</t>
        </is>
      </c>
      <c r="C42" s="11" t="n"/>
      <c r="D42" s="11" t="n"/>
      <c r="E42" s="11" t="n"/>
      <c r="F42" s="13">
        <f>IFERROR(COUNTIF(tbl_Lots[PN],$A$41)&amp;" active lot(s)  |  max 8 shown","")</f>
        <v/>
      </c>
    </row>
    <row r="43" ht="16" customHeight="1">
      <c r="A43" s="14" t="n"/>
      <c r="B43" s="15" t="inlineStr">
        <is>
          <t>Lot Number</t>
        </is>
      </c>
      <c r="C43" s="15" t="inlineStr">
        <is>
          <t>Expiration Date</t>
        </is>
      </c>
      <c r="D43" s="15" t="inlineStr">
        <is>
          <t>Qty</t>
        </is>
      </c>
      <c r="E43" s="15" t="inlineStr">
        <is>
          <t>Last Inventory</t>
        </is>
      </c>
      <c r="F43" s="15" t="inlineStr">
        <is>
          <t>Days Left</t>
        </is>
      </c>
      <c r="G43" s="15" t="inlineStr">
        <is>
          <t>Status</t>
        </is>
      </c>
    </row>
    <row r="44" ht="17" customHeight="1">
      <c r="A44" s="16" t="n"/>
      <c r="B44" s="17">
        <f>IFERROR(INDEX(FILTER(tbl_Lots[LotNumber],tbl_Lots[PN]=$A$41,""),1,1),"")</f>
        <v/>
      </c>
      <c r="C44" s="18">
        <f>IFERROR(INDEX(FILTER(tbl_Lots[ExpirationDate],tbl_Lots[PN]=$A$41,""),1,1),"")</f>
        <v/>
      </c>
      <c r="D44" s="19">
        <f>IFERROR(INDEX(FILTER(tbl_Lots[Qty],tbl_Lots[PN]=$A$41,""),1,1),"")</f>
        <v/>
      </c>
      <c r="E44" s="20">
        <f>IFERROR(INDEX(FILTER(tbl_Lots[LatestInventory],tbl_Lots[PN]=$A$41,""),1,1),"")</f>
        <v/>
      </c>
      <c r="F44" s="21">
        <f>IF(C44="","",C44-TODAY())</f>
        <v/>
      </c>
      <c r="G44" s="22">
        <f>IF(C44="","",IF(C44&lt;TODAY(),"EXPIRED",IF(C44&lt;TODAY()+60,"&lt; 60 days","OK")))</f>
        <v/>
      </c>
    </row>
    <row r="45" ht="17" customHeight="1">
      <c r="A45" s="23" t="n"/>
      <c r="B45" s="24">
        <f>IFERROR(INDEX(FILTER(tbl_Lots[LotNumber],tbl_Lots[PN]=$A$41,""),2,1),"")</f>
        <v/>
      </c>
      <c r="C45" s="25">
        <f>IFERROR(INDEX(FILTER(tbl_Lots[ExpirationDate],tbl_Lots[PN]=$A$41,""),2,1),"")</f>
        <v/>
      </c>
      <c r="D45" s="26">
        <f>IFERROR(INDEX(FILTER(tbl_Lots[Qty],tbl_Lots[PN]=$A$41,""),2,1),"")</f>
        <v/>
      </c>
      <c r="E45" s="27">
        <f>IFERROR(INDEX(FILTER(tbl_Lots[LatestInventory],tbl_Lots[PN]=$A$41,""),2,1),"")</f>
        <v/>
      </c>
      <c r="F45" s="28">
        <f>IF(C45="","",C45-TODAY())</f>
        <v/>
      </c>
      <c r="G45" s="29">
        <f>IF(C45="","",IF(C45&lt;TODAY(),"EXPIRED",IF(C45&lt;TODAY()+60,"&lt; 60 days","OK")))</f>
        <v/>
      </c>
    </row>
    <row r="46" ht="17" customHeight="1">
      <c r="A46" s="16" t="n"/>
      <c r="B46" s="17">
        <f>IFERROR(INDEX(FILTER(tbl_Lots[LotNumber],tbl_Lots[PN]=$A$41,""),3,1),"")</f>
        <v/>
      </c>
      <c r="C46" s="18">
        <f>IFERROR(INDEX(FILTER(tbl_Lots[ExpirationDate],tbl_Lots[PN]=$A$41,""),3,1),"")</f>
        <v/>
      </c>
      <c r="D46" s="19">
        <f>IFERROR(INDEX(FILTER(tbl_Lots[Qty],tbl_Lots[PN]=$A$41,""),3,1),"")</f>
        <v/>
      </c>
      <c r="E46" s="20">
        <f>IFERROR(INDEX(FILTER(tbl_Lots[LatestInventory],tbl_Lots[PN]=$A$41,""),3,1),"")</f>
        <v/>
      </c>
      <c r="F46" s="21">
        <f>IF(C46="","",C46-TODAY())</f>
        <v/>
      </c>
      <c r="G46" s="22">
        <f>IF(C46="","",IF(C46&lt;TODAY(),"EXPIRED",IF(C46&lt;TODAY()+60,"&lt; 60 days","OK")))</f>
        <v/>
      </c>
    </row>
    <row r="47" ht="17" customHeight="1">
      <c r="A47" s="23" t="n"/>
      <c r="B47" s="24">
        <f>IFERROR(INDEX(FILTER(tbl_Lots[LotNumber],tbl_Lots[PN]=$A$41,""),4,1),"")</f>
        <v/>
      </c>
      <c r="C47" s="25">
        <f>IFERROR(INDEX(FILTER(tbl_Lots[ExpirationDate],tbl_Lots[PN]=$A$41,""),4,1),"")</f>
        <v/>
      </c>
      <c r="D47" s="26">
        <f>IFERROR(INDEX(FILTER(tbl_Lots[Qty],tbl_Lots[PN]=$A$41,""),4,1),"")</f>
        <v/>
      </c>
      <c r="E47" s="27">
        <f>IFERROR(INDEX(FILTER(tbl_Lots[LatestInventory],tbl_Lots[PN]=$A$41,""),4,1),"")</f>
        <v/>
      </c>
      <c r="F47" s="28">
        <f>IF(C47="","",C47-TODAY())</f>
        <v/>
      </c>
      <c r="G47" s="29">
        <f>IF(C47="","",IF(C47&lt;TODAY(),"EXPIRED",IF(C47&lt;TODAY()+60,"&lt; 60 days","OK")))</f>
        <v/>
      </c>
    </row>
    <row r="48" ht="17" customHeight="1">
      <c r="A48" s="16" t="n"/>
      <c r="B48" s="17">
        <f>IFERROR(INDEX(FILTER(tbl_Lots[LotNumber],tbl_Lots[PN]=$A$41,""),5,1),"")</f>
        <v/>
      </c>
      <c r="C48" s="18">
        <f>IFERROR(INDEX(FILTER(tbl_Lots[ExpirationDate],tbl_Lots[PN]=$A$41,""),5,1),"")</f>
        <v/>
      </c>
      <c r="D48" s="19">
        <f>IFERROR(INDEX(FILTER(tbl_Lots[Qty],tbl_Lots[PN]=$A$41,""),5,1),"")</f>
        <v/>
      </c>
      <c r="E48" s="20">
        <f>IFERROR(INDEX(FILTER(tbl_Lots[LatestInventory],tbl_Lots[PN]=$A$41,""),5,1),"")</f>
        <v/>
      </c>
      <c r="F48" s="21">
        <f>IF(C48="","",C48-TODAY())</f>
        <v/>
      </c>
      <c r="G48" s="22">
        <f>IF(C48="","",IF(C48&lt;TODAY(),"EXPIRED",IF(C48&lt;TODAY()+60,"&lt; 60 days","OK")))</f>
        <v/>
      </c>
    </row>
    <row r="49" ht="17" customHeight="1">
      <c r="A49" s="23" t="n"/>
      <c r="B49" s="24">
        <f>IFERROR(INDEX(FILTER(tbl_Lots[LotNumber],tbl_Lots[PN]=$A$41,""),6,1),"")</f>
        <v/>
      </c>
      <c r="C49" s="25">
        <f>IFERROR(INDEX(FILTER(tbl_Lots[ExpirationDate],tbl_Lots[PN]=$A$41,""),6,1),"")</f>
        <v/>
      </c>
      <c r="D49" s="26">
        <f>IFERROR(INDEX(FILTER(tbl_Lots[Qty],tbl_Lots[PN]=$A$41,""),6,1),"")</f>
        <v/>
      </c>
      <c r="E49" s="27">
        <f>IFERROR(INDEX(FILTER(tbl_Lots[LatestInventory],tbl_Lots[PN]=$A$41,""),6,1),"")</f>
        <v/>
      </c>
      <c r="F49" s="28">
        <f>IF(C49="","",C49-TODAY())</f>
        <v/>
      </c>
      <c r="G49" s="29">
        <f>IF(C49="","",IF(C49&lt;TODAY(),"EXPIRED",IF(C49&lt;TODAY()+60,"&lt; 60 days","OK")))</f>
        <v/>
      </c>
    </row>
    <row r="50" ht="17" customHeight="1">
      <c r="A50" s="16" t="n"/>
      <c r="B50" s="17">
        <f>IFERROR(INDEX(FILTER(tbl_Lots[LotNumber],tbl_Lots[PN]=$A$41,""),7,1),"")</f>
        <v/>
      </c>
      <c r="C50" s="18">
        <f>IFERROR(INDEX(FILTER(tbl_Lots[ExpirationDate],tbl_Lots[PN]=$A$41,""),7,1),"")</f>
        <v/>
      </c>
      <c r="D50" s="19">
        <f>IFERROR(INDEX(FILTER(tbl_Lots[Qty],tbl_Lots[PN]=$A$41,""),7,1),"")</f>
        <v/>
      </c>
      <c r="E50" s="20">
        <f>IFERROR(INDEX(FILTER(tbl_Lots[LatestInventory],tbl_Lots[PN]=$A$41,""),7,1),"")</f>
        <v/>
      </c>
      <c r="F50" s="21">
        <f>IF(C50="","",C50-TODAY())</f>
        <v/>
      </c>
      <c r="G50" s="22">
        <f>IF(C50="","",IF(C50&lt;TODAY(),"EXPIRED",IF(C50&lt;TODAY()+60,"&lt; 60 days","OK")))</f>
        <v/>
      </c>
    </row>
    <row r="51" ht="17" customHeight="1">
      <c r="A51" s="23" t="n"/>
      <c r="B51" s="24">
        <f>IFERROR(INDEX(FILTER(tbl_Lots[LotNumber],tbl_Lots[PN]=$A$41,""),8,1),"")</f>
        <v/>
      </c>
      <c r="C51" s="25">
        <f>IFERROR(INDEX(FILTER(tbl_Lots[ExpirationDate],tbl_Lots[PN]=$A$41,""),8,1),"")</f>
        <v/>
      </c>
      <c r="D51" s="26">
        <f>IFERROR(INDEX(FILTER(tbl_Lots[Qty],tbl_Lots[PN]=$A$41,""),8,1),"")</f>
        <v/>
      </c>
      <c r="E51" s="27">
        <f>IFERROR(INDEX(FILTER(tbl_Lots[LatestInventory],tbl_Lots[PN]=$A$41,""),8,1),"")</f>
        <v/>
      </c>
      <c r="F51" s="28">
        <f>IF(C51="","",C51-TODAY())</f>
        <v/>
      </c>
      <c r="G51" s="29">
        <f>IF(C51="","",IF(C51&lt;TODAY(),"EXPIRED",IF(C51&lt;TODAY()+60,"&lt; 60 days","OK")))</f>
        <v/>
      </c>
    </row>
    <row r="52" ht="14" customHeight="1">
      <c r="A52" s="30" t="n"/>
      <c r="B52" s="31">
        <f>IF(ISNUMBER(COUNTIF(tbl_Lots[PN],$A$41)),IF(COUNTIF(tbl_Lots[PN],$A$41)&gt;8,"  WARNING: "&amp;(COUNTIF(tbl_Lots[PN],$A$41)-8)&amp;" more lot(s) not shown - extend block",""),"")</f>
        <v/>
      </c>
    </row>
    <row r="53" ht="8" customHeight="1">
      <c r="A53" s="16" t="n"/>
      <c r="B53" s="16" t="n"/>
      <c r="C53" s="16" t="n"/>
      <c r="D53" s="16" t="n"/>
      <c r="E53" s="16" t="n"/>
      <c r="F53" s="16" t="n"/>
      <c r="G53" s="16" t="n"/>
    </row>
    <row r="54" ht="20" customHeight="1">
      <c r="A54" s="8" t="inlineStr">
        <is>
          <t>525-00169</t>
        </is>
      </c>
      <c r="B54" s="9" t="inlineStr">
        <is>
          <t>SARS-CoV-2 NATTROL Positive CTRL</t>
        </is>
      </c>
      <c r="C54" s="10" t="n"/>
      <c r="D54" s="10" t="n"/>
      <c r="E54" s="10" t="n"/>
      <c r="F54" s="10" t="n"/>
      <c r="G54" s="10" t="n"/>
    </row>
    <row r="55" ht="16" customHeight="1">
      <c r="A55" s="11" t="n"/>
      <c r="B55" s="12" t="inlineStr">
        <is>
          <t>POS IPT kylskåp</t>
        </is>
      </c>
      <c r="C55" s="11" t="n"/>
      <c r="D55" s="11" t="n"/>
      <c r="E55" s="11" t="n"/>
      <c r="F55" s="13">
        <f>IFERROR(COUNTIF(tbl_Lots[PN],$A$54)&amp;" active lot(s)  |  max 8 shown","")</f>
        <v/>
      </c>
    </row>
    <row r="56" ht="16" customHeight="1">
      <c r="A56" s="14" t="n"/>
      <c r="B56" s="15" t="inlineStr">
        <is>
          <t>Lot Number</t>
        </is>
      </c>
      <c r="C56" s="15" t="inlineStr">
        <is>
          <t>Expiration Date</t>
        </is>
      </c>
      <c r="D56" s="15" t="inlineStr">
        <is>
          <t>Qty</t>
        </is>
      </c>
      <c r="E56" s="15" t="inlineStr">
        <is>
          <t>Last Inventory</t>
        </is>
      </c>
      <c r="F56" s="15" t="inlineStr">
        <is>
          <t>Days Left</t>
        </is>
      </c>
      <c r="G56" s="15" t="inlineStr">
        <is>
          <t>Status</t>
        </is>
      </c>
    </row>
    <row r="57" ht="17" customHeight="1">
      <c r="A57" s="16" t="n"/>
      <c r="B57" s="17">
        <f>IFERROR(INDEX(FILTER(tbl_Lots[LotNumber],tbl_Lots[PN]=$A$54,""),1,1),"")</f>
        <v/>
      </c>
      <c r="C57" s="18">
        <f>IFERROR(INDEX(FILTER(tbl_Lots[ExpirationDate],tbl_Lots[PN]=$A$54,""),1,1),"")</f>
        <v/>
      </c>
      <c r="D57" s="19">
        <f>IFERROR(INDEX(FILTER(tbl_Lots[Qty],tbl_Lots[PN]=$A$54,""),1,1),"")</f>
        <v/>
      </c>
      <c r="E57" s="20">
        <f>IFERROR(INDEX(FILTER(tbl_Lots[LatestInventory],tbl_Lots[PN]=$A$54,""),1,1),"")</f>
        <v/>
      </c>
      <c r="F57" s="21">
        <f>IF(C57="","",C57-TODAY())</f>
        <v/>
      </c>
      <c r="G57" s="22">
        <f>IF(C57="","",IF(C57&lt;TODAY(),"EXPIRED",IF(C57&lt;TODAY()+60,"&lt; 60 days","OK")))</f>
        <v/>
      </c>
    </row>
    <row r="58" ht="17" customHeight="1">
      <c r="A58" s="23" t="n"/>
      <c r="B58" s="24">
        <f>IFERROR(INDEX(FILTER(tbl_Lots[LotNumber],tbl_Lots[PN]=$A$54,""),2,1),"")</f>
        <v/>
      </c>
      <c r="C58" s="25">
        <f>IFERROR(INDEX(FILTER(tbl_Lots[ExpirationDate],tbl_Lots[PN]=$A$54,""),2,1),"")</f>
        <v/>
      </c>
      <c r="D58" s="26">
        <f>IFERROR(INDEX(FILTER(tbl_Lots[Qty],tbl_Lots[PN]=$A$54,""),2,1),"")</f>
        <v/>
      </c>
      <c r="E58" s="27">
        <f>IFERROR(INDEX(FILTER(tbl_Lots[LatestInventory],tbl_Lots[PN]=$A$54,""),2,1),"")</f>
        <v/>
      </c>
      <c r="F58" s="28">
        <f>IF(C58="","",C58-TODAY())</f>
        <v/>
      </c>
      <c r="G58" s="29">
        <f>IF(C58="","",IF(C58&lt;TODAY(),"EXPIRED",IF(C58&lt;TODAY()+60,"&lt; 60 days","OK")))</f>
        <v/>
      </c>
    </row>
    <row r="59" ht="17" customHeight="1">
      <c r="A59" s="16" t="n"/>
      <c r="B59" s="17">
        <f>IFERROR(INDEX(FILTER(tbl_Lots[LotNumber],tbl_Lots[PN]=$A$54,""),3,1),"")</f>
        <v/>
      </c>
      <c r="C59" s="18">
        <f>IFERROR(INDEX(FILTER(tbl_Lots[ExpirationDate],tbl_Lots[PN]=$A$54,""),3,1),"")</f>
        <v/>
      </c>
      <c r="D59" s="19">
        <f>IFERROR(INDEX(FILTER(tbl_Lots[Qty],tbl_Lots[PN]=$A$54,""),3,1),"")</f>
        <v/>
      </c>
      <c r="E59" s="20">
        <f>IFERROR(INDEX(FILTER(tbl_Lots[LatestInventory],tbl_Lots[PN]=$A$54,""),3,1),"")</f>
        <v/>
      </c>
      <c r="F59" s="21">
        <f>IF(C59="","",C59-TODAY())</f>
        <v/>
      </c>
      <c r="G59" s="22">
        <f>IF(C59="","",IF(C59&lt;TODAY(),"EXPIRED",IF(C59&lt;TODAY()+60,"&lt; 60 days","OK")))</f>
        <v/>
      </c>
    </row>
    <row r="60" ht="17" customHeight="1">
      <c r="A60" s="23" t="n"/>
      <c r="B60" s="24">
        <f>IFERROR(INDEX(FILTER(tbl_Lots[LotNumber],tbl_Lots[PN]=$A$54,""),4,1),"")</f>
        <v/>
      </c>
      <c r="C60" s="25">
        <f>IFERROR(INDEX(FILTER(tbl_Lots[ExpirationDate],tbl_Lots[PN]=$A$54,""),4,1),"")</f>
        <v/>
      </c>
      <c r="D60" s="26">
        <f>IFERROR(INDEX(FILTER(tbl_Lots[Qty],tbl_Lots[PN]=$A$54,""),4,1),"")</f>
        <v/>
      </c>
      <c r="E60" s="27">
        <f>IFERROR(INDEX(FILTER(tbl_Lots[LatestInventory],tbl_Lots[PN]=$A$54,""),4,1),"")</f>
        <v/>
      </c>
      <c r="F60" s="28">
        <f>IF(C60="","",C60-TODAY())</f>
        <v/>
      </c>
      <c r="G60" s="29">
        <f>IF(C60="","",IF(C60&lt;TODAY(),"EXPIRED",IF(C60&lt;TODAY()+60,"&lt; 60 days","OK")))</f>
        <v/>
      </c>
    </row>
    <row r="61" ht="17" customHeight="1">
      <c r="A61" s="16" t="n"/>
      <c r="B61" s="17">
        <f>IFERROR(INDEX(FILTER(tbl_Lots[LotNumber],tbl_Lots[PN]=$A$54,""),5,1),"")</f>
        <v/>
      </c>
      <c r="C61" s="18">
        <f>IFERROR(INDEX(FILTER(tbl_Lots[ExpirationDate],tbl_Lots[PN]=$A$54,""),5,1),"")</f>
        <v/>
      </c>
      <c r="D61" s="19">
        <f>IFERROR(INDEX(FILTER(tbl_Lots[Qty],tbl_Lots[PN]=$A$54,""),5,1),"")</f>
        <v/>
      </c>
      <c r="E61" s="20">
        <f>IFERROR(INDEX(FILTER(tbl_Lots[LatestInventory],tbl_Lots[PN]=$A$54,""),5,1),"")</f>
        <v/>
      </c>
      <c r="F61" s="21">
        <f>IF(C61="","",C61-TODAY())</f>
        <v/>
      </c>
      <c r="G61" s="22">
        <f>IF(C61="","",IF(C61&lt;TODAY(),"EXPIRED",IF(C61&lt;TODAY()+60,"&lt; 60 days","OK")))</f>
        <v/>
      </c>
    </row>
    <row r="62" ht="17" customHeight="1">
      <c r="A62" s="23" t="n"/>
      <c r="B62" s="24">
        <f>IFERROR(INDEX(FILTER(tbl_Lots[LotNumber],tbl_Lots[PN]=$A$54,""),6,1),"")</f>
        <v/>
      </c>
      <c r="C62" s="25">
        <f>IFERROR(INDEX(FILTER(tbl_Lots[ExpirationDate],tbl_Lots[PN]=$A$54,""),6,1),"")</f>
        <v/>
      </c>
      <c r="D62" s="26">
        <f>IFERROR(INDEX(FILTER(tbl_Lots[Qty],tbl_Lots[PN]=$A$54,""),6,1),"")</f>
        <v/>
      </c>
      <c r="E62" s="27">
        <f>IFERROR(INDEX(FILTER(tbl_Lots[LatestInventory],tbl_Lots[PN]=$A$54,""),6,1),"")</f>
        <v/>
      </c>
      <c r="F62" s="28">
        <f>IF(C62="","",C62-TODAY())</f>
        <v/>
      </c>
      <c r="G62" s="29">
        <f>IF(C62="","",IF(C62&lt;TODAY(),"EXPIRED",IF(C62&lt;TODAY()+60,"&lt; 60 days","OK")))</f>
        <v/>
      </c>
    </row>
    <row r="63" ht="17" customHeight="1">
      <c r="A63" s="16" t="n"/>
      <c r="B63" s="17">
        <f>IFERROR(INDEX(FILTER(tbl_Lots[LotNumber],tbl_Lots[PN]=$A$54,""),7,1),"")</f>
        <v/>
      </c>
      <c r="C63" s="18">
        <f>IFERROR(INDEX(FILTER(tbl_Lots[ExpirationDate],tbl_Lots[PN]=$A$54,""),7,1),"")</f>
        <v/>
      </c>
      <c r="D63" s="19">
        <f>IFERROR(INDEX(FILTER(tbl_Lots[Qty],tbl_Lots[PN]=$A$54,""),7,1),"")</f>
        <v/>
      </c>
      <c r="E63" s="20">
        <f>IFERROR(INDEX(FILTER(tbl_Lots[LatestInventory],tbl_Lots[PN]=$A$54,""),7,1),"")</f>
        <v/>
      </c>
      <c r="F63" s="21">
        <f>IF(C63="","",C63-TODAY())</f>
        <v/>
      </c>
      <c r="G63" s="22">
        <f>IF(C63="","",IF(C63&lt;TODAY(),"EXPIRED",IF(C63&lt;TODAY()+60,"&lt; 60 days","OK")))</f>
        <v/>
      </c>
    </row>
    <row r="64" ht="17" customHeight="1">
      <c r="A64" s="23" t="n"/>
      <c r="B64" s="24">
        <f>IFERROR(INDEX(FILTER(tbl_Lots[LotNumber],tbl_Lots[PN]=$A$54,""),8,1),"")</f>
        <v/>
      </c>
      <c r="C64" s="25">
        <f>IFERROR(INDEX(FILTER(tbl_Lots[ExpirationDate],tbl_Lots[PN]=$A$54,""),8,1),"")</f>
        <v/>
      </c>
      <c r="D64" s="26">
        <f>IFERROR(INDEX(FILTER(tbl_Lots[Qty],tbl_Lots[PN]=$A$54,""),8,1),"")</f>
        <v/>
      </c>
      <c r="E64" s="27">
        <f>IFERROR(INDEX(FILTER(tbl_Lots[LatestInventory],tbl_Lots[PN]=$A$54,""),8,1),"")</f>
        <v/>
      </c>
      <c r="F64" s="28">
        <f>IF(C64="","",C64-TODAY())</f>
        <v/>
      </c>
      <c r="G64" s="29">
        <f>IF(C64="","",IF(C64&lt;TODAY(),"EXPIRED",IF(C64&lt;TODAY()+60,"&lt; 60 days","OK")))</f>
        <v/>
      </c>
    </row>
    <row r="65" ht="14" customHeight="1">
      <c r="A65" s="30" t="n"/>
      <c r="B65" s="31">
        <f>IF(ISNUMBER(COUNTIF(tbl_Lots[PN],$A$54)),IF(COUNTIF(tbl_Lots[PN],$A$54)&gt;8,"  WARNING: "&amp;(COUNTIF(tbl_Lots[PN],$A$54)-8)&amp;" more lot(s) not shown - extend block",""),"")</f>
        <v/>
      </c>
    </row>
    <row r="66" ht="8" customHeight="1">
      <c r="A66" s="16" t="n"/>
      <c r="B66" s="16" t="n"/>
      <c r="C66" s="16" t="n"/>
      <c r="D66" s="16" t="n"/>
      <c r="E66" s="16" t="n"/>
      <c r="F66" s="16" t="n"/>
      <c r="G66" s="16" t="n"/>
    </row>
  </sheetData>
  <mergeCells count="11">
    <mergeCell ref="F3:G3"/>
    <mergeCell ref="F55:G55"/>
    <mergeCell ref="A1:G1"/>
    <mergeCell ref="F29:G29"/>
    <mergeCell ref="F16:G16"/>
    <mergeCell ref="B65:G65"/>
    <mergeCell ref="B26:G26"/>
    <mergeCell ref="F42:G42"/>
    <mergeCell ref="B13:G13"/>
    <mergeCell ref="B52:G52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conditionalFormatting sqref="C44:C51">
    <cfRule type="expression" priority="19" dxfId="0">
      <formula>AND(C44&lt;&gt;"",C44&lt;TODAY())</formula>
    </cfRule>
    <cfRule type="expression" priority="20" dxfId="1">
      <formula>AND(C44&lt;&gt;"",C44&gt;=TODAY(),C44&lt;TODAY()+60)</formula>
    </cfRule>
    <cfRule type="expression" priority="21" dxfId="2">
      <formula>AND(C44&lt;&gt;"",C44&gt;=TODAY()+60)</formula>
    </cfRule>
  </conditionalFormatting>
  <conditionalFormatting sqref="G44:G51">
    <cfRule type="expression" priority="22" dxfId="0">
      <formula>G44="EXPIRED"</formula>
    </cfRule>
    <cfRule type="expression" priority="23" dxfId="1">
      <formula>G44="&lt; 60 days"</formula>
    </cfRule>
    <cfRule type="expression" priority="24" dxfId="2">
      <formula>G44="OK"</formula>
    </cfRule>
  </conditionalFormatting>
  <conditionalFormatting sqref="C57:C64">
    <cfRule type="expression" priority="25" dxfId="0">
      <formula>AND(C57&lt;&gt;"",C57&lt;TODAY())</formula>
    </cfRule>
    <cfRule type="expression" priority="26" dxfId="1">
      <formula>AND(C57&lt;&gt;"",C57&gt;=TODAY(),C57&lt;TODAY()+60)</formula>
    </cfRule>
    <cfRule type="expression" priority="27" dxfId="2">
      <formula>AND(C57&lt;&gt;"",C57&gt;=TODAY()+60)</formula>
    </cfRule>
  </conditionalFormatting>
  <conditionalFormatting sqref="G57:G64">
    <cfRule type="expression" priority="28" dxfId="0">
      <formula>G57="EXPIRED"</formula>
    </cfRule>
    <cfRule type="expression" priority="29" dxfId="1">
      <formula>G57="&lt; 60 days"</formula>
    </cfRule>
    <cfRule type="expression" priority="30" dxfId="2">
      <formula>G57="OK"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G79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SARS-COV-2 Plus</t>
        </is>
      </c>
    </row>
    <row r="2" ht="20" customHeight="1">
      <c r="A2" s="8" t="inlineStr">
        <is>
          <t>001-1471</t>
        </is>
      </c>
      <c r="B2" s="9" t="inlineStr">
        <is>
          <t>Purified Serum Protein Matrix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SR / TET / MATRIX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525-00169</t>
        </is>
      </c>
      <c r="B15" s="9" t="inlineStr">
        <is>
          <t>SARS-CoV-2 NATTROL Positive CTRL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kylskåp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525-00193</t>
        </is>
      </c>
      <c r="B28" s="9" t="inlineStr">
        <is>
          <t>Respiratory Panel Sample Mix 1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POS IPT kylskåp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  <row r="41" ht="20" customHeight="1">
      <c r="A41" s="8" t="inlineStr">
        <is>
          <t>525-00194</t>
        </is>
      </c>
      <c r="B41" s="9" t="inlineStr">
        <is>
          <t>Respiratory Panel Sample Mix 2</t>
        </is>
      </c>
      <c r="C41" s="10" t="n"/>
      <c r="D41" s="10" t="n"/>
      <c r="E41" s="10" t="n"/>
      <c r="F41" s="10" t="n"/>
      <c r="G41" s="10" t="n"/>
    </row>
    <row r="42" ht="16" customHeight="1">
      <c r="A42" s="11" t="n"/>
      <c r="B42" s="12" t="inlineStr">
        <is>
          <t>POS IPT kylskåp</t>
        </is>
      </c>
      <c r="C42" s="11" t="n"/>
      <c r="D42" s="11" t="n"/>
      <c r="E42" s="11" t="n"/>
      <c r="F42" s="13">
        <f>IFERROR(COUNTIF(tbl_Lots[PN],$A$41)&amp;" active lot(s)  |  max 8 shown","")</f>
        <v/>
      </c>
    </row>
    <row r="43" ht="16" customHeight="1">
      <c r="A43" s="14" t="n"/>
      <c r="B43" s="15" t="inlineStr">
        <is>
          <t>Lot Number</t>
        </is>
      </c>
      <c r="C43" s="15" t="inlineStr">
        <is>
          <t>Expiration Date</t>
        </is>
      </c>
      <c r="D43" s="15" t="inlineStr">
        <is>
          <t>Qty</t>
        </is>
      </c>
      <c r="E43" s="15" t="inlineStr">
        <is>
          <t>Last Inventory</t>
        </is>
      </c>
      <c r="F43" s="15" t="inlineStr">
        <is>
          <t>Days Left</t>
        </is>
      </c>
      <c r="G43" s="15" t="inlineStr">
        <is>
          <t>Status</t>
        </is>
      </c>
    </row>
    <row r="44" ht="17" customHeight="1">
      <c r="A44" s="16" t="n"/>
      <c r="B44" s="17">
        <f>IFERROR(INDEX(FILTER(tbl_Lots[LotNumber],tbl_Lots[PN]=$A$41,""),1,1),"")</f>
        <v/>
      </c>
      <c r="C44" s="18">
        <f>IFERROR(INDEX(FILTER(tbl_Lots[ExpirationDate],tbl_Lots[PN]=$A$41,""),1,1),"")</f>
        <v/>
      </c>
      <c r="D44" s="19">
        <f>IFERROR(INDEX(FILTER(tbl_Lots[Qty],tbl_Lots[PN]=$A$41,""),1,1),"")</f>
        <v/>
      </c>
      <c r="E44" s="20">
        <f>IFERROR(INDEX(FILTER(tbl_Lots[LatestInventory],tbl_Lots[PN]=$A$41,""),1,1),"")</f>
        <v/>
      </c>
      <c r="F44" s="21">
        <f>IF(C44="","",C44-TODAY())</f>
        <v/>
      </c>
      <c r="G44" s="22">
        <f>IF(C44="","",IF(C44&lt;TODAY(),"EXPIRED",IF(C44&lt;TODAY()+60,"&lt; 60 days","OK")))</f>
        <v/>
      </c>
    </row>
    <row r="45" ht="17" customHeight="1">
      <c r="A45" s="23" t="n"/>
      <c r="B45" s="24">
        <f>IFERROR(INDEX(FILTER(tbl_Lots[LotNumber],tbl_Lots[PN]=$A$41,""),2,1),"")</f>
        <v/>
      </c>
      <c r="C45" s="25">
        <f>IFERROR(INDEX(FILTER(tbl_Lots[ExpirationDate],tbl_Lots[PN]=$A$41,""),2,1),"")</f>
        <v/>
      </c>
      <c r="D45" s="26">
        <f>IFERROR(INDEX(FILTER(tbl_Lots[Qty],tbl_Lots[PN]=$A$41,""),2,1),"")</f>
        <v/>
      </c>
      <c r="E45" s="27">
        <f>IFERROR(INDEX(FILTER(tbl_Lots[LatestInventory],tbl_Lots[PN]=$A$41,""),2,1),"")</f>
        <v/>
      </c>
      <c r="F45" s="28">
        <f>IF(C45="","",C45-TODAY())</f>
        <v/>
      </c>
      <c r="G45" s="29">
        <f>IF(C45="","",IF(C45&lt;TODAY(),"EXPIRED",IF(C45&lt;TODAY()+60,"&lt; 60 days","OK")))</f>
        <v/>
      </c>
    </row>
    <row r="46" ht="17" customHeight="1">
      <c r="A46" s="16" t="n"/>
      <c r="B46" s="17">
        <f>IFERROR(INDEX(FILTER(tbl_Lots[LotNumber],tbl_Lots[PN]=$A$41,""),3,1),"")</f>
        <v/>
      </c>
      <c r="C46" s="18">
        <f>IFERROR(INDEX(FILTER(tbl_Lots[ExpirationDate],tbl_Lots[PN]=$A$41,""),3,1),"")</f>
        <v/>
      </c>
      <c r="D46" s="19">
        <f>IFERROR(INDEX(FILTER(tbl_Lots[Qty],tbl_Lots[PN]=$A$41,""),3,1),"")</f>
        <v/>
      </c>
      <c r="E46" s="20">
        <f>IFERROR(INDEX(FILTER(tbl_Lots[LatestInventory],tbl_Lots[PN]=$A$41,""),3,1),"")</f>
        <v/>
      </c>
      <c r="F46" s="21">
        <f>IF(C46="","",C46-TODAY())</f>
        <v/>
      </c>
      <c r="G46" s="22">
        <f>IF(C46="","",IF(C46&lt;TODAY(),"EXPIRED",IF(C46&lt;TODAY()+60,"&lt; 60 days","OK")))</f>
        <v/>
      </c>
    </row>
    <row r="47" ht="17" customHeight="1">
      <c r="A47" s="23" t="n"/>
      <c r="B47" s="24">
        <f>IFERROR(INDEX(FILTER(tbl_Lots[LotNumber],tbl_Lots[PN]=$A$41,""),4,1),"")</f>
        <v/>
      </c>
      <c r="C47" s="25">
        <f>IFERROR(INDEX(FILTER(tbl_Lots[ExpirationDate],tbl_Lots[PN]=$A$41,""),4,1),"")</f>
        <v/>
      </c>
      <c r="D47" s="26">
        <f>IFERROR(INDEX(FILTER(tbl_Lots[Qty],tbl_Lots[PN]=$A$41,""),4,1),"")</f>
        <v/>
      </c>
      <c r="E47" s="27">
        <f>IFERROR(INDEX(FILTER(tbl_Lots[LatestInventory],tbl_Lots[PN]=$A$41,""),4,1),"")</f>
        <v/>
      </c>
      <c r="F47" s="28">
        <f>IF(C47="","",C47-TODAY())</f>
        <v/>
      </c>
      <c r="G47" s="29">
        <f>IF(C47="","",IF(C47&lt;TODAY(),"EXPIRED",IF(C47&lt;TODAY()+60,"&lt; 60 days","OK")))</f>
        <v/>
      </c>
    </row>
    <row r="48" ht="17" customHeight="1">
      <c r="A48" s="16" t="n"/>
      <c r="B48" s="17">
        <f>IFERROR(INDEX(FILTER(tbl_Lots[LotNumber],tbl_Lots[PN]=$A$41,""),5,1),"")</f>
        <v/>
      </c>
      <c r="C48" s="18">
        <f>IFERROR(INDEX(FILTER(tbl_Lots[ExpirationDate],tbl_Lots[PN]=$A$41,""),5,1),"")</f>
        <v/>
      </c>
      <c r="D48" s="19">
        <f>IFERROR(INDEX(FILTER(tbl_Lots[Qty],tbl_Lots[PN]=$A$41,""),5,1),"")</f>
        <v/>
      </c>
      <c r="E48" s="20">
        <f>IFERROR(INDEX(FILTER(tbl_Lots[LatestInventory],tbl_Lots[PN]=$A$41,""),5,1),"")</f>
        <v/>
      </c>
      <c r="F48" s="21">
        <f>IF(C48="","",C48-TODAY())</f>
        <v/>
      </c>
      <c r="G48" s="22">
        <f>IF(C48="","",IF(C48&lt;TODAY(),"EXPIRED",IF(C48&lt;TODAY()+60,"&lt; 60 days","OK")))</f>
        <v/>
      </c>
    </row>
    <row r="49" ht="17" customHeight="1">
      <c r="A49" s="23" t="n"/>
      <c r="B49" s="24">
        <f>IFERROR(INDEX(FILTER(tbl_Lots[LotNumber],tbl_Lots[PN]=$A$41,""),6,1),"")</f>
        <v/>
      </c>
      <c r="C49" s="25">
        <f>IFERROR(INDEX(FILTER(tbl_Lots[ExpirationDate],tbl_Lots[PN]=$A$41,""),6,1),"")</f>
        <v/>
      </c>
      <c r="D49" s="26">
        <f>IFERROR(INDEX(FILTER(tbl_Lots[Qty],tbl_Lots[PN]=$A$41,""),6,1),"")</f>
        <v/>
      </c>
      <c r="E49" s="27">
        <f>IFERROR(INDEX(FILTER(tbl_Lots[LatestInventory],tbl_Lots[PN]=$A$41,""),6,1),"")</f>
        <v/>
      </c>
      <c r="F49" s="28">
        <f>IF(C49="","",C49-TODAY())</f>
        <v/>
      </c>
      <c r="G49" s="29">
        <f>IF(C49="","",IF(C49&lt;TODAY(),"EXPIRED",IF(C49&lt;TODAY()+60,"&lt; 60 days","OK")))</f>
        <v/>
      </c>
    </row>
    <row r="50" ht="17" customHeight="1">
      <c r="A50" s="16" t="n"/>
      <c r="B50" s="17">
        <f>IFERROR(INDEX(FILTER(tbl_Lots[LotNumber],tbl_Lots[PN]=$A$41,""),7,1),"")</f>
        <v/>
      </c>
      <c r="C50" s="18">
        <f>IFERROR(INDEX(FILTER(tbl_Lots[ExpirationDate],tbl_Lots[PN]=$A$41,""),7,1),"")</f>
        <v/>
      </c>
      <c r="D50" s="19">
        <f>IFERROR(INDEX(FILTER(tbl_Lots[Qty],tbl_Lots[PN]=$A$41,""),7,1),"")</f>
        <v/>
      </c>
      <c r="E50" s="20">
        <f>IFERROR(INDEX(FILTER(tbl_Lots[LatestInventory],tbl_Lots[PN]=$A$41,""),7,1),"")</f>
        <v/>
      </c>
      <c r="F50" s="21">
        <f>IF(C50="","",C50-TODAY())</f>
        <v/>
      </c>
      <c r="G50" s="22">
        <f>IF(C50="","",IF(C50&lt;TODAY(),"EXPIRED",IF(C50&lt;TODAY()+60,"&lt; 60 days","OK")))</f>
        <v/>
      </c>
    </row>
    <row r="51" ht="17" customHeight="1">
      <c r="A51" s="23" t="n"/>
      <c r="B51" s="24">
        <f>IFERROR(INDEX(FILTER(tbl_Lots[LotNumber],tbl_Lots[PN]=$A$41,""),8,1),"")</f>
        <v/>
      </c>
      <c r="C51" s="25">
        <f>IFERROR(INDEX(FILTER(tbl_Lots[ExpirationDate],tbl_Lots[PN]=$A$41,""),8,1),"")</f>
        <v/>
      </c>
      <c r="D51" s="26">
        <f>IFERROR(INDEX(FILTER(tbl_Lots[Qty],tbl_Lots[PN]=$A$41,""),8,1),"")</f>
        <v/>
      </c>
      <c r="E51" s="27">
        <f>IFERROR(INDEX(FILTER(tbl_Lots[LatestInventory],tbl_Lots[PN]=$A$41,""),8,1),"")</f>
        <v/>
      </c>
      <c r="F51" s="28">
        <f>IF(C51="","",C51-TODAY())</f>
        <v/>
      </c>
      <c r="G51" s="29">
        <f>IF(C51="","",IF(C51&lt;TODAY(),"EXPIRED",IF(C51&lt;TODAY()+60,"&lt; 60 days","OK")))</f>
        <v/>
      </c>
    </row>
    <row r="52" ht="14" customHeight="1">
      <c r="A52" s="30" t="n"/>
      <c r="B52" s="31">
        <f>IF(ISNUMBER(COUNTIF(tbl_Lots[PN],$A$41)),IF(COUNTIF(tbl_Lots[PN],$A$41)&gt;8,"  WARNING: "&amp;(COUNTIF(tbl_Lots[PN],$A$41)-8)&amp;" more lot(s) not shown - extend block",""),"")</f>
        <v/>
      </c>
    </row>
    <row r="53" ht="8" customHeight="1">
      <c r="A53" s="16" t="n"/>
      <c r="B53" s="16" t="n"/>
      <c r="C53" s="16" t="n"/>
      <c r="D53" s="16" t="n"/>
      <c r="E53" s="16" t="n"/>
      <c r="F53" s="16" t="n"/>
      <c r="G53" s="16" t="n"/>
    </row>
    <row r="54" ht="20" customHeight="1">
      <c r="A54" s="8" t="inlineStr">
        <is>
          <t>525-00195</t>
        </is>
      </c>
      <c r="B54" s="9" t="inlineStr">
        <is>
          <t>Respiratory Panel Sample Mix 3</t>
        </is>
      </c>
      <c r="C54" s="10" t="n"/>
      <c r="D54" s="10" t="n"/>
      <c r="E54" s="10" t="n"/>
      <c r="F54" s="10" t="n"/>
      <c r="G54" s="10" t="n"/>
    </row>
    <row r="55" ht="16" customHeight="1">
      <c r="A55" s="11" t="n"/>
      <c r="B55" s="12" t="inlineStr">
        <is>
          <t>POS IPT kylskåp</t>
        </is>
      </c>
      <c r="C55" s="11" t="n"/>
      <c r="D55" s="11" t="n"/>
      <c r="E55" s="11" t="n"/>
      <c r="F55" s="13">
        <f>IFERROR(COUNTIF(tbl_Lots[PN],$A$54)&amp;" active lot(s)  |  max 8 shown","")</f>
        <v/>
      </c>
    </row>
    <row r="56" ht="16" customHeight="1">
      <c r="A56" s="14" t="n"/>
      <c r="B56" s="15" t="inlineStr">
        <is>
          <t>Lot Number</t>
        </is>
      </c>
      <c r="C56" s="15" t="inlineStr">
        <is>
          <t>Expiration Date</t>
        </is>
      </c>
      <c r="D56" s="15" t="inlineStr">
        <is>
          <t>Qty</t>
        </is>
      </c>
      <c r="E56" s="15" t="inlineStr">
        <is>
          <t>Last Inventory</t>
        </is>
      </c>
      <c r="F56" s="15" t="inlineStr">
        <is>
          <t>Days Left</t>
        </is>
      </c>
      <c r="G56" s="15" t="inlineStr">
        <is>
          <t>Status</t>
        </is>
      </c>
    </row>
    <row r="57" ht="17" customHeight="1">
      <c r="A57" s="16" t="n"/>
      <c r="B57" s="17">
        <f>IFERROR(INDEX(FILTER(tbl_Lots[LotNumber],tbl_Lots[PN]=$A$54,""),1,1),"")</f>
        <v/>
      </c>
      <c r="C57" s="18">
        <f>IFERROR(INDEX(FILTER(tbl_Lots[ExpirationDate],tbl_Lots[PN]=$A$54,""),1,1),"")</f>
        <v/>
      </c>
      <c r="D57" s="19">
        <f>IFERROR(INDEX(FILTER(tbl_Lots[Qty],tbl_Lots[PN]=$A$54,""),1,1),"")</f>
        <v/>
      </c>
      <c r="E57" s="20">
        <f>IFERROR(INDEX(FILTER(tbl_Lots[LatestInventory],tbl_Lots[PN]=$A$54,""),1,1),"")</f>
        <v/>
      </c>
      <c r="F57" s="21">
        <f>IF(C57="","",C57-TODAY())</f>
        <v/>
      </c>
      <c r="G57" s="22">
        <f>IF(C57="","",IF(C57&lt;TODAY(),"EXPIRED",IF(C57&lt;TODAY()+60,"&lt; 60 days","OK")))</f>
        <v/>
      </c>
    </row>
    <row r="58" ht="17" customHeight="1">
      <c r="A58" s="23" t="n"/>
      <c r="B58" s="24">
        <f>IFERROR(INDEX(FILTER(tbl_Lots[LotNumber],tbl_Lots[PN]=$A$54,""),2,1),"")</f>
        <v/>
      </c>
      <c r="C58" s="25">
        <f>IFERROR(INDEX(FILTER(tbl_Lots[ExpirationDate],tbl_Lots[PN]=$A$54,""),2,1),"")</f>
        <v/>
      </c>
      <c r="D58" s="26">
        <f>IFERROR(INDEX(FILTER(tbl_Lots[Qty],tbl_Lots[PN]=$A$54,""),2,1),"")</f>
        <v/>
      </c>
      <c r="E58" s="27">
        <f>IFERROR(INDEX(FILTER(tbl_Lots[LatestInventory],tbl_Lots[PN]=$A$54,""),2,1),"")</f>
        <v/>
      </c>
      <c r="F58" s="28">
        <f>IF(C58="","",C58-TODAY())</f>
        <v/>
      </c>
      <c r="G58" s="29">
        <f>IF(C58="","",IF(C58&lt;TODAY(),"EXPIRED",IF(C58&lt;TODAY()+60,"&lt; 60 days","OK")))</f>
        <v/>
      </c>
    </row>
    <row r="59" ht="17" customHeight="1">
      <c r="A59" s="16" t="n"/>
      <c r="B59" s="17">
        <f>IFERROR(INDEX(FILTER(tbl_Lots[LotNumber],tbl_Lots[PN]=$A$54,""),3,1),"")</f>
        <v/>
      </c>
      <c r="C59" s="18">
        <f>IFERROR(INDEX(FILTER(tbl_Lots[ExpirationDate],tbl_Lots[PN]=$A$54,""),3,1),"")</f>
        <v/>
      </c>
      <c r="D59" s="19">
        <f>IFERROR(INDEX(FILTER(tbl_Lots[Qty],tbl_Lots[PN]=$A$54,""),3,1),"")</f>
        <v/>
      </c>
      <c r="E59" s="20">
        <f>IFERROR(INDEX(FILTER(tbl_Lots[LatestInventory],tbl_Lots[PN]=$A$54,""),3,1),"")</f>
        <v/>
      </c>
      <c r="F59" s="21">
        <f>IF(C59="","",C59-TODAY())</f>
        <v/>
      </c>
      <c r="G59" s="22">
        <f>IF(C59="","",IF(C59&lt;TODAY(),"EXPIRED",IF(C59&lt;TODAY()+60,"&lt; 60 days","OK")))</f>
        <v/>
      </c>
    </row>
    <row r="60" ht="17" customHeight="1">
      <c r="A60" s="23" t="n"/>
      <c r="B60" s="24">
        <f>IFERROR(INDEX(FILTER(tbl_Lots[LotNumber],tbl_Lots[PN]=$A$54,""),4,1),"")</f>
        <v/>
      </c>
      <c r="C60" s="25">
        <f>IFERROR(INDEX(FILTER(tbl_Lots[ExpirationDate],tbl_Lots[PN]=$A$54,""),4,1),"")</f>
        <v/>
      </c>
      <c r="D60" s="26">
        <f>IFERROR(INDEX(FILTER(tbl_Lots[Qty],tbl_Lots[PN]=$A$54,""),4,1),"")</f>
        <v/>
      </c>
      <c r="E60" s="27">
        <f>IFERROR(INDEX(FILTER(tbl_Lots[LatestInventory],tbl_Lots[PN]=$A$54,""),4,1),"")</f>
        <v/>
      </c>
      <c r="F60" s="28">
        <f>IF(C60="","",C60-TODAY())</f>
        <v/>
      </c>
      <c r="G60" s="29">
        <f>IF(C60="","",IF(C60&lt;TODAY(),"EXPIRED",IF(C60&lt;TODAY()+60,"&lt; 60 days","OK")))</f>
        <v/>
      </c>
    </row>
    <row r="61" ht="17" customHeight="1">
      <c r="A61" s="16" t="n"/>
      <c r="B61" s="17">
        <f>IFERROR(INDEX(FILTER(tbl_Lots[LotNumber],tbl_Lots[PN]=$A$54,""),5,1),"")</f>
        <v/>
      </c>
      <c r="C61" s="18">
        <f>IFERROR(INDEX(FILTER(tbl_Lots[ExpirationDate],tbl_Lots[PN]=$A$54,""),5,1),"")</f>
        <v/>
      </c>
      <c r="D61" s="19">
        <f>IFERROR(INDEX(FILTER(tbl_Lots[Qty],tbl_Lots[PN]=$A$54,""),5,1),"")</f>
        <v/>
      </c>
      <c r="E61" s="20">
        <f>IFERROR(INDEX(FILTER(tbl_Lots[LatestInventory],tbl_Lots[PN]=$A$54,""),5,1),"")</f>
        <v/>
      </c>
      <c r="F61" s="21">
        <f>IF(C61="","",C61-TODAY())</f>
        <v/>
      </c>
      <c r="G61" s="22">
        <f>IF(C61="","",IF(C61&lt;TODAY(),"EXPIRED",IF(C61&lt;TODAY()+60,"&lt; 60 days","OK")))</f>
        <v/>
      </c>
    </row>
    <row r="62" ht="17" customHeight="1">
      <c r="A62" s="23" t="n"/>
      <c r="B62" s="24">
        <f>IFERROR(INDEX(FILTER(tbl_Lots[LotNumber],tbl_Lots[PN]=$A$54,""),6,1),"")</f>
        <v/>
      </c>
      <c r="C62" s="25">
        <f>IFERROR(INDEX(FILTER(tbl_Lots[ExpirationDate],tbl_Lots[PN]=$A$54,""),6,1),"")</f>
        <v/>
      </c>
      <c r="D62" s="26">
        <f>IFERROR(INDEX(FILTER(tbl_Lots[Qty],tbl_Lots[PN]=$A$54,""),6,1),"")</f>
        <v/>
      </c>
      <c r="E62" s="27">
        <f>IFERROR(INDEX(FILTER(tbl_Lots[LatestInventory],tbl_Lots[PN]=$A$54,""),6,1),"")</f>
        <v/>
      </c>
      <c r="F62" s="28">
        <f>IF(C62="","",C62-TODAY())</f>
        <v/>
      </c>
      <c r="G62" s="29">
        <f>IF(C62="","",IF(C62&lt;TODAY(),"EXPIRED",IF(C62&lt;TODAY()+60,"&lt; 60 days","OK")))</f>
        <v/>
      </c>
    </row>
    <row r="63" ht="17" customHeight="1">
      <c r="A63" s="16" t="n"/>
      <c r="B63" s="17">
        <f>IFERROR(INDEX(FILTER(tbl_Lots[LotNumber],tbl_Lots[PN]=$A$54,""),7,1),"")</f>
        <v/>
      </c>
      <c r="C63" s="18">
        <f>IFERROR(INDEX(FILTER(tbl_Lots[ExpirationDate],tbl_Lots[PN]=$A$54,""),7,1),"")</f>
        <v/>
      </c>
      <c r="D63" s="19">
        <f>IFERROR(INDEX(FILTER(tbl_Lots[Qty],tbl_Lots[PN]=$A$54,""),7,1),"")</f>
        <v/>
      </c>
      <c r="E63" s="20">
        <f>IFERROR(INDEX(FILTER(tbl_Lots[LatestInventory],tbl_Lots[PN]=$A$54,""),7,1),"")</f>
        <v/>
      </c>
      <c r="F63" s="21">
        <f>IF(C63="","",C63-TODAY())</f>
        <v/>
      </c>
      <c r="G63" s="22">
        <f>IF(C63="","",IF(C63&lt;TODAY(),"EXPIRED",IF(C63&lt;TODAY()+60,"&lt; 60 days","OK")))</f>
        <v/>
      </c>
    </row>
    <row r="64" ht="17" customHeight="1">
      <c r="A64" s="23" t="n"/>
      <c r="B64" s="24">
        <f>IFERROR(INDEX(FILTER(tbl_Lots[LotNumber],tbl_Lots[PN]=$A$54,""),8,1),"")</f>
        <v/>
      </c>
      <c r="C64" s="25">
        <f>IFERROR(INDEX(FILTER(tbl_Lots[ExpirationDate],tbl_Lots[PN]=$A$54,""),8,1),"")</f>
        <v/>
      </c>
      <c r="D64" s="26">
        <f>IFERROR(INDEX(FILTER(tbl_Lots[Qty],tbl_Lots[PN]=$A$54,""),8,1),"")</f>
        <v/>
      </c>
      <c r="E64" s="27">
        <f>IFERROR(INDEX(FILTER(tbl_Lots[LatestInventory],tbl_Lots[PN]=$A$54,""),8,1),"")</f>
        <v/>
      </c>
      <c r="F64" s="28">
        <f>IF(C64="","",C64-TODAY())</f>
        <v/>
      </c>
      <c r="G64" s="29">
        <f>IF(C64="","",IF(C64&lt;TODAY(),"EXPIRED",IF(C64&lt;TODAY()+60,"&lt; 60 days","OK")))</f>
        <v/>
      </c>
    </row>
    <row r="65" ht="14" customHeight="1">
      <c r="A65" s="30" t="n"/>
      <c r="B65" s="31">
        <f>IF(ISNUMBER(COUNTIF(tbl_Lots[PN],$A$54)),IF(COUNTIF(tbl_Lots[PN],$A$54)&gt;8,"  WARNING: "&amp;(COUNTIF(tbl_Lots[PN],$A$54)-8)&amp;" more lot(s) not shown - extend block",""),"")</f>
        <v/>
      </c>
    </row>
    <row r="66" ht="8" customHeight="1">
      <c r="A66" s="16" t="n"/>
      <c r="B66" s="16" t="n"/>
      <c r="C66" s="16" t="n"/>
      <c r="D66" s="16" t="n"/>
      <c r="E66" s="16" t="n"/>
      <c r="F66" s="16" t="n"/>
      <c r="G66" s="16" t="n"/>
    </row>
    <row r="67" ht="20" customHeight="1">
      <c r="A67" s="8" t="inlineStr">
        <is>
          <t>525-00196</t>
        </is>
      </c>
      <c r="B67" s="9" t="inlineStr">
        <is>
          <t>Respiratory Panel Sample Mix 4</t>
        </is>
      </c>
      <c r="C67" s="10" t="n"/>
      <c r="D67" s="10" t="n"/>
      <c r="E67" s="10" t="n"/>
      <c r="F67" s="10" t="n"/>
      <c r="G67" s="10" t="n"/>
    </row>
    <row r="68" ht="16" customHeight="1">
      <c r="A68" s="11" t="n"/>
      <c r="B68" s="12" t="inlineStr">
        <is>
          <t>POS IPT kylskåp</t>
        </is>
      </c>
      <c r="C68" s="11" t="n"/>
      <c r="D68" s="11" t="n"/>
      <c r="E68" s="11" t="n"/>
      <c r="F68" s="13">
        <f>IFERROR(COUNTIF(tbl_Lots[PN],$A$67)&amp;" active lot(s)  |  max 8 shown","")</f>
        <v/>
      </c>
    </row>
    <row r="69" ht="16" customHeight="1">
      <c r="A69" s="14" t="n"/>
      <c r="B69" s="15" t="inlineStr">
        <is>
          <t>Lot Number</t>
        </is>
      </c>
      <c r="C69" s="15" t="inlineStr">
        <is>
          <t>Expiration Date</t>
        </is>
      </c>
      <c r="D69" s="15" t="inlineStr">
        <is>
          <t>Qty</t>
        </is>
      </c>
      <c r="E69" s="15" t="inlineStr">
        <is>
          <t>Last Inventory</t>
        </is>
      </c>
      <c r="F69" s="15" t="inlineStr">
        <is>
          <t>Days Left</t>
        </is>
      </c>
      <c r="G69" s="15" t="inlineStr">
        <is>
          <t>Status</t>
        </is>
      </c>
    </row>
    <row r="70" ht="17" customHeight="1">
      <c r="A70" s="16" t="n"/>
      <c r="B70" s="17">
        <f>IFERROR(INDEX(FILTER(tbl_Lots[LotNumber],tbl_Lots[PN]=$A$67,""),1,1),"")</f>
        <v/>
      </c>
      <c r="C70" s="18">
        <f>IFERROR(INDEX(FILTER(tbl_Lots[ExpirationDate],tbl_Lots[PN]=$A$67,""),1,1),"")</f>
        <v/>
      </c>
      <c r="D70" s="19">
        <f>IFERROR(INDEX(FILTER(tbl_Lots[Qty],tbl_Lots[PN]=$A$67,""),1,1),"")</f>
        <v/>
      </c>
      <c r="E70" s="20">
        <f>IFERROR(INDEX(FILTER(tbl_Lots[LatestInventory],tbl_Lots[PN]=$A$67,""),1,1),"")</f>
        <v/>
      </c>
      <c r="F70" s="21">
        <f>IF(C70="","",C70-TODAY())</f>
        <v/>
      </c>
      <c r="G70" s="22">
        <f>IF(C70="","",IF(C70&lt;TODAY(),"EXPIRED",IF(C70&lt;TODAY()+60,"&lt; 60 days","OK")))</f>
        <v/>
      </c>
    </row>
    <row r="71" ht="17" customHeight="1">
      <c r="A71" s="23" t="n"/>
      <c r="B71" s="24">
        <f>IFERROR(INDEX(FILTER(tbl_Lots[LotNumber],tbl_Lots[PN]=$A$67,""),2,1),"")</f>
        <v/>
      </c>
      <c r="C71" s="25">
        <f>IFERROR(INDEX(FILTER(tbl_Lots[ExpirationDate],tbl_Lots[PN]=$A$67,""),2,1),"")</f>
        <v/>
      </c>
      <c r="D71" s="26">
        <f>IFERROR(INDEX(FILTER(tbl_Lots[Qty],tbl_Lots[PN]=$A$67,""),2,1),"")</f>
        <v/>
      </c>
      <c r="E71" s="27">
        <f>IFERROR(INDEX(FILTER(tbl_Lots[LatestInventory],tbl_Lots[PN]=$A$67,""),2,1),"")</f>
        <v/>
      </c>
      <c r="F71" s="28">
        <f>IF(C71="","",C71-TODAY())</f>
        <v/>
      </c>
      <c r="G71" s="29">
        <f>IF(C71="","",IF(C71&lt;TODAY(),"EXPIRED",IF(C71&lt;TODAY()+60,"&lt; 60 days","OK")))</f>
        <v/>
      </c>
    </row>
    <row r="72" ht="17" customHeight="1">
      <c r="A72" s="16" t="n"/>
      <c r="B72" s="17">
        <f>IFERROR(INDEX(FILTER(tbl_Lots[LotNumber],tbl_Lots[PN]=$A$67,""),3,1),"")</f>
        <v/>
      </c>
      <c r="C72" s="18">
        <f>IFERROR(INDEX(FILTER(tbl_Lots[ExpirationDate],tbl_Lots[PN]=$A$67,""),3,1),"")</f>
        <v/>
      </c>
      <c r="D72" s="19">
        <f>IFERROR(INDEX(FILTER(tbl_Lots[Qty],tbl_Lots[PN]=$A$67,""),3,1),"")</f>
        <v/>
      </c>
      <c r="E72" s="20">
        <f>IFERROR(INDEX(FILTER(tbl_Lots[LatestInventory],tbl_Lots[PN]=$A$67,""),3,1),"")</f>
        <v/>
      </c>
      <c r="F72" s="21">
        <f>IF(C72="","",C72-TODAY())</f>
        <v/>
      </c>
      <c r="G72" s="22">
        <f>IF(C72="","",IF(C72&lt;TODAY(),"EXPIRED",IF(C72&lt;TODAY()+60,"&lt; 60 days","OK")))</f>
        <v/>
      </c>
    </row>
    <row r="73" ht="17" customHeight="1">
      <c r="A73" s="23" t="n"/>
      <c r="B73" s="24">
        <f>IFERROR(INDEX(FILTER(tbl_Lots[LotNumber],tbl_Lots[PN]=$A$67,""),4,1),"")</f>
        <v/>
      </c>
      <c r="C73" s="25">
        <f>IFERROR(INDEX(FILTER(tbl_Lots[ExpirationDate],tbl_Lots[PN]=$A$67,""),4,1),"")</f>
        <v/>
      </c>
      <c r="D73" s="26">
        <f>IFERROR(INDEX(FILTER(tbl_Lots[Qty],tbl_Lots[PN]=$A$67,""),4,1),"")</f>
        <v/>
      </c>
      <c r="E73" s="27">
        <f>IFERROR(INDEX(FILTER(tbl_Lots[LatestInventory],tbl_Lots[PN]=$A$67,""),4,1),"")</f>
        <v/>
      </c>
      <c r="F73" s="28">
        <f>IF(C73="","",C73-TODAY())</f>
        <v/>
      </c>
      <c r="G73" s="29">
        <f>IF(C73="","",IF(C73&lt;TODAY(),"EXPIRED",IF(C73&lt;TODAY()+60,"&lt; 60 days","OK")))</f>
        <v/>
      </c>
    </row>
    <row r="74" ht="17" customHeight="1">
      <c r="A74" s="16" t="n"/>
      <c r="B74" s="17">
        <f>IFERROR(INDEX(FILTER(tbl_Lots[LotNumber],tbl_Lots[PN]=$A$67,""),5,1),"")</f>
        <v/>
      </c>
      <c r="C74" s="18">
        <f>IFERROR(INDEX(FILTER(tbl_Lots[ExpirationDate],tbl_Lots[PN]=$A$67,""),5,1),"")</f>
        <v/>
      </c>
      <c r="D74" s="19">
        <f>IFERROR(INDEX(FILTER(tbl_Lots[Qty],tbl_Lots[PN]=$A$67,""),5,1),"")</f>
        <v/>
      </c>
      <c r="E74" s="20">
        <f>IFERROR(INDEX(FILTER(tbl_Lots[LatestInventory],tbl_Lots[PN]=$A$67,""),5,1),"")</f>
        <v/>
      </c>
      <c r="F74" s="21">
        <f>IF(C74="","",C74-TODAY())</f>
        <v/>
      </c>
      <c r="G74" s="22">
        <f>IF(C74="","",IF(C74&lt;TODAY(),"EXPIRED",IF(C74&lt;TODAY()+60,"&lt; 60 days","OK")))</f>
        <v/>
      </c>
    </row>
    <row r="75" ht="17" customHeight="1">
      <c r="A75" s="23" t="n"/>
      <c r="B75" s="24">
        <f>IFERROR(INDEX(FILTER(tbl_Lots[LotNumber],tbl_Lots[PN]=$A$67,""),6,1),"")</f>
        <v/>
      </c>
      <c r="C75" s="25">
        <f>IFERROR(INDEX(FILTER(tbl_Lots[ExpirationDate],tbl_Lots[PN]=$A$67,""),6,1),"")</f>
        <v/>
      </c>
      <c r="D75" s="26">
        <f>IFERROR(INDEX(FILTER(tbl_Lots[Qty],tbl_Lots[PN]=$A$67,""),6,1),"")</f>
        <v/>
      </c>
      <c r="E75" s="27">
        <f>IFERROR(INDEX(FILTER(tbl_Lots[LatestInventory],tbl_Lots[PN]=$A$67,""),6,1),"")</f>
        <v/>
      </c>
      <c r="F75" s="28">
        <f>IF(C75="","",C75-TODAY())</f>
        <v/>
      </c>
      <c r="G75" s="29">
        <f>IF(C75="","",IF(C75&lt;TODAY(),"EXPIRED",IF(C75&lt;TODAY()+60,"&lt; 60 days","OK")))</f>
        <v/>
      </c>
    </row>
    <row r="76" ht="17" customHeight="1">
      <c r="A76" s="16" t="n"/>
      <c r="B76" s="17">
        <f>IFERROR(INDEX(FILTER(tbl_Lots[LotNumber],tbl_Lots[PN]=$A$67,""),7,1),"")</f>
        <v/>
      </c>
      <c r="C76" s="18">
        <f>IFERROR(INDEX(FILTER(tbl_Lots[ExpirationDate],tbl_Lots[PN]=$A$67,""),7,1),"")</f>
        <v/>
      </c>
      <c r="D76" s="19">
        <f>IFERROR(INDEX(FILTER(tbl_Lots[Qty],tbl_Lots[PN]=$A$67,""),7,1),"")</f>
        <v/>
      </c>
      <c r="E76" s="20">
        <f>IFERROR(INDEX(FILTER(tbl_Lots[LatestInventory],tbl_Lots[PN]=$A$67,""),7,1),"")</f>
        <v/>
      </c>
      <c r="F76" s="21">
        <f>IF(C76="","",C76-TODAY())</f>
        <v/>
      </c>
      <c r="G76" s="22">
        <f>IF(C76="","",IF(C76&lt;TODAY(),"EXPIRED",IF(C76&lt;TODAY()+60,"&lt; 60 days","OK")))</f>
        <v/>
      </c>
    </row>
    <row r="77" ht="17" customHeight="1">
      <c r="A77" s="23" t="n"/>
      <c r="B77" s="24">
        <f>IFERROR(INDEX(FILTER(tbl_Lots[LotNumber],tbl_Lots[PN]=$A$67,""),8,1),"")</f>
        <v/>
      </c>
      <c r="C77" s="25">
        <f>IFERROR(INDEX(FILTER(tbl_Lots[ExpirationDate],tbl_Lots[PN]=$A$67,""),8,1),"")</f>
        <v/>
      </c>
      <c r="D77" s="26">
        <f>IFERROR(INDEX(FILTER(tbl_Lots[Qty],tbl_Lots[PN]=$A$67,""),8,1),"")</f>
        <v/>
      </c>
      <c r="E77" s="27">
        <f>IFERROR(INDEX(FILTER(tbl_Lots[LatestInventory],tbl_Lots[PN]=$A$67,""),8,1),"")</f>
        <v/>
      </c>
      <c r="F77" s="28">
        <f>IF(C77="","",C77-TODAY())</f>
        <v/>
      </c>
      <c r="G77" s="29">
        <f>IF(C77="","",IF(C77&lt;TODAY(),"EXPIRED",IF(C77&lt;TODAY()+60,"&lt; 60 days","OK")))</f>
        <v/>
      </c>
    </row>
    <row r="78" ht="14" customHeight="1">
      <c r="A78" s="30" t="n"/>
      <c r="B78" s="31">
        <f>IF(ISNUMBER(COUNTIF(tbl_Lots[PN],$A$67)),IF(COUNTIF(tbl_Lots[PN],$A$67)&gt;8,"  WARNING: "&amp;(COUNTIF(tbl_Lots[PN],$A$67)-8)&amp;" more lot(s) not shown - extend block",""),"")</f>
        <v/>
      </c>
    </row>
    <row r="79" ht="8" customHeight="1">
      <c r="A79" s="16" t="n"/>
      <c r="B79" s="16" t="n"/>
      <c r="C79" s="16" t="n"/>
      <c r="D79" s="16" t="n"/>
      <c r="E79" s="16" t="n"/>
      <c r="F79" s="16" t="n"/>
      <c r="G79" s="16" t="n"/>
    </row>
  </sheetData>
  <mergeCells count="13">
    <mergeCell ref="F3:G3"/>
    <mergeCell ref="F55:G55"/>
    <mergeCell ref="A1:G1"/>
    <mergeCell ref="F29:G29"/>
    <mergeCell ref="F16:G16"/>
    <mergeCell ref="F68:G68"/>
    <mergeCell ref="B65:G65"/>
    <mergeCell ref="B26:G26"/>
    <mergeCell ref="F42:G42"/>
    <mergeCell ref="B13:G13"/>
    <mergeCell ref="B52:G52"/>
    <mergeCell ref="B78:G78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conditionalFormatting sqref="C44:C51">
    <cfRule type="expression" priority="19" dxfId="0">
      <formula>AND(C44&lt;&gt;"",C44&lt;TODAY())</formula>
    </cfRule>
    <cfRule type="expression" priority="20" dxfId="1">
      <formula>AND(C44&lt;&gt;"",C44&gt;=TODAY(),C44&lt;TODAY()+60)</formula>
    </cfRule>
    <cfRule type="expression" priority="21" dxfId="2">
      <formula>AND(C44&lt;&gt;"",C44&gt;=TODAY()+60)</formula>
    </cfRule>
  </conditionalFormatting>
  <conditionalFormatting sqref="G44:G51">
    <cfRule type="expression" priority="22" dxfId="0">
      <formula>G44="EXPIRED"</formula>
    </cfRule>
    <cfRule type="expression" priority="23" dxfId="1">
      <formula>G44="&lt; 60 days"</formula>
    </cfRule>
    <cfRule type="expression" priority="24" dxfId="2">
      <formula>G44="OK"</formula>
    </cfRule>
  </conditionalFormatting>
  <conditionalFormatting sqref="C57:C64">
    <cfRule type="expression" priority="25" dxfId="0">
      <formula>AND(C57&lt;&gt;"",C57&lt;TODAY())</formula>
    </cfRule>
    <cfRule type="expression" priority="26" dxfId="1">
      <formula>AND(C57&lt;&gt;"",C57&gt;=TODAY(),C57&lt;TODAY()+60)</formula>
    </cfRule>
    <cfRule type="expression" priority="27" dxfId="2">
      <formula>AND(C57&lt;&gt;"",C57&gt;=TODAY()+60)</formula>
    </cfRule>
  </conditionalFormatting>
  <conditionalFormatting sqref="G57:G64">
    <cfRule type="expression" priority="28" dxfId="0">
      <formula>G57="EXPIRED"</formula>
    </cfRule>
    <cfRule type="expression" priority="29" dxfId="1">
      <formula>G57="&lt; 60 days"</formula>
    </cfRule>
    <cfRule type="expression" priority="30" dxfId="2">
      <formula>G57="OK"</formula>
    </cfRule>
  </conditionalFormatting>
  <conditionalFormatting sqref="C70:C77">
    <cfRule type="expression" priority="31" dxfId="0">
      <formula>AND(C70&lt;&gt;"",C70&lt;TODAY())</formula>
    </cfRule>
    <cfRule type="expression" priority="32" dxfId="1">
      <formula>AND(C70&lt;&gt;"",C70&gt;=TODAY(),C70&lt;TODAY()+60)</formula>
    </cfRule>
    <cfRule type="expression" priority="33" dxfId="2">
      <formula>AND(C70&lt;&gt;"",C70&gt;=TODAY()+60)</formula>
    </cfRule>
  </conditionalFormatting>
  <conditionalFormatting sqref="G70:G77">
    <cfRule type="expression" priority="34" dxfId="0">
      <formula>G70="EXPIRED"</formula>
    </cfRule>
    <cfRule type="expression" priority="35" dxfId="1">
      <formula>G70="&lt; 60 days"</formula>
    </cfRule>
    <cfRule type="expression" priority="36" dxfId="2">
      <formula>G70="OK"</formula>
    </cfRule>
  </conditionalFormatting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G40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CTNG | CTNG JP</t>
        </is>
      </c>
    </row>
    <row r="2" ht="20" customHeight="1">
      <c r="A2" s="8" t="inlineStr">
        <is>
          <t>500-1514</t>
        </is>
      </c>
      <c r="B2" s="9" t="inlineStr">
        <is>
          <t>Transport buffer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SR / TET / MATRIX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500-1526</t>
        </is>
      </c>
      <c r="B15" s="9" t="inlineStr">
        <is>
          <t>10X Negative cells mix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NEG IPT kylskåp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500-1544</t>
        </is>
      </c>
      <c r="B28" s="9" t="inlineStr">
        <is>
          <t>10X Positive cells mix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POS IPT kylskåp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</sheetData>
  <mergeCells count="7">
    <mergeCell ref="F3:G3"/>
    <mergeCell ref="A1:G1"/>
    <mergeCell ref="F29:G29"/>
    <mergeCell ref="F16:G16"/>
    <mergeCell ref="B26:G26"/>
    <mergeCell ref="B13:G13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G27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C.DIFF | C.DIFF JP</t>
        </is>
      </c>
    </row>
    <row r="2" ht="20" customHeight="1">
      <c r="A2" s="8" t="inlineStr">
        <is>
          <t>500-1529</t>
        </is>
      </c>
      <c r="B2" s="9" t="inlineStr">
        <is>
          <t>C.difficile cells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POS IPT kylskåp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500-2288</t>
        </is>
      </c>
      <c r="B15" s="9" t="inlineStr">
        <is>
          <t>GX Lysis buffer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SR / TET / MATRIX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</sheetData>
  <mergeCells count="5">
    <mergeCell ref="F3:G3"/>
    <mergeCell ref="A1:G1"/>
    <mergeCell ref="F16:G16"/>
    <mergeCell ref="B26:G26"/>
    <mergeCell ref="B13:G13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G53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EBOLA</t>
        </is>
      </c>
    </row>
    <row r="2" ht="20" customHeight="1">
      <c r="A2" s="8" t="inlineStr">
        <is>
          <t>525-00038</t>
        </is>
      </c>
      <c r="B2" s="9" t="inlineStr">
        <is>
          <t>EDTA Human Whole Blood (NTC)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NEG IPT -80 frys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525-00065</t>
        </is>
      </c>
      <c r="B15" s="9" t="inlineStr">
        <is>
          <t>Ebola PC-Low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-80 frys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525-00066</t>
        </is>
      </c>
      <c r="B28" s="9" t="inlineStr">
        <is>
          <t>Ebola PC-High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POS IPT -80 frys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  <row r="41" ht="20" customHeight="1">
      <c r="A41" s="8" t="inlineStr">
        <is>
          <t>525-00327</t>
        </is>
      </c>
      <c r="B41" s="9" t="inlineStr">
        <is>
          <t>EDTA Human Whole Blood (NTC) v2</t>
        </is>
      </c>
      <c r="C41" s="10" t="n"/>
      <c r="D41" s="10" t="n"/>
      <c r="E41" s="10" t="n"/>
      <c r="F41" s="10" t="n"/>
      <c r="G41" s="10" t="n"/>
    </row>
    <row r="42" ht="16" customHeight="1">
      <c r="A42" s="11" t="n"/>
      <c r="B42" s="12" t="inlineStr">
        <is>
          <t>NEG IPT -80 frys</t>
        </is>
      </c>
      <c r="C42" s="11" t="n"/>
      <c r="D42" s="11" t="n"/>
      <c r="E42" s="11" t="n"/>
      <c r="F42" s="13">
        <f>IFERROR(COUNTIF(tbl_Lots[PN],$A$41)&amp;" active lot(s)  |  max 8 shown","")</f>
        <v/>
      </c>
    </row>
    <row r="43" ht="16" customHeight="1">
      <c r="A43" s="14" t="n"/>
      <c r="B43" s="15" t="inlineStr">
        <is>
          <t>Lot Number</t>
        </is>
      </c>
      <c r="C43" s="15" t="inlineStr">
        <is>
          <t>Expiration Date</t>
        </is>
      </c>
      <c r="D43" s="15" t="inlineStr">
        <is>
          <t>Qty</t>
        </is>
      </c>
      <c r="E43" s="15" t="inlineStr">
        <is>
          <t>Last Inventory</t>
        </is>
      </c>
      <c r="F43" s="15" t="inlineStr">
        <is>
          <t>Days Left</t>
        </is>
      </c>
      <c r="G43" s="15" t="inlineStr">
        <is>
          <t>Status</t>
        </is>
      </c>
    </row>
    <row r="44" ht="17" customHeight="1">
      <c r="A44" s="16" t="n"/>
      <c r="B44" s="17">
        <f>IFERROR(INDEX(FILTER(tbl_Lots[LotNumber],tbl_Lots[PN]=$A$41,""),1,1),"")</f>
        <v/>
      </c>
      <c r="C44" s="18">
        <f>IFERROR(INDEX(FILTER(tbl_Lots[ExpirationDate],tbl_Lots[PN]=$A$41,""),1,1),"")</f>
        <v/>
      </c>
      <c r="D44" s="19">
        <f>IFERROR(INDEX(FILTER(tbl_Lots[Qty],tbl_Lots[PN]=$A$41,""),1,1),"")</f>
        <v/>
      </c>
      <c r="E44" s="20">
        <f>IFERROR(INDEX(FILTER(tbl_Lots[LatestInventory],tbl_Lots[PN]=$A$41,""),1,1),"")</f>
        <v/>
      </c>
      <c r="F44" s="21">
        <f>IF(C44="","",C44-TODAY())</f>
        <v/>
      </c>
      <c r="G44" s="22">
        <f>IF(C44="","",IF(C44&lt;TODAY(),"EXPIRED",IF(C44&lt;TODAY()+60,"&lt; 60 days","OK")))</f>
        <v/>
      </c>
    </row>
    <row r="45" ht="17" customHeight="1">
      <c r="A45" s="23" t="n"/>
      <c r="B45" s="24">
        <f>IFERROR(INDEX(FILTER(tbl_Lots[LotNumber],tbl_Lots[PN]=$A$41,""),2,1),"")</f>
        <v/>
      </c>
      <c r="C45" s="25">
        <f>IFERROR(INDEX(FILTER(tbl_Lots[ExpirationDate],tbl_Lots[PN]=$A$41,""),2,1),"")</f>
        <v/>
      </c>
      <c r="D45" s="26">
        <f>IFERROR(INDEX(FILTER(tbl_Lots[Qty],tbl_Lots[PN]=$A$41,""),2,1),"")</f>
        <v/>
      </c>
      <c r="E45" s="27">
        <f>IFERROR(INDEX(FILTER(tbl_Lots[LatestInventory],tbl_Lots[PN]=$A$41,""),2,1),"")</f>
        <v/>
      </c>
      <c r="F45" s="28">
        <f>IF(C45="","",C45-TODAY())</f>
        <v/>
      </c>
      <c r="G45" s="29">
        <f>IF(C45="","",IF(C45&lt;TODAY(),"EXPIRED",IF(C45&lt;TODAY()+60,"&lt; 60 days","OK")))</f>
        <v/>
      </c>
    </row>
    <row r="46" ht="17" customHeight="1">
      <c r="A46" s="16" t="n"/>
      <c r="B46" s="17">
        <f>IFERROR(INDEX(FILTER(tbl_Lots[LotNumber],tbl_Lots[PN]=$A$41,""),3,1),"")</f>
        <v/>
      </c>
      <c r="C46" s="18">
        <f>IFERROR(INDEX(FILTER(tbl_Lots[ExpirationDate],tbl_Lots[PN]=$A$41,""),3,1),"")</f>
        <v/>
      </c>
      <c r="D46" s="19">
        <f>IFERROR(INDEX(FILTER(tbl_Lots[Qty],tbl_Lots[PN]=$A$41,""),3,1),"")</f>
        <v/>
      </c>
      <c r="E46" s="20">
        <f>IFERROR(INDEX(FILTER(tbl_Lots[LatestInventory],tbl_Lots[PN]=$A$41,""),3,1),"")</f>
        <v/>
      </c>
      <c r="F46" s="21">
        <f>IF(C46="","",C46-TODAY())</f>
        <v/>
      </c>
      <c r="G46" s="22">
        <f>IF(C46="","",IF(C46&lt;TODAY(),"EXPIRED",IF(C46&lt;TODAY()+60,"&lt; 60 days","OK")))</f>
        <v/>
      </c>
    </row>
    <row r="47" ht="17" customHeight="1">
      <c r="A47" s="23" t="n"/>
      <c r="B47" s="24">
        <f>IFERROR(INDEX(FILTER(tbl_Lots[LotNumber],tbl_Lots[PN]=$A$41,""),4,1),"")</f>
        <v/>
      </c>
      <c r="C47" s="25">
        <f>IFERROR(INDEX(FILTER(tbl_Lots[ExpirationDate],tbl_Lots[PN]=$A$41,""),4,1),"")</f>
        <v/>
      </c>
      <c r="D47" s="26">
        <f>IFERROR(INDEX(FILTER(tbl_Lots[Qty],tbl_Lots[PN]=$A$41,""),4,1),"")</f>
        <v/>
      </c>
      <c r="E47" s="27">
        <f>IFERROR(INDEX(FILTER(tbl_Lots[LatestInventory],tbl_Lots[PN]=$A$41,""),4,1),"")</f>
        <v/>
      </c>
      <c r="F47" s="28">
        <f>IF(C47="","",C47-TODAY())</f>
        <v/>
      </c>
      <c r="G47" s="29">
        <f>IF(C47="","",IF(C47&lt;TODAY(),"EXPIRED",IF(C47&lt;TODAY()+60,"&lt; 60 days","OK")))</f>
        <v/>
      </c>
    </row>
    <row r="48" ht="17" customHeight="1">
      <c r="A48" s="16" t="n"/>
      <c r="B48" s="17">
        <f>IFERROR(INDEX(FILTER(tbl_Lots[LotNumber],tbl_Lots[PN]=$A$41,""),5,1),"")</f>
        <v/>
      </c>
      <c r="C48" s="18">
        <f>IFERROR(INDEX(FILTER(tbl_Lots[ExpirationDate],tbl_Lots[PN]=$A$41,""),5,1),"")</f>
        <v/>
      </c>
      <c r="D48" s="19">
        <f>IFERROR(INDEX(FILTER(tbl_Lots[Qty],tbl_Lots[PN]=$A$41,""),5,1),"")</f>
        <v/>
      </c>
      <c r="E48" s="20">
        <f>IFERROR(INDEX(FILTER(tbl_Lots[LatestInventory],tbl_Lots[PN]=$A$41,""),5,1),"")</f>
        <v/>
      </c>
      <c r="F48" s="21">
        <f>IF(C48="","",C48-TODAY())</f>
        <v/>
      </c>
      <c r="G48" s="22">
        <f>IF(C48="","",IF(C48&lt;TODAY(),"EXPIRED",IF(C48&lt;TODAY()+60,"&lt; 60 days","OK")))</f>
        <v/>
      </c>
    </row>
    <row r="49" ht="17" customHeight="1">
      <c r="A49" s="23" t="n"/>
      <c r="B49" s="24">
        <f>IFERROR(INDEX(FILTER(tbl_Lots[LotNumber],tbl_Lots[PN]=$A$41,""),6,1),"")</f>
        <v/>
      </c>
      <c r="C49" s="25">
        <f>IFERROR(INDEX(FILTER(tbl_Lots[ExpirationDate],tbl_Lots[PN]=$A$41,""),6,1),"")</f>
        <v/>
      </c>
      <c r="D49" s="26">
        <f>IFERROR(INDEX(FILTER(tbl_Lots[Qty],tbl_Lots[PN]=$A$41,""),6,1),"")</f>
        <v/>
      </c>
      <c r="E49" s="27">
        <f>IFERROR(INDEX(FILTER(tbl_Lots[LatestInventory],tbl_Lots[PN]=$A$41,""),6,1),"")</f>
        <v/>
      </c>
      <c r="F49" s="28">
        <f>IF(C49="","",C49-TODAY())</f>
        <v/>
      </c>
      <c r="G49" s="29">
        <f>IF(C49="","",IF(C49&lt;TODAY(),"EXPIRED",IF(C49&lt;TODAY()+60,"&lt; 60 days","OK")))</f>
        <v/>
      </c>
    </row>
    <row r="50" ht="17" customHeight="1">
      <c r="A50" s="16" t="n"/>
      <c r="B50" s="17">
        <f>IFERROR(INDEX(FILTER(tbl_Lots[LotNumber],tbl_Lots[PN]=$A$41,""),7,1),"")</f>
        <v/>
      </c>
      <c r="C50" s="18">
        <f>IFERROR(INDEX(FILTER(tbl_Lots[ExpirationDate],tbl_Lots[PN]=$A$41,""),7,1),"")</f>
        <v/>
      </c>
      <c r="D50" s="19">
        <f>IFERROR(INDEX(FILTER(tbl_Lots[Qty],tbl_Lots[PN]=$A$41,""),7,1),"")</f>
        <v/>
      </c>
      <c r="E50" s="20">
        <f>IFERROR(INDEX(FILTER(tbl_Lots[LatestInventory],tbl_Lots[PN]=$A$41,""),7,1),"")</f>
        <v/>
      </c>
      <c r="F50" s="21">
        <f>IF(C50="","",C50-TODAY())</f>
        <v/>
      </c>
      <c r="G50" s="22">
        <f>IF(C50="","",IF(C50&lt;TODAY(),"EXPIRED",IF(C50&lt;TODAY()+60,"&lt; 60 days","OK")))</f>
        <v/>
      </c>
    </row>
    <row r="51" ht="17" customHeight="1">
      <c r="A51" s="23" t="n"/>
      <c r="B51" s="24">
        <f>IFERROR(INDEX(FILTER(tbl_Lots[LotNumber],tbl_Lots[PN]=$A$41,""),8,1),"")</f>
        <v/>
      </c>
      <c r="C51" s="25">
        <f>IFERROR(INDEX(FILTER(tbl_Lots[ExpirationDate],tbl_Lots[PN]=$A$41,""),8,1),"")</f>
        <v/>
      </c>
      <c r="D51" s="26">
        <f>IFERROR(INDEX(FILTER(tbl_Lots[Qty],tbl_Lots[PN]=$A$41,""),8,1),"")</f>
        <v/>
      </c>
      <c r="E51" s="27">
        <f>IFERROR(INDEX(FILTER(tbl_Lots[LatestInventory],tbl_Lots[PN]=$A$41,""),8,1),"")</f>
        <v/>
      </c>
      <c r="F51" s="28">
        <f>IF(C51="","",C51-TODAY())</f>
        <v/>
      </c>
      <c r="G51" s="29">
        <f>IF(C51="","",IF(C51&lt;TODAY(),"EXPIRED",IF(C51&lt;TODAY()+60,"&lt; 60 days","OK")))</f>
        <v/>
      </c>
    </row>
    <row r="52" ht="14" customHeight="1">
      <c r="A52" s="30" t="n"/>
      <c r="B52" s="31">
        <f>IF(ISNUMBER(COUNTIF(tbl_Lots[PN],$A$41)),IF(COUNTIF(tbl_Lots[PN],$A$41)&gt;8,"  WARNING: "&amp;(COUNTIF(tbl_Lots[PN],$A$41)-8)&amp;" more lot(s) not shown - extend block",""),"")</f>
        <v/>
      </c>
    </row>
    <row r="53" ht="8" customHeight="1">
      <c r="A53" s="16" t="n"/>
      <c r="B53" s="16" t="n"/>
      <c r="C53" s="16" t="n"/>
      <c r="D53" s="16" t="n"/>
      <c r="E53" s="16" t="n"/>
      <c r="F53" s="16" t="n"/>
      <c r="G53" s="16" t="n"/>
    </row>
  </sheetData>
  <mergeCells count="9">
    <mergeCell ref="F3:G3"/>
    <mergeCell ref="A1:G1"/>
    <mergeCell ref="F29:G29"/>
    <mergeCell ref="F16:G16"/>
    <mergeCell ref="B26:G26"/>
    <mergeCell ref="F42:G42"/>
    <mergeCell ref="B13:G13"/>
    <mergeCell ref="B52:G52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conditionalFormatting sqref="C44:C51">
    <cfRule type="expression" priority="19" dxfId="0">
      <formula>AND(C44&lt;&gt;"",C44&lt;TODAY())</formula>
    </cfRule>
    <cfRule type="expression" priority="20" dxfId="1">
      <formula>AND(C44&lt;&gt;"",C44&gt;=TODAY(),C44&lt;TODAY()+60)</formula>
    </cfRule>
    <cfRule type="expression" priority="21" dxfId="2">
      <formula>AND(C44&lt;&gt;"",C44&gt;=TODAY()+60)</formula>
    </cfRule>
  </conditionalFormatting>
  <conditionalFormatting sqref="G44:G51">
    <cfRule type="expression" priority="22" dxfId="0">
      <formula>G44="EXPIRED"</formula>
    </cfRule>
    <cfRule type="expression" priority="23" dxfId="1">
      <formula>G44="&lt; 60 days"</formula>
    </cfRule>
    <cfRule type="expression" priority="24" dxfId="2">
      <formula>G44="OK"</formula>
    </cfRule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G53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HPV</t>
        </is>
      </c>
    </row>
    <row r="2" ht="20" customHeight="1">
      <c r="A2" s="8" t="inlineStr">
        <is>
          <t>001-1689</t>
        </is>
      </c>
      <c r="B2" s="9" t="inlineStr">
        <is>
          <t>PreservCyt Solution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SR / TET / MATRIX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500-1917</t>
        </is>
      </c>
      <c r="B15" s="9" t="inlineStr">
        <is>
          <t>MMQCI E.coli HPV POS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kylskåp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500-1918</t>
        </is>
      </c>
      <c r="B28" s="9" t="inlineStr">
        <is>
          <t>MMQCI E.coli HPV NEG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NEG IPT kylskåp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  <row r="41" ht="20" customHeight="1">
      <c r="A41" s="8" t="inlineStr">
        <is>
          <t>500-2616</t>
        </is>
      </c>
      <c r="B41" s="9" t="inlineStr">
        <is>
          <t>Human cells HPV NEG</t>
        </is>
      </c>
      <c r="C41" s="10" t="n"/>
      <c r="D41" s="10" t="n"/>
      <c r="E41" s="10" t="n"/>
      <c r="F41" s="10" t="n"/>
      <c r="G41" s="10" t="n"/>
    </row>
    <row r="42" ht="16" customHeight="1">
      <c r="A42" s="11" t="n"/>
      <c r="B42" s="12" t="inlineStr">
        <is>
          <t>POS IPT kylskåp</t>
        </is>
      </c>
      <c r="C42" s="11" t="n"/>
      <c r="D42" s="11" t="n"/>
      <c r="E42" s="11" t="n"/>
      <c r="F42" s="13">
        <f>IFERROR(COUNTIF(tbl_Lots[PN],$A$41)&amp;" active lot(s)  |  max 8 shown","")</f>
        <v/>
      </c>
    </row>
    <row r="43" ht="16" customHeight="1">
      <c r="A43" s="14" t="n"/>
      <c r="B43" s="15" t="inlineStr">
        <is>
          <t>Lot Number</t>
        </is>
      </c>
      <c r="C43" s="15" t="inlineStr">
        <is>
          <t>Expiration Date</t>
        </is>
      </c>
      <c r="D43" s="15" t="inlineStr">
        <is>
          <t>Qty</t>
        </is>
      </c>
      <c r="E43" s="15" t="inlineStr">
        <is>
          <t>Last Inventory</t>
        </is>
      </c>
      <c r="F43" s="15" t="inlineStr">
        <is>
          <t>Days Left</t>
        </is>
      </c>
      <c r="G43" s="15" t="inlineStr">
        <is>
          <t>Status</t>
        </is>
      </c>
    </row>
    <row r="44" ht="17" customHeight="1">
      <c r="A44" s="16" t="n"/>
      <c r="B44" s="17">
        <f>IFERROR(INDEX(FILTER(tbl_Lots[LotNumber],tbl_Lots[PN]=$A$41,""),1,1),"")</f>
        <v/>
      </c>
      <c r="C44" s="18">
        <f>IFERROR(INDEX(FILTER(tbl_Lots[ExpirationDate],tbl_Lots[PN]=$A$41,""),1,1),"")</f>
        <v/>
      </c>
      <c r="D44" s="19">
        <f>IFERROR(INDEX(FILTER(tbl_Lots[Qty],tbl_Lots[PN]=$A$41,""),1,1),"")</f>
        <v/>
      </c>
      <c r="E44" s="20">
        <f>IFERROR(INDEX(FILTER(tbl_Lots[LatestInventory],tbl_Lots[PN]=$A$41,""),1,1),"")</f>
        <v/>
      </c>
      <c r="F44" s="21">
        <f>IF(C44="","",C44-TODAY())</f>
        <v/>
      </c>
      <c r="G44" s="22">
        <f>IF(C44="","",IF(C44&lt;TODAY(),"EXPIRED",IF(C44&lt;TODAY()+60,"&lt; 60 days","OK")))</f>
        <v/>
      </c>
    </row>
    <row r="45" ht="17" customHeight="1">
      <c r="A45" s="23" t="n"/>
      <c r="B45" s="24">
        <f>IFERROR(INDEX(FILTER(tbl_Lots[LotNumber],tbl_Lots[PN]=$A$41,""),2,1),"")</f>
        <v/>
      </c>
      <c r="C45" s="25">
        <f>IFERROR(INDEX(FILTER(tbl_Lots[ExpirationDate],tbl_Lots[PN]=$A$41,""),2,1),"")</f>
        <v/>
      </c>
      <c r="D45" s="26">
        <f>IFERROR(INDEX(FILTER(tbl_Lots[Qty],tbl_Lots[PN]=$A$41,""),2,1),"")</f>
        <v/>
      </c>
      <c r="E45" s="27">
        <f>IFERROR(INDEX(FILTER(tbl_Lots[LatestInventory],tbl_Lots[PN]=$A$41,""),2,1),"")</f>
        <v/>
      </c>
      <c r="F45" s="28">
        <f>IF(C45="","",C45-TODAY())</f>
        <v/>
      </c>
      <c r="G45" s="29">
        <f>IF(C45="","",IF(C45&lt;TODAY(),"EXPIRED",IF(C45&lt;TODAY()+60,"&lt; 60 days","OK")))</f>
        <v/>
      </c>
    </row>
    <row r="46" ht="17" customHeight="1">
      <c r="A46" s="16" t="n"/>
      <c r="B46" s="17">
        <f>IFERROR(INDEX(FILTER(tbl_Lots[LotNumber],tbl_Lots[PN]=$A$41,""),3,1),"")</f>
        <v/>
      </c>
      <c r="C46" s="18">
        <f>IFERROR(INDEX(FILTER(tbl_Lots[ExpirationDate],tbl_Lots[PN]=$A$41,""),3,1),"")</f>
        <v/>
      </c>
      <c r="D46" s="19">
        <f>IFERROR(INDEX(FILTER(tbl_Lots[Qty],tbl_Lots[PN]=$A$41,""),3,1),"")</f>
        <v/>
      </c>
      <c r="E46" s="20">
        <f>IFERROR(INDEX(FILTER(tbl_Lots[LatestInventory],tbl_Lots[PN]=$A$41,""),3,1),"")</f>
        <v/>
      </c>
      <c r="F46" s="21">
        <f>IF(C46="","",C46-TODAY())</f>
        <v/>
      </c>
      <c r="G46" s="22">
        <f>IF(C46="","",IF(C46&lt;TODAY(),"EXPIRED",IF(C46&lt;TODAY()+60,"&lt; 60 days","OK")))</f>
        <v/>
      </c>
    </row>
    <row r="47" ht="17" customHeight="1">
      <c r="A47" s="23" t="n"/>
      <c r="B47" s="24">
        <f>IFERROR(INDEX(FILTER(tbl_Lots[LotNumber],tbl_Lots[PN]=$A$41,""),4,1),"")</f>
        <v/>
      </c>
      <c r="C47" s="25">
        <f>IFERROR(INDEX(FILTER(tbl_Lots[ExpirationDate],tbl_Lots[PN]=$A$41,""),4,1),"")</f>
        <v/>
      </c>
      <c r="D47" s="26">
        <f>IFERROR(INDEX(FILTER(tbl_Lots[Qty],tbl_Lots[PN]=$A$41,""),4,1),"")</f>
        <v/>
      </c>
      <c r="E47" s="27">
        <f>IFERROR(INDEX(FILTER(tbl_Lots[LatestInventory],tbl_Lots[PN]=$A$41,""),4,1),"")</f>
        <v/>
      </c>
      <c r="F47" s="28">
        <f>IF(C47="","",C47-TODAY())</f>
        <v/>
      </c>
      <c r="G47" s="29">
        <f>IF(C47="","",IF(C47&lt;TODAY(),"EXPIRED",IF(C47&lt;TODAY()+60,"&lt; 60 days","OK")))</f>
        <v/>
      </c>
    </row>
    <row r="48" ht="17" customHeight="1">
      <c r="A48" s="16" t="n"/>
      <c r="B48" s="17">
        <f>IFERROR(INDEX(FILTER(tbl_Lots[LotNumber],tbl_Lots[PN]=$A$41,""),5,1),"")</f>
        <v/>
      </c>
      <c r="C48" s="18">
        <f>IFERROR(INDEX(FILTER(tbl_Lots[ExpirationDate],tbl_Lots[PN]=$A$41,""),5,1),"")</f>
        <v/>
      </c>
      <c r="D48" s="19">
        <f>IFERROR(INDEX(FILTER(tbl_Lots[Qty],tbl_Lots[PN]=$A$41,""),5,1),"")</f>
        <v/>
      </c>
      <c r="E48" s="20">
        <f>IFERROR(INDEX(FILTER(tbl_Lots[LatestInventory],tbl_Lots[PN]=$A$41,""),5,1),"")</f>
        <v/>
      </c>
      <c r="F48" s="21">
        <f>IF(C48="","",C48-TODAY())</f>
        <v/>
      </c>
      <c r="G48" s="22">
        <f>IF(C48="","",IF(C48&lt;TODAY(),"EXPIRED",IF(C48&lt;TODAY()+60,"&lt; 60 days","OK")))</f>
        <v/>
      </c>
    </row>
    <row r="49" ht="17" customHeight="1">
      <c r="A49" s="23" t="n"/>
      <c r="B49" s="24">
        <f>IFERROR(INDEX(FILTER(tbl_Lots[LotNumber],tbl_Lots[PN]=$A$41,""),6,1),"")</f>
        <v/>
      </c>
      <c r="C49" s="25">
        <f>IFERROR(INDEX(FILTER(tbl_Lots[ExpirationDate],tbl_Lots[PN]=$A$41,""),6,1),"")</f>
        <v/>
      </c>
      <c r="D49" s="26">
        <f>IFERROR(INDEX(FILTER(tbl_Lots[Qty],tbl_Lots[PN]=$A$41,""),6,1),"")</f>
        <v/>
      </c>
      <c r="E49" s="27">
        <f>IFERROR(INDEX(FILTER(tbl_Lots[LatestInventory],tbl_Lots[PN]=$A$41,""),6,1),"")</f>
        <v/>
      </c>
      <c r="F49" s="28">
        <f>IF(C49="","",C49-TODAY())</f>
        <v/>
      </c>
      <c r="G49" s="29">
        <f>IF(C49="","",IF(C49&lt;TODAY(),"EXPIRED",IF(C49&lt;TODAY()+60,"&lt; 60 days","OK")))</f>
        <v/>
      </c>
    </row>
    <row r="50" ht="17" customHeight="1">
      <c r="A50" s="16" t="n"/>
      <c r="B50" s="17">
        <f>IFERROR(INDEX(FILTER(tbl_Lots[LotNumber],tbl_Lots[PN]=$A$41,""),7,1),"")</f>
        <v/>
      </c>
      <c r="C50" s="18">
        <f>IFERROR(INDEX(FILTER(tbl_Lots[ExpirationDate],tbl_Lots[PN]=$A$41,""),7,1),"")</f>
        <v/>
      </c>
      <c r="D50" s="19">
        <f>IFERROR(INDEX(FILTER(tbl_Lots[Qty],tbl_Lots[PN]=$A$41,""),7,1),"")</f>
        <v/>
      </c>
      <c r="E50" s="20">
        <f>IFERROR(INDEX(FILTER(tbl_Lots[LatestInventory],tbl_Lots[PN]=$A$41,""),7,1),"")</f>
        <v/>
      </c>
      <c r="F50" s="21">
        <f>IF(C50="","",C50-TODAY())</f>
        <v/>
      </c>
      <c r="G50" s="22">
        <f>IF(C50="","",IF(C50&lt;TODAY(),"EXPIRED",IF(C50&lt;TODAY()+60,"&lt; 60 days","OK")))</f>
        <v/>
      </c>
    </row>
    <row r="51" ht="17" customHeight="1">
      <c r="A51" s="23" t="n"/>
      <c r="B51" s="24">
        <f>IFERROR(INDEX(FILTER(tbl_Lots[LotNumber],tbl_Lots[PN]=$A$41,""),8,1),"")</f>
        <v/>
      </c>
      <c r="C51" s="25">
        <f>IFERROR(INDEX(FILTER(tbl_Lots[ExpirationDate],tbl_Lots[PN]=$A$41,""),8,1),"")</f>
        <v/>
      </c>
      <c r="D51" s="26">
        <f>IFERROR(INDEX(FILTER(tbl_Lots[Qty],tbl_Lots[PN]=$A$41,""),8,1),"")</f>
        <v/>
      </c>
      <c r="E51" s="27">
        <f>IFERROR(INDEX(FILTER(tbl_Lots[LatestInventory],tbl_Lots[PN]=$A$41,""),8,1),"")</f>
        <v/>
      </c>
      <c r="F51" s="28">
        <f>IF(C51="","",C51-TODAY())</f>
        <v/>
      </c>
      <c r="G51" s="29">
        <f>IF(C51="","",IF(C51&lt;TODAY(),"EXPIRED",IF(C51&lt;TODAY()+60,"&lt; 60 days","OK")))</f>
        <v/>
      </c>
    </row>
    <row r="52" ht="14" customHeight="1">
      <c r="A52" s="30" t="n"/>
      <c r="B52" s="31">
        <f>IF(ISNUMBER(COUNTIF(tbl_Lots[PN],$A$41)),IF(COUNTIF(tbl_Lots[PN],$A$41)&gt;8,"  WARNING: "&amp;(COUNTIF(tbl_Lots[PN],$A$41)-8)&amp;" more lot(s) not shown - extend block",""),"")</f>
        <v/>
      </c>
    </row>
    <row r="53" ht="8" customHeight="1">
      <c r="A53" s="16" t="n"/>
      <c r="B53" s="16" t="n"/>
      <c r="C53" s="16" t="n"/>
      <c r="D53" s="16" t="n"/>
      <c r="E53" s="16" t="n"/>
      <c r="F53" s="16" t="n"/>
      <c r="G53" s="16" t="n"/>
    </row>
  </sheetData>
  <mergeCells count="9">
    <mergeCell ref="F3:G3"/>
    <mergeCell ref="A1:G1"/>
    <mergeCell ref="F29:G29"/>
    <mergeCell ref="F16:G16"/>
    <mergeCell ref="B26:G26"/>
    <mergeCell ref="F42:G42"/>
    <mergeCell ref="B13:G13"/>
    <mergeCell ref="B52:G52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conditionalFormatting sqref="C44:C51">
    <cfRule type="expression" priority="19" dxfId="0">
      <formula>AND(C44&lt;&gt;"",C44&lt;TODAY())</formula>
    </cfRule>
    <cfRule type="expression" priority="20" dxfId="1">
      <formula>AND(C44&lt;&gt;"",C44&gt;=TODAY(),C44&lt;TODAY()+60)</formula>
    </cfRule>
    <cfRule type="expression" priority="21" dxfId="2">
      <formula>AND(C44&lt;&gt;"",C44&gt;=TODAY()+60)</formula>
    </cfRule>
  </conditionalFormatting>
  <conditionalFormatting sqref="G44:G51">
    <cfRule type="expression" priority="22" dxfId="0">
      <formula>G44="EXPIRED"</formula>
    </cfRule>
    <cfRule type="expression" priority="23" dxfId="1">
      <formula>G44="&lt; 60 days"</formula>
    </cfRule>
    <cfRule type="expression" priority="24" dxfId="2">
      <formula>G44="OK"</formula>
    </cfRule>
  </conditionalFormatting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G40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HBV VL</t>
        </is>
      </c>
    </row>
    <row r="2" ht="20" customHeight="1">
      <c r="A2" s="8" t="inlineStr">
        <is>
          <t>525-00071</t>
        </is>
      </c>
      <c r="B2" s="9" t="inlineStr">
        <is>
          <t>HBV PC High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POS IPT -20 frys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525-00072</t>
        </is>
      </c>
      <c r="B15" s="9" t="inlineStr">
        <is>
          <t>HBV PC Low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-20 frys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525-00114</t>
        </is>
      </c>
      <c r="B28" s="9" t="inlineStr">
        <is>
          <t>Serum HBV NTC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POS IPT -20 frys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</sheetData>
  <mergeCells count="7">
    <mergeCell ref="F3:G3"/>
    <mergeCell ref="A1:G1"/>
    <mergeCell ref="F29:G29"/>
    <mergeCell ref="F16:G16"/>
    <mergeCell ref="B26:G26"/>
    <mergeCell ref="B13:G13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G40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HCV VL</t>
        </is>
      </c>
    </row>
    <row r="2" ht="20" customHeight="1">
      <c r="A2" s="8" t="inlineStr">
        <is>
          <t>525-00033</t>
        </is>
      </c>
      <c r="B2" s="9" t="inlineStr">
        <is>
          <t>HIV/HCV negative control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NEG IPT -80 frys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525-00035</t>
        </is>
      </c>
      <c r="B15" s="9" t="inlineStr">
        <is>
          <t>HCV Quant low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-80 frys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525-00036</t>
        </is>
      </c>
      <c r="B28" s="9" t="inlineStr">
        <is>
          <t>HCV Quant high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POS IPT -80 frys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</sheetData>
  <mergeCells count="7">
    <mergeCell ref="F3:G3"/>
    <mergeCell ref="A1:G1"/>
    <mergeCell ref="F29:G29"/>
    <mergeCell ref="F16:G16"/>
    <mergeCell ref="B26:G26"/>
    <mergeCell ref="B13:G13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G40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HCV VL FS</t>
        </is>
      </c>
    </row>
    <row r="2" ht="20" customHeight="1">
      <c r="A2" s="8" t="inlineStr">
        <is>
          <t>525-00103</t>
        </is>
      </c>
      <c r="B2" s="9" t="inlineStr">
        <is>
          <t>FS HCV Low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POS IPT -80 frys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525-00104</t>
        </is>
      </c>
      <c r="B15" s="9" t="inlineStr">
        <is>
          <t>FS HCV High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-80 frys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525-00113</t>
        </is>
      </c>
      <c r="B28" s="9" t="inlineStr">
        <is>
          <t>EDTA Human Whole Blood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NEG IPT kylskåp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</sheetData>
  <mergeCells count="7">
    <mergeCell ref="F3:G3"/>
    <mergeCell ref="A1:G1"/>
    <mergeCell ref="F29:G29"/>
    <mergeCell ref="F16:G16"/>
    <mergeCell ref="B26:G26"/>
    <mergeCell ref="B13:G13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G40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HIV VL</t>
        </is>
      </c>
    </row>
    <row r="2" ht="20" customHeight="1">
      <c r="A2" s="8" t="inlineStr">
        <is>
          <t>525-00017</t>
        </is>
      </c>
      <c r="B2" s="9" t="inlineStr">
        <is>
          <t>HIV LOW positive control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POS IPT -80 frys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525-00018</t>
        </is>
      </c>
      <c r="B15" s="9" t="inlineStr">
        <is>
          <t>HIV HIGH positive control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-80 frys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525-00033</t>
        </is>
      </c>
      <c r="B28" s="9" t="inlineStr">
        <is>
          <t>HIV/HCV negative control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NEG IPT -80 frys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</sheetData>
  <mergeCells count="7">
    <mergeCell ref="F3:G3"/>
    <mergeCell ref="A1:G1"/>
    <mergeCell ref="F29:G29"/>
    <mergeCell ref="F16:G16"/>
    <mergeCell ref="B26:G26"/>
    <mergeCell ref="B13:G13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pageMargins left="0.75" right="0.75" top="1" bottom="1" header="0.5" footer="0.5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G40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HIV VL XC</t>
        </is>
      </c>
    </row>
    <row r="2" ht="20" customHeight="1">
      <c r="A2" s="8" t="inlineStr">
        <is>
          <t>525-00033</t>
        </is>
      </c>
      <c r="B2" s="9" t="inlineStr">
        <is>
          <t>HIV/HCV negative control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NEG IPT -80 frys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525-00120</t>
        </is>
      </c>
      <c r="B15" s="9" t="inlineStr">
        <is>
          <t>HIV VL XC LOW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-80 frys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525-00131</t>
        </is>
      </c>
      <c r="B28" s="9" t="inlineStr">
        <is>
          <t>HIV VL XC HIGH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POS IPT -80 frys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</sheetData>
  <mergeCells count="7">
    <mergeCell ref="F3:G3"/>
    <mergeCell ref="A1:G1"/>
    <mergeCell ref="F29:G29"/>
    <mergeCell ref="F16:G16"/>
    <mergeCell ref="B26:G26"/>
    <mergeCell ref="B13:G13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pageMargins left="0.75" right="0.75" top="1" bottom="1" header="0.5" footer="0.5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G66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HIV QA</t>
        </is>
      </c>
    </row>
    <row r="2" ht="20" customHeight="1">
      <c r="A2" s="8" t="inlineStr">
        <is>
          <t>500-1712</t>
        </is>
      </c>
      <c r="B2" s="9" t="inlineStr">
        <is>
          <t>Lysis Reagent Xpert Virus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SR / TET / MATRIX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525-00021</t>
        </is>
      </c>
      <c r="B15" s="9" t="inlineStr">
        <is>
          <t>HIV Qual Low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-80 frys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525-00022</t>
        </is>
      </c>
      <c r="B28" s="9" t="inlineStr">
        <is>
          <t>HIV Qual High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POS IPT -80 frys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  <row r="41" ht="20" customHeight="1">
      <c r="A41" s="8" t="inlineStr">
        <is>
          <t>525-00038</t>
        </is>
      </c>
      <c r="B41" s="9" t="inlineStr">
        <is>
          <t>EDTA Human Whole Blood (NTC)</t>
        </is>
      </c>
      <c r="C41" s="10" t="n"/>
      <c r="D41" s="10" t="n"/>
      <c r="E41" s="10" t="n"/>
      <c r="F41" s="10" t="n"/>
      <c r="G41" s="10" t="n"/>
    </row>
    <row r="42" ht="16" customHeight="1">
      <c r="A42" s="11" t="n"/>
      <c r="B42" s="12" t="inlineStr">
        <is>
          <t>NEG IPT -80 frys</t>
        </is>
      </c>
      <c r="C42" s="11" t="n"/>
      <c r="D42" s="11" t="n"/>
      <c r="E42" s="11" t="n"/>
      <c r="F42" s="13">
        <f>IFERROR(COUNTIF(tbl_Lots[PN],$A$41)&amp;" active lot(s)  |  max 8 shown","")</f>
        <v/>
      </c>
    </row>
    <row r="43" ht="16" customHeight="1">
      <c r="A43" s="14" t="n"/>
      <c r="B43" s="15" t="inlineStr">
        <is>
          <t>Lot Number</t>
        </is>
      </c>
      <c r="C43" s="15" t="inlineStr">
        <is>
          <t>Expiration Date</t>
        </is>
      </c>
      <c r="D43" s="15" t="inlineStr">
        <is>
          <t>Qty</t>
        </is>
      </c>
      <c r="E43" s="15" t="inlineStr">
        <is>
          <t>Last Inventory</t>
        </is>
      </c>
      <c r="F43" s="15" t="inlineStr">
        <is>
          <t>Days Left</t>
        </is>
      </c>
      <c r="G43" s="15" t="inlineStr">
        <is>
          <t>Status</t>
        </is>
      </c>
    </row>
    <row r="44" ht="17" customHeight="1">
      <c r="A44" s="16" t="n"/>
      <c r="B44" s="17">
        <f>IFERROR(INDEX(FILTER(tbl_Lots[LotNumber],tbl_Lots[PN]=$A$41,""),1,1),"")</f>
        <v/>
      </c>
      <c r="C44" s="18">
        <f>IFERROR(INDEX(FILTER(tbl_Lots[ExpirationDate],tbl_Lots[PN]=$A$41,""),1,1),"")</f>
        <v/>
      </c>
      <c r="D44" s="19">
        <f>IFERROR(INDEX(FILTER(tbl_Lots[Qty],tbl_Lots[PN]=$A$41,""),1,1),"")</f>
        <v/>
      </c>
      <c r="E44" s="20">
        <f>IFERROR(INDEX(FILTER(tbl_Lots[LatestInventory],tbl_Lots[PN]=$A$41,""),1,1),"")</f>
        <v/>
      </c>
      <c r="F44" s="21">
        <f>IF(C44="","",C44-TODAY())</f>
        <v/>
      </c>
      <c r="G44" s="22">
        <f>IF(C44="","",IF(C44&lt;TODAY(),"EXPIRED",IF(C44&lt;TODAY()+60,"&lt; 60 days","OK")))</f>
        <v/>
      </c>
    </row>
    <row r="45" ht="17" customHeight="1">
      <c r="A45" s="23" t="n"/>
      <c r="B45" s="24">
        <f>IFERROR(INDEX(FILTER(tbl_Lots[LotNumber],tbl_Lots[PN]=$A$41,""),2,1),"")</f>
        <v/>
      </c>
      <c r="C45" s="25">
        <f>IFERROR(INDEX(FILTER(tbl_Lots[ExpirationDate],tbl_Lots[PN]=$A$41,""),2,1),"")</f>
        <v/>
      </c>
      <c r="D45" s="26">
        <f>IFERROR(INDEX(FILTER(tbl_Lots[Qty],tbl_Lots[PN]=$A$41,""),2,1),"")</f>
        <v/>
      </c>
      <c r="E45" s="27">
        <f>IFERROR(INDEX(FILTER(tbl_Lots[LatestInventory],tbl_Lots[PN]=$A$41,""),2,1),"")</f>
        <v/>
      </c>
      <c r="F45" s="28">
        <f>IF(C45="","",C45-TODAY())</f>
        <v/>
      </c>
      <c r="G45" s="29">
        <f>IF(C45="","",IF(C45&lt;TODAY(),"EXPIRED",IF(C45&lt;TODAY()+60,"&lt; 60 days","OK")))</f>
        <v/>
      </c>
    </row>
    <row r="46" ht="17" customHeight="1">
      <c r="A46" s="16" t="n"/>
      <c r="B46" s="17">
        <f>IFERROR(INDEX(FILTER(tbl_Lots[LotNumber],tbl_Lots[PN]=$A$41,""),3,1),"")</f>
        <v/>
      </c>
      <c r="C46" s="18">
        <f>IFERROR(INDEX(FILTER(tbl_Lots[ExpirationDate],tbl_Lots[PN]=$A$41,""),3,1),"")</f>
        <v/>
      </c>
      <c r="D46" s="19">
        <f>IFERROR(INDEX(FILTER(tbl_Lots[Qty],tbl_Lots[PN]=$A$41,""),3,1),"")</f>
        <v/>
      </c>
      <c r="E46" s="20">
        <f>IFERROR(INDEX(FILTER(tbl_Lots[LatestInventory],tbl_Lots[PN]=$A$41,""),3,1),"")</f>
        <v/>
      </c>
      <c r="F46" s="21">
        <f>IF(C46="","",C46-TODAY())</f>
        <v/>
      </c>
      <c r="G46" s="22">
        <f>IF(C46="","",IF(C46&lt;TODAY(),"EXPIRED",IF(C46&lt;TODAY()+60,"&lt; 60 days","OK")))</f>
        <v/>
      </c>
    </row>
    <row r="47" ht="17" customHeight="1">
      <c r="A47" s="23" t="n"/>
      <c r="B47" s="24">
        <f>IFERROR(INDEX(FILTER(tbl_Lots[LotNumber],tbl_Lots[PN]=$A$41,""),4,1),"")</f>
        <v/>
      </c>
      <c r="C47" s="25">
        <f>IFERROR(INDEX(FILTER(tbl_Lots[ExpirationDate],tbl_Lots[PN]=$A$41,""),4,1),"")</f>
        <v/>
      </c>
      <c r="D47" s="26">
        <f>IFERROR(INDEX(FILTER(tbl_Lots[Qty],tbl_Lots[PN]=$A$41,""),4,1),"")</f>
        <v/>
      </c>
      <c r="E47" s="27">
        <f>IFERROR(INDEX(FILTER(tbl_Lots[LatestInventory],tbl_Lots[PN]=$A$41,""),4,1),"")</f>
        <v/>
      </c>
      <c r="F47" s="28">
        <f>IF(C47="","",C47-TODAY())</f>
        <v/>
      </c>
      <c r="G47" s="29">
        <f>IF(C47="","",IF(C47&lt;TODAY(),"EXPIRED",IF(C47&lt;TODAY()+60,"&lt; 60 days","OK")))</f>
        <v/>
      </c>
    </row>
    <row r="48" ht="17" customHeight="1">
      <c r="A48" s="16" t="n"/>
      <c r="B48" s="17">
        <f>IFERROR(INDEX(FILTER(tbl_Lots[LotNumber],tbl_Lots[PN]=$A$41,""),5,1),"")</f>
        <v/>
      </c>
      <c r="C48" s="18">
        <f>IFERROR(INDEX(FILTER(tbl_Lots[ExpirationDate],tbl_Lots[PN]=$A$41,""),5,1),"")</f>
        <v/>
      </c>
      <c r="D48" s="19">
        <f>IFERROR(INDEX(FILTER(tbl_Lots[Qty],tbl_Lots[PN]=$A$41,""),5,1),"")</f>
        <v/>
      </c>
      <c r="E48" s="20">
        <f>IFERROR(INDEX(FILTER(tbl_Lots[LatestInventory],tbl_Lots[PN]=$A$41,""),5,1),"")</f>
        <v/>
      </c>
      <c r="F48" s="21">
        <f>IF(C48="","",C48-TODAY())</f>
        <v/>
      </c>
      <c r="G48" s="22">
        <f>IF(C48="","",IF(C48&lt;TODAY(),"EXPIRED",IF(C48&lt;TODAY()+60,"&lt; 60 days","OK")))</f>
        <v/>
      </c>
    </row>
    <row r="49" ht="17" customHeight="1">
      <c r="A49" s="23" t="n"/>
      <c r="B49" s="24">
        <f>IFERROR(INDEX(FILTER(tbl_Lots[LotNumber],tbl_Lots[PN]=$A$41,""),6,1),"")</f>
        <v/>
      </c>
      <c r="C49" s="25">
        <f>IFERROR(INDEX(FILTER(tbl_Lots[ExpirationDate],tbl_Lots[PN]=$A$41,""),6,1),"")</f>
        <v/>
      </c>
      <c r="D49" s="26">
        <f>IFERROR(INDEX(FILTER(tbl_Lots[Qty],tbl_Lots[PN]=$A$41,""),6,1),"")</f>
        <v/>
      </c>
      <c r="E49" s="27">
        <f>IFERROR(INDEX(FILTER(tbl_Lots[LatestInventory],tbl_Lots[PN]=$A$41,""),6,1),"")</f>
        <v/>
      </c>
      <c r="F49" s="28">
        <f>IF(C49="","",C49-TODAY())</f>
        <v/>
      </c>
      <c r="G49" s="29">
        <f>IF(C49="","",IF(C49&lt;TODAY(),"EXPIRED",IF(C49&lt;TODAY()+60,"&lt; 60 days","OK")))</f>
        <v/>
      </c>
    </row>
    <row r="50" ht="17" customHeight="1">
      <c r="A50" s="16" t="n"/>
      <c r="B50" s="17">
        <f>IFERROR(INDEX(FILTER(tbl_Lots[LotNumber],tbl_Lots[PN]=$A$41,""),7,1),"")</f>
        <v/>
      </c>
      <c r="C50" s="18">
        <f>IFERROR(INDEX(FILTER(tbl_Lots[ExpirationDate],tbl_Lots[PN]=$A$41,""),7,1),"")</f>
        <v/>
      </c>
      <c r="D50" s="19">
        <f>IFERROR(INDEX(FILTER(tbl_Lots[Qty],tbl_Lots[PN]=$A$41,""),7,1),"")</f>
        <v/>
      </c>
      <c r="E50" s="20">
        <f>IFERROR(INDEX(FILTER(tbl_Lots[LatestInventory],tbl_Lots[PN]=$A$41,""),7,1),"")</f>
        <v/>
      </c>
      <c r="F50" s="21">
        <f>IF(C50="","",C50-TODAY())</f>
        <v/>
      </c>
      <c r="G50" s="22">
        <f>IF(C50="","",IF(C50&lt;TODAY(),"EXPIRED",IF(C50&lt;TODAY()+60,"&lt; 60 days","OK")))</f>
        <v/>
      </c>
    </row>
    <row r="51" ht="17" customHeight="1">
      <c r="A51" s="23" t="n"/>
      <c r="B51" s="24">
        <f>IFERROR(INDEX(FILTER(tbl_Lots[LotNumber],tbl_Lots[PN]=$A$41,""),8,1),"")</f>
        <v/>
      </c>
      <c r="C51" s="25">
        <f>IFERROR(INDEX(FILTER(tbl_Lots[ExpirationDate],tbl_Lots[PN]=$A$41,""),8,1),"")</f>
        <v/>
      </c>
      <c r="D51" s="26">
        <f>IFERROR(INDEX(FILTER(tbl_Lots[Qty],tbl_Lots[PN]=$A$41,""),8,1),"")</f>
        <v/>
      </c>
      <c r="E51" s="27">
        <f>IFERROR(INDEX(FILTER(tbl_Lots[LatestInventory],tbl_Lots[PN]=$A$41,""),8,1),"")</f>
        <v/>
      </c>
      <c r="F51" s="28">
        <f>IF(C51="","",C51-TODAY())</f>
        <v/>
      </c>
      <c r="G51" s="29">
        <f>IF(C51="","",IF(C51&lt;TODAY(),"EXPIRED",IF(C51&lt;TODAY()+60,"&lt; 60 days","OK")))</f>
        <v/>
      </c>
    </row>
    <row r="52" ht="14" customHeight="1">
      <c r="A52" s="30" t="n"/>
      <c r="B52" s="31">
        <f>IF(ISNUMBER(COUNTIF(tbl_Lots[PN],$A$41)),IF(COUNTIF(tbl_Lots[PN],$A$41)&gt;8,"  WARNING: "&amp;(COUNTIF(tbl_Lots[PN],$A$41)-8)&amp;" more lot(s) not shown - extend block",""),"")</f>
        <v/>
      </c>
    </row>
    <row r="53" ht="8" customHeight="1">
      <c r="A53" s="16" t="n"/>
      <c r="B53" s="16" t="n"/>
      <c r="C53" s="16" t="n"/>
      <c r="D53" s="16" t="n"/>
      <c r="E53" s="16" t="n"/>
      <c r="F53" s="16" t="n"/>
      <c r="G53" s="16" t="n"/>
    </row>
    <row r="54" ht="20" customHeight="1">
      <c r="A54" s="8" t="inlineStr">
        <is>
          <t>525-00327</t>
        </is>
      </c>
      <c r="B54" s="9" t="inlineStr">
        <is>
          <t>EDTA Human Whole Blood (NTC) v2</t>
        </is>
      </c>
      <c r="C54" s="10" t="n"/>
      <c r="D54" s="10" t="n"/>
      <c r="E54" s="10" t="n"/>
      <c r="F54" s="10" t="n"/>
      <c r="G54" s="10" t="n"/>
    </row>
    <row r="55" ht="16" customHeight="1">
      <c r="A55" s="11" t="n"/>
      <c r="B55" s="12" t="inlineStr">
        <is>
          <t>NEG IPT -80 frys</t>
        </is>
      </c>
      <c r="C55" s="11" t="n"/>
      <c r="D55" s="11" t="n"/>
      <c r="E55" s="11" t="n"/>
      <c r="F55" s="13">
        <f>IFERROR(COUNTIF(tbl_Lots[PN],$A$54)&amp;" active lot(s)  |  max 8 shown","")</f>
        <v/>
      </c>
    </row>
    <row r="56" ht="16" customHeight="1">
      <c r="A56" s="14" t="n"/>
      <c r="B56" s="15" t="inlineStr">
        <is>
          <t>Lot Number</t>
        </is>
      </c>
      <c r="C56" s="15" t="inlineStr">
        <is>
          <t>Expiration Date</t>
        </is>
      </c>
      <c r="D56" s="15" t="inlineStr">
        <is>
          <t>Qty</t>
        </is>
      </c>
      <c r="E56" s="15" t="inlineStr">
        <is>
          <t>Last Inventory</t>
        </is>
      </c>
      <c r="F56" s="15" t="inlineStr">
        <is>
          <t>Days Left</t>
        </is>
      </c>
      <c r="G56" s="15" t="inlineStr">
        <is>
          <t>Status</t>
        </is>
      </c>
    </row>
    <row r="57" ht="17" customHeight="1">
      <c r="A57" s="16" t="n"/>
      <c r="B57" s="17">
        <f>IFERROR(INDEX(FILTER(tbl_Lots[LotNumber],tbl_Lots[PN]=$A$54,""),1,1),"")</f>
        <v/>
      </c>
      <c r="C57" s="18">
        <f>IFERROR(INDEX(FILTER(tbl_Lots[ExpirationDate],tbl_Lots[PN]=$A$54,""),1,1),"")</f>
        <v/>
      </c>
      <c r="D57" s="19">
        <f>IFERROR(INDEX(FILTER(tbl_Lots[Qty],tbl_Lots[PN]=$A$54,""),1,1),"")</f>
        <v/>
      </c>
      <c r="E57" s="20">
        <f>IFERROR(INDEX(FILTER(tbl_Lots[LatestInventory],tbl_Lots[PN]=$A$54,""),1,1),"")</f>
        <v/>
      </c>
      <c r="F57" s="21">
        <f>IF(C57="","",C57-TODAY())</f>
        <v/>
      </c>
      <c r="G57" s="22">
        <f>IF(C57="","",IF(C57&lt;TODAY(),"EXPIRED",IF(C57&lt;TODAY()+60,"&lt; 60 days","OK")))</f>
        <v/>
      </c>
    </row>
    <row r="58" ht="17" customHeight="1">
      <c r="A58" s="23" t="n"/>
      <c r="B58" s="24">
        <f>IFERROR(INDEX(FILTER(tbl_Lots[LotNumber],tbl_Lots[PN]=$A$54,""),2,1),"")</f>
        <v/>
      </c>
      <c r="C58" s="25">
        <f>IFERROR(INDEX(FILTER(tbl_Lots[ExpirationDate],tbl_Lots[PN]=$A$54,""),2,1),"")</f>
        <v/>
      </c>
      <c r="D58" s="26">
        <f>IFERROR(INDEX(FILTER(tbl_Lots[Qty],tbl_Lots[PN]=$A$54,""),2,1),"")</f>
        <v/>
      </c>
      <c r="E58" s="27">
        <f>IFERROR(INDEX(FILTER(tbl_Lots[LatestInventory],tbl_Lots[PN]=$A$54,""),2,1),"")</f>
        <v/>
      </c>
      <c r="F58" s="28">
        <f>IF(C58="","",C58-TODAY())</f>
        <v/>
      </c>
      <c r="G58" s="29">
        <f>IF(C58="","",IF(C58&lt;TODAY(),"EXPIRED",IF(C58&lt;TODAY()+60,"&lt; 60 days","OK")))</f>
        <v/>
      </c>
    </row>
    <row r="59" ht="17" customHeight="1">
      <c r="A59" s="16" t="n"/>
      <c r="B59" s="17">
        <f>IFERROR(INDEX(FILTER(tbl_Lots[LotNumber],tbl_Lots[PN]=$A$54,""),3,1),"")</f>
        <v/>
      </c>
      <c r="C59" s="18">
        <f>IFERROR(INDEX(FILTER(tbl_Lots[ExpirationDate],tbl_Lots[PN]=$A$54,""),3,1),"")</f>
        <v/>
      </c>
      <c r="D59" s="19">
        <f>IFERROR(INDEX(FILTER(tbl_Lots[Qty],tbl_Lots[PN]=$A$54,""),3,1),"")</f>
        <v/>
      </c>
      <c r="E59" s="20">
        <f>IFERROR(INDEX(FILTER(tbl_Lots[LatestInventory],tbl_Lots[PN]=$A$54,""),3,1),"")</f>
        <v/>
      </c>
      <c r="F59" s="21">
        <f>IF(C59="","",C59-TODAY())</f>
        <v/>
      </c>
      <c r="G59" s="22">
        <f>IF(C59="","",IF(C59&lt;TODAY(),"EXPIRED",IF(C59&lt;TODAY()+60,"&lt; 60 days","OK")))</f>
        <v/>
      </c>
    </row>
    <row r="60" ht="17" customHeight="1">
      <c r="A60" s="23" t="n"/>
      <c r="B60" s="24">
        <f>IFERROR(INDEX(FILTER(tbl_Lots[LotNumber],tbl_Lots[PN]=$A$54,""),4,1),"")</f>
        <v/>
      </c>
      <c r="C60" s="25">
        <f>IFERROR(INDEX(FILTER(tbl_Lots[ExpirationDate],tbl_Lots[PN]=$A$54,""),4,1),"")</f>
        <v/>
      </c>
      <c r="D60" s="26">
        <f>IFERROR(INDEX(FILTER(tbl_Lots[Qty],tbl_Lots[PN]=$A$54,""),4,1),"")</f>
        <v/>
      </c>
      <c r="E60" s="27">
        <f>IFERROR(INDEX(FILTER(tbl_Lots[LatestInventory],tbl_Lots[PN]=$A$54,""),4,1),"")</f>
        <v/>
      </c>
      <c r="F60" s="28">
        <f>IF(C60="","",C60-TODAY())</f>
        <v/>
      </c>
      <c r="G60" s="29">
        <f>IF(C60="","",IF(C60&lt;TODAY(),"EXPIRED",IF(C60&lt;TODAY()+60,"&lt; 60 days","OK")))</f>
        <v/>
      </c>
    </row>
    <row r="61" ht="17" customHeight="1">
      <c r="A61" s="16" t="n"/>
      <c r="B61" s="17">
        <f>IFERROR(INDEX(FILTER(tbl_Lots[LotNumber],tbl_Lots[PN]=$A$54,""),5,1),"")</f>
        <v/>
      </c>
      <c r="C61" s="18">
        <f>IFERROR(INDEX(FILTER(tbl_Lots[ExpirationDate],tbl_Lots[PN]=$A$54,""),5,1),"")</f>
        <v/>
      </c>
      <c r="D61" s="19">
        <f>IFERROR(INDEX(FILTER(tbl_Lots[Qty],tbl_Lots[PN]=$A$54,""),5,1),"")</f>
        <v/>
      </c>
      <c r="E61" s="20">
        <f>IFERROR(INDEX(FILTER(tbl_Lots[LatestInventory],tbl_Lots[PN]=$A$54,""),5,1),"")</f>
        <v/>
      </c>
      <c r="F61" s="21">
        <f>IF(C61="","",C61-TODAY())</f>
        <v/>
      </c>
      <c r="G61" s="22">
        <f>IF(C61="","",IF(C61&lt;TODAY(),"EXPIRED",IF(C61&lt;TODAY()+60,"&lt; 60 days","OK")))</f>
        <v/>
      </c>
    </row>
    <row r="62" ht="17" customHeight="1">
      <c r="A62" s="23" t="n"/>
      <c r="B62" s="24">
        <f>IFERROR(INDEX(FILTER(tbl_Lots[LotNumber],tbl_Lots[PN]=$A$54,""),6,1),"")</f>
        <v/>
      </c>
      <c r="C62" s="25">
        <f>IFERROR(INDEX(FILTER(tbl_Lots[ExpirationDate],tbl_Lots[PN]=$A$54,""),6,1),"")</f>
        <v/>
      </c>
      <c r="D62" s="26">
        <f>IFERROR(INDEX(FILTER(tbl_Lots[Qty],tbl_Lots[PN]=$A$54,""),6,1),"")</f>
        <v/>
      </c>
      <c r="E62" s="27">
        <f>IFERROR(INDEX(FILTER(tbl_Lots[LatestInventory],tbl_Lots[PN]=$A$54,""),6,1),"")</f>
        <v/>
      </c>
      <c r="F62" s="28">
        <f>IF(C62="","",C62-TODAY())</f>
        <v/>
      </c>
      <c r="G62" s="29">
        <f>IF(C62="","",IF(C62&lt;TODAY(),"EXPIRED",IF(C62&lt;TODAY()+60,"&lt; 60 days","OK")))</f>
        <v/>
      </c>
    </row>
    <row r="63" ht="17" customHeight="1">
      <c r="A63" s="16" t="n"/>
      <c r="B63" s="17">
        <f>IFERROR(INDEX(FILTER(tbl_Lots[LotNumber],tbl_Lots[PN]=$A$54,""),7,1),"")</f>
        <v/>
      </c>
      <c r="C63" s="18">
        <f>IFERROR(INDEX(FILTER(tbl_Lots[ExpirationDate],tbl_Lots[PN]=$A$54,""),7,1),"")</f>
        <v/>
      </c>
      <c r="D63" s="19">
        <f>IFERROR(INDEX(FILTER(tbl_Lots[Qty],tbl_Lots[PN]=$A$54,""),7,1),"")</f>
        <v/>
      </c>
      <c r="E63" s="20">
        <f>IFERROR(INDEX(FILTER(tbl_Lots[LatestInventory],tbl_Lots[PN]=$A$54,""),7,1),"")</f>
        <v/>
      </c>
      <c r="F63" s="21">
        <f>IF(C63="","",C63-TODAY())</f>
        <v/>
      </c>
      <c r="G63" s="22">
        <f>IF(C63="","",IF(C63&lt;TODAY(),"EXPIRED",IF(C63&lt;TODAY()+60,"&lt; 60 days","OK")))</f>
        <v/>
      </c>
    </row>
    <row r="64" ht="17" customHeight="1">
      <c r="A64" s="23" t="n"/>
      <c r="B64" s="24">
        <f>IFERROR(INDEX(FILTER(tbl_Lots[LotNumber],tbl_Lots[PN]=$A$54,""),8,1),"")</f>
        <v/>
      </c>
      <c r="C64" s="25">
        <f>IFERROR(INDEX(FILTER(tbl_Lots[ExpirationDate],tbl_Lots[PN]=$A$54,""),8,1),"")</f>
        <v/>
      </c>
      <c r="D64" s="26">
        <f>IFERROR(INDEX(FILTER(tbl_Lots[Qty],tbl_Lots[PN]=$A$54,""),8,1),"")</f>
        <v/>
      </c>
      <c r="E64" s="27">
        <f>IFERROR(INDEX(FILTER(tbl_Lots[LatestInventory],tbl_Lots[PN]=$A$54,""),8,1),"")</f>
        <v/>
      </c>
      <c r="F64" s="28">
        <f>IF(C64="","",C64-TODAY())</f>
        <v/>
      </c>
      <c r="G64" s="29">
        <f>IF(C64="","",IF(C64&lt;TODAY(),"EXPIRED",IF(C64&lt;TODAY()+60,"&lt; 60 days","OK")))</f>
        <v/>
      </c>
    </row>
    <row r="65" ht="14" customHeight="1">
      <c r="A65" s="30" t="n"/>
      <c r="B65" s="31">
        <f>IF(ISNUMBER(COUNTIF(tbl_Lots[PN],$A$54)),IF(COUNTIF(tbl_Lots[PN],$A$54)&gt;8,"  WARNING: "&amp;(COUNTIF(tbl_Lots[PN],$A$54)-8)&amp;" more lot(s) not shown - extend block",""),"")</f>
        <v/>
      </c>
    </row>
    <row r="66" ht="8" customHeight="1">
      <c r="A66" s="16" t="n"/>
      <c r="B66" s="16" t="n"/>
      <c r="C66" s="16" t="n"/>
      <c r="D66" s="16" t="n"/>
      <c r="E66" s="16" t="n"/>
      <c r="F66" s="16" t="n"/>
      <c r="G66" s="16" t="n"/>
    </row>
  </sheetData>
  <mergeCells count="11">
    <mergeCell ref="F3:G3"/>
    <mergeCell ref="F55:G55"/>
    <mergeCell ref="A1:G1"/>
    <mergeCell ref="F29:G29"/>
    <mergeCell ref="F16:G16"/>
    <mergeCell ref="B65:G65"/>
    <mergeCell ref="B26:G26"/>
    <mergeCell ref="F42:G42"/>
    <mergeCell ref="B13:G13"/>
    <mergeCell ref="B52:G52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conditionalFormatting sqref="C44:C51">
    <cfRule type="expression" priority="19" dxfId="0">
      <formula>AND(C44&lt;&gt;"",C44&lt;TODAY())</formula>
    </cfRule>
    <cfRule type="expression" priority="20" dxfId="1">
      <formula>AND(C44&lt;&gt;"",C44&gt;=TODAY(),C44&lt;TODAY()+60)</formula>
    </cfRule>
    <cfRule type="expression" priority="21" dxfId="2">
      <formula>AND(C44&lt;&gt;"",C44&gt;=TODAY()+60)</formula>
    </cfRule>
  </conditionalFormatting>
  <conditionalFormatting sqref="G44:G51">
    <cfRule type="expression" priority="22" dxfId="0">
      <formula>G44="EXPIRED"</formula>
    </cfRule>
    <cfRule type="expression" priority="23" dxfId="1">
      <formula>G44="&lt; 60 days"</formula>
    </cfRule>
    <cfRule type="expression" priority="24" dxfId="2">
      <formula>G44="OK"</formula>
    </cfRule>
  </conditionalFormatting>
  <conditionalFormatting sqref="C57:C64">
    <cfRule type="expression" priority="25" dxfId="0">
      <formula>AND(C57&lt;&gt;"",C57&lt;TODAY())</formula>
    </cfRule>
    <cfRule type="expression" priority="26" dxfId="1">
      <formula>AND(C57&lt;&gt;"",C57&gt;=TODAY(),C57&lt;TODAY()+60)</formula>
    </cfRule>
    <cfRule type="expression" priority="27" dxfId="2">
      <formula>AND(C57&lt;&gt;"",C57&gt;=TODAY()+60)</formula>
    </cfRule>
  </conditionalFormatting>
  <conditionalFormatting sqref="G57:G64">
    <cfRule type="expression" priority="28" dxfId="0">
      <formula>G57="EXPIRED"</formula>
    </cfRule>
    <cfRule type="expression" priority="29" dxfId="1">
      <formula>G57="&lt; 60 days"</formula>
    </cfRule>
    <cfRule type="expression" priority="30" dxfId="2">
      <formula>G57="OK"</formula>
    </cfRule>
  </conditionalFormatting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27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HIV QA XC</t>
        </is>
      </c>
    </row>
    <row r="2" ht="20" customHeight="1">
      <c r="A2" s="8" t="inlineStr">
        <is>
          <t>525-00113</t>
        </is>
      </c>
      <c r="B2" s="9" t="inlineStr">
        <is>
          <t>EDTA Human Whole Blood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NEG IPT kylskåp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525-00145</t>
        </is>
      </c>
      <c r="B15" s="9" t="inlineStr">
        <is>
          <t>HIV QA XC PC LOW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-80 frys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</sheetData>
  <mergeCells count="5">
    <mergeCell ref="F3:G3"/>
    <mergeCell ref="A1:G1"/>
    <mergeCell ref="F16:G16"/>
    <mergeCell ref="B26:G26"/>
    <mergeCell ref="B13:G13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G27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SARS-COV-2</t>
        </is>
      </c>
    </row>
    <row r="2" ht="20" customHeight="1">
      <c r="A2" s="8" t="inlineStr">
        <is>
          <t>001-1471</t>
        </is>
      </c>
      <c r="B2" s="9" t="inlineStr">
        <is>
          <t>Purified Serum Protein Matrix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SR / TET / MATRIX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525-00163</t>
        </is>
      </c>
      <c r="B15" s="9" t="inlineStr">
        <is>
          <t>SARS-CoV Positive Control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kylskåp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</sheetData>
  <mergeCells count="5">
    <mergeCell ref="F3:G3"/>
    <mergeCell ref="A1:G1"/>
    <mergeCell ref="F16:G16"/>
    <mergeCell ref="B26:G26"/>
    <mergeCell ref="B13:G13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G105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FLU RSV</t>
        </is>
      </c>
    </row>
    <row r="2" ht="20" customHeight="1">
      <c r="A2" s="8" t="inlineStr">
        <is>
          <t>001-1471</t>
        </is>
      </c>
      <c r="B2" s="9" t="inlineStr">
        <is>
          <t>Purified Serum Protein Matrix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SR / TET / MATRIX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500-1509</t>
        </is>
      </c>
      <c r="B15" s="9" t="inlineStr">
        <is>
          <t>VIRUS CVA9 Final Working Stock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NEG IPT -80 frys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525-00096</t>
        </is>
      </c>
      <c r="B28" s="9" t="inlineStr">
        <is>
          <t>FluA High control ALQT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POS IPT kylskåp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  <row r="41" ht="20" customHeight="1">
      <c r="A41" s="8" t="inlineStr">
        <is>
          <t>525-00097</t>
        </is>
      </c>
      <c r="B41" s="9" t="inlineStr">
        <is>
          <t>FluA Low control ALQT</t>
        </is>
      </c>
      <c r="C41" s="10" t="n"/>
      <c r="D41" s="10" t="n"/>
      <c r="E41" s="10" t="n"/>
      <c r="F41" s="10" t="n"/>
      <c r="G41" s="10" t="n"/>
    </row>
    <row r="42" ht="16" customHeight="1">
      <c r="A42" s="11" t="n"/>
      <c r="B42" s="12" t="inlineStr">
        <is>
          <t>POS IPT kylskåp</t>
        </is>
      </c>
      <c r="C42" s="11" t="n"/>
      <c r="D42" s="11" t="n"/>
      <c r="E42" s="11" t="n"/>
      <c r="F42" s="13">
        <f>IFERROR(COUNTIF(tbl_Lots[PN],$A$41)&amp;" active lot(s)  |  max 8 shown","")</f>
        <v/>
      </c>
    </row>
    <row r="43" ht="16" customHeight="1">
      <c r="A43" s="14" t="n"/>
      <c r="B43" s="15" t="inlineStr">
        <is>
          <t>Lot Number</t>
        </is>
      </c>
      <c r="C43" s="15" t="inlineStr">
        <is>
          <t>Expiration Date</t>
        </is>
      </c>
      <c r="D43" s="15" t="inlineStr">
        <is>
          <t>Qty</t>
        </is>
      </c>
      <c r="E43" s="15" t="inlineStr">
        <is>
          <t>Last Inventory</t>
        </is>
      </c>
      <c r="F43" s="15" t="inlineStr">
        <is>
          <t>Days Left</t>
        </is>
      </c>
      <c r="G43" s="15" t="inlineStr">
        <is>
          <t>Status</t>
        </is>
      </c>
    </row>
    <row r="44" ht="17" customHeight="1">
      <c r="A44" s="16" t="n"/>
      <c r="B44" s="17">
        <f>IFERROR(INDEX(FILTER(tbl_Lots[LotNumber],tbl_Lots[PN]=$A$41,""),1,1),"")</f>
        <v/>
      </c>
      <c r="C44" s="18">
        <f>IFERROR(INDEX(FILTER(tbl_Lots[ExpirationDate],tbl_Lots[PN]=$A$41,""),1,1),"")</f>
        <v/>
      </c>
      <c r="D44" s="19">
        <f>IFERROR(INDEX(FILTER(tbl_Lots[Qty],tbl_Lots[PN]=$A$41,""),1,1),"")</f>
        <v/>
      </c>
      <c r="E44" s="20">
        <f>IFERROR(INDEX(FILTER(tbl_Lots[LatestInventory],tbl_Lots[PN]=$A$41,""),1,1),"")</f>
        <v/>
      </c>
      <c r="F44" s="21">
        <f>IF(C44="","",C44-TODAY())</f>
        <v/>
      </c>
      <c r="G44" s="22">
        <f>IF(C44="","",IF(C44&lt;TODAY(),"EXPIRED",IF(C44&lt;TODAY()+60,"&lt; 60 days","OK")))</f>
        <v/>
      </c>
    </row>
    <row r="45" ht="17" customHeight="1">
      <c r="A45" s="23" t="n"/>
      <c r="B45" s="24">
        <f>IFERROR(INDEX(FILTER(tbl_Lots[LotNumber],tbl_Lots[PN]=$A$41,""),2,1),"")</f>
        <v/>
      </c>
      <c r="C45" s="25">
        <f>IFERROR(INDEX(FILTER(tbl_Lots[ExpirationDate],tbl_Lots[PN]=$A$41,""),2,1),"")</f>
        <v/>
      </c>
      <c r="D45" s="26">
        <f>IFERROR(INDEX(FILTER(tbl_Lots[Qty],tbl_Lots[PN]=$A$41,""),2,1),"")</f>
        <v/>
      </c>
      <c r="E45" s="27">
        <f>IFERROR(INDEX(FILTER(tbl_Lots[LatestInventory],tbl_Lots[PN]=$A$41,""),2,1),"")</f>
        <v/>
      </c>
      <c r="F45" s="28">
        <f>IF(C45="","",C45-TODAY())</f>
        <v/>
      </c>
      <c r="G45" s="29">
        <f>IF(C45="","",IF(C45&lt;TODAY(),"EXPIRED",IF(C45&lt;TODAY()+60,"&lt; 60 days","OK")))</f>
        <v/>
      </c>
    </row>
    <row r="46" ht="17" customHeight="1">
      <c r="A46" s="16" t="n"/>
      <c r="B46" s="17">
        <f>IFERROR(INDEX(FILTER(tbl_Lots[LotNumber],tbl_Lots[PN]=$A$41,""),3,1),"")</f>
        <v/>
      </c>
      <c r="C46" s="18">
        <f>IFERROR(INDEX(FILTER(tbl_Lots[ExpirationDate],tbl_Lots[PN]=$A$41,""),3,1),"")</f>
        <v/>
      </c>
      <c r="D46" s="19">
        <f>IFERROR(INDEX(FILTER(tbl_Lots[Qty],tbl_Lots[PN]=$A$41,""),3,1),"")</f>
        <v/>
      </c>
      <c r="E46" s="20">
        <f>IFERROR(INDEX(FILTER(tbl_Lots[LatestInventory],tbl_Lots[PN]=$A$41,""),3,1),"")</f>
        <v/>
      </c>
      <c r="F46" s="21">
        <f>IF(C46="","",C46-TODAY())</f>
        <v/>
      </c>
      <c r="G46" s="22">
        <f>IF(C46="","",IF(C46&lt;TODAY(),"EXPIRED",IF(C46&lt;TODAY()+60,"&lt; 60 days","OK")))</f>
        <v/>
      </c>
    </row>
    <row r="47" ht="17" customHeight="1">
      <c r="A47" s="23" t="n"/>
      <c r="B47" s="24">
        <f>IFERROR(INDEX(FILTER(tbl_Lots[LotNumber],tbl_Lots[PN]=$A$41,""),4,1),"")</f>
        <v/>
      </c>
      <c r="C47" s="25">
        <f>IFERROR(INDEX(FILTER(tbl_Lots[ExpirationDate],tbl_Lots[PN]=$A$41,""),4,1),"")</f>
        <v/>
      </c>
      <c r="D47" s="26">
        <f>IFERROR(INDEX(FILTER(tbl_Lots[Qty],tbl_Lots[PN]=$A$41,""),4,1),"")</f>
        <v/>
      </c>
      <c r="E47" s="27">
        <f>IFERROR(INDEX(FILTER(tbl_Lots[LatestInventory],tbl_Lots[PN]=$A$41,""),4,1),"")</f>
        <v/>
      </c>
      <c r="F47" s="28">
        <f>IF(C47="","",C47-TODAY())</f>
        <v/>
      </c>
      <c r="G47" s="29">
        <f>IF(C47="","",IF(C47&lt;TODAY(),"EXPIRED",IF(C47&lt;TODAY()+60,"&lt; 60 days","OK")))</f>
        <v/>
      </c>
    </row>
    <row r="48" ht="17" customHeight="1">
      <c r="A48" s="16" t="n"/>
      <c r="B48" s="17">
        <f>IFERROR(INDEX(FILTER(tbl_Lots[LotNumber],tbl_Lots[PN]=$A$41,""),5,1),"")</f>
        <v/>
      </c>
      <c r="C48" s="18">
        <f>IFERROR(INDEX(FILTER(tbl_Lots[ExpirationDate],tbl_Lots[PN]=$A$41,""),5,1),"")</f>
        <v/>
      </c>
      <c r="D48" s="19">
        <f>IFERROR(INDEX(FILTER(tbl_Lots[Qty],tbl_Lots[PN]=$A$41,""),5,1),"")</f>
        <v/>
      </c>
      <c r="E48" s="20">
        <f>IFERROR(INDEX(FILTER(tbl_Lots[LatestInventory],tbl_Lots[PN]=$A$41,""),5,1),"")</f>
        <v/>
      </c>
      <c r="F48" s="21">
        <f>IF(C48="","",C48-TODAY())</f>
        <v/>
      </c>
      <c r="G48" s="22">
        <f>IF(C48="","",IF(C48&lt;TODAY(),"EXPIRED",IF(C48&lt;TODAY()+60,"&lt; 60 days","OK")))</f>
        <v/>
      </c>
    </row>
    <row r="49" ht="17" customHeight="1">
      <c r="A49" s="23" t="n"/>
      <c r="B49" s="24">
        <f>IFERROR(INDEX(FILTER(tbl_Lots[LotNumber],tbl_Lots[PN]=$A$41,""),6,1),"")</f>
        <v/>
      </c>
      <c r="C49" s="25">
        <f>IFERROR(INDEX(FILTER(tbl_Lots[ExpirationDate],tbl_Lots[PN]=$A$41,""),6,1),"")</f>
        <v/>
      </c>
      <c r="D49" s="26">
        <f>IFERROR(INDEX(FILTER(tbl_Lots[Qty],tbl_Lots[PN]=$A$41,""),6,1),"")</f>
        <v/>
      </c>
      <c r="E49" s="27">
        <f>IFERROR(INDEX(FILTER(tbl_Lots[LatestInventory],tbl_Lots[PN]=$A$41,""),6,1),"")</f>
        <v/>
      </c>
      <c r="F49" s="28">
        <f>IF(C49="","",C49-TODAY())</f>
        <v/>
      </c>
      <c r="G49" s="29">
        <f>IF(C49="","",IF(C49&lt;TODAY(),"EXPIRED",IF(C49&lt;TODAY()+60,"&lt; 60 days","OK")))</f>
        <v/>
      </c>
    </row>
    <row r="50" ht="17" customHeight="1">
      <c r="A50" s="16" t="n"/>
      <c r="B50" s="17">
        <f>IFERROR(INDEX(FILTER(tbl_Lots[LotNumber],tbl_Lots[PN]=$A$41,""),7,1),"")</f>
        <v/>
      </c>
      <c r="C50" s="18">
        <f>IFERROR(INDEX(FILTER(tbl_Lots[ExpirationDate],tbl_Lots[PN]=$A$41,""),7,1),"")</f>
        <v/>
      </c>
      <c r="D50" s="19">
        <f>IFERROR(INDEX(FILTER(tbl_Lots[Qty],tbl_Lots[PN]=$A$41,""),7,1),"")</f>
        <v/>
      </c>
      <c r="E50" s="20">
        <f>IFERROR(INDEX(FILTER(tbl_Lots[LatestInventory],tbl_Lots[PN]=$A$41,""),7,1),"")</f>
        <v/>
      </c>
      <c r="F50" s="21">
        <f>IF(C50="","",C50-TODAY())</f>
        <v/>
      </c>
      <c r="G50" s="22">
        <f>IF(C50="","",IF(C50&lt;TODAY(),"EXPIRED",IF(C50&lt;TODAY()+60,"&lt; 60 days","OK")))</f>
        <v/>
      </c>
    </row>
    <row r="51" ht="17" customHeight="1">
      <c r="A51" s="23" t="n"/>
      <c r="B51" s="24">
        <f>IFERROR(INDEX(FILTER(tbl_Lots[LotNumber],tbl_Lots[PN]=$A$41,""),8,1),"")</f>
        <v/>
      </c>
      <c r="C51" s="25">
        <f>IFERROR(INDEX(FILTER(tbl_Lots[ExpirationDate],tbl_Lots[PN]=$A$41,""),8,1),"")</f>
        <v/>
      </c>
      <c r="D51" s="26">
        <f>IFERROR(INDEX(FILTER(tbl_Lots[Qty],tbl_Lots[PN]=$A$41,""),8,1),"")</f>
        <v/>
      </c>
      <c r="E51" s="27">
        <f>IFERROR(INDEX(FILTER(tbl_Lots[LatestInventory],tbl_Lots[PN]=$A$41,""),8,1),"")</f>
        <v/>
      </c>
      <c r="F51" s="28">
        <f>IF(C51="","",C51-TODAY())</f>
        <v/>
      </c>
      <c r="G51" s="29">
        <f>IF(C51="","",IF(C51&lt;TODAY(),"EXPIRED",IF(C51&lt;TODAY()+60,"&lt; 60 days","OK")))</f>
        <v/>
      </c>
    </row>
    <row r="52" ht="14" customHeight="1">
      <c r="A52" s="30" t="n"/>
      <c r="B52" s="31">
        <f>IF(ISNUMBER(COUNTIF(tbl_Lots[PN],$A$41)),IF(COUNTIF(tbl_Lots[PN],$A$41)&gt;8,"  WARNING: "&amp;(COUNTIF(tbl_Lots[PN],$A$41)-8)&amp;" more lot(s) not shown - extend block",""),"")</f>
        <v/>
      </c>
    </row>
    <row r="53" ht="8" customHeight="1">
      <c r="A53" s="16" t="n"/>
      <c r="B53" s="16" t="n"/>
      <c r="C53" s="16" t="n"/>
      <c r="D53" s="16" t="n"/>
      <c r="E53" s="16" t="n"/>
      <c r="F53" s="16" t="n"/>
      <c r="G53" s="16" t="n"/>
    </row>
    <row r="54" ht="20" customHeight="1">
      <c r="A54" s="8" t="inlineStr">
        <is>
          <t>525-00098</t>
        </is>
      </c>
      <c r="B54" s="9" t="inlineStr">
        <is>
          <t>FluB High control ALQT</t>
        </is>
      </c>
      <c r="C54" s="10" t="n"/>
      <c r="D54" s="10" t="n"/>
      <c r="E54" s="10" t="n"/>
      <c r="F54" s="10" t="n"/>
      <c r="G54" s="10" t="n"/>
    </row>
    <row r="55" ht="16" customHeight="1">
      <c r="A55" s="11" t="n"/>
      <c r="B55" s="12" t="inlineStr">
        <is>
          <t>POS IPT kylskåp</t>
        </is>
      </c>
      <c r="C55" s="11" t="n"/>
      <c r="D55" s="11" t="n"/>
      <c r="E55" s="11" t="n"/>
      <c r="F55" s="13">
        <f>IFERROR(COUNTIF(tbl_Lots[PN],$A$54)&amp;" active lot(s)  |  max 8 shown","")</f>
        <v/>
      </c>
    </row>
    <row r="56" ht="16" customHeight="1">
      <c r="A56" s="14" t="n"/>
      <c r="B56" s="15" t="inlineStr">
        <is>
          <t>Lot Number</t>
        </is>
      </c>
      <c r="C56" s="15" t="inlineStr">
        <is>
          <t>Expiration Date</t>
        </is>
      </c>
      <c r="D56" s="15" t="inlineStr">
        <is>
          <t>Qty</t>
        </is>
      </c>
      <c r="E56" s="15" t="inlineStr">
        <is>
          <t>Last Inventory</t>
        </is>
      </c>
      <c r="F56" s="15" t="inlineStr">
        <is>
          <t>Days Left</t>
        </is>
      </c>
      <c r="G56" s="15" t="inlineStr">
        <is>
          <t>Status</t>
        </is>
      </c>
    </row>
    <row r="57" ht="17" customHeight="1">
      <c r="A57" s="16" t="n"/>
      <c r="B57" s="17">
        <f>IFERROR(INDEX(FILTER(tbl_Lots[LotNumber],tbl_Lots[PN]=$A$54,""),1,1),"")</f>
        <v/>
      </c>
      <c r="C57" s="18">
        <f>IFERROR(INDEX(FILTER(tbl_Lots[ExpirationDate],tbl_Lots[PN]=$A$54,""),1,1),"")</f>
        <v/>
      </c>
      <c r="D57" s="19">
        <f>IFERROR(INDEX(FILTER(tbl_Lots[Qty],tbl_Lots[PN]=$A$54,""),1,1),"")</f>
        <v/>
      </c>
      <c r="E57" s="20">
        <f>IFERROR(INDEX(FILTER(tbl_Lots[LatestInventory],tbl_Lots[PN]=$A$54,""),1,1),"")</f>
        <v/>
      </c>
      <c r="F57" s="21">
        <f>IF(C57="","",C57-TODAY())</f>
        <v/>
      </c>
      <c r="G57" s="22">
        <f>IF(C57="","",IF(C57&lt;TODAY(),"EXPIRED",IF(C57&lt;TODAY()+60,"&lt; 60 days","OK")))</f>
        <v/>
      </c>
    </row>
    <row r="58" ht="17" customHeight="1">
      <c r="A58" s="23" t="n"/>
      <c r="B58" s="24">
        <f>IFERROR(INDEX(FILTER(tbl_Lots[LotNumber],tbl_Lots[PN]=$A$54,""),2,1),"")</f>
        <v/>
      </c>
      <c r="C58" s="25">
        <f>IFERROR(INDEX(FILTER(tbl_Lots[ExpirationDate],tbl_Lots[PN]=$A$54,""),2,1),"")</f>
        <v/>
      </c>
      <c r="D58" s="26">
        <f>IFERROR(INDEX(FILTER(tbl_Lots[Qty],tbl_Lots[PN]=$A$54,""),2,1),"")</f>
        <v/>
      </c>
      <c r="E58" s="27">
        <f>IFERROR(INDEX(FILTER(tbl_Lots[LatestInventory],tbl_Lots[PN]=$A$54,""),2,1),"")</f>
        <v/>
      </c>
      <c r="F58" s="28">
        <f>IF(C58="","",C58-TODAY())</f>
        <v/>
      </c>
      <c r="G58" s="29">
        <f>IF(C58="","",IF(C58&lt;TODAY(),"EXPIRED",IF(C58&lt;TODAY()+60,"&lt; 60 days","OK")))</f>
        <v/>
      </c>
    </row>
    <row r="59" ht="17" customHeight="1">
      <c r="A59" s="16" t="n"/>
      <c r="B59" s="17">
        <f>IFERROR(INDEX(FILTER(tbl_Lots[LotNumber],tbl_Lots[PN]=$A$54,""),3,1),"")</f>
        <v/>
      </c>
      <c r="C59" s="18">
        <f>IFERROR(INDEX(FILTER(tbl_Lots[ExpirationDate],tbl_Lots[PN]=$A$54,""),3,1),"")</f>
        <v/>
      </c>
      <c r="D59" s="19">
        <f>IFERROR(INDEX(FILTER(tbl_Lots[Qty],tbl_Lots[PN]=$A$54,""),3,1),"")</f>
        <v/>
      </c>
      <c r="E59" s="20">
        <f>IFERROR(INDEX(FILTER(tbl_Lots[LatestInventory],tbl_Lots[PN]=$A$54,""),3,1),"")</f>
        <v/>
      </c>
      <c r="F59" s="21">
        <f>IF(C59="","",C59-TODAY())</f>
        <v/>
      </c>
      <c r="G59" s="22">
        <f>IF(C59="","",IF(C59&lt;TODAY(),"EXPIRED",IF(C59&lt;TODAY()+60,"&lt; 60 days","OK")))</f>
        <v/>
      </c>
    </row>
    <row r="60" ht="17" customHeight="1">
      <c r="A60" s="23" t="n"/>
      <c r="B60" s="24">
        <f>IFERROR(INDEX(FILTER(tbl_Lots[LotNumber],tbl_Lots[PN]=$A$54,""),4,1),"")</f>
        <v/>
      </c>
      <c r="C60" s="25">
        <f>IFERROR(INDEX(FILTER(tbl_Lots[ExpirationDate],tbl_Lots[PN]=$A$54,""),4,1),"")</f>
        <v/>
      </c>
      <c r="D60" s="26">
        <f>IFERROR(INDEX(FILTER(tbl_Lots[Qty],tbl_Lots[PN]=$A$54,""),4,1),"")</f>
        <v/>
      </c>
      <c r="E60" s="27">
        <f>IFERROR(INDEX(FILTER(tbl_Lots[LatestInventory],tbl_Lots[PN]=$A$54,""),4,1),"")</f>
        <v/>
      </c>
      <c r="F60" s="28">
        <f>IF(C60="","",C60-TODAY())</f>
        <v/>
      </c>
      <c r="G60" s="29">
        <f>IF(C60="","",IF(C60&lt;TODAY(),"EXPIRED",IF(C60&lt;TODAY()+60,"&lt; 60 days","OK")))</f>
        <v/>
      </c>
    </row>
    <row r="61" ht="17" customHeight="1">
      <c r="A61" s="16" t="n"/>
      <c r="B61" s="17">
        <f>IFERROR(INDEX(FILTER(tbl_Lots[LotNumber],tbl_Lots[PN]=$A$54,""),5,1),"")</f>
        <v/>
      </c>
      <c r="C61" s="18">
        <f>IFERROR(INDEX(FILTER(tbl_Lots[ExpirationDate],tbl_Lots[PN]=$A$54,""),5,1),"")</f>
        <v/>
      </c>
      <c r="D61" s="19">
        <f>IFERROR(INDEX(FILTER(tbl_Lots[Qty],tbl_Lots[PN]=$A$54,""),5,1),"")</f>
        <v/>
      </c>
      <c r="E61" s="20">
        <f>IFERROR(INDEX(FILTER(tbl_Lots[LatestInventory],tbl_Lots[PN]=$A$54,""),5,1),"")</f>
        <v/>
      </c>
      <c r="F61" s="21">
        <f>IF(C61="","",C61-TODAY())</f>
        <v/>
      </c>
      <c r="G61" s="22">
        <f>IF(C61="","",IF(C61&lt;TODAY(),"EXPIRED",IF(C61&lt;TODAY()+60,"&lt; 60 days","OK")))</f>
        <v/>
      </c>
    </row>
    <row r="62" ht="17" customHeight="1">
      <c r="A62" s="23" t="n"/>
      <c r="B62" s="24">
        <f>IFERROR(INDEX(FILTER(tbl_Lots[LotNumber],tbl_Lots[PN]=$A$54,""),6,1),"")</f>
        <v/>
      </c>
      <c r="C62" s="25">
        <f>IFERROR(INDEX(FILTER(tbl_Lots[ExpirationDate],tbl_Lots[PN]=$A$54,""),6,1),"")</f>
        <v/>
      </c>
      <c r="D62" s="26">
        <f>IFERROR(INDEX(FILTER(tbl_Lots[Qty],tbl_Lots[PN]=$A$54,""),6,1),"")</f>
        <v/>
      </c>
      <c r="E62" s="27">
        <f>IFERROR(INDEX(FILTER(tbl_Lots[LatestInventory],tbl_Lots[PN]=$A$54,""),6,1),"")</f>
        <v/>
      </c>
      <c r="F62" s="28">
        <f>IF(C62="","",C62-TODAY())</f>
        <v/>
      </c>
      <c r="G62" s="29">
        <f>IF(C62="","",IF(C62&lt;TODAY(),"EXPIRED",IF(C62&lt;TODAY()+60,"&lt; 60 days","OK")))</f>
        <v/>
      </c>
    </row>
    <row r="63" ht="17" customHeight="1">
      <c r="A63" s="16" t="n"/>
      <c r="B63" s="17">
        <f>IFERROR(INDEX(FILTER(tbl_Lots[LotNumber],tbl_Lots[PN]=$A$54,""),7,1),"")</f>
        <v/>
      </c>
      <c r="C63" s="18">
        <f>IFERROR(INDEX(FILTER(tbl_Lots[ExpirationDate],tbl_Lots[PN]=$A$54,""),7,1),"")</f>
        <v/>
      </c>
      <c r="D63" s="19">
        <f>IFERROR(INDEX(FILTER(tbl_Lots[Qty],tbl_Lots[PN]=$A$54,""),7,1),"")</f>
        <v/>
      </c>
      <c r="E63" s="20">
        <f>IFERROR(INDEX(FILTER(tbl_Lots[LatestInventory],tbl_Lots[PN]=$A$54,""),7,1),"")</f>
        <v/>
      </c>
      <c r="F63" s="21">
        <f>IF(C63="","",C63-TODAY())</f>
        <v/>
      </c>
      <c r="G63" s="22">
        <f>IF(C63="","",IF(C63&lt;TODAY(),"EXPIRED",IF(C63&lt;TODAY()+60,"&lt; 60 days","OK")))</f>
        <v/>
      </c>
    </row>
    <row r="64" ht="17" customHeight="1">
      <c r="A64" s="23" t="n"/>
      <c r="B64" s="24">
        <f>IFERROR(INDEX(FILTER(tbl_Lots[LotNumber],tbl_Lots[PN]=$A$54,""),8,1),"")</f>
        <v/>
      </c>
      <c r="C64" s="25">
        <f>IFERROR(INDEX(FILTER(tbl_Lots[ExpirationDate],tbl_Lots[PN]=$A$54,""),8,1),"")</f>
        <v/>
      </c>
      <c r="D64" s="26">
        <f>IFERROR(INDEX(FILTER(tbl_Lots[Qty],tbl_Lots[PN]=$A$54,""),8,1),"")</f>
        <v/>
      </c>
      <c r="E64" s="27">
        <f>IFERROR(INDEX(FILTER(tbl_Lots[LatestInventory],tbl_Lots[PN]=$A$54,""),8,1),"")</f>
        <v/>
      </c>
      <c r="F64" s="28">
        <f>IF(C64="","",C64-TODAY())</f>
        <v/>
      </c>
      <c r="G64" s="29">
        <f>IF(C64="","",IF(C64&lt;TODAY(),"EXPIRED",IF(C64&lt;TODAY()+60,"&lt; 60 days","OK")))</f>
        <v/>
      </c>
    </row>
    <row r="65" ht="14" customHeight="1">
      <c r="A65" s="30" t="n"/>
      <c r="B65" s="31">
        <f>IF(ISNUMBER(COUNTIF(tbl_Lots[PN],$A$54)),IF(COUNTIF(tbl_Lots[PN],$A$54)&gt;8,"  WARNING: "&amp;(COUNTIF(tbl_Lots[PN],$A$54)-8)&amp;" more lot(s) not shown - extend block",""),"")</f>
        <v/>
      </c>
    </row>
    <row r="66" ht="8" customHeight="1">
      <c r="A66" s="16" t="n"/>
      <c r="B66" s="16" t="n"/>
      <c r="C66" s="16" t="n"/>
      <c r="D66" s="16" t="n"/>
      <c r="E66" s="16" t="n"/>
      <c r="F66" s="16" t="n"/>
      <c r="G66" s="16" t="n"/>
    </row>
    <row r="67" ht="20" customHeight="1">
      <c r="A67" s="8" t="inlineStr">
        <is>
          <t>525-00099</t>
        </is>
      </c>
      <c r="B67" s="9" t="inlineStr">
        <is>
          <t>FluB Low control ALQT</t>
        </is>
      </c>
      <c r="C67" s="10" t="n"/>
      <c r="D67" s="10" t="n"/>
      <c r="E67" s="10" t="n"/>
      <c r="F67" s="10" t="n"/>
      <c r="G67" s="10" t="n"/>
    </row>
    <row r="68" ht="16" customHeight="1">
      <c r="A68" s="11" t="n"/>
      <c r="B68" s="12" t="inlineStr">
        <is>
          <t>POS IPT kylskåp</t>
        </is>
      </c>
      <c r="C68" s="11" t="n"/>
      <c r="D68" s="11" t="n"/>
      <c r="E68" s="11" t="n"/>
      <c r="F68" s="13">
        <f>IFERROR(COUNTIF(tbl_Lots[PN],$A$67)&amp;" active lot(s)  |  max 8 shown","")</f>
        <v/>
      </c>
    </row>
    <row r="69" ht="16" customHeight="1">
      <c r="A69" s="14" t="n"/>
      <c r="B69" s="15" t="inlineStr">
        <is>
          <t>Lot Number</t>
        </is>
      </c>
      <c r="C69" s="15" t="inlineStr">
        <is>
          <t>Expiration Date</t>
        </is>
      </c>
      <c r="D69" s="15" t="inlineStr">
        <is>
          <t>Qty</t>
        </is>
      </c>
      <c r="E69" s="15" t="inlineStr">
        <is>
          <t>Last Inventory</t>
        </is>
      </c>
      <c r="F69" s="15" t="inlineStr">
        <is>
          <t>Days Left</t>
        </is>
      </c>
      <c r="G69" s="15" t="inlineStr">
        <is>
          <t>Status</t>
        </is>
      </c>
    </row>
    <row r="70" ht="17" customHeight="1">
      <c r="A70" s="16" t="n"/>
      <c r="B70" s="17">
        <f>IFERROR(INDEX(FILTER(tbl_Lots[LotNumber],tbl_Lots[PN]=$A$67,""),1,1),"")</f>
        <v/>
      </c>
      <c r="C70" s="18">
        <f>IFERROR(INDEX(FILTER(tbl_Lots[ExpirationDate],tbl_Lots[PN]=$A$67,""),1,1),"")</f>
        <v/>
      </c>
      <c r="D70" s="19">
        <f>IFERROR(INDEX(FILTER(tbl_Lots[Qty],tbl_Lots[PN]=$A$67,""),1,1),"")</f>
        <v/>
      </c>
      <c r="E70" s="20">
        <f>IFERROR(INDEX(FILTER(tbl_Lots[LatestInventory],tbl_Lots[PN]=$A$67,""),1,1),"")</f>
        <v/>
      </c>
      <c r="F70" s="21">
        <f>IF(C70="","",C70-TODAY())</f>
        <v/>
      </c>
      <c r="G70" s="22">
        <f>IF(C70="","",IF(C70&lt;TODAY(),"EXPIRED",IF(C70&lt;TODAY()+60,"&lt; 60 days","OK")))</f>
        <v/>
      </c>
    </row>
    <row r="71" ht="17" customHeight="1">
      <c r="A71" s="23" t="n"/>
      <c r="B71" s="24">
        <f>IFERROR(INDEX(FILTER(tbl_Lots[LotNumber],tbl_Lots[PN]=$A$67,""),2,1),"")</f>
        <v/>
      </c>
      <c r="C71" s="25">
        <f>IFERROR(INDEX(FILTER(tbl_Lots[ExpirationDate],tbl_Lots[PN]=$A$67,""),2,1),"")</f>
        <v/>
      </c>
      <c r="D71" s="26">
        <f>IFERROR(INDEX(FILTER(tbl_Lots[Qty],tbl_Lots[PN]=$A$67,""),2,1),"")</f>
        <v/>
      </c>
      <c r="E71" s="27">
        <f>IFERROR(INDEX(FILTER(tbl_Lots[LatestInventory],tbl_Lots[PN]=$A$67,""),2,1),"")</f>
        <v/>
      </c>
      <c r="F71" s="28">
        <f>IF(C71="","",C71-TODAY())</f>
        <v/>
      </c>
      <c r="G71" s="29">
        <f>IF(C71="","",IF(C71&lt;TODAY(),"EXPIRED",IF(C71&lt;TODAY()+60,"&lt; 60 days","OK")))</f>
        <v/>
      </c>
    </row>
    <row r="72" ht="17" customHeight="1">
      <c r="A72" s="16" t="n"/>
      <c r="B72" s="17">
        <f>IFERROR(INDEX(FILTER(tbl_Lots[LotNumber],tbl_Lots[PN]=$A$67,""),3,1),"")</f>
        <v/>
      </c>
      <c r="C72" s="18">
        <f>IFERROR(INDEX(FILTER(tbl_Lots[ExpirationDate],tbl_Lots[PN]=$A$67,""),3,1),"")</f>
        <v/>
      </c>
      <c r="D72" s="19">
        <f>IFERROR(INDEX(FILTER(tbl_Lots[Qty],tbl_Lots[PN]=$A$67,""),3,1),"")</f>
        <v/>
      </c>
      <c r="E72" s="20">
        <f>IFERROR(INDEX(FILTER(tbl_Lots[LatestInventory],tbl_Lots[PN]=$A$67,""),3,1),"")</f>
        <v/>
      </c>
      <c r="F72" s="21">
        <f>IF(C72="","",C72-TODAY())</f>
        <v/>
      </c>
      <c r="G72" s="22">
        <f>IF(C72="","",IF(C72&lt;TODAY(),"EXPIRED",IF(C72&lt;TODAY()+60,"&lt; 60 days","OK")))</f>
        <v/>
      </c>
    </row>
    <row r="73" ht="17" customHeight="1">
      <c r="A73" s="23" t="n"/>
      <c r="B73" s="24">
        <f>IFERROR(INDEX(FILTER(tbl_Lots[LotNumber],tbl_Lots[PN]=$A$67,""),4,1),"")</f>
        <v/>
      </c>
      <c r="C73" s="25">
        <f>IFERROR(INDEX(FILTER(tbl_Lots[ExpirationDate],tbl_Lots[PN]=$A$67,""),4,1),"")</f>
        <v/>
      </c>
      <c r="D73" s="26">
        <f>IFERROR(INDEX(FILTER(tbl_Lots[Qty],tbl_Lots[PN]=$A$67,""),4,1),"")</f>
        <v/>
      </c>
      <c r="E73" s="27">
        <f>IFERROR(INDEX(FILTER(tbl_Lots[LatestInventory],tbl_Lots[PN]=$A$67,""),4,1),"")</f>
        <v/>
      </c>
      <c r="F73" s="28">
        <f>IF(C73="","",C73-TODAY())</f>
        <v/>
      </c>
      <c r="G73" s="29">
        <f>IF(C73="","",IF(C73&lt;TODAY(),"EXPIRED",IF(C73&lt;TODAY()+60,"&lt; 60 days","OK")))</f>
        <v/>
      </c>
    </row>
    <row r="74" ht="17" customHeight="1">
      <c r="A74" s="16" t="n"/>
      <c r="B74" s="17">
        <f>IFERROR(INDEX(FILTER(tbl_Lots[LotNumber],tbl_Lots[PN]=$A$67,""),5,1),"")</f>
        <v/>
      </c>
      <c r="C74" s="18">
        <f>IFERROR(INDEX(FILTER(tbl_Lots[ExpirationDate],tbl_Lots[PN]=$A$67,""),5,1),"")</f>
        <v/>
      </c>
      <c r="D74" s="19">
        <f>IFERROR(INDEX(FILTER(tbl_Lots[Qty],tbl_Lots[PN]=$A$67,""),5,1),"")</f>
        <v/>
      </c>
      <c r="E74" s="20">
        <f>IFERROR(INDEX(FILTER(tbl_Lots[LatestInventory],tbl_Lots[PN]=$A$67,""),5,1),"")</f>
        <v/>
      </c>
      <c r="F74" s="21">
        <f>IF(C74="","",C74-TODAY())</f>
        <v/>
      </c>
      <c r="G74" s="22">
        <f>IF(C74="","",IF(C74&lt;TODAY(),"EXPIRED",IF(C74&lt;TODAY()+60,"&lt; 60 days","OK")))</f>
        <v/>
      </c>
    </row>
    <row r="75" ht="17" customHeight="1">
      <c r="A75" s="23" t="n"/>
      <c r="B75" s="24">
        <f>IFERROR(INDEX(FILTER(tbl_Lots[LotNumber],tbl_Lots[PN]=$A$67,""),6,1),"")</f>
        <v/>
      </c>
      <c r="C75" s="25">
        <f>IFERROR(INDEX(FILTER(tbl_Lots[ExpirationDate],tbl_Lots[PN]=$A$67,""),6,1),"")</f>
        <v/>
      </c>
      <c r="D75" s="26">
        <f>IFERROR(INDEX(FILTER(tbl_Lots[Qty],tbl_Lots[PN]=$A$67,""),6,1),"")</f>
        <v/>
      </c>
      <c r="E75" s="27">
        <f>IFERROR(INDEX(FILTER(tbl_Lots[LatestInventory],tbl_Lots[PN]=$A$67,""),6,1),"")</f>
        <v/>
      </c>
      <c r="F75" s="28">
        <f>IF(C75="","",C75-TODAY())</f>
        <v/>
      </c>
      <c r="G75" s="29">
        <f>IF(C75="","",IF(C75&lt;TODAY(),"EXPIRED",IF(C75&lt;TODAY()+60,"&lt; 60 days","OK")))</f>
        <v/>
      </c>
    </row>
    <row r="76" ht="17" customHeight="1">
      <c r="A76" s="16" t="n"/>
      <c r="B76" s="17">
        <f>IFERROR(INDEX(FILTER(tbl_Lots[LotNumber],tbl_Lots[PN]=$A$67,""),7,1),"")</f>
        <v/>
      </c>
      <c r="C76" s="18">
        <f>IFERROR(INDEX(FILTER(tbl_Lots[ExpirationDate],tbl_Lots[PN]=$A$67,""),7,1),"")</f>
        <v/>
      </c>
      <c r="D76" s="19">
        <f>IFERROR(INDEX(FILTER(tbl_Lots[Qty],tbl_Lots[PN]=$A$67,""),7,1),"")</f>
        <v/>
      </c>
      <c r="E76" s="20">
        <f>IFERROR(INDEX(FILTER(tbl_Lots[LatestInventory],tbl_Lots[PN]=$A$67,""),7,1),"")</f>
        <v/>
      </c>
      <c r="F76" s="21">
        <f>IF(C76="","",C76-TODAY())</f>
        <v/>
      </c>
      <c r="G76" s="22">
        <f>IF(C76="","",IF(C76&lt;TODAY(),"EXPIRED",IF(C76&lt;TODAY()+60,"&lt; 60 days","OK")))</f>
        <v/>
      </c>
    </row>
    <row r="77" ht="17" customHeight="1">
      <c r="A77" s="23" t="n"/>
      <c r="B77" s="24">
        <f>IFERROR(INDEX(FILTER(tbl_Lots[LotNumber],tbl_Lots[PN]=$A$67,""),8,1),"")</f>
        <v/>
      </c>
      <c r="C77" s="25">
        <f>IFERROR(INDEX(FILTER(tbl_Lots[ExpirationDate],tbl_Lots[PN]=$A$67,""),8,1),"")</f>
        <v/>
      </c>
      <c r="D77" s="26">
        <f>IFERROR(INDEX(FILTER(tbl_Lots[Qty],tbl_Lots[PN]=$A$67,""),8,1),"")</f>
        <v/>
      </c>
      <c r="E77" s="27">
        <f>IFERROR(INDEX(FILTER(tbl_Lots[LatestInventory],tbl_Lots[PN]=$A$67,""),8,1),"")</f>
        <v/>
      </c>
      <c r="F77" s="28">
        <f>IF(C77="","",C77-TODAY())</f>
        <v/>
      </c>
      <c r="G77" s="29">
        <f>IF(C77="","",IF(C77&lt;TODAY(),"EXPIRED",IF(C77&lt;TODAY()+60,"&lt; 60 days","OK")))</f>
        <v/>
      </c>
    </row>
    <row r="78" ht="14" customHeight="1">
      <c r="A78" s="30" t="n"/>
      <c r="B78" s="31">
        <f>IF(ISNUMBER(COUNTIF(tbl_Lots[PN],$A$67)),IF(COUNTIF(tbl_Lots[PN],$A$67)&gt;8,"  WARNING: "&amp;(COUNTIF(tbl_Lots[PN],$A$67)-8)&amp;" more lot(s) not shown - extend block",""),"")</f>
        <v/>
      </c>
    </row>
    <row r="79" ht="8" customHeight="1">
      <c r="A79" s="16" t="n"/>
      <c r="B79" s="16" t="n"/>
      <c r="C79" s="16" t="n"/>
      <c r="D79" s="16" t="n"/>
      <c r="E79" s="16" t="n"/>
      <c r="F79" s="16" t="n"/>
      <c r="G79" s="16" t="n"/>
    </row>
    <row r="80" ht="20" customHeight="1">
      <c r="A80" s="8" t="inlineStr">
        <is>
          <t>525-00101</t>
        </is>
      </c>
      <c r="B80" s="9" t="inlineStr">
        <is>
          <t>RSVB High control ALQT</t>
        </is>
      </c>
      <c r="C80" s="10" t="n"/>
      <c r="D80" s="10" t="n"/>
      <c r="E80" s="10" t="n"/>
      <c r="F80" s="10" t="n"/>
      <c r="G80" s="10" t="n"/>
    </row>
    <row r="81" ht="16" customHeight="1">
      <c r="A81" s="11" t="n"/>
      <c r="B81" s="12" t="inlineStr">
        <is>
          <t>POS IPT kylskåp</t>
        </is>
      </c>
      <c r="C81" s="11" t="n"/>
      <c r="D81" s="11" t="n"/>
      <c r="E81" s="11" t="n"/>
      <c r="F81" s="13">
        <f>IFERROR(COUNTIF(tbl_Lots[PN],$A$80)&amp;" active lot(s)  |  max 8 shown","")</f>
        <v/>
      </c>
    </row>
    <row r="82" ht="16" customHeight="1">
      <c r="A82" s="14" t="n"/>
      <c r="B82" s="15" t="inlineStr">
        <is>
          <t>Lot Number</t>
        </is>
      </c>
      <c r="C82" s="15" t="inlineStr">
        <is>
          <t>Expiration Date</t>
        </is>
      </c>
      <c r="D82" s="15" t="inlineStr">
        <is>
          <t>Qty</t>
        </is>
      </c>
      <c r="E82" s="15" t="inlineStr">
        <is>
          <t>Last Inventory</t>
        </is>
      </c>
      <c r="F82" s="15" t="inlineStr">
        <is>
          <t>Days Left</t>
        </is>
      </c>
      <c r="G82" s="15" t="inlineStr">
        <is>
          <t>Status</t>
        </is>
      </c>
    </row>
    <row r="83" ht="17" customHeight="1">
      <c r="A83" s="16" t="n"/>
      <c r="B83" s="17">
        <f>IFERROR(INDEX(FILTER(tbl_Lots[LotNumber],tbl_Lots[PN]=$A$80,""),1,1),"")</f>
        <v/>
      </c>
      <c r="C83" s="18">
        <f>IFERROR(INDEX(FILTER(tbl_Lots[ExpirationDate],tbl_Lots[PN]=$A$80,""),1,1),"")</f>
        <v/>
      </c>
      <c r="D83" s="19">
        <f>IFERROR(INDEX(FILTER(tbl_Lots[Qty],tbl_Lots[PN]=$A$80,""),1,1),"")</f>
        <v/>
      </c>
      <c r="E83" s="20">
        <f>IFERROR(INDEX(FILTER(tbl_Lots[LatestInventory],tbl_Lots[PN]=$A$80,""),1,1),"")</f>
        <v/>
      </c>
      <c r="F83" s="21">
        <f>IF(C83="","",C83-TODAY())</f>
        <v/>
      </c>
      <c r="G83" s="22">
        <f>IF(C83="","",IF(C83&lt;TODAY(),"EXPIRED",IF(C83&lt;TODAY()+60,"&lt; 60 days","OK")))</f>
        <v/>
      </c>
    </row>
    <row r="84" ht="17" customHeight="1">
      <c r="A84" s="23" t="n"/>
      <c r="B84" s="24">
        <f>IFERROR(INDEX(FILTER(tbl_Lots[LotNumber],tbl_Lots[PN]=$A$80,""),2,1),"")</f>
        <v/>
      </c>
      <c r="C84" s="25">
        <f>IFERROR(INDEX(FILTER(tbl_Lots[ExpirationDate],tbl_Lots[PN]=$A$80,""),2,1),"")</f>
        <v/>
      </c>
      <c r="D84" s="26">
        <f>IFERROR(INDEX(FILTER(tbl_Lots[Qty],tbl_Lots[PN]=$A$80,""),2,1),"")</f>
        <v/>
      </c>
      <c r="E84" s="27">
        <f>IFERROR(INDEX(FILTER(tbl_Lots[LatestInventory],tbl_Lots[PN]=$A$80,""),2,1),"")</f>
        <v/>
      </c>
      <c r="F84" s="28">
        <f>IF(C84="","",C84-TODAY())</f>
        <v/>
      </c>
      <c r="G84" s="29">
        <f>IF(C84="","",IF(C84&lt;TODAY(),"EXPIRED",IF(C84&lt;TODAY()+60,"&lt; 60 days","OK")))</f>
        <v/>
      </c>
    </row>
    <row r="85" ht="17" customHeight="1">
      <c r="A85" s="16" t="n"/>
      <c r="B85" s="17">
        <f>IFERROR(INDEX(FILTER(tbl_Lots[LotNumber],tbl_Lots[PN]=$A$80,""),3,1),"")</f>
        <v/>
      </c>
      <c r="C85" s="18">
        <f>IFERROR(INDEX(FILTER(tbl_Lots[ExpirationDate],tbl_Lots[PN]=$A$80,""),3,1),"")</f>
        <v/>
      </c>
      <c r="D85" s="19">
        <f>IFERROR(INDEX(FILTER(tbl_Lots[Qty],tbl_Lots[PN]=$A$80,""),3,1),"")</f>
        <v/>
      </c>
      <c r="E85" s="20">
        <f>IFERROR(INDEX(FILTER(tbl_Lots[LatestInventory],tbl_Lots[PN]=$A$80,""),3,1),"")</f>
        <v/>
      </c>
      <c r="F85" s="21">
        <f>IF(C85="","",C85-TODAY())</f>
        <v/>
      </c>
      <c r="G85" s="22">
        <f>IF(C85="","",IF(C85&lt;TODAY(),"EXPIRED",IF(C85&lt;TODAY()+60,"&lt; 60 days","OK")))</f>
        <v/>
      </c>
    </row>
    <row r="86" ht="17" customHeight="1">
      <c r="A86" s="23" t="n"/>
      <c r="B86" s="24">
        <f>IFERROR(INDEX(FILTER(tbl_Lots[LotNumber],tbl_Lots[PN]=$A$80,""),4,1),"")</f>
        <v/>
      </c>
      <c r="C86" s="25">
        <f>IFERROR(INDEX(FILTER(tbl_Lots[ExpirationDate],tbl_Lots[PN]=$A$80,""),4,1),"")</f>
        <v/>
      </c>
      <c r="D86" s="26">
        <f>IFERROR(INDEX(FILTER(tbl_Lots[Qty],tbl_Lots[PN]=$A$80,""),4,1),"")</f>
        <v/>
      </c>
      <c r="E86" s="27">
        <f>IFERROR(INDEX(FILTER(tbl_Lots[LatestInventory],tbl_Lots[PN]=$A$80,""),4,1),"")</f>
        <v/>
      </c>
      <c r="F86" s="28">
        <f>IF(C86="","",C86-TODAY())</f>
        <v/>
      </c>
      <c r="G86" s="29">
        <f>IF(C86="","",IF(C86&lt;TODAY(),"EXPIRED",IF(C86&lt;TODAY()+60,"&lt; 60 days","OK")))</f>
        <v/>
      </c>
    </row>
    <row r="87" ht="17" customHeight="1">
      <c r="A87" s="16" t="n"/>
      <c r="B87" s="17">
        <f>IFERROR(INDEX(FILTER(tbl_Lots[LotNumber],tbl_Lots[PN]=$A$80,""),5,1),"")</f>
        <v/>
      </c>
      <c r="C87" s="18">
        <f>IFERROR(INDEX(FILTER(tbl_Lots[ExpirationDate],tbl_Lots[PN]=$A$80,""),5,1),"")</f>
        <v/>
      </c>
      <c r="D87" s="19">
        <f>IFERROR(INDEX(FILTER(tbl_Lots[Qty],tbl_Lots[PN]=$A$80,""),5,1),"")</f>
        <v/>
      </c>
      <c r="E87" s="20">
        <f>IFERROR(INDEX(FILTER(tbl_Lots[LatestInventory],tbl_Lots[PN]=$A$80,""),5,1),"")</f>
        <v/>
      </c>
      <c r="F87" s="21">
        <f>IF(C87="","",C87-TODAY())</f>
        <v/>
      </c>
      <c r="G87" s="22">
        <f>IF(C87="","",IF(C87&lt;TODAY(),"EXPIRED",IF(C87&lt;TODAY()+60,"&lt; 60 days","OK")))</f>
        <v/>
      </c>
    </row>
    <row r="88" ht="17" customHeight="1">
      <c r="A88" s="23" t="n"/>
      <c r="B88" s="24">
        <f>IFERROR(INDEX(FILTER(tbl_Lots[LotNumber],tbl_Lots[PN]=$A$80,""),6,1),"")</f>
        <v/>
      </c>
      <c r="C88" s="25">
        <f>IFERROR(INDEX(FILTER(tbl_Lots[ExpirationDate],tbl_Lots[PN]=$A$80,""),6,1),"")</f>
        <v/>
      </c>
      <c r="D88" s="26">
        <f>IFERROR(INDEX(FILTER(tbl_Lots[Qty],tbl_Lots[PN]=$A$80,""),6,1),"")</f>
        <v/>
      </c>
      <c r="E88" s="27">
        <f>IFERROR(INDEX(FILTER(tbl_Lots[LatestInventory],tbl_Lots[PN]=$A$80,""),6,1),"")</f>
        <v/>
      </c>
      <c r="F88" s="28">
        <f>IF(C88="","",C88-TODAY())</f>
        <v/>
      </c>
      <c r="G88" s="29">
        <f>IF(C88="","",IF(C88&lt;TODAY(),"EXPIRED",IF(C88&lt;TODAY()+60,"&lt; 60 days","OK")))</f>
        <v/>
      </c>
    </row>
    <row r="89" ht="17" customHeight="1">
      <c r="A89" s="16" t="n"/>
      <c r="B89" s="17">
        <f>IFERROR(INDEX(FILTER(tbl_Lots[LotNumber],tbl_Lots[PN]=$A$80,""),7,1),"")</f>
        <v/>
      </c>
      <c r="C89" s="18">
        <f>IFERROR(INDEX(FILTER(tbl_Lots[ExpirationDate],tbl_Lots[PN]=$A$80,""),7,1),"")</f>
        <v/>
      </c>
      <c r="D89" s="19">
        <f>IFERROR(INDEX(FILTER(tbl_Lots[Qty],tbl_Lots[PN]=$A$80,""),7,1),"")</f>
        <v/>
      </c>
      <c r="E89" s="20">
        <f>IFERROR(INDEX(FILTER(tbl_Lots[LatestInventory],tbl_Lots[PN]=$A$80,""),7,1),"")</f>
        <v/>
      </c>
      <c r="F89" s="21">
        <f>IF(C89="","",C89-TODAY())</f>
        <v/>
      </c>
      <c r="G89" s="22">
        <f>IF(C89="","",IF(C89&lt;TODAY(),"EXPIRED",IF(C89&lt;TODAY()+60,"&lt; 60 days","OK")))</f>
        <v/>
      </c>
    </row>
    <row r="90" ht="17" customHeight="1">
      <c r="A90" s="23" t="n"/>
      <c r="B90" s="24">
        <f>IFERROR(INDEX(FILTER(tbl_Lots[LotNumber],tbl_Lots[PN]=$A$80,""),8,1),"")</f>
        <v/>
      </c>
      <c r="C90" s="25">
        <f>IFERROR(INDEX(FILTER(tbl_Lots[ExpirationDate],tbl_Lots[PN]=$A$80,""),8,1),"")</f>
        <v/>
      </c>
      <c r="D90" s="26">
        <f>IFERROR(INDEX(FILTER(tbl_Lots[Qty],tbl_Lots[PN]=$A$80,""),8,1),"")</f>
        <v/>
      </c>
      <c r="E90" s="27">
        <f>IFERROR(INDEX(FILTER(tbl_Lots[LatestInventory],tbl_Lots[PN]=$A$80,""),8,1),"")</f>
        <v/>
      </c>
      <c r="F90" s="28">
        <f>IF(C90="","",C90-TODAY())</f>
        <v/>
      </c>
      <c r="G90" s="29">
        <f>IF(C90="","",IF(C90&lt;TODAY(),"EXPIRED",IF(C90&lt;TODAY()+60,"&lt; 60 days","OK")))</f>
        <v/>
      </c>
    </row>
    <row r="91" ht="14" customHeight="1">
      <c r="A91" s="30" t="n"/>
      <c r="B91" s="31">
        <f>IF(ISNUMBER(COUNTIF(tbl_Lots[PN],$A$80)),IF(COUNTIF(tbl_Lots[PN],$A$80)&gt;8,"  WARNING: "&amp;(COUNTIF(tbl_Lots[PN],$A$80)-8)&amp;" more lot(s) not shown - extend block",""),"")</f>
        <v/>
      </c>
    </row>
    <row r="92" ht="8" customHeight="1">
      <c r="A92" s="16" t="n"/>
      <c r="B92" s="16" t="n"/>
      <c r="C92" s="16" t="n"/>
      <c r="D92" s="16" t="n"/>
      <c r="E92" s="16" t="n"/>
      <c r="F92" s="16" t="n"/>
      <c r="G92" s="16" t="n"/>
    </row>
    <row r="93" ht="20" customHeight="1">
      <c r="A93" s="8" t="inlineStr">
        <is>
          <t>525-00102</t>
        </is>
      </c>
      <c r="B93" s="9" t="inlineStr">
        <is>
          <t>RSVB Low control ALQT</t>
        </is>
      </c>
      <c r="C93" s="10" t="n"/>
      <c r="D93" s="10" t="n"/>
      <c r="E93" s="10" t="n"/>
      <c r="F93" s="10" t="n"/>
      <c r="G93" s="10" t="n"/>
    </row>
    <row r="94" ht="16" customHeight="1">
      <c r="A94" s="11" t="n"/>
      <c r="B94" s="12" t="inlineStr">
        <is>
          <t>POS IPT kylskåp</t>
        </is>
      </c>
      <c r="C94" s="11" t="n"/>
      <c r="D94" s="11" t="n"/>
      <c r="E94" s="11" t="n"/>
      <c r="F94" s="13">
        <f>IFERROR(COUNTIF(tbl_Lots[PN],$A$93)&amp;" active lot(s)  |  max 8 shown","")</f>
        <v/>
      </c>
    </row>
    <row r="95" ht="16" customHeight="1">
      <c r="A95" s="14" t="n"/>
      <c r="B95" s="15" t="inlineStr">
        <is>
          <t>Lot Number</t>
        </is>
      </c>
      <c r="C95" s="15" t="inlineStr">
        <is>
          <t>Expiration Date</t>
        </is>
      </c>
      <c r="D95" s="15" t="inlineStr">
        <is>
          <t>Qty</t>
        </is>
      </c>
      <c r="E95" s="15" t="inlineStr">
        <is>
          <t>Last Inventory</t>
        </is>
      </c>
      <c r="F95" s="15" t="inlineStr">
        <is>
          <t>Days Left</t>
        </is>
      </c>
      <c r="G95" s="15" t="inlineStr">
        <is>
          <t>Status</t>
        </is>
      </c>
    </row>
    <row r="96" ht="17" customHeight="1">
      <c r="A96" s="16" t="n"/>
      <c r="B96" s="17">
        <f>IFERROR(INDEX(FILTER(tbl_Lots[LotNumber],tbl_Lots[PN]=$A$93,""),1,1),"")</f>
        <v/>
      </c>
      <c r="C96" s="18">
        <f>IFERROR(INDEX(FILTER(tbl_Lots[ExpirationDate],tbl_Lots[PN]=$A$93,""),1,1),"")</f>
        <v/>
      </c>
      <c r="D96" s="19">
        <f>IFERROR(INDEX(FILTER(tbl_Lots[Qty],tbl_Lots[PN]=$A$93,""),1,1),"")</f>
        <v/>
      </c>
      <c r="E96" s="20">
        <f>IFERROR(INDEX(FILTER(tbl_Lots[LatestInventory],tbl_Lots[PN]=$A$93,""),1,1),"")</f>
        <v/>
      </c>
      <c r="F96" s="21">
        <f>IF(C96="","",C96-TODAY())</f>
        <v/>
      </c>
      <c r="G96" s="22">
        <f>IF(C96="","",IF(C96&lt;TODAY(),"EXPIRED",IF(C96&lt;TODAY()+60,"&lt; 60 days","OK")))</f>
        <v/>
      </c>
    </row>
    <row r="97" ht="17" customHeight="1">
      <c r="A97" s="23" t="n"/>
      <c r="B97" s="24">
        <f>IFERROR(INDEX(FILTER(tbl_Lots[LotNumber],tbl_Lots[PN]=$A$93,""),2,1),"")</f>
        <v/>
      </c>
      <c r="C97" s="25">
        <f>IFERROR(INDEX(FILTER(tbl_Lots[ExpirationDate],tbl_Lots[PN]=$A$93,""),2,1),"")</f>
        <v/>
      </c>
      <c r="D97" s="26">
        <f>IFERROR(INDEX(FILTER(tbl_Lots[Qty],tbl_Lots[PN]=$A$93,""),2,1),"")</f>
        <v/>
      </c>
      <c r="E97" s="27">
        <f>IFERROR(INDEX(FILTER(tbl_Lots[LatestInventory],tbl_Lots[PN]=$A$93,""),2,1),"")</f>
        <v/>
      </c>
      <c r="F97" s="28">
        <f>IF(C97="","",C97-TODAY())</f>
        <v/>
      </c>
      <c r="G97" s="29">
        <f>IF(C97="","",IF(C97&lt;TODAY(),"EXPIRED",IF(C97&lt;TODAY()+60,"&lt; 60 days","OK")))</f>
        <v/>
      </c>
    </row>
    <row r="98" ht="17" customHeight="1">
      <c r="A98" s="16" t="n"/>
      <c r="B98" s="17">
        <f>IFERROR(INDEX(FILTER(tbl_Lots[LotNumber],tbl_Lots[PN]=$A$93,""),3,1),"")</f>
        <v/>
      </c>
      <c r="C98" s="18">
        <f>IFERROR(INDEX(FILTER(tbl_Lots[ExpirationDate],tbl_Lots[PN]=$A$93,""),3,1),"")</f>
        <v/>
      </c>
      <c r="D98" s="19">
        <f>IFERROR(INDEX(FILTER(tbl_Lots[Qty],tbl_Lots[PN]=$A$93,""),3,1),"")</f>
        <v/>
      </c>
      <c r="E98" s="20">
        <f>IFERROR(INDEX(FILTER(tbl_Lots[LatestInventory],tbl_Lots[PN]=$A$93,""),3,1),"")</f>
        <v/>
      </c>
      <c r="F98" s="21">
        <f>IF(C98="","",C98-TODAY())</f>
        <v/>
      </c>
      <c r="G98" s="22">
        <f>IF(C98="","",IF(C98&lt;TODAY(),"EXPIRED",IF(C98&lt;TODAY()+60,"&lt; 60 days","OK")))</f>
        <v/>
      </c>
    </row>
    <row r="99" ht="17" customHeight="1">
      <c r="A99" s="23" t="n"/>
      <c r="B99" s="24">
        <f>IFERROR(INDEX(FILTER(tbl_Lots[LotNumber],tbl_Lots[PN]=$A$93,""),4,1),"")</f>
        <v/>
      </c>
      <c r="C99" s="25">
        <f>IFERROR(INDEX(FILTER(tbl_Lots[ExpirationDate],tbl_Lots[PN]=$A$93,""),4,1),"")</f>
        <v/>
      </c>
      <c r="D99" s="26">
        <f>IFERROR(INDEX(FILTER(tbl_Lots[Qty],tbl_Lots[PN]=$A$93,""),4,1),"")</f>
        <v/>
      </c>
      <c r="E99" s="27">
        <f>IFERROR(INDEX(FILTER(tbl_Lots[LatestInventory],tbl_Lots[PN]=$A$93,""),4,1),"")</f>
        <v/>
      </c>
      <c r="F99" s="28">
        <f>IF(C99="","",C99-TODAY())</f>
        <v/>
      </c>
      <c r="G99" s="29">
        <f>IF(C99="","",IF(C99&lt;TODAY(),"EXPIRED",IF(C99&lt;TODAY()+60,"&lt; 60 days","OK")))</f>
        <v/>
      </c>
    </row>
    <row r="100" ht="17" customHeight="1">
      <c r="A100" s="16" t="n"/>
      <c r="B100" s="17">
        <f>IFERROR(INDEX(FILTER(tbl_Lots[LotNumber],tbl_Lots[PN]=$A$93,""),5,1),"")</f>
        <v/>
      </c>
      <c r="C100" s="18">
        <f>IFERROR(INDEX(FILTER(tbl_Lots[ExpirationDate],tbl_Lots[PN]=$A$93,""),5,1),"")</f>
        <v/>
      </c>
      <c r="D100" s="19">
        <f>IFERROR(INDEX(FILTER(tbl_Lots[Qty],tbl_Lots[PN]=$A$93,""),5,1),"")</f>
        <v/>
      </c>
      <c r="E100" s="20">
        <f>IFERROR(INDEX(FILTER(tbl_Lots[LatestInventory],tbl_Lots[PN]=$A$93,""),5,1),"")</f>
        <v/>
      </c>
      <c r="F100" s="21">
        <f>IF(C100="","",C100-TODAY())</f>
        <v/>
      </c>
      <c r="G100" s="22">
        <f>IF(C100="","",IF(C100&lt;TODAY(),"EXPIRED",IF(C100&lt;TODAY()+60,"&lt; 60 days","OK")))</f>
        <v/>
      </c>
    </row>
    <row r="101" ht="17" customHeight="1">
      <c r="A101" s="23" t="n"/>
      <c r="B101" s="24">
        <f>IFERROR(INDEX(FILTER(tbl_Lots[LotNumber],tbl_Lots[PN]=$A$93,""),6,1),"")</f>
        <v/>
      </c>
      <c r="C101" s="25">
        <f>IFERROR(INDEX(FILTER(tbl_Lots[ExpirationDate],tbl_Lots[PN]=$A$93,""),6,1),"")</f>
        <v/>
      </c>
      <c r="D101" s="26">
        <f>IFERROR(INDEX(FILTER(tbl_Lots[Qty],tbl_Lots[PN]=$A$93,""),6,1),"")</f>
        <v/>
      </c>
      <c r="E101" s="27">
        <f>IFERROR(INDEX(FILTER(tbl_Lots[LatestInventory],tbl_Lots[PN]=$A$93,""),6,1),"")</f>
        <v/>
      </c>
      <c r="F101" s="28">
        <f>IF(C101="","",C101-TODAY())</f>
        <v/>
      </c>
      <c r="G101" s="29">
        <f>IF(C101="","",IF(C101&lt;TODAY(),"EXPIRED",IF(C101&lt;TODAY()+60,"&lt; 60 days","OK")))</f>
        <v/>
      </c>
    </row>
    <row r="102" ht="17" customHeight="1">
      <c r="A102" s="16" t="n"/>
      <c r="B102" s="17">
        <f>IFERROR(INDEX(FILTER(tbl_Lots[LotNumber],tbl_Lots[PN]=$A$93,""),7,1),"")</f>
        <v/>
      </c>
      <c r="C102" s="18">
        <f>IFERROR(INDEX(FILTER(tbl_Lots[ExpirationDate],tbl_Lots[PN]=$A$93,""),7,1),"")</f>
        <v/>
      </c>
      <c r="D102" s="19">
        <f>IFERROR(INDEX(FILTER(tbl_Lots[Qty],tbl_Lots[PN]=$A$93,""),7,1),"")</f>
        <v/>
      </c>
      <c r="E102" s="20">
        <f>IFERROR(INDEX(FILTER(tbl_Lots[LatestInventory],tbl_Lots[PN]=$A$93,""),7,1),"")</f>
        <v/>
      </c>
      <c r="F102" s="21">
        <f>IF(C102="","",C102-TODAY())</f>
        <v/>
      </c>
      <c r="G102" s="22">
        <f>IF(C102="","",IF(C102&lt;TODAY(),"EXPIRED",IF(C102&lt;TODAY()+60,"&lt; 60 days","OK")))</f>
        <v/>
      </c>
    </row>
    <row r="103" ht="17" customHeight="1">
      <c r="A103" s="23" t="n"/>
      <c r="B103" s="24">
        <f>IFERROR(INDEX(FILTER(tbl_Lots[LotNumber],tbl_Lots[PN]=$A$93,""),8,1),"")</f>
        <v/>
      </c>
      <c r="C103" s="25">
        <f>IFERROR(INDEX(FILTER(tbl_Lots[ExpirationDate],tbl_Lots[PN]=$A$93,""),8,1),"")</f>
        <v/>
      </c>
      <c r="D103" s="26">
        <f>IFERROR(INDEX(FILTER(tbl_Lots[Qty],tbl_Lots[PN]=$A$93,""),8,1),"")</f>
        <v/>
      </c>
      <c r="E103" s="27">
        <f>IFERROR(INDEX(FILTER(tbl_Lots[LatestInventory],tbl_Lots[PN]=$A$93,""),8,1),"")</f>
        <v/>
      </c>
      <c r="F103" s="28">
        <f>IF(C103="","",C103-TODAY())</f>
        <v/>
      </c>
      <c r="G103" s="29">
        <f>IF(C103="","",IF(C103&lt;TODAY(),"EXPIRED",IF(C103&lt;TODAY()+60,"&lt; 60 days","OK")))</f>
        <v/>
      </c>
    </row>
    <row r="104" ht="14" customHeight="1">
      <c r="A104" s="30" t="n"/>
      <c r="B104" s="31">
        <f>IF(ISNUMBER(COUNTIF(tbl_Lots[PN],$A$93)),IF(COUNTIF(tbl_Lots[PN],$A$93)&gt;8,"  WARNING: "&amp;(COUNTIF(tbl_Lots[PN],$A$93)-8)&amp;" more lot(s) not shown - extend block",""),"")</f>
        <v/>
      </c>
    </row>
    <row r="105" ht="8" customHeight="1">
      <c r="A105" s="16" t="n"/>
      <c r="B105" s="16" t="n"/>
      <c r="C105" s="16" t="n"/>
      <c r="D105" s="16" t="n"/>
      <c r="E105" s="16" t="n"/>
      <c r="F105" s="16" t="n"/>
      <c r="G105" s="16" t="n"/>
    </row>
  </sheetData>
  <mergeCells count="17">
    <mergeCell ref="F3:G3"/>
    <mergeCell ref="F55:G55"/>
    <mergeCell ref="A1:G1"/>
    <mergeCell ref="B91:G91"/>
    <mergeCell ref="F29:G29"/>
    <mergeCell ref="F16:G16"/>
    <mergeCell ref="F68:G68"/>
    <mergeCell ref="F81:G81"/>
    <mergeCell ref="B65:G65"/>
    <mergeCell ref="B26:G26"/>
    <mergeCell ref="F42:G42"/>
    <mergeCell ref="B13:G13"/>
    <mergeCell ref="F94:G94"/>
    <mergeCell ref="B52:G52"/>
    <mergeCell ref="B78:G78"/>
    <mergeCell ref="B39:G39"/>
    <mergeCell ref="B104:G104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conditionalFormatting sqref="C44:C51">
    <cfRule type="expression" priority="19" dxfId="0">
      <formula>AND(C44&lt;&gt;"",C44&lt;TODAY())</formula>
    </cfRule>
    <cfRule type="expression" priority="20" dxfId="1">
      <formula>AND(C44&lt;&gt;"",C44&gt;=TODAY(),C44&lt;TODAY()+60)</formula>
    </cfRule>
    <cfRule type="expression" priority="21" dxfId="2">
      <formula>AND(C44&lt;&gt;"",C44&gt;=TODAY()+60)</formula>
    </cfRule>
  </conditionalFormatting>
  <conditionalFormatting sqref="G44:G51">
    <cfRule type="expression" priority="22" dxfId="0">
      <formula>G44="EXPIRED"</formula>
    </cfRule>
    <cfRule type="expression" priority="23" dxfId="1">
      <formula>G44="&lt; 60 days"</formula>
    </cfRule>
    <cfRule type="expression" priority="24" dxfId="2">
      <formula>G44="OK"</formula>
    </cfRule>
  </conditionalFormatting>
  <conditionalFormatting sqref="C57:C64">
    <cfRule type="expression" priority="25" dxfId="0">
      <formula>AND(C57&lt;&gt;"",C57&lt;TODAY())</formula>
    </cfRule>
    <cfRule type="expression" priority="26" dxfId="1">
      <formula>AND(C57&lt;&gt;"",C57&gt;=TODAY(),C57&lt;TODAY()+60)</formula>
    </cfRule>
    <cfRule type="expression" priority="27" dxfId="2">
      <formula>AND(C57&lt;&gt;"",C57&gt;=TODAY()+60)</formula>
    </cfRule>
  </conditionalFormatting>
  <conditionalFormatting sqref="G57:G64">
    <cfRule type="expression" priority="28" dxfId="0">
      <formula>G57="EXPIRED"</formula>
    </cfRule>
    <cfRule type="expression" priority="29" dxfId="1">
      <formula>G57="&lt; 60 days"</formula>
    </cfRule>
    <cfRule type="expression" priority="30" dxfId="2">
      <formula>G57="OK"</formula>
    </cfRule>
  </conditionalFormatting>
  <conditionalFormatting sqref="C70:C77">
    <cfRule type="expression" priority="31" dxfId="0">
      <formula>AND(C70&lt;&gt;"",C70&lt;TODAY())</formula>
    </cfRule>
    <cfRule type="expression" priority="32" dxfId="1">
      <formula>AND(C70&lt;&gt;"",C70&gt;=TODAY(),C70&lt;TODAY()+60)</formula>
    </cfRule>
    <cfRule type="expression" priority="33" dxfId="2">
      <formula>AND(C70&lt;&gt;"",C70&gt;=TODAY()+60)</formula>
    </cfRule>
  </conditionalFormatting>
  <conditionalFormatting sqref="G70:G77">
    <cfRule type="expression" priority="34" dxfId="0">
      <formula>G70="EXPIRED"</formula>
    </cfRule>
    <cfRule type="expression" priority="35" dxfId="1">
      <formula>G70="&lt; 60 days"</formula>
    </cfRule>
    <cfRule type="expression" priority="36" dxfId="2">
      <formula>G70="OK"</formula>
    </cfRule>
  </conditionalFormatting>
  <conditionalFormatting sqref="C83:C90">
    <cfRule type="expression" priority="37" dxfId="0">
      <formula>AND(C83&lt;&gt;"",C83&lt;TODAY())</formula>
    </cfRule>
    <cfRule type="expression" priority="38" dxfId="1">
      <formula>AND(C83&lt;&gt;"",C83&gt;=TODAY(),C83&lt;TODAY()+60)</formula>
    </cfRule>
    <cfRule type="expression" priority="39" dxfId="2">
      <formula>AND(C83&lt;&gt;"",C83&gt;=TODAY()+60)</formula>
    </cfRule>
  </conditionalFormatting>
  <conditionalFormatting sqref="G83:G90">
    <cfRule type="expression" priority="40" dxfId="0">
      <formula>G83="EXPIRED"</formula>
    </cfRule>
    <cfRule type="expression" priority="41" dxfId="1">
      <formula>G83="&lt; 60 days"</formula>
    </cfRule>
    <cfRule type="expression" priority="42" dxfId="2">
      <formula>G83="OK"</formula>
    </cfRule>
  </conditionalFormatting>
  <conditionalFormatting sqref="C96:C103">
    <cfRule type="expression" priority="43" dxfId="0">
      <formula>AND(C96&lt;&gt;"",C96&lt;TODAY())</formula>
    </cfRule>
    <cfRule type="expression" priority="44" dxfId="1">
      <formula>AND(C96&lt;&gt;"",C96&gt;=TODAY(),C96&lt;TODAY()+60)</formula>
    </cfRule>
    <cfRule type="expression" priority="45" dxfId="2">
      <formula>AND(C96&lt;&gt;"",C96&gt;=TODAY()+60)</formula>
    </cfRule>
  </conditionalFormatting>
  <conditionalFormatting sqref="G96:G103">
    <cfRule type="expression" priority="46" dxfId="0">
      <formula>G96="EXPIRED"</formula>
    </cfRule>
    <cfRule type="expression" priority="47" dxfId="1">
      <formula>G96="&lt; 60 days"</formula>
    </cfRule>
    <cfRule type="expression" priority="48" dxfId="2">
      <formula>G96="OK"</formula>
    </cfRule>
  </conditionalFormatting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G27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MRSA SA</t>
        </is>
      </c>
    </row>
    <row r="2" ht="20" customHeight="1">
      <c r="A2" s="8" t="inlineStr">
        <is>
          <t>500-0905</t>
        </is>
      </c>
      <c r="B2" s="9" t="inlineStr">
        <is>
          <t>MRSA 5.3e3 cells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POS IPT -80 frys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500-2288</t>
        </is>
      </c>
      <c r="B15" s="9" t="inlineStr">
        <is>
          <t>GX Lysis buffer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SR / TET / MATRIX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</sheetData>
  <mergeCells count="5">
    <mergeCell ref="F3:G3"/>
    <mergeCell ref="A1:G1"/>
    <mergeCell ref="F16:G16"/>
    <mergeCell ref="B26:G26"/>
    <mergeCell ref="B13:G13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G66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MRSA NxG</t>
        </is>
      </c>
    </row>
    <row r="2" ht="20" customHeight="1">
      <c r="A2" s="8" t="inlineStr">
        <is>
          <t>500-0905</t>
        </is>
      </c>
      <c r="B2" s="9" t="inlineStr">
        <is>
          <t>MRSA 5.3e3 cells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POS IPT -80 frys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500-2288</t>
        </is>
      </c>
      <c r="B15" s="9" t="inlineStr">
        <is>
          <t>GX Lysis buffer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SR / TET / MATRIX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525-00079</t>
        </is>
      </c>
      <c r="B28" s="9" t="inlineStr">
        <is>
          <t>NATTROL MRSA HIGH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POS IPT kylskåp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  <row r="41" ht="20" customHeight="1">
      <c r="A41" s="8" t="inlineStr">
        <is>
          <t>525-00080</t>
        </is>
      </c>
      <c r="B41" s="9" t="inlineStr">
        <is>
          <t>NATTROL MRSA LOW</t>
        </is>
      </c>
      <c r="C41" s="10" t="n"/>
      <c r="D41" s="10" t="n"/>
      <c r="E41" s="10" t="n"/>
      <c r="F41" s="10" t="n"/>
      <c r="G41" s="10" t="n"/>
    </row>
    <row r="42" ht="16" customHeight="1">
      <c r="A42" s="11" t="n"/>
      <c r="B42" s="12" t="inlineStr">
        <is>
          <t>POS IPT kylskåp</t>
        </is>
      </c>
      <c r="C42" s="11" t="n"/>
      <c r="D42" s="11" t="n"/>
      <c r="E42" s="11" t="n"/>
      <c r="F42" s="13">
        <f>IFERROR(COUNTIF(tbl_Lots[PN],$A$41)&amp;" active lot(s)  |  max 8 shown","")</f>
        <v/>
      </c>
    </row>
    <row r="43" ht="16" customHeight="1">
      <c r="A43" s="14" t="n"/>
      <c r="B43" s="15" t="inlineStr">
        <is>
          <t>Lot Number</t>
        </is>
      </c>
      <c r="C43" s="15" t="inlineStr">
        <is>
          <t>Expiration Date</t>
        </is>
      </c>
      <c r="D43" s="15" t="inlineStr">
        <is>
          <t>Qty</t>
        </is>
      </c>
      <c r="E43" s="15" t="inlineStr">
        <is>
          <t>Last Inventory</t>
        </is>
      </c>
      <c r="F43" s="15" t="inlineStr">
        <is>
          <t>Days Left</t>
        </is>
      </c>
      <c r="G43" s="15" t="inlineStr">
        <is>
          <t>Status</t>
        </is>
      </c>
    </row>
    <row r="44" ht="17" customHeight="1">
      <c r="A44" s="16" t="n"/>
      <c r="B44" s="17">
        <f>IFERROR(INDEX(FILTER(tbl_Lots[LotNumber],tbl_Lots[PN]=$A$41,""),1,1),"")</f>
        <v/>
      </c>
      <c r="C44" s="18">
        <f>IFERROR(INDEX(FILTER(tbl_Lots[ExpirationDate],tbl_Lots[PN]=$A$41,""),1,1),"")</f>
        <v/>
      </c>
      <c r="D44" s="19">
        <f>IFERROR(INDEX(FILTER(tbl_Lots[Qty],tbl_Lots[PN]=$A$41,""),1,1),"")</f>
        <v/>
      </c>
      <c r="E44" s="20">
        <f>IFERROR(INDEX(FILTER(tbl_Lots[LatestInventory],tbl_Lots[PN]=$A$41,""),1,1),"")</f>
        <v/>
      </c>
      <c r="F44" s="21">
        <f>IF(C44="","",C44-TODAY())</f>
        <v/>
      </c>
      <c r="G44" s="22">
        <f>IF(C44="","",IF(C44&lt;TODAY(),"EXPIRED",IF(C44&lt;TODAY()+60,"&lt; 60 days","OK")))</f>
        <v/>
      </c>
    </row>
    <row r="45" ht="17" customHeight="1">
      <c r="A45" s="23" t="n"/>
      <c r="B45" s="24">
        <f>IFERROR(INDEX(FILTER(tbl_Lots[LotNumber],tbl_Lots[PN]=$A$41,""),2,1),"")</f>
        <v/>
      </c>
      <c r="C45" s="25">
        <f>IFERROR(INDEX(FILTER(tbl_Lots[ExpirationDate],tbl_Lots[PN]=$A$41,""),2,1),"")</f>
        <v/>
      </c>
      <c r="D45" s="26">
        <f>IFERROR(INDEX(FILTER(tbl_Lots[Qty],tbl_Lots[PN]=$A$41,""),2,1),"")</f>
        <v/>
      </c>
      <c r="E45" s="27">
        <f>IFERROR(INDEX(FILTER(tbl_Lots[LatestInventory],tbl_Lots[PN]=$A$41,""),2,1),"")</f>
        <v/>
      </c>
      <c r="F45" s="28">
        <f>IF(C45="","",C45-TODAY())</f>
        <v/>
      </c>
      <c r="G45" s="29">
        <f>IF(C45="","",IF(C45&lt;TODAY(),"EXPIRED",IF(C45&lt;TODAY()+60,"&lt; 60 days","OK")))</f>
        <v/>
      </c>
    </row>
    <row r="46" ht="17" customHeight="1">
      <c r="A46" s="16" t="n"/>
      <c r="B46" s="17">
        <f>IFERROR(INDEX(FILTER(tbl_Lots[LotNumber],tbl_Lots[PN]=$A$41,""),3,1),"")</f>
        <v/>
      </c>
      <c r="C46" s="18">
        <f>IFERROR(INDEX(FILTER(tbl_Lots[ExpirationDate],tbl_Lots[PN]=$A$41,""),3,1),"")</f>
        <v/>
      </c>
      <c r="D46" s="19">
        <f>IFERROR(INDEX(FILTER(tbl_Lots[Qty],tbl_Lots[PN]=$A$41,""),3,1),"")</f>
        <v/>
      </c>
      <c r="E46" s="20">
        <f>IFERROR(INDEX(FILTER(tbl_Lots[LatestInventory],tbl_Lots[PN]=$A$41,""),3,1),"")</f>
        <v/>
      </c>
      <c r="F46" s="21">
        <f>IF(C46="","",C46-TODAY())</f>
        <v/>
      </c>
      <c r="G46" s="22">
        <f>IF(C46="","",IF(C46&lt;TODAY(),"EXPIRED",IF(C46&lt;TODAY()+60,"&lt; 60 days","OK")))</f>
        <v/>
      </c>
    </row>
    <row r="47" ht="17" customHeight="1">
      <c r="A47" s="23" t="n"/>
      <c r="B47" s="24">
        <f>IFERROR(INDEX(FILTER(tbl_Lots[LotNumber],tbl_Lots[PN]=$A$41,""),4,1),"")</f>
        <v/>
      </c>
      <c r="C47" s="25">
        <f>IFERROR(INDEX(FILTER(tbl_Lots[ExpirationDate],tbl_Lots[PN]=$A$41,""),4,1),"")</f>
        <v/>
      </c>
      <c r="D47" s="26">
        <f>IFERROR(INDEX(FILTER(tbl_Lots[Qty],tbl_Lots[PN]=$A$41,""),4,1),"")</f>
        <v/>
      </c>
      <c r="E47" s="27">
        <f>IFERROR(INDEX(FILTER(tbl_Lots[LatestInventory],tbl_Lots[PN]=$A$41,""),4,1),"")</f>
        <v/>
      </c>
      <c r="F47" s="28">
        <f>IF(C47="","",C47-TODAY())</f>
        <v/>
      </c>
      <c r="G47" s="29">
        <f>IF(C47="","",IF(C47&lt;TODAY(),"EXPIRED",IF(C47&lt;TODAY()+60,"&lt; 60 days","OK")))</f>
        <v/>
      </c>
    </row>
    <row r="48" ht="17" customHeight="1">
      <c r="A48" s="16" t="n"/>
      <c r="B48" s="17">
        <f>IFERROR(INDEX(FILTER(tbl_Lots[LotNumber],tbl_Lots[PN]=$A$41,""),5,1),"")</f>
        <v/>
      </c>
      <c r="C48" s="18">
        <f>IFERROR(INDEX(FILTER(tbl_Lots[ExpirationDate],tbl_Lots[PN]=$A$41,""),5,1),"")</f>
        <v/>
      </c>
      <c r="D48" s="19">
        <f>IFERROR(INDEX(FILTER(tbl_Lots[Qty],tbl_Lots[PN]=$A$41,""),5,1),"")</f>
        <v/>
      </c>
      <c r="E48" s="20">
        <f>IFERROR(INDEX(FILTER(tbl_Lots[LatestInventory],tbl_Lots[PN]=$A$41,""),5,1),"")</f>
        <v/>
      </c>
      <c r="F48" s="21">
        <f>IF(C48="","",C48-TODAY())</f>
        <v/>
      </c>
      <c r="G48" s="22">
        <f>IF(C48="","",IF(C48&lt;TODAY(),"EXPIRED",IF(C48&lt;TODAY()+60,"&lt; 60 days","OK")))</f>
        <v/>
      </c>
    </row>
    <row r="49" ht="17" customHeight="1">
      <c r="A49" s="23" t="n"/>
      <c r="B49" s="24">
        <f>IFERROR(INDEX(FILTER(tbl_Lots[LotNumber],tbl_Lots[PN]=$A$41,""),6,1),"")</f>
        <v/>
      </c>
      <c r="C49" s="25">
        <f>IFERROR(INDEX(FILTER(tbl_Lots[ExpirationDate],tbl_Lots[PN]=$A$41,""),6,1),"")</f>
        <v/>
      </c>
      <c r="D49" s="26">
        <f>IFERROR(INDEX(FILTER(tbl_Lots[Qty],tbl_Lots[PN]=$A$41,""),6,1),"")</f>
        <v/>
      </c>
      <c r="E49" s="27">
        <f>IFERROR(INDEX(FILTER(tbl_Lots[LatestInventory],tbl_Lots[PN]=$A$41,""),6,1),"")</f>
        <v/>
      </c>
      <c r="F49" s="28">
        <f>IF(C49="","",C49-TODAY())</f>
        <v/>
      </c>
      <c r="G49" s="29">
        <f>IF(C49="","",IF(C49&lt;TODAY(),"EXPIRED",IF(C49&lt;TODAY()+60,"&lt; 60 days","OK")))</f>
        <v/>
      </c>
    </row>
    <row r="50" ht="17" customHeight="1">
      <c r="A50" s="16" t="n"/>
      <c r="B50" s="17">
        <f>IFERROR(INDEX(FILTER(tbl_Lots[LotNumber],tbl_Lots[PN]=$A$41,""),7,1),"")</f>
        <v/>
      </c>
      <c r="C50" s="18">
        <f>IFERROR(INDEX(FILTER(tbl_Lots[ExpirationDate],tbl_Lots[PN]=$A$41,""),7,1),"")</f>
        <v/>
      </c>
      <c r="D50" s="19">
        <f>IFERROR(INDEX(FILTER(tbl_Lots[Qty],tbl_Lots[PN]=$A$41,""),7,1),"")</f>
        <v/>
      </c>
      <c r="E50" s="20">
        <f>IFERROR(INDEX(FILTER(tbl_Lots[LatestInventory],tbl_Lots[PN]=$A$41,""),7,1),"")</f>
        <v/>
      </c>
      <c r="F50" s="21">
        <f>IF(C50="","",C50-TODAY())</f>
        <v/>
      </c>
      <c r="G50" s="22">
        <f>IF(C50="","",IF(C50&lt;TODAY(),"EXPIRED",IF(C50&lt;TODAY()+60,"&lt; 60 days","OK")))</f>
        <v/>
      </c>
    </row>
    <row r="51" ht="17" customHeight="1">
      <c r="A51" s="23" t="n"/>
      <c r="B51" s="24">
        <f>IFERROR(INDEX(FILTER(tbl_Lots[LotNumber],tbl_Lots[PN]=$A$41,""),8,1),"")</f>
        <v/>
      </c>
      <c r="C51" s="25">
        <f>IFERROR(INDEX(FILTER(tbl_Lots[ExpirationDate],tbl_Lots[PN]=$A$41,""),8,1),"")</f>
        <v/>
      </c>
      <c r="D51" s="26">
        <f>IFERROR(INDEX(FILTER(tbl_Lots[Qty],tbl_Lots[PN]=$A$41,""),8,1),"")</f>
        <v/>
      </c>
      <c r="E51" s="27">
        <f>IFERROR(INDEX(FILTER(tbl_Lots[LatestInventory],tbl_Lots[PN]=$A$41,""),8,1),"")</f>
        <v/>
      </c>
      <c r="F51" s="28">
        <f>IF(C51="","",C51-TODAY())</f>
        <v/>
      </c>
      <c r="G51" s="29">
        <f>IF(C51="","",IF(C51&lt;TODAY(),"EXPIRED",IF(C51&lt;TODAY()+60,"&lt; 60 days","OK")))</f>
        <v/>
      </c>
    </row>
    <row r="52" ht="14" customHeight="1">
      <c r="A52" s="30" t="n"/>
      <c r="B52" s="31">
        <f>IF(ISNUMBER(COUNTIF(tbl_Lots[PN],$A$41)),IF(COUNTIF(tbl_Lots[PN],$A$41)&gt;8,"  WARNING: "&amp;(COUNTIF(tbl_Lots[PN],$A$41)-8)&amp;" more lot(s) not shown - extend block",""),"")</f>
        <v/>
      </c>
    </row>
    <row r="53" ht="8" customHeight="1">
      <c r="A53" s="16" t="n"/>
      <c r="B53" s="16" t="n"/>
      <c r="C53" s="16" t="n"/>
      <c r="D53" s="16" t="n"/>
      <c r="E53" s="16" t="n"/>
      <c r="F53" s="16" t="n"/>
      <c r="G53" s="16" t="n"/>
    </row>
    <row r="54" ht="20" customHeight="1">
      <c r="A54" s="8" t="inlineStr">
        <is>
          <t>525-00081</t>
        </is>
      </c>
      <c r="B54" s="9" t="inlineStr">
        <is>
          <t>NATTROL MSSE</t>
        </is>
      </c>
      <c r="C54" s="10" t="n"/>
      <c r="D54" s="10" t="n"/>
      <c r="E54" s="10" t="n"/>
      <c r="F54" s="10" t="n"/>
      <c r="G54" s="10" t="n"/>
    </row>
    <row r="55" ht="16" customHeight="1">
      <c r="A55" s="11" t="n"/>
      <c r="B55" s="12" t="inlineStr">
        <is>
          <t>NEG IPT kylskåp</t>
        </is>
      </c>
      <c r="C55" s="11" t="n"/>
      <c r="D55" s="11" t="n"/>
      <c r="E55" s="11" t="n"/>
      <c r="F55" s="13">
        <f>IFERROR(COUNTIF(tbl_Lots[PN],$A$54)&amp;" active lot(s)  |  max 8 shown","")</f>
        <v/>
      </c>
    </row>
    <row r="56" ht="16" customHeight="1">
      <c r="A56" s="14" t="n"/>
      <c r="B56" s="15" t="inlineStr">
        <is>
          <t>Lot Number</t>
        </is>
      </c>
      <c r="C56" s="15" t="inlineStr">
        <is>
          <t>Expiration Date</t>
        </is>
      </c>
      <c r="D56" s="15" t="inlineStr">
        <is>
          <t>Qty</t>
        </is>
      </c>
      <c r="E56" s="15" t="inlineStr">
        <is>
          <t>Last Inventory</t>
        </is>
      </c>
      <c r="F56" s="15" t="inlineStr">
        <is>
          <t>Days Left</t>
        </is>
      </c>
      <c r="G56" s="15" t="inlineStr">
        <is>
          <t>Status</t>
        </is>
      </c>
    </row>
    <row r="57" ht="17" customHeight="1">
      <c r="A57" s="16" t="n"/>
      <c r="B57" s="17">
        <f>IFERROR(INDEX(FILTER(tbl_Lots[LotNumber],tbl_Lots[PN]=$A$54,""),1,1),"")</f>
        <v/>
      </c>
      <c r="C57" s="18">
        <f>IFERROR(INDEX(FILTER(tbl_Lots[ExpirationDate],tbl_Lots[PN]=$A$54,""),1,1),"")</f>
        <v/>
      </c>
      <c r="D57" s="19">
        <f>IFERROR(INDEX(FILTER(tbl_Lots[Qty],tbl_Lots[PN]=$A$54,""),1,1),"")</f>
        <v/>
      </c>
      <c r="E57" s="20">
        <f>IFERROR(INDEX(FILTER(tbl_Lots[LatestInventory],tbl_Lots[PN]=$A$54,""),1,1),"")</f>
        <v/>
      </c>
      <c r="F57" s="21">
        <f>IF(C57="","",C57-TODAY())</f>
        <v/>
      </c>
      <c r="G57" s="22">
        <f>IF(C57="","",IF(C57&lt;TODAY(),"EXPIRED",IF(C57&lt;TODAY()+60,"&lt; 60 days","OK")))</f>
        <v/>
      </c>
    </row>
    <row r="58" ht="17" customHeight="1">
      <c r="A58" s="23" t="n"/>
      <c r="B58" s="24">
        <f>IFERROR(INDEX(FILTER(tbl_Lots[LotNumber],tbl_Lots[PN]=$A$54,""),2,1),"")</f>
        <v/>
      </c>
      <c r="C58" s="25">
        <f>IFERROR(INDEX(FILTER(tbl_Lots[ExpirationDate],tbl_Lots[PN]=$A$54,""),2,1),"")</f>
        <v/>
      </c>
      <c r="D58" s="26">
        <f>IFERROR(INDEX(FILTER(tbl_Lots[Qty],tbl_Lots[PN]=$A$54,""),2,1),"")</f>
        <v/>
      </c>
      <c r="E58" s="27">
        <f>IFERROR(INDEX(FILTER(tbl_Lots[LatestInventory],tbl_Lots[PN]=$A$54,""),2,1),"")</f>
        <v/>
      </c>
      <c r="F58" s="28">
        <f>IF(C58="","",C58-TODAY())</f>
        <v/>
      </c>
      <c r="G58" s="29">
        <f>IF(C58="","",IF(C58&lt;TODAY(),"EXPIRED",IF(C58&lt;TODAY()+60,"&lt; 60 days","OK")))</f>
        <v/>
      </c>
    </row>
    <row r="59" ht="17" customHeight="1">
      <c r="A59" s="16" t="n"/>
      <c r="B59" s="17">
        <f>IFERROR(INDEX(FILTER(tbl_Lots[LotNumber],tbl_Lots[PN]=$A$54,""),3,1),"")</f>
        <v/>
      </c>
      <c r="C59" s="18">
        <f>IFERROR(INDEX(FILTER(tbl_Lots[ExpirationDate],tbl_Lots[PN]=$A$54,""),3,1),"")</f>
        <v/>
      </c>
      <c r="D59" s="19">
        <f>IFERROR(INDEX(FILTER(tbl_Lots[Qty],tbl_Lots[PN]=$A$54,""),3,1),"")</f>
        <v/>
      </c>
      <c r="E59" s="20">
        <f>IFERROR(INDEX(FILTER(tbl_Lots[LatestInventory],tbl_Lots[PN]=$A$54,""),3,1),"")</f>
        <v/>
      </c>
      <c r="F59" s="21">
        <f>IF(C59="","",C59-TODAY())</f>
        <v/>
      </c>
      <c r="G59" s="22">
        <f>IF(C59="","",IF(C59&lt;TODAY(),"EXPIRED",IF(C59&lt;TODAY()+60,"&lt; 60 days","OK")))</f>
        <v/>
      </c>
    </row>
    <row r="60" ht="17" customHeight="1">
      <c r="A60" s="23" t="n"/>
      <c r="B60" s="24">
        <f>IFERROR(INDEX(FILTER(tbl_Lots[LotNumber],tbl_Lots[PN]=$A$54,""),4,1),"")</f>
        <v/>
      </c>
      <c r="C60" s="25">
        <f>IFERROR(INDEX(FILTER(tbl_Lots[ExpirationDate],tbl_Lots[PN]=$A$54,""),4,1),"")</f>
        <v/>
      </c>
      <c r="D60" s="26">
        <f>IFERROR(INDEX(FILTER(tbl_Lots[Qty],tbl_Lots[PN]=$A$54,""),4,1),"")</f>
        <v/>
      </c>
      <c r="E60" s="27">
        <f>IFERROR(INDEX(FILTER(tbl_Lots[LatestInventory],tbl_Lots[PN]=$A$54,""),4,1),"")</f>
        <v/>
      </c>
      <c r="F60" s="28">
        <f>IF(C60="","",C60-TODAY())</f>
        <v/>
      </c>
      <c r="G60" s="29">
        <f>IF(C60="","",IF(C60&lt;TODAY(),"EXPIRED",IF(C60&lt;TODAY()+60,"&lt; 60 days","OK")))</f>
        <v/>
      </c>
    </row>
    <row r="61" ht="17" customHeight="1">
      <c r="A61" s="16" t="n"/>
      <c r="B61" s="17">
        <f>IFERROR(INDEX(FILTER(tbl_Lots[LotNumber],tbl_Lots[PN]=$A$54,""),5,1),"")</f>
        <v/>
      </c>
      <c r="C61" s="18">
        <f>IFERROR(INDEX(FILTER(tbl_Lots[ExpirationDate],tbl_Lots[PN]=$A$54,""),5,1),"")</f>
        <v/>
      </c>
      <c r="D61" s="19">
        <f>IFERROR(INDEX(FILTER(tbl_Lots[Qty],tbl_Lots[PN]=$A$54,""),5,1),"")</f>
        <v/>
      </c>
      <c r="E61" s="20">
        <f>IFERROR(INDEX(FILTER(tbl_Lots[LatestInventory],tbl_Lots[PN]=$A$54,""),5,1),"")</f>
        <v/>
      </c>
      <c r="F61" s="21">
        <f>IF(C61="","",C61-TODAY())</f>
        <v/>
      </c>
      <c r="G61" s="22">
        <f>IF(C61="","",IF(C61&lt;TODAY(),"EXPIRED",IF(C61&lt;TODAY()+60,"&lt; 60 days","OK")))</f>
        <v/>
      </c>
    </row>
    <row r="62" ht="17" customHeight="1">
      <c r="A62" s="23" t="n"/>
      <c r="B62" s="24">
        <f>IFERROR(INDEX(FILTER(tbl_Lots[LotNumber],tbl_Lots[PN]=$A$54,""),6,1),"")</f>
        <v/>
      </c>
      <c r="C62" s="25">
        <f>IFERROR(INDEX(FILTER(tbl_Lots[ExpirationDate],tbl_Lots[PN]=$A$54,""),6,1),"")</f>
        <v/>
      </c>
      <c r="D62" s="26">
        <f>IFERROR(INDEX(FILTER(tbl_Lots[Qty],tbl_Lots[PN]=$A$54,""),6,1),"")</f>
        <v/>
      </c>
      <c r="E62" s="27">
        <f>IFERROR(INDEX(FILTER(tbl_Lots[LatestInventory],tbl_Lots[PN]=$A$54,""),6,1),"")</f>
        <v/>
      </c>
      <c r="F62" s="28">
        <f>IF(C62="","",C62-TODAY())</f>
        <v/>
      </c>
      <c r="G62" s="29">
        <f>IF(C62="","",IF(C62&lt;TODAY(),"EXPIRED",IF(C62&lt;TODAY()+60,"&lt; 60 days","OK")))</f>
        <v/>
      </c>
    </row>
    <row r="63" ht="17" customHeight="1">
      <c r="A63" s="16" t="n"/>
      <c r="B63" s="17">
        <f>IFERROR(INDEX(FILTER(tbl_Lots[LotNumber],tbl_Lots[PN]=$A$54,""),7,1),"")</f>
        <v/>
      </c>
      <c r="C63" s="18">
        <f>IFERROR(INDEX(FILTER(tbl_Lots[ExpirationDate],tbl_Lots[PN]=$A$54,""),7,1),"")</f>
        <v/>
      </c>
      <c r="D63" s="19">
        <f>IFERROR(INDEX(FILTER(tbl_Lots[Qty],tbl_Lots[PN]=$A$54,""),7,1),"")</f>
        <v/>
      </c>
      <c r="E63" s="20">
        <f>IFERROR(INDEX(FILTER(tbl_Lots[LatestInventory],tbl_Lots[PN]=$A$54,""),7,1),"")</f>
        <v/>
      </c>
      <c r="F63" s="21">
        <f>IF(C63="","",C63-TODAY())</f>
        <v/>
      </c>
      <c r="G63" s="22">
        <f>IF(C63="","",IF(C63&lt;TODAY(),"EXPIRED",IF(C63&lt;TODAY()+60,"&lt; 60 days","OK")))</f>
        <v/>
      </c>
    </row>
    <row r="64" ht="17" customHeight="1">
      <c r="A64" s="23" t="n"/>
      <c r="B64" s="24">
        <f>IFERROR(INDEX(FILTER(tbl_Lots[LotNumber],tbl_Lots[PN]=$A$54,""),8,1),"")</f>
        <v/>
      </c>
      <c r="C64" s="25">
        <f>IFERROR(INDEX(FILTER(tbl_Lots[ExpirationDate],tbl_Lots[PN]=$A$54,""),8,1),"")</f>
        <v/>
      </c>
      <c r="D64" s="26">
        <f>IFERROR(INDEX(FILTER(tbl_Lots[Qty],tbl_Lots[PN]=$A$54,""),8,1),"")</f>
        <v/>
      </c>
      <c r="E64" s="27">
        <f>IFERROR(INDEX(FILTER(tbl_Lots[LatestInventory],tbl_Lots[PN]=$A$54,""),8,1),"")</f>
        <v/>
      </c>
      <c r="F64" s="28">
        <f>IF(C64="","",C64-TODAY())</f>
        <v/>
      </c>
      <c r="G64" s="29">
        <f>IF(C64="","",IF(C64&lt;TODAY(),"EXPIRED",IF(C64&lt;TODAY()+60,"&lt; 60 days","OK")))</f>
        <v/>
      </c>
    </row>
    <row r="65" ht="14" customHeight="1">
      <c r="A65" s="30" t="n"/>
      <c r="B65" s="31">
        <f>IF(ISNUMBER(COUNTIF(tbl_Lots[PN],$A$54)),IF(COUNTIF(tbl_Lots[PN],$A$54)&gt;8,"  WARNING: "&amp;(COUNTIF(tbl_Lots[PN],$A$54)-8)&amp;" more lot(s) not shown - extend block",""),"")</f>
        <v/>
      </c>
    </row>
    <row r="66" ht="8" customHeight="1">
      <c r="A66" s="16" t="n"/>
      <c r="B66" s="16" t="n"/>
      <c r="C66" s="16" t="n"/>
      <c r="D66" s="16" t="n"/>
      <c r="E66" s="16" t="n"/>
      <c r="F66" s="16" t="n"/>
      <c r="G66" s="16" t="n"/>
    </row>
  </sheetData>
  <mergeCells count="11">
    <mergeCell ref="F3:G3"/>
    <mergeCell ref="F55:G55"/>
    <mergeCell ref="A1:G1"/>
    <mergeCell ref="F29:G29"/>
    <mergeCell ref="F16:G16"/>
    <mergeCell ref="B65:G65"/>
    <mergeCell ref="B26:G26"/>
    <mergeCell ref="F42:G42"/>
    <mergeCell ref="B13:G13"/>
    <mergeCell ref="B52:G52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conditionalFormatting sqref="C44:C51">
    <cfRule type="expression" priority="19" dxfId="0">
      <formula>AND(C44&lt;&gt;"",C44&lt;TODAY())</formula>
    </cfRule>
    <cfRule type="expression" priority="20" dxfId="1">
      <formula>AND(C44&lt;&gt;"",C44&gt;=TODAY(),C44&lt;TODAY()+60)</formula>
    </cfRule>
    <cfRule type="expression" priority="21" dxfId="2">
      <formula>AND(C44&lt;&gt;"",C44&gt;=TODAY()+60)</formula>
    </cfRule>
  </conditionalFormatting>
  <conditionalFormatting sqref="G44:G51">
    <cfRule type="expression" priority="22" dxfId="0">
      <formula>G44="EXPIRED"</formula>
    </cfRule>
    <cfRule type="expression" priority="23" dxfId="1">
      <formula>G44="&lt; 60 days"</formula>
    </cfRule>
    <cfRule type="expression" priority="24" dxfId="2">
      <formula>G44="OK"</formula>
    </cfRule>
  </conditionalFormatting>
  <conditionalFormatting sqref="C57:C64">
    <cfRule type="expression" priority="25" dxfId="0">
      <formula>AND(C57&lt;&gt;"",C57&lt;TODAY())</formula>
    </cfRule>
    <cfRule type="expression" priority="26" dxfId="1">
      <formula>AND(C57&lt;&gt;"",C57&gt;=TODAY(),C57&lt;TODAY()+60)</formula>
    </cfRule>
    <cfRule type="expression" priority="27" dxfId="2">
      <formula>AND(C57&lt;&gt;"",C57&gt;=TODAY()+60)</formula>
    </cfRule>
  </conditionalFormatting>
  <conditionalFormatting sqref="G57:G64">
    <cfRule type="expression" priority="28" dxfId="0">
      <formula>G57="EXPIRED"</formula>
    </cfRule>
    <cfRule type="expression" priority="29" dxfId="1">
      <formula>G57="&lt; 60 days"</formula>
    </cfRule>
    <cfRule type="expression" priority="30" dxfId="2">
      <formula>G57="OK"</formula>
    </cfRule>
  </conditionalFormatting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G53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NORO</t>
        </is>
      </c>
    </row>
    <row r="2" ht="20" customHeight="1">
      <c r="A2" s="8" t="inlineStr">
        <is>
          <t>500-1712</t>
        </is>
      </c>
      <c r="B2" s="9" t="inlineStr">
        <is>
          <t>Lysis Reagent Xpert Virus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SR / TET / MATRIX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500-1879</t>
        </is>
      </c>
      <c r="B15" s="9" t="inlineStr">
        <is>
          <t>Positive control HIGH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-80 frys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500-1880</t>
        </is>
      </c>
      <c r="B28" s="9" t="inlineStr">
        <is>
          <t>Positive control (PC) LOW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POS IPT -80 frys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  <row r="41" ht="20" customHeight="1">
      <c r="A41" s="8" t="inlineStr">
        <is>
          <t>500-1882</t>
        </is>
      </c>
      <c r="B41" s="9" t="inlineStr">
        <is>
          <t>Negative control (NTC) Rota virus</t>
        </is>
      </c>
      <c r="C41" s="10" t="n"/>
      <c r="D41" s="10" t="n"/>
      <c r="E41" s="10" t="n"/>
      <c r="F41" s="10" t="n"/>
      <c r="G41" s="10" t="n"/>
    </row>
    <row r="42" ht="16" customHeight="1">
      <c r="A42" s="11" t="n"/>
      <c r="B42" s="12" t="inlineStr">
        <is>
          <t>NEG IPT kylskåp</t>
        </is>
      </c>
      <c r="C42" s="11" t="n"/>
      <c r="D42" s="11" t="n"/>
      <c r="E42" s="11" t="n"/>
      <c r="F42" s="13">
        <f>IFERROR(COUNTIF(tbl_Lots[PN],$A$41)&amp;" active lot(s)  |  max 8 shown","")</f>
        <v/>
      </c>
    </row>
    <row r="43" ht="16" customHeight="1">
      <c r="A43" s="14" t="n"/>
      <c r="B43" s="15" t="inlineStr">
        <is>
          <t>Lot Number</t>
        </is>
      </c>
      <c r="C43" s="15" t="inlineStr">
        <is>
          <t>Expiration Date</t>
        </is>
      </c>
      <c r="D43" s="15" t="inlineStr">
        <is>
          <t>Qty</t>
        </is>
      </c>
      <c r="E43" s="15" t="inlineStr">
        <is>
          <t>Last Inventory</t>
        </is>
      </c>
      <c r="F43" s="15" t="inlineStr">
        <is>
          <t>Days Left</t>
        </is>
      </c>
      <c r="G43" s="15" t="inlineStr">
        <is>
          <t>Status</t>
        </is>
      </c>
    </row>
    <row r="44" ht="17" customHeight="1">
      <c r="A44" s="16" t="n"/>
      <c r="B44" s="17">
        <f>IFERROR(INDEX(FILTER(tbl_Lots[LotNumber],tbl_Lots[PN]=$A$41,""),1,1),"")</f>
        <v/>
      </c>
      <c r="C44" s="18">
        <f>IFERROR(INDEX(FILTER(tbl_Lots[ExpirationDate],tbl_Lots[PN]=$A$41,""),1,1),"")</f>
        <v/>
      </c>
      <c r="D44" s="19">
        <f>IFERROR(INDEX(FILTER(tbl_Lots[Qty],tbl_Lots[PN]=$A$41,""),1,1),"")</f>
        <v/>
      </c>
      <c r="E44" s="20">
        <f>IFERROR(INDEX(FILTER(tbl_Lots[LatestInventory],tbl_Lots[PN]=$A$41,""),1,1),"")</f>
        <v/>
      </c>
      <c r="F44" s="21">
        <f>IF(C44="","",C44-TODAY())</f>
        <v/>
      </c>
      <c r="G44" s="22">
        <f>IF(C44="","",IF(C44&lt;TODAY(),"EXPIRED",IF(C44&lt;TODAY()+60,"&lt; 60 days","OK")))</f>
        <v/>
      </c>
    </row>
    <row r="45" ht="17" customHeight="1">
      <c r="A45" s="23" t="n"/>
      <c r="B45" s="24">
        <f>IFERROR(INDEX(FILTER(tbl_Lots[LotNumber],tbl_Lots[PN]=$A$41,""),2,1),"")</f>
        <v/>
      </c>
      <c r="C45" s="25">
        <f>IFERROR(INDEX(FILTER(tbl_Lots[ExpirationDate],tbl_Lots[PN]=$A$41,""),2,1),"")</f>
        <v/>
      </c>
      <c r="D45" s="26">
        <f>IFERROR(INDEX(FILTER(tbl_Lots[Qty],tbl_Lots[PN]=$A$41,""),2,1),"")</f>
        <v/>
      </c>
      <c r="E45" s="27">
        <f>IFERROR(INDEX(FILTER(tbl_Lots[LatestInventory],tbl_Lots[PN]=$A$41,""),2,1),"")</f>
        <v/>
      </c>
      <c r="F45" s="28">
        <f>IF(C45="","",C45-TODAY())</f>
        <v/>
      </c>
      <c r="G45" s="29">
        <f>IF(C45="","",IF(C45&lt;TODAY(),"EXPIRED",IF(C45&lt;TODAY()+60,"&lt; 60 days","OK")))</f>
        <v/>
      </c>
    </row>
    <row r="46" ht="17" customHeight="1">
      <c r="A46" s="16" t="n"/>
      <c r="B46" s="17">
        <f>IFERROR(INDEX(FILTER(tbl_Lots[LotNumber],tbl_Lots[PN]=$A$41,""),3,1),"")</f>
        <v/>
      </c>
      <c r="C46" s="18">
        <f>IFERROR(INDEX(FILTER(tbl_Lots[ExpirationDate],tbl_Lots[PN]=$A$41,""),3,1),"")</f>
        <v/>
      </c>
      <c r="D46" s="19">
        <f>IFERROR(INDEX(FILTER(tbl_Lots[Qty],tbl_Lots[PN]=$A$41,""),3,1),"")</f>
        <v/>
      </c>
      <c r="E46" s="20">
        <f>IFERROR(INDEX(FILTER(tbl_Lots[LatestInventory],tbl_Lots[PN]=$A$41,""),3,1),"")</f>
        <v/>
      </c>
      <c r="F46" s="21">
        <f>IF(C46="","",C46-TODAY())</f>
        <v/>
      </c>
      <c r="G46" s="22">
        <f>IF(C46="","",IF(C46&lt;TODAY(),"EXPIRED",IF(C46&lt;TODAY()+60,"&lt; 60 days","OK")))</f>
        <v/>
      </c>
    </row>
    <row r="47" ht="17" customHeight="1">
      <c r="A47" s="23" t="n"/>
      <c r="B47" s="24">
        <f>IFERROR(INDEX(FILTER(tbl_Lots[LotNumber],tbl_Lots[PN]=$A$41,""),4,1),"")</f>
        <v/>
      </c>
      <c r="C47" s="25">
        <f>IFERROR(INDEX(FILTER(tbl_Lots[ExpirationDate],tbl_Lots[PN]=$A$41,""),4,1),"")</f>
        <v/>
      </c>
      <c r="D47" s="26">
        <f>IFERROR(INDEX(FILTER(tbl_Lots[Qty],tbl_Lots[PN]=$A$41,""),4,1),"")</f>
        <v/>
      </c>
      <c r="E47" s="27">
        <f>IFERROR(INDEX(FILTER(tbl_Lots[LatestInventory],tbl_Lots[PN]=$A$41,""),4,1),"")</f>
        <v/>
      </c>
      <c r="F47" s="28">
        <f>IF(C47="","",C47-TODAY())</f>
        <v/>
      </c>
      <c r="G47" s="29">
        <f>IF(C47="","",IF(C47&lt;TODAY(),"EXPIRED",IF(C47&lt;TODAY()+60,"&lt; 60 days","OK")))</f>
        <v/>
      </c>
    </row>
    <row r="48" ht="17" customHeight="1">
      <c r="A48" s="16" t="n"/>
      <c r="B48" s="17">
        <f>IFERROR(INDEX(FILTER(tbl_Lots[LotNumber],tbl_Lots[PN]=$A$41,""),5,1),"")</f>
        <v/>
      </c>
      <c r="C48" s="18">
        <f>IFERROR(INDEX(FILTER(tbl_Lots[ExpirationDate],tbl_Lots[PN]=$A$41,""),5,1),"")</f>
        <v/>
      </c>
      <c r="D48" s="19">
        <f>IFERROR(INDEX(FILTER(tbl_Lots[Qty],tbl_Lots[PN]=$A$41,""),5,1),"")</f>
        <v/>
      </c>
      <c r="E48" s="20">
        <f>IFERROR(INDEX(FILTER(tbl_Lots[LatestInventory],tbl_Lots[PN]=$A$41,""),5,1),"")</f>
        <v/>
      </c>
      <c r="F48" s="21">
        <f>IF(C48="","",C48-TODAY())</f>
        <v/>
      </c>
      <c r="G48" s="22">
        <f>IF(C48="","",IF(C48&lt;TODAY(),"EXPIRED",IF(C48&lt;TODAY()+60,"&lt; 60 days","OK")))</f>
        <v/>
      </c>
    </row>
    <row r="49" ht="17" customHeight="1">
      <c r="A49" s="23" t="n"/>
      <c r="B49" s="24">
        <f>IFERROR(INDEX(FILTER(tbl_Lots[LotNumber],tbl_Lots[PN]=$A$41,""),6,1),"")</f>
        <v/>
      </c>
      <c r="C49" s="25">
        <f>IFERROR(INDEX(FILTER(tbl_Lots[ExpirationDate],tbl_Lots[PN]=$A$41,""),6,1),"")</f>
        <v/>
      </c>
      <c r="D49" s="26">
        <f>IFERROR(INDEX(FILTER(tbl_Lots[Qty],tbl_Lots[PN]=$A$41,""),6,1),"")</f>
        <v/>
      </c>
      <c r="E49" s="27">
        <f>IFERROR(INDEX(FILTER(tbl_Lots[LatestInventory],tbl_Lots[PN]=$A$41,""),6,1),"")</f>
        <v/>
      </c>
      <c r="F49" s="28">
        <f>IF(C49="","",C49-TODAY())</f>
        <v/>
      </c>
      <c r="G49" s="29">
        <f>IF(C49="","",IF(C49&lt;TODAY(),"EXPIRED",IF(C49&lt;TODAY()+60,"&lt; 60 days","OK")))</f>
        <v/>
      </c>
    </row>
    <row r="50" ht="17" customHeight="1">
      <c r="A50" s="16" t="n"/>
      <c r="B50" s="17">
        <f>IFERROR(INDEX(FILTER(tbl_Lots[LotNumber],tbl_Lots[PN]=$A$41,""),7,1),"")</f>
        <v/>
      </c>
      <c r="C50" s="18">
        <f>IFERROR(INDEX(FILTER(tbl_Lots[ExpirationDate],tbl_Lots[PN]=$A$41,""),7,1),"")</f>
        <v/>
      </c>
      <c r="D50" s="19">
        <f>IFERROR(INDEX(FILTER(tbl_Lots[Qty],tbl_Lots[PN]=$A$41,""),7,1),"")</f>
        <v/>
      </c>
      <c r="E50" s="20">
        <f>IFERROR(INDEX(FILTER(tbl_Lots[LatestInventory],tbl_Lots[PN]=$A$41,""),7,1),"")</f>
        <v/>
      </c>
      <c r="F50" s="21">
        <f>IF(C50="","",C50-TODAY())</f>
        <v/>
      </c>
      <c r="G50" s="22">
        <f>IF(C50="","",IF(C50&lt;TODAY(),"EXPIRED",IF(C50&lt;TODAY()+60,"&lt; 60 days","OK")))</f>
        <v/>
      </c>
    </row>
    <row r="51" ht="17" customHeight="1">
      <c r="A51" s="23" t="n"/>
      <c r="B51" s="24">
        <f>IFERROR(INDEX(FILTER(tbl_Lots[LotNumber],tbl_Lots[PN]=$A$41,""),8,1),"")</f>
        <v/>
      </c>
      <c r="C51" s="25">
        <f>IFERROR(INDEX(FILTER(tbl_Lots[ExpirationDate],tbl_Lots[PN]=$A$41,""),8,1),"")</f>
        <v/>
      </c>
      <c r="D51" s="26">
        <f>IFERROR(INDEX(FILTER(tbl_Lots[Qty],tbl_Lots[PN]=$A$41,""),8,1),"")</f>
        <v/>
      </c>
      <c r="E51" s="27">
        <f>IFERROR(INDEX(FILTER(tbl_Lots[LatestInventory],tbl_Lots[PN]=$A$41,""),8,1),"")</f>
        <v/>
      </c>
      <c r="F51" s="28">
        <f>IF(C51="","",C51-TODAY())</f>
        <v/>
      </c>
      <c r="G51" s="29">
        <f>IF(C51="","",IF(C51&lt;TODAY(),"EXPIRED",IF(C51&lt;TODAY()+60,"&lt; 60 days","OK")))</f>
        <v/>
      </c>
    </row>
    <row r="52" ht="14" customHeight="1">
      <c r="A52" s="30" t="n"/>
      <c r="B52" s="31">
        <f>IF(ISNUMBER(COUNTIF(tbl_Lots[PN],$A$41)),IF(COUNTIF(tbl_Lots[PN],$A$41)&gt;8,"  WARNING: "&amp;(COUNTIF(tbl_Lots[PN],$A$41)-8)&amp;" more lot(s) not shown - extend block",""),"")</f>
        <v/>
      </c>
    </row>
    <row r="53" ht="8" customHeight="1">
      <c r="A53" s="16" t="n"/>
      <c r="B53" s="16" t="n"/>
      <c r="C53" s="16" t="n"/>
      <c r="D53" s="16" t="n"/>
      <c r="E53" s="16" t="n"/>
      <c r="F53" s="16" t="n"/>
      <c r="G53" s="16" t="n"/>
    </row>
  </sheetData>
  <mergeCells count="9">
    <mergeCell ref="F3:G3"/>
    <mergeCell ref="A1:G1"/>
    <mergeCell ref="F29:G29"/>
    <mergeCell ref="F16:G16"/>
    <mergeCell ref="B26:G26"/>
    <mergeCell ref="F42:G42"/>
    <mergeCell ref="B13:G13"/>
    <mergeCell ref="B52:G52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conditionalFormatting sqref="C44:C51">
    <cfRule type="expression" priority="19" dxfId="0">
      <formula>AND(C44&lt;&gt;"",C44&lt;TODAY())</formula>
    </cfRule>
    <cfRule type="expression" priority="20" dxfId="1">
      <formula>AND(C44&lt;&gt;"",C44&gt;=TODAY(),C44&lt;TODAY()+60)</formula>
    </cfRule>
    <cfRule type="expression" priority="21" dxfId="2">
      <formula>AND(C44&lt;&gt;"",C44&gt;=TODAY()+60)</formula>
    </cfRule>
  </conditionalFormatting>
  <conditionalFormatting sqref="G44:G51">
    <cfRule type="expression" priority="22" dxfId="0">
      <formula>G44="EXPIRED"</formula>
    </cfRule>
    <cfRule type="expression" priority="23" dxfId="1">
      <formula>G44="&lt; 60 days"</formula>
    </cfRule>
    <cfRule type="expression" priority="24" dxfId="2">
      <formula>G44="OK"</formula>
    </cfRule>
  </conditionalFormatting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G27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VAN AB</t>
        </is>
      </c>
    </row>
    <row r="2" ht="20" customHeight="1">
      <c r="A2" s="8" t="inlineStr">
        <is>
          <t>500-0952</t>
        </is>
      </c>
      <c r="B2" s="9" t="inlineStr">
        <is>
          <t>Buffer TET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SR / TET / MATRIX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500-1747</t>
        </is>
      </c>
      <c r="B15" s="9" t="inlineStr">
        <is>
          <t>vanA/vanB cells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-80 frys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</sheetData>
  <mergeCells count="5">
    <mergeCell ref="F3:G3"/>
    <mergeCell ref="A1:G1"/>
    <mergeCell ref="F16:G16"/>
    <mergeCell ref="B26:G26"/>
    <mergeCell ref="B13:G13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G53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GBS</t>
        </is>
      </c>
    </row>
    <row r="2" ht="20" customHeight="1">
      <c r="A2" s="8" t="inlineStr">
        <is>
          <t>525-00038</t>
        </is>
      </c>
      <c r="B2" s="9" t="inlineStr">
        <is>
          <t>EDTA Human Whole Blood (NTC)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NEG IPT -80 frys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525-00136</t>
        </is>
      </c>
      <c r="B15" s="9" t="inlineStr">
        <is>
          <t>GBS NAT-LAC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NEG IPT kylskåp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525-00137</t>
        </is>
      </c>
      <c r="B28" s="9" t="inlineStr">
        <is>
          <t>GBS NATtrol LOW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POS IPT kylskåp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  <row r="41" ht="20" customHeight="1">
      <c r="A41" s="8" t="inlineStr">
        <is>
          <t>525-00327</t>
        </is>
      </c>
      <c r="B41" s="9" t="inlineStr">
        <is>
          <t>EDTA Human Whole Blood (NTC) v2</t>
        </is>
      </c>
      <c r="C41" s="10" t="n"/>
      <c r="D41" s="10" t="n"/>
      <c r="E41" s="10" t="n"/>
      <c r="F41" s="10" t="n"/>
      <c r="G41" s="10" t="n"/>
    </row>
    <row r="42" ht="16" customHeight="1">
      <c r="A42" s="11" t="n"/>
      <c r="B42" s="12" t="inlineStr">
        <is>
          <t>NEG IPT -80 frys</t>
        </is>
      </c>
      <c r="C42" s="11" t="n"/>
      <c r="D42" s="11" t="n"/>
      <c r="E42" s="11" t="n"/>
      <c r="F42" s="13">
        <f>IFERROR(COUNTIF(tbl_Lots[PN],$A$41)&amp;" active lot(s)  |  max 8 shown","")</f>
        <v/>
      </c>
    </row>
    <row r="43" ht="16" customHeight="1">
      <c r="A43" s="14" t="n"/>
      <c r="B43" s="15" t="inlineStr">
        <is>
          <t>Lot Number</t>
        </is>
      </c>
      <c r="C43" s="15" t="inlineStr">
        <is>
          <t>Expiration Date</t>
        </is>
      </c>
      <c r="D43" s="15" t="inlineStr">
        <is>
          <t>Qty</t>
        </is>
      </c>
      <c r="E43" s="15" t="inlineStr">
        <is>
          <t>Last Inventory</t>
        </is>
      </c>
      <c r="F43" s="15" t="inlineStr">
        <is>
          <t>Days Left</t>
        </is>
      </c>
      <c r="G43" s="15" t="inlineStr">
        <is>
          <t>Status</t>
        </is>
      </c>
    </row>
    <row r="44" ht="17" customHeight="1">
      <c r="A44" s="16" t="n"/>
      <c r="B44" s="17">
        <f>IFERROR(INDEX(FILTER(tbl_Lots[LotNumber],tbl_Lots[PN]=$A$41,""),1,1),"")</f>
        <v/>
      </c>
      <c r="C44" s="18">
        <f>IFERROR(INDEX(FILTER(tbl_Lots[ExpirationDate],tbl_Lots[PN]=$A$41,""),1,1),"")</f>
        <v/>
      </c>
      <c r="D44" s="19">
        <f>IFERROR(INDEX(FILTER(tbl_Lots[Qty],tbl_Lots[PN]=$A$41,""),1,1),"")</f>
        <v/>
      </c>
      <c r="E44" s="20">
        <f>IFERROR(INDEX(FILTER(tbl_Lots[LatestInventory],tbl_Lots[PN]=$A$41,""),1,1),"")</f>
        <v/>
      </c>
      <c r="F44" s="21">
        <f>IF(C44="","",C44-TODAY())</f>
        <v/>
      </c>
      <c r="G44" s="22">
        <f>IF(C44="","",IF(C44&lt;TODAY(),"EXPIRED",IF(C44&lt;TODAY()+60,"&lt; 60 days","OK")))</f>
        <v/>
      </c>
    </row>
    <row r="45" ht="17" customHeight="1">
      <c r="A45" s="23" t="n"/>
      <c r="B45" s="24">
        <f>IFERROR(INDEX(FILTER(tbl_Lots[LotNumber],tbl_Lots[PN]=$A$41,""),2,1),"")</f>
        <v/>
      </c>
      <c r="C45" s="25">
        <f>IFERROR(INDEX(FILTER(tbl_Lots[ExpirationDate],tbl_Lots[PN]=$A$41,""),2,1),"")</f>
        <v/>
      </c>
      <c r="D45" s="26">
        <f>IFERROR(INDEX(FILTER(tbl_Lots[Qty],tbl_Lots[PN]=$A$41,""),2,1),"")</f>
        <v/>
      </c>
      <c r="E45" s="27">
        <f>IFERROR(INDEX(FILTER(tbl_Lots[LatestInventory],tbl_Lots[PN]=$A$41,""),2,1),"")</f>
        <v/>
      </c>
      <c r="F45" s="28">
        <f>IF(C45="","",C45-TODAY())</f>
        <v/>
      </c>
      <c r="G45" s="29">
        <f>IF(C45="","",IF(C45&lt;TODAY(),"EXPIRED",IF(C45&lt;TODAY()+60,"&lt; 60 days","OK")))</f>
        <v/>
      </c>
    </row>
    <row r="46" ht="17" customHeight="1">
      <c r="A46" s="16" t="n"/>
      <c r="B46" s="17">
        <f>IFERROR(INDEX(FILTER(tbl_Lots[LotNumber],tbl_Lots[PN]=$A$41,""),3,1),"")</f>
        <v/>
      </c>
      <c r="C46" s="18">
        <f>IFERROR(INDEX(FILTER(tbl_Lots[ExpirationDate],tbl_Lots[PN]=$A$41,""),3,1),"")</f>
        <v/>
      </c>
      <c r="D46" s="19">
        <f>IFERROR(INDEX(FILTER(tbl_Lots[Qty],tbl_Lots[PN]=$A$41,""),3,1),"")</f>
        <v/>
      </c>
      <c r="E46" s="20">
        <f>IFERROR(INDEX(FILTER(tbl_Lots[LatestInventory],tbl_Lots[PN]=$A$41,""),3,1),"")</f>
        <v/>
      </c>
      <c r="F46" s="21">
        <f>IF(C46="","",C46-TODAY())</f>
        <v/>
      </c>
      <c r="G46" s="22">
        <f>IF(C46="","",IF(C46&lt;TODAY(),"EXPIRED",IF(C46&lt;TODAY()+60,"&lt; 60 days","OK")))</f>
        <v/>
      </c>
    </row>
    <row r="47" ht="17" customHeight="1">
      <c r="A47" s="23" t="n"/>
      <c r="B47" s="24">
        <f>IFERROR(INDEX(FILTER(tbl_Lots[LotNumber],tbl_Lots[PN]=$A$41,""),4,1),"")</f>
        <v/>
      </c>
      <c r="C47" s="25">
        <f>IFERROR(INDEX(FILTER(tbl_Lots[ExpirationDate],tbl_Lots[PN]=$A$41,""),4,1),"")</f>
        <v/>
      </c>
      <c r="D47" s="26">
        <f>IFERROR(INDEX(FILTER(tbl_Lots[Qty],tbl_Lots[PN]=$A$41,""),4,1),"")</f>
        <v/>
      </c>
      <c r="E47" s="27">
        <f>IFERROR(INDEX(FILTER(tbl_Lots[LatestInventory],tbl_Lots[PN]=$A$41,""),4,1),"")</f>
        <v/>
      </c>
      <c r="F47" s="28">
        <f>IF(C47="","",C47-TODAY())</f>
        <v/>
      </c>
      <c r="G47" s="29">
        <f>IF(C47="","",IF(C47&lt;TODAY(),"EXPIRED",IF(C47&lt;TODAY()+60,"&lt; 60 days","OK")))</f>
        <v/>
      </c>
    </row>
    <row r="48" ht="17" customHeight="1">
      <c r="A48" s="16" t="n"/>
      <c r="B48" s="17">
        <f>IFERROR(INDEX(FILTER(tbl_Lots[LotNumber],tbl_Lots[PN]=$A$41,""),5,1),"")</f>
        <v/>
      </c>
      <c r="C48" s="18">
        <f>IFERROR(INDEX(FILTER(tbl_Lots[ExpirationDate],tbl_Lots[PN]=$A$41,""),5,1),"")</f>
        <v/>
      </c>
      <c r="D48" s="19">
        <f>IFERROR(INDEX(FILTER(tbl_Lots[Qty],tbl_Lots[PN]=$A$41,""),5,1),"")</f>
        <v/>
      </c>
      <c r="E48" s="20">
        <f>IFERROR(INDEX(FILTER(tbl_Lots[LatestInventory],tbl_Lots[PN]=$A$41,""),5,1),"")</f>
        <v/>
      </c>
      <c r="F48" s="21">
        <f>IF(C48="","",C48-TODAY())</f>
        <v/>
      </c>
      <c r="G48" s="22">
        <f>IF(C48="","",IF(C48&lt;TODAY(),"EXPIRED",IF(C48&lt;TODAY()+60,"&lt; 60 days","OK")))</f>
        <v/>
      </c>
    </row>
    <row r="49" ht="17" customHeight="1">
      <c r="A49" s="23" t="n"/>
      <c r="B49" s="24">
        <f>IFERROR(INDEX(FILTER(tbl_Lots[LotNumber],tbl_Lots[PN]=$A$41,""),6,1),"")</f>
        <v/>
      </c>
      <c r="C49" s="25">
        <f>IFERROR(INDEX(FILTER(tbl_Lots[ExpirationDate],tbl_Lots[PN]=$A$41,""),6,1),"")</f>
        <v/>
      </c>
      <c r="D49" s="26">
        <f>IFERROR(INDEX(FILTER(tbl_Lots[Qty],tbl_Lots[PN]=$A$41,""),6,1),"")</f>
        <v/>
      </c>
      <c r="E49" s="27">
        <f>IFERROR(INDEX(FILTER(tbl_Lots[LatestInventory],tbl_Lots[PN]=$A$41,""),6,1),"")</f>
        <v/>
      </c>
      <c r="F49" s="28">
        <f>IF(C49="","",C49-TODAY())</f>
        <v/>
      </c>
      <c r="G49" s="29">
        <f>IF(C49="","",IF(C49&lt;TODAY(),"EXPIRED",IF(C49&lt;TODAY()+60,"&lt; 60 days","OK")))</f>
        <v/>
      </c>
    </row>
    <row r="50" ht="17" customHeight="1">
      <c r="A50" s="16" t="n"/>
      <c r="B50" s="17">
        <f>IFERROR(INDEX(FILTER(tbl_Lots[LotNumber],tbl_Lots[PN]=$A$41,""),7,1),"")</f>
        <v/>
      </c>
      <c r="C50" s="18">
        <f>IFERROR(INDEX(FILTER(tbl_Lots[ExpirationDate],tbl_Lots[PN]=$A$41,""),7,1),"")</f>
        <v/>
      </c>
      <c r="D50" s="19">
        <f>IFERROR(INDEX(FILTER(tbl_Lots[Qty],tbl_Lots[PN]=$A$41,""),7,1),"")</f>
        <v/>
      </c>
      <c r="E50" s="20">
        <f>IFERROR(INDEX(FILTER(tbl_Lots[LatestInventory],tbl_Lots[PN]=$A$41,""),7,1),"")</f>
        <v/>
      </c>
      <c r="F50" s="21">
        <f>IF(C50="","",C50-TODAY())</f>
        <v/>
      </c>
      <c r="G50" s="22">
        <f>IF(C50="","",IF(C50&lt;TODAY(),"EXPIRED",IF(C50&lt;TODAY()+60,"&lt; 60 days","OK")))</f>
        <v/>
      </c>
    </row>
    <row r="51" ht="17" customHeight="1">
      <c r="A51" s="23" t="n"/>
      <c r="B51" s="24">
        <f>IFERROR(INDEX(FILTER(tbl_Lots[LotNumber],tbl_Lots[PN]=$A$41,""),8,1),"")</f>
        <v/>
      </c>
      <c r="C51" s="25">
        <f>IFERROR(INDEX(FILTER(tbl_Lots[ExpirationDate],tbl_Lots[PN]=$A$41,""),8,1),"")</f>
        <v/>
      </c>
      <c r="D51" s="26">
        <f>IFERROR(INDEX(FILTER(tbl_Lots[Qty],tbl_Lots[PN]=$A$41,""),8,1),"")</f>
        <v/>
      </c>
      <c r="E51" s="27">
        <f>IFERROR(INDEX(FILTER(tbl_Lots[LatestInventory],tbl_Lots[PN]=$A$41,""),8,1),"")</f>
        <v/>
      </c>
      <c r="F51" s="28">
        <f>IF(C51="","",C51-TODAY())</f>
        <v/>
      </c>
      <c r="G51" s="29">
        <f>IF(C51="","",IF(C51&lt;TODAY(),"EXPIRED",IF(C51&lt;TODAY()+60,"&lt; 60 days","OK")))</f>
        <v/>
      </c>
    </row>
    <row r="52" ht="14" customHeight="1">
      <c r="A52" s="30" t="n"/>
      <c r="B52" s="31">
        <f>IF(ISNUMBER(COUNTIF(tbl_Lots[PN],$A$41)),IF(COUNTIF(tbl_Lots[PN],$A$41)&gt;8,"  WARNING: "&amp;(COUNTIF(tbl_Lots[PN],$A$41)-8)&amp;" more lot(s) not shown - extend block",""),"")</f>
        <v/>
      </c>
    </row>
    <row r="53" ht="8" customHeight="1">
      <c r="A53" s="16" t="n"/>
      <c r="B53" s="16" t="n"/>
      <c r="C53" s="16" t="n"/>
      <c r="D53" s="16" t="n"/>
      <c r="E53" s="16" t="n"/>
      <c r="F53" s="16" t="n"/>
      <c r="G53" s="16" t="n"/>
    </row>
  </sheetData>
  <mergeCells count="9">
    <mergeCell ref="F3:G3"/>
    <mergeCell ref="A1:G1"/>
    <mergeCell ref="F29:G29"/>
    <mergeCell ref="F16:G16"/>
    <mergeCell ref="B26:G26"/>
    <mergeCell ref="F42:G42"/>
    <mergeCell ref="B13:G13"/>
    <mergeCell ref="B52:G52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conditionalFormatting sqref="C44:C51">
    <cfRule type="expression" priority="19" dxfId="0">
      <formula>AND(C44&lt;&gt;"",C44&lt;TODAY())</formula>
    </cfRule>
    <cfRule type="expression" priority="20" dxfId="1">
      <formula>AND(C44&lt;&gt;"",C44&gt;=TODAY(),C44&lt;TODAY()+60)</formula>
    </cfRule>
    <cfRule type="expression" priority="21" dxfId="2">
      <formula>AND(C44&lt;&gt;"",C44&gt;=TODAY()+60)</formula>
    </cfRule>
  </conditionalFormatting>
  <conditionalFormatting sqref="G44:G51">
    <cfRule type="expression" priority="22" dxfId="0">
      <formula>G44="EXPIRED"</formula>
    </cfRule>
    <cfRule type="expression" priority="23" dxfId="1">
      <formula>G44="&lt; 60 days"</formula>
    </cfRule>
    <cfRule type="expression" priority="24" dxfId="2">
      <formula>G44="OK"</formula>
    </cfRule>
  </conditionalFormatting>
  <pageMargins left="0.75" right="0.75" top="1" bottom="1" header="0.5" footer="0.5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G40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STREP A</t>
        </is>
      </c>
    </row>
    <row r="2" ht="20" customHeight="1">
      <c r="A2" s="8" t="inlineStr">
        <is>
          <t>525-00088</t>
        </is>
      </c>
      <c r="B2" s="9" t="inlineStr">
        <is>
          <t>NATTROL Strep A HIGH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POS IPT kylskåp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525-00089</t>
        </is>
      </c>
      <c r="B15" s="9" t="inlineStr">
        <is>
          <t>NATTROL Strep A LOW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kylskåp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525-00090</t>
        </is>
      </c>
      <c r="B28" s="9" t="inlineStr">
        <is>
          <t>NATTROL NEG Strep A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NEG IPT kylskåp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</sheetData>
  <mergeCells count="7">
    <mergeCell ref="F3:G3"/>
    <mergeCell ref="A1:G1"/>
    <mergeCell ref="F29:G29"/>
    <mergeCell ref="F16:G16"/>
    <mergeCell ref="B26:G26"/>
    <mergeCell ref="B13:G13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pageMargins left="0.75" right="0.75" top="1" bottom="1" header="0.5" footer="0.5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G40"/>
  <sheetViews>
    <sheetView showGridLines="0" zoomScale="90" workbookViewId="0">
      <pane xSplit="1" ySplit="1" topLeftCell="B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" customWidth="1" min="1" max="1"/>
    <col width="18" customWidth="1" min="2" max="2"/>
    <col width="15" customWidth="1" min="3" max="3"/>
    <col width="8" customWidth="1" min="4" max="4"/>
    <col width="20" customWidth="1" min="5" max="5"/>
    <col width="12" customWidth="1" min="6" max="6"/>
    <col width="14" customWidth="1" min="7" max="7"/>
  </cols>
  <sheetData>
    <row r="1" ht="22" customHeight="1">
      <c r="A1" s="7" t="inlineStr">
        <is>
          <t>CARBA R</t>
        </is>
      </c>
    </row>
    <row r="2" ht="20" customHeight="1">
      <c r="A2" s="8" t="inlineStr">
        <is>
          <t>001-1686</t>
        </is>
      </c>
      <c r="B2" s="9" t="inlineStr">
        <is>
          <t>Xpert CARBA-R High POS</t>
        </is>
      </c>
      <c r="C2" s="10" t="n"/>
      <c r="D2" s="10" t="n"/>
      <c r="E2" s="10" t="n"/>
      <c r="F2" s="10" t="n"/>
      <c r="G2" s="10" t="n"/>
    </row>
    <row r="3" ht="16" customHeight="1">
      <c r="A3" s="11" t="n"/>
      <c r="B3" s="12" t="inlineStr">
        <is>
          <t>POS IPT kylskåp</t>
        </is>
      </c>
      <c r="C3" s="11" t="n"/>
      <c r="D3" s="11" t="n"/>
      <c r="E3" s="11" t="n"/>
      <c r="F3" s="13">
        <f>IFERROR(COUNTIF(tbl_Lots[PN],$A$2)&amp;" active lot(s)  |  max 8 shown","")</f>
        <v/>
      </c>
    </row>
    <row r="4" ht="16" customHeight="1">
      <c r="A4" s="14" t="n"/>
      <c r="B4" s="15" t="inlineStr">
        <is>
          <t>Lot Number</t>
        </is>
      </c>
      <c r="C4" s="15" t="inlineStr">
        <is>
          <t>Expiration Date</t>
        </is>
      </c>
      <c r="D4" s="15" t="inlineStr">
        <is>
          <t>Qty</t>
        </is>
      </c>
      <c r="E4" s="15" t="inlineStr">
        <is>
          <t>Last Inventory</t>
        </is>
      </c>
      <c r="F4" s="15" t="inlineStr">
        <is>
          <t>Days Left</t>
        </is>
      </c>
      <c r="G4" s="15" t="inlineStr">
        <is>
          <t>Status</t>
        </is>
      </c>
    </row>
    <row r="5" ht="17" customHeight="1">
      <c r="A5" s="16" t="n"/>
      <c r="B5" s="17">
        <f>IFERROR(INDEX(FILTER(tbl_Lots[LotNumber],tbl_Lots[PN]=$A$2,""),1,1),"")</f>
        <v/>
      </c>
      <c r="C5" s="18">
        <f>IFERROR(INDEX(FILTER(tbl_Lots[ExpirationDate],tbl_Lots[PN]=$A$2,""),1,1),"")</f>
        <v/>
      </c>
      <c r="D5" s="19">
        <f>IFERROR(INDEX(FILTER(tbl_Lots[Qty],tbl_Lots[PN]=$A$2,""),1,1),"")</f>
        <v/>
      </c>
      <c r="E5" s="20">
        <f>IFERROR(INDEX(FILTER(tbl_Lots[LatestInventory],tbl_Lots[PN]=$A$2,""),1,1),"")</f>
        <v/>
      </c>
      <c r="F5" s="21">
        <f>IF(C5="","",C5-TODAY())</f>
        <v/>
      </c>
      <c r="G5" s="22">
        <f>IF(C5="","",IF(C5&lt;TODAY(),"EXPIRED",IF(C5&lt;TODAY()+60,"&lt; 60 days","OK")))</f>
        <v/>
      </c>
    </row>
    <row r="6" ht="17" customHeight="1">
      <c r="A6" s="23" t="n"/>
      <c r="B6" s="24">
        <f>IFERROR(INDEX(FILTER(tbl_Lots[LotNumber],tbl_Lots[PN]=$A$2,""),2,1),"")</f>
        <v/>
      </c>
      <c r="C6" s="25">
        <f>IFERROR(INDEX(FILTER(tbl_Lots[ExpirationDate],tbl_Lots[PN]=$A$2,""),2,1),"")</f>
        <v/>
      </c>
      <c r="D6" s="26">
        <f>IFERROR(INDEX(FILTER(tbl_Lots[Qty],tbl_Lots[PN]=$A$2,""),2,1),"")</f>
        <v/>
      </c>
      <c r="E6" s="27">
        <f>IFERROR(INDEX(FILTER(tbl_Lots[LatestInventory],tbl_Lots[PN]=$A$2,""),2,1),"")</f>
        <v/>
      </c>
      <c r="F6" s="28">
        <f>IF(C6="","",C6-TODAY())</f>
        <v/>
      </c>
      <c r="G6" s="29">
        <f>IF(C6="","",IF(C6&lt;TODAY(),"EXPIRED",IF(C6&lt;TODAY()+60,"&lt; 60 days","OK")))</f>
        <v/>
      </c>
    </row>
    <row r="7" ht="17" customHeight="1">
      <c r="A7" s="16" t="n"/>
      <c r="B7" s="17">
        <f>IFERROR(INDEX(FILTER(tbl_Lots[LotNumber],tbl_Lots[PN]=$A$2,""),3,1),"")</f>
        <v/>
      </c>
      <c r="C7" s="18">
        <f>IFERROR(INDEX(FILTER(tbl_Lots[ExpirationDate],tbl_Lots[PN]=$A$2,""),3,1),"")</f>
        <v/>
      </c>
      <c r="D7" s="19">
        <f>IFERROR(INDEX(FILTER(tbl_Lots[Qty],tbl_Lots[PN]=$A$2,""),3,1),"")</f>
        <v/>
      </c>
      <c r="E7" s="20">
        <f>IFERROR(INDEX(FILTER(tbl_Lots[LatestInventory],tbl_Lots[PN]=$A$2,""),3,1),"")</f>
        <v/>
      </c>
      <c r="F7" s="21">
        <f>IF(C7="","",C7-TODAY())</f>
        <v/>
      </c>
      <c r="G7" s="22">
        <f>IF(C7="","",IF(C7&lt;TODAY(),"EXPIRED",IF(C7&lt;TODAY()+60,"&lt; 60 days","OK")))</f>
        <v/>
      </c>
    </row>
    <row r="8" ht="17" customHeight="1">
      <c r="A8" s="23" t="n"/>
      <c r="B8" s="24">
        <f>IFERROR(INDEX(FILTER(tbl_Lots[LotNumber],tbl_Lots[PN]=$A$2,""),4,1),"")</f>
        <v/>
      </c>
      <c r="C8" s="25">
        <f>IFERROR(INDEX(FILTER(tbl_Lots[ExpirationDate],tbl_Lots[PN]=$A$2,""),4,1),"")</f>
        <v/>
      </c>
      <c r="D8" s="26">
        <f>IFERROR(INDEX(FILTER(tbl_Lots[Qty],tbl_Lots[PN]=$A$2,""),4,1),"")</f>
        <v/>
      </c>
      <c r="E8" s="27">
        <f>IFERROR(INDEX(FILTER(tbl_Lots[LatestInventory],tbl_Lots[PN]=$A$2,""),4,1),"")</f>
        <v/>
      </c>
      <c r="F8" s="28">
        <f>IF(C8="","",C8-TODAY())</f>
        <v/>
      </c>
      <c r="G8" s="29">
        <f>IF(C8="","",IF(C8&lt;TODAY(),"EXPIRED",IF(C8&lt;TODAY()+60,"&lt; 60 days","OK")))</f>
        <v/>
      </c>
    </row>
    <row r="9" ht="17" customHeight="1">
      <c r="A9" s="16" t="n"/>
      <c r="B9" s="17">
        <f>IFERROR(INDEX(FILTER(tbl_Lots[LotNumber],tbl_Lots[PN]=$A$2,""),5,1),"")</f>
        <v/>
      </c>
      <c r="C9" s="18">
        <f>IFERROR(INDEX(FILTER(tbl_Lots[ExpirationDate],tbl_Lots[PN]=$A$2,""),5,1),"")</f>
        <v/>
      </c>
      <c r="D9" s="19">
        <f>IFERROR(INDEX(FILTER(tbl_Lots[Qty],tbl_Lots[PN]=$A$2,""),5,1),"")</f>
        <v/>
      </c>
      <c r="E9" s="20">
        <f>IFERROR(INDEX(FILTER(tbl_Lots[LatestInventory],tbl_Lots[PN]=$A$2,""),5,1),"")</f>
        <v/>
      </c>
      <c r="F9" s="21">
        <f>IF(C9="","",C9-TODAY())</f>
        <v/>
      </c>
      <c r="G9" s="22">
        <f>IF(C9="","",IF(C9&lt;TODAY(),"EXPIRED",IF(C9&lt;TODAY()+60,"&lt; 60 days","OK")))</f>
        <v/>
      </c>
    </row>
    <row r="10" ht="17" customHeight="1">
      <c r="A10" s="23" t="n"/>
      <c r="B10" s="24">
        <f>IFERROR(INDEX(FILTER(tbl_Lots[LotNumber],tbl_Lots[PN]=$A$2,""),6,1),"")</f>
        <v/>
      </c>
      <c r="C10" s="25">
        <f>IFERROR(INDEX(FILTER(tbl_Lots[ExpirationDate],tbl_Lots[PN]=$A$2,""),6,1),"")</f>
        <v/>
      </c>
      <c r="D10" s="26">
        <f>IFERROR(INDEX(FILTER(tbl_Lots[Qty],tbl_Lots[PN]=$A$2,""),6,1),"")</f>
        <v/>
      </c>
      <c r="E10" s="27">
        <f>IFERROR(INDEX(FILTER(tbl_Lots[LatestInventory],tbl_Lots[PN]=$A$2,""),6,1),"")</f>
        <v/>
      </c>
      <c r="F10" s="28">
        <f>IF(C10="","",C10-TODAY())</f>
        <v/>
      </c>
      <c r="G10" s="29">
        <f>IF(C10="","",IF(C10&lt;TODAY(),"EXPIRED",IF(C10&lt;TODAY()+60,"&lt; 60 days","OK")))</f>
        <v/>
      </c>
    </row>
    <row r="11" ht="17" customHeight="1">
      <c r="A11" s="16" t="n"/>
      <c r="B11" s="17">
        <f>IFERROR(INDEX(FILTER(tbl_Lots[LotNumber],tbl_Lots[PN]=$A$2,""),7,1),"")</f>
        <v/>
      </c>
      <c r="C11" s="18">
        <f>IFERROR(INDEX(FILTER(tbl_Lots[ExpirationDate],tbl_Lots[PN]=$A$2,""),7,1),"")</f>
        <v/>
      </c>
      <c r="D11" s="19">
        <f>IFERROR(INDEX(FILTER(tbl_Lots[Qty],tbl_Lots[PN]=$A$2,""),7,1),"")</f>
        <v/>
      </c>
      <c r="E11" s="20">
        <f>IFERROR(INDEX(FILTER(tbl_Lots[LatestInventory],tbl_Lots[PN]=$A$2,""),7,1),"")</f>
        <v/>
      </c>
      <c r="F11" s="21">
        <f>IF(C11="","",C11-TODAY())</f>
        <v/>
      </c>
      <c r="G11" s="22">
        <f>IF(C11="","",IF(C11&lt;TODAY(),"EXPIRED",IF(C11&lt;TODAY()+60,"&lt; 60 days","OK")))</f>
        <v/>
      </c>
    </row>
    <row r="12" ht="17" customHeight="1">
      <c r="A12" s="23" t="n"/>
      <c r="B12" s="24">
        <f>IFERROR(INDEX(FILTER(tbl_Lots[LotNumber],tbl_Lots[PN]=$A$2,""),8,1),"")</f>
        <v/>
      </c>
      <c r="C12" s="25">
        <f>IFERROR(INDEX(FILTER(tbl_Lots[ExpirationDate],tbl_Lots[PN]=$A$2,""),8,1),"")</f>
        <v/>
      </c>
      <c r="D12" s="26">
        <f>IFERROR(INDEX(FILTER(tbl_Lots[Qty],tbl_Lots[PN]=$A$2,""),8,1),"")</f>
        <v/>
      </c>
      <c r="E12" s="27">
        <f>IFERROR(INDEX(FILTER(tbl_Lots[LatestInventory],tbl_Lots[PN]=$A$2,""),8,1),"")</f>
        <v/>
      </c>
      <c r="F12" s="28">
        <f>IF(C12="","",C12-TODAY())</f>
        <v/>
      </c>
      <c r="G12" s="29">
        <f>IF(C12="","",IF(C12&lt;TODAY(),"EXPIRED",IF(C12&lt;TODAY()+60,"&lt; 60 days","OK")))</f>
        <v/>
      </c>
    </row>
    <row r="13" ht="14" customHeight="1">
      <c r="A13" s="30" t="n"/>
      <c r="B13" s="31">
        <f>IF(ISNUMBER(COUNTIF(tbl_Lots[PN],$A$2)),IF(COUNTIF(tbl_Lots[PN],$A$2)&gt;8,"  WARNING: "&amp;(COUNTIF(tbl_Lots[PN],$A$2)-8)&amp;" more lot(s) not shown - extend block",""),"")</f>
        <v/>
      </c>
    </row>
    <row r="14" ht="8" customHeight="1">
      <c r="A14" s="16" t="n"/>
      <c r="B14" s="16" t="n"/>
      <c r="C14" s="16" t="n"/>
      <c r="D14" s="16" t="n"/>
      <c r="E14" s="16" t="n"/>
      <c r="F14" s="16" t="n"/>
      <c r="G14" s="16" t="n"/>
    </row>
    <row r="15" ht="20" customHeight="1">
      <c r="A15" s="8" t="inlineStr">
        <is>
          <t>001-1687</t>
        </is>
      </c>
      <c r="B15" s="9" t="inlineStr">
        <is>
          <t>Xpert CARBA-R Low POS</t>
        </is>
      </c>
      <c r="C15" s="10" t="n"/>
      <c r="D15" s="10" t="n"/>
      <c r="E15" s="10" t="n"/>
      <c r="F15" s="10" t="n"/>
      <c r="G15" s="10" t="n"/>
    </row>
    <row r="16" ht="16" customHeight="1">
      <c r="A16" s="11" t="n"/>
      <c r="B16" s="12" t="inlineStr">
        <is>
          <t>POS IPT kylskåp</t>
        </is>
      </c>
      <c r="C16" s="11" t="n"/>
      <c r="D16" s="11" t="n"/>
      <c r="E16" s="11" t="n"/>
      <c r="F16" s="13">
        <f>IFERROR(COUNTIF(tbl_Lots[PN],$A$15)&amp;" active lot(s)  |  max 8 shown","")</f>
        <v/>
      </c>
    </row>
    <row r="17" ht="16" customHeight="1">
      <c r="A17" s="14" t="n"/>
      <c r="B17" s="15" t="inlineStr">
        <is>
          <t>Lot Number</t>
        </is>
      </c>
      <c r="C17" s="15" t="inlineStr">
        <is>
          <t>Expiration Date</t>
        </is>
      </c>
      <c r="D17" s="15" t="inlineStr">
        <is>
          <t>Qty</t>
        </is>
      </c>
      <c r="E17" s="15" t="inlineStr">
        <is>
          <t>Last Inventory</t>
        </is>
      </c>
      <c r="F17" s="15" t="inlineStr">
        <is>
          <t>Days Left</t>
        </is>
      </c>
      <c r="G17" s="15" t="inlineStr">
        <is>
          <t>Status</t>
        </is>
      </c>
    </row>
    <row r="18" ht="17" customHeight="1">
      <c r="A18" s="16" t="n"/>
      <c r="B18" s="17">
        <f>IFERROR(INDEX(FILTER(tbl_Lots[LotNumber],tbl_Lots[PN]=$A$15,""),1,1),"")</f>
        <v/>
      </c>
      <c r="C18" s="18">
        <f>IFERROR(INDEX(FILTER(tbl_Lots[ExpirationDate],tbl_Lots[PN]=$A$15,""),1,1),"")</f>
        <v/>
      </c>
      <c r="D18" s="19">
        <f>IFERROR(INDEX(FILTER(tbl_Lots[Qty],tbl_Lots[PN]=$A$15,""),1,1),"")</f>
        <v/>
      </c>
      <c r="E18" s="20">
        <f>IFERROR(INDEX(FILTER(tbl_Lots[LatestInventory],tbl_Lots[PN]=$A$15,""),1,1),"")</f>
        <v/>
      </c>
      <c r="F18" s="21">
        <f>IF(C18="","",C18-TODAY())</f>
        <v/>
      </c>
      <c r="G18" s="22">
        <f>IF(C18="","",IF(C18&lt;TODAY(),"EXPIRED",IF(C18&lt;TODAY()+60,"&lt; 60 days","OK")))</f>
        <v/>
      </c>
    </row>
    <row r="19" ht="17" customHeight="1">
      <c r="A19" s="23" t="n"/>
      <c r="B19" s="24">
        <f>IFERROR(INDEX(FILTER(tbl_Lots[LotNumber],tbl_Lots[PN]=$A$15,""),2,1),"")</f>
        <v/>
      </c>
      <c r="C19" s="25">
        <f>IFERROR(INDEX(FILTER(tbl_Lots[ExpirationDate],tbl_Lots[PN]=$A$15,""),2,1),"")</f>
        <v/>
      </c>
      <c r="D19" s="26">
        <f>IFERROR(INDEX(FILTER(tbl_Lots[Qty],tbl_Lots[PN]=$A$15,""),2,1),"")</f>
        <v/>
      </c>
      <c r="E19" s="27">
        <f>IFERROR(INDEX(FILTER(tbl_Lots[LatestInventory],tbl_Lots[PN]=$A$15,""),2,1),"")</f>
        <v/>
      </c>
      <c r="F19" s="28">
        <f>IF(C19="","",C19-TODAY())</f>
        <v/>
      </c>
      <c r="G19" s="29">
        <f>IF(C19="","",IF(C19&lt;TODAY(),"EXPIRED",IF(C19&lt;TODAY()+60,"&lt; 60 days","OK")))</f>
        <v/>
      </c>
    </row>
    <row r="20" ht="17" customHeight="1">
      <c r="A20" s="16" t="n"/>
      <c r="B20" s="17">
        <f>IFERROR(INDEX(FILTER(tbl_Lots[LotNumber],tbl_Lots[PN]=$A$15,""),3,1),"")</f>
        <v/>
      </c>
      <c r="C20" s="18">
        <f>IFERROR(INDEX(FILTER(tbl_Lots[ExpirationDate],tbl_Lots[PN]=$A$15,""),3,1),"")</f>
        <v/>
      </c>
      <c r="D20" s="19">
        <f>IFERROR(INDEX(FILTER(tbl_Lots[Qty],tbl_Lots[PN]=$A$15,""),3,1),"")</f>
        <v/>
      </c>
      <c r="E20" s="20">
        <f>IFERROR(INDEX(FILTER(tbl_Lots[LatestInventory],tbl_Lots[PN]=$A$15,""),3,1),"")</f>
        <v/>
      </c>
      <c r="F20" s="21">
        <f>IF(C20="","",C20-TODAY())</f>
        <v/>
      </c>
      <c r="G20" s="22">
        <f>IF(C20="","",IF(C20&lt;TODAY(),"EXPIRED",IF(C20&lt;TODAY()+60,"&lt; 60 days","OK")))</f>
        <v/>
      </c>
    </row>
    <row r="21" ht="17" customHeight="1">
      <c r="A21" s="23" t="n"/>
      <c r="B21" s="24">
        <f>IFERROR(INDEX(FILTER(tbl_Lots[LotNumber],tbl_Lots[PN]=$A$15,""),4,1),"")</f>
        <v/>
      </c>
      <c r="C21" s="25">
        <f>IFERROR(INDEX(FILTER(tbl_Lots[ExpirationDate],tbl_Lots[PN]=$A$15,""),4,1),"")</f>
        <v/>
      </c>
      <c r="D21" s="26">
        <f>IFERROR(INDEX(FILTER(tbl_Lots[Qty],tbl_Lots[PN]=$A$15,""),4,1),"")</f>
        <v/>
      </c>
      <c r="E21" s="27">
        <f>IFERROR(INDEX(FILTER(tbl_Lots[LatestInventory],tbl_Lots[PN]=$A$15,""),4,1),"")</f>
        <v/>
      </c>
      <c r="F21" s="28">
        <f>IF(C21="","",C21-TODAY())</f>
        <v/>
      </c>
      <c r="G21" s="29">
        <f>IF(C21="","",IF(C21&lt;TODAY(),"EXPIRED",IF(C21&lt;TODAY()+60,"&lt; 60 days","OK")))</f>
        <v/>
      </c>
    </row>
    <row r="22" ht="17" customHeight="1">
      <c r="A22" s="16" t="n"/>
      <c r="B22" s="17">
        <f>IFERROR(INDEX(FILTER(tbl_Lots[LotNumber],tbl_Lots[PN]=$A$15,""),5,1),"")</f>
        <v/>
      </c>
      <c r="C22" s="18">
        <f>IFERROR(INDEX(FILTER(tbl_Lots[ExpirationDate],tbl_Lots[PN]=$A$15,""),5,1),"")</f>
        <v/>
      </c>
      <c r="D22" s="19">
        <f>IFERROR(INDEX(FILTER(tbl_Lots[Qty],tbl_Lots[PN]=$A$15,""),5,1),"")</f>
        <v/>
      </c>
      <c r="E22" s="20">
        <f>IFERROR(INDEX(FILTER(tbl_Lots[LatestInventory],tbl_Lots[PN]=$A$15,""),5,1),"")</f>
        <v/>
      </c>
      <c r="F22" s="21">
        <f>IF(C22="","",C22-TODAY())</f>
        <v/>
      </c>
      <c r="G22" s="22">
        <f>IF(C22="","",IF(C22&lt;TODAY(),"EXPIRED",IF(C22&lt;TODAY()+60,"&lt; 60 days","OK")))</f>
        <v/>
      </c>
    </row>
    <row r="23" ht="17" customHeight="1">
      <c r="A23" s="23" t="n"/>
      <c r="B23" s="24">
        <f>IFERROR(INDEX(FILTER(tbl_Lots[LotNumber],tbl_Lots[PN]=$A$15,""),6,1),"")</f>
        <v/>
      </c>
      <c r="C23" s="25">
        <f>IFERROR(INDEX(FILTER(tbl_Lots[ExpirationDate],tbl_Lots[PN]=$A$15,""),6,1),"")</f>
        <v/>
      </c>
      <c r="D23" s="26">
        <f>IFERROR(INDEX(FILTER(tbl_Lots[Qty],tbl_Lots[PN]=$A$15,""),6,1),"")</f>
        <v/>
      </c>
      <c r="E23" s="27">
        <f>IFERROR(INDEX(FILTER(tbl_Lots[LatestInventory],tbl_Lots[PN]=$A$15,""),6,1),"")</f>
        <v/>
      </c>
      <c r="F23" s="28">
        <f>IF(C23="","",C23-TODAY())</f>
        <v/>
      </c>
      <c r="G23" s="29">
        <f>IF(C23="","",IF(C23&lt;TODAY(),"EXPIRED",IF(C23&lt;TODAY()+60,"&lt; 60 days","OK")))</f>
        <v/>
      </c>
    </row>
    <row r="24" ht="17" customHeight="1">
      <c r="A24" s="16" t="n"/>
      <c r="B24" s="17">
        <f>IFERROR(INDEX(FILTER(tbl_Lots[LotNumber],tbl_Lots[PN]=$A$15,""),7,1),"")</f>
        <v/>
      </c>
      <c r="C24" s="18">
        <f>IFERROR(INDEX(FILTER(tbl_Lots[ExpirationDate],tbl_Lots[PN]=$A$15,""),7,1),"")</f>
        <v/>
      </c>
      <c r="D24" s="19">
        <f>IFERROR(INDEX(FILTER(tbl_Lots[Qty],tbl_Lots[PN]=$A$15,""),7,1),"")</f>
        <v/>
      </c>
      <c r="E24" s="20">
        <f>IFERROR(INDEX(FILTER(tbl_Lots[LatestInventory],tbl_Lots[PN]=$A$15,""),7,1),"")</f>
        <v/>
      </c>
      <c r="F24" s="21">
        <f>IF(C24="","",C24-TODAY())</f>
        <v/>
      </c>
      <c r="G24" s="22">
        <f>IF(C24="","",IF(C24&lt;TODAY(),"EXPIRED",IF(C24&lt;TODAY()+60,"&lt; 60 days","OK")))</f>
        <v/>
      </c>
    </row>
    <row r="25" ht="17" customHeight="1">
      <c r="A25" s="23" t="n"/>
      <c r="B25" s="24">
        <f>IFERROR(INDEX(FILTER(tbl_Lots[LotNumber],tbl_Lots[PN]=$A$15,""),8,1),"")</f>
        <v/>
      </c>
      <c r="C25" s="25">
        <f>IFERROR(INDEX(FILTER(tbl_Lots[ExpirationDate],tbl_Lots[PN]=$A$15,""),8,1),"")</f>
        <v/>
      </c>
      <c r="D25" s="26">
        <f>IFERROR(INDEX(FILTER(tbl_Lots[Qty],tbl_Lots[PN]=$A$15,""),8,1),"")</f>
        <v/>
      </c>
      <c r="E25" s="27">
        <f>IFERROR(INDEX(FILTER(tbl_Lots[LatestInventory],tbl_Lots[PN]=$A$15,""),8,1),"")</f>
        <v/>
      </c>
      <c r="F25" s="28">
        <f>IF(C25="","",C25-TODAY())</f>
        <v/>
      </c>
      <c r="G25" s="29">
        <f>IF(C25="","",IF(C25&lt;TODAY(),"EXPIRED",IF(C25&lt;TODAY()+60,"&lt; 60 days","OK")))</f>
        <v/>
      </c>
    </row>
    <row r="26" ht="14" customHeight="1">
      <c r="A26" s="30" t="n"/>
      <c r="B26" s="31">
        <f>IF(ISNUMBER(COUNTIF(tbl_Lots[PN],$A$15)),IF(COUNTIF(tbl_Lots[PN],$A$15)&gt;8,"  WARNING: "&amp;(COUNTIF(tbl_Lots[PN],$A$15)-8)&amp;" more lot(s) not shown - extend block",""),"")</f>
        <v/>
      </c>
    </row>
    <row r="27" ht="8" customHeight="1">
      <c r="A27" s="16" t="n"/>
      <c r="B27" s="16" t="n"/>
      <c r="C27" s="16" t="n"/>
      <c r="D27" s="16" t="n"/>
      <c r="E27" s="16" t="n"/>
      <c r="F27" s="16" t="n"/>
      <c r="G27" s="16" t="n"/>
    </row>
    <row r="28" ht="20" customHeight="1">
      <c r="A28" s="8" t="inlineStr">
        <is>
          <t>001-1688</t>
        </is>
      </c>
      <c r="B28" s="9" t="inlineStr">
        <is>
          <t>Xpert CARBA-R Negative</t>
        </is>
      </c>
      <c r="C28" s="10" t="n"/>
      <c r="D28" s="10" t="n"/>
      <c r="E28" s="10" t="n"/>
      <c r="F28" s="10" t="n"/>
      <c r="G28" s="10" t="n"/>
    </row>
    <row r="29" ht="16" customHeight="1">
      <c r="A29" s="11" t="n"/>
      <c r="B29" s="12" t="inlineStr">
        <is>
          <t>NEG IPT kylskåp</t>
        </is>
      </c>
      <c r="C29" s="11" t="n"/>
      <c r="D29" s="11" t="n"/>
      <c r="E29" s="11" t="n"/>
      <c r="F29" s="13">
        <f>IFERROR(COUNTIF(tbl_Lots[PN],$A$28)&amp;" active lot(s)  |  max 8 shown","")</f>
        <v/>
      </c>
    </row>
    <row r="30" ht="16" customHeight="1">
      <c r="A30" s="14" t="n"/>
      <c r="B30" s="15" t="inlineStr">
        <is>
          <t>Lot Number</t>
        </is>
      </c>
      <c r="C30" s="15" t="inlineStr">
        <is>
          <t>Expiration Date</t>
        </is>
      </c>
      <c r="D30" s="15" t="inlineStr">
        <is>
          <t>Qty</t>
        </is>
      </c>
      <c r="E30" s="15" t="inlineStr">
        <is>
          <t>Last Inventory</t>
        </is>
      </c>
      <c r="F30" s="15" t="inlineStr">
        <is>
          <t>Days Left</t>
        </is>
      </c>
      <c r="G30" s="15" t="inlineStr">
        <is>
          <t>Status</t>
        </is>
      </c>
    </row>
    <row r="31" ht="17" customHeight="1">
      <c r="A31" s="16" t="n"/>
      <c r="B31" s="17">
        <f>IFERROR(INDEX(FILTER(tbl_Lots[LotNumber],tbl_Lots[PN]=$A$28,""),1,1),"")</f>
        <v/>
      </c>
      <c r="C31" s="18">
        <f>IFERROR(INDEX(FILTER(tbl_Lots[ExpirationDate],tbl_Lots[PN]=$A$28,""),1,1),"")</f>
        <v/>
      </c>
      <c r="D31" s="19">
        <f>IFERROR(INDEX(FILTER(tbl_Lots[Qty],tbl_Lots[PN]=$A$28,""),1,1),"")</f>
        <v/>
      </c>
      <c r="E31" s="20">
        <f>IFERROR(INDEX(FILTER(tbl_Lots[LatestInventory],tbl_Lots[PN]=$A$28,""),1,1),"")</f>
        <v/>
      </c>
      <c r="F31" s="21">
        <f>IF(C31="","",C31-TODAY())</f>
        <v/>
      </c>
      <c r="G31" s="22">
        <f>IF(C31="","",IF(C31&lt;TODAY(),"EXPIRED",IF(C31&lt;TODAY()+60,"&lt; 60 days","OK")))</f>
        <v/>
      </c>
    </row>
    <row r="32" ht="17" customHeight="1">
      <c r="A32" s="23" t="n"/>
      <c r="B32" s="24">
        <f>IFERROR(INDEX(FILTER(tbl_Lots[LotNumber],tbl_Lots[PN]=$A$28,""),2,1),"")</f>
        <v/>
      </c>
      <c r="C32" s="25">
        <f>IFERROR(INDEX(FILTER(tbl_Lots[ExpirationDate],tbl_Lots[PN]=$A$28,""),2,1),"")</f>
        <v/>
      </c>
      <c r="D32" s="26">
        <f>IFERROR(INDEX(FILTER(tbl_Lots[Qty],tbl_Lots[PN]=$A$28,""),2,1),"")</f>
        <v/>
      </c>
      <c r="E32" s="27">
        <f>IFERROR(INDEX(FILTER(tbl_Lots[LatestInventory],tbl_Lots[PN]=$A$28,""),2,1),"")</f>
        <v/>
      </c>
      <c r="F32" s="28">
        <f>IF(C32="","",C32-TODAY())</f>
        <v/>
      </c>
      <c r="G32" s="29">
        <f>IF(C32="","",IF(C32&lt;TODAY(),"EXPIRED",IF(C32&lt;TODAY()+60,"&lt; 60 days","OK")))</f>
        <v/>
      </c>
    </row>
    <row r="33" ht="17" customHeight="1">
      <c r="A33" s="16" t="n"/>
      <c r="B33" s="17">
        <f>IFERROR(INDEX(FILTER(tbl_Lots[LotNumber],tbl_Lots[PN]=$A$28,""),3,1),"")</f>
        <v/>
      </c>
      <c r="C33" s="18">
        <f>IFERROR(INDEX(FILTER(tbl_Lots[ExpirationDate],tbl_Lots[PN]=$A$28,""),3,1),"")</f>
        <v/>
      </c>
      <c r="D33" s="19">
        <f>IFERROR(INDEX(FILTER(tbl_Lots[Qty],tbl_Lots[PN]=$A$28,""),3,1),"")</f>
        <v/>
      </c>
      <c r="E33" s="20">
        <f>IFERROR(INDEX(FILTER(tbl_Lots[LatestInventory],tbl_Lots[PN]=$A$28,""),3,1),"")</f>
        <v/>
      </c>
      <c r="F33" s="21">
        <f>IF(C33="","",C33-TODAY())</f>
        <v/>
      </c>
      <c r="G33" s="22">
        <f>IF(C33="","",IF(C33&lt;TODAY(),"EXPIRED",IF(C33&lt;TODAY()+60,"&lt; 60 days","OK")))</f>
        <v/>
      </c>
    </row>
    <row r="34" ht="17" customHeight="1">
      <c r="A34" s="23" t="n"/>
      <c r="B34" s="24">
        <f>IFERROR(INDEX(FILTER(tbl_Lots[LotNumber],tbl_Lots[PN]=$A$28,""),4,1),"")</f>
        <v/>
      </c>
      <c r="C34" s="25">
        <f>IFERROR(INDEX(FILTER(tbl_Lots[ExpirationDate],tbl_Lots[PN]=$A$28,""),4,1),"")</f>
        <v/>
      </c>
      <c r="D34" s="26">
        <f>IFERROR(INDEX(FILTER(tbl_Lots[Qty],tbl_Lots[PN]=$A$28,""),4,1),"")</f>
        <v/>
      </c>
      <c r="E34" s="27">
        <f>IFERROR(INDEX(FILTER(tbl_Lots[LatestInventory],tbl_Lots[PN]=$A$28,""),4,1),"")</f>
        <v/>
      </c>
      <c r="F34" s="28">
        <f>IF(C34="","",C34-TODAY())</f>
        <v/>
      </c>
      <c r="G34" s="29">
        <f>IF(C34="","",IF(C34&lt;TODAY(),"EXPIRED",IF(C34&lt;TODAY()+60,"&lt; 60 days","OK")))</f>
        <v/>
      </c>
    </row>
    <row r="35" ht="17" customHeight="1">
      <c r="A35" s="16" t="n"/>
      <c r="B35" s="17">
        <f>IFERROR(INDEX(FILTER(tbl_Lots[LotNumber],tbl_Lots[PN]=$A$28,""),5,1),"")</f>
        <v/>
      </c>
      <c r="C35" s="18">
        <f>IFERROR(INDEX(FILTER(tbl_Lots[ExpirationDate],tbl_Lots[PN]=$A$28,""),5,1),"")</f>
        <v/>
      </c>
      <c r="D35" s="19">
        <f>IFERROR(INDEX(FILTER(tbl_Lots[Qty],tbl_Lots[PN]=$A$28,""),5,1),"")</f>
        <v/>
      </c>
      <c r="E35" s="20">
        <f>IFERROR(INDEX(FILTER(tbl_Lots[LatestInventory],tbl_Lots[PN]=$A$28,""),5,1),"")</f>
        <v/>
      </c>
      <c r="F35" s="21">
        <f>IF(C35="","",C35-TODAY())</f>
        <v/>
      </c>
      <c r="G35" s="22">
        <f>IF(C35="","",IF(C35&lt;TODAY(),"EXPIRED",IF(C35&lt;TODAY()+60,"&lt; 60 days","OK")))</f>
        <v/>
      </c>
    </row>
    <row r="36" ht="17" customHeight="1">
      <c r="A36" s="23" t="n"/>
      <c r="B36" s="24">
        <f>IFERROR(INDEX(FILTER(tbl_Lots[LotNumber],tbl_Lots[PN]=$A$28,""),6,1),"")</f>
        <v/>
      </c>
      <c r="C36" s="25">
        <f>IFERROR(INDEX(FILTER(tbl_Lots[ExpirationDate],tbl_Lots[PN]=$A$28,""),6,1),"")</f>
        <v/>
      </c>
      <c r="D36" s="26">
        <f>IFERROR(INDEX(FILTER(tbl_Lots[Qty],tbl_Lots[PN]=$A$28,""),6,1),"")</f>
        <v/>
      </c>
      <c r="E36" s="27">
        <f>IFERROR(INDEX(FILTER(tbl_Lots[LatestInventory],tbl_Lots[PN]=$A$28,""),6,1),"")</f>
        <v/>
      </c>
      <c r="F36" s="28">
        <f>IF(C36="","",C36-TODAY())</f>
        <v/>
      </c>
      <c r="G36" s="29">
        <f>IF(C36="","",IF(C36&lt;TODAY(),"EXPIRED",IF(C36&lt;TODAY()+60,"&lt; 60 days","OK")))</f>
        <v/>
      </c>
    </row>
    <row r="37" ht="17" customHeight="1">
      <c r="A37" s="16" t="n"/>
      <c r="B37" s="17">
        <f>IFERROR(INDEX(FILTER(tbl_Lots[LotNumber],tbl_Lots[PN]=$A$28,""),7,1),"")</f>
        <v/>
      </c>
      <c r="C37" s="18">
        <f>IFERROR(INDEX(FILTER(tbl_Lots[ExpirationDate],tbl_Lots[PN]=$A$28,""),7,1),"")</f>
        <v/>
      </c>
      <c r="D37" s="19">
        <f>IFERROR(INDEX(FILTER(tbl_Lots[Qty],tbl_Lots[PN]=$A$28,""),7,1),"")</f>
        <v/>
      </c>
      <c r="E37" s="20">
        <f>IFERROR(INDEX(FILTER(tbl_Lots[LatestInventory],tbl_Lots[PN]=$A$28,""),7,1),"")</f>
        <v/>
      </c>
      <c r="F37" s="21">
        <f>IF(C37="","",C37-TODAY())</f>
        <v/>
      </c>
      <c r="G37" s="22">
        <f>IF(C37="","",IF(C37&lt;TODAY(),"EXPIRED",IF(C37&lt;TODAY()+60,"&lt; 60 days","OK")))</f>
        <v/>
      </c>
    </row>
    <row r="38" ht="17" customHeight="1">
      <c r="A38" s="23" t="n"/>
      <c r="B38" s="24">
        <f>IFERROR(INDEX(FILTER(tbl_Lots[LotNumber],tbl_Lots[PN]=$A$28,""),8,1),"")</f>
        <v/>
      </c>
      <c r="C38" s="25">
        <f>IFERROR(INDEX(FILTER(tbl_Lots[ExpirationDate],tbl_Lots[PN]=$A$28,""),8,1),"")</f>
        <v/>
      </c>
      <c r="D38" s="26">
        <f>IFERROR(INDEX(FILTER(tbl_Lots[Qty],tbl_Lots[PN]=$A$28,""),8,1),"")</f>
        <v/>
      </c>
      <c r="E38" s="27">
        <f>IFERROR(INDEX(FILTER(tbl_Lots[LatestInventory],tbl_Lots[PN]=$A$28,""),8,1),"")</f>
        <v/>
      </c>
      <c r="F38" s="28">
        <f>IF(C38="","",C38-TODAY())</f>
        <v/>
      </c>
      <c r="G38" s="29">
        <f>IF(C38="","",IF(C38&lt;TODAY(),"EXPIRED",IF(C38&lt;TODAY()+60,"&lt; 60 days","OK")))</f>
        <v/>
      </c>
    </row>
    <row r="39" ht="14" customHeight="1">
      <c r="A39" s="30" t="n"/>
      <c r="B39" s="31">
        <f>IF(ISNUMBER(COUNTIF(tbl_Lots[PN],$A$28)),IF(COUNTIF(tbl_Lots[PN],$A$28)&gt;8,"  WARNING: "&amp;(COUNTIF(tbl_Lots[PN],$A$28)-8)&amp;" more lot(s) not shown - extend block",""),"")</f>
        <v/>
      </c>
    </row>
    <row r="40" ht="8" customHeight="1">
      <c r="A40" s="16" t="n"/>
      <c r="B40" s="16" t="n"/>
      <c r="C40" s="16" t="n"/>
      <c r="D40" s="16" t="n"/>
      <c r="E40" s="16" t="n"/>
      <c r="F40" s="16" t="n"/>
      <c r="G40" s="16" t="n"/>
    </row>
  </sheetData>
  <mergeCells count="7">
    <mergeCell ref="F3:G3"/>
    <mergeCell ref="A1:G1"/>
    <mergeCell ref="F29:G29"/>
    <mergeCell ref="F16:G16"/>
    <mergeCell ref="B26:G26"/>
    <mergeCell ref="B13:G13"/>
    <mergeCell ref="B39:G39"/>
  </mergeCells>
  <conditionalFormatting sqref="C5:C12">
    <cfRule type="expression" priority="1" dxfId="0">
      <formula>AND(C5&lt;&gt;"",C5&lt;TODAY())</formula>
    </cfRule>
    <cfRule type="expression" priority="2" dxfId="1">
      <formula>AND(C5&lt;&gt;"",C5&gt;=TODAY(),C5&lt;TODAY()+60)</formula>
    </cfRule>
    <cfRule type="expression" priority="3" dxfId="2">
      <formula>AND(C5&lt;&gt;"",C5&gt;=TODAY()+60)</formula>
    </cfRule>
  </conditionalFormatting>
  <conditionalFormatting sqref="G5:G12">
    <cfRule type="expression" priority="4" dxfId="0">
      <formula>G5="EXPIRED"</formula>
    </cfRule>
    <cfRule type="expression" priority="5" dxfId="1">
      <formula>G5="&lt; 60 days"</formula>
    </cfRule>
    <cfRule type="expression" priority="6" dxfId="2">
      <formula>G5="OK"</formula>
    </cfRule>
  </conditionalFormatting>
  <conditionalFormatting sqref="C18:C25">
    <cfRule type="expression" priority="7" dxfId="0">
      <formula>AND(C18&lt;&gt;"",C18&lt;TODAY())</formula>
    </cfRule>
    <cfRule type="expression" priority="8" dxfId="1">
      <formula>AND(C18&lt;&gt;"",C18&gt;=TODAY(),C18&lt;TODAY()+60)</formula>
    </cfRule>
    <cfRule type="expression" priority="9" dxfId="2">
      <formula>AND(C18&lt;&gt;"",C18&gt;=TODAY()+60)</formula>
    </cfRule>
  </conditionalFormatting>
  <conditionalFormatting sqref="G18:G25">
    <cfRule type="expression" priority="10" dxfId="0">
      <formula>G18="EXPIRED"</formula>
    </cfRule>
    <cfRule type="expression" priority="11" dxfId="1">
      <formula>G18="&lt; 60 days"</formula>
    </cfRule>
    <cfRule type="expression" priority="12" dxfId="2">
      <formula>G18="OK"</formula>
    </cfRule>
  </conditionalFormatting>
  <conditionalFormatting sqref="C31:C38">
    <cfRule type="expression" priority="13" dxfId="0">
      <formula>AND(C31&lt;&gt;"",C31&lt;TODAY())</formula>
    </cfRule>
    <cfRule type="expression" priority="14" dxfId="1">
      <formula>AND(C31&lt;&gt;"",C31&gt;=TODAY(),C31&lt;TODAY()+60)</formula>
    </cfRule>
    <cfRule type="expression" priority="15" dxfId="2">
      <formula>AND(C31&lt;&gt;"",C31&gt;=TODAY()+60)</formula>
    </cfRule>
  </conditionalFormatting>
  <conditionalFormatting sqref="G31:G38">
    <cfRule type="expression" priority="16" dxfId="0">
      <formula>G31="EXPIRED"</formula>
    </cfRule>
    <cfRule type="expression" priority="17" dxfId="1">
      <formula>G31="&lt; 60 days"</formula>
    </cfRule>
    <cfRule type="expression" priority="18" dxfId="2">
      <formula>G31="OK"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2026-03-25T14:08:46Z</dcterms:created>
  <dcterms:modified xmlns:dcterms="http://purl.org/dc/terms/" xmlns:xsi="http://www.w3.org/2001/XMLSchema-instance" xsi:type="dcterms:W3CDTF">2026-03-25T14:08:47Z</dcterms:modified>
</cp:coreProperties>
</file>